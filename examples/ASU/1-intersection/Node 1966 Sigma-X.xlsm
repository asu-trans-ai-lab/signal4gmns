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929" codeName="{4D1C537B-E38A-612A-F078-A93A15B4B7F4}"/>
  <workbookPr codeName="ThisWorkbook" defaultThemeVersion="124226"/>
  <mc:AlternateContent xmlns:mc="http://schemas.openxmlformats.org/markup-compatibility/2006">
    <mc:Choice Requires="x15">
      <x15ac:absPath xmlns:x15ac="http://schemas.microsoft.com/office/spreadsheetml/2010/11/ac" url="C:\temp\signal4gmns_package\signal4gmns_package_v5\signal4gmns_package\1-intersection\1-intersection\"/>
    </mc:Choice>
  </mc:AlternateContent>
  <xr:revisionPtr revIDLastSave="0" documentId="8_{4745ECD9-26BA-4F49-A860-A3265DFEC998}" xr6:coauthVersionLast="46" xr6:coauthVersionMax="46" xr10:uidLastSave="{00000000-0000-0000-0000-000000000000}"/>
  <bookViews>
    <workbookView xWindow="-108" yWindow="-108" windowWidth="23256" windowHeight="12576" tabRatio="851" firstSheet="3" activeTab="12" xr2:uid="{00000000-000D-0000-FFFF-FFFF00000000}"/>
  </bookViews>
  <sheets>
    <sheet name="Sheet1" sheetId="1" state="hidden" r:id="rId1"/>
    <sheet name="Input sheet" sheetId="8" r:id="rId2"/>
    <sheet name="Phase designation" sheetId="2" r:id="rId3"/>
    <sheet name="Lane volumes" sheetId="6"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osm" sheetId="14" r:id="rId11"/>
    <sheet name="GMNS_data_dictionary" sheetId="20" r:id="rId12"/>
    <sheet name="GMNS" sheetId="19" r:id="rId13"/>
    <sheet name="movement" sheetId="15" r:id="rId14"/>
    <sheet name="node" sheetId="17" r:id="rId15"/>
    <sheet name="link" sheetId="18" r:id="rId16"/>
    <sheet name="timing_csv" sheetId="16" r:id="rId17"/>
    <sheet name="signal_phase" sheetId="21" r:id="rId18"/>
    <sheet name="signal_phase_concurrency" sheetId="22" r:id="rId19"/>
    <sheet name="signal_timing_plan" sheetId="23" r:id="rId20"/>
    <sheet name="signal_timing_phase" sheetId="24" r:id="rId21"/>
    <sheet name="Y-AllRed" sheetId="10" state="hidden" r:id="rId22"/>
    <sheet name="DetZone" sheetId="11" state="hidden" r:id="rId23"/>
  </sheets>
  <definedNames>
    <definedName name="_xlnm._FilterDatabase" localSheetId="13" hidden="1">movement!$A$1:$Y$8856</definedName>
    <definedName name="_xlnm._FilterDatabase" localSheetId="14" hidden="1">node!$D$1:$D$403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4" i="14" l="1"/>
  <c r="J24" i="8" s="1"/>
  <c r="F3" i="14"/>
  <c r="F7" i="14" s="1"/>
  <c r="F27" i="14" s="1"/>
  <c r="J4" i="8" s="1"/>
  <c r="F5" i="14" l="1"/>
  <c r="F11" i="14"/>
  <c r="F8" i="14"/>
  <c r="F14" i="14"/>
  <c r="F6" i="14"/>
  <c r="F13" i="14"/>
  <c r="F12" i="14"/>
  <c r="F10" i="14"/>
  <c r="F21" i="14" s="1"/>
  <c r="P13" i="8" s="1"/>
  <c r="F9" i="14"/>
  <c r="F4" i="14"/>
  <c r="F18" i="14" s="1"/>
  <c r="D13" i="8" s="1"/>
  <c r="Y8856" i="15"/>
  <c r="X3" i="15" l="1"/>
  <c r="Y2" i="15" s="1"/>
  <c r="X4" i="15"/>
  <c r="Y3" i="15" s="1"/>
  <c r="X5" i="15"/>
  <c r="Y4" i="15" s="1"/>
  <c r="X6" i="15"/>
  <c r="Y5" i="15" s="1"/>
  <c r="X7" i="15"/>
  <c r="Y6" i="15" s="1"/>
  <c r="X8" i="15"/>
  <c r="Y7" i="15" s="1"/>
  <c r="X9" i="15"/>
  <c r="Y8" i="15" s="1"/>
  <c r="X10" i="15"/>
  <c r="Y9" i="15" s="1"/>
  <c r="X11" i="15"/>
  <c r="Y10" i="15" s="1"/>
  <c r="X12" i="15"/>
  <c r="Y11" i="15" s="1"/>
  <c r="X13" i="15"/>
  <c r="Y12" i="15" s="1"/>
  <c r="X14" i="15"/>
  <c r="Y13" i="15" s="1"/>
  <c r="X15" i="15"/>
  <c r="Y14" i="15" s="1"/>
  <c r="X16" i="15"/>
  <c r="Y15" i="15" s="1"/>
  <c r="X17" i="15"/>
  <c r="Y16" i="15" s="1"/>
  <c r="X18" i="15"/>
  <c r="Y17" i="15" s="1"/>
  <c r="X19" i="15"/>
  <c r="Y18" i="15" s="1"/>
  <c r="X20" i="15"/>
  <c r="Y19" i="15" s="1"/>
  <c r="X21" i="15"/>
  <c r="Y20" i="15" s="1"/>
  <c r="X22" i="15"/>
  <c r="Y21" i="15" s="1"/>
  <c r="X23" i="15"/>
  <c r="Y22" i="15" s="1"/>
  <c r="X24" i="15"/>
  <c r="Y23" i="15" s="1"/>
  <c r="X25" i="15"/>
  <c r="Y24" i="15" s="1"/>
  <c r="X26" i="15"/>
  <c r="Y25" i="15" s="1"/>
  <c r="X27" i="15"/>
  <c r="Y26" i="15" s="1"/>
  <c r="X28" i="15"/>
  <c r="Y27" i="15" s="1"/>
  <c r="X29" i="15"/>
  <c r="Y28" i="15" s="1"/>
  <c r="X30" i="15"/>
  <c r="Y29" i="15" s="1"/>
  <c r="X31" i="15"/>
  <c r="Y30" i="15" s="1"/>
  <c r="X32" i="15"/>
  <c r="Y31" i="15" s="1"/>
  <c r="X33" i="15"/>
  <c r="Y32" i="15" s="1"/>
  <c r="X34" i="15"/>
  <c r="Y33" i="15" s="1"/>
  <c r="X35" i="15"/>
  <c r="Y34" i="15" s="1"/>
  <c r="X36" i="15"/>
  <c r="Y35" i="15" s="1"/>
  <c r="X37" i="15"/>
  <c r="Y36" i="15" s="1"/>
  <c r="X38" i="15"/>
  <c r="Y37" i="15" s="1"/>
  <c r="X39" i="15"/>
  <c r="Y38" i="15" s="1"/>
  <c r="X40" i="15"/>
  <c r="Y39" i="15" s="1"/>
  <c r="X41" i="15"/>
  <c r="Y40" i="15" s="1"/>
  <c r="X42" i="15"/>
  <c r="Y41" i="15" s="1"/>
  <c r="X43" i="15"/>
  <c r="Y42" i="15" s="1"/>
  <c r="X44" i="15"/>
  <c r="Y43" i="15" s="1"/>
  <c r="X45" i="15"/>
  <c r="Y44" i="15" s="1"/>
  <c r="X46" i="15"/>
  <c r="Y45" i="15" s="1"/>
  <c r="X47" i="15"/>
  <c r="Y46" i="15" s="1"/>
  <c r="X48" i="15"/>
  <c r="Y47" i="15" s="1"/>
  <c r="X49" i="15"/>
  <c r="Y48" i="15" s="1"/>
  <c r="X50" i="15"/>
  <c r="Y49" i="15" s="1"/>
  <c r="X51" i="15"/>
  <c r="Y50" i="15" s="1"/>
  <c r="X52" i="15"/>
  <c r="Y51" i="15" s="1"/>
  <c r="X53" i="15"/>
  <c r="Y52" i="15" s="1"/>
  <c r="X54" i="15"/>
  <c r="Y53" i="15" s="1"/>
  <c r="X55" i="15"/>
  <c r="Y54" i="15" s="1"/>
  <c r="X56" i="15"/>
  <c r="Y55" i="15" s="1"/>
  <c r="X57" i="15"/>
  <c r="Y56" i="15" s="1"/>
  <c r="X58" i="15"/>
  <c r="Y57" i="15" s="1"/>
  <c r="X59" i="15"/>
  <c r="Y58" i="15" s="1"/>
  <c r="X60" i="15"/>
  <c r="Y59" i="15" s="1"/>
  <c r="X61" i="15"/>
  <c r="Y60" i="15" s="1"/>
  <c r="X62" i="15"/>
  <c r="Y61" i="15" s="1"/>
  <c r="X63" i="15"/>
  <c r="Y62" i="15" s="1"/>
  <c r="X64" i="15"/>
  <c r="Y63" i="15" s="1"/>
  <c r="X65" i="15"/>
  <c r="Y64" i="15" s="1"/>
  <c r="X66" i="15"/>
  <c r="Y65" i="15" s="1"/>
  <c r="X67" i="15"/>
  <c r="Y66" i="15" s="1"/>
  <c r="X68" i="15"/>
  <c r="Y67" i="15" s="1"/>
  <c r="X69" i="15"/>
  <c r="Y68" i="15" s="1"/>
  <c r="X70" i="15"/>
  <c r="Y69" i="15" s="1"/>
  <c r="X71" i="15"/>
  <c r="Y70" i="15" s="1"/>
  <c r="X72" i="15"/>
  <c r="Y71" i="15" s="1"/>
  <c r="X73" i="15"/>
  <c r="Y72" i="15" s="1"/>
  <c r="X74" i="15"/>
  <c r="Y73" i="15" s="1"/>
  <c r="X75" i="15"/>
  <c r="Y74" i="15" s="1"/>
  <c r="X76" i="15"/>
  <c r="Y75" i="15" s="1"/>
  <c r="X77" i="15"/>
  <c r="Y76" i="15" s="1"/>
  <c r="X78" i="15"/>
  <c r="Y77" i="15" s="1"/>
  <c r="X79" i="15"/>
  <c r="Y78" i="15" s="1"/>
  <c r="X80" i="15"/>
  <c r="Y79" i="15" s="1"/>
  <c r="X81" i="15"/>
  <c r="Y80" i="15" s="1"/>
  <c r="X82" i="15"/>
  <c r="Y81" i="15" s="1"/>
  <c r="X83" i="15"/>
  <c r="Y82" i="15" s="1"/>
  <c r="X84" i="15"/>
  <c r="Y83" i="15" s="1"/>
  <c r="X85" i="15"/>
  <c r="Y84" i="15" s="1"/>
  <c r="X86" i="15"/>
  <c r="Y85" i="15" s="1"/>
  <c r="X87" i="15"/>
  <c r="Y86" i="15" s="1"/>
  <c r="X88" i="15"/>
  <c r="Y87" i="15" s="1"/>
  <c r="X89" i="15"/>
  <c r="Y88" i="15" s="1"/>
  <c r="X90" i="15"/>
  <c r="Y89" i="15" s="1"/>
  <c r="X91" i="15"/>
  <c r="Y90" i="15" s="1"/>
  <c r="X92" i="15"/>
  <c r="Y91" i="15" s="1"/>
  <c r="X93" i="15"/>
  <c r="Y92" i="15" s="1"/>
  <c r="X94" i="15"/>
  <c r="Y93" i="15" s="1"/>
  <c r="X95" i="15"/>
  <c r="Y94" i="15" s="1"/>
  <c r="X96" i="15"/>
  <c r="Y95" i="15" s="1"/>
  <c r="X97" i="15"/>
  <c r="Y96" i="15" s="1"/>
  <c r="X98" i="15"/>
  <c r="Y97" i="15" s="1"/>
  <c r="X99" i="15"/>
  <c r="Y98" i="15" s="1"/>
  <c r="X100" i="15"/>
  <c r="Y99" i="15" s="1"/>
  <c r="X101" i="15"/>
  <c r="Y100" i="15" s="1"/>
  <c r="X102" i="15"/>
  <c r="Y101" i="15" s="1"/>
  <c r="X103" i="15"/>
  <c r="Y102" i="15" s="1"/>
  <c r="X104" i="15"/>
  <c r="Y103" i="15" s="1"/>
  <c r="X105" i="15"/>
  <c r="Y104" i="15" s="1"/>
  <c r="X106" i="15"/>
  <c r="Y105" i="15" s="1"/>
  <c r="X107" i="15"/>
  <c r="Y106" i="15" s="1"/>
  <c r="X108" i="15"/>
  <c r="Y107" i="15" s="1"/>
  <c r="X109" i="15"/>
  <c r="Y108" i="15" s="1"/>
  <c r="X110" i="15"/>
  <c r="Y109" i="15" s="1"/>
  <c r="X111" i="15"/>
  <c r="Y110" i="15" s="1"/>
  <c r="X112" i="15"/>
  <c r="Y111" i="15" s="1"/>
  <c r="X113" i="15"/>
  <c r="Y112" i="15" s="1"/>
  <c r="X114" i="15"/>
  <c r="Y113" i="15" s="1"/>
  <c r="X115" i="15"/>
  <c r="Y114" i="15" s="1"/>
  <c r="X116" i="15"/>
  <c r="Y115" i="15" s="1"/>
  <c r="X117" i="15"/>
  <c r="Y116" i="15" s="1"/>
  <c r="X118" i="15"/>
  <c r="Y117" i="15" s="1"/>
  <c r="X119" i="15"/>
  <c r="Y118" i="15" s="1"/>
  <c r="X120" i="15"/>
  <c r="Y119" i="15" s="1"/>
  <c r="X121" i="15"/>
  <c r="Y120" i="15" s="1"/>
  <c r="X122" i="15"/>
  <c r="Y121" i="15" s="1"/>
  <c r="X123" i="15"/>
  <c r="Y122" i="15" s="1"/>
  <c r="X124" i="15"/>
  <c r="Y123" i="15" s="1"/>
  <c r="X125" i="15"/>
  <c r="Y124" i="15" s="1"/>
  <c r="X126" i="15"/>
  <c r="Y125" i="15" s="1"/>
  <c r="X127" i="15"/>
  <c r="Y126" i="15" s="1"/>
  <c r="X128" i="15"/>
  <c r="Y127" i="15" s="1"/>
  <c r="X129" i="15"/>
  <c r="Y128" i="15" s="1"/>
  <c r="X130" i="15"/>
  <c r="Y129" i="15" s="1"/>
  <c r="X131" i="15"/>
  <c r="Y130" i="15" s="1"/>
  <c r="X132" i="15"/>
  <c r="Y131" i="15" s="1"/>
  <c r="X133" i="15"/>
  <c r="Y132" i="15" s="1"/>
  <c r="X134" i="15"/>
  <c r="Y133" i="15" s="1"/>
  <c r="X135" i="15"/>
  <c r="Y134" i="15" s="1"/>
  <c r="X136" i="15"/>
  <c r="Y135" i="15" s="1"/>
  <c r="X137" i="15"/>
  <c r="Y136" i="15" s="1"/>
  <c r="X138" i="15"/>
  <c r="Y137" i="15" s="1"/>
  <c r="X139" i="15"/>
  <c r="Y138" i="15" s="1"/>
  <c r="X140" i="15"/>
  <c r="Y139" i="15" s="1"/>
  <c r="X141" i="15"/>
  <c r="Y140" i="15" s="1"/>
  <c r="X142" i="15"/>
  <c r="Y141" i="15" s="1"/>
  <c r="X143" i="15"/>
  <c r="Y142" i="15" s="1"/>
  <c r="X144" i="15"/>
  <c r="Y143" i="15" s="1"/>
  <c r="X145" i="15"/>
  <c r="Y144" i="15" s="1"/>
  <c r="X146" i="15"/>
  <c r="Y145" i="15" s="1"/>
  <c r="X147" i="15"/>
  <c r="Y146" i="15" s="1"/>
  <c r="X148" i="15"/>
  <c r="Y147" i="15" s="1"/>
  <c r="X149" i="15"/>
  <c r="Y148" i="15" s="1"/>
  <c r="X150" i="15"/>
  <c r="Y149" i="15" s="1"/>
  <c r="X151" i="15"/>
  <c r="Y150" i="15" s="1"/>
  <c r="X152" i="15"/>
  <c r="Y151" i="15" s="1"/>
  <c r="X153" i="15"/>
  <c r="Y152" i="15" s="1"/>
  <c r="X154" i="15"/>
  <c r="Y153" i="15" s="1"/>
  <c r="X155" i="15"/>
  <c r="Y154" i="15" s="1"/>
  <c r="X156" i="15"/>
  <c r="Y155" i="15" s="1"/>
  <c r="X157" i="15"/>
  <c r="Y156" i="15" s="1"/>
  <c r="X158" i="15"/>
  <c r="Y157" i="15" s="1"/>
  <c r="X159" i="15"/>
  <c r="Y158" i="15" s="1"/>
  <c r="X160" i="15"/>
  <c r="Y159" i="15" s="1"/>
  <c r="X161" i="15"/>
  <c r="Y160" i="15" s="1"/>
  <c r="X162" i="15"/>
  <c r="Y161" i="15" s="1"/>
  <c r="X163" i="15"/>
  <c r="Y162" i="15" s="1"/>
  <c r="X164" i="15"/>
  <c r="Y163" i="15" s="1"/>
  <c r="X165" i="15"/>
  <c r="Y164" i="15" s="1"/>
  <c r="X166" i="15"/>
  <c r="Y165" i="15" s="1"/>
  <c r="X167" i="15"/>
  <c r="Y166" i="15" s="1"/>
  <c r="X168" i="15"/>
  <c r="Y167" i="15" s="1"/>
  <c r="X169" i="15"/>
  <c r="Y168" i="15" s="1"/>
  <c r="X170" i="15"/>
  <c r="Y169" i="15" s="1"/>
  <c r="X171" i="15"/>
  <c r="Y170" i="15" s="1"/>
  <c r="X172" i="15"/>
  <c r="Y171" i="15" s="1"/>
  <c r="X173" i="15"/>
  <c r="Y172" i="15" s="1"/>
  <c r="X174" i="15"/>
  <c r="Y173" i="15" s="1"/>
  <c r="X175" i="15"/>
  <c r="Y174" i="15" s="1"/>
  <c r="X176" i="15"/>
  <c r="Y175" i="15" s="1"/>
  <c r="X177" i="15"/>
  <c r="Y176" i="15" s="1"/>
  <c r="X178" i="15"/>
  <c r="Y177" i="15" s="1"/>
  <c r="X179" i="15"/>
  <c r="Y178" i="15" s="1"/>
  <c r="X180" i="15"/>
  <c r="Y179" i="15" s="1"/>
  <c r="X181" i="15"/>
  <c r="Y180" i="15" s="1"/>
  <c r="X182" i="15"/>
  <c r="Y181" i="15" s="1"/>
  <c r="X183" i="15"/>
  <c r="Y182" i="15" s="1"/>
  <c r="X184" i="15"/>
  <c r="Y183" i="15" s="1"/>
  <c r="X185" i="15"/>
  <c r="Y184" i="15" s="1"/>
  <c r="X186" i="15"/>
  <c r="Y185" i="15" s="1"/>
  <c r="X187" i="15"/>
  <c r="Y186" i="15" s="1"/>
  <c r="X188" i="15"/>
  <c r="Y187" i="15" s="1"/>
  <c r="X189" i="15"/>
  <c r="Y188" i="15" s="1"/>
  <c r="X190" i="15"/>
  <c r="Y189" i="15" s="1"/>
  <c r="X191" i="15"/>
  <c r="Y190" i="15" s="1"/>
  <c r="X192" i="15"/>
  <c r="Y191" i="15" s="1"/>
  <c r="X193" i="15"/>
  <c r="Y192" i="15" s="1"/>
  <c r="X194" i="15"/>
  <c r="Y193" i="15" s="1"/>
  <c r="X195" i="15"/>
  <c r="Y194" i="15" s="1"/>
  <c r="X196" i="15"/>
  <c r="Y195" i="15" s="1"/>
  <c r="X197" i="15"/>
  <c r="Y196" i="15" s="1"/>
  <c r="X198" i="15"/>
  <c r="Y197" i="15" s="1"/>
  <c r="X199" i="15"/>
  <c r="Y198" i="15" s="1"/>
  <c r="X200" i="15"/>
  <c r="Y199" i="15" s="1"/>
  <c r="X201" i="15"/>
  <c r="Y200" i="15" s="1"/>
  <c r="X202" i="15"/>
  <c r="Y201" i="15" s="1"/>
  <c r="X203" i="15"/>
  <c r="Y202" i="15" s="1"/>
  <c r="X204" i="15"/>
  <c r="Y203" i="15" s="1"/>
  <c r="X205" i="15"/>
  <c r="Y204" i="15" s="1"/>
  <c r="X206" i="15"/>
  <c r="Y205" i="15" s="1"/>
  <c r="X207" i="15"/>
  <c r="Y206" i="15" s="1"/>
  <c r="X208" i="15"/>
  <c r="Y207" i="15" s="1"/>
  <c r="X209" i="15"/>
  <c r="Y208" i="15" s="1"/>
  <c r="X210" i="15"/>
  <c r="Y209" i="15" s="1"/>
  <c r="X211" i="15"/>
  <c r="Y210" i="15" s="1"/>
  <c r="X212" i="15"/>
  <c r="Y211" i="15" s="1"/>
  <c r="X213" i="15"/>
  <c r="Y212" i="15" s="1"/>
  <c r="X214" i="15"/>
  <c r="Y213" i="15" s="1"/>
  <c r="X215" i="15"/>
  <c r="Y214" i="15" s="1"/>
  <c r="X216" i="15"/>
  <c r="Y215" i="15" s="1"/>
  <c r="X217" i="15"/>
  <c r="Y216" i="15" s="1"/>
  <c r="X218" i="15"/>
  <c r="Y217" i="15" s="1"/>
  <c r="X219" i="15"/>
  <c r="Y218" i="15" s="1"/>
  <c r="X220" i="15"/>
  <c r="Y219" i="15" s="1"/>
  <c r="X221" i="15"/>
  <c r="Y220" i="15" s="1"/>
  <c r="X222" i="15"/>
  <c r="Y221" i="15" s="1"/>
  <c r="X223" i="15"/>
  <c r="Y222" i="15" s="1"/>
  <c r="X224" i="15"/>
  <c r="Y223" i="15" s="1"/>
  <c r="X225" i="15"/>
  <c r="Y224" i="15" s="1"/>
  <c r="X226" i="15"/>
  <c r="Y225" i="15" s="1"/>
  <c r="X227" i="15"/>
  <c r="Y226" i="15" s="1"/>
  <c r="X228" i="15"/>
  <c r="Y227" i="15" s="1"/>
  <c r="X229" i="15"/>
  <c r="Y228" i="15" s="1"/>
  <c r="X230" i="15"/>
  <c r="Y229" i="15" s="1"/>
  <c r="X231" i="15"/>
  <c r="Y230" i="15" s="1"/>
  <c r="X232" i="15"/>
  <c r="Y231" i="15" s="1"/>
  <c r="X233" i="15"/>
  <c r="Y232" i="15" s="1"/>
  <c r="X234" i="15"/>
  <c r="Y233" i="15" s="1"/>
  <c r="X235" i="15"/>
  <c r="Y234" i="15" s="1"/>
  <c r="X236" i="15"/>
  <c r="Y235" i="15" s="1"/>
  <c r="X237" i="15"/>
  <c r="Y236" i="15" s="1"/>
  <c r="X238" i="15"/>
  <c r="Y237" i="15" s="1"/>
  <c r="X239" i="15"/>
  <c r="Y238" i="15" s="1"/>
  <c r="X240" i="15"/>
  <c r="Y239" i="15" s="1"/>
  <c r="X241" i="15"/>
  <c r="Y240" i="15" s="1"/>
  <c r="X242" i="15"/>
  <c r="Y241" i="15" s="1"/>
  <c r="X243" i="15"/>
  <c r="Y242" i="15" s="1"/>
  <c r="X244" i="15"/>
  <c r="Y243" i="15" s="1"/>
  <c r="X245" i="15"/>
  <c r="Y244" i="15" s="1"/>
  <c r="X246" i="15"/>
  <c r="Y245" i="15" s="1"/>
  <c r="X247" i="15"/>
  <c r="Y246" i="15" s="1"/>
  <c r="X248" i="15"/>
  <c r="Y247" i="15" s="1"/>
  <c r="X249" i="15"/>
  <c r="Y248" i="15" s="1"/>
  <c r="X250" i="15"/>
  <c r="Y249" i="15" s="1"/>
  <c r="X251" i="15"/>
  <c r="Y250" i="15" s="1"/>
  <c r="X252" i="15"/>
  <c r="Y251" i="15" s="1"/>
  <c r="X253" i="15"/>
  <c r="Y252" i="15" s="1"/>
  <c r="X254" i="15"/>
  <c r="Y253" i="15" s="1"/>
  <c r="X255" i="15"/>
  <c r="Y254" i="15" s="1"/>
  <c r="X256" i="15"/>
  <c r="Y255" i="15" s="1"/>
  <c r="X257" i="15"/>
  <c r="Y256" i="15" s="1"/>
  <c r="X258" i="15"/>
  <c r="Y257" i="15" s="1"/>
  <c r="X259" i="15"/>
  <c r="Y258" i="15" s="1"/>
  <c r="X260" i="15"/>
  <c r="Y259" i="15" s="1"/>
  <c r="X261" i="15"/>
  <c r="Y260" i="15" s="1"/>
  <c r="X262" i="15"/>
  <c r="Y261" i="15" s="1"/>
  <c r="X263" i="15"/>
  <c r="Y262" i="15" s="1"/>
  <c r="X264" i="15"/>
  <c r="Y263" i="15" s="1"/>
  <c r="X265" i="15"/>
  <c r="Y264" i="15" s="1"/>
  <c r="X266" i="15"/>
  <c r="Y265" i="15" s="1"/>
  <c r="X267" i="15"/>
  <c r="Y266" i="15" s="1"/>
  <c r="X268" i="15"/>
  <c r="Y267" i="15" s="1"/>
  <c r="X269" i="15"/>
  <c r="Y268" i="15" s="1"/>
  <c r="X270" i="15"/>
  <c r="Y269" i="15" s="1"/>
  <c r="X271" i="15"/>
  <c r="Y270" i="15" s="1"/>
  <c r="X272" i="15"/>
  <c r="Y271" i="15" s="1"/>
  <c r="X273" i="15"/>
  <c r="Y272" i="15" s="1"/>
  <c r="X274" i="15"/>
  <c r="Y273" i="15" s="1"/>
  <c r="X275" i="15"/>
  <c r="Y274" i="15" s="1"/>
  <c r="X276" i="15"/>
  <c r="Y275" i="15" s="1"/>
  <c r="X277" i="15"/>
  <c r="Y276" i="15" s="1"/>
  <c r="X278" i="15"/>
  <c r="Y277" i="15" s="1"/>
  <c r="X279" i="15"/>
  <c r="Y278" i="15" s="1"/>
  <c r="X280" i="15"/>
  <c r="Y279" i="15" s="1"/>
  <c r="X281" i="15"/>
  <c r="Y280" i="15" s="1"/>
  <c r="X282" i="15"/>
  <c r="Y281" i="15" s="1"/>
  <c r="X283" i="15"/>
  <c r="Y282" i="15" s="1"/>
  <c r="X284" i="15"/>
  <c r="Y283" i="15" s="1"/>
  <c r="X285" i="15"/>
  <c r="Y284" i="15" s="1"/>
  <c r="X286" i="15"/>
  <c r="Y285" i="15" s="1"/>
  <c r="X287" i="15"/>
  <c r="Y286" i="15" s="1"/>
  <c r="X288" i="15"/>
  <c r="Y287" i="15" s="1"/>
  <c r="X289" i="15"/>
  <c r="Y288" i="15" s="1"/>
  <c r="X290" i="15"/>
  <c r="Y289" i="15" s="1"/>
  <c r="X291" i="15"/>
  <c r="Y290" i="15" s="1"/>
  <c r="X292" i="15"/>
  <c r="Y291" i="15" s="1"/>
  <c r="X293" i="15"/>
  <c r="Y292" i="15" s="1"/>
  <c r="X294" i="15"/>
  <c r="Y293" i="15" s="1"/>
  <c r="X295" i="15"/>
  <c r="Y294" i="15" s="1"/>
  <c r="X296" i="15"/>
  <c r="Y295" i="15" s="1"/>
  <c r="X297" i="15"/>
  <c r="Y296" i="15" s="1"/>
  <c r="X298" i="15"/>
  <c r="Y297" i="15" s="1"/>
  <c r="X299" i="15"/>
  <c r="Y298" i="15" s="1"/>
  <c r="X300" i="15"/>
  <c r="Y299" i="15" s="1"/>
  <c r="X301" i="15"/>
  <c r="Y300" i="15" s="1"/>
  <c r="X302" i="15"/>
  <c r="Y301" i="15" s="1"/>
  <c r="X303" i="15"/>
  <c r="Y302" i="15" s="1"/>
  <c r="X304" i="15"/>
  <c r="Y303" i="15" s="1"/>
  <c r="X305" i="15"/>
  <c r="Y304" i="15" s="1"/>
  <c r="X306" i="15"/>
  <c r="Y305" i="15" s="1"/>
  <c r="X307" i="15"/>
  <c r="Y306" i="15" s="1"/>
  <c r="X308" i="15"/>
  <c r="Y307" i="15" s="1"/>
  <c r="X309" i="15"/>
  <c r="Y308" i="15" s="1"/>
  <c r="X310" i="15"/>
  <c r="Y309" i="15" s="1"/>
  <c r="X311" i="15"/>
  <c r="Y310" i="15" s="1"/>
  <c r="X312" i="15"/>
  <c r="Y311" i="15" s="1"/>
  <c r="X313" i="15"/>
  <c r="Y312" i="15" s="1"/>
  <c r="X314" i="15"/>
  <c r="Y313" i="15" s="1"/>
  <c r="X315" i="15"/>
  <c r="Y314" i="15" s="1"/>
  <c r="X316" i="15"/>
  <c r="Y315" i="15" s="1"/>
  <c r="X317" i="15"/>
  <c r="Y316" i="15" s="1"/>
  <c r="X318" i="15"/>
  <c r="Y317" i="15" s="1"/>
  <c r="X319" i="15"/>
  <c r="Y318" i="15" s="1"/>
  <c r="X320" i="15"/>
  <c r="Y319" i="15" s="1"/>
  <c r="X321" i="15"/>
  <c r="Y320" i="15" s="1"/>
  <c r="X322" i="15"/>
  <c r="Y321" i="15" s="1"/>
  <c r="X323" i="15"/>
  <c r="Y322" i="15" s="1"/>
  <c r="X324" i="15"/>
  <c r="Y323" i="15" s="1"/>
  <c r="X325" i="15"/>
  <c r="Y324" i="15" s="1"/>
  <c r="X326" i="15"/>
  <c r="Y325" i="15" s="1"/>
  <c r="X327" i="15"/>
  <c r="Y326" i="15" s="1"/>
  <c r="X328" i="15"/>
  <c r="Y327" i="15" s="1"/>
  <c r="X329" i="15"/>
  <c r="Y328" i="15" s="1"/>
  <c r="X330" i="15"/>
  <c r="Y329" i="15" s="1"/>
  <c r="X331" i="15"/>
  <c r="Y330" i="15" s="1"/>
  <c r="X332" i="15"/>
  <c r="Y331" i="15" s="1"/>
  <c r="X333" i="15"/>
  <c r="Y332" i="15" s="1"/>
  <c r="X334" i="15"/>
  <c r="Y333" i="15" s="1"/>
  <c r="X335" i="15"/>
  <c r="Y334" i="15" s="1"/>
  <c r="X336" i="15"/>
  <c r="Y335" i="15" s="1"/>
  <c r="X337" i="15"/>
  <c r="Y336" i="15" s="1"/>
  <c r="X338" i="15"/>
  <c r="Y337" i="15" s="1"/>
  <c r="X339" i="15"/>
  <c r="Y338" i="15" s="1"/>
  <c r="X340" i="15"/>
  <c r="Y339" i="15" s="1"/>
  <c r="X341" i="15"/>
  <c r="Y340" i="15" s="1"/>
  <c r="X342" i="15"/>
  <c r="Y341" i="15" s="1"/>
  <c r="X343" i="15"/>
  <c r="Y342" i="15" s="1"/>
  <c r="X344" i="15"/>
  <c r="Y343" i="15" s="1"/>
  <c r="X345" i="15"/>
  <c r="Y344" i="15" s="1"/>
  <c r="X346" i="15"/>
  <c r="Y345" i="15" s="1"/>
  <c r="X347" i="15"/>
  <c r="Y346" i="15" s="1"/>
  <c r="X348" i="15"/>
  <c r="Y347" i="15" s="1"/>
  <c r="X349" i="15"/>
  <c r="Y348" i="15" s="1"/>
  <c r="X350" i="15"/>
  <c r="Y349" i="15" s="1"/>
  <c r="X351" i="15"/>
  <c r="Y350" i="15" s="1"/>
  <c r="X352" i="15"/>
  <c r="Y351" i="15" s="1"/>
  <c r="X353" i="15"/>
  <c r="Y352" i="15" s="1"/>
  <c r="X354" i="15"/>
  <c r="Y353" i="15" s="1"/>
  <c r="X355" i="15"/>
  <c r="Y354" i="15" s="1"/>
  <c r="X356" i="15"/>
  <c r="Y355" i="15" s="1"/>
  <c r="X357" i="15"/>
  <c r="Y356" i="15" s="1"/>
  <c r="X358" i="15"/>
  <c r="Y357" i="15" s="1"/>
  <c r="X359" i="15"/>
  <c r="Y358" i="15" s="1"/>
  <c r="X360" i="15"/>
  <c r="Y359" i="15" s="1"/>
  <c r="X361" i="15"/>
  <c r="Y360" i="15" s="1"/>
  <c r="X362" i="15"/>
  <c r="Y361" i="15" s="1"/>
  <c r="X363" i="15"/>
  <c r="Y362" i="15" s="1"/>
  <c r="X364" i="15"/>
  <c r="Y363" i="15" s="1"/>
  <c r="X365" i="15"/>
  <c r="Y364" i="15" s="1"/>
  <c r="X366" i="15"/>
  <c r="Y365" i="15" s="1"/>
  <c r="X367" i="15"/>
  <c r="Y366" i="15" s="1"/>
  <c r="X368" i="15"/>
  <c r="Y367" i="15" s="1"/>
  <c r="X369" i="15"/>
  <c r="Y368" i="15" s="1"/>
  <c r="X370" i="15"/>
  <c r="Y369" i="15" s="1"/>
  <c r="X371" i="15"/>
  <c r="Y370" i="15" s="1"/>
  <c r="X372" i="15"/>
  <c r="Y371" i="15" s="1"/>
  <c r="X373" i="15"/>
  <c r="Y372" i="15" s="1"/>
  <c r="X374" i="15"/>
  <c r="Y373" i="15" s="1"/>
  <c r="X375" i="15"/>
  <c r="Y374" i="15" s="1"/>
  <c r="X376" i="15"/>
  <c r="Y375" i="15" s="1"/>
  <c r="X377" i="15"/>
  <c r="Y376" i="15" s="1"/>
  <c r="X378" i="15"/>
  <c r="Y377" i="15" s="1"/>
  <c r="X379" i="15"/>
  <c r="Y378" i="15" s="1"/>
  <c r="X380" i="15"/>
  <c r="Y379" i="15" s="1"/>
  <c r="X381" i="15"/>
  <c r="Y380" i="15" s="1"/>
  <c r="X382" i="15"/>
  <c r="Y381" i="15" s="1"/>
  <c r="X383" i="15"/>
  <c r="Y382" i="15" s="1"/>
  <c r="X384" i="15"/>
  <c r="Y383" i="15" s="1"/>
  <c r="X385" i="15"/>
  <c r="Y384" i="15" s="1"/>
  <c r="X386" i="15"/>
  <c r="Y385" i="15" s="1"/>
  <c r="X387" i="15"/>
  <c r="Y386" i="15" s="1"/>
  <c r="X388" i="15"/>
  <c r="Y387" i="15" s="1"/>
  <c r="X389" i="15"/>
  <c r="Y388" i="15" s="1"/>
  <c r="X390" i="15"/>
  <c r="Y389" i="15" s="1"/>
  <c r="X391" i="15"/>
  <c r="Y390" i="15" s="1"/>
  <c r="X392" i="15"/>
  <c r="Y391" i="15" s="1"/>
  <c r="X393" i="15"/>
  <c r="Y392" i="15" s="1"/>
  <c r="X394" i="15"/>
  <c r="Y393" i="15" s="1"/>
  <c r="X395" i="15"/>
  <c r="Y394" i="15" s="1"/>
  <c r="X396" i="15"/>
  <c r="Y395" i="15" s="1"/>
  <c r="X397" i="15"/>
  <c r="Y396" i="15" s="1"/>
  <c r="X398" i="15"/>
  <c r="Y397" i="15" s="1"/>
  <c r="X399" i="15"/>
  <c r="Y398" i="15" s="1"/>
  <c r="X400" i="15"/>
  <c r="Y399" i="15" s="1"/>
  <c r="X401" i="15"/>
  <c r="Y400" i="15" s="1"/>
  <c r="X402" i="15"/>
  <c r="Y401" i="15" s="1"/>
  <c r="X403" i="15"/>
  <c r="Y402" i="15" s="1"/>
  <c r="X404" i="15"/>
  <c r="Y403" i="15" s="1"/>
  <c r="X405" i="15"/>
  <c r="Y404" i="15" s="1"/>
  <c r="X406" i="15"/>
  <c r="Y405" i="15" s="1"/>
  <c r="X407" i="15"/>
  <c r="Y406" i="15" s="1"/>
  <c r="X408" i="15"/>
  <c r="Y407" i="15" s="1"/>
  <c r="X409" i="15"/>
  <c r="Y408" i="15" s="1"/>
  <c r="X410" i="15"/>
  <c r="Y409" i="15" s="1"/>
  <c r="X411" i="15"/>
  <c r="Y410" i="15" s="1"/>
  <c r="X412" i="15"/>
  <c r="Y411" i="15" s="1"/>
  <c r="X413" i="15"/>
  <c r="Y412" i="15" s="1"/>
  <c r="X414" i="15"/>
  <c r="Y413" i="15" s="1"/>
  <c r="X415" i="15"/>
  <c r="Y414" i="15" s="1"/>
  <c r="X416" i="15"/>
  <c r="Y415" i="15" s="1"/>
  <c r="X417" i="15"/>
  <c r="Y416" i="15" s="1"/>
  <c r="X418" i="15"/>
  <c r="Y417" i="15" s="1"/>
  <c r="X419" i="15"/>
  <c r="Y418" i="15" s="1"/>
  <c r="X420" i="15"/>
  <c r="Y419" i="15" s="1"/>
  <c r="X421" i="15"/>
  <c r="Y420" i="15" s="1"/>
  <c r="X422" i="15"/>
  <c r="Y421" i="15" s="1"/>
  <c r="X423" i="15"/>
  <c r="Y422" i="15" s="1"/>
  <c r="X424" i="15"/>
  <c r="Y423" i="15" s="1"/>
  <c r="X425" i="15"/>
  <c r="Y424" i="15" s="1"/>
  <c r="X426" i="15"/>
  <c r="Y425" i="15" s="1"/>
  <c r="X427" i="15"/>
  <c r="Y426" i="15" s="1"/>
  <c r="X428" i="15"/>
  <c r="Y427" i="15" s="1"/>
  <c r="X429" i="15"/>
  <c r="Y428" i="15" s="1"/>
  <c r="X430" i="15"/>
  <c r="Y429" i="15" s="1"/>
  <c r="X431" i="15"/>
  <c r="Y430" i="15" s="1"/>
  <c r="X432" i="15"/>
  <c r="Y431" i="15" s="1"/>
  <c r="X433" i="15"/>
  <c r="Y432" i="15" s="1"/>
  <c r="X434" i="15"/>
  <c r="Y433" i="15" s="1"/>
  <c r="X435" i="15"/>
  <c r="Y434" i="15" s="1"/>
  <c r="X436" i="15"/>
  <c r="Y435" i="15" s="1"/>
  <c r="X437" i="15"/>
  <c r="Y436" i="15" s="1"/>
  <c r="X438" i="15"/>
  <c r="Y437" i="15" s="1"/>
  <c r="X439" i="15"/>
  <c r="Y438" i="15" s="1"/>
  <c r="X440" i="15"/>
  <c r="Y439" i="15" s="1"/>
  <c r="X441" i="15"/>
  <c r="Y440" i="15" s="1"/>
  <c r="X442" i="15"/>
  <c r="Y441" i="15" s="1"/>
  <c r="X443" i="15"/>
  <c r="Y442" i="15" s="1"/>
  <c r="X444" i="15"/>
  <c r="Y443" i="15" s="1"/>
  <c r="X445" i="15"/>
  <c r="Y444" i="15" s="1"/>
  <c r="X446" i="15"/>
  <c r="Y445" i="15" s="1"/>
  <c r="X447" i="15"/>
  <c r="Y446" i="15" s="1"/>
  <c r="X448" i="15"/>
  <c r="Y447" i="15" s="1"/>
  <c r="X449" i="15"/>
  <c r="Y448" i="15" s="1"/>
  <c r="X450" i="15"/>
  <c r="Y449" i="15" s="1"/>
  <c r="X451" i="15"/>
  <c r="Y450" i="15" s="1"/>
  <c r="X452" i="15"/>
  <c r="Y451" i="15" s="1"/>
  <c r="X453" i="15"/>
  <c r="Y452" i="15" s="1"/>
  <c r="X454" i="15"/>
  <c r="Y453" i="15" s="1"/>
  <c r="X455" i="15"/>
  <c r="Y454" i="15" s="1"/>
  <c r="X456" i="15"/>
  <c r="Y455" i="15" s="1"/>
  <c r="X457" i="15"/>
  <c r="Y456" i="15" s="1"/>
  <c r="X458" i="15"/>
  <c r="Y457" i="15" s="1"/>
  <c r="X459" i="15"/>
  <c r="Y458" i="15" s="1"/>
  <c r="X460" i="15"/>
  <c r="Y459" i="15" s="1"/>
  <c r="X461" i="15"/>
  <c r="Y460" i="15" s="1"/>
  <c r="X462" i="15"/>
  <c r="Y461" i="15" s="1"/>
  <c r="X463" i="15"/>
  <c r="Y462" i="15" s="1"/>
  <c r="X464" i="15"/>
  <c r="Y463" i="15" s="1"/>
  <c r="X465" i="15"/>
  <c r="Y464" i="15" s="1"/>
  <c r="X466" i="15"/>
  <c r="Y465" i="15" s="1"/>
  <c r="X467" i="15"/>
  <c r="Y466" i="15" s="1"/>
  <c r="X468" i="15"/>
  <c r="Y467" i="15" s="1"/>
  <c r="X469" i="15"/>
  <c r="Y468" i="15" s="1"/>
  <c r="X470" i="15"/>
  <c r="Y469" i="15" s="1"/>
  <c r="X471" i="15"/>
  <c r="Y470" i="15" s="1"/>
  <c r="X472" i="15"/>
  <c r="Y471" i="15" s="1"/>
  <c r="X473" i="15"/>
  <c r="Y472" i="15" s="1"/>
  <c r="X474" i="15"/>
  <c r="Y473" i="15" s="1"/>
  <c r="X475" i="15"/>
  <c r="Y474" i="15" s="1"/>
  <c r="X476" i="15"/>
  <c r="Y475" i="15" s="1"/>
  <c r="X477" i="15"/>
  <c r="Y476" i="15" s="1"/>
  <c r="X478" i="15"/>
  <c r="Y477" i="15" s="1"/>
  <c r="X479" i="15"/>
  <c r="Y478" i="15" s="1"/>
  <c r="X480" i="15"/>
  <c r="Y479" i="15" s="1"/>
  <c r="X481" i="15"/>
  <c r="Y480" i="15" s="1"/>
  <c r="X482" i="15"/>
  <c r="Y481" i="15" s="1"/>
  <c r="X483" i="15"/>
  <c r="Y482" i="15" s="1"/>
  <c r="X484" i="15"/>
  <c r="Y483" i="15" s="1"/>
  <c r="X485" i="15"/>
  <c r="Y484" i="15" s="1"/>
  <c r="X486" i="15"/>
  <c r="Y485" i="15" s="1"/>
  <c r="X487" i="15"/>
  <c r="Y486" i="15" s="1"/>
  <c r="X488" i="15"/>
  <c r="Y487" i="15" s="1"/>
  <c r="X489" i="15"/>
  <c r="Y488" i="15" s="1"/>
  <c r="X490" i="15"/>
  <c r="Y489" i="15" s="1"/>
  <c r="X491" i="15"/>
  <c r="Y490" i="15" s="1"/>
  <c r="X492" i="15"/>
  <c r="Y491" i="15" s="1"/>
  <c r="X493" i="15"/>
  <c r="Y492" i="15" s="1"/>
  <c r="X494" i="15"/>
  <c r="Y493" i="15" s="1"/>
  <c r="X495" i="15"/>
  <c r="Y494" i="15" s="1"/>
  <c r="X496" i="15"/>
  <c r="Y495" i="15" s="1"/>
  <c r="X497" i="15"/>
  <c r="Y496" i="15" s="1"/>
  <c r="X498" i="15"/>
  <c r="Y497" i="15" s="1"/>
  <c r="X499" i="15"/>
  <c r="Y498" i="15" s="1"/>
  <c r="X500" i="15"/>
  <c r="Y499" i="15" s="1"/>
  <c r="X501" i="15"/>
  <c r="Y500" i="15" s="1"/>
  <c r="X502" i="15"/>
  <c r="Y501" i="15" s="1"/>
  <c r="X503" i="15"/>
  <c r="Y502" i="15" s="1"/>
  <c r="X504" i="15"/>
  <c r="Y503" i="15" s="1"/>
  <c r="X505" i="15"/>
  <c r="Y504" i="15" s="1"/>
  <c r="X506" i="15"/>
  <c r="Y505" i="15" s="1"/>
  <c r="X507" i="15"/>
  <c r="Y506" i="15" s="1"/>
  <c r="X508" i="15"/>
  <c r="Y507" i="15" s="1"/>
  <c r="X509" i="15"/>
  <c r="Y508" i="15" s="1"/>
  <c r="X510" i="15"/>
  <c r="Y509" i="15" s="1"/>
  <c r="X511" i="15"/>
  <c r="Y510" i="15" s="1"/>
  <c r="X512" i="15"/>
  <c r="Y511" i="15" s="1"/>
  <c r="X513" i="15"/>
  <c r="Y512" i="15" s="1"/>
  <c r="X514" i="15"/>
  <c r="Y513" i="15" s="1"/>
  <c r="X515" i="15"/>
  <c r="Y514" i="15" s="1"/>
  <c r="X516" i="15"/>
  <c r="Y515" i="15" s="1"/>
  <c r="X517" i="15"/>
  <c r="Y516" i="15" s="1"/>
  <c r="X518" i="15"/>
  <c r="Y517" i="15" s="1"/>
  <c r="X519" i="15"/>
  <c r="Y518" i="15" s="1"/>
  <c r="X520" i="15"/>
  <c r="Y519" i="15" s="1"/>
  <c r="X521" i="15"/>
  <c r="Y520" i="15" s="1"/>
  <c r="X522" i="15"/>
  <c r="Y521" i="15" s="1"/>
  <c r="X523" i="15"/>
  <c r="Y522" i="15" s="1"/>
  <c r="X524" i="15"/>
  <c r="Y523" i="15" s="1"/>
  <c r="X525" i="15"/>
  <c r="Y524" i="15" s="1"/>
  <c r="X526" i="15"/>
  <c r="Y525" i="15" s="1"/>
  <c r="X527" i="15"/>
  <c r="Y526" i="15" s="1"/>
  <c r="X528" i="15"/>
  <c r="Y527" i="15" s="1"/>
  <c r="X529" i="15"/>
  <c r="Y528" i="15" s="1"/>
  <c r="X530" i="15"/>
  <c r="Y529" i="15" s="1"/>
  <c r="X531" i="15"/>
  <c r="Y530" i="15" s="1"/>
  <c r="X532" i="15"/>
  <c r="Y531" i="15" s="1"/>
  <c r="X533" i="15"/>
  <c r="Y532" i="15" s="1"/>
  <c r="X534" i="15"/>
  <c r="Y533" i="15" s="1"/>
  <c r="X535" i="15"/>
  <c r="Y534" i="15" s="1"/>
  <c r="X536" i="15"/>
  <c r="Y535" i="15" s="1"/>
  <c r="X537" i="15"/>
  <c r="Y536" i="15" s="1"/>
  <c r="X538" i="15"/>
  <c r="Y537" i="15" s="1"/>
  <c r="X539" i="15"/>
  <c r="Y538" i="15" s="1"/>
  <c r="X540" i="15"/>
  <c r="Y539" i="15" s="1"/>
  <c r="X541" i="15"/>
  <c r="Y540" i="15" s="1"/>
  <c r="X542" i="15"/>
  <c r="Y541" i="15" s="1"/>
  <c r="X543" i="15"/>
  <c r="Y542" i="15" s="1"/>
  <c r="X544" i="15"/>
  <c r="Y543" i="15" s="1"/>
  <c r="X545" i="15"/>
  <c r="Y544" i="15" s="1"/>
  <c r="X546" i="15"/>
  <c r="Y545" i="15" s="1"/>
  <c r="X547" i="15"/>
  <c r="Y546" i="15" s="1"/>
  <c r="X548" i="15"/>
  <c r="Y547" i="15" s="1"/>
  <c r="X549" i="15"/>
  <c r="Y548" i="15" s="1"/>
  <c r="X550" i="15"/>
  <c r="Y549" i="15" s="1"/>
  <c r="X551" i="15"/>
  <c r="Y550" i="15" s="1"/>
  <c r="X552" i="15"/>
  <c r="Y551" i="15" s="1"/>
  <c r="X553" i="15"/>
  <c r="Y552" i="15" s="1"/>
  <c r="X554" i="15"/>
  <c r="Y553" i="15" s="1"/>
  <c r="X555" i="15"/>
  <c r="Y554" i="15" s="1"/>
  <c r="X556" i="15"/>
  <c r="Y555" i="15" s="1"/>
  <c r="X557" i="15"/>
  <c r="Y556" i="15" s="1"/>
  <c r="X558" i="15"/>
  <c r="Y557" i="15" s="1"/>
  <c r="X559" i="15"/>
  <c r="Y558" i="15" s="1"/>
  <c r="X560" i="15"/>
  <c r="Y559" i="15" s="1"/>
  <c r="X561" i="15"/>
  <c r="Y560" i="15" s="1"/>
  <c r="X562" i="15"/>
  <c r="Y561" i="15" s="1"/>
  <c r="X563" i="15"/>
  <c r="Y562" i="15" s="1"/>
  <c r="X564" i="15"/>
  <c r="Y563" i="15" s="1"/>
  <c r="X565" i="15"/>
  <c r="Y564" i="15" s="1"/>
  <c r="X566" i="15"/>
  <c r="Y565" i="15" s="1"/>
  <c r="X567" i="15"/>
  <c r="Y566" i="15" s="1"/>
  <c r="X568" i="15"/>
  <c r="Y567" i="15" s="1"/>
  <c r="X569" i="15"/>
  <c r="Y568" i="15" s="1"/>
  <c r="X570" i="15"/>
  <c r="Y569" i="15" s="1"/>
  <c r="X571" i="15"/>
  <c r="Y570" i="15" s="1"/>
  <c r="X572" i="15"/>
  <c r="Y571" i="15" s="1"/>
  <c r="X573" i="15"/>
  <c r="Y572" i="15" s="1"/>
  <c r="X574" i="15"/>
  <c r="Y573" i="15" s="1"/>
  <c r="X575" i="15"/>
  <c r="Y574" i="15" s="1"/>
  <c r="X576" i="15"/>
  <c r="Y575" i="15" s="1"/>
  <c r="X577" i="15"/>
  <c r="Y576" i="15" s="1"/>
  <c r="X578" i="15"/>
  <c r="Y577" i="15" s="1"/>
  <c r="X579" i="15"/>
  <c r="Y578" i="15" s="1"/>
  <c r="X580" i="15"/>
  <c r="Y579" i="15" s="1"/>
  <c r="X581" i="15"/>
  <c r="Y580" i="15" s="1"/>
  <c r="X582" i="15"/>
  <c r="Y581" i="15" s="1"/>
  <c r="X583" i="15"/>
  <c r="Y582" i="15" s="1"/>
  <c r="X584" i="15"/>
  <c r="Y583" i="15" s="1"/>
  <c r="X585" i="15"/>
  <c r="Y584" i="15" s="1"/>
  <c r="X586" i="15"/>
  <c r="Y585" i="15" s="1"/>
  <c r="X587" i="15"/>
  <c r="Y586" i="15" s="1"/>
  <c r="X588" i="15"/>
  <c r="Y587" i="15" s="1"/>
  <c r="X589" i="15"/>
  <c r="Y588" i="15" s="1"/>
  <c r="X590" i="15"/>
  <c r="Y589" i="15" s="1"/>
  <c r="X591" i="15"/>
  <c r="Y590" i="15" s="1"/>
  <c r="X592" i="15"/>
  <c r="Y591" i="15" s="1"/>
  <c r="X593" i="15"/>
  <c r="Y592" i="15" s="1"/>
  <c r="X594" i="15"/>
  <c r="Y593" i="15" s="1"/>
  <c r="X595" i="15"/>
  <c r="Y594" i="15" s="1"/>
  <c r="X596" i="15"/>
  <c r="Y595" i="15" s="1"/>
  <c r="X597" i="15"/>
  <c r="Y596" i="15" s="1"/>
  <c r="X598" i="15"/>
  <c r="Y597" i="15" s="1"/>
  <c r="X599" i="15"/>
  <c r="Y598" i="15" s="1"/>
  <c r="X600" i="15"/>
  <c r="Y599" i="15" s="1"/>
  <c r="X601" i="15"/>
  <c r="Y600" i="15" s="1"/>
  <c r="X602" i="15"/>
  <c r="Y601" i="15" s="1"/>
  <c r="X603" i="15"/>
  <c r="Y602" i="15" s="1"/>
  <c r="X604" i="15"/>
  <c r="Y603" i="15" s="1"/>
  <c r="X605" i="15"/>
  <c r="Y604" i="15" s="1"/>
  <c r="X606" i="15"/>
  <c r="Y605" i="15" s="1"/>
  <c r="X607" i="15"/>
  <c r="Y606" i="15" s="1"/>
  <c r="X608" i="15"/>
  <c r="Y607" i="15" s="1"/>
  <c r="X609" i="15"/>
  <c r="Y608" i="15" s="1"/>
  <c r="X610" i="15"/>
  <c r="Y609" i="15" s="1"/>
  <c r="X611" i="15"/>
  <c r="Y610" i="15" s="1"/>
  <c r="X612" i="15"/>
  <c r="Y611" i="15" s="1"/>
  <c r="X613" i="15"/>
  <c r="Y612" i="15" s="1"/>
  <c r="X614" i="15"/>
  <c r="Y613" i="15" s="1"/>
  <c r="X615" i="15"/>
  <c r="Y614" i="15" s="1"/>
  <c r="X616" i="15"/>
  <c r="Y615" i="15" s="1"/>
  <c r="X617" i="15"/>
  <c r="Y616" i="15" s="1"/>
  <c r="X618" i="15"/>
  <c r="Y617" i="15" s="1"/>
  <c r="X619" i="15"/>
  <c r="Y618" i="15" s="1"/>
  <c r="X620" i="15"/>
  <c r="Y619" i="15" s="1"/>
  <c r="X621" i="15"/>
  <c r="Y620" i="15" s="1"/>
  <c r="X622" i="15"/>
  <c r="Y621" i="15" s="1"/>
  <c r="X623" i="15"/>
  <c r="Y622" i="15" s="1"/>
  <c r="X624" i="15"/>
  <c r="Y623" i="15" s="1"/>
  <c r="X625" i="15"/>
  <c r="Y624" i="15" s="1"/>
  <c r="X626" i="15"/>
  <c r="Y625" i="15" s="1"/>
  <c r="X627" i="15"/>
  <c r="Y626" i="15" s="1"/>
  <c r="X628" i="15"/>
  <c r="Y627" i="15" s="1"/>
  <c r="X629" i="15"/>
  <c r="Y628" i="15" s="1"/>
  <c r="X630" i="15"/>
  <c r="Y629" i="15" s="1"/>
  <c r="X631" i="15"/>
  <c r="Y630" i="15" s="1"/>
  <c r="X632" i="15"/>
  <c r="Y631" i="15" s="1"/>
  <c r="X633" i="15"/>
  <c r="Y632" i="15" s="1"/>
  <c r="X634" i="15"/>
  <c r="Y633" i="15" s="1"/>
  <c r="X635" i="15"/>
  <c r="Y634" i="15" s="1"/>
  <c r="X636" i="15"/>
  <c r="Y635" i="15" s="1"/>
  <c r="X637" i="15"/>
  <c r="Y636" i="15" s="1"/>
  <c r="X638" i="15"/>
  <c r="Y637" i="15" s="1"/>
  <c r="X639" i="15"/>
  <c r="Y638" i="15" s="1"/>
  <c r="X640" i="15"/>
  <c r="Y639" i="15" s="1"/>
  <c r="X641" i="15"/>
  <c r="Y640" i="15" s="1"/>
  <c r="X642" i="15"/>
  <c r="Y641" i="15" s="1"/>
  <c r="X643" i="15"/>
  <c r="Y642" i="15" s="1"/>
  <c r="X644" i="15"/>
  <c r="Y643" i="15" s="1"/>
  <c r="X645" i="15"/>
  <c r="Y644" i="15" s="1"/>
  <c r="X646" i="15"/>
  <c r="Y645" i="15" s="1"/>
  <c r="X647" i="15"/>
  <c r="Y646" i="15" s="1"/>
  <c r="X648" i="15"/>
  <c r="Y647" i="15" s="1"/>
  <c r="X649" i="15"/>
  <c r="Y648" i="15" s="1"/>
  <c r="X650" i="15"/>
  <c r="Y649" i="15" s="1"/>
  <c r="X651" i="15"/>
  <c r="Y650" i="15" s="1"/>
  <c r="X652" i="15"/>
  <c r="Y651" i="15" s="1"/>
  <c r="X653" i="15"/>
  <c r="Y652" i="15" s="1"/>
  <c r="X654" i="15"/>
  <c r="Y653" i="15" s="1"/>
  <c r="X655" i="15"/>
  <c r="Y654" i="15" s="1"/>
  <c r="X656" i="15"/>
  <c r="Y655" i="15" s="1"/>
  <c r="X657" i="15"/>
  <c r="Y656" i="15" s="1"/>
  <c r="X658" i="15"/>
  <c r="Y657" i="15" s="1"/>
  <c r="X659" i="15"/>
  <c r="Y658" i="15" s="1"/>
  <c r="X660" i="15"/>
  <c r="Y659" i="15" s="1"/>
  <c r="X661" i="15"/>
  <c r="Y660" i="15" s="1"/>
  <c r="X662" i="15"/>
  <c r="Y661" i="15" s="1"/>
  <c r="X663" i="15"/>
  <c r="Y662" i="15" s="1"/>
  <c r="X664" i="15"/>
  <c r="Y663" i="15" s="1"/>
  <c r="X665" i="15"/>
  <c r="Y664" i="15" s="1"/>
  <c r="X666" i="15"/>
  <c r="Y665" i="15" s="1"/>
  <c r="X667" i="15"/>
  <c r="Y666" i="15" s="1"/>
  <c r="X668" i="15"/>
  <c r="Y667" i="15" s="1"/>
  <c r="X669" i="15"/>
  <c r="Y668" i="15" s="1"/>
  <c r="X670" i="15"/>
  <c r="Y669" i="15" s="1"/>
  <c r="X671" i="15"/>
  <c r="Y670" i="15" s="1"/>
  <c r="X672" i="15"/>
  <c r="Y671" i="15" s="1"/>
  <c r="X673" i="15"/>
  <c r="Y672" i="15" s="1"/>
  <c r="X674" i="15"/>
  <c r="Y673" i="15" s="1"/>
  <c r="X675" i="15"/>
  <c r="Y674" i="15" s="1"/>
  <c r="X676" i="15"/>
  <c r="Y675" i="15" s="1"/>
  <c r="X677" i="15"/>
  <c r="Y676" i="15" s="1"/>
  <c r="X678" i="15"/>
  <c r="Y677" i="15" s="1"/>
  <c r="X679" i="15"/>
  <c r="Y678" i="15" s="1"/>
  <c r="X680" i="15"/>
  <c r="Y679" i="15" s="1"/>
  <c r="X681" i="15"/>
  <c r="Y680" i="15" s="1"/>
  <c r="X682" i="15"/>
  <c r="Y681" i="15" s="1"/>
  <c r="X683" i="15"/>
  <c r="Y682" i="15" s="1"/>
  <c r="X684" i="15"/>
  <c r="Y683" i="15" s="1"/>
  <c r="X685" i="15"/>
  <c r="Y684" i="15" s="1"/>
  <c r="X686" i="15"/>
  <c r="Y685" i="15" s="1"/>
  <c r="X687" i="15"/>
  <c r="Y686" i="15" s="1"/>
  <c r="X688" i="15"/>
  <c r="Y687" i="15" s="1"/>
  <c r="X689" i="15"/>
  <c r="Y688" i="15" s="1"/>
  <c r="X690" i="15"/>
  <c r="Y689" i="15" s="1"/>
  <c r="X691" i="15"/>
  <c r="Y690" i="15" s="1"/>
  <c r="X692" i="15"/>
  <c r="Y691" i="15" s="1"/>
  <c r="X693" i="15"/>
  <c r="Y692" i="15" s="1"/>
  <c r="X694" i="15"/>
  <c r="Y693" i="15" s="1"/>
  <c r="X695" i="15"/>
  <c r="Y694" i="15" s="1"/>
  <c r="X696" i="15"/>
  <c r="Y695" i="15" s="1"/>
  <c r="X697" i="15"/>
  <c r="Y696" i="15" s="1"/>
  <c r="X698" i="15"/>
  <c r="Y697" i="15" s="1"/>
  <c r="X699" i="15"/>
  <c r="Y698" i="15" s="1"/>
  <c r="X700" i="15"/>
  <c r="Y699" i="15" s="1"/>
  <c r="X701" i="15"/>
  <c r="Y700" i="15" s="1"/>
  <c r="X702" i="15"/>
  <c r="Y701" i="15" s="1"/>
  <c r="X703" i="15"/>
  <c r="Y702" i="15" s="1"/>
  <c r="X704" i="15"/>
  <c r="Y703" i="15" s="1"/>
  <c r="X705" i="15"/>
  <c r="Y704" i="15" s="1"/>
  <c r="X706" i="15"/>
  <c r="Y705" i="15" s="1"/>
  <c r="X707" i="15"/>
  <c r="Y706" i="15" s="1"/>
  <c r="X708" i="15"/>
  <c r="Y707" i="15" s="1"/>
  <c r="X709" i="15"/>
  <c r="Y708" i="15" s="1"/>
  <c r="X710" i="15"/>
  <c r="Y709" i="15" s="1"/>
  <c r="X711" i="15"/>
  <c r="Y710" i="15" s="1"/>
  <c r="X712" i="15"/>
  <c r="Y711" i="15" s="1"/>
  <c r="X713" i="15"/>
  <c r="Y712" i="15" s="1"/>
  <c r="X714" i="15"/>
  <c r="Y713" i="15" s="1"/>
  <c r="X715" i="15"/>
  <c r="Y714" i="15" s="1"/>
  <c r="X716" i="15"/>
  <c r="Y715" i="15" s="1"/>
  <c r="X717" i="15"/>
  <c r="Y716" i="15" s="1"/>
  <c r="X718" i="15"/>
  <c r="Y717" i="15" s="1"/>
  <c r="X719" i="15"/>
  <c r="Y718" i="15" s="1"/>
  <c r="X720" i="15"/>
  <c r="Y719" i="15" s="1"/>
  <c r="X721" i="15"/>
  <c r="Y720" i="15" s="1"/>
  <c r="X722" i="15"/>
  <c r="Y721" i="15" s="1"/>
  <c r="X723" i="15"/>
  <c r="Y722" i="15" s="1"/>
  <c r="X724" i="15"/>
  <c r="Y723" i="15" s="1"/>
  <c r="X725" i="15"/>
  <c r="Y724" i="15" s="1"/>
  <c r="X726" i="15"/>
  <c r="Y725" i="15" s="1"/>
  <c r="X727" i="15"/>
  <c r="Y726" i="15" s="1"/>
  <c r="X728" i="15"/>
  <c r="Y727" i="15" s="1"/>
  <c r="X729" i="15"/>
  <c r="Y728" i="15" s="1"/>
  <c r="X730" i="15"/>
  <c r="Y729" i="15" s="1"/>
  <c r="X731" i="15"/>
  <c r="Y730" i="15" s="1"/>
  <c r="X732" i="15"/>
  <c r="Y731" i="15" s="1"/>
  <c r="X733" i="15"/>
  <c r="Y732" i="15" s="1"/>
  <c r="X734" i="15"/>
  <c r="Y733" i="15" s="1"/>
  <c r="X735" i="15"/>
  <c r="Y734" i="15" s="1"/>
  <c r="X736" i="15"/>
  <c r="Y735" i="15" s="1"/>
  <c r="X737" i="15"/>
  <c r="Y736" i="15" s="1"/>
  <c r="X738" i="15"/>
  <c r="Y737" i="15" s="1"/>
  <c r="X739" i="15"/>
  <c r="Y738" i="15" s="1"/>
  <c r="X740" i="15"/>
  <c r="Y739" i="15" s="1"/>
  <c r="X741" i="15"/>
  <c r="Y740" i="15" s="1"/>
  <c r="X742" i="15"/>
  <c r="Y741" i="15" s="1"/>
  <c r="X743" i="15"/>
  <c r="Y742" i="15" s="1"/>
  <c r="X744" i="15"/>
  <c r="Y743" i="15" s="1"/>
  <c r="X745" i="15"/>
  <c r="Y744" i="15" s="1"/>
  <c r="X746" i="15"/>
  <c r="Y745" i="15" s="1"/>
  <c r="X747" i="15"/>
  <c r="Y746" i="15" s="1"/>
  <c r="X748" i="15"/>
  <c r="Y747" i="15" s="1"/>
  <c r="X749" i="15"/>
  <c r="Y748" i="15" s="1"/>
  <c r="X750" i="15"/>
  <c r="Y749" i="15" s="1"/>
  <c r="X751" i="15"/>
  <c r="Y750" i="15" s="1"/>
  <c r="X752" i="15"/>
  <c r="Y751" i="15" s="1"/>
  <c r="X753" i="15"/>
  <c r="Y752" i="15" s="1"/>
  <c r="X754" i="15"/>
  <c r="Y753" i="15" s="1"/>
  <c r="X755" i="15"/>
  <c r="Y754" i="15" s="1"/>
  <c r="X756" i="15"/>
  <c r="Y755" i="15" s="1"/>
  <c r="X757" i="15"/>
  <c r="Y756" i="15" s="1"/>
  <c r="X758" i="15"/>
  <c r="Y757" i="15" s="1"/>
  <c r="X759" i="15"/>
  <c r="Y758" i="15" s="1"/>
  <c r="X760" i="15"/>
  <c r="Y759" i="15" s="1"/>
  <c r="X761" i="15"/>
  <c r="Y760" i="15" s="1"/>
  <c r="X762" i="15"/>
  <c r="Y761" i="15" s="1"/>
  <c r="X763" i="15"/>
  <c r="Y762" i="15" s="1"/>
  <c r="X764" i="15"/>
  <c r="Y763" i="15" s="1"/>
  <c r="X765" i="15"/>
  <c r="Y764" i="15" s="1"/>
  <c r="X766" i="15"/>
  <c r="Y765" i="15" s="1"/>
  <c r="X767" i="15"/>
  <c r="Y766" i="15" s="1"/>
  <c r="X768" i="15"/>
  <c r="Y767" i="15" s="1"/>
  <c r="X769" i="15"/>
  <c r="Y768" i="15" s="1"/>
  <c r="X770" i="15"/>
  <c r="Y769" i="15" s="1"/>
  <c r="X771" i="15"/>
  <c r="Y770" i="15" s="1"/>
  <c r="X772" i="15"/>
  <c r="Y771" i="15" s="1"/>
  <c r="X773" i="15"/>
  <c r="Y772" i="15" s="1"/>
  <c r="X774" i="15"/>
  <c r="Y773" i="15" s="1"/>
  <c r="X775" i="15"/>
  <c r="Y774" i="15" s="1"/>
  <c r="X776" i="15"/>
  <c r="Y775" i="15" s="1"/>
  <c r="X777" i="15"/>
  <c r="Y776" i="15" s="1"/>
  <c r="X778" i="15"/>
  <c r="Y777" i="15" s="1"/>
  <c r="X779" i="15"/>
  <c r="Y778" i="15" s="1"/>
  <c r="X780" i="15"/>
  <c r="Y779" i="15" s="1"/>
  <c r="X781" i="15"/>
  <c r="Y780" i="15" s="1"/>
  <c r="X782" i="15"/>
  <c r="Y781" i="15" s="1"/>
  <c r="X783" i="15"/>
  <c r="Y782" i="15" s="1"/>
  <c r="X784" i="15"/>
  <c r="Y783" i="15" s="1"/>
  <c r="X785" i="15"/>
  <c r="Y784" i="15" s="1"/>
  <c r="X786" i="15"/>
  <c r="Y785" i="15" s="1"/>
  <c r="X787" i="15"/>
  <c r="Y786" i="15" s="1"/>
  <c r="X788" i="15"/>
  <c r="Y787" i="15" s="1"/>
  <c r="X789" i="15"/>
  <c r="Y788" i="15" s="1"/>
  <c r="X790" i="15"/>
  <c r="Y789" i="15" s="1"/>
  <c r="X791" i="15"/>
  <c r="Y790" i="15" s="1"/>
  <c r="X792" i="15"/>
  <c r="Y791" i="15" s="1"/>
  <c r="X793" i="15"/>
  <c r="Y792" i="15" s="1"/>
  <c r="X794" i="15"/>
  <c r="Y793" i="15" s="1"/>
  <c r="X795" i="15"/>
  <c r="Y794" i="15" s="1"/>
  <c r="X796" i="15"/>
  <c r="Y795" i="15" s="1"/>
  <c r="X797" i="15"/>
  <c r="Y796" i="15" s="1"/>
  <c r="X798" i="15"/>
  <c r="Y797" i="15" s="1"/>
  <c r="X799" i="15"/>
  <c r="Y798" i="15" s="1"/>
  <c r="X800" i="15"/>
  <c r="Y799" i="15" s="1"/>
  <c r="X801" i="15"/>
  <c r="Y800" i="15" s="1"/>
  <c r="X802" i="15"/>
  <c r="Y801" i="15" s="1"/>
  <c r="X803" i="15"/>
  <c r="Y802" i="15" s="1"/>
  <c r="X804" i="15"/>
  <c r="Y803" i="15" s="1"/>
  <c r="X805" i="15"/>
  <c r="Y804" i="15" s="1"/>
  <c r="X806" i="15"/>
  <c r="Y805" i="15" s="1"/>
  <c r="X807" i="15"/>
  <c r="Y806" i="15" s="1"/>
  <c r="X808" i="15"/>
  <c r="Y807" i="15" s="1"/>
  <c r="X809" i="15"/>
  <c r="Y808" i="15" s="1"/>
  <c r="X810" i="15"/>
  <c r="Y809" i="15" s="1"/>
  <c r="X811" i="15"/>
  <c r="Y810" i="15" s="1"/>
  <c r="X812" i="15"/>
  <c r="Y811" i="15" s="1"/>
  <c r="X813" i="15"/>
  <c r="Y812" i="15" s="1"/>
  <c r="X814" i="15"/>
  <c r="Y813" i="15" s="1"/>
  <c r="X815" i="15"/>
  <c r="Y814" i="15" s="1"/>
  <c r="X816" i="15"/>
  <c r="Y815" i="15" s="1"/>
  <c r="X817" i="15"/>
  <c r="Y816" i="15" s="1"/>
  <c r="X818" i="15"/>
  <c r="Y817" i="15" s="1"/>
  <c r="X819" i="15"/>
  <c r="Y818" i="15" s="1"/>
  <c r="X820" i="15"/>
  <c r="Y819" i="15" s="1"/>
  <c r="X821" i="15"/>
  <c r="Y820" i="15" s="1"/>
  <c r="X822" i="15"/>
  <c r="Y821" i="15" s="1"/>
  <c r="X823" i="15"/>
  <c r="Y822" i="15" s="1"/>
  <c r="X824" i="15"/>
  <c r="Y823" i="15" s="1"/>
  <c r="X825" i="15"/>
  <c r="Y824" i="15" s="1"/>
  <c r="X826" i="15"/>
  <c r="Y825" i="15" s="1"/>
  <c r="X827" i="15"/>
  <c r="Y826" i="15" s="1"/>
  <c r="X828" i="15"/>
  <c r="Y827" i="15" s="1"/>
  <c r="X829" i="15"/>
  <c r="Y828" i="15" s="1"/>
  <c r="X830" i="15"/>
  <c r="Y829" i="15" s="1"/>
  <c r="X831" i="15"/>
  <c r="Y830" i="15" s="1"/>
  <c r="X832" i="15"/>
  <c r="Y831" i="15" s="1"/>
  <c r="X833" i="15"/>
  <c r="Y832" i="15" s="1"/>
  <c r="X834" i="15"/>
  <c r="Y833" i="15" s="1"/>
  <c r="X835" i="15"/>
  <c r="Y834" i="15" s="1"/>
  <c r="X836" i="15"/>
  <c r="Y835" i="15" s="1"/>
  <c r="X837" i="15"/>
  <c r="Y836" i="15" s="1"/>
  <c r="X838" i="15"/>
  <c r="Y837" i="15" s="1"/>
  <c r="X839" i="15"/>
  <c r="Y838" i="15" s="1"/>
  <c r="X840" i="15"/>
  <c r="Y839" i="15" s="1"/>
  <c r="X841" i="15"/>
  <c r="Y840" i="15" s="1"/>
  <c r="X842" i="15"/>
  <c r="Y841" i="15" s="1"/>
  <c r="X843" i="15"/>
  <c r="Y842" i="15" s="1"/>
  <c r="X844" i="15"/>
  <c r="Y843" i="15" s="1"/>
  <c r="X845" i="15"/>
  <c r="Y844" i="15" s="1"/>
  <c r="X846" i="15"/>
  <c r="Y845" i="15" s="1"/>
  <c r="X847" i="15"/>
  <c r="Y846" i="15" s="1"/>
  <c r="X848" i="15"/>
  <c r="Y847" i="15" s="1"/>
  <c r="X849" i="15"/>
  <c r="Y848" i="15" s="1"/>
  <c r="X850" i="15"/>
  <c r="Y849" i="15" s="1"/>
  <c r="X851" i="15"/>
  <c r="Y850" i="15" s="1"/>
  <c r="X852" i="15"/>
  <c r="Y851" i="15" s="1"/>
  <c r="X853" i="15"/>
  <c r="Y852" i="15" s="1"/>
  <c r="X854" i="15"/>
  <c r="Y853" i="15" s="1"/>
  <c r="X855" i="15"/>
  <c r="Y854" i="15" s="1"/>
  <c r="X856" i="15"/>
  <c r="Y855" i="15" s="1"/>
  <c r="X857" i="15"/>
  <c r="Y856" i="15" s="1"/>
  <c r="X858" i="15"/>
  <c r="Y857" i="15" s="1"/>
  <c r="X859" i="15"/>
  <c r="Y858" i="15" s="1"/>
  <c r="X860" i="15"/>
  <c r="Y859" i="15" s="1"/>
  <c r="X861" i="15"/>
  <c r="Y860" i="15" s="1"/>
  <c r="X862" i="15"/>
  <c r="Y861" i="15" s="1"/>
  <c r="X863" i="15"/>
  <c r="Y862" i="15" s="1"/>
  <c r="X864" i="15"/>
  <c r="Y863" i="15" s="1"/>
  <c r="X865" i="15"/>
  <c r="Y864" i="15" s="1"/>
  <c r="X866" i="15"/>
  <c r="Y865" i="15" s="1"/>
  <c r="X867" i="15"/>
  <c r="Y866" i="15" s="1"/>
  <c r="X868" i="15"/>
  <c r="Y867" i="15" s="1"/>
  <c r="X869" i="15"/>
  <c r="Y868" i="15" s="1"/>
  <c r="X870" i="15"/>
  <c r="Y869" i="15" s="1"/>
  <c r="X871" i="15"/>
  <c r="Y870" i="15" s="1"/>
  <c r="X872" i="15"/>
  <c r="Y871" i="15" s="1"/>
  <c r="X873" i="15"/>
  <c r="Y872" i="15" s="1"/>
  <c r="X874" i="15"/>
  <c r="Y873" i="15" s="1"/>
  <c r="X875" i="15"/>
  <c r="Y874" i="15" s="1"/>
  <c r="X876" i="15"/>
  <c r="Y875" i="15" s="1"/>
  <c r="X877" i="15"/>
  <c r="Y876" i="15" s="1"/>
  <c r="X878" i="15"/>
  <c r="Y877" i="15" s="1"/>
  <c r="X879" i="15"/>
  <c r="Y878" i="15" s="1"/>
  <c r="X880" i="15"/>
  <c r="Y879" i="15" s="1"/>
  <c r="X881" i="15"/>
  <c r="Y880" i="15" s="1"/>
  <c r="X882" i="15"/>
  <c r="Y881" i="15" s="1"/>
  <c r="X883" i="15"/>
  <c r="Y882" i="15" s="1"/>
  <c r="X884" i="15"/>
  <c r="Y883" i="15" s="1"/>
  <c r="X885" i="15"/>
  <c r="Y884" i="15" s="1"/>
  <c r="X886" i="15"/>
  <c r="Y885" i="15" s="1"/>
  <c r="X887" i="15"/>
  <c r="Y886" i="15" s="1"/>
  <c r="X888" i="15"/>
  <c r="Y887" i="15" s="1"/>
  <c r="X889" i="15"/>
  <c r="Y888" i="15" s="1"/>
  <c r="X890" i="15"/>
  <c r="Y889" i="15" s="1"/>
  <c r="X891" i="15"/>
  <c r="Y890" i="15" s="1"/>
  <c r="X892" i="15"/>
  <c r="Y891" i="15" s="1"/>
  <c r="X893" i="15"/>
  <c r="Y892" i="15" s="1"/>
  <c r="X894" i="15"/>
  <c r="Y893" i="15" s="1"/>
  <c r="X895" i="15"/>
  <c r="Y894" i="15" s="1"/>
  <c r="X896" i="15"/>
  <c r="Y895" i="15" s="1"/>
  <c r="X897" i="15"/>
  <c r="Y896" i="15" s="1"/>
  <c r="X898" i="15"/>
  <c r="Y897" i="15" s="1"/>
  <c r="X899" i="15"/>
  <c r="Y898" i="15" s="1"/>
  <c r="X900" i="15"/>
  <c r="Y899" i="15" s="1"/>
  <c r="X901" i="15"/>
  <c r="Y900" i="15" s="1"/>
  <c r="X902" i="15"/>
  <c r="Y901" i="15" s="1"/>
  <c r="X903" i="15"/>
  <c r="Y902" i="15" s="1"/>
  <c r="X904" i="15"/>
  <c r="Y903" i="15" s="1"/>
  <c r="X905" i="15"/>
  <c r="Y904" i="15" s="1"/>
  <c r="X906" i="15"/>
  <c r="Y905" i="15" s="1"/>
  <c r="X907" i="15"/>
  <c r="Y906" i="15" s="1"/>
  <c r="X908" i="15"/>
  <c r="Y907" i="15" s="1"/>
  <c r="X909" i="15"/>
  <c r="Y908" i="15" s="1"/>
  <c r="X910" i="15"/>
  <c r="Y909" i="15" s="1"/>
  <c r="X911" i="15"/>
  <c r="Y910" i="15" s="1"/>
  <c r="X912" i="15"/>
  <c r="Y911" i="15" s="1"/>
  <c r="X913" i="15"/>
  <c r="Y912" i="15" s="1"/>
  <c r="X914" i="15"/>
  <c r="Y913" i="15" s="1"/>
  <c r="X915" i="15"/>
  <c r="Y914" i="15" s="1"/>
  <c r="X916" i="15"/>
  <c r="Y915" i="15" s="1"/>
  <c r="X917" i="15"/>
  <c r="Y916" i="15" s="1"/>
  <c r="X918" i="15"/>
  <c r="Y917" i="15" s="1"/>
  <c r="X919" i="15"/>
  <c r="Y918" i="15" s="1"/>
  <c r="X920" i="15"/>
  <c r="Y919" i="15" s="1"/>
  <c r="X921" i="15"/>
  <c r="Y920" i="15" s="1"/>
  <c r="X922" i="15"/>
  <c r="Y921" i="15" s="1"/>
  <c r="X923" i="15"/>
  <c r="Y922" i="15" s="1"/>
  <c r="X924" i="15"/>
  <c r="Y923" i="15" s="1"/>
  <c r="X925" i="15"/>
  <c r="Y924" i="15" s="1"/>
  <c r="X926" i="15"/>
  <c r="Y925" i="15" s="1"/>
  <c r="X927" i="15"/>
  <c r="Y926" i="15" s="1"/>
  <c r="X928" i="15"/>
  <c r="Y927" i="15" s="1"/>
  <c r="X929" i="15"/>
  <c r="Y928" i="15" s="1"/>
  <c r="X930" i="15"/>
  <c r="Y929" i="15" s="1"/>
  <c r="X931" i="15"/>
  <c r="Y930" i="15" s="1"/>
  <c r="X932" i="15"/>
  <c r="Y931" i="15" s="1"/>
  <c r="X933" i="15"/>
  <c r="Y932" i="15" s="1"/>
  <c r="X934" i="15"/>
  <c r="Y933" i="15" s="1"/>
  <c r="X935" i="15"/>
  <c r="Y934" i="15" s="1"/>
  <c r="X936" i="15"/>
  <c r="Y935" i="15" s="1"/>
  <c r="X937" i="15"/>
  <c r="Y936" i="15" s="1"/>
  <c r="X938" i="15"/>
  <c r="Y937" i="15" s="1"/>
  <c r="X939" i="15"/>
  <c r="Y938" i="15" s="1"/>
  <c r="X940" i="15"/>
  <c r="Y939" i="15" s="1"/>
  <c r="X941" i="15"/>
  <c r="Y940" i="15" s="1"/>
  <c r="X942" i="15"/>
  <c r="Y941" i="15" s="1"/>
  <c r="X943" i="15"/>
  <c r="Y942" i="15" s="1"/>
  <c r="X944" i="15"/>
  <c r="Y943" i="15" s="1"/>
  <c r="X945" i="15"/>
  <c r="Y944" i="15" s="1"/>
  <c r="X946" i="15"/>
  <c r="Y945" i="15" s="1"/>
  <c r="X947" i="15"/>
  <c r="Y946" i="15" s="1"/>
  <c r="X948" i="15"/>
  <c r="Y947" i="15" s="1"/>
  <c r="X949" i="15"/>
  <c r="Y948" i="15" s="1"/>
  <c r="X950" i="15"/>
  <c r="Y949" i="15" s="1"/>
  <c r="X951" i="15"/>
  <c r="Y950" i="15" s="1"/>
  <c r="X952" i="15"/>
  <c r="Y951" i="15" s="1"/>
  <c r="X953" i="15"/>
  <c r="Y952" i="15" s="1"/>
  <c r="X954" i="15"/>
  <c r="Y953" i="15" s="1"/>
  <c r="X955" i="15"/>
  <c r="Y954" i="15" s="1"/>
  <c r="X956" i="15"/>
  <c r="Y955" i="15" s="1"/>
  <c r="X957" i="15"/>
  <c r="Y956" i="15" s="1"/>
  <c r="X958" i="15"/>
  <c r="Y957" i="15" s="1"/>
  <c r="X959" i="15"/>
  <c r="Y958" i="15" s="1"/>
  <c r="X960" i="15"/>
  <c r="Y959" i="15" s="1"/>
  <c r="X961" i="15"/>
  <c r="Y960" i="15" s="1"/>
  <c r="X962" i="15"/>
  <c r="Y961" i="15" s="1"/>
  <c r="X963" i="15"/>
  <c r="Y962" i="15" s="1"/>
  <c r="X964" i="15"/>
  <c r="Y963" i="15" s="1"/>
  <c r="X965" i="15"/>
  <c r="Y964" i="15" s="1"/>
  <c r="X966" i="15"/>
  <c r="Y965" i="15" s="1"/>
  <c r="X967" i="15"/>
  <c r="Y966" i="15" s="1"/>
  <c r="X968" i="15"/>
  <c r="Y967" i="15" s="1"/>
  <c r="X969" i="15"/>
  <c r="Y968" i="15" s="1"/>
  <c r="X970" i="15"/>
  <c r="Y969" i="15" s="1"/>
  <c r="X971" i="15"/>
  <c r="Y970" i="15" s="1"/>
  <c r="X972" i="15"/>
  <c r="Y971" i="15" s="1"/>
  <c r="X973" i="15"/>
  <c r="Y972" i="15" s="1"/>
  <c r="X974" i="15"/>
  <c r="Y973" i="15" s="1"/>
  <c r="X975" i="15"/>
  <c r="Y974" i="15" s="1"/>
  <c r="X976" i="15"/>
  <c r="Y975" i="15" s="1"/>
  <c r="X977" i="15"/>
  <c r="Y976" i="15" s="1"/>
  <c r="X978" i="15"/>
  <c r="Y977" i="15" s="1"/>
  <c r="X979" i="15"/>
  <c r="Y978" i="15" s="1"/>
  <c r="X980" i="15"/>
  <c r="Y979" i="15" s="1"/>
  <c r="X981" i="15"/>
  <c r="Y980" i="15" s="1"/>
  <c r="X982" i="15"/>
  <c r="Y981" i="15" s="1"/>
  <c r="X983" i="15"/>
  <c r="Y982" i="15" s="1"/>
  <c r="X984" i="15"/>
  <c r="Y983" i="15" s="1"/>
  <c r="X985" i="15"/>
  <c r="Y984" i="15" s="1"/>
  <c r="X986" i="15"/>
  <c r="Y985" i="15" s="1"/>
  <c r="X987" i="15"/>
  <c r="Y986" i="15" s="1"/>
  <c r="X988" i="15"/>
  <c r="Y987" i="15" s="1"/>
  <c r="X989" i="15"/>
  <c r="Y988" i="15" s="1"/>
  <c r="X990" i="15"/>
  <c r="Y989" i="15" s="1"/>
  <c r="X991" i="15"/>
  <c r="Y990" i="15" s="1"/>
  <c r="X992" i="15"/>
  <c r="Y991" i="15" s="1"/>
  <c r="X993" i="15"/>
  <c r="Y992" i="15" s="1"/>
  <c r="X994" i="15"/>
  <c r="Y993" i="15" s="1"/>
  <c r="X995" i="15"/>
  <c r="Y994" i="15" s="1"/>
  <c r="X996" i="15"/>
  <c r="Y995" i="15" s="1"/>
  <c r="X997" i="15"/>
  <c r="Y996" i="15" s="1"/>
  <c r="X998" i="15"/>
  <c r="Y997" i="15" s="1"/>
  <c r="X999" i="15"/>
  <c r="Y998" i="15" s="1"/>
  <c r="X1000" i="15"/>
  <c r="Y999" i="15" s="1"/>
  <c r="X1001" i="15"/>
  <c r="Y1000" i="15" s="1"/>
  <c r="X1002" i="15"/>
  <c r="Y1001" i="15" s="1"/>
  <c r="X1003" i="15"/>
  <c r="Y1002" i="15" s="1"/>
  <c r="X1004" i="15"/>
  <c r="Y1003" i="15" s="1"/>
  <c r="X1005" i="15"/>
  <c r="Y1004" i="15" s="1"/>
  <c r="X1006" i="15"/>
  <c r="Y1005" i="15" s="1"/>
  <c r="X1007" i="15"/>
  <c r="Y1006" i="15" s="1"/>
  <c r="X1008" i="15"/>
  <c r="Y1007" i="15" s="1"/>
  <c r="X1009" i="15"/>
  <c r="Y1008" i="15" s="1"/>
  <c r="X1010" i="15"/>
  <c r="Y1009" i="15" s="1"/>
  <c r="X1011" i="15"/>
  <c r="Y1010" i="15" s="1"/>
  <c r="X1012" i="15"/>
  <c r="Y1011" i="15" s="1"/>
  <c r="X1013" i="15"/>
  <c r="Y1012" i="15" s="1"/>
  <c r="X1014" i="15"/>
  <c r="Y1013" i="15" s="1"/>
  <c r="X1015" i="15"/>
  <c r="Y1014" i="15" s="1"/>
  <c r="X1016" i="15"/>
  <c r="Y1015" i="15" s="1"/>
  <c r="X1017" i="15"/>
  <c r="Y1016" i="15" s="1"/>
  <c r="X1018" i="15"/>
  <c r="Y1017" i="15" s="1"/>
  <c r="X1019" i="15"/>
  <c r="Y1018" i="15" s="1"/>
  <c r="X1020" i="15"/>
  <c r="Y1019" i="15" s="1"/>
  <c r="X1021" i="15"/>
  <c r="Y1020" i="15" s="1"/>
  <c r="X1022" i="15"/>
  <c r="Y1021" i="15" s="1"/>
  <c r="X1023" i="15"/>
  <c r="Y1022" i="15" s="1"/>
  <c r="X1024" i="15"/>
  <c r="Y1023" i="15" s="1"/>
  <c r="X1025" i="15"/>
  <c r="Y1024" i="15" s="1"/>
  <c r="X1026" i="15"/>
  <c r="Y1025" i="15" s="1"/>
  <c r="X1027" i="15"/>
  <c r="Y1026" i="15" s="1"/>
  <c r="X1028" i="15"/>
  <c r="Y1027" i="15" s="1"/>
  <c r="X1029" i="15"/>
  <c r="Y1028" i="15" s="1"/>
  <c r="X1030" i="15"/>
  <c r="Y1029" i="15" s="1"/>
  <c r="X1031" i="15"/>
  <c r="Y1030" i="15" s="1"/>
  <c r="X1032" i="15"/>
  <c r="Y1031" i="15" s="1"/>
  <c r="X1033" i="15"/>
  <c r="Y1032" i="15" s="1"/>
  <c r="X1034" i="15"/>
  <c r="Y1033" i="15" s="1"/>
  <c r="X1035" i="15"/>
  <c r="Y1034" i="15" s="1"/>
  <c r="X1036" i="15"/>
  <c r="Y1035" i="15" s="1"/>
  <c r="X1037" i="15"/>
  <c r="Y1036" i="15" s="1"/>
  <c r="X1038" i="15"/>
  <c r="Y1037" i="15" s="1"/>
  <c r="X1039" i="15"/>
  <c r="Y1038" i="15" s="1"/>
  <c r="X1040" i="15"/>
  <c r="Y1039" i="15" s="1"/>
  <c r="X1041" i="15"/>
  <c r="Y1040" i="15" s="1"/>
  <c r="X1042" i="15"/>
  <c r="Y1041" i="15" s="1"/>
  <c r="X1043" i="15"/>
  <c r="Y1042" i="15" s="1"/>
  <c r="X1044" i="15"/>
  <c r="Y1043" i="15" s="1"/>
  <c r="X1045" i="15"/>
  <c r="Y1044" i="15" s="1"/>
  <c r="X1046" i="15"/>
  <c r="Y1045" i="15" s="1"/>
  <c r="X1047" i="15"/>
  <c r="Y1046" i="15" s="1"/>
  <c r="X1048" i="15"/>
  <c r="Y1047" i="15" s="1"/>
  <c r="X1049" i="15"/>
  <c r="Y1048" i="15" s="1"/>
  <c r="X1050" i="15"/>
  <c r="Y1049" i="15" s="1"/>
  <c r="X1051" i="15"/>
  <c r="Y1050" i="15" s="1"/>
  <c r="X1052" i="15"/>
  <c r="Y1051" i="15" s="1"/>
  <c r="X1053" i="15"/>
  <c r="Y1052" i="15" s="1"/>
  <c r="X1054" i="15"/>
  <c r="Y1053" i="15" s="1"/>
  <c r="X1055" i="15"/>
  <c r="Y1054" i="15" s="1"/>
  <c r="X1056" i="15"/>
  <c r="Y1055" i="15" s="1"/>
  <c r="X1057" i="15"/>
  <c r="Y1056" i="15" s="1"/>
  <c r="X1058" i="15"/>
  <c r="Y1057" i="15" s="1"/>
  <c r="X1059" i="15"/>
  <c r="Y1058" i="15" s="1"/>
  <c r="X1060" i="15"/>
  <c r="Y1059" i="15" s="1"/>
  <c r="X1061" i="15"/>
  <c r="Y1060" i="15" s="1"/>
  <c r="X1062" i="15"/>
  <c r="Y1061" i="15" s="1"/>
  <c r="X1063" i="15"/>
  <c r="Y1062" i="15" s="1"/>
  <c r="X1064" i="15"/>
  <c r="Y1063" i="15" s="1"/>
  <c r="X1065" i="15"/>
  <c r="Y1064" i="15" s="1"/>
  <c r="X1066" i="15"/>
  <c r="Y1065" i="15" s="1"/>
  <c r="X1067" i="15"/>
  <c r="Y1066" i="15" s="1"/>
  <c r="X1068" i="15"/>
  <c r="Y1067" i="15" s="1"/>
  <c r="X1069" i="15"/>
  <c r="Y1068" i="15" s="1"/>
  <c r="X1070" i="15"/>
  <c r="Y1069" i="15" s="1"/>
  <c r="X1071" i="15"/>
  <c r="Y1070" i="15" s="1"/>
  <c r="X1072" i="15"/>
  <c r="Y1071" i="15" s="1"/>
  <c r="X1073" i="15"/>
  <c r="Y1072" i="15" s="1"/>
  <c r="X1074" i="15"/>
  <c r="Y1073" i="15" s="1"/>
  <c r="X1075" i="15"/>
  <c r="Y1074" i="15" s="1"/>
  <c r="X1076" i="15"/>
  <c r="Y1075" i="15" s="1"/>
  <c r="X1077" i="15"/>
  <c r="Y1076" i="15" s="1"/>
  <c r="X1078" i="15"/>
  <c r="Y1077" i="15" s="1"/>
  <c r="X1079" i="15"/>
  <c r="Y1078" i="15" s="1"/>
  <c r="X1080" i="15"/>
  <c r="Y1079" i="15" s="1"/>
  <c r="X1081" i="15"/>
  <c r="Y1080" i="15" s="1"/>
  <c r="X1082" i="15"/>
  <c r="Y1081" i="15" s="1"/>
  <c r="X1083" i="15"/>
  <c r="Y1082" i="15" s="1"/>
  <c r="X1084" i="15"/>
  <c r="Y1083" i="15" s="1"/>
  <c r="X1085" i="15"/>
  <c r="Y1084" i="15" s="1"/>
  <c r="X1086" i="15"/>
  <c r="Y1085" i="15" s="1"/>
  <c r="X1087" i="15"/>
  <c r="Y1086" i="15" s="1"/>
  <c r="X1088" i="15"/>
  <c r="Y1087" i="15" s="1"/>
  <c r="X1089" i="15"/>
  <c r="Y1088" i="15" s="1"/>
  <c r="X1090" i="15"/>
  <c r="Y1089" i="15" s="1"/>
  <c r="X1091" i="15"/>
  <c r="Y1090" i="15" s="1"/>
  <c r="X1092" i="15"/>
  <c r="Y1091" i="15" s="1"/>
  <c r="X1093" i="15"/>
  <c r="Y1092" i="15" s="1"/>
  <c r="X1094" i="15"/>
  <c r="Y1093" i="15" s="1"/>
  <c r="X1095" i="15"/>
  <c r="Y1094" i="15" s="1"/>
  <c r="X1096" i="15"/>
  <c r="Y1095" i="15" s="1"/>
  <c r="X1097" i="15"/>
  <c r="Y1096" i="15" s="1"/>
  <c r="X1098" i="15"/>
  <c r="Y1097" i="15" s="1"/>
  <c r="X1099" i="15"/>
  <c r="Y1098" i="15" s="1"/>
  <c r="X1100" i="15"/>
  <c r="Y1099" i="15" s="1"/>
  <c r="X1101" i="15"/>
  <c r="Y1100" i="15" s="1"/>
  <c r="X1102" i="15"/>
  <c r="Y1101" i="15" s="1"/>
  <c r="X1103" i="15"/>
  <c r="Y1102" i="15" s="1"/>
  <c r="X1104" i="15"/>
  <c r="Y1103" i="15" s="1"/>
  <c r="X1105" i="15"/>
  <c r="Y1104" i="15" s="1"/>
  <c r="X1106" i="15"/>
  <c r="Y1105" i="15" s="1"/>
  <c r="X1107" i="15"/>
  <c r="Y1106" i="15" s="1"/>
  <c r="X1108" i="15"/>
  <c r="Y1107" i="15" s="1"/>
  <c r="X1109" i="15"/>
  <c r="Y1108" i="15" s="1"/>
  <c r="X1110" i="15"/>
  <c r="Y1109" i="15" s="1"/>
  <c r="X1111" i="15"/>
  <c r="Y1110" i="15" s="1"/>
  <c r="X1112" i="15"/>
  <c r="Y1111" i="15" s="1"/>
  <c r="X1113" i="15"/>
  <c r="Y1112" i="15" s="1"/>
  <c r="X1114" i="15"/>
  <c r="Y1113" i="15" s="1"/>
  <c r="X1115" i="15"/>
  <c r="Y1114" i="15" s="1"/>
  <c r="X1116" i="15"/>
  <c r="Y1115" i="15" s="1"/>
  <c r="X1117" i="15"/>
  <c r="Y1116" i="15" s="1"/>
  <c r="X1118" i="15"/>
  <c r="Y1117" i="15" s="1"/>
  <c r="X1119" i="15"/>
  <c r="Y1118" i="15" s="1"/>
  <c r="X1120" i="15"/>
  <c r="Y1119" i="15" s="1"/>
  <c r="X1121" i="15"/>
  <c r="Y1120" i="15" s="1"/>
  <c r="X1122" i="15"/>
  <c r="Y1121" i="15" s="1"/>
  <c r="X1123" i="15"/>
  <c r="Y1122" i="15" s="1"/>
  <c r="X1124" i="15"/>
  <c r="Y1123" i="15" s="1"/>
  <c r="X1125" i="15"/>
  <c r="Y1124" i="15" s="1"/>
  <c r="X1126" i="15"/>
  <c r="Y1125" i="15" s="1"/>
  <c r="X1127" i="15"/>
  <c r="Y1126" i="15" s="1"/>
  <c r="X1128" i="15"/>
  <c r="Y1127" i="15" s="1"/>
  <c r="X1129" i="15"/>
  <c r="Y1128" i="15" s="1"/>
  <c r="X1130" i="15"/>
  <c r="Y1129" i="15" s="1"/>
  <c r="X1131" i="15"/>
  <c r="Y1130" i="15" s="1"/>
  <c r="X1132" i="15"/>
  <c r="Y1131" i="15" s="1"/>
  <c r="X1133" i="15"/>
  <c r="Y1132" i="15" s="1"/>
  <c r="X1134" i="15"/>
  <c r="Y1133" i="15" s="1"/>
  <c r="X1135" i="15"/>
  <c r="Y1134" i="15" s="1"/>
  <c r="X1136" i="15"/>
  <c r="Y1135" i="15" s="1"/>
  <c r="X1137" i="15"/>
  <c r="Y1136" i="15" s="1"/>
  <c r="X1138" i="15"/>
  <c r="Y1137" i="15" s="1"/>
  <c r="X1139" i="15"/>
  <c r="Y1138" i="15" s="1"/>
  <c r="X1140" i="15"/>
  <c r="Y1139" i="15" s="1"/>
  <c r="X1141" i="15"/>
  <c r="Y1140" i="15" s="1"/>
  <c r="X1142" i="15"/>
  <c r="Y1141" i="15" s="1"/>
  <c r="X1143" i="15"/>
  <c r="Y1142" i="15" s="1"/>
  <c r="X1144" i="15"/>
  <c r="Y1143" i="15" s="1"/>
  <c r="X1145" i="15"/>
  <c r="Y1144" i="15" s="1"/>
  <c r="X1146" i="15"/>
  <c r="Y1145" i="15" s="1"/>
  <c r="X1147" i="15"/>
  <c r="Y1146" i="15" s="1"/>
  <c r="X1148" i="15"/>
  <c r="Y1147" i="15" s="1"/>
  <c r="X1149" i="15"/>
  <c r="Y1148" i="15" s="1"/>
  <c r="X1150" i="15"/>
  <c r="Y1149" i="15" s="1"/>
  <c r="X1151" i="15"/>
  <c r="Y1150" i="15" s="1"/>
  <c r="X1152" i="15"/>
  <c r="Y1151" i="15" s="1"/>
  <c r="X1153" i="15"/>
  <c r="Y1152" i="15" s="1"/>
  <c r="X1154" i="15"/>
  <c r="Y1153" i="15" s="1"/>
  <c r="X1155" i="15"/>
  <c r="Y1154" i="15" s="1"/>
  <c r="X1156" i="15"/>
  <c r="Y1155" i="15" s="1"/>
  <c r="X1157" i="15"/>
  <c r="Y1156" i="15" s="1"/>
  <c r="X1158" i="15"/>
  <c r="Y1157" i="15" s="1"/>
  <c r="X1159" i="15"/>
  <c r="Y1158" i="15" s="1"/>
  <c r="X1160" i="15"/>
  <c r="Y1159" i="15" s="1"/>
  <c r="X1161" i="15"/>
  <c r="Y1160" i="15" s="1"/>
  <c r="X1162" i="15"/>
  <c r="Y1161" i="15" s="1"/>
  <c r="X1163" i="15"/>
  <c r="Y1162" i="15" s="1"/>
  <c r="X1164" i="15"/>
  <c r="Y1163" i="15" s="1"/>
  <c r="X1165" i="15"/>
  <c r="Y1164" i="15" s="1"/>
  <c r="X1166" i="15"/>
  <c r="Y1165" i="15" s="1"/>
  <c r="X1167" i="15"/>
  <c r="Y1166" i="15" s="1"/>
  <c r="X1168" i="15"/>
  <c r="Y1167" i="15" s="1"/>
  <c r="X1169" i="15"/>
  <c r="Y1168" i="15" s="1"/>
  <c r="X1170" i="15"/>
  <c r="Y1169" i="15" s="1"/>
  <c r="X1171" i="15"/>
  <c r="Y1170" i="15" s="1"/>
  <c r="X1172" i="15"/>
  <c r="Y1171" i="15" s="1"/>
  <c r="X1173" i="15"/>
  <c r="Y1172" i="15" s="1"/>
  <c r="X1174" i="15"/>
  <c r="Y1173" i="15" s="1"/>
  <c r="X1175" i="15"/>
  <c r="Y1174" i="15" s="1"/>
  <c r="X1176" i="15"/>
  <c r="Y1175" i="15" s="1"/>
  <c r="X1177" i="15"/>
  <c r="Y1176" i="15" s="1"/>
  <c r="X1178" i="15"/>
  <c r="Y1177" i="15" s="1"/>
  <c r="X1179" i="15"/>
  <c r="Y1178" i="15" s="1"/>
  <c r="X1180" i="15"/>
  <c r="Y1179" i="15" s="1"/>
  <c r="X1181" i="15"/>
  <c r="Y1180" i="15" s="1"/>
  <c r="X1182" i="15"/>
  <c r="Y1181" i="15" s="1"/>
  <c r="X1183" i="15"/>
  <c r="Y1182" i="15" s="1"/>
  <c r="X1184" i="15"/>
  <c r="Y1183" i="15" s="1"/>
  <c r="X1185" i="15"/>
  <c r="Y1184" i="15" s="1"/>
  <c r="X1186" i="15"/>
  <c r="Y1185" i="15" s="1"/>
  <c r="X1187" i="15"/>
  <c r="Y1186" i="15" s="1"/>
  <c r="X1188" i="15"/>
  <c r="Y1187" i="15" s="1"/>
  <c r="X1189" i="15"/>
  <c r="Y1188" i="15" s="1"/>
  <c r="X1190" i="15"/>
  <c r="Y1189" i="15" s="1"/>
  <c r="X1191" i="15"/>
  <c r="Y1190" i="15" s="1"/>
  <c r="X1192" i="15"/>
  <c r="Y1191" i="15" s="1"/>
  <c r="X1193" i="15"/>
  <c r="Y1192" i="15" s="1"/>
  <c r="X1194" i="15"/>
  <c r="Y1193" i="15" s="1"/>
  <c r="X1195" i="15"/>
  <c r="Y1194" i="15" s="1"/>
  <c r="X1196" i="15"/>
  <c r="Y1195" i="15" s="1"/>
  <c r="X1197" i="15"/>
  <c r="Y1196" i="15" s="1"/>
  <c r="X1198" i="15"/>
  <c r="Y1197" i="15" s="1"/>
  <c r="X1199" i="15"/>
  <c r="Y1198" i="15" s="1"/>
  <c r="X1200" i="15"/>
  <c r="Y1199" i="15" s="1"/>
  <c r="X1201" i="15"/>
  <c r="Y1200" i="15" s="1"/>
  <c r="X1202" i="15"/>
  <c r="Y1201" i="15" s="1"/>
  <c r="X1203" i="15"/>
  <c r="Y1202" i="15" s="1"/>
  <c r="X1204" i="15"/>
  <c r="Y1203" i="15" s="1"/>
  <c r="X1205" i="15"/>
  <c r="Y1204" i="15" s="1"/>
  <c r="X1206" i="15"/>
  <c r="Y1205" i="15" s="1"/>
  <c r="X1207" i="15"/>
  <c r="Y1206" i="15" s="1"/>
  <c r="X1208" i="15"/>
  <c r="Y1207" i="15" s="1"/>
  <c r="X1209" i="15"/>
  <c r="Y1208" i="15" s="1"/>
  <c r="X1210" i="15"/>
  <c r="Y1209" i="15" s="1"/>
  <c r="X1211" i="15"/>
  <c r="Y1210" i="15" s="1"/>
  <c r="X1212" i="15"/>
  <c r="Y1211" i="15" s="1"/>
  <c r="X1213" i="15"/>
  <c r="Y1212" i="15" s="1"/>
  <c r="X1214" i="15"/>
  <c r="Y1213" i="15" s="1"/>
  <c r="X1215" i="15"/>
  <c r="Y1214" i="15" s="1"/>
  <c r="X1216" i="15"/>
  <c r="Y1215" i="15" s="1"/>
  <c r="X1217" i="15"/>
  <c r="Y1216" i="15" s="1"/>
  <c r="X1218" i="15"/>
  <c r="Y1217" i="15" s="1"/>
  <c r="X1219" i="15"/>
  <c r="Y1218" i="15" s="1"/>
  <c r="X1220" i="15"/>
  <c r="Y1219" i="15" s="1"/>
  <c r="X1221" i="15"/>
  <c r="Y1220" i="15" s="1"/>
  <c r="X1222" i="15"/>
  <c r="Y1221" i="15" s="1"/>
  <c r="X1223" i="15"/>
  <c r="Y1222" i="15" s="1"/>
  <c r="X1224" i="15"/>
  <c r="Y1223" i="15" s="1"/>
  <c r="X1225" i="15"/>
  <c r="Y1224" i="15" s="1"/>
  <c r="X1226" i="15"/>
  <c r="Y1225" i="15" s="1"/>
  <c r="X1227" i="15"/>
  <c r="Y1226" i="15" s="1"/>
  <c r="X1228" i="15"/>
  <c r="Y1227" i="15" s="1"/>
  <c r="X1229" i="15"/>
  <c r="Y1228" i="15" s="1"/>
  <c r="X1230" i="15"/>
  <c r="Y1229" i="15" s="1"/>
  <c r="X1231" i="15"/>
  <c r="Y1230" i="15" s="1"/>
  <c r="X1232" i="15"/>
  <c r="Y1231" i="15" s="1"/>
  <c r="X1233" i="15"/>
  <c r="Y1232" i="15" s="1"/>
  <c r="X1234" i="15"/>
  <c r="Y1233" i="15" s="1"/>
  <c r="X1235" i="15"/>
  <c r="Y1234" i="15" s="1"/>
  <c r="X1236" i="15"/>
  <c r="Y1235" i="15" s="1"/>
  <c r="X1237" i="15"/>
  <c r="Y1236" i="15" s="1"/>
  <c r="X1238" i="15"/>
  <c r="Y1237" i="15" s="1"/>
  <c r="X1239" i="15"/>
  <c r="Y1238" i="15" s="1"/>
  <c r="X1240" i="15"/>
  <c r="Y1239" i="15" s="1"/>
  <c r="X1241" i="15"/>
  <c r="Y1240" i="15" s="1"/>
  <c r="X1242" i="15"/>
  <c r="Y1241" i="15" s="1"/>
  <c r="X1243" i="15"/>
  <c r="Y1242" i="15" s="1"/>
  <c r="X1244" i="15"/>
  <c r="Y1243" i="15" s="1"/>
  <c r="X1245" i="15"/>
  <c r="Y1244" i="15" s="1"/>
  <c r="X1246" i="15"/>
  <c r="Y1245" i="15" s="1"/>
  <c r="X1247" i="15"/>
  <c r="Y1246" i="15" s="1"/>
  <c r="X1248" i="15"/>
  <c r="Y1247" i="15" s="1"/>
  <c r="X1249" i="15"/>
  <c r="Y1248" i="15" s="1"/>
  <c r="X1250" i="15"/>
  <c r="Y1249" i="15" s="1"/>
  <c r="X1251" i="15"/>
  <c r="Y1250" i="15" s="1"/>
  <c r="X1252" i="15"/>
  <c r="Y1251" i="15" s="1"/>
  <c r="X1253" i="15"/>
  <c r="Y1252" i="15" s="1"/>
  <c r="X1254" i="15"/>
  <c r="Y1253" i="15" s="1"/>
  <c r="X1255" i="15"/>
  <c r="Y1254" i="15" s="1"/>
  <c r="X1256" i="15"/>
  <c r="Y1255" i="15" s="1"/>
  <c r="X1257" i="15"/>
  <c r="Y1256" i="15" s="1"/>
  <c r="X1258" i="15"/>
  <c r="Y1257" i="15" s="1"/>
  <c r="X1259" i="15"/>
  <c r="Y1258" i="15" s="1"/>
  <c r="X1260" i="15"/>
  <c r="Y1259" i="15" s="1"/>
  <c r="X1261" i="15"/>
  <c r="Y1260" i="15" s="1"/>
  <c r="X1262" i="15"/>
  <c r="Y1261" i="15" s="1"/>
  <c r="X1263" i="15"/>
  <c r="Y1262" i="15" s="1"/>
  <c r="X1264" i="15"/>
  <c r="Y1263" i="15" s="1"/>
  <c r="X1265" i="15"/>
  <c r="Y1264" i="15" s="1"/>
  <c r="X1266" i="15"/>
  <c r="Y1265" i="15" s="1"/>
  <c r="X1267" i="15"/>
  <c r="Y1266" i="15" s="1"/>
  <c r="X1268" i="15"/>
  <c r="Y1267" i="15" s="1"/>
  <c r="X1269" i="15"/>
  <c r="Y1268" i="15" s="1"/>
  <c r="X1270" i="15"/>
  <c r="Y1269" i="15" s="1"/>
  <c r="X1271" i="15"/>
  <c r="Y1270" i="15" s="1"/>
  <c r="X1272" i="15"/>
  <c r="Y1271" i="15" s="1"/>
  <c r="X1273" i="15"/>
  <c r="Y1272" i="15" s="1"/>
  <c r="X1274" i="15"/>
  <c r="Y1273" i="15" s="1"/>
  <c r="X1275" i="15"/>
  <c r="Y1274" i="15" s="1"/>
  <c r="X1276" i="15"/>
  <c r="Y1275" i="15" s="1"/>
  <c r="X1277" i="15"/>
  <c r="Y1276" i="15" s="1"/>
  <c r="X1278" i="15"/>
  <c r="Y1277" i="15" s="1"/>
  <c r="X1279" i="15"/>
  <c r="Y1278" i="15" s="1"/>
  <c r="X1280" i="15"/>
  <c r="Y1279" i="15" s="1"/>
  <c r="X1281" i="15"/>
  <c r="Y1280" i="15" s="1"/>
  <c r="X1282" i="15"/>
  <c r="Y1281" i="15" s="1"/>
  <c r="X1283" i="15"/>
  <c r="Y1282" i="15" s="1"/>
  <c r="X1284" i="15"/>
  <c r="Y1283" i="15" s="1"/>
  <c r="X1285" i="15"/>
  <c r="Y1284" i="15" s="1"/>
  <c r="X1286" i="15"/>
  <c r="Y1285" i="15" s="1"/>
  <c r="X1287" i="15"/>
  <c r="Y1286" i="15" s="1"/>
  <c r="X1288" i="15"/>
  <c r="Y1287" i="15" s="1"/>
  <c r="X1289" i="15"/>
  <c r="Y1288" i="15" s="1"/>
  <c r="X1290" i="15"/>
  <c r="Y1289" i="15" s="1"/>
  <c r="X1291" i="15"/>
  <c r="Y1290" i="15" s="1"/>
  <c r="X1292" i="15"/>
  <c r="Y1291" i="15" s="1"/>
  <c r="X1293" i="15"/>
  <c r="Y1292" i="15" s="1"/>
  <c r="X1294" i="15"/>
  <c r="Y1293" i="15" s="1"/>
  <c r="X1295" i="15"/>
  <c r="Y1294" i="15" s="1"/>
  <c r="X1296" i="15"/>
  <c r="Y1295" i="15" s="1"/>
  <c r="X1297" i="15"/>
  <c r="Y1296" i="15" s="1"/>
  <c r="X1298" i="15"/>
  <c r="Y1297" i="15" s="1"/>
  <c r="X1299" i="15"/>
  <c r="Y1298" i="15" s="1"/>
  <c r="X1300" i="15"/>
  <c r="Y1299" i="15" s="1"/>
  <c r="X1301" i="15"/>
  <c r="Y1300" i="15" s="1"/>
  <c r="X1302" i="15"/>
  <c r="Y1301" i="15" s="1"/>
  <c r="X1303" i="15"/>
  <c r="Y1302" i="15" s="1"/>
  <c r="X1304" i="15"/>
  <c r="Y1303" i="15" s="1"/>
  <c r="X1305" i="15"/>
  <c r="Y1304" i="15" s="1"/>
  <c r="X1306" i="15"/>
  <c r="Y1305" i="15" s="1"/>
  <c r="X1307" i="15"/>
  <c r="Y1306" i="15" s="1"/>
  <c r="X1308" i="15"/>
  <c r="Y1307" i="15" s="1"/>
  <c r="X1309" i="15"/>
  <c r="Y1308" i="15" s="1"/>
  <c r="X1310" i="15"/>
  <c r="Y1309" i="15" s="1"/>
  <c r="X1311" i="15"/>
  <c r="Y1310" i="15" s="1"/>
  <c r="X1312" i="15"/>
  <c r="Y1311" i="15" s="1"/>
  <c r="X1313" i="15"/>
  <c r="Y1312" i="15" s="1"/>
  <c r="X1314" i="15"/>
  <c r="Y1313" i="15" s="1"/>
  <c r="X1315" i="15"/>
  <c r="Y1314" i="15" s="1"/>
  <c r="X1316" i="15"/>
  <c r="Y1315" i="15" s="1"/>
  <c r="X1317" i="15"/>
  <c r="Y1316" i="15" s="1"/>
  <c r="X1318" i="15"/>
  <c r="Y1317" i="15" s="1"/>
  <c r="X1319" i="15"/>
  <c r="Y1318" i="15" s="1"/>
  <c r="X1320" i="15"/>
  <c r="Y1319" i="15" s="1"/>
  <c r="X1321" i="15"/>
  <c r="Y1320" i="15" s="1"/>
  <c r="X1322" i="15"/>
  <c r="Y1321" i="15" s="1"/>
  <c r="X1323" i="15"/>
  <c r="Y1322" i="15" s="1"/>
  <c r="X1324" i="15"/>
  <c r="Y1323" i="15" s="1"/>
  <c r="X1325" i="15"/>
  <c r="Y1324" i="15" s="1"/>
  <c r="X1326" i="15"/>
  <c r="Y1325" i="15" s="1"/>
  <c r="X1327" i="15"/>
  <c r="Y1326" i="15" s="1"/>
  <c r="X1328" i="15"/>
  <c r="Y1327" i="15" s="1"/>
  <c r="X1329" i="15"/>
  <c r="Y1328" i="15" s="1"/>
  <c r="X1330" i="15"/>
  <c r="Y1329" i="15" s="1"/>
  <c r="X1331" i="15"/>
  <c r="Y1330" i="15" s="1"/>
  <c r="X1332" i="15"/>
  <c r="Y1331" i="15" s="1"/>
  <c r="X1333" i="15"/>
  <c r="Y1332" i="15" s="1"/>
  <c r="X1334" i="15"/>
  <c r="Y1333" i="15" s="1"/>
  <c r="X1335" i="15"/>
  <c r="Y1334" i="15" s="1"/>
  <c r="X1336" i="15"/>
  <c r="Y1335" i="15" s="1"/>
  <c r="X1337" i="15"/>
  <c r="Y1336" i="15" s="1"/>
  <c r="X1338" i="15"/>
  <c r="Y1337" i="15" s="1"/>
  <c r="X1339" i="15"/>
  <c r="Y1338" i="15" s="1"/>
  <c r="X1340" i="15"/>
  <c r="Y1339" i="15" s="1"/>
  <c r="X1341" i="15"/>
  <c r="Y1340" i="15" s="1"/>
  <c r="X1342" i="15"/>
  <c r="Y1341" i="15" s="1"/>
  <c r="X1343" i="15"/>
  <c r="Y1342" i="15" s="1"/>
  <c r="X1344" i="15"/>
  <c r="Y1343" i="15" s="1"/>
  <c r="X1345" i="15"/>
  <c r="Y1344" i="15" s="1"/>
  <c r="X1346" i="15"/>
  <c r="Y1345" i="15" s="1"/>
  <c r="X1347" i="15"/>
  <c r="Y1346" i="15" s="1"/>
  <c r="X1348" i="15"/>
  <c r="Y1347" i="15" s="1"/>
  <c r="X1349" i="15"/>
  <c r="Y1348" i="15" s="1"/>
  <c r="X1350" i="15"/>
  <c r="Y1349" i="15" s="1"/>
  <c r="X1351" i="15"/>
  <c r="Y1350" i="15" s="1"/>
  <c r="X1352" i="15"/>
  <c r="Y1351" i="15" s="1"/>
  <c r="X1353" i="15"/>
  <c r="Y1352" i="15" s="1"/>
  <c r="X1354" i="15"/>
  <c r="Y1353" i="15" s="1"/>
  <c r="X1355" i="15"/>
  <c r="Y1354" i="15" s="1"/>
  <c r="X1356" i="15"/>
  <c r="Y1355" i="15" s="1"/>
  <c r="X1357" i="15"/>
  <c r="Y1356" i="15" s="1"/>
  <c r="X1358" i="15"/>
  <c r="Y1357" i="15" s="1"/>
  <c r="X1359" i="15"/>
  <c r="Y1358" i="15" s="1"/>
  <c r="X1360" i="15"/>
  <c r="Y1359" i="15" s="1"/>
  <c r="X1361" i="15"/>
  <c r="Y1360" i="15" s="1"/>
  <c r="X1362" i="15"/>
  <c r="Y1361" i="15" s="1"/>
  <c r="X1363" i="15"/>
  <c r="Y1362" i="15" s="1"/>
  <c r="X1364" i="15"/>
  <c r="Y1363" i="15" s="1"/>
  <c r="X1365" i="15"/>
  <c r="Y1364" i="15" s="1"/>
  <c r="X1366" i="15"/>
  <c r="Y1365" i="15" s="1"/>
  <c r="X1367" i="15"/>
  <c r="Y1366" i="15" s="1"/>
  <c r="X1368" i="15"/>
  <c r="Y1367" i="15" s="1"/>
  <c r="X1369" i="15"/>
  <c r="Y1368" i="15" s="1"/>
  <c r="X1370" i="15"/>
  <c r="Y1369" i="15" s="1"/>
  <c r="X1371" i="15"/>
  <c r="Y1370" i="15" s="1"/>
  <c r="X1372" i="15"/>
  <c r="Y1371" i="15" s="1"/>
  <c r="X1373" i="15"/>
  <c r="Y1372" i="15" s="1"/>
  <c r="X1374" i="15"/>
  <c r="Y1373" i="15" s="1"/>
  <c r="X1375" i="15"/>
  <c r="Y1374" i="15" s="1"/>
  <c r="X1376" i="15"/>
  <c r="Y1375" i="15" s="1"/>
  <c r="X1377" i="15"/>
  <c r="Y1376" i="15" s="1"/>
  <c r="X1378" i="15"/>
  <c r="Y1377" i="15" s="1"/>
  <c r="X1379" i="15"/>
  <c r="Y1378" i="15" s="1"/>
  <c r="X1380" i="15"/>
  <c r="Y1379" i="15" s="1"/>
  <c r="X1381" i="15"/>
  <c r="Y1380" i="15" s="1"/>
  <c r="X1382" i="15"/>
  <c r="Y1381" i="15" s="1"/>
  <c r="X1383" i="15"/>
  <c r="Y1382" i="15" s="1"/>
  <c r="X1384" i="15"/>
  <c r="Y1383" i="15" s="1"/>
  <c r="X1385" i="15"/>
  <c r="Y1384" i="15" s="1"/>
  <c r="X1386" i="15"/>
  <c r="Y1385" i="15" s="1"/>
  <c r="X1387" i="15"/>
  <c r="Y1386" i="15" s="1"/>
  <c r="X1388" i="15"/>
  <c r="Y1387" i="15" s="1"/>
  <c r="X1389" i="15"/>
  <c r="Y1388" i="15" s="1"/>
  <c r="X1390" i="15"/>
  <c r="Y1389" i="15" s="1"/>
  <c r="X1391" i="15"/>
  <c r="Y1390" i="15" s="1"/>
  <c r="X1392" i="15"/>
  <c r="Y1391" i="15" s="1"/>
  <c r="X1393" i="15"/>
  <c r="Y1392" i="15" s="1"/>
  <c r="X1394" i="15"/>
  <c r="Y1393" i="15" s="1"/>
  <c r="X1395" i="15"/>
  <c r="Y1394" i="15" s="1"/>
  <c r="X1396" i="15"/>
  <c r="Y1395" i="15" s="1"/>
  <c r="X1397" i="15"/>
  <c r="Y1396" i="15" s="1"/>
  <c r="X1398" i="15"/>
  <c r="Y1397" i="15" s="1"/>
  <c r="X1399" i="15"/>
  <c r="Y1398" i="15" s="1"/>
  <c r="X1400" i="15"/>
  <c r="Y1399" i="15" s="1"/>
  <c r="X1401" i="15"/>
  <c r="Y1400" i="15" s="1"/>
  <c r="X1402" i="15"/>
  <c r="Y1401" i="15" s="1"/>
  <c r="X1403" i="15"/>
  <c r="Y1402" i="15" s="1"/>
  <c r="X1404" i="15"/>
  <c r="Y1403" i="15" s="1"/>
  <c r="X1405" i="15"/>
  <c r="Y1404" i="15" s="1"/>
  <c r="X1406" i="15"/>
  <c r="Y1405" i="15" s="1"/>
  <c r="X1407" i="15"/>
  <c r="Y1406" i="15" s="1"/>
  <c r="X1408" i="15"/>
  <c r="Y1407" i="15" s="1"/>
  <c r="X1409" i="15"/>
  <c r="Y1408" i="15" s="1"/>
  <c r="X1410" i="15"/>
  <c r="Y1409" i="15" s="1"/>
  <c r="X1411" i="15"/>
  <c r="Y1410" i="15" s="1"/>
  <c r="X1412" i="15"/>
  <c r="Y1411" i="15" s="1"/>
  <c r="X1413" i="15"/>
  <c r="Y1412" i="15" s="1"/>
  <c r="X1414" i="15"/>
  <c r="Y1413" i="15" s="1"/>
  <c r="X1415" i="15"/>
  <c r="Y1414" i="15" s="1"/>
  <c r="X1416" i="15"/>
  <c r="Y1415" i="15" s="1"/>
  <c r="X1417" i="15"/>
  <c r="Y1416" i="15" s="1"/>
  <c r="X1418" i="15"/>
  <c r="Y1417" i="15" s="1"/>
  <c r="X1419" i="15"/>
  <c r="Y1418" i="15" s="1"/>
  <c r="X1420" i="15"/>
  <c r="Y1419" i="15" s="1"/>
  <c r="X1421" i="15"/>
  <c r="Y1420" i="15" s="1"/>
  <c r="X1422" i="15"/>
  <c r="Y1421" i="15" s="1"/>
  <c r="X1423" i="15"/>
  <c r="Y1422" i="15" s="1"/>
  <c r="X1424" i="15"/>
  <c r="Y1423" i="15" s="1"/>
  <c r="X1425" i="15"/>
  <c r="Y1424" i="15" s="1"/>
  <c r="X1426" i="15"/>
  <c r="Y1425" i="15" s="1"/>
  <c r="X1427" i="15"/>
  <c r="Y1426" i="15" s="1"/>
  <c r="X1428" i="15"/>
  <c r="Y1427" i="15" s="1"/>
  <c r="X1429" i="15"/>
  <c r="Y1428" i="15" s="1"/>
  <c r="X1430" i="15"/>
  <c r="Y1429" i="15" s="1"/>
  <c r="X1431" i="15"/>
  <c r="Y1430" i="15" s="1"/>
  <c r="X1432" i="15"/>
  <c r="Y1431" i="15" s="1"/>
  <c r="X1433" i="15"/>
  <c r="Y1432" i="15" s="1"/>
  <c r="X1434" i="15"/>
  <c r="Y1433" i="15" s="1"/>
  <c r="X1435" i="15"/>
  <c r="Y1434" i="15" s="1"/>
  <c r="X1436" i="15"/>
  <c r="Y1435" i="15" s="1"/>
  <c r="X1437" i="15"/>
  <c r="Y1436" i="15" s="1"/>
  <c r="X1438" i="15"/>
  <c r="Y1437" i="15" s="1"/>
  <c r="X1439" i="15"/>
  <c r="Y1438" i="15" s="1"/>
  <c r="X1440" i="15"/>
  <c r="Y1439" i="15" s="1"/>
  <c r="X1441" i="15"/>
  <c r="Y1440" i="15" s="1"/>
  <c r="X1442" i="15"/>
  <c r="Y1441" i="15" s="1"/>
  <c r="X1443" i="15"/>
  <c r="Y1442" i="15" s="1"/>
  <c r="X1444" i="15"/>
  <c r="Y1443" i="15" s="1"/>
  <c r="X1445" i="15"/>
  <c r="Y1444" i="15" s="1"/>
  <c r="X1446" i="15"/>
  <c r="Y1445" i="15" s="1"/>
  <c r="X1447" i="15"/>
  <c r="Y1446" i="15" s="1"/>
  <c r="X1448" i="15"/>
  <c r="Y1447" i="15" s="1"/>
  <c r="X1449" i="15"/>
  <c r="Y1448" i="15" s="1"/>
  <c r="X1450" i="15"/>
  <c r="Y1449" i="15" s="1"/>
  <c r="X1451" i="15"/>
  <c r="Y1450" i="15" s="1"/>
  <c r="X1452" i="15"/>
  <c r="Y1451" i="15" s="1"/>
  <c r="X1453" i="15"/>
  <c r="Y1452" i="15" s="1"/>
  <c r="X1454" i="15"/>
  <c r="Y1453" i="15" s="1"/>
  <c r="X1455" i="15"/>
  <c r="Y1454" i="15" s="1"/>
  <c r="X1456" i="15"/>
  <c r="Y1455" i="15" s="1"/>
  <c r="X1457" i="15"/>
  <c r="Y1456" i="15" s="1"/>
  <c r="X1458" i="15"/>
  <c r="Y1457" i="15" s="1"/>
  <c r="X1459" i="15"/>
  <c r="Y1458" i="15" s="1"/>
  <c r="X1460" i="15"/>
  <c r="Y1459" i="15" s="1"/>
  <c r="X1461" i="15"/>
  <c r="Y1460" i="15" s="1"/>
  <c r="X1462" i="15"/>
  <c r="Y1461" i="15" s="1"/>
  <c r="X1463" i="15"/>
  <c r="Y1462" i="15" s="1"/>
  <c r="X1464" i="15"/>
  <c r="Y1463" i="15" s="1"/>
  <c r="X1465" i="15"/>
  <c r="Y1464" i="15" s="1"/>
  <c r="X1466" i="15"/>
  <c r="Y1465" i="15" s="1"/>
  <c r="X1467" i="15"/>
  <c r="Y1466" i="15" s="1"/>
  <c r="X1468" i="15"/>
  <c r="Y1467" i="15" s="1"/>
  <c r="X1469" i="15"/>
  <c r="Y1468" i="15" s="1"/>
  <c r="X1470" i="15"/>
  <c r="Y1469" i="15" s="1"/>
  <c r="X1471" i="15"/>
  <c r="Y1470" i="15" s="1"/>
  <c r="X1472" i="15"/>
  <c r="Y1471" i="15" s="1"/>
  <c r="X1473" i="15"/>
  <c r="Y1472" i="15" s="1"/>
  <c r="X1474" i="15"/>
  <c r="Y1473" i="15" s="1"/>
  <c r="X1475" i="15"/>
  <c r="Y1474" i="15" s="1"/>
  <c r="X1476" i="15"/>
  <c r="Y1475" i="15" s="1"/>
  <c r="X1477" i="15"/>
  <c r="Y1476" i="15" s="1"/>
  <c r="X1478" i="15"/>
  <c r="Y1477" i="15" s="1"/>
  <c r="X1479" i="15"/>
  <c r="Y1478" i="15" s="1"/>
  <c r="X1480" i="15"/>
  <c r="Y1479" i="15" s="1"/>
  <c r="X1481" i="15"/>
  <c r="Y1480" i="15" s="1"/>
  <c r="X1482" i="15"/>
  <c r="Y1481" i="15" s="1"/>
  <c r="X1483" i="15"/>
  <c r="Y1482" i="15" s="1"/>
  <c r="X1484" i="15"/>
  <c r="Y1483" i="15" s="1"/>
  <c r="X1485" i="15"/>
  <c r="Y1484" i="15" s="1"/>
  <c r="X1486" i="15"/>
  <c r="Y1485" i="15" s="1"/>
  <c r="X1487" i="15"/>
  <c r="Y1486" i="15" s="1"/>
  <c r="X1488" i="15"/>
  <c r="Y1487" i="15" s="1"/>
  <c r="X1489" i="15"/>
  <c r="Y1488" i="15" s="1"/>
  <c r="X1490" i="15"/>
  <c r="Y1489" i="15" s="1"/>
  <c r="X1491" i="15"/>
  <c r="Y1490" i="15" s="1"/>
  <c r="X1492" i="15"/>
  <c r="Y1491" i="15" s="1"/>
  <c r="X1493" i="15"/>
  <c r="Y1492" i="15" s="1"/>
  <c r="X1494" i="15"/>
  <c r="Y1493" i="15" s="1"/>
  <c r="X1495" i="15"/>
  <c r="Y1494" i="15" s="1"/>
  <c r="X1496" i="15"/>
  <c r="Y1495" i="15" s="1"/>
  <c r="X1497" i="15"/>
  <c r="Y1496" i="15" s="1"/>
  <c r="X1498" i="15"/>
  <c r="Y1497" i="15" s="1"/>
  <c r="X1499" i="15"/>
  <c r="Y1498" i="15" s="1"/>
  <c r="X1500" i="15"/>
  <c r="Y1499" i="15" s="1"/>
  <c r="X1501" i="15"/>
  <c r="Y1500" i="15" s="1"/>
  <c r="X1502" i="15"/>
  <c r="Y1501" i="15" s="1"/>
  <c r="X1503" i="15"/>
  <c r="Y1502" i="15" s="1"/>
  <c r="X1504" i="15"/>
  <c r="Y1503" i="15" s="1"/>
  <c r="X1505" i="15"/>
  <c r="Y1504" i="15" s="1"/>
  <c r="X1506" i="15"/>
  <c r="Y1505" i="15" s="1"/>
  <c r="X1507" i="15"/>
  <c r="Y1506" i="15" s="1"/>
  <c r="X1508" i="15"/>
  <c r="Y1507" i="15" s="1"/>
  <c r="X1509" i="15"/>
  <c r="Y1508" i="15" s="1"/>
  <c r="X1510" i="15"/>
  <c r="Y1509" i="15" s="1"/>
  <c r="X1511" i="15"/>
  <c r="Y1510" i="15" s="1"/>
  <c r="X1512" i="15"/>
  <c r="Y1511" i="15" s="1"/>
  <c r="X1513" i="15"/>
  <c r="Y1512" i="15" s="1"/>
  <c r="X1514" i="15"/>
  <c r="Y1513" i="15" s="1"/>
  <c r="X1515" i="15"/>
  <c r="Y1514" i="15" s="1"/>
  <c r="X1516" i="15"/>
  <c r="Y1515" i="15" s="1"/>
  <c r="X1517" i="15"/>
  <c r="Y1516" i="15" s="1"/>
  <c r="X1518" i="15"/>
  <c r="Y1517" i="15" s="1"/>
  <c r="X1519" i="15"/>
  <c r="Y1518" i="15" s="1"/>
  <c r="X1520" i="15"/>
  <c r="Y1519" i="15" s="1"/>
  <c r="X1521" i="15"/>
  <c r="Y1520" i="15" s="1"/>
  <c r="X1522" i="15"/>
  <c r="Y1521" i="15" s="1"/>
  <c r="X1523" i="15"/>
  <c r="Y1522" i="15" s="1"/>
  <c r="X1524" i="15"/>
  <c r="Y1523" i="15" s="1"/>
  <c r="X1525" i="15"/>
  <c r="Y1524" i="15" s="1"/>
  <c r="X1526" i="15"/>
  <c r="Y1525" i="15" s="1"/>
  <c r="X1527" i="15"/>
  <c r="Y1526" i="15" s="1"/>
  <c r="X1528" i="15"/>
  <c r="Y1527" i="15" s="1"/>
  <c r="X1529" i="15"/>
  <c r="Y1528" i="15" s="1"/>
  <c r="X1530" i="15"/>
  <c r="Y1529" i="15" s="1"/>
  <c r="X1531" i="15"/>
  <c r="Y1530" i="15" s="1"/>
  <c r="X1532" i="15"/>
  <c r="Y1531" i="15" s="1"/>
  <c r="X1533" i="15"/>
  <c r="Y1532" i="15" s="1"/>
  <c r="X1534" i="15"/>
  <c r="Y1533" i="15" s="1"/>
  <c r="X1535" i="15"/>
  <c r="Y1534" i="15" s="1"/>
  <c r="X1536" i="15"/>
  <c r="Y1535" i="15" s="1"/>
  <c r="X1537" i="15"/>
  <c r="Y1536" i="15" s="1"/>
  <c r="X1538" i="15"/>
  <c r="Y1537" i="15" s="1"/>
  <c r="X1539" i="15"/>
  <c r="Y1538" i="15" s="1"/>
  <c r="X1540" i="15"/>
  <c r="Y1539" i="15" s="1"/>
  <c r="X1541" i="15"/>
  <c r="Y1540" i="15" s="1"/>
  <c r="X1542" i="15"/>
  <c r="Y1541" i="15" s="1"/>
  <c r="X1543" i="15"/>
  <c r="Y1542" i="15" s="1"/>
  <c r="X1544" i="15"/>
  <c r="Y1543" i="15" s="1"/>
  <c r="X1545" i="15"/>
  <c r="Y1544" i="15" s="1"/>
  <c r="X1546" i="15"/>
  <c r="Y1545" i="15" s="1"/>
  <c r="X1547" i="15"/>
  <c r="Y1546" i="15" s="1"/>
  <c r="X1548" i="15"/>
  <c r="Y1547" i="15" s="1"/>
  <c r="X1549" i="15"/>
  <c r="Y1548" i="15" s="1"/>
  <c r="X1550" i="15"/>
  <c r="Y1549" i="15" s="1"/>
  <c r="X1551" i="15"/>
  <c r="Y1550" i="15" s="1"/>
  <c r="X1552" i="15"/>
  <c r="Y1551" i="15" s="1"/>
  <c r="X1553" i="15"/>
  <c r="Y1552" i="15" s="1"/>
  <c r="X1554" i="15"/>
  <c r="Y1553" i="15" s="1"/>
  <c r="X1555" i="15"/>
  <c r="Y1554" i="15" s="1"/>
  <c r="X1556" i="15"/>
  <c r="Y1555" i="15" s="1"/>
  <c r="X1557" i="15"/>
  <c r="Y1556" i="15" s="1"/>
  <c r="X1558" i="15"/>
  <c r="Y1557" i="15" s="1"/>
  <c r="X1559" i="15"/>
  <c r="Y1558" i="15" s="1"/>
  <c r="X1560" i="15"/>
  <c r="Y1559" i="15" s="1"/>
  <c r="X1561" i="15"/>
  <c r="Y1560" i="15" s="1"/>
  <c r="X1562" i="15"/>
  <c r="Y1561" i="15" s="1"/>
  <c r="X1563" i="15"/>
  <c r="Y1562" i="15" s="1"/>
  <c r="X1564" i="15"/>
  <c r="Y1563" i="15" s="1"/>
  <c r="X1565" i="15"/>
  <c r="Y1564" i="15" s="1"/>
  <c r="X1566" i="15"/>
  <c r="Y1565" i="15" s="1"/>
  <c r="X1567" i="15"/>
  <c r="Y1566" i="15" s="1"/>
  <c r="X1568" i="15"/>
  <c r="Y1567" i="15" s="1"/>
  <c r="X1569" i="15"/>
  <c r="Y1568" i="15" s="1"/>
  <c r="X1570" i="15"/>
  <c r="Y1569" i="15" s="1"/>
  <c r="X1571" i="15"/>
  <c r="Y1570" i="15" s="1"/>
  <c r="X1572" i="15"/>
  <c r="Y1571" i="15" s="1"/>
  <c r="X1573" i="15"/>
  <c r="Y1572" i="15" s="1"/>
  <c r="X1574" i="15"/>
  <c r="Y1573" i="15" s="1"/>
  <c r="X1575" i="15"/>
  <c r="Y1574" i="15" s="1"/>
  <c r="X1576" i="15"/>
  <c r="Y1575" i="15" s="1"/>
  <c r="X1577" i="15"/>
  <c r="Y1576" i="15" s="1"/>
  <c r="X1578" i="15"/>
  <c r="Y1577" i="15" s="1"/>
  <c r="X1579" i="15"/>
  <c r="Y1578" i="15" s="1"/>
  <c r="X1580" i="15"/>
  <c r="Y1579" i="15" s="1"/>
  <c r="X1581" i="15"/>
  <c r="Y1580" i="15" s="1"/>
  <c r="X1582" i="15"/>
  <c r="Y1581" i="15" s="1"/>
  <c r="X1583" i="15"/>
  <c r="Y1582" i="15" s="1"/>
  <c r="X1584" i="15"/>
  <c r="Y1583" i="15" s="1"/>
  <c r="X1585" i="15"/>
  <c r="Y1584" i="15" s="1"/>
  <c r="X1586" i="15"/>
  <c r="Y1585" i="15" s="1"/>
  <c r="X1587" i="15"/>
  <c r="Y1586" i="15" s="1"/>
  <c r="X1588" i="15"/>
  <c r="Y1587" i="15" s="1"/>
  <c r="X1589" i="15"/>
  <c r="Y1588" i="15" s="1"/>
  <c r="X1590" i="15"/>
  <c r="Y1589" i="15" s="1"/>
  <c r="X1591" i="15"/>
  <c r="Y1590" i="15" s="1"/>
  <c r="X1592" i="15"/>
  <c r="Y1591" i="15" s="1"/>
  <c r="X1593" i="15"/>
  <c r="Y1592" i="15" s="1"/>
  <c r="X1594" i="15"/>
  <c r="Y1593" i="15" s="1"/>
  <c r="X1595" i="15"/>
  <c r="Y1594" i="15" s="1"/>
  <c r="X1596" i="15"/>
  <c r="Y1595" i="15" s="1"/>
  <c r="X1597" i="15"/>
  <c r="Y1596" i="15" s="1"/>
  <c r="X1598" i="15"/>
  <c r="Y1597" i="15" s="1"/>
  <c r="X1599" i="15"/>
  <c r="Y1598" i="15" s="1"/>
  <c r="X1600" i="15"/>
  <c r="Y1599" i="15" s="1"/>
  <c r="X1601" i="15"/>
  <c r="Y1600" i="15" s="1"/>
  <c r="X1602" i="15"/>
  <c r="Y1601" i="15" s="1"/>
  <c r="X1603" i="15"/>
  <c r="Y1602" i="15" s="1"/>
  <c r="X1604" i="15"/>
  <c r="Y1603" i="15" s="1"/>
  <c r="X1605" i="15"/>
  <c r="Y1604" i="15" s="1"/>
  <c r="X1606" i="15"/>
  <c r="Y1605" i="15" s="1"/>
  <c r="X1607" i="15"/>
  <c r="Y1606" i="15" s="1"/>
  <c r="X1608" i="15"/>
  <c r="Y1607" i="15" s="1"/>
  <c r="X1609" i="15"/>
  <c r="Y1608" i="15" s="1"/>
  <c r="X1610" i="15"/>
  <c r="Y1609" i="15" s="1"/>
  <c r="X1611" i="15"/>
  <c r="Y1610" i="15" s="1"/>
  <c r="X1612" i="15"/>
  <c r="Y1611" i="15" s="1"/>
  <c r="X1613" i="15"/>
  <c r="Y1612" i="15" s="1"/>
  <c r="X1614" i="15"/>
  <c r="Y1613" i="15" s="1"/>
  <c r="X1615" i="15"/>
  <c r="Y1614" i="15" s="1"/>
  <c r="X1616" i="15"/>
  <c r="Y1615" i="15" s="1"/>
  <c r="X1617" i="15"/>
  <c r="Y1616" i="15" s="1"/>
  <c r="X1618" i="15"/>
  <c r="Y1617" i="15" s="1"/>
  <c r="X1619" i="15"/>
  <c r="Y1618" i="15" s="1"/>
  <c r="X1620" i="15"/>
  <c r="Y1619" i="15" s="1"/>
  <c r="X1621" i="15"/>
  <c r="Y1620" i="15" s="1"/>
  <c r="X1622" i="15"/>
  <c r="Y1621" i="15" s="1"/>
  <c r="X1623" i="15"/>
  <c r="Y1622" i="15" s="1"/>
  <c r="X1624" i="15"/>
  <c r="Y1623" i="15" s="1"/>
  <c r="X1625" i="15"/>
  <c r="Y1624" i="15" s="1"/>
  <c r="X1626" i="15"/>
  <c r="Y1625" i="15" s="1"/>
  <c r="X1627" i="15"/>
  <c r="Y1626" i="15" s="1"/>
  <c r="X1628" i="15"/>
  <c r="Y1627" i="15" s="1"/>
  <c r="X1629" i="15"/>
  <c r="Y1628" i="15" s="1"/>
  <c r="X1630" i="15"/>
  <c r="Y1629" i="15" s="1"/>
  <c r="X1631" i="15"/>
  <c r="Y1630" i="15" s="1"/>
  <c r="X1632" i="15"/>
  <c r="Y1631" i="15" s="1"/>
  <c r="X1633" i="15"/>
  <c r="Y1632" i="15" s="1"/>
  <c r="X1634" i="15"/>
  <c r="Y1633" i="15" s="1"/>
  <c r="X1635" i="15"/>
  <c r="Y1634" i="15" s="1"/>
  <c r="X1636" i="15"/>
  <c r="Y1635" i="15" s="1"/>
  <c r="X1637" i="15"/>
  <c r="Y1636" i="15" s="1"/>
  <c r="X1638" i="15"/>
  <c r="Y1637" i="15" s="1"/>
  <c r="X1639" i="15"/>
  <c r="Y1638" i="15" s="1"/>
  <c r="X1640" i="15"/>
  <c r="Y1639" i="15" s="1"/>
  <c r="X1641" i="15"/>
  <c r="Y1640" i="15" s="1"/>
  <c r="X1642" i="15"/>
  <c r="Y1641" i="15" s="1"/>
  <c r="X1643" i="15"/>
  <c r="Y1642" i="15" s="1"/>
  <c r="X1644" i="15"/>
  <c r="Y1643" i="15" s="1"/>
  <c r="X1645" i="15"/>
  <c r="Y1644" i="15" s="1"/>
  <c r="X1646" i="15"/>
  <c r="Y1645" i="15" s="1"/>
  <c r="X1647" i="15"/>
  <c r="Y1646" i="15" s="1"/>
  <c r="X1648" i="15"/>
  <c r="Y1647" i="15" s="1"/>
  <c r="X1649" i="15"/>
  <c r="Y1648" i="15" s="1"/>
  <c r="X1650" i="15"/>
  <c r="Y1649" i="15" s="1"/>
  <c r="X1651" i="15"/>
  <c r="Y1650" i="15" s="1"/>
  <c r="X1652" i="15"/>
  <c r="Y1651" i="15" s="1"/>
  <c r="X1653" i="15"/>
  <c r="Y1652" i="15" s="1"/>
  <c r="X1654" i="15"/>
  <c r="Y1653" i="15" s="1"/>
  <c r="X1655" i="15"/>
  <c r="Y1654" i="15" s="1"/>
  <c r="X1656" i="15"/>
  <c r="Y1655" i="15" s="1"/>
  <c r="X1657" i="15"/>
  <c r="Y1656" i="15" s="1"/>
  <c r="X1658" i="15"/>
  <c r="Y1657" i="15" s="1"/>
  <c r="X1659" i="15"/>
  <c r="Y1658" i="15" s="1"/>
  <c r="X1660" i="15"/>
  <c r="Y1659" i="15" s="1"/>
  <c r="X1661" i="15"/>
  <c r="Y1660" i="15" s="1"/>
  <c r="X1662" i="15"/>
  <c r="Y1661" i="15" s="1"/>
  <c r="X1663" i="15"/>
  <c r="Y1662" i="15" s="1"/>
  <c r="X1664" i="15"/>
  <c r="Y1663" i="15" s="1"/>
  <c r="X1665" i="15"/>
  <c r="Y1664" i="15" s="1"/>
  <c r="X1666" i="15"/>
  <c r="Y1665" i="15" s="1"/>
  <c r="X1667" i="15"/>
  <c r="Y1666" i="15" s="1"/>
  <c r="X1668" i="15"/>
  <c r="Y1667" i="15" s="1"/>
  <c r="X1669" i="15"/>
  <c r="Y1668" i="15" s="1"/>
  <c r="X1670" i="15"/>
  <c r="Y1669" i="15" s="1"/>
  <c r="X1671" i="15"/>
  <c r="Y1670" i="15" s="1"/>
  <c r="X1672" i="15"/>
  <c r="Y1671" i="15" s="1"/>
  <c r="X1673" i="15"/>
  <c r="Y1672" i="15" s="1"/>
  <c r="X1674" i="15"/>
  <c r="Y1673" i="15" s="1"/>
  <c r="X1675" i="15"/>
  <c r="Y1674" i="15" s="1"/>
  <c r="X1676" i="15"/>
  <c r="Y1675" i="15" s="1"/>
  <c r="X1677" i="15"/>
  <c r="Y1676" i="15" s="1"/>
  <c r="X1678" i="15"/>
  <c r="Y1677" i="15" s="1"/>
  <c r="X1679" i="15"/>
  <c r="Y1678" i="15" s="1"/>
  <c r="X1680" i="15"/>
  <c r="Y1679" i="15" s="1"/>
  <c r="X1681" i="15"/>
  <c r="Y1680" i="15" s="1"/>
  <c r="X1682" i="15"/>
  <c r="Y1681" i="15" s="1"/>
  <c r="X1683" i="15"/>
  <c r="Y1682" i="15" s="1"/>
  <c r="X1684" i="15"/>
  <c r="Y1683" i="15" s="1"/>
  <c r="X1685" i="15"/>
  <c r="Y1684" i="15" s="1"/>
  <c r="X1686" i="15"/>
  <c r="Y1685" i="15" s="1"/>
  <c r="X1687" i="15"/>
  <c r="Y1686" i="15" s="1"/>
  <c r="X1688" i="15"/>
  <c r="Y1687" i="15" s="1"/>
  <c r="X1689" i="15"/>
  <c r="Y1688" i="15" s="1"/>
  <c r="X1690" i="15"/>
  <c r="Y1689" i="15" s="1"/>
  <c r="X1691" i="15"/>
  <c r="Y1690" i="15" s="1"/>
  <c r="X1692" i="15"/>
  <c r="Y1691" i="15" s="1"/>
  <c r="X1693" i="15"/>
  <c r="Y1692" i="15" s="1"/>
  <c r="X1694" i="15"/>
  <c r="Y1693" i="15" s="1"/>
  <c r="X1695" i="15"/>
  <c r="Y1694" i="15" s="1"/>
  <c r="X1696" i="15"/>
  <c r="Y1695" i="15" s="1"/>
  <c r="X1697" i="15"/>
  <c r="Y1696" i="15" s="1"/>
  <c r="X1698" i="15"/>
  <c r="Y1697" i="15" s="1"/>
  <c r="X1699" i="15"/>
  <c r="Y1698" i="15" s="1"/>
  <c r="X1700" i="15"/>
  <c r="Y1699" i="15" s="1"/>
  <c r="X1701" i="15"/>
  <c r="Y1700" i="15" s="1"/>
  <c r="X1702" i="15"/>
  <c r="Y1701" i="15" s="1"/>
  <c r="X1703" i="15"/>
  <c r="Y1702" i="15" s="1"/>
  <c r="X1704" i="15"/>
  <c r="Y1703" i="15" s="1"/>
  <c r="X1705" i="15"/>
  <c r="Y1704" i="15" s="1"/>
  <c r="X1706" i="15"/>
  <c r="Y1705" i="15" s="1"/>
  <c r="X1707" i="15"/>
  <c r="Y1706" i="15" s="1"/>
  <c r="X1708" i="15"/>
  <c r="Y1707" i="15" s="1"/>
  <c r="X1709" i="15"/>
  <c r="Y1708" i="15" s="1"/>
  <c r="X1710" i="15"/>
  <c r="Y1709" i="15" s="1"/>
  <c r="X1711" i="15"/>
  <c r="Y1710" i="15" s="1"/>
  <c r="X1712" i="15"/>
  <c r="Y1711" i="15" s="1"/>
  <c r="X1713" i="15"/>
  <c r="Y1712" i="15" s="1"/>
  <c r="X1714" i="15"/>
  <c r="Y1713" i="15" s="1"/>
  <c r="X1715" i="15"/>
  <c r="Y1714" i="15" s="1"/>
  <c r="X1716" i="15"/>
  <c r="Y1715" i="15" s="1"/>
  <c r="X1717" i="15"/>
  <c r="Y1716" i="15" s="1"/>
  <c r="X1718" i="15"/>
  <c r="Y1717" i="15" s="1"/>
  <c r="X1719" i="15"/>
  <c r="Y1718" i="15" s="1"/>
  <c r="X1720" i="15"/>
  <c r="Y1719" i="15" s="1"/>
  <c r="X1721" i="15"/>
  <c r="Y1720" i="15" s="1"/>
  <c r="X1722" i="15"/>
  <c r="Y1721" i="15" s="1"/>
  <c r="X1723" i="15"/>
  <c r="Y1722" i="15" s="1"/>
  <c r="X1724" i="15"/>
  <c r="Y1723" i="15" s="1"/>
  <c r="X1725" i="15"/>
  <c r="Y1724" i="15" s="1"/>
  <c r="X1726" i="15"/>
  <c r="Y1725" i="15" s="1"/>
  <c r="X1727" i="15"/>
  <c r="Y1726" i="15" s="1"/>
  <c r="X1728" i="15"/>
  <c r="Y1727" i="15" s="1"/>
  <c r="X1729" i="15"/>
  <c r="Y1728" i="15" s="1"/>
  <c r="X1730" i="15"/>
  <c r="Y1729" i="15" s="1"/>
  <c r="X1731" i="15"/>
  <c r="Y1730" i="15" s="1"/>
  <c r="X1732" i="15"/>
  <c r="Y1731" i="15" s="1"/>
  <c r="X1733" i="15"/>
  <c r="Y1732" i="15" s="1"/>
  <c r="X1734" i="15"/>
  <c r="Y1733" i="15" s="1"/>
  <c r="X1735" i="15"/>
  <c r="Y1734" i="15" s="1"/>
  <c r="X1736" i="15"/>
  <c r="Y1735" i="15" s="1"/>
  <c r="X1737" i="15"/>
  <c r="Y1736" i="15" s="1"/>
  <c r="X1738" i="15"/>
  <c r="Y1737" i="15" s="1"/>
  <c r="X1739" i="15"/>
  <c r="Y1738" i="15" s="1"/>
  <c r="X1740" i="15"/>
  <c r="Y1739" i="15" s="1"/>
  <c r="X1741" i="15"/>
  <c r="Y1740" i="15" s="1"/>
  <c r="X1742" i="15"/>
  <c r="Y1741" i="15" s="1"/>
  <c r="X1743" i="15"/>
  <c r="Y1742" i="15" s="1"/>
  <c r="X1744" i="15"/>
  <c r="Y1743" i="15" s="1"/>
  <c r="X1745" i="15"/>
  <c r="Y1744" i="15" s="1"/>
  <c r="X1746" i="15"/>
  <c r="Y1745" i="15" s="1"/>
  <c r="X1747" i="15"/>
  <c r="Y1746" i="15" s="1"/>
  <c r="X1748" i="15"/>
  <c r="Y1747" i="15" s="1"/>
  <c r="X1749" i="15"/>
  <c r="Y1748" i="15" s="1"/>
  <c r="X1750" i="15"/>
  <c r="Y1749" i="15" s="1"/>
  <c r="X1751" i="15"/>
  <c r="Y1750" i="15" s="1"/>
  <c r="X1752" i="15"/>
  <c r="Y1751" i="15" s="1"/>
  <c r="X1753" i="15"/>
  <c r="Y1752" i="15" s="1"/>
  <c r="X1754" i="15"/>
  <c r="Y1753" i="15" s="1"/>
  <c r="X1755" i="15"/>
  <c r="Y1754" i="15" s="1"/>
  <c r="X1756" i="15"/>
  <c r="Y1755" i="15" s="1"/>
  <c r="X1757" i="15"/>
  <c r="Y1756" i="15" s="1"/>
  <c r="X1758" i="15"/>
  <c r="Y1757" i="15" s="1"/>
  <c r="X1759" i="15"/>
  <c r="Y1758" i="15" s="1"/>
  <c r="X1760" i="15"/>
  <c r="Y1759" i="15" s="1"/>
  <c r="X1761" i="15"/>
  <c r="Y1760" i="15" s="1"/>
  <c r="X1762" i="15"/>
  <c r="Y1761" i="15" s="1"/>
  <c r="X1763" i="15"/>
  <c r="Y1762" i="15" s="1"/>
  <c r="X1764" i="15"/>
  <c r="Y1763" i="15" s="1"/>
  <c r="X1765" i="15"/>
  <c r="Y1764" i="15" s="1"/>
  <c r="X1766" i="15"/>
  <c r="Y1765" i="15" s="1"/>
  <c r="X1767" i="15"/>
  <c r="Y1766" i="15" s="1"/>
  <c r="X1768" i="15"/>
  <c r="Y1767" i="15" s="1"/>
  <c r="X1769" i="15"/>
  <c r="Y1768" i="15" s="1"/>
  <c r="X1770" i="15"/>
  <c r="Y1769" i="15" s="1"/>
  <c r="X1771" i="15"/>
  <c r="Y1770" i="15" s="1"/>
  <c r="X1772" i="15"/>
  <c r="Y1771" i="15" s="1"/>
  <c r="X1773" i="15"/>
  <c r="Y1772" i="15" s="1"/>
  <c r="X1774" i="15"/>
  <c r="Y1773" i="15" s="1"/>
  <c r="X1775" i="15"/>
  <c r="Y1774" i="15" s="1"/>
  <c r="X1776" i="15"/>
  <c r="Y1775" i="15" s="1"/>
  <c r="X1777" i="15"/>
  <c r="Y1776" i="15" s="1"/>
  <c r="X1778" i="15"/>
  <c r="Y1777" i="15" s="1"/>
  <c r="X1779" i="15"/>
  <c r="Y1778" i="15" s="1"/>
  <c r="X1780" i="15"/>
  <c r="Y1779" i="15" s="1"/>
  <c r="X1781" i="15"/>
  <c r="Y1780" i="15" s="1"/>
  <c r="X1782" i="15"/>
  <c r="Y1781" i="15" s="1"/>
  <c r="X1783" i="15"/>
  <c r="Y1782" i="15" s="1"/>
  <c r="X1784" i="15"/>
  <c r="Y1783" i="15" s="1"/>
  <c r="X1785" i="15"/>
  <c r="Y1784" i="15" s="1"/>
  <c r="X1786" i="15"/>
  <c r="Y1785" i="15" s="1"/>
  <c r="X1787" i="15"/>
  <c r="Y1786" i="15" s="1"/>
  <c r="X1788" i="15"/>
  <c r="Y1787" i="15" s="1"/>
  <c r="X1789" i="15"/>
  <c r="Y1788" i="15" s="1"/>
  <c r="X1790" i="15"/>
  <c r="Y1789" i="15" s="1"/>
  <c r="X1791" i="15"/>
  <c r="Y1790" i="15" s="1"/>
  <c r="X1792" i="15"/>
  <c r="Y1791" i="15" s="1"/>
  <c r="X1793" i="15"/>
  <c r="Y1792" i="15" s="1"/>
  <c r="X1794" i="15"/>
  <c r="Y1793" i="15" s="1"/>
  <c r="X1795" i="15"/>
  <c r="Y1794" i="15" s="1"/>
  <c r="X1796" i="15"/>
  <c r="Y1795" i="15" s="1"/>
  <c r="X1797" i="15"/>
  <c r="Y1796" i="15" s="1"/>
  <c r="X1798" i="15"/>
  <c r="Y1797" i="15" s="1"/>
  <c r="X1799" i="15"/>
  <c r="Y1798" i="15" s="1"/>
  <c r="X1800" i="15"/>
  <c r="Y1799" i="15" s="1"/>
  <c r="X1801" i="15"/>
  <c r="Y1800" i="15" s="1"/>
  <c r="X1802" i="15"/>
  <c r="Y1801" i="15" s="1"/>
  <c r="X1803" i="15"/>
  <c r="Y1802" i="15" s="1"/>
  <c r="X1804" i="15"/>
  <c r="Y1803" i="15" s="1"/>
  <c r="X1805" i="15"/>
  <c r="Y1804" i="15" s="1"/>
  <c r="X1806" i="15"/>
  <c r="Y1805" i="15" s="1"/>
  <c r="X1807" i="15"/>
  <c r="Y1806" i="15" s="1"/>
  <c r="X1808" i="15"/>
  <c r="Y1807" i="15" s="1"/>
  <c r="X1809" i="15"/>
  <c r="Y1808" i="15" s="1"/>
  <c r="X1810" i="15"/>
  <c r="Y1809" i="15" s="1"/>
  <c r="X1811" i="15"/>
  <c r="Y1810" i="15" s="1"/>
  <c r="X1812" i="15"/>
  <c r="Y1811" i="15" s="1"/>
  <c r="X1813" i="15"/>
  <c r="Y1812" i="15" s="1"/>
  <c r="X1814" i="15"/>
  <c r="Y1813" i="15" s="1"/>
  <c r="X1815" i="15"/>
  <c r="Y1814" i="15" s="1"/>
  <c r="X1816" i="15"/>
  <c r="Y1815" i="15" s="1"/>
  <c r="X1817" i="15"/>
  <c r="Y1816" i="15" s="1"/>
  <c r="X1818" i="15"/>
  <c r="Y1817" i="15" s="1"/>
  <c r="X1819" i="15"/>
  <c r="Y1818" i="15" s="1"/>
  <c r="X1820" i="15"/>
  <c r="Y1819" i="15" s="1"/>
  <c r="X1821" i="15"/>
  <c r="Y1820" i="15" s="1"/>
  <c r="X1822" i="15"/>
  <c r="Y1821" i="15" s="1"/>
  <c r="X1823" i="15"/>
  <c r="Y1822" i="15" s="1"/>
  <c r="X1824" i="15"/>
  <c r="Y1823" i="15" s="1"/>
  <c r="X1825" i="15"/>
  <c r="Y1824" i="15" s="1"/>
  <c r="X1826" i="15"/>
  <c r="Y1825" i="15" s="1"/>
  <c r="X1827" i="15"/>
  <c r="Y1826" i="15" s="1"/>
  <c r="X1828" i="15"/>
  <c r="Y1827" i="15" s="1"/>
  <c r="X1829" i="15"/>
  <c r="Y1828" i="15" s="1"/>
  <c r="X1830" i="15"/>
  <c r="Y1829" i="15" s="1"/>
  <c r="X1831" i="15"/>
  <c r="Y1830" i="15" s="1"/>
  <c r="X1832" i="15"/>
  <c r="Y1831" i="15" s="1"/>
  <c r="X1833" i="15"/>
  <c r="Y1832" i="15" s="1"/>
  <c r="X1834" i="15"/>
  <c r="Y1833" i="15" s="1"/>
  <c r="X1835" i="15"/>
  <c r="Y1834" i="15" s="1"/>
  <c r="X1836" i="15"/>
  <c r="Y1835" i="15" s="1"/>
  <c r="X1837" i="15"/>
  <c r="Y1836" i="15" s="1"/>
  <c r="X1838" i="15"/>
  <c r="Y1837" i="15" s="1"/>
  <c r="X1839" i="15"/>
  <c r="Y1838" i="15" s="1"/>
  <c r="X1840" i="15"/>
  <c r="Y1839" i="15" s="1"/>
  <c r="X1841" i="15"/>
  <c r="Y1840" i="15" s="1"/>
  <c r="X1842" i="15"/>
  <c r="Y1841" i="15" s="1"/>
  <c r="X1843" i="15"/>
  <c r="Y1842" i="15" s="1"/>
  <c r="X1844" i="15"/>
  <c r="Y1843" i="15" s="1"/>
  <c r="X1845" i="15"/>
  <c r="Y1844" i="15" s="1"/>
  <c r="X1846" i="15"/>
  <c r="Y1845" i="15" s="1"/>
  <c r="X1847" i="15"/>
  <c r="Y1846" i="15" s="1"/>
  <c r="X1848" i="15"/>
  <c r="Y1847" i="15" s="1"/>
  <c r="X1849" i="15"/>
  <c r="Y1848" i="15" s="1"/>
  <c r="X1850" i="15"/>
  <c r="Y1849" i="15" s="1"/>
  <c r="X1851" i="15"/>
  <c r="Y1850" i="15" s="1"/>
  <c r="X1852" i="15"/>
  <c r="Y1851" i="15" s="1"/>
  <c r="X1853" i="15"/>
  <c r="Y1852" i="15" s="1"/>
  <c r="X1854" i="15"/>
  <c r="Y1853" i="15" s="1"/>
  <c r="X1855" i="15"/>
  <c r="Y1854" i="15" s="1"/>
  <c r="X1856" i="15"/>
  <c r="Y1855" i="15" s="1"/>
  <c r="X1857" i="15"/>
  <c r="Y1856" i="15" s="1"/>
  <c r="X1858" i="15"/>
  <c r="Y1857" i="15" s="1"/>
  <c r="X1859" i="15"/>
  <c r="Y1858" i="15" s="1"/>
  <c r="X1860" i="15"/>
  <c r="Y1859" i="15" s="1"/>
  <c r="X1861" i="15"/>
  <c r="Y1860" i="15" s="1"/>
  <c r="X1862" i="15"/>
  <c r="Y1861" i="15" s="1"/>
  <c r="X1863" i="15"/>
  <c r="Y1862" i="15" s="1"/>
  <c r="X1864" i="15"/>
  <c r="Y1863" i="15" s="1"/>
  <c r="X1865" i="15"/>
  <c r="Y1864" i="15" s="1"/>
  <c r="X1866" i="15"/>
  <c r="Y1865" i="15" s="1"/>
  <c r="X1867" i="15"/>
  <c r="Y1866" i="15" s="1"/>
  <c r="X1868" i="15"/>
  <c r="Y1867" i="15" s="1"/>
  <c r="X1869" i="15"/>
  <c r="Y1868" i="15" s="1"/>
  <c r="X1870" i="15"/>
  <c r="Y1869" i="15" s="1"/>
  <c r="X1871" i="15"/>
  <c r="Y1870" i="15" s="1"/>
  <c r="X1872" i="15"/>
  <c r="Y1871" i="15" s="1"/>
  <c r="X1873" i="15"/>
  <c r="Y1872" i="15" s="1"/>
  <c r="X1874" i="15"/>
  <c r="Y1873" i="15" s="1"/>
  <c r="X1875" i="15"/>
  <c r="Y1874" i="15" s="1"/>
  <c r="X1876" i="15"/>
  <c r="Y1875" i="15" s="1"/>
  <c r="X1877" i="15"/>
  <c r="Y1876" i="15" s="1"/>
  <c r="X1878" i="15"/>
  <c r="Y1877" i="15" s="1"/>
  <c r="X1879" i="15"/>
  <c r="Y1878" i="15" s="1"/>
  <c r="X1880" i="15"/>
  <c r="Y1879" i="15" s="1"/>
  <c r="X1881" i="15"/>
  <c r="Y1880" i="15" s="1"/>
  <c r="X1882" i="15"/>
  <c r="Y1881" i="15" s="1"/>
  <c r="X1883" i="15"/>
  <c r="Y1882" i="15" s="1"/>
  <c r="X1884" i="15"/>
  <c r="Y1883" i="15" s="1"/>
  <c r="X1885" i="15"/>
  <c r="Y1884" i="15" s="1"/>
  <c r="X1886" i="15"/>
  <c r="Y1885" i="15" s="1"/>
  <c r="X1887" i="15"/>
  <c r="Y1886" i="15" s="1"/>
  <c r="X1888" i="15"/>
  <c r="Y1887" i="15" s="1"/>
  <c r="X1889" i="15"/>
  <c r="Y1888" i="15" s="1"/>
  <c r="X1890" i="15"/>
  <c r="Y1889" i="15" s="1"/>
  <c r="X1891" i="15"/>
  <c r="Y1890" i="15" s="1"/>
  <c r="X1892" i="15"/>
  <c r="Y1891" i="15" s="1"/>
  <c r="X1893" i="15"/>
  <c r="Y1892" i="15" s="1"/>
  <c r="X1894" i="15"/>
  <c r="Y1893" i="15" s="1"/>
  <c r="X1895" i="15"/>
  <c r="Y1894" i="15" s="1"/>
  <c r="X1896" i="15"/>
  <c r="Y1895" i="15" s="1"/>
  <c r="X1897" i="15"/>
  <c r="Y1896" i="15" s="1"/>
  <c r="X1898" i="15"/>
  <c r="Y1897" i="15" s="1"/>
  <c r="X1899" i="15"/>
  <c r="Y1898" i="15" s="1"/>
  <c r="X1900" i="15"/>
  <c r="Y1899" i="15" s="1"/>
  <c r="X1901" i="15"/>
  <c r="Y1900" i="15" s="1"/>
  <c r="X1902" i="15"/>
  <c r="Y1901" i="15" s="1"/>
  <c r="X1903" i="15"/>
  <c r="Y1902" i="15" s="1"/>
  <c r="X1904" i="15"/>
  <c r="Y1903" i="15" s="1"/>
  <c r="X1905" i="15"/>
  <c r="Y1904" i="15" s="1"/>
  <c r="X1906" i="15"/>
  <c r="Y1905" i="15" s="1"/>
  <c r="X1907" i="15"/>
  <c r="Y1906" i="15" s="1"/>
  <c r="X1908" i="15"/>
  <c r="Y1907" i="15" s="1"/>
  <c r="X1909" i="15"/>
  <c r="Y1908" i="15" s="1"/>
  <c r="X1910" i="15"/>
  <c r="Y1909" i="15" s="1"/>
  <c r="X1911" i="15"/>
  <c r="Y1910" i="15" s="1"/>
  <c r="X1912" i="15"/>
  <c r="Y1911" i="15" s="1"/>
  <c r="X1913" i="15"/>
  <c r="Y1912" i="15" s="1"/>
  <c r="X1914" i="15"/>
  <c r="Y1913" i="15" s="1"/>
  <c r="X1915" i="15"/>
  <c r="Y1914" i="15" s="1"/>
  <c r="X1916" i="15"/>
  <c r="Y1915" i="15" s="1"/>
  <c r="X1917" i="15"/>
  <c r="Y1916" i="15" s="1"/>
  <c r="X1918" i="15"/>
  <c r="Y1917" i="15" s="1"/>
  <c r="X1919" i="15"/>
  <c r="Y1918" i="15" s="1"/>
  <c r="X1920" i="15"/>
  <c r="Y1919" i="15" s="1"/>
  <c r="X1921" i="15"/>
  <c r="Y1920" i="15" s="1"/>
  <c r="X1922" i="15"/>
  <c r="Y1921" i="15" s="1"/>
  <c r="X1923" i="15"/>
  <c r="Y1922" i="15" s="1"/>
  <c r="X1924" i="15"/>
  <c r="Y1923" i="15" s="1"/>
  <c r="X1925" i="15"/>
  <c r="Y1924" i="15" s="1"/>
  <c r="X1926" i="15"/>
  <c r="Y1925" i="15" s="1"/>
  <c r="X1927" i="15"/>
  <c r="Y1926" i="15" s="1"/>
  <c r="X1928" i="15"/>
  <c r="Y1927" i="15" s="1"/>
  <c r="X1929" i="15"/>
  <c r="Y1928" i="15" s="1"/>
  <c r="X1930" i="15"/>
  <c r="Y1929" i="15" s="1"/>
  <c r="X1931" i="15"/>
  <c r="Y1930" i="15" s="1"/>
  <c r="X1932" i="15"/>
  <c r="Y1931" i="15" s="1"/>
  <c r="X1933" i="15"/>
  <c r="Y1932" i="15" s="1"/>
  <c r="X1934" i="15"/>
  <c r="Y1933" i="15" s="1"/>
  <c r="X1935" i="15"/>
  <c r="Y1934" i="15" s="1"/>
  <c r="X1936" i="15"/>
  <c r="Y1935" i="15" s="1"/>
  <c r="X1937" i="15"/>
  <c r="Y1936" i="15" s="1"/>
  <c r="X1938" i="15"/>
  <c r="Y1937" i="15" s="1"/>
  <c r="X1939" i="15"/>
  <c r="Y1938" i="15" s="1"/>
  <c r="X1940" i="15"/>
  <c r="Y1939" i="15" s="1"/>
  <c r="X1941" i="15"/>
  <c r="Y1940" i="15" s="1"/>
  <c r="X1942" i="15"/>
  <c r="Y1941" i="15" s="1"/>
  <c r="X1943" i="15"/>
  <c r="Y1942" i="15" s="1"/>
  <c r="X1944" i="15"/>
  <c r="Y1943" i="15" s="1"/>
  <c r="X1945" i="15"/>
  <c r="Y1944" i="15" s="1"/>
  <c r="X1946" i="15"/>
  <c r="Y1945" i="15" s="1"/>
  <c r="X1947" i="15"/>
  <c r="Y1946" i="15" s="1"/>
  <c r="X1948" i="15"/>
  <c r="Y1947" i="15" s="1"/>
  <c r="X1949" i="15"/>
  <c r="Y1948" i="15" s="1"/>
  <c r="X1950" i="15"/>
  <c r="Y1949" i="15" s="1"/>
  <c r="X1951" i="15"/>
  <c r="Y1950" i="15" s="1"/>
  <c r="X1952" i="15"/>
  <c r="Y1951" i="15" s="1"/>
  <c r="X1953" i="15"/>
  <c r="Y1952" i="15" s="1"/>
  <c r="X1954" i="15"/>
  <c r="Y1953" i="15" s="1"/>
  <c r="X1955" i="15"/>
  <c r="Y1954" i="15" s="1"/>
  <c r="X1956" i="15"/>
  <c r="Y1955" i="15" s="1"/>
  <c r="X1957" i="15"/>
  <c r="Y1956" i="15" s="1"/>
  <c r="X1958" i="15"/>
  <c r="Y1957" i="15" s="1"/>
  <c r="X1959" i="15"/>
  <c r="Y1958" i="15" s="1"/>
  <c r="X1960" i="15"/>
  <c r="Y1959" i="15" s="1"/>
  <c r="X1961" i="15"/>
  <c r="Y1960" i="15" s="1"/>
  <c r="X1962" i="15"/>
  <c r="Y1961" i="15" s="1"/>
  <c r="X1963" i="15"/>
  <c r="Y1962" i="15" s="1"/>
  <c r="X1964" i="15"/>
  <c r="Y1963" i="15" s="1"/>
  <c r="X1965" i="15"/>
  <c r="Y1964" i="15" s="1"/>
  <c r="X1966" i="15"/>
  <c r="Y1965" i="15" s="1"/>
  <c r="X1967" i="15"/>
  <c r="Y1966" i="15" s="1"/>
  <c r="X1968" i="15"/>
  <c r="Y1967" i="15" s="1"/>
  <c r="X1969" i="15"/>
  <c r="Y1968" i="15" s="1"/>
  <c r="X1970" i="15"/>
  <c r="Y1969" i="15" s="1"/>
  <c r="X1971" i="15"/>
  <c r="Y1970" i="15" s="1"/>
  <c r="X1972" i="15"/>
  <c r="Y1971" i="15" s="1"/>
  <c r="X1973" i="15"/>
  <c r="Y1972" i="15" s="1"/>
  <c r="X1974" i="15"/>
  <c r="Y1973" i="15" s="1"/>
  <c r="X1975" i="15"/>
  <c r="Y1974" i="15" s="1"/>
  <c r="X1976" i="15"/>
  <c r="Y1975" i="15" s="1"/>
  <c r="X1977" i="15"/>
  <c r="Y1976" i="15" s="1"/>
  <c r="X1978" i="15"/>
  <c r="Y1977" i="15" s="1"/>
  <c r="X1979" i="15"/>
  <c r="Y1978" i="15" s="1"/>
  <c r="X1980" i="15"/>
  <c r="Y1979" i="15" s="1"/>
  <c r="X1981" i="15"/>
  <c r="Y1980" i="15" s="1"/>
  <c r="X1982" i="15"/>
  <c r="Y1981" i="15" s="1"/>
  <c r="X1983" i="15"/>
  <c r="Y1982" i="15" s="1"/>
  <c r="X1984" i="15"/>
  <c r="Y1983" i="15" s="1"/>
  <c r="X1985" i="15"/>
  <c r="Y1984" i="15" s="1"/>
  <c r="X1986" i="15"/>
  <c r="Y1985" i="15" s="1"/>
  <c r="X1987" i="15"/>
  <c r="Y1986" i="15" s="1"/>
  <c r="X1988" i="15"/>
  <c r="Y1987" i="15" s="1"/>
  <c r="X1989" i="15"/>
  <c r="Y1988" i="15" s="1"/>
  <c r="X1990" i="15"/>
  <c r="Y1989" i="15" s="1"/>
  <c r="X1991" i="15"/>
  <c r="Y1990" i="15" s="1"/>
  <c r="X1992" i="15"/>
  <c r="Y1991" i="15" s="1"/>
  <c r="X1993" i="15"/>
  <c r="Y1992" i="15" s="1"/>
  <c r="X1994" i="15"/>
  <c r="Y1993" i="15" s="1"/>
  <c r="X1995" i="15"/>
  <c r="Y1994" i="15" s="1"/>
  <c r="X1996" i="15"/>
  <c r="Y1995" i="15" s="1"/>
  <c r="X1997" i="15"/>
  <c r="Y1996" i="15" s="1"/>
  <c r="X1998" i="15"/>
  <c r="Y1997" i="15" s="1"/>
  <c r="X1999" i="15"/>
  <c r="Y1998" i="15" s="1"/>
  <c r="X2000" i="15"/>
  <c r="Y1999" i="15" s="1"/>
  <c r="X2001" i="15"/>
  <c r="Y2000" i="15" s="1"/>
  <c r="X2002" i="15"/>
  <c r="Y2001" i="15" s="1"/>
  <c r="X2003" i="15"/>
  <c r="Y2002" i="15" s="1"/>
  <c r="X2004" i="15"/>
  <c r="Y2003" i="15" s="1"/>
  <c r="X2005" i="15"/>
  <c r="Y2004" i="15" s="1"/>
  <c r="X2006" i="15"/>
  <c r="Y2005" i="15" s="1"/>
  <c r="X2007" i="15"/>
  <c r="Y2006" i="15" s="1"/>
  <c r="X2008" i="15"/>
  <c r="Y2007" i="15" s="1"/>
  <c r="X2009" i="15"/>
  <c r="Y2008" i="15" s="1"/>
  <c r="X2010" i="15"/>
  <c r="Y2009" i="15" s="1"/>
  <c r="X2011" i="15"/>
  <c r="Y2010" i="15" s="1"/>
  <c r="X2012" i="15"/>
  <c r="Y2011" i="15" s="1"/>
  <c r="X2013" i="15"/>
  <c r="Y2012" i="15" s="1"/>
  <c r="X2014" i="15"/>
  <c r="Y2013" i="15" s="1"/>
  <c r="X2015" i="15"/>
  <c r="Y2014" i="15" s="1"/>
  <c r="X2016" i="15"/>
  <c r="Y2015" i="15" s="1"/>
  <c r="X2017" i="15"/>
  <c r="Y2016" i="15" s="1"/>
  <c r="X2018" i="15"/>
  <c r="Y2017" i="15" s="1"/>
  <c r="X2019" i="15"/>
  <c r="Y2018" i="15" s="1"/>
  <c r="X2020" i="15"/>
  <c r="Y2019" i="15" s="1"/>
  <c r="X2021" i="15"/>
  <c r="Y2020" i="15" s="1"/>
  <c r="X2022" i="15"/>
  <c r="Y2021" i="15" s="1"/>
  <c r="X2023" i="15"/>
  <c r="Y2022" i="15" s="1"/>
  <c r="X2024" i="15"/>
  <c r="Y2023" i="15" s="1"/>
  <c r="X2025" i="15"/>
  <c r="Y2024" i="15" s="1"/>
  <c r="X2026" i="15"/>
  <c r="Y2025" i="15" s="1"/>
  <c r="X2027" i="15"/>
  <c r="Y2026" i="15" s="1"/>
  <c r="X2028" i="15"/>
  <c r="Y2027" i="15" s="1"/>
  <c r="X2029" i="15"/>
  <c r="Y2028" i="15" s="1"/>
  <c r="X2030" i="15"/>
  <c r="Y2029" i="15" s="1"/>
  <c r="X2031" i="15"/>
  <c r="Y2030" i="15" s="1"/>
  <c r="X2032" i="15"/>
  <c r="Y2031" i="15" s="1"/>
  <c r="X2033" i="15"/>
  <c r="Y2032" i="15" s="1"/>
  <c r="X2034" i="15"/>
  <c r="Y2033" i="15" s="1"/>
  <c r="X2035" i="15"/>
  <c r="Y2034" i="15" s="1"/>
  <c r="X2036" i="15"/>
  <c r="Y2035" i="15" s="1"/>
  <c r="X2037" i="15"/>
  <c r="Y2036" i="15" s="1"/>
  <c r="X2038" i="15"/>
  <c r="Y2037" i="15" s="1"/>
  <c r="X2039" i="15"/>
  <c r="Y2038" i="15" s="1"/>
  <c r="X2040" i="15"/>
  <c r="Y2039" i="15" s="1"/>
  <c r="X2041" i="15"/>
  <c r="Y2040" i="15" s="1"/>
  <c r="X2042" i="15"/>
  <c r="Y2041" i="15" s="1"/>
  <c r="X2043" i="15"/>
  <c r="Y2042" i="15" s="1"/>
  <c r="X2044" i="15"/>
  <c r="Y2043" i="15" s="1"/>
  <c r="X2045" i="15"/>
  <c r="Y2044" i="15" s="1"/>
  <c r="X2046" i="15"/>
  <c r="Y2045" i="15" s="1"/>
  <c r="X2047" i="15"/>
  <c r="Y2046" i="15" s="1"/>
  <c r="X2048" i="15"/>
  <c r="Y2047" i="15" s="1"/>
  <c r="X2049" i="15"/>
  <c r="Y2048" i="15" s="1"/>
  <c r="X2050" i="15"/>
  <c r="Y2049" i="15" s="1"/>
  <c r="X2051" i="15"/>
  <c r="Y2050" i="15" s="1"/>
  <c r="X2052" i="15"/>
  <c r="Y2051" i="15" s="1"/>
  <c r="X2053" i="15"/>
  <c r="Y2052" i="15" s="1"/>
  <c r="X2054" i="15"/>
  <c r="Y2053" i="15" s="1"/>
  <c r="X2055" i="15"/>
  <c r="Y2054" i="15" s="1"/>
  <c r="X2056" i="15"/>
  <c r="Y2055" i="15" s="1"/>
  <c r="X2057" i="15"/>
  <c r="Y2056" i="15" s="1"/>
  <c r="X2058" i="15"/>
  <c r="Y2057" i="15" s="1"/>
  <c r="X2059" i="15"/>
  <c r="Y2058" i="15" s="1"/>
  <c r="X2060" i="15"/>
  <c r="Y2059" i="15" s="1"/>
  <c r="X2061" i="15"/>
  <c r="Y2060" i="15" s="1"/>
  <c r="X2062" i="15"/>
  <c r="Y2061" i="15" s="1"/>
  <c r="X2063" i="15"/>
  <c r="Y2062" i="15" s="1"/>
  <c r="X2064" i="15"/>
  <c r="Y2063" i="15" s="1"/>
  <c r="X2065" i="15"/>
  <c r="Y2064" i="15" s="1"/>
  <c r="X2066" i="15"/>
  <c r="Y2065" i="15" s="1"/>
  <c r="X2067" i="15"/>
  <c r="Y2066" i="15" s="1"/>
  <c r="X2068" i="15"/>
  <c r="Y2067" i="15" s="1"/>
  <c r="X2069" i="15"/>
  <c r="Y2068" i="15" s="1"/>
  <c r="X2070" i="15"/>
  <c r="Y2069" i="15" s="1"/>
  <c r="X2071" i="15"/>
  <c r="Y2070" i="15" s="1"/>
  <c r="X2072" i="15"/>
  <c r="Y2071" i="15" s="1"/>
  <c r="X2073" i="15"/>
  <c r="Y2072" i="15" s="1"/>
  <c r="X2074" i="15"/>
  <c r="Y2073" i="15" s="1"/>
  <c r="X2075" i="15"/>
  <c r="Y2074" i="15" s="1"/>
  <c r="X2076" i="15"/>
  <c r="Y2075" i="15" s="1"/>
  <c r="X2077" i="15"/>
  <c r="Y2076" i="15" s="1"/>
  <c r="X2078" i="15"/>
  <c r="Y2077" i="15" s="1"/>
  <c r="X2079" i="15"/>
  <c r="Y2078" i="15" s="1"/>
  <c r="X2080" i="15"/>
  <c r="Y2079" i="15" s="1"/>
  <c r="X2081" i="15"/>
  <c r="Y2080" i="15" s="1"/>
  <c r="X2082" i="15"/>
  <c r="Y2081" i="15" s="1"/>
  <c r="X2083" i="15"/>
  <c r="Y2082" i="15" s="1"/>
  <c r="X2084" i="15"/>
  <c r="Y2083" i="15" s="1"/>
  <c r="X2085" i="15"/>
  <c r="Y2084" i="15" s="1"/>
  <c r="X2086" i="15"/>
  <c r="Y2085" i="15" s="1"/>
  <c r="X2087" i="15"/>
  <c r="Y2086" i="15" s="1"/>
  <c r="X2088" i="15"/>
  <c r="Y2087" i="15" s="1"/>
  <c r="X2089" i="15"/>
  <c r="Y2088" i="15" s="1"/>
  <c r="X2090" i="15"/>
  <c r="Y2089" i="15" s="1"/>
  <c r="X2091" i="15"/>
  <c r="Y2090" i="15" s="1"/>
  <c r="X2092" i="15"/>
  <c r="Y2091" i="15" s="1"/>
  <c r="X2093" i="15"/>
  <c r="Y2092" i="15" s="1"/>
  <c r="X2094" i="15"/>
  <c r="Y2093" i="15" s="1"/>
  <c r="X2095" i="15"/>
  <c r="Y2094" i="15" s="1"/>
  <c r="X2096" i="15"/>
  <c r="Y2095" i="15" s="1"/>
  <c r="X2097" i="15"/>
  <c r="Y2096" i="15" s="1"/>
  <c r="X2098" i="15"/>
  <c r="Y2097" i="15" s="1"/>
  <c r="X2099" i="15"/>
  <c r="Y2098" i="15" s="1"/>
  <c r="X2100" i="15"/>
  <c r="Y2099" i="15" s="1"/>
  <c r="X2101" i="15"/>
  <c r="Y2100" i="15" s="1"/>
  <c r="X2102" i="15"/>
  <c r="Y2101" i="15" s="1"/>
  <c r="X2103" i="15"/>
  <c r="Y2102" i="15" s="1"/>
  <c r="X2104" i="15"/>
  <c r="Y2103" i="15" s="1"/>
  <c r="X2105" i="15"/>
  <c r="Y2104" i="15" s="1"/>
  <c r="X2106" i="15"/>
  <c r="Y2105" i="15" s="1"/>
  <c r="X2107" i="15"/>
  <c r="Y2106" i="15" s="1"/>
  <c r="X2108" i="15"/>
  <c r="Y2107" i="15" s="1"/>
  <c r="X2109" i="15"/>
  <c r="Y2108" i="15" s="1"/>
  <c r="X2110" i="15"/>
  <c r="Y2109" i="15" s="1"/>
  <c r="X2111" i="15"/>
  <c r="Y2110" i="15" s="1"/>
  <c r="X2112" i="15"/>
  <c r="Y2111" i="15" s="1"/>
  <c r="X2113" i="15"/>
  <c r="Y2112" i="15" s="1"/>
  <c r="X2114" i="15"/>
  <c r="Y2113" i="15" s="1"/>
  <c r="X2115" i="15"/>
  <c r="Y2114" i="15" s="1"/>
  <c r="X2116" i="15"/>
  <c r="Y2115" i="15" s="1"/>
  <c r="X2117" i="15"/>
  <c r="Y2116" i="15" s="1"/>
  <c r="X2118" i="15"/>
  <c r="Y2117" i="15" s="1"/>
  <c r="X2119" i="15"/>
  <c r="Y2118" i="15" s="1"/>
  <c r="X2120" i="15"/>
  <c r="Y2119" i="15" s="1"/>
  <c r="X2121" i="15"/>
  <c r="Y2120" i="15" s="1"/>
  <c r="X2122" i="15"/>
  <c r="Y2121" i="15" s="1"/>
  <c r="X2123" i="15"/>
  <c r="Y2122" i="15" s="1"/>
  <c r="X2124" i="15"/>
  <c r="Y2123" i="15" s="1"/>
  <c r="X2125" i="15"/>
  <c r="Y2124" i="15" s="1"/>
  <c r="X2126" i="15"/>
  <c r="Y2125" i="15" s="1"/>
  <c r="X2127" i="15"/>
  <c r="Y2126" i="15" s="1"/>
  <c r="X2128" i="15"/>
  <c r="Y2127" i="15" s="1"/>
  <c r="X2129" i="15"/>
  <c r="Y2128" i="15" s="1"/>
  <c r="X2130" i="15"/>
  <c r="Y2129" i="15" s="1"/>
  <c r="X2131" i="15"/>
  <c r="Y2130" i="15" s="1"/>
  <c r="X2132" i="15"/>
  <c r="Y2131" i="15" s="1"/>
  <c r="X2133" i="15"/>
  <c r="Y2132" i="15" s="1"/>
  <c r="X2134" i="15"/>
  <c r="Y2133" i="15" s="1"/>
  <c r="X2135" i="15"/>
  <c r="Y2134" i="15" s="1"/>
  <c r="X2136" i="15"/>
  <c r="Y2135" i="15" s="1"/>
  <c r="X2137" i="15"/>
  <c r="Y2136" i="15" s="1"/>
  <c r="X2138" i="15"/>
  <c r="Y2137" i="15" s="1"/>
  <c r="X2139" i="15"/>
  <c r="Y2138" i="15" s="1"/>
  <c r="X2140" i="15"/>
  <c r="Y2139" i="15" s="1"/>
  <c r="X2141" i="15"/>
  <c r="Y2140" i="15" s="1"/>
  <c r="X2142" i="15"/>
  <c r="Y2141" i="15" s="1"/>
  <c r="X2143" i="15"/>
  <c r="Y2142" i="15" s="1"/>
  <c r="X2144" i="15"/>
  <c r="Y2143" i="15" s="1"/>
  <c r="X2145" i="15"/>
  <c r="Y2144" i="15" s="1"/>
  <c r="X2146" i="15"/>
  <c r="Y2145" i="15" s="1"/>
  <c r="X2147" i="15"/>
  <c r="Y2146" i="15" s="1"/>
  <c r="X2148" i="15"/>
  <c r="Y2147" i="15" s="1"/>
  <c r="X2149" i="15"/>
  <c r="Y2148" i="15" s="1"/>
  <c r="X2150" i="15"/>
  <c r="Y2149" i="15" s="1"/>
  <c r="X2151" i="15"/>
  <c r="Y2150" i="15" s="1"/>
  <c r="X2152" i="15"/>
  <c r="Y2151" i="15" s="1"/>
  <c r="X2153" i="15"/>
  <c r="Y2152" i="15" s="1"/>
  <c r="X2154" i="15"/>
  <c r="Y2153" i="15" s="1"/>
  <c r="X2155" i="15"/>
  <c r="Y2154" i="15" s="1"/>
  <c r="X2156" i="15"/>
  <c r="Y2155" i="15" s="1"/>
  <c r="X2157" i="15"/>
  <c r="Y2156" i="15" s="1"/>
  <c r="X2158" i="15"/>
  <c r="Y2157" i="15" s="1"/>
  <c r="X2159" i="15"/>
  <c r="Y2158" i="15" s="1"/>
  <c r="X2160" i="15"/>
  <c r="Y2159" i="15" s="1"/>
  <c r="X2161" i="15"/>
  <c r="Y2160" i="15" s="1"/>
  <c r="X2162" i="15"/>
  <c r="Y2161" i="15" s="1"/>
  <c r="X2163" i="15"/>
  <c r="Y2162" i="15" s="1"/>
  <c r="X2164" i="15"/>
  <c r="Y2163" i="15" s="1"/>
  <c r="X2165" i="15"/>
  <c r="Y2164" i="15" s="1"/>
  <c r="X2166" i="15"/>
  <c r="Y2165" i="15" s="1"/>
  <c r="X2167" i="15"/>
  <c r="Y2166" i="15" s="1"/>
  <c r="X2168" i="15"/>
  <c r="Y2167" i="15" s="1"/>
  <c r="X2169" i="15"/>
  <c r="Y2168" i="15" s="1"/>
  <c r="X2170" i="15"/>
  <c r="Y2169" i="15" s="1"/>
  <c r="X2171" i="15"/>
  <c r="Y2170" i="15" s="1"/>
  <c r="X2172" i="15"/>
  <c r="Y2171" i="15" s="1"/>
  <c r="X2173" i="15"/>
  <c r="Y2172" i="15" s="1"/>
  <c r="X2174" i="15"/>
  <c r="Y2173" i="15" s="1"/>
  <c r="X2175" i="15"/>
  <c r="Y2174" i="15" s="1"/>
  <c r="X2176" i="15"/>
  <c r="Y2175" i="15" s="1"/>
  <c r="X2177" i="15"/>
  <c r="Y2176" i="15" s="1"/>
  <c r="X2178" i="15"/>
  <c r="Y2177" i="15" s="1"/>
  <c r="X2179" i="15"/>
  <c r="Y2178" i="15" s="1"/>
  <c r="X2180" i="15"/>
  <c r="Y2179" i="15" s="1"/>
  <c r="X2181" i="15"/>
  <c r="Y2180" i="15" s="1"/>
  <c r="X2182" i="15"/>
  <c r="Y2181" i="15" s="1"/>
  <c r="X2183" i="15"/>
  <c r="Y2182" i="15" s="1"/>
  <c r="X2184" i="15"/>
  <c r="Y2183" i="15" s="1"/>
  <c r="X2185" i="15"/>
  <c r="Y2184" i="15" s="1"/>
  <c r="X2186" i="15"/>
  <c r="Y2185" i="15" s="1"/>
  <c r="X2187" i="15"/>
  <c r="Y2186" i="15" s="1"/>
  <c r="X2188" i="15"/>
  <c r="Y2187" i="15" s="1"/>
  <c r="X2189" i="15"/>
  <c r="Y2188" i="15" s="1"/>
  <c r="X2190" i="15"/>
  <c r="Y2189" i="15" s="1"/>
  <c r="X2191" i="15"/>
  <c r="Y2190" i="15" s="1"/>
  <c r="X2192" i="15"/>
  <c r="Y2191" i="15" s="1"/>
  <c r="X2193" i="15"/>
  <c r="Y2192" i="15" s="1"/>
  <c r="X2194" i="15"/>
  <c r="Y2193" i="15" s="1"/>
  <c r="X2195" i="15"/>
  <c r="Y2194" i="15" s="1"/>
  <c r="X2196" i="15"/>
  <c r="Y2195" i="15" s="1"/>
  <c r="X2197" i="15"/>
  <c r="Y2196" i="15" s="1"/>
  <c r="X2198" i="15"/>
  <c r="Y2197" i="15" s="1"/>
  <c r="X2199" i="15"/>
  <c r="Y2198" i="15" s="1"/>
  <c r="X2200" i="15"/>
  <c r="Y2199" i="15" s="1"/>
  <c r="X2201" i="15"/>
  <c r="Y2200" i="15" s="1"/>
  <c r="X2202" i="15"/>
  <c r="Y2201" i="15" s="1"/>
  <c r="X2203" i="15"/>
  <c r="Y2202" i="15" s="1"/>
  <c r="X2204" i="15"/>
  <c r="Y2203" i="15" s="1"/>
  <c r="X2205" i="15"/>
  <c r="Y2204" i="15" s="1"/>
  <c r="X2206" i="15"/>
  <c r="Y2205" i="15" s="1"/>
  <c r="X2207" i="15"/>
  <c r="Y2206" i="15" s="1"/>
  <c r="X2208" i="15"/>
  <c r="Y2207" i="15" s="1"/>
  <c r="X2209" i="15"/>
  <c r="Y2208" i="15" s="1"/>
  <c r="X2210" i="15"/>
  <c r="Y2209" i="15" s="1"/>
  <c r="X2211" i="15"/>
  <c r="Y2210" i="15" s="1"/>
  <c r="X2212" i="15"/>
  <c r="Y2211" i="15" s="1"/>
  <c r="X2213" i="15"/>
  <c r="Y2212" i="15" s="1"/>
  <c r="X2214" i="15"/>
  <c r="Y2213" i="15" s="1"/>
  <c r="X2215" i="15"/>
  <c r="Y2214" i="15" s="1"/>
  <c r="X2216" i="15"/>
  <c r="Y2215" i="15" s="1"/>
  <c r="X2217" i="15"/>
  <c r="Y2216" i="15" s="1"/>
  <c r="X2218" i="15"/>
  <c r="Y2217" i="15" s="1"/>
  <c r="X2219" i="15"/>
  <c r="Y2218" i="15" s="1"/>
  <c r="X2220" i="15"/>
  <c r="Y2219" i="15" s="1"/>
  <c r="X2221" i="15"/>
  <c r="Y2220" i="15" s="1"/>
  <c r="X2222" i="15"/>
  <c r="Y2221" i="15" s="1"/>
  <c r="X2223" i="15"/>
  <c r="Y2222" i="15" s="1"/>
  <c r="X2224" i="15"/>
  <c r="Y2223" i="15" s="1"/>
  <c r="X2225" i="15"/>
  <c r="Y2224" i="15" s="1"/>
  <c r="X2226" i="15"/>
  <c r="Y2225" i="15" s="1"/>
  <c r="X2227" i="15"/>
  <c r="Y2226" i="15" s="1"/>
  <c r="X2228" i="15"/>
  <c r="Y2227" i="15" s="1"/>
  <c r="X2229" i="15"/>
  <c r="Y2228" i="15" s="1"/>
  <c r="X2230" i="15"/>
  <c r="Y2229" i="15" s="1"/>
  <c r="X2231" i="15"/>
  <c r="Y2230" i="15" s="1"/>
  <c r="X2232" i="15"/>
  <c r="Y2231" i="15" s="1"/>
  <c r="X2233" i="15"/>
  <c r="Y2232" i="15" s="1"/>
  <c r="X2234" i="15"/>
  <c r="Y2233" i="15" s="1"/>
  <c r="X2235" i="15"/>
  <c r="Y2234" i="15" s="1"/>
  <c r="X2236" i="15"/>
  <c r="Y2235" i="15" s="1"/>
  <c r="X2237" i="15"/>
  <c r="Y2236" i="15" s="1"/>
  <c r="X2238" i="15"/>
  <c r="Y2237" i="15" s="1"/>
  <c r="X2239" i="15"/>
  <c r="Y2238" i="15" s="1"/>
  <c r="X2240" i="15"/>
  <c r="Y2239" i="15" s="1"/>
  <c r="X2241" i="15"/>
  <c r="Y2240" i="15" s="1"/>
  <c r="X2242" i="15"/>
  <c r="Y2241" i="15" s="1"/>
  <c r="X2243" i="15"/>
  <c r="Y2242" i="15" s="1"/>
  <c r="X2244" i="15"/>
  <c r="Y2243" i="15" s="1"/>
  <c r="X2245" i="15"/>
  <c r="Y2244" i="15" s="1"/>
  <c r="X2246" i="15"/>
  <c r="Y2245" i="15" s="1"/>
  <c r="X2247" i="15"/>
  <c r="Y2246" i="15" s="1"/>
  <c r="X2248" i="15"/>
  <c r="Y2247" i="15" s="1"/>
  <c r="X2249" i="15"/>
  <c r="Y2248" i="15" s="1"/>
  <c r="X2250" i="15"/>
  <c r="Y2249" i="15" s="1"/>
  <c r="X2251" i="15"/>
  <c r="Y2250" i="15" s="1"/>
  <c r="X2252" i="15"/>
  <c r="Y2251" i="15" s="1"/>
  <c r="X2253" i="15"/>
  <c r="Y2252" i="15" s="1"/>
  <c r="X2254" i="15"/>
  <c r="Y2253" i="15" s="1"/>
  <c r="X2255" i="15"/>
  <c r="Y2254" i="15" s="1"/>
  <c r="X2256" i="15"/>
  <c r="Y2255" i="15" s="1"/>
  <c r="X2257" i="15"/>
  <c r="Y2256" i="15" s="1"/>
  <c r="X2258" i="15"/>
  <c r="Y2257" i="15" s="1"/>
  <c r="X2259" i="15"/>
  <c r="Y2258" i="15" s="1"/>
  <c r="X2260" i="15"/>
  <c r="Y2259" i="15" s="1"/>
  <c r="X2261" i="15"/>
  <c r="Y2260" i="15" s="1"/>
  <c r="X2262" i="15"/>
  <c r="Y2261" i="15" s="1"/>
  <c r="X2263" i="15"/>
  <c r="Y2262" i="15" s="1"/>
  <c r="X2264" i="15"/>
  <c r="Y2263" i="15" s="1"/>
  <c r="X2265" i="15"/>
  <c r="Y2264" i="15" s="1"/>
  <c r="X2266" i="15"/>
  <c r="Y2265" i="15" s="1"/>
  <c r="X2267" i="15"/>
  <c r="Y2266" i="15" s="1"/>
  <c r="X2268" i="15"/>
  <c r="Y2267" i="15" s="1"/>
  <c r="X2269" i="15"/>
  <c r="Y2268" i="15" s="1"/>
  <c r="X2270" i="15"/>
  <c r="Y2269" i="15" s="1"/>
  <c r="X2271" i="15"/>
  <c r="Y2270" i="15" s="1"/>
  <c r="X2272" i="15"/>
  <c r="Y2271" i="15" s="1"/>
  <c r="X2273" i="15"/>
  <c r="Y2272" i="15" s="1"/>
  <c r="X2274" i="15"/>
  <c r="Y2273" i="15" s="1"/>
  <c r="X2275" i="15"/>
  <c r="Y2274" i="15" s="1"/>
  <c r="X2276" i="15"/>
  <c r="Y2275" i="15" s="1"/>
  <c r="X2277" i="15"/>
  <c r="Y2276" i="15" s="1"/>
  <c r="X2278" i="15"/>
  <c r="Y2277" i="15" s="1"/>
  <c r="X2279" i="15"/>
  <c r="Y2278" i="15" s="1"/>
  <c r="X2280" i="15"/>
  <c r="Y2279" i="15" s="1"/>
  <c r="X2281" i="15"/>
  <c r="Y2280" i="15" s="1"/>
  <c r="X2282" i="15"/>
  <c r="Y2281" i="15" s="1"/>
  <c r="X2283" i="15"/>
  <c r="Y2282" i="15" s="1"/>
  <c r="X2284" i="15"/>
  <c r="Y2283" i="15" s="1"/>
  <c r="X2285" i="15"/>
  <c r="Y2284" i="15" s="1"/>
  <c r="X2286" i="15"/>
  <c r="Y2285" i="15" s="1"/>
  <c r="X2287" i="15"/>
  <c r="Y2286" i="15" s="1"/>
  <c r="X2288" i="15"/>
  <c r="Y2287" i="15" s="1"/>
  <c r="X2289" i="15"/>
  <c r="Y2288" i="15" s="1"/>
  <c r="X2290" i="15"/>
  <c r="Y2289" i="15" s="1"/>
  <c r="X2291" i="15"/>
  <c r="Y2290" i="15" s="1"/>
  <c r="X2292" i="15"/>
  <c r="Y2291" i="15" s="1"/>
  <c r="X2293" i="15"/>
  <c r="Y2292" i="15" s="1"/>
  <c r="X2294" i="15"/>
  <c r="Y2293" i="15" s="1"/>
  <c r="X2295" i="15"/>
  <c r="Y2294" i="15" s="1"/>
  <c r="X2296" i="15"/>
  <c r="Y2295" i="15" s="1"/>
  <c r="X2297" i="15"/>
  <c r="Y2296" i="15" s="1"/>
  <c r="X2298" i="15"/>
  <c r="Y2297" i="15" s="1"/>
  <c r="X2299" i="15"/>
  <c r="Y2298" i="15" s="1"/>
  <c r="X2300" i="15"/>
  <c r="Y2299" i="15" s="1"/>
  <c r="X2301" i="15"/>
  <c r="Y2300" i="15" s="1"/>
  <c r="X2302" i="15"/>
  <c r="Y2301" i="15" s="1"/>
  <c r="X2303" i="15"/>
  <c r="Y2302" i="15" s="1"/>
  <c r="X2304" i="15"/>
  <c r="Y2303" i="15" s="1"/>
  <c r="X2305" i="15"/>
  <c r="Y2304" i="15" s="1"/>
  <c r="X2306" i="15"/>
  <c r="Y2305" i="15" s="1"/>
  <c r="X2307" i="15"/>
  <c r="Y2306" i="15" s="1"/>
  <c r="X2308" i="15"/>
  <c r="Y2307" i="15" s="1"/>
  <c r="X2309" i="15"/>
  <c r="Y2308" i="15" s="1"/>
  <c r="X2310" i="15"/>
  <c r="Y2309" i="15" s="1"/>
  <c r="X2311" i="15"/>
  <c r="Y2310" i="15" s="1"/>
  <c r="X2312" i="15"/>
  <c r="Y2311" i="15" s="1"/>
  <c r="X2313" i="15"/>
  <c r="Y2312" i="15" s="1"/>
  <c r="X2314" i="15"/>
  <c r="Y2313" i="15" s="1"/>
  <c r="X2315" i="15"/>
  <c r="Y2314" i="15" s="1"/>
  <c r="X2316" i="15"/>
  <c r="Y2315" i="15" s="1"/>
  <c r="X2317" i="15"/>
  <c r="Y2316" i="15" s="1"/>
  <c r="X2318" i="15"/>
  <c r="Y2317" i="15" s="1"/>
  <c r="X2319" i="15"/>
  <c r="Y2318" i="15" s="1"/>
  <c r="X2320" i="15"/>
  <c r="Y2319" i="15" s="1"/>
  <c r="X2321" i="15"/>
  <c r="Y2320" i="15" s="1"/>
  <c r="X2322" i="15"/>
  <c r="Y2321" i="15" s="1"/>
  <c r="X2323" i="15"/>
  <c r="Y2322" i="15" s="1"/>
  <c r="X2324" i="15"/>
  <c r="Y2323" i="15" s="1"/>
  <c r="X2325" i="15"/>
  <c r="Y2324" i="15" s="1"/>
  <c r="X2326" i="15"/>
  <c r="Y2325" i="15" s="1"/>
  <c r="X2327" i="15"/>
  <c r="Y2326" i="15" s="1"/>
  <c r="X2328" i="15"/>
  <c r="Y2327" i="15" s="1"/>
  <c r="X2329" i="15"/>
  <c r="Y2328" i="15" s="1"/>
  <c r="X2330" i="15"/>
  <c r="Y2329" i="15" s="1"/>
  <c r="X2331" i="15"/>
  <c r="Y2330" i="15" s="1"/>
  <c r="X2332" i="15"/>
  <c r="Y2331" i="15" s="1"/>
  <c r="X2333" i="15"/>
  <c r="Y2332" i="15" s="1"/>
  <c r="X2334" i="15"/>
  <c r="Y2333" i="15" s="1"/>
  <c r="X2335" i="15"/>
  <c r="Y2334" i="15" s="1"/>
  <c r="X2336" i="15"/>
  <c r="Y2335" i="15" s="1"/>
  <c r="X2337" i="15"/>
  <c r="Y2336" i="15" s="1"/>
  <c r="X2338" i="15"/>
  <c r="Y2337" i="15" s="1"/>
  <c r="X2339" i="15"/>
  <c r="Y2338" i="15" s="1"/>
  <c r="X2340" i="15"/>
  <c r="Y2339" i="15" s="1"/>
  <c r="X2341" i="15"/>
  <c r="Y2340" i="15" s="1"/>
  <c r="X2342" i="15"/>
  <c r="Y2341" i="15" s="1"/>
  <c r="X2343" i="15"/>
  <c r="Y2342" i="15" s="1"/>
  <c r="X2344" i="15"/>
  <c r="Y2343" i="15" s="1"/>
  <c r="X2345" i="15"/>
  <c r="Y2344" i="15" s="1"/>
  <c r="X2346" i="15"/>
  <c r="Y2345" i="15" s="1"/>
  <c r="X2347" i="15"/>
  <c r="Y2346" i="15" s="1"/>
  <c r="X2348" i="15"/>
  <c r="Y2347" i="15" s="1"/>
  <c r="X2349" i="15"/>
  <c r="Y2348" i="15" s="1"/>
  <c r="X2350" i="15"/>
  <c r="Y2349" i="15" s="1"/>
  <c r="X2351" i="15"/>
  <c r="Y2350" i="15" s="1"/>
  <c r="X2352" i="15"/>
  <c r="Y2351" i="15" s="1"/>
  <c r="X2353" i="15"/>
  <c r="Y2352" i="15" s="1"/>
  <c r="X2354" i="15"/>
  <c r="Y2353" i="15" s="1"/>
  <c r="X2355" i="15"/>
  <c r="Y2354" i="15" s="1"/>
  <c r="X2356" i="15"/>
  <c r="Y2355" i="15" s="1"/>
  <c r="X2357" i="15"/>
  <c r="Y2356" i="15" s="1"/>
  <c r="X2358" i="15"/>
  <c r="Y2357" i="15" s="1"/>
  <c r="X2359" i="15"/>
  <c r="Y2358" i="15" s="1"/>
  <c r="X2360" i="15"/>
  <c r="Y2359" i="15" s="1"/>
  <c r="X2361" i="15"/>
  <c r="Y2360" i="15" s="1"/>
  <c r="X2362" i="15"/>
  <c r="Y2361" i="15" s="1"/>
  <c r="X2363" i="15"/>
  <c r="Y2362" i="15" s="1"/>
  <c r="X2364" i="15"/>
  <c r="Y2363" i="15" s="1"/>
  <c r="X2365" i="15"/>
  <c r="Y2364" i="15" s="1"/>
  <c r="X2366" i="15"/>
  <c r="Y2365" i="15" s="1"/>
  <c r="X2367" i="15"/>
  <c r="Y2366" i="15" s="1"/>
  <c r="X2368" i="15"/>
  <c r="Y2367" i="15" s="1"/>
  <c r="X2369" i="15"/>
  <c r="Y2368" i="15" s="1"/>
  <c r="X2370" i="15"/>
  <c r="Y2369" i="15" s="1"/>
  <c r="X2371" i="15"/>
  <c r="Y2370" i="15" s="1"/>
  <c r="X2372" i="15"/>
  <c r="Y2371" i="15" s="1"/>
  <c r="X2373" i="15"/>
  <c r="Y2372" i="15" s="1"/>
  <c r="X2374" i="15"/>
  <c r="Y2373" i="15" s="1"/>
  <c r="X2375" i="15"/>
  <c r="Y2374" i="15" s="1"/>
  <c r="X2376" i="15"/>
  <c r="Y2375" i="15" s="1"/>
  <c r="X2377" i="15"/>
  <c r="Y2376" i="15" s="1"/>
  <c r="X2378" i="15"/>
  <c r="Y2377" i="15" s="1"/>
  <c r="X2379" i="15"/>
  <c r="Y2378" i="15" s="1"/>
  <c r="X2380" i="15"/>
  <c r="Y2379" i="15" s="1"/>
  <c r="X2381" i="15"/>
  <c r="Y2380" i="15" s="1"/>
  <c r="X2382" i="15"/>
  <c r="Y2381" i="15" s="1"/>
  <c r="X2383" i="15"/>
  <c r="Y2382" i="15" s="1"/>
  <c r="X2384" i="15"/>
  <c r="Y2383" i="15" s="1"/>
  <c r="X2385" i="15"/>
  <c r="Y2384" i="15" s="1"/>
  <c r="X2386" i="15"/>
  <c r="Y2385" i="15" s="1"/>
  <c r="X2387" i="15"/>
  <c r="Y2386" i="15" s="1"/>
  <c r="X2388" i="15"/>
  <c r="Y2387" i="15" s="1"/>
  <c r="X2389" i="15"/>
  <c r="Y2388" i="15" s="1"/>
  <c r="X2390" i="15"/>
  <c r="Y2389" i="15" s="1"/>
  <c r="X2391" i="15"/>
  <c r="Y2390" i="15" s="1"/>
  <c r="X2392" i="15"/>
  <c r="Y2391" i="15" s="1"/>
  <c r="X2393" i="15"/>
  <c r="Y2392" i="15" s="1"/>
  <c r="X2394" i="15"/>
  <c r="Y2393" i="15" s="1"/>
  <c r="X2395" i="15"/>
  <c r="Y2394" i="15" s="1"/>
  <c r="X2396" i="15"/>
  <c r="Y2395" i="15" s="1"/>
  <c r="X2397" i="15"/>
  <c r="Y2396" i="15" s="1"/>
  <c r="X2398" i="15"/>
  <c r="Y2397" i="15" s="1"/>
  <c r="X2399" i="15"/>
  <c r="Y2398" i="15" s="1"/>
  <c r="X2400" i="15"/>
  <c r="Y2399" i="15" s="1"/>
  <c r="X2401" i="15"/>
  <c r="Y2400" i="15" s="1"/>
  <c r="X2402" i="15"/>
  <c r="Y2401" i="15" s="1"/>
  <c r="X2403" i="15"/>
  <c r="Y2402" i="15" s="1"/>
  <c r="X2404" i="15"/>
  <c r="Y2403" i="15" s="1"/>
  <c r="X2405" i="15"/>
  <c r="Y2404" i="15" s="1"/>
  <c r="X2406" i="15"/>
  <c r="Y2405" i="15" s="1"/>
  <c r="X2407" i="15"/>
  <c r="Y2406" i="15" s="1"/>
  <c r="X2408" i="15"/>
  <c r="Y2407" i="15" s="1"/>
  <c r="X2409" i="15"/>
  <c r="Y2408" i="15" s="1"/>
  <c r="X2410" i="15"/>
  <c r="Y2409" i="15" s="1"/>
  <c r="X2411" i="15"/>
  <c r="Y2410" i="15" s="1"/>
  <c r="X2412" i="15"/>
  <c r="Y2411" i="15" s="1"/>
  <c r="X2413" i="15"/>
  <c r="Y2412" i="15" s="1"/>
  <c r="X2414" i="15"/>
  <c r="Y2413" i="15" s="1"/>
  <c r="X2415" i="15"/>
  <c r="Y2414" i="15" s="1"/>
  <c r="X2416" i="15"/>
  <c r="Y2415" i="15" s="1"/>
  <c r="X2417" i="15"/>
  <c r="Y2416" i="15" s="1"/>
  <c r="X2418" i="15"/>
  <c r="Y2417" i="15" s="1"/>
  <c r="X2419" i="15"/>
  <c r="Y2418" i="15" s="1"/>
  <c r="X2420" i="15"/>
  <c r="Y2419" i="15" s="1"/>
  <c r="X2421" i="15"/>
  <c r="Y2420" i="15" s="1"/>
  <c r="X2422" i="15"/>
  <c r="Y2421" i="15" s="1"/>
  <c r="X2423" i="15"/>
  <c r="Y2422" i="15" s="1"/>
  <c r="X2424" i="15"/>
  <c r="Y2423" i="15" s="1"/>
  <c r="X2425" i="15"/>
  <c r="Y2424" i="15" s="1"/>
  <c r="X2426" i="15"/>
  <c r="Y2425" i="15" s="1"/>
  <c r="X2427" i="15"/>
  <c r="Y2426" i="15" s="1"/>
  <c r="X2428" i="15"/>
  <c r="Y2427" i="15" s="1"/>
  <c r="X2429" i="15"/>
  <c r="Y2428" i="15" s="1"/>
  <c r="X2430" i="15"/>
  <c r="Y2429" i="15" s="1"/>
  <c r="X2431" i="15"/>
  <c r="Y2430" i="15" s="1"/>
  <c r="X2432" i="15"/>
  <c r="Y2431" i="15" s="1"/>
  <c r="X2433" i="15"/>
  <c r="Y2432" i="15" s="1"/>
  <c r="X2434" i="15"/>
  <c r="Y2433" i="15" s="1"/>
  <c r="X2435" i="15"/>
  <c r="Y2434" i="15" s="1"/>
  <c r="X2436" i="15"/>
  <c r="Y2435" i="15" s="1"/>
  <c r="X2437" i="15"/>
  <c r="Y2436" i="15" s="1"/>
  <c r="X2438" i="15"/>
  <c r="Y2437" i="15" s="1"/>
  <c r="X2439" i="15"/>
  <c r="Y2438" i="15" s="1"/>
  <c r="X2440" i="15"/>
  <c r="Y2439" i="15" s="1"/>
  <c r="X2441" i="15"/>
  <c r="Y2440" i="15" s="1"/>
  <c r="X2442" i="15"/>
  <c r="Y2441" i="15" s="1"/>
  <c r="X2443" i="15"/>
  <c r="Y2442" i="15" s="1"/>
  <c r="X2444" i="15"/>
  <c r="Y2443" i="15" s="1"/>
  <c r="X2445" i="15"/>
  <c r="Y2444" i="15" s="1"/>
  <c r="X2446" i="15"/>
  <c r="Y2445" i="15" s="1"/>
  <c r="X2447" i="15"/>
  <c r="Y2446" i="15" s="1"/>
  <c r="X2448" i="15"/>
  <c r="Y2447" i="15" s="1"/>
  <c r="X2449" i="15"/>
  <c r="Y2448" i="15" s="1"/>
  <c r="X2450" i="15"/>
  <c r="Y2449" i="15" s="1"/>
  <c r="X2451" i="15"/>
  <c r="Y2450" i="15" s="1"/>
  <c r="X2452" i="15"/>
  <c r="Y2451" i="15" s="1"/>
  <c r="X2453" i="15"/>
  <c r="Y2452" i="15" s="1"/>
  <c r="X2454" i="15"/>
  <c r="Y2453" i="15" s="1"/>
  <c r="X2455" i="15"/>
  <c r="Y2454" i="15" s="1"/>
  <c r="X2456" i="15"/>
  <c r="Y2455" i="15" s="1"/>
  <c r="X2457" i="15"/>
  <c r="Y2456" i="15" s="1"/>
  <c r="X2458" i="15"/>
  <c r="Y2457" i="15" s="1"/>
  <c r="X2459" i="15"/>
  <c r="Y2458" i="15" s="1"/>
  <c r="X2460" i="15"/>
  <c r="Y2459" i="15" s="1"/>
  <c r="X2461" i="15"/>
  <c r="Y2460" i="15" s="1"/>
  <c r="X2462" i="15"/>
  <c r="Y2461" i="15" s="1"/>
  <c r="X2463" i="15"/>
  <c r="Y2462" i="15" s="1"/>
  <c r="X2464" i="15"/>
  <c r="Y2463" i="15" s="1"/>
  <c r="X2465" i="15"/>
  <c r="Y2464" i="15" s="1"/>
  <c r="X2466" i="15"/>
  <c r="Y2465" i="15" s="1"/>
  <c r="X2467" i="15"/>
  <c r="Y2466" i="15" s="1"/>
  <c r="X2468" i="15"/>
  <c r="Y2467" i="15" s="1"/>
  <c r="X2469" i="15"/>
  <c r="Y2468" i="15" s="1"/>
  <c r="X2470" i="15"/>
  <c r="Y2469" i="15" s="1"/>
  <c r="X2471" i="15"/>
  <c r="Y2470" i="15" s="1"/>
  <c r="X2472" i="15"/>
  <c r="Y2471" i="15" s="1"/>
  <c r="X2473" i="15"/>
  <c r="Y2472" i="15" s="1"/>
  <c r="X2474" i="15"/>
  <c r="Y2473" i="15" s="1"/>
  <c r="X2475" i="15"/>
  <c r="Y2474" i="15" s="1"/>
  <c r="X2476" i="15"/>
  <c r="Y2475" i="15" s="1"/>
  <c r="X2477" i="15"/>
  <c r="Y2476" i="15" s="1"/>
  <c r="X2478" i="15"/>
  <c r="Y2477" i="15" s="1"/>
  <c r="X2479" i="15"/>
  <c r="Y2478" i="15" s="1"/>
  <c r="X2480" i="15"/>
  <c r="Y2479" i="15" s="1"/>
  <c r="X2481" i="15"/>
  <c r="Y2480" i="15" s="1"/>
  <c r="X2482" i="15"/>
  <c r="Y2481" i="15" s="1"/>
  <c r="X2483" i="15"/>
  <c r="Y2482" i="15" s="1"/>
  <c r="X2484" i="15"/>
  <c r="Y2483" i="15" s="1"/>
  <c r="X2485" i="15"/>
  <c r="Y2484" i="15" s="1"/>
  <c r="X2486" i="15"/>
  <c r="Y2485" i="15" s="1"/>
  <c r="X2487" i="15"/>
  <c r="Y2486" i="15" s="1"/>
  <c r="X2488" i="15"/>
  <c r="Y2487" i="15" s="1"/>
  <c r="X2489" i="15"/>
  <c r="Y2488" i="15" s="1"/>
  <c r="X2490" i="15"/>
  <c r="Y2489" i="15" s="1"/>
  <c r="X2491" i="15"/>
  <c r="Y2490" i="15" s="1"/>
  <c r="X2492" i="15"/>
  <c r="Y2491" i="15" s="1"/>
  <c r="X2493" i="15"/>
  <c r="Y2492" i="15" s="1"/>
  <c r="X2494" i="15"/>
  <c r="Y2493" i="15" s="1"/>
  <c r="X2495" i="15"/>
  <c r="Y2494" i="15" s="1"/>
  <c r="X2496" i="15"/>
  <c r="Y2495" i="15" s="1"/>
  <c r="X2497" i="15"/>
  <c r="Y2496" i="15" s="1"/>
  <c r="X2498" i="15"/>
  <c r="Y2497" i="15" s="1"/>
  <c r="X2499" i="15"/>
  <c r="Y2498" i="15" s="1"/>
  <c r="X2500" i="15"/>
  <c r="Y2499" i="15" s="1"/>
  <c r="X2501" i="15"/>
  <c r="Y2500" i="15" s="1"/>
  <c r="X2502" i="15"/>
  <c r="Y2501" i="15" s="1"/>
  <c r="X2503" i="15"/>
  <c r="Y2502" i="15" s="1"/>
  <c r="X2504" i="15"/>
  <c r="Y2503" i="15" s="1"/>
  <c r="X2505" i="15"/>
  <c r="Y2504" i="15" s="1"/>
  <c r="X2506" i="15"/>
  <c r="Y2505" i="15" s="1"/>
  <c r="X2507" i="15"/>
  <c r="Y2506" i="15" s="1"/>
  <c r="X2508" i="15"/>
  <c r="Y2507" i="15" s="1"/>
  <c r="X2509" i="15"/>
  <c r="Y2508" i="15" s="1"/>
  <c r="X2510" i="15"/>
  <c r="Y2509" i="15" s="1"/>
  <c r="X2511" i="15"/>
  <c r="Y2510" i="15" s="1"/>
  <c r="X2512" i="15"/>
  <c r="Y2511" i="15" s="1"/>
  <c r="X2513" i="15"/>
  <c r="Y2512" i="15" s="1"/>
  <c r="X2514" i="15"/>
  <c r="Y2513" i="15" s="1"/>
  <c r="X2515" i="15"/>
  <c r="Y2514" i="15" s="1"/>
  <c r="X2516" i="15"/>
  <c r="Y2515" i="15" s="1"/>
  <c r="X2517" i="15"/>
  <c r="Y2516" i="15" s="1"/>
  <c r="X2518" i="15"/>
  <c r="Y2517" i="15" s="1"/>
  <c r="X2519" i="15"/>
  <c r="Y2518" i="15" s="1"/>
  <c r="X2520" i="15"/>
  <c r="Y2519" i="15" s="1"/>
  <c r="X2521" i="15"/>
  <c r="Y2520" i="15" s="1"/>
  <c r="X2522" i="15"/>
  <c r="Y2521" i="15" s="1"/>
  <c r="X2523" i="15"/>
  <c r="Y2522" i="15" s="1"/>
  <c r="X2524" i="15"/>
  <c r="Y2523" i="15" s="1"/>
  <c r="X2525" i="15"/>
  <c r="Y2524" i="15" s="1"/>
  <c r="X2526" i="15"/>
  <c r="Y2525" i="15" s="1"/>
  <c r="X2527" i="15"/>
  <c r="Y2526" i="15" s="1"/>
  <c r="X2528" i="15"/>
  <c r="Y2527" i="15" s="1"/>
  <c r="X2529" i="15"/>
  <c r="Y2528" i="15" s="1"/>
  <c r="X2530" i="15"/>
  <c r="Y2529" i="15" s="1"/>
  <c r="X2531" i="15"/>
  <c r="Y2530" i="15" s="1"/>
  <c r="X2532" i="15"/>
  <c r="Y2531" i="15" s="1"/>
  <c r="X2533" i="15"/>
  <c r="Y2532" i="15" s="1"/>
  <c r="X2534" i="15"/>
  <c r="Y2533" i="15" s="1"/>
  <c r="X2535" i="15"/>
  <c r="Y2534" i="15" s="1"/>
  <c r="X2536" i="15"/>
  <c r="Y2535" i="15" s="1"/>
  <c r="X2537" i="15"/>
  <c r="Y2536" i="15" s="1"/>
  <c r="X2538" i="15"/>
  <c r="Y2537" i="15" s="1"/>
  <c r="X2539" i="15"/>
  <c r="Y2538" i="15" s="1"/>
  <c r="X2540" i="15"/>
  <c r="Y2539" i="15" s="1"/>
  <c r="X2541" i="15"/>
  <c r="Y2540" i="15" s="1"/>
  <c r="X2542" i="15"/>
  <c r="Y2541" i="15" s="1"/>
  <c r="X2543" i="15"/>
  <c r="Y2542" i="15" s="1"/>
  <c r="X2544" i="15"/>
  <c r="Y2543" i="15" s="1"/>
  <c r="X2545" i="15"/>
  <c r="Y2544" i="15" s="1"/>
  <c r="X2546" i="15"/>
  <c r="Y2545" i="15" s="1"/>
  <c r="X2547" i="15"/>
  <c r="Y2546" i="15" s="1"/>
  <c r="X2548" i="15"/>
  <c r="Y2547" i="15" s="1"/>
  <c r="X2549" i="15"/>
  <c r="Y2548" i="15" s="1"/>
  <c r="X2550" i="15"/>
  <c r="Y2549" i="15" s="1"/>
  <c r="X2551" i="15"/>
  <c r="Y2550" i="15" s="1"/>
  <c r="X2552" i="15"/>
  <c r="Y2551" i="15" s="1"/>
  <c r="X2553" i="15"/>
  <c r="Y2552" i="15" s="1"/>
  <c r="X2554" i="15"/>
  <c r="Y2553" i="15" s="1"/>
  <c r="X2555" i="15"/>
  <c r="Y2554" i="15" s="1"/>
  <c r="X2556" i="15"/>
  <c r="Y2555" i="15" s="1"/>
  <c r="X2557" i="15"/>
  <c r="Y2556" i="15" s="1"/>
  <c r="X2558" i="15"/>
  <c r="Y2557" i="15" s="1"/>
  <c r="X2559" i="15"/>
  <c r="Y2558" i="15" s="1"/>
  <c r="X2560" i="15"/>
  <c r="Y2559" i="15" s="1"/>
  <c r="X2561" i="15"/>
  <c r="Y2560" i="15" s="1"/>
  <c r="X2562" i="15"/>
  <c r="Y2561" i="15" s="1"/>
  <c r="X2563" i="15"/>
  <c r="Y2562" i="15" s="1"/>
  <c r="X2564" i="15"/>
  <c r="Y2563" i="15" s="1"/>
  <c r="X2565" i="15"/>
  <c r="Y2564" i="15" s="1"/>
  <c r="X2566" i="15"/>
  <c r="Y2565" i="15" s="1"/>
  <c r="X2567" i="15"/>
  <c r="Y2566" i="15" s="1"/>
  <c r="X2568" i="15"/>
  <c r="Y2567" i="15" s="1"/>
  <c r="X2569" i="15"/>
  <c r="Y2568" i="15" s="1"/>
  <c r="X2570" i="15"/>
  <c r="Y2569" i="15" s="1"/>
  <c r="X2571" i="15"/>
  <c r="Y2570" i="15" s="1"/>
  <c r="X2572" i="15"/>
  <c r="Y2571" i="15" s="1"/>
  <c r="X2573" i="15"/>
  <c r="Y2572" i="15" s="1"/>
  <c r="X2574" i="15"/>
  <c r="Y2573" i="15" s="1"/>
  <c r="X2575" i="15"/>
  <c r="Y2574" i="15" s="1"/>
  <c r="X2576" i="15"/>
  <c r="Y2575" i="15" s="1"/>
  <c r="X2577" i="15"/>
  <c r="Y2576" i="15" s="1"/>
  <c r="X2578" i="15"/>
  <c r="Y2577" i="15" s="1"/>
  <c r="X2579" i="15"/>
  <c r="Y2578" i="15" s="1"/>
  <c r="X2580" i="15"/>
  <c r="Y2579" i="15" s="1"/>
  <c r="X2581" i="15"/>
  <c r="Y2580" i="15" s="1"/>
  <c r="X2582" i="15"/>
  <c r="Y2581" i="15" s="1"/>
  <c r="X2583" i="15"/>
  <c r="Y2582" i="15" s="1"/>
  <c r="X2584" i="15"/>
  <c r="Y2583" i="15" s="1"/>
  <c r="X2585" i="15"/>
  <c r="Y2584" i="15" s="1"/>
  <c r="X2586" i="15"/>
  <c r="Y2585" i="15" s="1"/>
  <c r="X2587" i="15"/>
  <c r="Y2586" i="15" s="1"/>
  <c r="X2588" i="15"/>
  <c r="Y2587" i="15" s="1"/>
  <c r="X2589" i="15"/>
  <c r="Y2588" i="15" s="1"/>
  <c r="X2590" i="15"/>
  <c r="Y2589" i="15" s="1"/>
  <c r="X2591" i="15"/>
  <c r="Y2590" i="15" s="1"/>
  <c r="X2592" i="15"/>
  <c r="Y2591" i="15" s="1"/>
  <c r="X2593" i="15"/>
  <c r="Y2592" i="15" s="1"/>
  <c r="X2594" i="15"/>
  <c r="Y2593" i="15" s="1"/>
  <c r="X2595" i="15"/>
  <c r="Y2594" i="15" s="1"/>
  <c r="X2596" i="15"/>
  <c r="Y2595" i="15" s="1"/>
  <c r="X2597" i="15"/>
  <c r="Y2596" i="15" s="1"/>
  <c r="X2598" i="15"/>
  <c r="Y2597" i="15" s="1"/>
  <c r="X2599" i="15"/>
  <c r="Y2598" i="15" s="1"/>
  <c r="X2600" i="15"/>
  <c r="Y2599" i="15" s="1"/>
  <c r="X2601" i="15"/>
  <c r="Y2600" i="15" s="1"/>
  <c r="X2602" i="15"/>
  <c r="Y2601" i="15" s="1"/>
  <c r="X2603" i="15"/>
  <c r="Y2602" i="15" s="1"/>
  <c r="X2604" i="15"/>
  <c r="Y2603" i="15" s="1"/>
  <c r="X2605" i="15"/>
  <c r="Y2604" i="15" s="1"/>
  <c r="X2606" i="15"/>
  <c r="Y2605" i="15" s="1"/>
  <c r="X2607" i="15"/>
  <c r="Y2606" i="15" s="1"/>
  <c r="X2608" i="15"/>
  <c r="Y2607" i="15" s="1"/>
  <c r="X2609" i="15"/>
  <c r="Y2608" i="15" s="1"/>
  <c r="X2610" i="15"/>
  <c r="Y2609" i="15" s="1"/>
  <c r="X2611" i="15"/>
  <c r="Y2610" i="15" s="1"/>
  <c r="X2612" i="15"/>
  <c r="Y2611" i="15" s="1"/>
  <c r="X2613" i="15"/>
  <c r="Y2612" i="15" s="1"/>
  <c r="X2614" i="15"/>
  <c r="Y2613" i="15" s="1"/>
  <c r="X2615" i="15"/>
  <c r="Y2614" i="15" s="1"/>
  <c r="X2616" i="15"/>
  <c r="Y2615" i="15" s="1"/>
  <c r="X2617" i="15"/>
  <c r="Y2616" i="15" s="1"/>
  <c r="X2618" i="15"/>
  <c r="Y2617" i="15" s="1"/>
  <c r="X2619" i="15"/>
  <c r="Y2618" i="15" s="1"/>
  <c r="X2620" i="15"/>
  <c r="Y2619" i="15" s="1"/>
  <c r="X2621" i="15"/>
  <c r="Y2620" i="15" s="1"/>
  <c r="X2622" i="15"/>
  <c r="Y2621" i="15" s="1"/>
  <c r="X2623" i="15"/>
  <c r="Y2622" i="15" s="1"/>
  <c r="X2624" i="15"/>
  <c r="Y2623" i="15" s="1"/>
  <c r="X2625" i="15"/>
  <c r="Y2624" i="15" s="1"/>
  <c r="X2626" i="15"/>
  <c r="Y2625" i="15" s="1"/>
  <c r="X2627" i="15"/>
  <c r="Y2626" i="15" s="1"/>
  <c r="X2628" i="15"/>
  <c r="Y2627" i="15" s="1"/>
  <c r="X2629" i="15"/>
  <c r="Y2628" i="15" s="1"/>
  <c r="X2630" i="15"/>
  <c r="Y2629" i="15" s="1"/>
  <c r="X2631" i="15"/>
  <c r="Y2630" i="15" s="1"/>
  <c r="X2632" i="15"/>
  <c r="Y2631" i="15" s="1"/>
  <c r="X2633" i="15"/>
  <c r="Y2632" i="15" s="1"/>
  <c r="X2634" i="15"/>
  <c r="Y2633" i="15" s="1"/>
  <c r="X2635" i="15"/>
  <c r="Y2634" i="15" s="1"/>
  <c r="X2636" i="15"/>
  <c r="Y2635" i="15" s="1"/>
  <c r="X2637" i="15"/>
  <c r="Y2636" i="15" s="1"/>
  <c r="X2638" i="15"/>
  <c r="Y2637" i="15" s="1"/>
  <c r="X2639" i="15"/>
  <c r="Y2638" i="15" s="1"/>
  <c r="X2640" i="15"/>
  <c r="Y2639" i="15" s="1"/>
  <c r="X2641" i="15"/>
  <c r="Y2640" i="15" s="1"/>
  <c r="X2642" i="15"/>
  <c r="Y2641" i="15" s="1"/>
  <c r="X2643" i="15"/>
  <c r="Y2642" i="15" s="1"/>
  <c r="X2644" i="15"/>
  <c r="Y2643" i="15" s="1"/>
  <c r="X2645" i="15"/>
  <c r="Y2644" i="15" s="1"/>
  <c r="X2646" i="15"/>
  <c r="Y2645" i="15" s="1"/>
  <c r="X2647" i="15"/>
  <c r="Y2646" i="15" s="1"/>
  <c r="X2648" i="15"/>
  <c r="Y2647" i="15" s="1"/>
  <c r="X2649" i="15"/>
  <c r="Y2648" i="15" s="1"/>
  <c r="X2650" i="15"/>
  <c r="Y2649" i="15" s="1"/>
  <c r="X2651" i="15"/>
  <c r="Y2650" i="15" s="1"/>
  <c r="X2652" i="15"/>
  <c r="Y2651" i="15" s="1"/>
  <c r="X2653" i="15"/>
  <c r="Y2652" i="15" s="1"/>
  <c r="X2654" i="15"/>
  <c r="Y2653" i="15" s="1"/>
  <c r="X2655" i="15"/>
  <c r="Y2654" i="15" s="1"/>
  <c r="X2656" i="15"/>
  <c r="Y2655" i="15" s="1"/>
  <c r="X2657" i="15"/>
  <c r="Y2656" i="15" s="1"/>
  <c r="X2658" i="15"/>
  <c r="Y2657" i="15" s="1"/>
  <c r="X2659" i="15"/>
  <c r="Y2658" i="15" s="1"/>
  <c r="X2660" i="15"/>
  <c r="Y2659" i="15" s="1"/>
  <c r="X2661" i="15"/>
  <c r="Y2660" i="15" s="1"/>
  <c r="X2662" i="15"/>
  <c r="Y2661" i="15" s="1"/>
  <c r="X2663" i="15"/>
  <c r="Y2662" i="15" s="1"/>
  <c r="X2664" i="15"/>
  <c r="Y2663" i="15" s="1"/>
  <c r="X2665" i="15"/>
  <c r="Y2664" i="15" s="1"/>
  <c r="X2666" i="15"/>
  <c r="Y2665" i="15" s="1"/>
  <c r="X2667" i="15"/>
  <c r="Y2666" i="15" s="1"/>
  <c r="X2668" i="15"/>
  <c r="Y2667" i="15" s="1"/>
  <c r="X2669" i="15"/>
  <c r="Y2668" i="15" s="1"/>
  <c r="X2670" i="15"/>
  <c r="Y2669" i="15" s="1"/>
  <c r="X2671" i="15"/>
  <c r="Y2670" i="15" s="1"/>
  <c r="X2672" i="15"/>
  <c r="Y2671" i="15" s="1"/>
  <c r="X2673" i="15"/>
  <c r="Y2672" i="15" s="1"/>
  <c r="X2674" i="15"/>
  <c r="Y2673" i="15" s="1"/>
  <c r="X2675" i="15"/>
  <c r="Y2674" i="15" s="1"/>
  <c r="X2676" i="15"/>
  <c r="Y2675" i="15" s="1"/>
  <c r="X2677" i="15"/>
  <c r="Y2676" i="15" s="1"/>
  <c r="X2678" i="15"/>
  <c r="Y2677" i="15" s="1"/>
  <c r="X2679" i="15"/>
  <c r="Y2678" i="15" s="1"/>
  <c r="X2680" i="15"/>
  <c r="Y2679" i="15" s="1"/>
  <c r="X2681" i="15"/>
  <c r="Y2680" i="15" s="1"/>
  <c r="X2682" i="15"/>
  <c r="Y2681" i="15" s="1"/>
  <c r="X2683" i="15"/>
  <c r="Y2682" i="15" s="1"/>
  <c r="X2684" i="15"/>
  <c r="Y2683" i="15" s="1"/>
  <c r="X2685" i="15"/>
  <c r="Y2684" i="15" s="1"/>
  <c r="X2686" i="15"/>
  <c r="Y2685" i="15" s="1"/>
  <c r="X2687" i="15"/>
  <c r="Y2686" i="15" s="1"/>
  <c r="X2688" i="15"/>
  <c r="Y2687" i="15" s="1"/>
  <c r="X2689" i="15"/>
  <c r="Y2688" i="15" s="1"/>
  <c r="X2690" i="15"/>
  <c r="Y2689" i="15" s="1"/>
  <c r="X2691" i="15"/>
  <c r="Y2690" i="15" s="1"/>
  <c r="X2692" i="15"/>
  <c r="Y2691" i="15" s="1"/>
  <c r="X2693" i="15"/>
  <c r="Y2692" i="15" s="1"/>
  <c r="X2694" i="15"/>
  <c r="Y2693" i="15" s="1"/>
  <c r="X2695" i="15"/>
  <c r="Y2694" i="15" s="1"/>
  <c r="X2696" i="15"/>
  <c r="Y2695" i="15" s="1"/>
  <c r="X2697" i="15"/>
  <c r="Y2696" i="15" s="1"/>
  <c r="X2698" i="15"/>
  <c r="Y2697" i="15" s="1"/>
  <c r="X2699" i="15"/>
  <c r="Y2698" i="15" s="1"/>
  <c r="X2700" i="15"/>
  <c r="Y2699" i="15" s="1"/>
  <c r="X2701" i="15"/>
  <c r="Y2700" i="15" s="1"/>
  <c r="X2702" i="15"/>
  <c r="Y2701" i="15" s="1"/>
  <c r="X2703" i="15"/>
  <c r="Y2702" i="15" s="1"/>
  <c r="X2704" i="15"/>
  <c r="Y2703" i="15" s="1"/>
  <c r="X2705" i="15"/>
  <c r="Y2704" i="15" s="1"/>
  <c r="X2706" i="15"/>
  <c r="Y2705" i="15" s="1"/>
  <c r="X2707" i="15"/>
  <c r="Y2706" i="15" s="1"/>
  <c r="X2708" i="15"/>
  <c r="Y2707" i="15" s="1"/>
  <c r="X2709" i="15"/>
  <c r="Y2708" i="15" s="1"/>
  <c r="X2710" i="15"/>
  <c r="Y2709" i="15" s="1"/>
  <c r="X2711" i="15"/>
  <c r="Y2710" i="15" s="1"/>
  <c r="X2712" i="15"/>
  <c r="Y2711" i="15" s="1"/>
  <c r="X2713" i="15"/>
  <c r="Y2712" i="15" s="1"/>
  <c r="X2714" i="15"/>
  <c r="Y2713" i="15" s="1"/>
  <c r="X2715" i="15"/>
  <c r="Y2714" i="15" s="1"/>
  <c r="X2716" i="15"/>
  <c r="Y2715" i="15" s="1"/>
  <c r="X2717" i="15"/>
  <c r="Y2716" i="15" s="1"/>
  <c r="X2718" i="15"/>
  <c r="Y2717" i="15" s="1"/>
  <c r="X2719" i="15"/>
  <c r="Y2718" i="15" s="1"/>
  <c r="X2720" i="15"/>
  <c r="Y2719" i="15" s="1"/>
  <c r="X2721" i="15"/>
  <c r="Y2720" i="15" s="1"/>
  <c r="X2722" i="15"/>
  <c r="Y2721" i="15" s="1"/>
  <c r="X2723" i="15"/>
  <c r="Y2722" i="15" s="1"/>
  <c r="X2724" i="15"/>
  <c r="Y2723" i="15" s="1"/>
  <c r="X2725" i="15"/>
  <c r="Y2724" i="15" s="1"/>
  <c r="X2726" i="15"/>
  <c r="Y2725" i="15" s="1"/>
  <c r="X2727" i="15"/>
  <c r="Y2726" i="15" s="1"/>
  <c r="X2728" i="15"/>
  <c r="Y2727" i="15" s="1"/>
  <c r="X2729" i="15"/>
  <c r="Y2728" i="15" s="1"/>
  <c r="X2730" i="15"/>
  <c r="Y2729" i="15" s="1"/>
  <c r="X2731" i="15"/>
  <c r="Y2730" i="15" s="1"/>
  <c r="X2732" i="15"/>
  <c r="Y2731" i="15" s="1"/>
  <c r="X2733" i="15"/>
  <c r="Y2732" i="15" s="1"/>
  <c r="X2734" i="15"/>
  <c r="Y2733" i="15" s="1"/>
  <c r="X2735" i="15"/>
  <c r="Y2734" i="15" s="1"/>
  <c r="X2736" i="15"/>
  <c r="Y2735" i="15" s="1"/>
  <c r="X2737" i="15"/>
  <c r="Y2736" i="15" s="1"/>
  <c r="X2738" i="15"/>
  <c r="Y2737" i="15" s="1"/>
  <c r="X2739" i="15"/>
  <c r="Y2738" i="15" s="1"/>
  <c r="X2740" i="15"/>
  <c r="Y2739" i="15" s="1"/>
  <c r="X2741" i="15"/>
  <c r="Y2740" i="15" s="1"/>
  <c r="X2742" i="15"/>
  <c r="Y2741" i="15" s="1"/>
  <c r="X2743" i="15"/>
  <c r="Y2742" i="15" s="1"/>
  <c r="X2744" i="15"/>
  <c r="Y2743" i="15" s="1"/>
  <c r="X2745" i="15"/>
  <c r="Y2744" i="15" s="1"/>
  <c r="X2746" i="15"/>
  <c r="Y2745" i="15" s="1"/>
  <c r="X2747" i="15"/>
  <c r="Y2746" i="15" s="1"/>
  <c r="X2748" i="15"/>
  <c r="Y2747" i="15" s="1"/>
  <c r="X2749" i="15"/>
  <c r="Y2748" i="15" s="1"/>
  <c r="X2750" i="15"/>
  <c r="Y2749" i="15" s="1"/>
  <c r="X2751" i="15"/>
  <c r="Y2750" i="15" s="1"/>
  <c r="X2752" i="15"/>
  <c r="Y2751" i="15" s="1"/>
  <c r="X2753" i="15"/>
  <c r="Y2752" i="15" s="1"/>
  <c r="X2754" i="15"/>
  <c r="Y2753" i="15" s="1"/>
  <c r="X2755" i="15"/>
  <c r="Y2754" i="15" s="1"/>
  <c r="X2756" i="15"/>
  <c r="Y2755" i="15" s="1"/>
  <c r="X2757" i="15"/>
  <c r="Y2756" i="15" s="1"/>
  <c r="X2758" i="15"/>
  <c r="Y2757" i="15" s="1"/>
  <c r="X2759" i="15"/>
  <c r="Y2758" i="15" s="1"/>
  <c r="X2760" i="15"/>
  <c r="Y2759" i="15" s="1"/>
  <c r="X2761" i="15"/>
  <c r="Y2760" i="15" s="1"/>
  <c r="X2762" i="15"/>
  <c r="Y2761" i="15" s="1"/>
  <c r="X2763" i="15"/>
  <c r="Y2762" i="15" s="1"/>
  <c r="X2764" i="15"/>
  <c r="Y2763" i="15" s="1"/>
  <c r="X2765" i="15"/>
  <c r="Y2764" i="15" s="1"/>
  <c r="X2766" i="15"/>
  <c r="Y2765" i="15" s="1"/>
  <c r="X2767" i="15"/>
  <c r="Y2766" i="15" s="1"/>
  <c r="X2768" i="15"/>
  <c r="Y2767" i="15" s="1"/>
  <c r="X2769" i="15"/>
  <c r="Y2768" i="15" s="1"/>
  <c r="X2770" i="15"/>
  <c r="Y2769" i="15" s="1"/>
  <c r="X2771" i="15"/>
  <c r="Y2770" i="15" s="1"/>
  <c r="X2772" i="15"/>
  <c r="Y2771" i="15" s="1"/>
  <c r="X2773" i="15"/>
  <c r="Y2772" i="15" s="1"/>
  <c r="X2774" i="15"/>
  <c r="Y2773" i="15" s="1"/>
  <c r="X2775" i="15"/>
  <c r="Y2774" i="15" s="1"/>
  <c r="X2776" i="15"/>
  <c r="Y2775" i="15" s="1"/>
  <c r="X2777" i="15"/>
  <c r="Y2776" i="15" s="1"/>
  <c r="X2778" i="15"/>
  <c r="Y2777" i="15" s="1"/>
  <c r="X2779" i="15"/>
  <c r="Y2778" i="15" s="1"/>
  <c r="X2780" i="15"/>
  <c r="Y2779" i="15" s="1"/>
  <c r="X2781" i="15"/>
  <c r="Y2780" i="15" s="1"/>
  <c r="X2782" i="15"/>
  <c r="Y2781" i="15" s="1"/>
  <c r="X2783" i="15"/>
  <c r="Y2782" i="15" s="1"/>
  <c r="X2784" i="15"/>
  <c r="Y2783" i="15" s="1"/>
  <c r="X2785" i="15"/>
  <c r="Y2784" i="15" s="1"/>
  <c r="X2786" i="15"/>
  <c r="Y2785" i="15" s="1"/>
  <c r="X2787" i="15"/>
  <c r="Y2786" i="15" s="1"/>
  <c r="X2788" i="15"/>
  <c r="Y2787" i="15" s="1"/>
  <c r="X2789" i="15"/>
  <c r="Y2788" i="15" s="1"/>
  <c r="X2790" i="15"/>
  <c r="Y2789" i="15" s="1"/>
  <c r="X2791" i="15"/>
  <c r="Y2790" i="15" s="1"/>
  <c r="X2792" i="15"/>
  <c r="Y2791" i="15" s="1"/>
  <c r="X2793" i="15"/>
  <c r="Y2792" i="15" s="1"/>
  <c r="X2794" i="15"/>
  <c r="Y2793" i="15" s="1"/>
  <c r="X2795" i="15"/>
  <c r="Y2794" i="15" s="1"/>
  <c r="X2796" i="15"/>
  <c r="Y2795" i="15" s="1"/>
  <c r="X2797" i="15"/>
  <c r="Y2796" i="15" s="1"/>
  <c r="X2798" i="15"/>
  <c r="Y2797" i="15" s="1"/>
  <c r="X2799" i="15"/>
  <c r="Y2798" i="15" s="1"/>
  <c r="X2800" i="15"/>
  <c r="Y2799" i="15" s="1"/>
  <c r="X2801" i="15"/>
  <c r="Y2800" i="15" s="1"/>
  <c r="X2802" i="15"/>
  <c r="Y2801" i="15" s="1"/>
  <c r="X2803" i="15"/>
  <c r="Y2802" i="15" s="1"/>
  <c r="X2804" i="15"/>
  <c r="Y2803" i="15" s="1"/>
  <c r="X2805" i="15"/>
  <c r="Y2804" i="15" s="1"/>
  <c r="X2806" i="15"/>
  <c r="Y2805" i="15" s="1"/>
  <c r="X2807" i="15"/>
  <c r="Y2806" i="15" s="1"/>
  <c r="X2808" i="15"/>
  <c r="Y2807" i="15" s="1"/>
  <c r="X2809" i="15"/>
  <c r="Y2808" i="15" s="1"/>
  <c r="X2810" i="15"/>
  <c r="Y2809" i="15" s="1"/>
  <c r="X2811" i="15"/>
  <c r="Y2810" i="15" s="1"/>
  <c r="X2812" i="15"/>
  <c r="Y2811" i="15" s="1"/>
  <c r="X2813" i="15"/>
  <c r="Y2812" i="15" s="1"/>
  <c r="X2814" i="15"/>
  <c r="Y2813" i="15" s="1"/>
  <c r="X2815" i="15"/>
  <c r="Y2814" i="15" s="1"/>
  <c r="X2816" i="15"/>
  <c r="Y2815" i="15" s="1"/>
  <c r="X2817" i="15"/>
  <c r="Y2816" i="15" s="1"/>
  <c r="X2818" i="15"/>
  <c r="Y2817" i="15" s="1"/>
  <c r="X2819" i="15"/>
  <c r="Y2818" i="15" s="1"/>
  <c r="X2820" i="15"/>
  <c r="Y2819" i="15" s="1"/>
  <c r="X2821" i="15"/>
  <c r="Y2820" i="15" s="1"/>
  <c r="X2822" i="15"/>
  <c r="Y2821" i="15" s="1"/>
  <c r="X2823" i="15"/>
  <c r="Y2822" i="15" s="1"/>
  <c r="X2824" i="15"/>
  <c r="Y2823" i="15" s="1"/>
  <c r="X2825" i="15"/>
  <c r="Y2824" i="15" s="1"/>
  <c r="X2826" i="15"/>
  <c r="Y2825" i="15" s="1"/>
  <c r="X2827" i="15"/>
  <c r="Y2826" i="15" s="1"/>
  <c r="X2828" i="15"/>
  <c r="Y2827" i="15" s="1"/>
  <c r="X2829" i="15"/>
  <c r="Y2828" i="15" s="1"/>
  <c r="X2830" i="15"/>
  <c r="Y2829" i="15" s="1"/>
  <c r="X2831" i="15"/>
  <c r="Y2830" i="15" s="1"/>
  <c r="X2832" i="15"/>
  <c r="Y2831" i="15" s="1"/>
  <c r="X2833" i="15"/>
  <c r="Y2832" i="15" s="1"/>
  <c r="X2834" i="15"/>
  <c r="Y2833" i="15" s="1"/>
  <c r="X2835" i="15"/>
  <c r="Y2834" i="15" s="1"/>
  <c r="X2836" i="15"/>
  <c r="Y2835" i="15" s="1"/>
  <c r="X2837" i="15"/>
  <c r="Y2836" i="15" s="1"/>
  <c r="X2838" i="15"/>
  <c r="Y2837" i="15" s="1"/>
  <c r="X2839" i="15"/>
  <c r="Y2838" i="15" s="1"/>
  <c r="X2840" i="15"/>
  <c r="Y2839" i="15" s="1"/>
  <c r="X2841" i="15"/>
  <c r="Y2840" i="15" s="1"/>
  <c r="X2842" i="15"/>
  <c r="Y2841" i="15" s="1"/>
  <c r="X2843" i="15"/>
  <c r="Y2842" i="15" s="1"/>
  <c r="X2844" i="15"/>
  <c r="Y2843" i="15" s="1"/>
  <c r="X2845" i="15"/>
  <c r="Y2844" i="15" s="1"/>
  <c r="X2846" i="15"/>
  <c r="Y2845" i="15" s="1"/>
  <c r="X2847" i="15"/>
  <c r="Y2846" i="15" s="1"/>
  <c r="X2848" i="15"/>
  <c r="Y2847" i="15" s="1"/>
  <c r="X2849" i="15"/>
  <c r="Y2848" i="15" s="1"/>
  <c r="X2850" i="15"/>
  <c r="Y2849" i="15" s="1"/>
  <c r="X2851" i="15"/>
  <c r="Y2850" i="15" s="1"/>
  <c r="X2852" i="15"/>
  <c r="Y2851" i="15" s="1"/>
  <c r="X2853" i="15"/>
  <c r="Y2852" i="15" s="1"/>
  <c r="X2854" i="15"/>
  <c r="Y2853" i="15" s="1"/>
  <c r="X2855" i="15"/>
  <c r="Y2854" i="15" s="1"/>
  <c r="X2856" i="15"/>
  <c r="Y2855" i="15" s="1"/>
  <c r="X2857" i="15"/>
  <c r="Y2856" i="15" s="1"/>
  <c r="X2858" i="15"/>
  <c r="Y2857" i="15" s="1"/>
  <c r="X2859" i="15"/>
  <c r="Y2858" i="15" s="1"/>
  <c r="X2860" i="15"/>
  <c r="Y2859" i="15" s="1"/>
  <c r="X2861" i="15"/>
  <c r="Y2860" i="15" s="1"/>
  <c r="X2862" i="15"/>
  <c r="Y2861" i="15" s="1"/>
  <c r="X2863" i="15"/>
  <c r="Y2862" i="15" s="1"/>
  <c r="X2864" i="15"/>
  <c r="Y2863" i="15" s="1"/>
  <c r="X2865" i="15"/>
  <c r="Y2864" i="15" s="1"/>
  <c r="X2866" i="15"/>
  <c r="Y2865" i="15" s="1"/>
  <c r="X2867" i="15"/>
  <c r="Y2866" i="15" s="1"/>
  <c r="X2868" i="15"/>
  <c r="Y2867" i="15" s="1"/>
  <c r="X2869" i="15"/>
  <c r="Y2868" i="15" s="1"/>
  <c r="X2870" i="15"/>
  <c r="Y2869" i="15" s="1"/>
  <c r="X2871" i="15"/>
  <c r="Y2870" i="15" s="1"/>
  <c r="X2872" i="15"/>
  <c r="Y2871" i="15" s="1"/>
  <c r="X2873" i="15"/>
  <c r="Y2872" i="15" s="1"/>
  <c r="X2874" i="15"/>
  <c r="Y2873" i="15" s="1"/>
  <c r="X2875" i="15"/>
  <c r="Y2874" i="15" s="1"/>
  <c r="X2876" i="15"/>
  <c r="Y2875" i="15" s="1"/>
  <c r="X2877" i="15"/>
  <c r="Y2876" i="15" s="1"/>
  <c r="X2878" i="15"/>
  <c r="Y2877" i="15" s="1"/>
  <c r="X2879" i="15"/>
  <c r="Y2878" i="15" s="1"/>
  <c r="X2880" i="15"/>
  <c r="Y2879" i="15" s="1"/>
  <c r="X2881" i="15"/>
  <c r="Y2880" i="15" s="1"/>
  <c r="X2882" i="15"/>
  <c r="Y2881" i="15" s="1"/>
  <c r="X2883" i="15"/>
  <c r="Y2882" i="15" s="1"/>
  <c r="X2884" i="15"/>
  <c r="Y2883" i="15" s="1"/>
  <c r="X2885" i="15"/>
  <c r="Y2884" i="15" s="1"/>
  <c r="X2886" i="15"/>
  <c r="Y2885" i="15" s="1"/>
  <c r="X2887" i="15"/>
  <c r="Y2886" i="15" s="1"/>
  <c r="X2888" i="15"/>
  <c r="Y2887" i="15" s="1"/>
  <c r="X2889" i="15"/>
  <c r="Y2888" i="15" s="1"/>
  <c r="X2890" i="15"/>
  <c r="Y2889" i="15" s="1"/>
  <c r="X2891" i="15"/>
  <c r="Y2890" i="15" s="1"/>
  <c r="X2892" i="15"/>
  <c r="Y2891" i="15" s="1"/>
  <c r="X2893" i="15"/>
  <c r="Y2892" i="15" s="1"/>
  <c r="X2894" i="15"/>
  <c r="Y2893" i="15" s="1"/>
  <c r="X2895" i="15"/>
  <c r="Y2894" i="15" s="1"/>
  <c r="X2896" i="15"/>
  <c r="Y2895" i="15" s="1"/>
  <c r="X2897" i="15"/>
  <c r="Y2896" i="15" s="1"/>
  <c r="X2898" i="15"/>
  <c r="Y2897" i="15" s="1"/>
  <c r="X2899" i="15"/>
  <c r="Y2898" i="15" s="1"/>
  <c r="X2900" i="15"/>
  <c r="Y2899" i="15" s="1"/>
  <c r="X2901" i="15"/>
  <c r="Y2900" i="15" s="1"/>
  <c r="X2902" i="15"/>
  <c r="Y2901" i="15" s="1"/>
  <c r="X2903" i="15"/>
  <c r="Y2902" i="15" s="1"/>
  <c r="X2904" i="15"/>
  <c r="Y2903" i="15" s="1"/>
  <c r="X2905" i="15"/>
  <c r="Y2904" i="15" s="1"/>
  <c r="X2906" i="15"/>
  <c r="Y2905" i="15" s="1"/>
  <c r="X2907" i="15"/>
  <c r="Y2906" i="15" s="1"/>
  <c r="X2908" i="15"/>
  <c r="Y2907" i="15" s="1"/>
  <c r="X2909" i="15"/>
  <c r="Y2908" i="15" s="1"/>
  <c r="X2910" i="15"/>
  <c r="Y2909" i="15" s="1"/>
  <c r="X2911" i="15"/>
  <c r="Y2910" i="15" s="1"/>
  <c r="X2912" i="15"/>
  <c r="Y2911" i="15" s="1"/>
  <c r="X2913" i="15"/>
  <c r="Y2912" i="15" s="1"/>
  <c r="X2914" i="15"/>
  <c r="Y2913" i="15" s="1"/>
  <c r="X2915" i="15"/>
  <c r="Y2914" i="15" s="1"/>
  <c r="X2916" i="15"/>
  <c r="Y2915" i="15" s="1"/>
  <c r="X2917" i="15"/>
  <c r="Y2916" i="15" s="1"/>
  <c r="X2918" i="15"/>
  <c r="Y2917" i="15" s="1"/>
  <c r="X2919" i="15"/>
  <c r="Y2918" i="15" s="1"/>
  <c r="X2920" i="15"/>
  <c r="Y2919" i="15" s="1"/>
  <c r="X2921" i="15"/>
  <c r="Y2920" i="15" s="1"/>
  <c r="X2922" i="15"/>
  <c r="Y2921" i="15" s="1"/>
  <c r="X2923" i="15"/>
  <c r="Y2922" i="15" s="1"/>
  <c r="X2924" i="15"/>
  <c r="Y2923" i="15" s="1"/>
  <c r="X2925" i="15"/>
  <c r="Y2924" i="15" s="1"/>
  <c r="X2926" i="15"/>
  <c r="Y2925" i="15" s="1"/>
  <c r="X2927" i="15"/>
  <c r="Y2926" i="15" s="1"/>
  <c r="X2928" i="15"/>
  <c r="Y2927" i="15" s="1"/>
  <c r="X2929" i="15"/>
  <c r="Y2928" i="15" s="1"/>
  <c r="X2930" i="15"/>
  <c r="Y2929" i="15" s="1"/>
  <c r="X2931" i="15"/>
  <c r="Y2930" i="15" s="1"/>
  <c r="X2932" i="15"/>
  <c r="Y2931" i="15" s="1"/>
  <c r="X2933" i="15"/>
  <c r="Y2932" i="15" s="1"/>
  <c r="X2934" i="15"/>
  <c r="Y2933" i="15" s="1"/>
  <c r="X2935" i="15"/>
  <c r="Y2934" i="15" s="1"/>
  <c r="X2936" i="15"/>
  <c r="Y2935" i="15" s="1"/>
  <c r="X2937" i="15"/>
  <c r="Y2936" i="15" s="1"/>
  <c r="X2938" i="15"/>
  <c r="Y2937" i="15" s="1"/>
  <c r="X2939" i="15"/>
  <c r="Y2938" i="15" s="1"/>
  <c r="X2940" i="15"/>
  <c r="Y2939" i="15" s="1"/>
  <c r="X2941" i="15"/>
  <c r="Y2940" i="15" s="1"/>
  <c r="X2942" i="15"/>
  <c r="Y2941" i="15" s="1"/>
  <c r="X2943" i="15"/>
  <c r="Y2942" i="15" s="1"/>
  <c r="X2944" i="15"/>
  <c r="Y2943" i="15" s="1"/>
  <c r="X2945" i="15"/>
  <c r="Y2944" i="15" s="1"/>
  <c r="X2946" i="15"/>
  <c r="Y2945" i="15" s="1"/>
  <c r="X2947" i="15"/>
  <c r="Y2946" i="15" s="1"/>
  <c r="X2948" i="15"/>
  <c r="Y2947" i="15" s="1"/>
  <c r="X2949" i="15"/>
  <c r="Y2948" i="15" s="1"/>
  <c r="X2950" i="15"/>
  <c r="Y2949" i="15" s="1"/>
  <c r="X2951" i="15"/>
  <c r="Y2950" i="15" s="1"/>
  <c r="X2952" i="15"/>
  <c r="Y2951" i="15" s="1"/>
  <c r="X2953" i="15"/>
  <c r="Y2952" i="15" s="1"/>
  <c r="X2954" i="15"/>
  <c r="Y2953" i="15" s="1"/>
  <c r="X2955" i="15"/>
  <c r="Y2954" i="15" s="1"/>
  <c r="X2956" i="15"/>
  <c r="Y2955" i="15" s="1"/>
  <c r="X2957" i="15"/>
  <c r="Y2956" i="15" s="1"/>
  <c r="X2958" i="15"/>
  <c r="Y2957" i="15" s="1"/>
  <c r="X2959" i="15"/>
  <c r="Y2958" i="15" s="1"/>
  <c r="X2960" i="15"/>
  <c r="Y2959" i="15" s="1"/>
  <c r="X2961" i="15"/>
  <c r="Y2960" i="15" s="1"/>
  <c r="X2962" i="15"/>
  <c r="Y2961" i="15" s="1"/>
  <c r="X2963" i="15"/>
  <c r="Y2962" i="15" s="1"/>
  <c r="X2964" i="15"/>
  <c r="Y2963" i="15" s="1"/>
  <c r="X2965" i="15"/>
  <c r="Y2964" i="15" s="1"/>
  <c r="X2966" i="15"/>
  <c r="Y2965" i="15" s="1"/>
  <c r="X2967" i="15"/>
  <c r="Y2966" i="15" s="1"/>
  <c r="X2968" i="15"/>
  <c r="Y2967" i="15" s="1"/>
  <c r="X2969" i="15"/>
  <c r="Y2968" i="15" s="1"/>
  <c r="X2970" i="15"/>
  <c r="Y2969" i="15" s="1"/>
  <c r="X2971" i="15"/>
  <c r="Y2970" i="15" s="1"/>
  <c r="X2972" i="15"/>
  <c r="Y2971" i="15" s="1"/>
  <c r="X2973" i="15"/>
  <c r="Y2972" i="15" s="1"/>
  <c r="X2974" i="15"/>
  <c r="Y2973" i="15" s="1"/>
  <c r="X2975" i="15"/>
  <c r="Y2974" i="15" s="1"/>
  <c r="X2976" i="15"/>
  <c r="Y2975" i="15" s="1"/>
  <c r="X2977" i="15"/>
  <c r="Y2976" i="15" s="1"/>
  <c r="X2978" i="15"/>
  <c r="Y2977" i="15" s="1"/>
  <c r="X2979" i="15"/>
  <c r="Y2978" i="15" s="1"/>
  <c r="X2980" i="15"/>
  <c r="Y2979" i="15" s="1"/>
  <c r="X2981" i="15"/>
  <c r="Y2980" i="15" s="1"/>
  <c r="X2982" i="15"/>
  <c r="Y2981" i="15" s="1"/>
  <c r="X2983" i="15"/>
  <c r="Y2982" i="15" s="1"/>
  <c r="X2984" i="15"/>
  <c r="Y2983" i="15" s="1"/>
  <c r="X2985" i="15"/>
  <c r="Y2984" i="15" s="1"/>
  <c r="X2986" i="15"/>
  <c r="Y2985" i="15" s="1"/>
  <c r="X2987" i="15"/>
  <c r="Y2986" i="15" s="1"/>
  <c r="X2988" i="15"/>
  <c r="Y2987" i="15" s="1"/>
  <c r="X2989" i="15"/>
  <c r="Y2988" i="15" s="1"/>
  <c r="X2990" i="15"/>
  <c r="Y2989" i="15" s="1"/>
  <c r="X2991" i="15"/>
  <c r="Y2990" i="15" s="1"/>
  <c r="X2992" i="15"/>
  <c r="Y2991" i="15" s="1"/>
  <c r="X2993" i="15"/>
  <c r="Y2992" i="15" s="1"/>
  <c r="X2994" i="15"/>
  <c r="Y2993" i="15" s="1"/>
  <c r="X2995" i="15"/>
  <c r="Y2994" i="15" s="1"/>
  <c r="X2996" i="15"/>
  <c r="Y2995" i="15" s="1"/>
  <c r="X2997" i="15"/>
  <c r="Y2996" i="15" s="1"/>
  <c r="X2998" i="15"/>
  <c r="Y2997" i="15" s="1"/>
  <c r="X2999" i="15"/>
  <c r="Y2998" i="15" s="1"/>
  <c r="X3000" i="15"/>
  <c r="Y2999" i="15" s="1"/>
  <c r="X3001" i="15"/>
  <c r="Y3000" i="15" s="1"/>
  <c r="X3002" i="15"/>
  <c r="Y3001" i="15" s="1"/>
  <c r="X3003" i="15"/>
  <c r="Y3002" i="15" s="1"/>
  <c r="X3004" i="15"/>
  <c r="Y3003" i="15" s="1"/>
  <c r="X3005" i="15"/>
  <c r="Y3004" i="15" s="1"/>
  <c r="X3006" i="15"/>
  <c r="Y3005" i="15" s="1"/>
  <c r="X3007" i="15"/>
  <c r="Y3006" i="15" s="1"/>
  <c r="X3008" i="15"/>
  <c r="Y3007" i="15" s="1"/>
  <c r="X3009" i="15"/>
  <c r="Y3008" i="15" s="1"/>
  <c r="X3010" i="15"/>
  <c r="Y3009" i="15" s="1"/>
  <c r="X3011" i="15"/>
  <c r="Y3010" i="15" s="1"/>
  <c r="X3012" i="15"/>
  <c r="Y3011" i="15" s="1"/>
  <c r="X3013" i="15"/>
  <c r="Y3012" i="15" s="1"/>
  <c r="X3014" i="15"/>
  <c r="Y3013" i="15" s="1"/>
  <c r="X3015" i="15"/>
  <c r="Y3014" i="15" s="1"/>
  <c r="X3016" i="15"/>
  <c r="Y3015" i="15" s="1"/>
  <c r="X3017" i="15"/>
  <c r="Y3016" i="15" s="1"/>
  <c r="X3018" i="15"/>
  <c r="Y3017" i="15" s="1"/>
  <c r="X3019" i="15"/>
  <c r="Y3018" i="15" s="1"/>
  <c r="X3020" i="15"/>
  <c r="Y3019" i="15" s="1"/>
  <c r="X3021" i="15"/>
  <c r="Y3020" i="15" s="1"/>
  <c r="X3022" i="15"/>
  <c r="Y3021" i="15" s="1"/>
  <c r="X3023" i="15"/>
  <c r="Y3022" i="15" s="1"/>
  <c r="X3024" i="15"/>
  <c r="Y3023" i="15" s="1"/>
  <c r="X3025" i="15"/>
  <c r="Y3024" i="15" s="1"/>
  <c r="X3026" i="15"/>
  <c r="Y3025" i="15" s="1"/>
  <c r="X3027" i="15"/>
  <c r="Y3026" i="15" s="1"/>
  <c r="X3028" i="15"/>
  <c r="Y3027" i="15" s="1"/>
  <c r="X3029" i="15"/>
  <c r="Y3028" i="15" s="1"/>
  <c r="X3030" i="15"/>
  <c r="Y3029" i="15" s="1"/>
  <c r="X3031" i="15"/>
  <c r="Y3030" i="15" s="1"/>
  <c r="X3032" i="15"/>
  <c r="Y3031" i="15" s="1"/>
  <c r="X3033" i="15"/>
  <c r="Y3032" i="15" s="1"/>
  <c r="X3034" i="15"/>
  <c r="Y3033" i="15" s="1"/>
  <c r="X3035" i="15"/>
  <c r="Y3034" i="15" s="1"/>
  <c r="X3036" i="15"/>
  <c r="Y3035" i="15" s="1"/>
  <c r="X3037" i="15"/>
  <c r="Y3036" i="15" s="1"/>
  <c r="X3038" i="15"/>
  <c r="Y3037" i="15" s="1"/>
  <c r="X3039" i="15"/>
  <c r="Y3038" i="15" s="1"/>
  <c r="X3040" i="15"/>
  <c r="Y3039" i="15" s="1"/>
  <c r="X3041" i="15"/>
  <c r="Y3040" i="15" s="1"/>
  <c r="X3042" i="15"/>
  <c r="Y3041" i="15" s="1"/>
  <c r="X3043" i="15"/>
  <c r="Y3042" i="15" s="1"/>
  <c r="X3044" i="15"/>
  <c r="Y3043" i="15" s="1"/>
  <c r="X3045" i="15"/>
  <c r="Y3044" i="15" s="1"/>
  <c r="X3046" i="15"/>
  <c r="Y3045" i="15" s="1"/>
  <c r="X3047" i="15"/>
  <c r="Y3046" i="15" s="1"/>
  <c r="X3048" i="15"/>
  <c r="Y3047" i="15" s="1"/>
  <c r="X3049" i="15"/>
  <c r="Y3048" i="15" s="1"/>
  <c r="X3050" i="15"/>
  <c r="Y3049" i="15" s="1"/>
  <c r="X3051" i="15"/>
  <c r="Y3050" i="15" s="1"/>
  <c r="X3052" i="15"/>
  <c r="Y3051" i="15" s="1"/>
  <c r="X3053" i="15"/>
  <c r="Y3052" i="15" s="1"/>
  <c r="X3054" i="15"/>
  <c r="Y3053" i="15" s="1"/>
  <c r="X3055" i="15"/>
  <c r="Y3054" i="15" s="1"/>
  <c r="X3056" i="15"/>
  <c r="Y3055" i="15" s="1"/>
  <c r="X3057" i="15"/>
  <c r="Y3056" i="15" s="1"/>
  <c r="X3058" i="15"/>
  <c r="Y3057" i="15" s="1"/>
  <c r="X3059" i="15"/>
  <c r="Y3058" i="15" s="1"/>
  <c r="X3060" i="15"/>
  <c r="Y3059" i="15" s="1"/>
  <c r="X3061" i="15"/>
  <c r="Y3060" i="15" s="1"/>
  <c r="X3062" i="15"/>
  <c r="Y3061" i="15" s="1"/>
  <c r="X3063" i="15"/>
  <c r="Y3062" i="15" s="1"/>
  <c r="X3064" i="15"/>
  <c r="Y3063" i="15" s="1"/>
  <c r="X3065" i="15"/>
  <c r="Y3064" i="15" s="1"/>
  <c r="X3066" i="15"/>
  <c r="Y3065" i="15" s="1"/>
  <c r="X3067" i="15"/>
  <c r="Y3066" i="15" s="1"/>
  <c r="X3068" i="15"/>
  <c r="Y3067" i="15" s="1"/>
  <c r="X3069" i="15"/>
  <c r="Y3068" i="15" s="1"/>
  <c r="X3070" i="15"/>
  <c r="Y3069" i="15" s="1"/>
  <c r="X3071" i="15"/>
  <c r="Y3070" i="15" s="1"/>
  <c r="X3072" i="15"/>
  <c r="Y3071" i="15" s="1"/>
  <c r="X3073" i="15"/>
  <c r="Y3072" i="15" s="1"/>
  <c r="X3074" i="15"/>
  <c r="Y3073" i="15" s="1"/>
  <c r="X3075" i="15"/>
  <c r="Y3074" i="15" s="1"/>
  <c r="X3076" i="15"/>
  <c r="Y3075" i="15" s="1"/>
  <c r="X3077" i="15"/>
  <c r="Y3076" i="15" s="1"/>
  <c r="X3078" i="15"/>
  <c r="Y3077" i="15" s="1"/>
  <c r="X3079" i="15"/>
  <c r="Y3078" i="15" s="1"/>
  <c r="X3080" i="15"/>
  <c r="Y3079" i="15" s="1"/>
  <c r="X3081" i="15"/>
  <c r="Y3080" i="15" s="1"/>
  <c r="X3082" i="15"/>
  <c r="Y3081" i="15" s="1"/>
  <c r="X3083" i="15"/>
  <c r="Y3082" i="15" s="1"/>
  <c r="X3084" i="15"/>
  <c r="Y3083" i="15" s="1"/>
  <c r="X3085" i="15"/>
  <c r="Y3084" i="15" s="1"/>
  <c r="X3086" i="15"/>
  <c r="Y3085" i="15" s="1"/>
  <c r="X3087" i="15"/>
  <c r="Y3086" i="15" s="1"/>
  <c r="X3088" i="15"/>
  <c r="Y3087" i="15" s="1"/>
  <c r="X3089" i="15"/>
  <c r="Y3088" i="15" s="1"/>
  <c r="X3090" i="15"/>
  <c r="Y3089" i="15" s="1"/>
  <c r="X3091" i="15"/>
  <c r="Y3090" i="15" s="1"/>
  <c r="X3092" i="15"/>
  <c r="Y3091" i="15" s="1"/>
  <c r="X3093" i="15"/>
  <c r="Y3092" i="15" s="1"/>
  <c r="X3094" i="15"/>
  <c r="Y3093" i="15" s="1"/>
  <c r="X3095" i="15"/>
  <c r="Y3094" i="15" s="1"/>
  <c r="X3096" i="15"/>
  <c r="Y3095" i="15" s="1"/>
  <c r="X3097" i="15"/>
  <c r="Y3096" i="15" s="1"/>
  <c r="X3098" i="15"/>
  <c r="Y3097" i="15" s="1"/>
  <c r="X3099" i="15"/>
  <c r="Y3098" i="15" s="1"/>
  <c r="X3100" i="15"/>
  <c r="Y3099" i="15" s="1"/>
  <c r="X3101" i="15"/>
  <c r="Y3100" i="15" s="1"/>
  <c r="X3102" i="15"/>
  <c r="Y3101" i="15" s="1"/>
  <c r="X3103" i="15"/>
  <c r="Y3102" i="15" s="1"/>
  <c r="X3104" i="15"/>
  <c r="Y3103" i="15" s="1"/>
  <c r="X3105" i="15"/>
  <c r="Y3104" i="15" s="1"/>
  <c r="X3106" i="15"/>
  <c r="Y3105" i="15" s="1"/>
  <c r="X3107" i="15"/>
  <c r="Y3106" i="15" s="1"/>
  <c r="X3108" i="15"/>
  <c r="Y3107" i="15" s="1"/>
  <c r="X3109" i="15"/>
  <c r="Y3108" i="15" s="1"/>
  <c r="X3110" i="15"/>
  <c r="Y3109" i="15" s="1"/>
  <c r="X3111" i="15"/>
  <c r="Y3110" i="15" s="1"/>
  <c r="X3112" i="15"/>
  <c r="Y3111" i="15" s="1"/>
  <c r="X3113" i="15"/>
  <c r="Y3112" i="15" s="1"/>
  <c r="X3114" i="15"/>
  <c r="Y3113" i="15" s="1"/>
  <c r="X3115" i="15"/>
  <c r="Y3114" i="15" s="1"/>
  <c r="X3116" i="15"/>
  <c r="Y3115" i="15" s="1"/>
  <c r="X3117" i="15"/>
  <c r="Y3116" i="15" s="1"/>
  <c r="X3118" i="15"/>
  <c r="Y3117" i="15" s="1"/>
  <c r="X3119" i="15"/>
  <c r="Y3118" i="15" s="1"/>
  <c r="X3120" i="15"/>
  <c r="Y3119" i="15" s="1"/>
  <c r="X3121" i="15"/>
  <c r="Y3120" i="15" s="1"/>
  <c r="X3122" i="15"/>
  <c r="Y3121" i="15" s="1"/>
  <c r="X3123" i="15"/>
  <c r="Y3122" i="15" s="1"/>
  <c r="X3124" i="15"/>
  <c r="Y3123" i="15" s="1"/>
  <c r="X3125" i="15"/>
  <c r="Y3124" i="15" s="1"/>
  <c r="X3126" i="15"/>
  <c r="Y3125" i="15" s="1"/>
  <c r="X3127" i="15"/>
  <c r="Y3126" i="15" s="1"/>
  <c r="X3128" i="15"/>
  <c r="Y3127" i="15" s="1"/>
  <c r="X3129" i="15"/>
  <c r="Y3128" i="15" s="1"/>
  <c r="X3130" i="15"/>
  <c r="Y3129" i="15" s="1"/>
  <c r="X3131" i="15"/>
  <c r="Y3130" i="15" s="1"/>
  <c r="X3132" i="15"/>
  <c r="Y3131" i="15" s="1"/>
  <c r="X3133" i="15"/>
  <c r="Y3132" i="15" s="1"/>
  <c r="X3134" i="15"/>
  <c r="Y3133" i="15" s="1"/>
  <c r="X3135" i="15"/>
  <c r="Y3134" i="15" s="1"/>
  <c r="X3136" i="15"/>
  <c r="Y3135" i="15" s="1"/>
  <c r="X3137" i="15"/>
  <c r="Y3136" i="15" s="1"/>
  <c r="X3138" i="15"/>
  <c r="Y3137" i="15" s="1"/>
  <c r="X3139" i="15"/>
  <c r="Y3138" i="15" s="1"/>
  <c r="X3140" i="15"/>
  <c r="Y3139" i="15" s="1"/>
  <c r="X3141" i="15"/>
  <c r="Y3140" i="15" s="1"/>
  <c r="X3142" i="15"/>
  <c r="Y3141" i="15" s="1"/>
  <c r="X3143" i="15"/>
  <c r="Y3142" i="15" s="1"/>
  <c r="X3144" i="15"/>
  <c r="Y3143" i="15" s="1"/>
  <c r="X3145" i="15"/>
  <c r="Y3144" i="15" s="1"/>
  <c r="X3146" i="15"/>
  <c r="Y3145" i="15" s="1"/>
  <c r="X3147" i="15"/>
  <c r="Y3146" i="15" s="1"/>
  <c r="X3148" i="15"/>
  <c r="Y3147" i="15" s="1"/>
  <c r="X3149" i="15"/>
  <c r="Y3148" i="15" s="1"/>
  <c r="X3150" i="15"/>
  <c r="Y3149" i="15" s="1"/>
  <c r="X3151" i="15"/>
  <c r="Y3150" i="15" s="1"/>
  <c r="X3152" i="15"/>
  <c r="Y3151" i="15" s="1"/>
  <c r="X3153" i="15"/>
  <c r="Y3152" i="15" s="1"/>
  <c r="X3154" i="15"/>
  <c r="Y3153" i="15" s="1"/>
  <c r="X3155" i="15"/>
  <c r="Y3154" i="15" s="1"/>
  <c r="X3156" i="15"/>
  <c r="Y3155" i="15" s="1"/>
  <c r="X3157" i="15"/>
  <c r="Y3156" i="15" s="1"/>
  <c r="X3158" i="15"/>
  <c r="Y3157" i="15" s="1"/>
  <c r="X3159" i="15"/>
  <c r="Y3158" i="15" s="1"/>
  <c r="X3160" i="15"/>
  <c r="Y3159" i="15" s="1"/>
  <c r="X3161" i="15"/>
  <c r="Y3160" i="15" s="1"/>
  <c r="X3162" i="15"/>
  <c r="Y3161" i="15" s="1"/>
  <c r="X3163" i="15"/>
  <c r="Y3162" i="15" s="1"/>
  <c r="X3164" i="15"/>
  <c r="Y3163" i="15" s="1"/>
  <c r="X3165" i="15"/>
  <c r="Y3164" i="15" s="1"/>
  <c r="X3166" i="15"/>
  <c r="Y3165" i="15" s="1"/>
  <c r="X3167" i="15"/>
  <c r="Y3166" i="15" s="1"/>
  <c r="X3168" i="15"/>
  <c r="Y3167" i="15" s="1"/>
  <c r="X3169" i="15"/>
  <c r="Y3168" i="15" s="1"/>
  <c r="X3170" i="15"/>
  <c r="Y3169" i="15" s="1"/>
  <c r="X3171" i="15"/>
  <c r="Y3170" i="15" s="1"/>
  <c r="X3172" i="15"/>
  <c r="Y3171" i="15" s="1"/>
  <c r="X3173" i="15"/>
  <c r="Y3172" i="15" s="1"/>
  <c r="X3174" i="15"/>
  <c r="Y3173" i="15" s="1"/>
  <c r="X3175" i="15"/>
  <c r="Y3174" i="15" s="1"/>
  <c r="X3176" i="15"/>
  <c r="Y3175" i="15" s="1"/>
  <c r="X3177" i="15"/>
  <c r="Y3176" i="15" s="1"/>
  <c r="X3178" i="15"/>
  <c r="Y3177" i="15" s="1"/>
  <c r="X3179" i="15"/>
  <c r="Y3178" i="15" s="1"/>
  <c r="X3180" i="15"/>
  <c r="Y3179" i="15" s="1"/>
  <c r="X3181" i="15"/>
  <c r="Y3180" i="15" s="1"/>
  <c r="X3182" i="15"/>
  <c r="Y3181" i="15" s="1"/>
  <c r="X3183" i="15"/>
  <c r="Y3182" i="15" s="1"/>
  <c r="X3184" i="15"/>
  <c r="Y3183" i="15" s="1"/>
  <c r="X3185" i="15"/>
  <c r="Y3184" i="15" s="1"/>
  <c r="X3186" i="15"/>
  <c r="Y3185" i="15" s="1"/>
  <c r="X3187" i="15"/>
  <c r="Y3186" i="15" s="1"/>
  <c r="X3188" i="15"/>
  <c r="Y3187" i="15" s="1"/>
  <c r="X3189" i="15"/>
  <c r="Y3188" i="15" s="1"/>
  <c r="X3190" i="15"/>
  <c r="Y3189" i="15" s="1"/>
  <c r="X3191" i="15"/>
  <c r="Y3190" i="15" s="1"/>
  <c r="X3192" i="15"/>
  <c r="Y3191" i="15" s="1"/>
  <c r="X3193" i="15"/>
  <c r="Y3192" i="15" s="1"/>
  <c r="X3194" i="15"/>
  <c r="Y3193" i="15" s="1"/>
  <c r="X3195" i="15"/>
  <c r="Y3194" i="15" s="1"/>
  <c r="X3196" i="15"/>
  <c r="Y3195" i="15" s="1"/>
  <c r="X3197" i="15"/>
  <c r="Y3196" i="15" s="1"/>
  <c r="X3198" i="15"/>
  <c r="Y3197" i="15" s="1"/>
  <c r="X3199" i="15"/>
  <c r="Y3198" i="15" s="1"/>
  <c r="X3200" i="15"/>
  <c r="Y3199" i="15" s="1"/>
  <c r="X3201" i="15"/>
  <c r="Y3200" i="15" s="1"/>
  <c r="X3202" i="15"/>
  <c r="Y3201" i="15" s="1"/>
  <c r="X3203" i="15"/>
  <c r="Y3202" i="15" s="1"/>
  <c r="X3204" i="15"/>
  <c r="Y3203" i="15" s="1"/>
  <c r="X3205" i="15"/>
  <c r="Y3204" i="15" s="1"/>
  <c r="X3206" i="15"/>
  <c r="Y3205" i="15" s="1"/>
  <c r="X3207" i="15"/>
  <c r="Y3206" i="15" s="1"/>
  <c r="X3208" i="15"/>
  <c r="Y3207" i="15" s="1"/>
  <c r="X3209" i="15"/>
  <c r="Y3208" i="15" s="1"/>
  <c r="X3210" i="15"/>
  <c r="Y3209" i="15" s="1"/>
  <c r="X3211" i="15"/>
  <c r="Y3210" i="15" s="1"/>
  <c r="X3212" i="15"/>
  <c r="Y3211" i="15" s="1"/>
  <c r="X3213" i="15"/>
  <c r="Y3212" i="15" s="1"/>
  <c r="X3214" i="15"/>
  <c r="Y3213" i="15" s="1"/>
  <c r="X3215" i="15"/>
  <c r="Y3214" i="15" s="1"/>
  <c r="X3216" i="15"/>
  <c r="Y3215" i="15" s="1"/>
  <c r="X3217" i="15"/>
  <c r="Y3216" i="15" s="1"/>
  <c r="X3218" i="15"/>
  <c r="Y3217" i="15" s="1"/>
  <c r="X3219" i="15"/>
  <c r="Y3218" i="15" s="1"/>
  <c r="X3220" i="15"/>
  <c r="Y3219" i="15" s="1"/>
  <c r="X3221" i="15"/>
  <c r="Y3220" i="15" s="1"/>
  <c r="X3222" i="15"/>
  <c r="Y3221" i="15" s="1"/>
  <c r="X3223" i="15"/>
  <c r="Y3222" i="15" s="1"/>
  <c r="X3224" i="15"/>
  <c r="Y3223" i="15" s="1"/>
  <c r="X3225" i="15"/>
  <c r="Y3224" i="15" s="1"/>
  <c r="X3226" i="15"/>
  <c r="Y3225" i="15" s="1"/>
  <c r="X3227" i="15"/>
  <c r="Y3226" i="15" s="1"/>
  <c r="X3228" i="15"/>
  <c r="Y3227" i="15" s="1"/>
  <c r="X3229" i="15"/>
  <c r="Y3228" i="15" s="1"/>
  <c r="X3230" i="15"/>
  <c r="Y3229" i="15" s="1"/>
  <c r="X3231" i="15"/>
  <c r="Y3230" i="15" s="1"/>
  <c r="X3232" i="15"/>
  <c r="Y3231" i="15" s="1"/>
  <c r="X3233" i="15"/>
  <c r="Y3232" i="15" s="1"/>
  <c r="X3234" i="15"/>
  <c r="Y3233" i="15" s="1"/>
  <c r="X3235" i="15"/>
  <c r="Y3234" i="15" s="1"/>
  <c r="X3236" i="15"/>
  <c r="Y3235" i="15" s="1"/>
  <c r="X3237" i="15"/>
  <c r="Y3236" i="15" s="1"/>
  <c r="X3238" i="15"/>
  <c r="Y3237" i="15" s="1"/>
  <c r="X3239" i="15"/>
  <c r="Y3238" i="15" s="1"/>
  <c r="X3240" i="15"/>
  <c r="Y3239" i="15" s="1"/>
  <c r="X3241" i="15"/>
  <c r="Y3240" i="15" s="1"/>
  <c r="X3242" i="15"/>
  <c r="Y3241" i="15" s="1"/>
  <c r="X3243" i="15"/>
  <c r="Y3242" i="15" s="1"/>
  <c r="X3244" i="15"/>
  <c r="Y3243" i="15" s="1"/>
  <c r="X3245" i="15"/>
  <c r="Y3244" i="15" s="1"/>
  <c r="X3246" i="15"/>
  <c r="Y3245" i="15" s="1"/>
  <c r="X3247" i="15"/>
  <c r="Y3246" i="15" s="1"/>
  <c r="X3248" i="15"/>
  <c r="Y3247" i="15" s="1"/>
  <c r="X3249" i="15"/>
  <c r="Y3248" i="15" s="1"/>
  <c r="X3250" i="15"/>
  <c r="Y3249" i="15" s="1"/>
  <c r="X3251" i="15"/>
  <c r="Y3250" i="15" s="1"/>
  <c r="X3252" i="15"/>
  <c r="Y3251" i="15" s="1"/>
  <c r="X3253" i="15"/>
  <c r="Y3252" i="15" s="1"/>
  <c r="X3254" i="15"/>
  <c r="Y3253" i="15" s="1"/>
  <c r="X3255" i="15"/>
  <c r="Y3254" i="15" s="1"/>
  <c r="X3256" i="15"/>
  <c r="Y3255" i="15" s="1"/>
  <c r="X3257" i="15"/>
  <c r="Y3256" i="15" s="1"/>
  <c r="X3258" i="15"/>
  <c r="Y3257" i="15" s="1"/>
  <c r="X3259" i="15"/>
  <c r="Y3258" i="15" s="1"/>
  <c r="X3260" i="15"/>
  <c r="Y3259" i="15" s="1"/>
  <c r="X3261" i="15"/>
  <c r="Y3260" i="15" s="1"/>
  <c r="X3262" i="15"/>
  <c r="Y3261" i="15" s="1"/>
  <c r="X3263" i="15"/>
  <c r="Y3262" i="15" s="1"/>
  <c r="X3264" i="15"/>
  <c r="Y3263" i="15" s="1"/>
  <c r="X3265" i="15"/>
  <c r="Y3264" i="15" s="1"/>
  <c r="X3266" i="15"/>
  <c r="Y3265" i="15" s="1"/>
  <c r="X3267" i="15"/>
  <c r="Y3266" i="15" s="1"/>
  <c r="X3268" i="15"/>
  <c r="Y3267" i="15" s="1"/>
  <c r="X3269" i="15"/>
  <c r="Y3268" i="15" s="1"/>
  <c r="X3270" i="15"/>
  <c r="Y3269" i="15" s="1"/>
  <c r="X3271" i="15"/>
  <c r="Y3270" i="15" s="1"/>
  <c r="X3272" i="15"/>
  <c r="Y3271" i="15" s="1"/>
  <c r="X3273" i="15"/>
  <c r="Y3272" i="15" s="1"/>
  <c r="X3274" i="15"/>
  <c r="Y3273" i="15" s="1"/>
  <c r="X3275" i="15"/>
  <c r="Y3274" i="15" s="1"/>
  <c r="X3276" i="15"/>
  <c r="Y3275" i="15" s="1"/>
  <c r="X3277" i="15"/>
  <c r="Y3276" i="15" s="1"/>
  <c r="X3278" i="15"/>
  <c r="Y3277" i="15" s="1"/>
  <c r="X3279" i="15"/>
  <c r="Y3278" i="15" s="1"/>
  <c r="X3280" i="15"/>
  <c r="Y3279" i="15" s="1"/>
  <c r="X3281" i="15"/>
  <c r="Y3280" i="15" s="1"/>
  <c r="X3282" i="15"/>
  <c r="Y3281" i="15" s="1"/>
  <c r="X3283" i="15"/>
  <c r="Y3282" i="15" s="1"/>
  <c r="X3284" i="15"/>
  <c r="Y3283" i="15" s="1"/>
  <c r="X3285" i="15"/>
  <c r="Y3284" i="15" s="1"/>
  <c r="X3286" i="15"/>
  <c r="Y3285" i="15" s="1"/>
  <c r="X3287" i="15"/>
  <c r="Y3286" i="15" s="1"/>
  <c r="X3288" i="15"/>
  <c r="Y3287" i="15" s="1"/>
  <c r="X3289" i="15"/>
  <c r="Y3288" i="15" s="1"/>
  <c r="X3290" i="15"/>
  <c r="Y3289" i="15" s="1"/>
  <c r="X3291" i="15"/>
  <c r="Y3290" i="15" s="1"/>
  <c r="X3292" i="15"/>
  <c r="Y3291" i="15" s="1"/>
  <c r="X3293" i="15"/>
  <c r="Y3292" i="15" s="1"/>
  <c r="X3294" i="15"/>
  <c r="Y3293" i="15" s="1"/>
  <c r="X3295" i="15"/>
  <c r="Y3294" i="15" s="1"/>
  <c r="X3296" i="15"/>
  <c r="Y3295" i="15" s="1"/>
  <c r="X3297" i="15"/>
  <c r="Y3296" i="15" s="1"/>
  <c r="X3298" i="15"/>
  <c r="Y3297" i="15" s="1"/>
  <c r="X3299" i="15"/>
  <c r="Y3298" i="15" s="1"/>
  <c r="X3300" i="15"/>
  <c r="Y3299" i="15" s="1"/>
  <c r="X3301" i="15"/>
  <c r="Y3300" i="15" s="1"/>
  <c r="X3302" i="15"/>
  <c r="Y3301" i="15" s="1"/>
  <c r="X3303" i="15"/>
  <c r="Y3302" i="15" s="1"/>
  <c r="X3304" i="15"/>
  <c r="Y3303" i="15" s="1"/>
  <c r="X3305" i="15"/>
  <c r="Y3304" i="15" s="1"/>
  <c r="X3306" i="15"/>
  <c r="Y3305" i="15" s="1"/>
  <c r="X3307" i="15"/>
  <c r="Y3306" i="15" s="1"/>
  <c r="X3308" i="15"/>
  <c r="Y3307" i="15" s="1"/>
  <c r="X3309" i="15"/>
  <c r="Y3308" i="15" s="1"/>
  <c r="X3310" i="15"/>
  <c r="Y3309" i="15" s="1"/>
  <c r="X3311" i="15"/>
  <c r="Y3310" i="15" s="1"/>
  <c r="X3312" i="15"/>
  <c r="Y3311" i="15" s="1"/>
  <c r="X3313" i="15"/>
  <c r="Y3312" i="15" s="1"/>
  <c r="X3314" i="15"/>
  <c r="Y3313" i="15" s="1"/>
  <c r="X3315" i="15"/>
  <c r="Y3314" i="15" s="1"/>
  <c r="X3316" i="15"/>
  <c r="Y3315" i="15" s="1"/>
  <c r="X3317" i="15"/>
  <c r="Y3316" i="15" s="1"/>
  <c r="X3318" i="15"/>
  <c r="Y3317" i="15" s="1"/>
  <c r="X3319" i="15"/>
  <c r="Y3318" i="15" s="1"/>
  <c r="X3320" i="15"/>
  <c r="Y3319" i="15" s="1"/>
  <c r="X3321" i="15"/>
  <c r="Y3320" i="15" s="1"/>
  <c r="X3322" i="15"/>
  <c r="Y3321" i="15" s="1"/>
  <c r="X3323" i="15"/>
  <c r="Y3322" i="15" s="1"/>
  <c r="X3324" i="15"/>
  <c r="Y3323" i="15" s="1"/>
  <c r="X3325" i="15"/>
  <c r="Y3324" i="15" s="1"/>
  <c r="X3326" i="15"/>
  <c r="Y3325" i="15" s="1"/>
  <c r="X3327" i="15"/>
  <c r="Y3326" i="15" s="1"/>
  <c r="X3328" i="15"/>
  <c r="Y3327" i="15" s="1"/>
  <c r="X3329" i="15"/>
  <c r="Y3328" i="15" s="1"/>
  <c r="X3330" i="15"/>
  <c r="Y3329" i="15" s="1"/>
  <c r="X3331" i="15"/>
  <c r="Y3330" i="15" s="1"/>
  <c r="X3332" i="15"/>
  <c r="Y3331" i="15" s="1"/>
  <c r="X3333" i="15"/>
  <c r="Y3332" i="15" s="1"/>
  <c r="X3334" i="15"/>
  <c r="Y3333" i="15" s="1"/>
  <c r="X3335" i="15"/>
  <c r="Y3334" i="15" s="1"/>
  <c r="X3336" i="15"/>
  <c r="Y3335" i="15" s="1"/>
  <c r="X3337" i="15"/>
  <c r="Y3336" i="15" s="1"/>
  <c r="X3338" i="15"/>
  <c r="Y3337" i="15" s="1"/>
  <c r="X3339" i="15"/>
  <c r="Y3338" i="15" s="1"/>
  <c r="X3340" i="15"/>
  <c r="Y3339" i="15" s="1"/>
  <c r="X3341" i="15"/>
  <c r="Y3340" i="15" s="1"/>
  <c r="X3342" i="15"/>
  <c r="Y3341" i="15" s="1"/>
  <c r="X3343" i="15"/>
  <c r="Y3342" i="15" s="1"/>
  <c r="X3344" i="15"/>
  <c r="Y3343" i="15" s="1"/>
  <c r="X3345" i="15"/>
  <c r="Y3344" i="15" s="1"/>
  <c r="X3346" i="15"/>
  <c r="Y3345" i="15" s="1"/>
  <c r="X3347" i="15"/>
  <c r="Y3346" i="15" s="1"/>
  <c r="X3348" i="15"/>
  <c r="Y3347" i="15" s="1"/>
  <c r="X3349" i="15"/>
  <c r="Y3348" i="15" s="1"/>
  <c r="X3350" i="15"/>
  <c r="Y3349" i="15" s="1"/>
  <c r="X3351" i="15"/>
  <c r="Y3350" i="15" s="1"/>
  <c r="X3352" i="15"/>
  <c r="Y3351" i="15" s="1"/>
  <c r="X3353" i="15"/>
  <c r="Y3352" i="15" s="1"/>
  <c r="X3354" i="15"/>
  <c r="Y3353" i="15" s="1"/>
  <c r="X3355" i="15"/>
  <c r="Y3354" i="15" s="1"/>
  <c r="X3356" i="15"/>
  <c r="Y3355" i="15" s="1"/>
  <c r="X3357" i="15"/>
  <c r="Y3356" i="15" s="1"/>
  <c r="X3358" i="15"/>
  <c r="Y3357" i="15" s="1"/>
  <c r="X3359" i="15"/>
  <c r="Y3358" i="15" s="1"/>
  <c r="X3360" i="15"/>
  <c r="Y3359" i="15" s="1"/>
  <c r="X3361" i="15"/>
  <c r="Y3360" i="15" s="1"/>
  <c r="X3362" i="15"/>
  <c r="Y3361" i="15" s="1"/>
  <c r="X3363" i="15"/>
  <c r="Y3362" i="15" s="1"/>
  <c r="X3364" i="15"/>
  <c r="Y3363" i="15" s="1"/>
  <c r="X3365" i="15"/>
  <c r="Y3364" i="15" s="1"/>
  <c r="X3366" i="15"/>
  <c r="Y3365" i="15" s="1"/>
  <c r="X3367" i="15"/>
  <c r="Y3366" i="15" s="1"/>
  <c r="X3368" i="15"/>
  <c r="Y3367" i="15" s="1"/>
  <c r="X3369" i="15"/>
  <c r="Y3368" i="15" s="1"/>
  <c r="X3370" i="15"/>
  <c r="Y3369" i="15" s="1"/>
  <c r="X3371" i="15"/>
  <c r="Y3370" i="15" s="1"/>
  <c r="X3372" i="15"/>
  <c r="Y3371" i="15" s="1"/>
  <c r="X3373" i="15"/>
  <c r="Y3372" i="15" s="1"/>
  <c r="X3374" i="15"/>
  <c r="Y3373" i="15" s="1"/>
  <c r="X3375" i="15"/>
  <c r="Y3374" i="15" s="1"/>
  <c r="X3376" i="15"/>
  <c r="Y3375" i="15" s="1"/>
  <c r="X3377" i="15"/>
  <c r="Y3376" i="15" s="1"/>
  <c r="X3378" i="15"/>
  <c r="Y3377" i="15" s="1"/>
  <c r="X3379" i="15"/>
  <c r="Y3378" i="15" s="1"/>
  <c r="X3380" i="15"/>
  <c r="Y3379" i="15" s="1"/>
  <c r="X3381" i="15"/>
  <c r="Y3380" i="15" s="1"/>
  <c r="X3382" i="15"/>
  <c r="Y3381" i="15" s="1"/>
  <c r="X3383" i="15"/>
  <c r="Y3382" i="15" s="1"/>
  <c r="X3384" i="15"/>
  <c r="Y3383" i="15" s="1"/>
  <c r="X3385" i="15"/>
  <c r="Y3384" i="15" s="1"/>
  <c r="X3386" i="15"/>
  <c r="Y3385" i="15" s="1"/>
  <c r="X3387" i="15"/>
  <c r="Y3386" i="15" s="1"/>
  <c r="X3388" i="15"/>
  <c r="Y3387" i="15" s="1"/>
  <c r="X3389" i="15"/>
  <c r="Y3388" i="15" s="1"/>
  <c r="X3390" i="15"/>
  <c r="Y3389" i="15" s="1"/>
  <c r="X3391" i="15"/>
  <c r="Y3390" i="15" s="1"/>
  <c r="X3392" i="15"/>
  <c r="Y3391" i="15" s="1"/>
  <c r="X3393" i="15"/>
  <c r="Y3392" i="15" s="1"/>
  <c r="X3394" i="15"/>
  <c r="Y3393" i="15" s="1"/>
  <c r="X3395" i="15"/>
  <c r="Y3394" i="15" s="1"/>
  <c r="X3396" i="15"/>
  <c r="Y3395" i="15" s="1"/>
  <c r="X3397" i="15"/>
  <c r="Y3396" i="15" s="1"/>
  <c r="X3398" i="15"/>
  <c r="Y3397" i="15" s="1"/>
  <c r="X3399" i="15"/>
  <c r="Y3398" i="15" s="1"/>
  <c r="X3400" i="15"/>
  <c r="Y3399" i="15" s="1"/>
  <c r="X3401" i="15"/>
  <c r="Y3400" i="15" s="1"/>
  <c r="X3402" i="15"/>
  <c r="Y3401" i="15" s="1"/>
  <c r="X3403" i="15"/>
  <c r="Y3402" i="15" s="1"/>
  <c r="X3404" i="15"/>
  <c r="Y3403" i="15" s="1"/>
  <c r="X3405" i="15"/>
  <c r="Y3404" i="15" s="1"/>
  <c r="X3406" i="15"/>
  <c r="Y3405" i="15" s="1"/>
  <c r="X3407" i="15"/>
  <c r="Y3406" i="15" s="1"/>
  <c r="X3408" i="15"/>
  <c r="Y3407" i="15" s="1"/>
  <c r="X3409" i="15"/>
  <c r="Y3408" i="15" s="1"/>
  <c r="X3410" i="15"/>
  <c r="Y3409" i="15" s="1"/>
  <c r="X3411" i="15"/>
  <c r="Y3410" i="15" s="1"/>
  <c r="X3412" i="15"/>
  <c r="Y3411" i="15" s="1"/>
  <c r="X3413" i="15"/>
  <c r="Y3412" i="15" s="1"/>
  <c r="X3414" i="15"/>
  <c r="Y3413" i="15" s="1"/>
  <c r="X3415" i="15"/>
  <c r="Y3414" i="15" s="1"/>
  <c r="X3416" i="15"/>
  <c r="Y3415" i="15" s="1"/>
  <c r="X3417" i="15"/>
  <c r="Y3416" i="15" s="1"/>
  <c r="X3418" i="15"/>
  <c r="Y3417" i="15" s="1"/>
  <c r="X3419" i="15"/>
  <c r="Y3418" i="15" s="1"/>
  <c r="X3420" i="15"/>
  <c r="Y3419" i="15" s="1"/>
  <c r="X3421" i="15"/>
  <c r="Y3420" i="15" s="1"/>
  <c r="X3422" i="15"/>
  <c r="Y3421" i="15" s="1"/>
  <c r="X3423" i="15"/>
  <c r="Y3422" i="15" s="1"/>
  <c r="X3424" i="15"/>
  <c r="Y3423" i="15" s="1"/>
  <c r="X3425" i="15"/>
  <c r="Y3424" i="15" s="1"/>
  <c r="X3426" i="15"/>
  <c r="Y3425" i="15" s="1"/>
  <c r="X3427" i="15"/>
  <c r="Y3426" i="15" s="1"/>
  <c r="X3428" i="15"/>
  <c r="Y3427" i="15" s="1"/>
  <c r="X3429" i="15"/>
  <c r="Y3428" i="15" s="1"/>
  <c r="X3430" i="15"/>
  <c r="Y3429" i="15" s="1"/>
  <c r="X3431" i="15"/>
  <c r="Y3430" i="15" s="1"/>
  <c r="X3432" i="15"/>
  <c r="Y3431" i="15" s="1"/>
  <c r="X3433" i="15"/>
  <c r="Y3432" i="15" s="1"/>
  <c r="X3434" i="15"/>
  <c r="Y3433" i="15" s="1"/>
  <c r="X3435" i="15"/>
  <c r="Y3434" i="15" s="1"/>
  <c r="X3436" i="15"/>
  <c r="Y3435" i="15" s="1"/>
  <c r="X3437" i="15"/>
  <c r="Y3436" i="15" s="1"/>
  <c r="X3438" i="15"/>
  <c r="Y3437" i="15" s="1"/>
  <c r="X3439" i="15"/>
  <c r="Y3438" i="15" s="1"/>
  <c r="X3440" i="15"/>
  <c r="Y3439" i="15" s="1"/>
  <c r="X3441" i="15"/>
  <c r="Y3440" i="15" s="1"/>
  <c r="X3442" i="15"/>
  <c r="Y3441" i="15" s="1"/>
  <c r="X3443" i="15"/>
  <c r="Y3442" i="15" s="1"/>
  <c r="X3444" i="15"/>
  <c r="Y3443" i="15" s="1"/>
  <c r="X3445" i="15"/>
  <c r="Y3444" i="15" s="1"/>
  <c r="X3446" i="15"/>
  <c r="Y3445" i="15" s="1"/>
  <c r="X3447" i="15"/>
  <c r="Y3446" i="15" s="1"/>
  <c r="X3448" i="15"/>
  <c r="Y3447" i="15" s="1"/>
  <c r="X3449" i="15"/>
  <c r="Y3448" i="15" s="1"/>
  <c r="X3450" i="15"/>
  <c r="Y3449" i="15" s="1"/>
  <c r="X3451" i="15"/>
  <c r="Y3450" i="15" s="1"/>
  <c r="X3452" i="15"/>
  <c r="Y3451" i="15" s="1"/>
  <c r="X3453" i="15"/>
  <c r="Y3452" i="15" s="1"/>
  <c r="X3454" i="15"/>
  <c r="Y3453" i="15" s="1"/>
  <c r="X3455" i="15"/>
  <c r="Y3454" i="15" s="1"/>
  <c r="X3456" i="15"/>
  <c r="Y3455" i="15" s="1"/>
  <c r="X3457" i="15"/>
  <c r="Y3456" i="15" s="1"/>
  <c r="X3458" i="15"/>
  <c r="Y3457" i="15" s="1"/>
  <c r="X3459" i="15"/>
  <c r="Y3458" i="15" s="1"/>
  <c r="X3460" i="15"/>
  <c r="Y3459" i="15" s="1"/>
  <c r="X3461" i="15"/>
  <c r="Y3460" i="15" s="1"/>
  <c r="X3462" i="15"/>
  <c r="Y3461" i="15" s="1"/>
  <c r="X3463" i="15"/>
  <c r="Y3462" i="15" s="1"/>
  <c r="X3464" i="15"/>
  <c r="Y3463" i="15" s="1"/>
  <c r="X3465" i="15"/>
  <c r="Y3464" i="15" s="1"/>
  <c r="X3466" i="15"/>
  <c r="Y3465" i="15" s="1"/>
  <c r="X3467" i="15"/>
  <c r="Y3466" i="15" s="1"/>
  <c r="X3468" i="15"/>
  <c r="Y3467" i="15" s="1"/>
  <c r="X3469" i="15"/>
  <c r="Y3468" i="15" s="1"/>
  <c r="X3470" i="15"/>
  <c r="Y3469" i="15" s="1"/>
  <c r="X3471" i="15"/>
  <c r="Y3470" i="15" s="1"/>
  <c r="X3472" i="15"/>
  <c r="Y3471" i="15" s="1"/>
  <c r="X3473" i="15"/>
  <c r="Y3472" i="15" s="1"/>
  <c r="X3474" i="15"/>
  <c r="Y3473" i="15" s="1"/>
  <c r="X3475" i="15"/>
  <c r="Y3474" i="15" s="1"/>
  <c r="X3476" i="15"/>
  <c r="Y3475" i="15" s="1"/>
  <c r="X3477" i="15"/>
  <c r="Y3476" i="15" s="1"/>
  <c r="X3478" i="15"/>
  <c r="Y3477" i="15" s="1"/>
  <c r="X3479" i="15"/>
  <c r="Y3478" i="15" s="1"/>
  <c r="X3480" i="15"/>
  <c r="Y3479" i="15" s="1"/>
  <c r="X3481" i="15"/>
  <c r="Y3480" i="15" s="1"/>
  <c r="X3482" i="15"/>
  <c r="Y3481" i="15" s="1"/>
  <c r="X3483" i="15"/>
  <c r="Y3482" i="15" s="1"/>
  <c r="X3484" i="15"/>
  <c r="Y3483" i="15" s="1"/>
  <c r="X3485" i="15"/>
  <c r="Y3484" i="15" s="1"/>
  <c r="X3486" i="15"/>
  <c r="Y3485" i="15" s="1"/>
  <c r="X3487" i="15"/>
  <c r="Y3486" i="15" s="1"/>
  <c r="X3488" i="15"/>
  <c r="Y3487" i="15" s="1"/>
  <c r="X3489" i="15"/>
  <c r="Y3488" i="15" s="1"/>
  <c r="X3490" i="15"/>
  <c r="Y3489" i="15" s="1"/>
  <c r="X3491" i="15"/>
  <c r="Y3490" i="15" s="1"/>
  <c r="X3492" i="15"/>
  <c r="Y3491" i="15" s="1"/>
  <c r="X3493" i="15"/>
  <c r="Y3492" i="15" s="1"/>
  <c r="X3494" i="15"/>
  <c r="Y3493" i="15" s="1"/>
  <c r="X3495" i="15"/>
  <c r="Y3494" i="15" s="1"/>
  <c r="X3496" i="15"/>
  <c r="Y3495" i="15" s="1"/>
  <c r="X3497" i="15"/>
  <c r="Y3496" i="15" s="1"/>
  <c r="X3498" i="15"/>
  <c r="Y3497" i="15" s="1"/>
  <c r="X3499" i="15"/>
  <c r="Y3498" i="15" s="1"/>
  <c r="X3500" i="15"/>
  <c r="Y3499" i="15" s="1"/>
  <c r="X3501" i="15"/>
  <c r="Y3500" i="15" s="1"/>
  <c r="X3502" i="15"/>
  <c r="Y3501" i="15" s="1"/>
  <c r="X3503" i="15"/>
  <c r="Y3502" i="15" s="1"/>
  <c r="X3504" i="15"/>
  <c r="Y3503" i="15" s="1"/>
  <c r="X3505" i="15"/>
  <c r="Y3504" i="15" s="1"/>
  <c r="X3506" i="15"/>
  <c r="Y3505" i="15" s="1"/>
  <c r="X3507" i="15"/>
  <c r="Y3506" i="15" s="1"/>
  <c r="X3508" i="15"/>
  <c r="Y3507" i="15" s="1"/>
  <c r="X3509" i="15"/>
  <c r="Y3508" i="15" s="1"/>
  <c r="X3510" i="15"/>
  <c r="Y3509" i="15" s="1"/>
  <c r="X3511" i="15"/>
  <c r="Y3510" i="15" s="1"/>
  <c r="X3512" i="15"/>
  <c r="Y3511" i="15" s="1"/>
  <c r="X3513" i="15"/>
  <c r="Y3512" i="15" s="1"/>
  <c r="X3514" i="15"/>
  <c r="Y3513" i="15" s="1"/>
  <c r="X3515" i="15"/>
  <c r="Y3514" i="15" s="1"/>
  <c r="X3516" i="15"/>
  <c r="Y3515" i="15" s="1"/>
  <c r="X3517" i="15"/>
  <c r="Y3516" i="15" s="1"/>
  <c r="X3518" i="15"/>
  <c r="Y3517" i="15" s="1"/>
  <c r="X3519" i="15"/>
  <c r="Y3518" i="15" s="1"/>
  <c r="X3520" i="15"/>
  <c r="Y3519" i="15" s="1"/>
  <c r="X3521" i="15"/>
  <c r="Y3520" i="15" s="1"/>
  <c r="X3522" i="15"/>
  <c r="Y3521" i="15" s="1"/>
  <c r="X3523" i="15"/>
  <c r="Y3522" i="15" s="1"/>
  <c r="X3524" i="15"/>
  <c r="Y3523" i="15" s="1"/>
  <c r="X3525" i="15"/>
  <c r="Y3524" i="15" s="1"/>
  <c r="X3526" i="15"/>
  <c r="Y3525" i="15" s="1"/>
  <c r="X3527" i="15"/>
  <c r="Y3526" i="15" s="1"/>
  <c r="X3528" i="15"/>
  <c r="Y3527" i="15" s="1"/>
  <c r="X3529" i="15"/>
  <c r="Y3528" i="15" s="1"/>
  <c r="X3530" i="15"/>
  <c r="Y3529" i="15" s="1"/>
  <c r="X3531" i="15"/>
  <c r="Y3530" i="15" s="1"/>
  <c r="X3532" i="15"/>
  <c r="Y3531" i="15" s="1"/>
  <c r="X3533" i="15"/>
  <c r="Y3532" i="15" s="1"/>
  <c r="X3534" i="15"/>
  <c r="Y3533" i="15" s="1"/>
  <c r="X3535" i="15"/>
  <c r="Y3534" i="15" s="1"/>
  <c r="X3536" i="15"/>
  <c r="Y3535" i="15" s="1"/>
  <c r="X3537" i="15"/>
  <c r="Y3536" i="15" s="1"/>
  <c r="X3538" i="15"/>
  <c r="Y3537" i="15" s="1"/>
  <c r="X3539" i="15"/>
  <c r="Y3538" i="15" s="1"/>
  <c r="X3540" i="15"/>
  <c r="Y3539" i="15" s="1"/>
  <c r="X3541" i="15"/>
  <c r="Y3540" i="15" s="1"/>
  <c r="X3542" i="15"/>
  <c r="Y3541" i="15" s="1"/>
  <c r="X3543" i="15"/>
  <c r="Y3542" i="15" s="1"/>
  <c r="X3544" i="15"/>
  <c r="Y3543" i="15" s="1"/>
  <c r="X3545" i="15"/>
  <c r="Y3544" i="15" s="1"/>
  <c r="X3546" i="15"/>
  <c r="Y3545" i="15" s="1"/>
  <c r="X3547" i="15"/>
  <c r="Y3546" i="15" s="1"/>
  <c r="X3548" i="15"/>
  <c r="Y3547" i="15" s="1"/>
  <c r="X3549" i="15"/>
  <c r="Y3548" i="15" s="1"/>
  <c r="X3550" i="15"/>
  <c r="Y3549" i="15" s="1"/>
  <c r="X3551" i="15"/>
  <c r="Y3550" i="15" s="1"/>
  <c r="X3552" i="15"/>
  <c r="Y3551" i="15" s="1"/>
  <c r="X3553" i="15"/>
  <c r="Y3552" i="15" s="1"/>
  <c r="X3554" i="15"/>
  <c r="Y3553" i="15" s="1"/>
  <c r="X3555" i="15"/>
  <c r="Y3554" i="15" s="1"/>
  <c r="X3556" i="15"/>
  <c r="Y3555" i="15" s="1"/>
  <c r="X3557" i="15"/>
  <c r="Y3556" i="15" s="1"/>
  <c r="X3558" i="15"/>
  <c r="Y3557" i="15" s="1"/>
  <c r="X3559" i="15"/>
  <c r="Y3558" i="15" s="1"/>
  <c r="X3560" i="15"/>
  <c r="Y3559" i="15" s="1"/>
  <c r="X3561" i="15"/>
  <c r="Y3560" i="15" s="1"/>
  <c r="X3562" i="15"/>
  <c r="Y3561" i="15" s="1"/>
  <c r="X3563" i="15"/>
  <c r="Y3562" i="15" s="1"/>
  <c r="X3564" i="15"/>
  <c r="Y3563" i="15" s="1"/>
  <c r="X3565" i="15"/>
  <c r="Y3564" i="15" s="1"/>
  <c r="X3566" i="15"/>
  <c r="Y3565" i="15" s="1"/>
  <c r="X3567" i="15"/>
  <c r="Y3566" i="15" s="1"/>
  <c r="X3568" i="15"/>
  <c r="Y3567" i="15" s="1"/>
  <c r="X3569" i="15"/>
  <c r="Y3568" i="15" s="1"/>
  <c r="X3570" i="15"/>
  <c r="Y3569" i="15" s="1"/>
  <c r="X3571" i="15"/>
  <c r="Y3570" i="15" s="1"/>
  <c r="X3572" i="15"/>
  <c r="Y3571" i="15" s="1"/>
  <c r="X3573" i="15"/>
  <c r="Y3572" i="15" s="1"/>
  <c r="X3574" i="15"/>
  <c r="Y3573" i="15" s="1"/>
  <c r="X3575" i="15"/>
  <c r="Y3574" i="15" s="1"/>
  <c r="X3576" i="15"/>
  <c r="Y3575" i="15" s="1"/>
  <c r="X3577" i="15"/>
  <c r="Y3576" i="15" s="1"/>
  <c r="X3578" i="15"/>
  <c r="Y3577" i="15" s="1"/>
  <c r="X3579" i="15"/>
  <c r="Y3578" i="15" s="1"/>
  <c r="X3580" i="15"/>
  <c r="Y3579" i="15" s="1"/>
  <c r="X3581" i="15"/>
  <c r="Y3580" i="15" s="1"/>
  <c r="X3582" i="15"/>
  <c r="Y3581" i="15" s="1"/>
  <c r="X3583" i="15"/>
  <c r="Y3582" i="15" s="1"/>
  <c r="X3584" i="15"/>
  <c r="Y3583" i="15" s="1"/>
  <c r="X3585" i="15"/>
  <c r="Y3584" i="15" s="1"/>
  <c r="X3586" i="15"/>
  <c r="Y3585" i="15" s="1"/>
  <c r="X3587" i="15"/>
  <c r="Y3586" i="15" s="1"/>
  <c r="X3588" i="15"/>
  <c r="Y3587" i="15" s="1"/>
  <c r="X3589" i="15"/>
  <c r="Y3588" i="15" s="1"/>
  <c r="X3590" i="15"/>
  <c r="Y3589" i="15" s="1"/>
  <c r="X3591" i="15"/>
  <c r="Y3590" i="15" s="1"/>
  <c r="X3592" i="15"/>
  <c r="Y3591" i="15" s="1"/>
  <c r="X3593" i="15"/>
  <c r="Y3592" i="15" s="1"/>
  <c r="X3594" i="15"/>
  <c r="Y3593" i="15" s="1"/>
  <c r="X3595" i="15"/>
  <c r="Y3594" i="15" s="1"/>
  <c r="X3596" i="15"/>
  <c r="Y3595" i="15" s="1"/>
  <c r="X3597" i="15"/>
  <c r="Y3596" i="15" s="1"/>
  <c r="X3598" i="15"/>
  <c r="Y3597" i="15" s="1"/>
  <c r="X3599" i="15"/>
  <c r="Y3598" i="15" s="1"/>
  <c r="X3600" i="15"/>
  <c r="Y3599" i="15" s="1"/>
  <c r="X3601" i="15"/>
  <c r="Y3600" i="15" s="1"/>
  <c r="X3602" i="15"/>
  <c r="Y3601" i="15" s="1"/>
  <c r="X3603" i="15"/>
  <c r="Y3602" i="15" s="1"/>
  <c r="X3604" i="15"/>
  <c r="Y3603" i="15" s="1"/>
  <c r="X3605" i="15"/>
  <c r="Y3604" i="15" s="1"/>
  <c r="X3606" i="15"/>
  <c r="Y3605" i="15" s="1"/>
  <c r="X3607" i="15"/>
  <c r="Y3606" i="15" s="1"/>
  <c r="X3608" i="15"/>
  <c r="Y3607" i="15" s="1"/>
  <c r="X3609" i="15"/>
  <c r="Y3608" i="15" s="1"/>
  <c r="X3610" i="15"/>
  <c r="Y3609" i="15" s="1"/>
  <c r="X3611" i="15"/>
  <c r="Y3610" i="15" s="1"/>
  <c r="X3612" i="15"/>
  <c r="Y3611" i="15" s="1"/>
  <c r="X3613" i="15"/>
  <c r="Y3612" i="15" s="1"/>
  <c r="X3614" i="15"/>
  <c r="Y3613" i="15" s="1"/>
  <c r="X3615" i="15"/>
  <c r="Y3614" i="15" s="1"/>
  <c r="X3616" i="15"/>
  <c r="Y3615" i="15" s="1"/>
  <c r="X3617" i="15"/>
  <c r="Y3616" i="15" s="1"/>
  <c r="X3618" i="15"/>
  <c r="Y3617" i="15" s="1"/>
  <c r="X3619" i="15"/>
  <c r="Y3618" i="15" s="1"/>
  <c r="X3620" i="15"/>
  <c r="Y3619" i="15" s="1"/>
  <c r="X3621" i="15"/>
  <c r="Y3620" i="15" s="1"/>
  <c r="X3622" i="15"/>
  <c r="Y3621" i="15" s="1"/>
  <c r="X3623" i="15"/>
  <c r="Y3622" i="15" s="1"/>
  <c r="X3624" i="15"/>
  <c r="Y3623" i="15" s="1"/>
  <c r="X3625" i="15"/>
  <c r="Y3624" i="15" s="1"/>
  <c r="X3626" i="15"/>
  <c r="Y3625" i="15" s="1"/>
  <c r="X3627" i="15"/>
  <c r="Y3626" i="15" s="1"/>
  <c r="X3628" i="15"/>
  <c r="Y3627" i="15" s="1"/>
  <c r="X3629" i="15"/>
  <c r="Y3628" i="15" s="1"/>
  <c r="X3630" i="15"/>
  <c r="Y3629" i="15" s="1"/>
  <c r="X3631" i="15"/>
  <c r="Y3630" i="15" s="1"/>
  <c r="X3632" i="15"/>
  <c r="Y3631" i="15" s="1"/>
  <c r="X3633" i="15"/>
  <c r="Y3632" i="15" s="1"/>
  <c r="X3634" i="15"/>
  <c r="Y3633" i="15" s="1"/>
  <c r="X3635" i="15"/>
  <c r="Y3634" i="15" s="1"/>
  <c r="X3636" i="15"/>
  <c r="Y3635" i="15" s="1"/>
  <c r="X3637" i="15"/>
  <c r="Y3636" i="15" s="1"/>
  <c r="X3638" i="15"/>
  <c r="Y3637" i="15" s="1"/>
  <c r="X3639" i="15"/>
  <c r="Y3638" i="15" s="1"/>
  <c r="X3640" i="15"/>
  <c r="Y3639" i="15" s="1"/>
  <c r="X3641" i="15"/>
  <c r="Y3640" i="15" s="1"/>
  <c r="X3642" i="15"/>
  <c r="Y3641" i="15" s="1"/>
  <c r="X3643" i="15"/>
  <c r="Y3642" i="15" s="1"/>
  <c r="X3644" i="15"/>
  <c r="Y3643" i="15" s="1"/>
  <c r="X3645" i="15"/>
  <c r="Y3644" i="15" s="1"/>
  <c r="X3646" i="15"/>
  <c r="Y3645" i="15" s="1"/>
  <c r="X3647" i="15"/>
  <c r="Y3646" i="15" s="1"/>
  <c r="X3648" i="15"/>
  <c r="Y3647" i="15" s="1"/>
  <c r="X3649" i="15"/>
  <c r="Y3648" i="15" s="1"/>
  <c r="X3650" i="15"/>
  <c r="Y3649" i="15" s="1"/>
  <c r="X3651" i="15"/>
  <c r="Y3650" i="15" s="1"/>
  <c r="X3652" i="15"/>
  <c r="Y3651" i="15" s="1"/>
  <c r="X3653" i="15"/>
  <c r="Y3652" i="15" s="1"/>
  <c r="X3654" i="15"/>
  <c r="Y3653" i="15" s="1"/>
  <c r="X3655" i="15"/>
  <c r="Y3654" i="15" s="1"/>
  <c r="X3656" i="15"/>
  <c r="Y3655" i="15" s="1"/>
  <c r="X3657" i="15"/>
  <c r="Y3656" i="15" s="1"/>
  <c r="X3658" i="15"/>
  <c r="Y3657" i="15" s="1"/>
  <c r="X3659" i="15"/>
  <c r="Y3658" i="15" s="1"/>
  <c r="X3660" i="15"/>
  <c r="Y3659" i="15" s="1"/>
  <c r="X3661" i="15"/>
  <c r="Y3660" i="15" s="1"/>
  <c r="X3662" i="15"/>
  <c r="Y3661" i="15" s="1"/>
  <c r="X3663" i="15"/>
  <c r="Y3662" i="15" s="1"/>
  <c r="X3664" i="15"/>
  <c r="Y3663" i="15" s="1"/>
  <c r="X3665" i="15"/>
  <c r="Y3664" i="15" s="1"/>
  <c r="X3666" i="15"/>
  <c r="Y3665" i="15" s="1"/>
  <c r="X3667" i="15"/>
  <c r="Y3666" i="15" s="1"/>
  <c r="X3668" i="15"/>
  <c r="Y3667" i="15" s="1"/>
  <c r="X3669" i="15"/>
  <c r="Y3668" i="15" s="1"/>
  <c r="X3670" i="15"/>
  <c r="Y3669" i="15" s="1"/>
  <c r="X3671" i="15"/>
  <c r="Y3670" i="15" s="1"/>
  <c r="X3672" i="15"/>
  <c r="Y3671" i="15" s="1"/>
  <c r="X3673" i="15"/>
  <c r="Y3672" i="15" s="1"/>
  <c r="X3674" i="15"/>
  <c r="Y3673" i="15" s="1"/>
  <c r="X3675" i="15"/>
  <c r="Y3674" i="15" s="1"/>
  <c r="X3676" i="15"/>
  <c r="Y3675" i="15" s="1"/>
  <c r="X3677" i="15"/>
  <c r="Y3676" i="15" s="1"/>
  <c r="X3678" i="15"/>
  <c r="Y3677" i="15" s="1"/>
  <c r="X3679" i="15"/>
  <c r="Y3678" i="15" s="1"/>
  <c r="X3680" i="15"/>
  <c r="Y3679" i="15" s="1"/>
  <c r="X3681" i="15"/>
  <c r="Y3680" i="15" s="1"/>
  <c r="X3682" i="15"/>
  <c r="Y3681" i="15" s="1"/>
  <c r="X3683" i="15"/>
  <c r="Y3682" i="15" s="1"/>
  <c r="X3684" i="15"/>
  <c r="Y3683" i="15" s="1"/>
  <c r="X3685" i="15"/>
  <c r="Y3684" i="15" s="1"/>
  <c r="X3686" i="15"/>
  <c r="Y3685" i="15" s="1"/>
  <c r="X3687" i="15"/>
  <c r="Y3686" i="15" s="1"/>
  <c r="X3688" i="15"/>
  <c r="Y3687" i="15" s="1"/>
  <c r="X3689" i="15"/>
  <c r="Y3688" i="15" s="1"/>
  <c r="X3690" i="15"/>
  <c r="Y3689" i="15" s="1"/>
  <c r="X3691" i="15"/>
  <c r="Y3690" i="15" s="1"/>
  <c r="X3692" i="15"/>
  <c r="Y3691" i="15" s="1"/>
  <c r="X3693" i="15"/>
  <c r="Y3692" i="15" s="1"/>
  <c r="X3694" i="15"/>
  <c r="Y3693" i="15" s="1"/>
  <c r="X3695" i="15"/>
  <c r="Y3694" i="15" s="1"/>
  <c r="X3696" i="15"/>
  <c r="Y3695" i="15" s="1"/>
  <c r="X3697" i="15"/>
  <c r="Y3696" i="15" s="1"/>
  <c r="X3698" i="15"/>
  <c r="Y3697" i="15" s="1"/>
  <c r="X3699" i="15"/>
  <c r="Y3698" i="15" s="1"/>
  <c r="X3700" i="15"/>
  <c r="Y3699" i="15" s="1"/>
  <c r="X3701" i="15"/>
  <c r="Y3700" i="15" s="1"/>
  <c r="X3702" i="15"/>
  <c r="Y3701" i="15" s="1"/>
  <c r="X3703" i="15"/>
  <c r="Y3702" i="15" s="1"/>
  <c r="X3704" i="15"/>
  <c r="Y3703" i="15" s="1"/>
  <c r="X3705" i="15"/>
  <c r="Y3704" i="15" s="1"/>
  <c r="X3706" i="15"/>
  <c r="Y3705" i="15" s="1"/>
  <c r="X3707" i="15"/>
  <c r="Y3706" i="15" s="1"/>
  <c r="X3708" i="15"/>
  <c r="Y3707" i="15" s="1"/>
  <c r="X3709" i="15"/>
  <c r="Y3708" i="15" s="1"/>
  <c r="X3710" i="15"/>
  <c r="Y3709" i="15" s="1"/>
  <c r="X3711" i="15"/>
  <c r="Y3710" i="15" s="1"/>
  <c r="X3712" i="15"/>
  <c r="Y3711" i="15" s="1"/>
  <c r="X3713" i="15"/>
  <c r="Y3712" i="15" s="1"/>
  <c r="X3714" i="15"/>
  <c r="Y3713" i="15" s="1"/>
  <c r="X3715" i="15"/>
  <c r="Y3714" i="15" s="1"/>
  <c r="X3716" i="15"/>
  <c r="Y3715" i="15" s="1"/>
  <c r="X3717" i="15"/>
  <c r="Y3716" i="15" s="1"/>
  <c r="X3718" i="15"/>
  <c r="Y3717" i="15" s="1"/>
  <c r="X3719" i="15"/>
  <c r="Y3718" i="15" s="1"/>
  <c r="X3720" i="15"/>
  <c r="Y3719" i="15" s="1"/>
  <c r="X3721" i="15"/>
  <c r="Y3720" i="15" s="1"/>
  <c r="X3722" i="15"/>
  <c r="Y3721" i="15" s="1"/>
  <c r="X3723" i="15"/>
  <c r="Y3722" i="15" s="1"/>
  <c r="X3724" i="15"/>
  <c r="Y3723" i="15" s="1"/>
  <c r="X3725" i="15"/>
  <c r="Y3724" i="15" s="1"/>
  <c r="X3726" i="15"/>
  <c r="Y3725" i="15" s="1"/>
  <c r="X3727" i="15"/>
  <c r="Y3726" i="15" s="1"/>
  <c r="X3728" i="15"/>
  <c r="Y3727" i="15" s="1"/>
  <c r="X3729" i="15"/>
  <c r="Y3728" i="15" s="1"/>
  <c r="X3730" i="15"/>
  <c r="Y3729" i="15" s="1"/>
  <c r="X3731" i="15"/>
  <c r="Y3730" i="15" s="1"/>
  <c r="X3732" i="15"/>
  <c r="Y3731" i="15" s="1"/>
  <c r="X3733" i="15"/>
  <c r="Y3732" i="15" s="1"/>
  <c r="X3734" i="15"/>
  <c r="Y3733" i="15" s="1"/>
  <c r="X3735" i="15"/>
  <c r="Y3734" i="15" s="1"/>
  <c r="X3736" i="15"/>
  <c r="Y3735" i="15" s="1"/>
  <c r="X3737" i="15"/>
  <c r="Y3736" i="15" s="1"/>
  <c r="X3738" i="15"/>
  <c r="Y3737" i="15" s="1"/>
  <c r="X3739" i="15"/>
  <c r="Y3738" i="15" s="1"/>
  <c r="X3740" i="15"/>
  <c r="Y3739" i="15" s="1"/>
  <c r="X3741" i="15"/>
  <c r="Y3740" i="15" s="1"/>
  <c r="X3742" i="15"/>
  <c r="Y3741" i="15" s="1"/>
  <c r="X3743" i="15"/>
  <c r="Y3742" i="15" s="1"/>
  <c r="X3744" i="15"/>
  <c r="Y3743" i="15" s="1"/>
  <c r="X3745" i="15"/>
  <c r="Y3744" i="15" s="1"/>
  <c r="X3746" i="15"/>
  <c r="Y3745" i="15" s="1"/>
  <c r="X3747" i="15"/>
  <c r="Y3746" i="15" s="1"/>
  <c r="X3748" i="15"/>
  <c r="Y3747" i="15" s="1"/>
  <c r="X3749" i="15"/>
  <c r="Y3748" i="15" s="1"/>
  <c r="X3750" i="15"/>
  <c r="Y3749" i="15" s="1"/>
  <c r="X3751" i="15"/>
  <c r="Y3750" i="15" s="1"/>
  <c r="X3752" i="15"/>
  <c r="Y3751" i="15" s="1"/>
  <c r="X3753" i="15"/>
  <c r="Y3752" i="15" s="1"/>
  <c r="X3754" i="15"/>
  <c r="Y3753" i="15" s="1"/>
  <c r="X3755" i="15"/>
  <c r="Y3754" i="15" s="1"/>
  <c r="X3756" i="15"/>
  <c r="Y3755" i="15" s="1"/>
  <c r="X3757" i="15"/>
  <c r="Y3756" i="15" s="1"/>
  <c r="X3758" i="15"/>
  <c r="Y3757" i="15" s="1"/>
  <c r="X3759" i="15"/>
  <c r="Y3758" i="15" s="1"/>
  <c r="X3760" i="15"/>
  <c r="Y3759" i="15" s="1"/>
  <c r="X3761" i="15"/>
  <c r="Y3760" i="15" s="1"/>
  <c r="X3762" i="15"/>
  <c r="Y3761" i="15" s="1"/>
  <c r="X3763" i="15"/>
  <c r="Y3762" i="15" s="1"/>
  <c r="X3764" i="15"/>
  <c r="Y3763" i="15" s="1"/>
  <c r="X3765" i="15"/>
  <c r="Y3764" i="15" s="1"/>
  <c r="X3766" i="15"/>
  <c r="Y3765" i="15" s="1"/>
  <c r="X3767" i="15"/>
  <c r="Y3766" i="15" s="1"/>
  <c r="X3768" i="15"/>
  <c r="Y3767" i="15" s="1"/>
  <c r="X3769" i="15"/>
  <c r="Y3768" i="15" s="1"/>
  <c r="X3770" i="15"/>
  <c r="Y3769" i="15" s="1"/>
  <c r="X3771" i="15"/>
  <c r="Y3770" i="15" s="1"/>
  <c r="X3772" i="15"/>
  <c r="Y3771" i="15" s="1"/>
  <c r="X3773" i="15"/>
  <c r="Y3772" i="15" s="1"/>
  <c r="X3774" i="15"/>
  <c r="Y3773" i="15" s="1"/>
  <c r="X3775" i="15"/>
  <c r="Y3774" i="15" s="1"/>
  <c r="X3776" i="15"/>
  <c r="Y3775" i="15" s="1"/>
  <c r="X3777" i="15"/>
  <c r="Y3776" i="15" s="1"/>
  <c r="X3778" i="15"/>
  <c r="Y3777" i="15" s="1"/>
  <c r="X3779" i="15"/>
  <c r="Y3778" i="15" s="1"/>
  <c r="X3780" i="15"/>
  <c r="Y3779" i="15" s="1"/>
  <c r="X3781" i="15"/>
  <c r="Y3780" i="15" s="1"/>
  <c r="X3782" i="15"/>
  <c r="Y3781" i="15" s="1"/>
  <c r="X3783" i="15"/>
  <c r="Y3782" i="15" s="1"/>
  <c r="X3784" i="15"/>
  <c r="Y3783" i="15" s="1"/>
  <c r="X3785" i="15"/>
  <c r="Y3784" i="15" s="1"/>
  <c r="X3786" i="15"/>
  <c r="Y3785" i="15" s="1"/>
  <c r="X3787" i="15"/>
  <c r="Y3786" i="15" s="1"/>
  <c r="X3788" i="15"/>
  <c r="Y3787" i="15" s="1"/>
  <c r="X3789" i="15"/>
  <c r="Y3788" i="15" s="1"/>
  <c r="X3790" i="15"/>
  <c r="Y3789" i="15" s="1"/>
  <c r="X3791" i="15"/>
  <c r="Y3790" i="15" s="1"/>
  <c r="X3792" i="15"/>
  <c r="Y3791" i="15" s="1"/>
  <c r="X3793" i="15"/>
  <c r="Y3792" i="15" s="1"/>
  <c r="X3794" i="15"/>
  <c r="Y3793" i="15" s="1"/>
  <c r="X3795" i="15"/>
  <c r="Y3794" i="15" s="1"/>
  <c r="X3796" i="15"/>
  <c r="Y3795" i="15" s="1"/>
  <c r="X3797" i="15"/>
  <c r="Y3796" i="15" s="1"/>
  <c r="X3798" i="15"/>
  <c r="Y3797" i="15" s="1"/>
  <c r="X3799" i="15"/>
  <c r="Y3798" i="15" s="1"/>
  <c r="X3800" i="15"/>
  <c r="Y3799" i="15" s="1"/>
  <c r="X3801" i="15"/>
  <c r="Y3800" i="15" s="1"/>
  <c r="X3802" i="15"/>
  <c r="Y3801" i="15" s="1"/>
  <c r="X3803" i="15"/>
  <c r="Y3802" i="15" s="1"/>
  <c r="X3804" i="15"/>
  <c r="Y3803" i="15" s="1"/>
  <c r="X3805" i="15"/>
  <c r="Y3804" i="15" s="1"/>
  <c r="X3806" i="15"/>
  <c r="Y3805" i="15" s="1"/>
  <c r="X3807" i="15"/>
  <c r="Y3806" i="15" s="1"/>
  <c r="X3808" i="15"/>
  <c r="Y3807" i="15" s="1"/>
  <c r="X3809" i="15"/>
  <c r="Y3808" i="15" s="1"/>
  <c r="X3810" i="15"/>
  <c r="Y3809" i="15" s="1"/>
  <c r="X3811" i="15"/>
  <c r="Y3810" i="15" s="1"/>
  <c r="X3812" i="15"/>
  <c r="Y3811" i="15" s="1"/>
  <c r="X3813" i="15"/>
  <c r="Y3812" i="15" s="1"/>
  <c r="X3814" i="15"/>
  <c r="Y3813" i="15" s="1"/>
  <c r="X3815" i="15"/>
  <c r="Y3814" i="15" s="1"/>
  <c r="X3816" i="15"/>
  <c r="Y3815" i="15" s="1"/>
  <c r="X3817" i="15"/>
  <c r="Y3816" i="15" s="1"/>
  <c r="X3818" i="15"/>
  <c r="Y3817" i="15" s="1"/>
  <c r="X3819" i="15"/>
  <c r="Y3818" i="15" s="1"/>
  <c r="X3820" i="15"/>
  <c r="Y3819" i="15" s="1"/>
  <c r="X3821" i="15"/>
  <c r="Y3820" i="15" s="1"/>
  <c r="X3822" i="15"/>
  <c r="Y3821" i="15" s="1"/>
  <c r="X3823" i="15"/>
  <c r="Y3822" i="15" s="1"/>
  <c r="X3824" i="15"/>
  <c r="Y3823" i="15" s="1"/>
  <c r="X3825" i="15"/>
  <c r="Y3824" i="15" s="1"/>
  <c r="X3826" i="15"/>
  <c r="Y3825" i="15" s="1"/>
  <c r="X3827" i="15"/>
  <c r="Y3826" i="15" s="1"/>
  <c r="X3828" i="15"/>
  <c r="Y3827" i="15" s="1"/>
  <c r="X3829" i="15"/>
  <c r="Y3828" i="15" s="1"/>
  <c r="X3830" i="15"/>
  <c r="Y3829" i="15" s="1"/>
  <c r="X3831" i="15"/>
  <c r="Y3830" i="15" s="1"/>
  <c r="X3832" i="15"/>
  <c r="Y3831" i="15" s="1"/>
  <c r="X3833" i="15"/>
  <c r="Y3832" i="15" s="1"/>
  <c r="X3834" i="15"/>
  <c r="Y3833" i="15" s="1"/>
  <c r="X3835" i="15"/>
  <c r="Y3834" i="15" s="1"/>
  <c r="X3836" i="15"/>
  <c r="Y3835" i="15" s="1"/>
  <c r="X3837" i="15"/>
  <c r="Y3836" i="15" s="1"/>
  <c r="X3838" i="15"/>
  <c r="Y3837" i="15" s="1"/>
  <c r="X3839" i="15"/>
  <c r="Y3838" i="15" s="1"/>
  <c r="X3840" i="15"/>
  <c r="Y3839" i="15" s="1"/>
  <c r="X3841" i="15"/>
  <c r="Y3840" i="15" s="1"/>
  <c r="X3842" i="15"/>
  <c r="Y3841" i="15" s="1"/>
  <c r="X3843" i="15"/>
  <c r="Y3842" i="15" s="1"/>
  <c r="X3844" i="15"/>
  <c r="Y3843" i="15" s="1"/>
  <c r="X3845" i="15"/>
  <c r="Y3844" i="15" s="1"/>
  <c r="X3846" i="15"/>
  <c r="Y3845" i="15" s="1"/>
  <c r="X3847" i="15"/>
  <c r="Y3846" i="15" s="1"/>
  <c r="X3848" i="15"/>
  <c r="Y3847" i="15" s="1"/>
  <c r="X3849" i="15"/>
  <c r="Y3848" i="15" s="1"/>
  <c r="X3850" i="15"/>
  <c r="Y3849" i="15" s="1"/>
  <c r="X3851" i="15"/>
  <c r="Y3850" i="15" s="1"/>
  <c r="X3852" i="15"/>
  <c r="Y3851" i="15" s="1"/>
  <c r="X3853" i="15"/>
  <c r="Y3852" i="15" s="1"/>
  <c r="X3854" i="15"/>
  <c r="Y3853" i="15" s="1"/>
  <c r="X3855" i="15"/>
  <c r="Y3854" i="15" s="1"/>
  <c r="X3856" i="15"/>
  <c r="Y3855" i="15" s="1"/>
  <c r="X3857" i="15"/>
  <c r="Y3856" i="15" s="1"/>
  <c r="X3858" i="15"/>
  <c r="Y3857" i="15" s="1"/>
  <c r="X3859" i="15"/>
  <c r="Y3858" i="15" s="1"/>
  <c r="X3860" i="15"/>
  <c r="Y3859" i="15" s="1"/>
  <c r="X3861" i="15"/>
  <c r="Y3860" i="15" s="1"/>
  <c r="X3862" i="15"/>
  <c r="Y3861" i="15" s="1"/>
  <c r="X3863" i="15"/>
  <c r="Y3862" i="15" s="1"/>
  <c r="X3864" i="15"/>
  <c r="Y3863" i="15" s="1"/>
  <c r="X3865" i="15"/>
  <c r="Y3864" i="15" s="1"/>
  <c r="X3866" i="15"/>
  <c r="Y3865" i="15" s="1"/>
  <c r="X3867" i="15"/>
  <c r="Y3866" i="15" s="1"/>
  <c r="X3868" i="15"/>
  <c r="Y3867" i="15" s="1"/>
  <c r="X3869" i="15"/>
  <c r="Y3868" i="15" s="1"/>
  <c r="X3870" i="15"/>
  <c r="Y3869" i="15" s="1"/>
  <c r="X3871" i="15"/>
  <c r="Y3870" i="15" s="1"/>
  <c r="X3872" i="15"/>
  <c r="Y3871" i="15" s="1"/>
  <c r="X3873" i="15"/>
  <c r="Y3872" i="15" s="1"/>
  <c r="X3874" i="15"/>
  <c r="Y3873" i="15" s="1"/>
  <c r="X3875" i="15"/>
  <c r="Y3874" i="15" s="1"/>
  <c r="X3876" i="15"/>
  <c r="Y3875" i="15" s="1"/>
  <c r="X3877" i="15"/>
  <c r="Y3876" i="15" s="1"/>
  <c r="X3878" i="15"/>
  <c r="Y3877" i="15" s="1"/>
  <c r="X3879" i="15"/>
  <c r="Y3878" i="15" s="1"/>
  <c r="X3880" i="15"/>
  <c r="Y3879" i="15" s="1"/>
  <c r="X3881" i="15"/>
  <c r="Y3880" i="15" s="1"/>
  <c r="X3882" i="15"/>
  <c r="Y3881" i="15" s="1"/>
  <c r="X3883" i="15"/>
  <c r="Y3882" i="15" s="1"/>
  <c r="X3884" i="15"/>
  <c r="Y3883" i="15" s="1"/>
  <c r="X3885" i="15"/>
  <c r="Y3884" i="15" s="1"/>
  <c r="X3886" i="15"/>
  <c r="Y3885" i="15" s="1"/>
  <c r="X3887" i="15"/>
  <c r="Y3886" i="15" s="1"/>
  <c r="X3888" i="15"/>
  <c r="Y3887" i="15" s="1"/>
  <c r="X3889" i="15"/>
  <c r="Y3888" i="15" s="1"/>
  <c r="X3890" i="15"/>
  <c r="Y3889" i="15" s="1"/>
  <c r="X3891" i="15"/>
  <c r="Y3890" i="15" s="1"/>
  <c r="X3892" i="15"/>
  <c r="Y3891" i="15" s="1"/>
  <c r="X3893" i="15"/>
  <c r="Y3892" i="15" s="1"/>
  <c r="X3894" i="15"/>
  <c r="Y3893" i="15" s="1"/>
  <c r="X3895" i="15"/>
  <c r="Y3894" i="15" s="1"/>
  <c r="X3896" i="15"/>
  <c r="Y3895" i="15" s="1"/>
  <c r="X3897" i="15"/>
  <c r="Y3896" i="15" s="1"/>
  <c r="X3898" i="15"/>
  <c r="Y3897" i="15" s="1"/>
  <c r="X3899" i="15"/>
  <c r="Y3898" i="15" s="1"/>
  <c r="X3900" i="15"/>
  <c r="Y3899" i="15" s="1"/>
  <c r="X3901" i="15"/>
  <c r="Y3900" i="15" s="1"/>
  <c r="X3902" i="15"/>
  <c r="Y3901" i="15" s="1"/>
  <c r="X3903" i="15"/>
  <c r="Y3902" i="15" s="1"/>
  <c r="X3904" i="15"/>
  <c r="Y3903" i="15" s="1"/>
  <c r="X3905" i="15"/>
  <c r="Y3904" i="15" s="1"/>
  <c r="X3906" i="15"/>
  <c r="Y3905" i="15" s="1"/>
  <c r="X3907" i="15"/>
  <c r="Y3906" i="15" s="1"/>
  <c r="X3908" i="15"/>
  <c r="Y3907" i="15" s="1"/>
  <c r="X3909" i="15"/>
  <c r="Y3908" i="15" s="1"/>
  <c r="X3910" i="15"/>
  <c r="Y3909" i="15" s="1"/>
  <c r="X3911" i="15"/>
  <c r="Y3910" i="15" s="1"/>
  <c r="X3912" i="15"/>
  <c r="Y3911" i="15" s="1"/>
  <c r="X3913" i="15"/>
  <c r="Y3912" i="15" s="1"/>
  <c r="X3914" i="15"/>
  <c r="Y3913" i="15" s="1"/>
  <c r="X3915" i="15"/>
  <c r="Y3914" i="15" s="1"/>
  <c r="X3916" i="15"/>
  <c r="Y3915" i="15" s="1"/>
  <c r="X3917" i="15"/>
  <c r="Y3916" i="15" s="1"/>
  <c r="X3918" i="15"/>
  <c r="Y3917" i="15" s="1"/>
  <c r="X3919" i="15"/>
  <c r="Y3918" i="15" s="1"/>
  <c r="X3920" i="15"/>
  <c r="Y3919" i="15" s="1"/>
  <c r="X3921" i="15"/>
  <c r="Y3920" i="15" s="1"/>
  <c r="X3922" i="15"/>
  <c r="Y3921" i="15" s="1"/>
  <c r="X3923" i="15"/>
  <c r="Y3922" i="15" s="1"/>
  <c r="X3924" i="15"/>
  <c r="Y3923" i="15" s="1"/>
  <c r="X3925" i="15"/>
  <c r="Y3924" i="15" s="1"/>
  <c r="X3926" i="15"/>
  <c r="Y3925" i="15" s="1"/>
  <c r="X3927" i="15"/>
  <c r="Y3926" i="15" s="1"/>
  <c r="X3928" i="15"/>
  <c r="Y3927" i="15" s="1"/>
  <c r="X3929" i="15"/>
  <c r="Y3928" i="15" s="1"/>
  <c r="X3930" i="15"/>
  <c r="Y3929" i="15" s="1"/>
  <c r="X3931" i="15"/>
  <c r="Y3930" i="15" s="1"/>
  <c r="X3932" i="15"/>
  <c r="Y3931" i="15" s="1"/>
  <c r="X3933" i="15"/>
  <c r="Y3932" i="15" s="1"/>
  <c r="X3934" i="15"/>
  <c r="Y3933" i="15" s="1"/>
  <c r="X3935" i="15"/>
  <c r="Y3934" i="15" s="1"/>
  <c r="X3936" i="15"/>
  <c r="Y3935" i="15" s="1"/>
  <c r="X3937" i="15"/>
  <c r="Y3936" i="15" s="1"/>
  <c r="X3938" i="15"/>
  <c r="Y3937" i="15" s="1"/>
  <c r="X3939" i="15"/>
  <c r="Y3938" i="15" s="1"/>
  <c r="X3940" i="15"/>
  <c r="Y3939" i="15" s="1"/>
  <c r="X3941" i="15"/>
  <c r="Y3940" i="15" s="1"/>
  <c r="X3942" i="15"/>
  <c r="Y3941" i="15" s="1"/>
  <c r="X3943" i="15"/>
  <c r="Y3942" i="15" s="1"/>
  <c r="X3944" i="15"/>
  <c r="Y3943" i="15" s="1"/>
  <c r="X3945" i="15"/>
  <c r="Y3944" i="15" s="1"/>
  <c r="X3946" i="15"/>
  <c r="Y3945" i="15" s="1"/>
  <c r="X3947" i="15"/>
  <c r="Y3946" i="15" s="1"/>
  <c r="X3948" i="15"/>
  <c r="Y3947" i="15" s="1"/>
  <c r="X3949" i="15"/>
  <c r="Y3948" i="15" s="1"/>
  <c r="X3950" i="15"/>
  <c r="Y3949" i="15" s="1"/>
  <c r="X3951" i="15"/>
  <c r="Y3950" i="15" s="1"/>
  <c r="X3952" i="15"/>
  <c r="Y3951" i="15" s="1"/>
  <c r="X3953" i="15"/>
  <c r="Y3952" i="15" s="1"/>
  <c r="X3954" i="15"/>
  <c r="Y3953" i="15" s="1"/>
  <c r="X3955" i="15"/>
  <c r="Y3954" i="15" s="1"/>
  <c r="X3956" i="15"/>
  <c r="Y3955" i="15" s="1"/>
  <c r="X3957" i="15"/>
  <c r="Y3956" i="15" s="1"/>
  <c r="X3958" i="15"/>
  <c r="Y3957" i="15" s="1"/>
  <c r="X3959" i="15"/>
  <c r="Y3958" i="15" s="1"/>
  <c r="X3960" i="15"/>
  <c r="Y3959" i="15" s="1"/>
  <c r="X3961" i="15"/>
  <c r="Y3960" i="15" s="1"/>
  <c r="X3962" i="15"/>
  <c r="Y3961" i="15" s="1"/>
  <c r="X3963" i="15"/>
  <c r="Y3962" i="15" s="1"/>
  <c r="X3964" i="15"/>
  <c r="Y3963" i="15" s="1"/>
  <c r="X3965" i="15"/>
  <c r="Y3964" i="15" s="1"/>
  <c r="X3966" i="15"/>
  <c r="Y3965" i="15" s="1"/>
  <c r="X3967" i="15"/>
  <c r="Y3966" i="15" s="1"/>
  <c r="X3968" i="15"/>
  <c r="Y3967" i="15" s="1"/>
  <c r="X3969" i="15"/>
  <c r="Y3968" i="15" s="1"/>
  <c r="X3970" i="15"/>
  <c r="Y3969" i="15" s="1"/>
  <c r="X3971" i="15"/>
  <c r="Y3970" i="15" s="1"/>
  <c r="X3972" i="15"/>
  <c r="Y3971" i="15" s="1"/>
  <c r="X3973" i="15"/>
  <c r="Y3972" i="15" s="1"/>
  <c r="X3974" i="15"/>
  <c r="Y3973" i="15" s="1"/>
  <c r="X3975" i="15"/>
  <c r="Y3974" i="15" s="1"/>
  <c r="X3976" i="15"/>
  <c r="Y3975" i="15" s="1"/>
  <c r="X3977" i="15"/>
  <c r="Y3976" i="15" s="1"/>
  <c r="X3978" i="15"/>
  <c r="Y3977" i="15" s="1"/>
  <c r="X3979" i="15"/>
  <c r="Y3978" i="15" s="1"/>
  <c r="X3980" i="15"/>
  <c r="Y3979" i="15" s="1"/>
  <c r="X3981" i="15"/>
  <c r="Y3980" i="15" s="1"/>
  <c r="X3982" i="15"/>
  <c r="Y3981" i="15" s="1"/>
  <c r="X3983" i="15"/>
  <c r="Y3982" i="15" s="1"/>
  <c r="X3984" i="15"/>
  <c r="Y3983" i="15" s="1"/>
  <c r="X3985" i="15"/>
  <c r="Y3984" i="15" s="1"/>
  <c r="X3986" i="15"/>
  <c r="Y3985" i="15" s="1"/>
  <c r="X3987" i="15"/>
  <c r="Y3986" i="15" s="1"/>
  <c r="X3988" i="15"/>
  <c r="Y3987" i="15" s="1"/>
  <c r="X3989" i="15"/>
  <c r="Y3988" i="15" s="1"/>
  <c r="X3990" i="15"/>
  <c r="Y3989" i="15" s="1"/>
  <c r="X3991" i="15"/>
  <c r="Y3990" i="15" s="1"/>
  <c r="X3992" i="15"/>
  <c r="Y3991" i="15" s="1"/>
  <c r="X3993" i="15"/>
  <c r="Y3992" i="15" s="1"/>
  <c r="X3994" i="15"/>
  <c r="Y3993" i="15" s="1"/>
  <c r="X3995" i="15"/>
  <c r="Y3994" i="15" s="1"/>
  <c r="X3996" i="15"/>
  <c r="Y3995" i="15" s="1"/>
  <c r="X3997" i="15"/>
  <c r="Y3996" i="15" s="1"/>
  <c r="X3998" i="15"/>
  <c r="Y3997" i="15" s="1"/>
  <c r="X3999" i="15"/>
  <c r="Y3998" i="15" s="1"/>
  <c r="X4000" i="15"/>
  <c r="Y3999" i="15" s="1"/>
  <c r="X4001" i="15"/>
  <c r="Y4000" i="15" s="1"/>
  <c r="X4002" i="15"/>
  <c r="Y4001" i="15" s="1"/>
  <c r="X4003" i="15"/>
  <c r="Y4002" i="15" s="1"/>
  <c r="X4004" i="15"/>
  <c r="Y4003" i="15" s="1"/>
  <c r="X4005" i="15"/>
  <c r="Y4004" i="15" s="1"/>
  <c r="X4006" i="15"/>
  <c r="Y4005" i="15" s="1"/>
  <c r="X4007" i="15"/>
  <c r="Y4006" i="15" s="1"/>
  <c r="X4008" i="15"/>
  <c r="Y4007" i="15" s="1"/>
  <c r="X4009" i="15"/>
  <c r="Y4008" i="15" s="1"/>
  <c r="X4010" i="15"/>
  <c r="Y4009" i="15" s="1"/>
  <c r="X4011" i="15"/>
  <c r="Y4010" i="15" s="1"/>
  <c r="X4012" i="15"/>
  <c r="Y4011" i="15" s="1"/>
  <c r="X4013" i="15"/>
  <c r="Y4012" i="15" s="1"/>
  <c r="X4014" i="15"/>
  <c r="Y4013" i="15" s="1"/>
  <c r="X4015" i="15"/>
  <c r="Y4014" i="15" s="1"/>
  <c r="X4016" i="15"/>
  <c r="Y4015" i="15" s="1"/>
  <c r="X4017" i="15"/>
  <c r="Y4016" i="15" s="1"/>
  <c r="X4018" i="15"/>
  <c r="Y4017" i="15" s="1"/>
  <c r="X4019" i="15"/>
  <c r="Y4018" i="15" s="1"/>
  <c r="X4020" i="15"/>
  <c r="Y4019" i="15" s="1"/>
  <c r="X4021" i="15"/>
  <c r="Y4020" i="15" s="1"/>
  <c r="X4022" i="15"/>
  <c r="Y4021" i="15" s="1"/>
  <c r="X4023" i="15"/>
  <c r="Y4022" i="15" s="1"/>
  <c r="X4024" i="15"/>
  <c r="Y4023" i="15" s="1"/>
  <c r="X4025" i="15"/>
  <c r="Y4024" i="15" s="1"/>
  <c r="X4026" i="15"/>
  <c r="Y4025" i="15" s="1"/>
  <c r="X4027" i="15"/>
  <c r="Y4026" i="15" s="1"/>
  <c r="X4028" i="15"/>
  <c r="Y4027" i="15" s="1"/>
  <c r="X4029" i="15"/>
  <c r="Y4028" i="15" s="1"/>
  <c r="X4030" i="15"/>
  <c r="Y4029" i="15" s="1"/>
  <c r="X4031" i="15"/>
  <c r="Y4030" i="15" s="1"/>
  <c r="X4032" i="15"/>
  <c r="Y4031" i="15" s="1"/>
  <c r="X4033" i="15"/>
  <c r="Y4032" i="15" s="1"/>
  <c r="X4034" i="15"/>
  <c r="Y4033" i="15" s="1"/>
  <c r="X4035" i="15"/>
  <c r="Y4034" i="15" s="1"/>
  <c r="X4036" i="15"/>
  <c r="Y4035" i="15" s="1"/>
  <c r="X4037" i="15"/>
  <c r="Y4036" i="15" s="1"/>
  <c r="X4038" i="15"/>
  <c r="Y4037" i="15" s="1"/>
  <c r="X4039" i="15"/>
  <c r="Y4038" i="15" s="1"/>
  <c r="X4040" i="15"/>
  <c r="Y4039" i="15" s="1"/>
  <c r="X4041" i="15"/>
  <c r="Y4040" i="15" s="1"/>
  <c r="X4042" i="15"/>
  <c r="Y4041" i="15" s="1"/>
  <c r="X4043" i="15"/>
  <c r="Y4042" i="15" s="1"/>
  <c r="X4044" i="15"/>
  <c r="Y4043" i="15" s="1"/>
  <c r="X4045" i="15"/>
  <c r="Y4044" i="15" s="1"/>
  <c r="X4046" i="15"/>
  <c r="Y4045" i="15" s="1"/>
  <c r="X4047" i="15"/>
  <c r="Y4046" i="15" s="1"/>
  <c r="X4048" i="15"/>
  <c r="Y4047" i="15" s="1"/>
  <c r="X4049" i="15"/>
  <c r="Y4048" i="15" s="1"/>
  <c r="X4050" i="15"/>
  <c r="Y4049" i="15" s="1"/>
  <c r="X4051" i="15"/>
  <c r="Y4050" i="15" s="1"/>
  <c r="X4052" i="15"/>
  <c r="Y4051" i="15" s="1"/>
  <c r="X4053" i="15"/>
  <c r="Y4052" i="15" s="1"/>
  <c r="X4054" i="15"/>
  <c r="Y4053" i="15" s="1"/>
  <c r="X4055" i="15"/>
  <c r="Y4054" i="15" s="1"/>
  <c r="X4056" i="15"/>
  <c r="Y4055" i="15" s="1"/>
  <c r="X4057" i="15"/>
  <c r="Y4056" i="15" s="1"/>
  <c r="X4058" i="15"/>
  <c r="Y4057" i="15" s="1"/>
  <c r="X4059" i="15"/>
  <c r="Y4058" i="15" s="1"/>
  <c r="X4060" i="15"/>
  <c r="Y4059" i="15" s="1"/>
  <c r="X4061" i="15"/>
  <c r="Y4060" i="15" s="1"/>
  <c r="X4062" i="15"/>
  <c r="Y4061" i="15" s="1"/>
  <c r="X4063" i="15"/>
  <c r="Y4062" i="15" s="1"/>
  <c r="X4064" i="15"/>
  <c r="Y4063" i="15" s="1"/>
  <c r="X4065" i="15"/>
  <c r="Y4064" i="15" s="1"/>
  <c r="X4066" i="15"/>
  <c r="Y4065" i="15" s="1"/>
  <c r="X4067" i="15"/>
  <c r="Y4066" i="15" s="1"/>
  <c r="X4068" i="15"/>
  <c r="Y4067" i="15" s="1"/>
  <c r="X4069" i="15"/>
  <c r="Y4068" i="15" s="1"/>
  <c r="X4070" i="15"/>
  <c r="Y4069" i="15" s="1"/>
  <c r="X4071" i="15"/>
  <c r="Y4070" i="15" s="1"/>
  <c r="X4072" i="15"/>
  <c r="Y4071" i="15" s="1"/>
  <c r="X4073" i="15"/>
  <c r="Y4072" i="15" s="1"/>
  <c r="X4074" i="15"/>
  <c r="Y4073" i="15" s="1"/>
  <c r="X4075" i="15"/>
  <c r="Y4074" i="15" s="1"/>
  <c r="X4076" i="15"/>
  <c r="Y4075" i="15" s="1"/>
  <c r="X4077" i="15"/>
  <c r="Y4076" i="15" s="1"/>
  <c r="X4078" i="15"/>
  <c r="Y4077" i="15" s="1"/>
  <c r="X4079" i="15"/>
  <c r="Y4078" i="15" s="1"/>
  <c r="X4080" i="15"/>
  <c r="Y4079" i="15" s="1"/>
  <c r="X4081" i="15"/>
  <c r="Y4080" i="15" s="1"/>
  <c r="X4082" i="15"/>
  <c r="Y4081" i="15" s="1"/>
  <c r="X4083" i="15"/>
  <c r="Y4082" i="15" s="1"/>
  <c r="X4084" i="15"/>
  <c r="Y4083" i="15" s="1"/>
  <c r="X4085" i="15"/>
  <c r="Y4084" i="15" s="1"/>
  <c r="X4086" i="15"/>
  <c r="Y4085" i="15" s="1"/>
  <c r="X4087" i="15"/>
  <c r="Y4086" i="15" s="1"/>
  <c r="X4088" i="15"/>
  <c r="Y4087" i="15" s="1"/>
  <c r="X4089" i="15"/>
  <c r="Y4088" i="15" s="1"/>
  <c r="X4090" i="15"/>
  <c r="Y4089" i="15" s="1"/>
  <c r="X4091" i="15"/>
  <c r="Y4090" i="15" s="1"/>
  <c r="X4092" i="15"/>
  <c r="Y4091" i="15" s="1"/>
  <c r="X4093" i="15"/>
  <c r="Y4092" i="15" s="1"/>
  <c r="X4094" i="15"/>
  <c r="Y4093" i="15" s="1"/>
  <c r="X4095" i="15"/>
  <c r="Y4094" i="15" s="1"/>
  <c r="X4096" i="15"/>
  <c r="Y4095" i="15" s="1"/>
  <c r="X4097" i="15"/>
  <c r="Y4096" i="15" s="1"/>
  <c r="X4098" i="15"/>
  <c r="Y4097" i="15" s="1"/>
  <c r="X4099" i="15"/>
  <c r="Y4098" i="15" s="1"/>
  <c r="X4100" i="15"/>
  <c r="Y4099" i="15" s="1"/>
  <c r="X4101" i="15"/>
  <c r="Y4100" i="15" s="1"/>
  <c r="X4102" i="15"/>
  <c r="Y4101" i="15" s="1"/>
  <c r="X4103" i="15"/>
  <c r="Y4102" i="15" s="1"/>
  <c r="X4104" i="15"/>
  <c r="Y4103" i="15" s="1"/>
  <c r="X4105" i="15"/>
  <c r="Y4104" i="15" s="1"/>
  <c r="X4106" i="15"/>
  <c r="Y4105" i="15" s="1"/>
  <c r="X4107" i="15"/>
  <c r="Y4106" i="15" s="1"/>
  <c r="X4108" i="15"/>
  <c r="Y4107" i="15" s="1"/>
  <c r="X4109" i="15"/>
  <c r="Y4108" i="15" s="1"/>
  <c r="X4110" i="15"/>
  <c r="Y4109" i="15" s="1"/>
  <c r="X4111" i="15"/>
  <c r="Y4110" i="15" s="1"/>
  <c r="X4112" i="15"/>
  <c r="Y4111" i="15" s="1"/>
  <c r="X4113" i="15"/>
  <c r="Y4112" i="15" s="1"/>
  <c r="X4114" i="15"/>
  <c r="Y4113" i="15" s="1"/>
  <c r="X4115" i="15"/>
  <c r="Y4114" i="15" s="1"/>
  <c r="X4116" i="15"/>
  <c r="Y4115" i="15" s="1"/>
  <c r="X4117" i="15"/>
  <c r="Y4116" i="15" s="1"/>
  <c r="X4118" i="15"/>
  <c r="Y4117" i="15" s="1"/>
  <c r="X4119" i="15"/>
  <c r="Y4118" i="15" s="1"/>
  <c r="X4120" i="15"/>
  <c r="Y4119" i="15" s="1"/>
  <c r="X4121" i="15"/>
  <c r="Y4120" i="15" s="1"/>
  <c r="X4122" i="15"/>
  <c r="Y4121" i="15" s="1"/>
  <c r="X4123" i="15"/>
  <c r="Y4122" i="15" s="1"/>
  <c r="X4124" i="15"/>
  <c r="Y4123" i="15" s="1"/>
  <c r="X4125" i="15"/>
  <c r="Y4124" i="15" s="1"/>
  <c r="X4126" i="15"/>
  <c r="Y4125" i="15" s="1"/>
  <c r="X4127" i="15"/>
  <c r="Y4126" i="15" s="1"/>
  <c r="X4128" i="15"/>
  <c r="Y4127" i="15" s="1"/>
  <c r="X4129" i="15"/>
  <c r="Y4128" i="15" s="1"/>
  <c r="X4130" i="15"/>
  <c r="Y4129" i="15" s="1"/>
  <c r="X4131" i="15"/>
  <c r="Y4130" i="15" s="1"/>
  <c r="X4132" i="15"/>
  <c r="Y4131" i="15" s="1"/>
  <c r="X4133" i="15"/>
  <c r="Y4132" i="15" s="1"/>
  <c r="X4134" i="15"/>
  <c r="Y4133" i="15" s="1"/>
  <c r="X4135" i="15"/>
  <c r="Y4134" i="15" s="1"/>
  <c r="X4136" i="15"/>
  <c r="Y4135" i="15" s="1"/>
  <c r="X4137" i="15"/>
  <c r="Y4136" i="15" s="1"/>
  <c r="X4138" i="15"/>
  <c r="Y4137" i="15" s="1"/>
  <c r="X4139" i="15"/>
  <c r="Y4138" i="15" s="1"/>
  <c r="X4140" i="15"/>
  <c r="Y4139" i="15" s="1"/>
  <c r="X4141" i="15"/>
  <c r="Y4140" i="15" s="1"/>
  <c r="X4142" i="15"/>
  <c r="Y4141" i="15" s="1"/>
  <c r="X4143" i="15"/>
  <c r="Y4142" i="15" s="1"/>
  <c r="X4144" i="15"/>
  <c r="Y4143" i="15" s="1"/>
  <c r="X4145" i="15"/>
  <c r="Y4144" i="15" s="1"/>
  <c r="X4146" i="15"/>
  <c r="Y4145" i="15" s="1"/>
  <c r="X4147" i="15"/>
  <c r="Y4146" i="15" s="1"/>
  <c r="X4148" i="15"/>
  <c r="Y4147" i="15" s="1"/>
  <c r="X4149" i="15"/>
  <c r="Y4148" i="15" s="1"/>
  <c r="X4150" i="15"/>
  <c r="Y4149" i="15" s="1"/>
  <c r="X4151" i="15"/>
  <c r="Y4150" i="15" s="1"/>
  <c r="X4152" i="15"/>
  <c r="Y4151" i="15" s="1"/>
  <c r="X4153" i="15"/>
  <c r="Y4152" i="15" s="1"/>
  <c r="X4154" i="15"/>
  <c r="Y4153" i="15" s="1"/>
  <c r="X4155" i="15"/>
  <c r="Y4154" i="15" s="1"/>
  <c r="X4156" i="15"/>
  <c r="Y4155" i="15" s="1"/>
  <c r="X4157" i="15"/>
  <c r="Y4156" i="15" s="1"/>
  <c r="X4158" i="15"/>
  <c r="Y4157" i="15" s="1"/>
  <c r="X4159" i="15"/>
  <c r="Y4158" i="15" s="1"/>
  <c r="X4160" i="15"/>
  <c r="Y4159" i="15" s="1"/>
  <c r="X4161" i="15"/>
  <c r="Y4160" i="15" s="1"/>
  <c r="X4162" i="15"/>
  <c r="Y4161" i="15" s="1"/>
  <c r="X4163" i="15"/>
  <c r="Y4162" i="15" s="1"/>
  <c r="X4164" i="15"/>
  <c r="Y4163" i="15" s="1"/>
  <c r="X4165" i="15"/>
  <c r="Y4164" i="15" s="1"/>
  <c r="X4166" i="15"/>
  <c r="Y4165" i="15" s="1"/>
  <c r="X4167" i="15"/>
  <c r="Y4166" i="15" s="1"/>
  <c r="X4168" i="15"/>
  <c r="Y4167" i="15" s="1"/>
  <c r="X4169" i="15"/>
  <c r="Y4168" i="15" s="1"/>
  <c r="X4170" i="15"/>
  <c r="Y4169" i="15" s="1"/>
  <c r="X4171" i="15"/>
  <c r="Y4170" i="15" s="1"/>
  <c r="X4172" i="15"/>
  <c r="Y4171" i="15" s="1"/>
  <c r="X4173" i="15"/>
  <c r="Y4172" i="15" s="1"/>
  <c r="X4174" i="15"/>
  <c r="Y4173" i="15" s="1"/>
  <c r="X4175" i="15"/>
  <c r="Y4174" i="15" s="1"/>
  <c r="X4176" i="15"/>
  <c r="Y4175" i="15" s="1"/>
  <c r="X4177" i="15"/>
  <c r="Y4176" i="15" s="1"/>
  <c r="X4178" i="15"/>
  <c r="Y4177" i="15" s="1"/>
  <c r="X4179" i="15"/>
  <c r="Y4178" i="15" s="1"/>
  <c r="X4180" i="15"/>
  <c r="Y4179" i="15" s="1"/>
  <c r="X4181" i="15"/>
  <c r="Y4180" i="15" s="1"/>
  <c r="X4182" i="15"/>
  <c r="Y4181" i="15" s="1"/>
  <c r="X4183" i="15"/>
  <c r="Y4182" i="15" s="1"/>
  <c r="X4184" i="15"/>
  <c r="Y4183" i="15" s="1"/>
  <c r="X4185" i="15"/>
  <c r="Y4184" i="15" s="1"/>
  <c r="X4186" i="15"/>
  <c r="Y4185" i="15" s="1"/>
  <c r="X4187" i="15"/>
  <c r="Y4186" i="15" s="1"/>
  <c r="X4188" i="15"/>
  <c r="Y4187" i="15" s="1"/>
  <c r="X4189" i="15"/>
  <c r="Y4188" i="15" s="1"/>
  <c r="X4190" i="15"/>
  <c r="Y4189" i="15" s="1"/>
  <c r="X4191" i="15"/>
  <c r="Y4190" i="15" s="1"/>
  <c r="X4192" i="15"/>
  <c r="Y4191" i="15" s="1"/>
  <c r="X4193" i="15"/>
  <c r="Y4192" i="15" s="1"/>
  <c r="X4194" i="15"/>
  <c r="Y4193" i="15" s="1"/>
  <c r="X4195" i="15"/>
  <c r="Y4194" i="15" s="1"/>
  <c r="X4196" i="15"/>
  <c r="Y4195" i="15" s="1"/>
  <c r="X4197" i="15"/>
  <c r="Y4196" i="15" s="1"/>
  <c r="X4198" i="15"/>
  <c r="Y4197" i="15" s="1"/>
  <c r="X4199" i="15"/>
  <c r="Y4198" i="15" s="1"/>
  <c r="X4200" i="15"/>
  <c r="Y4199" i="15" s="1"/>
  <c r="X4201" i="15"/>
  <c r="Y4200" i="15" s="1"/>
  <c r="X4202" i="15"/>
  <c r="Y4201" i="15" s="1"/>
  <c r="X4203" i="15"/>
  <c r="Y4202" i="15" s="1"/>
  <c r="X4204" i="15"/>
  <c r="Y4203" i="15" s="1"/>
  <c r="X4205" i="15"/>
  <c r="Y4204" i="15" s="1"/>
  <c r="X4206" i="15"/>
  <c r="Y4205" i="15" s="1"/>
  <c r="X4207" i="15"/>
  <c r="Y4206" i="15" s="1"/>
  <c r="X4208" i="15"/>
  <c r="Y4207" i="15" s="1"/>
  <c r="X4209" i="15"/>
  <c r="Y4208" i="15" s="1"/>
  <c r="X4210" i="15"/>
  <c r="Y4209" i="15" s="1"/>
  <c r="X4211" i="15"/>
  <c r="Y4210" i="15" s="1"/>
  <c r="X4212" i="15"/>
  <c r="Y4211" i="15" s="1"/>
  <c r="X4213" i="15"/>
  <c r="Y4212" i="15" s="1"/>
  <c r="X4214" i="15"/>
  <c r="Y4213" i="15" s="1"/>
  <c r="X4215" i="15"/>
  <c r="Y4214" i="15" s="1"/>
  <c r="X4216" i="15"/>
  <c r="Y4215" i="15" s="1"/>
  <c r="X4217" i="15"/>
  <c r="Y4216" i="15" s="1"/>
  <c r="X4218" i="15"/>
  <c r="Y4217" i="15" s="1"/>
  <c r="X4219" i="15"/>
  <c r="Y4218" i="15" s="1"/>
  <c r="X4220" i="15"/>
  <c r="Y4219" i="15" s="1"/>
  <c r="X4221" i="15"/>
  <c r="Y4220" i="15" s="1"/>
  <c r="X4222" i="15"/>
  <c r="Y4221" i="15" s="1"/>
  <c r="X4223" i="15"/>
  <c r="Y4222" i="15" s="1"/>
  <c r="X4224" i="15"/>
  <c r="Y4223" i="15" s="1"/>
  <c r="X4225" i="15"/>
  <c r="Y4224" i="15" s="1"/>
  <c r="X4226" i="15"/>
  <c r="Y4225" i="15" s="1"/>
  <c r="X4227" i="15"/>
  <c r="Y4226" i="15" s="1"/>
  <c r="X4228" i="15"/>
  <c r="Y4227" i="15" s="1"/>
  <c r="X4229" i="15"/>
  <c r="Y4228" i="15" s="1"/>
  <c r="X4230" i="15"/>
  <c r="Y4229" i="15" s="1"/>
  <c r="X4231" i="15"/>
  <c r="Y4230" i="15" s="1"/>
  <c r="X4232" i="15"/>
  <c r="Y4231" i="15" s="1"/>
  <c r="X4233" i="15"/>
  <c r="Y4232" i="15" s="1"/>
  <c r="X4234" i="15"/>
  <c r="Y4233" i="15" s="1"/>
  <c r="X4235" i="15"/>
  <c r="Y4234" i="15" s="1"/>
  <c r="X4236" i="15"/>
  <c r="Y4235" i="15" s="1"/>
  <c r="X4237" i="15"/>
  <c r="Y4236" i="15" s="1"/>
  <c r="X4238" i="15"/>
  <c r="Y4237" i="15" s="1"/>
  <c r="X4239" i="15"/>
  <c r="Y4238" i="15" s="1"/>
  <c r="X4240" i="15"/>
  <c r="Y4239" i="15" s="1"/>
  <c r="X4241" i="15"/>
  <c r="Y4240" i="15" s="1"/>
  <c r="X4242" i="15"/>
  <c r="Y4241" i="15" s="1"/>
  <c r="X4243" i="15"/>
  <c r="Y4242" i="15" s="1"/>
  <c r="X4244" i="15"/>
  <c r="Y4243" i="15" s="1"/>
  <c r="X4245" i="15"/>
  <c r="Y4244" i="15" s="1"/>
  <c r="X4246" i="15"/>
  <c r="Y4245" i="15" s="1"/>
  <c r="X4247" i="15"/>
  <c r="Y4246" i="15" s="1"/>
  <c r="X4248" i="15"/>
  <c r="Y4247" i="15" s="1"/>
  <c r="X4249" i="15"/>
  <c r="Y4248" i="15" s="1"/>
  <c r="X4250" i="15"/>
  <c r="Y4249" i="15" s="1"/>
  <c r="X4251" i="15"/>
  <c r="Y4250" i="15" s="1"/>
  <c r="X4252" i="15"/>
  <c r="Y4251" i="15" s="1"/>
  <c r="X4253" i="15"/>
  <c r="Y4252" i="15" s="1"/>
  <c r="X4254" i="15"/>
  <c r="Y4253" i="15" s="1"/>
  <c r="X4255" i="15"/>
  <c r="Y4254" i="15" s="1"/>
  <c r="X4256" i="15"/>
  <c r="Y4255" i="15" s="1"/>
  <c r="X4257" i="15"/>
  <c r="Y4256" i="15" s="1"/>
  <c r="X4258" i="15"/>
  <c r="Y4257" i="15" s="1"/>
  <c r="X4259" i="15"/>
  <c r="Y4258" i="15" s="1"/>
  <c r="X4260" i="15"/>
  <c r="Y4259" i="15" s="1"/>
  <c r="X4261" i="15"/>
  <c r="Y4260" i="15" s="1"/>
  <c r="X4262" i="15"/>
  <c r="Y4261" i="15" s="1"/>
  <c r="X4263" i="15"/>
  <c r="Y4262" i="15" s="1"/>
  <c r="X4264" i="15"/>
  <c r="Y4263" i="15" s="1"/>
  <c r="X4265" i="15"/>
  <c r="Y4264" i="15" s="1"/>
  <c r="X4266" i="15"/>
  <c r="Y4265" i="15" s="1"/>
  <c r="X4267" i="15"/>
  <c r="Y4266" i="15" s="1"/>
  <c r="X4268" i="15"/>
  <c r="Y4267" i="15" s="1"/>
  <c r="X4269" i="15"/>
  <c r="Y4268" i="15" s="1"/>
  <c r="X4270" i="15"/>
  <c r="Y4269" i="15" s="1"/>
  <c r="X4271" i="15"/>
  <c r="Y4270" i="15" s="1"/>
  <c r="X4272" i="15"/>
  <c r="Y4271" i="15" s="1"/>
  <c r="X4273" i="15"/>
  <c r="Y4272" i="15" s="1"/>
  <c r="X4274" i="15"/>
  <c r="Y4273" i="15" s="1"/>
  <c r="X4275" i="15"/>
  <c r="Y4274" i="15" s="1"/>
  <c r="X4276" i="15"/>
  <c r="Y4275" i="15" s="1"/>
  <c r="X4277" i="15"/>
  <c r="Y4276" i="15" s="1"/>
  <c r="X4278" i="15"/>
  <c r="Y4277" i="15" s="1"/>
  <c r="X4279" i="15"/>
  <c r="Y4278" i="15" s="1"/>
  <c r="X4280" i="15"/>
  <c r="Y4279" i="15" s="1"/>
  <c r="X4281" i="15"/>
  <c r="Y4280" i="15" s="1"/>
  <c r="X4282" i="15"/>
  <c r="Y4281" i="15" s="1"/>
  <c r="X4283" i="15"/>
  <c r="Y4282" i="15" s="1"/>
  <c r="X4284" i="15"/>
  <c r="Y4283" i="15" s="1"/>
  <c r="X4285" i="15"/>
  <c r="Y4284" i="15" s="1"/>
  <c r="X4286" i="15"/>
  <c r="Y4285" i="15" s="1"/>
  <c r="X4287" i="15"/>
  <c r="Y4286" i="15" s="1"/>
  <c r="X4288" i="15"/>
  <c r="Y4287" i="15" s="1"/>
  <c r="X4289" i="15"/>
  <c r="Y4288" i="15" s="1"/>
  <c r="X4290" i="15"/>
  <c r="Y4289" i="15" s="1"/>
  <c r="X4291" i="15"/>
  <c r="Y4290" i="15" s="1"/>
  <c r="X4292" i="15"/>
  <c r="Y4291" i="15" s="1"/>
  <c r="X4293" i="15"/>
  <c r="Y4292" i="15" s="1"/>
  <c r="X4294" i="15"/>
  <c r="Y4293" i="15" s="1"/>
  <c r="X4295" i="15"/>
  <c r="Y4294" i="15" s="1"/>
  <c r="X4296" i="15"/>
  <c r="Y4295" i="15" s="1"/>
  <c r="X4297" i="15"/>
  <c r="Y4296" i="15" s="1"/>
  <c r="X4298" i="15"/>
  <c r="Y4297" i="15" s="1"/>
  <c r="X4299" i="15"/>
  <c r="Y4298" i="15" s="1"/>
  <c r="X4300" i="15"/>
  <c r="Y4299" i="15" s="1"/>
  <c r="X4301" i="15"/>
  <c r="Y4300" i="15" s="1"/>
  <c r="X4302" i="15"/>
  <c r="Y4301" i="15" s="1"/>
  <c r="X4303" i="15"/>
  <c r="Y4302" i="15" s="1"/>
  <c r="X4304" i="15"/>
  <c r="Y4303" i="15" s="1"/>
  <c r="X4305" i="15"/>
  <c r="Y4304" i="15" s="1"/>
  <c r="X4306" i="15"/>
  <c r="Y4305" i="15" s="1"/>
  <c r="X4307" i="15"/>
  <c r="Y4306" i="15" s="1"/>
  <c r="X4308" i="15"/>
  <c r="Y4307" i="15" s="1"/>
  <c r="X4309" i="15"/>
  <c r="Y4308" i="15" s="1"/>
  <c r="X4310" i="15"/>
  <c r="Y4309" i="15" s="1"/>
  <c r="X4311" i="15"/>
  <c r="Y4310" i="15" s="1"/>
  <c r="X4312" i="15"/>
  <c r="Y4311" i="15" s="1"/>
  <c r="X4313" i="15"/>
  <c r="Y4312" i="15" s="1"/>
  <c r="X4314" i="15"/>
  <c r="Y4313" i="15" s="1"/>
  <c r="X4315" i="15"/>
  <c r="Y4314" i="15" s="1"/>
  <c r="X4316" i="15"/>
  <c r="Y4315" i="15" s="1"/>
  <c r="X4317" i="15"/>
  <c r="Y4316" i="15" s="1"/>
  <c r="X4318" i="15"/>
  <c r="Y4317" i="15" s="1"/>
  <c r="X4319" i="15"/>
  <c r="Y4318" i="15" s="1"/>
  <c r="X4320" i="15"/>
  <c r="Y4319" i="15" s="1"/>
  <c r="X4321" i="15"/>
  <c r="Y4320" i="15" s="1"/>
  <c r="X4322" i="15"/>
  <c r="Y4321" i="15" s="1"/>
  <c r="X4323" i="15"/>
  <c r="Y4322" i="15" s="1"/>
  <c r="X4324" i="15"/>
  <c r="Y4323" i="15" s="1"/>
  <c r="X4325" i="15"/>
  <c r="Y4324" i="15" s="1"/>
  <c r="X4326" i="15"/>
  <c r="Y4325" i="15" s="1"/>
  <c r="X4327" i="15"/>
  <c r="Y4326" i="15" s="1"/>
  <c r="X4328" i="15"/>
  <c r="Y4327" i="15" s="1"/>
  <c r="X4329" i="15"/>
  <c r="Y4328" i="15" s="1"/>
  <c r="X4330" i="15"/>
  <c r="Y4329" i="15" s="1"/>
  <c r="X4331" i="15"/>
  <c r="Y4330" i="15" s="1"/>
  <c r="X4332" i="15"/>
  <c r="Y4331" i="15" s="1"/>
  <c r="X4333" i="15"/>
  <c r="Y4332" i="15" s="1"/>
  <c r="X4334" i="15"/>
  <c r="Y4333" i="15" s="1"/>
  <c r="X4335" i="15"/>
  <c r="Y4334" i="15" s="1"/>
  <c r="X4336" i="15"/>
  <c r="Y4335" i="15" s="1"/>
  <c r="X4337" i="15"/>
  <c r="Y4336" i="15" s="1"/>
  <c r="X4338" i="15"/>
  <c r="Y4337" i="15" s="1"/>
  <c r="X4339" i="15"/>
  <c r="Y4338" i="15" s="1"/>
  <c r="X4340" i="15"/>
  <c r="Y4339" i="15" s="1"/>
  <c r="X4341" i="15"/>
  <c r="Y4340" i="15" s="1"/>
  <c r="X4342" i="15"/>
  <c r="Y4341" i="15" s="1"/>
  <c r="X4343" i="15"/>
  <c r="Y4342" i="15" s="1"/>
  <c r="X4344" i="15"/>
  <c r="Y4343" i="15" s="1"/>
  <c r="X4345" i="15"/>
  <c r="Y4344" i="15" s="1"/>
  <c r="X4346" i="15"/>
  <c r="Y4345" i="15" s="1"/>
  <c r="X4347" i="15"/>
  <c r="Y4346" i="15" s="1"/>
  <c r="X4348" i="15"/>
  <c r="Y4347" i="15" s="1"/>
  <c r="X4349" i="15"/>
  <c r="Y4348" i="15" s="1"/>
  <c r="X4350" i="15"/>
  <c r="Y4349" i="15" s="1"/>
  <c r="X4351" i="15"/>
  <c r="Y4350" i="15" s="1"/>
  <c r="X4352" i="15"/>
  <c r="Y4351" i="15" s="1"/>
  <c r="X4353" i="15"/>
  <c r="Y4352" i="15" s="1"/>
  <c r="X4354" i="15"/>
  <c r="Y4353" i="15" s="1"/>
  <c r="X4355" i="15"/>
  <c r="Y4354" i="15" s="1"/>
  <c r="X4356" i="15"/>
  <c r="Y4355" i="15" s="1"/>
  <c r="X4357" i="15"/>
  <c r="Y4356" i="15" s="1"/>
  <c r="X4358" i="15"/>
  <c r="Y4357" i="15" s="1"/>
  <c r="X4359" i="15"/>
  <c r="Y4358" i="15" s="1"/>
  <c r="X4360" i="15"/>
  <c r="Y4359" i="15" s="1"/>
  <c r="X4361" i="15"/>
  <c r="Y4360" i="15" s="1"/>
  <c r="X4362" i="15"/>
  <c r="Y4361" i="15" s="1"/>
  <c r="X4363" i="15"/>
  <c r="Y4362" i="15" s="1"/>
  <c r="X4364" i="15"/>
  <c r="Y4363" i="15" s="1"/>
  <c r="X4365" i="15"/>
  <c r="Y4364" i="15" s="1"/>
  <c r="X4366" i="15"/>
  <c r="Y4365" i="15" s="1"/>
  <c r="X4367" i="15"/>
  <c r="Y4366" i="15" s="1"/>
  <c r="X4368" i="15"/>
  <c r="Y4367" i="15" s="1"/>
  <c r="X4369" i="15"/>
  <c r="Y4368" i="15" s="1"/>
  <c r="X4370" i="15"/>
  <c r="Y4369" i="15" s="1"/>
  <c r="X4371" i="15"/>
  <c r="Y4370" i="15" s="1"/>
  <c r="X4372" i="15"/>
  <c r="Y4371" i="15" s="1"/>
  <c r="X4373" i="15"/>
  <c r="Y4372" i="15" s="1"/>
  <c r="X4374" i="15"/>
  <c r="Y4373" i="15" s="1"/>
  <c r="X4375" i="15"/>
  <c r="Y4374" i="15" s="1"/>
  <c r="X4376" i="15"/>
  <c r="Y4375" i="15" s="1"/>
  <c r="X4377" i="15"/>
  <c r="Y4376" i="15" s="1"/>
  <c r="X4378" i="15"/>
  <c r="Y4377" i="15" s="1"/>
  <c r="X4379" i="15"/>
  <c r="Y4378" i="15" s="1"/>
  <c r="X4380" i="15"/>
  <c r="Y4379" i="15" s="1"/>
  <c r="X4381" i="15"/>
  <c r="Y4380" i="15" s="1"/>
  <c r="X4382" i="15"/>
  <c r="Y4381" i="15" s="1"/>
  <c r="X4383" i="15"/>
  <c r="Y4382" i="15" s="1"/>
  <c r="X4384" i="15"/>
  <c r="Y4383" i="15" s="1"/>
  <c r="X4385" i="15"/>
  <c r="Y4384" i="15" s="1"/>
  <c r="X4386" i="15"/>
  <c r="Y4385" i="15" s="1"/>
  <c r="X4387" i="15"/>
  <c r="Y4386" i="15" s="1"/>
  <c r="X4388" i="15"/>
  <c r="Y4387" i="15" s="1"/>
  <c r="X4389" i="15"/>
  <c r="Y4388" i="15" s="1"/>
  <c r="X4390" i="15"/>
  <c r="Y4389" i="15" s="1"/>
  <c r="X4391" i="15"/>
  <c r="Y4390" i="15" s="1"/>
  <c r="X4392" i="15"/>
  <c r="Y4391" i="15" s="1"/>
  <c r="X4393" i="15"/>
  <c r="Y4392" i="15" s="1"/>
  <c r="X4394" i="15"/>
  <c r="Y4393" i="15" s="1"/>
  <c r="X4395" i="15"/>
  <c r="Y4394" i="15" s="1"/>
  <c r="X4396" i="15"/>
  <c r="Y4395" i="15" s="1"/>
  <c r="X4397" i="15"/>
  <c r="Y4396" i="15" s="1"/>
  <c r="X4398" i="15"/>
  <c r="Y4397" i="15" s="1"/>
  <c r="X4399" i="15"/>
  <c r="Y4398" i="15" s="1"/>
  <c r="X4400" i="15"/>
  <c r="Y4399" i="15" s="1"/>
  <c r="X4401" i="15"/>
  <c r="Y4400" i="15" s="1"/>
  <c r="X4402" i="15"/>
  <c r="Y4401" i="15" s="1"/>
  <c r="X4403" i="15"/>
  <c r="Y4402" i="15" s="1"/>
  <c r="X4404" i="15"/>
  <c r="Y4403" i="15" s="1"/>
  <c r="X4405" i="15"/>
  <c r="Y4404" i="15" s="1"/>
  <c r="X4406" i="15"/>
  <c r="Y4405" i="15" s="1"/>
  <c r="X4407" i="15"/>
  <c r="Y4406" i="15" s="1"/>
  <c r="X4408" i="15"/>
  <c r="Y4407" i="15" s="1"/>
  <c r="X4409" i="15"/>
  <c r="Y4408" i="15" s="1"/>
  <c r="X4410" i="15"/>
  <c r="Y4409" i="15" s="1"/>
  <c r="X4411" i="15"/>
  <c r="Y4410" i="15" s="1"/>
  <c r="X4412" i="15"/>
  <c r="Y4411" i="15" s="1"/>
  <c r="X4413" i="15"/>
  <c r="Y4412" i="15" s="1"/>
  <c r="X4414" i="15"/>
  <c r="Y4413" i="15" s="1"/>
  <c r="X4415" i="15"/>
  <c r="Y4414" i="15" s="1"/>
  <c r="X4416" i="15"/>
  <c r="Y4415" i="15" s="1"/>
  <c r="X4417" i="15"/>
  <c r="Y4416" i="15" s="1"/>
  <c r="X4418" i="15"/>
  <c r="Y4417" i="15" s="1"/>
  <c r="X4419" i="15"/>
  <c r="Y4418" i="15" s="1"/>
  <c r="X4420" i="15"/>
  <c r="Y4419" i="15" s="1"/>
  <c r="X4421" i="15"/>
  <c r="Y4420" i="15" s="1"/>
  <c r="X4422" i="15"/>
  <c r="Y4421" i="15" s="1"/>
  <c r="X4423" i="15"/>
  <c r="Y4422" i="15" s="1"/>
  <c r="X4424" i="15"/>
  <c r="Y4423" i="15" s="1"/>
  <c r="X4425" i="15"/>
  <c r="Y4424" i="15" s="1"/>
  <c r="X4426" i="15"/>
  <c r="Y4425" i="15" s="1"/>
  <c r="X4427" i="15"/>
  <c r="Y4426" i="15" s="1"/>
  <c r="X4428" i="15"/>
  <c r="Y4427" i="15" s="1"/>
  <c r="X4429" i="15"/>
  <c r="Y4428" i="15" s="1"/>
  <c r="X4430" i="15"/>
  <c r="Y4429" i="15" s="1"/>
  <c r="X4431" i="15"/>
  <c r="Y4430" i="15" s="1"/>
  <c r="X4432" i="15"/>
  <c r="Y4431" i="15" s="1"/>
  <c r="X4433" i="15"/>
  <c r="Y4432" i="15" s="1"/>
  <c r="X4434" i="15"/>
  <c r="Y4433" i="15" s="1"/>
  <c r="X4435" i="15"/>
  <c r="Y4434" i="15" s="1"/>
  <c r="X4436" i="15"/>
  <c r="Y4435" i="15" s="1"/>
  <c r="X4437" i="15"/>
  <c r="Y4436" i="15" s="1"/>
  <c r="X4438" i="15"/>
  <c r="Y4437" i="15" s="1"/>
  <c r="X4439" i="15"/>
  <c r="Y4438" i="15" s="1"/>
  <c r="X4440" i="15"/>
  <c r="Y4439" i="15" s="1"/>
  <c r="X4441" i="15"/>
  <c r="Y4440" i="15" s="1"/>
  <c r="X4442" i="15"/>
  <c r="Y4441" i="15" s="1"/>
  <c r="X4443" i="15"/>
  <c r="Y4442" i="15" s="1"/>
  <c r="X4444" i="15"/>
  <c r="Y4443" i="15" s="1"/>
  <c r="X4445" i="15"/>
  <c r="Y4444" i="15" s="1"/>
  <c r="X4446" i="15"/>
  <c r="Y4445" i="15" s="1"/>
  <c r="X4447" i="15"/>
  <c r="Y4446" i="15" s="1"/>
  <c r="X4448" i="15"/>
  <c r="Y4447" i="15" s="1"/>
  <c r="X4449" i="15"/>
  <c r="Y4448" i="15" s="1"/>
  <c r="X4450" i="15"/>
  <c r="Y4449" i="15" s="1"/>
  <c r="X4451" i="15"/>
  <c r="Y4450" i="15" s="1"/>
  <c r="X4452" i="15"/>
  <c r="Y4451" i="15" s="1"/>
  <c r="X4453" i="15"/>
  <c r="Y4452" i="15" s="1"/>
  <c r="X4454" i="15"/>
  <c r="Y4453" i="15" s="1"/>
  <c r="X4455" i="15"/>
  <c r="Y4454" i="15" s="1"/>
  <c r="X4456" i="15"/>
  <c r="Y4455" i="15" s="1"/>
  <c r="X4457" i="15"/>
  <c r="Y4456" i="15" s="1"/>
  <c r="X4458" i="15"/>
  <c r="Y4457" i="15" s="1"/>
  <c r="X4459" i="15"/>
  <c r="Y4458" i="15" s="1"/>
  <c r="X4460" i="15"/>
  <c r="Y4459" i="15" s="1"/>
  <c r="X4461" i="15"/>
  <c r="Y4460" i="15" s="1"/>
  <c r="X4462" i="15"/>
  <c r="Y4461" i="15" s="1"/>
  <c r="X4463" i="15"/>
  <c r="Y4462" i="15" s="1"/>
  <c r="X4464" i="15"/>
  <c r="Y4463" i="15" s="1"/>
  <c r="X4465" i="15"/>
  <c r="Y4464" i="15" s="1"/>
  <c r="X4466" i="15"/>
  <c r="Y4465" i="15" s="1"/>
  <c r="X4467" i="15"/>
  <c r="Y4466" i="15" s="1"/>
  <c r="X4468" i="15"/>
  <c r="Y4467" i="15" s="1"/>
  <c r="X4469" i="15"/>
  <c r="Y4468" i="15" s="1"/>
  <c r="X4470" i="15"/>
  <c r="Y4469" i="15" s="1"/>
  <c r="X4471" i="15"/>
  <c r="Y4470" i="15" s="1"/>
  <c r="X4472" i="15"/>
  <c r="Y4471" i="15" s="1"/>
  <c r="X4473" i="15"/>
  <c r="Y4472" i="15" s="1"/>
  <c r="X4474" i="15"/>
  <c r="Y4473" i="15" s="1"/>
  <c r="X4475" i="15"/>
  <c r="Y4474" i="15" s="1"/>
  <c r="X4476" i="15"/>
  <c r="Y4475" i="15" s="1"/>
  <c r="X4477" i="15"/>
  <c r="Y4476" i="15" s="1"/>
  <c r="X4478" i="15"/>
  <c r="Y4477" i="15" s="1"/>
  <c r="X4479" i="15"/>
  <c r="Y4478" i="15" s="1"/>
  <c r="X4480" i="15"/>
  <c r="Y4479" i="15" s="1"/>
  <c r="X4481" i="15"/>
  <c r="Y4480" i="15" s="1"/>
  <c r="X4482" i="15"/>
  <c r="Y4481" i="15" s="1"/>
  <c r="X4483" i="15"/>
  <c r="Y4482" i="15" s="1"/>
  <c r="X4484" i="15"/>
  <c r="Y4483" i="15" s="1"/>
  <c r="X4485" i="15"/>
  <c r="Y4484" i="15" s="1"/>
  <c r="X4486" i="15"/>
  <c r="Y4485" i="15" s="1"/>
  <c r="X4487" i="15"/>
  <c r="Y4486" i="15" s="1"/>
  <c r="X4488" i="15"/>
  <c r="Y4487" i="15" s="1"/>
  <c r="X4489" i="15"/>
  <c r="Y4488" i="15" s="1"/>
  <c r="X4490" i="15"/>
  <c r="Y4489" i="15" s="1"/>
  <c r="X4491" i="15"/>
  <c r="Y4490" i="15" s="1"/>
  <c r="X4492" i="15"/>
  <c r="Y4491" i="15" s="1"/>
  <c r="X4493" i="15"/>
  <c r="Y4492" i="15" s="1"/>
  <c r="X4494" i="15"/>
  <c r="Y4493" i="15" s="1"/>
  <c r="X4495" i="15"/>
  <c r="Y4494" i="15" s="1"/>
  <c r="X4496" i="15"/>
  <c r="Y4495" i="15" s="1"/>
  <c r="X4497" i="15"/>
  <c r="Y4496" i="15" s="1"/>
  <c r="X4498" i="15"/>
  <c r="Y4497" i="15" s="1"/>
  <c r="X4499" i="15"/>
  <c r="Y4498" i="15" s="1"/>
  <c r="X4500" i="15"/>
  <c r="Y4499" i="15" s="1"/>
  <c r="X4501" i="15"/>
  <c r="Y4500" i="15" s="1"/>
  <c r="X4502" i="15"/>
  <c r="Y4501" i="15" s="1"/>
  <c r="X4503" i="15"/>
  <c r="Y4502" i="15" s="1"/>
  <c r="X4504" i="15"/>
  <c r="Y4503" i="15" s="1"/>
  <c r="X4505" i="15"/>
  <c r="Y4504" i="15" s="1"/>
  <c r="X4506" i="15"/>
  <c r="Y4505" i="15" s="1"/>
  <c r="X4507" i="15"/>
  <c r="Y4506" i="15" s="1"/>
  <c r="X4508" i="15"/>
  <c r="Y4507" i="15" s="1"/>
  <c r="X4509" i="15"/>
  <c r="Y4508" i="15" s="1"/>
  <c r="X4510" i="15"/>
  <c r="Y4509" i="15" s="1"/>
  <c r="X4511" i="15"/>
  <c r="Y4510" i="15" s="1"/>
  <c r="X4512" i="15"/>
  <c r="Y4511" i="15" s="1"/>
  <c r="X4513" i="15"/>
  <c r="Y4512" i="15" s="1"/>
  <c r="X4514" i="15"/>
  <c r="Y4513" i="15" s="1"/>
  <c r="X4515" i="15"/>
  <c r="Y4514" i="15" s="1"/>
  <c r="X4516" i="15"/>
  <c r="Y4515" i="15" s="1"/>
  <c r="X4517" i="15"/>
  <c r="Y4516" i="15" s="1"/>
  <c r="X4518" i="15"/>
  <c r="Y4517" i="15" s="1"/>
  <c r="X4519" i="15"/>
  <c r="Y4518" i="15" s="1"/>
  <c r="X4520" i="15"/>
  <c r="Y4519" i="15" s="1"/>
  <c r="X4521" i="15"/>
  <c r="Y4520" i="15" s="1"/>
  <c r="X4522" i="15"/>
  <c r="Y4521" i="15" s="1"/>
  <c r="X4523" i="15"/>
  <c r="Y4522" i="15" s="1"/>
  <c r="X4524" i="15"/>
  <c r="Y4523" i="15" s="1"/>
  <c r="X4525" i="15"/>
  <c r="Y4524" i="15" s="1"/>
  <c r="X4526" i="15"/>
  <c r="Y4525" i="15" s="1"/>
  <c r="X4527" i="15"/>
  <c r="Y4526" i="15" s="1"/>
  <c r="X4528" i="15"/>
  <c r="Y4527" i="15" s="1"/>
  <c r="X4529" i="15"/>
  <c r="Y4528" i="15" s="1"/>
  <c r="X4530" i="15"/>
  <c r="Y4529" i="15" s="1"/>
  <c r="X4531" i="15"/>
  <c r="Y4530" i="15" s="1"/>
  <c r="X4532" i="15"/>
  <c r="Y4531" i="15" s="1"/>
  <c r="X4533" i="15"/>
  <c r="Y4532" i="15" s="1"/>
  <c r="X4534" i="15"/>
  <c r="Y4533" i="15" s="1"/>
  <c r="X4535" i="15"/>
  <c r="Y4534" i="15" s="1"/>
  <c r="X4536" i="15"/>
  <c r="Y4535" i="15" s="1"/>
  <c r="X4537" i="15"/>
  <c r="Y4536" i="15" s="1"/>
  <c r="X4538" i="15"/>
  <c r="Y4537" i="15" s="1"/>
  <c r="X4539" i="15"/>
  <c r="Y4538" i="15" s="1"/>
  <c r="X4540" i="15"/>
  <c r="Y4539" i="15" s="1"/>
  <c r="X4541" i="15"/>
  <c r="Y4540" i="15" s="1"/>
  <c r="X4542" i="15"/>
  <c r="Y4541" i="15" s="1"/>
  <c r="X4543" i="15"/>
  <c r="Y4542" i="15" s="1"/>
  <c r="X4544" i="15"/>
  <c r="Y4543" i="15" s="1"/>
  <c r="X4545" i="15"/>
  <c r="Y4544" i="15" s="1"/>
  <c r="X4546" i="15"/>
  <c r="Y4545" i="15" s="1"/>
  <c r="X4547" i="15"/>
  <c r="Y4546" i="15" s="1"/>
  <c r="X4548" i="15"/>
  <c r="Y4547" i="15" s="1"/>
  <c r="X4549" i="15"/>
  <c r="Y4548" i="15" s="1"/>
  <c r="X4550" i="15"/>
  <c r="Y4549" i="15" s="1"/>
  <c r="X4551" i="15"/>
  <c r="Y4550" i="15" s="1"/>
  <c r="X4552" i="15"/>
  <c r="Y4551" i="15" s="1"/>
  <c r="X4553" i="15"/>
  <c r="Y4552" i="15" s="1"/>
  <c r="X4554" i="15"/>
  <c r="Y4553" i="15" s="1"/>
  <c r="X4555" i="15"/>
  <c r="Y4554" i="15" s="1"/>
  <c r="X4556" i="15"/>
  <c r="Y4555" i="15" s="1"/>
  <c r="X4557" i="15"/>
  <c r="Y4556" i="15" s="1"/>
  <c r="X4558" i="15"/>
  <c r="Y4557" i="15" s="1"/>
  <c r="X4559" i="15"/>
  <c r="Y4558" i="15" s="1"/>
  <c r="X4560" i="15"/>
  <c r="Y4559" i="15" s="1"/>
  <c r="X4561" i="15"/>
  <c r="Y4560" i="15" s="1"/>
  <c r="X4562" i="15"/>
  <c r="Y4561" i="15" s="1"/>
  <c r="X4563" i="15"/>
  <c r="Y4562" i="15" s="1"/>
  <c r="X4564" i="15"/>
  <c r="Y4563" i="15" s="1"/>
  <c r="X4565" i="15"/>
  <c r="Y4564" i="15" s="1"/>
  <c r="X4566" i="15"/>
  <c r="Y4565" i="15" s="1"/>
  <c r="X4567" i="15"/>
  <c r="Y4566" i="15" s="1"/>
  <c r="X4568" i="15"/>
  <c r="Y4567" i="15" s="1"/>
  <c r="X4569" i="15"/>
  <c r="Y4568" i="15" s="1"/>
  <c r="X4570" i="15"/>
  <c r="Y4569" i="15" s="1"/>
  <c r="X4571" i="15"/>
  <c r="Y4570" i="15" s="1"/>
  <c r="X4572" i="15"/>
  <c r="Y4571" i="15" s="1"/>
  <c r="X4573" i="15"/>
  <c r="Y4572" i="15" s="1"/>
  <c r="X4574" i="15"/>
  <c r="Y4573" i="15" s="1"/>
  <c r="X4575" i="15"/>
  <c r="Y4574" i="15" s="1"/>
  <c r="X4576" i="15"/>
  <c r="Y4575" i="15" s="1"/>
  <c r="X4577" i="15"/>
  <c r="Y4576" i="15" s="1"/>
  <c r="X4578" i="15"/>
  <c r="Y4577" i="15" s="1"/>
  <c r="X4579" i="15"/>
  <c r="Y4578" i="15" s="1"/>
  <c r="X4580" i="15"/>
  <c r="Y4579" i="15" s="1"/>
  <c r="X4581" i="15"/>
  <c r="Y4580" i="15" s="1"/>
  <c r="X4582" i="15"/>
  <c r="Y4581" i="15" s="1"/>
  <c r="X4583" i="15"/>
  <c r="Y4582" i="15" s="1"/>
  <c r="X4584" i="15"/>
  <c r="Y4583" i="15" s="1"/>
  <c r="X4585" i="15"/>
  <c r="Y4584" i="15" s="1"/>
  <c r="X4586" i="15"/>
  <c r="Y4585" i="15" s="1"/>
  <c r="X4587" i="15"/>
  <c r="Y4586" i="15" s="1"/>
  <c r="X4588" i="15"/>
  <c r="Y4587" i="15" s="1"/>
  <c r="X4589" i="15"/>
  <c r="Y4588" i="15" s="1"/>
  <c r="X4590" i="15"/>
  <c r="Y4589" i="15" s="1"/>
  <c r="X4591" i="15"/>
  <c r="Y4590" i="15" s="1"/>
  <c r="X4592" i="15"/>
  <c r="Y4591" i="15" s="1"/>
  <c r="X4593" i="15"/>
  <c r="Y4592" i="15" s="1"/>
  <c r="X4594" i="15"/>
  <c r="Y4593" i="15" s="1"/>
  <c r="X4595" i="15"/>
  <c r="Y4594" i="15" s="1"/>
  <c r="X4596" i="15"/>
  <c r="Y4595" i="15" s="1"/>
  <c r="X4597" i="15"/>
  <c r="Y4596" i="15" s="1"/>
  <c r="X4598" i="15"/>
  <c r="Y4597" i="15" s="1"/>
  <c r="X4599" i="15"/>
  <c r="Y4598" i="15" s="1"/>
  <c r="X4600" i="15"/>
  <c r="Y4599" i="15" s="1"/>
  <c r="X4601" i="15"/>
  <c r="Y4600" i="15" s="1"/>
  <c r="X4602" i="15"/>
  <c r="Y4601" i="15" s="1"/>
  <c r="X4603" i="15"/>
  <c r="Y4602" i="15" s="1"/>
  <c r="X4604" i="15"/>
  <c r="Y4603" i="15" s="1"/>
  <c r="X4605" i="15"/>
  <c r="Y4604" i="15" s="1"/>
  <c r="X4606" i="15"/>
  <c r="Y4605" i="15" s="1"/>
  <c r="X4607" i="15"/>
  <c r="Y4606" i="15" s="1"/>
  <c r="X4608" i="15"/>
  <c r="Y4607" i="15" s="1"/>
  <c r="X4609" i="15"/>
  <c r="Y4608" i="15" s="1"/>
  <c r="X4610" i="15"/>
  <c r="Y4609" i="15" s="1"/>
  <c r="X4611" i="15"/>
  <c r="Y4610" i="15" s="1"/>
  <c r="X4612" i="15"/>
  <c r="Y4611" i="15" s="1"/>
  <c r="X4613" i="15"/>
  <c r="Y4612" i="15" s="1"/>
  <c r="X4614" i="15"/>
  <c r="Y4613" i="15" s="1"/>
  <c r="X4615" i="15"/>
  <c r="Y4614" i="15" s="1"/>
  <c r="X4616" i="15"/>
  <c r="Y4615" i="15" s="1"/>
  <c r="X4617" i="15"/>
  <c r="Y4616" i="15" s="1"/>
  <c r="X4618" i="15"/>
  <c r="Y4617" i="15" s="1"/>
  <c r="X4619" i="15"/>
  <c r="Y4618" i="15" s="1"/>
  <c r="X4620" i="15"/>
  <c r="Y4619" i="15" s="1"/>
  <c r="X4621" i="15"/>
  <c r="Y4620" i="15" s="1"/>
  <c r="X4622" i="15"/>
  <c r="Y4621" i="15" s="1"/>
  <c r="X4623" i="15"/>
  <c r="Y4622" i="15" s="1"/>
  <c r="X4624" i="15"/>
  <c r="Y4623" i="15" s="1"/>
  <c r="X4625" i="15"/>
  <c r="Y4624" i="15" s="1"/>
  <c r="X4626" i="15"/>
  <c r="Y4625" i="15" s="1"/>
  <c r="X4627" i="15"/>
  <c r="Y4626" i="15" s="1"/>
  <c r="X4628" i="15"/>
  <c r="Y4627" i="15" s="1"/>
  <c r="X4629" i="15"/>
  <c r="Y4628" i="15" s="1"/>
  <c r="X4630" i="15"/>
  <c r="Y4629" i="15" s="1"/>
  <c r="X4631" i="15"/>
  <c r="Y4630" i="15" s="1"/>
  <c r="X4632" i="15"/>
  <c r="Y4631" i="15" s="1"/>
  <c r="X4633" i="15"/>
  <c r="Y4632" i="15" s="1"/>
  <c r="X4634" i="15"/>
  <c r="Y4633" i="15" s="1"/>
  <c r="X4635" i="15"/>
  <c r="Y4634" i="15" s="1"/>
  <c r="X4636" i="15"/>
  <c r="Y4635" i="15" s="1"/>
  <c r="X4637" i="15"/>
  <c r="Y4636" i="15" s="1"/>
  <c r="X4638" i="15"/>
  <c r="Y4637" i="15" s="1"/>
  <c r="X4639" i="15"/>
  <c r="Y4638" i="15" s="1"/>
  <c r="X4640" i="15"/>
  <c r="Y4639" i="15" s="1"/>
  <c r="X4641" i="15"/>
  <c r="Y4640" i="15" s="1"/>
  <c r="X4642" i="15"/>
  <c r="Y4641" i="15" s="1"/>
  <c r="X4643" i="15"/>
  <c r="Y4642" i="15" s="1"/>
  <c r="X4644" i="15"/>
  <c r="Y4643" i="15" s="1"/>
  <c r="X4645" i="15"/>
  <c r="Y4644" i="15" s="1"/>
  <c r="X4646" i="15"/>
  <c r="Y4645" i="15" s="1"/>
  <c r="X4647" i="15"/>
  <c r="Y4646" i="15" s="1"/>
  <c r="X4648" i="15"/>
  <c r="Y4647" i="15" s="1"/>
  <c r="X4649" i="15"/>
  <c r="Y4648" i="15" s="1"/>
  <c r="X4650" i="15"/>
  <c r="Y4649" i="15" s="1"/>
  <c r="X4651" i="15"/>
  <c r="Y4650" i="15" s="1"/>
  <c r="X4652" i="15"/>
  <c r="Y4651" i="15" s="1"/>
  <c r="X4653" i="15"/>
  <c r="Y4652" i="15" s="1"/>
  <c r="X4654" i="15"/>
  <c r="Y4653" i="15" s="1"/>
  <c r="X4655" i="15"/>
  <c r="Y4654" i="15" s="1"/>
  <c r="X4656" i="15"/>
  <c r="Y4655" i="15" s="1"/>
  <c r="X4657" i="15"/>
  <c r="Y4656" i="15" s="1"/>
  <c r="X4658" i="15"/>
  <c r="Y4657" i="15" s="1"/>
  <c r="X4659" i="15"/>
  <c r="Y4658" i="15" s="1"/>
  <c r="X4660" i="15"/>
  <c r="Y4659" i="15" s="1"/>
  <c r="X4661" i="15"/>
  <c r="Y4660" i="15" s="1"/>
  <c r="X4662" i="15"/>
  <c r="Y4661" i="15" s="1"/>
  <c r="X4663" i="15"/>
  <c r="Y4662" i="15" s="1"/>
  <c r="X4664" i="15"/>
  <c r="Y4663" i="15" s="1"/>
  <c r="X4665" i="15"/>
  <c r="Y4664" i="15" s="1"/>
  <c r="X4666" i="15"/>
  <c r="Y4665" i="15" s="1"/>
  <c r="X4667" i="15"/>
  <c r="Y4666" i="15" s="1"/>
  <c r="X4668" i="15"/>
  <c r="Y4667" i="15" s="1"/>
  <c r="X4669" i="15"/>
  <c r="Y4668" i="15" s="1"/>
  <c r="X4670" i="15"/>
  <c r="Y4669" i="15" s="1"/>
  <c r="X4671" i="15"/>
  <c r="Y4670" i="15" s="1"/>
  <c r="X4672" i="15"/>
  <c r="Y4671" i="15" s="1"/>
  <c r="X4673" i="15"/>
  <c r="Y4672" i="15" s="1"/>
  <c r="X4674" i="15"/>
  <c r="Y4673" i="15" s="1"/>
  <c r="X4675" i="15"/>
  <c r="Y4674" i="15" s="1"/>
  <c r="X4676" i="15"/>
  <c r="Y4675" i="15" s="1"/>
  <c r="X4677" i="15"/>
  <c r="Y4676" i="15" s="1"/>
  <c r="X4678" i="15"/>
  <c r="Y4677" i="15" s="1"/>
  <c r="X4679" i="15"/>
  <c r="Y4678" i="15" s="1"/>
  <c r="X4680" i="15"/>
  <c r="Y4679" i="15" s="1"/>
  <c r="X4681" i="15"/>
  <c r="Y4680" i="15" s="1"/>
  <c r="X4682" i="15"/>
  <c r="Y4681" i="15" s="1"/>
  <c r="X4683" i="15"/>
  <c r="Y4682" i="15" s="1"/>
  <c r="X4684" i="15"/>
  <c r="Y4683" i="15" s="1"/>
  <c r="X4685" i="15"/>
  <c r="Y4684" i="15" s="1"/>
  <c r="X4686" i="15"/>
  <c r="Y4685" i="15" s="1"/>
  <c r="X4687" i="15"/>
  <c r="Y4686" i="15" s="1"/>
  <c r="X4688" i="15"/>
  <c r="Y4687" i="15" s="1"/>
  <c r="X4689" i="15"/>
  <c r="Y4688" i="15" s="1"/>
  <c r="X4690" i="15"/>
  <c r="Y4689" i="15" s="1"/>
  <c r="X4691" i="15"/>
  <c r="Y4690" i="15" s="1"/>
  <c r="X4692" i="15"/>
  <c r="Y4691" i="15" s="1"/>
  <c r="X4693" i="15"/>
  <c r="Y4692" i="15" s="1"/>
  <c r="X4694" i="15"/>
  <c r="Y4693" i="15" s="1"/>
  <c r="X4695" i="15"/>
  <c r="Y4694" i="15" s="1"/>
  <c r="X4696" i="15"/>
  <c r="Y4695" i="15" s="1"/>
  <c r="X4697" i="15"/>
  <c r="Y4696" i="15" s="1"/>
  <c r="X4698" i="15"/>
  <c r="Y4697" i="15" s="1"/>
  <c r="X4699" i="15"/>
  <c r="Y4698" i="15" s="1"/>
  <c r="X4700" i="15"/>
  <c r="Y4699" i="15" s="1"/>
  <c r="X4701" i="15"/>
  <c r="Y4700" i="15" s="1"/>
  <c r="X4702" i="15"/>
  <c r="Y4701" i="15" s="1"/>
  <c r="X4703" i="15"/>
  <c r="Y4702" i="15" s="1"/>
  <c r="X4704" i="15"/>
  <c r="Y4703" i="15" s="1"/>
  <c r="X4705" i="15"/>
  <c r="Y4704" i="15" s="1"/>
  <c r="X4706" i="15"/>
  <c r="Y4705" i="15" s="1"/>
  <c r="X4707" i="15"/>
  <c r="Y4706" i="15" s="1"/>
  <c r="X4708" i="15"/>
  <c r="Y4707" i="15" s="1"/>
  <c r="X4709" i="15"/>
  <c r="Y4708" i="15" s="1"/>
  <c r="X4710" i="15"/>
  <c r="Y4709" i="15" s="1"/>
  <c r="X4711" i="15"/>
  <c r="Y4710" i="15" s="1"/>
  <c r="X4712" i="15"/>
  <c r="Y4711" i="15" s="1"/>
  <c r="X4713" i="15"/>
  <c r="Y4712" i="15" s="1"/>
  <c r="X4714" i="15"/>
  <c r="Y4713" i="15" s="1"/>
  <c r="X4715" i="15"/>
  <c r="Y4714" i="15" s="1"/>
  <c r="X4716" i="15"/>
  <c r="Y4715" i="15" s="1"/>
  <c r="X4717" i="15"/>
  <c r="Y4716" i="15" s="1"/>
  <c r="X4718" i="15"/>
  <c r="Y4717" i="15" s="1"/>
  <c r="X4719" i="15"/>
  <c r="Y4718" i="15" s="1"/>
  <c r="X4720" i="15"/>
  <c r="Y4719" i="15" s="1"/>
  <c r="X4721" i="15"/>
  <c r="Y4720" i="15" s="1"/>
  <c r="X4722" i="15"/>
  <c r="Y4721" i="15" s="1"/>
  <c r="X4723" i="15"/>
  <c r="Y4722" i="15" s="1"/>
  <c r="X4724" i="15"/>
  <c r="Y4723" i="15" s="1"/>
  <c r="X4725" i="15"/>
  <c r="Y4724" i="15" s="1"/>
  <c r="X4726" i="15"/>
  <c r="Y4725" i="15" s="1"/>
  <c r="X4727" i="15"/>
  <c r="Y4726" i="15" s="1"/>
  <c r="X4728" i="15"/>
  <c r="Y4727" i="15" s="1"/>
  <c r="X4729" i="15"/>
  <c r="Y4728" i="15" s="1"/>
  <c r="X4730" i="15"/>
  <c r="Y4729" i="15" s="1"/>
  <c r="X4731" i="15"/>
  <c r="Y4730" i="15" s="1"/>
  <c r="X4732" i="15"/>
  <c r="Y4731" i="15" s="1"/>
  <c r="X4733" i="15"/>
  <c r="Y4732" i="15" s="1"/>
  <c r="X4734" i="15"/>
  <c r="Y4733" i="15" s="1"/>
  <c r="X4735" i="15"/>
  <c r="Y4734" i="15" s="1"/>
  <c r="X4736" i="15"/>
  <c r="Y4735" i="15" s="1"/>
  <c r="X4737" i="15"/>
  <c r="Y4736" i="15" s="1"/>
  <c r="X4738" i="15"/>
  <c r="Y4737" i="15" s="1"/>
  <c r="X4739" i="15"/>
  <c r="Y4738" i="15" s="1"/>
  <c r="X4740" i="15"/>
  <c r="Y4739" i="15" s="1"/>
  <c r="X4741" i="15"/>
  <c r="Y4740" i="15" s="1"/>
  <c r="X4742" i="15"/>
  <c r="Y4741" i="15" s="1"/>
  <c r="X4743" i="15"/>
  <c r="Y4742" i="15" s="1"/>
  <c r="X4744" i="15"/>
  <c r="Y4743" i="15" s="1"/>
  <c r="X4745" i="15"/>
  <c r="Y4744" i="15" s="1"/>
  <c r="X4746" i="15"/>
  <c r="Y4745" i="15" s="1"/>
  <c r="X4747" i="15"/>
  <c r="Y4746" i="15" s="1"/>
  <c r="X4748" i="15"/>
  <c r="Y4747" i="15" s="1"/>
  <c r="X4749" i="15"/>
  <c r="Y4748" i="15" s="1"/>
  <c r="X4750" i="15"/>
  <c r="Y4749" i="15" s="1"/>
  <c r="X4751" i="15"/>
  <c r="Y4750" i="15" s="1"/>
  <c r="X4752" i="15"/>
  <c r="Y4751" i="15" s="1"/>
  <c r="X4753" i="15"/>
  <c r="Y4752" i="15" s="1"/>
  <c r="X4754" i="15"/>
  <c r="Y4753" i="15" s="1"/>
  <c r="X4755" i="15"/>
  <c r="Y4754" i="15" s="1"/>
  <c r="X4756" i="15"/>
  <c r="Y4755" i="15" s="1"/>
  <c r="X4757" i="15"/>
  <c r="Y4756" i="15" s="1"/>
  <c r="X4758" i="15"/>
  <c r="Y4757" i="15" s="1"/>
  <c r="X4759" i="15"/>
  <c r="Y4758" i="15" s="1"/>
  <c r="X4760" i="15"/>
  <c r="Y4759" i="15" s="1"/>
  <c r="X4761" i="15"/>
  <c r="Y4760" i="15" s="1"/>
  <c r="X4762" i="15"/>
  <c r="Y4761" i="15" s="1"/>
  <c r="X4763" i="15"/>
  <c r="Y4762" i="15" s="1"/>
  <c r="X4764" i="15"/>
  <c r="Y4763" i="15" s="1"/>
  <c r="X4765" i="15"/>
  <c r="Y4764" i="15" s="1"/>
  <c r="X4766" i="15"/>
  <c r="Y4765" i="15" s="1"/>
  <c r="X4767" i="15"/>
  <c r="Y4766" i="15" s="1"/>
  <c r="X4768" i="15"/>
  <c r="Y4767" i="15" s="1"/>
  <c r="X4769" i="15"/>
  <c r="Y4768" i="15" s="1"/>
  <c r="X4770" i="15"/>
  <c r="Y4769" i="15" s="1"/>
  <c r="X4771" i="15"/>
  <c r="Y4770" i="15" s="1"/>
  <c r="X4772" i="15"/>
  <c r="Y4771" i="15" s="1"/>
  <c r="X4773" i="15"/>
  <c r="Y4772" i="15" s="1"/>
  <c r="X4774" i="15"/>
  <c r="Y4773" i="15" s="1"/>
  <c r="X4775" i="15"/>
  <c r="Y4774" i="15" s="1"/>
  <c r="X4776" i="15"/>
  <c r="Y4775" i="15" s="1"/>
  <c r="X4777" i="15"/>
  <c r="Y4776" i="15" s="1"/>
  <c r="X4778" i="15"/>
  <c r="Y4777" i="15" s="1"/>
  <c r="X4779" i="15"/>
  <c r="Y4778" i="15" s="1"/>
  <c r="X4780" i="15"/>
  <c r="Y4779" i="15" s="1"/>
  <c r="X4781" i="15"/>
  <c r="Y4780" i="15" s="1"/>
  <c r="X4782" i="15"/>
  <c r="Y4781" i="15" s="1"/>
  <c r="X4783" i="15"/>
  <c r="Y4782" i="15" s="1"/>
  <c r="X4784" i="15"/>
  <c r="Y4783" i="15" s="1"/>
  <c r="X4785" i="15"/>
  <c r="Y4784" i="15" s="1"/>
  <c r="X4786" i="15"/>
  <c r="Y4785" i="15" s="1"/>
  <c r="X4787" i="15"/>
  <c r="Y4786" i="15" s="1"/>
  <c r="X4788" i="15"/>
  <c r="Y4787" i="15" s="1"/>
  <c r="X4789" i="15"/>
  <c r="Y4788" i="15" s="1"/>
  <c r="X4790" i="15"/>
  <c r="Y4789" i="15" s="1"/>
  <c r="X4791" i="15"/>
  <c r="Y4790" i="15" s="1"/>
  <c r="X4792" i="15"/>
  <c r="Y4791" i="15" s="1"/>
  <c r="X4793" i="15"/>
  <c r="Y4792" i="15" s="1"/>
  <c r="X4794" i="15"/>
  <c r="Y4793" i="15" s="1"/>
  <c r="X4795" i="15"/>
  <c r="Y4794" i="15" s="1"/>
  <c r="X4796" i="15"/>
  <c r="Y4795" i="15" s="1"/>
  <c r="X4797" i="15"/>
  <c r="Y4796" i="15" s="1"/>
  <c r="X4798" i="15"/>
  <c r="Y4797" i="15" s="1"/>
  <c r="X4799" i="15"/>
  <c r="Y4798" i="15" s="1"/>
  <c r="X4800" i="15"/>
  <c r="Y4799" i="15" s="1"/>
  <c r="X4801" i="15"/>
  <c r="Y4800" i="15" s="1"/>
  <c r="X4802" i="15"/>
  <c r="Y4801" i="15" s="1"/>
  <c r="X4803" i="15"/>
  <c r="Y4802" i="15" s="1"/>
  <c r="X4804" i="15"/>
  <c r="Y4803" i="15" s="1"/>
  <c r="X4805" i="15"/>
  <c r="Y4804" i="15" s="1"/>
  <c r="X4806" i="15"/>
  <c r="Y4805" i="15" s="1"/>
  <c r="X4807" i="15"/>
  <c r="Y4806" i="15" s="1"/>
  <c r="X4808" i="15"/>
  <c r="Y4807" i="15" s="1"/>
  <c r="X4809" i="15"/>
  <c r="Y4808" i="15" s="1"/>
  <c r="X4810" i="15"/>
  <c r="Y4809" i="15" s="1"/>
  <c r="X4811" i="15"/>
  <c r="Y4810" i="15" s="1"/>
  <c r="X4812" i="15"/>
  <c r="Y4811" i="15" s="1"/>
  <c r="X4813" i="15"/>
  <c r="Y4812" i="15" s="1"/>
  <c r="X4814" i="15"/>
  <c r="Y4813" i="15" s="1"/>
  <c r="X4815" i="15"/>
  <c r="Y4814" i="15" s="1"/>
  <c r="X4816" i="15"/>
  <c r="Y4815" i="15" s="1"/>
  <c r="X4817" i="15"/>
  <c r="Y4816" i="15" s="1"/>
  <c r="X4818" i="15"/>
  <c r="Y4817" i="15" s="1"/>
  <c r="X4819" i="15"/>
  <c r="Y4818" i="15" s="1"/>
  <c r="X4820" i="15"/>
  <c r="Y4819" i="15" s="1"/>
  <c r="X4821" i="15"/>
  <c r="Y4820" i="15" s="1"/>
  <c r="X4822" i="15"/>
  <c r="Y4821" i="15" s="1"/>
  <c r="X4823" i="15"/>
  <c r="Y4822" i="15" s="1"/>
  <c r="X4824" i="15"/>
  <c r="Y4823" i="15" s="1"/>
  <c r="X4825" i="15"/>
  <c r="Y4824" i="15" s="1"/>
  <c r="X4826" i="15"/>
  <c r="Y4825" i="15" s="1"/>
  <c r="X4827" i="15"/>
  <c r="Y4826" i="15" s="1"/>
  <c r="X4828" i="15"/>
  <c r="Y4827" i="15" s="1"/>
  <c r="X4829" i="15"/>
  <c r="Y4828" i="15" s="1"/>
  <c r="X4830" i="15"/>
  <c r="Y4829" i="15" s="1"/>
  <c r="X4831" i="15"/>
  <c r="Y4830" i="15" s="1"/>
  <c r="X4832" i="15"/>
  <c r="Y4831" i="15" s="1"/>
  <c r="X4833" i="15"/>
  <c r="Y4832" i="15" s="1"/>
  <c r="X4834" i="15"/>
  <c r="Y4833" i="15" s="1"/>
  <c r="X4835" i="15"/>
  <c r="Y4834" i="15" s="1"/>
  <c r="X4836" i="15"/>
  <c r="Y4835" i="15" s="1"/>
  <c r="X4837" i="15"/>
  <c r="Y4836" i="15" s="1"/>
  <c r="X4838" i="15"/>
  <c r="Y4837" i="15" s="1"/>
  <c r="X4839" i="15"/>
  <c r="Y4838" i="15" s="1"/>
  <c r="X4840" i="15"/>
  <c r="Y4839" i="15" s="1"/>
  <c r="X4841" i="15"/>
  <c r="Y4840" i="15" s="1"/>
  <c r="X4842" i="15"/>
  <c r="Y4841" i="15" s="1"/>
  <c r="X4843" i="15"/>
  <c r="Y4842" i="15" s="1"/>
  <c r="X4844" i="15"/>
  <c r="Y4843" i="15" s="1"/>
  <c r="X4845" i="15"/>
  <c r="Y4844" i="15" s="1"/>
  <c r="X4846" i="15"/>
  <c r="Y4845" i="15" s="1"/>
  <c r="X4847" i="15"/>
  <c r="Y4846" i="15" s="1"/>
  <c r="X4848" i="15"/>
  <c r="Y4847" i="15" s="1"/>
  <c r="X4849" i="15"/>
  <c r="Y4848" i="15" s="1"/>
  <c r="X4850" i="15"/>
  <c r="Y4849" i="15" s="1"/>
  <c r="X4851" i="15"/>
  <c r="Y4850" i="15" s="1"/>
  <c r="X4852" i="15"/>
  <c r="Y4851" i="15" s="1"/>
  <c r="X4853" i="15"/>
  <c r="Y4852" i="15" s="1"/>
  <c r="X4854" i="15"/>
  <c r="Y4853" i="15" s="1"/>
  <c r="X4855" i="15"/>
  <c r="Y4854" i="15" s="1"/>
  <c r="X4856" i="15"/>
  <c r="Y4855" i="15" s="1"/>
  <c r="X4857" i="15"/>
  <c r="Y4856" i="15" s="1"/>
  <c r="X4858" i="15"/>
  <c r="Y4857" i="15" s="1"/>
  <c r="X4859" i="15"/>
  <c r="Y4858" i="15" s="1"/>
  <c r="X4860" i="15"/>
  <c r="Y4859" i="15" s="1"/>
  <c r="X4861" i="15"/>
  <c r="Y4860" i="15" s="1"/>
  <c r="X4862" i="15"/>
  <c r="Y4861" i="15" s="1"/>
  <c r="X4863" i="15"/>
  <c r="Y4862" i="15" s="1"/>
  <c r="X4864" i="15"/>
  <c r="Y4863" i="15" s="1"/>
  <c r="X4865" i="15"/>
  <c r="Y4864" i="15" s="1"/>
  <c r="X4866" i="15"/>
  <c r="Y4865" i="15" s="1"/>
  <c r="X4867" i="15"/>
  <c r="Y4866" i="15" s="1"/>
  <c r="X4868" i="15"/>
  <c r="Y4867" i="15" s="1"/>
  <c r="X4869" i="15"/>
  <c r="Y4868" i="15" s="1"/>
  <c r="X4870" i="15"/>
  <c r="Y4869" i="15" s="1"/>
  <c r="X4871" i="15"/>
  <c r="Y4870" i="15" s="1"/>
  <c r="X4872" i="15"/>
  <c r="Y4871" i="15" s="1"/>
  <c r="X4873" i="15"/>
  <c r="Y4872" i="15" s="1"/>
  <c r="X4874" i="15"/>
  <c r="Y4873" i="15" s="1"/>
  <c r="X4875" i="15"/>
  <c r="Y4874" i="15" s="1"/>
  <c r="X4876" i="15"/>
  <c r="Y4875" i="15" s="1"/>
  <c r="X4877" i="15"/>
  <c r="Y4876" i="15" s="1"/>
  <c r="X4878" i="15"/>
  <c r="Y4877" i="15" s="1"/>
  <c r="X4879" i="15"/>
  <c r="Y4878" i="15" s="1"/>
  <c r="X4880" i="15"/>
  <c r="Y4879" i="15" s="1"/>
  <c r="X4881" i="15"/>
  <c r="Y4880" i="15" s="1"/>
  <c r="X4882" i="15"/>
  <c r="Y4881" i="15" s="1"/>
  <c r="X4883" i="15"/>
  <c r="Y4882" i="15" s="1"/>
  <c r="X4884" i="15"/>
  <c r="Y4883" i="15" s="1"/>
  <c r="X4885" i="15"/>
  <c r="Y4884" i="15" s="1"/>
  <c r="X4886" i="15"/>
  <c r="Y4885" i="15" s="1"/>
  <c r="X4887" i="15"/>
  <c r="Y4886" i="15" s="1"/>
  <c r="X4888" i="15"/>
  <c r="Y4887" i="15" s="1"/>
  <c r="X4889" i="15"/>
  <c r="Y4888" i="15" s="1"/>
  <c r="X4890" i="15"/>
  <c r="Y4889" i="15" s="1"/>
  <c r="X4891" i="15"/>
  <c r="Y4890" i="15" s="1"/>
  <c r="X4892" i="15"/>
  <c r="Y4891" i="15" s="1"/>
  <c r="X4893" i="15"/>
  <c r="Y4892" i="15" s="1"/>
  <c r="X4894" i="15"/>
  <c r="Y4893" i="15" s="1"/>
  <c r="X4895" i="15"/>
  <c r="Y4894" i="15" s="1"/>
  <c r="X4896" i="15"/>
  <c r="Y4895" i="15" s="1"/>
  <c r="X4897" i="15"/>
  <c r="Y4896" i="15" s="1"/>
  <c r="X4898" i="15"/>
  <c r="Y4897" i="15" s="1"/>
  <c r="X4899" i="15"/>
  <c r="Y4898" i="15" s="1"/>
  <c r="X4900" i="15"/>
  <c r="Y4899" i="15" s="1"/>
  <c r="X4901" i="15"/>
  <c r="Y4900" i="15" s="1"/>
  <c r="X4902" i="15"/>
  <c r="Y4901" i="15" s="1"/>
  <c r="X4903" i="15"/>
  <c r="Y4902" i="15" s="1"/>
  <c r="X4904" i="15"/>
  <c r="Y4903" i="15" s="1"/>
  <c r="X4905" i="15"/>
  <c r="Y4904" i="15" s="1"/>
  <c r="X4906" i="15"/>
  <c r="Y4905" i="15" s="1"/>
  <c r="X4907" i="15"/>
  <c r="Y4906" i="15" s="1"/>
  <c r="X4908" i="15"/>
  <c r="Y4907" i="15" s="1"/>
  <c r="X4909" i="15"/>
  <c r="Y4908" i="15" s="1"/>
  <c r="X4910" i="15"/>
  <c r="Y4909" i="15" s="1"/>
  <c r="X4911" i="15"/>
  <c r="Y4910" i="15" s="1"/>
  <c r="X4912" i="15"/>
  <c r="Y4911" i="15" s="1"/>
  <c r="X4913" i="15"/>
  <c r="Y4912" i="15" s="1"/>
  <c r="X4914" i="15"/>
  <c r="Y4913" i="15" s="1"/>
  <c r="X4915" i="15"/>
  <c r="Y4914" i="15" s="1"/>
  <c r="X4916" i="15"/>
  <c r="Y4915" i="15" s="1"/>
  <c r="X4917" i="15"/>
  <c r="Y4916" i="15" s="1"/>
  <c r="X4918" i="15"/>
  <c r="Y4917" i="15" s="1"/>
  <c r="X4919" i="15"/>
  <c r="Y4918" i="15" s="1"/>
  <c r="X4920" i="15"/>
  <c r="Y4919" i="15" s="1"/>
  <c r="X4921" i="15"/>
  <c r="Y4920" i="15" s="1"/>
  <c r="X4922" i="15"/>
  <c r="Y4921" i="15" s="1"/>
  <c r="X4923" i="15"/>
  <c r="Y4922" i="15" s="1"/>
  <c r="X4924" i="15"/>
  <c r="Y4923" i="15" s="1"/>
  <c r="X4925" i="15"/>
  <c r="Y4924" i="15" s="1"/>
  <c r="X4926" i="15"/>
  <c r="Y4925" i="15" s="1"/>
  <c r="X4927" i="15"/>
  <c r="Y4926" i="15" s="1"/>
  <c r="X4928" i="15"/>
  <c r="Y4927" i="15" s="1"/>
  <c r="X4929" i="15"/>
  <c r="Y4928" i="15" s="1"/>
  <c r="X4930" i="15"/>
  <c r="Y4929" i="15" s="1"/>
  <c r="X4931" i="15"/>
  <c r="Y4930" i="15" s="1"/>
  <c r="X4932" i="15"/>
  <c r="Y4931" i="15" s="1"/>
  <c r="X4933" i="15"/>
  <c r="Y4932" i="15" s="1"/>
  <c r="X4934" i="15"/>
  <c r="Y4933" i="15" s="1"/>
  <c r="X4935" i="15"/>
  <c r="Y4934" i="15" s="1"/>
  <c r="X4936" i="15"/>
  <c r="Y4935" i="15" s="1"/>
  <c r="X4937" i="15"/>
  <c r="Y4936" i="15" s="1"/>
  <c r="X4938" i="15"/>
  <c r="Y4937" i="15" s="1"/>
  <c r="X4939" i="15"/>
  <c r="Y4938" i="15" s="1"/>
  <c r="X4940" i="15"/>
  <c r="Y4939" i="15" s="1"/>
  <c r="X4941" i="15"/>
  <c r="Y4940" i="15" s="1"/>
  <c r="X4942" i="15"/>
  <c r="Y4941" i="15" s="1"/>
  <c r="X4943" i="15"/>
  <c r="Y4942" i="15" s="1"/>
  <c r="X4944" i="15"/>
  <c r="Y4943" i="15" s="1"/>
  <c r="X4945" i="15"/>
  <c r="Y4944" i="15" s="1"/>
  <c r="X4946" i="15"/>
  <c r="Y4945" i="15" s="1"/>
  <c r="X4947" i="15"/>
  <c r="Y4946" i="15" s="1"/>
  <c r="X4948" i="15"/>
  <c r="Y4947" i="15" s="1"/>
  <c r="X4949" i="15"/>
  <c r="Y4948" i="15" s="1"/>
  <c r="X4950" i="15"/>
  <c r="Y4949" i="15" s="1"/>
  <c r="X4951" i="15"/>
  <c r="Y4950" i="15" s="1"/>
  <c r="X4952" i="15"/>
  <c r="Y4951" i="15" s="1"/>
  <c r="X4953" i="15"/>
  <c r="Y4952" i="15" s="1"/>
  <c r="X4954" i="15"/>
  <c r="Y4953" i="15" s="1"/>
  <c r="X4955" i="15"/>
  <c r="Y4954" i="15" s="1"/>
  <c r="X4956" i="15"/>
  <c r="Y4955" i="15" s="1"/>
  <c r="X4957" i="15"/>
  <c r="Y4956" i="15" s="1"/>
  <c r="X4958" i="15"/>
  <c r="Y4957" i="15" s="1"/>
  <c r="X4959" i="15"/>
  <c r="Y4958" i="15" s="1"/>
  <c r="X4960" i="15"/>
  <c r="Y4959" i="15" s="1"/>
  <c r="X4961" i="15"/>
  <c r="Y4960" i="15" s="1"/>
  <c r="X4962" i="15"/>
  <c r="Y4961" i="15" s="1"/>
  <c r="X4963" i="15"/>
  <c r="Y4962" i="15" s="1"/>
  <c r="X4964" i="15"/>
  <c r="Y4963" i="15" s="1"/>
  <c r="X4965" i="15"/>
  <c r="Y4964" i="15" s="1"/>
  <c r="X4966" i="15"/>
  <c r="Y4965" i="15" s="1"/>
  <c r="X4967" i="15"/>
  <c r="Y4966" i="15" s="1"/>
  <c r="X4968" i="15"/>
  <c r="Y4967" i="15" s="1"/>
  <c r="X4969" i="15"/>
  <c r="Y4968" i="15" s="1"/>
  <c r="X4970" i="15"/>
  <c r="Y4969" i="15" s="1"/>
  <c r="X4971" i="15"/>
  <c r="Y4970" i="15" s="1"/>
  <c r="X4972" i="15"/>
  <c r="Y4971" i="15" s="1"/>
  <c r="X4973" i="15"/>
  <c r="Y4972" i="15" s="1"/>
  <c r="X4974" i="15"/>
  <c r="Y4973" i="15" s="1"/>
  <c r="X4975" i="15"/>
  <c r="Y4974" i="15" s="1"/>
  <c r="X4976" i="15"/>
  <c r="Y4975" i="15" s="1"/>
  <c r="X4977" i="15"/>
  <c r="Y4976" i="15" s="1"/>
  <c r="X4978" i="15"/>
  <c r="Y4977" i="15" s="1"/>
  <c r="X4979" i="15"/>
  <c r="Y4978" i="15" s="1"/>
  <c r="X4980" i="15"/>
  <c r="Y4979" i="15" s="1"/>
  <c r="X4981" i="15"/>
  <c r="Y4980" i="15" s="1"/>
  <c r="X4982" i="15"/>
  <c r="Y4981" i="15" s="1"/>
  <c r="X4983" i="15"/>
  <c r="Y4982" i="15" s="1"/>
  <c r="X4984" i="15"/>
  <c r="Y4983" i="15" s="1"/>
  <c r="X4985" i="15"/>
  <c r="Y4984" i="15" s="1"/>
  <c r="X4986" i="15"/>
  <c r="Y4985" i="15" s="1"/>
  <c r="X4987" i="15"/>
  <c r="Y4986" i="15" s="1"/>
  <c r="X4988" i="15"/>
  <c r="Y4987" i="15" s="1"/>
  <c r="X4989" i="15"/>
  <c r="Y4988" i="15" s="1"/>
  <c r="X4990" i="15"/>
  <c r="Y4989" i="15" s="1"/>
  <c r="X4991" i="15"/>
  <c r="Y4990" i="15" s="1"/>
  <c r="X4992" i="15"/>
  <c r="Y4991" i="15" s="1"/>
  <c r="X4993" i="15"/>
  <c r="Y4992" i="15" s="1"/>
  <c r="X4994" i="15"/>
  <c r="Y4993" i="15" s="1"/>
  <c r="X4995" i="15"/>
  <c r="Y4994" i="15" s="1"/>
  <c r="X4996" i="15"/>
  <c r="Y4995" i="15" s="1"/>
  <c r="X4997" i="15"/>
  <c r="Y4996" i="15" s="1"/>
  <c r="X4998" i="15"/>
  <c r="Y4997" i="15" s="1"/>
  <c r="X4999" i="15"/>
  <c r="Y4998" i="15" s="1"/>
  <c r="X5000" i="15"/>
  <c r="Y4999" i="15" s="1"/>
  <c r="X5001" i="15"/>
  <c r="Y5000" i="15" s="1"/>
  <c r="X5002" i="15"/>
  <c r="Y5001" i="15" s="1"/>
  <c r="X5003" i="15"/>
  <c r="Y5002" i="15" s="1"/>
  <c r="X5004" i="15"/>
  <c r="Y5003" i="15" s="1"/>
  <c r="X5005" i="15"/>
  <c r="Y5004" i="15" s="1"/>
  <c r="X5006" i="15"/>
  <c r="Y5005" i="15" s="1"/>
  <c r="X5007" i="15"/>
  <c r="Y5006" i="15" s="1"/>
  <c r="X5008" i="15"/>
  <c r="Y5007" i="15" s="1"/>
  <c r="X5009" i="15"/>
  <c r="Y5008" i="15" s="1"/>
  <c r="X5010" i="15"/>
  <c r="Y5009" i="15" s="1"/>
  <c r="X5011" i="15"/>
  <c r="Y5010" i="15" s="1"/>
  <c r="X5012" i="15"/>
  <c r="Y5011" i="15" s="1"/>
  <c r="X5013" i="15"/>
  <c r="Y5012" i="15" s="1"/>
  <c r="X5014" i="15"/>
  <c r="Y5013" i="15" s="1"/>
  <c r="X5015" i="15"/>
  <c r="Y5014" i="15" s="1"/>
  <c r="X5016" i="15"/>
  <c r="Y5015" i="15" s="1"/>
  <c r="X5017" i="15"/>
  <c r="Y5016" i="15" s="1"/>
  <c r="X5018" i="15"/>
  <c r="Y5017" i="15" s="1"/>
  <c r="X5019" i="15"/>
  <c r="Y5018" i="15" s="1"/>
  <c r="X5020" i="15"/>
  <c r="Y5019" i="15" s="1"/>
  <c r="X5021" i="15"/>
  <c r="Y5020" i="15" s="1"/>
  <c r="X5022" i="15"/>
  <c r="Y5021" i="15" s="1"/>
  <c r="X5023" i="15"/>
  <c r="Y5022" i="15" s="1"/>
  <c r="X5024" i="15"/>
  <c r="Y5023" i="15" s="1"/>
  <c r="X5025" i="15"/>
  <c r="Y5024" i="15" s="1"/>
  <c r="X5026" i="15"/>
  <c r="Y5025" i="15" s="1"/>
  <c r="X5027" i="15"/>
  <c r="Y5026" i="15" s="1"/>
  <c r="X5028" i="15"/>
  <c r="Y5027" i="15" s="1"/>
  <c r="X5029" i="15"/>
  <c r="Y5028" i="15" s="1"/>
  <c r="X5030" i="15"/>
  <c r="Y5029" i="15" s="1"/>
  <c r="X5031" i="15"/>
  <c r="Y5030" i="15" s="1"/>
  <c r="X5032" i="15"/>
  <c r="Y5031" i="15" s="1"/>
  <c r="X5033" i="15"/>
  <c r="Y5032" i="15" s="1"/>
  <c r="X5034" i="15"/>
  <c r="Y5033" i="15" s="1"/>
  <c r="X5035" i="15"/>
  <c r="Y5034" i="15" s="1"/>
  <c r="X5036" i="15"/>
  <c r="Y5035" i="15" s="1"/>
  <c r="X5037" i="15"/>
  <c r="Y5036" i="15" s="1"/>
  <c r="X5038" i="15"/>
  <c r="Y5037" i="15" s="1"/>
  <c r="X5039" i="15"/>
  <c r="Y5038" i="15" s="1"/>
  <c r="X5040" i="15"/>
  <c r="Y5039" i="15" s="1"/>
  <c r="X5041" i="15"/>
  <c r="Y5040" i="15" s="1"/>
  <c r="X5042" i="15"/>
  <c r="Y5041" i="15" s="1"/>
  <c r="X5043" i="15"/>
  <c r="Y5042" i="15" s="1"/>
  <c r="X5044" i="15"/>
  <c r="Y5043" i="15" s="1"/>
  <c r="X5045" i="15"/>
  <c r="Y5044" i="15" s="1"/>
  <c r="X5046" i="15"/>
  <c r="Y5045" i="15" s="1"/>
  <c r="X5047" i="15"/>
  <c r="Y5046" i="15" s="1"/>
  <c r="X5048" i="15"/>
  <c r="Y5047" i="15" s="1"/>
  <c r="X5049" i="15"/>
  <c r="Y5048" i="15" s="1"/>
  <c r="X5050" i="15"/>
  <c r="Y5049" i="15" s="1"/>
  <c r="X5051" i="15"/>
  <c r="Y5050" i="15" s="1"/>
  <c r="X5052" i="15"/>
  <c r="Y5051" i="15" s="1"/>
  <c r="X5053" i="15"/>
  <c r="Y5052" i="15" s="1"/>
  <c r="X5054" i="15"/>
  <c r="Y5053" i="15" s="1"/>
  <c r="X5055" i="15"/>
  <c r="Y5054" i="15" s="1"/>
  <c r="X5056" i="15"/>
  <c r="Y5055" i="15" s="1"/>
  <c r="X5057" i="15"/>
  <c r="Y5056" i="15" s="1"/>
  <c r="X5058" i="15"/>
  <c r="Y5057" i="15" s="1"/>
  <c r="X5059" i="15"/>
  <c r="Y5058" i="15" s="1"/>
  <c r="X5060" i="15"/>
  <c r="Y5059" i="15" s="1"/>
  <c r="X5061" i="15"/>
  <c r="Y5060" i="15" s="1"/>
  <c r="X5062" i="15"/>
  <c r="Y5061" i="15" s="1"/>
  <c r="X5063" i="15"/>
  <c r="Y5062" i="15" s="1"/>
  <c r="X5064" i="15"/>
  <c r="Y5063" i="15" s="1"/>
  <c r="X5065" i="15"/>
  <c r="Y5064" i="15" s="1"/>
  <c r="X5066" i="15"/>
  <c r="Y5065" i="15" s="1"/>
  <c r="X5067" i="15"/>
  <c r="Y5066" i="15" s="1"/>
  <c r="X5068" i="15"/>
  <c r="Y5067" i="15" s="1"/>
  <c r="X5069" i="15"/>
  <c r="Y5068" i="15" s="1"/>
  <c r="X5070" i="15"/>
  <c r="Y5069" i="15" s="1"/>
  <c r="X5071" i="15"/>
  <c r="Y5070" i="15" s="1"/>
  <c r="X5072" i="15"/>
  <c r="Y5071" i="15" s="1"/>
  <c r="X5073" i="15"/>
  <c r="Y5072" i="15" s="1"/>
  <c r="X5074" i="15"/>
  <c r="Y5073" i="15" s="1"/>
  <c r="X5075" i="15"/>
  <c r="Y5074" i="15" s="1"/>
  <c r="X5076" i="15"/>
  <c r="Y5075" i="15" s="1"/>
  <c r="X5077" i="15"/>
  <c r="Y5076" i="15" s="1"/>
  <c r="X5078" i="15"/>
  <c r="Y5077" i="15" s="1"/>
  <c r="X5079" i="15"/>
  <c r="Y5078" i="15" s="1"/>
  <c r="X5080" i="15"/>
  <c r="Y5079" i="15" s="1"/>
  <c r="X5081" i="15"/>
  <c r="Y5080" i="15" s="1"/>
  <c r="X5082" i="15"/>
  <c r="Y5081" i="15" s="1"/>
  <c r="X5083" i="15"/>
  <c r="Y5082" i="15" s="1"/>
  <c r="X5084" i="15"/>
  <c r="Y5083" i="15" s="1"/>
  <c r="X5085" i="15"/>
  <c r="Y5084" i="15" s="1"/>
  <c r="X5086" i="15"/>
  <c r="Y5085" i="15" s="1"/>
  <c r="X5087" i="15"/>
  <c r="Y5086" i="15" s="1"/>
  <c r="X5088" i="15"/>
  <c r="Y5087" i="15" s="1"/>
  <c r="X5089" i="15"/>
  <c r="Y5088" i="15" s="1"/>
  <c r="X5090" i="15"/>
  <c r="Y5089" i="15" s="1"/>
  <c r="X5091" i="15"/>
  <c r="Y5090" i="15" s="1"/>
  <c r="X5092" i="15"/>
  <c r="Y5091" i="15" s="1"/>
  <c r="X5093" i="15"/>
  <c r="Y5092" i="15" s="1"/>
  <c r="X5094" i="15"/>
  <c r="Y5093" i="15" s="1"/>
  <c r="X5095" i="15"/>
  <c r="Y5094" i="15" s="1"/>
  <c r="X5096" i="15"/>
  <c r="Y5095" i="15" s="1"/>
  <c r="X5097" i="15"/>
  <c r="Y5096" i="15" s="1"/>
  <c r="X5098" i="15"/>
  <c r="Y5097" i="15" s="1"/>
  <c r="X5099" i="15"/>
  <c r="Y5098" i="15" s="1"/>
  <c r="X5100" i="15"/>
  <c r="Y5099" i="15" s="1"/>
  <c r="X5101" i="15"/>
  <c r="Y5100" i="15" s="1"/>
  <c r="X5102" i="15"/>
  <c r="Y5101" i="15" s="1"/>
  <c r="X5103" i="15"/>
  <c r="Y5102" i="15" s="1"/>
  <c r="X5104" i="15"/>
  <c r="Y5103" i="15" s="1"/>
  <c r="X5105" i="15"/>
  <c r="Y5104" i="15" s="1"/>
  <c r="X5106" i="15"/>
  <c r="Y5105" i="15" s="1"/>
  <c r="X5107" i="15"/>
  <c r="Y5106" i="15" s="1"/>
  <c r="X5108" i="15"/>
  <c r="Y5107" i="15" s="1"/>
  <c r="X5109" i="15"/>
  <c r="Y5108" i="15" s="1"/>
  <c r="X5110" i="15"/>
  <c r="Y5109" i="15" s="1"/>
  <c r="X5111" i="15"/>
  <c r="Y5110" i="15" s="1"/>
  <c r="X5112" i="15"/>
  <c r="Y5111" i="15" s="1"/>
  <c r="X5113" i="15"/>
  <c r="Y5112" i="15" s="1"/>
  <c r="X5114" i="15"/>
  <c r="Y5113" i="15" s="1"/>
  <c r="X5115" i="15"/>
  <c r="Y5114" i="15" s="1"/>
  <c r="X5116" i="15"/>
  <c r="Y5115" i="15" s="1"/>
  <c r="X5117" i="15"/>
  <c r="Y5116" i="15" s="1"/>
  <c r="X5118" i="15"/>
  <c r="Y5117" i="15" s="1"/>
  <c r="X5119" i="15"/>
  <c r="Y5118" i="15" s="1"/>
  <c r="X5120" i="15"/>
  <c r="Y5119" i="15" s="1"/>
  <c r="X5121" i="15"/>
  <c r="Y5120" i="15" s="1"/>
  <c r="X5122" i="15"/>
  <c r="Y5121" i="15" s="1"/>
  <c r="X5123" i="15"/>
  <c r="Y5122" i="15" s="1"/>
  <c r="X5124" i="15"/>
  <c r="Y5123" i="15" s="1"/>
  <c r="X5125" i="15"/>
  <c r="Y5124" i="15" s="1"/>
  <c r="X5126" i="15"/>
  <c r="Y5125" i="15" s="1"/>
  <c r="X5127" i="15"/>
  <c r="Y5126" i="15" s="1"/>
  <c r="X5128" i="15"/>
  <c r="Y5127" i="15" s="1"/>
  <c r="X5129" i="15"/>
  <c r="Y5128" i="15" s="1"/>
  <c r="X5130" i="15"/>
  <c r="Y5129" i="15" s="1"/>
  <c r="X5131" i="15"/>
  <c r="Y5130" i="15" s="1"/>
  <c r="X5132" i="15"/>
  <c r="Y5131" i="15" s="1"/>
  <c r="X5133" i="15"/>
  <c r="Y5132" i="15" s="1"/>
  <c r="X5134" i="15"/>
  <c r="Y5133" i="15" s="1"/>
  <c r="X5135" i="15"/>
  <c r="Y5134" i="15" s="1"/>
  <c r="X5136" i="15"/>
  <c r="Y5135" i="15" s="1"/>
  <c r="X5137" i="15"/>
  <c r="Y5136" i="15" s="1"/>
  <c r="X5138" i="15"/>
  <c r="Y5137" i="15" s="1"/>
  <c r="X5139" i="15"/>
  <c r="Y5138" i="15" s="1"/>
  <c r="X5140" i="15"/>
  <c r="Y5139" i="15" s="1"/>
  <c r="X5141" i="15"/>
  <c r="Y5140" i="15" s="1"/>
  <c r="X5142" i="15"/>
  <c r="Y5141" i="15" s="1"/>
  <c r="X5143" i="15"/>
  <c r="Y5142" i="15" s="1"/>
  <c r="X5144" i="15"/>
  <c r="Y5143" i="15" s="1"/>
  <c r="X5145" i="15"/>
  <c r="Y5144" i="15" s="1"/>
  <c r="X5146" i="15"/>
  <c r="Y5145" i="15" s="1"/>
  <c r="X5147" i="15"/>
  <c r="Y5146" i="15" s="1"/>
  <c r="X5148" i="15"/>
  <c r="Y5147" i="15" s="1"/>
  <c r="X5149" i="15"/>
  <c r="Y5148" i="15" s="1"/>
  <c r="X5150" i="15"/>
  <c r="Y5149" i="15" s="1"/>
  <c r="X5151" i="15"/>
  <c r="Y5150" i="15" s="1"/>
  <c r="X5152" i="15"/>
  <c r="Y5151" i="15" s="1"/>
  <c r="X5153" i="15"/>
  <c r="Y5152" i="15" s="1"/>
  <c r="X5154" i="15"/>
  <c r="Y5153" i="15" s="1"/>
  <c r="X5155" i="15"/>
  <c r="Y5154" i="15" s="1"/>
  <c r="X5156" i="15"/>
  <c r="Y5155" i="15" s="1"/>
  <c r="X5157" i="15"/>
  <c r="Y5156" i="15" s="1"/>
  <c r="X5158" i="15"/>
  <c r="Y5157" i="15" s="1"/>
  <c r="X5159" i="15"/>
  <c r="Y5158" i="15" s="1"/>
  <c r="X5160" i="15"/>
  <c r="Y5159" i="15" s="1"/>
  <c r="X5161" i="15"/>
  <c r="Y5160" i="15" s="1"/>
  <c r="X5162" i="15"/>
  <c r="Y5161" i="15" s="1"/>
  <c r="X5163" i="15"/>
  <c r="Y5162" i="15" s="1"/>
  <c r="X5164" i="15"/>
  <c r="Y5163" i="15" s="1"/>
  <c r="X5165" i="15"/>
  <c r="Y5164" i="15" s="1"/>
  <c r="X5166" i="15"/>
  <c r="Y5165" i="15" s="1"/>
  <c r="X5167" i="15"/>
  <c r="Y5166" i="15" s="1"/>
  <c r="X5168" i="15"/>
  <c r="Y5167" i="15" s="1"/>
  <c r="X5169" i="15"/>
  <c r="Y5168" i="15" s="1"/>
  <c r="X5170" i="15"/>
  <c r="Y5169" i="15" s="1"/>
  <c r="X5171" i="15"/>
  <c r="Y5170" i="15" s="1"/>
  <c r="X5172" i="15"/>
  <c r="Y5171" i="15" s="1"/>
  <c r="X5173" i="15"/>
  <c r="Y5172" i="15" s="1"/>
  <c r="X5174" i="15"/>
  <c r="Y5173" i="15" s="1"/>
  <c r="X5175" i="15"/>
  <c r="Y5174" i="15" s="1"/>
  <c r="X5176" i="15"/>
  <c r="Y5175" i="15" s="1"/>
  <c r="X5177" i="15"/>
  <c r="Y5176" i="15" s="1"/>
  <c r="X5178" i="15"/>
  <c r="Y5177" i="15" s="1"/>
  <c r="X5179" i="15"/>
  <c r="Y5178" i="15" s="1"/>
  <c r="X5180" i="15"/>
  <c r="Y5179" i="15" s="1"/>
  <c r="X5181" i="15"/>
  <c r="Y5180" i="15" s="1"/>
  <c r="X5182" i="15"/>
  <c r="Y5181" i="15" s="1"/>
  <c r="X5183" i="15"/>
  <c r="Y5182" i="15" s="1"/>
  <c r="X5184" i="15"/>
  <c r="Y5183" i="15" s="1"/>
  <c r="X5185" i="15"/>
  <c r="Y5184" i="15" s="1"/>
  <c r="X5186" i="15"/>
  <c r="Y5185" i="15" s="1"/>
  <c r="X5187" i="15"/>
  <c r="Y5186" i="15" s="1"/>
  <c r="X5188" i="15"/>
  <c r="Y5187" i="15" s="1"/>
  <c r="X5189" i="15"/>
  <c r="Y5188" i="15" s="1"/>
  <c r="X5190" i="15"/>
  <c r="Y5189" i="15" s="1"/>
  <c r="X5191" i="15"/>
  <c r="Y5190" i="15" s="1"/>
  <c r="X5192" i="15"/>
  <c r="Y5191" i="15" s="1"/>
  <c r="X5193" i="15"/>
  <c r="Y5192" i="15" s="1"/>
  <c r="X5194" i="15"/>
  <c r="Y5193" i="15" s="1"/>
  <c r="X5195" i="15"/>
  <c r="Y5194" i="15" s="1"/>
  <c r="X5196" i="15"/>
  <c r="Y5195" i="15" s="1"/>
  <c r="X5197" i="15"/>
  <c r="Y5196" i="15" s="1"/>
  <c r="X5198" i="15"/>
  <c r="Y5197" i="15" s="1"/>
  <c r="X5199" i="15"/>
  <c r="Y5198" i="15" s="1"/>
  <c r="X5200" i="15"/>
  <c r="Y5199" i="15" s="1"/>
  <c r="X5201" i="15"/>
  <c r="Y5200" i="15" s="1"/>
  <c r="X5202" i="15"/>
  <c r="Y5201" i="15" s="1"/>
  <c r="X5203" i="15"/>
  <c r="Y5202" i="15" s="1"/>
  <c r="X5204" i="15"/>
  <c r="Y5203" i="15" s="1"/>
  <c r="X5205" i="15"/>
  <c r="Y5204" i="15" s="1"/>
  <c r="X5206" i="15"/>
  <c r="Y5205" i="15" s="1"/>
  <c r="X5207" i="15"/>
  <c r="Y5206" i="15" s="1"/>
  <c r="X5208" i="15"/>
  <c r="Y5207" i="15" s="1"/>
  <c r="X5209" i="15"/>
  <c r="Y5208" i="15" s="1"/>
  <c r="X5210" i="15"/>
  <c r="Y5209" i="15" s="1"/>
  <c r="X5211" i="15"/>
  <c r="Y5210" i="15" s="1"/>
  <c r="X5212" i="15"/>
  <c r="Y5211" i="15" s="1"/>
  <c r="X5213" i="15"/>
  <c r="Y5212" i="15" s="1"/>
  <c r="X5214" i="15"/>
  <c r="Y5213" i="15" s="1"/>
  <c r="X5215" i="15"/>
  <c r="Y5214" i="15" s="1"/>
  <c r="X5216" i="15"/>
  <c r="Y5215" i="15" s="1"/>
  <c r="X5217" i="15"/>
  <c r="Y5216" i="15" s="1"/>
  <c r="X5218" i="15"/>
  <c r="Y5217" i="15" s="1"/>
  <c r="X5219" i="15"/>
  <c r="Y5218" i="15" s="1"/>
  <c r="X5220" i="15"/>
  <c r="Y5219" i="15" s="1"/>
  <c r="X5221" i="15"/>
  <c r="Y5220" i="15" s="1"/>
  <c r="X5222" i="15"/>
  <c r="Y5221" i="15" s="1"/>
  <c r="X5223" i="15"/>
  <c r="Y5222" i="15" s="1"/>
  <c r="X5224" i="15"/>
  <c r="Y5223" i="15" s="1"/>
  <c r="X5225" i="15"/>
  <c r="Y5224" i="15" s="1"/>
  <c r="X5226" i="15"/>
  <c r="Y5225" i="15" s="1"/>
  <c r="X5227" i="15"/>
  <c r="Y5226" i="15" s="1"/>
  <c r="X5228" i="15"/>
  <c r="Y5227" i="15" s="1"/>
  <c r="X5229" i="15"/>
  <c r="Y5228" i="15" s="1"/>
  <c r="X5230" i="15"/>
  <c r="Y5229" i="15" s="1"/>
  <c r="X5231" i="15"/>
  <c r="Y5230" i="15" s="1"/>
  <c r="X5232" i="15"/>
  <c r="Y5231" i="15" s="1"/>
  <c r="X5233" i="15"/>
  <c r="Y5232" i="15" s="1"/>
  <c r="X5234" i="15"/>
  <c r="Y5233" i="15" s="1"/>
  <c r="X5235" i="15"/>
  <c r="Y5234" i="15" s="1"/>
  <c r="X5236" i="15"/>
  <c r="Y5235" i="15" s="1"/>
  <c r="X5237" i="15"/>
  <c r="Y5236" i="15" s="1"/>
  <c r="X5238" i="15"/>
  <c r="Y5237" i="15" s="1"/>
  <c r="X5239" i="15"/>
  <c r="Y5238" i="15" s="1"/>
  <c r="X5240" i="15"/>
  <c r="Y5239" i="15" s="1"/>
  <c r="X5241" i="15"/>
  <c r="Y5240" i="15" s="1"/>
  <c r="X5242" i="15"/>
  <c r="Y5241" i="15" s="1"/>
  <c r="X5243" i="15"/>
  <c r="Y5242" i="15" s="1"/>
  <c r="X5244" i="15"/>
  <c r="Y5243" i="15" s="1"/>
  <c r="X5245" i="15"/>
  <c r="Y5244" i="15" s="1"/>
  <c r="X5246" i="15"/>
  <c r="Y5245" i="15" s="1"/>
  <c r="X5247" i="15"/>
  <c r="Y5246" i="15" s="1"/>
  <c r="X5248" i="15"/>
  <c r="Y5247" i="15" s="1"/>
  <c r="X5249" i="15"/>
  <c r="Y5248" i="15" s="1"/>
  <c r="X5250" i="15"/>
  <c r="Y5249" i="15" s="1"/>
  <c r="X5251" i="15"/>
  <c r="Y5250" i="15" s="1"/>
  <c r="X5252" i="15"/>
  <c r="Y5251" i="15" s="1"/>
  <c r="X5253" i="15"/>
  <c r="Y5252" i="15" s="1"/>
  <c r="X5254" i="15"/>
  <c r="Y5253" i="15" s="1"/>
  <c r="X5255" i="15"/>
  <c r="Y5254" i="15" s="1"/>
  <c r="X5256" i="15"/>
  <c r="Y5255" i="15" s="1"/>
  <c r="X5257" i="15"/>
  <c r="Y5256" i="15" s="1"/>
  <c r="X5258" i="15"/>
  <c r="Y5257" i="15" s="1"/>
  <c r="X5259" i="15"/>
  <c r="Y5258" i="15" s="1"/>
  <c r="X5260" i="15"/>
  <c r="Y5259" i="15" s="1"/>
  <c r="X5261" i="15"/>
  <c r="Y5260" i="15" s="1"/>
  <c r="X5262" i="15"/>
  <c r="Y5261" i="15" s="1"/>
  <c r="X5263" i="15"/>
  <c r="Y5262" i="15" s="1"/>
  <c r="X5264" i="15"/>
  <c r="Y5263" i="15" s="1"/>
  <c r="X5265" i="15"/>
  <c r="Y5264" i="15" s="1"/>
  <c r="X5266" i="15"/>
  <c r="Y5265" i="15" s="1"/>
  <c r="X5267" i="15"/>
  <c r="Y5266" i="15" s="1"/>
  <c r="X5268" i="15"/>
  <c r="Y5267" i="15" s="1"/>
  <c r="X5269" i="15"/>
  <c r="Y5268" i="15" s="1"/>
  <c r="X5270" i="15"/>
  <c r="Y5269" i="15" s="1"/>
  <c r="X5271" i="15"/>
  <c r="Y5270" i="15" s="1"/>
  <c r="X5272" i="15"/>
  <c r="Y5271" i="15" s="1"/>
  <c r="X5273" i="15"/>
  <c r="Y5272" i="15" s="1"/>
  <c r="X5274" i="15"/>
  <c r="Y5273" i="15" s="1"/>
  <c r="X5275" i="15"/>
  <c r="Y5274" i="15" s="1"/>
  <c r="X5276" i="15"/>
  <c r="Y5275" i="15" s="1"/>
  <c r="X5277" i="15"/>
  <c r="Y5276" i="15" s="1"/>
  <c r="X5278" i="15"/>
  <c r="Y5277" i="15" s="1"/>
  <c r="X5279" i="15"/>
  <c r="Y5278" i="15" s="1"/>
  <c r="X5280" i="15"/>
  <c r="Y5279" i="15" s="1"/>
  <c r="X5281" i="15"/>
  <c r="Y5280" i="15" s="1"/>
  <c r="X5282" i="15"/>
  <c r="Y5281" i="15" s="1"/>
  <c r="X5283" i="15"/>
  <c r="Y5282" i="15" s="1"/>
  <c r="X5284" i="15"/>
  <c r="Y5283" i="15" s="1"/>
  <c r="X5285" i="15"/>
  <c r="Y5284" i="15" s="1"/>
  <c r="X5286" i="15"/>
  <c r="Y5285" i="15" s="1"/>
  <c r="X5287" i="15"/>
  <c r="Y5286" i="15" s="1"/>
  <c r="X5288" i="15"/>
  <c r="Y5287" i="15" s="1"/>
  <c r="X5289" i="15"/>
  <c r="Y5288" i="15" s="1"/>
  <c r="X5290" i="15"/>
  <c r="Y5289" i="15" s="1"/>
  <c r="X5291" i="15"/>
  <c r="Y5290" i="15" s="1"/>
  <c r="X5292" i="15"/>
  <c r="Y5291" i="15" s="1"/>
  <c r="X5293" i="15"/>
  <c r="Y5292" i="15" s="1"/>
  <c r="X5294" i="15"/>
  <c r="Y5293" i="15" s="1"/>
  <c r="X5295" i="15"/>
  <c r="Y5294" i="15" s="1"/>
  <c r="X5296" i="15"/>
  <c r="Y5295" i="15" s="1"/>
  <c r="X5297" i="15"/>
  <c r="Y5296" i="15" s="1"/>
  <c r="X5298" i="15"/>
  <c r="Y5297" i="15" s="1"/>
  <c r="X5299" i="15"/>
  <c r="Y5298" i="15" s="1"/>
  <c r="X5300" i="15"/>
  <c r="Y5299" i="15" s="1"/>
  <c r="X5301" i="15"/>
  <c r="Y5300" i="15" s="1"/>
  <c r="X5302" i="15"/>
  <c r="Y5301" i="15" s="1"/>
  <c r="X5303" i="15"/>
  <c r="Y5302" i="15" s="1"/>
  <c r="X5304" i="15"/>
  <c r="Y5303" i="15" s="1"/>
  <c r="X5305" i="15"/>
  <c r="Y5304" i="15" s="1"/>
  <c r="X5306" i="15"/>
  <c r="Y5305" i="15" s="1"/>
  <c r="X5307" i="15"/>
  <c r="Y5306" i="15" s="1"/>
  <c r="X5308" i="15"/>
  <c r="Y5307" i="15" s="1"/>
  <c r="X5309" i="15"/>
  <c r="Y5308" i="15" s="1"/>
  <c r="X5310" i="15"/>
  <c r="Y5309" i="15" s="1"/>
  <c r="X5311" i="15"/>
  <c r="Y5310" i="15" s="1"/>
  <c r="X5312" i="15"/>
  <c r="Y5311" i="15" s="1"/>
  <c r="X5313" i="15"/>
  <c r="Y5312" i="15" s="1"/>
  <c r="X5314" i="15"/>
  <c r="Y5313" i="15" s="1"/>
  <c r="X5315" i="15"/>
  <c r="Y5314" i="15" s="1"/>
  <c r="X5316" i="15"/>
  <c r="Y5315" i="15" s="1"/>
  <c r="X5317" i="15"/>
  <c r="Y5316" i="15" s="1"/>
  <c r="X5318" i="15"/>
  <c r="Y5317" i="15" s="1"/>
  <c r="X5319" i="15"/>
  <c r="Y5318" i="15" s="1"/>
  <c r="X5320" i="15"/>
  <c r="Y5319" i="15" s="1"/>
  <c r="X5321" i="15"/>
  <c r="Y5320" i="15" s="1"/>
  <c r="X5322" i="15"/>
  <c r="Y5321" i="15" s="1"/>
  <c r="X5323" i="15"/>
  <c r="Y5322" i="15" s="1"/>
  <c r="X5324" i="15"/>
  <c r="Y5323" i="15" s="1"/>
  <c r="X5325" i="15"/>
  <c r="Y5324" i="15" s="1"/>
  <c r="X5326" i="15"/>
  <c r="Y5325" i="15" s="1"/>
  <c r="X5327" i="15"/>
  <c r="Y5326" i="15" s="1"/>
  <c r="X5328" i="15"/>
  <c r="Y5327" i="15" s="1"/>
  <c r="X5329" i="15"/>
  <c r="Y5328" i="15" s="1"/>
  <c r="X5330" i="15"/>
  <c r="Y5329" i="15" s="1"/>
  <c r="X5331" i="15"/>
  <c r="Y5330" i="15" s="1"/>
  <c r="X5332" i="15"/>
  <c r="Y5331" i="15" s="1"/>
  <c r="X5333" i="15"/>
  <c r="Y5332" i="15" s="1"/>
  <c r="X5334" i="15"/>
  <c r="Y5333" i="15" s="1"/>
  <c r="X5335" i="15"/>
  <c r="Y5334" i="15" s="1"/>
  <c r="X5336" i="15"/>
  <c r="Y5335" i="15" s="1"/>
  <c r="X5337" i="15"/>
  <c r="Y5336" i="15" s="1"/>
  <c r="X5338" i="15"/>
  <c r="Y5337" i="15" s="1"/>
  <c r="X5339" i="15"/>
  <c r="Y5338" i="15" s="1"/>
  <c r="X5340" i="15"/>
  <c r="Y5339" i="15" s="1"/>
  <c r="X5341" i="15"/>
  <c r="Y5340" i="15" s="1"/>
  <c r="X5342" i="15"/>
  <c r="Y5341" i="15" s="1"/>
  <c r="X5343" i="15"/>
  <c r="Y5342" i="15" s="1"/>
  <c r="X5344" i="15"/>
  <c r="Y5343" i="15" s="1"/>
  <c r="X5345" i="15"/>
  <c r="Y5344" i="15" s="1"/>
  <c r="X5346" i="15"/>
  <c r="Y5345" i="15" s="1"/>
  <c r="X5347" i="15"/>
  <c r="Y5346" i="15" s="1"/>
  <c r="X5348" i="15"/>
  <c r="Y5347" i="15" s="1"/>
  <c r="X5349" i="15"/>
  <c r="Y5348" i="15" s="1"/>
  <c r="X5350" i="15"/>
  <c r="Y5349" i="15" s="1"/>
  <c r="X5351" i="15"/>
  <c r="Y5350" i="15" s="1"/>
  <c r="X5352" i="15"/>
  <c r="Y5351" i="15" s="1"/>
  <c r="X5353" i="15"/>
  <c r="Y5352" i="15" s="1"/>
  <c r="X5354" i="15"/>
  <c r="Y5353" i="15" s="1"/>
  <c r="X5355" i="15"/>
  <c r="Y5354" i="15" s="1"/>
  <c r="X5356" i="15"/>
  <c r="Y5355" i="15" s="1"/>
  <c r="X5357" i="15"/>
  <c r="Y5356" i="15" s="1"/>
  <c r="X5358" i="15"/>
  <c r="Y5357" i="15" s="1"/>
  <c r="X5359" i="15"/>
  <c r="Y5358" i="15" s="1"/>
  <c r="X5360" i="15"/>
  <c r="Y5359" i="15" s="1"/>
  <c r="X5361" i="15"/>
  <c r="Y5360" i="15" s="1"/>
  <c r="X5362" i="15"/>
  <c r="Y5361" i="15" s="1"/>
  <c r="X5363" i="15"/>
  <c r="Y5362" i="15" s="1"/>
  <c r="X5364" i="15"/>
  <c r="Y5363" i="15" s="1"/>
  <c r="X5365" i="15"/>
  <c r="Y5364" i="15" s="1"/>
  <c r="X5366" i="15"/>
  <c r="Y5365" i="15" s="1"/>
  <c r="X5367" i="15"/>
  <c r="Y5366" i="15" s="1"/>
  <c r="X5368" i="15"/>
  <c r="Y5367" i="15" s="1"/>
  <c r="X5369" i="15"/>
  <c r="Y5368" i="15" s="1"/>
  <c r="X5370" i="15"/>
  <c r="Y5369" i="15" s="1"/>
  <c r="X5371" i="15"/>
  <c r="Y5370" i="15" s="1"/>
  <c r="X5372" i="15"/>
  <c r="Y5371" i="15" s="1"/>
  <c r="X5373" i="15"/>
  <c r="Y5372" i="15" s="1"/>
  <c r="X5374" i="15"/>
  <c r="Y5373" i="15" s="1"/>
  <c r="X5375" i="15"/>
  <c r="Y5374" i="15" s="1"/>
  <c r="X5376" i="15"/>
  <c r="Y5375" i="15" s="1"/>
  <c r="X5377" i="15"/>
  <c r="Y5376" i="15" s="1"/>
  <c r="X5378" i="15"/>
  <c r="Y5377" i="15" s="1"/>
  <c r="X5379" i="15"/>
  <c r="Y5378" i="15" s="1"/>
  <c r="X5380" i="15"/>
  <c r="Y5379" i="15" s="1"/>
  <c r="X5381" i="15"/>
  <c r="Y5380" i="15" s="1"/>
  <c r="X5382" i="15"/>
  <c r="Y5381" i="15" s="1"/>
  <c r="X5383" i="15"/>
  <c r="Y5382" i="15" s="1"/>
  <c r="X5384" i="15"/>
  <c r="Y5383" i="15" s="1"/>
  <c r="X5385" i="15"/>
  <c r="Y5384" i="15" s="1"/>
  <c r="X5386" i="15"/>
  <c r="Y5385" i="15" s="1"/>
  <c r="X5387" i="15"/>
  <c r="Y5386" i="15" s="1"/>
  <c r="X5388" i="15"/>
  <c r="Y5387" i="15" s="1"/>
  <c r="X5389" i="15"/>
  <c r="Y5388" i="15" s="1"/>
  <c r="X5390" i="15"/>
  <c r="Y5389" i="15" s="1"/>
  <c r="X5391" i="15"/>
  <c r="Y5390" i="15" s="1"/>
  <c r="X5392" i="15"/>
  <c r="Y5391" i="15" s="1"/>
  <c r="X5393" i="15"/>
  <c r="Y5392" i="15" s="1"/>
  <c r="X5394" i="15"/>
  <c r="Y5393" i="15" s="1"/>
  <c r="X5395" i="15"/>
  <c r="Y5394" i="15" s="1"/>
  <c r="X5396" i="15"/>
  <c r="Y5395" i="15" s="1"/>
  <c r="X5397" i="15"/>
  <c r="Y5396" i="15" s="1"/>
  <c r="X5398" i="15"/>
  <c r="Y5397" i="15" s="1"/>
  <c r="X5399" i="15"/>
  <c r="Y5398" i="15" s="1"/>
  <c r="X5400" i="15"/>
  <c r="Y5399" i="15" s="1"/>
  <c r="X5401" i="15"/>
  <c r="Y5400" i="15" s="1"/>
  <c r="X5402" i="15"/>
  <c r="Y5401" i="15" s="1"/>
  <c r="X5403" i="15"/>
  <c r="Y5402" i="15" s="1"/>
  <c r="X5404" i="15"/>
  <c r="Y5403" i="15" s="1"/>
  <c r="X5405" i="15"/>
  <c r="Y5404" i="15" s="1"/>
  <c r="X5406" i="15"/>
  <c r="Y5405" i="15" s="1"/>
  <c r="X5407" i="15"/>
  <c r="Y5406" i="15" s="1"/>
  <c r="X5408" i="15"/>
  <c r="Y5407" i="15" s="1"/>
  <c r="X5409" i="15"/>
  <c r="Y5408" i="15" s="1"/>
  <c r="X5410" i="15"/>
  <c r="Y5409" i="15" s="1"/>
  <c r="X5411" i="15"/>
  <c r="Y5410" i="15" s="1"/>
  <c r="X5412" i="15"/>
  <c r="Y5411" i="15" s="1"/>
  <c r="X5413" i="15"/>
  <c r="Y5412" i="15" s="1"/>
  <c r="X5414" i="15"/>
  <c r="Y5413" i="15" s="1"/>
  <c r="X5415" i="15"/>
  <c r="Y5414" i="15" s="1"/>
  <c r="X5416" i="15"/>
  <c r="Y5415" i="15" s="1"/>
  <c r="X5417" i="15"/>
  <c r="Y5416" i="15" s="1"/>
  <c r="X5418" i="15"/>
  <c r="Y5417" i="15" s="1"/>
  <c r="X5419" i="15"/>
  <c r="Y5418" i="15" s="1"/>
  <c r="X5420" i="15"/>
  <c r="Y5419" i="15" s="1"/>
  <c r="X5421" i="15"/>
  <c r="Y5420" i="15" s="1"/>
  <c r="X5422" i="15"/>
  <c r="Y5421" i="15" s="1"/>
  <c r="X5423" i="15"/>
  <c r="Y5422" i="15" s="1"/>
  <c r="X5424" i="15"/>
  <c r="Y5423" i="15" s="1"/>
  <c r="X5425" i="15"/>
  <c r="Y5424" i="15" s="1"/>
  <c r="X5426" i="15"/>
  <c r="Y5425" i="15" s="1"/>
  <c r="X5427" i="15"/>
  <c r="Y5426" i="15" s="1"/>
  <c r="X5428" i="15"/>
  <c r="Y5427" i="15" s="1"/>
  <c r="X5429" i="15"/>
  <c r="Y5428" i="15" s="1"/>
  <c r="X5430" i="15"/>
  <c r="Y5429" i="15" s="1"/>
  <c r="X5431" i="15"/>
  <c r="Y5430" i="15" s="1"/>
  <c r="X5432" i="15"/>
  <c r="Y5431" i="15" s="1"/>
  <c r="X5433" i="15"/>
  <c r="Y5432" i="15" s="1"/>
  <c r="X5434" i="15"/>
  <c r="Y5433" i="15" s="1"/>
  <c r="X5435" i="15"/>
  <c r="Y5434" i="15" s="1"/>
  <c r="X5436" i="15"/>
  <c r="Y5435" i="15" s="1"/>
  <c r="X5437" i="15"/>
  <c r="Y5436" i="15" s="1"/>
  <c r="X5438" i="15"/>
  <c r="Y5437" i="15" s="1"/>
  <c r="X5439" i="15"/>
  <c r="Y5438" i="15" s="1"/>
  <c r="X5440" i="15"/>
  <c r="Y5439" i="15" s="1"/>
  <c r="X5441" i="15"/>
  <c r="Y5440" i="15" s="1"/>
  <c r="X5442" i="15"/>
  <c r="Y5441" i="15" s="1"/>
  <c r="X5443" i="15"/>
  <c r="Y5442" i="15" s="1"/>
  <c r="X5444" i="15"/>
  <c r="Y5443" i="15" s="1"/>
  <c r="X5445" i="15"/>
  <c r="Y5444" i="15" s="1"/>
  <c r="X5446" i="15"/>
  <c r="Y5445" i="15" s="1"/>
  <c r="X5447" i="15"/>
  <c r="Y5446" i="15" s="1"/>
  <c r="X5448" i="15"/>
  <c r="Y5447" i="15" s="1"/>
  <c r="X5449" i="15"/>
  <c r="Y5448" i="15" s="1"/>
  <c r="X5450" i="15"/>
  <c r="Y5449" i="15" s="1"/>
  <c r="X5451" i="15"/>
  <c r="Y5450" i="15" s="1"/>
  <c r="X5452" i="15"/>
  <c r="Y5451" i="15" s="1"/>
  <c r="X5453" i="15"/>
  <c r="Y5452" i="15" s="1"/>
  <c r="X5454" i="15"/>
  <c r="Y5453" i="15" s="1"/>
  <c r="X5455" i="15"/>
  <c r="Y5454" i="15" s="1"/>
  <c r="X5456" i="15"/>
  <c r="Y5455" i="15" s="1"/>
  <c r="X5457" i="15"/>
  <c r="Y5456" i="15" s="1"/>
  <c r="X5458" i="15"/>
  <c r="Y5457" i="15" s="1"/>
  <c r="X5459" i="15"/>
  <c r="Y5458" i="15" s="1"/>
  <c r="X5460" i="15"/>
  <c r="Y5459" i="15" s="1"/>
  <c r="X5461" i="15"/>
  <c r="Y5460" i="15" s="1"/>
  <c r="X5462" i="15"/>
  <c r="Y5461" i="15" s="1"/>
  <c r="X5463" i="15"/>
  <c r="Y5462" i="15" s="1"/>
  <c r="X5464" i="15"/>
  <c r="Y5463" i="15" s="1"/>
  <c r="X5465" i="15"/>
  <c r="Y5464" i="15" s="1"/>
  <c r="X5466" i="15"/>
  <c r="Y5465" i="15" s="1"/>
  <c r="X5467" i="15"/>
  <c r="Y5466" i="15" s="1"/>
  <c r="X5468" i="15"/>
  <c r="Y5467" i="15" s="1"/>
  <c r="X5469" i="15"/>
  <c r="Y5468" i="15" s="1"/>
  <c r="X5470" i="15"/>
  <c r="Y5469" i="15" s="1"/>
  <c r="X5471" i="15"/>
  <c r="Y5470" i="15" s="1"/>
  <c r="X5472" i="15"/>
  <c r="Y5471" i="15" s="1"/>
  <c r="X5473" i="15"/>
  <c r="Y5472" i="15" s="1"/>
  <c r="X5474" i="15"/>
  <c r="Y5473" i="15" s="1"/>
  <c r="X5475" i="15"/>
  <c r="Y5474" i="15" s="1"/>
  <c r="X5476" i="15"/>
  <c r="Y5475" i="15" s="1"/>
  <c r="X5477" i="15"/>
  <c r="Y5476" i="15" s="1"/>
  <c r="X5478" i="15"/>
  <c r="Y5477" i="15" s="1"/>
  <c r="X5479" i="15"/>
  <c r="Y5478" i="15" s="1"/>
  <c r="X5480" i="15"/>
  <c r="Y5479" i="15" s="1"/>
  <c r="X5481" i="15"/>
  <c r="Y5480" i="15" s="1"/>
  <c r="X5482" i="15"/>
  <c r="Y5481" i="15" s="1"/>
  <c r="X5483" i="15"/>
  <c r="Y5482" i="15" s="1"/>
  <c r="X5484" i="15"/>
  <c r="Y5483" i="15" s="1"/>
  <c r="X5485" i="15"/>
  <c r="Y5484" i="15" s="1"/>
  <c r="X5486" i="15"/>
  <c r="Y5485" i="15" s="1"/>
  <c r="X5487" i="15"/>
  <c r="Y5486" i="15" s="1"/>
  <c r="X5488" i="15"/>
  <c r="Y5487" i="15" s="1"/>
  <c r="X5489" i="15"/>
  <c r="Y5488" i="15" s="1"/>
  <c r="X5490" i="15"/>
  <c r="Y5489" i="15" s="1"/>
  <c r="X5491" i="15"/>
  <c r="Y5490" i="15" s="1"/>
  <c r="X5492" i="15"/>
  <c r="Y5491" i="15" s="1"/>
  <c r="X5493" i="15"/>
  <c r="Y5492" i="15" s="1"/>
  <c r="X5494" i="15"/>
  <c r="Y5493" i="15" s="1"/>
  <c r="X5495" i="15"/>
  <c r="Y5494" i="15" s="1"/>
  <c r="X5496" i="15"/>
  <c r="Y5495" i="15" s="1"/>
  <c r="X5497" i="15"/>
  <c r="Y5496" i="15" s="1"/>
  <c r="X5498" i="15"/>
  <c r="Y5497" i="15" s="1"/>
  <c r="X5499" i="15"/>
  <c r="Y5498" i="15" s="1"/>
  <c r="X5500" i="15"/>
  <c r="Y5499" i="15" s="1"/>
  <c r="X5501" i="15"/>
  <c r="Y5500" i="15" s="1"/>
  <c r="X5502" i="15"/>
  <c r="Y5501" i="15" s="1"/>
  <c r="X5503" i="15"/>
  <c r="Y5502" i="15" s="1"/>
  <c r="X5504" i="15"/>
  <c r="Y5503" i="15" s="1"/>
  <c r="X5505" i="15"/>
  <c r="Y5504" i="15" s="1"/>
  <c r="X5506" i="15"/>
  <c r="Y5505" i="15" s="1"/>
  <c r="X5507" i="15"/>
  <c r="Y5506" i="15" s="1"/>
  <c r="X5508" i="15"/>
  <c r="Y5507" i="15" s="1"/>
  <c r="X5509" i="15"/>
  <c r="Y5508" i="15" s="1"/>
  <c r="X5510" i="15"/>
  <c r="Y5509" i="15" s="1"/>
  <c r="X5511" i="15"/>
  <c r="Y5510" i="15" s="1"/>
  <c r="X5512" i="15"/>
  <c r="Y5511" i="15" s="1"/>
  <c r="X5513" i="15"/>
  <c r="Y5512" i="15" s="1"/>
  <c r="X5514" i="15"/>
  <c r="Y5513" i="15" s="1"/>
  <c r="X5515" i="15"/>
  <c r="Y5514" i="15" s="1"/>
  <c r="X5516" i="15"/>
  <c r="Y5515" i="15" s="1"/>
  <c r="X5517" i="15"/>
  <c r="Y5516" i="15" s="1"/>
  <c r="X5518" i="15"/>
  <c r="Y5517" i="15" s="1"/>
  <c r="X5519" i="15"/>
  <c r="Y5518" i="15" s="1"/>
  <c r="X5520" i="15"/>
  <c r="Y5519" i="15" s="1"/>
  <c r="X5521" i="15"/>
  <c r="Y5520" i="15" s="1"/>
  <c r="X5522" i="15"/>
  <c r="Y5521" i="15" s="1"/>
  <c r="X5523" i="15"/>
  <c r="Y5522" i="15" s="1"/>
  <c r="X5524" i="15"/>
  <c r="Y5523" i="15" s="1"/>
  <c r="X5525" i="15"/>
  <c r="Y5524" i="15" s="1"/>
  <c r="X5526" i="15"/>
  <c r="Y5525" i="15" s="1"/>
  <c r="X5527" i="15"/>
  <c r="Y5526" i="15" s="1"/>
  <c r="X5528" i="15"/>
  <c r="Y5527" i="15" s="1"/>
  <c r="X5529" i="15"/>
  <c r="Y5528" i="15" s="1"/>
  <c r="X5530" i="15"/>
  <c r="Y5529" i="15" s="1"/>
  <c r="X5531" i="15"/>
  <c r="Y5530" i="15" s="1"/>
  <c r="X5532" i="15"/>
  <c r="Y5531" i="15" s="1"/>
  <c r="X5533" i="15"/>
  <c r="Y5532" i="15" s="1"/>
  <c r="X5534" i="15"/>
  <c r="Y5533" i="15" s="1"/>
  <c r="X5535" i="15"/>
  <c r="Y5534" i="15" s="1"/>
  <c r="X5536" i="15"/>
  <c r="Y5535" i="15" s="1"/>
  <c r="X5537" i="15"/>
  <c r="Y5536" i="15" s="1"/>
  <c r="X5538" i="15"/>
  <c r="Y5537" i="15" s="1"/>
  <c r="X5539" i="15"/>
  <c r="Y5538" i="15" s="1"/>
  <c r="X5540" i="15"/>
  <c r="Y5539" i="15" s="1"/>
  <c r="X5541" i="15"/>
  <c r="Y5540" i="15" s="1"/>
  <c r="X5542" i="15"/>
  <c r="Y5541" i="15" s="1"/>
  <c r="X5543" i="15"/>
  <c r="Y5542" i="15" s="1"/>
  <c r="X5544" i="15"/>
  <c r="Y5543" i="15" s="1"/>
  <c r="X5545" i="15"/>
  <c r="Y5544" i="15" s="1"/>
  <c r="X5546" i="15"/>
  <c r="Y5545" i="15" s="1"/>
  <c r="X5547" i="15"/>
  <c r="Y5546" i="15" s="1"/>
  <c r="X5548" i="15"/>
  <c r="Y5547" i="15" s="1"/>
  <c r="X5549" i="15"/>
  <c r="Y5548" i="15" s="1"/>
  <c r="X5550" i="15"/>
  <c r="Y5549" i="15" s="1"/>
  <c r="X5551" i="15"/>
  <c r="Y5550" i="15" s="1"/>
  <c r="X5552" i="15"/>
  <c r="Y5551" i="15" s="1"/>
  <c r="X5553" i="15"/>
  <c r="Y5552" i="15" s="1"/>
  <c r="X5554" i="15"/>
  <c r="Y5553" i="15" s="1"/>
  <c r="X5555" i="15"/>
  <c r="Y5554" i="15" s="1"/>
  <c r="X5556" i="15"/>
  <c r="Y5555" i="15" s="1"/>
  <c r="X5557" i="15"/>
  <c r="Y5556" i="15" s="1"/>
  <c r="X5558" i="15"/>
  <c r="Y5557" i="15" s="1"/>
  <c r="X5559" i="15"/>
  <c r="Y5558" i="15" s="1"/>
  <c r="X5560" i="15"/>
  <c r="Y5559" i="15" s="1"/>
  <c r="X5561" i="15"/>
  <c r="Y5560" i="15" s="1"/>
  <c r="X5562" i="15"/>
  <c r="Y5561" i="15" s="1"/>
  <c r="X5563" i="15"/>
  <c r="Y5562" i="15" s="1"/>
  <c r="X5564" i="15"/>
  <c r="Y5563" i="15" s="1"/>
  <c r="X5565" i="15"/>
  <c r="Y5564" i="15" s="1"/>
  <c r="X5566" i="15"/>
  <c r="Y5565" i="15" s="1"/>
  <c r="X5567" i="15"/>
  <c r="Y5566" i="15" s="1"/>
  <c r="X5568" i="15"/>
  <c r="Y5567" i="15" s="1"/>
  <c r="X5569" i="15"/>
  <c r="Y5568" i="15" s="1"/>
  <c r="X5570" i="15"/>
  <c r="Y5569" i="15" s="1"/>
  <c r="X5571" i="15"/>
  <c r="Y5570" i="15" s="1"/>
  <c r="X5572" i="15"/>
  <c r="Y5571" i="15" s="1"/>
  <c r="X5573" i="15"/>
  <c r="Y5572" i="15" s="1"/>
  <c r="X5574" i="15"/>
  <c r="Y5573" i="15" s="1"/>
  <c r="X5575" i="15"/>
  <c r="Y5574" i="15" s="1"/>
  <c r="X5576" i="15"/>
  <c r="Y5575" i="15" s="1"/>
  <c r="X5577" i="15"/>
  <c r="Y5576" i="15" s="1"/>
  <c r="X5578" i="15"/>
  <c r="Y5577" i="15" s="1"/>
  <c r="X5579" i="15"/>
  <c r="Y5578" i="15" s="1"/>
  <c r="X5580" i="15"/>
  <c r="Y5579" i="15" s="1"/>
  <c r="X5581" i="15"/>
  <c r="Y5580" i="15" s="1"/>
  <c r="X5582" i="15"/>
  <c r="Y5581" i="15" s="1"/>
  <c r="X5583" i="15"/>
  <c r="Y5582" i="15" s="1"/>
  <c r="X5584" i="15"/>
  <c r="Y5583" i="15" s="1"/>
  <c r="X5585" i="15"/>
  <c r="Y5584" i="15" s="1"/>
  <c r="X5586" i="15"/>
  <c r="Y5585" i="15" s="1"/>
  <c r="X5587" i="15"/>
  <c r="Y5586" i="15" s="1"/>
  <c r="X5588" i="15"/>
  <c r="Y5587" i="15" s="1"/>
  <c r="X5589" i="15"/>
  <c r="Y5588" i="15" s="1"/>
  <c r="X5590" i="15"/>
  <c r="Y5589" i="15" s="1"/>
  <c r="X5591" i="15"/>
  <c r="Y5590" i="15" s="1"/>
  <c r="X5592" i="15"/>
  <c r="Y5591" i="15" s="1"/>
  <c r="X5593" i="15"/>
  <c r="Y5592" i="15" s="1"/>
  <c r="X5594" i="15"/>
  <c r="Y5593" i="15" s="1"/>
  <c r="X5595" i="15"/>
  <c r="Y5594" i="15" s="1"/>
  <c r="X5596" i="15"/>
  <c r="Y5595" i="15" s="1"/>
  <c r="X5597" i="15"/>
  <c r="Y5596" i="15" s="1"/>
  <c r="X5598" i="15"/>
  <c r="Y5597" i="15" s="1"/>
  <c r="X5599" i="15"/>
  <c r="Y5598" i="15" s="1"/>
  <c r="X5600" i="15"/>
  <c r="Y5599" i="15" s="1"/>
  <c r="X5601" i="15"/>
  <c r="Y5600" i="15" s="1"/>
  <c r="X5602" i="15"/>
  <c r="Y5601" i="15" s="1"/>
  <c r="X5603" i="15"/>
  <c r="Y5602" i="15" s="1"/>
  <c r="X5604" i="15"/>
  <c r="Y5603" i="15" s="1"/>
  <c r="X5605" i="15"/>
  <c r="Y5604" i="15" s="1"/>
  <c r="X5606" i="15"/>
  <c r="Y5605" i="15" s="1"/>
  <c r="X5607" i="15"/>
  <c r="Y5606" i="15" s="1"/>
  <c r="X5608" i="15"/>
  <c r="Y5607" i="15" s="1"/>
  <c r="X5609" i="15"/>
  <c r="Y5608" i="15" s="1"/>
  <c r="X5610" i="15"/>
  <c r="Y5609" i="15" s="1"/>
  <c r="X5611" i="15"/>
  <c r="Y5610" i="15" s="1"/>
  <c r="X5612" i="15"/>
  <c r="Y5611" i="15" s="1"/>
  <c r="X5613" i="15"/>
  <c r="Y5612" i="15" s="1"/>
  <c r="X5614" i="15"/>
  <c r="Y5613" i="15" s="1"/>
  <c r="X5615" i="15"/>
  <c r="Y5614" i="15" s="1"/>
  <c r="X5616" i="15"/>
  <c r="Y5615" i="15" s="1"/>
  <c r="X5617" i="15"/>
  <c r="Y5616" i="15" s="1"/>
  <c r="X5618" i="15"/>
  <c r="Y5617" i="15" s="1"/>
  <c r="X5619" i="15"/>
  <c r="Y5618" i="15" s="1"/>
  <c r="X5620" i="15"/>
  <c r="Y5619" i="15" s="1"/>
  <c r="X5621" i="15"/>
  <c r="Y5620" i="15" s="1"/>
  <c r="X5622" i="15"/>
  <c r="Y5621" i="15" s="1"/>
  <c r="X5623" i="15"/>
  <c r="Y5622" i="15" s="1"/>
  <c r="X5624" i="15"/>
  <c r="Y5623" i="15" s="1"/>
  <c r="X5625" i="15"/>
  <c r="Y5624" i="15" s="1"/>
  <c r="X5626" i="15"/>
  <c r="Y5625" i="15" s="1"/>
  <c r="X5627" i="15"/>
  <c r="Y5626" i="15" s="1"/>
  <c r="X5628" i="15"/>
  <c r="Y5627" i="15" s="1"/>
  <c r="X5629" i="15"/>
  <c r="Y5628" i="15" s="1"/>
  <c r="X5630" i="15"/>
  <c r="Y5629" i="15" s="1"/>
  <c r="X5631" i="15"/>
  <c r="Y5630" i="15" s="1"/>
  <c r="X5632" i="15"/>
  <c r="Y5631" i="15" s="1"/>
  <c r="X5633" i="15"/>
  <c r="Y5632" i="15" s="1"/>
  <c r="X5634" i="15"/>
  <c r="Y5633" i="15" s="1"/>
  <c r="X5635" i="15"/>
  <c r="Y5634" i="15" s="1"/>
  <c r="X5636" i="15"/>
  <c r="Y5635" i="15" s="1"/>
  <c r="X5637" i="15"/>
  <c r="Y5636" i="15" s="1"/>
  <c r="X5638" i="15"/>
  <c r="Y5637" i="15" s="1"/>
  <c r="X5639" i="15"/>
  <c r="Y5638" i="15" s="1"/>
  <c r="X5640" i="15"/>
  <c r="Y5639" i="15" s="1"/>
  <c r="X5641" i="15"/>
  <c r="Y5640" i="15" s="1"/>
  <c r="X5642" i="15"/>
  <c r="Y5641" i="15" s="1"/>
  <c r="X5643" i="15"/>
  <c r="Y5642" i="15" s="1"/>
  <c r="X5644" i="15"/>
  <c r="Y5643" i="15" s="1"/>
  <c r="X5645" i="15"/>
  <c r="Y5644" i="15" s="1"/>
  <c r="X5646" i="15"/>
  <c r="Y5645" i="15" s="1"/>
  <c r="X5647" i="15"/>
  <c r="Y5646" i="15" s="1"/>
  <c r="X5648" i="15"/>
  <c r="Y5647" i="15" s="1"/>
  <c r="X5649" i="15"/>
  <c r="Y5648" i="15" s="1"/>
  <c r="X5650" i="15"/>
  <c r="Y5649" i="15" s="1"/>
  <c r="X5651" i="15"/>
  <c r="Y5650" i="15" s="1"/>
  <c r="X5652" i="15"/>
  <c r="Y5651" i="15" s="1"/>
  <c r="X5653" i="15"/>
  <c r="Y5652" i="15" s="1"/>
  <c r="X5654" i="15"/>
  <c r="Y5653" i="15" s="1"/>
  <c r="X5655" i="15"/>
  <c r="Y5654" i="15" s="1"/>
  <c r="X5656" i="15"/>
  <c r="Y5655" i="15" s="1"/>
  <c r="X5657" i="15"/>
  <c r="Y5656" i="15" s="1"/>
  <c r="X5658" i="15"/>
  <c r="Y5657" i="15" s="1"/>
  <c r="X5659" i="15"/>
  <c r="Y5658" i="15" s="1"/>
  <c r="X5660" i="15"/>
  <c r="Y5659" i="15" s="1"/>
  <c r="X5661" i="15"/>
  <c r="Y5660" i="15" s="1"/>
  <c r="X5662" i="15"/>
  <c r="Y5661" i="15" s="1"/>
  <c r="X5663" i="15"/>
  <c r="Y5662" i="15" s="1"/>
  <c r="X5664" i="15"/>
  <c r="Y5663" i="15" s="1"/>
  <c r="X5665" i="15"/>
  <c r="Y5664" i="15" s="1"/>
  <c r="X5666" i="15"/>
  <c r="Y5665" i="15" s="1"/>
  <c r="X5667" i="15"/>
  <c r="Y5666" i="15" s="1"/>
  <c r="X5668" i="15"/>
  <c r="Y5667" i="15" s="1"/>
  <c r="X5669" i="15"/>
  <c r="Y5668" i="15" s="1"/>
  <c r="X5670" i="15"/>
  <c r="Y5669" i="15" s="1"/>
  <c r="X5671" i="15"/>
  <c r="Y5670" i="15" s="1"/>
  <c r="X5672" i="15"/>
  <c r="Y5671" i="15" s="1"/>
  <c r="X5673" i="15"/>
  <c r="Y5672" i="15" s="1"/>
  <c r="X5674" i="15"/>
  <c r="Y5673" i="15" s="1"/>
  <c r="X5675" i="15"/>
  <c r="Y5674" i="15" s="1"/>
  <c r="X5676" i="15"/>
  <c r="Y5675" i="15" s="1"/>
  <c r="X5677" i="15"/>
  <c r="Y5676" i="15" s="1"/>
  <c r="X5678" i="15"/>
  <c r="Y5677" i="15" s="1"/>
  <c r="X5679" i="15"/>
  <c r="Y5678" i="15" s="1"/>
  <c r="X5680" i="15"/>
  <c r="Y5679" i="15" s="1"/>
  <c r="X5681" i="15"/>
  <c r="Y5680" i="15" s="1"/>
  <c r="X5682" i="15"/>
  <c r="Y5681" i="15" s="1"/>
  <c r="X5683" i="15"/>
  <c r="Y5682" i="15" s="1"/>
  <c r="X5684" i="15"/>
  <c r="Y5683" i="15" s="1"/>
  <c r="X5685" i="15"/>
  <c r="Y5684" i="15" s="1"/>
  <c r="X5686" i="15"/>
  <c r="Y5685" i="15" s="1"/>
  <c r="X5687" i="15"/>
  <c r="Y5686" i="15" s="1"/>
  <c r="X5688" i="15"/>
  <c r="Y5687" i="15" s="1"/>
  <c r="X5689" i="15"/>
  <c r="Y5688" i="15" s="1"/>
  <c r="X5690" i="15"/>
  <c r="Y5689" i="15" s="1"/>
  <c r="X5691" i="15"/>
  <c r="Y5690" i="15" s="1"/>
  <c r="X5692" i="15"/>
  <c r="Y5691" i="15" s="1"/>
  <c r="X5693" i="15"/>
  <c r="Y5692" i="15" s="1"/>
  <c r="X5694" i="15"/>
  <c r="Y5693" i="15" s="1"/>
  <c r="X5695" i="15"/>
  <c r="Y5694" i="15" s="1"/>
  <c r="X5696" i="15"/>
  <c r="Y5695" i="15" s="1"/>
  <c r="X5697" i="15"/>
  <c r="Y5696" i="15" s="1"/>
  <c r="X5698" i="15"/>
  <c r="Y5697" i="15" s="1"/>
  <c r="X5699" i="15"/>
  <c r="Y5698" i="15" s="1"/>
  <c r="X5700" i="15"/>
  <c r="Y5699" i="15" s="1"/>
  <c r="X5701" i="15"/>
  <c r="Y5700" i="15" s="1"/>
  <c r="X5702" i="15"/>
  <c r="Y5701" i="15" s="1"/>
  <c r="X5703" i="15"/>
  <c r="Y5702" i="15" s="1"/>
  <c r="X5704" i="15"/>
  <c r="Y5703" i="15" s="1"/>
  <c r="X5705" i="15"/>
  <c r="Y5704" i="15" s="1"/>
  <c r="X5706" i="15"/>
  <c r="Y5705" i="15" s="1"/>
  <c r="X5707" i="15"/>
  <c r="Y5706" i="15" s="1"/>
  <c r="X5708" i="15"/>
  <c r="Y5707" i="15" s="1"/>
  <c r="X5709" i="15"/>
  <c r="Y5708" i="15" s="1"/>
  <c r="X5710" i="15"/>
  <c r="Y5709" i="15" s="1"/>
  <c r="X5711" i="15"/>
  <c r="Y5710" i="15" s="1"/>
  <c r="X5712" i="15"/>
  <c r="Y5711" i="15" s="1"/>
  <c r="X5713" i="15"/>
  <c r="Y5712" i="15" s="1"/>
  <c r="X5714" i="15"/>
  <c r="Y5713" i="15" s="1"/>
  <c r="X5715" i="15"/>
  <c r="Y5714" i="15" s="1"/>
  <c r="X5716" i="15"/>
  <c r="Y5715" i="15" s="1"/>
  <c r="X5717" i="15"/>
  <c r="Y5716" i="15" s="1"/>
  <c r="X5718" i="15"/>
  <c r="Y5717" i="15" s="1"/>
  <c r="X5719" i="15"/>
  <c r="Y5718" i="15" s="1"/>
  <c r="X5720" i="15"/>
  <c r="Y5719" i="15" s="1"/>
  <c r="X5721" i="15"/>
  <c r="Y5720" i="15" s="1"/>
  <c r="X5722" i="15"/>
  <c r="Y5721" i="15" s="1"/>
  <c r="X5723" i="15"/>
  <c r="Y5722" i="15" s="1"/>
  <c r="X5724" i="15"/>
  <c r="Y5723" i="15" s="1"/>
  <c r="X5725" i="15"/>
  <c r="Y5724" i="15" s="1"/>
  <c r="X5726" i="15"/>
  <c r="Y5725" i="15" s="1"/>
  <c r="X5727" i="15"/>
  <c r="Y5726" i="15" s="1"/>
  <c r="X5728" i="15"/>
  <c r="Y5727" i="15" s="1"/>
  <c r="X5729" i="15"/>
  <c r="Y5728" i="15" s="1"/>
  <c r="X5730" i="15"/>
  <c r="Y5729" i="15" s="1"/>
  <c r="X5731" i="15"/>
  <c r="Y5730" i="15" s="1"/>
  <c r="X5732" i="15"/>
  <c r="Y5731" i="15" s="1"/>
  <c r="X5733" i="15"/>
  <c r="Y5732" i="15" s="1"/>
  <c r="X5734" i="15"/>
  <c r="Y5733" i="15" s="1"/>
  <c r="X5735" i="15"/>
  <c r="Y5734" i="15" s="1"/>
  <c r="X5736" i="15"/>
  <c r="Y5735" i="15" s="1"/>
  <c r="X5737" i="15"/>
  <c r="Y5736" i="15" s="1"/>
  <c r="X5738" i="15"/>
  <c r="Y5737" i="15" s="1"/>
  <c r="X5739" i="15"/>
  <c r="Y5738" i="15" s="1"/>
  <c r="X5740" i="15"/>
  <c r="Y5739" i="15" s="1"/>
  <c r="X5741" i="15"/>
  <c r="Y5740" i="15" s="1"/>
  <c r="X5742" i="15"/>
  <c r="Y5741" i="15" s="1"/>
  <c r="X5743" i="15"/>
  <c r="Y5742" i="15" s="1"/>
  <c r="X5744" i="15"/>
  <c r="Y5743" i="15" s="1"/>
  <c r="X5745" i="15"/>
  <c r="Y5744" i="15" s="1"/>
  <c r="X5746" i="15"/>
  <c r="Y5745" i="15" s="1"/>
  <c r="X5747" i="15"/>
  <c r="Y5746" i="15" s="1"/>
  <c r="X5748" i="15"/>
  <c r="Y5747" i="15" s="1"/>
  <c r="X5749" i="15"/>
  <c r="Y5748" i="15" s="1"/>
  <c r="X5750" i="15"/>
  <c r="Y5749" i="15" s="1"/>
  <c r="X5751" i="15"/>
  <c r="Y5750" i="15" s="1"/>
  <c r="X5752" i="15"/>
  <c r="Y5751" i="15" s="1"/>
  <c r="X5753" i="15"/>
  <c r="Y5752" i="15" s="1"/>
  <c r="X5754" i="15"/>
  <c r="Y5753" i="15" s="1"/>
  <c r="X5755" i="15"/>
  <c r="Y5754" i="15" s="1"/>
  <c r="X5756" i="15"/>
  <c r="Y5755" i="15" s="1"/>
  <c r="X5757" i="15"/>
  <c r="Y5756" i="15" s="1"/>
  <c r="X5758" i="15"/>
  <c r="Y5757" i="15" s="1"/>
  <c r="X5759" i="15"/>
  <c r="Y5758" i="15" s="1"/>
  <c r="X5760" i="15"/>
  <c r="Y5759" i="15" s="1"/>
  <c r="X5761" i="15"/>
  <c r="Y5760" i="15" s="1"/>
  <c r="X5762" i="15"/>
  <c r="Y5761" i="15" s="1"/>
  <c r="X5763" i="15"/>
  <c r="Y5762" i="15" s="1"/>
  <c r="X5764" i="15"/>
  <c r="Y5763" i="15" s="1"/>
  <c r="X5765" i="15"/>
  <c r="Y5764" i="15" s="1"/>
  <c r="X5766" i="15"/>
  <c r="Y5765" i="15" s="1"/>
  <c r="X5767" i="15"/>
  <c r="Y5766" i="15" s="1"/>
  <c r="X5768" i="15"/>
  <c r="Y5767" i="15" s="1"/>
  <c r="X5769" i="15"/>
  <c r="Y5768" i="15" s="1"/>
  <c r="X5770" i="15"/>
  <c r="Y5769" i="15" s="1"/>
  <c r="X5771" i="15"/>
  <c r="Y5770" i="15" s="1"/>
  <c r="X5772" i="15"/>
  <c r="Y5771" i="15" s="1"/>
  <c r="X5773" i="15"/>
  <c r="Y5772" i="15" s="1"/>
  <c r="X5774" i="15"/>
  <c r="Y5773" i="15" s="1"/>
  <c r="X5775" i="15"/>
  <c r="Y5774" i="15" s="1"/>
  <c r="X5776" i="15"/>
  <c r="Y5775" i="15" s="1"/>
  <c r="X5777" i="15"/>
  <c r="Y5776" i="15" s="1"/>
  <c r="X5778" i="15"/>
  <c r="Y5777" i="15" s="1"/>
  <c r="X5779" i="15"/>
  <c r="Y5778" i="15" s="1"/>
  <c r="X5780" i="15"/>
  <c r="Y5779" i="15" s="1"/>
  <c r="X5781" i="15"/>
  <c r="Y5780" i="15" s="1"/>
  <c r="X5782" i="15"/>
  <c r="Y5781" i="15" s="1"/>
  <c r="X5783" i="15"/>
  <c r="Y5782" i="15" s="1"/>
  <c r="X5784" i="15"/>
  <c r="Y5783" i="15" s="1"/>
  <c r="X5785" i="15"/>
  <c r="Y5784" i="15" s="1"/>
  <c r="X5786" i="15"/>
  <c r="Y5785" i="15" s="1"/>
  <c r="X5787" i="15"/>
  <c r="Y5786" i="15" s="1"/>
  <c r="X5788" i="15"/>
  <c r="Y5787" i="15" s="1"/>
  <c r="X5789" i="15"/>
  <c r="Y5788" i="15" s="1"/>
  <c r="X5790" i="15"/>
  <c r="Y5789" i="15" s="1"/>
  <c r="X5791" i="15"/>
  <c r="Y5790" i="15" s="1"/>
  <c r="X5792" i="15"/>
  <c r="Y5791" i="15" s="1"/>
  <c r="X5793" i="15"/>
  <c r="Y5792" i="15" s="1"/>
  <c r="X5794" i="15"/>
  <c r="Y5793" i="15" s="1"/>
  <c r="X5795" i="15"/>
  <c r="Y5794" i="15" s="1"/>
  <c r="X5796" i="15"/>
  <c r="Y5795" i="15" s="1"/>
  <c r="X5797" i="15"/>
  <c r="Y5796" i="15" s="1"/>
  <c r="X5798" i="15"/>
  <c r="Y5797" i="15" s="1"/>
  <c r="X5799" i="15"/>
  <c r="Y5798" i="15" s="1"/>
  <c r="X5800" i="15"/>
  <c r="Y5799" i="15" s="1"/>
  <c r="X5801" i="15"/>
  <c r="Y5800" i="15" s="1"/>
  <c r="X5802" i="15"/>
  <c r="Y5801" i="15" s="1"/>
  <c r="X5803" i="15"/>
  <c r="Y5802" i="15" s="1"/>
  <c r="X5804" i="15"/>
  <c r="Y5803" i="15" s="1"/>
  <c r="X5805" i="15"/>
  <c r="Y5804" i="15" s="1"/>
  <c r="X5806" i="15"/>
  <c r="Y5805" i="15" s="1"/>
  <c r="X5807" i="15"/>
  <c r="Y5806" i="15" s="1"/>
  <c r="X5808" i="15"/>
  <c r="Y5807" i="15" s="1"/>
  <c r="X5809" i="15"/>
  <c r="Y5808" i="15" s="1"/>
  <c r="X5810" i="15"/>
  <c r="Y5809" i="15" s="1"/>
  <c r="X5811" i="15"/>
  <c r="Y5810" i="15" s="1"/>
  <c r="X5812" i="15"/>
  <c r="Y5811" i="15" s="1"/>
  <c r="X5813" i="15"/>
  <c r="Y5812" i="15" s="1"/>
  <c r="X5814" i="15"/>
  <c r="Y5813" i="15" s="1"/>
  <c r="X5815" i="15"/>
  <c r="Y5814" i="15" s="1"/>
  <c r="X5816" i="15"/>
  <c r="Y5815" i="15" s="1"/>
  <c r="X5817" i="15"/>
  <c r="Y5816" i="15" s="1"/>
  <c r="X5818" i="15"/>
  <c r="Y5817" i="15" s="1"/>
  <c r="X5819" i="15"/>
  <c r="Y5818" i="15" s="1"/>
  <c r="X5820" i="15"/>
  <c r="Y5819" i="15" s="1"/>
  <c r="X5821" i="15"/>
  <c r="Y5820" i="15" s="1"/>
  <c r="X5822" i="15"/>
  <c r="Y5821" i="15" s="1"/>
  <c r="X5823" i="15"/>
  <c r="Y5822" i="15" s="1"/>
  <c r="X5824" i="15"/>
  <c r="Y5823" i="15" s="1"/>
  <c r="X5825" i="15"/>
  <c r="Y5824" i="15" s="1"/>
  <c r="X5826" i="15"/>
  <c r="Y5825" i="15" s="1"/>
  <c r="X5827" i="15"/>
  <c r="Y5826" i="15" s="1"/>
  <c r="X5828" i="15"/>
  <c r="Y5827" i="15" s="1"/>
  <c r="X5829" i="15"/>
  <c r="Y5828" i="15" s="1"/>
  <c r="X5830" i="15"/>
  <c r="Y5829" i="15" s="1"/>
  <c r="X5831" i="15"/>
  <c r="Y5830" i="15" s="1"/>
  <c r="X5832" i="15"/>
  <c r="Y5831" i="15" s="1"/>
  <c r="X5833" i="15"/>
  <c r="Y5832" i="15" s="1"/>
  <c r="X5834" i="15"/>
  <c r="Y5833" i="15" s="1"/>
  <c r="X5835" i="15"/>
  <c r="Y5834" i="15" s="1"/>
  <c r="X5836" i="15"/>
  <c r="Y5835" i="15" s="1"/>
  <c r="X5837" i="15"/>
  <c r="Y5836" i="15" s="1"/>
  <c r="X5838" i="15"/>
  <c r="Y5837" i="15" s="1"/>
  <c r="X5839" i="15"/>
  <c r="Y5838" i="15" s="1"/>
  <c r="X5840" i="15"/>
  <c r="Y5839" i="15" s="1"/>
  <c r="X5841" i="15"/>
  <c r="Y5840" i="15" s="1"/>
  <c r="X5842" i="15"/>
  <c r="Y5841" i="15" s="1"/>
  <c r="X5843" i="15"/>
  <c r="Y5842" i="15" s="1"/>
  <c r="X5844" i="15"/>
  <c r="Y5843" i="15" s="1"/>
  <c r="X5845" i="15"/>
  <c r="Y5844" i="15" s="1"/>
  <c r="X5846" i="15"/>
  <c r="Y5845" i="15" s="1"/>
  <c r="X5847" i="15"/>
  <c r="Y5846" i="15" s="1"/>
  <c r="X5848" i="15"/>
  <c r="Y5847" i="15" s="1"/>
  <c r="X5849" i="15"/>
  <c r="Y5848" i="15" s="1"/>
  <c r="X5850" i="15"/>
  <c r="Y5849" i="15" s="1"/>
  <c r="X5851" i="15"/>
  <c r="Y5850" i="15" s="1"/>
  <c r="X5852" i="15"/>
  <c r="Y5851" i="15" s="1"/>
  <c r="X5853" i="15"/>
  <c r="Y5852" i="15" s="1"/>
  <c r="X5854" i="15"/>
  <c r="Y5853" i="15" s="1"/>
  <c r="X5855" i="15"/>
  <c r="Y5854" i="15" s="1"/>
  <c r="X5856" i="15"/>
  <c r="Y5855" i="15" s="1"/>
  <c r="X5857" i="15"/>
  <c r="Y5856" i="15" s="1"/>
  <c r="X5858" i="15"/>
  <c r="Y5857" i="15" s="1"/>
  <c r="X5859" i="15"/>
  <c r="Y5858" i="15" s="1"/>
  <c r="X5860" i="15"/>
  <c r="Y5859" i="15" s="1"/>
  <c r="X5861" i="15"/>
  <c r="Y5860" i="15" s="1"/>
  <c r="X5862" i="15"/>
  <c r="Y5861" i="15" s="1"/>
  <c r="X5863" i="15"/>
  <c r="Y5862" i="15" s="1"/>
  <c r="X5864" i="15"/>
  <c r="Y5863" i="15" s="1"/>
  <c r="X5865" i="15"/>
  <c r="Y5864" i="15" s="1"/>
  <c r="X5866" i="15"/>
  <c r="Y5865" i="15" s="1"/>
  <c r="X5867" i="15"/>
  <c r="Y5866" i="15" s="1"/>
  <c r="X5868" i="15"/>
  <c r="Y5867" i="15" s="1"/>
  <c r="X5869" i="15"/>
  <c r="Y5868" i="15" s="1"/>
  <c r="X5870" i="15"/>
  <c r="Y5869" i="15" s="1"/>
  <c r="X5871" i="15"/>
  <c r="Y5870" i="15" s="1"/>
  <c r="X5872" i="15"/>
  <c r="Y5871" i="15" s="1"/>
  <c r="X5873" i="15"/>
  <c r="Y5872" i="15" s="1"/>
  <c r="X5874" i="15"/>
  <c r="Y5873" i="15" s="1"/>
  <c r="X5875" i="15"/>
  <c r="Y5874" i="15" s="1"/>
  <c r="X5876" i="15"/>
  <c r="Y5875" i="15" s="1"/>
  <c r="X5877" i="15"/>
  <c r="Y5876" i="15" s="1"/>
  <c r="X5878" i="15"/>
  <c r="Y5877" i="15" s="1"/>
  <c r="X5879" i="15"/>
  <c r="Y5878" i="15" s="1"/>
  <c r="X5880" i="15"/>
  <c r="Y5879" i="15" s="1"/>
  <c r="X5881" i="15"/>
  <c r="Y5880" i="15" s="1"/>
  <c r="X5882" i="15"/>
  <c r="Y5881" i="15" s="1"/>
  <c r="X5883" i="15"/>
  <c r="Y5882" i="15" s="1"/>
  <c r="X5884" i="15"/>
  <c r="Y5883" i="15" s="1"/>
  <c r="X5885" i="15"/>
  <c r="Y5884" i="15" s="1"/>
  <c r="X5886" i="15"/>
  <c r="Y5885" i="15" s="1"/>
  <c r="X5887" i="15"/>
  <c r="Y5886" i="15" s="1"/>
  <c r="X5888" i="15"/>
  <c r="Y5887" i="15" s="1"/>
  <c r="X5889" i="15"/>
  <c r="Y5888" i="15" s="1"/>
  <c r="X5890" i="15"/>
  <c r="Y5889" i="15" s="1"/>
  <c r="X5891" i="15"/>
  <c r="Y5890" i="15" s="1"/>
  <c r="X5892" i="15"/>
  <c r="Y5891" i="15" s="1"/>
  <c r="X5893" i="15"/>
  <c r="Y5892" i="15" s="1"/>
  <c r="X5894" i="15"/>
  <c r="Y5893" i="15" s="1"/>
  <c r="X5895" i="15"/>
  <c r="Y5894" i="15" s="1"/>
  <c r="X5896" i="15"/>
  <c r="Y5895" i="15" s="1"/>
  <c r="X5897" i="15"/>
  <c r="Y5896" i="15" s="1"/>
  <c r="X5898" i="15"/>
  <c r="Y5897" i="15" s="1"/>
  <c r="X5899" i="15"/>
  <c r="Y5898" i="15" s="1"/>
  <c r="X5900" i="15"/>
  <c r="Y5899" i="15" s="1"/>
  <c r="X5901" i="15"/>
  <c r="Y5900" i="15" s="1"/>
  <c r="X5902" i="15"/>
  <c r="Y5901" i="15" s="1"/>
  <c r="X5903" i="15"/>
  <c r="Y5902" i="15" s="1"/>
  <c r="X5904" i="15"/>
  <c r="Y5903" i="15" s="1"/>
  <c r="X5905" i="15"/>
  <c r="Y5904" i="15" s="1"/>
  <c r="X5906" i="15"/>
  <c r="Y5905" i="15" s="1"/>
  <c r="X5907" i="15"/>
  <c r="Y5906" i="15" s="1"/>
  <c r="X5908" i="15"/>
  <c r="Y5907" i="15" s="1"/>
  <c r="X5909" i="15"/>
  <c r="Y5908" i="15" s="1"/>
  <c r="X5910" i="15"/>
  <c r="Y5909" i="15" s="1"/>
  <c r="X5911" i="15"/>
  <c r="Y5910" i="15" s="1"/>
  <c r="X5912" i="15"/>
  <c r="Y5911" i="15" s="1"/>
  <c r="X5913" i="15"/>
  <c r="Y5912" i="15" s="1"/>
  <c r="X5914" i="15"/>
  <c r="Y5913" i="15" s="1"/>
  <c r="X5915" i="15"/>
  <c r="Y5914" i="15" s="1"/>
  <c r="X5916" i="15"/>
  <c r="Y5915" i="15" s="1"/>
  <c r="X5917" i="15"/>
  <c r="Y5916" i="15" s="1"/>
  <c r="X5918" i="15"/>
  <c r="Y5917" i="15" s="1"/>
  <c r="X5919" i="15"/>
  <c r="Y5918" i="15" s="1"/>
  <c r="X5920" i="15"/>
  <c r="Y5919" i="15" s="1"/>
  <c r="X5921" i="15"/>
  <c r="Y5920" i="15" s="1"/>
  <c r="X5922" i="15"/>
  <c r="Y5921" i="15" s="1"/>
  <c r="X5923" i="15"/>
  <c r="Y5922" i="15" s="1"/>
  <c r="X5924" i="15"/>
  <c r="Y5923" i="15" s="1"/>
  <c r="X5925" i="15"/>
  <c r="Y5924" i="15" s="1"/>
  <c r="X5926" i="15"/>
  <c r="Y5925" i="15" s="1"/>
  <c r="X5927" i="15"/>
  <c r="Y5926" i="15" s="1"/>
  <c r="X5928" i="15"/>
  <c r="Y5927" i="15" s="1"/>
  <c r="X5929" i="15"/>
  <c r="Y5928" i="15" s="1"/>
  <c r="X5930" i="15"/>
  <c r="Y5929" i="15" s="1"/>
  <c r="X5931" i="15"/>
  <c r="Y5930" i="15" s="1"/>
  <c r="X5932" i="15"/>
  <c r="Y5931" i="15" s="1"/>
  <c r="X5933" i="15"/>
  <c r="Y5932" i="15" s="1"/>
  <c r="X5934" i="15"/>
  <c r="Y5933" i="15" s="1"/>
  <c r="X5935" i="15"/>
  <c r="Y5934" i="15" s="1"/>
  <c r="X5936" i="15"/>
  <c r="Y5935" i="15" s="1"/>
  <c r="X5937" i="15"/>
  <c r="Y5936" i="15" s="1"/>
  <c r="X5938" i="15"/>
  <c r="Y5937" i="15" s="1"/>
  <c r="X5939" i="15"/>
  <c r="Y5938" i="15" s="1"/>
  <c r="X5940" i="15"/>
  <c r="Y5939" i="15" s="1"/>
  <c r="X5941" i="15"/>
  <c r="Y5940" i="15" s="1"/>
  <c r="X5942" i="15"/>
  <c r="Y5941" i="15" s="1"/>
  <c r="X5943" i="15"/>
  <c r="Y5942" i="15" s="1"/>
  <c r="X5944" i="15"/>
  <c r="Y5943" i="15" s="1"/>
  <c r="X5945" i="15"/>
  <c r="Y5944" i="15" s="1"/>
  <c r="X5946" i="15"/>
  <c r="Y5945" i="15" s="1"/>
  <c r="X5947" i="15"/>
  <c r="Y5946" i="15" s="1"/>
  <c r="X5948" i="15"/>
  <c r="Y5947" i="15" s="1"/>
  <c r="X5949" i="15"/>
  <c r="Y5948" i="15" s="1"/>
  <c r="X5950" i="15"/>
  <c r="Y5949" i="15" s="1"/>
  <c r="X5951" i="15"/>
  <c r="Y5950" i="15" s="1"/>
  <c r="X5952" i="15"/>
  <c r="Y5951" i="15" s="1"/>
  <c r="X5953" i="15"/>
  <c r="Y5952" i="15" s="1"/>
  <c r="X5954" i="15"/>
  <c r="Y5953" i="15" s="1"/>
  <c r="X5955" i="15"/>
  <c r="Y5954" i="15" s="1"/>
  <c r="X5956" i="15"/>
  <c r="Y5955" i="15" s="1"/>
  <c r="X5957" i="15"/>
  <c r="Y5956" i="15" s="1"/>
  <c r="X5958" i="15"/>
  <c r="Y5957" i="15" s="1"/>
  <c r="X5959" i="15"/>
  <c r="Y5958" i="15" s="1"/>
  <c r="X5960" i="15"/>
  <c r="Y5959" i="15" s="1"/>
  <c r="X5961" i="15"/>
  <c r="Y5960" i="15" s="1"/>
  <c r="X5962" i="15"/>
  <c r="Y5961" i="15" s="1"/>
  <c r="X5963" i="15"/>
  <c r="Y5962" i="15" s="1"/>
  <c r="X5964" i="15"/>
  <c r="Y5963" i="15" s="1"/>
  <c r="X5965" i="15"/>
  <c r="Y5964" i="15" s="1"/>
  <c r="X5966" i="15"/>
  <c r="Y5965" i="15" s="1"/>
  <c r="X5967" i="15"/>
  <c r="Y5966" i="15" s="1"/>
  <c r="X5968" i="15"/>
  <c r="Y5967" i="15" s="1"/>
  <c r="X5969" i="15"/>
  <c r="Y5968" i="15" s="1"/>
  <c r="X5970" i="15"/>
  <c r="Y5969" i="15" s="1"/>
  <c r="X5971" i="15"/>
  <c r="Y5970" i="15" s="1"/>
  <c r="X5972" i="15"/>
  <c r="Y5971" i="15" s="1"/>
  <c r="X5973" i="15"/>
  <c r="Y5972" i="15" s="1"/>
  <c r="X5974" i="15"/>
  <c r="Y5973" i="15" s="1"/>
  <c r="X5975" i="15"/>
  <c r="Y5974" i="15" s="1"/>
  <c r="X5976" i="15"/>
  <c r="Y5975" i="15" s="1"/>
  <c r="X5977" i="15"/>
  <c r="Y5976" i="15" s="1"/>
  <c r="X5978" i="15"/>
  <c r="Y5977" i="15" s="1"/>
  <c r="X5979" i="15"/>
  <c r="Y5978" i="15" s="1"/>
  <c r="X5980" i="15"/>
  <c r="Y5979" i="15" s="1"/>
  <c r="X5981" i="15"/>
  <c r="Y5980" i="15" s="1"/>
  <c r="X5982" i="15"/>
  <c r="Y5981" i="15" s="1"/>
  <c r="X5983" i="15"/>
  <c r="Y5982" i="15" s="1"/>
  <c r="X5984" i="15"/>
  <c r="Y5983" i="15" s="1"/>
  <c r="X5985" i="15"/>
  <c r="Y5984" i="15" s="1"/>
  <c r="X5986" i="15"/>
  <c r="Y5985" i="15" s="1"/>
  <c r="X5987" i="15"/>
  <c r="Y5986" i="15" s="1"/>
  <c r="X5988" i="15"/>
  <c r="Y5987" i="15" s="1"/>
  <c r="X5989" i="15"/>
  <c r="Y5988" i="15" s="1"/>
  <c r="X5990" i="15"/>
  <c r="Y5989" i="15" s="1"/>
  <c r="X5991" i="15"/>
  <c r="Y5990" i="15" s="1"/>
  <c r="X5992" i="15"/>
  <c r="Y5991" i="15" s="1"/>
  <c r="X5993" i="15"/>
  <c r="Y5992" i="15" s="1"/>
  <c r="X5994" i="15"/>
  <c r="Y5993" i="15" s="1"/>
  <c r="X5995" i="15"/>
  <c r="Y5994" i="15" s="1"/>
  <c r="X5996" i="15"/>
  <c r="Y5995" i="15" s="1"/>
  <c r="X5997" i="15"/>
  <c r="Y5996" i="15" s="1"/>
  <c r="X5998" i="15"/>
  <c r="Y5997" i="15" s="1"/>
  <c r="X5999" i="15"/>
  <c r="Y5998" i="15" s="1"/>
  <c r="X6000" i="15"/>
  <c r="Y5999" i="15" s="1"/>
  <c r="X6001" i="15"/>
  <c r="Y6000" i="15" s="1"/>
  <c r="X6002" i="15"/>
  <c r="Y6001" i="15" s="1"/>
  <c r="X6003" i="15"/>
  <c r="Y6002" i="15" s="1"/>
  <c r="X6004" i="15"/>
  <c r="Y6003" i="15" s="1"/>
  <c r="X6005" i="15"/>
  <c r="Y6004" i="15" s="1"/>
  <c r="X6006" i="15"/>
  <c r="Y6005" i="15" s="1"/>
  <c r="X6007" i="15"/>
  <c r="Y6006" i="15" s="1"/>
  <c r="X6008" i="15"/>
  <c r="Y6007" i="15" s="1"/>
  <c r="X6009" i="15"/>
  <c r="Y6008" i="15" s="1"/>
  <c r="X6010" i="15"/>
  <c r="Y6009" i="15" s="1"/>
  <c r="X6011" i="15"/>
  <c r="Y6010" i="15" s="1"/>
  <c r="X6012" i="15"/>
  <c r="Y6011" i="15" s="1"/>
  <c r="X6013" i="15"/>
  <c r="Y6012" i="15" s="1"/>
  <c r="X6014" i="15"/>
  <c r="Y6013" i="15" s="1"/>
  <c r="X6015" i="15"/>
  <c r="Y6014" i="15" s="1"/>
  <c r="X6016" i="15"/>
  <c r="Y6015" i="15" s="1"/>
  <c r="X6017" i="15"/>
  <c r="Y6016" i="15" s="1"/>
  <c r="X6018" i="15"/>
  <c r="Y6017" i="15" s="1"/>
  <c r="X6019" i="15"/>
  <c r="Y6018" i="15" s="1"/>
  <c r="X6020" i="15"/>
  <c r="Y6019" i="15" s="1"/>
  <c r="X6021" i="15"/>
  <c r="Y6020" i="15" s="1"/>
  <c r="X6022" i="15"/>
  <c r="Y6021" i="15" s="1"/>
  <c r="X6023" i="15"/>
  <c r="Y6022" i="15" s="1"/>
  <c r="X6024" i="15"/>
  <c r="Y6023" i="15" s="1"/>
  <c r="X6025" i="15"/>
  <c r="Y6024" i="15" s="1"/>
  <c r="X6026" i="15"/>
  <c r="Y6025" i="15" s="1"/>
  <c r="X6027" i="15"/>
  <c r="Y6026" i="15" s="1"/>
  <c r="X6028" i="15"/>
  <c r="Y6027" i="15" s="1"/>
  <c r="X6029" i="15"/>
  <c r="Y6028" i="15" s="1"/>
  <c r="X6030" i="15"/>
  <c r="Y6029" i="15" s="1"/>
  <c r="X6031" i="15"/>
  <c r="Y6030" i="15" s="1"/>
  <c r="X6032" i="15"/>
  <c r="Y6031" i="15" s="1"/>
  <c r="X6033" i="15"/>
  <c r="Y6032" i="15" s="1"/>
  <c r="X6034" i="15"/>
  <c r="Y6033" i="15" s="1"/>
  <c r="X6035" i="15"/>
  <c r="Y6034" i="15" s="1"/>
  <c r="X6036" i="15"/>
  <c r="Y6035" i="15" s="1"/>
  <c r="X6037" i="15"/>
  <c r="Y6036" i="15" s="1"/>
  <c r="X6038" i="15"/>
  <c r="Y6037" i="15" s="1"/>
  <c r="X6039" i="15"/>
  <c r="Y6038" i="15" s="1"/>
  <c r="X6040" i="15"/>
  <c r="Y6039" i="15" s="1"/>
  <c r="X6041" i="15"/>
  <c r="Y6040" i="15" s="1"/>
  <c r="X6042" i="15"/>
  <c r="Y6041" i="15" s="1"/>
  <c r="X6043" i="15"/>
  <c r="Y6042" i="15" s="1"/>
  <c r="X6044" i="15"/>
  <c r="Y6043" i="15" s="1"/>
  <c r="X6045" i="15"/>
  <c r="Y6044" i="15" s="1"/>
  <c r="X6046" i="15"/>
  <c r="Y6045" i="15" s="1"/>
  <c r="X6047" i="15"/>
  <c r="Y6046" i="15" s="1"/>
  <c r="X6048" i="15"/>
  <c r="Y6047" i="15" s="1"/>
  <c r="X6049" i="15"/>
  <c r="Y6048" i="15" s="1"/>
  <c r="X6050" i="15"/>
  <c r="Y6049" i="15" s="1"/>
  <c r="X6051" i="15"/>
  <c r="Y6050" i="15" s="1"/>
  <c r="X6052" i="15"/>
  <c r="Y6051" i="15" s="1"/>
  <c r="X6053" i="15"/>
  <c r="Y6052" i="15" s="1"/>
  <c r="X6054" i="15"/>
  <c r="Y6053" i="15" s="1"/>
  <c r="X6055" i="15"/>
  <c r="Y6054" i="15" s="1"/>
  <c r="X6056" i="15"/>
  <c r="Y6055" i="15" s="1"/>
  <c r="X6057" i="15"/>
  <c r="Y6056" i="15" s="1"/>
  <c r="X6058" i="15"/>
  <c r="Y6057" i="15" s="1"/>
  <c r="X6059" i="15"/>
  <c r="Y6058" i="15" s="1"/>
  <c r="X6060" i="15"/>
  <c r="Y6059" i="15" s="1"/>
  <c r="X6061" i="15"/>
  <c r="Y6060" i="15" s="1"/>
  <c r="X6062" i="15"/>
  <c r="Y6061" i="15" s="1"/>
  <c r="X6063" i="15"/>
  <c r="Y6062" i="15" s="1"/>
  <c r="X6064" i="15"/>
  <c r="Y6063" i="15" s="1"/>
  <c r="X6065" i="15"/>
  <c r="Y6064" i="15" s="1"/>
  <c r="X6066" i="15"/>
  <c r="Y6065" i="15" s="1"/>
  <c r="X6067" i="15"/>
  <c r="Y6066" i="15" s="1"/>
  <c r="X6068" i="15"/>
  <c r="Y6067" i="15" s="1"/>
  <c r="X6069" i="15"/>
  <c r="Y6068" i="15" s="1"/>
  <c r="X6070" i="15"/>
  <c r="Y6069" i="15" s="1"/>
  <c r="X6071" i="15"/>
  <c r="Y6070" i="15" s="1"/>
  <c r="X6072" i="15"/>
  <c r="Y6071" i="15" s="1"/>
  <c r="X6073" i="15"/>
  <c r="Y6072" i="15" s="1"/>
  <c r="X6074" i="15"/>
  <c r="Y6073" i="15" s="1"/>
  <c r="X6075" i="15"/>
  <c r="Y6074" i="15" s="1"/>
  <c r="X6076" i="15"/>
  <c r="Y6075" i="15" s="1"/>
  <c r="X6077" i="15"/>
  <c r="Y6076" i="15" s="1"/>
  <c r="X6078" i="15"/>
  <c r="Y6077" i="15" s="1"/>
  <c r="X6079" i="15"/>
  <c r="Y6078" i="15" s="1"/>
  <c r="X6080" i="15"/>
  <c r="Y6079" i="15" s="1"/>
  <c r="X6081" i="15"/>
  <c r="Y6080" i="15" s="1"/>
  <c r="X6082" i="15"/>
  <c r="Y6081" i="15" s="1"/>
  <c r="X6083" i="15"/>
  <c r="Y6082" i="15" s="1"/>
  <c r="X6084" i="15"/>
  <c r="Y6083" i="15" s="1"/>
  <c r="X6085" i="15"/>
  <c r="Y6084" i="15" s="1"/>
  <c r="X6086" i="15"/>
  <c r="Y6085" i="15" s="1"/>
  <c r="X6087" i="15"/>
  <c r="Y6086" i="15" s="1"/>
  <c r="X6088" i="15"/>
  <c r="Y6087" i="15" s="1"/>
  <c r="X6089" i="15"/>
  <c r="Y6088" i="15" s="1"/>
  <c r="X6090" i="15"/>
  <c r="Y6089" i="15" s="1"/>
  <c r="X6091" i="15"/>
  <c r="Y6090" i="15" s="1"/>
  <c r="X6092" i="15"/>
  <c r="Y6091" i="15" s="1"/>
  <c r="X6093" i="15"/>
  <c r="Y6092" i="15" s="1"/>
  <c r="X6094" i="15"/>
  <c r="Y6093" i="15" s="1"/>
  <c r="X6095" i="15"/>
  <c r="Y6094" i="15" s="1"/>
  <c r="X6096" i="15"/>
  <c r="Y6095" i="15" s="1"/>
  <c r="X6097" i="15"/>
  <c r="Y6096" i="15" s="1"/>
  <c r="X6098" i="15"/>
  <c r="Y6097" i="15" s="1"/>
  <c r="X6099" i="15"/>
  <c r="Y6098" i="15" s="1"/>
  <c r="X6100" i="15"/>
  <c r="Y6099" i="15" s="1"/>
  <c r="X6101" i="15"/>
  <c r="Y6100" i="15" s="1"/>
  <c r="X6102" i="15"/>
  <c r="Y6101" i="15" s="1"/>
  <c r="X6103" i="15"/>
  <c r="Y6102" i="15" s="1"/>
  <c r="X6104" i="15"/>
  <c r="Y6103" i="15" s="1"/>
  <c r="X6105" i="15"/>
  <c r="Y6104" i="15" s="1"/>
  <c r="X6106" i="15"/>
  <c r="Y6105" i="15" s="1"/>
  <c r="X6107" i="15"/>
  <c r="Y6106" i="15" s="1"/>
  <c r="X6108" i="15"/>
  <c r="Y6107" i="15" s="1"/>
  <c r="X6109" i="15"/>
  <c r="Y6108" i="15" s="1"/>
  <c r="X6110" i="15"/>
  <c r="Y6109" i="15" s="1"/>
  <c r="X6111" i="15"/>
  <c r="Y6110" i="15" s="1"/>
  <c r="X6112" i="15"/>
  <c r="Y6111" i="15" s="1"/>
  <c r="X6113" i="15"/>
  <c r="Y6112" i="15" s="1"/>
  <c r="X6114" i="15"/>
  <c r="Y6113" i="15" s="1"/>
  <c r="X6115" i="15"/>
  <c r="Y6114" i="15" s="1"/>
  <c r="X6116" i="15"/>
  <c r="Y6115" i="15" s="1"/>
  <c r="X6117" i="15"/>
  <c r="Y6116" i="15" s="1"/>
  <c r="X6118" i="15"/>
  <c r="Y6117" i="15" s="1"/>
  <c r="X6119" i="15"/>
  <c r="Y6118" i="15" s="1"/>
  <c r="X6120" i="15"/>
  <c r="Y6119" i="15" s="1"/>
  <c r="X6121" i="15"/>
  <c r="Y6120" i="15" s="1"/>
  <c r="X6122" i="15"/>
  <c r="Y6121" i="15" s="1"/>
  <c r="X6123" i="15"/>
  <c r="Y6122" i="15" s="1"/>
  <c r="X6124" i="15"/>
  <c r="Y6123" i="15" s="1"/>
  <c r="X6125" i="15"/>
  <c r="Y6124" i="15" s="1"/>
  <c r="X6126" i="15"/>
  <c r="Y6125" i="15" s="1"/>
  <c r="X6127" i="15"/>
  <c r="Y6126" i="15" s="1"/>
  <c r="X6128" i="15"/>
  <c r="Y6127" i="15" s="1"/>
  <c r="X6129" i="15"/>
  <c r="Y6128" i="15" s="1"/>
  <c r="X6130" i="15"/>
  <c r="Y6129" i="15" s="1"/>
  <c r="X6131" i="15"/>
  <c r="Y6130" i="15" s="1"/>
  <c r="X6132" i="15"/>
  <c r="Y6131" i="15" s="1"/>
  <c r="X6133" i="15"/>
  <c r="Y6132" i="15" s="1"/>
  <c r="X6134" i="15"/>
  <c r="Y6133" i="15" s="1"/>
  <c r="X6135" i="15"/>
  <c r="Y6134" i="15" s="1"/>
  <c r="X6136" i="15"/>
  <c r="Y6135" i="15" s="1"/>
  <c r="X6137" i="15"/>
  <c r="Y6136" i="15" s="1"/>
  <c r="X6138" i="15"/>
  <c r="Y6137" i="15" s="1"/>
  <c r="X6139" i="15"/>
  <c r="Y6138" i="15" s="1"/>
  <c r="X6140" i="15"/>
  <c r="Y6139" i="15" s="1"/>
  <c r="X6141" i="15"/>
  <c r="Y6140" i="15" s="1"/>
  <c r="X6142" i="15"/>
  <c r="Y6141" i="15" s="1"/>
  <c r="X6143" i="15"/>
  <c r="Y6142" i="15" s="1"/>
  <c r="X6144" i="15"/>
  <c r="Y6143" i="15" s="1"/>
  <c r="X6145" i="15"/>
  <c r="Y6144" i="15" s="1"/>
  <c r="X6146" i="15"/>
  <c r="Y6145" i="15" s="1"/>
  <c r="X6147" i="15"/>
  <c r="Y6146" i="15" s="1"/>
  <c r="X6148" i="15"/>
  <c r="Y6147" i="15" s="1"/>
  <c r="X6149" i="15"/>
  <c r="Y6148" i="15" s="1"/>
  <c r="X6150" i="15"/>
  <c r="Y6149" i="15" s="1"/>
  <c r="X6151" i="15"/>
  <c r="Y6150" i="15" s="1"/>
  <c r="X6152" i="15"/>
  <c r="Y6151" i="15" s="1"/>
  <c r="X6153" i="15"/>
  <c r="Y6152" i="15" s="1"/>
  <c r="X6154" i="15"/>
  <c r="Y6153" i="15" s="1"/>
  <c r="X6155" i="15"/>
  <c r="Y6154" i="15" s="1"/>
  <c r="X6156" i="15"/>
  <c r="Y6155" i="15" s="1"/>
  <c r="X6157" i="15"/>
  <c r="Y6156" i="15" s="1"/>
  <c r="X6158" i="15"/>
  <c r="Y6157" i="15" s="1"/>
  <c r="X6159" i="15"/>
  <c r="Y6158" i="15" s="1"/>
  <c r="X6160" i="15"/>
  <c r="Y6159" i="15" s="1"/>
  <c r="X6161" i="15"/>
  <c r="Y6160" i="15" s="1"/>
  <c r="X6162" i="15"/>
  <c r="Y6161" i="15" s="1"/>
  <c r="X6163" i="15"/>
  <c r="Y6162" i="15" s="1"/>
  <c r="X6164" i="15"/>
  <c r="Y6163" i="15" s="1"/>
  <c r="X6165" i="15"/>
  <c r="Y6164" i="15" s="1"/>
  <c r="X6166" i="15"/>
  <c r="Y6165" i="15" s="1"/>
  <c r="X6167" i="15"/>
  <c r="Y6166" i="15" s="1"/>
  <c r="X6168" i="15"/>
  <c r="Y6167" i="15" s="1"/>
  <c r="X6169" i="15"/>
  <c r="Y6168" i="15" s="1"/>
  <c r="X6170" i="15"/>
  <c r="Y6169" i="15" s="1"/>
  <c r="X6171" i="15"/>
  <c r="Y6170" i="15" s="1"/>
  <c r="X6172" i="15"/>
  <c r="Y6171" i="15" s="1"/>
  <c r="X6173" i="15"/>
  <c r="Y6172" i="15" s="1"/>
  <c r="X6174" i="15"/>
  <c r="Y6173" i="15" s="1"/>
  <c r="X6175" i="15"/>
  <c r="Y6174" i="15" s="1"/>
  <c r="X6176" i="15"/>
  <c r="Y6175" i="15" s="1"/>
  <c r="X6177" i="15"/>
  <c r="Y6176" i="15" s="1"/>
  <c r="X6178" i="15"/>
  <c r="Y6177" i="15" s="1"/>
  <c r="X6179" i="15"/>
  <c r="Y6178" i="15" s="1"/>
  <c r="X6180" i="15"/>
  <c r="Y6179" i="15" s="1"/>
  <c r="X6181" i="15"/>
  <c r="Y6180" i="15" s="1"/>
  <c r="X6182" i="15"/>
  <c r="Y6181" i="15" s="1"/>
  <c r="X6183" i="15"/>
  <c r="Y6182" i="15" s="1"/>
  <c r="X6184" i="15"/>
  <c r="Y6183" i="15" s="1"/>
  <c r="X6185" i="15"/>
  <c r="Y6184" i="15" s="1"/>
  <c r="X6186" i="15"/>
  <c r="Y6185" i="15" s="1"/>
  <c r="X6187" i="15"/>
  <c r="Y6186" i="15" s="1"/>
  <c r="X6188" i="15"/>
  <c r="Y6187" i="15" s="1"/>
  <c r="X6189" i="15"/>
  <c r="Y6188" i="15" s="1"/>
  <c r="X6190" i="15"/>
  <c r="Y6189" i="15" s="1"/>
  <c r="X6191" i="15"/>
  <c r="Y6190" i="15" s="1"/>
  <c r="X6192" i="15"/>
  <c r="Y6191" i="15" s="1"/>
  <c r="X6193" i="15"/>
  <c r="Y6192" i="15" s="1"/>
  <c r="X6194" i="15"/>
  <c r="Y6193" i="15" s="1"/>
  <c r="X6195" i="15"/>
  <c r="Y6194" i="15" s="1"/>
  <c r="X6196" i="15"/>
  <c r="Y6195" i="15" s="1"/>
  <c r="X6197" i="15"/>
  <c r="Y6196" i="15" s="1"/>
  <c r="X6198" i="15"/>
  <c r="Y6197" i="15" s="1"/>
  <c r="X6199" i="15"/>
  <c r="Y6198" i="15" s="1"/>
  <c r="X6200" i="15"/>
  <c r="Y6199" i="15" s="1"/>
  <c r="X6201" i="15"/>
  <c r="Y6200" i="15" s="1"/>
  <c r="X6202" i="15"/>
  <c r="Y6201" i="15" s="1"/>
  <c r="X6203" i="15"/>
  <c r="Y6202" i="15" s="1"/>
  <c r="X6204" i="15"/>
  <c r="Y6203" i="15" s="1"/>
  <c r="X6205" i="15"/>
  <c r="Y6204" i="15" s="1"/>
  <c r="X6206" i="15"/>
  <c r="Y6205" i="15" s="1"/>
  <c r="X6207" i="15"/>
  <c r="Y6206" i="15" s="1"/>
  <c r="X6208" i="15"/>
  <c r="Y6207" i="15" s="1"/>
  <c r="X6209" i="15"/>
  <c r="Y6208" i="15" s="1"/>
  <c r="X6210" i="15"/>
  <c r="Y6209" i="15" s="1"/>
  <c r="X6211" i="15"/>
  <c r="Y6210" i="15" s="1"/>
  <c r="X6212" i="15"/>
  <c r="Y6211" i="15" s="1"/>
  <c r="X6213" i="15"/>
  <c r="Y6212" i="15" s="1"/>
  <c r="X6214" i="15"/>
  <c r="Y6213" i="15" s="1"/>
  <c r="X6215" i="15"/>
  <c r="Y6214" i="15" s="1"/>
  <c r="X6216" i="15"/>
  <c r="Y6215" i="15" s="1"/>
  <c r="X6217" i="15"/>
  <c r="Y6216" i="15" s="1"/>
  <c r="X6218" i="15"/>
  <c r="Y6217" i="15" s="1"/>
  <c r="X6219" i="15"/>
  <c r="Y6218" i="15" s="1"/>
  <c r="X6220" i="15"/>
  <c r="Y6219" i="15" s="1"/>
  <c r="X6221" i="15"/>
  <c r="Y6220" i="15" s="1"/>
  <c r="X6222" i="15"/>
  <c r="Y6221" i="15" s="1"/>
  <c r="X6223" i="15"/>
  <c r="Y6222" i="15" s="1"/>
  <c r="X6224" i="15"/>
  <c r="Y6223" i="15" s="1"/>
  <c r="X6225" i="15"/>
  <c r="Y6224" i="15" s="1"/>
  <c r="X6226" i="15"/>
  <c r="Y6225" i="15" s="1"/>
  <c r="X6227" i="15"/>
  <c r="Y6226" i="15" s="1"/>
  <c r="X6228" i="15"/>
  <c r="Y6227" i="15" s="1"/>
  <c r="X6229" i="15"/>
  <c r="Y6228" i="15" s="1"/>
  <c r="X6230" i="15"/>
  <c r="Y6229" i="15" s="1"/>
  <c r="X6231" i="15"/>
  <c r="Y6230" i="15" s="1"/>
  <c r="X6232" i="15"/>
  <c r="Y6231" i="15" s="1"/>
  <c r="X6233" i="15"/>
  <c r="Y6232" i="15" s="1"/>
  <c r="X6234" i="15"/>
  <c r="Y6233" i="15" s="1"/>
  <c r="X6235" i="15"/>
  <c r="Y6234" i="15" s="1"/>
  <c r="X6236" i="15"/>
  <c r="Y6235" i="15" s="1"/>
  <c r="X6237" i="15"/>
  <c r="Y6236" i="15" s="1"/>
  <c r="X6238" i="15"/>
  <c r="Y6237" i="15" s="1"/>
  <c r="X6239" i="15"/>
  <c r="Y6238" i="15" s="1"/>
  <c r="X6240" i="15"/>
  <c r="Y6239" i="15" s="1"/>
  <c r="X6241" i="15"/>
  <c r="Y6240" i="15" s="1"/>
  <c r="X6242" i="15"/>
  <c r="Y6241" i="15" s="1"/>
  <c r="X6243" i="15"/>
  <c r="Y6242" i="15" s="1"/>
  <c r="X6244" i="15"/>
  <c r="Y6243" i="15" s="1"/>
  <c r="X6245" i="15"/>
  <c r="Y6244" i="15" s="1"/>
  <c r="X6246" i="15"/>
  <c r="Y6245" i="15" s="1"/>
  <c r="X6247" i="15"/>
  <c r="Y6246" i="15" s="1"/>
  <c r="X6248" i="15"/>
  <c r="Y6247" i="15" s="1"/>
  <c r="X6249" i="15"/>
  <c r="Y6248" i="15" s="1"/>
  <c r="X6250" i="15"/>
  <c r="Y6249" i="15" s="1"/>
  <c r="X6251" i="15"/>
  <c r="Y6250" i="15" s="1"/>
  <c r="X6252" i="15"/>
  <c r="Y6251" i="15" s="1"/>
  <c r="X6253" i="15"/>
  <c r="Y6252" i="15" s="1"/>
  <c r="X6254" i="15"/>
  <c r="Y6253" i="15" s="1"/>
  <c r="X6255" i="15"/>
  <c r="Y6254" i="15" s="1"/>
  <c r="X6256" i="15"/>
  <c r="Y6255" i="15" s="1"/>
  <c r="X6257" i="15"/>
  <c r="Y6256" i="15" s="1"/>
  <c r="X6258" i="15"/>
  <c r="Y6257" i="15" s="1"/>
  <c r="X6259" i="15"/>
  <c r="Y6258" i="15" s="1"/>
  <c r="X6260" i="15"/>
  <c r="Y6259" i="15" s="1"/>
  <c r="X6261" i="15"/>
  <c r="Y6260" i="15" s="1"/>
  <c r="X6262" i="15"/>
  <c r="Y6261" i="15" s="1"/>
  <c r="X6263" i="15"/>
  <c r="Y6262" i="15" s="1"/>
  <c r="X6264" i="15"/>
  <c r="Y6263" i="15" s="1"/>
  <c r="X6265" i="15"/>
  <c r="Y6264" i="15" s="1"/>
  <c r="X6266" i="15"/>
  <c r="Y6265" i="15" s="1"/>
  <c r="X6267" i="15"/>
  <c r="Y6266" i="15" s="1"/>
  <c r="X6268" i="15"/>
  <c r="Y6267" i="15" s="1"/>
  <c r="X6269" i="15"/>
  <c r="Y6268" i="15" s="1"/>
  <c r="X6270" i="15"/>
  <c r="Y6269" i="15" s="1"/>
  <c r="X6271" i="15"/>
  <c r="Y6270" i="15" s="1"/>
  <c r="X6272" i="15"/>
  <c r="Y6271" i="15" s="1"/>
  <c r="X6273" i="15"/>
  <c r="Y6272" i="15" s="1"/>
  <c r="X6274" i="15"/>
  <c r="Y6273" i="15" s="1"/>
  <c r="X6275" i="15"/>
  <c r="Y6274" i="15" s="1"/>
  <c r="X6276" i="15"/>
  <c r="Y6275" i="15" s="1"/>
  <c r="X6277" i="15"/>
  <c r="Y6276" i="15" s="1"/>
  <c r="X6278" i="15"/>
  <c r="Y6277" i="15" s="1"/>
  <c r="X6279" i="15"/>
  <c r="Y6278" i="15" s="1"/>
  <c r="X6280" i="15"/>
  <c r="Y6279" i="15" s="1"/>
  <c r="X6281" i="15"/>
  <c r="Y6280" i="15" s="1"/>
  <c r="X6282" i="15"/>
  <c r="Y6281" i="15" s="1"/>
  <c r="X6283" i="15"/>
  <c r="Y6282" i="15" s="1"/>
  <c r="X6284" i="15"/>
  <c r="Y6283" i="15" s="1"/>
  <c r="X6285" i="15"/>
  <c r="Y6284" i="15" s="1"/>
  <c r="X6286" i="15"/>
  <c r="Y6285" i="15" s="1"/>
  <c r="X6287" i="15"/>
  <c r="Y6286" i="15" s="1"/>
  <c r="X6288" i="15"/>
  <c r="Y6287" i="15" s="1"/>
  <c r="X6289" i="15"/>
  <c r="Y6288" i="15" s="1"/>
  <c r="X6290" i="15"/>
  <c r="Y6289" i="15" s="1"/>
  <c r="X6291" i="15"/>
  <c r="Y6290" i="15" s="1"/>
  <c r="X6292" i="15"/>
  <c r="Y6291" i="15" s="1"/>
  <c r="X6293" i="15"/>
  <c r="Y6292" i="15" s="1"/>
  <c r="X6294" i="15"/>
  <c r="Y6293" i="15" s="1"/>
  <c r="X6295" i="15"/>
  <c r="Y6294" i="15" s="1"/>
  <c r="X6296" i="15"/>
  <c r="Y6295" i="15" s="1"/>
  <c r="X6297" i="15"/>
  <c r="Y6296" i="15" s="1"/>
  <c r="X6298" i="15"/>
  <c r="Y6297" i="15" s="1"/>
  <c r="X6299" i="15"/>
  <c r="Y6298" i="15" s="1"/>
  <c r="X6300" i="15"/>
  <c r="Y6299" i="15" s="1"/>
  <c r="X6301" i="15"/>
  <c r="Y6300" i="15" s="1"/>
  <c r="X6302" i="15"/>
  <c r="Y6301" i="15" s="1"/>
  <c r="X6303" i="15"/>
  <c r="Y6302" i="15" s="1"/>
  <c r="X6304" i="15"/>
  <c r="Y6303" i="15" s="1"/>
  <c r="X6305" i="15"/>
  <c r="Y6304" i="15" s="1"/>
  <c r="X6306" i="15"/>
  <c r="Y6305" i="15" s="1"/>
  <c r="X6307" i="15"/>
  <c r="Y6306" i="15" s="1"/>
  <c r="X6308" i="15"/>
  <c r="Y6307" i="15" s="1"/>
  <c r="X6309" i="15"/>
  <c r="Y6308" i="15" s="1"/>
  <c r="X6310" i="15"/>
  <c r="Y6309" i="15" s="1"/>
  <c r="X6311" i="15"/>
  <c r="Y6310" i="15" s="1"/>
  <c r="X6312" i="15"/>
  <c r="Y6311" i="15" s="1"/>
  <c r="X6313" i="15"/>
  <c r="Y6312" i="15" s="1"/>
  <c r="X6314" i="15"/>
  <c r="Y6313" i="15" s="1"/>
  <c r="X6315" i="15"/>
  <c r="Y6314" i="15" s="1"/>
  <c r="X6316" i="15"/>
  <c r="Y6315" i="15" s="1"/>
  <c r="X6317" i="15"/>
  <c r="Y6316" i="15" s="1"/>
  <c r="X6318" i="15"/>
  <c r="Y6317" i="15" s="1"/>
  <c r="X6319" i="15"/>
  <c r="Y6318" i="15" s="1"/>
  <c r="X6320" i="15"/>
  <c r="Y6319" i="15" s="1"/>
  <c r="X6321" i="15"/>
  <c r="Y6320" i="15" s="1"/>
  <c r="X6322" i="15"/>
  <c r="Y6321" i="15" s="1"/>
  <c r="X6323" i="15"/>
  <c r="Y6322" i="15" s="1"/>
  <c r="X6324" i="15"/>
  <c r="Y6323" i="15" s="1"/>
  <c r="X6325" i="15"/>
  <c r="Y6324" i="15" s="1"/>
  <c r="X6326" i="15"/>
  <c r="Y6325" i="15" s="1"/>
  <c r="X6327" i="15"/>
  <c r="Y6326" i="15" s="1"/>
  <c r="X6328" i="15"/>
  <c r="Y6327" i="15" s="1"/>
  <c r="X6329" i="15"/>
  <c r="Y6328" i="15" s="1"/>
  <c r="X6330" i="15"/>
  <c r="Y6329" i="15" s="1"/>
  <c r="X6331" i="15"/>
  <c r="Y6330" i="15" s="1"/>
  <c r="X6332" i="15"/>
  <c r="Y6331" i="15" s="1"/>
  <c r="X6333" i="15"/>
  <c r="Y6332" i="15" s="1"/>
  <c r="X6334" i="15"/>
  <c r="Y6333" i="15" s="1"/>
  <c r="X6335" i="15"/>
  <c r="Y6334" i="15" s="1"/>
  <c r="X6336" i="15"/>
  <c r="Y6335" i="15" s="1"/>
  <c r="X6337" i="15"/>
  <c r="Y6336" i="15" s="1"/>
  <c r="X6338" i="15"/>
  <c r="Y6337" i="15" s="1"/>
  <c r="X6339" i="15"/>
  <c r="Y6338" i="15" s="1"/>
  <c r="X6340" i="15"/>
  <c r="Y6339" i="15" s="1"/>
  <c r="X6341" i="15"/>
  <c r="Y6340" i="15" s="1"/>
  <c r="X6342" i="15"/>
  <c r="Y6341" i="15" s="1"/>
  <c r="X6343" i="15"/>
  <c r="Y6342" i="15" s="1"/>
  <c r="X6344" i="15"/>
  <c r="Y6343" i="15" s="1"/>
  <c r="X6345" i="15"/>
  <c r="Y6344" i="15" s="1"/>
  <c r="X6346" i="15"/>
  <c r="Y6345" i="15" s="1"/>
  <c r="X6347" i="15"/>
  <c r="Y6346" i="15" s="1"/>
  <c r="X6348" i="15"/>
  <c r="Y6347" i="15" s="1"/>
  <c r="X6349" i="15"/>
  <c r="Y6348" i="15" s="1"/>
  <c r="X6350" i="15"/>
  <c r="Y6349" i="15" s="1"/>
  <c r="X6351" i="15"/>
  <c r="Y6350" i="15" s="1"/>
  <c r="X6352" i="15"/>
  <c r="Y6351" i="15" s="1"/>
  <c r="X6353" i="15"/>
  <c r="Y6352" i="15" s="1"/>
  <c r="X6354" i="15"/>
  <c r="Y6353" i="15" s="1"/>
  <c r="X6355" i="15"/>
  <c r="Y6354" i="15" s="1"/>
  <c r="X6356" i="15"/>
  <c r="Y6355" i="15" s="1"/>
  <c r="X6357" i="15"/>
  <c r="Y6356" i="15" s="1"/>
  <c r="X6358" i="15"/>
  <c r="Y6357" i="15" s="1"/>
  <c r="X6359" i="15"/>
  <c r="Y6358" i="15" s="1"/>
  <c r="X6360" i="15"/>
  <c r="Y6359" i="15" s="1"/>
  <c r="X6361" i="15"/>
  <c r="Y6360" i="15" s="1"/>
  <c r="X6362" i="15"/>
  <c r="Y6361" i="15" s="1"/>
  <c r="X6363" i="15"/>
  <c r="Y6362" i="15" s="1"/>
  <c r="X6364" i="15"/>
  <c r="Y6363" i="15" s="1"/>
  <c r="X6365" i="15"/>
  <c r="Y6364" i="15" s="1"/>
  <c r="X6366" i="15"/>
  <c r="Y6365" i="15" s="1"/>
  <c r="X6367" i="15"/>
  <c r="Y6366" i="15" s="1"/>
  <c r="X6368" i="15"/>
  <c r="Y6367" i="15" s="1"/>
  <c r="X6369" i="15"/>
  <c r="Y6368" i="15" s="1"/>
  <c r="X6370" i="15"/>
  <c r="Y6369" i="15" s="1"/>
  <c r="X6371" i="15"/>
  <c r="Y6370" i="15" s="1"/>
  <c r="X6372" i="15"/>
  <c r="Y6371" i="15" s="1"/>
  <c r="X6373" i="15"/>
  <c r="Y6372" i="15" s="1"/>
  <c r="X6374" i="15"/>
  <c r="Y6373" i="15" s="1"/>
  <c r="X6375" i="15"/>
  <c r="Y6374" i="15" s="1"/>
  <c r="X6376" i="15"/>
  <c r="Y6375" i="15" s="1"/>
  <c r="X6377" i="15"/>
  <c r="Y6376" i="15" s="1"/>
  <c r="X6378" i="15"/>
  <c r="Y6377" i="15" s="1"/>
  <c r="X6379" i="15"/>
  <c r="Y6378" i="15" s="1"/>
  <c r="X6380" i="15"/>
  <c r="Y6379" i="15" s="1"/>
  <c r="X6381" i="15"/>
  <c r="Y6380" i="15" s="1"/>
  <c r="X6382" i="15"/>
  <c r="Y6381" i="15" s="1"/>
  <c r="X6383" i="15"/>
  <c r="Y6382" i="15" s="1"/>
  <c r="X6384" i="15"/>
  <c r="Y6383" i="15" s="1"/>
  <c r="X6385" i="15"/>
  <c r="Y6384" i="15" s="1"/>
  <c r="X6386" i="15"/>
  <c r="Y6385" i="15" s="1"/>
  <c r="X6387" i="15"/>
  <c r="Y6386" i="15" s="1"/>
  <c r="X6388" i="15"/>
  <c r="Y6387" i="15" s="1"/>
  <c r="X6389" i="15"/>
  <c r="Y6388" i="15" s="1"/>
  <c r="X6390" i="15"/>
  <c r="Y6389" i="15" s="1"/>
  <c r="X6391" i="15"/>
  <c r="Y6390" i="15" s="1"/>
  <c r="X6392" i="15"/>
  <c r="Y6391" i="15" s="1"/>
  <c r="X6393" i="15"/>
  <c r="Y6392" i="15" s="1"/>
  <c r="X6394" i="15"/>
  <c r="Y6393" i="15" s="1"/>
  <c r="X6395" i="15"/>
  <c r="Y6394" i="15" s="1"/>
  <c r="X6396" i="15"/>
  <c r="Y6395" i="15" s="1"/>
  <c r="X6397" i="15"/>
  <c r="Y6396" i="15" s="1"/>
  <c r="X6398" i="15"/>
  <c r="Y6397" i="15" s="1"/>
  <c r="X6399" i="15"/>
  <c r="Y6398" i="15" s="1"/>
  <c r="X6400" i="15"/>
  <c r="Y6399" i="15" s="1"/>
  <c r="X6401" i="15"/>
  <c r="Y6400" i="15" s="1"/>
  <c r="X6402" i="15"/>
  <c r="Y6401" i="15" s="1"/>
  <c r="X6403" i="15"/>
  <c r="Y6402" i="15" s="1"/>
  <c r="X6404" i="15"/>
  <c r="Y6403" i="15" s="1"/>
  <c r="X6405" i="15"/>
  <c r="Y6404" i="15" s="1"/>
  <c r="X6406" i="15"/>
  <c r="Y6405" i="15" s="1"/>
  <c r="X6407" i="15"/>
  <c r="Y6406" i="15" s="1"/>
  <c r="X6408" i="15"/>
  <c r="Y6407" i="15" s="1"/>
  <c r="X6409" i="15"/>
  <c r="Y6408" i="15" s="1"/>
  <c r="X6410" i="15"/>
  <c r="Y6409" i="15" s="1"/>
  <c r="X6411" i="15"/>
  <c r="Y6410" i="15" s="1"/>
  <c r="X6412" i="15"/>
  <c r="Y6411" i="15" s="1"/>
  <c r="X6413" i="15"/>
  <c r="Y6412" i="15" s="1"/>
  <c r="X6414" i="15"/>
  <c r="Y6413" i="15" s="1"/>
  <c r="X6415" i="15"/>
  <c r="Y6414" i="15" s="1"/>
  <c r="X6416" i="15"/>
  <c r="Y6415" i="15" s="1"/>
  <c r="X6417" i="15"/>
  <c r="Y6416" i="15" s="1"/>
  <c r="X6418" i="15"/>
  <c r="Y6417" i="15" s="1"/>
  <c r="X6419" i="15"/>
  <c r="Y6418" i="15" s="1"/>
  <c r="X6420" i="15"/>
  <c r="Y6419" i="15" s="1"/>
  <c r="X6421" i="15"/>
  <c r="Y6420" i="15" s="1"/>
  <c r="X6422" i="15"/>
  <c r="Y6421" i="15" s="1"/>
  <c r="X6423" i="15"/>
  <c r="Y6422" i="15" s="1"/>
  <c r="X6424" i="15"/>
  <c r="Y6423" i="15" s="1"/>
  <c r="X6425" i="15"/>
  <c r="Y6424" i="15" s="1"/>
  <c r="X6426" i="15"/>
  <c r="Y6425" i="15" s="1"/>
  <c r="X6427" i="15"/>
  <c r="Y6426" i="15" s="1"/>
  <c r="X6428" i="15"/>
  <c r="Y6427" i="15" s="1"/>
  <c r="X6429" i="15"/>
  <c r="Y6428" i="15" s="1"/>
  <c r="X6430" i="15"/>
  <c r="Y6429" i="15" s="1"/>
  <c r="X6431" i="15"/>
  <c r="Y6430" i="15" s="1"/>
  <c r="X6432" i="15"/>
  <c r="Y6431" i="15" s="1"/>
  <c r="X6433" i="15"/>
  <c r="Y6432" i="15" s="1"/>
  <c r="X6434" i="15"/>
  <c r="Y6433" i="15" s="1"/>
  <c r="X6435" i="15"/>
  <c r="Y6434" i="15" s="1"/>
  <c r="X6436" i="15"/>
  <c r="Y6435" i="15" s="1"/>
  <c r="X6437" i="15"/>
  <c r="Y6436" i="15" s="1"/>
  <c r="X6438" i="15"/>
  <c r="Y6437" i="15" s="1"/>
  <c r="X6439" i="15"/>
  <c r="Y6438" i="15" s="1"/>
  <c r="X6440" i="15"/>
  <c r="Y6439" i="15" s="1"/>
  <c r="X6441" i="15"/>
  <c r="Y6440" i="15" s="1"/>
  <c r="X6442" i="15"/>
  <c r="Y6441" i="15" s="1"/>
  <c r="X6443" i="15"/>
  <c r="Y6442" i="15" s="1"/>
  <c r="X6444" i="15"/>
  <c r="Y6443" i="15" s="1"/>
  <c r="X6445" i="15"/>
  <c r="Y6444" i="15" s="1"/>
  <c r="X6446" i="15"/>
  <c r="Y6445" i="15" s="1"/>
  <c r="X6447" i="15"/>
  <c r="Y6446" i="15" s="1"/>
  <c r="X6448" i="15"/>
  <c r="Y6447" i="15" s="1"/>
  <c r="X6449" i="15"/>
  <c r="Y6448" i="15" s="1"/>
  <c r="X6450" i="15"/>
  <c r="Y6449" i="15" s="1"/>
  <c r="X6451" i="15"/>
  <c r="Y6450" i="15" s="1"/>
  <c r="X6452" i="15"/>
  <c r="Y6451" i="15" s="1"/>
  <c r="X6453" i="15"/>
  <c r="Y6452" i="15" s="1"/>
  <c r="X6454" i="15"/>
  <c r="Y6453" i="15" s="1"/>
  <c r="X6455" i="15"/>
  <c r="Y6454" i="15" s="1"/>
  <c r="X6456" i="15"/>
  <c r="Y6455" i="15" s="1"/>
  <c r="X6457" i="15"/>
  <c r="Y6456" i="15" s="1"/>
  <c r="X6458" i="15"/>
  <c r="Y6457" i="15" s="1"/>
  <c r="X6459" i="15"/>
  <c r="Y6458" i="15" s="1"/>
  <c r="X6460" i="15"/>
  <c r="Y6459" i="15" s="1"/>
  <c r="X6461" i="15"/>
  <c r="Y6460" i="15" s="1"/>
  <c r="X6462" i="15"/>
  <c r="Y6461" i="15" s="1"/>
  <c r="X6463" i="15"/>
  <c r="Y6462" i="15" s="1"/>
  <c r="X6464" i="15"/>
  <c r="Y6463" i="15" s="1"/>
  <c r="X6465" i="15"/>
  <c r="Y6464" i="15" s="1"/>
  <c r="X6466" i="15"/>
  <c r="Y6465" i="15" s="1"/>
  <c r="X6467" i="15"/>
  <c r="Y6466" i="15" s="1"/>
  <c r="X6468" i="15"/>
  <c r="Y6467" i="15" s="1"/>
  <c r="X6469" i="15"/>
  <c r="Y6468" i="15" s="1"/>
  <c r="X6470" i="15"/>
  <c r="Y6469" i="15" s="1"/>
  <c r="X6471" i="15"/>
  <c r="Y6470" i="15" s="1"/>
  <c r="X6472" i="15"/>
  <c r="Y6471" i="15" s="1"/>
  <c r="X6473" i="15"/>
  <c r="Y6472" i="15" s="1"/>
  <c r="X6474" i="15"/>
  <c r="Y6473" i="15" s="1"/>
  <c r="X6475" i="15"/>
  <c r="Y6474" i="15" s="1"/>
  <c r="X6476" i="15"/>
  <c r="Y6475" i="15" s="1"/>
  <c r="X6477" i="15"/>
  <c r="Y6476" i="15" s="1"/>
  <c r="X6478" i="15"/>
  <c r="Y6477" i="15" s="1"/>
  <c r="X6479" i="15"/>
  <c r="Y6478" i="15" s="1"/>
  <c r="X6480" i="15"/>
  <c r="Y6479" i="15" s="1"/>
  <c r="X6481" i="15"/>
  <c r="Y6480" i="15" s="1"/>
  <c r="X6482" i="15"/>
  <c r="Y6481" i="15" s="1"/>
  <c r="X6483" i="15"/>
  <c r="Y6482" i="15" s="1"/>
  <c r="X6484" i="15"/>
  <c r="Y6483" i="15" s="1"/>
  <c r="X6485" i="15"/>
  <c r="Y6484" i="15" s="1"/>
  <c r="X6486" i="15"/>
  <c r="Y6485" i="15" s="1"/>
  <c r="X6487" i="15"/>
  <c r="Y6486" i="15" s="1"/>
  <c r="X6488" i="15"/>
  <c r="Y6487" i="15" s="1"/>
  <c r="X6489" i="15"/>
  <c r="Y6488" i="15" s="1"/>
  <c r="X6490" i="15"/>
  <c r="Y6489" i="15" s="1"/>
  <c r="X6491" i="15"/>
  <c r="Y6490" i="15" s="1"/>
  <c r="X6492" i="15"/>
  <c r="Y6491" i="15" s="1"/>
  <c r="X6493" i="15"/>
  <c r="Y6492" i="15" s="1"/>
  <c r="X6494" i="15"/>
  <c r="Y6493" i="15" s="1"/>
  <c r="X6495" i="15"/>
  <c r="Y6494" i="15" s="1"/>
  <c r="X6496" i="15"/>
  <c r="Y6495" i="15" s="1"/>
  <c r="X6497" i="15"/>
  <c r="Y6496" i="15" s="1"/>
  <c r="X6498" i="15"/>
  <c r="Y6497" i="15" s="1"/>
  <c r="X6499" i="15"/>
  <c r="Y6498" i="15" s="1"/>
  <c r="X6500" i="15"/>
  <c r="Y6499" i="15" s="1"/>
  <c r="X6501" i="15"/>
  <c r="Y6500" i="15" s="1"/>
  <c r="X6502" i="15"/>
  <c r="Y6501" i="15" s="1"/>
  <c r="X6503" i="15"/>
  <c r="Y6502" i="15" s="1"/>
  <c r="X6504" i="15"/>
  <c r="Y6503" i="15" s="1"/>
  <c r="X6505" i="15"/>
  <c r="Y6504" i="15" s="1"/>
  <c r="X6506" i="15"/>
  <c r="Y6505" i="15" s="1"/>
  <c r="X6507" i="15"/>
  <c r="Y6506" i="15" s="1"/>
  <c r="X6508" i="15"/>
  <c r="Y6507" i="15" s="1"/>
  <c r="X6509" i="15"/>
  <c r="Y6508" i="15" s="1"/>
  <c r="X6510" i="15"/>
  <c r="Y6509" i="15" s="1"/>
  <c r="X6511" i="15"/>
  <c r="Y6510" i="15" s="1"/>
  <c r="X6512" i="15"/>
  <c r="Y6511" i="15" s="1"/>
  <c r="X6513" i="15"/>
  <c r="Y6512" i="15" s="1"/>
  <c r="X6514" i="15"/>
  <c r="Y6513" i="15" s="1"/>
  <c r="X6515" i="15"/>
  <c r="Y6514" i="15" s="1"/>
  <c r="X6516" i="15"/>
  <c r="Y6515" i="15" s="1"/>
  <c r="X6517" i="15"/>
  <c r="Y6516" i="15" s="1"/>
  <c r="X6518" i="15"/>
  <c r="Y6517" i="15" s="1"/>
  <c r="X6519" i="15"/>
  <c r="Y6518" i="15" s="1"/>
  <c r="X6520" i="15"/>
  <c r="Y6519" i="15" s="1"/>
  <c r="X6521" i="15"/>
  <c r="Y6520" i="15" s="1"/>
  <c r="X6522" i="15"/>
  <c r="Y6521" i="15" s="1"/>
  <c r="X6523" i="15"/>
  <c r="Y6522" i="15" s="1"/>
  <c r="X6524" i="15"/>
  <c r="Y6523" i="15" s="1"/>
  <c r="X6525" i="15"/>
  <c r="Y6524" i="15" s="1"/>
  <c r="X6526" i="15"/>
  <c r="Y6525" i="15" s="1"/>
  <c r="X6527" i="15"/>
  <c r="Y6526" i="15" s="1"/>
  <c r="X6528" i="15"/>
  <c r="Y6527" i="15" s="1"/>
  <c r="X6529" i="15"/>
  <c r="Y6528" i="15" s="1"/>
  <c r="X6530" i="15"/>
  <c r="Y6529" i="15" s="1"/>
  <c r="X6531" i="15"/>
  <c r="Y6530" i="15" s="1"/>
  <c r="X6532" i="15"/>
  <c r="Y6531" i="15" s="1"/>
  <c r="X6533" i="15"/>
  <c r="Y6532" i="15" s="1"/>
  <c r="X6534" i="15"/>
  <c r="Y6533" i="15" s="1"/>
  <c r="X6535" i="15"/>
  <c r="Y6534" i="15" s="1"/>
  <c r="X6536" i="15"/>
  <c r="Y6535" i="15" s="1"/>
  <c r="X6537" i="15"/>
  <c r="Y6536" i="15" s="1"/>
  <c r="X6538" i="15"/>
  <c r="Y6537" i="15" s="1"/>
  <c r="X6539" i="15"/>
  <c r="Y6538" i="15" s="1"/>
  <c r="X6540" i="15"/>
  <c r="Y6539" i="15" s="1"/>
  <c r="X6541" i="15"/>
  <c r="Y6540" i="15" s="1"/>
  <c r="X6542" i="15"/>
  <c r="Y6541" i="15" s="1"/>
  <c r="X6543" i="15"/>
  <c r="Y6542" i="15" s="1"/>
  <c r="X6544" i="15"/>
  <c r="Y6543" i="15" s="1"/>
  <c r="X6545" i="15"/>
  <c r="Y6544" i="15" s="1"/>
  <c r="X6546" i="15"/>
  <c r="Y6545" i="15" s="1"/>
  <c r="X6547" i="15"/>
  <c r="Y6546" i="15" s="1"/>
  <c r="X6548" i="15"/>
  <c r="Y6547" i="15" s="1"/>
  <c r="X6549" i="15"/>
  <c r="Y6548" i="15" s="1"/>
  <c r="X6550" i="15"/>
  <c r="Y6549" i="15" s="1"/>
  <c r="X6551" i="15"/>
  <c r="Y6550" i="15" s="1"/>
  <c r="X6552" i="15"/>
  <c r="Y6551" i="15" s="1"/>
  <c r="X6553" i="15"/>
  <c r="Y6552" i="15" s="1"/>
  <c r="X6554" i="15"/>
  <c r="Y6553" i="15" s="1"/>
  <c r="X6555" i="15"/>
  <c r="Y6554" i="15" s="1"/>
  <c r="X6556" i="15"/>
  <c r="Y6555" i="15" s="1"/>
  <c r="X6557" i="15"/>
  <c r="Y6556" i="15" s="1"/>
  <c r="X6558" i="15"/>
  <c r="Y6557" i="15" s="1"/>
  <c r="X6559" i="15"/>
  <c r="Y6558" i="15" s="1"/>
  <c r="X6560" i="15"/>
  <c r="Y6559" i="15" s="1"/>
  <c r="X6561" i="15"/>
  <c r="Y6560" i="15" s="1"/>
  <c r="X6562" i="15"/>
  <c r="Y6561" i="15" s="1"/>
  <c r="X6563" i="15"/>
  <c r="Y6562" i="15" s="1"/>
  <c r="X6564" i="15"/>
  <c r="Y6563" i="15" s="1"/>
  <c r="X6565" i="15"/>
  <c r="Y6564" i="15" s="1"/>
  <c r="X6566" i="15"/>
  <c r="Y6565" i="15" s="1"/>
  <c r="X6567" i="15"/>
  <c r="Y6566" i="15" s="1"/>
  <c r="X6568" i="15"/>
  <c r="Y6567" i="15" s="1"/>
  <c r="X6569" i="15"/>
  <c r="Y6568" i="15" s="1"/>
  <c r="X6570" i="15"/>
  <c r="Y6569" i="15" s="1"/>
  <c r="X6571" i="15"/>
  <c r="Y6570" i="15" s="1"/>
  <c r="X6572" i="15"/>
  <c r="Y6571" i="15" s="1"/>
  <c r="X6573" i="15"/>
  <c r="Y6572" i="15" s="1"/>
  <c r="X6574" i="15"/>
  <c r="Y6573" i="15" s="1"/>
  <c r="X6575" i="15"/>
  <c r="Y6574" i="15" s="1"/>
  <c r="X6576" i="15"/>
  <c r="Y6575" i="15" s="1"/>
  <c r="X6577" i="15"/>
  <c r="Y6576" i="15" s="1"/>
  <c r="X6578" i="15"/>
  <c r="Y6577" i="15" s="1"/>
  <c r="X6579" i="15"/>
  <c r="Y6578" i="15" s="1"/>
  <c r="X6580" i="15"/>
  <c r="Y6579" i="15" s="1"/>
  <c r="X6581" i="15"/>
  <c r="Y6580" i="15" s="1"/>
  <c r="X6582" i="15"/>
  <c r="Y6581" i="15" s="1"/>
  <c r="X6583" i="15"/>
  <c r="Y6582" i="15" s="1"/>
  <c r="X6584" i="15"/>
  <c r="Y6583" i="15" s="1"/>
  <c r="X6585" i="15"/>
  <c r="Y6584" i="15" s="1"/>
  <c r="X6586" i="15"/>
  <c r="Y6585" i="15" s="1"/>
  <c r="X6587" i="15"/>
  <c r="Y6586" i="15" s="1"/>
  <c r="X6588" i="15"/>
  <c r="Y6587" i="15" s="1"/>
  <c r="X6589" i="15"/>
  <c r="Y6588" i="15" s="1"/>
  <c r="X6590" i="15"/>
  <c r="Y6589" i="15" s="1"/>
  <c r="X6591" i="15"/>
  <c r="Y6590" i="15" s="1"/>
  <c r="X6592" i="15"/>
  <c r="Y6591" i="15" s="1"/>
  <c r="X6593" i="15"/>
  <c r="Y6592" i="15" s="1"/>
  <c r="X6594" i="15"/>
  <c r="Y6593" i="15" s="1"/>
  <c r="X6595" i="15"/>
  <c r="Y6594" i="15" s="1"/>
  <c r="X6596" i="15"/>
  <c r="Y6595" i="15" s="1"/>
  <c r="X6597" i="15"/>
  <c r="Y6596" i="15" s="1"/>
  <c r="X6598" i="15"/>
  <c r="Y6597" i="15" s="1"/>
  <c r="X6599" i="15"/>
  <c r="Y6598" i="15" s="1"/>
  <c r="X6600" i="15"/>
  <c r="Y6599" i="15" s="1"/>
  <c r="X6601" i="15"/>
  <c r="Y6600" i="15" s="1"/>
  <c r="X6602" i="15"/>
  <c r="Y6601" i="15" s="1"/>
  <c r="X6603" i="15"/>
  <c r="Y6602" i="15" s="1"/>
  <c r="X6604" i="15"/>
  <c r="Y6603" i="15" s="1"/>
  <c r="X6605" i="15"/>
  <c r="Y6604" i="15" s="1"/>
  <c r="X6606" i="15"/>
  <c r="Y6605" i="15" s="1"/>
  <c r="X6607" i="15"/>
  <c r="Y6606" i="15" s="1"/>
  <c r="X6608" i="15"/>
  <c r="Y6607" i="15" s="1"/>
  <c r="X6609" i="15"/>
  <c r="Y6608" i="15" s="1"/>
  <c r="X6610" i="15"/>
  <c r="Y6609" i="15" s="1"/>
  <c r="X6611" i="15"/>
  <c r="Y6610" i="15" s="1"/>
  <c r="X6612" i="15"/>
  <c r="Y6611" i="15" s="1"/>
  <c r="X6613" i="15"/>
  <c r="Y6612" i="15" s="1"/>
  <c r="X6614" i="15"/>
  <c r="Y6613" i="15" s="1"/>
  <c r="X6615" i="15"/>
  <c r="Y6614" i="15" s="1"/>
  <c r="X6616" i="15"/>
  <c r="Y6615" i="15" s="1"/>
  <c r="X6617" i="15"/>
  <c r="Y6616" i="15" s="1"/>
  <c r="X6618" i="15"/>
  <c r="Y6617" i="15" s="1"/>
  <c r="X6619" i="15"/>
  <c r="Y6618" i="15" s="1"/>
  <c r="X6620" i="15"/>
  <c r="Y6619" i="15" s="1"/>
  <c r="X6621" i="15"/>
  <c r="Y6620" i="15" s="1"/>
  <c r="X6622" i="15"/>
  <c r="Y6621" i="15" s="1"/>
  <c r="X6623" i="15"/>
  <c r="Y6622" i="15" s="1"/>
  <c r="X6624" i="15"/>
  <c r="Y6623" i="15" s="1"/>
  <c r="X6625" i="15"/>
  <c r="Y6624" i="15" s="1"/>
  <c r="X6626" i="15"/>
  <c r="Y6625" i="15" s="1"/>
  <c r="X6627" i="15"/>
  <c r="Y6626" i="15" s="1"/>
  <c r="X6628" i="15"/>
  <c r="Y6627" i="15" s="1"/>
  <c r="X6629" i="15"/>
  <c r="Y6628" i="15" s="1"/>
  <c r="X6630" i="15"/>
  <c r="Y6629" i="15" s="1"/>
  <c r="X6631" i="15"/>
  <c r="Y6630" i="15" s="1"/>
  <c r="X6632" i="15"/>
  <c r="Y6631" i="15" s="1"/>
  <c r="X6633" i="15"/>
  <c r="Y6632" i="15" s="1"/>
  <c r="X6634" i="15"/>
  <c r="Y6633" i="15" s="1"/>
  <c r="X6635" i="15"/>
  <c r="Y6634" i="15" s="1"/>
  <c r="X6636" i="15"/>
  <c r="Y6635" i="15" s="1"/>
  <c r="X6637" i="15"/>
  <c r="Y6636" i="15" s="1"/>
  <c r="X6638" i="15"/>
  <c r="Y6637" i="15" s="1"/>
  <c r="X6639" i="15"/>
  <c r="Y6638" i="15" s="1"/>
  <c r="X6640" i="15"/>
  <c r="Y6639" i="15" s="1"/>
  <c r="X6641" i="15"/>
  <c r="Y6640" i="15" s="1"/>
  <c r="X6642" i="15"/>
  <c r="Y6641" i="15" s="1"/>
  <c r="X6643" i="15"/>
  <c r="Y6642" i="15" s="1"/>
  <c r="X6644" i="15"/>
  <c r="Y6643" i="15" s="1"/>
  <c r="X6645" i="15"/>
  <c r="Y6644" i="15" s="1"/>
  <c r="X6646" i="15"/>
  <c r="Y6645" i="15" s="1"/>
  <c r="X6647" i="15"/>
  <c r="Y6646" i="15" s="1"/>
  <c r="X6648" i="15"/>
  <c r="Y6647" i="15" s="1"/>
  <c r="X6649" i="15"/>
  <c r="Y6648" i="15" s="1"/>
  <c r="X6650" i="15"/>
  <c r="Y6649" i="15" s="1"/>
  <c r="X6651" i="15"/>
  <c r="Y6650" i="15" s="1"/>
  <c r="X6652" i="15"/>
  <c r="Y6651" i="15" s="1"/>
  <c r="X6653" i="15"/>
  <c r="Y6652" i="15" s="1"/>
  <c r="X6654" i="15"/>
  <c r="Y6653" i="15" s="1"/>
  <c r="X6655" i="15"/>
  <c r="Y6654" i="15" s="1"/>
  <c r="X6656" i="15"/>
  <c r="Y6655" i="15" s="1"/>
  <c r="X6657" i="15"/>
  <c r="Y6656" i="15" s="1"/>
  <c r="X6658" i="15"/>
  <c r="Y6657" i="15" s="1"/>
  <c r="X6659" i="15"/>
  <c r="Y6658" i="15" s="1"/>
  <c r="X6660" i="15"/>
  <c r="Y6659" i="15" s="1"/>
  <c r="X6661" i="15"/>
  <c r="Y6660" i="15" s="1"/>
  <c r="X6662" i="15"/>
  <c r="Y6661" i="15" s="1"/>
  <c r="X6663" i="15"/>
  <c r="Y6662" i="15" s="1"/>
  <c r="X6664" i="15"/>
  <c r="Y6663" i="15" s="1"/>
  <c r="X6665" i="15"/>
  <c r="Y6664" i="15" s="1"/>
  <c r="X6666" i="15"/>
  <c r="Y6665" i="15" s="1"/>
  <c r="X6667" i="15"/>
  <c r="Y6666" i="15" s="1"/>
  <c r="X6668" i="15"/>
  <c r="Y6667" i="15" s="1"/>
  <c r="X6669" i="15"/>
  <c r="Y6668" i="15" s="1"/>
  <c r="X6670" i="15"/>
  <c r="Y6669" i="15" s="1"/>
  <c r="X6671" i="15"/>
  <c r="Y6670" i="15" s="1"/>
  <c r="X6672" i="15"/>
  <c r="Y6671" i="15" s="1"/>
  <c r="X6673" i="15"/>
  <c r="Y6672" i="15" s="1"/>
  <c r="X6674" i="15"/>
  <c r="Y6673" i="15" s="1"/>
  <c r="X6675" i="15"/>
  <c r="Y6674" i="15" s="1"/>
  <c r="X6676" i="15"/>
  <c r="Y6675" i="15" s="1"/>
  <c r="X6677" i="15"/>
  <c r="Y6676" i="15" s="1"/>
  <c r="X6678" i="15"/>
  <c r="Y6677" i="15" s="1"/>
  <c r="X6679" i="15"/>
  <c r="Y6678" i="15" s="1"/>
  <c r="X6680" i="15"/>
  <c r="Y6679" i="15" s="1"/>
  <c r="X6681" i="15"/>
  <c r="Y6680" i="15" s="1"/>
  <c r="X6682" i="15"/>
  <c r="Y6681" i="15" s="1"/>
  <c r="X6683" i="15"/>
  <c r="Y6682" i="15" s="1"/>
  <c r="X6684" i="15"/>
  <c r="Y6683" i="15" s="1"/>
  <c r="X6685" i="15"/>
  <c r="Y6684" i="15" s="1"/>
  <c r="X6686" i="15"/>
  <c r="Y6685" i="15" s="1"/>
  <c r="X6687" i="15"/>
  <c r="Y6686" i="15" s="1"/>
  <c r="X6688" i="15"/>
  <c r="Y6687" i="15" s="1"/>
  <c r="X6689" i="15"/>
  <c r="Y6688" i="15" s="1"/>
  <c r="X6690" i="15"/>
  <c r="Y6689" i="15" s="1"/>
  <c r="X6691" i="15"/>
  <c r="Y6690" i="15" s="1"/>
  <c r="X6692" i="15"/>
  <c r="Y6691" i="15" s="1"/>
  <c r="X6693" i="15"/>
  <c r="Y6692" i="15" s="1"/>
  <c r="X6694" i="15"/>
  <c r="Y6693" i="15" s="1"/>
  <c r="X6695" i="15"/>
  <c r="Y6694" i="15" s="1"/>
  <c r="X6696" i="15"/>
  <c r="Y6695" i="15" s="1"/>
  <c r="X6697" i="15"/>
  <c r="Y6696" i="15" s="1"/>
  <c r="X6698" i="15"/>
  <c r="Y6697" i="15" s="1"/>
  <c r="X6699" i="15"/>
  <c r="Y6698" i="15" s="1"/>
  <c r="X6700" i="15"/>
  <c r="Y6699" i="15" s="1"/>
  <c r="X6701" i="15"/>
  <c r="Y6700" i="15" s="1"/>
  <c r="X6702" i="15"/>
  <c r="Y6701" i="15" s="1"/>
  <c r="X6703" i="15"/>
  <c r="Y6702" i="15" s="1"/>
  <c r="X6704" i="15"/>
  <c r="Y6703" i="15" s="1"/>
  <c r="X6705" i="15"/>
  <c r="Y6704" i="15" s="1"/>
  <c r="X6706" i="15"/>
  <c r="Y6705" i="15" s="1"/>
  <c r="X6707" i="15"/>
  <c r="Y6706" i="15" s="1"/>
  <c r="X6708" i="15"/>
  <c r="Y6707" i="15" s="1"/>
  <c r="X6709" i="15"/>
  <c r="Y6708" i="15" s="1"/>
  <c r="X6710" i="15"/>
  <c r="Y6709" i="15" s="1"/>
  <c r="X6711" i="15"/>
  <c r="Y6710" i="15" s="1"/>
  <c r="X6712" i="15"/>
  <c r="Y6711" i="15" s="1"/>
  <c r="X6713" i="15"/>
  <c r="Y6712" i="15" s="1"/>
  <c r="X6714" i="15"/>
  <c r="Y6713" i="15" s="1"/>
  <c r="X6715" i="15"/>
  <c r="Y6714" i="15" s="1"/>
  <c r="X6716" i="15"/>
  <c r="Y6715" i="15" s="1"/>
  <c r="X6717" i="15"/>
  <c r="Y6716" i="15" s="1"/>
  <c r="X6718" i="15"/>
  <c r="Y6717" i="15" s="1"/>
  <c r="X6719" i="15"/>
  <c r="Y6718" i="15" s="1"/>
  <c r="X6720" i="15"/>
  <c r="Y6719" i="15" s="1"/>
  <c r="X6721" i="15"/>
  <c r="Y6720" i="15" s="1"/>
  <c r="X6722" i="15"/>
  <c r="Y6721" i="15" s="1"/>
  <c r="X6723" i="15"/>
  <c r="Y6722" i="15" s="1"/>
  <c r="X6724" i="15"/>
  <c r="Y6723" i="15" s="1"/>
  <c r="X6725" i="15"/>
  <c r="Y6724" i="15" s="1"/>
  <c r="X6726" i="15"/>
  <c r="Y6725" i="15" s="1"/>
  <c r="X6727" i="15"/>
  <c r="Y6726" i="15" s="1"/>
  <c r="X6728" i="15"/>
  <c r="Y6727" i="15" s="1"/>
  <c r="X6729" i="15"/>
  <c r="Y6728" i="15" s="1"/>
  <c r="X6730" i="15"/>
  <c r="Y6729" i="15" s="1"/>
  <c r="X6731" i="15"/>
  <c r="Y6730" i="15" s="1"/>
  <c r="X6732" i="15"/>
  <c r="Y6731" i="15" s="1"/>
  <c r="X6733" i="15"/>
  <c r="Y6732" i="15" s="1"/>
  <c r="X6734" i="15"/>
  <c r="Y6733" i="15" s="1"/>
  <c r="X6735" i="15"/>
  <c r="Y6734" i="15" s="1"/>
  <c r="X6736" i="15"/>
  <c r="Y6735" i="15" s="1"/>
  <c r="X6737" i="15"/>
  <c r="Y6736" i="15" s="1"/>
  <c r="X6738" i="15"/>
  <c r="Y6737" i="15" s="1"/>
  <c r="X6739" i="15"/>
  <c r="Y6738" i="15" s="1"/>
  <c r="X6740" i="15"/>
  <c r="Y6739" i="15" s="1"/>
  <c r="X6741" i="15"/>
  <c r="Y6740" i="15" s="1"/>
  <c r="X6742" i="15"/>
  <c r="Y6741" i="15" s="1"/>
  <c r="X6743" i="15"/>
  <c r="Y6742" i="15" s="1"/>
  <c r="X6744" i="15"/>
  <c r="Y6743" i="15" s="1"/>
  <c r="X6745" i="15"/>
  <c r="Y6744" i="15" s="1"/>
  <c r="X6746" i="15"/>
  <c r="Y6745" i="15" s="1"/>
  <c r="X6747" i="15"/>
  <c r="Y6746" i="15" s="1"/>
  <c r="X6748" i="15"/>
  <c r="Y6747" i="15" s="1"/>
  <c r="X6749" i="15"/>
  <c r="Y6748" i="15" s="1"/>
  <c r="X6750" i="15"/>
  <c r="Y6749" i="15" s="1"/>
  <c r="X6751" i="15"/>
  <c r="Y6750" i="15" s="1"/>
  <c r="X6752" i="15"/>
  <c r="Y6751" i="15" s="1"/>
  <c r="X6753" i="15"/>
  <c r="Y6752" i="15" s="1"/>
  <c r="X6754" i="15"/>
  <c r="Y6753" i="15" s="1"/>
  <c r="X6755" i="15"/>
  <c r="Y6754" i="15" s="1"/>
  <c r="X6756" i="15"/>
  <c r="Y6755" i="15" s="1"/>
  <c r="X6757" i="15"/>
  <c r="Y6756" i="15" s="1"/>
  <c r="X6758" i="15"/>
  <c r="Y6757" i="15" s="1"/>
  <c r="X6759" i="15"/>
  <c r="Y6758" i="15" s="1"/>
  <c r="X6760" i="15"/>
  <c r="Y6759" i="15" s="1"/>
  <c r="X6761" i="15"/>
  <c r="Y6760" i="15" s="1"/>
  <c r="X6762" i="15"/>
  <c r="Y6761" i="15" s="1"/>
  <c r="X6763" i="15"/>
  <c r="Y6762" i="15" s="1"/>
  <c r="X6764" i="15"/>
  <c r="Y6763" i="15" s="1"/>
  <c r="X6765" i="15"/>
  <c r="Y6764" i="15" s="1"/>
  <c r="X6766" i="15"/>
  <c r="Y6765" i="15" s="1"/>
  <c r="X6767" i="15"/>
  <c r="Y6766" i="15" s="1"/>
  <c r="X6768" i="15"/>
  <c r="Y6767" i="15" s="1"/>
  <c r="X6769" i="15"/>
  <c r="Y6768" i="15" s="1"/>
  <c r="X6770" i="15"/>
  <c r="Y6769" i="15" s="1"/>
  <c r="X6771" i="15"/>
  <c r="Y6770" i="15" s="1"/>
  <c r="X6772" i="15"/>
  <c r="Y6771" i="15" s="1"/>
  <c r="X6773" i="15"/>
  <c r="Y6772" i="15" s="1"/>
  <c r="X6774" i="15"/>
  <c r="Y6773" i="15" s="1"/>
  <c r="X6775" i="15"/>
  <c r="Y6774" i="15" s="1"/>
  <c r="X6776" i="15"/>
  <c r="Y6775" i="15" s="1"/>
  <c r="X6777" i="15"/>
  <c r="Y6776" i="15" s="1"/>
  <c r="X6778" i="15"/>
  <c r="Y6777" i="15" s="1"/>
  <c r="X6779" i="15"/>
  <c r="Y6778" i="15" s="1"/>
  <c r="X6780" i="15"/>
  <c r="Y6779" i="15" s="1"/>
  <c r="X6781" i="15"/>
  <c r="Y6780" i="15" s="1"/>
  <c r="X6782" i="15"/>
  <c r="Y6781" i="15" s="1"/>
  <c r="X6783" i="15"/>
  <c r="Y6782" i="15" s="1"/>
  <c r="X6784" i="15"/>
  <c r="Y6783" i="15" s="1"/>
  <c r="X6785" i="15"/>
  <c r="Y6784" i="15" s="1"/>
  <c r="X6786" i="15"/>
  <c r="Y6785" i="15" s="1"/>
  <c r="X6787" i="15"/>
  <c r="Y6786" i="15" s="1"/>
  <c r="X6788" i="15"/>
  <c r="Y6787" i="15" s="1"/>
  <c r="X6789" i="15"/>
  <c r="Y6788" i="15" s="1"/>
  <c r="X6790" i="15"/>
  <c r="Y6789" i="15" s="1"/>
  <c r="X6791" i="15"/>
  <c r="Y6790" i="15" s="1"/>
  <c r="X6792" i="15"/>
  <c r="Y6791" i="15" s="1"/>
  <c r="X6793" i="15"/>
  <c r="Y6792" i="15" s="1"/>
  <c r="X6794" i="15"/>
  <c r="Y6793" i="15" s="1"/>
  <c r="X6795" i="15"/>
  <c r="Y6794" i="15" s="1"/>
  <c r="X6796" i="15"/>
  <c r="Y6795" i="15" s="1"/>
  <c r="X6797" i="15"/>
  <c r="Y6796" i="15" s="1"/>
  <c r="X6798" i="15"/>
  <c r="Y6797" i="15" s="1"/>
  <c r="X6799" i="15"/>
  <c r="Y6798" i="15" s="1"/>
  <c r="X6800" i="15"/>
  <c r="Y6799" i="15" s="1"/>
  <c r="X6801" i="15"/>
  <c r="Y6800" i="15" s="1"/>
  <c r="X6802" i="15"/>
  <c r="Y6801" i="15" s="1"/>
  <c r="X6803" i="15"/>
  <c r="Y6802" i="15" s="1"/>
  <c r="X6804" i="15"/>
  <c r="Y6803" i="15" s="1"/>
  <c r="X6805" i="15"/>
  <c r="Y6804" i="15" s="1"/>
  <c r="X6806" i="15"/>
  <c r="Y6805" i="15" s="1"/>
  <c r="X6807" i="15"/>
  <c r="Y6806" i="15" s="1"/>
  <c r="X6808" i="15"/>
  <c r="Y6807" i="15" s="1"/>
  <c r="X6809" i="15"/>
  <c r="Y6808" i="15" s="1"/>
  <c r="X6810" i="15"/>
  <c r="Y6809" i="15" s="1"/>
  <c r="X6811" i="15"/>
  <c r="Y6810" i="15" s="1"/>
  <c r="X6812" i="15"/>
  <c r="Y6811" i="15" s="1"/>
  <c r="X6813" i="15"/>
  <c r="Y6812" i="15" s="1"/>
  <c r="X6814" i="15"/>
  <c r="Y6813" i="15" s="1"/>
  <c r="X6815" i="15"/>
  <c r="Y6814" i="15" s="1"/>
  <c r="X6816" i="15"/>
  <c r="Y6815" i="15" s="1"/>
  <c r="X6817" i="15"/>
  <c r="Y6816" i="15" s="1"/>
  <c r="X6818" i="15"/>
  <c r="Y6817" i="15" s="1"/>
  <c r="X6819" i="15"/>
  <c r="Y6818" i="15" s="1"/>
  <c r="X6820" i="15"/>
  <c r="Y6819" i="15" s="1"/>
  <c r="X6821" i="15"/>
  <c r="Y6820" i="15" s="1"/>
  <c r="X6822" i="15"/>
  <c r="Y6821" i="15" s="1"/>
  <c r="X6823" i="15"/>
  <c r="Y6822" i="15" s="1"/>
  <c r="X6824" i="15"/>
  <c r="Y6823" i="15" s="1"/>
  <c r="X6825" i="15"/>
  <c r="Y6824" i="15" s="1"/>
  <c r="X6826" i="15"/>
  <c r="Y6825" i="15" s="1"/>
  <c r="X6827" i="15"/>
  <c r="Y6826" i="15" s="1"/>
  <c r="X6828" i="15"/>
  <c r="Y6827" i="15" s="1"/>
  <c r="X6829" i="15"/>
  <c r="Y6828" i="15" s="1"/>
  <c r="X6830" i="15"/>
  <c r="Y6829" i="15" s="1"/>
  <c r="X6831" i="15"/>
  <c r="Y6830" i="15" s="1"/>
  <c r="X6832" i="15"/>
  <c r="Y6831" i="15" s="1"/>
  <c r="X6833" i="15"/>
  <c r="Y6832" i="15" s="1"/>
  <c r="X6834" i="15"/>
  <c r="Y6833" i="15" s="1"/>
  <c r="X6835" i="15"/>
  <c r="Y6834" i="15" s="1"/>
  <c r="X6836" i="15"/>
  <c r="Y6835" i="15" s="1"/>
  <c r="X6837" i="15"/>
  <c r="Y6836" i="15" s="1"/>
  <c r="X6838" i="15"/>
  <c r="Y6837" i="15" s="1"/>
  <c r="X6839" i="15"/>
  <c r="Y6838" i="15" s="1"/>
  <c r="X6840" i="15"/>
  <c r="Y6839" i="15" s="1"/>
  <c r="X6841" i="15"/>
  <c r="Y6840" i="15" s="1"/>
  <c r="X6842" i="15"/>
  <c r="Y6841" i="15" s="1"/>
  <c r="X6843" i="15"/>
  <c r="Y6842" i="15" s="1"/>
  <c r="X6844" i="15"/>
  <c r="Y6843" i="15" s="1"/>
  <c r="X6845" i="15"/>
  <c r="Y6844" i="15" s="1"/>
  <c r="X6846" i="15"/>
  <c r="Y6845" i="15" s="1"/>
  <c r="X6847" i="15"/>
  <c r="Y6846" i="15" s="1"/>
  <c r="X6848" i="15"/>
  <c r="Y6847" i="15" s="1"/>
  <c r="X6849" i="15"/>
  <c r="Y6848" i="15" s="1"/>
  <c r="X6850" i="15"/>
  <c r="Y6849" i="15" s="1"/>
  <c r="X6851" i="15"/>
  <c r="Y6850" i="15" s="1"/>
  <c r="X6852" i="15"/>
  <c r="Y6851" i="15" s="1"/>
  <c r="X6853" i="15"/>
  <c r="Y6852" i="15" s="1"/>
  <c r="X6854" i="15"/>
  <c r="Y6853" i="15" s="1"/>
  <c r="X6855" i="15"/>
  <c r="Y6854" i="15" s="1"/>
  <c r="X6856" i="15"/>
  <c r="Y6855" i="15" s="1"/>
  <c r="X6857" i="15"/>
  <c r="Y6856" i="15" s="1"/>
  <c r="X6858" i="15"/>
  <c r="Y6857" i="15" s="1"/>
  <c r="X6859" i="15"/>
  <c r="Y6858" i="15" s="1"/>
  <c r="X6860" i="15"/>
  <c r="Y6859" i="15" s="1"/>
  <c r="X6861" i="15"/>
  <c r="Y6860" i="15" s="1"/>
  <c r="X6862" i="15"/>
  <c r="Y6861" i="15" s="1"/>
  <c r="X6863" i="15"/>
  <c r="Y6862" i="15" s="1"/>
  <c r="X6864" i="15"/>
  <c r="Y6863" i="15" s="1"/>
  <c r="X6865" i="15"/>
  <c r="Y6864" i="15" s="1"/>
  <c r="X6866" i="15"/>
  <c r="Y6865" i="15" s="1"/>
  <c r="X6867" i="15"/>
  <c r="Y6866" i="15" s="1"/>
  <c r="X6868" i="15"/>
  <c r="Y6867" i="15" s="1"/>
  <c r="X6869" i="15"/>
  <c r="Y6868" i="15" s="1"/>
  <c r="X6870" i="15"/>
  <c r="Y6869" i="15" s="1"/>
  <c r="X6871" i="15"/>
  <c r="Y6870" i="15" s="1"/>
  <c r="X6872" i="15"/>
  <c r="Y6871" i="15" s="1"/>
  <c r="X6873" i="15"/>
  <c r="Y6872" i="15" s="1"/>
  <c r="X6874" i="15"/>
  <c r="Y6873" i="15" s="1"/>
  <c r="X6875" i="15"/>
  <c r="Y6874" i="15" s="1"/>
  <c r="X6876" i="15"/>
  <c r="Y6875" i="15" s="1"/>
  <c r="X6877" i="15"/>
  <c r="Y6876" i="15" s="1"/>
  <c r="X6878" i="15"/>
  <c r="Y6877" i="15" s="1"/>
  <c r="X6879" i="15"/>
  <c r="Y6878" i="15" s="1"/>
  <c r="X6880" i="15"/>
  <c r="Y6879" i="15" s="1"/>
  <c r="X6881" i="15"/>
  <c r="Y6880" i="15" s="1"/>
  <c r="X6882" i="15"/>
  <c r="Y6881" i="15" s="1"/>
  <c r="X6883" i="15"/>
  <c r="Y6882" i="15" s="1"/>
  <c r="X6884" i="15"/>
  <c r="Y6883" i="15" s="1"/>
  <c r="X6885" i="15"/>
  <c r="Y6884" i="15" s="1"/>
  <c r="X6886" i="15"/>
  <c r="Y6885" i="15" s="1"/>
  <c r="X6887" i="15"/>
  <c r="Y6886" i="15" s="1"/>
  <c r="X6888" i="15"/>
  <c r="Y6887" i="15" s="1"/>
  <c r="X6889" i="15"/>
  <c r="Y6888" i="15" s="1"/>
  <c r="X6890" i="15"/>
  <c r="Y6889" i="15" s="1"/>
  <c r="X6891" i="15"/>
  <c r="Y6890" i="15" s="1"/>
  <c r="X6892" i="15"/>
  <c r="Y6891" i="15" s="1"/>
  <c r="X6893" i="15"/>
  <c r="Y6892" i="15" s="1"/>
  <c r="X6894" i="15"/>
  <c r="Y6893" i="15" s="1"/>
  <c r="X6895" i="15"/>
  <c r="Y6894" i="15" s="1"/>
  <c r="X6896" i="15"/>
  <c r="Y6895" i="15" s="1"/>
  <c r="X6897" i="15"/>
  <c r="Y6896" i="15" s="1"/>
  <c r="X6898" i="15"/>
  <c r="Y6897" i="15" s="1"/>
  <c r="X6899" i="15"/>
  <c r="Y6898" i="15" s="1"/>
  <c r="X6900" i="15"/>
  <c r="Y6899" i="15" s="1"/>
  <c r="X6901" i="15"/>
  <c r="Y6900" i="15" s="1"/>
  <c r="X6902" i="15"/>
  <c r="Y6901" i="15" s="1"/>
  <c r="X6903" i="15"/>
  <c r="Y6902" i="15" s="1"/>
  <c r="X6904" i="15"/>
  <c r="Y6903" i="15" s="1"/>
  <c r="X6905" i="15"/>
  <c r="Y6904" i="15" s="1"/>
  <c r="X6906" i="15"/>
  <c r="Y6905" i="15" s="1"/>
  <c r="X6907" i="15"/>
  <c r="Y6906" i="15" s="1"/>
  <c r="X6908" i="15"/>
  <c r="Y6907" i="15" s="1"/>
  <c r="X6909" i="15"/>
  <c r="Y6908" i="15" s="1"/>
  <c r="X6910" i="15"/>
  <c r="Y6909" i="15" s="1"/>
  <c r="X6911" i="15"/>
  <c r="Y6910" i="15" s="1"/>
  <c r="X6912" i="15"/>
  <c r="Y6911" i="15" s="1"/>
  <c r="X6913" i="15"/>
  <c r="Y6912" i="15" s="1"/>
  <c r="X6914" i="15"/>
  <c r="Y6913" i="15" s="1"/>
  <c r="X6915" i="15"/>
  <c r="Y6914" i="15" s="1"/>
  <c r="X6916" i="15"/>
  <c r="Y6915" i="15" s="1"/>
  <c r="X6917" i="15"/>
  <c r="Y6916" i="15" s="1"/>
  <c r="X6918" i="15"/>
  <c r="Y6917" i="15" s="1"/>
  <c r="X6919" i="15"/>
  <c r="Y6918" i="15" s="1"/>
  <c r="X6920" i="15"/>
  <c r="Y6919" i="15" s="1"/>
  <c r="X6921" i="15"/>
  <c r="Y6920" i="15" s="1"/>
  <c r="X6922" i="15"/>
  <c r="Y6921" i="15" s="1"/>
  <c r="X6923" i="15"/>
  <c r="Y6922" i="15" s="1"/>
  <c r="X6924" i="15"/>
  <c r="Y6923" i="15" s="1"/>
  <c r="X6925" i="15"/>
  <c r="Y6924" i="15" s="1"/>
  <c r="X6926" i="15"/>
  <c r="Y6925" i="15" s="1"/>
  <c r="X6927" i="15"/>
  <c r="Y6926" i="15" s="1"/>
  <c r="X6928" i="15"/>
  <c r="Y6927" i="15" s="1"/>
  <c r="X6929" i="15"/>
  <c r="Y6928" i="15" s="1"/>
  <c r="X6930" i="15"/>
  <c r="Y6929" i="15" s="1"/>
  <c r="X6931" i="15"/>
  <c r="Y6930" i="15" s="1"/>
  <c r="X6932" i="15"/>
  <c r="Y6931" i="15" s="1"/>
  <c r="X6933" i="15"/>
  <c r="Y6932" i="15" s="1"/>
  <c r="X6934" i="15"/>
  <c r="Y6933" i="15" s="1"/>
  <c r="X6935" i="15"/>
  <c r="Y6934" i="15" s="1"/>
  <c r="X6936" i="15"/>
  <c r="Y6935" i="15" s="1"/>
  <c r="X6937" i="15"/>
  <c r="Y6936" i="15" s="1"/>
  <c r="X6938" i="15"/>
  <c r="Y6937" i="15" s="1"/>
  <c r="X6939" i="15"/>
  <c r="Y6938" i="15" s="1"/>
  <c r="X6940" i="15"/>
  <c r="Y6939" i="15" s="1"/>
  <c r="X6941" i="15"/>
  <c r="Y6940" i="15" s="1"/>
  <c r="X6942" i="15"/>
  <c r="Y6941" i="15" s="1"/>
  <c r="X6943" i="15"/>
  <c r="Y6942" i="15" s="1"/>
  <c r="X6944" i="15"/>
  <c r="Y6943" i="15" s="1"/>
  <c r="X6945" i="15"/>
  <c r="Y6944" i="15" s="1"/>
  <c r="X6946" i="15"/>
  <c r="Y6945" i="15" s="1"/>
  <c r="X6947" i="15"/>
  <c r="Y6946" i="15" s="1"/>
  <c r="X6948" i="15"/>
  <c r="Y6947" i="15" s="1"/>
  <c r="X6949" i="15"/>
  <c r="Y6948" i="15" s="1"/>
  <c r="X6950" i="15"/>
  <c r="Y6949" i="15" s="1"/>
  <c r="X6951" i="15"/>
  <c r="Y6950" i="15" s="1"/>
  <c r="X6952" i="15"/>
  <c r="Y6951" i="15" s="1"/>
  <c r="X6953" i="15"/>
  <c r="Y6952" i="15" s="1"/>
  <c r="X6954" i="15"/>
  <c r="Y6953" i="15" s="1"/>
  <c r="X6955" i="15"/>
  <c r="Y6954" i="15" s="1"/>
  <c r="X6956" i="15"/>
  <c r="Y6955" i="15" s="1"/>
  <c r="X6957" i="15"/>
  <c r="Y6956" i="15" s="1"/>
  <c r="X6958" i="15"/>
  <c r="Y6957" i="15" s="1"/>
  <c r="X6959" i="15"/>
  <c r="Y6958" i="15" s="1"/>
  <c r="X6960" i="15"/>
  <c r="Y6959" i="15" s="1"/>
  <c r="X6961" i="15"/>
  <c r="Y6960" i="15" s="1"/>
  <c r="X6962" i="15"/>
  <c r="Y6961" i="15" s="1"/>
  <c r="X6963" i="15"/>
  <c r="Y6962" i="15" s="1"/>
  <c r="X6964" i="15"/>
  <c r="Y6963" i="15" s="1"/>
  <c r="X6965" i="15"/>
  <c r="Y6964" i="15" s="1"/>
  <c r="X6966" i="15"/>
  <c r="Y6965" i="15" s="1"/>
  <c r="X6967" i="15"/>
  <c r="Y6966" i="15" s="1"/>
  <c r="X6968" i="15"/>
  <c r="Y6967" i="15" s="1"/>
  <c r="X6969" i="15"/>
  <c r="Y6968" i="15" s="1"/>
  <c r="X6970" i="15"/>
  <c r="Y6969" i="15" s="1"/>
  <c r="X6971" i="15"/>
  <c r="Y6970" i="15" s="1"/>
  <c r="X6972" i="15"/>
  <c r="Y6971" i="15" s="1"/>
  <c r="X6973" i="15"/>
  <c r="Y6972" i="15" s="1"/>
  <c r="X6974" i="15"/>
  <c r="Y6973" i="15" s="1"/>
  <c r="X6975" i="15"/>
  <c r="Y6974" i="15" s="1"/>
  <c r="X6976" i="15"/>
  <c r="Y6975" i="15" s="1"/>
  <c r="X6977" i="15"/>
  <c r="Y6976" i="15" s="1"/>
  <c r="X6978" i="15"/>
  <c r="Y6977" i="15" s="1"/>
  <c r="X6979" i="15"/>
  <c r="Y6978" i="15" s="1"/>
  <c r="X6980" i="15"/>
  <c r="Y6979" i="15" s="1"/>
  <c r="X6981" i="15"/>
  <c r="Y6980" i="15" s="1"/>
  <c r="X6982" i="15"/>
  <c r="Y6981" i="15" s="1"/>
  <c r="X6983" i="15"/>
  <c r="Y6982" i="15" s="1"/>
  <c r="X6984" i="15"/>
  <c r="Y6983" i="15" s="1"/>
  <c r="X6985" i="15"/>
  <c r="Y6984" i="15" s="1"/>
  <c r="X6986" i="15"/>
  <c r="Y6985" i="15" s="1"/>
  <c r="X6987" i="15"/>
  <c r="Y6986" i="15" s="1"/>
  <c r="X6988" i="15"/>
  <c r="Y6987" i="15" s="1"/>
  <c r="X6989" i="15"/>
  <c r="Y6988" i="15" s="1"/>
  <c r="X6990" i="15"/>
  <c r="Y6989" i="15" s="1"/>
  <c r="X6991" i="15"/>
  <c r="Y6990" i="15" s="1"/>
  <c r="X6992" i="15"/>
  <c r="Y6991" i="15" s="1"/>
  <c r="X6993" i="15"/>
  <c r="Y6992" i="15" s="1"/>
  <c r="X6994" i="15"/>
  <c r="Y6993" i="15" s="1"/>
  <c r="X6995" i="15"/>
  <c r="Y6994" i="15" s="1"/>
  <c r="X6996" i="15"/>
  <c r="Y6995" i="15" s="1"/>
  <c r="X6997" i="15"/>
  <c r="Y6996" i="15" s="1"/>
  <c r="X6998" i="15"/>
  <c r="Y6997" i="15" s="1"/>
  <c r="X6999" i="15"/>
  <c r="Y6998" i="15" s="1"/>
  <c r="X7000" i="15"/>
  <c r="Y6999" i="15" s="1"/>
  <c r="X7001" i="15"/>
  <c r="Y7000" i="15" s="1"/>
  <c r="X7002" i="15"/>
  <c r="Y7001" i="15" s="1"/>
  <c r="X7003" i="15"/>
  <c r="Y7002" i="15" s="1"/>
  <c r="X7004" i="15"/>
  <c r="Y7003" i="15" s="1"/>
  <c r="X7005" i="15"/>
  <c r="Y7004" i="15" s="1"/>
  <c r="X7006" i="15"/>
  <c r="Y7005" i="15" s="1"/>
  <c r="X7007" i="15"/>
  <c r="Y7006" i="15" s="1"/>
  <c r="X7008" i="15"/>
  <c r="Y7007" i="15" s="1"/>
  <c r="X7009" i="15"/>
  <c r="Y7008" i="15" s="1"/>
  <c r="X7010" i="15"/>
  <c r="Y7009" i="15" s="1"/>
  <c r="X7011" i="15"/>
  <c r="Y7010" i="15" s="1"/>
  <c r="X7012" i="15"/>
  <c r="Y7011" i="15" s="1"/>
  <c r="X7013" i="15"/>
  <c r="Y7012" i="15" s="1"/>
  <c r="X7014" i="15"/>
  <c r="Y7013" i="15" s="1"/>
  <c r="X7015" i="15"/>
  <c r="Y7014" i="15" s="1"/>
  <c r="X7016" i="15"/>
  <c r="Y7015" i="15" s="1"/>
  <c r="X7017" i="15"/>
  <c r="Y7016" i="15" s="1"/>
  <c r="X7018" i="15"/>
  <c r="Y7017" i="15" s="1"/>
  <c r="X7019" i="15"/>
  <c r="Y7018" i="15" s="1"/>
  <c r="X7020" i="15"/>
  <c r="Y7019" i="15" s="1"/>
  <c r="X7021" i="15"/>
  <c r="Y7020" i="15" s="1"/>
  <c r="X7022" i="15"/>
  <c r="Y7021" i="15" s="1"/>
  <c r="X7023" i="15"/>
  <c r="Y7022" i="15" s="1"/>
  <c r="X7024" i="15"/>
  <c r="Y7023" i="15" s="1"/>
  <c r="X7025" i="15"/>
  <c r="Y7024" i="15" s="1"/>
  <c r="X7026" i="15"/>
  <c r="Y7025" i="15" s="1"/>
  <c r="X7027" i="15"/>
  <c r="Y7026" i="15" s="1"/>
  <c r="X7028" i="15"/>
  <c r="Y7027" i="15" s="1"/>
  <c r="X7029" i="15"/>
  <c r="Y7028" i="15" s="1"/>
  <c r="X7030" i="15"/>
  <c r="Y7029" i="15" s="1"/>
  <c r="X7031" i="15"/>
  <c r="Y7030" i="15" s="1"/>
  <c r="X7032" i="15"/>
  <c r="Y7031" i="15" s="1"/>
  <c r="X7033" i="15"/>
  <c r="Y7032" i="15" s="1"/>
  <c r="X7034" i="15"/>
  <c r="Y7033" i="15" s="1"/>
  <c r="X7035" i="15"/>
  <c r="Y7034" i="15" s="1"/>
  <c r="X7036" i="15"/>
  <c r="Y7035" i="15" s="1"/>
  <c r="X7037" i="15"/>
  <c r="Y7036" i="15" s="1"/>
  <c r="X7038" i="15"/>
  <c r="Y7037" i="15" s="1"/>
  <c r="X7039" i="15"/>
  <c r="Y7038" i="15" s="1"/>
  <c r="X7040" i="15"/>
  <c r="Y7039" i="15" s="1"/>
  <c r="X7041" i="15"/>
  <c r="Y7040" i="15" s="1"/>
  <c r="X7042" i="15"/>
  <c r="Y7041" i="15" s="1"/>
  <c r="X7043" i="15"/>
  <c r="Y7042" i="15" s="1"/>
  <c r="X7044" i="15"/>
  <c r="Y7043" i="15" s="1"/>
  <c r="X7045" i="15"/>
  <c r="Y7044" i="15" s="1"/>
  <c r="X7046" i="15"/>
  <c r="Y7045" i="15" s="1"/>
  <c r="X7047" i="15"/>
  <c r="Y7046" i="15" s="1"/>
  <c r="X7048" i="15"/>
  <c r="Y7047" i="15" s="1"/>
  <c r="X7049" i="15"/>
  <c r="Y7048" i="15" s="1"/>
  <c r="X7050" i="15"/>
  <c r="Y7049" i="15" s="1"/>
  <c r="X7051" i="15"/>
  <c r="Y7050" i="15" s="1"/>
  <c r="X7052" i="15"/>
  <c r="Y7051" i="15" s="1"/>
  <c r="X7053" i="15"/>
  <c r="Y7052" i="15" s="1"/>
  <c r="X7054" i="15"/>
  <c r="Y7053" i="15" s="1"/>
  <c r="X7055" i="15"/>
  <c r="Y7054" i="15" s="1"/>
  <c r="X7056" i="15"/>
  <c r="Y7055" i="15" s="1"/>
  <c r="X7057" i="15"/>
  <c r="Y7056" i="15" s="1"/>
  <c r="X7058" i="15"/>
  <c r="Y7057" i="15" s="1"/>
  <c r="X7059" i="15"/>
  <c r="Y7058" i="15" s="1"/>
  <c r="X7060" i="15"/>
  <c r="Y7059" i="15" s="1"/>
  <c r="X7061" i="15"/>
  <c r="Y7060" i="15" s="1"/>
  <c r="X7062" i="15"/>
  <c r="Y7061" i="15" s="1"/>
  <c r="X7063" i="15"/>
  <c r="Y7062" i="15" s="1"/>
  <c r="X7064" i="15"/>
  <c r="Y7063" i="15" s="1"/>
  <c r="X7065" i="15"/>
  <c r="Y7064" i="15" s="1"/>
  <c r="X7066" i="15"/>
  <c r="Y7065" i="15" s="1"/>
  <c r="X7067" i="15"/>
  <c r="Y7066" i="15" s="1"/>
  <c r="X7068" i="15"/>
  <c r="Y7067" i="15" s="1"/>
  <c r="X7069" i="15"/>
  <c r="Y7068" i="15" s="1"/>
  <c r="X7070" i="15"/>
  <c r="Y7069" i="15" s="1"/>
  <c r="X7071" i="15"/>
  <c r="Y7070" i="15" s="1"/>
  <c r="X7072" i="15"/>
  <c r="Y7071" i="15" s="1"/>
  <c r="X7073" i="15"/>
  <c r="Y7072" i="15" s="1"/>
  <c r="X7074" i="15"/>
  <c r="Y7073" i="15" s="1"/>
  <c r="X7075" i="15"/>
  <c r="Y7074" i="15" s="1"/>
  <c r="X7076" i="15"/>
  <c r="Y7075" i="15" s="1"/>
  <c r="X7077" i="15"/>
  <c r="Y7076" i="15" s="1"/>
  <c r="X7078" i="15"/>
  <c r="Y7077" i="15" s="1"/>
  <c r="X7079" i="15"/>
  <c r="Y7078" i="15" s="1"/>
  <c r="X7080" i="15"/>
  <c r="Y7079" i="15" s="1"/>
  <c r="X7081" i="15"/>
  <c r="Y7080" i="15" s="1"/>
  <c r="X7082" i="15"/>
  <c r="Y7081" i="15" s="1"/>
  <c r="X7083" i="15"/>
  <c r="Y7082" i="15" s="1"/>
  <c r="X7084" i="15"/>
  <c r="Y7083" i="15" s="1"/>
  <c r="X7085" i="15"/>
  <c r="Y7084" i="15" s="1"/>
  <c r="X7086" i="15"/>
  <c r="Y7085" i="15" s="1"/>
  <c r="X7087" i="15"/>
  <c r="Y7086" i="15" s="1"/>
  <c r="X7088" i="15"/>
  <c r="Y7087" i="15" s="1"/>
  <c r="X7089" i="15"/>
  <c r="Y7088" i="15" s="1"/>
  <c r="X7090" i="15"/>
  <c r="Y7089" i="15" s="1"/>
  <c r="X7091" i="15"/>
  <c r="Y7090" i="15" s="1"/>
  <c r="X7092" i="15"/>
  <c r="Y7091" i="15" s="1"/>
  <c r="X7093" i="15"/>
  <c r="Y7092" i="15" s="1"/>
  <c r="X7094" i="15"/>
  <c r="Y7093" i="15" s="1"/>
  <c r="X7095" i="15"/>
  <c r="Y7094" i="15" s="1"/>
  <c r="X7096" i="15"/>
  <c r="Y7095" i="15" s="1"/>
  <c r="X7097" i="15"/>
  <c r="Y7096" i="15" s="1"/>
  <c r="X7098" i="15"/>
  <c r="Y7097" i="15" s="1"/>
  <c r="X7099" i="15"/>
  <c r="Y7098" i="15" s="1"/>
  <c r="X7100" i="15"/>
  <c r="Y7099" i="15" s="1"/>
  <c r="X7101" i="15"/>
  <c r="Y7100" i="15" s="1"/>
  <c r="X7102" i="15"/>
  <c r="Y7101" i="15" s="1"/>
  <c r="X7103" i="15"/>
  <c r="Y7102" i="15" s="1"/>
  <c r="X7104" i="15"/>
  <c r="Y7103" i="15" s="1"/>
  <c r="X7105" i="15"/>
  <c r="Y7104" i="15" s="1"/>
  <c r="X7106" i="15"/>
  <c r="Y7105" i="15" s="1"/>
  <c r="X7107" i="15"/>
  <c r="Y7106" i="15" s="1"/>
  <c r="X7108" i="15"/>
  <c r="Y7107" i="15" s="1"/>
  <c r="X7109" i="15"/>
  <c r="Y7108" i="15" s="1"/>
  <c r="X7110" i="15"/>
  <c r="Y7109" i="15" s="1"/>
  <c r="X7111" i="15"/>
  <c r="Y7110" i="15" s="1"/>
  <c r="X7112" i="15"/>
  <c r="Y7111" i="15" s="1"/>
  <c r="X7113" i="15"/>
  <c r="Y7112" i="15" s="1"/>
  <c r="X7114" i="15"/>
  <c r="Y7113" i="15" s="1"/>
  <c r="X7115" i="15"/>
  <c r="Y7114" i="15" s="1"/>
  <c r="X7116" i="15"/>
  <c r="Y7115" i="15" s="1"/>
  <c r="X7117" i="15"/>
  <c r="Y7116" i="15" s="1"/>
  <c r="X7118" i="15"/>
  <c r="Y7117" i="15" s="1"/>
  <c r="X7119" i="15"/>
  <c r="Y7118" i="15" s="1"/>
  <c r="X7120" i="15"/>
  <c r="Y7119" i="15" s="1"/>
  <c r="X7121" i="15"/>
  <c r="Y7120" i="15" s="1"/>
  <c r="X7122" i="15"/>
  <c r="Y7121" i="15" s="1"/>
  <c r="X7123" i="15"/>
  <c r="Y7122" i="15" s="1"/>
  <c r="X7124" i="15"/>
  <c r="Y7123" i="15" s="1"/>
  <c r="X7125" i="15"/>
  <c r="Y7124" i="15" s="1"/>
  <c r="X7126" i="15"/>
  <c r="Y7125" i="15" s="1"/>
  <c r="X7127" i="15"/>
  <c r="Y7126" i="15" s="1"/>
  <c r="X7128" i="15"/>
  <c r="Y7127" i="15" s="1"/>
  <c r="X7129" i="15"/>
  <c r="Y7128" i="15" s="1"/>
  <c r="X7130" i="15"/>
  <c r="Y7129" i="15" s="1"/>
  <c r="X7131" i="15"/>
  <c r="Y7130" i="15" s="1"/>
  <c r="X7132" i="15"/>
  <c r="Y7131" i="15" s="1"/>
  <c r="X7133" i="15"/>
  <c r="Y7132" i="15" s="1"/>
  <c r="X7134" i="15"/>
  <c r="Y7133" i="15" s="1"/>
  <c r="X7135" i="15"/>
  <c r="Y7134" i="15" s="1"/>
  <c r="X7136" i="15"/>
  <c r="Y7135" i="15" s="1"/>
  <c r="X7137" i="15"/>
  <c r="Y7136" i="15" s="1"/>
  <c r="X7138" i="15"/>
  <c r="Y7137" i="15" s="1"/>
  <c r="X7139" i="15"/>
  <c r="Y7138" i="15" s="1"/>
  <c r="X7140" i="15"/>
  <c r="Y7139" i="15" s="1"/>
  <c r="X7141" i="15"/>
  <c r="Y7140" i="15" s="1"/>
  <c r="X7142" i="15"/>
  <c r="Y7141" i="15" s="1"/>
  <c r="X7143" i="15"/>
  <c r="Y7142" i="15" s="1"/>
  <c r="X7144" i="15"/>
  <c r="Y7143" i="15" s="1"/>
  <c r="X7145" i="15"/>
  <c r="Y7144" i="15" s="1"/>
  <c r="X7146" i="15"/>
  <c r="Y7145" i="15" s="1"/>
  <c r="X7147" i="15"/>
  <c r="Y7146" i="15" s="1"/>
  <c r="X7148" i="15"/>
  <c r="Y7147" i="15" s="1"/>
  <c r="X7149" i="15"/>
  <c r="Y7148" i="15" s="1"/>
  <c r="X7150" i="15"/>
  <c r="Y7149" i="15" s="1"/>
  <c r="X7151" i="15"/>
  <c r="Y7150" i="15" s="1"/>
  <c r="X7152" i="15"/>
  <c r="Y7151" i="15" s="1"/>
  <c r="X7153" i="15"/>
  <c r="Y7152" i="15" s="1"/>
  <c r="X7154" i="15"/>
  <c r="Y7153" i="15" s="1"/>
  <c r="X7155" i="15"/>
  <c r="Y7154" i="15" s="1"/>
  <c r="X7156" i="15"/>
  <c r="Y7155" i="15" s="1"/>
  <c r="X7157" i="15"/>
  <c r="Y7156" i="15" s="1"/>
  <c r="X7158" i="15"/>
  <c r="Y7157" i="15" s="1"/>
  <c r="X7159" i="15"/>
  <c r="Y7158" i="15" s="1"/>
  <c r="X7160" i="15"/>
  <c r="Y7159" i="15" s="1"/>
  <c r="X7161" i="15"/>
  <c r="Y7160" i="15" s="1"/>
  <c r="X7162" i="15"/>
  <c r="Y7161" i="15" s="1"/>
  <c r="X7163" i="15"/>
  <c r="Y7162" i="15" s="1"/>
  <c r="X7164" i="15"/>
  <c r="Y7163" i="15" s="1"/>
  <c r="X7165" i="15"/>
  <c r="Y7164" i="15" s="1"/>
  <c r="X7166" i="15"/>
  <c r="Y7165" i="15" s="1"/>
  <c r="X7167" i="15"/>
  <c r="Y7166" i="15" s="1"/>
  <c r="X7168" i="15"/>
  <c r="Y7167" i="15" s="1"/>
  <c r="X7169" i="15"/>
  <c r="Y7168" i="15" s="1"/>
  <c r="X7170" i="15"/>
  <c r="Y7169" i="15" s="1"/>
  <c r="X7171" i="15"/>
  <c r="Y7170" i="15" s="1"/>
  <c r="X7172" i="15"/>
  <c r="Y7171" i="15" s="1"/>
  <c r="X7173" i="15"/>
  <c r="Y7172" i="15" s="1"/>
  <c r="X7174" i="15"/>
  <c r="Y7173" i="15" s="1"/>
  <c r="X7175" i="15"/>
  <c r="Y7174" i="15" s="1"/>
  <c r="X7176" i="15"/>
  <c r="Y7175" i="15" s="1"/>
  <c r="X7177" i="15"/>
  <c r="Y7176" i="15" s="1"/>
  <c r="X7178" i="15"/>
  <c r="Y7177" i="15" s="1"/>
  <c r="X7179" i="15"/>
  <c r="Y7178" i="15" s="1"/>
  <c r="X7180" i="15"/>
  <c r="Y7179" i="15" s="1"/>
  <c r="X7181" i="15"/>
  <c r="Y7180" i="15" s="1"/>
  <c r="X7182" i="15"/>
  <c r="Y7181" i="15" s="1"/>
  <c r="X7183" i="15"/>
  <c r="Y7182" i="15" s="1"/>
  <c r="X7184" i="15"/>
  <c r="Y7183" i="15" s="1"/>
  <c r="X7185" i="15"/>
  <c r="Y7184" i="15" s="1"/>
  <c r="X7186" i="15"/>
  <c r="Y7185" i="15" s="1"/>
  <c r="X7187" i="15"/>
  <c r="Y7186" i="15" s="1"/>
  <c r="X7188" i="15"/>
  <c r="Y7187" i="15" s="1"/>
  <c r="X7189" i="15"/>
  <c r="Y7188" i="15" s="1"/>
  <c r="X7190" i="15"/>
  <c r="Y7189" i="15" s="1"/>
  <c r="X7191" i="15"/>
  <c r="Y7190" i="15" s="1"/>
  <c r="X7192" i="15"/>
  <c r="Y7191" i="15" s="1"/>
  <c r="X7193" i="15"/>
  <c r="Y7192" i="15" s="1"/>
  <c r="X7194" i="15"/>
  <c r="Y7193" i="15" s="1"/>
  <c r="X7195" i="15"/>
  <c r="Y7194" i="15" s="1"/>
  <c r="X7196" i="15"/>
  <c r="Y7195" i="15" s="1"/>
  <c r="X7197" i="15"/>
  <c r="Y7196" i="15" s="1"/>
  <c r="X7198" i="15"/>
  <c r="Y7197" i="15" s="1"/>
  <c r="X7199" i="15"/>
  <c r="Y7198" i="15" s="1"/>
  <c r="X7200" i="15"/>
  <c r="Y7199" i="15" s="1"/>
  <c r="X7201" i="15"/>
  <c r="Y7200" i="15" s="1"/>
  <c r="X7202" i="15"/>
  <c r="Y7201" i="15" s="1"/>
  <c r="X7203" i="15"/>
  <c r="Y7202" i="15" s="1"/>
  <c r="X7204" i="15"/>
  <c r="Y7203" i="15" s="1"/>
  <c r="X7205" i="15"/>
  <c r="Y7204" i="15" s="1"/>
  <c r="X7206" i="15"/>
  <c r="Y7205" i="15" s="1"/>
  <c r="X7207" i="15"/>
  <c r="Y7206" i="15" s="1"/>
  <c r="X7208" i="15"/>
  <c r="Y7207" i="15" s="1"/>
  <c r="X7209" i="15"/>
  <c r="Y7208" i="15" s="1"/>
  <c r="X7210" i="15"/>
  <c r="Y7209" i="15" s="1"/>
  <c r="X7211" i="15"/>
  <c r="Y7210" i="15" s="1"/>
  <c r="X7212" i="15"/>
  <c r="Y7211" i="15" s="1"/>
  <c r="X7213" i="15"/>
  <c r="Y7212" i="15" s="1"/>
  <c r="X7214" i="15"/>
  <c r="Y7213" i="15" s="1"/>
  <c r="X7215" i="15"/>
  <c r="Y7214" i="15" s="1"/>
  <c r="X7216" i="15"/>
  <c r="Y7215" i="15" s="1"/>
  <c r="X7217" i="15"/>
  <c r="Y7216" i="15" s="1"/>
  <c r="X7218" i="15"/>
  <c r="Y7217" i="15" s="1"/>
  <c r="X7219" i="15"/>
  <c r="Y7218" i="15" s="1"/>
  <c r="X7220" i="15"/>
  <c r="Y7219" i="15" s="1"/>
  <c r="X7221" i="15"/>
  <c r="Y7220" i="15" s="1"/>
  <c r="X7222" i="15"/>
  <c r="Y7221" i="15" s="1"/>
  <c r="X7223" i="15"/>
  <c r="Y7222" i="15" s="1"/>
  <c r="X7224" i="15"/>
  <c r="Y7223" i="15" s="1"/>
  <c r="X7225" i="15"/>
  <c r="Y7224" i="15" s="1"/>
  <c r="X7226" i="15"/>
  <c r="Y7225" i="15" s="1"/>
  <c r="X7227" i="15"/>
  <c r="Y7226" i="15" s="1"/>
  <c r="X7228" i="15"/>
  <c r="Y7227" i="15" s="1"/>
  <c r="X7229" i="15"/>
  <c r="Y7228" i="15" s="1"/>
  <c r="X7230" i="15"/>
  <c r="Y7229" i="15" s="1"/>
  <c r="X7231" i="15"/>
  <c r="Y7230" i="15" s="1"/>
  <c r="X7232" i="15"/>
  <c r="Y7231" i="15" s="1"/>
  <c r="X7233" i="15"/>
  <c r="Y7232" i="15" s="1"/>
  <c r="X7234" i="15"/>
  <c r="Y7233" i="15" s="1"/>
  <c r="X7235" i="15"/>
  <c r="Y7234" i="15" s="1"/>
  <c r="X7236" i="15"/>
  <c r="Y7235" i="15" s="1"/>
  <c r="X7237" i="15"/>
  <c r="Y7236" i="15" s="1"/>
  <c r="X7238" i="15"/>
  <c r="Y7237" i="15" s="1"/>
  <c r="X7239" i="15"/>
  <c r="Y7238" i="15" s="1"/>
  <c r="X7240" i="15"/>
  <c r="Y7239" i="15" s="1"/>
  <c r="X7241" i="15"/>
  <c r="Y7240" i="15" s="1"/>
  <c r="X7242" i="15"/>
  <c r="Y7241" i="15" s="1"/>
  <c r="X7243" i="15"/>
  <c r="Y7242" i="15" s="1"/>
  <c r="X7244" i="15"/>
  <c r="Y7243" i="15" s="1"/>
  <c r="X7245" i="15"/>
  <c r="Y7244" i="15" s="1"/>
  <c r="X7246" i="15"/>
  <c r="Y7245" i="15" s="1"/>
  <c r="X7247" i="15"/>
  <c r="Y7246" i="15" s="1"/>
  <c r="X7248" i="15"/>
  <c r="Y7247" i="15" s="1"/>
  <c r="X7249" i="15"/>
  <c r="Y7248" i="15" s="1"/>
  <c r="X7250" i="15"/>
  <c r="Y7249" i="15" s="1"/>
  <c r="X7251" i="15"/>
  <c r="Y7250" i="15" s="1"/>
  <c r="X7252" i="15"/>
  <c r="Y7251" i="15" s="1"/>
  <c r="X7253" i="15"/>
  <c r="Y7252" i="15" s="1"/>
  <c r="X7254" i="15"/>
  <c r="Y7253" i="15" s="1"/>
  <c r="X7255" i="15"/>
  <c r="Y7254" i="15" s="1"/>
  <c r="X7256" i="15"/>
  <c r="Y7255" i="15" s="1"/>
  <c r="X7257" i="15"/>
  <c r="Y7256" i="15" s="1"/>
  <c r="X7258" i="15"/>
  <c r="Y7257" i="15" s="1"/>
  <c r="X7259" i="15"/>
  <c r="Y7258" i="15" s="1"/>
  <c r="X7260" i="15"/>
  <c r="Y7259" i="15" s="1"/>
  <c r="X7261" i="15"/>
  <c r="Y7260" i="15" s="1"/>
  <c r="X7262" i="15"/>
  <c r="Y7261" i="15" s="1"/>
  <c r="X7263" i="15"/>
  <c r="Y7262" i="15" s="1"/>
  <c r="X7264" i="15"/>
  <c r="Y7263" i="15" s="1"/>
  <c r="X7265" i="15"/>
  <c r="Y7264" i="15" s="1"/>
  <c r="X7266" i="15"/>
  <c r="Y7265" i="15" s="1"/>
  <c r="X7267" i="15"/>
  <c r="Y7266" i="15" s="1"/>
  <c r="X7268" i="15"/>
  <c r="Y7267" i="15" s="1"/>
  <c r="X7269" i="15"/>
  <c r="Y7268" i="15" s="1"/>
  <c r="X7270" i="15"/>
  <c r="Y7269" i="15" s="1"/>
  <c r="X7271" i="15"/>
  <c r="Y7270" i="15" s="1"/>
  <c r="X7272" i="15"/>
  <c r="Y7271" i="15" s="1"/>
  <c r="X7273" i="15"/>
  <c r="Y7272" i="15" s="1"/>
  <c r="X7274" i="15"/>
  <c r="Y7273" i="15" s="1"/>
  <c r="X7275" i="15"/>
  <c r="Y7274" i="15" s="1"/>
  <c r="X7276" i="15"/>
  <c r="Y7275" i="15" s="1"/>
  <c r="X7277" i="15"/>
  <c r="Y7276" i="15" s="1"/>
  <c r="X7278" i="15"/>
  <c r="Y7277" i="15" s="1"/>
  <c r="X7279" i="15"/>
  <c r="Y7278" i="15" s="1"/>
  <c r="X7280" i="15"/>
  <c r="Y7279" i="15" s="1"/>
  <c r="X7281" i="15"/>
  <c r="Y7280" i="15" s="1"/>
  <c r="X7282" i="15"/>
  <c r="Y7281" i="15" s="1"/>
  <c r="X7283" i="15"/>
  <c r="Y7282" i="15" s="1"/>
  <c r="X7284" i="15"/>
  <c r="Y7283" i="15" s="1"/>
  <c r="X7285" i="15"/>
  <c r="Y7284" i="15" s="1"/>
  <c r="X7286" i="15"/>
  <c r="Y7285" i="15" s="1"/>
  <c r="X7287" i="15"/>
  <c r="Y7286" i="15" s="1"/>
  <c r="X7288" i="15"/>
  <c r="Y7287" i="15" s="1"/>
  <c r="X7289" i="15"/>
  <c r="Y7288" i="15" s="1"/>
  <c r="X7290" i="15"/>
  <c r="Y7289" i="15" s="1"/>
  <c r="X7291" i="15"/>
  <c r="Y7290" i="15" s="1"/>
  <c r="X7292" i="15"/>
  <c r="Y7291" i="15" s="1"/>
  <c r="X7293" i="15"/>
  <c r="Y7292" i="15" s="1"/>
  <c r="X7294" i="15"/>
  <c r="Y7293" i="15" s="1"/>
  <c r="X7295" i="15"/>
  <c r="Y7294" i="15" s="1"/>
  <c r="X7296" i="15"/>
  <c r="Y7295" i="15" s="1"/>
  <c r="X7297" i="15"/>
  <c r="Y7296" i="15" s="1"/>
  <c r="X7298" i="15"/>
  <c r="Y7297" i="15" s="1"/>
  <c r="X7299" i="15"/>
  <c r="Y7298" i="15" s="1"/>
  <c r="X7300" i="15"/>
  <c r="Y7299" i="15" s="1"/>
  <c r="X7301" i="15"/>
  <c r="Y7300" i="15" s="1"/>
  <c r="X7302" i="15"/>
  <c r="Y7301" i="15" s="1"/>
  <c r="X7303" i="15"/>
  <c r="Y7302" i="15" s="1"/>
  <c r="X7304" i="15"/>
  <c r="Y7303" i="15" s="1"/>
  <c r="X7305" i="15"/>
  <c r="Y7304" i="15" s="1"/>
  <c r="X7306" i="15"/>
  <c r="Y7305" i="15" s="1"/>
  <c r="X7307" i="15"/>
  <c r="Y7306" i="15" s="1"/>
  <c r="X7308" i="15"/>
  <c r="Y7307" i="15" s="1"/>
  <c r="X7309" i="15"/>
  <c r="Y7308" i="15" s="1"/>
  <c r="X7310" i="15"/>
  <c r="Y7309" i="15" s="1"/>
  <c r="X7311" i="15"/>
  <c r="Y7310" i="15" s="1"/>
  <c r="X7312" i="15"/>
  <c r="Y7311" i="15" s="1"/>
  <c r="X7313" i="15"/>
  <c r="Y7312" i="15" s="1"/>
  <c r="X7314" i="15"/>
  <c r="Y7313" i="15" s="1"/>
  <c r="X7315" i="15"/>
  <c r="Y7314" i="15" s="1"/>
  <c r="X7316" i="15"/>
  <c r="Y7315" i="15" s="1"/>
  <c r="X7317" i="15"/>
  <c r="Y7316" i="15" s="1"/>
  <c r="X7318" i="15"/>
  <c r="Y7317" i="15" s="1"/>
  <c r="X7319" i="15"/>
  <c r="Y7318" i="15" s="1"/>
  <c r="X7320" i="15"/>
  <c r="Y7319" i="15" s="1"/>
  <c r="X7321" i="15"/>
  <c r="Y7320" i="15" s="1"/>
  <c r="X7322" i="15"/>
  <c r="Y7321" i="15" s="1"/>
  <c r="X7323" i="15"/>
  <c r="Y7322" i="15" s="1"/>
  <c r="X7324" i="15"/>
  <c r="Y7323" i="15" s="1"/>
  <c r="X7325" i="15"/>
  <c r="Y7324" i="15" s="1"/>
  <c r="X7326" i="15"/>
  <c r="Y7325" i="15" s="1"/>
  <c r="X7327" i="15"/>
  <c r="Y7326" i="15" s="1"/>
  <c r="X7328" i="15"/>
  <c r="Y7327" i="15" s="1"/>
  <c r="X7329" i="15"/>
  <c r="Y7328" i="15" s="1"/>
  <c r="X7330" i="15"/>
  <c r="Y7329" i="15" s="1"/>
  <c r="X7331" i="15"/>
  <c r="Y7330" i="15" s="1"/>
  <c r="X7332" i="15"/>
  <c r="Y7331" i="15" s="1"/>
  <c r="X7333" i="15"/>
  <c r="Y7332" i="15" s="1"/>
  <c r="X7334" i="15"/>
  <c r="Y7333" i="15" s="1"/>
  <c r="X7335" i="15"/>
  <c r="Y7334" i="15" s="1"/>
  <c r="X7336" i="15"/>
  <c r="Y7335" i="15" s="1"/>
  <c r="X7337" i="15"/>
  <c r="Y7336" i="15" s="1"/>
  <c r="X7338" i="15"/>
  <c r="Y7337" i="15" s="1"/>
  <c r="X7339" i="15"/>
  <c r="Y7338" i="15" s="1"/>
  <c r="X7340" i="15"/>
  <c r="Y7339" i="15" s="1"/>
  <c r="X7341" i="15"/>
  <c r="Y7340" i="15" s="1"/>
  <c r="X7342" i="15"/>
  <c r="Y7341" i="15" s="1"/>
  <c r="X7343" i="15"/>
  <c r="Y7342" i="15" s="1"/>
  <c r="X7344" i="15"/>
  <c r="Y7343" i="15" s="1"/>
  <c r="X7345" i="15"/>
  <c r="Y7344" i="15" s="1"/>
  <c r="X7346" i="15"/>
  <c r="Y7345" i="15" s="1"/>
  <c r="X7347" i="15"/>
  <c r="Y7346" i="15" s="1"/>
  <c r="X7348" i="15"/>
  <c r="Y7347" i="15" s="1"/>
  <c r="X7349" i="15"/>
  <c r="Y7348" i="15" s="1"/>
  <c r="X7350" i="15"/>
  <c r="Y7349" i="15" s="1"/>
  <c r="X7351" i="15"/>
  <c r="Y7350" i="15" s="1"/>
  <c r="X7352" i="15"/>
  <c r="Y7351" i="15" s="1"/>
  <c r="X7353" i="15"/>
  <c r="Y7352" i="15" s="1"/>
  <c r="X7354" i="15"/>
  <c r="Y7353" i="15" s="1"/>
  <c r="X7355" i="15"/>
  <c r="Y7354" i="15" s="1"/>
  <c r="X7356" i="15"/>
  <c r="Y7355" i="15" s="1"/>
  <c r="X7357" i="15"/>
  <c r="Y7356" i="15" s="1"/>
  <c r="X7358" i="15"/>
  <c r="Y7357" i="15" s="1"/>
  <c r="X7359" i="15"/>
  <c r="Y7358" i="15" s="1"/>
  <c r="X7360" i="15"/>
  <c r="Y7359" i="15" s="1"/>
  <c r="X7361" i="15"/>
  <c r="Y7360" i="15" s="1"/>
  <c r="X7362" i="15"/>
  <c r="Y7361" i="15" s="1"/>
  <c r="X7363" i="15"/>
  <c r="Y7362" i="15" s="1"/>
  <c r="X7364" i="15"/>
  <c r="Y7363" i="15" s="1"/>
  <c r="X7365" i="15"/>
  <c r="Y7364" i="15" s="1"/>
  <c r="X7366" i="15"/>
  <c r="Y7365" i="15" s="1"/>
  <c r="X7367" i="15"/>
  <c r="Y7366" i="15" s="1"/>
  <c r="X7368" i="15"/>
  <c r="Y7367" i="15" s="1"/>
  <c r="X7369" i="15"/>
  <c r="Y7368" i="15" s="1"/>
  <c r="X7370" i="15"/>
  <c r="Y7369" i="15" s="1"/>
  <c r="X7371" i="15"/>
  <c r="Y7370" i="15" s="1"/>
  <c r="X7372" i="15"/>
  <c r="Y7371" i="15" s="1"/>
  <c r="X7373" i="15"/>
  <c r="Y7372" i="15" s="1"/>
  <c r="X7374" i="15"/>
  <c r="Y7373" i="15" s="1"/>
  <c r="X7375" i="15"/>
  <c r="Y7374" i="15" s="1"/>
  <c r="X7376" i="15"/>
  <c r="Y7375" i="15" s="1"/>
  <c r="X7377" i="15"/>
  <c r="Y7376" i="15" s="1"/>
  <c r="X7378" i="15"/>
  <c r="Y7377" i="15" s="1"/>
  <c r="X7379" i="15"/>
  <c r="Y7378" i="15" s="1"/>
  <c r="X7380" i="15"/>
  <c r="Y7379" i="15" s="1"/>
  <c r="X7381" i="15"/>
  <c r="Y7380" i="15" s="1"/>
  <c r="X7382" i="15"/>
  <c r="Y7381" i="15" s="1"/>
  <c r="X7383" i="15"/>
  <c r="Y7382" i="15" s="1"/>
  <c r="X7384" i="15"/>
  <c r="Y7383" i="15" s="1"/>
  <c r="X7385" i="15"/>
  <c r="Y7384" i="15" s="1"/>
  <c r="X7386" i="15"/>
  <c r="Y7385" i="15" s="1"/>
  <c r="X7387" i="15"/>
  <c r="Y7386" i="15" s="1"/>
  <c r="X7388" i="15"/>
  <c r="Y7387" i="15" s="1"/>
  <c r="X7389" i="15"/>
  <c r="Y7388" i="15" s="1"/>
  <c r="X7390" i="15"/>
  <c r="Y7389" i="15" s="1"/>
  <c r="X7391" i="15"/>
  <c r="Y7390" i="15" s="1"/>
  <c r="X7392" i="15"/>
  <c r="Y7391" i="15" s="1"/>
  <c r="X7393" i="15"/>
  <c r="Y7392" i="15" s="1"/>
  <c r="X7394" i="15"/>
  <c r="Y7393" i="15" s="1"/>
  <c r="X7395" i="15"/>
  <c r="Y7394" i="15" s="1"/>
  <c r="X7396" i="15"/>
  <c r="Y7395" i="15" s="1"/>
  <c r="X7397" i="15"/>
  <c r="Y7396" i="15" s="1"/>
  <c r="X7398" i="15"/>
  <c r="Y7397" i="15" s="1"/>
  <c r="X7399" i="15"/>
  <c r="Y7398" i="15" s="1"/>
  <c r="X7400" i="15"/>
  <c r="Y7399" i="15" s="1"/>
  <c r="X7401" i="15"/>
  <c r="Y7400" i="15" s="1"/>
  <c r="X7402" i="15"/>
  <c r="Y7401" i="15" s="1"/>
  <c r="X7403" i="15"/>
  <c r="Y7402" i="15" s="1"/>
  <c r="X7404" i="15"/>
  <c r="Y7403" i="15" s="1"/>
  <c r="X7405" i="15"/>
  <c r="Y7404" i="15" s="1"/>
  <c r="X7406" i="15"/>
  <c r="Y7405" i="15" s="1"/>
  <c r="X7407" i="15"/>
  <c r="Y7406" i="15" s="1"/>
  <c r="X7408" i="15"/>
  <c r="Y7407" i="15" s="1"/>
  <c r="X7409" i="15"/>
  <c r="Y7408" i="15" s="1"/>
  <c r="X7410" i="15"/>
  <c r="Y7409" i="15" s="1"/>
  <c r="X7411" i="15"/>
  <c r="Y7410" i="15" s="1"/>
  <c r="X7412" i="15"/>
  <c r="Y7411" i="15" s="1"/>
  <c r="X7413" i="15"/>
  <c r="Y7412" i="15" s="1"/>
  <c r="X7414" i="15"/>
  <c r="Y7413" i="15" s="1"/>
  <c r="X7415" i="15"/>
  <c r="Y7414" i="15" s="1"/>
  <c r="X7416" i="15"/>
  <c r="Y7415" i="15" s="1"/>
  <c r="X7417" i="15"/>
  <c r="Y7416" i="15" s="1"/>
  <c r="X7418" i="15"/>
  <c r="Y7417" i="15" s="1"/>
  <c r="X7419" i="15"/>
  <c r="Y7418" i="15" s="1"/>
  <c r="X7420" i="15"/>
  <c r="Y7419" i="15" s="1"/>
  <c r="X7421" i="15"/>
  <c r="Y7420" i="15" s="1"/>
  <c r="X7422" i="15"/>
  <c r="Y7421" i="15" s="1"/>
  <c r="X7423" i="15"/>
  <c r="Y7422" i="15" s="1"/>
  <c r="X7424" i="15"/>
  <c r="Y7423" i="15" s="1"/>
  <c r="X7425" i="15"/>
  <c r="Y7424" i="15" s="1"/>
  <c r="X7426" i="15"/>
  <c r="Y7425" i="15" s="1"/>
  <c r="X7427" i="15"/>
  <c r="Y7426" i="15" s="1"/>
  <c r="X7428" i="15"/>
  <c r="Y7427" i="15" s="1"/>
  <c r="X7429" i="15"/>
  <c r="Y7428" i="15" s="1"/>
  <c r="X7430" i="15"/>
  <c r="Y7429" i="15" s="1"/>
  <c r="X7431" i="15"/>
  <c r="Y7430" i="15" s="1"/>
  <c r="X7432" i="15"/>
  <c r="Y7431" i="15" s="1"/>
  <c r="X7433" i="15"/>
  <c r="Y7432" i="15" s="1"/>
  <c r="X7434" i="15"/>
  <c r="Y7433" i="15" s="1"/>
  <c r="X7435" i="15"/>
  <c r="Y7434" i="15" s="1"/>
  <c r="X7436" i="15"/>
  <c r="Y7435" i="15" s="1"/>
  <c r="X7437" i="15"/>
  <c r="Y7436" i="15" s="1"/>
  <c r="X7438" i="15"/>
  <c r="Y7437" i="15" s="1"/>
  <c r="X7439" i="15"/>
  <c r="Y7438" i="15" s="1"/>
  <c r="X7440" i="15"/>
  <c r="Y7439" i="15" s="1"/>
  <c r="X7441" i="15"/>
  <c r="Y7440" i="15" s="1"/>
  <c r="X7442" i="15"/>
  <c r="Y7441" i="15" s="1"/>
  <c r="X7443" i="15"/>
  <c r="Y7442" i="15" s="1"/>
  <c r="X7444" i="15"/>
  <c r="Y7443" i="15" s="1"/>
  <c r="X7445" i="15"/>
  <c r="Y7444" i="15" s="1"/>
  <c r="X7446" i="15"/>
  <c r="Y7445" i="15" s="1"/>
  <c r="X7447" i="15"/>
  <c r="Y7446" i="15" s="1"/>
  <c r="X7448" i="15"/>
  <c r="Y7447" i="15" s="1"/>
  <c r="X7449" i="15"/>
  <c r="Y7448" i="15" s="1"/>
  <c r="X7450" i="15"/>
  <c r="Y7449" i="15" s="1"/>
  <c r="X7451" i="15"/>
  <c r="Y7450" i="15" s="1"/>
  <c r="X7452" i="15"/>
  <c r="Y7451" i="15" s="1"/>
  <c r="X7453" i="15"/>
  <c r="Y7452" i="15" s="1"/>
  <c r="X7454" i="15"/>
  <c r="Y7453" i="15" s="1"/>
  <c r="X7455" i="15"/>
  <c r="Y7454" i="15" s="1"/>
  <c r="X7456" i="15"/>
  <c r="Y7455" i="15" s="1"/>
  <c r="X7457" i="15"/>
  <c r="Y7456" i="15" s="1"/>
  <c r="X7458" i="15"/>
  <c r="Y7457" i="15" s="1"/>
  <c r="X7459" i="15"/>
  <c r="Y7458" i="15" s="1"/>
  <c r="X7460" i="15"/>
  <c r="Y7459" i="15" s="1"/>
  <c r="X7461" i="15"/>
  <c r="Y7460" i="15" s="1"/>
  <c r="X7462" i="15"/>
  <c r="Y7461" i="15" s="1"/>
  <c r="X7463" i="15"/>
  <c r="Y7462" i="15" s="1"/>
  <c r="X7464" i="15"/>
  <c r="Y7463" i="15" s="1"/>
  <c r="X7465" i="15"/>
  <c r="Y7464" i="15" s="1"/>
  <c r="X7466" i="15"/>
  <c r="Y7465" i="15" s="1"/>
  <c r="X7467" i="15"/>
  <c r="Y7466" i="15" s="1"/>
  <c r="X7468" i="15"/>
  <c r="Y7467" i="15" s="1"/>
  <c r="X7469" i="15"/>
  <c r="Y7468" i="15" s="1"/>
  <c r="X7470" i="15"/>
  <c r="Y7469" i="15" s="1"/>
  <c r="X7471" i="15"/>
  <c r="Y7470" i="15" s="1"/>
  <c r="X7472" i="15"/>
  <c r="Y7471" i="15" s="1"/>
  <c r="X7473" i="15"/>
  <c r="Y7472" i="15" s="1"/>
  <c r="X7474" i="15"/>
  <c r="Y7473" i="15" s="1"/>
  <c r="X7475" i="15"/>
  <c r="Y7474" i="15" s="1"/>
  <c r="X7476" i="15"/>
  <c r="Y7475" i="15" s="1"/>
  <c r="X7477" i="15"/>
  <c r="Y7476" i="15" s="1"/>
  <c r="X7478" i="15"/>
  <c r="Y7477" i="15" s="1"/>
  <c r="X7479" i="15"/>
  <c r="Y7478" i="15" s="1"/>
  <c r="X7480" i="15"/>
  <c r="Y7479" i="15" s="1"/>
  <c r="X7481" i="15"/>
  <c r="Y7480" i="15" s="1"/>
  <c r="X7482" i="15"/>
  <c r="Y7481" i="15" s="1"/>
  <c r="X7483" i="15"/>
  <c r="Y7482" i="15" s="1"/>
  <c r="X7484" i="15"/>
  <c r="Y7483" i="15" s="1"/>
  <c r="X7485" i="15"/>
  <c r="Y7484" i="15" s="1"/>
  <c r="X7486" i="15"/>
  <c r="Y7485" i="15" s="1"/>
  <c r="X7487" i="15"/>
  <c r="Y7486" i="15" s="1"/>
  <c r="X7488" i="15"/>
  <c r="Y7487" i="15" s="1"/>
  <c r="X7489" i="15"/>
  <c r="Y7488" i="15" s="1"/>
  <c r="X7490" i="15"/>
  <c r="Y7489" i="15" s="1"/>
  <c r="X7491" i="15"/>
  <c r="Y7490" i="15" s="1"/>
  <c r="X7492" i="15"/>
  <c r="Y7491" i="15" s="1"/>
  <c r="X7493" i="15"/>
  <c r="Y7492" i="15" s="1"/>
  <c r="X7494" i="15"/>
  <c r="Y7493" i="15" s="1"/>
  <c r="X7495" i="15"/>
  <c r="Y7494" i="15" s="1"/>
  <c r="X7496" i="15"/>
  <c r="Y7495" i="15" s="1"/>
  <c r="X7497" i="15"/>
  <c r="Y7496" i="15" s="1"/>
  <c r="X7498" i="15"/>
  <c r="Y7497" i="15" s="1"/>
  <c r="X7499" i="15"/>
  <c r="Y7498" i="15" s="1"/>
  <c r="X7500" i="15"/>
  <c r="Y7499" i="15" s="1"/>
  <c r="X7501" i="15"/>
  <c r="Y7500" i="15" s="1"/>
  <c r="X7502" i="15"/>
  <c r="Y7501" i="15" s="1"/>
  <c r="X7503" i="15"/>
  <c r="Y7502" i="15" s="1"/>
  <c r="X7504" i="15"/>
  <c r="Y7503" i="15" s="1"/>
  <c r="X7505" i="15"/>
  <c r="Y7504" i="15" s="1"/>
  <c r="X7506" i="15"/>
  <c r="Y7505" i="15" s="1"/>
  <c r="X7507" i="15"/>
  <c r="Y7506" i="15" s="1"/>
  <c r="X7508" i="15"/>
  <c r="Y7507" i="15" s="1"/>
  <c r="X7509" i="15"/>
  <c r="Y7508" i="15" s="1"/>
  <c r="X7510" i="15"/>
  <c r="Y7509" i="15" s="1"/>
  <c r="X7511" i="15"/>
  <c r="Y7510" i="15" s="1"/>
  <c r="X7512" i="15"/>
  <c r="Y7511" i="15" s="1"/>
  <c r="X7513" i="15"/>
  <c r="Y7512" i="15" s="1"/>
  <c r="X7514" i="15"/>
  <c r="Y7513" i="15" s="1"/>
  <c r="X7515" i="15"/>
  <c r="Y7514" i="15" s="1"/>
  <c r="X7516" i="15"/>
  <c r="Y7515" i="15" s="1"/>
  <c r="X7517" i="15"/>
  <c r="Y7516" i="15" s="1"/>
  <c r="X7518" i="15"/>
  <c r="Y7517" i="15" s="1"/>
  <c r="X7519" i="15"/>
  <c r="Y7518" i="15" s="1"/>
  <c r="X7520" i="15"/>
  <c r="Y7519" i="15" s="1"/>
  <c r="X7521" i="15"/>
  <c r="Y7520" i="15" s="1"/>
  <c r="X7522" i="15"/>
  <c r="Y7521" i="15" s="1"/>
  <c r="X7523" i="15"/>
  <c r="Y7522" i="15" s="1"/>
  <c r="X7524" i="15"/>
  <c r="Y7523" i="15" s="1"/>
  <c r="X7525" i="15"/>
  <c r="Y7524" i="15" s="1"/>
  <c r="X7526" i="15"/>
  <c r="Y7525" i="15" s="1"/>
  <c r="X7527" i="15"/>
  <c r="Y7526" i="15" s="1"/>
  <c r="X7528" i="15"/>
  <c r="Y7527" i="15" s="1"/>
  <c r="X7529" i="15"/>
  <c r="Y7528" i="15" s="1"/>
  <c r="X7530" i="15"/>
  <c r="Y7529" i="15" s="1"/>
  <c r="X7531" i="15"/>
  <c r="Y7530" i="15" s="1"/>
  <c r="X7532" i="15"/>
  <c r="Y7531" i="15" s="1"/>
  <c r="X7533" i="15"/>
  <c r="Y7532" i="15" s="1"/>
  <c r="X7534" i="15"/>
  <c r="Y7533" i="15" s="1"/>
  <c r="X7535" i="15"/>
  <c r="Y7534" i="15" s="1"/>
  <c r="X7536" i="15"/>
  <c r="Y7535" i="15" s="1"/>
  <c r="X7537" i="15"/>
  <c r="Y7536" i="15" s="1"/>
  <c r="X7538" i="15"/>
  <c r="Y7537" i="15" s="1"/>
  <c r="X7539" i="15"/>
  <c r="Y7538" i="15" s="1"/>
  <c r="X7540" i="15"/>
  <c r="Y7539" i="15" s="1"/>
  <c r="X7541" i="15"/>
  <c r="Y7540" i="15" s="1"/>
  <c r="X7542" i="15"/>
  <c r="Y7541" i="15" s="1"/>
  <c r="X7543" i="15"/>
  <c r="Y7542" i="15" s="1"/>
  <c r="X7544" i="15"/>
  <c r="Y7543" i="15" s="1"/>
  <c r="X7545" i="15"/>
  <c r="Y7544" i="15" s="1"/>
  <c r="X7546" i="15"/>
  <c r="Y7545" i="15" s="1"/>
  <c r="X7547" i="15"/>
  <c r="Y7546" i="15" s="1"/>
  <c r="X7548" i="15"/>
  <c r="Y7547" i="15" s="1"/>
  <c r="X7549" i="15"/>
  <c r="Y7548" i="15" s="1"/>
  <c r="X7550" i="15"/>
  <c r="Y7549" i="15" s="1"/>
  <c r="X7551" i="15"/>
  <c r="Y7550" i="15" s="1"/>
  <c r="X7552" i="15"/>
  <c r="Y7551" i="15" s="1"/>
  <c r="X7553" i="15"/>
  <c r="Y7552" i="15" s="1"/>
  <c r="X7554" i="15"/>
  <c r="Y7553" i="15" s="1"/>
  <c r="X7555" i="15"/>
  <c r="Y7554" i="15" s="1"/>
  <c r="X7556" i="15"/>
  <c r="Y7555" i="15" s="1"/>
  <c r="X7557" i="15"/>
  <c r="Y7556" i="15" s="1"/>
  <c r="X7558" i="15"/>
  <c r="Y7557" i="15" s="1"/>
  <c r="X7559" i="15"/>
  <c r="Y7558" i="15" s="1"/>
  <c r="X7560" i="15"/>
  <c r="Y7559" i="15" s="1"/>
  <c r="X7561" i="15"/>
  <c r="Y7560" i="15" s="1"/>
  <c r="X7562" i="15"/>
  <c r="Y7561" i="15" s="1"/>
  <c r="X7563" i="15"/>
  <c r="Y7562" i="15" s="1"/>
  <c r="X7564" i="15"/>
  <c r="Y7563" i="15" s="1"/>
  <c r="X7565" i="15"/>
  <c r="Y7564" i="15" s="1"/>
  <c r="X7566" i="15"/>
  <c r="Y7565" i="15" s="1"/>
  <c r="X7567" i="15"/>
  <c r="Y7566" i="15" s="1"/>
  <c r="X7568" i="15"/>
  <c r="Y7567" i="15" s="1"/>
  <c r="X7569" i="15"/>
  <c r="Y7568" i="15" s="1"/>
  <c r="X7570" i="15"/>
  <c r="Y7569" i="15" s="1"/>
  <c r="X7571" i="15"/>
  <c r="Y7570" i="15" s="1"/>
  <c r="X7572" i="15"/>
  <c r="Y7571" i="15" s="1"/>
  <c r="X7573" i="15"/>
  <c r="Y7572" i="15" s="1"/>
  <c r="X7574" i="15"/>
  <c r="Y7573" i="15" s="1"/>
  <c r="X7575" i="15"/>
  <c r="Y7574" i="15" s="1"/>
  <c r="X7576" i="15"/>
  <c r="Y7575" i="15" s="1"/>
  <c r="X7577" i="15"/>
  <c r="Y7576" i="15" s="1"/>
  <c r="X7578" i="15"/>
  <c r="Y7577" i="15" s="1"/>
  <c r="X7579" i="15"/>
  <c r="Y7578" i="15" s="1"/>
  <c r="X7580" i="15"/>
  <c r="Y7579" i="15" s="1"/>
  <c r="X7581" i="15"/>
  <c r="Y7580" i="15" s="1"/>
  <c r="X7582" i="15"/>
  <c r="Y7581" i="15" s="1"/>
  <c r="X7583" i="15"/>
  <c r="Y7582" i="15" s="1"/>
  <c r="X7584" i="15"/>
  <c r="Y7583" i="15" s="1"/>
  <c r="X7585" i="15"/>
  <c r="Y7584" i="15" s="1"/>
  <c r="X7586" i="15"/>
  <c r="Y7585" i="15" s="1"/>
  <c r="X7587" i="15"/>
  <c r="Y7586" i="15" s="1"/>
  <c r="X7588" i="15"/>
  <c r="Y7587" i="15" s="1"/>
  <c r="X7589" i="15"/>
  <c r="Y7588" i="15" s="1"/>
  <c r="X7590" i="15"/>
  <c r="Y7589" i="15" s="1"/>
  <c r="X7591" i="15"/>
  <c r="Y7590" i="15" s="1"/>
  <c r="X7592" i="15"/>
  <c r="Y7591" i="15" s="1"/>
  <c r="X7593" i="15"/>
  <c r="Y7592" i="15" s="1"/>
  <c r="X7594" i="15"/>
  <c r="Y7593" i="15" s="1"/>
  <c r="X7595" i="15"/>
  <c r="Y7594" i="15" s="1"/>
  <c r="X7596" i="15"/>
  <c r="Y7595" i="15" s="1"/>
  <c r="X7597" i="15"/>
  <c r="Y7596" i="15" s="1"/>
  <c r="X7598" i="15"/>
  <c r="Y7597" i="15" s="1"/>
  <c r="X7599" i="15"/>
  <c r="Y7598" i="15" s="1"/>
  <c r="X7600" i="15"/>
  <c r="Y7599" i="15" s="1"/>
  <c r="X7601" i="15"/>
  <c r="Y7600" i="15" s="1"/>
  <c r="X7602" i="15"/>
  <c r="Y7601" i="15" s="1"/>
  <c r="X7603" i="15"/>
  <c r="Y7602" i="15" s="1"/>
  <c r="X7604" i="15"/>
  <c r="Y7603" i="15" s="1"/>
  <c r="X7605" i="15"/>
  <c r="Y7604" i="15" s="1"/>
  <c r="X7606" i="15"/>
  <c r="Y7605" i="15" s="1"/>
  <c r="X7607" i="15"/>
  <c r="Y7606" i="15" s="1"/>
  <c r="X7608" i="15"/>
  <c r="Y7607" i="15" s="1"/>
  <c r="X7609" i="15"/>
  <c r="Y7608" i="15" s="1"/>
  <c r="X7610" i="15"/>
  <c r="Y7609" i="15" s="1"/>
  <c r="X7611" i="15"/>
  <c r="Y7610" i="15" s="1"/>
  <c r="X7612" i="15"/>
  <c r="Y7611" i="15" s="1"/>
  <c r="X7613" i="15"/>
  <c r="Y7612" i="15" s="1"/>
  <c r="X7614" i="15"/>
  <c r="Y7613" i="15" s="1"/>
  <c r="X7615" i="15"/>
  <c r="Y7614" i="15" s="1"/>
  <c r="X7616" i="15"/>
  <c r="Y7615" i="15" s="1"/>
  <c r="X7617" i="15"/>
  <c r="Y7616" i="15" s="1"/>
  <c r="X7618" i="15"/>
  <c r="Y7617" i="15" s="1"/>
  <c r="X7619" i="15"/>
  <c r="Y7618" i="15" s="1"/>
  <c r="X7620" i="15"/>
  <c r="Y7619" i="15" s="1"/>
  <c r="X7621" i="15"/>
  <c r="Y7620" i="15" s="1"/>
  <c r="X7622" i="15"/>
  <c r="Y7621" i="15" s="1"/>
  <c r="X7623" i="15"/>
  <c r="Y7622" i="15" s="1"/>
  <c r="X7624" i="15"/>
  <c r="Y7623" i="15" s="1"/>
  <c r="X7625" i="15"/>
  <c r="Y7624" i="15" s="1"/>
  <c r="X7626" i="15"/>
  <c r="Y7625" i="15" s="1"/>
  <c r="X7627" i="15"/>
  <c r="Y7626" i="15" s="1"/>
  <c r="X7628" i="15"/>
  <c r="Y7627" i="15" s="1"/>
  <c r="X7629" i="15"/>
  <c r="Y7628" i="15" s="1"/>
  <c r="X7630" i="15"/>
  <c r="Y7629" i="15" s="1"/>
  <c r="X7631" i="15"/>
  <c r="Y7630" i="15" s="1"/>
  <c r="X7632" i="15"/>
  <c r="Y7631" i="15" s="1"/>
  <c r="X7633" i="15"/>
  <c r="Y7632" i="15" s="1"/>
  <c r="X7634" i="15"/>
  <c r="Y7633" i="15" s="1"/>
  <c r="X7635" i="15"/>
  <c r="Y7634" i="15" s="1"/>
  <c r="X7636" i="15"/>
  <c r="Y7635" i="15" s="1"/>
  <c r="X7637" i="15"/>
  <c r="Y7636" i="15" s="1"/>
  <c r="X7638" i="15"/>
  <c r="Y7637" i="15" s="1"/>
  <c r="X7639" i="15"/>
  <c r="Y7638" i="15" s="1"/>
  <c r="X7640" i="15"/>
  <c r="Y7639" i="15" s="1"/>
  <c r="X7641" i="15"/>
  <c r="Y7640" i="15" s="1"/>
  <c r="X7642" i="15"/>
  <c r="Y7641" i="15" s="1"/>
  <c r="X7643" i="15"/>
  <c r="Y7642" i="15" s="1"/>
  <c r="X7644" i="15"/>
  <c r="Y7643" i="15" s="1"/>
  <c r="X7645" i="15"/>
  <c r="Y7644" i="15" s="1"/>
  <c r="X7646" i="15"/>
  <c r="Y7645" i="15" s="1"/>
  <c r="X7647" i="15"/>
  <c r="Y7646" i="15" s="1"/>
  <c r="X7648" i="15"/>
  <c r="Y7647" i="15" s="1"/>
  <c r="X7649" i="15"/>
  <c r="Y7648" i="15" s="1"/>
  <c r="X7650" i="15"/>
  <c r="Y7649" i="15" s="1"/>
  <c r="X7651" i="15"/>
  <c r="Y7650" i="15" s="1"/>
  <c r="X7652" i="15"/>
  <c r="Y7651" i="15" s="1"/>
  <c r="X7653" i="15"/>
  <c r="Y7652" i="15" s="1"/>
  <c r="X7654" i="15"/>
  <c r="Y7653" i="15" s="1"/>
  <c r="X7655" i="15"/>
  <c r="Y7654" i="15" s="1"/>
  <c r="X7656" i="15"/>
  <c r="Y7655" i="15" s="1"/>
  <c r="X7657" i="15"/>
  <c r="Y7656" i="15" s="1"/>
  <c r="X7658" i="15"/>
  <c r="Y7657" i="15" s="1"/>
  <c r="X7659" i="15"/>
  <c r="Y7658" i="15" s="1"/>
  <c r="X7660" i="15"/>
  <c r="Y7659" i="15" s="1"/>
  <c r="X7661" i="15"/>
  <c r="Y7660" i="15" s="1"/>
  <c r="X7662" i="15"/>
  <c r="Y7661" i="15" s="1"/>
  <c r="X7663" i="15"/>
  <c r="Y7662" i="15" s="1"/>
  <c r="X7664" i="15"/>
  <c r="Y7663" i="15" s="1"/>
  <c r="X7665" i="15"/>
  <c r="Y7664" i="15" s="1"/>
  <c r="X7666" i="15"/>
  <c r="Y7665" i="15" s="1"/>
  <c r="X7667" i="15"/>
  <c r="Y7666" i="15" s="1"/>
  <c r="X7668" i="15"/>
  <c r="Y7667" i="15" s="1"/>
  <c r="X7669" i="15"/>
  <c r="Y7668" i="15" s="1"/>
  <c r="X7670" i="15"/>
  <c r="Y7669" i="15" s="1"/>
  <c r="X7671" i="15"/>
  <c r="Y7670" i="15" s="1"/>
  <c r="X7672" i="15"/>
  <c r="Y7671" i="15" s="1"/>
  <c r="X7673" i="15"/>
  <c r="Y7672" i="15" s="1"/>
  <c r="X7674" i="15"/>
  <c r="Y7673" i="15" s="1"/>
  <c r="X7675" i="15"/>
  <c r="Y7674" i="15" s="1"/>
  <c r="X7676" i="15"/>
  <c r="Y7675" i="15" s="1"/>
  <c r="X7677" i="15"/>
  <c r="Y7676" i="15" s="1"/>
  <c r="X7678" i="15"/>
  <c r="Y7677" i="15" s="1"/>
  <c r="X7679" i="15"/>
  <c r="Y7678" i="15" s="1"/>
  <c r="X7680" i="15"/>
  <c r="Y7679" i="15" s="1"/>
  <c r="X7681" i="15"/>
  <c r="Y7680" i="15" s="1"/>
  <c r="X7682" i="15"/>
  <c r="Y7681" i="15" s="1"/>
  <c r="X7683" i="15"/>
  <c r="Y7682" i="15" s="1"/>
  <c r="X7684" i="15"/>
  <c r="Y7683" i="15" s="1"/>
  <c r="X7685" i="15"/>
  <c r="Y7684" i="15" s="1"/>
  <c r="X7686" i="15"/>
  <c r="Y7685" i="15" s="1"/>
  <c r="X7687" i="15"/>
  <c r="Y7686" i="15" s="1"/>
  <c r="X7688" i="15"/>
  <c r="Y7687" i="15" s="1"/>
  <c r="X7689" i="15"/>
  <c r="Y7688" i="15" s="1"/>
  <c r="X7690" i="15"/>
  <c r="Y7689" i="15" s="1"/>
  <c r="X7691" i="15"/>
  <c r="Y7690" i="15" s="1"/>
  <c r="X7692" i="15"/>
  <c r="Y7691" i="15" s="1"/>
  <c r="X7693" i="15"/>
  <c r="Y7692" i="15" s="1"/>
  <c r="X7694" i="15"/>
  <c r="Y7693" i="15" s="1"/>
  <c r="X7695" i="15"/>
  <c r="Y7694" i="15" s="1"/>
  <c r="X7696" i="15"/>
  <c r="Y7695" i="15" s="1"/>
  <c r="X7697" i="15"/>
  <c r="Y7696" i="15" s="1"/>
  <c r="X7698" i="15"/>
  <c r="Y7697" i="15" s="1"/>
  <c r="X7699" i="15"/>
  <c r="Y7698" i="15" s="1"/>
  <c r="X7700" i="15"/>
  <c r="Y7699" i="15" s="1"/>
  <c r="X7701" i="15"/>
  <c r="Y7700" i="15" s="1"/>
  <c r="X7702" i="15"/>
  <c r="Y7701" i="15" s="1"/>
  <c r="X7703" i="15"/>
  <c r="Y7702" i="15" s="1"/>
  <c r="X7704" i="15"/>
  <c r="Y7703" i="15" s="1"/>
  <c r="X7705" i="15"/>
  <c r="Y7704" i="15" s="1"/>
  <c r="X7706" i="15"/>
  <c r="Y7705" i="15" s="1"/>
  <c r="X7707" i="15"/>
  <c r="Y7706" i="15" s="1"/>
  <c r="X7708" i="15"/>
  <c r="Y7707" i="15" s="1"/>
  <c r="X7709" i="15"/>
  <c r="Y7708" i="15" s="1"/>
  <c r="X7710" i="15"/>
  <c r="Y7709" i="15" s="1"/>
  <c r="X7711" i="15"/>
  <c r="Y7710" i="15" s="1"/>
  <c r="X7712" i="15"/>
  <c r="Y7711" i="15" s="1"/>
  <c r="X7713" i="15"/>
  <c r="Y7712" i="15" s="1"/>
  <c r="X7714" i="15"/>
  <c r="Y7713" i="15" s="1"/>
  <c r="X7715" i="15"/>
  <c r="Y7714" i="15" s="1"/>
  <c r="X7716" i="15"/>
  <c r="Y7715" i="15" s="1"/>
  <c r="X7717" i="15"/>
  <c r="Y7716" i="15" s="1"/>
  <c r="X7718" i="15"/>
  <c r="Y7717" i="15" s="1"/>
  <c r="X7719" i="15"/>
  <c r="Y7718" i="15" s="1"/>
  <c r="X7720" i="15"/>
  <c r="Y7719" i="15" s="1"/>
  <c r="X7721" i="15"/>
  <c r="Y7720" i="15" s="1"/>
  <c r="X7722" i="15"/>
  <c r="Y7721" i="15" s="1"/>
  <c r="X7723" i="15"/>
  <c r="Y7722" i="15" s="1"/>
  <c r="X7724" i="15"/>
  <c r="Y7723" i="15" s="1"/>
  <c r="X7725" i="15"/>
  <c r="Y7724" i="15" s="1"/>
  <c r="X7726" i="15"/>
  <c r="Y7725" i="15" s="1"/>
  <c r="X7727" i="15"/>
  <c r="Y7726" i="15" s="1"/>
  <c r="X7728" i="15"/>
  <c r="Y7727" i="15" s="1"/>
  <c r="X7729" i="15"/>
  <c r="Y7728" i="15" s="1"/>
  <c r="X7730" i="15"/>
  <c r="Y7729" i="15" s="1"/>
  <c r="X7731" i="15"/>
  <c r="Y7730" i="15" s="1"/>
  <c r="X7732" i="15"/>
  <c r="Y7731" i="15" s="1"/>
  <c r="X7733" i="15"/>
  <c r="Y7732" i="15" s="1"/>
  <c r="X7734" i="15"/>
  <c r="Y7733" i="15" s="1"/>
  <c r="X7735" i="15"/>
  <c r="Y7734" i="15" s="1"/>
  <c r="X7736" i="15"/>
  <c r="Y7735" i="15" s="1"/>
  <c r="X7737" i="15"/>
  <c r="Y7736" i="15" s="1"/>
  <c r="X7738" i="15"/>
  <c r="Y7737" i="15" s="1"/>
  <c r="X7739" i="15"/>
  <c r="Y7738" i="15" s="1"/>
  <c r="X7740" i="15"/>
  <c r="Y7739" i="15" s="1"/>
  <c r="X7741" i="15"/>
  <c r="Y7740" i="15" s="1"/>
  <c r="X7742" i="15"/>
  <c r="Y7741" i="15" s="1"/>
  <c r="X7743" i="15"/>
  <c r="Y7742" i="15" s="1"/>
  <c r="X7744" i="15"/>
  <c r="Y7743" i="15" s="1"/>
  <c r="X7745" i="15"/>
  <c r="Y7744" i="15" s="1"/>
  <c r="X7746" i="15"/>
  <c r="Y7745" i="15" s="1"/>
  <c r="X7747" i="15"/>
  <c r="Y7746" i="15" s="1"/>
  <c r="X7748" i="15"/>
  <c r="Y7747" i="15" s="1"/>
  <c r="X7749" i="15"/>
  <c r="Y7748" i="15" s="1"/>
  <c r="X7750" i="15"/>
  <c r="Y7749" i="15" s="1"/>
  <c r="X7751" i="15"/>
  <c r="Y7750" i="15" s="1"/>
  <c r="X7752" i="15"/>
  <c r="Y7751" i="15" s="1"/>
  <c r="X7753" i="15"/>
  <c r="Y7752" i="15" s="1"/>
  <c r="X7754" i="15"/>
  <c r="Y7753" i="15" s="1"/>
  <c r="X7755" i="15"/>
  <c r="Y7754" i="15" s="1"/>
  <c r="X7756" i="15"/>
  <c r="Y7755" i="15" s="1"/>
  <c r="X7757" i="15"/>
  <c r="Y7756" i="15" s="1"/>
  <c r="X7758" i="15"/>
  <c r="Y7757" i="15" s="1"/>
  <c r="X7759" i="15"/>
  <c r="Y7758" i="15" s="1"/>
  <c r="X7760" i="15"/>
  <c r="Y7759" i="15" s="1"/>
  <c r="X7761" i="15"/>
  <c r="Y7760" i="15" s="1"/>
  <c r="X7762" i="15"/>
  <c r="Y7761" i="15" s="1"/>
  <c r="X7763" i="15"/>
  <c r="Y7762" i="15" s="1"/>
  <c r="X7764" i="15"/>
  <c r="Y7763" i="15" s="1"/>
  <c r="X7765" i="15"/>
  <c r="Y7764" i="15" s="1"/>
  <c r="X7766" i="15"/>
  <c r="Y7765" i="15" s="1"/>
  <c r="X7767" i="15"/>
  <c r="Y7766" i="15" s="1"/>
  <c r="X7768" i="15"/>
  <c r="Y7767" i="15" s="1"/>
  <c r="X7769" i="15"/>
  <c r="Y7768" i="15" s="1"/>
  <c r="X7770" i="15"/>
  <c r="Y7769" i="15" s="1"/>
  <c r="X7771" i="15"/>
  <c r="Y7770" i="15" s="1"/>
  <c r="X7772" i="15"/>
  <c r="Y7771" i="15" s="1"/>
  <c r="X7773" i="15"/>
  <c r="Y7772" i="15" s="1"/>
  <c r="X7774" i="15"/>
  <c r="Y7773" i="15" s="1"/>
  <c r="X7775" i="15"/>
  <c r="Y7774" i="15" s="1"/>
  <c r="X7776" i="15"/>
  <c r="Y7775" i="15" s="1"/>
  <c r="X7777" i="15"/>
  <c r="Y7776" i="15" s="1"/>
  <c r="X7778" i="15"/>
  <c r="Y7777" i="15" s="1"/>
  <c r="X7779" i="15"/>
  <c r="Y7778" i="15" s="1"/>
  <c r="X7780" i="15"/>
  <c r="Y7779" i="15" s="1"/>
  <c r="X7781" i="15"/>
  <c r="Y7780" i="15" s="1"/>
  <c r="X7782" i="15"/>
  <c r="Y7781" i="15" s="1"/>
  <c r="X7783" i="15"/>
  <c r="Y7782" i="15" s="1"/>
  <c r="X7784" i="15"/>
  <c r="Y7783" i="15" s="1"/>
  <c r="X7785" i="15"/>
  <c r="Y7784" i="15" s="1"/>
  <c r="X7786" i="15"/>
  <c r="Y7785" i="15" s="1"/>
  <c r="X7787" i="15"/>
  <c r="Y7786" i="15" s="1"/>
  <c r="X7788" i="15"/>
  <c r="Y7787" i="15" s="1"/>
  <c r="X7789" i="15"/>
  <c r="Y7788" i="15" s="1"/>
  <c r="X7790" i="15"/>
  <c r="Y7789" i="15" s="1"/>
  <c r="X7791" i="15"/>
  <c r="Y7790" i="15" s="1"/>
  <c r="X7792" i="15"/>
  <c r="Y7791" i="15" s="1"/>
  <c r="X7793" i="15"/>
  <c r="Y7792" i="15" s="1"/>
  <c r="X7794" i="15"/>
  <c r="Y7793" i="15" s="1"/>
  <c r="X7795" i="15"/>
  <c r="Y7794" i="15" s="1"/>
  <c r="X7796" i="15"/>
  <c r="Y7795" i="15" s="1"/>
  <c r="X7797" i="15"/>
  <c r="Y7796" i="15" s="1"/>
  <c r="X7798" i="15"/>
  <c r="Y7797" i="15" s="1"/>
  <c r="X7799" i="15"/>
  <c r="Y7798" i="15" s="1"/>
  <c r="X7800" i="15"/>
  <c r="Y7799" i="15" s="1"/>
  <c r="X7801" i="15"/>
  <c r="Y7800" i="15" s="1"/>
  <c r="X7802" i="15"/>
  <c r="Y7801" i="15" s="1"/>
  <c r="X7803" i="15"/>
  <c r="Y7802" i="15" s="1"/>
  <c r="X7804" i="15"/>
  <c r="Y7803" i="15" s="1"/>
  <c r="X7805" i="15"/>
  <c r="Y7804" i="15" s="1"/>
  <c r="X7806" i="15"/>
  <c r="Y7805" i="15" s="1"/>
  <c r="X7807" i="15"/>
  <c r="Y7806" i="15" s="1"/>
  <c r="X7808" i="15"/>
  <c r="Y7807" i="15" s="1"/>
  <c r="X7809" i="15"/>
  <c r="Y7808" i="15" s="1"/>
  <c r="X7810" i="15"/>
  <c r="Y7809" i="15" s="1"/>
  <c r="X7811" i="15"/>
  <c r="Y7810" i="15" s="1"/>
  <c r="X7812" i="15"/>
  <c r="Y7811" i="15" s="1"/>
  <c r="X7813" i="15"/>
  <c r="Y7812" i="15" s="1"/>
  <c r="X7814" i="15"/>
  <c r="Y7813" i="15" s="1"/>
  <c r="X7815" i="15"/>
  <c r="Y7814" i="15" s="1"/>
  <c r="X7816" i="15"/>
  <c r="Y7815" i="15" s="1"/>
  <c r="X7817" i="15"/>
  <c r="Y7816" i="15" s="1"/>
  <c r="X7818" i="15"/>
  <c r="Y7817" i="15" s="1"/>
  <c r="X7819" i="15"/>
  <c r="Y7818" i="15" s="1"/>
  <c r="X7820" i="15"/>
  <c r="Y7819" i="15" s="1"/>
  <c r="X7821" i="15"/>
  <c r="Y7820" i="15" s="1"/>
  <c r="X7822" i="15"/>
  <c r="Y7821" i="15" s="1"/>
  <c r="X7823" i="15"/>
  <c r="Y7822" i="15" s="1"/>
  <c r="X7824" i="15"/>
  <c r="Y7823" i="15" s="1"/>
  <c r="X7825" i="15"/>
  <c r="Y7824" i="15" s="1"/>
  <c r="X7826" i="15"/>
  <c r="Y7825" i="15" s="1"/>
  <c r="X7827" i="15"/>
  <c r="Y7826" i="15" s="1"/>
  <c r="X7828" i="15"/>
  <c r="Y7827" i="15" s="1"/>
  <c r="X7829" i="15"/>
  <c r="Y7828" i="15" s="1"/>
  <c r="X7830" i="15"/>
  <c r="Y7829" i="15" s="1"/>
  <c r="X7831" i="15"/>
  <c r="Y7830" i="15" s="1"/>
  <c r="X7832" i="15"/>
  <c r="Y7831" i="15" s="1"/>
  <c r="X7833" i="15"/>
  <c r="Y7832" i="15" s="1"/>
  <c r="X7834" i="15"/>
  <c r="Y7833" i="15" s="1"/>
  <c r="X7835" i="15"/>
  <c r="Y7834" i="15" s="1"/>
  <c r="X7836" i="15"/>
  <c r="Y7835" i="15" s="1"/>
  <c r="X7837" i="15"/>
  <c r="Y7836" i="15" s="1"/>
  <c r="X7838" i="15"/>
  <c r="Y7837" i="15" s="1"/>
  <c r="X7839" i="15"/>
  <c r="Y7838" i="15" s="1"/>
  <c r="X7840" i="15"/>
  <c r="Y7839" i="15" s="1"/>
  <c r="X7841" i="15"/>
  <c r="Y7840" i="15" s="1"/>
  <c r="X7842" i="15"/>
  <c r="Y7841" i="15" s="1"/>
  <c r="X7843" i="15"/>
  <c r="Y7842" i="15" s="1"/>
  <c r="X7844" i="15"/>
  <c r="Y7843" i="15" s="1"/>
  <c r="X7845" i="15"/>
  <c r="Y7844" i="15" s="1"/>
  <c r="X7846" i="15"/>
  <c r="Y7845" i="15" s="1"/>
  <c r="X7847" i="15"/>
  <c r="Y7846" i="15" s="1"/>
  <c r="X7848" i="15"/>
  <c r="Y7847" i="15" s="1"/>
  <c r="X7849" i="15"/>
  <c r="Y7848" i="15" s="1"/>
  <c r="X7850" i="15"/>
  <c r="Y7849" i="15" s="1"/>
  <c r="X7851" i="15"/>
  <c r="Y7850" i="15" s="1"/>
  <c r="X7852" i="15"/>
  <c r="Y7851" i="15" s="1"/>
  <c r="X7853" i="15"/>
  <c r="Y7852" i="15" s="1"/>
  <c r="X7854" i="15"/>
  <c r="Y7853" i="15" s="1"/>
  <c r="X7855" i="15"/>
  <c r="Y7854" i="15" s="1"/>
  <c r="X7856" i="15"/>
  <c r="Y7855" i="15" s="1"/>
  <c r="X7857" i="15"/>
  <c r="Y7856" i="15" s="1"/>
  <c r="X7858" i="15"/>
  <c r="Y7857" i="15" s="1"/>
  <c r="X7859" i="15"/>
  <c r="Y7858" i="15" s="1"/>
  <c r="X7860" i="15"/>
  <c r="Y7859" i="15" s="1"/>
  <c r="X7861" i="15"/>
  <c r="Y7860" i="15" s="1"/>
  <c r="X7862" i="15"/>
  <c r="Y7861" i="15" s="1"/>
  <c r="X7863" i="15"/>
  <c r="Y7862" i="15" s="1"/>
  <c r="X7864" i="15"/>
  <c r="Y7863" i="15" s="1"/>
  <c r="X7865" i="15"/>
  <c r="Y7864" i="15" s="1"/>
  <c r="X7866" i="15"/>
  <c r="Y7865" i="15" s="1"/>
  <c r="X7867" i="15"/>
  <c r="Y7866" i="15" s="1"/>
  <c r="X7868" i="15"/>
  <c r="Y7867" i="15" s="1"/>
  <c r="X7869" i="15"/>
  <c r="Y7868" i="15" s="1"/>
  <c r="X7870" i="15"/>
  <c r="Y7869" i="15" s="1"/>
  <c r="X7871" i="15"/>
  <c r="Y7870" i="15" s="1"/>
  <c r="X7872" i="15"/>
  <c r="Y7871" i="15" s="1"/>
  <c r="X7873" i="15"/>
  <c r="Y7872" i="15" s="1"/>
  <c r="X7874" i="15"/>
  <c r="Y7873" i="15" s="1"/>
  <c r="X7875" i="15"/>
  <c r="Y7874" i="15" s="1"/>
  <c r="X7876" i="15"/>
  <c r="Y7875" i="15" s="1"/>
  <c r="X7877" i="15"/>
  <c r="Y7876" i="15" s="1"/>
  <c r="X7878" i="15"/>
  <c r="Y7877" i="15" s="1"/>
  <c r="X7879" i="15"/>
  <c r="Y7878" i="15" s="1"/>
  <c r="X7880" i="15"/>
  <c r="Y7879" i="15" s="1"/>
  <c r="X7881" i="15"/>
  <c r="Y7880" i="15" s="1"/>
  <c r="X7882" i="15"/>
  <c r="Y7881" i="15" s="1"/>
  <c r="X7883" i="15"/>
  <c r="Y7882" i="15" s="1"/>
  <c r="X7884" i="15"/>
  <c r="Y7883" i="15" s="1"/>
  <c r="X7885" i="15"/>
  <c r="Y7884" i="15" s="1"/>
  <c r="X7886" i="15"/>
  <c r="Y7885" i="15" s="1"/>
  <c r="X7887" i="15"/>
  <c r="Y7886" i="15" s="1"/>
  <c r="X7888" i="15"/>
  <c r="Y7887" i="15" s="1"/>
  <c r="X7889" i="15"/>
  <c r="Y7888" i="15" s="1"/>
  <c r="X7890" i="15"/>
  <c r="Y7889" i="15" s="1"/>
  <c r="X7891" i="15"/>
  <c r="Y7890" i="15" s="1"/>
  <c r="X7892" i="15"/>
  <c r="Y7891" i="15" s="1"/>
  <c r="X7893" i="15"/>
  <c r="Y7892" i="15" s="1"/>
  <c r="X7894" i="15"/>
  <c r="Y7893" i="15" s="1"/>
  <c r="X7895" i="15"/>
  <c r="Y7894" i="15" s="1"/>
  <c r="X7896" i="15"/>
  <c r="Y7895" i="15" s="1"/>
  <c r="X7897" i="15"/>
  <c r="Y7896" i="15" s="1"/>
  <c r="X7898" i="15"/>
  <c r="Y7897" i="15" s="1"/>
  <c r="X7899" i="15"/>
  <c r="Y7898" i="15" s="1"/>
  <c r="X7900" i="15"/>
  <c r="Y7899" i="15" s="1"/>
  <c r="X7901" i="15"/>
  <c r="Y7900" i="15" s="1"/>
  <c r="X7902" i="15"/>
  <c r="Y7901" i="15" s="1"/>
  <c r="X7903" i="15"/>
  <c r="Y7902" i="15" s="1"/>
  <c r="X7904" i="15"/>
  <c r="Y7903" i="15" s="1"/>
  <c r="X7905" i="15"/>
  <c r="Y7904" i="15" s="1"/>
  <c r="X7906" i="15"/>
  <c r="Y7905" i="15" s="1"/>
  <c r="X7907" i="15"/>
  <c r="Y7906" i="15" s="1"/>
  <c r="X7908" i="15"/>
  <c r="Y7907" i="15" s="1"/>
  <c r="X7909" i="15"/>
  <c r="Y7908" i="15" s="1"/>
  <c r="X7910" i="15"/>
  <c r="Y7909" i="15" s="1"/>
  <c r="X7911" i="15"/>
  <c r="Y7910" i="15" s="1"/>
  <c r="X7912" i="15"/>
  <c r="Y7911" i="15" s="1"/>
  <c r="X7913" i="15"/>
  <c r="Y7912" i="15" s="1"/>
  <c r="X7914" i="15"/>
  <c r="Y7913" i="15" s="1"/>
  <c r="X7915" i="15"/>
  <c r="Y7914" i="15" s="1"/>
  <c r="X7916" i="15"/>
  <c r="Y7915" i="15" s="1"/>
  <c r="X7917" i="15"/>
  <c r="Y7916" i="15" s="1"/>
  <c r="X7918" i="15"/>
  <c r="Y7917" i="15" s="1"/>
  <c r="X7919" i="15"/>
  <c r="Y7918" i="15" s="1"/>
  <c r="X7920" i="15"/>
  <c r="Y7919" i="15" s="1"/>
  <c r="X7921" i="15"/>
  <c r="Y7920" i="15" s="1"/>
  <c r="X7922" i="15"/>
  <c r="Y7921" i="15" s="1"/>
  <c r="X7923" i="15"/>
  <c r="Y7922" i="15" s="1"/>
  <c r="X7924" i="15"/>
  <c r="Y7923" i="15" s="1"/>
  <c r="X7925" i="15"/>
  <c r="Y7924" i="15" s="1"/>
  <c r="X7926" i="15"/>
  <c r="Y7925" i="15" s="1"/>
  <c r="X7927" i="15"/>
  <c r="Y7926" i="15" s="1"/>
  <c r="X7928" i="15"/>
  <c r="Y7927" i="15" s="1"/>
  <c r="X7929" i="15"/>
  <c r="Y7928" i="15" s="1"/>
  <c r="X7930" i="15"/>
  <c r="Y7929" i="15" s="1"/>
  <c r="X7931" i="15"/>
  <c r="Y7930" i="15" s="1"/>
  <c r="X7932" i="15"/>
  <c r="Y7931" i="15" s="1"/>
  <c r="X7933" i="15"/>
  <c r="Y7932" i="15" s="1"/>
  <c r="X7934" i="15"/>
  <c r="Y7933" i="15" s="1"/>
  <c r="X7935" i="15"/>
  <c r="Y7934" i="15" s="1"/>
  <c r="X7936" i="15"/>
  <c r="Y7935" i="15" s="1"/>
  <c r="X7937" i="15"/>
  <c r="Y7936" i="15" s="1"/>
  <c r="X7938" i="15"/>
  <c r="Y7937" i="15" s="1"/>
  <c r="X7939" i="15"/>
  <c r="Y7938" i="15" s="1"/>
  <c r="X7940" i="15"/>
  <c r="Y7939" i="15" s="1"/>
  <c r="X7941" i="15"/>
  <c r="Y7940" i="15" s="1"/>
  <c r="X7942" i="15"/>
  <c r="Y7941" i="15" s="1"/>
  <c r="X7943" i="15"/>
  <c r="Y7942" i="15" s="1"/>
  <c r="X7944" i="15"/>
  <c r="Y7943" i="15" s="1"/>
  <c r="X7945" i="15"/>
  <c r="Y7944" i="15" s="1"/>
  <c r="X7946" i="15"/>
  <c r="Y7945" i="15" s="1"/>
  <c r="X7947" i="15"/>
  <c r="Y7946" i="15" s="1"/>
  <c r="X7948" i="15"/>
  <c r="Y7947" i="15" s="1"/>
  <c r="X7949" i="15"/>
  <c r="Y7948" i="15" s="1"/>
  <c r="X7950" i="15"/>
  <c r="Y7949" i="15" s="1"/>
  <c r="X7951" i="15"/>
  <c r="Y7950" i="15" s="1"/>
  <c r="X7952" i="15"/>
  <c r="Y7951" i="15" s="1"/>
  <c r="X7953" i="15"/>
  <c r="Y7952" i="15" s="1"/>
  <c r="X7954" i="15"/>
  <c r="Y7953" i="15" s="1"/>
  <c r="X7955" i="15"/>
  <c r="Y7954" i="15" s="1"/>
  <c r="X7956" i="15"/>
  <c r="Y7955" i="15" s="1"/>
  <c r="X7957" i="15"/>
  <c r="Y7956" i="15" s="1"/>
  <c r="X7958" i="15"/>
  <c r="Y7957" i="15" s="1"/>
  <c r="X7959" i="15"/>
  <c r="Y7958" i="15" s="1"/>
  <c r="X7960" i="15"/>
  <c r="Y7959" i="15" s="1"/>
  <c r="X7961" i="15"/>
  <c r="Y7960" i="15" s="1"/>
  <c r="X7962" i="15"/>
  <c r="Y7961" i="15" s="1"/>
  <c r="X7963" i="15"/>
  <c r="Y7962" i="15" s="1"/>
  <c r="X7964" i="15"/>
  <c r="Y7963" i="15" s="1"/>
  <c r="X7965" i="15"/>
  <c r="Y7964" i="15" s="1"/>
  <c r="X7966" i="15"/>
  <c r="Y7965" i="15" s="1"/>
  <c r="X7967" i="15"/>
  <c r="Y7966" i="15" s="1"/>
  <c r="X7968" i="15"/>
  <c r="Y7967" i="15" s="1"/>
  <c r="X7969" i="15"/>
  <c r="Y7968" i="15" s="1"/>
  <c r="X7970" i="15"/>
  <c r="Y7969" i="15" s="1"/>
  <c r="X7971" i="15"/>
  <c r="Y7970" i="15" s="1"/>
  <c r="X7972" i="15"/>
  <c r="Y7971" i="15" s="1"/>
  <c r="X7973" i="15"/>
  <c r="Y7972" i="15" s="1"/>
  <c r="X7974" i="15"/>
  <c r="Y7973" i="15" s="1"/>
  <c r="X7975" i="15"/>
  <c r="Y7974" i="15" s="1"/>
  <c r="X7976" i="15"/>
  <c r="Y7975" i="15" s="1"/>
  <c r="X7977" i="15"/>
  <c r="Y7976" i="15" s="1"/>
  <c r="X7978" i="15"/>
  <c r="Y7977" i="15" s="1"/>
  <c r="X7979" i="15"/>
  <c r="Y7978" i="15" s="1"/>
  <c r="X7980" i="15"/>
  <c r="Y7979" i="15" s="1"/>
  <c r="X7981" i="15"/>
  <c r="Y7980" i="15" s="1"/>
  <c r="X7982" i="15"/>
  <c r="Y7981" i="15" s="1"/>
  <c r="X7983" i="15"/>
  <c r="Y7982" i="15" s="1"/>
  <c r="X7984" i="15"/>
  <c r="Y7983" i="15" s="1"/>
  <c r="X7985" i="15"/>
  <c r="Y7984" i="15" s="1"/>
  <c r="X7986" i="15"/>
  <c r="Y7985" i="15" s="1"/>
  <c r="X7987" i="15"/>
  <c r="Y7986" i="15" s="1"/>
  <c r="X7988" i="15"/>
  <c r="Y7987" i="15" s="1"/>
  <c r="X7989" i="15"/>
  <c r="Y7988" i="15" s="1"/>
  <c r="X7990" i="15"/>
  <c r="Y7989" i="15" s="1"/>
  <c r="X7991" i="15"/>
  <c r="Y7990" i="15" s="1"/>
  <c r="X7992" i="15"/>
  <c r="Y7991" i="15" s="1"/>
  <c r="X7993" i="15"/>
  <c r="Y7992" i="15" s="1"/>
  <c r="X7994" i="15"/>
  <c r="Y7993" i="15" s="1"/>
  <c r="X7995" i="15"/>
  <c r="Y7994" i="15" s="1"/>
  <c r="X7996" i="15"/>
  <c r="Y7995" i="15" s="1"/>
  <c r="X7997" i="15"/>
  <c r="Y7996" i="15" s="1"/>
  <c r="X7998" i="15"/>
  <c r="Y7997" i="15" s="1"/>
  <c r="X7999" i="15"/>
  <c r="Y7998" i="15" s="1"/>
  <c r="X8000" i="15"/>
  <c r="Y7999" i="15" s="1"/>
  <c r="X8001" i="15"/>
  <c r="Y8000" i="15" s="1"/>
  <c r="X8002" i="15"/>
  <c r="Y8001" i="15" s="1"/>
  <c r="X8003" i="15"/>
  <c r="Y8002" i="15" s="1"/>
  <c r="X8004" i="15"/>
  <c r="Y8003" i="15" s="1"/>
  <c r="X8005" i="15"/>
  <c r="Y8004" i="15" s="1"/>
  <c r="X8006" i="15"/>
  <c r="Y8005" i="15" s="1"/>
  <c r="X8007" i="15"/>
  <c r="Y8006" i="15" s="1"/>
  <c r="X8008" i="15"/>
  <c r="Y8007" i="15" s="1"/>
  <c r="X8009" i="15"/>
  <c r="Y8008" i="15" s="1"/>
  <c r="X8010" i="15"/>
  <c r="Y8009" i="15" s="1"/>
  <c r="X8011" i="15"/>
  <c r="Y8010" i="15" s="1"/>
  <c r="X8012" i="15"/>
  <c r="Y8011" i="15" s="1"/>
  <c r="X8013" i="15"/>
  <c r="Y8012" i="15" s="1"/>
  <c r="X8014" i="15"/>
  <c r="Y8013" i="15" s="1"/>
  <c r="X8015" i="15"/>
  <c r="Y8014" i="15" s="1"/>
  <c r="X8016" i="15"/>
  <c r="Y8015" i="15" s="1"/>
  <c r="X8017" i="15"/>
  <c r="Y8016" i="15" s="1"/>
  <c r="X8018" i="15"/>
  <c r="Y8017" i="15" s="1"/>
  <c r="X8019" i="15"/>
  <c r="Y8018" i="15" s="1"/>
  <c r="X8020" i="15"/>
  <c r="Y8019" i="15" s="1"/>
  <c r="X8021" i="15"/>
  <c r="Y8020" i="15" s="1"/>
  <c r="X8022" i="15"/>
  <c r="Y8021" i="15" s="1"/>
  <c r="X8023" i="15"/>
  <c r="Y8022" i="15" s="1"/>
  <c r="X8024" i="15"/>
  <c r="Y8023" i="15" s="1"/>
  <c r="X8025" i="15"/>
  <c r="Y8024" i="15" s="1"/>
  <c r="X8026" i="15"/>
  <c r="Y8025" i="15" s="1"/>
  <c r="X8027" i="15"/>
  <c r="Y8026" i="15" s="1"/>
  <c r="X8028" i="15"/>
  <c r="Y8027" i="15" s="1"/>
  <c r="X8029" i="15"/>
  <c r="Y8028" i="15" s="1"/>
  <c r="X8030" i="15"/>
  <c r="Y8029" i="15" s="1"/>
  <c r="X8031" i="15"/>
  <c r="Y8030" i="15" s="1"/>
  <c r="X8032" i="15"/>
  <c r="Y8031" i="15" s="1"/>
  <c r="X8033" i="15"/>
  <c r="Y8032" i="15" s="1"/>
  <c r="X8034" i="15"/>
  <c r="Y8033" i="15" s="1"/>
  <c r="X8035" i="15"/>
  <c r="Y8034" i="15" s="1"/>
  <c r="X8036" i="15"/>
  <c r="Y8035" i="15" s="1"/>
  <c r="X8037" i="15"/>
  <c r="Y8036" i="15" s="1"/>
  <c r="X8038" i="15"/>
  <c r="Y8037" i="15" s="1"/>
  <c r="X8039" i="15"/>
  <c r="Y8038" i="15" s="1"/>
  <c r="X8040" i="15"/>
  <c r="Y8039" i="15" s="1"/>
  <c r="X8041" i="15"/>
  <c r="Y8040" i="15" s="1"/>
  <c r="X8042" i="15"/>
  <c r="Y8041" i="15" s="1"/>
  <c r="X8043" i="15"/>
  <c r="Y8042" i="15" s="1"/>
  <c r="X8044" i="15"/>
  <c r="Y8043" i="15" s="1"/>
  <c r="X8045" i="15"/>
  <c r="Y8044" i="15" s="1"/>
  <c r="X8046" i="15"/>
  <c r="Y8045" i="15" s="1"/>
  <c r="X8047" i="15"/>
  <c r="Y8046" i="15" s="1"/>
  <c r="X8048" i="15"/>
  <c r="Y8047" i="15" s="1"/>
  <c r="X8049" i="15"/>
  <c r="Y8048" i="15" s="1"/>
  <c r="X8050" i="15"/>
  <c r="Y8049" i="15" s="1"/>
  <c r="X8051" i="15"/>
  <c r="Y8050" i="15" s="1"/>
  <c r="X8052" i="15"/>
  <c r="Y8051" i="15" s="1"/>
  <c r="X8053" i="15"/>
  <c r="Y8052" i="15" s="1"/>
  <c r="X8054" i="15"/>
  <c r="Y8053" i="15" s="1"/>
  <c r="X8055" i="15"/>
  <c r="Y8054" i="15" s="1"/>
  <c r="X8056" i="15"/>
  <c r="Y8055" i="15" s="1"/>
  <c r="X8057" i="15"/>
  <c r="Y8056" i="15" s="1"/>
  <c r="X8058" i="15"/>
  <c r="Y8057" i="15" s="1"/>
  <c r="X8059" i="15"/>
  <c r="Y8058" i="15" s="1"/>
  <c r="X8060" i="15"/>
  <c r="Y8059" i="15" s="1"/>
  <c r="X8061" i="15"/>
  <c r="Y8060" i="15" s="1"/>
  <c r="X8062" i="15"/>
  <c r="Y8061" i="15" s="1"/>
  <c r="X8063" i="15"/>
  <c r="Y8062" i="15" s="1"/>
  <c r="X8064" i="15"/>
  <c r="Y8063" i="15" s="1"/>
  <c r="X8065" i="15"/>
  <c r="Y8064" i="15" s="1"/>
  <c r="X8066" i="15"/>
  <c r="Y8065" i="15" s="1"/>
  <c r="X8067" i="15"/>
  <c r="Y8066" i="15" s="1"/>
  <c r="X8068" i="15"/>
  <c r="Y8067" i="15" s="1"/>
  <c r="X8069" i="15"/>
  <c r="Y8068" i="15" s="1"/>
  <c r="X8070" i="15"/>
  <c r="Y8069" i="15" s="1"/>
  <c r="X8071" i="15"/>
  <c r="Y8070" i="15" s="1"/>
  <c r="X8072" i="15"/>
  <c r="Y8071" i="15" s="1"/>
  <c r="X8073" i="15"/>
  <c r="Y8072" i="15" s="1"/>
  <c r="X8074" i="15"/>
  <c r="Y8073" i="15" s="1"/>
  <c r="X8075" i="15"/>
  <c r="Y8074" i="15" s="1"/>
  <c r="X8076" i="15"/>
  <c r="Y8075" i="15" s="1"/>
  <c r="X8077" i="15"/>
  <c r="Y8076" i="15" s="1"/>
  <c r="X8078" i="15"/>
  <c r="Y8077" i="15" s="1"/>
  <c r="X8079" i="15"/>
  <c r="Y8078" i="15" s="1"/>
  <c r="X8080" i="15"/>
  <c r="Y8079" i="15" s="1"/>
  <c r="X8081" i="15"/>
  <c r="Y8080" i="15" s="1"/>
  <c r="X8082" i="15"/>
  <c r="Y8081" i="15" s="1"/>
  <c r="X8083" i="15"/>
  <c r="Y8082" i="15" s="1"/>
  <c r="X8084" i="15"/>
  <c r="Y8083" i="15" s="1"/>
  <c r="X8085" i="15"/>
  <c r="Y8084" i="15" s="1"/>
  <c r="X8086" i="15"/>
  <c r="Y8085" i="15" s="1"/>
  <c r="X8087" i="15"/>
  <c r="Y8086" i="15" s="1"/>
  <c r="X8088" i="15"/>
  <c r="Y8087" i="15" s="1"/>
  <c r="X8089" i="15"/>
  <c r="Y8088" i="15" s="1"/>
  <c r="X8090" i="15"/>
  <c r="Y8089" i="15" s="1"/>
  <c r="X8091" i="15"/>
  <c r="Y8090" i="15" s="1"/>
  <c r="X8092" i="15"/>
  <c r="Y8091" i="15" s="1"/>
  <c r="X8093" i="15"/>
  <c r="Y8092" i="15" s="1"/>
  <c r="X8094" i="15"/>
  <c r="Y8093" i="15" s="1"/>
  <c r="X8095" i="15"/>
  <c r="Y8094" i="15" s="1"/>
  <c r="X8096" i="15"/>
  <c r="Y8095" i="15" s="1"/>
  <c r="X8097" i="15"/>
  <c r="Y8096" i="15" s="1"/>
  <c r="X8098" i="15"/>
  <c r="Y8097" i="15" s="1"/>
  <c r="X8099" i="15"/>
  <c r="Y8098" i="15" s="1"/>
  <c r="X8100" i="15"/>
  <c r="Y8099" i="15" s="1"/>
  <c r="X8101" i="15"/>
  <c r="Y8100" i="15" s="1"/>
  <c r="X8102" i="15"/>
  <c r="Y8101" i="15" s="1"/>
  <c r="X8103" i="15"/>
  <c r="Y8102" i="15" s="1"/>
  <c r="X8104" i="15"/>
  <c r="Y8103" i="15" s="1"/>
  <c r="X8105" i="15"/>
  <c r="Y8104" i="15" s="1"/>
  <c r="X8106" i="15"/>
  <c r="Y8105" i="15" s="1"/>
  <c r="X8107" i="15"/>
  <c r="Y8106" i="15" s="1"/>
  <c r="X8108" i="15"/>
  <c r="Y8107" i="15" s="1"/>
  <c r="X8109" i="15"/>
  <c r="Y8108" i="15" s="1"/>
  <c r="X8110" i="15"/>
  <c r="Y8109" i="15" s="1"/>
  <c r="X8111" i="15"/>
  <c r="Y8110" i="15" s="1"/>
  <c r="X8112" i="15"/>
  <c r="Y8111" i="15" s="1"/>
  <c r="X8113" i="15"/>
  <c r="Y8112" i="15" s="1"/>
  <c r="X8114" i="15"/>
  <c r="Y8113" i="15" s="1"/>
  <c r="X8115" i="15"/>
  <c r="Y8114" i="15" s="1"/>
  <c r="X8116" i="15"/>
  <c r="Y8115" i="15" s="1"/>
  <c r="X8117" i="15"/>
  <c r="Y8116" i="15" s="1"/>
  <c r="X8118" i="15"/>
  <c r="Y8117" i="15" s="1"/>
  <c r="X8119" i="15"/>
  <c r="Y8118" i="15" s="1"/>
  <c r="X8120" i="15"/>
  <c r="Y8119" i="15" s="1"/>
  <c r="X8121" i="15"/>
  <c r="Y8120" i="15" s="1"/>
  <c r="X8122" i="15"/>
  <c r="Y8121" i="15" s="1"/>
  <c r="X8123" i="15"/>
  <c r="Y8122" i="15" s="1"/>
  <c r="X8124" i="15"/>
  <c r="Y8123" i="15" s="1"/>
  <c r="X8125" i="15"/>
  <c r="Y8124" i="15" s="1"/>
  <c r="X8126" i="15"/>
  <c r="Y8125" i="15" s="1"/>
  <c r="X8127" i="15"/>
  <c r="Y8126" i="15" s="1"/>
  <c r="X8128" i="15"/>
  <c r="Y8127" i="15" s="1"/>
  <c r="X8129" i="15"/>
  <c r="Y8128" i="15" s="1"/>
  <c r="X8130" i="15"/>
  <c r="Y8129" i="15" s="1"/>
  <c r="X8131" i="15"/>
  <c r="Y8130" i="15" s="1"/>
  <c r="X8132" i="15"/>
  <c r="Y8131" i="15" s="1"/>
  <c r="X8133" i="15"/>
  <c r="Y8132" i="15" s="1"/>
  <c r="X8134" i="15"/>
  <c r="Y8133" i="15" s="1"/>
  <c r="X8135" i="15"/>
  <c r="Y8134" i="15" s="1"/>
  <c r="X8136" i="15"/>
  <c r="Y8135" i="15" s="1"/>
  <c r="X8137" i="15"/>
  <c r="Y8136" i="15" s="1"/>
  <c r="X8138" i="15"/>
  <c r="Y8137" i="15" s="1"/>
  <c r="X8139" i="15"/>
  <c r="Y8138" i="15" s="1"/>
  <c r="X8140" i="15"/>
  <c r="Y8139" i="15" s="1"/>
  <c r="X8141" i="15"/>
  <c r="Y8140" i="15" s="1"/>
  <c r="X8142" i="15"/>
  <c r="Y8141" i="15" s="1"/>
  <c r="X8143" i="15"/>
  <c r="Y8142" i="15" s="1"/>
  <c r="X8144" i="15"/>
  <c r="Y8143" i="15" s="1"/>
  <c r="X8145" i="15"/>
  <c r="Y8144" i="15" s="1"/>
  <c r="X8146" i="15"/>
  <c r="Y8145" i="15" s="1"/>
  <c r="X8147" i="15"/>
  <c r="Y8146" i="15" s="1"/>
  <c r="X8148" i="15"/>
  <c r="Y8147" i="15" s="1"/>
  <c r="X8149" i="15"/>
  <c r="Y8148" i="15" s="1"/>
  <c r="X8150" i="15"/>
  <c r="Y8149" i="15" s="1"/>
  <c r="X8151" i="15"/>
  <c r="Y8150" i="15" s="1"/>
  <c r="X8152" i="15"/>
  <c r="Y8151" i="15" s="1"/>
  <c r="X8153" i="15"/>
  <c r="Y8152" i="15" s="1"/>
  <c r="X8154" i="15"/>
  <c r="Y8153" i="15" s="1"/>
  <c r="X8155" i="15"/>
  <c r="Y8154" i="15" s="1"/>
  <c r="X8156" i="15"/>
  <c r="Y8155" i="15" s="1"/>
  <c r="X8157" i="15"/>
  <c r="Y8156" i="15" s="1"/>
  <c r="X8158" i="15"/>
  <c r="Y8157" i="15" s="1"/>
  <c r="X8159" i="15"/>
  <c r="Y8158" i="15" s="1"/>
  <c r="X8160" i="15"/>
  <c r="Y8159" i="15" s="1"/>
  <c r="X8161" i="15"/>
  <c r="Y8160" i="15" s="1"/>
  <c r="X8162" i="15"/>
  <c r="Y8161" i="15" s="1"/>
  <c r="X8163" i="15"/>
  <c r="Y8162" i="15" s="1"/>
  <c r="X8164" i="15"/>
  <c r="Y8163" i="15" s="1"/>
  <c r="X8165" i="15"/>
  <c r="Y8164" i="15" s="1"/>
  <c r="X8166" i="15"/>
  <c r="Y8165" i="15" s="1"/>
  <c r="X8167" i="15"/>
  <c r="Y8166" i="15" s="1"/>
  <c r="X8168" i="15"/>
  <c r="Y8167" i="15" s="1"/>
  <c r="X8169" i="15"/>
  <c r="Y8168" i="15" s="1"/>
  <c r="X8170" i="15"/>
  <c r="Y8169" i="15" s="1"/>
  <c r="X8171" i="15"/>
  <c r="Y8170" i="15" s="1"/>
  <c r="X8172" i="15"/>
  <c r="Y8171" i="15" s="1"/>
  <c r="X8173" i="15"/>
  <c r="Y8172" i="15" s="1"/>
  <c r="X8174" i="15"/>
  <c r="Y8173" i="15" s="1"/>
  <c r="X8175" i="15"/>
  <c r="Y8174" i="15" s="1"/>
  <c r="X8176" i="15"/>
  <c r="Y8175" i="15" s="1"/>
  <c r="X8177" i="15"/>
  <c r="Y8176" i="15" s="1"/>
  <c r="X8178" i="15"/>
  <c r="Y8177" i="15" s="1"/>
  <c r="X8179" i="15"/>
  <c r="Y8178" i="15" s="1"/>
  <c r="X8180" i="15"/>
  <c r="Y8179" i="15" s="1"/>
  <c r="X8181" i="15"/>
  <c r="Y8180" i="15" s="1"/>
  <c r="X8182" i="15"/>
  <c r="Y8181" i="15" s="1"/>
  <c r="X8183" i="15"/>
  <c r="Y8182" i="15" s="1"/>
  <c r="X8184" i="15"/>
  <c r="Y8183" i="15" s="1"/>
  <c r="X8185" i="15"/>
  <c r="Y8184" i="15" s="1"/>
  <c r="X8186" i="15"/>
  <c r="Y8185" i="15" s="1"/>
  <c r="X8187" i="15"/>
  <c r="Y8186" i="15" s="1"/>
  <c r="X8188" i="15"/>
  <c r="Y8187" i="15" s="1"/>
  <c r="X8189" i="15"/>
  <c r="Y8188" i="15" s="1"/>
  <c r="X8190" i="15"/>
  <c r="Y8189" i="15" s="1"/>
  <c r="X8191" i="15"/>
  <c r="Y8190" i="15" s="1"/>
  <c r="X8192" i="15"/>
  <c r="Y8191" i="15" s="1"/>
  <c r="X8193" i="15"/>
  <c r="Y8192" i="15" s="1"/>
  <c r="X8194" i="15"/>
  <c r="Y8193" i="15" s="1"/>
  <c r="X8195" i="15"/>
  <c r="Y8194" i="15" s="1"/>
  <c r="X8196" i="15"/>
  <c r="Y8195" i="15" s="1"/>
  <c r="X8197" i="15"/>
  <c r="Y8196" i="15" s="1"/>
  <c r="X8198" i="15"/>
  <c r="Y8197" i="15" s="1"/>
  <c r="X8199" i="15"/>
  <c r="Y8198" i="15" s="1"/>
  <c r="X8200" i="15"/>
  <c r="Y8199" i="15" s="1"/>
  <c r="X8201" i="15"/>
  <c r="Y8200" i="15" s="1"/>
  <c r="X8202" i="15"/>
  <c r="Y8201" i="15" s="1"/>
  <c r="X8203" i="15"/>
  <c r="Y8202" i="15" s="1"/>
  <c r="X8204" i="15"/>
  <c r="Y8203" i="15" s="1"/>
  <c r="X8205" i="15"/>
  <c r="Y8204" i="15" s="1"/>
  <c r="X8206" i="15"/>
  <c r="Y8205" i="15" s="1"/>
  <c r="X8207" i="15"/>
  <c r="Y8206" i="15" s="1"/>
  <c r="X8208" i="15"/>
  <c r="Y8207" i="15" s="1"/>
  <c r="X8209" i="15"/>
  <c r="Y8208" i="15" s="1"/>
  <c r="X8210" i="15"/>
  <c r="Y8209" i="15" s="1"/>
  <c r="X8211" i="15"/>
  <c r="Y8210" i="15" s="1"/>
  <c r="X8212" i="15"/>
  <c r="Y8211" i="15" s="1"/>
  <c r="X8213" i="15"/>
  <c r="Y8212" i="15" s="1"/>
  <c r="X8214" i="15"/>
  <c r="Y8213" i="15" s="1"/>
  <c r="X8215" i="15"/>
  <c r="Y8214" i="15" s="1"/>
  <c r="X8216" i="15"/>
  <c r="Y8215" i="15" s="1"/>
  <c r="X8217" i="15"/>
  <c r="Y8216" i="15" s="1"/>
  <c r="X8218" i="15"/>
  <c r="Y8217" i="15" s="1"/>
  <c r="X8219" i="15"/>
  <c r="Y8218" i="15" s="1"/>
  <c r="X8220" i="15"/>
  <c r="Y8219" i="15" s="1"/>
  <c r="X8221" i="15"/>
  <c r="Y8220" i="15" s="1"/>
  <c r="X8222" i="15"/>
  <c r="Y8221" i="15" s="1"/>
  <c r="X8223" i="15"/>
  <c r="Y8222" i="15" s="1"/>
  <c r="X8224" i="15"/>
  <c r="Y8223" i="15" s="1"/>
  <c r="X8225" i="15"/>
  <c r="Y8224" i="15" s="1"/>
  <c r="X8226" i="15"/>
  <c r="Y8225" i="15" s="1"/>
  <c r="X8227" i="15"/>
  <c r="Y8226" i="15" s="1"/>
  <c r="X8228" i="15"/>
  <c r="Y8227" i="15" s="1"/>
  <c r="X8229" i="15"/>
  <c r="Y8228" i="15" s="1"/>
  <c r="X8230" i="15"/>
  <c r="Y8229" i="15" s="1"/>
  <c r="X8231" i="15"/>
  <c r="Y8230" i="15" s="1"/>
  <c r="X8232" i="15"/>
  <c r="Y8231" i="15" s="1"/>
  <c r="X8233" i="15"/>
  <c r="Y8232" i="15" s="1"/>
  <c r="X8234" i="15"/>
  <c r="Y8233" i="15" s="1"/>
  <c r="X8235" i="15"/>
  <c r="Y8234" i="15" s="1"/>
  <c r="X8236" i="15"/>
  <c r="Y8235" i="15" s="1"/>
  <c r="X8237" i="15"/>
  <c r="Y8236" i="15" s="1"/>
  <c r="X8238" i="15"/>
  <c r="Y8237" i="15" s="1"/>
  <c r="X8239" i="15"/>
  <c r="Y8238" i="15" s="1"/>
  <c r="X8240" i="15"/>
  <c r="Y8239" i="15" s="1"/>
  <c r="X8241" i="15"/>
  <c r="Y8240" i="15" s="1"/>
  <c r="X8242" i="15"/>
  <c r="Y8241" i="15" s="1"/>
  <c r="X8243" i="15"/>
  <c r="Y8242" i="15" s="1"/>
  <c r="X8244" i="15"/>
  <c r="Y8243" i="15" s="1"/>
  <c r="X8245" i="15"/>
  <c r="Y8244" i="15" s="1"/>
  <c r="X8246" i="15"/>
  <c r="Y8245" i="15" s="1"/>
  <c r="X8247" i="15"/>
  <c r="Y8246" i="15" s="1"/>
  <c r="X8248" i="15"/>
  <c r="Y8247" i="15" s="1"/>
  <c r="X8249" i="15"/>
  <c r="Y8248" i="15" s="1"/>
  <c r="X8250" i="15"/>
  <c r="Y8249" i="15" s="1"/>
  <c r="X8251" i="15"/>
  <c r="Y8250" i="15" s="1"/>
  <c r="X8252" i="15"/>
  <c r="Y8251" i="15" s="1"/>
  <c r="X8253" i="15"/>
  <c r="Y8252" i="15" s="1"/>
  <c r="X8254" i="15"/>
  <c r="Y8253" i="15" s="1"/>
  <c r="X8255" i="15"/>
  <c r="Y8254" i="15" s="1"/>
  <c r="X8256" i="15"/>
  <c r="Y8255" i="15" s="1"/>
  <c r="X8257" i="15"/>
  <c r="Y8256" i="15" s="1"/>
  <c r="X8258" i="15"/>
  <c r="Y8257" i="15" s="1"/>
  <c r="X8259" i="15"/>
  <c r="Y8258" i="15" s="1"/>
  <c r="X8260" i="15"/>
  <c r="Y8259" i="15" s="1"/>
  <c r="X8261" i="15"/>
  <c r="Y8260" i="15" s="1"/>
  <c r="X8262" i="15"/>
  <c r="Y8261" i="15" s="1"/>
  <c r="X8263" i="15"/>
  <c r="Y8262" i="15" s="1"/>
  <c r="X8264" i="15"/>
  <c r="Y8263" i="15" s="1"/>
  <c r="X8265" i="15"/>
  <c r="Y8264" i="15" s="1"/>
  <c r="X8266" i="15"/>
  <c r="Y8265" i="15" s="1"/>
  <c r="X8267" i="15"/>
  <c r="Y8266" i="15" s="1"/>
  <c r="X8268" i="15"/>
  <c r="Y8267" i="15" s="1"/>
  <c r="X8269" i="15"/>
  <c r="Y8268" i="15" s="1"/>
  <c r="X8270" i="15"/>
  <c r="Y8269" i="15" s="1"/>
  <c r="X8271" i="15"/>
  <c r="Y8270" i="15" s="1"/>
  <c r="X8272" i="15"/>
  <c r="Y8271" i="15" s="1"/>
  <c r="X8273" i="15"/>
  <c r="Y8272" i="15" s="1"/>
  <c r="X8274" i="15"/>
  <c r="Y8273" i="15" s="1"/>
  <c r="X8275" i="15"/>
  <c r="Y8274" i="15" s="1"/>
  <c r="X8276" i="15"/>
  <c r="Y8275" i="15" s="1"/>
  <c r="X8277" i="15"/>
  <c r="Y8276" i="15" s="1"/>
  <c r="X8278" i="15"/>
  <c r="Y8277" i="15" s="1"/>
  <c r="X8279" i="15"/>
  <c r="Y8278" i="15" s="1"/>
  <c r="X8280" i="15"/>
  <c r="Y8279" i="15" s="1"/>
  <c r="X8281" i="15"/>
  <c r="Y8280" i="15" s="1"/>
  <c r="X8282" i="15"/>
  <c r="Y8281" i="15" s="1"/>
  <c r="X8283" i="15"/>
  <c r="Y8282" i="15" s="1"/>
  <c r="X8284" i="15"/>
  <c r="Y8283" i="15" s="1"/>
  <c r="X8285" i="15"/>
  <c r="Y8284" i="15" s="1"/>
  <c r="X8286" i="15"/>
  <c r="Y8285" i="15" s="1"/>
  <c r="X8287" i="15"/>
  <c r="Y8286" i="15" s="1"/>
  <c r="X8288" i="15"/>
  <c r="Y8287" i="15" s="1"/>
  <c r="X8289" i="15"/>
  <c r="Y8288" i="15" s="1"/>
  <c r="X8290" i="15"/>
  <c r="Y8289" i="15" s="1"/>
  <c r="X8291" i="15"/>
  <c r="Y8290" i="15" s="1"/>
  <c r="X8292" i="15"/>
  <c r="Y8291" i="15" s="1"/>
  <c r="X8293" i="15"/>
  <c r="Y8292" i="15" s="1"/>
  <c r="X8294" i="15"/>
  <c r="Y8293" i="15" s="1"/>
  <c r="X8295" i="15"/>
  <c r="Y8294" i="15" s="1"/>
  <c r="X8296" i="15"/>
  <c r="Y8295" i="15" s="1"/>
  <c r="X8297" i="15"/>
  <c r="Y8296" i="15" s="1"/>
  <c r="X8298" i="15"/>
  <c r="Y8297" i="15" s="1"/>
  <c r="X8299" i="15"/>
  <c r="Y8298" i="15" s="1"/>
  <c r="X8300" i="15"/>
  <c r="Y8299" i="15" s="1"/>
  <c r="X8301" i="15"/>
  <c r="Y8300" i="15" s="1"/>
  <c r="X8302" i="15"/>
  <c r="Y8301" i="15" s="1"/>
  <c r="X8303" i="15"/>
  <c r="Y8302" i="15" s="1"/>
  <c r="X8304" i="15"/>
  <c r="Y8303" i="15" s="1"/>
  <c r="X8305" i="15"/>
  <c r="Y8304" i="15" s="1"/>
  <c r="X8306" i="15"/>
  <c r="Y8305" i="15" s="1"/>
  <c r="X8307" i="15"/>
  <c r="Y8306" i="15" s="1"/>
  <c r="X8308" i="15"/>
  <c r="Y8307" i="15" s="1"/>
  <c r="X8309" i="15"/>
  <c r="Y8308" i="15" s="1"/>
  <c r="X8310" i="15"/>
  <c r="Y8309" i="15" s="1"/>
  <c r="X8311" i="15"/>
  <c r="Y8310" i="15" s="1"/>
  <c r="X8312" i="15"/>
  <c r="Y8311" i="15" s="1"/>
  <c r="X8313" i="15"/>
  <c r="Y8312" i="15" s="1"/>
  <c r="X8314" i="15"/>
  <c r="Y8313" i="15" s="1"/>
  <c r="X8315" i="15"/>
  <c r="Y8314" i="15" s="1"/>
  <c r="X8316" i="15"/>
  <c r="Y8315" i="15" s="1"/>
  <c r="X8317" i="15"/>
  <c r="Y8316" i="15" s="1"/>
  <c r="X8318" i="15"/>
  <c r="Y8317" i="15" s="1"/>
  <c r="X8319" i="15"/>
  <c r="Y8318" i="15" s="1"/>
  <c r="X8320" i="15"/>
  <c r="Y8319" i="15" s="1"/>
  <c r="X8321" i="15"/>
  <c r="Y8320" i="15" s="1"/>
  <c r="X8322" i="15"/>
  <c r="Y8321" i="15" s="1"/>
  <c r="X8323" i="15"/>
  <c r="Y8322" i="15" s="1"/>
  <c r="X8324" i="15"/>
  <c r="Y8323" i="15" s="1"/>
  <c r="X8325" i="15"/>
  <c r="Y8324" i="15" s="1"/>
  <c r="X8326" i="15"/>
  <c r="Y8325" i="15" s="1"/>
  <c r="X8327" i="15"/>
  <c r="Y8326" i="15" s="1"/>
  <c r="X8328" i="15"/>
  <c r="Y8327" i="15" s="1"/>
  <c r="X8329" i="15"/>
  <c r="Y8328" i="15" s="1"/>
  <c r="X8330" i="15"/>
  <c r="Y8329" i="15" s="1"/>
  <c r="X8331" i="15"/>
  <c r="Y8330" i="15" s="1"/>
  <c r="X8332" i="15"/>
  <c r="Y8331" i="15" s="1"/>
  <c r="X8333" i="15"/>
  <c r="Y8332" i="15" s="1"/>
  <c r="X8334" i="15"/>
  <c r="Y8333" i="15" s="1"/>
  <c r="X8335" i="15"/>
  <c r="Y8334" i="15" s="1"/>
  <c r="X8336" i="15"/>
  <c r="Y8335" i="15" s="1"/>
  <c r="X8337" i="15"/>
  <c r="Y8336" i="15" s="1"/>
  <c r="X8338" i="15"/>
  <c r="Y8337" i="15" s="1"/>
  <c r="X8339" i="15"/>
  <c r="Y8338" i="15" s="1"/>
  <c r="X8340" i="15"/>
  <c r="Y8339" i="15" s="1"/>
  <c r="X8341" i="15"/>
  <c r="Y8340" i="15" s="1"/>
  <c r="X8342" i="15"/>
  <c r="Y8341" i="15" s="1"/>
  <c r="X8343" i="15"/>
  <c r="Y8342" i="15" s="1"/>
  <c r="X8344" i="15"/>
  <c r="Y8343" i="15" s="1"/>
  <c r="X8345" i="15"/>
  <c r="Y8344" i="15" s="1"/>
  <c r="X8346" i="15"/>
  <c r="Y8345" i="15" s="1"/>
  <c r="X8347" i="15"/>
  <c r="Y8346" i="15" s="1"/>
  <c r="X8348" i="15"/>
  <c r="Y8347" i="15" s="1"/>
  <c r="X8349" i="15"/>
  <c r="Y8348" i="15" s="1"/>
  <c r="X8350" i="15"/>
  <c r="Y8349" i="15" s="1"/>
  <c r="X8351" i="15"/>
  <c r="Y8350" i="15" s="1"/>
  <c r="X8352" i="15"/>
  <c r="Y8351" i="15" s="1"/>
  <c r="X8353" i="15"/>
  <c r="Y8352" i="15" s="1"/>
  <c r="X8354" i="15"/>
  <c r="Y8353" i="15" s="1"/>
  <c r="X8355" i="15"/>
  <c r="Y8354" i="15" s="1"/>
  <c r="X8356" i="15"/>
  <c r="Y8355" i="15" s="1"/>
  <c r="X8357" i="15"/>
  <c r="Y8356" i="15" s="1"/>
  <c r="X8358" i="15"/>
  <c r="Y8357" i="15" s="1"/>
  <c r="X8359" i="15"/>
  <c r="Y8358" i="15" s="1"/>
  <c r="X8360" i="15"/>
  <c r="Y8359" i="15" s="1"/>
  <c r="X8361" i="15"/>
  <c r="Y8360" i="15" s="1"/>
  <c r="X8362" i="15"/>
  <c r="Y8361" i="15" s="1"/>
  <c r="X8363" i="15"/>
  <c r="Y8362" i="15" s="1"/>
  <c r="X8364" i="15"/>
  <c r="Y8363" i="15" s="1"/>
  <c r="X8365" i="15"/>
  <c r="Y8364" i="15" s="1"/>
  <c r="X8366" i="15"/>
  <c r="Y8365" i="15" s="1"/>
  <c r="X8367" i="15"/>
  <c r="Y8366" i="15" s="1"/>
  <c r="X8368" i="15"/>
  <c r="Y8367" i="15" s="1"/>
  <c r="X8369" i="15"/>
  <c r="Y8368" i="15" s="1"/>
  <c r="X8370" i="15"/>
  <c r="Y8369" i="15" s="1"/>
  <c r="X8371" i="15"/>
  <c r="Y8370" i="15" s="1"/>
  <c r="X8372" i="15"/>
  <c r="Y8371" i="15" s="1"/>
  <c r="X8373" i="15"/>
  <c r="Y8372" i="15" s="1"/>
  <c r="X8374" i="15"/>
  <c r="Y8373" i="15" s="1"/>
  <c r="X8375" i="15"/>
  <c r="Y8374" i="15" s="1"/>
  <c r="X8376" i="15"/>
  <c r="Y8375" i="15" s="1"/>
  <c r="X8377" i="15"/>
  <c r="Y8376" i="15" s="1"/>
  <c r="X8378" i="15"/>
  <c r="Y8377" i="15" s="1"/>
  <c r="X8379" i="15"/>
  <c r="Y8378" i="15" s="1"/>
  <c r="X8380" i="15"/>
  <c r="Y8379" i="15" s="1"/>
  <c r="X8381" i="15"/>
  <c r="Y8380" i="15" s="1"/>
  <c r="X8382" i="15"/>
  <c r="Y8381" i="15" s="1"/>
  <c r="X8383" i="15"/>
  <c r="Y8382" i="15" s="1"/>
  <c r="X8384" i="15"/>
  <c r="Y8383" i="15" s="1"/>
  <c r="X8385" i="15"/>
  <c r="Y8384" i="15" s="1"/>
  <c r="X8386" i="15"/>
  <c r="Y8385" i="15" s="1"/>
  <c r="X8387" i="15"/>
  <c r="Y8386" i="15" s="1"/>
  <c r="X8388" i="15"/>
  <c r="Y8387" i="15" s="1"/>
  <c r="X8389" i="15"/>
  <c r="Y8388" i="15" s="1"/>
  <c r="X8390" i="15"/>
  <c r="Y8389" i="15" s="1"/>
  <c r="X8391" i="15"/>
  <c r="Y8390" i="15" s="1"/>
  <c r="X8392" i="15"/>
  <c r="Y8391" i="15" s="1"/>
  <c r="X8393" i="15"/>
  <c r="Y8392" i="15" s="1"/>
  <c r="X8394" i="15"/>
  <c r="Y8393" i="15" s="1"/>
  <c r="X8395" i="15"/>
  <c r="Y8394" i="15" s="1"/>
  <c r="X8396" i="15"/>
  <c r="Y8395" i="15" s="1"/>
  <c r="X8397" i="15"/>
  <c r="Y8396" i="15" s="1"/>
  <c r="X8398" i="15"/>
  <c r="Y8397" i="15" s="1"/>
  <c r="X8399" i="15"/>
  <c r="Y8398" i="15" s="1"/>
  <c r="X8400" i="15"/>
  <c r="Y8399" i="15" s="1"/>
  <c r="X8401" i="15"/>
  <c r="Y8400" i="15" s="1"/>
  <c r="X8402" i="15"/>
  <c r="Y8401" i="15" s="1"/>
  <c r="X8403" i="15"/>
  <c r="Y8402" i="15" s="1"/>
  <c r="X8404" i="15"/>
  <c r="Y8403" i="15" s="1"/>
  <c r="X8405" i="15"/>
  <c r="Y8404" i="15" s="1"/>
  <c r="X8406" i="15"/>
  <c r="Y8405" i="15" s="1"/>
  <c r="X8407" i="15"/>
  <c r="Y8406" i="15" s="1"/>
  <c r="X8408" i="15"/>
  <c r="Y8407" i="15" s="1"/>
  <c r="X8409" i="15"/>
  <c r="Y8408" i="15" s="1"/>
  <c r="X8410" i="15"/>
  <c r="Y8409" i="15" s="1"/>
  <c r="X8411" i="15"/>
  <c r="Y8410" i="15" s="1"/>
  <c r="X8412" i="15"/>
  <c r="Y8411" i="15" s="1"/>
  <c r="X8413" i="15"/>
  <c r="Y8412" i="15" s="1"/>
  <c r="X8414" i="15"/>
  <c r="Y8413" i="15" s="1"/>
  <c r="X8415" i="15"/>
  <c r="Y8414" i="15" s="1"/>
  <c r="X8416" i="15"/>
  <c r="Y8415" i="15" s="1"/>
  <c r="X8417" i="15"/>
  <c r="Y8416" i="15" s="1"/>
  <c r="X8418" i="15"/>
  <c r="Y8417" i="15" s="1"/>
  <c r="X8419" i="15"/>
  <c r="Y8418" i="15" s="1"/>
  <c r="X8420" i="15"/>
  <c r="Y8419" i="15" s="1"/>
  <c r="X8421" i="15"/>
  <c r="Y8420" i="15" s="1"/>
  <c r="X8422" i="15"/>
  <c r="Y8421" i="15" s="1"/>
  <c r="X8423" i="15"/>
  <c r="Y8422" i="15" s="1"/>
  <c r="X8424" i="15"/>
  <c r="Y8423" i="15" s="1"/>
  <c r="X8425" i="15"/>
  <c r="Y8424" i="15" s="1"/>
  <c r="X8426" i="15"/>
  <c r="Y8425" i="15" s="1"/>
  <c r="X8427" i="15"/>
  <c r="Y8426" i="15" s="1"/>
  <c r="X8428" i="15"/>
  <c r="Y8427" i="15" s="1"/>
  <c r="X8429" i="15"/>
  <c r="Y8428" i="15" s="1"/>
  <c r="X8430" i="15"/>
  <c r="Y8429" i="15" s="1"/>
  <c r="X8431" i="15"/>
  <c r="Y8430" i="15" s="1"/>
  <c r="X8432" i="15"/>
  <c r="Y8431" i="15" s="1"/>
  <c r="X8433" i="15"/>
  <c r="Y8432" i="15" s="1"/>
  <c r="X8434" i="15"/>
  <c r="Y8433" i="15" s="1"/>
  <c r="X8435" i="15"/>
  <c r="Y8434" i="15" s="1"/>
  <c r="X8436" i="15"/>
  <c r="Y8435" i="15" s="1"/>
  <c r="X8437" i="15"/>
  <c r="Y8436" i="15" s="1"/>
  <c r="X8438" i="15"/>
  <c r="Y8437" i="15" s="1"/>
  <c r="X8439" i="15"/>
  <c r="Y8438" i="15" s="1"/>
  <c r="X8440" i="15"/>
  <c r="Y8439" i="15" s="1"/>
  <c r="X8441" i="15"/>
  <c r="Y8440" i="15" s="1"/>
  <c r="X8442" i="15"/>
  <c r="Y8441" i="15" s="1"/>
  <c r="X8443" i="15"/>
  <c r="Y8442" i="15" s="1"/>
  <c r="X8444" i="15"/>
  <c r="Y8443" i="15" s="1"/>
  <c r="X8445" i="15"/>
  <c r="Y8444" i="15" s="1"/>
  <c r="X8446" i="15"/>
  <c r="Y8445" i="15" s="1"/>
  <c r="X8447" i="15"/>
  <c r="Y8446" i="15" s="1"/>
  <c r="X8448" i="15"/>
  <c r="Y8447" i="15" s="1"/>
  <c r="X8449" i="15"/>
  <c r="Y8448" i="15" s="1"/>
  <c r="X8450" i="15"/>
  <c r="Y8449" i="15" s="1"/>
  <c r="X8451" i="15"/>
  <c r="Y8450" i="15" s="1"/>
  <c r="X8452" i="15"/>
  <c r="Y8451" i="15" s="1"/>
  <c r="X8453" i="15"/>
  <c r="Y8452" i="15" s="1"/>
  <c r="X8454" i="15"/>
  <c r="Y8453" i="15" s="1"/>
  <c r="X8455" i="15"/>
  <c r="Y8454" i="15" s="1"/>
  <c r="X8456" i="15"/>
  <c r="Y8455" i="15" s="1"/>
  <c r="X8457" i="15"/>
  <c r="Y8456" i="15" s="1"/>
  <c r="X8458" i="15"/>
  <c r="Y8457" i="15" s="1"/>
  <c r="X8459" i="15"/>
  <c r="Y8458" i="15" s="1"/>
  <c r="X8460" i="15"/>
  <c r="Y8459" i="15" s="1"/>
  <c r="X8461" i="15"/>
  <c r="Y8460" i="15" s="1"/>
  <c r="X8462" i="15"/>
  <c r="Y8461" i="15" s="1"/>
  <c r="X8463" i="15"/>
  <c r="Y8462" i="15" s="1"/>
  <c r="X8464" i="15"/>
  <c r="Y8463" i="15" s="1"/>
  <c r="X8465" i="15"/>
  <c r="Y8464" i="15" s="1"/>
  <c r="X8466" i="15"/>
  <c r="Y8465" i="15" s="1"/>
  <c r="X8467" i="15"/>
  <c r="Y8466" i="15" s="1"/>
  <c r="X8468" i="15"/>
  <c r="Y8467" i="15" s="1"/>
  <c r="X8469" i="15"/>
  <c r="Y8468" i="15" s="1"/>
  <c r="X8470" i="15"/>
  <c r="Y8469" i="15" s="1"/>
  <c r="X8471" i="15"/>
  <c r="Y8470" i="15" s="1"/>
  <c r="X8472" i="15"/>
  <c r="Y8471" i="15" s="1"/>
  <c r="X8473" i="15"/>
  <c r="Y8472" i="15" s="1"/>
  <c r="X8474" i="15"/>
  <c r="Y8473" i="15" s="1"/>
  <c r="X8475" i="15"/>
  <c r="Y8474" i="15" s="1"/>
  <c r="X8476" i="15"/>
  <c r="Y8475" i="15" s="1"/>
  <c r="X8477" i="15"/>
  <c r="Y8476" i="15" s="1"/>
  <c r="X8478" i="15"/>
  <c r="Y8477" i="15" s="1"/>
  <c r="X8479" i="15"/>
  <c r="Y8478" i="15" s="1"/>
  <c r="X8480" i="15"/>
  <c r="Y8479" i="15" s="1"/>
  <c r="X8481" i="15"/>
  <c r="Y8480" i="15" s="1"/>
  <c r="X8482" i="15"/>
  <c r="Y8481" i="15" s="1"/>
  <c r="X8483" i="15"/>
  <c r="Y8482" i="15" s="1"/>
  <c r="X8484" i="15"/>
  <c r="Y8483" i="15" s="1"/>
  <c r="X8485" i="15"/>
  <c r="Y8484" i="15" s="1"/>
  <c r="X8486" i="15"/>
  <c r="Y8485" i="15" s="1"/>
  <c r="X8487" i="15"/>
  <c r="Y8486" i="15" s="1"/>
  <c r="X8488" i="15"/>
  <c r="Y8487" i="15" s="1"/>
  <c r="X8489" i="15"/>
  <c r="Y8488" i="15" s="1"/>
  <c r="X8490" i="15"/>
  <c r="Y8489" i="15" s="1"/>
  <c r="X8491" i="15"/>
  <c r="Y8490" i="15" s="1"/>
  <c r="X8492" i="15"/>
  <c r="Y8491" i="15" s="1"/>
  <c r="X8493" i="15"/>
  <c r="Y8492" i="15" s="1"/>
  <c r="X8494" i="15"/>
  <c r="Y8493" i="15" s="1"/>
  <c r="X8495" i="15"/>
  <c r="Y8494" i="15" s="1"/>
  <c r="X8496" i="15"/>
  <c r="Y8495" i="15" s="1"/>
  <c r="X8497" i="15"/>
  <c r="Y8496" i="15" s="1"/>
  <c r="X8498" i="15"/>
  <c r="Y8497" i="15" s="1"/>
  <c r="X8499" i="15"/>
  <c r="Y8498" i="15" s="1"/>
  <c r="X8500" i="15"/>
  <c r="Y8499" i="15" s="1"/>
  <c r="X8501" i="15"/>
  <c r="Y8500" i="15" s="1"/>
  <c r="X8502" i="15"/>
  <c r="Y8501" i="15" s="1"/>
  <c r="X8503" i="15"/>
  <c r="Y8502" i="15" s="1"/>
  <c r="X8504" i="15"/>
  <c r="Y8503" i="15" s="1"/>
  <c r="X8505" i="15"/>
  <c r="Y8504" i="15" s="1"/>
  <c r="X8506" i="15"/>
  <c r="Y8505" i="15" s="1"/>
  <c r="X8507" i="15"/>
  <c r="Y8506" i="15" s="1"/>
  <c r="X8508" i="15"/>
  <c r="Y8507" i="15" s="1"/>
  <c r="X8509" i="15"/>
  <c r="Y8508" i="15" s="1"/>
  <c r="X8510" i="15"/>
  <c r="Y8509" i="15" s="1"/>
  <c r="X8511" i="15"/>
  <c r="Y8510" i="15" s="1"/>
  <c r="X8512" i="15"/>
  <c r="Y8511" i="15" s="1"/>
  <c r="X8513" i="15"/>
  <c r="Y8512" i="15" s="1"/>
  <c r="X8514" i="15"/>
  <c r="Y8513" i="15" s="1"/>
  <c r="X8515" i="15"/>
  <c r="Y8514" i="15" s="1"/>
  <c r="X8516" i="15"/>
  <c r="Y8515" i="15" s="1"/>
  <c r="X8517" i="15"/>
  <c r="Y8516" i="15" s="1"/>
  <c r="X8518" i="15"/>
  <c r="Y8517" i="15" s="1"/>
  <c r="X8519" i="15"/>
  <c r="Y8518" i="15" s="1"/>
  <c r="X8520" i="15"/>
  <c r="Y8519" i="15" s="1"/>
  <c r="X8521" i="15"/>
  <c r="Y8520" i="15" s="1"/>
  <c r="X8522" i="15"/>
  <c r="Y8521" i="15" s="1"/>
  <c r="X8523" i="15"/>
  <c r="Y8522" i="15" s="1"/>
  <c r="X8524" i="15"/>
  <c r="Y8523" i="15" s="1"/>
  <c r="X8525" i="15"/>
  <c r="Y8524" i="15" s="1"/>
  <c r="X8526" i="15"/>
  <c r="Y8525" i="15" s="1"/>
  <c r="X8527" i="15"/>
  <c r="Y8526" i="15" s="1"/>
  <c r="X8528" i="15"/>
  <c r="Y8527" i="15" s="1"/>
  <c r="X8529" i="15"/>
  <c r="Y8528" i="15" s="1"/>
  <c r="X8530" i="15"/>
  <c r="Y8529" i="15" s="1"/>
  <c r="X8531" i="15"/>
  <c r="Y8530" i="15" s="1"/>
  <c r="X8532" i="15"/>
  <c r="Y8531" i="15" s="1"/>
  <c r="X8533" i="15"/>
  <c r="Y8532" i="15" s="1"/>
  <c r="X8534" i="15"/>
  <c r="Y8533" i="15" s="1"/>
  <c r="X8535" i="15"/>
  <c r="Y8534" i="15" s="1"/>
  <c r="X8536" i="15"/>
  <c r="Y8535" i="15" s="1"/>
  <c r="X8537" i="15"/>
  <c r="Y8536" i="15" s="1"/>
  <c r="X8538" i="15"/>
  <c r="Y8537" i="15" s="1"/>
  <c r="X8539" i="15"/>
  <c r="Y8538" i="15" s="1"/>
  <c r="X8540" i="15"/>
  <c r="Y8539" i="15" s="1"/>
  <c r="X8541" i="15"/>
  <c r="Y8540" i="15" s="1"/>
  <c r="X8542" i="15"/>
  <c r="Y8541" i="15" s="1"/>
  <c r="X8543" i="15"/>
  <c r="Y8542" i="15" s="1"/>
  <c r="X8544" i="15"/>
  <c r="Y8543" i="15" s="1"/>
  <c r="X8545" i="15"/>
  <c r="Y8544" i="15" s="1"/>
  <c r="X8546" i="15"/>
  <c r="Y8545" i="15" s="1"/>
  <c r="X8547" i="15"/>
  <c r="Y8546" i="15" s="1"/>
  <c r="X8548" i="15"/>
  <c r="Y8547" i="15" s="1"/>
  <c r="X8549" i="15"/>
  <c r="Y8548" i="15" s="1"/>
  <c r="X8550" i="15"/>
  <c r="Y8549" i="15" s="1"/>
  <c r="X8551" i="15"/>
  <c r="Y8550" i="15" s="1"/>
  <c r="X8552" i="15"/>
  <c r="Y8551" i="15" s="1"/>
  <c r="X8553" i="15"/>
  <c r="Y8552" i="15" s="1"/>
  <c r="X8554" i="15"/>
  <c r="Y8553" i="15" s="1"/>
  <c r="X8555" i="15"/>
  <c r="Y8554" i="15" s="1"/>
  <c r="X8556" i="15"/>
  <c r="Y8555" i="15" s="1"/>
  <c r="X8557" i="15"/>
  <c r="Y8556" i="15" s="1"/>
  <c r="X8558" i="15"/>
  <c r="Y8557" i="15" s="1"/>
  <c r="X8559" i="15"/>
  <c r="Y8558" i="15" s="1"/>
  <c r="X8560" i="15"/>
  <c r="Y8559" i="15" s="1"/>
  <c r="X8561" i="15"/>
  <c r="Y8560" i="15" s="1"/>
  <c r="X8562" i="15"/>
  <c r="Y8561" i="15" s="1"/>
  <c r="X8563" i="15"/>
  <c r="Y8562" i="15" s="1"/>
  <c r="X8564" i="15"/>
  <c r="Y8563" i="15" s="1"/>
  <c r="X8565" i="15"/>
  <c r="Y8564" i="15" s="1"/>
  <c r="X8566" i="15"/>
  <c r="Y8565" i="15" s="1"/>
  <c r="X8567" i="15"/>
  <c r="Y8566" i="15" s="1"/>
  <c r="X8568" i="15"/>
  <c r="Y8567" i="15" s="1"/>
  <c r="X8569" i="15"/>
  <c r="Y8568" i="15" s="1"/>
  <c r="X8570" i="15"/>
  <c r="Y8569" i="15" s="1"/>
  <c r="X8571" i="15"/>
  <c r="Y8570" i="15" s="1"/>
  <c r="X8572" i="15"/>
  <c r="Y8571" i="15" s="1"/>
  <c r="X8573" i="15"/>
  <c r="Y8572" i="15" s="1"/>
  <c r="X8574" i="15"/>
  <c r="Y8573" i="15" s="1"/>
  <c r="X8575" i="15"/>
  <c r="Y8574" i="15" s="1"/>
  <c r="X8576" i="15"/>
  <c r="Y8575" i="15" s="1"/>
  <c r="X8577" i="15"/>
  <c r="Y8576" i="15" s="1"/>
  <c r="X8578" i="15"/>
  <c r="Y8577" i="15" s="1"/>
  <c r="X8579" i="15"/>
  <c r="Y8578" i="15" s="1"/>
  <c r="X8580" i="15"/>
  <c r="Y8579" i="15" s="1"/>
  <c r="X8581" i="15"/>
  <c r="Y8580" i="15" s="1"/>
  <c r="X8582" i="15"/>
  <c r="Y8581" i="15" s="1"/>
  <c r="X8583" i="15"/>
  <c r="Y8582" i="15" s="1"/>
  <c r="X8584" i="15"/>
  <c r="Y8583" i="15" s="1"/>
  <c r="X8585" i="15"/>
  <c r="Y8584" i="15" s="1"/>
  <c r="X8586" i="15"/>
  <c r="Y8585" i="15" s="1"/>
  <c r="X8587" i="15"/>
  <c r="Y8586" i="15" s="1"/>
  <c r="X8588" i="15"/>
  <c r="Y8587" i="15" s="1"/>
  <c r="X8589" i="15"/>
  <c r="Y8588" i="15" s="1"/>
  <c r="X8590" i="15"/>
  <c r="Y8589" i="15" s="1"/>
  <c r="X8591" i="15"/>
  <c r="Y8590" i="15" s="1"/>
  <c r="X8592" i="15"/>
  <c r="Y8591" i="15" s="1"/>
  <c r="X8593" i="15"/>
  <c r="Y8592" i="15" s="1"/>
  <c r="X8594" i="15"/>
  <c r="Y8593" i="15" s="1"/>
  <c r="X8595" i="15"/>
  <c r="Y8594" i="15" s="1"/>
  <c r="X8596" i="15"/>
  <c r="Y8595" i="15" s="1"/>
  <c r="X8597" i="15"/>
  <c r="Y8596" i="15" s="1"/>
  <c r="X8598" i="15"/>
  <c r="Y8597" i="15" s="1"/>
  <c r="X8599" i="15"/>
  <c r="Y8598" i="15" s="1"/>
  <c r="X8600" i="15"/>
  <c r="Y8599" i="15" s="1"/>
  <c r="X8601" i="15"/>
  <c r="Y8600" i="15" s="1"/>
  <c r="X8602" i="15"/>
  <c r="Y8601" i="15" s="1"/>
  <c r="X8603" i="15"/>
  <c r="Y8602" i="15" s="1"/>
  <c r="X8604" i="15"/>
  <c r="Y8603" i="15" s="1"/>
  <c r="X8605" i="15"/>
  <c r="Y8604" i="15" s="1"/>
  <c r="X8606" i="15"/>
  <c r="Y8605" i="15" s="1"/>
  <c r="X8607" i="15"/>
  <c r="Y8606" i="15" s="1"/>
  <c r="X8608" i="15"/>
  <c r="Y8607" i="15" s="1"/>
  <c r="X8609" i="15"/>
  <c r="Y8608" i="15" s="1"/>
  <c r="X8610" i="15"/>
  <c r="Y8609" i="15" s="1"/>
  <c r="X8611" i="15"/>
  <c r="Y8610" i="15" s="1"/>
  <c r="X8612" i="15"/>
  <c r="Y8611" i="15" s="1"/>
  <c r="X8613" i="15"/>
  <c r="Y8612" i="15" s="1"/>
  <c r="X8614" i="15"/>
  <c r="Y8613" i="15" s="1"/>
  <c r="X8615" i="15"/>
  <c r="Y8614" i="15" s="1"/>
  <c r="X8616" i="15"/>
  <c r="Y8615" i="15" s="1"/>
  <c r="X8617" i="15"/>
  <c r="Y8616" i="15" s="1"/>
  <c r="X8618" i="15"/>
  <c r="Y8617" i="15" s="1"/>
  <c r="X8619" i="15"/>
  <c r="Y8618" i="15" s="1"/>
  <c r="X8620" i="15"/>
  <c r="Y8619" i="15" s="1"/>
  <c r="X8621" i="15"/>
  <c r="Y8620" i="15" s="1"/>
  <c r="X8622" i="15"/>
  <c r="Y8621" i="15" s="1"/>
  <c r="X8623" i="15"/>
  <c r="Y8622" i="15" s="1"/>
  <c r="X8624" i="15"/>
  <c r="Y8623" i="15" s="1"/>
  <c r="X8625" i="15"/>
  <c r="Y8624" i="15" s="1"/>
  <c r="X8626" i="15"/>
  <c r="Y8625" i="15" s="1"/>
  <c r="X8627" i="15"/>
  <c r="Y8626" i="15" s="1"/>
  <c r="X8628" i="15"/>
  <c r="Y8627" i="15" s="1"/>
  <c r="X8629" i="15"/>
  <c r="Y8628" i="15" s="1"/>
  <c r="X8630" i="15"/>
  <c r="Y8629" i="15" s="1"/>
  <c r="X8631" i="15"/>
  <c r="Y8630" i="15" s="1"/>
  <c r="X8632" i="15"/>
  <c r="Y8631" i="15" s="1"/>
  <c r="X8633" i="15"/>
  <c r="Y8632" i="15" s="1"/>
  <c r="X8634" i="15"/>
  <c r="Y8633" i="15" s="1"/>
  <c r="X8635" i="15"/>
  <c r="Y8634" i="15" s="1"/>
  <c r="X8636" i="15"/>
  <c r="Y8635" i="15" s="1"/>
  <c r="X8637" i="15"/>
  <c r="Y8636" i="15" s="1"/>
  <c r="X8638" i="15"/>
  <c r="Y8637" i="15" s="1"/>
  <c r="X8639" i="15"/>
  <c r="Y8638" i="15" s="1"/>
  <c r="X8640" i="15"/>
  <c r="Y8639" i="15" s="1"/>
  <c r="X8641" i="15"/>
  <c r="Y8640" i="15" s="1"/>
  <c r="X8642" i="15"/>
  <c r="Y8641" i="15" s="1"/>
  <c r="X8643" i="15"/>
  <c r="Y8642" i="15" s="1"/>
  <c r="X8644" i="15"/>
  <c r="Y8643" i="15" s="1"/>
  <c r="X8645" i="15"/>
  <c r="Y8644" i="15" s="1"/>
  <c r="X8646" i="15"/>
  <c r="Y8645" i="15" s="1"/>
  <c r="X8647" i="15"/>
  <c r="Y8646" i="15" s="1"/>
  <c r="X8648" i="15"/>
  <c r="Y8647" i="15" s="1"/>
  <c r="X8649" i="15"/>
  <c r="Y8648" i="15" s="1"/>
  <c r="X8650" i="15"/>
  <c r="Y8649" i="15" s="1"/>
  <c r="X8651" i="15"/>
  <c r="Y8650" i="15" s="1"/>
  <c r="X8652" i="15"/>
  <c r="Y8651" i="15" s="1"/>
  <c r="X8653" i="15"/>
  <c r="Y8652" i="15" s="1"/>
  <c r="X8654" i="15"/>
  <c r="Y8653" i="15" s="1"/>
  <c r="X8655" i="15"/>
  <c r="Y8654" i="15" s="1"/>
  <c r="X8656" i="15"/>
  <c r="Y8655" i="15" s="1"/>
  <c r="X8657" i="15"/>
  <c r="Y8656" i="15" s="1"/>
  <c r="X8658" i="15"/>
  <c r="Y8657" i="15" s="1"/>
  <c r="X8659" i="15"/>
  <c r="Y8658" i="15" s="1"/>
  <c r="X8660" i="15"/>
  <c r="Y8659" i="15" s="1"/>
  <c r="X8661" i="15"/>
  <c r="Y8660" i="15" s="1"/>
  <c r="X8662" i="15"/>
  <c r="Y8661" i="15" s="1"/>
  <c r="X8663" i="15"/>
  <c r="Y8662" i="15" s="1"/>
  <c r="X8664" i="15"/>
  <c r="Y8663" i="15" s="1"/>
  <c r="X8665" i="15"/>
  <c r="Y8664" i="15" s="1"/>
  <c r="X8666" i="15"/>
  <c r="Y8665" i="15" s="1"/>
  <c r="X8667" i="15"/>
  <c r="Y8666" i="15" s="1"/>
  <c r="X8668" i="15"/>
  <c r="Y8667" i="15" s="1"/>
  <c r="X8669" i="15"/>
  <c r="Y8668" i="15" s="1"/>
  <c r="X8670" i="15"/>
  <c r="Y8669" i="15" s="1"/>
  <c r="X8671" i="15"/>
  <c r="Y8670" i="15" s="1"/>
  <c r="X8672" i="15"/>
  <c r="Y8671" i="15" s="1"/>
  <c r="X8673" i="15"/>
  <c r="Y8672" i="15" s="1"/>
  <c r="X8674" i="15"/>
  <c r="Y8673" i="15" s="1"/>
  <c r="X8675" i="15"/>
  <c r="Y8674" i="15" s="1"/>
  <c r="X8676" i="15"/>
  <c r="Y8675" i="15" s="1"/>
  <c r="X8677" i="15"/>
  <c r="Y8676" i="15" s="1"/>
  <c r="X8678" i="15"/>
  <c r="Y8677" i="15" s="1"/>
  <c r="X8679" i="15"/>
  <c r="Y8678" i="15" s="1"/>
  <c r="X8680" i="15"/>
  <c r="Y8679" i="15" s="1"/>
  <c r="X8681" i="15"/>
  <c r="Y8680" i="15" s="1"/>
  <c r="X8682" i="15"/>
  <c r="Y8681" i="15" s="1"/>
  <c r="X8683" i="15"/>
  <c r="Y8682" i="15" s="1"/>
  <c r="X8684" i="15"/>
  <c r="Y8683" i="15" s="1"/>
  <c r="X8685" i="15"/>
  <c r="Y8684" i="15" s="1"/>
  <c r="X8686" i="15"/>
  <c r="Y8685" i="15" s="1"/>
  <c r="X8687" i="15"/>
  <c r="Y8686" i="15" s="1"/>
  <c r="X8688" i="15"/>
  <c r="Y8687" i="15" s="1"/>
  <c r="X8689" i="15"/>
  <c r="Y8688" i="15" s="1"/>
  <c r="X8690" i="15"/>
  <c r="Y8689" i="15" s="1"/>
  <c r="X8691" i="15"/>
  <c r="Y8690" i="15" s="1"/>
  <c r="X8692" i="15"/>
  <c r="Y8691" i="15" s="1"/>
  <c r="X8693" i="15"/>
  <c r="Y8692" i="15" s="1"/>
  <c r="X8694" i="15"/>
  <c r="Y8693" i="15" s="1"/>
  <c r="X8695" i="15"/>
  <c r="Y8694" i="15" s="1"/>
  <c r="X8696" i="15"/>
  <c r="Y8695" i="15" s="1"/>
  <c r="X8697" i="15"/>
  <c r="Y8696" i="15" s="1"/>
  <c r="X8698" i="15"/>
  <c r="Y8697" i="15" s="1"/>
  <c r="X8699" i="15"/>
  <c r="Y8698" i="15" s="1"/>
  <c r="X8700" i="15"/>
  <c r="Y8699" i="15" s="1"/>
  <c r="X8701" i="15"/>
  <c r="Y8700" i="15" s="1"/>
  <c r="X8702" i="15"/>
  <c r="Y8701" i="15" s="1"/>
  <c r="X8703" i="15"/>
  <c r="Y8702" i="15" s="1"/>
  <c r="X8704" i="15"/>
  <c r="Y8703" i="15" s="1"/>
  <c r="X8705" i="15"/>
  <c r="Y8704" i="15" s="1"/>
  <c r="X8706" i="15"/>
  <c r="Y8705" i="15" s="1"/>
  <c r="X8707" i="15"/>
  <c r="Y8706" i="15" s="1"/>
  <c r="X8708" i="15"/>
  <c r="Y8707" i="15" s="1"/>
  <c r="X8709" i="15"/>
  <c r="Y8708" i="15" s="1"/>
  <c r="X8710" i="15"/>
  <c r="Y8709" i="15" s="1"/>
  <c r="X8711" i="15"/>
  <c r="Y8710" i="15" s="1"/>
  <c r="X8712" i="15"/>
  <c r="Y8711" i="15" s="1"/>
  <c r="X8713" i="15"/>
  <c r="Y8712" i="15" s="1"/>
  <c r="X8714" i="15"/>
  <c r="Y8713" i="15" s="1"/>
  <c r="X8715" i="15"/>
  <c r="Y8714" i="15" s="1"/>
  <c r="X8716" i="15"/>
  <c r="Y8715" i="15" s="1"/>
  <c r="X8717" i="15"/>
  <c r="Y8716" i="15" s="1"/>
  <c r="X8718" i="15"/>
  <c r="Y8717" i="15" s="1"/>
  <c r="X8719" i="15"/>
  <c r="Y8718" i="15" s="1"/>
  <c r="X8720" i="15"/>
  <c r="Y8719" i="15" s="1"/>
  <c r="X8721" i="15"/>
  <c r="Y8720" i="15" s="1"/>
  <c r="X8722" i="15"/>
  <c r="Y8721" i="15" s="1"/>
  <c r="X8723" i="15"/>
  <c r="Y8722" i="15" s="1"/>
  <c r="X8724" i="15"/>
  <c r="Y8723" i="15" s="1"/>
  <c r="X8725" i="15"/>
  <c r="Y8724" i="15" s="1"/>
  <c r="X8726" i="15"/>
  <c r="Y8725" i="15" s="1"/>
  <c r="X8727" i="15"/>
  <c r="Y8726" i="15" s="1"/>
  <c r="X8728" i="15"/>
  <c r="Y8727" i="15" s="1"/>
  <c r="X8729" i="15"/>
  <c r="Y8728" i="15" s="1"/>
  <c r="X8730" i="15"/>
  <c r="Y8729" i="15" s="1"/>
  <c r="X8731" i="15"/>
  <c r="Y8730" i="15" s="1"/>
  <c r="X8732" i="15"/>
  <c r="Y8731" i="15" s="1"/>
  <c r="X8733" i="15"/>
  <c r="Y8732" i="15" s="1"/>
  <c r="X8734" i="15"/>
  <c r="Y8733" i="15" s="1"/>
  <c r="X8735" i="15"/>
  <c r="Y8734" i="15" s="1"/>
  <c r="X8736" i="15"/>
  <c r="Y8735" i="15" s="1"/>
  <c r="X8737" i="15"/>
  <c r="Y8736" i="15" s="1"/>
  <c r="X8738" i="15"/>
  <c r="Y8737" i="15" s="1"/>
  <c r="X8739" i="15"/>
  <c r="Y8738" i="15" s="1"/>
  <c r="X8740" i="15"/>
  <c r="Y8739" i="15" s="1"/>
  <c r="X8741" i="15"/>
  <c r="Y8740" i="15" s="1"/>
  <c r="X8742" i="15"/>
  <c r="Y8741" i="15" s="1"/>
  <c r="X8743" i="15"/>
  <c r="Y8742" i="15" s="1"/>
  <c r="X8744" i="15"/>
  <c r="Y8743" i="15" s="1"/>
  <c r="X8745" i="15"/>
  <c r="Y8744" i="15" s="1"/>
  <c r="X8746" i="15"/>
  <c r="Y8745" i="15" s="1"/>
  <c r="X8747" i="15"/>
  <c r="Y8746" i="15" s="1"/>
  <c r="X8748" i="15"/>
  <c r="Y8747" i="15" s="1"/>
  <c r="X8749" i="15"/>
  <c r="Y8748" i="15" s="1"/>
  <c r="X8750" i="15"/>
  <c r="Y8749" i="15" s="1"/>
  <c r="X8751" i="15"/>
  <c r="Y8750" i="15" s="1"/>
  <c r="X8752" i="15"/>
  <c r="Y8751" i="15" s="1"/>
  <c r="X8753" i="15"/>
  <c r="Y8752" i="15" s="1"/>
  <c r="X8754" i="15"/>
  <c r="Y8753" i="15" s="1"/>
  <c r="X8755" i="15"/>
  <c r="Y8754" i="15" s="1"/>
  <c r="X8756" i="15"/>
  <c r="Y8755" i="15" s="1"/>
  <c r="X8757" i="15"/>
  <c r="Y8756" i="15" s="1"/>
  <c r="X8758" i="15"/>
  <c r="Y8757" i="15" s="1"/>
  <c r="X8759" i="15"/>
  <c r="Y8758" i="15" s="1"/>
  <c r="X8760" i="15"/>
  <c r="Y8759" i="15" s="1"/>
  <c r="X8761" i="15"/>
  <c r="Y8760" i="15" s="1"/>
  <c r="X8762" i="15"/>
  <c r="Y8761" i="15" s="1"/>
  <c r="X8763" i="15"/>
  <c r="Y8762" i="15" s="1"/>
  <c r="X8764" i="15"/>
  <c r="Y8763" i="15" s="1"/>
  <c r="X8765" i="15"/>
  <c r="Y8764" i="15" s="1"/>
  <c r="X8766" i="15"/>
  <c r="Y8765" i="15" s="1"/>
  <c r="X8767" i="15"/>
  <c r="Y8766" i="15" s="1"/>
  <c r="X8768" i="15"/>
  <c r="Y8767" i="15" s="1"/>
  <c r="X8769" i="15"/>
  <c r="Y8768" i="15" s="1"/>
  <c r="X8770" i="15"/>
  <c r="Y8769" i="15" s="1"/>
  <c r="X8771" i="15"/>
  <c r="Y8770" i="15" s="1"/>
  <c r="X8772" i="15"/>
  <c r="Y8771" i="15" s="1"/>
  <c r="X8773" i="15"/>
  <c r="Y8772" i="15" s="1"/>
  <c r="X8774" i="15"/>
  <c r="Y8773" i="15" s="1"/>
  <c r="X8775" i="15"/>
  <c r="Y8774" i="15" s="1"/>
  <c r="X8776" i="15"/>
  <c r="Y8775" i="15" s="1"/>
  <c r="X8777" i="15"/>
  <c r="Y8776" i="15" s="1"/>
  <c r="X8778" i="15"/>
  <c r="Y8777" i="15" s="1"/>
  <c r="X8779" i="15"/>
  <c r="Y8778" i="15" s="1"/>
  <c r="X8780" i="15"/>
  <c r="Y8779" i="15" s="1"/>
  <c r="X8781" i="15"/>
  <c r="Y8780" i="15" s="1"/>
  <c r="X8782" i="15"/>
  <c r="Y8781" i="15" s="1"/>
  <c r="X8783" i="15"/>
  <c r="Y8782" i="15" s="1"/>
  <c r="X8784" i="15"/>
  <c r="Y8783" i="15" s="1"/>
  <c r="X8785" i="15"/>
  <c r="Y8784" i="15" s="1"/>
  <c r="X8786" i="15"/>
  <c r="Y8785" i="15" s="1"/>
  <c r="X8787" i="15"/>
  <c r="Y8786" i="15" s="1"/>
  <c r="X8788" i="15"/>
  <c r="Y8787" i="15" s="1"/>
  <c r="X8789" i="15"/>
  <c r="Y8788" i="15" s="1"/>
  <c r="X8790" i="15"/>
  <c r="Y8789" i="15" s="1"/>
  <c r="X8791" i="15"/>
  <c r="Y8790" i="15" s="1"/>
  <c r="X8792" i="15"/>
  <c r="Y8791" i="15" s="1"/>
  <c r="X8793" i="15"/>
  <c r="Y8792" i="15" s="1"/>
  <c r="X8794" i="15"/>
  <c r="Y8793" i="15" s="1"/>
  <c r="X8795" i="15"/>
  <c r="Y8794" i="15" s="1"/>
  <c r="X8796" i="15"/>
  <c r="Y8795" i="15" s="1"/>
  <c r="X8797" i="15"/>
  <c r="Y8796" i="15" s="1"/>
  <c r="X8798" i="15"/>
  <c r="Y8797" i="15" s="1"/>
  <c r="X8799" i="15"/>
  <c r="Y8798" i="15" s="1"/>
  <c r="X8800" i="15"/>
  <c r="Y8799" i="15" s="1"/>
  <c r="X8801" i="15"/>
  <c r="Y8800" i="15" s="1"/>
  <c r="X8802" i="15"/>
  <c r="Y8801" i="15" s="1"/>
  <c r="X8803" i="15"/>
  <c r="Y8802" i="15" s="1"/>
  <c r="X8804" i="15"/>
  <c r="Y8803" i="15" s="1"/>
  <c r="X8805" i="15"/>
  <c r="Y8804" i="15" s="1"/>
  <c r="X8806" i="15"/>
  <c r="Y8805" i="15" s="1"/>
  <c r="X8807" i="15"/>
  <c r="Y8806" i="15" s="1"/>
  <c r="X8808" i="15"/>
  <c r="Y8807" i="15" s="1"/>
  <c r="X8809" i="15"/>
  <c r="Y8808" i="15" s="1"/>
  <c r="X8810" i="15"/>
  <c r="Y8809" i="15" s="1"/>
  <c r="X8811" i="15"/>
  <c r="Y8810" i="15" s="1"/>
  <c r="X8812" i="15"/>
  <c r="Y8811" i="15" s="1"/>
  <c r="X8813" i="15"/>
  <c r="Y8812" i="15" s="1"/>
  <c r="X8814" i="15"/>
  <c r="Y8813" i="15" s="1"/>
  <c r="X8815" i="15"/>
  <c r="Y8814" i="15" s="1"/>
  <c r="X8816" i="15"/>
  <c r="Y8815" i="15" s="1"/>
  <c r="X8817" i="15"/>
  <c r="Y8816" i="15" s="1"/>
  <c r="X8818" i="15"/>
  <c r="Y8817" i="15" s="1"/>
  <c r="X8819" i="15"/>
  <c r="Y8818" i="15" s="1"/>
  <c r="X8820" i="15"/>
  <c r="Y8819" i="15" s="1"/>
  <c r="X8821" i="15"/>
  <c r="Y8820" i="15" s="1"/>
  <c r="X8822" i="15"/>
  <c r="Y8821" i="15" s="1"/>
  <c r="X8823" i="15"/>
  <c r="Y8822" i="15" s="1"/>
  <c r="X8824" i="15"/>
  <c r="Y8823" i="15" s="1"/>
  <c r="X8825" i="15"/>
  <c r="Y8824" i="15" s="1"/>
  <c r="X8826" i="15"/>
  <c r="Y8825" i="15" s="1"/>
  <c r="X8827" i="15"/>
  <c r="Y8826" i="15" s="1"/>
  <c r="X8828" i="15"/>
  <c r="Y8827" i="15" s="1"/>
  <c r="X8829" i="15"/>
  <c r="Y8828" i="15" s="1"/>
  <c r="X8830" i="15"/>
  <c r="Y8829" i="15" s="1"/>
  <c r="X8831" i="15"/>
  <c r="Y8830" i="15" s="1"/>
  <c r="X8832" i="15"/>
  <c r="Y8831" i="15" s="1"/>
  <c r="X8833" i="15"/>
  <c r="Y8832" i="15" s="1"/>
  <c r="X8834" i="15"/>
  <c r="Y8833" i="15" s="1"/>
  <c r="X8835" i="15"/>
  <c r="Y8834" i="15" s="1"/>
  <c r="X8836" i="15"/>
  <c r="Y8835" i="15" s="1"/>
  <c r="X8837" i="15"/>
  <c r="Y8836" i="15" s="1"/>
  <c r="X8838" i="15"/>
  <c r="Y8837" i="15" s="1"/>
  <c r="X8839" i="15"/>
  <c r="Y8838" i="15" s="1"/>
  <c r="X8840" i="15"/>
  <c r="Y8839" i="15" s="1"/>
  <c r="X8841" i="15"/>
  <c r="Y8840" i="15" s="1"/>
  <c r="X8842" i="15"/>
  <c r="Y8841" i="15" s="1"/>
  <c r="X8843" i="15"/>
  <c r="Y8842" i="15" s="1"/>
  <c r="X8844" i="15"/>
  <c r="Y8843" i="15" s="1"/>
  <c r="X8845" i="15"/>
  <c r="Y8844" i="15" s="1"/>
  <c r="X8846" i="15"/>
  <c r="Y8845" i="15" s="1"/>
  <c r="X8847" i="15"/>
  <c r="Y8846" i="15" s="1"/>
  <c r="X8848" i="15"/>
  <c r="Y8847" i="15" s="1"/>
  <c r="X8849" i="15"/>
  <c r="Y8848" i="15" s="1"/>
  <c r="X8850" i="15"/>
  <c r="Y8849" i="15" s="1"/>
  <c r="X8851" i="15"/>
  <c r="Y8850" i="15" s="1"/>
  <c r="X8852" i="15"/>
  <c r="Y8851" i="15" s="1"/>
  <c r="X8853" i="15"/>
  <c r="Y8852" i="15" s="1"/>
  <c r="X8854" i="15"/>
  <c r="Y8853" i="15" s="1"/>
  <c r="X8855" i="15"/>
  <c r="Y8854" i="15" s="1"/>
  <c r="X8856" i="15"/>
  <c r="Y8855" i="15" s="1"/>
  <c r="X2" i="15"/>
  <c r="A36" i="19" l="1"/>
  <c r="B26" i="19"/>
  <c r="B27" i="19"/>
  <c r="B28" i="19"/>
  <c r="B29" i="19"/>
  <c r="B30" i="19"/>
  <c r="B31" i="19"/>
  <c r="B32" i="19"/>
  <c r="B33" i="19"/>
  <c r="A17" i="19"/>
  <c r="A18" i="19"/>
  <c r="A19" i="19"/>
  <c r="A20" i="19"/>
  <c r="A21" i="19"/>
  <c r="A22" i="19"/>
  <c r="A23" i="19"/>
  <c r="A16" i="19"/>
  <c r="A3" i="19"/>
  <c r="A4" i="19"/>
  <c r="A5" i="19"/>
  <c r="A6" i="19"/>
  <c r="A7" i="19"/>
  <c r="A8" i="19"/>
  <c r="A9" i="19"/>
  <c r="A10" i="19"/>
  <c r="A11" i="19"/>
  <c r="A12" i="19"/>
  <c r="A13" i="19"/>
  <c r="A2" i="19"/>
  <c r="N160" i="4"/>
  <c r="M160" i="4"/>
  <c r="L160" i="4"/>
  <c r="K160" i="4"/>
  <c r="J160" i="4"/>
  <c r="I160" i="4"/>
  <c r="H160" i="4"/>
  <c r="G160" i="4"/>
  <c r="F160" i="4"/>
  <c r="E160" i="4"/>
  <c r="F13" i="19" l="1"/>
  <c r="F12" i="19"/>
  <c r="F11" i="19"/>
  <c r="F10" i="19"/>
  <c r="F9" i="19"/>
  <c r="F8" i="19"/>
  <c r="F7" i="19"/>
  <c r="F6" i="19"/>
  <c r="F5" i="19"/>
  <c r="F4" i="19"/>
  <c r="Q91" i="7" l="1"/>
  <c r="E18" i="14" l="1"/>
  <c r="M3" i="16" s="1"/>
  <c r="E19" i="14"/>
  <c r="M4" i="16" s="1"/>
  <c r="E20" i="14"/>
  <c r="M5" i="16" s="1"/>
  <c r="E21" i="14"/>
  <c r="M6" i="16" s="1"/>
  <c r="E22" i="14"/>
  <c r="M7" i="16" s="1"/>
  <c r="E23" i="14"/>
  <c r="M8" i="16" s="1"/>
  <c r="E24" i="14"/>
  <c r="M9" i="16" s="1"/>
  <c r="E25" i="14"/>
  <c r="M10" i="16" s="1"/>
  <c r="E26" i="14"/>
  <c r="M11" i="16" s="1"/>
  <c r="E27" i="14"/>
  <c r="M12" i="16" s="1"/>
  <c r="E28" i="14"/>
  <c r="M13" i="16" s="1"/>
  <c r="E17" i="14"/>
  <c r="M2" i="16" s="1"/>
  <c r="V2" i="15"/>
  <c r="A4" i="14" l="1"/>
  <c r="A3" i="16" s="1"/>
  <c r="A5" i="14"/>
  <c r="A4" i="16" s="1"/>
  <c r="A6" i="14"/>
  <c r="A5" i="16" s="1"/>
  <c r="A7" i="14"/>
  <c r="A6" i="16" s="1"/>
  <c r="A8" i="14"/>
  <c r="A7" i="16" s="1"/>
  <c r="A9" i="14"/>
  <c r="A8" i="16" s="1"/>
  <c r="A10" i="14"/>
  <c r="A9" i="16" s="1"/>
  <c r="A11" i="14"/>
  <c r="A10" i="16" s="1"/>
  <c r="A12" i="14"/>
  <c r="A11" i="16" s="1"/>
  <c r="A13" i="14"/>
  <c r="A12" i="16" s="1"/>
  <c r="A14" i="14"/>
  <c r="A13" i="16" s="1"/>
  <c r="A3" i="14"/>
  <c r="A2" i="16" s="1"/>
  <c r="D21" i="14" l="1"/>
  <c r="M14" i="8" s="1"/>
  <c r="D22" i="14"/>
  <c r="M12" i="8" s="1"/>
  <c r="D23" i="14"/>
  <c r="I21" i="8" s="1"/>
  <c r="D24" i="14"/>
  <c r="J21" i="8" s="1"/>
  <c r="D25" i="14"/>
  <c r="K21" i="8" s="1"/>
  <c r="D26" i="14"/>
  <c r="K7" i="8" s="1"/>
  <c r="D27" i="14"/>
  <c r="J7" i="8" s="1"/>
  <c r="D28" i="14"/>
  <c r="I7" i="8" s="1"/>
  <c r="D18" i="14"/>
  <c r="G14" i="8" s="1"/>
  <c r="D19" i="14"/>
  <c r="G16" i="8" s="1"/>
  <c r="D20" i="14"/>
  <c r="M16" i="8" s="1"/>
  <c r="D17" i="14"/>
  <c r="G12" i="8" s="1"/>
  <c r="C18" i="14"/>
  <c r="F14" i="8" s="1"/>
  <c r="C19" i="14"/>
  <c r="F16" i="8" s="1"/>
  <c r="C20" i="14"/>
  <c r="N16" i="8" s="1"/>
  <c r="C21" i="14"/>
  <c r="N14" i="8" s="1"/>
  <c r="C22" i="14"/>
  <c r="N12" i="8" s="1"/>
  <c r="C23" i="14"/>
  <c r="I22" i="8" s="1"/>
  <c r="C24" i="14"/>
  <c r="J22" i="8" s="1"/>
  <c r="C25" i="14"/>
  <c r="K22" i="8" s="1"/>
  <c r="C26" i="14"/>
  <c r="K6" i="8" s="1"/>
  <c r="C27" i="14"/>
  <c r="J6" i="8" s="1"/>
  <c r="C28" i="14"/>
  <c r="I6" i="8" s="1"/>
  <c r="C17" i="14"/>
  <c r="F12" i="8" s="1"/>
  <c r="J14" i="8" l="1"/>
  <c r="H7" i="8"/>
  <c r="G17" i="8"/>
  <c r="N11" i="8"/>
  <c r="L22"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H12" i="2" s="1"/>
  <c r="F5" i="1"/>
  <c r="AL6" i="6" s="1"/>
  <c r="AL7" i="6" s="1"/>
  <c r="I5" i="1"/>
  <c r="J5" i="1"/>
  <c r="I6" i="2" s="1"/>
  <c r="F12" i="2" s="1"/>
  <c r="K5" i="1"/>
  <c r="W4" i="7" s="1"/>
  <c r="N5" i="1"/>
  <c r="C13" i="6" s="1"/>
  <c r="O5" i="1"/>
  <c r="U11" i="7" s="1"/>
  <c r="P5" i="1"/>
  <c r="U13" i="7" s="1"/>
  <c r="S5" i="1"/>
  <c r="T5" i="1"/>
  <c r="AA11" i="7" s="1"/>
  <c r="U5" i="1"/>
  <c r="AA9" i="7" s="1"/>
  <c r="X6" i="1"/>
  <c r="AA6" i="1"/>
  <c r="AD6" i="1"/>
  <c r="AG6" i="1"/>
  <c r="E11" i="1"/>
  <c r="T4" i="9" s="1"/>
  <c r="T6" i="9" s="1"/>
  <c r="J11" i="1"/>
  <c r="V4" i="9" s="1"/>
  <c r="V6" i="9" s="1"/>
  <c r="O11" i="1"/>
  <c r="P4" i="9" s="1"/>
  <c r="P6" i="9" s="1"/>
  <c r="T11" i="1"/>
  <c r="R4" i="9" s="1"/>
  <c r="R6" i="9" s="1"/>
  <c r="R26" i="9" s="1"/>
  <c r="AC40" i="9"/>
  <c r="AC36" i="9"/>
  <c r="Z26" i="4"/>
  <c r="Y27" i="4" s="1"/>
  <c r="Y26" i="4"/>
  <c r="AA25" i="4"/>
  <c r="AA26" i="4" s="1"/>
  <c r="AA27" i="4" s="1"/>
  <c r="AA28" i="4" s="1"/>
  <c r="AA29" i="4" s="1"/>
  <c r="AA30" i="4" s="1"/>
  <c r="AA31" i="4" s="1"/>
  <c r="AA32" i="4" s="1"/>
  <c r="AA33" i="4" s="1"/>
  <c r="AA34" i="4" s="1"/>
  <c r="AA35" i="4" s="1"/>
  <c r="AA36" i="4" s="1"/>
  <c r="AA24" i="4"/>
  <c r="D20" i="4"/>
  <c r="E20" i="4"/>
  <c r="F20" i="4"/>
  <c r="G20" i="4"/>
  <c r="H20" i="4"/>
  <c r="I20" i="4"/>
  <c r="J20" i="4"/>
  <c r="K20" i="4"/>
  <c r="L20" i="4"/>
  <c r="M20" i="4"/>
  <c r="N20" i="4"/>
  <c r="C20"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T29" i="1"/>
  <c r="V2" i="8" s="1"/>
  <c r="R22" i="9" s="1"/>
  <c r="O29" i="1"/>
  <c r="T2" i="8" s="1"/>
  <c r="P22" i="9" s="1"/>
  <c r="J29" i="1"/>
  <c r="W2" i="8" s="1"/>
  <c r="V22" i="9" s="1"/>
  <c r="E29" i="1"/>
  <c r="U2" i="8" s="1"/>
  <c r="T22" i="9"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H23" i="9"/>
  <c r="D23" i="9"/>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I31" i="1"/>
  <c r="L4" i="4" s="1"/>
  <c r="F31" i="1"/>
  <c r="E31" i="1"/>
  <c r="J4" i="4" s="1"/>
  <c r="K4" i="4" s="1"/>
  <c r="D31" i="1"/>
  <c r="I4" i="4" s="1"/>
  <c r="U22" i="1"/>
  <c r="T22" i="1"/>
  <c r="S22" i="1"/>
  <c r="P22" i="1"/>
  <c r="O22" i="1"/>
  <c r="N22" i="1"/>
  <c r="K22" i="1"/>
  <c r="J22" i="1"/>
  <c r="I22" i="1"/>
  <c r="F22" i="1"/>
  <c r="E22" i="1"/>
  <c r="D22" i="1"/>
  <c r="F48" i="2"/>
  <c r="S3" i="4"/>
  <c r="S4" i="4" s="1"/>
  <c r="S2" i="4"/>
  <c r="AE3" i="7"/>
  <c r="AG3" i="7"/>
  <c r="AI3" i="7"/>
  <c r="AK3" i="7"/>
  <c r="AE1" i="7"/>
  <c r="AF1" i="7"/>
  <c r="AG1" i="7"/>
  <c r="AH1" i="7"/>
  <c r="AI1" i="7"/>
  <c r="AJ1" i="7"/>
  <c r="AK1" i="7"/>
  <c r="AD1" i="7"/>
  <c r="BE37" i="6"/>
  <c r="BE38" i="6" s="1"/>
  <c r="AN37" i="6"/>
  <c r="AN38" i="6" s="1"/>
  <c r="W52" i="6"/>
  <c r="W49" i="6"/>
  <c r="W37" i="6"/>
  <c r="W38" i="6" s="1"/>
  <c r="E37" i="6"/>
  <c r="E38" i="6" s="1"/>
  <c r="D32" i="4"/>
  <c r="I82" i="7"/>
  <c r="J82" i="7"/>
  <c r="K82" i="7"/>
  <c r="L82" i="7"/>
  <c r="M82" i="7"/>
  <c r="N82" i="7"/>
  <c r="C32" i="4"/>
  <c r="D19" i="4"/>
  <c r="G19" i="4"/>
  <c r="J19" i="4"/>
  <c r="M19"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19" s="1"/>
  <c r="G82" i="7"/>
  <c r="C160" i="4"/>
  <c r="F2" i="19" s="1"/>
  <c r="Z27" i="4"/>
  <c r="E6" i="2"/>
  <c r="G6" i="4" s="1"/>
  <c r="G10" i="4" s="1"/>
  <c r="X17" i="7"/>
  <c r="AL26" i="6"/>
  <c r="AN26" i="6" s="1"/>
  <c r="M14" i="2"/>
  <c r="U26" i="6"/>
  <c r="V26" i="6" s="1"/>
  <c r="E11" i="7"/>
  <c r="C5" i="6"/>
  <c r="D5" i="6" s="1"/>
  <c r="M13" i="2"/>
  <c r="C26" i="6"/>
  <c r="D26" i="6" s="1"/>
  <c r="B43" i="1"/>
  <c r="C31" i="9"/>
  <c r="BC57" i="6"/>
  <c r="BC6" i="6"/>
  <c r="BC7" i="6" s="1"/>
  <c r="BC8" i="6" s="1"/>
  <c r="C11" i="6"/>
  <c r="X4" i="7"/>
  <c r="AB14" i="4"/>
  <c r="F3" i="2"/>
  <c r="F14" i="2" s="1"/>
  <c r="AL57" i="6"/>
  <c r="AM57" i="6" s="1"/>
  <c r="AL56" i="6"/>
  <c r="Y17" i="7"/>
  <c r="AC14" i="4"/>
  <c r="B6" i="2"/>
  <c r="B11" i="2" s="1"/>
  <c r="T6" i="1"/>
  <c r="V36" i="6" s="1"/>
  <c r="V37" i="6" s="1"/>
  <c r="V38" i="6" s="1"/>
  <c r="E8" i="2"/>
  <c r="B13" i="2" s="1"/>
  <c r="U13" i="6"/>
  <c r="V56" i="6" s="1"/>
  <c r="G3" i="2"/>
  <c r="J3" i="4" s="1"/>
  <c r="J5" i="4" s="1"/>
  <c r="O6" i="1"/>
  <c r="J46" i="6" s="1"/>
  <c r="U12" i="6"/>
  <c r="U9" i="7"/>
  <c r="D3" i="2"/>
  <c r="D14" i="2" s="1"/>
  <c r="C56" i="6"/>
  <c r="A29" i="7"/>
  <c r="D6" i="2"/>
  <c r="D11" i="2" s="1"/>
  <c r="AA13" i="7"/>
  <c r="H3" i="2"/>
  <c r="Y4" i="7"/>
  <c r="BC11" i="6"/>
  <c r="E3" i="2"/>
  <c r="G3" i="4" s="1"/>
  <c r="G5" i="4" s="1"/>
  <c r="BC13" i="6"/>
  <c r="BC20" i="6" s="1"/>
  <c r="U5" i="6"/>
  <c r="V5" i="6" s="1"/>
  <c r="E6" i="1"/>
  <c r="AS45" i="6" s="1"/>
  <c r="AV45" i="6" s="1"/>
  <c r="H6" i="2"/>
  <c r="H11" i="2" s="1"/>
  <c r="C6" i="2"/>
  <c r="S7" i="2" s="1"/>
  <c r="BC56" i="6"/>
  <c r="W17" i="7"/>
  <c r="C6" i="6"/>
  <c r="C7" i="6" s="1"/>
  <c r="BC26" i="6"/>
  <c r="BD26" i="6" s="1"/>
  <c r="AA14" i="4"/>
  <c r="BC12" i="6"/>
  <c r="BC44" i="6" s="1"/>
  <c r="AL12" i="6"/>
  <c r="I12" i="4" s="1"/>
  <c r="F6" i="2"/>
  <c r="F11" i="2" s="1"/>
  <c r="R24" i="9"/>
  <c r="R25" i="9" s="1"/>
  <c r="R27" i="9" s="1"/>
  <c r="Q27" i="9" s="1"/>
  <c r="F75" i="4" s="1"/>
  <c r="U57" i="6"/>
  <c r="C19" i="6"/>
  <c r="M6" i="4"/>
  <c r="M10" i="4" s="1"/>
  <c r="AM8" i="6"/>
  <c r="U7" i="2"/>
  <c r="AA7" i="2" s="1"/>
  <c r="AL19" i="6"/>
  <c r="Z14" i="4"/>
  <c r="U6" i="6"/>
  <c r="U56" i="6"/>
  <c r="C12" i="6"/>
  <c r="C12" i="4" s="1"/>
  <c r="C57" i="6"/>
  <c r="D57" i="6" s="1"/>
  <c r="C3" i="2"/>
  <c r="D3" i="4" s="1"/>
  <c r="AL21" i="6"/>
  <c r="D56" i="6"/>
  <c r="C21" i="6"/>
  <c r="I29" i="7"/>
  <c r="S11" i="7"/>
  <c r="U49" i="7"/>
  <c r="I49" i="7"/>
  <c r="S29" i="7"/>
  <c r="O68" i="7"/>
  <c r="AM56" i="6"/>
  <c r="AL18" i="6"/>
  <c r="AL20" i="6"/>
  <c r="I3" i="2"/>
  <c r="T7" i="9"/>
  <c r="T9" i="9" s="1"/>
  <c r="G8" i="2"/>
  <c r="H13" i="2" s="1"/>
  <c r="T24" i="9"/>
  <c r="T25" i="9" s="1"/>
  <c r="C8" i="2"/>
  <c r="D13" i="2" s="1"/>
  <c r="P23" i="9"/>
  <c r="P26" i="9"/>
  <c r="V7" i="9"/>
  <c r="V9" i="9" s="1"/>
  <c r="V24" i="9"/>
  <c r="V25" i="9" s="1"/>
  <c r="I8" i="2"/>
  <c r="F13" i="2" s="1"/>
  <c r="V26" i="9"/>
  <c r="J6" i="4"/>
  <c r="J10" i="4" s="1"/>
  <c r="J6" i="1"/>
  <c r="I7" i="2" s="1"/>
  <c r="I59" i="7"/>
  <c r="O40" i="7"/>
  <c r="D41" i="7"/>
  <c r="D21" i="7"/>
  <c r="N21" i="7"/>
  <c r="N3" i="7"/>
  <c r="I76" i="7"/>
  <c r="D36" i="7"/>
  <c r="O57" i="7"/>
  <c r="D56" i="7"/>
  <c r="N36" i="7"/>
  <c r="N18" i="7"/>
  <c r="N4" i="4"/>
  <c r="O4" i="4"/>
  <c r="O11" i="4" s="1"/>
  <c r="T7" i="2"/>
  <c r="Z7" i="2" s="1"/>
  <c r="AL8" i="6"/>
  <c r="C18" i="6"/>
  <c r="C20" i="6"/>
  <c r="T23" i="9"/>
  <c r="T26" i="9"/>
  <c r="B14" i="2"/>
  <c r="K49" i="7"/>
  <c r="K29" i="7"/>
  <c r="A49" i="7"/>
  <c r="E68" i="7"/>
  <c r="R7" i="9"/>
  <c r="R9" i="9" s="1"/>
  <c r="R23" i="9"/>
  <c r="P24" i="9"/>
  <c r="P25" i="9" s="1"/>
  <c r="V23" i="9"/>
  <c r="P7" i="9"/>
  <c r="P9" i="9" s="1"/>
  <c r="AA15" i="7" l="1"/>
  <c r="R3" i="9" s="1"/>
  <c r="T19" i="9" s="1"/>
  <c r="U15" i="7"/>
  <c r="B13" i="7" s="1"/>
  <c r="V50" i="6"/>
  <c r="B12" i="2"/>
  <c r="B16" i="2" s="1"/>
  <c r="R7" i="2"/>
  <c r="X7" i="2" s="1"/>
  <c r="G7" i="4"/>
  <c r="Y7" i="2"/>
  <c r="Z28" i="4"/>
  <c r="Y28" i="4"/>
  <c r="W26" i="6"/>
  <c r="AM50" i="6"/>
  <c r="Z4" i="7"/>
  <c r="D4" i="7" s="1"/>
  <c r="AM26" i="6"/>
  <c r="BD57" i="6"/>
  <c r="BC18" i="6"/>
  <c r="D6" i="4"/>
  <c r="D10" i="4" s="1"/>
  <c r="BD8" i="6"/>
  <c r="N16" i="4" s="1"/>
  <c r="BE26" i="6"/>
  <c r="Z17" i="7"/>
  <c r="T3" i="9" s="1"/>
  <c r="P19" i="9" s="1"/>
  <c r="C6" i="4"/>
  <c r="C10" i="4" s="1"/>
  <c r="D8" i="6"/>
  <c r="M17" i="2"/>
  <c r="T8" i="2"/>
  <c r="F6" i="4"/>
  <c r="F3" i="4" s="1"/>
  <c r="BC36" i="6"/>
  <c r="BC37" i="6" s="1"/>
  <c r="BC38" i="6" s="1"/>
  <c r="E26" i="6"/>
  <c r="D50" i="6"/>
  <c r="D5" i="4"/>
  <c r="B44" i="1"/>
  <c r="C32" i="9"/>
  <c r="U36" i="6"/>
  <c r="U37" i="6" s="1"/>
  <c r="U38" i="6" s="1"/>
  <c r="AB45" i="6"/>
  <c r="AB44" i="6" s="1"/>
  <c r="AL44" i="6"/>
  <c r="E7" i="2"/>
  <c r="AB46" i="6"/>
  <c r="AC46" i="6" s="1"/>
  <c r="AW45" i="6"/>
  <c r="AW44" i="6" s="1"/>
  <c r="U8" i="2"/>
  <c r="K16" i="4"/>
  <c r="M16" i="2"/>
  <c r="C8" i="6"/>
  <c r="C7" i="2"/>
  <c r="J45" i="6"/>
  <c r="J44" i="6" s="1"/>
  <c r="J42" i="6" s="1"/>
  <c r="U21" i="6"/>
  <c r="U19" i="6"/>
  <c r="R8" i="2"/>
  <c r="U20" i="6"/>
  <c r="BJ46" i="6"/>
  <c r="BL46" i="6" s="1"/>
  <c r="H14" i="2"/>
  <c r="H16" i="2" s="1"/>
  <c r="BD56" i="6"/>
  <c r="AV44" i="6"/>
  <c r="BD50" i="6"/>
  <c r="R28" i="9"/>
  <c r="Q28" i="9" s="1"/>
  <c r="V57" i="6"/>
  <c r="U34" i="6" s="1"/>
  <c r="V52" i="6" s="1"/>
  <c r="U18" i="6"/>
  <c r="M3" i="4"/>
  <c r="M5" i="4" s="1"/>
  <c r="M7" i="4" s="1"/>
  <c r="AT45" i="6"/>
  <c r="AT44" i="6" s="1"/>
  <c r="AZ45" i="6"/>
  <c r="AZ44" i="6" s="1"/>
  <c r="AS46" i="6"/>
  <c r="AT46" i="6" s="1"/>
  <c r="V27" i="9"/>
  <c r="U27" i="9" s="1"/>
  <c r="L75" i="4" s="1"/>
  <c r="I6" i="4"/>
  <c r="I10" i="4" s="1"/>
  <c r="AM36" i="6"/>
  <c r="AM37" i="6" s="1"/>
  <c r="AM38" i="6" s="1"/>
  <c r="F12" i="4"/>
  <c r="C34" i="6"/>
  <c r="D52" i="6" s="1"/>
  <c r="S8" i="2"/>
  <c r="Y8" i="2" s="1"/>
  <c r="U44" i="6"/>
  <c r="BC19" i="6"/>
  <c r="L6" i="4"/>
  <c r="L10" i="4" s="1"/>
  <c r="AS44" i="6"/>
  <c r="C44" i="6"/>
  <c r="AU45" i="6"/>
  <c r="AU44" i="6" s="1"/>
  <c r="AL36" i="6"/>
  <c r="AL37" i="6" s="1"/>
  <c r="AL38" i="6" s="1"/>
  <c r="AX45" i="6"/>
  <c r="AX44" i="6" s="1"/>
  <c r="AY45" i="6"/>
  <c r="AY44" i="6" s="1"/>
  <c r="M18" i="2"/>
  <c r="G7" i="2"/>
  <c r="F18" i="2" s="1"/>
  <c r="M15" i="2"/>
  <c r="F16" i="2"/>
  <c r="AN24" i="6"/>
  <c r="BC21" i="6"/>
  <c r="T27" i="9"/>
  <c r="S27" i="9" s="1"/>
  <c r="I75" i="4" s="1"/>
  <c r="D12" i="2"/>
  <c r="D16" i="2" s="1"/>
  <c r="AL14" i="6"/>
  <c r="AN16" i="6" s="1"/>
  <c r="L12" i="4"/>
  <c r="J7" i="4"/>
  <c r="U7" i="6"/>
  <c r="U8" i="6" s="1"/>
  <c r="V8" i="6"/>
  <c r="V28" i="9"/>
  <c r="U28" i="9" s="1"/>
  <c r="AL34" i="6"/>
  <c r="AM52" i="6" s="1"/>
  <c r="BD36" i="6"/>
  <c r="BD37" i="6" s="1"/>
  <c r="BD38" i="6" s="1"/>
  <c r="BJ45" i="6"/>
  <c r="P27" i="9"/>
  <c r="O27" i="9" s="1"/>
  <c r="C75" i="4" s="1"/>
  <c r="P28" i="9"/>
  <c r="O28" i="9" s="1"/>
  <c r="L46" i="6"/>
  <c r="M46" i="6"/>
  <c r="Q46" i="6"/>
  <c r="N46" i="6"/>
  <c r="K46" i="6"/>
  <c r="P46" i="6"/>
  <c r="O46" i="6"/>
  <c r="C14" i="6"/>
  <c r="D17" i="6" s="1"/>
  <c r="T28" i="9"/>
  <c r="S28" i="9" s="1"/>
  <c r="E24" i="6"/>
  <c r="E27" i="6" s="1"/>
  <c r="E16" i="6" l="1"/>
  <c r="H11" i="7"/>
  <c r="B11" i="7"/>
  <c r="B9" i="7"/>
  <c r="P3" i="9"/>
  <c r="V19" i="9" s="1"/>
  <c r="H13" i="7"/>
  <c r="H9" i="7"/>
  <c r="V53" i="6"/>
  <c r="U11" i="2"/>
  <c r="U10" i="2"/>
  <c r="T11" i="2"/>
  <c r="T10" i="2"/>
  <c r="S11" i="2"/>
  <c r="S10" i="2"/>
  <c r="X8" i="2"/>
  <c r="X10" i="2" s="1"/>
  <c r="R11" i="2"/>
  <c r="R10" i="2"/>
  <c r="Y10" i="2"/>
  <c r="Z29" i="4"/>
  <c r="Y29" i="4"/>
  <c r="D53" i="6"/>
  <c r="BC34" i="6"/>
  <c r="BD52" i="6" s="1"/>
  <c r="E4" i="7"/>
  <c r="V3" i="9"/>
  <c r="R19" i="9" s="1"/>
  <c r="F4" i="7"/>
  <c r="V49" i="6"/>
  <c r="D18" i="2"/>
  <c r="E132" i="4"/>
  <c r="E138" i="4" s="1"/>
  <c r="AG45" i="6"/>
  <c r="AG44" i="6" s="1"/>
  <c r="T9" i="2"/>
  <c r="AD45" i="6"/>
  <c r="AD44" i="6" s="1"/>
  <c r="D7" i="4"/>
  <c r="AS43" i="6"/>
  <c r="D17" i="7"/>
  <c r="F17" i="7"/>
  <c r="E17" i="7"/>
  <c r="E16" i="4"/>
  <c r="C3" i="4"/>
  <c r="C5" i="4" s="1"/>
  <c r="C7" i="4" s="1"/>
  <c r="G113" i="4"/>
  <c r="D132" i="4"/>
  <c r="Z8" i="2"/>
  <c r="Z10" i="2" s="1"/>
  <c r="AV46" i="6"/>
  <c r="AV42" i="6" s="1"/>
  <c r="F10" i="4"/>
  <c r="AH45" i="6"/>
  <c r="AH44" i="6" s="1"/>
  <c r="AF45" i="6"/>
  <c r="AF44" i="6" s="1"/>
  <c r="E30" i="6"/>
  <c r="E31" i="6" s="1"/>
  <c r="F13" i="4"/>
  <c r="W24" i="6"/>
  <c r="C33" i="9"/>
  <c r="B45" i="1"/>
  <c r="AE45" i="6"/>
  <c r="AE44" i="6" s="1"/>
  <c r="T8" i="9"/>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T10" i="9"/>
  <c r="T11" i="9" s="1"/>
  <c r="J36" i="4" s="1"/>
  <c r="K36" i="4" s="1"/>
  <c r="BE16" i="6"/>
  <c r="BE24" i="6"/>
  <c r="BE27" i="6" s="1"/>
  <c r="BE30" i="6" s="1"/>
  <c r="BE31" i="6" s="1"/>
  <c r="AN27" i="6"/>
  <c r="AN30" i="6" s="1"/>
  <c r="AN31" i="6" s="1"/>
  <c r="AM53" i="6"/>
  <c r="AM17" i="6"/>
  <c r="H16" i="4"/>
  <c r="BP45" i="6"/>
  <c r="BP44" i="6" s="1"/>
  <c r="BL45" i="6"/>
  <c r="BL44" i="6" s="1"/>
  <c r="BL42" i="6" s="1"/>
  <c r="BO45" i="6"/>
  <c r="BO44" i="6" s="1"/>
  <c r="BJ44" i="6"/>
  <c r="BQ45" i="6"/>
  <c r="BQ44" i="6" s="1"/>
  <c r="BK45" i="6"/>
  <c r="BK44" i="6" s="1"/>
  <c r="BN45" i="6"/>
  <c r="BN44" i="6" s="1"/>
  <c r="BM45" i="6"/>
  <c r="BM44" i="6" s="1"/>
  <c r="AB42" i="6"/>
  <c r="AB43" i="6"/>
  <c r="G60" i="4"/>
  <c r="R8" i="9"/>
  <c r="R10" i="9"/>
  <c r="R11" i="9" s="1"/>
  <c r="F5" i="4"/>
  <c r="D113" i="4" l="1"/>
  <c r="C132" i="4"/>
  <c r="C138" i="4" s="1"/>
  <c r="P10" i="9"/>
  <c r="P11" i="9" s="1"/>
  <c r="D36" i="4" s="1"/>
  <c r="E36" i="4" s="1"/>
  <c r="P8" i="9"/>
  <c r="D35" i="4" s="1"/>
  <c r="E35" i="4" s="1"/>
  <c r="BD53" i="6"/>
  <c r="M113" i="4"/>
  <c r="X11" i="2"/>
  <c r="X9" i="2"/>
  <c r="Z30" i="4"/>
  <c r="Y30" i="4"/>
  <c r="F132" i="4"/>
  <c r="F138" i="4" s="1"/>
  <c r="V8" i="9"/>
  <c r="V10" i="9"/>
  <c r="V11" i="9" s="1"/>
  <c r="E139" i="4"/>
  <c r="AV43" i="6"/>
  <c r="AG43" i="6"/>
  <c r="BQ42" i="6"/>
  <c r="AD43" i="6"/>
  <c r="AC42" i="6"/>
  <c r="D60" i="4"/>
  <c r="Z9" i="2"/>
  <c r="Z11" i="2"/>
  <c r="AH42" i="6"/>
  <c r="AF43" i="6"/>
  <c r="BN42" i="6"/>
  <c r="AF42" i="6"/>
  <c r="D138" i="4"/>
  <c r="D139" i="4"/>
  <c r="AI43" i="6"/>
  <c r="C13" i="4"/>
  <c r="W16" i="6"/>
  <c r="W27" i="6" s="1"/>
  <c r="W30" i="6" s="1"/>
  <c r="W31" i="6" s="1"/>
  <c r="J35" i="4"/>
  <c r="K35" i="4" s="1"/>
  <c r="AG42" i="6"/>
  <c r="AH43" i="6"/>
  <c r="Y12" i="2"/>
  <c r="D15" i="2" s="1"/>
  <c r="BP43" i="6"/>
  <c r="T12" i="2"/>
  <c r="F17" i="2" s="1"/>
  <c r="F21" i="2" s="1"/>
  <c r="AD42" i="6"/>
  <c r="Q42" i="6"/>
  <c r="C34" i="9"/>
  <c r="B46" i="1"/>
  <c r="AE43" i="6"/>
  <c r="U35" i="6" s="1"/>
  <c r="V48" i="6" s="1"/>
  <c r="C9" i="4"/>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F19" i="2" s="1"/>
  <c r="G4" i="2"/>
  <c r="G5" i="2" s="1"/>
  <c r="H19" i="2" s="1"/>
  <c r="R12" i="2"/>
  <c r="B17" i="2" s="1"/>
  <c r="B21" i="2" s="1"/>
  <c r="S12" i="2"/>
  <c r="D17" i="2" s="1"/>
  <c r="D21" i="2" s="1"/>
  <c r="BP42" i="6"/>
  <c r="BQ43" i="6"/>
  <c r="BL43" i="6"/>
  <c r="BK43" i="6"/>
  <c r="BK42" i="6"/>
  <c r="BO43" i="6"/>
  <c r="BO42" i="6"/>
  <c r="BN43" i="6"/>
  <c r="BM42" i="6"/>
  <c r="BM43" i="6"/>
  <c r="BJ43" i="6"/>
  <c r="BJ42" i="6"/>
  <c r="C26" i="4"/>
  <c r="G36" i="4"/>
  <c r="H36" i="4" s="1"/>
  <c r="F9" i="4"/>
  <c r="F7" i="4"/>
  <c r="G35" i="4"/>
  <c r="H35" i="4" s="1"/>
  <c r="C139" i="4" l="1"/>
  <c r="G139" i="4" s="1"/>
  <c r="AM48" i="6"/>
  <c r="AM49" i="6"/>
  <c r="D114" i="4"/>
  <c r="X12" i="2"/>
  <c r="B15" i="2" s="1"/>
  <c r="F139" i="4"/>
  <c r="C35" i="6"/>
  <c r="Z31" i="4"/>
  <c r="Y31" i="4"/>
  <c r="M36" i="4"/>
  <c r="N36" i="4" s="1"/>
  <c r="M35" i="4"/>
  <c r="N35" i="4" s="1"/>
  <c r="BC35" i="6"/>
  <c r="Z12" i="2"/>
  <c r="F15" i="2" s="1"/>
  <c r="G138" i="4"/>
  <c r="M22" i="2"/>
  <c r="B47" i="1"/>
  <c r="C35" i="9"/>
  <c r="K22" i="2"/>
  <c r="K23" i="2" s="1"/>
  <c r="N22" i="2"/>
  <c r="AA12" i="2"/>
  <c r="H15" i="2" s="1"/>
  <c r="I9" i="2"/>
  <c r="I27" i="2" s="1"/>
  <c r="H3" i="4"/>
  <c r="H6" i="4"/>
  <c r="N6" i="4"/>
  <c r="L3" i="4" s="1"/>
  <c r="N3" i="4"/>
  <c r="E3" i="4"/>
  <c r="L22" i="2"/>
  <c r="L23" i="2" s="1"/>
  <c r="K3" i="4"/>
  <c r="K6" i="4"/>
  <c r="I3" i="4" s="1"/>
  <c r="E6" i="4"/>
  <c r="F26" i="4"/>
  <c r="F15" i="4"/>
  <c r="D15" i="4"/>
  <c r="C15" i="4"/>
  <c r="G15" i="4"/>
  <c r="BD48" i="6" l="1"/>
  <c r="BD49" i="6"/>
  <c r="H22" i="2"/>
  <c r="M59" i="4" s="1"/>
  <c r="M64" i="4" s="1"/>
  <c r="M68" i="4" s="1"/>
  <c r="N23" i="2"/>
  <c r="F22" i="2"/>
  <c r="J57" i="4" s="1"/>
  <c r="J62" i="4" s="1"/>
  <c r="J66" i="4" s="1"/>
  <c r="M23" i="2"/>
  <c r="D49" i="6"/>
  <c r="D48" i="6"/>
  <c r="AK2" i="7"/>
  <c r="AK5" i="7" s="1"/>
  <c r="O4" i="7" s="1"/>
  <c r="AA41" i="2"/>
  <c r="Y32" i="4"/>
  <c r="Z32" i="4"/>
  <c r="N5" i="4"/>
  <c r="N8" i="4" s="1"/>
  <c r="F100" i="4"/>
  <c r="H5" i="4"/>
  <c r="H8" i="4" s="1"/>
  <c r="K5" i="4"/>
  <c r="K8" i="4" s="1"/>
  <c r="C36" i="9"/>
  <c r="B48" i="1"/>
  <c r="B22" i="2"/>
  <c r="B23" i="2" s="1"/>
  <c r="C100" i="4"/>
  <c r="C27" i="2"/>
  <c r="D30" i="2"/>
  <c r="G27" i="2"/>
  <c r="F102" i="4"/>
  <c r="AE42" i="2"/>
  <c r="J14" i="1"/>
  <c r="J16" i="1" s="1"/>
  <c r="K16" i="1" s="1"/>
  <c r="W49" i="2"/>
  <c r="W50" i="2" s="1"/>
  <c r="E27" i="2"/>
  <c r="M18" i="4"/>
  <c r="E5" i="4"/>
  <c r="E8" i="4" s="1"/>
  <c r="C102" i="4"/>
  <c r="D22" i="2"/>
  <c r="I5" i="4"/>
  <c r="L100" i="4"/>
  <c r="I102" i="4"/>
  <c r="J60" i="4"/>
  <c r="I13" i="4"/>
  <c r="I100" i="4"/>
  <c r="L5" i="4"/>
  <c r="L102" i="4"/>
  <c r="L13" i="4"/>
  <c r="M60" i="4"/>
  <c r="O3" i="4"/>
  <c r="Z13" i="4" l="1"/>
  <c r="Z15" i="4" s="1"/>
  <c r="C151" i="4"/>
  <c r="H27" i="2"/>
  <c r="Z42" i="2" s="1"/>
  <c r="H28" i="2"/>
  <c r="AJ3" i="7" s="1"/>
  <c r="F27" i="2"/>
  <c r="AD42" i="2" s="1"/>
  <c r="F23" i="2"/>
  <c r="AL24" i="6"/>
  <c r="AL27" i="6" s="1"/>
  <c r="AL30" i="6" s="1"/>
  <c r="AL31" i="6" s="1"/>
  <c r="AN52" i="6"/>
  <c r="AM14" i="6"/>
  <c r="AM16" i="6" s="1"/>
  <c r="I16" i="4" s="1"/>
  <c r="AT25" i="4" s="1"/>
  <c r="BD14" i="6"/>
  <c r="BD16" i="6" s="1"/>
  <c r="L16" i="4" s="1"/>
  <c r="AT26" i="4" s="1"/>
  <c r="J58" i="4"/>
  <c r="J63" i="4" s="1"/>
  <c r="J67" i="4" s="1"/>
  <c r="BD24" i="6"/>
  <c r="BD27" i="6" s="1"/>
  <c r="BD30" i="6" s="1"/>
  <c r="BD31" i="6" s="1"/>
  <c r="BE49" i="6"/>
  <c r="BC24" i="6"/>
  <c r="BC27" i="6" s="1"/>
  <c r="BC30" i="6" s="1"/>
  <c r="BC31" i="6" s="1"/>
  <c r="H23" i="2"/>
  <c r="AN49" i="6"/>
  <c r="BE52" i="6"/>
  <c r="AM24" i="6"/>
  <c r="AM27" i="6" s="1"/>
  <c r="AM30" i="6" s="1"/>
  <c r="AM31" i="6" s="1"/>
  <c r="J59" i="4"/>
  <c r="J64" i="4" s="1"/>
  <c r="J68" i="4" s="1"/>
  <c r="M58" i="4"/>
  <c r="M63" i="4" s="1"/>
  <c r="M67" i="4" s="1"/>
  <c r="M57" i="4"/>
  <c r="L14" i="4" s="1"/>
  <c r="E42" i="2"/>
  <c r="AA42" i="2"/>
  <c r="Q49" i="2"/>
  <c r="Q50" i="2" s="1"/>
  <c r="Y41" i="2"/>
  <c r="S49" i="2"/>
  <c r="S50" i="2" s="1"/>
  <c r="Y42" i="2"/>
  <c r="R42" i="2" s="1"/>
  <c r="Z33" i="4"/>
  <c r="Y33" i="4"/>
  <c r="M9" i="4"/>
  <c r="G57" i="4"/>
  <c r="G62" i="4" s="1"/>
  <c r="G66" i="4" s="1"/>
  <c r="V29" i="2"/>
  <c r="W30" i="2"/>
  <c r="X29" i="2"/>
  <c r="D27" i="2"/>
  <c r="D23"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F16" i="4" s="1"/>
  <c r="AT7" i="4" s="1"/>
  <c r="J9" i="4"/>
  <c r="G9" i="4"/>
  <c r="K9" i="4"/>
  <c r="D9" i="4"/>
  <c r="H9" i="4"/>
  <c r="O125" i="4"/>
  <c r="N9" i="4"/>
  <c r="B49" i="1"/>
  <c r="C37" i="9"/>
  <c r="D24" i="6"/>
  <c r="D27" i="6" s="1"/>
  <c r="D30" i="6" s="1"/>
  <c r="D31" i="6" s="1"/>
  <c r="B27" i="2"/>
  <c r="X42" i="2" s="1"/>
  <c r="D59" i="4"/>
  <c r="D64" i="4" s="1"/>
  <c r="D68" i="4" s="1"/>
  <c r="D14" i="6"/>
  <c r="D16" i="6" s="1"/>
  <c r="C16" i="4" s="1"/>
  <c r="D57" i="4"/>
  <c r="E52" i="6"/>
  <c r="D36" i="6" s="1"/>
  <c r="D37" i="6" s="1"/>
  <c r="D38" i="6" s="1"/>
  <c r="E49" i="6"/>
  <c r="C24" i="6"/>
  <c r="C27" i="6" s="1"/>
  <c r="C30" i="6" s="1"/>
  <c r="C31" i="6" s="1"/>
  <c r="D58" i="4"/>
  <c r="D63" i="4" s="1"/>
  <c r="D67" i="4" s="1"/>
  <c r="AG2" i="7"/>
  <c r="AG5" i="7" s="1"/>
  <c r="R11" i="7" s="1"/>
  <c r="B37" i="2"/>
  <c r="AE41" i="2"/>
  <c r="K15" i="1"/>
  <c r="D18" i="4"/>
  <c r="E19" i="4" s="1"/>
  <c r="O14" i="1"/>
  <c r="P15" i="1" s="1"/>
  <c r="D28" i="2"/>
  <c r="AF3" i="7" s="1"/>
  <c r="B28" i="2"/>
  <c r="AD3" i="7" s="1"/>
  <c r="AE2" i="7"/>
  <c r="AE5" i="7" s="1"/>
  <c r="L11" i="7" s="1"/>
  <c r="AG41" i="2"/>
  <c r="E14" i="1"/>
  <c r="F15" i="1" s="1"/>
  <c r="U49" i="2"/>
  <c r="U50" i="2" s="1"/>
  <c r="J18" i="4"/>
  <c r="J33" i="4" s="1"/>
  <c r="F28" i="2"/>
  <c r="AI2" i="7"/>
  <c r="AI5" i="7" s="1"/>
  <c r="O17" i="7" s="1"/>
  <c r="G18" i="4"/>
  <c r="G33" i="4" s="1"/>
  <c r="G35" i="2"/>
  <c r="AG42" i="2"/>
  <c r="M33" i="4"/>
  <c r="N19" i="4"/>
  <c r="T14" i="1"/>
  <c r="U15" i="1" s="1"/>
  <c r="E9" i="4"/>
  <c r="L9" i="4"/>
  <c r="L7" i="4"/>
  <c r="L26" i="4" s="1"/>
  <c r="Z17" i="4"/>
  <c r="I9" i="4"/>
  <c r="I7" i="4"/>
  <c r="O12" i="16" l="1"/>
  <c r="O13" i="16" s="1"/>
  <c r="M149" i="4"/>
  <c r="M150" i="4"/>
  <c r="AC13" i="4"/>
  <c r="AC15" i="4" s="1"/>
  <c r="AC17" i="4" s="1"/>
  <c r="L151" i="4"/>
  <c r="AB13" i="4"/>
  <c r="AB15" i="4" s="1"/>
  <c r="AB17" i="4" s="1"/>
  <c r="I151" i="4"/>
  <c r="O9" i="16"/>
  <c r="O10" i="16" s="1"/>
  <c r="J149" i="4"/>
  <c r="J150" i="4"/>
  <c r="G149" i="4"/>
  <c r="G150" i="4"/>
  <c r="AA13" i="4"/>
  <c r="AA15" i="4" s="1"/>
  <c r="AA17" i="4" s="1"/>
  <c r="F151" i="4"/>
  <c r="H33" i="4"/>
  <c r="O6" i="16"/>
  <c r="L19" i="4"/>
  <c r="D14" i="1"/>
  <c r="D42" i="2"/>
  <c r="I15" i="1"/>
  <c r="L18" i="4"/>
  <c r="L33" i="4" s="1"/>
  <c r="I14" i="1"/>
  <c r="V49" i="2"/>
  <c r="V50" i="2" s="1"/>
  <c r="AD41" i="2"/>
  <c r="T49" i="2"/>
  <c r="T50" i="2" s="1"/>
  <c r="AJ2" i="7"/>
  <c r="AJ5" i="7" s="1"/>
  <c r="P4" i="7" s="1"/>
  <c r="Z41" i="2"/>
  <c r="AH2" i="7"/>
  <c r="E30" i="2"/>
  <c r="I18" i="4"/>
  <c r="I33" i="4" s="1"/>
  <c r="I14" i="4"/>
  <c r="I66" i="4" s="1"/>
  <c r="AU26" i="4"/>
  <c r="AU27" i="4"/>
  <c r="J16" i="4"/>
  <c r="AT28" i="4" s="1"/>
  <c r="M16" i="4"/>
  <c r="AT24" i="4"/>
  <c r="M62" i="4"/>
  <c r="M66" i="4" s="1"/>
  <c r="AT27" i="4"/>
  <c r="T42" i="2"/>
  <c r="AF2" i="7"/>
  <c r="AF5" i="7" s="1"/>
  <c r="R13" i="7" s="1"/>
  <c r="X41" i="2"/>
  <c r="Y34" i="4"/>
  <c r="Z34" i="4"/>
  <c r="AT9" i="4"/>
  <c r="X36" i="2"/>
  <c r="S45" i="2" s="1"/>
  <c r="S14" i="1"/>
  <c r="F14" i="4"/>
  <c r="S25" i="1" s="1"/>
  <c r="G16" i="4"/>
  <c r="AU11" i="4" s="1"/>
  <c r="X37" i="2"/>
  <c r="S46" i="2" s="1"/>
  <c r="C36" i="6"/>
  <c r="C37" i="6" s="1"/>
  <c r="C38" i="6" s="1"/>
  <c r="D16" i="4" s="1"/>
  <c r="AT11" i="4" s="1"/>
  <c r="W37" i="2"/>
  <c r="R46" i="2" s="1"/>
  <c r="Q42" i="2"/>
  <c r="F18" i="4"/>
  <c r="F33" i="4" s="1"/>
  <c r="AF41" i="2"/>
  <c r="R49" i="2"/>
  <c r="R50" i="2" s="1"/>
  <c r="AU10" i="4"/>
  <c r="V36" i="2"/>
  <c r="U41" i="2" s="1"/>
  <c r="C38" i="9"/>
  <c r="B50" i="1"/>
  <c r="AD2" i="7"/>
  <c r="AD5" i="7" s="1"/>
  <c r="L9" i="7" s="1"/>
  <c r="N14" i="1"/>
  <c r="C18" i="4"/>
  <c r="D26" i="4" s="1"/>
  <c r="D27" i="4" s="1"/>
  <c r="P49" i="2"/>
  <c r="P50" i="2" s="1"/>
  <c r="C14" i="4"/>
  <c r="N25" i="1" s="1"/>
  <c r="AT10" i="4"/>
  <c r="AF42" i="2"/>
  <c r="S42" i="2" s="1"/>
  <c r="D62" i="4"/>
  <c r="D66" i="4" s="1"/>
  <c r="AT8" i="4"/>
  <c r="AU9" i="4"/>
  <c r="AH3" i="7"/>
  <c r="R41" i="2"/>
  <c r="T41" i="2"/>
  <c r="C19" i="4"/>
  <c r="N15" i="1"/>
  <c r="B35" i="2"/>
  <c r="G37" i="2"/>
  <c r="T35" i="4"/>
  <c r="E16" i="1"/>
  <c r="F16" i="1" s="1"/>
  <c r="K19" i="4"/>
  <c r="F19" i="4"/>
  <c r="D33" i="4"/>
  <c r="I19" i="4"/>
  <c r="S15" i="1"/>
  <c r="H19" i="4"/>
  <c r="O16" i="1"/>
  <c r="P16" i="1" s="1"/>
  <c r="D15" i="1"/>
  <c r="J83" i="7"/>
  <c r="T65" i="4"/>
  <c r="T16" i="1"/>
  <c r="U16" i="1" s="1"/>
  <c r="X65" i="4"/>
  <c r="N33" i="4"/>
  <c r="X35" i="4"/>
  <c r="N83" i="7"/>
  <c r="O9" i="4"/>
  <c r="V65" i="4"/>
  <c r="V35" i="4"/>
  <c r="K33" i="4"/>
  <c r="L83" i="7"/>
  <c r="L66" i="4"/>
  <c r="I25" i="1"/>
  <c r="L98" i="4"/>
  <c r="I26" i="4"/>
  <c r="I15" i="4"/>
  <c r="M15" i="4"/>
  <c r="L15" i="4"/>
  <c r="J15" i="4"/>
  <c r="AB16" i="4" l="1"/>
  <c r="AB18" i="4" s="1"/>
  <c r="AC16" i="4"/>
  <c r="AC18" i="4" s="1"/>
  <c r="K9" i="16"/>
  <c r="K12" i="16"/>
  <c r="G156" i="4"/>
  <c r="B6" i="19" s="1"/>
  <c r="G155" i="4"/>
  <c r="G152" i="4"/>
  <c r="G159" i="4" s="1"/>
  <c r="E6" i="19" s="1"/>
  <c r="G158" i="4"/>
  <c r="D6" i="19" s="1"/>
  <c r="N4" i="7"/>
  <c r="N149" i="4"/>
  <c r="N150" i="4"/>
  <c r="Z16" i="4"/>
  <c r="Z18" i="4" s="1"/>
  <c r="O8" i="16"/>
  <c r="K8" i="16" s="1"/>
  <c r="I149" i="4"/>
  <c r="I150" i="4"/>
  <c r="M158" i="4"/>
  <c r="D12" i="19" s="1"/>
  <c r="M155" i="4"/>
  <c r="M152" i="4"/>
  <c r="M159" i="4" s="1"/>
  <c r="E12" i="19" s="1"/>
  <c r="M156" i="4"/>
  <c r="B12" i="19" s="1"/>
  <c r="O5" i="16"/>
  <c r="K5" i="16" s="1"/>
  <c r="F149" i="4"/>
  <c r="F150" i="4"/>
  <c r="P17" i="7"/>
  <c r="K150" i="4"/>
  <c r="K149" i="4"/>
  <c r="D149" i="4"/>
  <c r="D150" i="4"/>
  <c r="AA16" i="4"/>
  <c r="AA18" i="4" s="1"/>
  <c r="J156" i="4"/>
  <c r="B9" i="19" s="1"/>
  <c r="J158" i="4"/>
  <c r="D9" i="19" s="1"/>
  <c r="J155" i="4"/>
  <c r="J152" i="4"/>
  <c r="J159" i="4" s="1"/>
  <c r="E9" i="19" s="1"/>
  <c r="O11" i="16"/>
  <c r="K11" i="16" s="1"/>
  <c r="L149" i="4"/>
  <c r="L150" i="4"/>
  <c r="R9" i="7"/>
  <c r="H150" i="4"/>
  <c r="H149" i="4"/>
  <c r="E33" i="4"/>
  <c r="O3" i="16"/>
  <c r="K13" i="16"/>
  <c r="O7" i="16"/>
  <c r="K6" i="16"/>
  <c r="K10" i="16"/>
  <c r="L27" i="4"/>
  <c r="D16" i="1"/>
  <c r="I16" i="1"/>
  <c r="M26" i="4"/>
  <c r="M27" i="4" s="1"/>
  <c r="AH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C39" i="9"/>
  <c r="B51" i="1"/>
  <c r="AV10" i="4"/>
  <c r="AT4" i="4"/>
  <c r="C66" i="4"/>
  <c r="AU8" i="4"/>
  <c r="AT6" i="4"/>
  <c r="AU7" i="4"/>
  <c r="AT5" i="4"/>
  <c r="AV9" i="4"/>
  <c r="C98" i="4"/>
  <c r="C27" i="4"/>
  <c r="C33" i="4"/>
  <c r="R35" i="4"/>
  <c r="R65" i="4"/>
  <c r="H83" i="7"/>
  <c r="K83" i="7"/>
  <c r="U35" i="4"/>
  <c r="U65" i="4"/>
  <c r="J26" i="4"/>
  <c r="J27" i="4" s="1"/>
  <c r="I27" i="4"/>
  <c r="I83" i="7"/>
  <c r="S65" i="4"/>
  <c r="S35" i="4"/>
  <c r="O15" i="4"/>
  <c r="M35" i="2"/>
  <c r="M53" i="2"/>
  <c r="M48" i="2"/>
  <c r="K48" i="2"/>
  <c r="L48" i="2"/>
  <c r="K35" i="2"/>
  <c r="M37" i="2"/>
  <c r="L53" i="2"/>
  <c r="L35" i="2"/>
  <c r="L37" i="2"/>
  <c r="K37" i="2"/>
  <c r="N36" i="2"/>
  <c r="L36" i="2"/>
  <c r="K53" i="2"/>
  <c r="N37" i="2"/>
  <c r="W65" i="4"/>
  <c r="W35" i="4"/>
  <c r="M83" i="7"/>
  <c r="AB19" i="4" l="1"/>
  <c r="AB20" i="4" s="1"/>
  <c r="AB21" i="4" s="1"/>
  <c r="AI30" i="4" s="1"/>
  <c r="AJ32" i="4" s="1"/>
  <c r="AQ35" i="4" s="1"/>
  <c r="Z19" i="4"/>
  <c r="Z20" i="4" s="1"/>
  <c r="Z21" i="4" s="1"/>
  <c r="AI14" i="4" s="1"/>
  <c r="AL15" i="4" s="1"/>
  <c r="K156" i="4"/>
  <c r="B10" i="19" s="1"/>
  <c r="K155" i="4"/>
  <c r="K158" i="4"/>
  <c r="D10" i="19" s="1"/>
  <c r="K152" i="4"/>
  <c r="K159" i="4" s="1"/>
  <c r="E10" i="19" s="1"/>
  <c r="L13" i="7"/>
  <c r="E149" i="4"/>
  <c r="E150" i="4"/>
  <c r="I156" i="4"/>
  <c r="B8" i="19" s="1"/>
  <c r="I155" i="4"/>
  <c r="I158" i="4"/>
  <c r="D8" i="19" s="1"/>
  <c r="I152" i="4"/>
  <c r="I159" i="4" s="1"/>
  <c r="E8" i="19" s="1"/>
  <c r="F158" i="4"/>
  <c r="D5" i="19" s="1"/>
  <c r="F155" i="4"/>
  <c r="F156" i="4"/>
  <c r="B5" i="19" s="1"/>
  <c r="F152" i="4"/>
  <c r="F159" i="4" s="1"/>
  <c r="E5" i="19" s="1"/>
  <c r="H156" i="4"/>
  <c r="B7" i="19" s="1"/>
  <c r="H155" i="4"/>
  <c r="H158" i="4"/>
  <c r="D7" i="19" s="1"/>
  <c r="H152" i="4"/>
  <c r="H159" i="4" s="1"/>
  <c r="E7" i="19" s="1"/>
  <c r="C149" i="4"/>
  <c r="C150" i="4"/>
  <c r="L158" i="4"/>
  <c r="D11" i="19" s="1"/>
  <c r="L155" i="4"/>
  <c r="L156" i="4"/>
  <c r="B11" i="19" s="1"/>
  <c r="L152" i="4"/>
  <c r="L159" i="4" s="1"/>
  <c r="E11" i="19" s="1"/>
  <c r="D152" i="4"/>
  <c r="D159" i="4" s="1"/>
  <c r="E3" i="19" s="1"/>
  <c r="D155" i="4"/>
  <c r="D156" i="4"/>
  <c r="B3" i="19" s="1"/>
  <c r="D158" i="4"/>
  <c r="D3" i="19" s="1"/>
  <c r="N158" i="4"/>
  <c r="D13" i="19" s="1"/>
  <c r="N155" i="4"/>
  <c r="N156" i="4"/>
  <c r="B13" i="19" s="1"/>
  <c r="N152" i="4"/>
  <c r="N159" i="4" s="1"/>
  <c r="E13" i="19" s="1"/>
  <c r="K7" i="16"/>
  <c r="O4" i="16"/>
  <c r="K3" i="16"/>
  <c r="G83" i="7"/>
  <c r="G91" i="7" s="1"/>
  <c r="O2" i="16"/>
  <c r="Y36" i="4"/>
  <c r="Z36" i="4"/>
  <c r="C40" i="9"/>
  <c r="B52" i="1"/>
  <c r="Q65" i="4"/>
  <c r="Q35" i="4"/>
  <c r="Q53" i="2"/>
  <c r="Q56" i="2" s="1"/>
  <c r="K42" i="2" s="1"/>
  <c r="H4" i="9" s="1"/>
  <c r="C50" i="2"/>
  <c r="R30" i="4"/>
  <c r="T30" i="4"/>
  <c r="E50" i="2"/>
  <c r="S53" i="2"/>
  <c r="S56" i="2" s="1"/>
  <c r="M42" i="2" s="1"/>
  <c r="J4" i="9" s="1"/>
  <c r="Q52" i="2"/>
  <c r="Q55" i="2" s="1"/>
  <c r="K41" i="2" s="1"/>
  <c r="D4" i="9" s="1"/>
  <c r="C49" i="2"/>
  <c r="R29" i="4"/>
  <c r="F49" i="2"/>
  <c r="T52" i="2"/>
  <c r="T55" i="2" s="1"/>
  <c r="N41" i="2" s="1"/>
  <c r="G4" i="9" s="1"/>
  <c r="U29" i="4"/>
  <c r="T28" i="4"/>
  <c r="F82" i="4" s="1"/>
  <c r="M40" i="2"/>
  <c r="E48" i="2"/>
  <c r="R52" i="2"/>
  <c r="R55" i="2" s="1"/>
  <c r="L41" i="2" s="1"/>
  <c r="E4" i="9" s="1"/>
  <c r="S29" i="4"/>
  <c r="D49" i="2"/>
  <c r="L40" i="2"/>
  <c r="D48" i="2"/>
  <c r="S28" i="4"/>
  <c r="D82" i="4" s="1"/>
  <c r="E49" i="2"/>
  <c r="T29" i="4"/>
  <c r="S52" i="2"/>
  <c r="S55" i="2" s="1"/>
  <c r="M41" i="2" s="1"/>
  <c r="F4" i="9" s="1"/>
  <c r="D50" i="2"/>
  <c r="R53" i="2"/>
  <c r="R56" i="2" s="1"/>
  <c r="L42" i="2" s="1"/>
  <c r="I4" i="9" s="1"/>
  <c r="S30" i="4"/>
  <c r="K40" i="2"/>
  <c r="C48" i="2"/>
  <c r="R28" i="4"/>
  <c r="C82" i="4" s="1"/>
  <c r="F50" i="2"/>
  <c r="U30" i="4"/>
  <c r="T53" i="2"/>
  <c r="T56" i="2" s="1"/>
  <c r="N42" i="2" s="1"/>
  <c r="K4" i="9" s="1"/>
  <c r="AL17" i="4" l="1"/>
  <c r="AL32" i="4"/>
  <c r="AS35" i="4" s="1"/>
  <c r="AJ31" i="4"/>
  <c r="AJ33" i="4"/>
  <c r="AJ17" i="4"/>
  <c r="AJ15" i="4"/>
  <c r="AL33" i="4"/>
  <c r="AK32" i="4"/>
  <c r="AR35" i="4" s="1"/>
  <c r="AK33" i="4"/>
  <c r="AL31" i="4"/>
  <c r="AK31" i="4"/>
  <c r="AK16" i="4"/>
  <c r="AR33" i="4" s="1"/>
  <c r="AK15" i="4"/>
  <c r="AJ16" i="4"/>
  <c r="AQ33" i="4" s="1"/>
  <c r="AK17" i="4"/>
  <c r="AL16" i="4"/>
  <c r="AS33" i="4" s="1"/>
  <c r="E158" i="4"/>
  <c r="D4" i="19" s="1"/>
  <c r="E155" i="4"/>
  <c r="E152" i="4"/>
  <c r="E159" i="4" s="1"/>
  <c r="E4" i="19" s="1"/>
  <c r="E156" i="4"/>
  <c r="B4" i="19" s="1"/>
  <c r="C156" i="4"/>
  <c r="B2" i="19" s="1"/>
  <c r="C158" i="4"/>
  <c r="D2" i="19" s="1"/>
  <c r="C155" i="4"/>
  <c r="C152" i="4"/>
  <c r="C159" i="4" s="1"/>
  <c r="E2" i="19" s="1"/>
  <c r="J91" i="7"/>
  <c r="J93" i="7" s="1"/>
  <c r="Q95" i="7" s="1"/>
  <c r="L91" i="7"/>
  <c r="L93" i="7" s="1"/>
  <c r="Q93" i="7" s="1"/>
  <c r="I91" i="7"/>
  <c r="I92" i="7" s="1"/>
  <c r="E67" i="1" s="1"/>
  <c r="M91" i="7"/>
  <c r="M93" i="7" s="1"/>
  <c r="Q92" i="7" s="1"/>
  <c r="N91" i="7"/>
  <c r="N93" i="7" s="1"/>
  <c r="Q90" i="7" s="1"/>
  <c r="H91" i="7"/>
  <c r="H92" i="7" s="1"/>
  <c r="D67" i="1" s="1"/>
  <c r="K91" i="7"/>
  <c r="K93" i="7" s="1"/>
  <c r="Q94" i="7" s="1"/>
  <c r="K4" i="16"/>
  <c r="K2" i="16"/>
  <c r="B53" i="1"/>
  <c r="C41" i="9"/>
  <c r="I6" i="9"/>
  <c r="I17" i="9" s="1"/>
  <c r="I33" i="9" s="1"/>
  <c r="H46" i="1" s="1"/>
  <c r="T18" i="9"/>
  <c r="S31" i="4"/>
  <c r="R63" i="4"/>
  <c r="S41" i="4"/>
  <c r="W63" i="4"/>
  <c r="T32" i="4"/>
  <c r="T42" i="4"/>
  <c r="G93" i="7"/>
  <c r="Q98" i="7" s="1"/>
  <c r="G92" i="7"/>
  <c r="C67" i="1" s="1"/>
  <c r="K6" i="9"/>
  <c r="K16" i="9" s="1"/>
  <c r="K36" i="9" s="1"/>
  <c r="J49" i="1" s="1"/>
  <c r="V18" i="9"/>
  <c r="S32" i="4"/>
  <c r="V63" i="4"/>
  <c r="S42" i="4"/>
  <c r="T41" i="4"/>
  <c r="S63" i="4"/>
  <c r="T31" i="4"/>
  <c r="J11" i="9"/>
  <c r="J31" i="9" s="1"/>
  <c r="J6" i="9"/>
  <c r="J17" i="9" s="1"/>
  <c r="J33" i="9" s="1"/>
  <c r="I46" i="1" s="1"/>
  <c r="J18" i="9"/>
  <c r="J43" i="9" s="1"/>
  <c r="P18" i="9"/>
  <c r="E6" i="9"/>
  <c r="E16" i="9" s="1"/>
  <c r="E36" i="9" s="1"/>
  <c r="D49" i="1" s="1"/>
  <c r="R18" i="9"/>
  <c r="G6" i="9"/>
  <c r="G16" i="9" s="1"/>
  <c r="G36" i="9" s="1"/>
  <c r="F49" i="1" s="1"/>
  <c r="R31" i="4"/>
  <c r="Q63" i="4"/>
  <c r="R41" i="4"/>
  <c r="H50" i="9"/>
  <c r="G63" i="1" s="1"/>
  <c r="H46" i="9"/>
  <c r="H6" i="9"/>
  <c r="H16" i="9" s="1"/>
  <c r="H36" i="9" s="1"/>
  <c r="G49" i="1" s="1"/>
  <c r="H11" i="9"/>
  <c r="H31" i="9" s="1"/>
  <c r="H18" i="9"/>
  <c r="H43" i="9" s="1"/>
  <c r="U42" i="4"/>
  <c r="X63" i="4"/>
  <c r="U32" i="4"/>
  <c r="F6" i="9"/>
  <c r="F17" i="9" s="1"/>
  <c r="F33" i="9" s="1"/>
  <c r="E46" i="1" s="1"/>
  <c r="F11" i="9"/>
  <c r="F31" i="9" s="1"/>
  <c r="F18" i="9"/>
  <c r="F43" i="9" s="1"/>
  <c r="U31" i="4"/>
  <c r="U41" i="4"/>
  <c r="T63" i="4"/>
  <c r="D50" i="9"/>
  <c r="C63" i="1" s="1"/>
  <c r="D46" i="9"/>
  <c r="D11" i="9"/>
  <c r="D31" i="9" s="1"/>
  <c r="D18" i="9"/>
  <c r="D43" i="9" s="1"/>
  <c r="D6" i="9"/>
  <c r="D17" i="9" s="1"/>
  <c r="D33" i="9" s="1"/>
  <c r="C46" i="1" s="1"/>
  <c r="R42" i="4"/>
  <c r="R32" i="4"/>
  <c r="U63" i="4"/>
  <c r="C23" i="4" l="1"/>
  <c r="O17" i="4"/>
  <c r="I93" i="7"/>
  <c r="Q96" i="7" s="1"/>
  <c r="J92" i="7"/>
  <c r="F67" i="1" s="1"/>
  <c r="F69" i="1" s="1"/>
  <c r="L92" i="7"/>
  <c r="H67" i="1" s="1"/>
  <c r="C69" i="1" s="1"/>
  <c r="K92" i="7"/>
  <c r="G67" i="1" s="1"/>
  <c r="G69" i="1" s="1"/>
  <c r="H93" i="7"/>
  <c r="Q97" i="7" s="1"/>
  <c r="N92" i="7"/>
  <c r="J67" i="1" s="1"/>
  <c r="E69" i="1" s="1"/>
  <c r="M92" i="7"/>
  <c r="I67" i="1" s="1"/>
  <c r="S12" i="9"/>
  <c r="O12" i="9"/>
  <c r="U12" i="9"/>
  <c r="Q12" i="9"/>
  <c r="C42" i="9"/>
  <c r="B54" i="1"/>
  <c r="F16" i="9"/>
  <c r="F36" i="9" s="1"/>
  <c r="E49" i="1" s="1"/>
  <c r="K17" i="9"/>
  <c r="K33" i="9" s="1"/>
  <c r="J46" i="1" s="1"/>
  <c r="K5" i="9"/>
  <c r="K11" i="9" s="1"/>
  <c r="X69" i="4"/>
  <c r="W69" i="4"/>
  <c r="J16" i="9"/>
  <c r="J36" i="9" s="1"/>
  <c r="I49" i="1" s="1"/>
  <c r="E5" i="9"/>
  <c r="E11" i="9" s="1"/>
  <c r="D16" i="9"/>
  <c r="D36" i="9" s="1"/>
  <c r="C49" i="1" s="1"/>
  <c r="G56" i="1"/>
  <c r="Y45" i="4"/>
  <c r="C59" i="1"/>
  <c r="C73" i="1" s="1"/>
  <c r="K49" i="2"/>
  <c r="J60" i="2" s="1"/>
  <c r="D69" i="1"/>
  <c r="H17" i="9"/>
  <c r="H33" i="9" s="1"/>
  <c r="G46" i="1" s="1"/>
  <c r="G5" i="9"/>
  <c r="G11" i="9" s="1"/>
  <c r="G17" i="9"/>
  <c r="G33" i="9" s="1"/>
  <c r="F46" i="1" s="1"/>
  <c r="Y44" i="4"/>
  <c r="C56" i="1"/>
  <c r="G59" i="1"/>
  <c r="G73" i="1" s="1"/>
  <c r="K50" i="2"/>
  <c r="J61" i="2" s="1"/>
  <c r="G7" i="9"/>
  <c r="G9" i="9"/>
  <c r="G8" i="9"/>
  <c r="E7" i="9"/>
  <c r="E9" i="9"/>
  <c r="E8" i="9"/>
  <c r="V69" i="4"/>
  <c r="R69" i="4"/>
  <c r="T69" i="4"/>
  <c r="U69" i="4"/>
  <c r="S69" i="4"/>
  <c r="Q69" i="4"/>
  <c r="I56" i="1"/>
  <c r="AA45" i="4"/>
  <c r="K9" i="9"/>
  <c r="K7" i="9"/>
  <c r="K8" i="9"/>
  <c r="I8" i="9"/>
  <c r="I7" i="9"/>
  <c r="I9" i="9"/>
  <c r="I16" i="9"/>
  <c r="I36" i="9" s="1"/>
  <c r="H49" i="1" s="1"/>
  <c r="AA44" i="4"/>
  <c r="E56" i="1"/>
  <c r="E17" i="9"/>
  <c r="E33" i="9" s="1"/>
  <c r="D46" i="1" s="1"/>
  <c r="I5" i="9"/>
  <c r="I11" i="9" s="1"/>
  <c r="C24" i="4" l="1"/>
  <c r="V23" i="4"/>
  <c r="AB24" i="4" s="1"/>
  <c r="AC24" i="4" s="1"/>
  <c r="I69" i="1"/>
  <c r="I76" i="1" s="1"/>
  <c r="I77" i="1" s="1"/>
  <c r="I71" i="1" s="1"/>
  <c r="H69" i="1"/>
  <c r="H70" i="1" s="1"/>
  <c r="J69" i="1"/>
  <c r="J77" i="1" s="1"/>
  <c r="J71" i="1" s="1"/>
  <c r="E31" i="9"/>
  <c r="P12" i="9"/>
  <c r="I31" i="9"/>
  <c r="R12" i="9"/>
  <c r="G31" i="9"/>
  <c r="V12" i="9"/>
  <c r="K31" i="9"/>
  <c r="T12" i="9"/>
  <c r="Y125" i="4"/>
  <c r="AA125" i="4"/>
  <c r="C43" i="9"/>
  <c r="B55" i="1"/>
  <c r="I57" i="9"/>
  <c r="AA35" i="9" s="1"/>
  <c r="I38" i="9"/>
  <c r="H51" i="1" s="1"/>
  <c r="I56" i="9"/>
  <c r="Y35" i="9" s="1"/>
  <c r="AE35" i="9" s="1"/>
  <c r="I37" i="9"/>
  <c r="H50" i="1" s="1"/>
  <c r="K57" i="9"/>
  <c r="AA33" i="9" s="1"/>
  <c r="K38" i="9"/>
  <c r="J51" i="1" s="1"/>
  <c r="I40" i="9"/>
  <c r="I10" i="9"/>
  <c r="I41" i="9" s="1"/>
  <c r="H54" i="1" s="1"/>
  <c r="I39" i="9"/>
  <c r="H52" i="1" s="1"/>
  <c r="E10" i="9"/>
  <c r="E41" i="9" s="1"/>
  <c r="D54" i="1" s="1"/>
  <c r="E40" i="9"/>
  <c r="E39" i="9"/>
  <c r="D52" i="1" s="1"/>
  <c r="G56" i="9"/>
  <c r="Y37" i="9" s="1"/>
  <c r="AE37" i="9" s="1"/>
  <c r="G37" i="9"/>
  <c r="F50" i="1" s="1"/>
  <c r="G70" i="1"/>
  <c r="G76" i="1"/>
  <c r="G77" i="1" s="1"/>
  <c r="G71" i="1" s="1"/>
  <c r="K10" i="9"/>
  <c r="K41" i="9" s="1"/>
  <c r="J54" i="1" s="1"/>
  <c r="K40" i="9"/>
  <c r="K39" i="9"/>
  <c r="J52" i="1" s="1"/>
  <c r="E57" i="9"/>
  <c r="AA39" i="9" s="1"/>
  <c r="E38" i="9"/>
  <c r="D51" i="1" s="1"/>
  <c r="G10" i="9"/>
  <c r="G41" i="9" s="1"/>
  <c r="F54" i="1" s="1"/>
  <c r="G40" i="9"/>
  <c r="G39" i="9"/>
  <c r="F52" i="1" s="1"/>
  <c r="D70" i="1"/>
  <c r="D77" i="1"/>
  <c r="D71" i="1" s="1"/>
  <c r="E70" i="1"/>
  <c r="G38" i="9"/>
  <c r="F51" i="1" s="1"/>
  <c r="G57" i="9"/>
  <c r="AA37" i="9" s="1"/>
  <c r="K56" i="9"/>
  <c r="Y33" i="9" s="1"/>
  <c r="AE33" i="9" s="1"/>
  <c r="K37" i="9"/>
  <c r="J50" i="1" s="1"/>
  <c r="E37" i="9"/>
  <c r="D50" i="1" s="1"/>
  <c r="E56" i="9"/>
  <c r="Y39" i="9" s="1"/>
  <c r="AE39" i="9" s="1"/>
  <c r="F70" i="1"/>
  <c r="F77" i="1"/>
  <c r="F71" i="1" s="1"/>
  <c r="C70" i="1"/>
  <c r="I70" i="1" l="1"/>
  <c r="I68" i="1" s="1"/>
  <c r="H77" i="1"/>
  <c r="H71" i="1" s="1"/>
  <c r="C76" i="1"/>
  <c r="C77" i="1" s="1"/>
  <c r="C71" i="1" s="1"/>
  <c r="J70" i="1"/>
  <c r="E68" i="1" s="1"/>
  <c r="E76" i="1"/>
  <c r="E77" i="1" s="1"/>
  <c r="E71" i="1" s="1"/>
  <c r="B56" i="1"/>
  <c r="C44" i="9"/>
  <c r="K18" i="9"/>
  <c r="K43" i="9" s="1"/>
  <c r="G18" i="9"/>
  <c r="G43" i="9" s="1"/>
  <c r="AB44" i="4" s="1"/>
  <c r="D53" i="1"/>
  <c r="E42" i="9"/>
  <c r="D55" i="1" s="1"/>
  <c r="G42" i="9"/>
  <c r="F55" i="1" s="1"/>
  <c r="F53" i="1"/>
  <c r="E18" i="9"/>
  <c r="E43" i="9" s="1"/>
  <c r="I18" i="9"/>
  <c r="I43" i="9" s="1"/>
  <c r="I42" i="9"/>
  <c r="H55" i="1" s="1"/>
  <c r="H53" i="1"/>
  <c r="J53" i="1"/>
  <c r="K42" i="9"/>
  <c r="J55" i="1" s="1"/>
  <c r="C68" i="1"/>
  <c r="G68" i="1"/>
  <c r="AB125" i="4" l="1"/>
  <c r="C45" i="9"/>
  <c r="B57" i="1"/>
  <c r="J56" i="1"/>
  <c r="AB45" i="4"/>
  <c r="AG45" i="4" s="1"/>
  <c r="K27" i="9"/>
  <c r="F56" i="1"/>
  <c r="Z45" i="4"/>
  <c r="H56" i="1"/>
  <c r="AG44" i="4"/>
  <c r="D56" i="1"/>
  <c r="Z44" i="4"/>
  <c r="G27" i="9"/>
  <c r="AG125" i="4" l="1"/>
  <c r="Z125" i="4"/>
  <c r="B58" i="1"/>
  <c r="C46" i="9"/>
  <c r="AD45" i="4"/>
  <c r="L27" i="9"/>
  <c r="U25" i="4" s="1"/>
  <c r="V25" i="4" s="1"/>
  <c r="F24" i="4" s="1"/>
  <c r="BI3" i="4" s="1"/>
  <c r="AF44" i="4"/>
  <c r="AC45" i="4"/>
  <c r="AF45" i="4"/>
  <c r="BL3" i="4" l="1"/>
  <c r="BM3" i="4"/>
  <c r="BN3" i="4" s="1"/>
  <c r="BO3" i="4" s="1"/>
  <c r="BP3" i="4" s="1"/>
  <c r="BQ3" i="4" s="1"/>
  <c r="BR3" i="4" s="1"/>
  <c r="BS3" i="4" s="1"/>
  <c r="BT3" i="4" s="1"/>
  <c r="BU3" i="4" s="1"/>
  <c r="BV3" i="4" s="1"/>
  <c r="BW3" i="4" s="1"/>
  <c r="AF125" i="4"/>
  <c r="C47" i="9"/>
  <c r="B59" i="1"/>
  <c r="AE45" i="4"/>
  <c r="V27" i="4"/>
  <c r="C25" i="4" s="1"/>
  <c r="D36" i="19" s="1"/>
  <c r="H4" i="16" l="1"/>
  <c r="H12" i="16"/>
  <c r="H5" i="16"/>
  <c r="H13" i="16"/>
  <c r="H3" i="16"/>
  <c r="H6" i="16"/>
  <c r="H2" i="16"/>
  <c r="H8" i="16"/>
  <c r="H7" i="16"/>
  <c r="H11" i="16"/>
  <c r="H9" i="16"/>
  <c r="H10" i="16"/>
  <c r="BM10" i="4"/>
  <c r="J28" i="4"/>
  <c r="B60" i="1"/>
  <c r="C48" i="9"/>
  <c r="AJ18" i="4" l="1"/>
  <c r="AQ34" i="4" s="1"/>
  <c r="AQ43" i="4" s="1"/>
  <c r="F91" i="4"/>
  <c r="G28" i="4"/>
  <c r="C91" i="4"/>
  <c r="F28" i="4"/>
  <c r="AJ45" i="4"/>
  <c r="L28" i="4"/>
  <c r="AL18" i="4"/>
  <c r="AS34" i="4" s="1"/>
  <c r="AJ44" i="4"/>
  <c r="AJ125" i="4" s="1"/>
  <c r="C62" i="9"/>
  <c r="M28" i="4"/>
  <c r="AK44" i="4"/>
  <c r="AK125" i="4" s="1"/>
  <c r="I28" i="4"/>
  <c r="D28" i="4"/>
  <c r="AK45" i="4"/>
  <c r="T82" i="4"/>
  <c r="D48" i="7" s="1"/>
  <c r="L91" i="4"/>
  <c r="AJ34" i="4"/>
  <c r="AQ36" i="4" s="1"/>
  <c r="AW47" i="4" s="1"/>
  <c r="AL34" i="4"/>
  <c r="AS36" i="4" s="1"/>
  <c r="C28" i="4"/>
  <c r="AK18" i="4"/>
  <c r="AR34" i="4" s="1"/>
  <c r="AT41" i="4" s="1"/>
  <c r="AI45" i="4"/>
  <c r="AK34" i="4"/>
  <c r="AR36" i="4" s="1"/>
  <c r="BB45" i="4" s="1"/>
  <c r="AI44" i="4"/>
  <c r="C51" i="4"/>
  <c r="C52" i="4" s="1"/>
  <c r="D49" i="7" s="1"/>
  <c r="I91" i="4"/>
  <c r="C49" i="9"/>
  <c r="B61" i="1"/>
  <c r="AR42" i="4" l="1"/>
  <c r="AU40" i="4"/>
  <c r="AY44" i="4"/>
  <c r="AY125" i="4" s="1"/>
  <c r="AW46" i="4"/>
  <c r="AW48" i="4" s="1"/>
  <c r="I30" i="4" s="1"/>
  <c r="U40" i="4" s="1"/>
  <c r="U36" i="4" s="1"/>
  <c r="AY46" i="4"/>
  <c r="AX46" i="4"/>
  <c r="BA45" i="4"/>
  <c r="AT43" i="4"/>
  <c r="AT48" i="4" s="1"/>
  <c r="F30" i="4" s="1"/>
  <c r="S40" i="4" s="1"/>
  <c r="S36" i="4" s="1"/>
  <c r="AZ47" i="4"/>
  <c r="AU41" i="4"/>
  <c r="AQ42" i="4"/>
  <c r="AQ48" i="4" s="1"/>
  <c r="C30" i="4" s="1"/>
  <c r="Q40" i="4" s="1"/>
  <c r="Q36" i="4" s="1"/>
  <c r="AS42" i="4"/>
  <c r="AL45" i="4"/>
  <c r="AZ45" i="4"/>
  <c r="AV41" i="4"/>
  <c r="AL44" i="4"/>
  <c r="AL125" i="4" s="1"/>
  <c r="AI125" i="4"/>
  <c r="AR40" i="4"/>
  <c r="AX44" i="4"/>
  <c r="BB44" i="4"/>
  <c r="BB125" i="4" s="1"/>
  <c r="AS40" i="4"/>
  <c r="BA44" i="4"/>
  <c r="BA125" i="4" s="1"/>
  <c r="AV40" i="4"/>
  <c r="B62" i="1"/>
  <c r="C50" i="9"/>
  <c r="AR48" i="4" l="1"/>
  <c r="D30" i="4" s="1"/>
  <c r="R40" i="4" s="1"/>
  <c r="R36" i="4" s="1"/>
  <c r="AU48" i="4"/>
  <c r="G30" i="4" s="1"/>
  <c r="T40" i="4" s="1"/>
  <c r="T36" i="4" s="1"/>
  <c r="AY48" i="4"/>
  <c r="K30" i="4" s="1"/>
  <c r="AV48" i="4"/>
  <c r="H30" i="4" s="1"/>
  <c r="AX48" i="4"/>
  <c r="J30" i="4" s="1"/>
  <c r="V40" i="4" s="1"/>
  <c r="V36" i="4" s="1"/>
  <c r="AS48" i="4"/>
  <c r="E30" i="4" s="1"/>
  <c r="AZ48" i="4"/>
  <c r="L30" i="4" s="1"/>
  <c r="W40" i="4" s="1"/>
  <c r="W36" i="4" s="1"/>
  <c r="T44" i="4" s="1"/>
  <c r="T125" i="4" s="1"/>
  <c r="BA48" i="4"/>
  <c r="M30" i="4" s="1"/>
  <c r="X40" i="4" s="1"/>
  <c r="X36" i="4" s="1"/>
  <c r="BB48" i="4"/>
  <c r="N30" i="4" s="1"/>
  <c r="AX125" i="4"/>
  <c r="C51" i="9"/>
  <c r="B63" i="1"/>
  <c r="R45" i="4"/>
  <c r="R44" i="4" l="1"/>
  <c r="R125" i="4" s="1"/>
  <c r="S44" i="4"/>
  <c r="S125" i="4" s="1"/>
  <c r="S45" i="4"/>
  <c r="T45" i="4"/>
  <c r="U44" i="4"/>
  <c r="U125" i="4" s="1"/>
  <c r="U45" i="4"/>
  <c r="B64" i="1"/>
  <c r="C52" i="9"/>
  <c r="B65" i="1" s="1"/>
  <c r="V45" i="4" l="1"/>
  <c r="S56" i="4" s="1"/>
  <c r="V44" i="4"/>
  <c r="S55" i="4" s="1"/>
  <c r="U56" i="4" l="1"/>
  <c r="R56" i="4"/>
  <c r="W56" i="4" s="1"/>
  <c r="T56" i="4"/>
  <c r="U55" i="4"/>
  <c r="R55" i="4"/>
  <c r="W55" i="4" s="1"/>
  <c r="T55" i="4"/>
  <c r="V125" i="4"/>
  <c r="W57" i="4" l="1"/>
  <c r="X56" i="4"/>
  <c r="X55" i="4"/>
  <c r="X57" i="4" l="1"/>
  <c r="W58" i="4" s="1"/>
  <c r="AB56" i="4" s="1"/>
  <c r="AB58" i="4" s="1"/>
  <c r="X58" i="4" l="1"/>
  <c r="AD55" i="4" s="1"/>
  <c r="AD57" i="4" s="1"/>
  <c r="AB55" i="4"/>
  <c r="AB57" i="4" s="1"/>
  <c r="AA55" i="4"/>
  <c r="AA57" i="4" s="1"/>
  <c r="AA56" i="4"/>
  <c r="AA58" i="4" s="1"/>
  <c r="AG56" i="4" s="1"/>
  <c r="R61" i="4" s="1"/>
  <c r="AA61" i="4" s="1"/>
  <c r="AG55" i="4" l="1"/>
  <c r="R60" i="4" s="1"/>
  <c r="AA60" i="4" s="1"/>
  <c r="AC56" i="4"/>
  <c r="AC58" i="4" s="1"/>
  <c r="AD56" i="4"/>
  <c r="AD58" i="4" s="1"/>
  <c r="AC55" i="4"/>
  <c r="AC57" i="4" s="1"/>
  <c r="AH56" i="4"/>
  <c r="S61" i="4" s="1"/>
  <c r="AB61" i="4" s="1"/>
  <c r="AH55" i="4"/>
  <c r="S60" i="4" s="1"/>
  <c r="AB60" i="4" s="1"/>
  <c r="W61" i="4" l="1"/>
  <c r="W60" i="4"/>
  <c r="AI55" i="4"/>
  <c r="T60" i="4" s="1"/>
  <c r="AJ55" i="4"/>
  <c r="U60" i="4" s="1"/>
  <c r="AD60" i="4" s="1"/>
  <c r="AI56" i="4"/>
  <c r="T61" i="4" s="1"/>
  <c r="AC61" i="4" s="1"/>
  <c r="AJ56" i="4"/>
  <c r="U61" i="4" s="1"/>
  <c r="AD61" i="4" s="1"/>
  <c r="V60" i="4" l="1"/>
  <c r="X60" i="4"/>
  <c r="AC60" i="4"/>
  <c r="AE61" i="4" s="1"/>
  <c r="V61" i="4"/>
  <c r="X61" i="4"/>
  <c r="E83" i="4" l="1"/>
  <c r="F3" i="9" s="1"/>
  <c r="F45" i="9" s="1"/>
  <c r="E58" i="1" s="1"/>
  <c r="D83" i="4"/>
  <c r="R64" i="4" s="1"/>
  <c r="D84" i="4"/>
  <c r="V64" i="4" s="1"/>
  <c r="C84" i="4"/>
  <c r="H3" i="9" s="1"/>
  <c r="H45" i="9" s="1"/>
  <c r="G58" i="1" s="1"/>
  <c r="E84" i="4"/>
  <c r="W64" i="4" s="1"/>
  <c r="C83" i="4"/>
  <c r="C86" i="4" s="1"/>
  <c r="F84" i="4"/>
  <c r="K3" i="9" s="1"/>
  <c r="K44" i="9" s="1"/>
  <c r="J57" i="1" s="1"/>
  <c r="F83" i="4"/>
  <c r="G86" i="4" s="1"/>
  <c r="V21" i="9" l="1"/>
  <c r="G41" i="1"/>
  <c r="E3" i="9"/>
  <c r="E44" i="9" s="1"/>
  <c r="D57" i="1" s="1"/>
  <c r="H41" i="1"/>
  <c r="J3" i="9"/>
  <c r="J55" i="9" s="1"/>
  <c r="F30" i="9"/>
  <c r="E43" i="1" s="1"/>
  <c r="F87" i="4"/>
  <c r="S64" i="4"/>
  <c r="L34" i="4" s="1"/>
  <c r="D41" i="1"/>
  <c r="F86" i="4"/>
  <c r="K45" i="9"/>
  <c r="J58" i="1" s="1"/>
  <c r="F14" i="9"/>
  <c r="F34" i="9" s="1"/>
  <c r="E47" i="1" s="1"/>
  <c r="H83" i="4"/>
  <c r="D86" i="4"/>
  <c r="F55" i="9"/>
  <c r="H55" i="9"/>
  <c r="I83" i="4"/>
  <c r="H20" i="9"/>
  <c r="I19" i="9" s="1"/>
  <c r="I84" i="4"/>
  <c r="K30" i="9"/>
  <c r="J43" i="1" s="1"/>
  <c r="C41" i="1"/>
  <c r="B41" i="1"/>
  <c r="G87" i="4"/>
  <c r="D3" i="9"/>
  <c r="D30" i="9" s="1"/>
  <c r="C43" i="1" s="1"/>
  <c r="G83" i="4"/>
  <c r="F41" i="1"/>
  <c r="G84" i="4"/>
  <c r="K14" i="9"/>
  <c r="K34" i="9" s="1"/>
  <c r="J47" i="1" s="1"/>
  <c r="I41" i="1"/>
  <c r="H84" i="4"/>
  <c r="I3" i="9"/>
  <c r="I44" i="9" s="1"/>
  <c r="H57" i="1" s="1"/>
  <c r="Q64" i="4"/>
  <c r="K55" i="9"/>
  <c r="K58" i="9" s="1"/>
  <c r="U64" i="4"/>
  <c r="G3" i="9"/>
  <c r="G44" i="9" s="1"/>
  <c r="F57" i="1" s="1"/>
  <c r="H14" i="9"/>
  <c r="H34" i="9" s="1"/>
  <c r="G47" i="1" s="1"/>
  <c r="T64" i="4"/>
  <c r="M34" i="4" s="1"/>
  <c r="N34" i="4" s="1"/>
  <c r="E41" i="1"/>
  <c r="C87" i="4"/>
  <c r="H30" i="9"/>
  <c r="G43" i="1" s="1"/>
  <c r="D87" i="4"/>
  <c r="X64" i="4"/>
  <c r="J34" i="4" s="1"/>
  <c r="K34" i="4" s="1"/>
  <c r="P21" i="9"/>
  <c r="X33" i="9" l="1"/>
  <c r="AD33" i="9" s="1"/>
  <c r="B23" i="19"/>
  <c r="R21" i="9"/>
  <c r="T21" i="9"/>
  <c r="U8" i="9"/>
  <c r="L39" i="4"/>
  <c r="I34" i="4"/>
  <c r="E30" i="9"/>
  <c r="D43" i="1" s="1"/>
  <c r="E14" i="9"/>
  <c r="E34" i="9" s="1"/>
  <c r="D47" i="1" s="1"/>
  <c r="E45" i="9"/>
  <c r="D58" i="1" s="1"/>
  <c r="E55" i="9"/>
  <c r="E58" i="9" s="1"/>
  <c r="J45" i="9"/>
  <c r="I58" i="1" s="1"/>
  <c r="J30" i="9"/>
  <c r="I43" i="1" s="1"/>
  <c r="D34" i="4"/>
  <c r="E34" i="4" s="1"/>
  <c r="G34" i="4"/>
  <c r="J14" i="9"/>
  <c r="J34" i="9" s="1"/>
  <c r="I47" i="1" s="1"/>
  <c r="D45" i="9"/>
  <c r="C58" i="1" s="1"/>
  <c r="H47" i="9"/>
  <c r="G60" i="1" s="1"/>
  <c r="D14" i="9"/>
  <c r="D34" i="9" s="1"/>
  <c r="C47" i="1" s="1"/>
  <c r="G14" i="9"/>
  <c r="G34" i="9" s="1"/>
  <c r="F47" i="1" s="1"/>
  <c r="G30" i="9"/>
  <c r="F43" i="1" s="1"/>
  <c r="D55" i="9"/>
  <c r="G45" i="9"/>
  <c r="F58" i="1" s="1"/>
  <c r="D20" i="9"/>
  <c r="G55" i="9"/>
  <c r="G59" i="9" s="1"/>
  <c r="Z37" i="9" s="1"/>
  <c r="C34" i="4"/>
  <c r="J41" i="1"/>
  <c r="I45" i="9"/>
  <c r="H58" i="1" s="1"/>
  <c r="F34" i="4"/>
  <c r="I14" i="9"/>
  <c r="I34" i="9" s="1"/>
  <c r="H47" i="1" s="1"/>
  <c r="K59" i="9"/>
  <c r="Z33" i="9" s="1"/>
  <c r="I55" i="9"/>
  <c r="I58" i="9" s="1"/>
  <c r="I30" i="9"/>
  <c r="H43" i="1" s="1"/>
  <c r="J45" i="1"/>
  <c r="J44" i="1" s="1"/>
  <c r="N84" i="7"/>
  <c r="E22" i="7"/>
  <c r="L11" i="4"/>
  <c r="I24" i="1" s="1"/>
  <c r="N39" i="4"/>
  <c r="M84" i="7"/>
  <c r="J11" i="4"/>
  <c r="J14" i="4" s="1"/>
  <c r="E25" i="1" s="1"/>
  <c r="M39" i="4"/>
  <c r="E35" i="7"/>
  <c r="J37" i="4"/>
  <c r="L84" i="7"/>
  <c r="J29" i="4"/>
  <c r="J39" i="4"/>
  <c r="M29" i="4"/>
  <c r="V16" i="9" s="1"/>
  <c r="M37" i="4"/>
  <c r="F22" i="7"/>
  <c r="M11" i="4"/>
  <c r="M14" i="4" s="1"/>
  <c r="J25" i="1" s="1"/>
  <c r="I46" i="9"/>
  <c r="I20" i="9"/>
  <c r="I23" i="9"/>
  <c r="I50" i="9" s="1"/>
  <c r="H63" i="1" s="1"/>
  <c r="H45" i="1" l="1"/>
  <c r="H44" i="1" s="1"/>
  <c r="B21" i="19"/>
  <c r="D45" i="1"/>
  <c r="D44" i="1" s="1"/>
  <c r="B17" i="19"/>
  <c r="C23" i="19"/>
  <c r="D23" i="19" s="1"/>
  <c r="D33" i="19"/>
  <c r="U11" i="9"/>
  <c r="S8" i="9"/>
  <c r="S11" i="9" s="1"/>
  <c r="F8" i="9" s="1"/>
  <c r="Q8" i="9"/>
  <c r="Q11" i="9" s="1"/>
  <c r="O8" i="9"/>
  <c r="O11" i="9" s="1"/>
  <c r="I39" i="4"/>
  <c r="L35" i="4"/>
  <c r="H34" i="4"/>
  <c r="H39" i="4" s="1"/>
  <c r="B31" i="7"/>
  <c r="L72" i="4"/>
  <c r="I11" i="4"/>
  <c r="K84" i="7"/>
  <c r="D35" i="7"/>
  <c r="I72" i="4"/>
  <c r="D47" i="9"/>
  <c r="C60" i="1" s="1"/>
  <c r="E59" i="9"/>
  <c r="Z39" i="9" s="1"/>
  <c r="K55" i="2"/>
  <c r="K61" i="2" s="1"/>
  <c r="X39" i="9"/>
  <c r="AD39" i="9" s="1"/>
  <c r="G29" i="4"/>
  <c r="R16" i="9" s="1"/>
  <c r="R17" i="9" s="1"/>
  <c r="G15" i="9" s="1"/>
  <c r="G35" i="9" s="1"/>
  <c r="F48" i="1" s="1"/>
  <c r="D11" i="4"/>
  <c r="D14" i="4" s="1"/>
  <c r="O25" i="1" s="1"/>
  <c r="D39" i="4"/>
  <c r="G11" i="4"/>
  <c r="T24" i="1" s="1"/>
  <c r="D37" i="4"/>
  <c r="E37" i="4" s="1"/>
  <c r="E38" i="4" s="1"/>
  <c r="E55" i="4" s="1"/>
  <c r="P66" i="1" s="1"/>
  <c r="H29" i="7"/>
  <c r="B29" i="7"/>
  <c r="G39" i="4"/>
  <c r="D29" i="4"/>
  <c r="P16" i="9" s="1"/>
  <c r="P17" i="9" s="1"/>
  <c r="E15" i="9" s="1"/>
  <c r="E35" i="9" s="1"/>
  <c r="D48" i="1" s="1"/>
  <c r="J84" i="7"/>
  <c r="E39" i="4"/>
  <c r="G58" i="9"/>
  <c r="G37" i="4"/>
  <c r="G107" i="4" s="1"/>
  <c r="G108" i="4" s="1"/>
  <c r="G109" i="4" s="1"/>
  <c r="G111" i="4" s="1"/>
  <c r="G126" i="4" s="1"/>
  <c r="E11" i="4"/>
  <c r="E14" i="4" s="1"/>
  <c r="P25" i="1" s="1"/>
  <c r="H84" i="7"/>
  <c r="F39" i="4"/>
  <c r="X35" i="9"/>
  <c r="AD35" i="9" s="1"/>
  <c r="I84" i="7"/>
  <c r="I94" i="7" s="1"/>
  <c r="H31" i="7"/>
  <c r="C39" i="4"/>
  <c r="C11" i="4"/>
  <c r="N24" i="1" s="1"/>
  <c r="B27" i="7"/>
  <c r="E19" i="9"/>
  <c r="E23" i="9" s="1"/>
  <c r="E50" i="9" s="1"/>
  <c r="D63" i="1" s="1"/>
  <c r="C72" i="4"/>
  <c r="F72" i="4"/>
  <c r="I59" i="9"/>
  <c r="Z35" i="9" s="1"/>
  <c r="G84" i="7"/>
  <c r="K94" i="7" s="1"/>
  <c r="F11" i="4"/>
  <c r="F67" i="4" s="1"/>
  <c r="N37" i="4"/>
  <c r="N38" i="4" s="1"/>
  <c r="N55" i="4" s="1"/>
  <c r="K66" i="1" s="1"/>
  <c r="M107" i="4"/>
  <c r="M108" i="4" s="1"/>
  <c r="M109" i="4" s="1"/>
  <c r="M111" i="4" s="1"/>
  <c r="M126" i="4" s="1"/>
  <c r="L71" i="4"/>
  <c r="J107" i="4"/>
  <c r="J108" i="4" s="1"/>
  <c r="J109" i="4" s="1"/>
  <c r="J111" i="4" s="1"/>
  <c r="J126" i="4" s="1"/>
  <c r="N94" i="7"/>
  <c r="E24" i="1"/>
  <c r="D22" i="7"/>
  <c r="N11" i="4"/>
  <c r="I71" i="4"/>
  <c r="L67" i="4"/>
  <c r="J24" i="1"/>
  <c r="J38" i="4"/>
  <c r="J144" i="4" s="1"/>
  <c r="I62" i="4"/>
  <c r="K37" i="4"/>
  <c r="K38" i="4" s="1"/>
  <c r="F35" i="7"/>
  <c r="K11" i="4"/>
  <c r="K39" i="4"/>
  <c r="T16" i="9"/>
  <c r="K29" i="4"/>
  <c r="N29" i="4"/>
  <c r="V17" i="9"/>
  <c r="K15" i="9" s="1"/>
  <c r="K35" i="9" s="1"/>
  <c r="J48" i="1" s="1"/>
  <c r="L62" i="4"/>
  <c r="M38" i="4"/>
  <c r="L50" i="2"/>
  <c r="L61" i="2" s="1"/>
  <c r="L65" i="2" s="1"/>
  <c r="H59" i="1"/>
  <c r="D35" i="1" s="1"/>
  <c r="I47" i="9"/>
  <c r="J19" i="9"/>
  <c r="J46" i="9" s="1"/>
  <c r="I21" i="9"/>
  <c r="E33" i="19" l="1"/>
  <c r="G33" i="19"/>
  <c r="I33" i="19"/>
  <c r="C33" i="19"/>
  <c r="A33" i="19"/>
  <c r="J33" i="19"/>
  <c r="H33" i="19"/>
  <c r="C17" i="19"/>
  <c r="D17" i="19" s="1"/>
  <c r="D27" i="19"/>
  <c r="F45" i="1"/>
  <c r="F44" i="1" s="1"/>
  <c r="B19" i="19"/>
  <c r="D31" i="19"/>
  <c r="C21" i="19"/>
  <c r="D21" i="19" s="1"/>
  <c r="J8" i="9"/>
  <c r="J38" i="9" s="1"/>
  <c r="I51" i="1" s="1"/>
  <c r="M94" i="7"/>
  <c r="J7" i="9"/>
  <c r="L94" i="7"/>
  <c r="J94" i="7"/>
  <c r="F57" i="9"/>
  <c r="F38" i="9"/>
  <c r="E51" i="1" s="1"/>
  <c r="I35" i="4"/>
  <c r="F7" i="9"/>
  <c r="H11" i="4"/>
  <c r="H14" i="4" s="1"/>
  <c r="U25" i="1" s="1"/>
  <c r="H27" i="7"/>
  <c r="E28" i="7" s="1"/>
  <c r="I36" i="4"/>
  <c r="D8" i="9"/>
  <c r="D38" i="9" s="1"/>
  <c r="C51" i="1" s="1"/>
  <c r="F36" i="4"/>
  <c r="L36" i="4"/>
  <c r="L29" i="4" s="1"/>
  <c r="U16" i="9" s="1"/>
  <c r="F35" i="4"/>
  <c r="D7" i="9"/>
  <c r="K54" i="2"/>
  <c r="K60" i="2" s="1"/>
  <c r="C36" i="4"/>
  <c r="H8" i="9"/>
  <c r="C35" i="4"/>
  <c r="H7" i="9"/>
  <c r="G94" i="7"/>
  <c r="H94" i="7"/>
  <c r="I67" i="4"/>
  <c r="D24" i="1"/>
  <c r="C71" i="4"/>
  <c r="E12" i="9"/>
  <c r="E32" i="9" s="1"/>
  <c r="I12" i="9"/>
  <c r="I32" i="9" s="1"/>
  <c r="H29" i="4"/>
  <c r="X37" i="9"/>
  <c r="AD37" i="9" s="1"/>
  <c r="O24" i="1"/>
  <c r="E41" i="4"/>
  <c r="L31" i="7" s="1"/>
  <c r="E4" i="16" s="1"/>
  <c r="I4" i="16" s="1"/>
  <c r="G14" i="4"/>
  <c r="T25" i="1" s="1"/>
  <c r="C62" i="4"/>
  <c r="G38" i="4"/>
  <c r="G117" i="4" s="1"/>
  <c r="E90" i="4"/>
  <c r="F71" i="4"/>
  <c r="D107" i="4"/>
  <c r="D108" i="4" s="1"/>
  <c r="D109" i="4" s="1"/>
  <c r="D111" i="4" s="1"/>
  <c r="D126" i="4" s="1"/>
  <c r="BF126" i="4" s="1"/>
  <c r="D38" i="4"/>
  <c r="D144" i="4" s="1"/>
  <c r="P17" i="1"/>
  <c r="H37" i="4"/>
  <c r="H38" i="4" s="1"/>
  <c r="H90" i="4" s="1"/>
  <c r="F62" i="4"/>
  <c r="P24" i="1"/>
  <c r="E29" i="4"/>
  <c r="E20" i="9"/>
  <c r="F19" i="9" s="1"/>
  <c r="F46" i="9" s="1"/>
  <c r="M49" i="2" s="1"/>
  <c r="N60" i="2" s="1"/>
  <c r="M64" i="2" s="1"/>
  <c r="E46" i="9"/>
  <c r="C67" i="4"/>
  <c r="S24" i="1"/>
  <c r="K12" i="9"/>
  <c r="K32" i="9" s="1"/>
  <c r="F33" i="19" s="1"/>
  <c r="N90" i="4"/>
  <c r="K17" i="1"/>
  <c r="M119" i="4"/>
  <c r="M144" i="4"/>
  <c r="J117" i="4"/>
  <c r="J119" i="4"/>
  <c r="M41" i="4"/>
  <c r="M40" i="4" s="1"/>
  <c r="M43" i="4" s="1"/>
  <c r="M117" i="4"/>
  <c r="N41" i="4"/>
  <c r="N22" i="7" s="1"/>
  <c r="E13" i="16" s="1"/>
  <c r="I13" i="16" s="1"/>
  <c r="K24" i="1"/>
  <c r="N14" i="4"/>
  <c r="K25" i="1" s="1"/>
  <c r="J17" i="1"/>
  <c r="J55" i="4"/>
  <c r="E66" i="1" s="1"/>
  <c r="J90" i="4"/>
  <c r="E17" i="1"/>
  <c r="J41" i="4"/>
  <c r="G12" i="9"/>
  <c r="G32" i="9" s="1"/>
  <c r="T17" i="9"/>
  <c r="I15" i="9" s="1"/>
  <c r="I35" i="9" s="1"/>
  <c r="H48" i="1" s="1"/>
  <c r="K14" i="4"/>
  <c r="F25" i="1" s="1"/>
  <c r="K41" i="4"/>
  <c r="F24" i="1"/>
  <c r="K90" i="4"/>
  <c r="F17" i="1"/>
  <c r="K55" i="4"/>
  <c r="F66" i="1" s="1"/>
  <c r="M90" i="4"/>
  <c r="M55" i="4"/>
  <c r="J66" i="1" s="1"/>
  <c r="M50" i="2"/>
  <c r="N61" i="2" s="1"/>
  <c r="M65" i="2" s="1"/>
  <c r="I59" i="1"/>
  <c r="I73" i="1" s="1"/>
  <c r="H60" i="1"/>
  <c r="L55" i="2"/>
  <c r="M61" i="2" s="1"/>
  <c r="O35" i="1"/>
  <c r="P35" i="1" s="1"/>
  <c r="H73" i="1"/>
  <c r="J20" i="9"/>
  <c r="J21" i="9" s="1"/>
  <c r="J23" i="9"/>
  <c r="J50" i="9" s="1"/>
  <c r="I63" i="1" s="1"/>
  <c r="I48" i="9"/>
  <c r="H61" i="1" s="1"/>
  <c r="I22" i="9"/>
  <c r="I49" i="9" s="1"/>
  <c r="H62" i="1" s="1"/>
  <c r="I24" i="9"/>
  <c r="H31" i="19" l="1"/>
  <c r="C31" i="19"/>
  <c r="I31" i="19"/>
  <c r="G31" i="19"/>
  <c r="F31" i="19"/>
  <c r="J31" i="19"/>
  <c r="E31" i="19"/>
  <c r="A31" i="19"/>
  <c r="C19" i="19"/>
  <c r="D19" i="19" s="1"/>
  <c r="D29" i="19"/>
  <c r="H27" i="19"/>
  <c r="I27" i="19"/>
  <c r="F27" i="19"/>
  <c r="C27" i="19"/>
  <c r="J27" i="19"/>
  <c r="E27" i="19"/>
  <c r="A27" i="19"/>
  <c r="G27" i="19"/>
  <c r="J37" i="9"/>
  <c r="I50" i="1" s="1"/>
  <c r="J56" i="9"/>
  <c r="Y34" i="9" s="1"/>
  <c r="AE34" i="9" s="1"/>
  <c r="J57" i="9"/>
  <c r="J59" i="9" s="1"/>
  <c r="Z34" i="9" s="1"/>
  <c r="L49" i="2"/>
  <c r="L60" i="2" s="1"/>
  <c r="L64" i="2" s="1"/>
  <c r="I63" i="4"/>
  <c r="I64" i="4" s="1"/>
  <c r="I37" i="4" s="1"/>
  <c r="I38" i="4" s="1"/>
  <c r="I55" i="4" s="1"/>
  <c r="D66" i="1" s="1"/>
  <c r="F56" i="9"/>
  <c r="F37" i="9"/>
  <c r="E50" i="1" s="1"/>
  <c r="AA38" i="9"/>
  <c r="F59" i="9"/>
  <c r="Z38" i="9" s="1"/>
  <c r="I73" i="4"/>
  <c r="I77" i="4" s="1"/>
  <c r="I103" i="4" s="1"/>
  <c r="I60" i="4" s="1"/>
  <c r="I29" i="4"/>
  <c r="S16" i="9" s="1"/>
  <c r="C63" i="4"/>
  <c r="U17" i="9"/>
  <c r="J15" i="9" s="1"/>
  <c r="J35" i="9" s="1"/>
  <c r="I48" i="1" s="1"/>
  <c r="U24" i="1"/>
  <c r="D57" i="9"/>
  <c r="AA40" i="9" s="1"/>
  <c r="L73" i="4"/>
  <c r="L77" i="4" s="1"/>
  <c r="L103" i="4" s="1"/>
  <c r="L60" i="4" s="1"/>
  <c r="L63" i="4"/>
  <c r="L96" i="4" s="1"/>
  <c r="L58" i="4" s="1"/>
  <c r="D56" i="9"/>
  <c r="D37" i="9"/>
  <c r="C50" i="1" s="1"/>
  <c r="D21" i="9"/>
  <c r="F29" i="4"/>
  <c r="Q16" i="9" s="1"/>
  <c r="F63" i="4"/>
  <c r="F96" i="4" s="1"/>
  <c r="F58" i="4" s="1"/>
  <c r="F73" i="4"/>
  <c r="F77" i="4" s="1"/>
  <c r="F103" i="4" s="1"/>
  <c r="F60" i="4" s="1"/>
  <c r="H38" i="9"/>
  <c r="G51" i="1" s="1"/>
  <c r="H57" i="9"/>
  <c r="H56" i="9"/>
  <c r="H37" i="9"/>
  <c r="G50" i="1" s="1"/>
  <c r="H21" i="9"/>
  <c r="D112" i="4"/>
  <c r="U17" i="1"/>
  <c r="G55" i="4"/>
  <c r="T66" i="1" s="1"/>
  <c r="O17" i="1"/>
  <c r="D119" i="4"/>
  <c r="E40" i="4"/>
  <c r="E43" i="4" s="1"/>
  <c r="G119" i="4"/>
  <c r="G120" i="4" s="1"/>
  <c r="G127" i="4" s="1"/>
  <c r="G144" i="4"/>
  <c r="P18" i="1"/>
  <c r="G41" i="4"/>
  <c r="J85" i="7" s="1"/>
  <c r="D117" i="4"/>
  <c r="G90" i="4"/>
  <c r="T17" i="1"/>
  <c r="D41" i="4"/>
  <c r="L29" i="7" s="1"/>
  <c r="E3" i="16" s="1"/>
  <c r="I3" i="16" s="1"/>
  <c r="D90" i="4"/>
  <c r="D55" i="4"/>
  <c r="O66" i="1" s="1"/>
  <c r="F20" i="9"/>
  <c r="G19" i="9" s="1"/>
  <c r="G46" i="9" s="1"/>
  <c r="H55" i="4"/>
  <c r="U66" i="1" s="1"/>
  <c r="H41" i="4"/>
  <c r="E59" i="1"/>
  <c r="E73" i="1" s="1"/>
  <c r="E47" i="9"/>
  <c r="D59" i="1"/>
  <c r="N35" i="1" s="1"/>
  <c r="F23" i="9"/>
  <c r="F50" i="9" s="1"/>
  <c r="E63" i="1" s="1"/>
  <c r="E21" i="9"/>
  <c r="E24" i="9" s="1"/>
  <c r="E51" i="9" s="1"/>
  <c r="D64" i="1" s="1"/>
  <c r="M120" i="4"/>
  <c r="M127" i="4" s="1"/>
  <c r="J120" i="4"/>
  <c r="E42" i="7"/>
  <c r="F12" i="16" s="1"/>
  <c r="N85" i="7"/>
  <c r="O22" i="7"/>
  <c r="E12" i="16" s="1"/>
  <c r="I12" i="16" s="1"/>
  <c r="M54" i="4"/>
  <c r="N86" i="7"/>
  <c r="J18" i="1"/>
  <c r="M42" i="4"/>
  <c r="M44" i="4" s="1"/>
  <c r="M145" i="4" s="1"/>
  <c r="J19" i="1"/>
  <c r="N40" i="4"/>
  <c r="N42" i="4" s="1"/>
  <c r="K18" i="1"/>
  <c r="K40" i="4"/>
  <c r="P35" i="7"/>
  <c r="E10" i="16" s="1"/>
  <c r="I10" i="16" s="1"/>
  <c r="F18" i="1"/>
  <c r="O35" i="7"/>
  <c r="E9" i="16" s="1"/>
  <c r="I9" i="16" s="1"/>
  <c r="E18" i="1"/>
  <c r="L85" i="7"/>
  <c r="J40" i="4"/>
  <c r="E55" i="7" s="1"/>
  <c r="F9" i="16" s="1"/>
  <c r="J54" i="4"/>
  <c r="O36" i="1"/>
  <c r="P36" i="1" s="1"/>
  <c r="D36" i="1"/>
  <c r="J48" i="9"/>
  <c r="I61" i="1" s="1"/>
  <c r="J24" i="9"/>
  <c r="J22" i="9"/>
  <c r="J49" i="9" s="1"/>
  <c r="I62" i="1" s="1"/>
  <c r="K19" i="9"/>
  <c r="K20" i="9" s="1"/>
  <c r="J47" i="9"/>
  <c r="I25" i="9"/>
  <c r="I52" i="9" s="1"/>
  <c r="H65" i="1" s="1"/>
  <c r="I51" i="9"/>
  <c r="H64" i="1" s="1"/>
  <c r="J58" i="9" l="1"/>
  <c r="X34" i="9" s="1"/>
  <c r="AD34" i="9" s="1"/>
  <c r="E29" i="19"/>
  <c r="G29" i="19"/>
  <c r="H29" i="19"/>
  <c r="I29" i="19"/>
  <c r="A29" i="19"/>
  <c r="J29" i="19"/>
  <c r="F29" i="19"/>
  <c r="C29" i="19"/>
  <c r="AA34" i="9"/>
  <c r="P12" i="16"/>
  <c r="R12" i="16" s="1"/>
  <c r="P11" i="16"/>
  <c r="R11" i="16" s="1"/>
  <c r="P13" i="16"/>
  <c r="R13" i="16" s="1"/>
  <c r="P3" i="16"/>
  <c r="R3" i="16" s="1"/>
  <c r="P4" i="16"/>
  <c r="R4" i="16" s="1"/>
  <c r="P2" i="16"/>
  <c r="R2" i="16" s="1"/>
  <c r="D60" i="1"/>
  <c r="E36" i="1" s="1"/>
  <c r="F36" i="1" s="1"/>
  <c r="J12" i="16"/>
  <c r="J13" i="16"/>
  <c r="J9" i="16"/>
  <c r="J10" i="16"/>
  <c r="J3" i="16"/>
  <c r="J4" i="16"/>
  <c r="I96" i="4"/>
  <c r="I58" i="4" s="1"/>
  <c r="I45" i="1"/>
  <c r="I44" i="1" s="1"/>
  <c r="I76" i="4"/>
  <c r="S17" i="9"/>
  <c r="H15" i="9" s="1"/>
  <c r="H35" i="9" s="1"/>
  <c r="G48" i="1" s="1"/>
  <c r="F12" i="9"/>
  <c r="F32" i="9" s="1"/>
  <c r="Y38" i="9"/>
  <c r="AE38" i="9" s="1"/>
  <c r="F58" i="9"/>
  <c r="B18" i="19" s="1"/>
  <c r="L64" i="4"/>
  <c r="L37" i="4" s="1"/>
  <c r="L38" i="4" s="1"/>
  <c r="D59" i="9"/>
  <c r="Z40" i="9" s="1"/>
  <c r="I68" i="4"/>
  <c r="I54" i="4" s="1"/>
  <c r="D39" i="1" s="1"/>
  <c r="I90" i="4"/>
  <c r="I92" i="4" s="1"/>
  <c r="D17" i="1"/>
  <c r="L76" i="4"/>
  <c r="Q17" i="9"/>
  <c r="F15" i="9" s="1"/>
  <c r="F35" i="9" s="1"/>
  <c r="E48" i="1" s="1"/>
  <c r="D12" i="9"/>
  <c r="D32" i="9" s="1"/>
  <c r="D24" i="9"/>
  <c r="D48" i="9"/>
  <c r="C61" i="1" s="1"/>
  <c r="D22" i="9"/>
  <c r="D49" i="9" s="1"/>
  <c r="C62" i="1" s="1"/>
  <c r="F76" i="4"/>
  <c r="Y40" i="9"/>
  <c r="AE40" i="9" s="1"/>
  <c r="D58" i="9"/>
  <c r="B16" i="19" s="1"/>
  <c r="F64" i="4"/>
  <c r="AA36" i="9"/>
  <c r="H59" i="9"/>
  <c r="Z36" i="9" s="1"/>
  <c r="H24" i="9"/>
  <c r="H48" i="9"/>
  <c r="G61" i="1" s="1"/>
  <c r="H22" i="9"/>
  <c r="H49" i="9" s="1"/>
  <c r="G62" i="1" s="1"/>
  <c r="Y36" i="9"/>
  <c r="AE36" i="9" s="1"/>
  <c r="H58" i="9"/>
  <c r="B20" i="19" s="1"/>
  <c r="D120" i="4"/>
  <c r="D127" i="4" s="1"/>
  <c r="F21" i="9"/>
  <c r="F48" i="9" s="1"/>
  <c r="E61" i="1" s="1"/>
  <c r="F47" i="9"/>
  <c r="M54" i="2" s="1"/>
  <c r="O60" i="2" s="1"/>
  <c r="D40" i="4"/>
  <c r="O19" i="1" s="1"/>
  <c r="T18" i="1"/>
  <c r="P19" i="1"/>
  <c r="E42" i="4"/>
  <c r="E44" i="4" s="1"/>
  <c r="E124" i="4" s="1"/>
  <c r="G54" i="4"/>
  <c r="D73" i="1"/>
  <c r="H85" i="7"/>
  <c r="O18" i="1"/>
  <c r="D54" i="4"/>
  <c r="G40" i="4"/>
  <c r="G42" i="4" s="1"/>
  <c r="B51" i="7"/>
  <c r="F4" i="16" s="1"/>
  <c r="R29" i="7"/>
  <c r="E6" i="16" s="1"/>
  <c r="E48" i="9"/>
  <c r="D61" i="1" s="1"/>
  <c r="H40" i="4"/>
  <c r="H43" i="4" s="1"/>
  <c r="U18" i="1"/>
  <c r="R27" i="7"/>
  <c r="E7" i="16" s="1"/>
  <c r="I7" i="16" s="1"/>
  <c r="L54" i="2"/>
  <c r="M60" i="2" s="1"/>
  <c r="E22" i="9"/>
  <c r="E49" i="9" s="1"/>
  <c r="D62" i="1" s="1"/>
  <c r="E35" i="1"/>
  <c r="F35" i="1" s="1"/>
  <c r="E25" i="9"/>
  <c r="E52" i="9" s="1"/>
  <c r="D65" i="1" s="1"/>
  <c r="E39" i="1"/>
  <c r="K54" i="4"/>
  <c r="F39" i="1" s="1"/>
  <c r="J39" i="1"/>
  <c r="N54" i="4"/>
  <c r="K39" i="1" s="1"/>
  <c r="J127" i="4"/>
  <c r="N87" i="7"/>
  <c r="M124" i="4"/>
  <c r="M125" i="4"/>
  <c r="P42" i="7"/>
  <c r="J20" i="1"/>
  <c r="M45" i="4"/>
  <c r="J21" i="1" s="1"/>
  <c r="D42" i="7"/>
  <c r="F13" i="16" s="1"/>
  <c r="N43" i="4"/>
  <c r="N44" i="4" s="1"/>
  <c r="K19" i="1"/>
  <c r="J43" i="4"/>
  <c r="K43" i="4"/>
  <c r="F55" i="7"/>
  <c r="F10" i="16" s="1"/>
  <c r="F19" i="1"/>
  <c r="K42" i="4"/>
  <c r="L86" i="7"/>
  <c r="E19" i="1"/>
  <c r="J42" i="4"/>
  <c r="G23" i="9"/>
  <c r="G50" i="9" s="1"/>
  <c r="F63" i="1" s="1"/>
  <c r="G20" i="9"/>
  <c r="G47" i="9" s="1"/>
  <c r="K23" i="9"/>
  <c r="K50" i="9" s="1"/>
  <c r="J63" i="1" s="1"/>
  <c r="K46" i="9"/>
  <c r="J51" i="9"/>
  <c r="I64" i="1" s="1"/>
  <c r="J25" i="9"/>
  <c r="J52" i="9" s="1"/>
  <c r="I65" i="1" s="1"/>
  <c r="K47" i="9"/>
  <c r="Q9" i="16" s="1"/>
  <c r="S9" i="16" s="1"/>
  <c r="K21" i="9"/>
  <c r="M55" i="2"/>
  <c r="O61" i="2" s="1"/>
  <c r="I60" i="1"/>
  <c r="F59" i="1"/>
  <c r="N49" i="2"/>
  <c r="P60" i="2" s="1"/>
  <c r="N64" i="2" s="1"/>
  <c r="B22" i="19" l="1"/>
  <c r="C18" i="19"/>
  <c r="D18" i="19" s="1"/>
  <c r="D28" i="19"/>
  <c r="C20" i="19"/>
  <c r="D20" i="19" s="1"/>
  <c r="D30" i="19"/>
  <c r="D26" i="19"/>
  <c r="C16" i="19"/>
  <c r="D16" i="19" s="1"/>
  <c r="C22" i="19"/>
  <c r="D22" i="19" s="1"/>
  <c r="D32" i="19"/>
  <c r="Q8" i="16"/>
  <c r="S8" i="16" s="1"/>
  <c r="Q2" i="16"/>
  <c r="S2" i="16" s="1"/>
  <c r="B2" i="16" s="1"/>
  <c r="Q12" i="16"/>
  <c r="S12" i="16" s="1"/>
  <c r="B12" i="16" s="1"/>
  <c r="Q11" i="16"/>
  <c r="S11" i="16" s="1"/>
  <c r="B11" i="16" s="1"/>
  <c r="Q13" i="16"/>
  <c r="S13" i="16" s="1"/>
  <c r="B13" i="16" s="1"/>
  <c r="Q10" i="16"/>
  <c r="S10" i="16" s="1"/>
  <c r="P9" i="16"/>
  <c r="R9" i="16" s="1"/>
  <c r="P8" i="16"/>
  <c r="R8" i="16" s="1"/>
  <c r="P10" i="16"/>
  <c r="R10" i="16" s="1"/>
  <c r="Q3" i="16"/>
  <c r="Q4" i="16"/>
  <c r="P6" i="16"/>
  <c r="R6" i="16" s="1"/>
  <c r="P5" i="16"/>
  <c r="R5" i="16" s="1"/>
  <c r="P7" i="16"/>
  <c r="R7" i="16" s="1"/>
  <c r="Q5" i="16"/>
  <c r="Q6" i="16"/>
  <c r="Q7" i="16"/>
  <c r="N36" i="1"/>
  <c r="I6" i="16"/>
  <c r="J7" i="16" s="1"/>
  <c r="T39" i="1"/>
  <c r="H54" i="4"/>
  <c r="U39" i="1" s="1"/>
  <c r="O39" i="1"/>
  <c r="E54" i="4"/>
  <c r="P39" i="1" s="1"/>
  <c r="L68" i="4"/>
  <c r="L54" i="4" s="1"/>
  <c r="I39" i="1" s="1"/>
  <c r="X38" i="9"/>
  <c r="AD38" i="9" s="1"/>
  <c r="E45" i="1"/>
  <c r="E44" i="1" s="1"/>
  <c r="I93" i="4"/>
  <c r="I94" i="4" s="1"/>
  <c r="I99" i="4" s="1"/>
  <c r="I101" i="4" s="1"/>
  <c r="L55" i="4"/>
  <c r="I66" i="1" s="1"/>
  <c r="L90" i="4"/>
  <c r="I17" i="1"/>
  <c r="C45" i="1"/>
  <c r="C44" i="1" s="1"/>
  <c r="D63" i="9"/>
  <c r="D64" i="9" s="1"/>
  <c r="D65" i="9" s="1"/>
  <c r="E62" i="9" s="1"/>
  <c r="X40" i="9"/>
  <c r="AD40" i="9" s="1"/>
  <c r="AF40" i="9" s="1"/>
  <c r="D121" i="4"/>
  <c r="D51" i="9"/>
  <c r="C64" i="1" s="1"/>
  <c r="D25" i="9"/>
  <c r="D52" i="9" s="1"/>
  <c r="C65" i="1" s="1"/>
  <c r="F37" i="4"/>
  <c r="F38" i="4" s="1"/>
  <c r="F68" i="4"/>
  <c r="F54" i="4" s="1"/>
  <c r="S39" i="1" s="1"/>
  <c r="H63" i="9"/>
  <c r="H64" i="9" s="1"/>
  <c r="H65" i="9" s="1"/>
  <c r="I62" i="9" s="1"/>
  <c r="X36" i="9"/>
  <c r="AD36" i="9" s="1"/>
  <c r="AF36" i="9" s="1"/>
  <c r="G45" i="1"/>
  <c r="G44" i="1" s="1"/>
  <c r="BF127" i="4"/>
  <c r="H25" i="9"/>
  <c r="H52" i="9" s="1"/>
  <c r="G65" i="1" s="1"/>
  <c r="H51" i="9"/>
  <c r="G64" i="1" s="1"/>
  <c r="E60" i="1"/>
  <c r="F22" i="9"/>
  <c r="F49" i="9" s="1"/>
  <c r="E62" i="1" s="1"/>
  <c r="F24" i="9"/>
  <c r="F25" i="9" s="1"/>
  <c r="F52" i="9" s="1"/>
  <c r="E65" i="1" s="1"/>
  <c r="D43" i="4"/>
  <c r="B49" i="7"/>
  <c r="F3" i="16" s="1"/>
  <c r="D42" i="4"/>
  <c r="H86" i="7"/>
  <c r="M51" i="7"/>
  <c r="E45" i="4"/>
  <c r="G70" i="7" s="1"/>
  <c r="E125" i="4"/>
  <c r="P20" i="1"/>
  <c r="G43" i="4"/>
  <c r="G44" i="4" s="1"/>
  <c r="G45" i="4" s="1"/>
  <c r="H49" i="7"/>
  <c r="F6" i="16" s="1"/>
  <c r="T19" i="1"/>
  <c r="J86" i="7"/>
  <c r="H42" i="4"/>
  <c r="H44" i="4" s="1"/>
  <c r="H47" i="7"/>
  <c r="F7" i="16" s="1"/>
  <c r="U19" i="1"/>
  <c r="O42" i="7"/>
  <c r="N124" i="4"/>
  <c r="N125" i="4"/>
  <c r="N88" i="7"/>
  <c r="J61" i="7"/>
  <c r="K20" i="1"/>
  <c r="N45" i="4"/>
  <c r="K21" i="1" s="1"/>
  <c r="K44" i="4"/>
  <c r="J44" i="4"/>
  <c r="J145" i="4" s="1"/>
  <c r="G21" i="9"/>
  <c r="G22" i="9" s="1"/>
  <c r="G49" i="9" s="1"/>
  <c r="F62" i="1" s="1"/>
  <c r="J60" i="1"/>
  <c r="T36" i="1" s="1"/>
  <c r="U36" i="1" s="1"/>
  <c r="N55" i="2"/>
  <c r="Q61" i="2" s="1"/>
  <c r="O65" i="2" s="1"/>
  <c r="K22" i="9"/>
  <c r="K49" i="9" s="1"/>
  <c r="J62" i="1" s="1"/>
  <c r="K48" i="9"/>
  <c r="J61" i="1" s="1"/>
  <c r="K24" i="9"/>
  <c r="J59" i="1"/>
  <c r="I35" i="1" s="1"/>
  <c r="N50" i="2"/>
  <c r="P61" i="2" s="1"/>
  <c r="N65" i="2" s="1"/>
  <c r="N54" i="2"/>
  <c r="Q60" i="2" s="1"/>
  <c r="O64" i="2" s="1"/>
  <c r="F60" i="1"/>
  <c r="S35" i="1"/>
  <c r="F73" i="1"/>
  <c r="J35" i="1"/>
  <c r="K35" i="1" s="1"/>
  <c r="H32" i="19" l="1"/>
  <c r="E32" i="19"/>
  <c r="A32" i="19"/>
  <c r="C32" i="19"/>
  <c r="G32" i="19"/>
  <c r="E26" i="19"/>
  <c r="F26" i="19"/>
  <c r="H26" i="19"/>
  <c r="C26" i="19"/>
  <c r="G26" i="19"/>
  <c r="A26" i="19"/>
  <c r="E30" i="19"/>
  <c r="H30" i="19"/>
  <c r="C30" i="19"/>
  <c r="A30" i="19"/>
  <c r="G30" i="19"/>
  <c r="H28" i="19"/>
  <c r="E28" i="19"/>
  <c r="G28" i="19"/>
  <c r="A28" i="19"/>
  <c r="F28" i="19"/>
  <c r="C28" i="19"/>
  <c r="S5" i="16"/>
  <c r="B5" i="16" s="1"/>
  <c r="S7" i="16"/>
  <c r="B7" i="16" s="1"/>
  <c r="S4" i="16"/>
  <c r="B4" i="16" s="1"/>
  <c r="S6" i="16"/>
  <c r="B6" i="16" s="1"/>
  <c r="S3" i="16"/>
  <c r="B3" i="16" s="1"/>
  <c r="B10" i="16"/>
  <c r="B9" i="16"/>
  <c r="J6" i="16"/>
  <c r="B8" i="16"/>
  <c r="F51" i="9"/>
  <c r="E64" i="1" s="1"/>
  <c r="I97" i="4"/>
  <c r="I57" i="4" s="1"/>
  <c r="I104" i="4"/>
  <c r="I59" i="4" s="1"/>
  <c r="L93" i="4"/>
  <c r="L92" i="4"/>
  <c r="F90" i="4"/>
  <c r="S17" i="1"/>
  <c r="F55" i="4"/>
  <c r="S66" i="1" s="1"/>
  <c r="AC39" i="9"/>
  <c r="AF39" i="9" s="1"/>
  <c r="E63" i="9"/>
  <c r="E64" i="9" s="1"/>
  <c r="E65" i="9" s="1"/>
  <c r="F62" i="9" s="1"/>
  <c r="AC35" i="9"/>
  <c r="AF35" i="9" s="1"/>
  <c r="I63" i="9"/>
  <c r="I64" i="9" s="1"/>
  <c r="I65" i="9" s="1"/>
  <c r="J62" i="9" s="1"/>
  <c r="D44" i="4"/>
  <c r="D145" i="4" s="1"/>
  <c r="P21" i="1"/>
  <c r="S49" i="7"/>
  <c r="T20" i="1"/>
  <c r="T21" i="1"/>
  <c r="J88" i="7"/>
  <c r="M68" i="7"/>
  <c r="G145" i="4"/>
  <c r="G125" i="4"/>
  <c r="J87" i="7"/>
  <c r="G124" i="4"/>
  <c r="H124" i="4"/>
  <c r="U20" i="1"/>
  <c r="H45" i="4"/>
  <c r="S47" i="7"/>
  <c r="H125" i="4"/>
  <c r="F20" i="1"/>
  <c r="K124" i="4"/>
  <c r="K125" i="4"/>
  <c r="J125" i="4"/>
  <c r="J124" i="4"/>
  <c r="I61" i="7"/>
  <c r="Q55" i="7"/>
  <c r="K45" i="4"/>
  <c r="K74" i="7" s="1"/>
  <c r="P55" i="7"/>
  <c r="E20" i="1"/>
  <c r="J45" i="4"/>
  <c r="L87" i="7"/>
  <c r="G24" i="9"/>
  <c r="G25" i="9" s="1"/>
  <c r="G52" i="9" s="1"/>
  <c r="F65" i="1" s="1"/>
  <c r="G48" i="9"/>
  <c r="F61" i="1" s="1"/>
  <c r="I36" i="1"/>
  <c r="J73" i="1"/>
  <c r="T35" i="1"/>
  <c r="U35" i="1" s="1"/>
  <c r="K25" i="9"/>
  <c r="K52" i="9" s="1"/>
  <c r="J65" i="1" s="1"/>
  <c r="K51" i="9"/>
  <c r="J64" i="1" s="1"/>
  <c r="S36" i="1"/>
  <c r="J36" i="1"/>
  <c r="K36" i="1" s="1"/>
  <c r="H72" i="1" l="1"/>
  <c r="H74" i="1" s="1"/>
  <c r="E72" i="1"/>
  <c r="E74" i="1" s="1"/>
  <c r="C72" i="1"/>
  <c r="C74" i="1" s="1"/>
  <c r="J72" i="1"/>
  <c r="J74" i="1" s="1"/>
  <c r="I41" i="4"/>
  <c r="N35" i="7" s="1"/>
  <c r="E8" i="16" s="1"/>
  <c r="I8" i="16" s="1"/>
  <c r="J8" i="16" s="1"/>
  <c r="L94" i="4"/>
  <c r="L99" i="4" s="1"/>
  <c r="L101" i="4" s="1"/>
  <c r="F63" i="9"/>
  <c r="F64" i="9" s="1"/>
  <c r="F65" i="9" s="1"/>
  <c r="G62" i="9" s="1"/>
  <c r="AC38" i="9"/>
  <c r="AF38" i="9" s="1"/>
  <c r="F93" i="4"/>
  <c r="F92" i="4"/>
  <c r="AC34" i="9"/>
  <c r="AF34" i="9" s="1"/>
  <c r="J63" i="9"/>
  <c r="J64" i="9" s="1"/>
  <c r="J65" i="9" s="1"/>
  <c r="K62" i="9" s="1"/>
  <c r="D45" i="4"/>
  <c r="G68" i="7" s="1"/>
  <c r="D125" i="4"/>
  <c r="M49" i="7"/>
  <c r="D124" i="4"/>
  <c r="O20" i="1"/>
  <c r="D146" i="4"/>
  <c r="H87" i="7"/>
  <c r="U21" i="1"/>
  <c r="M66" i="7"/>
  <c r="F21" i="1"/>
  <c r="L88" i="7"/>
  <c r="J74" i="7"/>
  <c r="E21" i="1"/>
  <c r="G51" i="9"/>
  <c r="F64" i="1" s="1"/>
  <c r="K85" i="7" l="1"/>
  <c r="I40" i="4"/>
  <c r="K86" i="7" s="1"/>
  <c r="D18" i="1"/>
  <c r="L104" i="4"/>
  <c r="L59" i="4" s="1"/>
  <c r="L97" i="4"/>
  <c r="L57" i="4" s="1"/>
  <c r="F94" i="4"/>
  <c r="F97" i="4" s="1"/>
  <c r="F57" i="4" s="1"/>
  <c r="G63" i="9"/>
  <c r="G64" i="9" s="1"/>
  <c r="G65" i="9" s="1"/>
  <c r="AC37" i="9"/>
  <c r="AF37" i="9" s="1"/>
  <c r="K63" i="9"/>
  <c r="K64" i="9" s="1"/>
  <c r="K65" i="9" s="1"/>
  <c r="AC33" i="9"/>
  <c r="AF33" i="9" s="1"/>
  <c r="H88" i="7"/>
  <c r="O21" i="1"/>
  <c r="L41" i="4" l="1"/>
  <c r="I18" i="1" s="1"/>
  <c r="I43" i="4"/>
  <c r="D19" i="1"/>
  <c r="D55" i="7"/>
  <c r="F8" i="16" s="1"/>
  <c r="I42" i="4"/>
  <c r="F99" i="4"/>
  <c r="F101" i="4" s="1"/>
  <c r="F104" i="4"/>
  <c r="F59" i="4" s="1"/>
  <c r="F41" i="4" s="1"/>
  <c r="R31" i="7" s="1"/>
  <c r="E5" i="16" s="1"/>
  <c r="I5" i="16" s="1"/>
  <c r="J5" i="16" s="1"/>
  <c r="P22" i="7" l="1"/>
  <c r="E11" i="16" s="1"/>
  <c r="I11" i="16" s="1"/>
  <c r="J11" i="16" s="1"/>
  <c r="M85" i="7"/>
  <c r="L40" i="4"/>
  <c r="I19" i="1" s="1"/>
  <c r="I44" i="4"/>
  <c r="I45" i="4" s="1"/>
  <c r="I74" i="7" s="1"/>
  <c r="S18" i="1"/>
  <c r="I85" i="7"/>
  <c r="I95" i="7" s="1"/>
  <c r="F40" i="4"/>
  <c r="F43" i="4" s="1"/>
  <c r="G95" i="7" l="1"/>
  <c r="N95" i="7"/>
  <c r="L95" i="7"/>
  <c r="F42" i="7"/>
  <c r="F11" i="16" s="1"/>
  <c r="L42" i="4"/>
  <c r="M86" i="7"/>
  <c r="L43" i="4"/>
  <c r="D20" i="1"/>
  <c r="I46" i="4"/>
  <c r="I47" i="4" s="1"/>
  <c r="J75" i="7" s="1"/>
  <c r="O55" i="7"/>
  <c r="D21" i="1"/>
  <c r="I125" i="4"/>
  <c r="I124" i="4"/>
  <c r="K88" i="7"/>
  <c r="K87" i="7"/>
  <c r="I86" i="7"/>
  <c r="I96" i="7" s="1"/>
  <c r="S19" i="1"/>
  <c r="H51" i="7"/>
  <c r="F5" i="16" s="1"/>
  <c r="F42" i="4"/>
  <c r="F44" i="4" s="1"/>
  <c r="F46" i="4" s="1"/>
  <c r="L96" i="7" l="1"/>
  <c r="G96" i="7"/>
  <c r="N96" i="7"/>
  <c r="L44" i="4"/>
  <c r="M87" i="7" s="1"/>
  <c r="O56" i="7"/>
  <c r="F124" i="4"/>
  <c r="F45" i="4"/>
  <c r="M70" i="7" s="1"/>
  <c r="I87" i="7"/>
  <c r="S51" i="7"/>
  <c r="F125" i="4"/>
  <c r="S20" i="1"/>
  <c r="T49" i="7"/>
  <c r="F47" i="4"/>
  <c r="N68" i="7" s="1"/>
  <c r="G97" i="7" l="1"/>
  <c r="I97" i="7"/>
  <c r="N97" i="7"/>
  <c r="L97" i="7"/>
  <c r="Q42" i="7"/>
  <c r="I20" i="1"/>
  <c r="L124" i="4"/>
  <c r="L125" i="4"/>
  <c r="L45" i="4"/>
  <c r="I21" i="1" s="1"/>
  <c r="L46" i="4"/>
  <c r="L47" i="4" s="1"/>
  <c r="J60" i="7" s="1"/>
  <c r="I88" i="7"/>
  <c r="I98" i="7" s="1"/>
  <c r="S21" i="1"/>
  <c r="N98" i="7" l="1"/>
  <c r="K61" i="7"/>
  <c r="O41" i="7"/>
  <c r="M88" i="7"/>
  <c r="G98" i="7" s="1"/>
  <c r="C64" i="4"/>
  <c r="C96" i="4"/>
  <c r="C58" i="4" s="1"/>
  <c r="C73" i="4"/>
  <c r="C77" i="4" s="1"/>
  <c r="C29" i="4"/>
  <c r="O16" i="9" s="1"/>
  <c r="J12" i="9" s="1"/>
  <c r="J32" i="9" s="1"/>
  <c r="F32" i="19" s="1"/>
  <c r="L98" i="7" l="1"/>
  <c r="C68" i="4"/>
  <c r="C54" i="4" s="1"/>
  <c r="N39" i="1" s="1"/>
  <c r="C37" i="4"/>
  <c r="O17" i="9"/>
  <c r="D15" i="9" s="1"/>
  <c r="D35" i="9" s="1"/>
  <c r="C48" i="1" s="1"/>
  <c r="H12" i="9"/>
  <c r="H32" i="9" s="1"/>
  <c r="F30" i="19" s="1"/>
  <c r="C76" i="4"/>
  <c r="C103" i="4"/>
  <c r="C60" i="4" s="1"/>
  <c r="C38" i="4" l="1"/>
  <c r="N17" i="1" s="1"/>
  <c r="D72" i="1" l="1"/>
  <c r="D74" i="1" s="1"/>
  <c r="I72" i="1"/>
  <c r="I74" i="1" s="1"/>
  <c r="G72" i="1"/>
  <c r="G74" i="1" s="1"/>
  <c r="F72" i="1"/>
  <c r="F74" i="1" s="1"/>
  <c r="C90" i="4"/>
  <c r="C93" i="4" s="1"/>
  <c r="C94" i="4" s="1"/>
  <c r="C104" i="4" s="1"/>
  <c r="C59" i="4" s="1"/>
  <c r="C55" i="4"/>
  <c r="N66" i="1" s="1"/>
  <c r="C99" i="4" l="1"/>
  <c r="C101" i="4" s="1"/>
  <c r="C97" i="4"/>
  <c r="C57" i="4" s="1"/>
  <c r="C41" i="4" s="1"/>
  <c r="N18" i="1" s="1"/>
  <c r="C92" i="4"/>
  <c r="G85" i="7" l="1"/>
  <c r="C40" i="4"/>
  <c r="C42" i="4" s="1"/>
  <c r="L27" i="7"/>
  <c r="E2" i="16" s="1"/>
  <c r="H95" i="7" l="1"/>
  <c r="M95" i="7"/>
  <c r="K95" i="7"/>
  <c r="J95" i="7"/>
  <c r="I2" i="16"/>
  <c r="J2" i="16" s="1"/>
  <c r="C43" i="4"/>
  <c r="C44" i="4" s="1"/>
  <c r="N19" i="1"/>
  <c r="B47" i="7"/>
  <c r="F2" i="16" s="1"/>
  <c r="G86" i="7"/>
  <c r="H96" i="7" l="1"/>
  <c r="M96" i="7"/>
  <c r="K96" i="7"/>
  <c r="J96" i="7"/>
  <c r="G87" i="7"/>
  <c r="C125" i="4"/>
  <c r="BF125" i="4" s="1"/>
  <c r="C49" i="4"/>
  <c r="C50" i="4" s="1"/>
  <c r="M47" i="7"/>
  <c r="C124" i="4"/>
  <c r="BF124" i="4" s="1"/>
  <c r="C45" i="4"/>
  <c r="G88" i="7" s="1"/>
  <c r="C46" i="4"/>
  <c r="L49" i="7" s="1"/>
  <c r="N20" i="1"/>
  <c r="T84" i="4"/>
  <c r="O48" i="7" s="1"/>
  <c r="H97" i="7" l="1"/>
  <c r="M97" i="7"/>
  <c r="H98" i="7"/>
  <c r="M98" i="7"/>
  <c r="K98" i="7"/>
  <c r="J98" i="7"/>
  <c r="K97" i="7"/>
  <c r="J97" i="7"/>
  <c r="C128" i="4"/>
  <c r="N21" i="1"/>
  <c r="G66" i="7"/>
  <c r="C47" i="4"/>
  <c r="F68" i="7" s="1"/>
  <c r="U84" i="4"/>
  <c r="I67"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6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<sst xmlns="http://schemas.openxmlformats.org/spreadsheetml/2006/main" count="14492" uniqueCount="4638">
  <si>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</si>
  <si>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</si>
  <si>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</si>
  <si>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</si>
  <si>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</si>
  <si>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</si>
  <si>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</si>
  <si>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</si>
  <si>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</si>
  <si>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</si>
  <si>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</si>
  <si>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</si>
  <si>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</si>
  <si>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</si>
  <si>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</si>
  <si>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</si>
  <si>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</si>
  <si>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</si>
  <si>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</si>
  <si>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</si>
  <si>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</si>
  <si>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</si>
  <si>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</si>
  <si>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</si>
  <si>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</si>
  <si>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</si>
  <si>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</si>
  <si>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</si>
  <si>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</si>
  <si>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</si>
  <si>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</si>
  <si>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</si>
  <si>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</si>
  <si>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</si>
  <si>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</si>
  <si>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</si>
  <si>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</si>
  <si>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</si>
  <si>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</si>
  <si>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</si>
  <si>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</si>
  <si>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</si>
  <si>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</si>
  <si>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</si>
  <si>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</si>
  <si>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</si>
  <si>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</si>
  <si>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</si>
  <si>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</si>
  <si>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</si>
  <si>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</si>
  <si>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</si>
  <si>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</si>
  <si>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</si>
  <si>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</si>
  <si>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</si>
  <si>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</si>
  <si>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</si>
  <si>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</si>
  <si>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</si>
  <si>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</si>
  <si>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</si>
  <si>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</si>
  <si>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</si>
  <si>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</si>
  <si>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</si>
  <si>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</si>
  <si>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</si>
  <si>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</si>
  <si>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</si>
  <si>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</si>
  <si>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</si>
  <si>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</si>
  <si>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</si>
  <si>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</si>
  <si>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</si>
  <si>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</si>
  <si>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</si>
  <si>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</si>
  <si>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</si>
  <si>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</si>
  <si>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</si>
  <si>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</si>
  <si>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</si>
  <si>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</si>
  <si>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</si>
  <si>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</si>
  <si>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</si>
  <si>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</si>
  <si>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</si>
  <si>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</si>
  <si>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</si>
  <si>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</si>
  <si>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</si>
  <si>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</si>
  <si>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</si>
  <si>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</si>
  <si>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</si>
  <si>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</si>
  <si>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</si>
  <si>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</si>
  <si>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</si>
  <si>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</si>
  <si>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</si>
  <si>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</si>
  <si>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</si>
  <si>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</si>
  <si>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</si>
  <si>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</si>
  <si>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</si>
  <si>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</si>
  <si>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</si>
  <si>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</si>
  <si>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</si>
  <si>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</si>
  <si>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</si>
  <si>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</si>
  <si>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</si>
  <si>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</si>
  <si>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</si>
  <si>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</si>
  <si>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</si>
  <si>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</si>
  <si>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</si>
  <si>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</si>
  <si>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</si>
  <si>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</si>
  <si>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</si>
  <si>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</si>
  <si>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</si>
  <si>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</si>
  <si>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</si>
  <si>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</si>
  <si>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</si>
  <si>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</si>
  <si>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</si>
  <si>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</si>
  <si>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</si>
  <si>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</si>
  <si>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</si>
  <si>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</si>
  <si>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</si>
  <si>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</si>
  <si>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</si>
  <si>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</si>
  <si>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</si>
  <si>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</si>
  <si>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</si>
  <si>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</si>
  <si>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</si>
  <si>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</si>
  <si>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</si>
  <si>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</si>
  <si>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</si>
  <si>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</si>
  <si>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</si>
  <si>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</si>
  <si>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</si>
  <si>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</si>
  <si>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</si>
  <si>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</si>
  <si>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</si>
  <si>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</si>
  <si>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</si>
  <si>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</si>
  <si>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</si>
  <si>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</si>
  <si>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</si>
  <si>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</si>
  <si>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</si>
  <si>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</si>
  <si>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</si>
  <si>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</si>
  <si>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</si>
  <si>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</si>
  <si>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</si>
  <si>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</si>
  <si>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</si>
  <si>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</si>
  <si>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</si>
  <si>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</si>
  <si>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</si>
  <si>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</si>
  <si>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</si>
  <si>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</si>
  <si>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</si>
  <si>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</si>
  <si>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</si>
  <si>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</si>
  <si>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</si>
  <si>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</si>
  <si>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</si>
  <si>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</si>
  <si>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</si>
  <si>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</si>
  <si>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</si>
  <si>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</si>
  <si>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</si>
  <si>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</si>
  <si>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</si>
  <si>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</si>
  <si>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</si>
  <si>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</si>
  <si>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</si>
  <si>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</si>
  <si>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</si>
  <si>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</si>
  <si>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</si>
  <si>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</si>
  <si>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</si>
  <si>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</si>
  <si>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</si>
  <si>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</si>
  <si>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</si>
  <si>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</si>
  <si>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</si>
  <si>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</si>
  <si>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</si>
  <si>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</si>
  <si>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</si>
  <si>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</si>
  <si>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</si>
  <si>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</si>
  <si>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</si>
  <si>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</si>
  <si>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</si>
  <si>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</si>
  <si>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</si>
  <si>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</si>
  <si>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</si>
  <si>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</si>
  <si>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</si>
  <si>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</si>
  <si>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</si>
  <si>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</si>
  <si>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</si>
  <si>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</si>
  <si>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</si>
  <si>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</si>
  <si>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</si>
  <si>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</si>
  <si>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</si>
  <si>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</si>
  <si>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</si>
  <si>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</si>
  <si>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</si>
  <si>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</si>
  <si>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</si>
  <si>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</si>
  <si>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</si>
  <si>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</si>
  <si>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</si>
  <si>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</si>
  <si>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</si>
  <si>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</si>
  <si>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</si>
  <si>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</si>
  <si>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</si>
  <si>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</si>
  <si>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</si>
  <si>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</si>
  <si>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</si>
  <si>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</si>
  <si>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</si>
  <si>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</si>
  <si>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</si>
  <si>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</si>
  <si>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</si>
  <si>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</si>
  <si>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</si>
  <si>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</si>
  <si>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</si>
  <si>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</si>
  <si>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</si>
  <si>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</si>
  <si>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</si>
  <si>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</si>
  <si>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</si>
  <si>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</si>
  <si>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</si>
  <si>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</si>
  <si>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</si>
  <si>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</si>
  <si>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AllRedSpeedRef</t>
  </si>
  <si>
    <t>AllRedWidthRef</t>
  </si>
  <si>
    <t>All Red</t>
  </si>
  <si>
    <t>Don’t walk</t>
  </si>
  <si>
    <t>Min Green</t>
  </si>
  <si>
    <t>Max Green</t>
  </si>
  <si>
    <t>Ref</t>
  </si>
  <si>
    <t>Min Gap</t>
  </si>
  <si>
    <t>DontWalkRef</t>
  </si>
  <si>
    <t>UsedDontWalk</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</si>
  <si>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</si>
  <si>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</si>
  <si>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</si>
  <si>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</si>
  <si>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</si>
  <si>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</si>
  <si>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</si>
  <si>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</si>
  <si>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</si>
  <si>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</si>
  <si>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</si>
  <si>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</si>
  <si>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</si>
  <si>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</si>
  <si>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</si>
  <si>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</si>
  <si>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</si>
  <si>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</si>
  <si>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</si>
  <si>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</si>
  <si>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</si>
  <si>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</si>
  <si>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</si>
  <si>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</si>
  <si>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</si>
  <si>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</si>
  <si>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</si>
  <si>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</si>
  <si>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</si>
  <si>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</si>
  <si>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</si>
  <si>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</si>
  <si>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</si>
  <si>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</si>
  <si>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</si>
  <si>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</si>
  <si>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</si>
  <si>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</si>
  <si>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</si>
  <si>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</si>
  <si>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</si>
  <si>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</si>
  <si>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</si>
  <si>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</si>
  <si>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</si>
  <si>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</si>
  <si>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</si>
  <si>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</si>
  <si>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</si>
  <si>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</si>
  <si>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</si>
  <si>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</si>
  <si>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</si>
  <si>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</si>
  <si>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</si>
  <si>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</si>
  <si>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</si>
  <si>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</si>
  <si>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</si>
  <si>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</si>
  <si>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</si>
  <si>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</si>
  <si>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</si>
  <si>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</si>
  <si>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</si>
  <si>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</si>
  <si>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</si>
  <si>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</si>
  <si>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</si>
  <si>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</si>
  <si>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</si>
  <si>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</si>
  <si>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</si>
  <si>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</si>
  <si>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</si>
  <si>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</si>
  <si>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</si>
  <si>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</si>
  <si>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</si>
  <si>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</si>
  <si>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</si>
  <si>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</si>
  <si>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</si>
  <si>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</si>
  <si>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</si>
  <si>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</si>
  <si>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</si>
  <si>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</si>
  <si>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</si>
  <si>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</si>
  <si>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</si>
  <si>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</si>
  <si>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</si>
  <si>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</si>
  <si>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</si>
  <si>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</si>
  <si>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</si>
  <si>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</si>
  <si>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</si>
  <si>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</si>
  <si>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</si>
  <si>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</si>
  <si>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</si>
  <si>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</si>
  <si>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</si>
  <si>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</si>
  <si>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</si>
  <si>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</si>
  <si>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</si>
  <si>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</si>
  <si>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</si>
  <si>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</si>
  <si>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</si>
  <si>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</si>
  <si>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</si>
  <si>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</si>
  <si>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</si>
  <si>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</si>
  <si>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</si>
  <si>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</si>
  <si>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</si>
  <si>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</si>
  <si>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</si>
  <si>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</si>
  <si>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</si>
  <si>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</si>
  <si>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</si>
  <si>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</si>
  <si>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</si>
  <si>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</si>
  <si>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</si>
  <si>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</si>
  <si>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</si>
  <si>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</si>
  <si>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</si>
  <si>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</si>
  <si>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</si>
  <si>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</si>
  <si>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</si>
  <si>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</si>
  <si>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</si>
  <si>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</si>
  <si>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</si>
  <si>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</si>
  <si>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</si>
  <si>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</si>
  <si>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</si>
  <si>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</si>
  <si>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</si>
  <si>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</si>
  <si>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</si>
  <si>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</si>
  <si>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</si>
  <si>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</si>
  <si>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</si>
  <si>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</si>
  <si>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</si>
  <si>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</si>
  <si>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</si>
  <si>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</si>
  <si>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</si>
  <si>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</si>
  <si>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</si>
  <si>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</si>
  <si>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</si>
  <si>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</si>
  <si>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</si>
  <si>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</si>
  <si>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</si>
  <si>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</si>
  <si>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</si>
  <si>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</si>
  <si>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</si>
  <si>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</si>
  <si>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</si>
  <si>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</si>
  <si>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</si>
  <si>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</si>
  <si>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</si>
  <si>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</si>
  <si>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</si>
  <si>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</si>
  <si>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</si>
  <si>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</si>
  <si>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</si>
  <si>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</si>
  <si>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</si>
  <si>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</si>
  <si>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</si>
  <si>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</si>
  <si>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</si>
  <si>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</si>
  <si>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</si>
  <si>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</si>
  <si>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</si>
  <si>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</si>
  <si>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</si>
  <si>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</si>
  <si>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</si>
  <si>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</si>
  <si>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</si>
  <si>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</si>
  <si>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</si>
  <si>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</si>
  <si>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</si>
  <si>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</si>
  <si>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</si>
  <si>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</si>
  <si>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</si>
  <si>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</si>
  <si>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</si>
  <si>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</si>
  <si>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</si>
  <si>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</si>
  <si>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</si>
  <si>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</si>
  <si>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</si>
  <si>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</si>
  <si>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</si>
  <si>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</si>
  <si>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</si>
  <si>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</si>
  <si>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</si>
  <si>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</si>
  <si>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</si>
  <si>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</si>
  <si>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</si>
  <si>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</si>
  <si>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</si>
  <si>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</si>
  <si>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</si>
  <si>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</si>
  <si>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</si>
  <si>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</si>
  <si>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</si>
  <si>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</si>
  <si>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</si>
  <si>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</si>
  <si>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</si>
  <si>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</si>
  <si>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</si>
  <si>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</si>
  <si>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</si>
  <si>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</si>
  <si>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</si>
  <si>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</si>
  <si>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</si>
  <si>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</si>
  <si>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</si>
  <si>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</si>
  <si>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</si>
  <si>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</si>
  <si>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</si>
  <si>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</si>
  <si>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</si>
  <si>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</si>
  <si>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</si>
  <si>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</si>
  <si>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</si>
  <si>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</si>
  <si>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</si>
  <si>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</si>
  <si>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</si>
  <si>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</si>
  <si>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</si>
  <si>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</si>
  <si>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COPYRIGHT © 2012-2020 MILAN ZLATKOVIC</t>
  </si>
  <si>
    <t>node</t>
  </si>
  <si>
    <t>node_id</t>
  </si>
  <si>
    <t># of nodes</t>
  </si>
  <si>
    <t>start_row</t>
  </si>
  <si>
    <t>end_row</t>
  </si>
  <si>
    <t>Street 1</t>
  </si>
  <si>
    <t>Street 2</t>
  </si>
  <si>
    <t>time_window</t>
  </si>
  <si>
    <t>time_interval</t>
  </si>
  <si>
    <t>travel_time_delta</t>
  </si>
  <si>
    <t>capacity</t>
  </si>
  <si>
    <t>cycle_no</t>
  </si>
  <si>
    <t>cycle_length</t>
  </si>
  <si>
    <t>green_time</t>
  </si>
  <si>
    <t>red_time</t>
  </si>
  <si>
    <t>stage</t>
  </si>
  <si>
    <t>movement_str</t>
  </si>
  <si>
    <t>geometry</t>
  </si>
  <si>
    <t>phase</t>
  </si>
  <si>
    <t>start</t>
  </si>
  <si>
    <t>end</t>
  </si>
  <si>
    <t>start_hhmmss</t>
  </si>
  <si>
    <t>end_hhmmss</t>
  </si>
  <si>
    <t>volume</t>
  </si>
  <si>
    <t>movement</t>
  </si>
  <si>
    <t xml:space="preserve"> # lanes</t>
  </si>
  <si>
    <t>osm_node_id</t>
  </si>
  <si>
    <t>None</t>
  </si>
  <si>
    <t>v_over_c</t>
  </si>
  <si>
    <t>=</t>
  </si>
  <si>
    <t>"</t>
  </si>
  <si>
    <t>&gt;</t>
  </si>
  <si>
    <t>!</t>
  </si>
  <si>
    <t>:</t>
  </si>
  <si>
    <t>#</t>
  </si>
  <si>
    <t>$</t>
  </si>
  <si>
    <t>mvmt_id</t>
  </si>
  <si>
    <t>offroad_link_id</t>
  </si>
  <si>
    <t>phase_num</t>
  </si>
  <si>
    <t>protection</t>
  </si>
  <si>
    <t>notes</t>
  </si>
  <si>
    <t>signal_phase</t>
  </si>
  <si>
    <t>signal_phase_id</t>
  </si>
  <si>
    <t>ring</t>
  </si>
  <si>
    <t>barrier</t>
  </si>
  <si>
    <t>signal_phase_concurrency</t>
  </si>
  <si>
    <t>timing_phase_id</t>
  </si>
  <si>
    <t>timing_plan_id</t>
  </si>
  <si>
    <t>min_green</t>
  </si>
  <si>
    <t>max_green</t>
  </si>
  <si>
    <t>extension</t>
  </si>
  <si>
    <t>clearance</t>
  </si>
  <si>
    <t>walk_time</t>
  </si>
  <si>
    <t>ped_clearance</t>
  </si>
  <si>
    <t>signal_timing_phase</t>
  </si>
  <si>
    <t>time_day</t>
  </si>
  <si>
    <t>coord_node_id</t>
  </si>
  <si>
    <t>coord_phase</t>
  </si>
  <si>
    <t>offset</t>
  </si>
  <si>
    <t>signal_timing_plan</t>
  </si>
  <si>
    <t>signal_phase data dictionary</t>
  </si>
  <si>
    <t>Field</t>
  </si>
  <si>
    <t>Type</t>
  </si>
  <si>
    <t>Required?</t>
  </si>
  <si>
    <t>Comment</t>
  </si>
  <si>
    <t>Node_ID</t>
  </si>
  <si>
    <t>Optional</t>
  </si>
  <si>
    <t>Redundant with Movement ID, but helps with clarity. Foreign key</t>
  </si>
  <si>
    <t>Movement_ID</t>
  </si>
  <si>
    <t>Conditionally Required</t>
  </si>
  <si>
    <t>Foreign key. Either Movement_ID (for phases used by vehicles), or OffroadLink_id (for phases used by pedestrians) is required</t>
  </si>
  <si>
    <t>Offroad_Link_ID</t>
  </si>
  <si>
    <t>Foreign key</t>
  </si>
  <si>
    <t>INTEGER</t>
  </si>
  <si>
    <t>Required</t>
  </si>
  <si>
    <t>The phase number; each phase has one or more Movements associated with it</t>
  </si>
  <si>
    <t>TEXT</t>
  </si>
  <si>
    <t>Indicates whether the phase is Protected, Permissive, right-turn-on-red (RTOR).</t>
  </si>
  <si>
    <t>Text</t>
  </si>
  <si>
    <t>signal_phase_concurrency data dictionary</t>
  </si>
  <si>
    <t>Foreign key (Nodes table)</t>
  </si>
  <si>
    <t>Primary key</t>
  </si>
  <si>
    <t>signal_timing_plan data dictionary</t>
  </si>
  <si>
    <t>Timing_Plan_ID</t>
  </si>
  <si>
    <t>TimeDay_Set</t>
  </si>
  <si>
    <t>Cycle length in seconds</t>
  </si>
  <si>
    <t>For coordinated signals, the “master” signal location for coordination</t>
  </si>
  <si>
    <t>For coordinated signals, the phase at which coordination starts (time 0)</t>
  </si>
  <si>
    <t>Offset in seconds</t>
  </si>
  <si>
    <t>signal_timing_phase data dictionary</t>
  </si>
  <si>
    <t>Timing_Phase_ID</t>
  </si>
  <si>
    <t>The phase number; each phase has one or more movements associated with it</t>
  </si>
  <si>
    <t>The minimum green time in seconds for an actuated signal. Green time in seconds for a fixed time signal</t>
  </si>
  <si>
    <t>The maximum green time in seconds for an actuated signal; the default is minimum green plus one extension</t>
  </si>
  <si>
    <t>The number of seconds the green time is extended each time vehicles are detected</t>
  </si>
  <si>
    <t>Yellow interval plus all red interval</t>
  </si>
  <si>
    <t>If a pedestrian phase exists, the walk time in seconds</t>
  </si>
  <si>
    <t>If a pedestrian phase exists, the flashing don’t walk time.</t>
  </si>
  <si>
    <t>Phase_number</t>
  </si>
  <si>
    <t>Permissive</t>
  </si>
  <si>
    <t>Protection_original</t>
  </si>
  <si>
    <t>Protected/Permissive</t>
  </si>
  <si>
    <t>Protection</t>
  </si>
  <si>
    <t>For data dictionary:</t>
  </si>
  <si>
    <t>speed</t>
  </si>
  <si>
    <t>name</t>
  </si>
  <si>
    <t>ib_link_id</t>
  </si>
  <si>
    <t>start_ib_lane</t>
  </si>
  <si>
    <t>end_ib_lane</t>
  </si>
  <si>
    <t>ob_link_id</t>
  </si>
  <si>
    <t>start_ob_lane</t>
  </si>
  <si>
    <t>end_ob_lane</t>
  </si>
  <si>
    <t>lanes</t>
  </si>
  <si>
    <t>ib_osm_node_id</t>
  </si>
  <si>
    <t>ob_osm_node_id</t>
  </si>
  <si>
    <t>type</t>
  </si>
  <si>
    <t>penalty</t>
  </si>
  <si>
    <t>ctrl_type</t>
  </si>
  <si>
    <t>free_speed</t>
  </si>
  <si>
    <t>2704829948;5013837645</t>
  </si>
  <si>
    <t>right</t>
  </si>
  <si>
    <t>signal</t>
  </si>
  <si>
    <t>LINESTRING (-111.9264933066724 33.42202626192582, -111.9264072749496 33.42195576677923)</t>
  </si>
  <si>
    <t>thru</t>
  </si>
  <si>
    <t>LINESTRING (-111.9264933066724 33.42202626192582, -111.9261566859385 33.42203070294214)</t>
  </si>
  <si>
    <t>left</t>
  </si>
  <si>
    <t>LINESTRING (-111.9264933066724 33.42202626192582, -111.9262415646975 33.42210098561003)</t>
  </si>
  <si>
    <t>LINESTRING (-111.9264079164864 33.42210008105089, -111.9264933066724 33.42202626192582)</t>
  </si>
  <si>
    <t>LINESTRING (-111.9264079164864 33.42210008105089, -111.9264072749496 33.42195576677923)</t>
  </si>
  <si>
    <t>LINESTRING (-111.9264079164864 33.42210008105089, -111.9261566859385 33.42203070294214)</t>
  </si>
  <si>
    <t>uturn</t>
  </si>
  <si>
    <t>SBU</t>
  </si>
  <si>
    <t>LINESTRING (-111.9264079164864 33.42210008105089, -111.9262415646975 33.42210098561003)</t>
  </si>
  <si>
    <t>LINESTRING (-111.9261566859385 33.42203070294214, -111.9264933066724 33.42202626192582)</t>
  </si>
  <si>
    <t>LINESTRING (-111.9261566859385 33.42203070294214, -111.9264072749496 33.42195576677923)</t>
  </si>
  <si>
    <t>LINESTRING (-111.9261566859385 33.42203070294214, -111.9262415646975 33.42210098561003)</t>
  </si>
  <si>
    <t>LINESTRING (-111.9262421786933 33.42195667708921, -111.9264933066724 33.42202626192582)</t>
  </si>
  <si>
    <t>NBU</t>
  </si>
  <si>
    <t>LINESTRING (-111.9262421786933 33.42195667708921, -111.9264072749496 33.42195576677923)</t>
  </si>
  <si>
    <t>LINESTRING (-111.9262421786933 33.42195667708921, -111.9261566859385 33.42203070294214)</t>
  </si>
  <si>
    <t>LINESTRING (-111.9262421786933 33.42195667708921, -111.9262415646975 33.42210098561003)</t>
  </si>
  <si>
    <t>osm_highway</t>
  </si>
  <si>
    <t>zone_id</t>
  </si>
  <si>
    <t>node_type</t>
  </si>
  <si>
    <t>activity_type</t>
  </si>
  <si>
    <t>is_boundary</t>
  </si>
  <si>
    <t>x_coord</t>
  </si>
  <si>
    <t>y_coord</t>
  </si>
  <si>
    <t>main_node_id</t>
  </si>
  <si>
    <t>poi_id</t>
  </si>
  <si>
    <t>crossing;traffic_signals</t>
  </si>
  <si>
    <t>tertiary</t>
  </si>
  <si>
    <t>traffic_signals</t>
  </si>
  <si>
    <t>link_id</t>
  </si>
  <si>
    <t>osm_way_id</t>
  </si>
  <si>
    <t>from_node_id</t>
  </si>
  <si>
    <t>to_node_id</t>
  </si>
  <si>
    <t>dir_flag</t>
  </si>
  <si>
    <t>length</t>
  </si>
  <si>
    <t>link_type_name</t>
  </si>
  <si>
    <t>link_type</t>
  </si>
  <si>
    <t>allowed_uses</t>
  </si>
  <si>
    <t>from_biway</t>
  </si>
  <si>
    <t>North Scottsdale Road</t>
  </si>
  <si>
    <t>primary</t>
  </si>
  <si>
    <t>LINESTRING (-111.9262877 33.4312176, -111.9262831 33.4326057, -111.9262763 33.43289, -111.9262698 33.4335976)</t>
  </si>
  <si>
    <t>auto</t>
  </si>
  <si>
    <t>LINESTRING (-111.9262698 33.4335976, -111.9262763 33.43289, -111.9262831 33.4326057, -111.9262877 33.4312176)</t>
  </si>
  <si>
    <t>South Farmer Avenue</t>
  </si>
  <si>
    <t>residential</t>
  </si>
  <si>
    <t>LINESTRING (-111.944268 33.4307934, -111.9442601 33.4299032, -111.9442568 33.4295279, -111.9442567 33.4295155)</t>
  </si>
  <si>
    <t>LINESTRING (-111.9442567 33.4295155, -111.9442568 33.4295279, -111.9442601 33.4299032, -111.944268 33.4307934)</t>
  </si>
  <si>
    <t>LINESTRING (-111.9442875 33.4146337, -111.9442873 33.4145578, -111.9442885 33.4144819, -111.9442932 33.4144534, -111.9443066 33.4144231, -111.944311 33.4143981, -111.9443115 33.4142442, -111.9443138 33.4139026)</t>
  </si>
  <si>
    <t>LINESTRING (-111.9443138 33.4139026, -111.9443115 33.4142442, -111.944311 33.4143981, -111.9443066 33.4144231, -111.9442932 33.4144534, -111.9442885 33.4144819, -111.9442873 33.4145578, -111.9442875 33.4146337)</t>
  </si>
  <si>
    <t>LINESTRING (-111.9443138 33.4139026, -111.9443094 33.4131817)</t>
  </si>
  <si>
    <t>LINESTRING (-111.9443094 33.4131817, -111.9443138 33.4139026)</t>
  </si>
  <si>
    <t>LINESTRING (-111.9443094 33.4131817, -111.9443088 33.4130312, -111.9443073 33.411888, -111.9443024 33.4110208)</t>
  </si>
  <si>
    <t>LINESTRING (-111.9443024 33.4110208, -111.9443073 33.411888, -111.9443088 33.4130312, -111.9443094 33.4131817)</t>
  </si>
  <si>
    <t>LINESTRING (-111.9443024 33.4110208, -111.9443008 33.4108613, -111.9442992 33.4106384, -111.9442963 33.410264)</t>
  </si>
  <si>
    <t>LINESTRING (-111.9442963 33.410264, -111.9442992 33.4106384, -111.9443008 33.4108613, -111.9443024 33.4110208)</t>
  </si>
  <si>
    <t>LINESTRING (-111.9442963 33.410264, -111.9442959 33.4098926, -111.9442956 33.4097688, -111.9442959 33.4095166)</t>
  </si>
  <si>
    <t>LINESTRING (-111.9442959 33.4095166, -111.9442956 33.4097688, -111.9442959 33.4098926, -111.9442963 33.410264)</t>
  </si>
  <si>
    <t>LINESTRING (-111.9442959 33.4095166, -111.9442946 33.4091443, -111.9442946 33.409073, -111.9442945 33.4087687)</t>
  </si>
  <si>
    <t>LINESTRING (-111.9442945 33.4087687, -111.9442946 33.409073, -111.9442946 33.4091443, -111.9442959 33.4095166)</t>
  </si>
  <si>
    <t>LINESTRING (-111.9442945 33.4087687, -111.9442952 33.4084887, -111.9442936 33.4084544, -111.9442889 33.408425, -111.9442766 33.4084023, -111.9442611 33.4083835, -111.9442462 33.4083709, -111.9442274 33.4083589, -111.9442059 33.40835, -111.9441794 33.4083439, -111.9441038 33.4083348, -111.9440694 33.4083262, -111.9440387 33.4083126, -111.9440135 33.4082963, -111.9439916 33.4082756, -111.9439742 33.4082548, -111.9439609 33.4082295, -111.9439524 33.408205, -111.9439501 33.4081815, -111.9439487 33.4081293, -111.9439497 33.4074788, -111.9439499 33.4073767)</t>
  </si>
  <si>
    <t>LINESTRING (-111.9439499 33.4073767, -111.9439497 33.4074788, -111.9439487 33.4081293, -111.9439501 33.4081815, -111.9439524 33.408205, -111.9439609 33.4082295, -111.9439742 33.4082548, -111.9439916 33.4082756, -111.9440135 33.4082963, -111.9440387 33.4083126, -111.9440694 33.4083262, -111.9441038 33.4083348, -111.9441794 33.4083439, -111.9442059 33.40835, -111.9442274 33.4083589, -111.9442462 33.4083709, -111.9442611 33.4083835, -111.9442766 33.4084023, -111.9442889 33.408425, -111.9442936 33.4084544, -111.9442952 33.4084887, -111.9442945 33.4087687)</t>
  </si>
  <si>
    <t>East 6th Street</t>
  </si>
  <si>
    <t>LINESTRING (-111.9304264 33.4231268, -111.930412 33.4231839, -111.9304005 33.4232277, -111.9303882 33.423295, -111.9303108 33.4236887, -111.9302973 33.4237531, -111.9302813 33.4238045, -111.930243 33.4238667, -111.9302129 33.4238974, -111.9301639 33.4239305, -111.9301123 33.4239534, -111.9299243 33.4240186, -111.929686 33.4241011, -111.929663 33.424109, -111.9292198 33.4242567, -111.9290798 33.4242989)</t>
  </si>
  <si>
    <t>LINESTRING (-111.9290798 33.4242989, -111.9292198 33.4242567, -111.929663 33.424109, -111.929686 33.4241011, -111.9299243 33.4240186, -111.9301123 33.4239534, -111.9301639 33.4239305, -111.9302129 33.4238974, -111.930243 33.4238667, -111.9302813 33.4238045, -111.9302973 33.4237531, -111.9303108 33.4236887, -111.9303882 33.423295, -111.9304005 33.4232277, -111.930412 33.4231839, -111.9304264 33.4231268)</t>
  </si>
  <si>
    <t>West 6th Street</t>
  </si>
  <si>
    <t>LINESTRING (-111.9412691 33.4243385, -111.9407083 33.4243409, -111.9400719 33.424345)</t>
  </si>
  <si>
    <t>LINESTRING (-111.9400719 33.424345, -111.9407083 33.4243409, -111.9412691 33.4243385)</t>
  </si>
  <si>
    <t>LINESTRING (-111.9376334 33.4243567, -111.9375411 33.4243581, -111.9373581 33.4243583, -111.9367572 33.424359, -111.936666 33.4243591)</t>
  </si>
  <si>
    <t>LINESTRING (-111.936666 33.4243591, -111.9367572 33.424359, -111.9373581 33.4243583, -111.9375411 33.4243581, -111.9376334 33.4243567)</t>
  </si>
  <si>
    <t>LINESTRING (-111.936666 33.4243591, -111.9365605 33.4243597, -111.9362338 33.4243617, -111.9358561 33.4243639, -111.9355078 33.424366, -111.9353948 33.4243414, -111.9353091 33.4243324, -111.9350964 33.4243366, -111.9349809 33.4243346)</t>
  </si>
  <si>
    <t>LINESTRING (-111.9349809 33.4243346, -111.9350964 33.4243366, -111.9353091 33.4243324, -111.9353948 33.4243414, -111.9355078 33.424366, -111.9358561 33.4243639, -111.9362338 33.4243617, -111.9365605 33.4243597, -111.936666 33.4243591)</t>
  </si>
  <si>
    <t>South Maple Avenue</t>
  </si>
  <si>
    <t>LINESTRING (-111.9412608 33.4219305, -111.9412597 33.4219207, -111.9412482 33.4215187, -111.9412477 33.4215016, -111.9412432 33.4213251, -111.9412418 33.4212879, -111.9412404 33.4212296, -111.9412399 33.4211998, -111.9412309 33.4205714, -111.94123 33.4205223)</t>
  </si>
  <si>
    <t>LINESTRING (-111.94123 33.4205223, -111.9412309 33.4205714, -111.9412399 33.4211998, -111.9412404 33.4212296, -111.9412418 33.4212879, -111.9412432 33.4213251, -111.9412477 33.4215016, -111.9412482 33.4215187, -111.9412597 33.4219207, -111.9412608 33.4219305)</t>
  </si>
  <si>
    <t>East Vista del Cerro Drive</t>
  </si>
  <si>
    <t>LINESTRING (-111.9392768 33.408668, -111.9391792 33.4091143, -111.9391711 33.4091754, -111.9390931 33.4101435, -111.9390073 33.4102725, -111.9388614 33.4103441, -111.9376168 33.4103728, -111.9364495 33.4103513, -111.9362693 33.4103226, -111.9361406 33.4102295, -111.9360805 33.4100862, -111.9360637 33.4099438, -111.9360118 33.4095058)</t>
  </si>
  <si>
    <t>LINESTRING (-111.9360118 33.4095058, -111.9360637 33.4099438, -111.9360805 33.4100862, -111.9361406 33.4102295, -111.9362693 33.4103226, -111.9364495 33.4103513, -111.9376168 33.4103728, -111.9388614 33.4103441, -111.9390073 33.4102725, -111.9390931 33.4101435, -111.9391711 33.4091754, -111.9391792 33.4091143, -111.9392768 33.408668)</t>
  </si>
  <si>
    <t>LINESTRING (-111.9301254 33.4104444, -111.9296969 33.4104461, -111.926512 33.4104588)</t>
  </si>
  <si>
    <t>LINESTRING (-111.926512 33.4104588, -111.9296969 33.4104461, -111.9301254 33.4104444)</t>
  </si>
  <si>
    <t>East Jen Tilly Lane</t>
  </si>
  <si>
    <t>LINESTRING (-111.9242329 33.4119115, -111.9237971 33.4119026, -111.923672 33.4119, -111.9232523 33.4118914)</t>
  </si>
  <si>
    <t>LINESTRING (-111.9232523 33.4118914, -111.923672 33.4119, -111.9237971 33.4119026, -111.9242329 33.4119115)</t>
  </si>
  <si>
    <t>South Ash Avenue</t>
  </si>
  <si>
    <t>LINESTRING (-111.94234 33.4136148, -111.942349 33.4142597, -111.9423597 33.4144744, -111.9423738 33.4146487, -111.9423885 33.4146873, -111.9424188 33.4147283)</t>
  </si>
  <si>
    <t>LINESTRING (-111.9424188 33.4147283, -111.9423885 33.4146873, -111.9423738 33.4146487, -111.9423597 33.4144744, -111.942349 33.4142597, -111.94234 33.4136148)</t>
  </si>
  <si>
    <t>LINESTRING (-111.9424188 33.4147283, -111.9424388 33.4147724, -111.9424462 33.414825, -111.9424521 33.4157344, -111.9424522 33.4157881, -111.9424525 33.4159781, -111.9424526 33.4160145, -111.9424528 33.4161632, -111.9424528 33.4161904)</t>
  </si>
  <si>
    <t>LINESTRING (-111.9424528 33.4161904, -111.9424528 33.4161632, -111.9424526 33.4160145, -111.9424525 33.4159781, -111.9424522 33.4157881, -111.9424521 33.4157344, -111.9424462 33.414825, -111.9424388 33.4147724, -111.9424188 33.4147283)</t>
  </si>
  <si>
    <t>LINESTRING (-111.9424528 33.4161904, -111.9424497 33.4169032, -111.9424492 33.4170136, -111.9424525 33.4176183)</t>
  </si>
  <si>
    <t>LINESTRING (-111.9424525 33.4176183, -111.9424492 33.4170136, -111.9424497 33.4169032, -111.9424528 33.4161904)</t>
  </si>
  <si>
    <t>LINESTRING (-111.9424525 33.4176183, -111.9424524 33.4177004, -111.9424519 33.4183184, -111.9424528 33.4184029, -111.9424547 33.4186471, -111.9424582 33.4189409, -111.9424489 33.4189802, -111.9424268 33.4190138, -111.9423945 33.4190482)</t>
  </si>
  <si>
    <t>LINESTRING (-111.9423945 33.4190482, -111.9424268 33.4190138, -111.9424489 33.4189802, -111.9424582 33.4189409, -111.9424547 33.4186471, -111.9424528 33.4184029, -111.9424519 33.4183184, -111.9424524 33.4177004, -111.9424525 33.4176183)</t>
  </si>
  <si>
    <t>LINESTRING (-111.9423945 33.4190482, -111.9423684 33.4190899, -111.9423603 33.4191344, -111.9423658 33.4196106, -111.942368 33.4197262, -111.9423711 33.4201216, -111.9423768 33.4204094, -111.9423773 33.4204312)</t>
  </si>
  <si>
    <t>LINESTRING (-111.9423773 33.4204312, -111.9423768 33.4204094, -111.9423711 33.4201216, -111.942368 33.4197262, -111.9423658 33.4196106, -111.9423603 33.4191344, -111.9423684 33.4190899, -111.9423945 33.4190482)</t>
  </si>
  <si>
    <t>East Hayden Lane</t>
  </si>
  <si>
    <t>LINESTRING (-111.9090828 33.4190024, -111.9085627 33.4190057, -111.9074988 33.4190125)</t>
  </si>
  <si>
    <t>LINESTRING (-111.9074988 33.4190125, -111.9085627 33.4190057, -111.9090828 33.4190024)</t>
  </si>
  <si>
    <t>South Sierra Vista Drive</t>
  </si>
  <si>
    <t>LINESTRING (-111.9311446 33.4093331, -111.9311366 33.4087679, -111.9311795 33.4085888, -111.9312568 33.4084598)</t>
  </si>
  <si>
    <t>LINESTRING (-111.9312568 33.4084598, -111.9311795 33.4085888, -111.9311366 33.4087679, -111.9311446 33.4093331)</t>
  </si>
  <si>
    <t>LINESTRING (-111.9312568 33.4084598, -111.9312053 33.4083523, -111.931128 33.4082162, -111.931125 33.4076055)</t>
  </si>
  <si>
    <t>LINESTRING (-111.931125 33.4076055, -111.931128 33.4082162, -111.9312053 33.4083523, -111.9312568 33.4084598)</t>
  </si>
  <si>
    <t>South Ve Ella Circle</t>
  </si>
  <si>
    <t>LINESTRING (-111.9108076 33.418129, -111.9108076 33.4175245, -111.910665 33.4174037)</t>
  </si>
  <si>
    <t>LINESTRING (-111.910665 33.4174037, -111.9108076 33.4175245, -111.9108076 33.418129)</t>
  </si>
  <si>
    <t>West 14th Street</t>
  </si>
  <si>
    <t>LINESTRING (-111.9443138 33.4139026, -111.9447391 33.413904, -111.9454283 33.4139083)</t>
  </si>
  <si>
    <t>LINESTRING (-111.9454283 33.4139083, -111.9447391 33.413904, -111.9443138 33.4139026)</t>
  </si>
  <si>
    <t>East 15th Street</t>
  </si>
  <si>
    <t>LINESTRING (-111.9397324 33.4119109, -111.9391432 33.4119218, -111.9379621 33.4119438)</t>
  </si>
  <si>
    <t>LINESTRING (-111.9379621 33.4119438, -111.9391432 33.4119218, -111.9397324 33.4119109)</t>
  </si>
  <si>
    <t>LINESTRING (-111.9379621 33.4119438, -111.9365723 33.4119575)</t>
  </si>
  <si>
    <t>LINESTRING (-111.9365723 33.4119575, -111.9379621 33.4119438)</t>
  </si>
  <si>
    <t>LINESTRING (-111.9365723 33.4119575, -111.9356828 33.4119665, -111.9350331 33.4119767, -111.9349297 33.4119783)</t>
  </si>
  <si>
    <t>LINESTRING (-111.9349297 33.4119783, -111.9350331 33.4119767, -111.9356828 33.4119665, -111.9365723 33.4119575)</t>
  </si>
  <si>
    <t>LINESTRING (-111.9349297 33.4119783, -111.9348272 33.41198, -111.9341669 33.4119912, -111.9316896 33.4120333, -111.9306853 33.4120477)</t>
  </si>
  <si>
    <t>LINESTRING (-111.9306853 33.4120477, -111.9316896 33.4120333, -111.9341669 33.4119912, -111.9348272 33.41198, -111.9349297 33.4119783)</t>
  </si>
  <si>
    <t>South Terrace Road</t>
  </si>
  <si>
    <t>LINESTRING (-111.9209653 33.4128775, -111.9209524 33.4124279, -111.920949 33.41231)</t>
  </si>
  <si>
    <t>LINESTRING (-111.920949 33.41231, -111.9209524 33.4124279, -111.9209653 33.4128775)</t>
  </si>
  <si>
    <t>LINESTRING (-111.920949 33.41231, -111.9209422 33.4116865)</t>
  </si>
  <si>
    <t>LINESTRING (-111.9209422 33.4116865, -111.920949 33.41231)</t>
  </si>
  <si>
    <t>LINESTRING (-111.9209422 33.4116865, -111.9209439 33.4113482)</t>
  </si>
  <si>
    <t>LINESTRING (-111.9209439 33.4113482, -111.9209422 33.4116865)</t>
  </si>
  <si>
    <t>LINESTRING (-111.9226148 33.4074455, -111.9226149 33.4073739, -111.9226156 33.406838, -111.9226161 33.406717, -111.9226174 33.4063787)</t>
  </si>
  <si>
    <t>LINESTRING (-111.9226174 33.4063787, -111.9226161 33.406717, -111.9226156 33.406838, -111.9226149 33.4073739, -111.9226148 33.4074455)</t>
  </si>
  <si>
    <t>West Parkway Boulevard</t>
  </si>
  <si>
    <t>LINESTRING (-111.9443094 33.4131817, -111.9447393 33.413184, -111.9451702 33.4131851, -111.9454283 33.4131862)</t>
  </si>
  <si>
    <t>LINESTRING (-111.9454283 33.4131862, -111.9451702 33.4131851, -111.9447393 33.413184, -111.9443094 33.4131817)</t>
  </si>
  <si>
    <t>East Bonita Way</t>
  </si>
  <si>
    <t>LINESTRING (-111.9398422 33.4086532, -111.9397789 33.4086629)</t>
  </si>
  <si>
    <t>LINESTRING (-111.9397789 33.4086629, -111.9398422 33.4086532)</t>
  </si>
  <si>
    <t>LINESTRING (-111.9397789 33.4086629, -111.9392768 33.408668)</t>
  </si>
  <si>
    <t>LINESTRING (-111.9392768 33.408668, -111.9397789 33.4086629)</t>
  </si>
  <si>
    <t>LINESTRING (-111.9392768 33.408668, -111.9392118 33.4086671, -111.9387241 33.4086604, -111.9381791 33.4085985)</t>
  </si>
  <si>
    <t>LINESTRING (-111.9381791 33.4085985, -111.9387241 33.4086604, -111.9392118 33.4086671, -111.9392768 33.408668)</t>
  </si>
  <si>
    <t>LINESTRING (-111.9381791 33.4085985, -111.9377542 33.4085458, -111.9371448 33.4084956, -111.936441 33.4084741, -111.9361663 33.4084884, -111.9360461 33.4085529, -111.9359689 33.4086819, -111.9359689 33.409021, -111.9359689 33.4090903, -111.9360118 33.4095058)</t>
  </si>
  <si>
    <t>LINESTRING (-111.9360118 33.4095058, -111.9359689 33.4090903, -111.9359689 33.409021, -111.9359689 33.4086819, -111.9360461 33.4085529, -111.9361663 33.4084884, -111.936441 33.4084741, -111.9371448 33.4084956, -111.9377542 33.4085458, -111.9381791 33.4085985)</t>
  </si>
  <si>
    <t>South Granada Drive</t>
  </si>
  <si>
    <t>LINESTRING (-111.9279752 33.4075028, -111.9279732 33.4073527, -111.9279685 33.4070011, -111.9279689 33.4068437, -111.9279693 33.4066769, -111.9279695 33.4065904, -111.92797 33.4063787)</t>
  </si>
  <si>
    <t>LINESTRING (-111.92797 33.4063787, -111.9279695 33.4065904, -111.9279693 33.4066769, -111.9279689 33.4068437, -111.9279685 33.4070011, -111.9279732 33.4073527, -111.9279752 33.4075028)</t>
  </si>
  <si>
    <t>LINESTRING (-111.928383 33.4097448, -111.9283787 33.4093906, -111.9283745 33.4090473)</t>
  </si>
  <si>
    <t>LINESTRING (-111.9283745 33.4090473, -111.9283787 33.4093906, -111.928383 33.4097448)</t>
  </si>
  <si>
    <t>East Apache Boulevard</t>
  </si>
  <si>
    <t>LINESTRING (-111.9395884 33.4159654, -111.9395362 33.4159003, -111.9394011 33.4157327, -111.9392425 33.41555, -111.9389322 33.4153003, -111.9388168 33.4152112, -111.9386707 33.4151129, -111.9382922 33.4149218)</t>
  </si>
  <si>
    <t>LINESTRING (-111.9382922 33.4149218, -111.938104 33.4148441, -111.937825 33.4147525, -111.9375837 33.4146896, -111.9373669 33.4146466)</t>
  </si>
  <si>
    <t>LINESTRING (-111.9373669 33.4146466, -111.9370926 33.4146142, -111.9370216 33.4146084)</t>
  </si>
  <si>
    <t>West 4th Street</t>
  </si>
  <si>
    <t>LINESTRING (-111.9400776 33.4264624, -111.940778 33.4264585)</t>
  </si>
  <si>
    <t>LINESTRING (-111.940778 33.4264585, -111.9400776 33.4264624)</t>
  </si>
  <si>
    <t>East Lemon Street</t>
  </si>
  <si>
    <t>LINESTRING (-111.9176121 33.4169322, -111.9165031 33.4169307)</t>
  </si>
  <si>
    <t>LINESTRING (-111.9165031 33.4169307, -111.9176121 33.4169322)</t>
  </si>
  <si>
    <t>LINESTRING (-111.9165031 33.4169307, -111.9138914 33.4169249)</t>
  </si>
  <si>
    <t>LINESTRING (-111.9138914 33.4169249, -111.9165031 33.4169307)</t>
  </si>
  <si>
    <t>LINESTRING (-111.9138914 33.4169249, -111.9137681 33.4169404, -111.9136329 33.4169854, -111.9135243 33.4170224, -111.9134038 33.417047, -111.9133653 33.4170548, -111.913215 33.4170638, -111.9128676 33.41707)</t>
  </si>
  <si>
    <t>LINESTRING (-111.9128676 33.41707, -111.913215 33.4170638, -111.9133653 33.4170548, -111.9134038 33.417047, -111.9135243 33.4170224, -111.9136329 33.4169854, -111.9137681 33.4169404, -111.9138914 33.4169249)</t>
  </si>
  <si>
    <t>LINESTRING (-111.9128676 33.41707, -111.9123254 33.4170689, -111.911792 33.4170678)</t>
  </si>
  <si>
    <t>LINESTRING (-111.911792 33.4170678, -111.9123254 33.4170689, -111.9128676 33.41707)</t>
  </si>
  <si>
    <t>LINESTRING (-111.9091114 33.4168439, -111.9076465 33.4168535)</t>
  </si>
  <si>
    <t>LINESTRING (-111.9076465 33.4168535, -111.9091114 33.4168439)</t>
  </si>
  <si>
    <t>LINESTRING (-111.9076465 33.4168535, -111.9074988 33.4168545)</t>
  </si>
  <si>
    <t>LINESTRING (-111.9074988 33.4168545, -111.9076465 33.4168535)</t>
  </si>
  <si>
    <t>South Elm Street</t>
  </si>
  <si>
    <t>LINESTRING (-111.9124726 33.4146766, -111.9124707 33.4146004, -111.9124687 33.4143321, -111.9124638 33.4140556, -111.9124548 33.4135536)</t>
  </si>
  <si>
    <t>LINESTRING (-111.9124548 33.4135536, -111.9124638 33.4140556, -111.9124687 33.4143321, -111.9124707 33.4146004, -111.9124726 33.4146766)</t>
  </si>
  <si>
    <t>LINESTRING (-111.9124548 33.4135536, -111.9124548 33.4130603, -111.9124548 33.4125936)</t>
  </si>
  <si>
    <t>LINESTRING (-111.9124548 33.4125936, -111.9124548 33.4130603, -111.9124548 33.4135536)</t>
  </si>
  <si>
    <t>LINESTRING (-111.9124548 33.4125936, -111.9124548 33.412108, -111.9124548 33.4116335)</t>
  </si>
  <si>
    <t>LINESTRING (-111.9124548 33.4116335, -111.9124548 33.412108, -111.9124548 33.4125936)</t>
  </si>
  <si>
    <t>LINESTRING (-111.9132485 33.4074407, -111.9132471 33.4070137, -111.9132473 33.406892, -111.9132484 33.4066236, -111.9132489 33.4065043)</t>
  </si>
  <si>
    <t>LINESTRING (-111.9132489 33.4065043, -111.9132484 33.4066236, -111.9132473 33.406892, -111.9132471 33.4070137, -111.9132485 33.4074407)</t>
  </si>
  <si>
    <t>LINESTRING (-111.9132489 33.4065043, -111.9132492 33.4063787)</t>
  </si>
  <si>
    <t>LINESTRING (-111.9132492 33.4063787, -111.9132489 33.4065043)</t>
  </si>
  <si>
    <t>South Mill Avenue</t>
  </si>
  <si>
    <t>LINESTRING (-111.9400803 33.4219289, -111.9400823 33.4218803, -111.9400874 33.4217822, -111.9400779 33.4214219, -111.9400726 33.4212626, -111.9400612 33.4209214, -111.9400495 33.4205725, -111.9400474 33.4204936)</t>
  </si>
  <si>
    <t>West 10th Street</t>
  </si>
  <si>
    <t>LINESTRING (-111.944246 33.4194019, -111.9454283 33.4194031)</t>
  </si>
  <si>
    <t>LINESTRING (-111.9454283 33.4194031, -111.944246 33.4194019)</t>
  </si>
  <si>
    <t>LINESTRING (-111.940028 33.4190552, -111.9401097 33.4190635, -111.940461 33.4190613, -111.940488 33.4190608, -111.940607 33.4190602, -111.9412354 33.4190569)</t>
  </si>
  <si>
    <t>LINESTRING (-111.9412354 33.4190569, -111.940607 33.4190602, -111.940488 33.4190608, -111.940461 33.4190613, -111.9401097 33.4190635, -111.940028 33.4190552)</t>
  </si>
  <si>
    <t>LINESTRING (-111.9412354 33.4190569, -111.9417794 33.4190532, -111.9418437 33.4190521, -111.9423945 33.4190482)</t>
  </si>
  <si>
    <t>LINESTRING (-111.9423945 33.4190482, -111.9418437 33.4190521, -111.9417794 33.4190532, -111.9412354 33.4190569)</t>
  </si>
  <si>
    <t>LINESTRING (-111.9423945 33.4190482, -111.9432482 33.4190383, -111.9433085 33.4190348, -111.9433719 33.4190264, -111.9433944 33.4190215, -111.9434306 33.4190141, -111.9434766 33.4190015, -111.9435652 33.4189718, -111.9436258 33.4189528, -111.9437063 33.4189336, -111.9437511 33.4189279, -111.9438168 33.4189228, -111.943884 33.4189205, -111.9441711 33.418918, -111.9442453 33.4189174)</t>
  </si>
  <si>
    <t>LINESTRING (-111.9442453 33.4189174, -111.9441711 33.418918, -111.943884 33.4189205, -111.9438168 33.4189228, -111.9437511 33.4189279, -111.9437063 33.4189336, -111.9436258 33.4189528, -111.9435652 33.4189718, -111.9434766 33.4190015, -111.9434306 33.4190141, -111.9433944 33.4190215, -111.9433719 33.4190264, -111.9433085 33.4190348, -111.9432482 33.4190383, -111.9423945 33.4190482)</t>
  </si>
  <si>
    <t>West 17th Street</t>
  </si>
  <si>
    <t>LINESTRING (-111.9439296 33.411019, -111.9443024 33.4110208)</t>
  </si>
  <si>
    <t>LINESTRING (-111.9443024 33.4110208, -111.9439296 33.411019)</t>
  </si>
  <si>
    <t>LINESTRING (-111.9443024 33.4110208, -111.9447312 33.4110216, -111.9454283 33.4110232)</t>
  </si>
  <si>
    <t>LINESTRING (-111.9454283 33.4110232, -111.9447312 33.4110216, -111.9443024 33.4110208)</t>
  </si>
  <si>
    <t>West Hudson Lane</t>
  </si>
  <si>
    <t>LINESTRING (-111.9398928 33.4136273, -111.9400289 33.4136266, -111.9404614 33.4136244, -111.9412969 33.4136201, -111.9421721 33.4136157, -111.94234 33.4136148)</t>
  </si>
  <si>
    <t>LINESTRING (-111.94234 33.4136148, -111.9421721 33.4136157, -111.9412969 33.4136201, -111.9404614 33.4136244, -111.9400289 33.4136266, -111.9398928 33.4136273)</t>
  </si>
  <si>
    <t>LINESTRING (-111.94234 33.4136148, -111.9426338 33.4136098)</t>
  </si>
  <si>
    <t>LINESTRING (-111.9426338 33.4136098, -111.94234 33.4136148)</t>
  </si>
  <si>
    <t>East 3rd Street</t>
  </si>
  <si>
    <t>unclassified</t>
  </si>
  <si>
    <t>LINESTRING (-111.9090423 33.4273929, -111.908477 33.4273972, -111.9083909 33.4273978, -111.9078706 33.4274017, -111.9074988 33.4274045)</t>
  </si>
  <si>
    <t>LINESTRING (-111.9074988 33.4274045, -111.9078706 33.4274017, -111.9083909 33.4273978, -111.908477 33.4273972, -111.9090423 33.4273929)</t>
  </si>
  <si>
    <t>University Heights Access Road</t>
  </si>
  <si>
    <t>LINESTRING (-111.9265205 33.408338, -111.9265205 33.4086898, -111.9265205 33.4090545)</t>
  </si>
  <si>
    <t>LINESTRING (-111.9265205 33.4090545, -111.9265205 33.4086898, -111.9265205 33.408338)</t>
  </si>
  <si>
    <t>South Rita Lane</t>
  </si>
  <si>
    <t>LINESTRING (-111.9219906 33.4128945, -111.9220015 33.4116123, -111.9221041 33.4115127)</t>
  </si>
  <si>
    <t>LINESTRING (-111.9221041 33.4115127, -111.9220015 33.4116123, -111.9219906 33.4128945)</t>
  </si>
  <si>
    <t>East University Drive</t>
  </si>
  <si>
    <t>secondary</t>
  </si>
  <si>
    <t>LINESTRING (-111.9381462 33.4218977, -111.93806 33.4218977, -111.936756 33.4219096, -111.9366614 33.4219091)</t>
  </si>
  <si>
    <t>LINESTRING (-111.9366614 33.4219091, -111.936563 33.4219081, -111.9358451 33.4219117, -111.9356492 33.4219101, -111.9350652 33.421917, -111.9349692 33.4219161)</t>
  </si>
  <si>
    <t>LINESTRING (-111.9395019 33.4273825, -111.939719 33.4273828, -111.9398405 33.427384, -111.9398764 33.4273843, -111.9399633 33.4273851)</t>
  </si>
  <si>
    <t>LINESTRING (-111.9399633 33.4273851, -111.9398764 33.4273843, -111.9398405 33.427384, -111.939719 33.4273828, -111.9395019 33.4273825)</t>
  </si>
  <si>
    <t>West 7th Street</t>
  </si>
  <si>
    <t>LINESTRING (-111.9442993 33.4231771, -111.9448229 33.4231773, -111.9452167 33.4231754, -111.9454283 33.4231763)</t>
  </si>
  <si>
    <t>LINESTRING (-111.9454283 33.4231763, -111.9452167 33.4231754, -111.9448229 33.4231773, -111.9442993 33.4231771)</t>
  </si>
  <si>
    <t>East Encanto Drive</t>
  </si>
  <si>
    <t>LINESTRING (-111.9381791 33.4085985, -111.9380998 33.409043, -111.9380368 33.4093485, -111.9379778 33.4094299, -111.9378572 33.40947, -111.9371619 33.4094485, -111.9360118 33.4095058)</t>
  </si>
  <si>
    <t>LINESTRING (-111.9360118 33.4095058, -111.9371619 33.4094485, -111.9378572 33.40947, -111.9379778 33.4094299, -111.9380368 33.4093485, -111.9380998 33.409043, -111.9381791 33.4085985)</t>
  </si>
  <si>
    <t>LINESTRING (-111.9360118 33.4095058, -111.9354981 33.4095498, -111.9352728 33.4095791)</t>
  </si>
  <si>
    <t>LINESTRING (-111.9352728 33.4095791, -111.9354981 33.4095498, -111.9360118 33.4095058)</t>
  </si>
  <si>
    <t>LINESTRING (-111.9338376 33.4093122, -111.9333124 33.4093163, -111.9332177 33.4093171, -111.9329293 33.4093193, -111.9327286 33.4093209, -111.9316574 33.4093291, -111.9311446 33.4093331)</t>
  </si>
  <si>
    <t>LINESTRING (-111.9311446 33.4093331, -111.9316574 33.4093291, -111.9327286 33.4093209, -111.9329293 33.4093193, -111.9332177 33.4093171, -111.9333124 33.4093163, -111.9338376 33.4093122)</t>
  </si>
  <si>
    <t>LINESTRING (-111.9311446 33.4093331, -111.9307075 33.4093365, -111.9306215 33.4093365, -111.9305891 33.4093374, -111.9301152 33.4093411)</t>
  </si>
  <si>
    <t>LINESTRING (-111.9301152 33.4093411, -111.9305891 33.4093374, -111.9306215 33.4093365, -111.9307075 33.4093365, -111.9311446 33.4093331)</t>
  </si>
  <si>
    <t>LINESTRING (-111.9301168 33.4097351, -111.9296758 33.4097376, -111.9296185 33.4097379, -111.9292499 33.40974)</t>
  </si>
  <si>
    <t>LINESTRING (-111.9292499 33.40974, -111.9296185 33.4097379, -111.9296758 33.4097376, -111.9301168 33.4097351)</t>
  </si>
  <si>
    <t>LINESTRING (-111.9292499 33.40974, -111.928771 33.4097426, -111.928383 33.4097448)</t>
  </si>
  <si>
    <t>LINESTRING (-111.928383 33.4097448, -111.928771 33.4097426, -111.9292499 33.40974)</t>
  </si>
  <si>
    <t>East 5th Street</t>
  </si>
  <si>
    <t>LINESTRING (-111.9394161 33.4254973, -111.9392877 33.4254971, -111.9390426 33.4254967, -111.9388368 33.4254969, -111.9382883 33.4254956, -111.9382749 33.4254956, -111.938161 33.4254954)</t>
  </si>
  <si>
    <t>LINESTRING (-111.938161 33.4254954, -111.9382749 33.4254956, -111.9382883 33.4254956, -111.9388368 33.4254969, -111.9390426 33.4254967, -111.9392877 33.4254971, -111.9394161 33.4254973)</t>
  </si>
  <si>
    <t>LINESTRING (-111.938161 33.4254954, -111.9380281 33.4254952, -111.9367711 33.4254993, -111.9366724 33.4254992)</t>
  </si>
  <si>
    <t>LINESTRING (-111.9366724 33.4254992, -111.9367711 33.4254993, -111.9380281 33.4254952, -111.938161 33.4254954)</t>
  </si>
  <si>
    <t>South Una Butte Avenue</t>
  </si>
  <si>
    <t>LINESTRING (-111.9123461 33.4157894, -111.9123434 33.4156554, -111.9123408 33.4153594, -111.9123407 33.4152443, -111.9123389 33.4151363, -111.9123377 33.4149374, -111.9123377 33.4149333, -111.9123384 33.4148643)</t>
  </si>
  <si>
    <t>LINESTRING (-111.9123384 33.4148643, -111.9123377 33.4149333, -111.9123377 33.4149374, -111.9123389 33.4151363, -111.9123407 33.4152443, -111.9123408 33.4153594, -111.9123434 33.4156554, -111.9123461 33.4157894)</t>
  </si>
  <si>
    <t>LINESTRING (-111.9123384 33.4148643, -111.9123389 33.4147855, -111.9123382 33.4147493, -111.9123398 33.4146772)</t>
  </si>
  <si>
    <t>LINESTRING (-111.9123398 33.4146772, -111.9123382 33.4147493, -111.9123389 33.4147855, -111.9123384 33.4148643)</t>
  </si>
  <si>
    <t>East Center Lane</t>
  </si>
  <si>
    <t>LINESTRING (-111.9091721 33.4208613, -111.9090272 33.4208582)</t>
  </si>
  <si>
    <t>LINESTRING (-111.9090272 33.4208582, -111.9091721 33.4208613)</t>
  </si>
  <si>
    <t>LINESTRING (-111.9090272 33.4208582, -111.9088398 33.420858, -111.9083414 33.4208575)</t>
  </si>
  <si>
    <t>LINESTRING (-111.9083414 33.4208575, -111.9088398 33.420858, -111.9090272 33.4208582)</t>
  </si>
  <si>
    <t>South Una Avenue</t>
  </si>
  <si>
    <t>LINESTRING (-111.9128246 33.4194946, -111.9128246 33.4194222, -111.9128246 33.418373)</t>
  </si>
  <si>
    <t>LINESTRING (-111.9128246 33.418373, -111.9128246 33.4194222, -111.9128246 33.4194946)</t>
  </si>
  <si>
    <t>LINESTRING (-111.9128246 33.418373, -111.9128649 33.4183148, -111.9128676 33.41707)</t>
  </si>
  <si>
    <t>LINESTRING (-111.9128676 33.41707, -111.9128649 33.4183148, -111.9128246 33.418373)</t>
  </si>
  <si>
    <t>LINESTRING (-111.9128676 33.41707, -111.9128836 33.4159551, -111.9128333 33.4158602, -111.9127013 33.4157984, -111.9123461 33.4157894)</t>
  </si>
  <si>
    <t>LINESTRING (-111.9123461 33.4157894, -111.9127013 33.4157984, -111.9128333 33.4158602, -111.9128836 33.4159551, -111.9128676 33.41707)</t>
  </si>
  <si>
    <t>South Kenneth Place</t>
  </si>
  <si>
    <t>LINESTRING (-111.9182827 33.4128801, -111.9182799 33.4123049)</t>
  </si>
  <si>
    <t>LINESTRING (-111.9182799 33.4123049, -111.9182827 33.4128801)</t>
  </si>
  <si>
    <t>LINESTRING (-111.9182799 33.4123049, -111.9182787 33.4120502, -111.9182748 33.4112636)</t>
  </si>
  <si>
    <t>LINESTRING (-111.9182748 33.4112636, -111.9182787 33.4120502, -111.9182799 33.4123049)</t>
  </si>
  <si>
    <t>South McAllister Avenue</t>
  </si>
  <si>
    <t>LINESTRING (-111.928844 33.4180457, -111.9288373 33.4178241, -111.9288571 33.4176455, -111.928875 33.417525, -111.9288928 33.4174421, -111.9289116 33.4173734, -111.9289319 33.4173116, -111.9289833 33.41719, -111.9290438 33.4170786, -111.929087 33.417002, -111.9291424 33.4169279, -111.9292592 33.4167849, -111.9294043 33.4166443)</t>
  </si>
  <si>
    <t>LINESTRING (-111.9294043 33.4166443, -111.9292592 33.4167849, -111.9291424 33.4169279, -111.929087 33.417002, -111.9290438 33.4170786, -111.9289833 33.41719, -111.9289319 33.4173116, -111.9289116 33.4173734, -111.9288928 33.4174421, -111.928875 33.417525, -111.9288571 33.4176455, -111.9288373 33.4178241, -111.928844 33.4180457)</t>
  </si>
  <si>
    <t>East 14th Street</t>
  </si>
  <si>
    <t>LINESTRING (-111.9370709 33.4135303, -111.9350416 33.4135466, -111.9349328 33.4135475)</t>
  </si>
  <si>
    <t>LINESTRING (-111.9349328 33.4135475, -111.9350416 33.4135466, -111.9370709 33.4135303)</t>
  </si>
  <si>
    <t>South Ventura Drive</t>
  </si>
  <si>
    <t>LINESTRING (-111.93012 33.4066513, -111.93012 33.4063787)</t>
  </si>
  <si>
    <t>LINESTRING (-111.93012 33.4063787, -111.93012 33.4066513)</t>
  </si>
  <si>
    <t>LINESTRING (-111.9301254 33.4104444, -111.9301168 33.4097351)</t>
  </si>
  <si>
    <t>LINESTRING (-111.9301168 33.4097351, -111.9301254 33.4104444)</t>
  </si>
  <si>
    <t>LINESTRING (-111.9301168 33.4097351, -111.9301152 33.4093411)</t>
  </si>
  <si>
    <t>LINESTRING (-111.9301152 33.4093411, -111.9301168 33.4097351)</t>
  </si>
  <si>
    <t>LINESTRING (-111.9301152 33.4093411, -111.9301155 33.4091712, -111.9301168 33.4083093)</t>
  </si>
  <si>
    <t>LINESTRING (-111.9301168 33.4083093, -111.9301155 33.4091712, -111.9301152 33.4093411)</t>
  </si>
  <si>
    <t>LINESTRING (-111.9301168 33.4083093, -111.9301196 33.4081797, -111.9301212 33.4076111)</t>
  </si>
  <si>
    <t>LINESTRING (-111.9301212 33.4076111, -111.9301196 33.4081797, -111.9301168 33.4083093)</t>
  </si>
  <si>
    <t>LINESTRING (-111.9301212 33.4076111, -111.9301223 33.4075271)</t>
  </si>
  <si>
    <t>LINESTRING (-111.9301223 33.4075271, -111.9301212 33.4076111)</t>
  </si>
  <si>
    <t>South Packard Drive</t>
  </si>
  <si>
    <t>LINESTRING (-111.9290798 33.4242989, -111.9291226 33.424385, -111.929188 33.4245385, -111.9292203 33.4246475, -111.9292514 33.4248073, -111.9292575 33.4248952, -111.9292601 33.4249516, -111.9292745 33.4261143, -111.929282 33.4267143, -111.929292 33.4273267, -111.9293027 33.4279796, -111.9293051 33.4285424, -111.9293052 33.4285703, -111.9293057 33.4286516)</t>
  </si>
  <si>
    <t>LINESTRING (-111.9293057 33.4286516, -111.9293052 33.4285703, -111.9293051 33.4285424, -111.9293027 33.4279796, -111.929292 33.4273267, -111.929282 33.4267143, -111.9292745 33.4261143, -111.9292601 33.4249516, -111.9292575 33.4248952, -111.9292514 33.4248073, -111.9292203 33.4246475, -111.929188 33.4245385, -111.9291226 33.424385, -111.9290798 33.4242989)</t>
  </si>
  <si>
    <t>South Stanley Place</t>
  </si>
  <si>
    <t>LINESTRING (-111.9194063 33.4128698, -111.9194038 33.412366, -111.9194005 33.4116113, -111.9193991 33.4112636)</t>
  </si>
  <si>
    <t>LINESTRING (-111.9193991 33.4112636, -111.9194005 33.4116113, -111.9194038 33.412366, -111.9194063 33.4128698)</t>
  </si>
  <si>
    <t>South Butte Avenue</t>
  </si>
  <si>
    <t>LINESTRING (-111.9117974 33.4183775, -111.911792 33.4170678)</t>
  </si>
  <si>
    <t>LINESTRING (-111.911792 33.4170678, -111.9117974 33.4183775)</t>
  </si>
  <si>
    <t>LINESTRING (-111.911792 33.4170678, -111.9117974 33.4161499)</t>
  </si>
  <si>
    <t>LINESTRING (-111.9117974 33.4161499, -111.911792 33.4170678)</t>
  </si>
  <si>
    <t>LINESTRING (-111.9117974 33.4161499, -111.9117974 33.4159484, -111.9118583 33.4158405, -111.9119663 33.4157961, -111.9123285 33.4157897, -111.9123461 33.4157894)</t>
  </si>
  <si>
    <t>LINESTRING (-111.9123461 33.4157894, -111.9123285 33.4157897, -111.9119663 33.4157961, -111.9118583 33.4158405, -111.9117974 33.4159484, -111.9117974 33.4161499)</t>
  </si>
  <si>
    <t>South el Camino Drive</t>
  </si>
  <si>
    <t>LINESTRING (-111.9338902 33.4096095, -111.9338594 33.4095799, -111.9338457 33.4095429, -111.9338376 33.4093122)</t>
  </si>
  <si>
    <t>LINESTRING (-111.9338376 33.4093122, -111.9338457 33.4095429, -111.9338594 33.4095799, -111.9338902 33.4096095)</t>
  </si>
  <si>
    <t>LINESTRING (-111.9338376 33.4093122, -111.9338504 33.4089195, -111.9338575 33.4087034, -111.9337888 33.4085673, -111.9337287 33.4084455)</t>
  </si>
  <si>
    <t>LINESTRING (-111.9337287 33.4084455, -111.9337888 33.4085673, -111.9338575 33.4087034, -111.9338504 33.4089195, -111.9338376 33.4093122)</t>
  </si>
  <si>
    <t>LINESTRING (-111.9337287 33.4084455, -111.933763 33.4083595, -111.9338403 33.408209, -111.9338233 33.407592, -111.9338232 33.407589)</t>
  </si>
  <si>
    <t>LINESTRING (-111.9338232 33.407589, -111.9338233 33.407592, -111.9338403 33.408209, -111.933763 33.4083595, -111.9337287 33.4084455)</t>
  </si>
  <si>
    <t>South Newberry Lane</t>
  </si>
  <si>
    <t>LINESTRING (-111.9203154 33.4128768, -111.9202907 33.4113526)</t>
  </si>
  <si>
    <t>LINESTRING (-111.9202907 33.4113526, -111.9203154 33.4128768)</t>
  </si>
  <si>
    <t>South Bonarden Lane</t>
  </si>
  <si>
    <t>LINESTRING (-111.9225915 33.4128945, -111.9225749 33.4111705, -111.922574 33.4111077)</t>
  </si>
  <si>
    <t>LINESTRING (-111.922574 33.4111077, -111.9225749 33.4111705, -111.9225915 33.4128945)</t>
  </si>
  <si>
    <t>West Broadway Road</t>
  </si>
  <si>
    <t>LINESTRING (-111.9405939 33.4074032, -111.9407309 33.407404, -111.9411443 33.4074008, -111.9419779 33.4073972)</t>
  </si>
  <si>
    <t>LINESTRING (-111.9419779 33.4073972, -111.9411443 33.4074008, -111.9407309 33.407404, -111.9405939 33.4074032)</t>
  </si>
  <si>
    <t>LINESTRING (-111.9419779 33.4073972, -111.9429557 33.4073853, -111.9433255 33.4073787)</t>
  </si>
  <si>
    <t>LINESTRING (-111.9433255 33.4073787, -111.9429557 33.4073853, -111.9419779 33.4073972)</t>
  </si>
  <si>
    <t>East Broadway Road</t>
  </si>
  <si>
    <t>LINESTRING (-111.9344169 33.4074542, -111.9343732 33.4074544)</t>
  </si>
  <si>
    <t>LINESTRING (-111.9343732 33.4074544, -111.9344169 33.4074542)</t>
  </si>
  <si>
    <t>East 8th Street</t>
  </si>
  <si>
    <t>LINESTRING (-111.9262379 33.4209763, -111.9261191 33.4209521, -111.9243772 33.4205887, -111.9242516 33.4205624, -111.9241712 33.4205457, -111.923925 33.4204935, -111.9231271 33.4203242, -111.9228355 33.4202623, -111.9213895 33.4199556, -111.9211439 33.4199033, -111.9206349 33.4197953, -111.9202301 33.419729, -111.9201469 33.4197154, -111.9200675 33.4197066, -111.9189449 33.4195817, -111.9187782 33.4195632, -111.9184474 33.4195264, -111.9181661 33.4194884, -111.917792 33.4194378, -111.9177134 33.4194298)</t>
  </si>
  <si>
    <t>LINESTRING (-111.9177134 33.4194298, -111.917792 33.4194378, -111.9181661 33.4194884, -111.9184474 33.4195264, -111.9187782 33.4195632, -111.9189449 33.4195817, -111.9200675 33.4197066, -111.9201469 33.4197154, -111.9202301 33.419729, -111.9206349 33.4197953, -111.9211439 33.4199033, -111.9213895 33.4199556, -111.9228355 33.4202623, -111.9231271 33.4203242, -111.923925 33.4204935, -111.9241712 33.4205457, -111.9242516 33.4205624, -111.9243772 33.4205887, -111.9261191 33.4209521, -111.9262379 33.4209763)</t>
  </si>
  <si>
    <t>LINESTRING (-111.9177134 33.4194298, -111.9176161 33.4194085, -111.9173196 33.4193593, -111.9170322 33.4193213, -111.9168666 33.419308, -111.916717 33.4193031, -111.9166016 33.4193018, -111.9164695 33.419305, -111.916334 33.4193119, -111.9160709 33.4193332, -111.915848 33.4193497, -111.91545 33.4193819, -111.9153448 33.419389, -111.9147769 33.4194379, -111.9146898 33.4194459)</t>
  </si>
  <si>
    <t>LINESTRING (-111.9146898 33.4194459, -111.9147769 33.4194379, -111.9153448 33.419389, -111.91545 33.4193819, -111.915848 33.4193497, -111.9160709 33.4193332, -111.916334 33.4193119, -111.9164695 33.419305, -111.9166016 33.4193018, -111.916717 33.4193031, -111.9168666 33.419308, -111.9170322 33.4193213, -111.9173196 33.4193593, -111.9176161 33.4194085, -111.9177134 33.4194298)</t>
  </si>
  <si>
    <t>LINESTRING (-111.9146898 33.4194459, -111.9139688 33.4194872, -111.9137708 33.4194908, -111.9135784 33.4194934, -111.9128246 33.4194946)</t>
  </si>
  <si>
    <t>LINESTRING (-111.9128246 33.4194946, -111.9135784 33.4194934, -111.9137708 33.4194908, -111.9139688 33.4194872, -111.9146898 33.4194459)</t>
  </si>
  <si>
    <t>LINESTRING (-111.9128246 33.4194946, -111.9127512 33.4194948, -111.9122342 33.4194998, -111.9120722 33.4195014, -111.9105172 33.4195163, -111.910374 33.4195177, -111.9090775 33.4195301)</t>
  </si>
  <si>
    <t>LINESTRING (-111.9090775 33.4195301, -111.910374 33.4195177, -111.9105172 33.4195163, -111.9120722 33.4195014, -111.9122342 33.4194998, -111.9127512 33.4194948, -111.9128246 33.4194946)</t>
  </si>
  <si>
    <t>South Dateland Drive</t>
  </si>
  <si>
    <t>LINESTRING (-111.9419779 33.4073972, -111.941979 33.4072589, -111.9419806 33.4070537, -111.9419811 33.4069995, -111.9419776 33.406618)</t>
  </si>
  <si>
    <t>LINESTRING (-111.9419776 33.406618, -111.9419811 33.4069995, -111.9419806 33.4070537, -111.941979 33.4072589, -111.9419779 33.4073972)</t>
  </si>
  <si>
    <t>South Gary Drive</t>
  </si>
  <si>
    <t>LINESTRING (-111.9146898 33.4194459, -111.9146946 33.4190571, -111.9146972 33.4188502, -111.9146996 33.4187342, -111.9146941 33.4183685)</t>
  </si>
  <si>
    <t>LINESTRING (-111.9146941 33.4183685, -111.9146996 33.4187342, -111.9146972 33.4188502, -111.9146946 33.4190571, -111.9146898 33.4194459)</t>
  </si>
  <si>
    <t>LINESTRING (-111.9146941 33.4183685, -111.9146954 33.4180159, -111.9146968 33.4176543)</t>
  </si>
  <si>
    <t>LINESTRING (-111.9146968 33.4176543, -111.9146954 33.4180159, -111.9146941 33.4183685)</t>
  </si>
  <si>
    <t>South Chief Jones Way</t>
  </si>
  <si>
    <t>LINESTRING (-111.9147513 33.4161512, -111.9147537 33.4157305, -111.9147539 33.4157009, -111.9147542 33.4156411, -111.9147544 33.4156038, -111.9147566 33.4152076, -111.9147587 33.4148409)</t>
  </si>
  <si>
    <t>LINESTRING (-111.9147587 33.4148409, -111.9147566 33.4152076, -111.9147544 33.4156038, -111.9147542 33.4156411, -111.9147539 33.4157009, -111.9147537 33.4157305, -111.9147513 33.4161512)</t>
  </si>
  <si>
    <t>South la Rosa Drive</t>
  </si>
  <si>
    <t>LINESTRING (-111.9290294 33.407539, -111.9290279 33.4074428)</t>
  </si>
  <si>
    <t>LINESTRING (-111.9290279 33.4074428, -111.9290294 33.407539)</t>
  </si>
  <si>
    <t>LINESTRING (-111.9290279 33.4074428, -111.9290263 33.4073337, -111.929023 33.4071132, -111.929022 33.4070481, -111.9290214 33.4070045, -111.9290192 33.4063787)</t>
  </si>
  <si>
    <t>LINESTRING (-111.9290192 33.4063787, -111.9290214 33.4070045, -111.929022 33.4070481, -111.929023 33.4071132, -111.9290263 33.4073337, -111.9290279 33.4074428)</t>
  </si>
  <si>
    <t>LINESTRING (-111.9292499 33.40974, -111.92925 33.4083093)</t>
  </si>
  <si>
    <t>LINESTRING (-111.92925 33.4083093, -111.9292499 33.40974)</t>
  </si>
  <si>
    <t>South Forest Avenue</t>
  </si>
  <si>
    <t>LINESTRING (-111.936655 33.4174833, -111.936652 33.4173873, -111.9366318 33.4164108, -111.9366289 33.4162774, -111.9366276 33.4162059)</t>
  </si>
  <si>
    <t>LINESTRING (-111.9366276 33.4162059, -111.9366289 33.4162774, -111.9366318 33.4164108, -111.936652 33.4173873, -111.936655 33.4174833)</t>
  </si>
  <si>
    <t>LINESTRING (-111.9366276 33.4162059, -111.9366262 33.4161337, -111.9366159 33.4154174, -111.9366121 33.4151484, -111.9366113 33.4150834, -111.9366063 33.4149395, -111.9366078 33.41481, -111.9366081 33.4147406)</t>
  </si>
  <si>
    <t>LINESTRING (-111.9366081 33.4147406, -111.9366078 33.41481, -111.9366063 33.4149395, -111.9366113 33.4150834, -111.9366121 33.4151484, -111.9366159 33.4154174, -111.9366262 33.4161337, -111.9366276 33.4162059)</t>
  </si>
  <si>
    <t>LINESTRING (-111.9359642 33.4074385, -111.9359659 33.4073051, -111.9359744 33.4066362, -111.9359727 33.4063787)</t>
  </si>
  <si>
    <t>LINESTRING (-111.9359727 33.4063787, -111.9359744 33.4066362, -111.9359659 33.4073051, -111.9359642 33.4074385)</t>
  </si>
  <si>
    <t>LINESTRING (-111.9370709 33.4135303, -111.9370743 33.4140281, -111.9370852 33.4145236)</t>
  </si>
  <si>
    <t>LINESTRING (-111.9370852 33.4145236, -111.9370743 33.4140281, -111.9370709 33.4135303)</t>
  </si>
  <si>
    <t>West Howe Street</t>
  </si>
  <si>
    <t>LINESTRING (-111.944241 33.4168222, -111.9443327 33.4168225, -111.9448138 33.4168241, -111.9454283 33.4168264)</t>
  </si>
  <si>
    <t>LINESTRING (-111.9454283 33.4168264, -111.9448138 33.4168241, -111.9443327 33.4168225, -111.944241 33.4168222)</t>
  </si>
  <si>
    <t>South la Corta Drive</t>
  </si>
  <si>
    <t>LINESTRING (-111.9329181 33.4066155, -111.9329222 33.4063787)</t>
  </si>
  <si>
    <t>LINESTRING (-111.9329222 33.4063787, -111.9329181 33.4066155)</t>
  </si>
  <si>
    <t>East Spence Avenue</t>
  </si>
  <si>
    <t>LINESTRING (-111.9262973 33.4128826, -111.9261355 33.4128828, -111.926123 33.4128827, -111.9258083 33.4128812, -111.9253426 33.4128789, -111.9251673 33.4128802, -111.9249906 33.4128815, -111.9239684 33.4128892, -111.9238608 33.41289, -111.9232609 33.4128945)</t>
  </si>
  <si>
    <t>LINESTRING (-111.9232609 33.4128945, -111.9238608 33.41289, -111.9239684 33.4128892, -111.9249906 33.4128815, -111.9251673 33.4128802, -111.9253426 33.4128789, -111.9258083 33.4128812, -111.926123 33.4128827, -111.9261355 33.4128828, -111.9262973 33.4128826)</t>
  </si>
  <si>
    <t>LINESTRING (-111.9232609 33.4128945, -111.9228708 33.4128936, -111.9225915 33.4128945)</t>
  </si>
  <si>
    <t>LINESTRING (-111.9225915 33.4128945, -111.9228708 33.4128936, -111.9232609 33.4128945)</t>
  </si>
  <si>
    <t>LINESTRING (-111.9225915 33.4128945, -111.922073 33.4128945, -111.9219906 33.4128945)</t>
  </si>
  <si>
    <t>LINESTRING (-111.9219906 33.4128945, -111.922073 33.4128945, -111.9225915 33.4128945)</t>
  </si>
  <si>
    <t>LINESTRING (-111.9219906 33.4128945, -111.9218223 33.4128945, -111.9215295 33.4128887, -111.9210845 33.4128799, -111.9209653 33.4128775)</t>
  </si>
  <si>
    <t>LINESTRING (-111.9209653 33.4128775, -111.9210845 33.4128799, -111.9215295 33.4128887, -111.9218223 33.4128945, -111.9219906 33.4128945)</t>
  </si>
  <si>
    <t>LINESTRING (-111.9209653 33.4128775, -111.9204281 33.4128828)</t>
  </si>
  <si>
    <t>LINESTRING (-111.9204281 33.4128828, -111.9209653 33.4128775)</t>
  </si>
  <si>
    <t>LINESTRING (-111.9204281 33.4128828, -111.9203154 33.4128768)</t>
  </si>
  <si>
    <t>LINESTRING (-111.9203154 33.4128768, -111.9204281 33.4128828)</t>
  </si>
  <si>
    <t>LINESTRING (-111.9203154 33.4128768, -111.9194063 33.4128698)</t>
  </si>
  <si>
    <t>LINESTRING (-111.9194063 33.4128698, -111.9203154 33.4128768)</t>
  </si>
  <si>
    <t>LINESTRING (-111.9194063 33.4128698, -111.9184204 33.4128839, -111.9182827 33.4128801)</t>
  </si>
  <si>
    <t>LINESTRING (-111.9182827 33.4128801, -111.9184204 33.4128839, -111.9194063 33.4128698)</t>
  </si>
  <si>
    <t>LINESTRING (-111.9182827 33.4128801, -111.9180384 33.4128801, -111.9178298 33.4128768, -111.9177056 33.4128801, -111.9176562 33.4128801, -111.917487 33.4128913, -111.9171506 33.4129394, -111.917064 33.4129518)</t>
  </si>
  <si>
    <t>LINESTRING (-111.917064 33.4129518, -111.9171506 33.4129394, -111.917487 33.4128913, -111.9176562 33.4128801, -111.9177056 33.4128801, -111.9178298 33.4128768, -111.9180384 33.4128801, -111.9182827 33.4128801)</t>
  </si>
  <si>
    <t>East Solana Drive</t>
  </si>
  <si>
    <t>LINESTRING (-111.9337287 33.4084455, -111.9312568 33.4084598)</t>
  </si>
  <si>
    <t>LINESTRING (-111.9312568 33.4084598, -111.9337287 33.4084455)</t>
  </si>
  <si>
    <t>LINESTRING (-111.9301168 33.4083093, -111.9296856 33.4083093, -111.92925 33.4083093)</t>
  </si>
  <si>
    <t>LINESTRING (-111.92925 33.4083093, -111.9296856 33.4083093, -111.9301168 33.4083093)</t>
  </si>
  <si>
    <t>LINESTRING (-111.92925 33.4083093, -111.926848 33.4083346, -111.9265205 33.408338)</t>
  </si>
  <si>
    <t>LINESTRING (-111.9265205 33.408338, -111.926848 33.4083346, -111.92925 33.4083093)</t>
  </si>
  <si>
    <t>East 10th Street</t>
  </si>
  <si>
    <t>LINESTRING (-111.9381178 33.419078, -111.9385216 33.4190719, -111.9387912 33.4190679, -111.9394786 33.4190668, -111.9398004 33.4190634, -111.939854 33.4190575)</t>
  </si>
  <si>
    <t>LINESTRING (-111.939854 33.4190575, -111.9398004 33.4190634, -111.9394786 33.4190668, -111.9387912 33.4190679, -111.9385216 33.4190719, -111.9381178 33.419078)</t>
  </si>
  <si>
    <t>South Jentilly Lane</t>
  </si>
  <si>
    <t>LINESTRING (-111.9237216 33.4075795, -111.9236776 33.407652, -111.9236733 33.4078963, -111.9237187 33.4079673)</t>
  </si>
  <si>
    <t>LINESTRING (-111.9232609 33.4128945, -111.9232566 33.4124741, -111.9232523 33.4118914)</t>
  </si>
  <si>
    <t>LINESTRING (-111.9232523 33.4118914, -111.9232566 33.4124741, -111.9232609 33.4128945)</t>
  </si>
  <si>
    <t>LINESTRING (-111.9232523 33.4118914, -111.9232523 33.4113613, -111.9232571 33.4112193)</t>
  </si>
  <si>
    <t>LINESTRING (-111.9232571 33.4112193, -111.9232523 33.4113613, -111.9232523 33.4118914)</t>
  </si>
  <si>
    <t>East Cedar Street</t>
  </si>
  <si>
    <t>LINESTRING (-111.9157422 33.4118556, -111.9152958 33.4117195, -111.9149611 33.4116478, -111.9146006 33.4116192, -111.9142573 33.4116263)</t>
  </si>
  <si>
    <t>LINESTRING (-111.9142573 33.4116263, -111.9146006 33.4116192, -111.9149611 33.4116478, -111.9152958 33.4117195, -111.9157422 33.4118556)</t>
  </si>
  <si>
    <t>LINESTRING (-111.9142573 33.4116263, -111.9124548 33.4116335)</t>
  </si>
  <si>
    <t>LINESTRING (-111.9124548 33.4116335, -111.9142573 33.4116263)</t>
  </si>
  <si>
    <t>LINESTRING (-111.9124548 33.4116335, -111.9108155 33.4116335)</t>
  </si>
  <si>
    <t>LINESTRING (-111.9108155 33.4116335, -111.9124548 33.4116335)</t>
  </si>
  <si>
    <t>East Randall Drive</t>
  </si>
  <si>
    <t>LINESTRING (-111.9091033 33.4181939, -111.9087677 33.4181968, -111.9075263 33.4182077, -111.9074988 33.4182061)</t>
  </si>
  <si>
    <t>LINESTRING (-111.9074988 33.4182061, -111.9075263 33.4182077, -111.9087677 33.4181968, -111.9091033 33.4181939)</t>
  </si>
  <si>
    <t>South Dorsey Lane</t>
  </si>
  <si>
    <t>LINESTRING (-111.9177082 33.4200246, -111.9177083 33.4199793, -111.9177082 33.4199039, -111.9177094 33.4195955, -111.9177107 33.4195026, -111.9177134 33.4194298)</t>
  </si>
  <si>
    <t>LINESTRING (-111.9177134 33.4194298, -111.9177107 33.4195026, -111.9177094 33.4195955, -111.9177082 33.4199039, -111.9177083 33.4199793, -111.9177082 33.4200246)</t>
  </si>
  <si>
    <t>LINESTRING (-111.9177134 33.4194298, -111.9177185 33.4193527, -111.9177198 33.4191579, -111.9177227 33.4188596, -111.9177265 33.4187385, -111.9177288 33.4186566, -111.9177365 33.4183756)</t>
  </si>
  <si>
    <t>LINESTRING (-111.9177365 33.4183756, -111.9177288 33.4186566, -111.9177265 33.4187385, -111.9177227 33.4188596, -111.9177198 33.4191579, -111.9177185 33.4193527, -111.9177134 33.4194298)</t>
  </si>
  <si>
    <t>LINESTRING (-111.9177365 33.4183756, -111.9177392 33.4180243, -111.9177396 33.4176616)</t>
  </si>
  <si>
    <t>LINESTRING (-111.9177396 33.4176616, -111.9177392 33.4180243, -111.9177365 33.4183756)</t>
  </si>
  <si>
    <t>LINESTRING (-111.9177396 33.4176616, -111.9177421 33.4175136, -111.9177371 33.4172259, -111.9177348 33.4170915, -111.917732 33.4169334, -111.9177293 33.4166715)</t>
  </si>
  <si>
    <t>LINESTRING (-111.9177293 33.4166715, -111.917732 33.4169334, -111.9177348 33.4170915, -111.9177371 33.4172259, -111.9177421 33.4175136, -111.9177396 33.4176616)</t>
  </si>
  <si>
    <t>LINESTRING (-111.9177293 33.4166715, -111.9177267 33.4165416, -111.9177226 33.4163311, -111.9177125 33.4158253, -111.9177123 33.4158152, -111.9177087 33.4156761, -111.9177018 33.415344, -111.9177008 33.4152963, -111.9177006 33.4152855, -111.9176985 33.4151844)</t>
  </si>
  <si>
    <t>LINESTRING (-111.9176985 33.4151844, -111.9177006 33.4152855, -111.9177008 33.4152963, -111.9177018 33.415344, -111.9177087 33.4156761, -111.9177123 33.4158152, -111.9177125 33.4158253, -111.9177226 33.4163311, -111.9177267 33.4165416, -111.9177293 33.4166715)</t>
  </si>
  <si>
    <t>LINESTRING (-111.9443033 33.4243197, -111.9447197 33.4243219, -111.9454111 33.4243255, -111.9454283 33.4243256)</t>
  </si>
  <si>
    <t>LINESTRING (-111.9454283 33.4243256, -111.9454111 33.4243255, -111.9447197 33.4243219, -111.9443033 33.4243197)</t>
  </si>
  <si>
    <t>East Hudson Drive</t>
  </si>
  <si>
    <t>LINESTRING (-111.9171232 33.4136285, -111.9162486 33.4136181, -111.9150126 33.4135608, -111.9142573 33.4135608)</t>
  </si>
  <si>
    <t>LINESTRING (-111.9142573 33.4135608, -111.9150126 33.4135608, -111.9162486 33.4136181, -111.9171232 33.4136285)</t>
  </si>
  <si>
    <t>LINESTRING (-111.9142573 33.4135608, -111.9124548 33.4135536)</t>
  </si>
  <si>
    <t>LINESTRING (-111.9124548 33.4135536, -111.9142573 33.4135608)</t>
  </si>
  <si>
    <t>LINESTRING (-111.9124548 33.4135536, -111.9107726 33.4135536)</t>
  </si>
  <si>
    <t>LINESTRING (-111.9107726 33.4135536, -111.9124548 33.4135536)</t>
  </si>
  <si>
    <t>East Granada Drive</t>
  </si>
  <si>
    <t>LINESTRING (-111.9283745 33.4090473, -111.9265205 33.4090545)</t>
  </si>
  <si>
    <t>LINESTRING (-111.9265205 33.4090545, -111.9283745 33.4090473)</t>
  </si>
  <si>
    <t>South Myrtle Avenue</t>
  </si>
  <si>
    <t>LINESTRING (-111.9381462 33.4218977, -111.938144 33.4218328, -111.9381441 33.421823, -111.9381352 33.4213307, -111.9381331 33.4212166, -111.9381294 33.4205154)</t>
  </si>
  <si>
    <t>LINESTRING (-111.9381294 33.4205154, -111.9381331 33.4212166, -111.9381352 33.4213307, -111.9381441 33.421823, -111.938144 33.4218328, -111.9381462 33.4218977)</t>
  </si>
  <si>
    <t>LINESTRING (-111.9381294 33.4205154, -111.9381211 33.4199626, -111.9381172 33.4196844, -111.9381177 33.4191316, -111.9381178 33.419078)</t>
  </si>
  <si>
    <t>LINESTRING (-111.9381178 33.419078, -111.9381177 33.4191316, -111.9381172 33.4196844, -111.9381211 33.4199626, -111.9381294 33.4205154)</t>
  </si>
  <si>
    <t>East Kirkland Lane</t>
  </si>
  <si>
    <t>LINESTRING (-111.9083283 33.4200001, -111.9078182 33.4200488, -111.9074988 33.4200766)</t>
  </si>
  <si>
    <t>LINESTRING (-111.9074988 33.4200766, -111.9078182 33.4200488, -111.9083283 33.4200001)</t>
  </si>
  <si>
    <t>South College Avenue</t>
  </si>
  <si>
    <t>LINESTRING (-111.9349278 33.4254396, -111.9349717 33.4252787, -111.9349838 33.4248448, -111.9349808 33.4243956, -111.9349809 33.4243346)</t>
  </si>
  <si>
    <t>LINESTRING (-111.9349809 33.4243346, -111.9349808 33.4243956, -111.9349838 33.4248448, -111.9349717 33.4252787, -111.9349278 33.4254396)</t>
  </si>
  <si>
    <t>LINESTRING (-111.9349809 33.4243346, -111.9349826 33.4242604, -111.9349897 33.423492, -111.93499 33.4233768, -111.9349911 33.4233422, -111.9349907 33.423297, -111.9349761 33.4232093)</t>
  </si>
  <si>
    <t>LINESTRING (-111.9349761 33.4232093, -111.9349907 33.423297, -111.9349911 33.4233422, -111.93499 33.4233768, -111.9349897 33.423492, -111.9349826 33.4242604, -111.9349809 33.4243346)</t>
  </si>
  <si>
    <t>LINESTRING (-111.9349761 33.4232093, -111.9349741 33.4231487, -111.9349739 33.4231174, -111.9349706 33.4226097, -111.9349659 33.4220803, -111.9349691 33.4220021)</t>
  </si>
  <si>
    <t>LINESTRING (-111.9349691 33.4220021, -111.9349659 33.4220803, -111.9349706 33.4226097, -111.9349739 33.4231174, -111.9349741 33.4231487, -111.9349761 33.4232093)</t>
  </si>
  <si>
    <t>West 12th Street</t>
  </si>
  <si>
    <t>LINESTRING (-111.9399783 33.4162056, -111.9400367 33.4162052, -111.9405834 33.4162013, -111.941205 33.416204)</t>
  </si>
  <si>
    <t>LINESTRING (-111.941205 33.416204, -111.9405834 33.4162013, -111.9400367 33.4162052, -111.9399783 33.4162056)</t>
  </si>
  <si>
    <t>LINESTRING (-111.941205 33.416204, -111.941821 33.4161933, -111.9424528 33.4161904)</t>
  </si>
  <si>
    <t>LINESTRING (-111.9424528 33.4161904, -111.941821 33.4161933, -111.941205 33.416204)</t>
  </si>
  <si>
    <t>LINESTRING (-111.9442403 33.4160678, -111.9448136 33.4160691, -111.9450049 33.4160696, -111.9454283 33.4160708)</t>
  </si>
  <si>
    <t>LINESTRING (-111.9454283 33.4160708, -111.9450049 33.4160696, -111.9448136 33.4160691, -111.9442403 33.4160678)</t>
  </si>
  <si>
    <t>West 19th Street</t>
  </si>
  <si>
    <t>LINESTRING (-111.9442945 33.4087687, -111.9454283 33.4087668)</t>
  </si>
  <si>
    <t>LINESTRING (-111.9454283 33.4087668, -111.9442945 33.4087687)</t>
  </si>
  <si>
    <t>South Cedar Street</t>
  </si>
  <si>
    <t>LINESTRING (-111.9171222 33.414605, -111.9171135 33.4140613, -111.9171232 33.4136285)</t>
  </si>
  <si>
    <t>LINESTRING (-111.9171232 33.4136285, -111.9171135 33.4140613, -111.9171222 33.414605)</t>
  </si>
  <si>
    <t>LINESTRING (-111.9171232 33.4136285, -111.9171232 33.413289, -111.9171148 33.4132003, -111.9171078 33.413127, -111.917064 33.4129518)</t>
  </si>
  <si>
    <t>LINESTRING (-111.917064 33.4129518, -111.9171078 33.413127, -111.9171148 33.4132003, -111.9171232 33.413289, -111.9171232 33.4136285)</t>
  </si>
  <si>
    <t>LINESTRING (-111.917064 33.4129518, -111.9169953 33.4127942, -111.9169266 33.4127154)</t>
  </si>
  <si>
    <t>LINESTRING (-111.9169266 33.4127154, -111.9169953 33.4127942, -111.917064 33.4129518)</t>
  </si>
  <si>
    <t>East Orange Street</t>
  </si>
  <si>
    <t>LINESTRING (-111.9177365 33.4183756, -111.9146941 33.4183685)</t>
  </si>
  <si>
    <t>LINESTRING (-111.9146941 33.4183685, -111.9177365 33.4183756)</t>
  </si>
  <si>
    <t>LINESTRING (-111.9146941 33.4183685, -111.9134084 33.4183716, -111.9128246 33.418373)</t>
  </si>
  <si>
    <t>LINESTRING (-111.9128246 33.418373, -111.9134084 33.4183716, -111.9146941 33.4183685)</t>
  </si>
  <si>
    <t>LINESTRING (-111.9128246 33.418373, -111.9123145 33.4183752, -111.9122231 33.4183756, -111.9117974 33.4183775)</t>
  </si>
  <si>
    <t>LINESTRING (-111.9117974 33.4183775, -111.9122231 33.4183756, -111.9123145 33.4183752, -111.9128246 33.418373)</t>
  </si>
  <si>
    <t>East Tyler Street</t>
  </si>
  <si>
    <t>LINESTRING (-111.9289198 33.4202704, -111.928813 33.4202727, -111.9288 33.420273, -111.9280217 33.4202698, -111.9278714 33.4202692)</t>
  </si>
  <si>
    <t>LINESTRING (-111.9278714 33.4202692, -111.9280217 33.4202698, -111.9288 33.420273, -111.928813 33.4202727, -111.9289198 33.4202704)</t>
  </si>
  <si>
    <t>East 13th Street</t>
  </si>
  <si>
    <t>LINESTRING (-111.939166 33.4147167, -111.9390998 33.4147175, -111.9389509 33.4147146, -111.9388947 33.4147102, -111.9388268 33.414702, -111.9386759 33.4146732, -111.938577 33.4146636, -111.9384793 33.4146618, -111.9380531 33.414654, -111.9378899 33.4146534, -111.9376248 33.4146524, -111.9374558 33.4146478, -111.9373669 33.4146466)</t>
  </si>
  <si>
    <t>East el Parque Drive</t>
  </si>
  <si>
    <t>LINESTRING (-111.9338966 33.4066011, -111.9334053 33.4066083, -111.9329181 33.4066155)</t>
  </si>
  <si>
    <t>LINESTRING (-111.9329181 33.4066155, -111.9334053 33.4066083, -111.9338966 33.4066011)</t>
  </si>
  <si>
    <t>LINESTRING (-111.9329181 33.4066155, -111.932407 33.4066195, -111.9315384 33.4066264, -111.9310728 33.4066298)</t>
  </si>
  <si>
    <t>LINESTRING (-111.9310728 33.4066298, -111.9315384 33.4066264, -111.932407 33.4066195, -111.9329181 33.4066155)</t>
  </si>
  <si>
    <t>West 17th Place</t>
  </si>
  <si>
    <t>LINESTRING (-111.9442963 33.410264, -111.9454283 33.4102621)</t>
  </si>
  <si>
    <t>LINESTRING (-111.9454283 33.4102621, -111.9442963 33.410264)</t>
  </si>
  <si>
    <t>South Acapulco Lane</t>
  </si>
  <si>
    <t>LINESTRING (-111.9083414 33.4208575, -111.9083283 33.4200001)</t>
  </si>
  <si>
    <t>LINESTRING (-111.9083283 33.4200001, -111.9083414 33.4208575)</t>
  </si>
  <si>
    <t>East Hall Street</t>
  </si>
  <si>
    <t>LINESTRING (-111.9165151 33.4161595, -111.9147513 33.4161512)</t>
  </si>
  <si>
    <t>LINESTRING (-111.9147513 33.4161512, -111.9165151 33.4161595)</t>
  </si>
  <si>
    <t>LINESTRING (-111.9147513 33.4161512, -111.9138914 33.416144, -111.9138914 33.4169249)</t>
  </si>
  <si>
    <t>LINESTRING (-111.9138914 33.4169249, -111.9138914 33.416144, -111.9147513 33.4161512)</t>
  </si>
  <si>
    <t>West 9th Street</t>
  </si>
  <si>
    <t>LINESTRING (-111.9442498 33.420638, -111.9454283 33.4206395)</t>
  </si>
  <si>
    <t>LINESTRING (-111.9454283 33.4206395, -111.9442498 33.420638)</t>
  </si>
  <si>
    <t>LINESTRING (-111.9381294 33.4205154, -111.9384389 33.4205124, -111.938571 33.4205111, -111.9388999 33.4205078)</t>
  </si>
  <si>
    <t>LINESTRING (-111.9388999 33.4205078, -111.938571 33.4205111, -111.9384389 33.4205124, -111.9381294 33.4205154)</t>
  </si>
  <si>
    <t>East 7th Street</t>
  </si>
  <si>
    <t>LINESTRING (-111.9399581 33.4231886, -111.9398537 33.4231887, -111.9394081 33.4231893, -111.9386929 33.4231902, -111.9386834 33.4231902, -111.9382169 33.4231912, -111.9381595 33.4231914)</t>
  </si>
  <si>
    <t>LINESTRING (-111.9381595 33.4231914, -111.9382169 33.4231912, -111.9386834 33.4231902, -111.9386929 33.4231902, -111.9394081 33.4231893, -111.9398537 33.4231887, -111.9399581 33.4231886)</t>
  </si>
  <si>
    <t>LINESTRING (-111.9381595 33.4231914, -111.9380587 33.4231924, -111.9374296 33.4231985, -111.9370222 33.4232024, -111.9367632 33.4232049, -111.9366651 33.4232037)</t>
  </si>
  <si>
    <t>LINESTRING (-111.9366651 33.4232037, -111.9367632 33.4232049, -111.9370222 33.4232024, -111.9374296 33.4231985, -111.9380587 33.4231924, -111.9381595 33.4231914)</t>
  </si>
  <si>
    <t>LINESTRING (-111.9366651 33.4232037, -111.9365584 33.4232063, -111.935476 33.4232079, -111.9351141 33.4232087, -111.9349761 33.4232093)</t>
  </si>
  <si>
    <t>LINESTRING (-111.9349761 33.4232093, -111.9351141 33.4232087, -111.935476 33.4232079, -111.9365584 33.4232063, -111.9366651 33.4232037)</t>
  </si>
  <si>
    <t>East Williams Street</t>
  </si>
  <si>
    <t>LINESTRING (-111.9169266 33.4127154, -111.9167566 33.4127349, -111.9164889 33.4127655, -111.9160512 33.4127512, -111.9155964 33.4126931)</t>
  </si>
  <si>
    <t>LINESTRING (-111.9155964 33.4126931, -111.9160512 33.4127512, -111.9164889 33.4127655, -111.9167566 33.4127349, -111.9169266 33.4127154)</t>
  </si>
  <si>
    <t>LINESTRING (-111.9155964 33.4126931, -111.9153216 33.412658, -111.9149783 33.4126151, -111.9142573 33.4126007)</t>
  </si>
  <si>
    <t>LINESTRING (-111.9142573 33.4126007, -111.9149783 33.4126151, -111.9153216 33.412658, -111.9155964 33.4126931)</t>
  </si>
  <si>
    <t>LINESTRING (-111.9142573 33.4126007, -111.9124548 33.4125936)</t>
  </si>
  <si>
    <t>LINESTRING (-111.9124548 33.4125936, -111.9142573 33.4126007)</t>
  </si>
  <si>
    <t>LINESTRING (-111.9124548 33.4125936, -111.9107983 33.4126007)</t>
  </si>
  <si>
    <t>LINESTRING (-111.9107983 33.4126007, -111.9124548 33.4125936)</t>
  </si>
  <si>
    <t>East Don Carlos Avenue</t>
  </si>
  <si>
    <t>LINESTRING (-111.911792 33.4170678, -111.9112326 33.4170733, -111.9111171 33.4170807, -111.9109887 33.417126, -111.9108908 33.4171999, -111.9108399 33.4172393, -111.9107876 33.4173062, -111.9107323 33.4173611, -111.910665 33.4174037)</t>
  </si>
  <si>
    <t>LINESTRING (-111.910665 33.4174037, -111.9107323 33.4173611, -111.9107876 33.4173062, -111.9108399 33.4172393, -111.9108908 33.4171999, -111.9109887 33.417126, -111.9111171 33.4170807, -111.9112326 33.4170733, -111.911792 33.4170678)</t>
  </si>
  <si>
    <t>LINESTRING (-111.910665 33.4174037, -111.9105191 33.4174633, -111.9104857 33.417468, -111.910385 33.4174822, -111.9097966 33.4174829, -111.9097521 33.4174829, -111.9092448 33.4174835, -111.9091036 33.4174837)</t>
  </si>
  <si>
    <t>LINESTRING (-111.9091036 33.4174837, -111.9092448 33.4174835, -111.9097521 33.4174829, -111.9097966 33.4174829, -111.910385 33.4174822, -111.9104857 33.417468, -111.9105191 33.4174633, -111.910665 33.4174037)</t>
  </si>
  <si>
    <t>LINESTRING (-111.9177396 33.4176616, -111.9146968 33.4176543)</t>
  </si>
  <si>
    <t>LINESTRING (-111.9146968 33.4176543, -111.9177396 33.4176616)</t>
  </si>
  <si>
    <t>LINESTRING (-111.9146968 33.4176543, -111.9138895 33.4176454)</t>
  </si>
  <si>
    <t>LINESTRING (-111.9138895 33.4176454, -111.9146968 33.4176543)</t>
  </si>
  <si>
    <t>East Palmdale Drive</t>
  </si>
  <si>
    <t>LINESTRING (-111.9177062 33.4063878, -111.9175812 33.4063864, -111.9171945 33.4063859, -111.9170275 33.4063864, -111.9169719 33.4063867, -111.9169162 33.4063917, -111.9168619 33.4064001, -111.9167335 33.4064288, -111.9164735 33.4064866, -111.9164198 33.4064978, -111.9163635 33.4065056, -111.9163082 33.4065081, -111.9132489 33.4065043)</t>
  </si>
  <si>
    <t>LINESTRING (-111.9132489 33.4065043, -111.9163082 33.4065081, -111.9163635 33.4065056, -111.9164198 33.4064978, -111.9164735 33.4064866, -111.9167335 33.4064288, -111.9168619 33.4064001, -111.9169162 33.4063917, -111.9169719 33.4063867, -111.9170275 33.4063864, -111.9171945 33.4063859, -111.9175812 33.4063864, -111.9177062 33.4063878)</t>
  </si>
  <si>
    <t>South Encanto Drive</t>
  </si>
  <si>
    <t>LINESTRING (-111.9381791 33.4085985, -111.9382428 33.4083026, -111.9382563 33.4082353, -111.9382996 33.4079842, -111.938301 33.4079231, -111.9383134 33.407543, -111.9383164 33.4074206)</t>
  </si>
  <si>
    <t>LINESTRING (-111.9383164 33.4074206, -111.9383134 33.407543, -111.938301 33.4079231, -111.9382996 33.4079842, -111.9382563 33.4082353, -111.9382428 33.4083026, -111.9381791 33.4085985)</t>
  </si>
  <si>
    <t>West 5th Street</t>
  </si>
  <si>
    <t>LINESTRING (-111.9442882 33.4254677, -111.944384 33.4254685, -111.9446931 33.425471)</t>
  </si>
  <si>
    <t>LINESTRING (-111.9446931 33.425471, -111.944384 33.4254685, -111.9442882 33.4254677)</t>
  </si>
  <si>
    <t>West 11th Street</t>
  </si>
  <si>
    <t>LINESTRING (-111.9400253 33.4176249, -111.9401446 33.4176277, -111.9405079 33.4176276, -111.9406098 33.4176261, -111.94123 33.4176195)</t>
  </si>
  <si>
    <t>LINESTRING (-111.94123 33.4176195, -111.9406098 33.4176261, -111.9405079 33.4176276, -111.9401446 33.4176277, -111.9400253 33.4176249)</t>
  </si>
  <si>
    <t>LINESTRING (-111.94123 33.4176195, -111.9418304 33.4176181, -111.9424525 33.4176183)</t>
  </si>
  <si>
    <t>LINESTRING (-111.9424525 33.4176183, -111.9418304 33.4176181, -111.94123 33.4176195)</t>
  </si>
  <si>
    <t>LINESTRING (-111.9442439 33.4177833, -111.9443299 33.4177838, -111.9448141 33.4177868, -111.9454283 33.4177904)</t>
  </si>
  <si>
    <t>LINESTRING (-111.9454283 33.4177904, -111.9448141 33.4177868, -111.9443299 33.4177838, -111.9442439 33.4177833)</t>
  </si>
  <si>
    <t>West 18th Street</t>
  </si>
  <si>
    <t>LINESTRING (-111.9442959 33.4095166, -111.9454283 33.4095146)</t>
  </si>
  <si>
    <t>LINESTRING (-111.9454283 33.4095146, -111.9442959 33.4095166)</t>
  </si>
  <si>
    <t>East 12th Street</t>
  </si>
  <si>
    <t>LINESTRING (-111.9117974 33.4161499, -111.9097523 33.4161533, -111.909625 33.4161535, -111.909117 33.4161544)</t>
  </si>
  <si>
    <t>LINESTRING (-111.909117 33.4161544, -111.909625 33.4161535, -111.9097523 33.4161533, -111.9117974 33.4161499)</t>
  </si>
  <si>
    <t>West 1st Street</t>
  </si>
  <si>
    <t>LINESTRING (-111.9434283 33.4295304, -111.9434575 33.4295241, -111.9435008 33.42952, -111.9435847 33.4295124, -111.9438891 33.4295138, -111.9441049 33.4295148, -111.9442567 33.4295155)</t>
  </si>
  <si>
    <t>LINESTRING (-111.9442567 33.4295155, -111.9441049 33.4295148, -111.9438891 33.4295138, -111.9435847 33.4295124, -111.9435008 33.42952, -111.9434575 33.4295241, -111.9434283 33.4295304)</t>
  </si>
  <si>
    <t>East Rio Salado Parkway</t>
  </si>
  <si>
    <t>LINESTRING (-111.9374158 33.430404, -111.937313 33.430439, -111.9372259 33.4304688, -111.9368333 33.4305487, -111.936465 33.4305639, -111.9360834 33.4305321, -111.9356428 33.430435)</t>
  </si>
  <si>
    <t>LINESTRING (-111.9356428 33.430435, -111.9351525 33.4302054, -111.9349285 33.4300573)</t>
  </si>
  <si>
    <t>LINESTRING (-111.9349285 33.4300573, -111.9346717 33.4298726)</t>
  </si>
  <si>
    <t>LINESTRING (-111.9415968 33.4333701, -111.9412492 33.4327896, -111.9410068 33.4323908, -111.9409696 33.4323251)</t>
  </si>
  <si>
    <t>South McClintock Drive</t>
  </si>
  <si>
    <t>LINESTRING (-111.9094402 33.4340764, -111.9093577 33.4329923)</t>
  </si>
  <si>
    <t>LINESTRING (-111.9093577 33.4329923, -111.9094402 33.4340764)</t>
  </si>
  <si>
    <t>LINESTRING (-111.939969 33.4151097, -111.9399682 33.4150687, -111.939966 33.4148721, -111.9399657 33.4148491, -111.9399649 33.4147844)</t>
  </si>
  <si>
    <t>LINESTRING (-111.9399641 33.4147094, -111.9399088 33.414649)</t>
  </si>
  <si>
    <t>LINESTRING (-111.9400556 33.4312394, -111.9401264 33.4316795)</t>
  </si>
  <si>
    <t>LINESTRING (-111.9404627 33.431309, -111.940398 33.4311519, -111.940306 33.4308981, -111.9402509 33.4307385, -111.9401986 33.4305606, -111.9401399 33.4303209)</t>
  </si>
  <si>
    <t>LINESTRING (-111.926289 33.4298413, -111.9262877 33.4312176)</t>
  </si>
  <si>
    <t>LINESTRING (-111.9262877 33.4312176, -111.926289 33.4298413)</t>
  </si>
  <si>
    <t>West 13th Street</t>
  </si>
  <si>
    <t>LINESTRING (-111.9408253 33.4147456, -111.9407023 33.4147245, -111.9405641 33.4147222, -111.940462 33.414719, -111.9403334 33.4147072, -111.9400873 33.4147093, -111.9399641 33.4147094)</t>
  </si>
  <si>
    <t>LINESTRING (-111.9381424 33.4149982, -111.9381757 33.4149863, -111.9382691 33.4149393, -111.9382922 33.4149218)</t>
  </si>
  <si>
    <t>LINESTRING (-111.9382922 33.4149218, -111.9383332 33.4148959, -111.9384187 33.4148364, -111.9385303 33.4148077, -111.9386934 33.4147934, -111.9389766 33.4147934, -111.9391325 33.4147957, -111.9397571 33.4147835, -111.9397761 33.4147831, -111.9398514 33.4147836)</t>
  </si>
  <si>
    <t>LINESTRING (-111.9399016 33.4142825, -111.9398955 33.4139983, -111.9398928 33.4136273)</t>
  </si>
  <si>
    <t>LINESTRING (-111.9398928 33.4136273, -111.9398955 33.4139983, -111.9399016 33.4142825)</t>
  </si>
  <si>
    <t>LINESTRING (-111.9339665 33.4183547, -111.9338292 33.4183283)</t>
  </si>
  <si>
    <t>LINESTRING (-111.9338292 33.4183283, -111.9339665 33.4183547)</t>
  </si>
  <si>
    <t>LINESTRING (-111.9338292 33.4183283, -111.9334167 33.4183318, -111.9333084 33.4183327, -111.9328931 33.4183363, -111.932723 33.4183408, -111.93174 33.4183562, -111.9316695 33.4183576, -111.9313989 33.4183647, -111.9310811 33.4184092, -111.9307743 33.4184114, -111.9302058 33.4184156, -111.930077 33.4184165, -111.9289495 33.4184318, -111.9288549 33.4184369)</t>
  </si>
  <si>
    <t>LINESTRING (-111.9288549 33.4184369, -111.9289495 33.4184318, -111.930077 33.4184165, -111.9302058 33.4184156, -111.9307743 33.4184114, -111.9310811 33.4184092, -111.9313989 33.4183647, -111.9316695 33.4183576, -111.93174 33.4183562, -111.932723 33.4183408, -111.9328931 33.4183363, -111.9333084 33.4183327, -111.9334167 33.4183318, -111.9338292 33.4183283)</t>
  </si>
  <si>
    <t>LINESTRING (-111.9349493 33.414314, -111.9349492 33.4143062, -111.9349469 33.4141674, -111.9349449 33.414049, -111.9349328 33.4135475)</t>
  </si>
  <si>
    <t>LINESTRING (-111.9349328 33.4135475, -111.9349449 33.414049, -111.9349469 33.4141674, -111.9349492 33.4143062, -111.9349493 33.414314)</t>
  </si>
  <si>
    <t>LINESTRING (-111.9204281 33.4128828, -111.9204333 33.4133486, -111.9204337 33.4134181, -111.9204368 33.4136624, -111.9204452 33.4144085, -111.9204451 33.4144181, -111.9204459 33.4145011, -111.9204475 33.4146176, -111.9204485 33.4147071)</t>
  </si>
  <si>
    <t>LINESTRING (-111.9204485 33.4147071, -111.9204475 33.4146176, -111.9204459 33.4145011, -111.9204451 33.4144181, -111.9204452 33.4144085, -111.9204368 33.4136624, -111.9204337 33.4134181, -111.9204333 33.4133486, -111.9204281 33.4128828)</t>
  </si>
  <si>
    <t>LINESTRING (-111.9203868 33.4148865, -111.9205452 33.4148706)</t>
  </si>
  <si>
    <t>LINESTRING (-111.9205452 33.4148706, -111.920705 33.4148574, -111.9209534 33.4148466, -111.9216231 33.414824, -111.9219766 33.4148175, -111.9220806 33.4148179)</t>
  </si>
  <si>
    <t>LINESTRING (-111.9262925 33.4146937, -111.9261094 33.4146978, -111.9260848 33.4146983, -111.9255249 33.4147028, -111.9253642 33.4147041, -111.9252052 33.4147053, -111.9251412 33.4147062, -111.9245817 33.4147173)</t>
  </si>
  <si>
    <t>LINESTRING (-111.9245817 33.4147173, -111.9243626 33.4147168, -111.9237731 33.4147156, -111.9234869 33.4147174, -111.9230209 33.4147167, -111.9228189 33.4147158, -111.9224969 33.4147141)</t>
  </si>
  <si>
    <t>LINESTRING (-111.9306654 33.4146657, -111.9306656 33.4140941, -111.9306575 33.413971, -111.930645 33.413892, -111.9306308 33.413813, -111.9305817 33.4136333, -111.9305606 33.4135119, -111.930544 33.4115482)</t>
  </si>
  <si>
    <t>LINESTRING (-111.930544 33.4115482, -111.9305606 33.4135119, -111.9305817 33.4136333, -111.9306308 33.413813, -111.930645 33.413892, -111.9306575 33.413971, -111.9306656 33.4140941, -111.9306654 33.4146657)</t>
  </si>
  <si>
    <t>LINESTRING (-111.9092699 33.4319755, -111.9092659 33.4319199, -111.9091891 33.4307936, -111.9091581 33.4303466, -111.9091495 33.430223)</t>
  </si>
  <si>
    <t>LINESTRING (-111.9091495 33.430223, -111.9091581 33.4303466, -111.9091891 33.4307936, -111.9092659 33.4319199, -111.9092699 33.4319755)</t>
  </si>
  <si>
    <t>LINESTRING (-111.9262989 33.420098, -111.9261371 33.4199597, -111.9260926 33.4199214, -111.9257296 33.4196086, -111.9254281 33.4193385, -111.9252926 33.4192193, -111.9252695 33.4192003, -111.9251995 33.4191427, -111.9243613 33.4184039, -111.9243278 33.4183748, -111.9242636 33.4183173, -111.9239316 33.4180199, -111.9232866 33.4174422, -111.9226459 33.4168567, -111.9225356 33.416758)</t>
  </si>
  <si>
    <t>LINESTRING (-111.9225356 33.416758, -111.9224468 33.4166758, -111.9220448 33.4163128, -111.9215238 33.415852, -111.921125 33.4154858)</t>
  </si>
  <si>
    <t>LINESTRING (-111.9203868 33.4148865, -111.9203915 33.4149452, -111.9204004 33.4149779, -111.9204176 33.4150119, -111.9205282 33.4151211, -111.9206543 33.4152358, -111.9207182 33.415294, -111.9222535 33.4166732, -111.922338 33.4167546)</t>
  </si>
  <si>
    <t>LINESTRING (-111.922338 33.4167546, -111.9224814 33.4168827, -111.9226012 33.4169953, -111.923179 33.417529)</t>
  </si>
  <si>
    <t>LINESTRING (-111.925416 33.4168118, -111.92533 33.4168113, -111.9249009 33.4168044, -111.9247937 33.4168027, -111.9247194 33.4168015, -111.9245051 33.416798, -111.9243362 33.4167953, -111.9240217 33.4167902, -111.9234712 33.4167813, -111.9232733 33.4167758, -111.9230789 33.4167704, -111.922668 33.4167634, -111.9226157 33.4167614, -111.9225356 33.416758)</t>
  </si>
  <si>
    <t>LINESTRING (-111.9225356 33.416758, -111.9226157 33.4167614, -111.922668 33.4167634, -111.9230789 33.4167704, -111.9232733 33.4167758, -111.9234712 33.4167813, -111.9240217 33.4167902, -111.9243362 33.4167953, -111.9245051 33.416798, -111.9247194 33.4168015, -111.9247937 33.4168027, -111.9249009 33.4168044, -111.92533 33.4168113, -111.925416 33.4168118)</t>
  </si>
  <si>
    <t>LINESTRING (-111.922338 33.4167546, -111.9222429 33.416753, -111.9216812 33.4167418, -111.9214566 33.4167294, -111.9210239 33.4167206, -111.9206612 33.4167133, -111.920587 33.4167118)</t>
  </si>
  <si>
    <t>LINESTRING (-111.920587 33.4167118, -111.9206612 33.4167133, -111.9210239 33.4167206, -111.9214566 33.4167294, -111.9216812 33.4167418, -111.9222429 33.416753, -111.922338 33.4167546)</t>
  </si>
  <si>
    <t>LINESTRING (-111.920587 33.4167118, -111.9199436 33.4167013, -111.9198052 33.416699, -111.9196227 33.416696, -111.9191975 33.416689, -111.9187765 33.4166821)</t>
  </si>
  <si>
    <t>LINESTRING (-111.9187765 33.4166821, -111.9191975 33.416689, -111.9196227 33.416696, -111.9198052 33.416699, -111.9199436 33.4167013, -111.920587 33.4167118)</t>
  </si>
  <si>
    <t>LINESTRING (-111.9187765 33.4166821, -111.9185004 33.4166793, -111.9183574 33.4166779, -111.9177293 33.4166715)</t>
  </si>
  <si>
    <t>LINESTRING (-111.9177293 33.4166715, -111.9183574 33.4166779, -111.9185004 33.4166793, -111.9187765 33.4166821)</t>
  </si>
  <si>
    <t>East Veterans Way</t>
  </si>
  <si>
    <t>LINESTRING (-111.9304264 33.4231268, -111.9303102 33.4231118, -111.9301089 33.4230616, -111.9299067 33.4229799, -111.9295421 33.4227616, -111.9295097 33.4227418)</t>
  </si>
  <si>
    <t>LINESTRING (-111.9295097 33.4227418, -111.9295421 33.4227616, -111.9299067 33.4229799, -111.9301089 33.4230616, -111.9303102 33.4231118, -111.9304264 33.4231268)</t>
  </si>
  <si>
    <t>LINESTRING (-111.9349278 33.4254396, -111.9348667 33.4253526, -111.93477 33.4253016, -111.9344827 33.4252009, -111.9338795 33.4250026, -111.9337642 33.4249627, -111.9336635 33.4249279, -111.9333623 33.4248268, -111.9331807 33.4247492, -111.9329899 33.4246525, -111.9328007 33.4245423, -111.932582 33.4243921, -111.9323321 33.4241886, -111.9322412 33.4241145, -111.9321078 33.4240044, -111.9317139 33.4236702, -111.9315201 33.4235192, -111.931479 33.4234892, -111.9314023 33.4234332, -111.9312627 33.4233579)</t>
  </si>
  <si>
    <t>LINESTRING (-111.9304264 33.4231268, -111.9305248 33.4232046, -111.9306079 33.4232582, -111.930736 33.4233106, -111.9309357 33.4233812, -111.9311333 33.4234587, -111.9312907 33.4235414, -111.93142 33.4236319, -111.9319949 33.4241089, -111.9320888 33.4241868, -111.9324904 33.4245105, -111.9327255 33.4246689, -111.9329471 33.4247963, -111.9332431 33.4249321, -111.9334639 33.425007, -111.9336026 33.4250545, -111.9338713 33.4251674, -111.9339446 33.4251998)</t>
  </si>
  <si>
    <t>LINESTRING (-111.9307043 33.4135726, -111.9306875 33.4135387, -111.9306846 33.413507, -111.9306773 33.4130816, -111.9306767 33.4130436, -111.930677 33.413009, -111.9306853 33.4120477)</t>
  </si>
  <si>
    <t>LINESTRING (-111.9306853 33.4120477, -111.930677 33.413009, -111.9306767 33.4130436, -111.9306773 33.4130816, -111.9306846 33.413507, -111.9306875 33.4135387, -111.9307043 33.4135726)</t>
  </si>
  <si>
    <t>Athlete's Way</t>
  </si>
  <si>
    <t>LINESTRING (-111.9228964 33.4220263, -111.9228965 33.422132, -111.9228968 33.4224269, -111.9228971 33.422726, -111.9228975 33.4230536, -111.9228981 33.4236505, -111.9228983 33.4238125)</t>
  </si>
  <si>
    <t>LINESTRING (-111.9228983 33.4238125, -111.9228981 33.4236505, -111.9228975 33.4230536, -111.9228971 33.422726, -111.9228968 33.4224269, -111.9228965 33.422132, -111.9228964 33.4220263)</t>
  </si>
  <si>
    <t>LINESTRING (-111.9155964 33.4126931, -111.915678 33.4122245, -111.9157422 33.4118556)</t>
  </si>
  <si>
    <t>LINESTRING (-111.9157422 33.4118556, -111.915678 33.4122245, -111.9155964 33.4126931)</t>
  </si>
  <si>
    <t>LINESTRING (-111.9177482 33.4094786, -111.9177246 33.4094568, -111.9177096 33.4094241, -111.9177029 33.4093935, -111.9176978 33.4092243)</t>
  </si>
  <si>
    <t>LINESTRING (-111.9176978 33.4092243, -111.9177029 33.4093935, -111.9177096 33.4094241, -111.9177246 33.4094568, -111.9177482 33.4094786)</t>
  </si>
  <si>
    <t>East 11th Street</t>
  </si>
  <si>
    <t>LINESTRING (-111.9366575 33.4176535, -111.9367917 33.4176523, -111.9381395 33.4176358, -111.938222 33.4176349, -111.9397493 33.4176184, -111.9397865 33.4176185, -111.9398468 33.4176189)</t>
  </si>
  <si>
    <t>West Lakeside Drive</t>
  </si>
  <si>
    <t>LINESTRING (-111.9446684 33.4307709, -111.9450364 33.4307669)</t>
  </si>
  <si>
    <t>LINESTRING (-111.9450364 33.4307669, -111.9446684 33.4307709)</t>
  </si>
  <si>
    <t>LINESTRING (-111.9450364 33.4307669, -111.9452441 33.4307647)</t>
  </si>
  <si>
    <t>LINESTRING (-111.9452441 33.4307647, -111.9450364 33.4307669)</t>
  </si>
  <si>
    <t>LINESTRING (-111.9452441 33.4307647, -111.9454283 33.4307627)</t>
  </si>
  <si>
    <t>LINESTRING (-111.9454283 33.4307627, -111.9452441 33.4307647)</t>
  </si>
  <si>
    <t>LINESTRING (-111.9425485 33.4291402, -111.9425454 33.4291882, -111.942523 33.429252)</t>
  </si>
  <si>
    <t>West Rio Salado Parkway</t>
  </si>
  <si>
    <t>LINESTRING (-111.9433431 33.4307227, -111.9433389 33.4306117, -111.9433242 33.4303864, -111.9433147 33.4302859, -111.9433033 33.4301913, -111.9432646 33.4300587, -111.9432327 33.429963, -111.9431999 33.4298849, -111.9431442 33.4297815)</t>
  </si>
  <si>
    <t>LINESTRING (-111.9453807 33.4313267, -111.9451203 33.4313965, -111.9448218 33.431467, -111.9444707 33.4315109, -111.9442201 33.43152, -111.9439395 33.4315348, -111.9438197 33.4315377, -111.9436636 33.43154, -111.9435251 33.4315424, -111.9434604 33.4315237, -111.9434172 33.4314902, -111.9433921 33.4314425, -111.9433809 33.4314032, -111.9433753 33.4312967)</t>
  </si>
  <si>
    <t>LINESTRING (-111.9366276 33.4162059, -111.9365009 33.416198, -111.9363553 33.4161918, -111.9362854 33.4161798, -111.9362434 33.4161713, -111.9361764 33.4161524, -111.9360509 33.4161184, -111.9359828 33.4161084, -111.935917 33.4161044, -111.93524 33.4161082, -111.9350462 33.4161097, -111.9349506 33.4161111)</t>
  </si>
  <si>
    <t>LINESTRING (-111.9349506 33.4161111, -111.9350462 33.4161097, -111.93524 33.4161082, -111.935917 33.4161044, -111.9359828 33.4161084, -111.9360509 33.4161184, -111.9361764 33.4161524, -111.9362434 33.4161713, -111.9362854 33.4161798, -111.9363553 33.4161918, -111.9365009 33.416198, -111.9366276 33.4162059)</t>
  </si>
  <si>
    <t>LINESTRING (-111.9349506 33.4161111, -111.9348472 33.4161125, -111.934151 33.4161148, -111.9338439 33.4161174, -111.933449 33.4161212, -111.93338 33.4161208, -111.933278 33.4160881)</t>
  </si>
  <si>
    <t>LINESTRING (-111.933278 33.4160881, -111.93338 33.4161208, -111.933449 33.4161212, -111.9338439 33.4161174, -111.934151 33.4161148, -111.9348472 33.4161125, -111.9349506 33.4161111)</t>
  </si>
  <si>
    <t>South Mariana Street</t>
  </si>
  <si>
    <t>LINESTRING (-111.918685 33.4188785, -111.9186841 33.4184064)</t>
  </si>
  <si>
    <t>LINESTRING (-111.9186841 33.4184064, -111.918685 33.4188785)</t>
  </si>
  <si>
    <t>LINESTRING (-111.9186841 33.4184064, -111.9186764 33.4182838, -111.9186824 33.4177131, -111.9186996 33.4175698, -111.9187596 33.4174122, -111.9187854 33.4172118, -111.9187765 33.4166821)</t>
  </si>
  <si>
    <t>LINESTRING (-111.9187765 33.4166821, -111.9187854 33.4172118, -111.9187596 33.4174122, -111.9186996 33.4175698, -111.9186824 33.4177131, -111.9186764 33.4182838, -111.9186841 33.4184064)</t>
  </si>
  <si>
    <t>LINESTRING (-111.9408253 33.4147456, -111.9409804 33.4147446, -111.9411894 33.4147443)</t>
  </si>
  <si>
    <t>LINESTRING (-111.9411894 33.4147443, -111.9409804 33.4147446, -111.9408253 33.4147456)</t>
  </si>
  <si>
    <t>LINESTRING (-111.9411894 33.4147443, -111.9418209 33.4147362, -111.9424188 33.4147283)</t>
  </si>
  <si>
    <t>LINESTRING (-111.9424188 33.4147283, -111.9418209 33.4147362, -111.9411894 33.4147443)</t>
  </si>
  <si>
    <t>LINESTRING (-111.9424188 33.4147283, -111.9431675 33.4147252, -111.9435395 33.4147236, -111.9435841 33.4147218, -111.9436427 33.4147157, -111.9438837 33.414674, -111.9441546 33.4146426, -111.9442002 33.4146383, -111.9442483 33.4146347)</t>
  </si>
  <si>
    <t>LINESTRING (-111.9442483 33.4146347, -111.9442002 33.4146383, -111.9441546 33.4146426, -111.9438837 33.414674, -111.9436427 33.4147157, -111.9435841 33.4147218, -111.9435395 33.4147236, -111.9431675 33.4147252, -111.9424188 33.4147283)</t>
  </si>
  <si>
    <t>LINESTRING (-111.9442483 33.4146347, -111.9442875 33.4146337)</t>
  </si>
  <si>
    <t>LINESTRING (-111.9442875 33.4146337, -111.9442483 33.4146347)</t>
  </si>
  <si>
    <t>LINESTRING (-111.9442875 33.4146337, -111.944368 33.4146334, -111.9450135 33.4146366, -111.9454283 33.4146376)</t>
  </si>
  <si>
    <t>LINESTRING (-111.9454283 33.4146376, -111.9450135 33.4146366, -111.944368 33.4146334, -111.9442875 33.4146337)</t>
  </si>
  <si>
    <t>LINESTRING (-111.9399649 33.4147844, -111.9400782 33.4147851, -111.9400873 33.4147851, -111.9403353 33.4147856, -111.9404455 33.4147712, -111.9404554 33.4147699, -111.9405582 33.4147673, -111.9407211 33.4147621, -111.9408253 33.4147456)</t>
  </si>
  <si>
    <t>LINESTRING (-111.9182799 33.4123049, -111.917892 33.4123094, -111.9177364 33.4123004, -111.9176184 33.4122511, -111.917597 33.4121213, -111.9176023 33.4118884, -111.917597 33.4115078, -111.917597 33.4112078, -111.9162827 33.4112033)</t>
  </si>
  <si>
    <t>LINESTRING (-111.9162827 33.4112033, -111.917597 33.4112078, -111.917597 33.4115078, -111.9176023 33.4118884, -111.917597 33.4121213, -111.9176184 33.4122511, -111.9177364 33.4123004, -111.917892 33.4123094, -111.9182799 33.4123049)</t>
  </si>
  <si>
    <t>LINESTRING (-111.9162827 33.4112033, -111.9161795 33.4114003)</t>
  </si>
  <si>
    <t>LINESTRING (-111.9161795 33.4114003, -111.9162827 33.4112033)</t>
  </si>
  <si>
    <t>LINESTRING (-111.9162827 33.4112033, -111.91602 33.4111981)</t>
  </si>
  <si>
    <t>LINESTRING (-111.91602 33.4111981, -111.9162827 33.4112033)</t>
  </si>
  <si>
    <t>LINESTRING (-111.91602 33.4111981, -111.9159564 33.4113072)</t>
  </si>
  <si>
    <t>LINESTRING (-111.9159564 33.4113072, -111.91602 33.4111981)</t>
  </si>
  <si>
    <t>LINESTRING (-111.91602 33.4111981, -111.9157539 33.4111926)</t>
  </si>
  <si>
    <t>LINESTRING (-111.9157539 33.4111926, -111.91602 33.4111981)</t>
  </si>
  <si>
    <t>LINESTRING (-111.9366724 33.4254992, -111.9366718 33.4253943, -111.9366717 33.4253795, -111.9366697 33.4248479, -111.9366683 33.4244745, -111.936666 33.4243591)</t>
  </si>
  <si>
    <t>LINESTRING (-111.936666 33.4243591, -111.9366683 33.4244745, -111.9366697 33.4248479, -111.9366717 33.4253795, -111.9366718 33.4253943, -111.9366724 33.4254992)</t>
  </si>
  <si>
    <t>LINESTRING (-111.936666 33.4243591, -111.9366669 33.4242409, -111.9366703 33.423784, -111.9366641 33.4233211, -111.9366651 33.4232037)</t>
  </si>
  <si>
    <t>LINESTRING (-111.9366651 33.4232037, -111.9366641 33.4233211, -111.9366703 33.423784, -111.9366669 33.4242409, -111.936666 33.4243591)</t>
  </si>
  <si>
    <t>LINESTRING (-111.9366651 33.4232037, -111.9366654 33.4230893, -111.9366642 33.4225993, -111.9366668 33.4224568, -111.9366651 33.4223635)</t>
  </si>
  <si>
    <t>LINESTRING (-111.9366651 33.4223635, -111.9366668 33.4224568, -111.9366642 33.4225993, -111.9366654 33.4230893, -111.9366651 33.4232037)</t>
  </si>
  <si>
    <t>LINESTRING (-111.9366784 33.4212889, -111.9367022 33.4212782, -111.9367202 33.4212614, -111.9367302 33.4212404, -111.9367311 33.4212179, -111.9367228 33.4211964, -111.9367062 33.4211786, -111.9366833 33.4211666, -111.9366569 33.4211618, -111.9366313 33.4211646, -111.9366081 33.4211741, -111.9365899 33.4211894, -111.9365787 33.4212089, -111.9365757 33.4212303, -111.9365803 33.4212493, -111.9365914 33.4212664, -111.9366081 33.4212799, -111.9366288 33.4212888, -111.9366517 33.4212922)</t>
  </si>
  <si>
    <t>LINESTRING (-111.9366517 33.4212922, -111.9366784 33.4212889)</t>
  </si>
  <si>
    <t>LINESTRING (-111.940029 33.4174558, -111.9399531 33.4174545, -111.9398726 33.4174547, -111.9398439 33.4174549)</t>
  </si>
  <si>
    <t>LINESTRING (-111.9398439 33.4174549, -111.9397819 33.4174542, -111.9396173 33.4174516, -111.9394931 33.4174529, -111.938321 33.4174654, -111.9382156 33.4174665, -111.9381365 33.4174674, -111.9380448 33.4174661, -111.9367882 33.4174799, -111.936655 33.4174833)</t>
  </si>
  <si>
    <t>LINESTRING (-111.9366081 33.4147406, -111.9369448 33.4147411, -111.937125 33.4147545, -111.9373329 33.4147792, -111.9375555 33.4148144, -111.9377195 33.4148596, -111.9379334 33.4149198, -111.9381424 33.4149982)</t>
  </si>
  <si>
    <t>LINESTRING (-111.9381424 33.4149982, -111.9383541 33.4150954, -111.9385452 33.4151936, -111.9388391 33.4153857, -111.9391299 33.4156399, -111.9392616 33.4157769, -111.9393788 33.4159142, -111.9394362 33.4159978, -111.9394923 33.4160741)</t>
  </si>
  <si>
    <t>LINESTRING (-111.9400695 33.4274911, -111.9400679 33.4273849)</t>
  </si>
  <si>
    <t>LINESTRING (-111.9400679 33.4273849, -111.9400679 33.427282, -111.9400776 33.4264624)</t>
  </si>
  <si>
    <t>LINESTRING (-111.9400776 33.4264624, -111.9400785 33.4260353)</t>
  </si>
  <si>
    <t>LINESTRING (-111.9398966 33.4219821, -111.9399104 33.422072, -111.9399154 33.422416, -111.939954 33.422988)</t>
  </si>
  <si>
    <t>East Vista del Lago Drive</t>
  </si>
  <si>
    <t>LINESTRING (-111.9211588 33.4293611, -111.9211588 33.4295021, -111.9211515 33.4297408, -111.9211468 33.4297978, -111.9211405 33.4298288, -111.921131 33.4298604, -111.9211149 33.4299012, -111.9210909 33.4299476, -111.9210636 33.4299886, -111.9210425 33.4300133, -111.9210217 33.4300348, -111.9210043 33.4300514, -111.920978 33.4300724, -111.9209597 33.4300862, -111.9209325 33.4301047, -111.9209091 33.4301195, -111.9208789 33.430136, -111.9208497 33.43015, -111.9208004 33.4301685, -111.9207659 33.4301789, -111.9207086 33.4301917, -111.9206506 33.4302004, -111.9205916 33.4302034, -111.9205336 33.430201, -111.9203069 33.4301693, -111.920078 33.4301473, -111.9198489 33.4301386, -111.9196278 33.4301419)</t>
  </si>
  <si>
    <t>LINESTRING (-111.9196278 33.4301419, -111.9198489 33.4301386, -111.920078 33.4301473, -111.9203069 33.4301693, -111.9205336 33.430201, -111.9205916 33.4302034, -111.9206506 33.4302004, -111.9207086 33.4301917, -111.9207659 33.4301789, -111.9208004 33.4301685, -111.9208497 33.43015, -111.9208789 33.430136, -111.9209091 33.4301195, -111.9209325 33.4301047, -111.9209597 33.4300862, -111.920978 33.4300724, -111.9210043 33.4300514, -111.9210217 33.4300348, -111.9210425 33.4300133, -111.9210636 33.4299886, -111.9210909 33.4299476, -111.9211149 33.4299012, -111.921131 33.4298604, -111.9211405 33.4298288, -111.9211468 33.4297978, -111.9211515 33.4297408, -111.9211588 33.4295021, -111.9211588 33.4293611)</t>
  </si>
  <si>
    <t>LINESTRING (-111.9196278 33.4301419, -111.9193373 33.4301632, -111.9190521 33.4302027, -111.9187834 33.4302583, -111.9185467 33.4303249, -111.918223 33.4304339)</t>
  </si>
  <si>
    <t>LINESTRING (-111.918223 33.4304339, -111.9185467 33.4303249, -111.9187834 33.4302583, -111.9190521 33.4302027, -111.9193373 33.4301632, -111.9196278 33.4301419)</t>
  </si>
  <si>
    <t>LINESTRING (-111.918223 33.4304339, -111.9180504 33.4305139, -111.9179373 33.4305664, -111.9177152 33.4306903, -111.9175009 33.4308275, -111.9173182 33.4309518)</t>
  </si>
  <si>
    <t>LINESTRING (-111.9173182 33.4309518, -111.9175009 33.4308275, -111.9177152 33.4306903, -111.9179373 33.4305664, -111.9180504 33.4305139, -111.918223 33.4304339)</t>
  </si>
  <si>
    <t>LINESTRING (-111.9173182 33.4309518, -111.9171714 33.4310835, -111.9170266 33.4312188, -111.9168616 33.4313994, -111.916749 33.4315426, -111.9167071 33.4315848, -111.9166856 33.4316019, -111.9166648 33.4316157, -111.9166326 33.4316322, -111.9166035 33.4316418, -111.9165625 33.4316523, -111.916519 33.4316576, -111.916474 33.4316579, -111.9164516 33.4316559, -111.9164348 33.4316531, -111.9164157 33.4316492, -111.9163959 33.4316436, -111.9163718 33.4316355, -111.9163378 33.4316186, -111.916237 33.4315691, -111.916001 33.4314461, -111.9159098 33.4313742)</t>
  </si>
  <si>
    <t>LINESTRING (-111.9159098 33.4313742, -111.916001 33.4314461, -111.916237 33.4315691, -111.9163378 33.4316186, -111.9163718 33.4316355, -111.9163959 33.4316436, -111.9164157 33.4316492, -111.9164348 33.4316531, -111.9164516 33.4316559, -111.916474 33.4316579, -111.916519 33.4316576, -111.9165625 33.4316523, -111.9166035 33.4316418, -111.9166326 33.4316322, -111.9166648 33.4316157, -111.9166856 33.4316019, -111.9167071 33.4315848, -111.916749 33.4315426, -111.9168616 33.4313994, -111.9170266 33.4312188, -111.9171714 33.4310835, -111.9173182 33.4309518)</t>
  </si>
  <si>
    <t>South McKinney Way</t>
  </si>
  <si>
    <t>LINESTRING (-111.9172022 33.4308627, -111.917107 33.4308448, -111.916698 33.4306383, -111.9166557 33.4305645)</t>
  </si>
  <si>
    <t>LINESTRING (-111.9166557 33.4305645, -111.916755 33.4305627, -111.9171479 33.4307642, -111.9171774 33.4307939, -111.9172022 33.4308627)</t>
  </si>
  <si>
    <t>South Pier Drive</t>
  </si>
  <si>
    <t>LINESTRING (-111.9180887 33.4301945, -111.9180874 33.4301039, -111.9180256 33.4299642, -111.9179775 33.4297874, -111.9179613 33.4296528, -111.9179597 33.4295193, -111.9179144 33.4294474)</t>
  </si>
  <si>
    <t>LINESTRING (-111.9179144 33.4294474, -111.9178674 33.4295174, -111.9178721 33.4296746, -111.9178889 33.4298045, -111.9179164 33.4299203, -111.9179533 33.4300311, -111.9180029 33.4301341, -111.9180887 33.4301945)</t>
  </si>
  <si>
    <t>South Kirkland Trail</t>
  </si>
  <si>
    <t>LINESTRING (-111.919633 33.4299964, -111.919686 33.4299421, -111.9196893 33.4296321, -111.919635 33.4295616)</t>
  </si>
  <si>
    <t>LINESTRING (-111.919635 33.4295616, -111.9195794 33.4296293, -111.9195767 33.4299455, -111.919633 33.4299964)</t>
  </si>
  <si>
    <t>South Clubview Avenue</t>
  </si>
  <si>
    <t>LINESTRING (-111.917341 33.4293282, -111.9172783 33.4294631, -111.9172653 33.429509, -111.9171942 33.4295515, -111.9165191 33.4304935)</t>
  </si>
  <si>
    <t>LINESTRING (-111.9165191 33.4304935, -111.9171942 33.4295515, -111.9172653 33.429509, -111.9172783 33.4294631, -111.917341 33.4293282)</t>
  </si>
  <si>
    <t>LINESTRING (-111.9165191 33.4304935, -111.9159282 33.4313014, -111.9159098 33.4313742)</t>
  </si>
  <si>
    <t>LINESTRING (-111.9159098 33.4313742, -111.9159282 33.4313014, -111.9165191 33.4304935)</t>
  </si>
  <si>
    <t>LINESTRING (-111.9159098 33.4313742, -111.915778 33.4314061, -111.9147514 33.4321924, -111.914737 33.4322288)</t>
  </si>
  <si>
    <t>LINESTRING (-111.914737 33.4322288, -111.9147514 33.4321924, -111.915778 33.4314061, -111.9159098 33.4313742)</t>
  </si>
  <si>
    <t>South Rural Road</t>
  </si>
  <si>
    <t>LINESTRING (-111.9262237 33.4245026, -111.9262235 33.4245838, -111.9262174 33.4268401, -111.9262149 33.4275095)</t>
  </si>
  <si>
    <t>LINESTRING (-111.9262837 33.4288957, -111.9262849 33.4289636, -111.9262855 33.4290006, -111.9262931 33.4294787)</t>
  </si>
  <si>
    <t>LINESTRING (-111.9262931 33.4294787, -111.9262855 33.4290006, -111.9262849 33.4289636, -111.9262837 33.4288957)</t>
  </si>
  <si>
    <t>LINESTRING (-111.9263814 33.4245047, -111.926382 33.4244228, -111.9263882 33.4238834)</t>
  </si>
  <si>
    <t>LINESTRING (-111.9263882 33.4238834, -111.9263941 33.4233419)</t>
  </si>
  <si>
    <t>LINESTRING (-111.9263941 33.4233419, -111.9263983 33.4230018, -111.9264012 33.4227473)</t>
  </si>
  <si>
    <t>LINESTRING (-111.9263882 33.4238834, -111.9263051 33.4237541, -111.9263051 33.4234101, -111.9262287 33.4233394)</t>
  </si>
  <si>
    <t>LINESTRING (-111.9262287 33.4233394, -111.9261044 33.4233397, -111.9258887 33.4233401)</t>
  </si>
  <si>
    <t>LINESTRING (-111.9262331 33.4228357, -111.9261491 33.4231604, -111.926124 33.4232382, -111.9261082 33.4232518, -111.9260663 33.4232876, -111.9258887 33.4233401)</t>
  </si>
  <si>
    <t>LINESTRING (-111.9424679 33.4293072, -111.9424408 33.4293282, -111.9424117 33.4293459, -111.9423742 33.4293605, -111.9423052 33.4293832, -111.942233 33.4294013, -111.9421561 33.4294096, -111.9417009 33.4294155, -111.9414991 33.4294319, -111.941344 33.4294485)</t>
  </si>
  <si>
    <t>LINESTRING (-111.941344 33.4294485, -111.9412177 33.4294583, -111.9406832 33.4295107)</t>
  </si>
  <si>
    <t>LINESTRING (-111.9420775 33.4295382, -111.9421438 33.4295286, -111.9422238 33.4295199, -111.9423924 33.4294854, -111.9424627 33.4294689, -111.9425335 33.4294621, -111.9426236 33.4294744)</t>
  </si>
  <si>
    <t>LINESTRING (-111.9293144 33.4297279, -111.9293116 33.4293114, -111.9293075 33.428878, -111.9293051 33.4287835)</t>
  </si>
  <si>
    <t>LINESTRING (-111.9293051 33.4287835, -111.9293075 33.428878, -111.9293116 33.4293114, -111.9293144 33.4297279)</t>
  </si>
  <si>
    <t>LINESTRING (-111.9409154 33.429599, -111.9409616 33.4295636, -111.9410033 33.4295322, -111.9412737 33.429505, -111.9413273 33.4294836, -111.941344 33.4294485)</t>
  </si>
  <si>
    <t>LINESTRING (-111.9356428 33.430435, -111.9354335 33.4304075, -111.9352097 33.4303103, -111.9351597 33.4302987, -111.9351245 33.4302912, -111.9351143 33.4302968, -111.9350596 33.4303286)</t>
  </si>
  <si>
    <t>LINESTRING (-111.9349691 33.4220021, -111.9350665 33.4220018, -111.9362677 33.4219925, -111.936566 33.4219912, -111.9366619 33.4219911)</t>
  </si>
  <si>
    <t>LINESTRING (-111.9366619 33.4219911, -111.936754 33.421991)</t>
  </si>
  <si>
    <t>LINESTRING (-111.9428468 33.4292652, -111.9428211 33.4292268, -111.9427932 33.4292071, -111.9427707 33.4291942)</t>
  </si>
  <si>
    <t>LINESTRING (-111.9399523 33.4243448, -111.939833 33.4243454, -111.9392663 33.4243488)</t>
  </si>
  <si>
    <t>LINESTRING (-111.9392663 33.4243488, -111.939833 33.4243454, -111.9399523 33.4243448)</t>
  </si>
  <si>
    <t>LINESTRING (-111.9430137 33.4296434, -111.9429722 33.4295963, -111.9429203 33.4295496, -111.9428945 33.4295157, -111.9428737 33.429453, -111.9428674 33.4293722)</t>
  </si>
  <si>
    <t>LINESTRING (-111.9433518 33.4260281, -111.9433615 33.4263002, -111.9433638 33.4263633, -111.9433563 33.4265053, -111.9433453 33.4265671, -111.9433249 33.4266814, -111.9432746 33.4268558, -111.9432121 33.4269901, -111.9431874 33.4270337, -111.9431405 33.4271163, -111.9430789 33.4272077)</t>
  </si>
  <si>
    <t>LINESTRING (-111.9430789 33.4272077, -111.9431405 33.4271163, -111.9431874 33.4270337, -111.9432121 33.4269901, -111.9432746 33.4268558, -111.9433249 33.4266814, -111.9433453 33.4265671, -111.9433563 33.4265053, -111.9433638 33.4263633, -111.9433615 33.4263002, -111.9433518 33.4260281)</t>
  </si>
  <si>
    <t>LINESTRING (-111.9412736 33.4254885, -111.9412724 33.425398, -111.9412695 33.4249154, -111.9412691 33.4243385)</t>
  </si>
  <si>
    <t>LINESTRING (-111.9412691 33.4243385, -111.9412695 33.4249154, -111.9412724 33.425398, -111.9412736 33.4254885)</t>
  </si>
  <si>
    <t>LINESTRING (-111.9412513 33.426127, -111.9412751 33.4259829, -111.9412734 33.4255894, -111.9412736 33.4254885)</t>
  </si>
  <si>
    <t>LINESTRING (-111.9412736 33.4254885, -111.9412734 33.4255894, -111.9412751 33.4259829, -111.9412513 33.426127)</t>
  </si>
  <si>
    <t>LINESTRING (-111.9442882 33.4254677, -111.944289 33.4253792, -111.9442932 33.4248846, -111.9443033 33.4243197)</t>
  </si>
  <si>
    <t>LINESTRING (-111.9443033 33.4243197, -111.9442932 33.4248846, -111.944289 33.4253792, -111.9442882 33.4254677)</t>
  </si>
  <si>
    <t>LINESTRING (-111.9443033 33.4243197, -111.9443013 33.4237381, -111.9442993 33.4231771)</t>
  </si>
  <si>
    <t>LINESTRING (-111.9442993 33.4231771, -111.9443013 33.4237381, -111.9443033 33.4243197)</t>
  </si>
  <si>
    <t>LINESTRING (-111.9442993 33.4231771, -111.9442865 33.4223889, -111.9442806 33.4219919, -111.9442755 33.4219392, -111.9442661 33.4218936)</t>
  </si>
  <si>
    <t>LINESTRING (-111.9442661 33.4218936, -111.9442755 33.4219392, -111.9442806 33.4219919, -111.9442865 33.4223889, -111.9442993 33.4231771)</t>
  </si>
  <si>
    <t>LINESTRING (-111.9442661 33.4218936, -111.944256 33.421843, -111.9442502 33.4217971, -111.9442462 33.4217045, -111.9442507 33.4213791, -111.9442504 33.4211204, -111.9442498 33.420638)</t>
  </si>
  <si>
    <t>LINESTRING (-111.9442498 33.420638, -111.9442504 33.4211204, -111.9442507 33.4213791, -111.9442462 33.4217045, -111.9442502 33.4217971, -111.944256 33.421843, -111.9442661 33.4218936)</t>
  </si>
  <si>
    <t>LINESTRING (-111.9442498 33.420638, -111.9442479 33.4203483)</t>
  </si>
  <si>
    <t>LINESTRING (-111.9442479 33.4203483, -111.9442498 33.420638)</t>
  </si>
  <si>
    <t>LINESTRING (-111.9442479 33.4203483, -111.9442466 33.4200963, -111.944246 33.4198275, -111.944246 33.4194019)</t>
  </si>
  <si>
    <t>LINESTRING (-111.944246 33.4194019, -111.944246 33.4198275, -111.9442466 33.4200963, -111.9442479 33.4203483)</t>
  </si>
  <si>
    <t>LINESTRING (-111.944246 33.4194019, -111.9442456 33.4191934, -111.9442454 33.4190374, -111.9442453 33.4189174)</t>
  </si>
  <si>
    <t>LINESTRING (-111.9442453 33.4189174, -111.9442454 33.4190374, -111.9442456 33.4191934, -111.944246 33.4194019)</t>
  </si>
  <si>
    <t>LINESTRING (-111.9442453 33.4189174, -111.9442451 33.4187505, -111.9442449 33.4185663, -111.9442446 33.4183228, -111.9442439 33.4177833)</t>
  </si>
  <si>
    <t>LINESTRING (-111.9442439 33.4177833, -111.9442446 33.4183228, -111.9442449 33.4185663, -111.9442451 33.4187505, -111.9442453 33.4189174)</t>
  </si>
  <si>
    <t>LINESTRING (-111.9442439 33.4177833, -111.944243 33.4174879, -111.944243 33.4173753, -111.9442432 33.4172052, -111.9442425 33.4171126, -111.944241 33.4168222)</t>
  </si>
  <si>
    <t>LINESTRING (-111.944241 33.4168222, -111.9442425 33.4171126, -111.9442432 33.4172052, -111.944243 33.4173753, -111.944243 33.4174879, -111.9442439 33.4177833)</t>
  </si>
  <si>
    <t>LINESTRING (-111.944241 33.4168222, -111.9442407 33.4165478, -111.9442405 33.4163013, -111.9442404 33.4162081, -111.9442403 33.4160678)</t>
  </si>
  <si>
    <t>LINESTRING (-111.9442403 33.4160678, -111.9442404 33.4162081, -111.9442405 33.4163013, -111.9442407 33.4165478, -111.944241 33.4168222)</t>
  </si>
  <si>
    <t>LINESTRING (-111.9442403 33.4160678, -111.9442386 33.4153056, -111.9442376 33.4148785, -111.9442396 33.414851, -111.944247 33.4148214, -111.944249 33.4147939, -111.944248 33.4147162, -111.9442483 33.4146347)</t>
  </si>
  <si>
    <t>LINESTRING (-111.9442483 33.4146347, -111.944248 33.4147162, -111.944249 33.4147939, -111.944247 33.4148214, -111.9442396 33.414851, -111.9442376 33.4148785, -111.9442386 33.4153056, -111.9442403 33.4160678)</t>
  </si>
  <si>
    <t>LINESTRING (-111.9442567 33.4295155, -111.9442632 33.4293622, -111.9442672 33.4292694, -111.9442868 33.4292012, -111.9443252 33.4291446)</t>
  </si>
  <si>
    <t>LINESTRING (-111.9443252 33.4291446, -111.9442868 33.4292012, -111.9442672 33.4292694, -111.9442632 33.4293622, -111.9442567 33.4295155)</t>
  </si>
  <si>
    <t>West 3rd Street</t>
  </si>
  <si>
    <t>LINESTRING (-111.9400679 33.4273849, -111.940159 33.4273839, -111.941512 33.4273775, -111.9420474 33.4273706, -111.9422487 33.4273804, -111.942421 33.4274122, -111.9425921 33.4274644, -111.9426753 33.4274993, -111.9427719 33.4275569)</t>
  </si>
  <si>
    <t>LINESTRING (-111.9427719 33.4275569, -111.9426753 33.4274993, -111.9425921 33.4274644, -111.942421 33.4274122, -111.9422487 33.4273804, -111.9420474 33.4273706, -111.941512 33.4273775, -111.940159 33.4273839, -111.9400679 33.4273849)</t>
  </si>
  <si>
    <t>South Oak Street</t>
  </si>
  <si>
    <t>LINESTRING (-111.9142668 33.4146813, -111.9142652 33.4145788, -111.9142626 33.4141892, -111.9142615 33.4140599, -111.9142573 33.4135608)</t>
  </si>
  <si>
    <t>LINESTRING (-111.9142573 33.4135608, -111.9142615 33.4140599, -111.9142626 33.4141892, -111.9142652 33.4145788, -111.9142668 33.4146813)</t>
  </si>
  <si>
    <t>LINESTRING (-111.9142573 33.4135608, -111.9142653 33.4130714, -111.9142573 33.4126007)</t>
  </si>
  <si>
    <t>LINESTRING (-111.9142573 33.4126007, -111.9142653 33.4130714, -111.9142573 33.4135608)</t>
  </si>
  <si>
    <t>LINESTRING (-111.9142573 33.4126007, -111.9142573 33.4121114, -111.9142573 33.4116263)</t>
  </si>
  <si>
    <t>LINESTRING (-111.9142573 33.4116263, -111.9142573 33.4121114, -111.9142573 33.4126007)</t>
  </si>
  <si>
    <t>LINESTRING (-111.9215725 33.411344, -111.9209439 33.4113482)</t>
  </si>
  <si>
    <t>LINESTRING (-111.9209439 33.4113482, -111.9215725 33.411344)</t>
  </si>
  <si>
    <t>LINESTRING (-111.9209439 33.4113482, -111.9202907 33.4113526)</t>
  </si>
  <si>
    <t>LINESTRING (-111.9202907 33.4113526, -111.9209439 33.4113482)</t>
  </si>
  <si>
    <t>LINESTRING (-111.9202907 33.4113526, -111.920032 33.4113543)</t>
  </si>
  <si>
    <t>LINESTRING (-111.920032 33.4113543, -111.9202907 33.4113526)</t>
  </si>
  <si>
    <t>LINESTRING (-111.9454283 33.4264296, -111.9447027 33.4264321, -111.944657 33.426483, -111.9446461 33.4268521, -111.9446243 33.4268812, -111.9445197 33.4268885, -111.9442762 33.426894)</t>
  </si>
  <si>
    <t>LINESTRING (-111.9442762 33.426894, -111.9445197 33.4268885, -111.9446243 33.4268812, -111.9446461 33.4268521, -111.944657 33.426483, -111.9447027 33.4264321, -111.9454283 33.4264296)</t>
  </si>
  <si>
    <t>LINESTRING (-111.9091153 33.413681, -111.9091151 33.4135679, -111.9091151 33.4135018, -111.9091153 33.4133066, -111.9091056 33.4131825, -111.909107 33.4129882, -111.909107 33.4127865, -111.909108 33.4127086, -111.9091115 33.412465)</t>
  </si>
  <si>
    <t>LINESTRING (-111.9091115 33.412465, -111.909108 33.4127086, -111.909107 33.4127865, -111.909107 33.4129882, -111.9091056 33.4131825, -111.9091153 33.4133066, -111.9091151 33.4135018, -111.9091151 33.4135679, -111.9091153 33.413681)</t>
  </si>
  <si>
    <t>LINESTRING (-111.9262874 33.4063787, -111.9262873 33.4063969, -111.9262858 33.4066282)</t>
  </si>
  <si>
    <t>LINESTRING (-111.9262858 33.4066282, -111.9262873 33.4063969, -111.9262874 33.4063787)</t>
  </si>
  <si>
    <t>LINESTRING (-111.930766 33.4220427, -111.9332209 33.4220178, -111.9339909 33.4220122)</t>
  </si>
  <si>
    <t>LINESTRING (-111.9339909 33.4220122, -111.9348546 33.4220008, -111.9349691 33.4220021)</t>
  </si>
  <si>
    <t>LINESTRING (-111.9399677 33.4296814, -111.9399703 33.4297456, -111.9399734 33.4300281, -111.9399748 33.4301976)</t>
  </si>
  <si>
    <t>LINESTRING (-111.9220806 33.4148179, -111.9220799 33.4148007, -111.9220792 33.4147363, -111.9220805 33.4147096)</t>
  </si>
  <si>
    <t>LINESTRING (-111.9220805 33.4147096, -111.9220792 33.4147363, -111.9220799 33.4148007, -111.9220806 33.4148179)</t>
  </si>
  <si>
    <t>South Jessica Lane</t>
  </si>
  <si>
    <t>LINESTRING (-111.9209422 33.4116865, -111.9212533 33.4116828, -111.9212749 33.4116908, -111.921294 33.4117062, -111.9213042 33.4117247, -111.9213093 33.4117593, -111.9213156 33.4122813, -111.9212842 33.4123004, -111.921238 33.41231, -111.920949 33.41231)</t>
  </si>
  <si>
    <t>LINESTRING (-111.920949 33.41231, -111.921238 33.41231, -111.9212842 33.4123004, -111.9213156 33.4122813, -111.9213093 33.4117593, -111.9213042 33.4117247, -111.921294 33.4117062, -111.9212749 33.4116908, -111.9212533 33.4116828, -111.9209422 33.4116865)</t>
  </si>
  <si>
    <t>South Normal Avenue</t>
  </si>
  <si>
    <t>LINESTRING (-111.933278 33.4160881, -111.9332768 33.416015, -111.9332636 33.4151942, -111.9332559 33.4151418, -111.9332413 33.4150997, -111.9332026 33.415052, -111.9331283 33.4150215, -111.9330784 33.4150093, -111.9329104 33.4150107, -111.9328729 33.4150034, -111.9328365 33.4149747, -111.9328196 33.4149251, -111.932811 33.414864, -111.932805 33.4147645)</t>
  </si>
  <si>
    <t>LINESTRING (-111.932805 33.4147645, -111.932811 33.414864, -111.9328196 33.4149251, -111.9328365 33.4149747, -111.9328729 33.4150034, -111.9329104 33.4150107, -111.9330784 33.4150093, -111.9331283 33.4150215, -111.9332026 33.415052, -111.9332413 33.4150997, -111.9332559 33.4151418, -111.9332636 33.4151942, -111.9332768 33.416015, -111.933278 33.4160881)</t>
  </si>
  <si>
    <t>Hayden Mall</t>
  </si>
  <si>
    <t>LINESTRING (-111.9338292 33.4183283, -111.9338279 33.4182646, -111.9338274 33.4182431, -111.933827 33.418222, -111.9338244 33.4181047, -111.9338109 33.4174841, -111.9338024 33.4174345, -111.9337564 33.4173875, -111.9337435 33.4173789, -111.9337083 33.4173613)</t>
  </si>
  <si>
    <t>LINESTRING (-111.9337083 33.4173613, -111.9337435 33.4173789, -111.9337564 33.4173875, -111.9338024 33.4174345, -111.9338109 33.4174841, -111.9338244 33.4181047, -111.933827 33.418222, -111.9338274 33.4182431, -111.9338279 33.4182646, -111.9338292 33.4183283)</t>
  </si>
  <si>
    <t>LINESTRING (-111.9370852 33.4145236, -111.9372334 33.4145237, -111.9391606 33.4145063)</t>
  </si>
  <si>
    <t>LINESTRING (-111.9391606 33.4145063, -111.9372334 33.4145237, -111.9370852 33.4145236)</t>
  </si>
  <si>
    <t>LINESTRING (-111.9391606 33.4145063, -111.9394828 33.4145034, -111.9396432 33.4145427)</t>
  </si>
  <si>
    <t>LINESTRING (-111.9396432 33.4145427, -111.9394828 33.4145034, -111.9391606 33.4145063)</t>
  </si>
  <si>
    <t>LINESTRING (-111.9090775 33.4195301, -111.9090267 33.4197678, -111.9090272 33.4208582)</t>
  </si>
  <si>
    <t>LINESTRING (-111.9090272 33.4208582, -111.9090248 33.4212419)</t>
  </si>
  <si>
    <t>LINESTRING (-111.9091721 33.4208613, -111.90917 33.4207559, -111.909151 33.4197918, -111.9090775 33.4195301)</t>
  </si>
  <si>
    <t>LINESTRING (-111.9091036 33.4174837, -111.9090097 33.4174844, -111.9087853 33.4174861, -111.9081858 33.4174907, -111.907664 33.4174947)</t>
  </si>
  <si>
    <t>LINESTRING (-111.907664 33.4174947, -111.9081858 33.4174907, -111.9087853 33.4174861, -111.9090097 33.4174844, -111.9091036 33.4174837)</t>
  </si>
  <si>
    <t>LINESTRING (-111.907664 33.4174947, -111.9074988 33.417496)</t>
  </si>
  <si>
    <t>LINESTRING (-111.9074988 33.417496, -111.907664 33.4174947)</t>
  </si>
  <si>
    <t>LINESTRING (-111.9256844 33.4075643, -111.9260871 33.4075613, -111.926277 33.4075074)</t>
  </si>
  <si>
    <t>LINESTRING (-111.9205552 33.4187226, -111.9205576 33.4185739, -111.9205672 33.4179666, -111.9205699 33.417795, -111.9205749 33.4174822, -111.9205773 33.4173248, -111.920579 33.4172033, -111.920587 33.4167118)</t>
  </si>
  <si>
    <t>LINESTRING (-111.920587 33.4167118, -111.920579 33.4172033, -111.9205773 33.4173248, -111.9205749 33.4174822, -111.9205699 33.417795, -111.9205672 33.4179666, -111.9205576 33.4185739, -111.9205552 33.4187226)</t>
  </si>
  <si>
    <t>LINESTRING (-111.907664 33.4174947, -111.9076465 33.4168535)</t>
  </si>
  <si>
    <t>LINESTRING (-111.9076465 33.4168535, -111.907664 33.4174947)</t>
  </si>
  <si>
    <t>East Tenth Street</t>
  </si>
  <si>
    <t>LINESTRING (-111.9381178 33.419078, -111.9380385 33.4190779, -111.9377709 33.4190774, -111.9373118 33.4190765, -111.936617 33.4190938)</t>
  </si>
  <si>
    <t>LINESTRING (-111.936617 33.4190938, -111.9373118 33.4190765, -111.9377709 33.4190774, -111.9380385 33.4190779, -111.9381178 33.419078)</t>
  </si>
  <si>
    <t>LINESTRING (-111.9165031 33.4169307, -111.9165151 33.4161595)</t>
  </si>
  <si>
    <t>LINESTRING (-111.9165151 33.4161595, -111.9165031 33.4169307)</t>
  </si>
  <si>
    <t>LINESTRING (-111.938161 33.4254954, -111.9381622 33.4256128, -111.9381626 33.4256503, -111.9381648 33.4259301, -111.9381745 33.4268482, -111.9387635 33.427076, -111.9392411 33.4272607, -111.9393679 33.4273021, -111.939447 33.4273267, -111.9395019 33.4273825)</t>
  </si>
  <si>
    <t>LINESTRING (-111.9395019 33.4273825, -111.939447 33.4273267, -111.9393679 33.4273021, -111.9392411 33.4272607, -111.9387635 33.427076, -111.9381745 33.4268482, -111.9381648 33.4259301, -111.9381626 33.4256503, -111.9381622 33.4256128, -111.938161 33.4254954)</t>
  </si>
  <si>
    <t>LINESTRING (-111.9165151 33.4161595, -111.9165221 33.4157685, -111.9164439 33.4157358)</t>
  </si>
  <si>
    <t>LINESTRING (-111.9164439 33.4157358, -111.9165221 33.4157685, -111.9165151 33.4161595)</t>
  </si>
  <si>
    <t>Eas Broadway Lane</t>
  </si>
  <si>
    <t>LINESTRING (-111.9338232 33.407589, -111.9333175 33.4075921, -111.9316493 33.4076023, -111.931125 33.4076055)</t>
  </si>
  <si>
    <t>LINESTRING (-111.931125 33.4076055, -111.9316493 33.4076023, -111.9333175 33.4075921, -111.9338232 33.407589)</t>
  </si>
  <si>
    <t>LINESTRING (-111.926299 33.4195429, -111.9262989 33.420098)</t>
  </si>
  <si>
    <t>LINESTRING (-111.9262989 33.420098, -111.926299 33.4195429)</t>
  </si>
  <si>
    <t>LINESTRING (-111.9262989 33.420098, -111.9262989 33.420183, -111.9262989 33.4202366)</t>
  </si>
  <si>
    <t>LINESTRING (-111.9262989 33.4202366, -111.9262989 33.420183, -111.9262989 33.420098)</t>
  </si>
  <si>
    <t>LINESTRING (-111.9154572 33.4075088, -111.9154658 33.4074418)</t>
  </si>
  <si>
    <t>LINESTRING (-111.9154658 33.4074418, -111.9154572 33.4075088)</t>
  </si>
  <si>
    <t>LINESTRING (-111.9177031 33.4071744, -111.917669 33.4072504, -111.917666 33.4073725, -111.917698 33.4074448)</t>
  </si>
  <si>
    <t>LINESTRING (-111.917698 33.4074448, -111.9177461 33.4073751, -111.9177461 33.4072478, -111.9177031 33.4071744)</t>
  </si>
  <si>
    <t>LINESTRING (-111.9338336 33.4073034, -111.9338966 33.4070167, -111.9338966 33.4066011)</t>
  </si>
  <si>
    <t>LINESTRING (-111.9338966 33.4066011, -111.9338966 33.4070167, -111.9338336 33.4073034)</t>
  </si>
  <si>
    <t>LINESTRING (-111.9338966 33.4066011, -111.9338946 33.4063787)</t>
  </si>
  <si>
    <t>LINESTRING (-111.9338946 33.4063787, -111.9338966 33.4066011)</t>
  </si>
  <si>
    <t>LINESTRING (-111.9311382 33.4075231, -111.9311381 33.407433)</t>
  </si>
  <si>
    <t>LINESTRING (-111.9311381 33.407433, -111.9311382 33.4075231)</t>
  </si>
  <si>
    <t>LINESTRING (-111.9311381 33.407433, -111.9311353 33.4073277, -111.9311329 33.4072388, -111.9310728 33.4070095, -111.9310728 33.4066298)</t>
  </si>
  <si>
    <t>LINESTRING (-111.9310728 33.4066298, -111.9310728 33.4070095, -111.9311329 33.4072388, -111.9311353 33.4073277, -111.9311381 33.407433)</t>
  </si>
  <si>
    <t>LINESTRING (-111.9310728 33.4066298, -111.9310755 33.4063787)</t>
  </si>
  <si>
    <t>LINESTRING (-111.9310755 33.4063787, -111.9310728 33.4066298)</t>
  </si>
  <si>
    <t>LINESTRING (-111.9305895 33.4076081, -111.9301212 33.4076111)</t>
  </si>
  <si>
    <t>LINESTRING (-111.9301212 33.4076111, -111.9305895 33.4076081)</t>
  </si>
  <si>
    <t>LINESTRING (-111.9301212 33.4076111, -111.9272596 33.4076388, -111.9269827 33.4076415)</t>
  </si>
  <si>
    <t>LINESTRING (-111.9269827 33.4076415, -111.9272596 33.4076388, -111.9301212 33.4076111)</t>
  </si>
  <si>
    <t>LINESTRING (-111.9348907 33.4096079, -111.9349415 33.409658)</t>
  </si>
  <si>
    <t>LINESTRING (-111.9349415 33.409658, -111.9348907 33.4096079)</t>
  </si>
  <si>
    <t>LINESTRING (-111.9349415 33.409658, -111.9350116 33.4097675, -111.9350297 33.4098068, -111.9351314 33.410743, -111.9350228 33.4107541)</t>
  </si>
  <si>
    <t>LINESTRING (-111.9350228 33.4107541, -111.9351314 33.410743, -111.9350297 33.4098068, -111.9350116 33.4097675, -111.9349415 33.409658)</t>
  </si>
  <si>
    <t>LINESTRING (-111.9352728 33.4095791, -111.9352006 33.4095681, -111.9350451 33.4095918, -111.9349406 33.4096046)</t>
  </si>
  <si>
    <t>LINESTRING (-111.9349406 33.4096046, -111.9348907 33.4096079)</t>
  </si>
  <si>
    <t>LINESTRING (-111.9348907 33.4096079, -111.9346132 33.4096063, -111.9344649 33.4096352)</t>
  </si>
  <si>
    <t>LINESTRING (-111.9349226 33.4103317, -111.9349455 33.41024, -111.9349415 33.409658)</t>
  </si>
  <si>
    <t>LINESTRING (-111.9349415 33.409658, -111.9349406 33.4096046)</t>
  </si>
  <si>
    <t>LINESTRING (-111.9349406 33.4096046, -111.9349394 33.4094527, -111.934915 33.4093789)</t>
  </si>
  <si>
    <t>LINESTRING (-111.9349055 33.4071062, -111.9349083 33.4063787)</t>
  </si>
  <si>
    <t>LINESTRING (-111.9349083 33.4063787, -111.9349055 33.4071062)</t>
  </si>
  <si>
    <t>LINESTRING (-111.934915 33.4093789, -111.9348886 33.4094434, -111.9348907 33.4096079)</t>
  </si>
  <si>
    <t>LINESTRING (-111.9348907 33.4096079, -111.9348914 33.4096614)</t>
  </si>
  <si>
    <t>LINESTRING (-111.9348914 33.4096614, -111.9348988 33.4102383, -111.9349226 33.4103317)</t>
  </si>
  <si>
    <t>LINESTRING (-111.9344649 33.4096352, -111.9343116 33.4096364, -111.9339611 33.4096391, -111.933918 33.4096301, -111.9338902 33.4096095)</t>
  </si>
  <si>
    <t>LINESTRING (-111.9338902 33.4096095, -111.933918 33.4096301, -111.9339611 33.4096391, -111.9343116 33.4096364, -111.9344649 33.4096352)</t>
  </si>
  <si>
    <t>LINESTRING (-111.9346152 33.4096628, -111.9348445 33.4096623, -111.9348914 33.4096614)</t>
  </si>
  <si>
    <t>LINESTRING (-111.9348914 33.4096614, -111.9349415 33.409658)</t>
  </si>
  <si>
    <t>LINESTRING (-111.9349415 33.409658, -111.9350665 33.409636, -111.9352108 33.4096122, -111.9352728 33.4095791)</t>
  </si>
  <si>
    <t>LINESTRING (-111.9391606 33.4145063, -111.9391648 33.4146744, -111.939166 33.4147167)</t>
  </si>
  <si>
    <t>LINESTRING (-111.939166 33.4147167, -111.9391648 33.4146744, -111.9391606 33.4145063)</t>
  </si>
  <si>
    <t>LINESTRING (-111.9399036 33.4106076, -111.9398781 33.4095698, -111.9398808 33.4094109, -111.9398874 33.4092469, -111.9398902 33.409178, -111.9398969 33.4089933, -111.9398934 33.4086429, -111.9398915 33.4084526, -111.9398844 33.4080275)</t>
  </si>
  <si>
    <t>LINESTRING (-111.9399088 33.414649, -111.939851 33.4147095)</t>
  </si>
  <si>
    <t>LINESTRING (-111.9398514 33.4147836, -111.9398518 33.4148633, -111.9398519 33.4148787, -111.9398529 33.4150571, -111.9398595 33.4154274, -111.9398582 33.4155259, -111.9398483 33.41561, -111.9398253 33.4156688, -111.939792 33.4157247, -111.9397232 33.4158205, -111.9396384 33.4159081, -111.9395884 33.4159654)</t>
  </si>
  <si>
    <t>LINESTRING (-111.9398073 33.4114264, -111.9398258 33.4120192, -111.9398333 33.4124503, -111.9398827 33.4125946)</t>
  </si>
  <si>
    <t>South Oakley Place</t>
  </si>
  <si>
    <t>LINESTRING (-111.9365803 33.4129111, -111.9365723 33.4119575)</t>
  </si>
  <si>
    <t>LINESTRING (-111.9365723 33.4119575, -111.9365803 33.4129111)</t>
  </si>
  <si>
    <t>LINESTRING (-111.9397885 33.4106036, -111.9398073 33.4114264)</t>
  </si>
  <si>
    <t>LINESTRING (-111.9399239 33.411432, -111.9399036 33.4106076)</t>
  </si>
  <si>
    <t>LINESTRING (-111.9397375 33.4128425, -111.939748 33.4127455, -111.9397324 33.4119109)</t>
  </si>
  <si>
    <t>LINESTRING (-111.9397324 33.4119109, -111.939748 33.4127455, -111.9397375 33.4128425)</t>
  </si>
  <si>
    <t>LINESTRING (-111.9397324 33.4119109, -111.9397238 33.4115254, -111.9397147 33.411254, -111.9397026 33.4111823, -111.9396664 33.4111275)</t>
  </si>
  <si>
    <t>LINESTRING (-111.9396664 33.4111275, -111.9397026 33.4111823, -111.9397147 33.411254, -111.9397238 33.4115254, -111.9397324 33.4119109)</t>
  </si>
  <si>
    <t>LINESTRING (-111.9398827 33.4125946, -111.9399438 33.4124637, -111.9399347 33.4119962, -111.9399239 33.411432)</t>
  </si>
  <si>
    <t>South Grandview Drive</t>
  </si>
  <si>
    <t>LINESTRING (-111.9379608 33.4128944, -111.9379621 33.4119438)</t>
  </si>
  <si>
    <t>LINESTRING (-111.9379621 33.4119438, -111.9379608 33.4128944)</t>
  </si>
  <si>
    <t>LINESTRING (-111.9397789 33.4086629, -111.9397831 33.4089948, -111.9397818 33.4091728, -111.9397737 33.4094001, -111.9397697 33.409633, -111.9397724 33.4098916, -111.9397885 33.4106036)</t>
  </si>
  <si>
    <t>LINESTRING (-111.9366724 33.4254992, -111.9365805 33.4255003, -111.936488 33.4255014, -111.9363613 33.4255029, -111.936319 33.4255035)</t>
  </si>
  <si>
    <t>LINESTRING (-111.936319 33.4255035, -111.9363613 33.4255029, -111.936488 33.4255014, -111.9365805 33.4255003, -111.9366724 33.4254992)</t>
  </si>
  <si>
    <t>LINESTRING (-111.9353519 33.4255151, -111.9351511 33.4254952, -111.9350723 33.42548, -111.9349278 33.4254396)</t>
  </si>
  <si>
    <t>LINESTRING (-111.9349278 33.4254396, -111.9350723 33.42548, -111.9351511 33.4254952, -111.9353519 33.4255151)</t>
  </si>
  <si>
    <t>LINESTRING (-111.9423987 33.4224828, -111.9424 33.4225322, -111.9424035 33.4226697, -111.9424284 33.4228342, -111.9424643 33.4229746, -111.9424919 33.4230562, -111.9425071 33.4231013, -111.9425575 33.4232185, -111.9426053 33.4233152, -111.9426847 33.423443, -111.9427662 33.4235559, -111.9429224 33.4237607, -111.9430897 33.4239947, -111.943147 33.4240883, -111.9431857 33.4241598, -111.9432183 33.4242317)</t>
  </si>
  <si>
    <t>LINESTRING (-111.9432183 33.4242317, -111.9431857 33.4241598, -111.943147 33.4240883, -111.9430897 33.4239947, -111.9429224 33.4237607, -111.9427662 33.4235559, -111.9426847 33.423443, -111.9426053 33.4233152, -111.9425575 33.4232185, -111.9425071 33.4231013, -111.9424919 33.4230562, -111.9424643 33.4229746, -111.9424284 33.4228342, -111.9424035 33.4226697, -111.9424 33.4225322, -111.9423987 33.4224828)</t>
  </si>
  <si>
    <t>LINESTRING (-111.9432183 33.4242317, -111.9432561 33.4243307, -111.9433093 33.4245024, -111.9433398 33.4246297, -111.9433521 33.4247954, -111.9433507 33.4249452)</t>
  </si>
  <si>
    <t>LINESTRING (-111.9433507 33.4249452, -111.9433521 33.4247954, -111.9433398 33.4246297, -111.9433093 33.4245024, -111.9432561 33.4243307, -111.9432183 33.4242317)</t>
  </si>
  <si>
    <t>LINESTRING (-111.9400797 33.4254922, -111.9406267 33.425492, -111.9411959 33.4254872, -111.9412736 33.4254885)</t>
  </si>
  <si>
    <t>LINESTRING (-111.9412736 33.4254885, -111.9411959 33.4254872, -111.9406267 33.425492, -111.9400797 33.4254922)</t>
  </si>
  <si>
    <t>LINESTRING (-111.9412736 33.4254885, -111.9424801 33.4254848, -111.9425451 33.4254846, -111.9428663 33.4254836, -111.9432452 33.4254824, -111.943347 33.4254811)</t>
  </si>
  <si>
    <t>LINESTRING (-111.943347 33.4254811, -111.9432452 33.4254824, -111.9428663 33.4254836, -111.9425451 33.4254846, -111.9424801 33.4254848, -111.9412736 33.4254885)</t>
  </si>
  <si>
    <t>LINESTRING (-111.9426236 33.4294744, -111.9427174 33.4294743, -111.9427744 33.4294631, -111.9428076 33.4294446, -111.9428462 33.4294111, -111.9428674 33.4293722)</t>
  </si>
  <si>
    <t>LINESTRING (-111.9090831 33.4291849, -111.9088973 33.4292026, -111.9085132 33.4292368, -111.9083739 33.4292388, -111.9082465 33.4292407, -111.9079349 33.4292452, -111.9074988 33.4292515)</t>
  </si>
  <si>
    <t>LINESTRING (-111.9082205 33.4219911, -111.907982 33.4219936, -111.9079001 33.4219945, -111.9074988 33.4219987)</t>
  </si>
  <si>
    <t>LINESTRING (-111.9074988 33.4219987, -111.9079001 33.4219945, -111.907982 33.4219936, -111.9082205 33.4219911)</t>
  </si>
  <si>
    <t>LINESTRING (-111.9443252 33.4291446, -111.9443136 33.4283475, -111.9443125 33.4283045, -111.9443068 33.4280856, -111.9443026 33.4279205, -111.9442962 33.4276724, -111.944278 33.4269646, -111.9442762 33.426894)</t>
  </si>
  <si>
    <t>LINESTRING (-111.9442762 33.426894, -111.944278 33.4269646, -111.9442962 33.4276724, -111.9443026 33.4279205, -111.9443068 33.4280856, -111.9443125 33.4283045, -111.9443136 33.4283475, -111.9443252 33.4291446)</t>
  </si>
  <si>
    <t>LINESTRING (-111.9442762 33.426894, -111.9442763 33.4268689, -111.9442795 33.4261428, -111.9442869 33.4255663, -111.9442882 33.4254677)</t>
  </si>
  <si>
    <t>LINESTRING (-111.9442882 33.4254677, -111.9442869 33.4255663, -111.9442795 33.4261428, -111.9442763 33.4268689, -111.9442762 33.426894)</t>
  </si>
  <si>
    <t>LINESTRING (-111.9090927 33.421982, -111.9090932 33.4218487, -111.9090932 33.4218349)</t>
  </si>
  <si>
    <t>LINESTRING (-111.9090932 33.4218349, -111.9090932 33.4218487, -111.9090927 33.421982)</t>
  </si>
  <si>
    <t>LINESTRING (-111.9093577 33.4329923, -111.9093402 33.4328486, -111.9093226 33.4326993, -111.9093089 33.4325046)</t>
  </si>
  <si>
    <t>LINESTRING (-111.9093089 33.4325046, -111.9093226 33.4326993, -111.9093402 33.4328486, -111.9093577 33.4329923)</t>
  </si>
  <si>
    <t>LINESTRING (-111.9448055 33.4291415, -111.9450555 33.4291399)</t>
  </si>
  <si>
    <t>LINESTRING (-111.9450555 33.4291399, -111.9448055 33.4291415)</t>
  </si>
  <si>
    <t>LINESTRING (-111.9450555 33.4291399, -111.9451628 33.4291392)</t>
  </si>
  <si>
    <t>LINESTRING (-111.9451628 33.4291392, -111.9450555 33.4291399)</t>
  </si>
  <si>
    <t>LINESTRING (-111.9451628 33.4291392, -111.9454283 33.4291374)</t>
  </si>
  <si>
    <t>LINESTRING (-111.9454283 33.4291374, -111.9451628 33.4291392)</t>
  </si>
  <si>
    <t>LINESTRING (-111.9442882 33.4254677, -111.944207 33.4254493, -111.9438535 33.4254392, -111.9436145 33.4254447, -111.9435715 33.4254464, -111.9434704 33.4254475, -111.9434356 33.4254569, -111.943347 33.4254811)</t>
  </si>
  <si>
    <t>LINESTRING (-111.9394923 33.4160741, -111.9395917 33.4162443, -111.9396552 33.4163722, -111.9396985 33.4164722, -111.9397357 33.4165691, -111.9397719 33.4166997, -111.9397962 33.4167943, -111.9398174 33.4169022, -111.9398348 33.4170325)</t>
  </si>
  <si>
    <t>LINESTRING (-111.9400789 33.424691, -111.9400719 33.424345)</t>
  </si>
  <si>
    <t>LINESTRING (-111.9399633 33.4273851, -111.9399644 33.4274908, -111.9399642 33.4275269, -111.9399623 33.427579, -111.9399618 33.4281865)</t>
  </si>
  <si>
    <t>LINESTRING (-111.9090865 33.422857, -111.9090873 33.4227729, -111.9090899 33.4225081, -111.9090902 33.4224399, -111.9090914 33.4221229, -111.9090915 33.4221124, -111.9090927 33.421982)</t>
  </si>
  <si>
    <t>LINESTRING (-111.9090927 33.421982, -111.9090915 33.4221124, -111.9090914 33.4221229, -111.9090902 33.4224399, -111.9090899 33.4225081, -111.9090873 33.4227729, -111.9090865 33.422857)</t>
  </si>
  <si>
    <t>LINESTRING (-111.9091053 33.4074308, -111.9089491 33.4074295, -111.908934 33.4074294)</t>
  </si>
  <si>
    <t>LINESTRING (-111.9091145 33.4068521, -111.9091158 33.4067594, -111.9091164 33.4066974, -111.9091189 33.4064571, -111.9091194 33.4064032, -111.9091195 33.4063787)</t>
  </si>
  <si>
    <t>LINESTRING (-111.9091195 33.4063787, -111.9091194 33.4064032, -111.9091189 33.4064571, -111.9091164 33.4066974, -111.9091158 33.4067594, -111.9091145 33.4068521)</t>
  </si>
  <si>
    <t>LINESTRING (-111.9236803 33.4074433, -111.9234733 33.4074432, -111.9232083 33.407443, -111.9230728 33.4074436)</t>
  </si>
  <si>
    <t>LINESTRING (-111.9091141 33.4146219, -111.9089293 33.4146164, -111.9077033 33.414636, -111.9074988 33.4146419)</t>
  </si>
  <si>
    <t>LINESTRING (-111.907599 33.4148463, -111.9076295 33.414846, -111.9077859 33.4148453, -111.9080642 33.4148433, -111.9082218 33.4148401, -111.9083981 33.4148384, -111.9087124 33.4148353, -111.9089373 33.4148331, -111.9091135 33.4148353)</t>
  </si>
  <si>
    <t>LINESTRING (-111.9349593 33.4147529, -111.9361331 33.4147441)</t>
  </si>
  <si>
    <t>LINESTRING (-111.932805 33.4147645, -111.9334872 33.4147609, -111.9342173 33.4147571)</t>
  </si>
  <si>
    <t>LINESTRING (-111.9349506 33.4161111, -111.9349516 33.4160604, -111.934949 33.4159047, -111.9349497 33.4156773, -111.9349498 33.4155051)</t>
  </si>
  <si>
    <t>LINESTRING (-111.9398741 33.4074072, -111.9397601 33.4074084)</t>
  </si>
  <si>
    <t>LINESTRING (-111.9397601 33.4074084, -111.9398741 33.4074072)</t>
  </si>
  <si>
    <t>LINESTRING (-111.9398741 33.4074072, -111.9398721 33.4072567, -111.9398676 33.406926, -111.9398081 33.4067486)</t>
  </si>
  <si>
    <t>LINESTRING (-111.9397915 33.4068077, -111.939755 33.4069372, -111.9397585 33.4072614, -111.9397586 33.407269, -111.9397601 33.4074084)</t>
  </si>
  <si>
    <t>LINESTRING (-111.9374938 33.4305413, -111.9376249 33.4304928, -111.93779 33.430425, -111.9381333 33.4302428, -111.9385575 33.4299923, -111.9387444 33.4298774, -111.9389072 33.429817, -111.9390123 33.4297834, -111.9391344 33.4297661)</t>
  </si>
  <si>
    <t>LINESTRING (-111.9409696 33.4323251, -111.9408777 33.4321631, -111.9407559 33.4319312, -111.9406421 33.4316966, -111.9405747 33.431551)</t>
  </si>
  <si>
    <t>LINESTRING (-111.9405747 33.431551, -111.9404627 33.431309)</t>
  </si>
  <si>
    <t>LINESTRING (-111.9426236 33.4294744, -111.942704 33.4295252, -111.9428006 33.4295795, -111.9428484 33.4296132)</t>
  </si>
  <si>
    <t>LINESTRING (-111.943241 33.4309221, -111.9432598 33.4313735, -111.9432674 33.4314582, -111.943279 33.431512, -111.9432908 33.4315395, -111.9433397 33.4315899, -111.9433914 33.4316223, -111.9434148 33.4316316, -111.9435436 33.4316395, -111.9436656 33.4316361, -111.9439627 33.4316223, -111.9442986 33.4316115, -111.9445601 33.4315936, -111.9448197 33.4315551, -111.9450786 33.4315075, -111.9453632 33.4314408, -111.9454283 33.431424)</t>
  </si>
  <si>
    <t>LINESTRING (-111.9398834 33.4126638, -111.9398827 33.4125946)</t>
  </si>
  <si>
    <t>LINESTRING (-111.9398827 33.4125946, -111.9398834 33.4126638)</t>
  </si>
  <si>
    <t>LINESTRING (-111.9399088 33.414649, -111.9399085 33.4146357, -111.9399016 33.4142825)</t>
  </si>
  <si>
    <t>LINESTRING (-111.9399016 33.4142825, -111.9399085 33.4146357, -111.9399088 33.414649)</t>
  </si>
  <si>
    <t>LINESTRING (-111.9398829 33.4130694, -111.9398834 33.4126638)</t>
  </si>
  <si>
    <t>LINESTRING (-111.9398834 33.4126638, -111.9398829 33.4130694)</t>
  </si>
  <si>
    <t>LINESTRING (-111.9399667 33.4167979, -111.9399807 33.4165053, -111.9399783 33.4162056)</t>
  </si>
  <si>
    <t>LINESTRING (-111.9399783 33.4162056, -111.9399777 33.4161231, -111.9399706 33.4151936, -111.939969 33.4151097)</t>
  </si>
  <si>
    <t>LINESTRING (-111.9177001 33.4146384, -111.9175764 33.4146213, -111.9173605 33.4146095, -111.9171222 33.414605)</t>
  </si>
  <si>
    <t>LINESTRING (-111.9171222 33.414605, -111.9168985 33.4146168, -111.9166303 33.4146459, -111.9160141 33.4146817, -111.9159113 33.4146823, -111.9158751 33.4146825, -111.9151426 33.4146832, -111.9150355 33.4146833, -111.9149784 33.4146834, -111.9147511 33.4146836, -111.9145783 33.4146828, -111.9142668 33.4146813)</t>
  </si>
  <si>
    <t>LINESTRING (-111.9142668 33.4146813, -111.9136957 33.414677)</t>
  </si>
  <si>
    <t>LINESTRING (-111.9124775 33.4148608, -111.912586 33.4148583, -111.9133844 33.4148388)</t>
  </si>
  <si>
    <t>LINESTRING (-111.9186464 33.4146574, -111.9181231 33.4146573, -111.9177876 33.4146477, -111.9177001 33.4146384)</t>
  </si>
  <si>
    <t>LINESTRING (-111.9212488 33.4147092, -111.9210748 33.4147082, -111.9206995 33.4147061, -111.9204485 33.4147071)</t>
  </si>
  <si>
    <t>LINESTRING (-111.9133779 33.4146776, -111.913334 33.4146782, -111.9127952 33.4146755, -111.9125876 33.4146744, -111.9124726 33.4146766)</t>
  </si>
  <si>
    <t>LINESTRING (-111.9113853 33.4148731, -111.9114074 33.4148729, -111.9116119 33.4148712, -111.9117367 33.4148702, -111.9118325 33.4148694, -111.9122444 33.4148666, -111.9123384 33.4148643)</t>
  </si>
  <si>
    <t>LINESTRING (-111.9091135 33.4148353, -111.9093148 33.4148379, -111.9095739 33.4148443, -111.90993 33.4148536, -111.9102121 33.4148609, -111.9103279 33.4148639, -111.9104423 33.4148669, -111.9109141 33.4148697, -111.9111937 33.4148714, -111.9112903 33.4148723, -111.9113853 33.4148731)</t>
  </si>
  <si>
    <t>LINESTRING (-111.9123398 33.4146772, -111.9122521 33.4146782, -111.9116264 33.4146923, -111.911185 33.4147022, -111.9111208 33.4147013, -111.9107672 33.4147008, -111.9105903 33.4147002)</t>
  </si>
  <si>
    <t>LINESTRING (-111.9204485 33.4147071, -111.9201988 33.4146756, -111.9200499 33.414669, -111.9199608 33.4146664, -111.9191579 33.4146605)</t>
  </si>
  <si>
    <t>LINESTRING (-111.9105903 33.4147002, -111.9105708 33.4147001)</t>
  </si>
  <si>
    <t>LINESTRING (-111.9105708 33.4147001, -111.9104618 33.4146998, -111.910382 33.414697)</t>
  </si>
  <si>
    <t>LINESTRING (-111.910382 33.414697, -111.9101523 33.4146891, -111.9100765 33.4146835, -111.9095554 33.4146448, -111.9093235 33.4146284, -111.9091141 33.4146219)</t>
  </si>
  <si>
    <t>LINESTRING (-111.9189923 33.4148614, -111.9191953 33.4148677, -111.9194664 33.4148775, -111.9196193 33.414883, -111.9200637 33.4148878, -111.9203059 33.4148826, -111.9203868 33.4148865)</t>
  </si>
  <si>
    <t>LINESTRING (-111.9361331 33.4147441, -111.9366081 33.4147406)</t>
  </si>
  <si>
    <t>LINESTRING (-111.9370216 33.4146084, -111.9368695 33.4146039, -111.9366104 33.4145994)</t>
  </si>
  <si>
    <t>LINESTRING (-111.9314439 33.4146642, -111.9308032 33.4146642, -111.9306654 33.4146657)</t>
  </si>
  <si>
    <t>LINESTRING (-111.9300149 33.4147941, -111.9306499 33.4147876)</t>
  </si>
  <si>
    <t>LINESTRING (-111.9335205 33.4146455, -111.9329616 33.4146434, -111.9327942 33.4146458)</t>
  </si>
  <si>
    <t>LINESTRING (-111.9306499 33.4147876, -111.9314542 33.4147814, -111.9322177 33.4147716)</t>
  </si>
  <si>
    <t>LINESTRING (-111.9342173 33.4147571, -111.9349593 33.4147529)</t>
  </si>
  <si>
    <t>LINESTRING (-111.9322177 33.4147716, -111.9327145 33.4147655, -111.932805 33.4147645)</t>
  </si>
  <si>
    <t>LINESTRING (-111.926748 33.414692, -111.9264869 33.4146891, -111.9262925 33.4146937)</t>
  </si>
  <si>
    <t>LINESTRING (-111.9258763 33.414841, -111.9260869 33.4148478, -111.9261123 33.4148477, -111.9262878 33.4148429)</t>
  </si>
  <si>
    <t>LINESTRING (-111.9327942 33.4146458, -111.9327155 33.4146467, -111.9314439 33.4146642)</t>
  </si>
  <si>
    <t>LINESTRING (-111.9366104 33.4145994, -111.9361365 33.4146038, -111.9349552 33.4146147)</t>
  </si>
  <si>
    <t>LINESTRING (-111.9291456 33.4146674, -111.9285601 33.4146783)</t>
  </si>
  <si>
    <t>LINESTRING (-111.9285601 33.4146783, -111.9273992 33.4146867, -111.927372 33.4146858)</t>
  </si>
  <si>
    <t>LINESTRING (-111.9262878 33.4148429, -111.9264799 33.4148394, -111.9273686 33.4148082)</t>
  </si>
  <si>
    <t>LINESTRING (-111.9400269 33.417428, -111.9399667 33.4167979)</t>
  </si>
  <si>
    <t>LINESTRING (-111.9398502 33.4186881, -111.9398505 33.4187373)</t>
  </si>
  <si>
    <t>LINESTRING (-111.9398661 33.4195538, -111.9398663 33.4195688, -111.9398665 33.419777)</t>
  </si>
  <si>
    <t>LINESTRING (-111.9398957 33.4212893, -111.9398841 33.4214786, -111.9399051 33.4217848, -111.9398936 33.4218943)</t>
  </si>
  <si>
    <t>LINESTRING (-111.9398665 33.419777, -111.9398722 33.4200156)</t>
  </si>
  <si>
    <t>LINESTRING (-111.9398606 33.4193366, -111.9398661 33.4195538)</t>
  </si>
  <si>
    <t>LINESTRING (-111.939894 33.4211696, -111.9398957 33.4212893)</t>
  </si>
  <si>
    <t>LINESTRING (-111.9398722 33.4200156, -111.9398812 33.4202361)</t>
  </si>
  <si>
    <t>LINESTRING (-111.9398833 33.4204904, -111.9398874 33.4205831, -111.9398937 33.4209604, -111.939894 33.4211696)</t>
  </si>
  <si>
    <t>LINESTRING (-111.9398505 33.4187373, -111.9398515 33.4189843, -111.939854 33.4190575)</t>
  </si>
  <si>
    <t>LINESTRING (-111.939854 33.4190575, -111.9398574 33.4191385, -111.9398606 33.4193366)</t>
  </si>
  <si>
    <t>LINESTRING (-111.9398812 33.4202361, -111.9398785 33.4204046, -111.9398833 33.4204904)</t>
  </si>
  <si>
    <t>LINESTRING (-111.9400338 33.4194368, -111.9400303 33.419138, -111.940028 33.4190552)</t>
  </si>
  <si>
    <t>LINESTRING (-111.9398468 33.4176189, -111.9398459 33.4177098, -111.939845 33.4181798, -111.939845 33.4184391, -111.9398502 33.4186881)</t>
  </si>
  <si>
    <t>LINESTRING (-111.940028 33.4190552, -111.9400261 33.4189851, -111.9400234 33.4185957, -111.9400215 33.4184111, -111.9400217 33.4183487, -111.9400275 33.4179958, -111.9400256 33.4177102, -111.9400253 33.4176249)</t>
  </si>
  <si>
    <t>LINESTRING (-111.9400253 33.4176249, -111.940029 33.4174558)</t>
  </si>
  <si>
    <t>LINESTRING (-111.939958 33.4251292, -111.9399606 33.425492)</t>
  </si>
  <si>
    <t>LINESTRING (-111.9400687 33.4231956, -111.9400741 33.4225274)</t>
  </si>
  <si>
    <t>LINESTRING (-111.9400646 33.4234469, -111.9400687 33.4231956)</t>
  </si>
  <si>
    <t>LINESTRING (-111.9400785 33.4260353, -111.9400797 33.4254922)</t>
  </si>
  <si>
    <t>LINESTRING (-111.9399523 33.4243448, -111.939958 33.4251292)</t>
  </si>
  <si>
    <t>LINESTRING (-111.9399588 33.4240116, -111.9399523 33.4243448)</t>
  </si>
  <si>
    <t>LINESTRING (-111.9400719 33.424345, -111.9400646 33.4234469)</t>
  </si>
  <si>
    <t>LINESTRING (-111.9400797 33.4254922, -111.9400789 33.424691)</t>
  </si>
  <si>
    <t>LINESTRING (-111.9400741 33.4225274, -111.9400778 33.4220718, -111.940079 33.4219785, -111.9400803 33.4219289)</t>
  </si>
  <si>
    <t>LINESTRING (-111.9399641 33.4264662, -111.939964 33.4270359)</t>
  </si>
  <si>
    <t>LINESTRING (-111.9399618 33.4281865, -111.9399616 33.4284311)</t>
  </si>
  <si>
    <t>LINESTRING (-111.9399606 33.425492, -111.9399637 33.426342)</t>
  </si>
  <si>
    <t>LINESTRING (-111.9399832 33.4290713, -111.9399845 33.4292269)</t>
  </si>
  <si>
    <t>LINESTRING (-111.939954 33.422988, -111.9399581 33.4231886)</t>
  </si>
  <si>
    <t>LINESTRING (-111.9399637 33.426342, -111.9399641 33.4264662)</t>
  </si>
  <si>
    <t>LINESTRING (-111.9399581 33.4231886, -111.9399609 33.4239039, -111.9399588 33.4240116)</t>
  </si>
  <si>
    <t>LINESTRING (-111.9399845 33.4292269, -111.9399957 33.4293836, -111.9399694 33.4294678, -111.9399608 33.4294989, -111.9399635 33.4295773)</t>
  </si>
  <si>
    <t>LINESTRING (-111.939964 33.4270359, -111.9399639 33.4272821, -111.9399633 33.4273851)</t>
  </si>
  <si>
    <t>LINESTRING (-111.9399616 33.4284311, -111.9399764 33.4284638, -111.9399917 33.4284947, -111.9399996 33.4286739, -111.9399832 33.4290713)</t>
  </si>
  <si>
    <t>LINESTRING (-111.9400691 33.4277606, -111.9400679 33.4275756, -111.9400695 33.4275261, -111.9400695 33.4274911)</t>
  </si>
  <si>
    <t>LINESTRING (-111.9400872 33.4295692, -111.9400836 33.4294932, -111.9400739 33.4285325, -111.9400691 33.4277606)</t>
  </si>
  <si>
    <t>LINESTRING (-111.9248832 33.4220294, -111.9245967 33.4220289, -111.924569 33.4220289, -111.9241415 33.4220282, -111.9240913 33.4220281, -111.9238397 33.4220263, -111.923216 33.4220268, -111.9228964 33.4220263)</t>
  </si>
  <si>
    <t>LINESTRING (-111.9228964 33.4220263, -111.923216 33.4220268, -111.9238397 33.4220263, -111.9240913 33.4220281, -111.9241415 33.4220282, -111.924569 33.4220289, -111.9245967 33.4220289, -111.9248832 33.4220294)</t>
  </si>
  <si>
    <t>LINESTRING (-111.9228964 33.4220263, -111.922644 33.4220242, -111.9218866 33.4220175, -111.9214318 33.4220136, -111.9208212 33.4220148, -111.9207233 33.422015, -111.9192834 33.4220178, -111.9188028 33.4220181, -111.9181401 33.4220184)</t>
  </si>
  <si>
    <t>LINESTRING (-111.9181401 33.4220184, -111.9188028 33.4220181, -111.9192834 33.4220178, -111.9207233 33.422015, -111.9208212 33.4220148, -111.9214318 33.4220136, -111.9218866 33.4220175, -111.922644 33.4220242, -111.9228964 33.4220263)</t>
  </si>
  <si>
    <t>LINESTRING (-111.9102088 33.4219858, -111.9100774 33.421985)</t>
  </si>
  <si>
    <t>LINESTRING (-111.9100774 33.421985, -111.9102088 33.4219858)</t>
  </si>
  <si>
    <t>LINESTRING (-111.9273877 33.4220144, -111.9271825 33.4220171)</t>
  </si>
  <si>
    <t>LINESTRING (-111.9271825 33.4220171, -111.9273877 33.4220144)</t>
  </si>
  <si>
    <t>LINESTRING (-111.9295985 33.4220148, -111.9290744 33.4220195, -111.9289415 33.4220194)</t>
  </si>
  <si>
    <t>LINESTRING (-111.9289415 33.4220194, -111.9290744 33.4220195, -111.9295985 33.4220148)</t>
  </si>
  <si>
    <t>LINESTRING (-111.9177025 33.4220187, -111.9175754 33.4220179, -111.9171959 33.4220165)</t>
  </si>
  <si>
    <t>LINESTRING (-111.9171959 33.4220165, -111.9175754 33.4220179, -111.9177025 33.4220187)</t>
  </si>
  <si>
    <t>LINESTRING (-111.9171959 33.4220165, -111.9169424 33.4220155, -111.9163602 33.4220133, -111.9162629 33.422013, -111.9152085 33.422009, -111.9147955 33.4220074, -111.9143957 33.4220059, -111.9143229 33.4220056, -111.9127934 33.4219998, -111.9127294 33.4219995, -111.9117875 33.421996, -111.9108326 33.4219898, -111.9102088 33.4219858)</t>
  </si>
  <si>
    <t>LINESTRING (-111.9102088 33.4219858, -111.9108326 33.4219898, -111.9117875 33.421996, -111.9127294 33.4219995, -111.9127934 33.4219998, -111.9143229 33.4220056, -111.9143957 33.4220059, -111.9147955 33.4220074, -111.9152085 33.422009, -111.9162629 33.422013, -111.9163602 33.4220133, -111.9169424 33.4220155, -111.9171959 33.4220165)</t>
  </si>
  <si>
    <t>LINESTRING (-111.9289415 33.4220194, -111.9287923 33.4220192, -111.9285987 33.4220169)</t>
  </si>
  <si>
    <t>LINESTRING (-111.9285987 33.4220169, -111.9287923 33.4220192, -111.9289415 33.4220194)</t>
  </si>
  <si>
    <t>LINESTRING (-111.9100774 33.421985, -111.909292 33.4219799, -111.9092824 33.42198, -111.9090927 33.421982)</t>
  </si>
  <si>
    <t>LINESTRING (-111.9090927 33.421982, -111.9092824 33.42198, -111.909292 33.4219799, -111.9100774 33.421985)</t>
  </si>
  <si>
    <t>LINESTRING (-111.9181401 33.4220184, -111.9178245 33.4220186, -111.9177025 33.4220187)</t>
  </si>
  <si>
    <t>LINESTRING (-111.9177025 33.4220187, -111.9178245 33.4220186, -111.9181401 33.4220184)</t>
  </si>
  <si>
    <t>LINESTRING (-111.9271825 33.4220171, -111.9270745 33.4220186, -111.9268583 33.4220215, -111.9265015 33.4220263, -111.926448 33.422027, -111.9264076 33.4220275)</t>
  </si>
  <si>
    <t>LINESTRING (-111.9264076 33.4220275, -111.926448 33.422027, -111.9265015 33.4220263, -111.9268583 33.4220215, -111.9270745 33.4220186, -111.9271825 33.4220171)</t>
  </si>
  <si>
    <t>LINESTRING (-111.926243 33.4220288, -111.9261176 33.4220314, -111.9257789 33.4220309, -111.92561 33.4220306, -111.9254096 33.4220303)</t>
  </si>
  <si>
    <t>LINESTRING (-111.9254096 33.4220303, -111.92561 33.4220306, -111.9257789 33.4220309, -111.9261176 33.4220314, -111.926243 33.4220288)</t>
  </si>
  <si>
    <t>LINESTRING (-111.9390184 33.4219833, -111.9393277 33.4219821, -111.9393949 33.4219819, -111.9398577 33.4219804, -111.9398966 33.4219821)</t>
  </si>
  <si>
    <t>LINESTRING (-111.9285987 33.4220169, -111.9283481 33.422014, -111.9282882 33.422014, -111.9275425 33.4220137)</t>
  </si>
  <si>
    <t>LINESTRING (-111.9275425 33.4220137, -111.9282882 33.422014, -111.9283481 33.422014, -111.9285987 33.4220169)</t>
  </si>
  <si>
    <t>LINESTRING (-111.9275425 33.4220137, -111.9274588 33.4220137, -111.9274362 33.4220137, -111.9273877 33.4220144)</t>
  </si>
  <si>
    <t>LINESTRING (-111.9273877 33.4220144, -111.9274362 33.4220137, -111.9274588 33.4220137, -111.9275425 33.4220137)</t>
  </si>
  <si>
    <t>LINESTRING (-111.9400948 33.4297326, -111.9400919 33.4296678)</t>
  </si>
  <si>
    <t>LINESTRING (-111.9401286 33.4302061, -111.940113 33.4300629, -111.9400948 33.4297326)</t>
  </si>
  <si>
    <t>West University Drive</t>
  </si>
  <si>
    <t>LINESTRING (-111.9446584 33.4218949, -111.9447855 33.4219367, -111.944971 33.4219394, -111.9450146 33.4219394, -111.9451058 33.4218963)</t>
  </si>
  <si>
    <t>LINESTRING (-111.9439222 33.4218959, -111.9442661 33.4218936)</t>
  </si>
  <si>
    <t>LINESTRING (-111.9442661 33.4218936, -111.9439222 33.4218959)</t>
  </si>
  <si>
    <t>LINESTRING (-111.9442661 33.4218936, -111.9446584 33.4218949)</t>
  </si>
  <si>
    <t>LINESTRING (-111.9446584 33.4218949, -111.9442661 33.4218936)</t>
  </si>
  <si>
    <t>LINESTRING (-111.9417462 33.4219298, -111.9417698 33.4219298, -111.942143 33.4219292, -111.9422926 33.421929, -111.9423681 33.4219283, -111.9423899 33.4219281)</t>
  </si>
  <si>
    <t>LINESTRING (-111.9423899 33.4219281, -111.9423681 33.4219283, -111.9422926 33.421929, -111.942143 33.4219292, -111.9417698 33.4219298, -111.9417462 33.4219298)</t>
  </si>
  <si>
    <t>LINESTRING (-111.9407478 33.4219322, -111.9412608 33.4219305)</t>
  </si>
  <si>
    <t>LINESTRING (-111.9412608 33.4219305, -111.9407478 33.4219322)</t>
  </si>
  <si>
    <t>LINESTRING (-111.9412608 33.4219305, -111.9417462 33.4219298)</t>
  </si>
  <si>
    <t>LINESTRING (-111.9417462 33.4219298, -111.9412608 33.4219305)</t>
  </si>
  <si>
    <t>LINESTRING (-111.9423899 33.4219281, -111.9425045 33.4219279, -111.9428734 33.4219273)</t>
  </si>
  <si>
    <t>LINESTRING (-111.9428734 33.4219273, -111.9425045 33.4219279, -111.9423899 33.4219281)</t>
  </si>
  <si>
    <t>LINESTRING (-111.9400803 33.4219289, -111.9401712 33.4219341, -111.9402869 33.4219337, -111.940574 33.4219291, -111.9407002 33.4219284)</t>
  </si>
  <si>
    <t>LINESTRING (-111.9407002 33.4219284, -111.940574 33.4219291, -111.9402869 33.4219337, -111.9401712 33.4219341, -111.9400803 33.4219289)</t>
  </si>
  <si>
    <t>LINESTRING (-111.9407002 33.4219284, -111.9407478 33.4219322)</t>
  </si>
  <si>
    <t>LINESTRING (-111.9407478 33.4219322, -111.9407002 33.4219284)</t>
  </si>
  <si>
    <t>LINESTRING (-111.9439222 33.4218959, -111.9437442 33.4218499, -111.9435704 33.4218532, -111.9433979 33.4218641, -111.9431659 33.4218786, -111.9430383 33.4219283)</t>
  </si>
  <si>
    <t>LINESTRING (-111.9297937 33.4287965, -111.9301712 33.4288374, -111.9305333 33.4289205)</t>
  </si>
  <si>
    <t>LINESTRING (-111.9179287 33.4291956, -111.9153609 33.4291993, -111.914735 33.4292258, -111.9140695 33.4292638, -111.9133673 33.4292745, -111.9126829 33.4292274, -111.9126373 33.4292226, -111.9121485 33.4291688, -111.911443 33.4290917, -111.9108015 33.4290669, -111.9101512 33.4290776, -111.9099576 33.4290973)</t>
  </si>
  <si>
    <t>LINESTRING (-111.9253831 33.4288338, -111.9261081 33.4288836, -111.9262837 33.4288957)</t>
  </si>
  <si>
    <t>LINESTRING (-111.9279262 33.428948, -111.9279993 33.4289443, -111.9284571 33.4288722)</t>
  </si>
  <si>
    <t>LINESTRING (-111.9272141 33.4288263, -111.9267723 33.4288065, -111.9264921 33.4287917, -111.9262821 33.4287845)</t>
  </si>
  <si>
    <t>LINESTRING (-111.9262837 33.4288957, -111.9263202 33.4288977, -111.9264828 33.4289065, -111.9265235 33.4289081, -111.9275775 33.4289657, -111.9279262 33.428948)</t>
  </si>
  <si>
    <t>LINESTRING (-111.9284571 33.4288722, -111.9287893 33.4288199, -111.9291202 33.4287907, -111.9291448 33.4287897, -111.9293051 33.4287835)</t>
  </si>
  <si>
    <t>LINESTRING (-111.9301262 33.4287001, -111.9300918 33.4286969)</t>
  </si>
  <si>
    <t>LINESTRING (-111.9332589 33.42946, -111.9333493 33.4294743)</t>
  </si>
  <si>
    <t>LINESTRING (-111.9300918 33.4286969, -111.9297204 33.4286625, -111.9294436 33.4286569, -111.9293057 33.4286516)</t>
  </si>
  <si>
    <t>LINESTRING (-111.9333493 33.4294743, -111.9334728 33.429491, -111.9336315 33.4295146, -111.933808 33.4295602, -111.9339783 33.4296433)</t>
  </si>
  <si>
    <t>LINESTRING (-111.9293057 33.4286516, -111.9291384 33.4286689, -111.9291239 33.4286704, -111.9286542 33.4287189, -111.9283645 33.4287643, -111.9279628 33.4288273, -111.9276704 33.4288391, -111.9275799 33.4288427, -111.9274308 33.428836, -111.9272141 33.4288263)</t>
  </si>
  <si>
    <t>LINESTRING (-111.9350596 33.4303286, -111.9351938 33.4303975, -111.9354594 33.4305099, -111.9357552 33.4306078)</t>
  </si>
  <si>
    <t>LINESTRING (-111.9346717 33.4298726, -111.9345889 33.429813)</t>
  </si>
  <si>
    <t>LINESTRING (-111.9391344 33.4297661, -111.9398829 33.4296907, -111.9399677 33.4296814)</t>
  </si>
  <si>
    <t>LINESTRING (-111.9345889 33.429813, -111.9344733 33.4297298, -111.9341567 33.4295308, -111.934056 33.4294897)</t>
  </si>
  <si>
    <t>LINESTRING (-111.9368145 33.4306868, -111.9370662 33.4306506, -111.9372716 33.4306112, -111.9373958 33.4305727, -111.9374938 33.4305413)</t>
  </si>
  <si>
    <t>LINESTRING (-111.934056 33.4294897, -111.9337917 33.4293557, -111.9336814 33.4293249, -111.933562 33.4293, -111.933317 33.429274, -111.9328969 33.429272, -111.9326115 33.429263, -111.9321918 33.4292423)</t>
  </si>
  <si>
    <t>LINESTRING (-111.9428674 33.4293722, -111.9428663 33.4293316, -111.9428606 33.4293011, -111.9428468 33.4292652)</t>
  </si>
  <si>
    <t>LINESTRING (-111.9431442 33.4297815, -111.9430761 33.429697)</t>
  </si>
  <si>
    <t>LINESTRING (-111.9417837 33.4295365, -111.9420775 33.4295382)</t>
  </si>
  <si>
    <t>LINESTRING (-111.9406832 33.4295107, -111.9401777 33.429559, -111.9400872 33.4295692)</t>
  </si>
  <si>
    <t>LINESTRING (-111.9400919 33.4296678, -111.9401871 33.4296574, -111.9409154 33.429599)</t>
  </si>
  <si>
    <t>LINESTRING (-111.9409154 33.429599, -111.9412764 33.4295614, -111.9415022 33.4295422, -111.9417837 33.4295365)</t>
  </si>
  <si>
    <t>LINESTRING (-111.9433753 33.4312967, -111.9433707 33.4312259)</t>
  </si>
  <si>
    <t>LINESTRING (-111.9433535 33.4309202, -111.9433431 33.4307227)</t>
  </si>
  <si>
    <t>LINESTRING (-111.9433707 33.4312259, -111.9433535 33.4309202)</t>
  </si>
  <si>
    <t>LINESTRING (-111.9454283 33.4313141, -111.9453807 33.4313267)</t>
  </si>
  <si>
    <t>LINESTRING (-111.9262821 33.4287845, -111.9262453 33.4287821, -111.9261046 33.4287728, -111.9259767 33.4287644, -111.9256534 33.4287431, -111.9255294 33.4287349, -111.9252596 33.4287222, -111.9248331 33.4287021, -111.9246782 33.4287075, -111.9246266 33.4287093, -111.9244999 33.4287216, -111.924373 33.4287458, -111.9240305 33.428849, -111.9239513 33.4288729, -111.9239233 33.4288837, -111.923123 33.4291905, -111.9228024 33.4292566, -111.9225407 33.4292718, -111.9220592 33.4292672, -111.9217497 33.4292597)</t>
  </si>
  <si>
    <t>LINESTRING (-111.9239819 33.4289759, -111.9241099 33.428923, -111.9244454 33.4288354, -111.9247554 33.4288082, -111.9251236 33.428816, -111.9251959 33.428821, -111.9253831 33.4288338)</t>
  </si>
  <si>
    <t>LINESTRING (-111.9217497 33.4292597, -111.9211598 33.4292573)</t>
  </si>
  <si>
    <t>LINESTRING (-111.9186041 33.4292126, -111.9179287 33.4291956)</t>
  </si>
  <si>
    <t>LINESTRING (-111.917438 33.4293305, -111.9179198 33.4293372)</t>
  </si>
  <si>
    <t>LINESTRING (-111.9211598 33.4292573, -111.9192977 33.4292393, -111.9186041 33.4292126)</t>
  </si>
  <si>
    <t>LINESTRING (-111.9099576 33.4290973, -111.9097142 33.429122)</t>
  </si>
  <si>
    <t>LINESTRING (-111.9097142 33.429122, -111.9092561 33.4291685, -111.9092444 33.4291696, -111.9090831 33.4291849)</t>
  </si>
  <si>
    <t>LINESTRING (-111.9074988 33.4293778, -111.9079207 33.4293756, -111.9081933 33.4293742)</t>
  </si>
  <si>
    <t>LINESTRING (-111.9126336 33.4293372, -111.9129939 33.4293644, -111.9133878 33.42938, -111.9138305 33.42938, -111.9142579 33.4293719, -111.9147312 33.4293327, -111.915193 33.4293106, -111.917341 33.4293282)</t>
  </si>
  <si>
    <t>LINESTRING (-111.917341 33.4293282, -111.917438 33.4293305)</t>
  </si>
  <si>
    <t>LINESTRING (-111.9081933 33.4293742, -111.9083245 33.4293683)</t>
  </si>
  <si>
    <t>LINESTRING (-111.9083245 33.4293683, -111.908755 33.4293489, -111.9088801 33.4293402, -111.9088938 33.4293392, -111.9090906 33.4293194)</t>
  </si>
  <si>
    <t>LINESTRING (-111.908934 33.4074294, -111.9085518 33.4074305)</t>
  </si>
  <si>
    <t>LINESTRING (-111.9085518 33.4074305, -111.908141 33.4074317, -111.9075018 33.4074335, -111.9074988 33.4074335)</t>
  </si>
  <si>
    <t>LINESTRING (-111.9397601 33.4074084, -111.9396794 33.4074093, -111.9396683 33.4074095, -111.9391558 33.4074189)</t>
  </si>
  <si>
    <t>LINESTRING (-111.9391558 33.4074189, -111.9396683 33.4074095, -111.9396794 33.4074093, -111.9397601 33.4074084)</t>
  </si>
  <si>
    <t>LINESTRING (-111.9349044 33.4074493, -111.9347956 33.4074507, -111.9344169 33.4074542)</t>
  </si>
  <si>
    <t>LINESTRING (-111.9344169 33.4074542, -111.9347956 33.4074507, -111.9349044 33.4074493)</t>
  </si>
  <si>
    <t>LINESTRING (-111.9354177 33.4074426, -111.9350033 33.4074493, -111.9349044 33.4074493)</t>
  </si>
  <si>
    <t>LINESTRING (-111.9349044 33.4074493, -111.9350033 33.4074493, -111.9354177 33.4074426)</t>
  </si>
  <si>
    <t>LINESTRING (-111.9389839 33.4074225, -111.9389207 33.4074219, -111.9385439 33.4074173)</t>
  </si>
  <si>
    <t>LINESTRING (-111.9385439 33.4074173, -111.9389207 33.4074219, -111.9389839 33.4074225)</t>
  </si>
  <si>
    <t>LINESTRING (-111.9398081 33.4067486, -111.9397915 33.4068077)</t>
  </si>
  <si>
    <t>LINESTRING (-111.9398844 33.4080275, -111.9398762 33.4075378, -111.939876 33.4075234, -111.9398741 33.4074072)</t>
  </si>
  <si>
    <t>LINESTRING (-111.9398741 33.4074072, -111.940005 33.4074057, -111.9400175 33.4074056, -111.9401355 33.4074051)</t>
  </si>
  <si>
    <t>LINESTRING (-111.9401355 33.4074051, -111.9400175 33.4074056, -111.940005 33.4074057, -111.9398741 33.4074072)</t>
  </si>
  <si>
    <t>LINESTRING (-111.917698 33.4148781, -111.9183604 33.4148625, -111.9185314 33.4148585, -111.9186833 33.4148581, -111.918872 33.4148577, -111.918938 33.4148597, -111.9189923 33.4148614)</t>
  </si>
  <si>
    <t>LINESTRING (-111.9167018 33.4148707, -111.9171391 33.4148805, -111.9175771 33.4148788, -111.917698 33.4148781)</t>
  </si>
  <si>
    <t>LINESTRING (-111.9074988 33.4148473, -111.907599 33.4148463)</t>
  </si>
  <si>
    <t>LINESTRING (-111.9090927 33.421982, -111.9089329 33.4219837, -111.9089172 33.4219839, -111.9084942 33.4219883, -111.9083572 33.4219897, -111.9082205 33.4219911)</t>
  </si>
  <si>
    <t>LINESTRING (-111.9082205 33.4219911, -111.9083572 33.4219897, -111.9084942 33.4219883, -111.9089172 33.4219839, -111.9089329 33.4219837, -111.9090927 33.421982)</t>
  </si>
  <si>
    <t>LINESTRING (-111.9090831 33.4291849, -111.9090811 33.4290911, -111.9090695 33.4285518)</t>
  </si>
  <si>
    <t>LINESTRING (-111.9090695 33.4285518, -111.9090811 33.4290911, -111.9090831 33.4291849)</t>
  </si>
  <si>
    <t>LINESTRING (-111.9091036 33.4174837, -111.9091046 33.4174049, -111.9091047 33.4173962, -111.909107 33.4172087)</t>
  </si>
  <si>
    <t>LINESTRING (-111.909107 33.4172087, -111.9091047 33.4173962, -111.9091046 33.4174049, -111.9091036 33.4174837)</t>
  </si>
  <si>
    <t>LINESTRING (-111.9091035 33.4177774, -111.9091036 33.4175663, -111.9091036 33.417555, -111.9091036 33.4174837)</t>
  </si>
  <si>
    <t>LINESTRING (-111.9091036 33.4174837, -111.9091036 33.417555, -111.9091036 33.4175663, -111.9091035 33.4177774)</t>
  </si>
  <si>
    <t>LINESTRING (-111.9090248 33.4212419, -111.9090227 33.421459)</t>
  </si>
  <si>
    <t>LINESTRING (-111.9090695 33.4285518, -111.9090488 33.42767, -111.9090423 33.4273929)</t>
  </si>
  <si>
    <t>LINESTRING (-111.9090423 33.4273929, -111.9090488 33.42767, -111.9090695 33.4285518)</t>
  </si>
  <si>
    <t>LINESTRING (-111.9090423 33.4273929, -111.9090458 33.427007, -111.9090483 33.4267355, -111.9090518 33.4263546, -111.9090541 33.4261083, -111.9090558 33.425924, -111.909059 33.425676, -111.9090608 33.4254954, -111.9090665 33.4249067, -111.9090737 33.4241687, -111.9090754 33.4239993, -111.9090767 33.423861, -111.9090814 33.4233839, -111.9090859 33.4229147, -111.9090865 33.422857)</t>
  </si>
  <si>
    <t>LINESTRING (-111.9090865 33.422857, -111.9090859 33.4229147, -111.9090814 33.4233839, -111.9090767 33.423861, -111.9090754 33.4239993, -111.9090737 33.4241687, -111.9090665 33.4249067, -111.9090608 33.4254954, -111.909059 33.425676, -111.9090558 33.425924, -111.9090541 33.4261083, -111.9090518 33.4263546, -111.9090483 33.4267355, -111.9090458 33.427007, -111.9090423 33.4273929)</t>
  </si>
  <si>
    <t>LINESTRING (-111.9091141 33.4146219, -111.9091145 33.4145185, -111.9091162 33.4141228)</t>
  </si>
  <si>
    <t>LINESTRING (-111.9091162 33.4141228, -111.9091145 33.4145185, -111.9091141 33.4146219)</t>
  </si>
  <si>
    <t>LINESTRING (-111.9090227 33.421459, -111.9090209 33.4216454, -111.9090932 33.4218349)</t>
  </si>
  <si>
    <t>LINESTRING (-111.9090775 33.4195301, -111.9090828 33.4190024)</t>
  </si>
  <si>
    <t>LINESTRING (-111.9090828 33.4190024, -111.9090775 33.4195301)</t>
  </si>
  <si>
    <t>LINESTRING (-111.9090828 33.4190024, -111.9090926 33.4185288, -111.9090991 33.418314, -111.9091033 33.4181939)</t>
  </si>
  <si>
    <t>LINESTRING (-111.9091033 33.4181939, -111.9090991 33.418314, -111.9090926 33.4185288, -111.9090828 33.4190024)</t>
  </si>
  <si>
    <t>LINESTRING (-111.9091033 33.4181939, -111.909103 33.4180568, -111.9091035 33.4177774)</t>
  </si>
  <si>
    <t>LINESTRING (-111.9091035 33.4177774, -111.909103 33.4180568, -111.9091033 33.4181939)</t>
  </si>
  <si>
    <t>LINESTRING (-111.9091135 33.4148353, -111.9091137 33.4147648, -111.9091139 33.4146994, -111.9091141 33.4146219)</t>
  </si>
  <si>
    <t>LINESTRING (-111.9091141 33.4146219, -111.9091139 33.4146994, -111.9091137 33.4147648, -111.9091135 33.4148353)</t>
  </si>
  <si>
    <t>LINESTRING (-111.9091495 33.430223, -111.9091126 33.4296909, -111.9090965 33.4294256, -111.9090906 33.4293194)</t>
  </si>
  <si>
    <t>LINESTRING (-111.9090906 33.4293194, -111.9090965 33.4294256, -111.9091126 33.4296909, -111.9091495 33.430223)</t>
  </si>
  <si>
    <t>LINESTRING (-111.909107 33.4172087, -111.9091101 33.416948, -111.9091114 33.4168439)</t>
  </si>
  <si>
    <t>LINESTRING (-111.9091114 33.4168439, -111.9091101 33.416948, -111.909107 33.4172087)</t>
  </si>
  <si>
    <t>LINESTRING (-111.9091114 33.4168439, -111.9091143 33.4164821, -111.9091146 33.4164484)</t>
  </si>
  <si>
    <t>LINESTRING (-111.9091146 33.4164484, -111.9091143 33.4164821, -111.9091114 33.4168439)</t>
  </si>
  <si>
    <t>LINESTRING (-111.9091146 33.4164484, -111.909117 33.4161544)</t>
  </si>
  <si>
    <t>LINESTRING (-111.909117 33.4161544, -111.9091146 33.4164484)</t>
  </si>
  <si>
    <t>LINESTRING (-111.909117 33.4161544, -111.9091161 33.4158327)</t>
  </si>
  <si>
    <t>LINESTRING (-111.9091161 33.4158327, -111.909117 33.4161544)</t>
  </si>
  <si>
    <t>LINESTRING (-111.9091161 33.4158327, -111.909116 33.4158147, -111.9091151 33.415541, -111.9091148 33.4154534, -111.9091146 33.415374)</t>
  </si>
  <si>
    <t>LINESTRING (-111.9091146 33.415374, -111.9091148 33.4154534, -111.9091151 33.415541, -111.909116 33.4158147, -111.9091161 33.4158327)</t>
  </si>
  <si>
    <t>LINESTRING (-111.9091146 33.415374, -111.9091144 33.4153168, -111.9091141 33.4151788, -111.9091141 33.4151634, -111.9091133 33.4149311, -111.9091135 33.4148353)</t>
  </si>
  <si>
    <t>LINESTRING (-111.9091135 33.4148353, -111.9091133 33.4149311, -111.9091141 33.4151634, -111.9091141 33.4151788, -111.9091144 33.4153168, -111.9091146 33.415374)</t>
  </si>
  <si>
    <t>LINESTRING (-111.9262882 33.4105131, -111.9262916 33.4107968, -111.9262937 33.4109526, -111.9262927 33.4110862, -111.926292 33.4111847, -111.9262938 33.4122998, -111.9262937 33.4124064, -111.9262941 33.4124602, -111.9262942 33.4124964)</t>
  </si>
  <si>
    <t>LINESTRING (-111.9262942 33.4124964, -111.9262941 33.4124602, -111.9262937 33.4124064, -111.9262938 33.4122998, -111.926292 33.4111847, -111.9262927 33.4110862, -111.9262937 33.4109526, -111.9262916 33.4107968, -111.9262882 33.4105131)</t>
  </si>
  <si>
    <t>LINESTRING (-111.9262955 33.4184244, -111.9262944 33.4185822)</t>
  </si>
  <si>
    <t>LINESTRING (-111.9262944 33.4185822, -111.9262955 33.4184244)</t>
  </si>
  <si>
    <t>LINESTRING (-111.9262936 33.4155005, -111.9262944 33.415557, -111.9262974 33.4159902, -111.9263002 33.416233, -111.9263007 33.4163769)</t>
  </si>
  <si>
    <t>LINESTRING (-111.9263007 33.4163769, -111.9263002 33.416233, -111.9262974 33.4159902, -111.9262944 33.415557, -111.9262936 33.4155005)</t>
  </si>
  <si>
    <t>LINESTRING (-111.9263004 33.4173778, -111.9263 33.4175412)</t>
  </si>
  <si>
    <t>LINESTRING (-111.9263 33.4175412, -111.9263004 33.4173778)</t>
  </si>
  <si>
    <t>LINESTRING (-111.9263035 33.4168382, -111.9263029 33.4169296, -111.9263016 33.4171287, -111.9263004 33.4173778)</t>
  </si>
  <si>
    <t>LINESTRING (-111.9263004 33.4173778, -111.9263016 33.4171287, -111.9263029 33.4169296, -111.9263035 33.4168382)</t>
  </si>
  <si>
    <t>LINESTRING (-111.9262833 33.4283177, -111.9263666 33.428055, -111.9263688 33.4275117)</t>
  </si>
  <si>
    <t>LINESTRING (-111.9264012 33.4227473, -111.926408 33.4221502, -111.9264076 33.4220275)</t>
  </si>
  <si>
    <t>LINESTRING (-111.9262944 33.4185822, -111.9262975 33.4190282, -111.9262965 33.4191375)</t>
  </si>
  <si>
    <t>LINESTRING (-111.9262965 33.4191375, -111.9262975 33.4190282, -111.9262944 33.4185822)</t>
  </si>
  <si>
    <t>LINESTRING (-111.9262989 33.4202366, -111.9263008 33.4202837)</t>
  </si>
  <si>
    <t>LINESTRING (-111.9263008 33.4202837, -111.9262989 33.4202366)</t>
  </si>
  <si>
    <t>LINESTRING (-111.9262948 33.4140912, -111.9262947 33.4141212, -111.9262941 33.4142863, -111.9262929 33.4146131, -111.9262925 33.4146937)</t>
  </si>
  <si>
    <t>LINESTRING (-111.9262925 33.4146937, -111.9262929 33.4146131, -111.9262941 33.4142863, -111.9262947 33.4141212, -111.9262948 33.4140912)</t>
  </si>
  <si>
    <t>LINESTRING (-111.9262833 33.4283177, -111.9262793 33.4286766, -111.9262793 33.4286892, -111.9262821 33.4287845)</t>
  </si>
  <si>
    <t>LINESTRING (-111.9262821 33.4287845, -111.9262793 33.4286892, -111.9262793 33.4286766, -111.9262833 33.4283177)</t>
  </si>
  <si>
    <t>LINESTRING (-111.9262965 33.4191375, -111.9262973 33.4192711, -111.926299 33.4195429)</t>
  </si>
  <si>
    <t>LINESTRING (-111.926299 33.4195429, -111.9262973 33.4192711, -111.9262965 33.4191375)</t>
  </si>
  <si>
    <t>LINESTRING (-111.9263916 33.4208903, -111.9263891 33.4207332, -111.9263871 33.4206018, -111.9263019 33.4203615)</t>
  </si>
  <si>
    <t>LINESTRING (-111.9262931 33.4294787, -111.926289 33.4298413)</t>
  </si>
  <si>
    <t>LINESTRING (-111.926289 33.4298413, -111.9262931 33.4294787)</t>
  </si>
  <si>
    <t>LINESTRING (-111.9262248 33.4242002, -111.926224 33.4244218, -111.9262237 33.4245026)</t>
  </si>
  <si>
    <t>LINESTRING (-111.9262395 33.4214276, -111.9262402 33.4216218, -111.9262412 33.421881)</t>
  </si>
  <si>
    <t>LINESTRING (-111.9262878 33.4148429, -111.9262852 33.4149352, -111.9262895 33.4152234, -111.9262909 33.4153155, -111.9262927 33.4154363, -111.9262936 33.4155005)</t>
  </si>
  <si>
    <t>LINESTRING (-111.9262936 33.4155005, -111.9262927 33.4154363, -111.9262909 33.4153155, -111.9262895 33.4152234, -111.9262852 33.4149352, -111.9262878 33.4148429)</t>
  </si>
  <si>
    <t>LINESTRING (-111.9263007 33.4163769, -111.9263017 33.4165401, -111.9263029 33.4167356, -111.9263035 33.4168382)</t>
  </si>
  <si>
    <t>LINESTRING (-111.9263035 33.4168382, -111.9263029 33.4167356, -111.9263017 33.4165401, -111.9263007 33.4163769)</t>
  </si>
  <si>
    <t>LINESTRING (-111.926379 33.4250061, -111.9263807 33.424594, -111.9263814 33.4245047)</t>
  </si>
  <si>
    <t>LINESTRING (-111.9263 33.4175412, -111.9262997 33.4175971, -111.9262995 33.4177493, -111.9262994 33.4177845, -111.9262991 33.4178889, -111.9262985 33.4179757, -111.9262981 33.4180334, -111.9262955 33.4184244)</t>
  </si>
  <si>
    <t>LINESTRING (-111.9262955 33.4184244, -111.9262981 33.4180334, -111.9262985 33.4179757, -111.9262991 33.4178889, -111.9262994 33.4177845, -111.9262995 33.4177493, -111.9262997 33.4175971, -111.9263 33.4175412)</t>
  </si>
  <si>
    <t>LINESTRING (-111.926407 33.4218739, -111.9264024 33.4215813, -111.9263986 33.4213363, -111.9263916 33.4208903)</t>
  </si>
  <si>
    <t>LINESTRING (-111.9263019 33.4203615, -111.9262331 33.420595, -111.9262379 33.4209763)</t>
  </si>
  <si>
    <t>LINESTRING (-111.9262379 33.4209763, -111.9262382 33.4210663, -111.9262393 33.4213576, -111.9262395 33.4214276)</t>
  </si>
  <si>
    <t>LINESTRING (-111.926243 33.4220288, -111.9262405 33.4221644, -111.9262331 33.4228357)</t>
  </si>
  <si>
    <t>LINESTRING (-111.9154379 33.4075755, -111.9165404 33.4075758, -111.917013 33.407576)</t>
  </si>
  <si>
    <t>LINESTRING (-111.9106315 33.407571, -111.91123 33.4075712)</t>
  </si>
  <si>
    <t>LINESTRING (-111.9252008 33.4074445, -111.9243424 33.4074438)</t>
  </si>
  <si>
    <t>LINESTRING (-111.9148321 33.4075753, -111.9154379 33.4075755)</t>
  </si>
  <si>
    <t>LINESTRING (-111.911231 33.4074387, -111.9099258 33.4074356)</t>
  </si>
  <si>
    <t>LINESTRING (-111.9126153 33.4075737, -111.9132484 33.4075751)</t>
  </si>
  <si>
    <t>LINESTRING (-111.9195397 33.4074443, -111.9195076 33.4074443, -111.9183745 33.4074446)</t>
  </si>
  <si>
    <t>LINESTRING (-111.925503 33.4074447, -111.9252008 33.4074445)</t>
  </si>
  <si>
    <t>LINESTRING (-111.9251976 33.4075685, -111.9256844 33.4075643)</t>
  </si>
  <si>
    <t>LINESTRING (-111.9209405 33.4074439, -111.9199744 33.4074441)</t>
  </si>
  <si>
    <t>LINESTRING (-111.9219839 33.4075771, -111.922477 33.4075785, -111.9226118 33.4075789)</t>
  </si>
  <si>
    <t>LINESTRING (-111.9247739 33.4075717, -111.9249673 33.4075702, -111.9251976 33.4075685)</t>
  </si>
  <si>
    <t>LINESTRING (-111.9199744 33.4074441, -111.91963 33.4074443, -111.9195397 33.4074443)</t>
  </si>
  <si>
    <t>LINESTRING (-111.9243424 33.4074438, -111.924247 33.4074437, -111.9240645 33.4074436, -111.9236803 33.4074433)</t>
  </si>
  <si>
    <t>LINESTRING (-111.9214184 33.4074444, -111.9209405 33.4074439)</t>
  </si>
  <si>
    <t>LINESTRING (-111.9138803 33.407441, -111.9132485 33.4074407)</t>
  </si>
  <si>
    <t>LINESTRING (-111.9209418 33.4075741, -111.921808 33.4075766, -111.9219839 33.4075771)</t>
  </si>
  <si>
    <t>LINESTRING (-111.9226148 33.4074455, -111.9224879 33.4074454, -111.9220494 33.407445, -111.9218832 33.4074448, -111.9214184 33.4074444)</t>
  </si>
  <si>
    <t>LINESTRING (-111.9232831 33.4075793, -111.9237216 33.4075795)</t>
  </si>
  <si>
    <t>LINESTRING (-111.9189369 33.4075769, -111.9195304 33.4075772)</t>
  </si>
  <si>
    <t>LINESTRING (-111.9237216 33.4075795, -111.9243352 33.4075748, -111.9246947 33.4075721, -111.9247739 33.4075717)</t>
  </si>
  <si>
    <t>LINESTRING (-111.9154658 33.4074418, -111.9138803 33.407441)</t>
  </si>
  <si>
    <t>LINESTRING (-111.9230728 33.4074436, -111.9227493 33.4074449, -111.9226148 33.4074455)</t>
  </si>
  <si>
    <t>LINESTRING (-111.9226118 33.4075789, -111.9227543 33.407579, -111.9232831 33.4075793)</t>
  </si>
  <si>
    <t>LINESTRING (-111.9204775 33.4075777, -111.9205153 33.4075774, -111.9209418 33.4075741)</t>
  </si>
  <si>
    <t>LINESTRING (-111.9195304 33.4075772, -111.9204775 33.4075777)</t>
  </si>
  <si>
    <t>LINESTRING (-111.9161352 33.4074426, -111.9154658 33.4074418)</t>
  </si>
  <si>
    <t>LINESTRING (-111.9132485 33.4074407, -111.9119863 33.4074382, -111.9119245 33.4074381)</t>
  </si>
  <si>
    <t>LINESTRING (-111.926277 33.4075074, -111.9260893 33.4074483, -111.9260796 33.4074452, -111.925503 33.4074447)</t>
  </si>
  <si>
    <t>LINESTRING (-111.9091054 33.4075706, -111.9093103 33.4075705, -111.90932 33.4075705, -111.9099239 33.4075707, -111.9101045 33.4075708, -111.9106315 33.407571)</t>
  </si>
  <si>
    <t>LINESTRING (-111.9132484 33.4075751, -111.9142636 33.4075751, -111.9148321 33.4075753)</t>
  </si>
  <si>
    <t>LINESTRING (-111.9270016 33.4075087, -111.9269037 33.4075085, -111.9268285 33.4075083, -111.9266968 33.4075079, -111.9264911 33.4075074, -111.926277 33.4075074)</t>
  </si>
  <si>
    <t>LINESTRING (-111.926277 33.4075074, -111.9264911 33.4075074, -111.9266968 33.4075079, -111.9268285 33.4075083, -111.9269037 33.4075085, -111.9270016 33.4075087)</t>
  </si>
  <si>
    <t>LINESTRING (-111.9082621 33.4075674, -111.9085434 33.4075681)</t>
  </si>
  <si>
    <t>LINESTRING (-111.9085434 33.4075681, -111.9089288 33.4075691, -111.908939 33.4075692, -111.9091054 33.4075706)</t>
  </si>
  <si>
    <t>LINESTRING (-111.9183745 33.4074446, -111.9178452 33.4074447, -111.917698 33.4074448)</t>
  </si>
  <si>
    <t>LINESTRING (-111.9074988 33.4075654, -111.9082621 33.4075674)</t>
  </si>
  <si>
    <t>LINESTRING (-111.917013 33.407576, -111.9175649 33.4075762, -111.9176965 33.4075762)</t>
  </si>
  <si>
    <t>LINESTRING (-111.9099258 33.4074356, -111.9092941 33.4074341, -111.9091053 33.4074308)</t>
  </si>
  <si>
    <t>LINESTRING (-111.9176965 33.4075762, -111.9178237 33.4075763, -111.9186086 33.4075767, -111.9189369 33.4075769)</t>
  </si>
  <si>
    <t>LINESTRING (-111.9119245 33.4074381, -111.9118568 33.407438, -111.9117427 33.4074381, -111.911231 33.4074387)</t>
  </si>
  <si>
    <t>LINESTRING (-111.91123 33.4075712, -111.9115183 33.4075712, -111.9119914 33.4075723, -111.9122351 33.4075729, -111.9126153 33.4075737)</t>
  </si>
  <si>
    <t>LINESTRING (-111.917698 33.4074448, -111.9175622 33.4074453, -111.9170024 33.4074442, -111.9168132 33.4074435, -111.9161352 33.4074426)</t>
  </si>
  <si>
    <t>LINESTRING (-111.9091088 33.4085182, -111.9091073 33.408321, -111.9091072 33.4082789, -111.9091078 33.4082217)</t>
  </si>
  <si>
    <t>LINESTRING (-111.9091078 33.4082217, -111.9091072 33.4082789, -111.9091073 33.408321, -111.9091088 33.4085182)</t>
  </si>
  <si>
    <t>LINESTRING (-111.9091053 33.4074308, -111.9091129 33.4073446, -111.909113 33.4073304, -111.9091145 33.4068521)</t>
  </si>
  <si>
    <t>LINESTRING (-111.9091145 33.4068521, -111.909113 33.4073304, -111.9091129 33.4073446, -111.9091053 33.4074308)</t>
  </si>
  <si>
    <t>LINESTRING (-111.9091078 33.4082217, -111.9091068 33.4079194, -111.909106 33.4076596, -111.9091054 33.4075706)</t>
  </si>
  <si>
    <t>LINESTRING (-111.9091054 33.4075706, -111.909106 33.4076596, -111.9091068 33.4079194, -111.9091078 33.4082217)</t>
  </si>
  <si>
    <t>LINESTRING (-111.9262984 33.4131293, -111.9262979 33.4132664, -111.9262972 33.4134638, -111.9262963 33.4137059, -111.9262961 33.4137476, -111.9262957 33.4138447, -111.9262948 33.4140912)</t>
  </si>
  <si>
    <t>LINESTRING (-111.9262948 33.4140912, -111.9262957 33.4138447, -111.9262961 33.4137476, -111.9262963 33.4137059, -111.9262972 33.4134638, -111.9262979 33.4132664, -111.9262984 33.4131293)</t>
  </si>
  <si>
    <t>LINESTRING (-111.926277 33.4075074, -111.9262721 33.4076664, -111.9262731 33.4079581)</t>
  </si>
  <si>
    <t>LINESTRING (-111.9262731 33.4079581, -111.9262721 33.4076664, -111.926277 33.4075074)</t>
  </si>
  <si>
    <t>LINESTRING (-111.9262858 33.4066282, -111.9262846 33.4068149, -111.9262838 33.4069298, -111.9262836 33.4069593, -111.9262824 33.4071452, -111.9262812 33.407337, -111.926281 33.4073669, -111.926277 33.4075074)</t>
  </si>
  <si>
    <t>LINESTRING (-111.926277 33.4075074, -111.926281 33.4073669, -111.9262812 33.407337, -111.9262824 33.4071452, -111.9262836 33.4069593, -111.9262838 33.4069298, -111.9262846 33.4068149, -111.9262858 33.4066282)</t>
  </si>
  <si>
    <t>LINESTRING (-111.9262942 33.4124964, -111.926295 33.4127843, -111.926295 33.4127914, -111.9262973 33.4128826)</t>
  </si>
  <si>
    <t>LINESTRING (-111.9262973 33.4128826, -111.926295 33.4127914, -111.926295 33.4127843, -111.9262942 33.4124964)</t>
  </si>
  <si>
    <t>LINESTRING (-111.9262973 33.4128826, -111.9262991 33.4129511, -111.9262984 33.4131293)</t>
  </si>
  <si>
    <t>LINESTRING (-111.9262984 33.4131293, -111.9262991 33.4129511, -111.9262973 33.4128826)</t>
  </si>
  <si>
    <t>LINESTRING (-111.9262799 33.4098462, -111.9262808 33.4099305)</t>
  </si>
  <si>
    <t>LINESTRING (-111.9262808 33.4099305, -111.9262799 33.4098462)</t>
  </si>
  <si>
    <t>LINESTRING (-111.9262808 33.4099305, -111.9262819 33.4100299, -111.9262821 33.4100486, -111.9262827 33.4100947)</t>
  </si>
  <si>
    <t>LINESTRING (-111.9262827 33.4100947, -111.9262821 33.4100486, -111.9262819 33.4100299, -111.9262808 33.4099305)</t>
  </si>
  <si>
    <t>LINESTRING (-111.9262827 33.4100947, -111.9262835 33.4101537)</t>
  </si>
  <si>
    <t>LINESTRING (-111.9262835 33.4101537, -111.9262827 33.4100947)</t>
  </si>
  <si>
    <t>LINESTRING (-111.9262835 33.4101537, -111.9262842 33.4102046, -111.9262882 33.4105131)</t>
  </si>
  <si>
    <t>LINESTRING (-111.9262882 33.4105131, -111.9262842 33.4102046, -111.9262835 33.4101537)</t>
  </si>
  <si>
    <t>LINESTRING (-111.9195397 33.4074443, -111.9195304 33.4075772)</t>
  </si>
  <si>
    <t>LINESTRING (-111.9195304 33.4075772, -111.9195397 33.4074443)</t>
  </si>
  <si>
    <t>LINESTRING (-111.9209436 33.4075259, -111.9209418 33.4075741)</t>
  </si>
  <si>
    <t>LINESTRING (-111.9209418 33.4075741, -111.9209436 33.4075259)</t>
  </si>
  <si>
    <t>LINESTRING (-111.9252008 33.4074445, -111.9251976 33.4075685)</t>
  </si>
  <si>
    <t>LINESTRING (-111.9251976 33.4075685, -111.9252008 33.4074445)</t>
  </si>
  <si>
    <t>LINESTRING (-111.9093089 33.4325046, -111.9092878 33.4321989, -111.9092783 33.4320939)</t>
  </si>
  <si>
    <t>LINESTRING (-111.9092783 33.4320939, -111.9092878 33.4321989, -111.9093089 33.4325046)</t>
  </si>
  <si>
    <t>LINESTRING (-111.9258887 33.4233401, -111.9260707 33.4234024, -111.9261044 33.4234305, -111.926124 33.4234469, -111.9261565 33.4235246, -111.9262262 33.4238148)</t>
  </si>
  <si>
    <t>LINESTRING (-111.9344649 33.4096352, -111.9346152 33.4096628)</t>
  </si>
  <si>
    <t>LINESTRING (-111.9312927 33.4290308, -111.930767 33.4288405, -111.9301262 33.4287001)</t>
  </si>
  <si>
    <t>LINESTRING (-111.9136957 33.414677, -111.9133779 33.4146776)</t>
  </si>
  <si>
    <t>LINESTRING (-111.9133844 33.4148388, -111.9134588 33.4148377, -111.9136482 33.414836)</t>
  </si>
  <si>
    <t>LINESTRING (-111.9136482 33.414836, -111.9147587 33.4148409)</t>
  </si>
  <si>
    <t>LINESTRING (-111.9264076 33.4220275, -111.926407 33.4218739)</t>
  </si>
  <si>
    <t>LINESTRING (-111.9262412 33.421881, -111.926243 33.4220288)</t>
  </si>
  <si>
    <t>LINESTRING (-111.9350596 33.4303286, -111.9350753 33.4302759, -111.9350814 33.4302568, -111.9350755 33.4302282, -111.935065 33.4302004, -111.9349285 33.4300573)</t>
  </si>
  <si>
    <t>LINESTRING (-111.9289415 33.4220194, -111.9289349 33.4219201, -111.9289333 33.4218962, -111.9289364 33.4215873)</t>
  </si>
  <si>
    <t>LINESTRING (-111.9289364 33.4215873, -111.9289333 33.4218962, -111.9289349 33.4219201, -111.9289415 33.4220194)</t>
  </si>
  <si>
    <t>LINESTRING (-111.9263008 33.4202837, -111.9263019 33.4203615)</t>
  </si>
  <si>
    <t>LINESTRING (-111.9263019 33.4203615, -111.9263008 33.4202837)</t>
  </si>
  <si>
    <t>LINESTRING (-111.9333809 33.417357, -111.93269 33.4173629)</t>
  </si>
  <si>
    <t>LINESTRING (-111.93269 33.4173629, -111.9333809 33.417357)</t>
  </si>
  <si>
    <t>LINESTRING (-111.93269 33.4173629, -111.9321368 33.4173666, -111.93157 33.4173761, -111.9313904 33.4174105, -111.9303256 33.4174289, -111.9302261 33.4174289, -111.9301745 33.4173982)</t>
  </si>
  <si>
    <t>LINESTRING (-111.9301745 33.4173982, -111.9302261 33.4174289, -111.9303256 33.4174289, -111.9313904 33.4174105, -111.93157 33.4173761, -111.9321368 33.4173666, -111.93269 33.4173629)</t>
  </si>
  <si>
    <t>LINESTRING (-111.9301745 33.4173982, -111.93016 33.4173668, -111.930141 33.4167334, -111.9301267 33.4166972, -111.9301124 33.4166739, -111.9300852 33.4166556, -111.9300319 33.4166347, -111.9299767 33.4166314, -111.9296389 33.4166347, -111.9295418 33.4166375, -111.9294043 33.4166443)</t>
  </si>
  <si>
    <t>LINESTRING (-111.9294043 33.4166443, -111.9295418 33.4166375, -111.9296389 33.4166347, -111.9299767 33.4166314, -111.9300319 33.4166347, -111.9300852 33.4166556, -111.9301124 33.4166739, -111.9301267 33.4166972, -111.930141 33.4167334, -111.93016 33.4173668, -111.9301745 33.4173982)</t>
  </si>
  <si>
    <t>LINESTRING (-111.9262744 33.4083544, -111.9262726 33.4086452, -111.9262777 33.4093601, -111.9262783 33.4094872)</t>
  </si>
  <si>
    <t>LINESTRING (-111.9262783 33.4094872, -111.9262777 33.4093601, -111.9262726 33.4086452, -111.9262744 33.4083544)</t>
  </si>
  <si>
    <t>LINESTRING (-111.9262783 33.4094872, -111.9262799 33.4098462)</t>
  </si>
  <si>
    <t>LINESTRING (-111.9262799 33.4098462, -111.9262783 33.4094872)</t>
  </si>
  <si>
    <t>LINESTRING (-111.9306654 33.4146657, -111.9305094 33.4146672, -111.9303714 33.4146669, -111.9298286 33.4146655, -111.9291456 33.4146674)</t>
  </si>
  <si>
    <t>LINESTRING (-111.9291473 33.4148012, -111.9300149 33.4147941)</t>
  </si>
  <si>
    <t>LINESTRING (-111.9179198 33.4293372, -111.9196471 33.4293489)</t>
  </si>
  <si>
    <t>LINESTRING (-111.9397601 33.4074084, -111.939762 33.4075334, -111.9397623 33.4075558, -111.9397789 33.4086629)</t>
  </si>
  <si>
    <t>LINESTRING (-111.9240547 33.4148207, -111.9240901 33.4148032, -111.9241874 33.4147595, -111.924245 33.4147484, -111.9244342 33.4147489, -111.9244807 33.4147389, -111.9245817 33.4147173)</t>
  </si>
  <si>
    <t>LINESTRING (-111.91123 33.4075712, -111.9112303 33.4075121, -111.911231 33.4074387)</t>
  </si>
  <si>
    <t>LINESTRING (-111.911231 33.4074387, -111.9112303 33.4075121, -111.91123 33.4075712)</t>
  </si>
  <si>
    <t>LINESTRING (-111.9132493 33.407514, -111.9132485 33.4074407)</t>
  </si>
  <si>
    <t>LINESTRING (-111.9132485 33.4074407, -111.9132493 33.407514)</t>
  </si>
  <si>
    <t>LINESTRING (-111.9132484 33.4075751, -111.9132493 33.407514)</t>
  </si>
  <si>
    <t>LINESTRING (-111.9132493 33.407514, -111.9132484 33.4075751)</t>
  </si>
  <si>
    <t>LINESTRING (-111.9154379 33.4075755, -111.9154572 33.4075088)</t>
  </si>
  <si>
    <t>LINESTRING (-111.9154572 33.4075088, -111.9154379 33.4075755)</t>
  </si>
  <si>
    <t>LINESTRING (-111.9209405 33.4074439, -111.9209436 33.4075259)</t>
  </si>
  <si>
    <t>LINESTRING (-111.9209436 33.4075259, -111.9209405 33.4074439)</t>
  </si>
  <si>
    <t>LINESTRING (-111.9226132 33.4075143, -111.9226148 33.4074455)</t>
  </si>
  <si>
    <t>LINESTRING (-111.9226148 33.4074455, -111.9226132 33.4075143)</t>
  </si>
  <si>
    <t>LINESTRING (-111.9226118 33.4075789, -111.9226132 33.4075143)</t>
  </si>
  <si>
    <t>LINESTRING (-111.9226132 33.4075143, -111.9226118 33.4075789)</t>
  </si>
  <si>
    <t>LINESTRING (-111.9236803 33.4074433, -111.9236981 33.4075215)</t>
  </si>
  <si>
    <t>LINESTRING (-111.9236981 33.4075215, -111.9236803 33.4074433)</t>
  </si>
  <si>
    <t>LINESTRING (-111.9236981 33.4075215, -111.9237216 33.4075795)</t>
  </si>
  <si>
    <t>LINESTRING (-111.9237216 33.4075795, -111.9236981 33.4075215)</t>
  </si>
  <si>
    <t>LINESTRING (-111.9418695 33.423497, -111.9414688 33.4238299)</t>
  </si>
  <si>
    <t>LINESTRING (-111.9414688 33.4238299, -111.9418695 33.423497)</t>
  </si>
  <si>
    <t>LINESTRING (-111.9414688 33.4238299, -111.940972 33.4234414, -111.9407266 33.423227, -111.9406769 33.4232097, -111.9400687 33.4231956)</t>
  </si>
  <si>
    <t>LINESTRING (-111.9400687 33.4231956, -111.9406769 33.4232097, -111.9407266 33.423227, -111.940972 33.4234414, -111.9414688 33.4238299)</t>
  </si>
  <si>
    <t>LINESTRING (-111.9263688 33.4275117, -111.926379 33.4250061)</t>
  </si>
  <si>
    <t>LINESTRING (-111.9262149 33.4275095, -111.9262129 33.4280488, -111.9262833 33.4283177)</t>
  </si>
  <si>
    <t>LINESTRING (-111.942523 33.429252, -111.9425136 33.4292961, -111.9425089 33.4293247, -111.9425183 33.4293769, -111.9425324 33.4293994, -111.9425491 33.4294253, -111.942581 33.4294516, -111.9426236 33.4294744)</t>
  </si>
  <si>
    <t>LINESTRING (-111.942465 33.4284426, -111.9424284 33.4285095, -111.9424485 33.4287099, -111.9424579 33.4288621, -111.9424747 33.4289326, -111.9425102 33.4290188, -111.9425387 33.4290915, -111.9425485 33.4291402)</t>
  </si>
  <si>
    <t>LINESTRING (-111.9428734 33.4219273, -111.9430383 33.4219283)</t>
  </si>
  <si>
    <t>LINESTRING (-111.9430383 33.4219283, -111.9428734 33.4219273)</t>
  </si>
  <si>
    <t>LINESTRING (-111.943347 33.4254811, -111.9433474 33.4255935, -111.9433518 33.4260281)</t>
  </si>
  <si>
    <t>LINESTRING (-111.9433518 33.4260281, -111.9433474 33.4255935, -111.943347 33.4254811)</t>
  </si>
  <si>
    <t>LINESTRING (-111.9430789 33.4272077, -111.9430369 33.4272699, -111.9428554 33.4274652, -111.9427719 33.4275569)</t>
  </si>
  <si>
    <t>LINESTRING (-111.9427719 33.4275569, -111.9428554 33.4274652, -111.9430369 33.4272699, -111.9430789 33.4272077)</t>
  </si>
  <si>
    <t>LINESTRING (-111.9427719 33.4275569, -111.9426927 33.4276666, -111.9426691 33.4277019, -111.942647 33.4277383, -111.9425762 33.4278862, -111.9425545 33.4279426)</t>
  </si>
  <si>
    <t>LINESTRING (-111.9425545 33.4279426, -111.9425762 33.4278862, -111.942647 33.4277383, -111.9426691 33.4277019, -111.9426927 33.4276666, -111.9427719 33.4275569)</t>
  </si>
  <si>
    <t>LINESTRING (-111.9426248 33.4289759, -111.9425695 33.428845, -111.9425378 33.4286944, -111.9425024 33.4285109, -111.942465 33.4284426)</t>
  </si>
  <si>
    <t>LINESTRING (-111.9427017 33.4291063, -111.9426622 33.4290497, -111.9426248 33.4289759)</t>
  </si>
  <si>
    <t>LINESTRING (-111.9399667 33.4167979, -111.9399333 33.4167174, -111.9398815 33.4165303, -111.9397506 33.4162342, -111.9395884 33.4159654)</t>
  </si>
  <si>
    <t>LINESTRING (-111.9293051 33.4287835, -111.9294294 33.4287777, -111.9297937 33.4287965)</t>
  </si>
  <si>
    <t>LINESTRING (-111.9312478 33.4291369, -111.9319446 33.4293839, -111.9322313 33.4294306)</t>
  </si>
  <si>
    <t>LINESTRING (-111.9321918 33.4292423, -111.9320382 33.429223, -111.9316808 33.4291318, -111.9312927 33.4290308)</t>
  </si>
  <si>
    <t>LINESTRING (-111.9322313 33.4294306, -111.9325109 33.4294481, -111.9331247 33.4294562, -111.9332589 33.42946)</t>
  </si>
  <si>
    <t>LINESTRING (-111.9357552 33.4306078, -111.9360173 33.4306607, -111.9362634 33.430689, -111.9365807 33.4307001, -111.9368145 33.4306868)</t>
  </si>
  <si>
    <t>LINESTRING (-111.9381867 33.4300134, -111.9380508 33.4300944, -111.9376678 33.4303063, -111.9375331 33.4303651, -111.9374158 33.430404)</t>
  </si>
  <si>
    <t>LINESTRING (-111.9399635 33.4295773, -111.9398814 33.4295827, -111.9392114 33.4296405, -111.9390802 33.4296518, -111.9388274 33.4296956, -111.9387779 33.4297044, -111.9385345 33.4298061, -111.9381867 33.4300134)</t>
  </si>
  <si>
    <t>LINESTRING (-111.9091782 33.4211714, -111.9091721 33.4208613)</t>
  </si>
  <si>
    <t>LINESTRING (-111.9090932 33.4218349, -111.9091796 33.4216472, -111.9091788 33.4213857, -111.9091782 33.4211714)</t>
  </si>
  <si>
    <t>LINESTRING (-111.9343207 33.4298487, -111.9349297 33.430245, -111.9350596 33.4303286)</t>
  </si>
  <si>
    <t>LINESTRING (-111.9339783 33.4296433, -111.9341044 33.4297076, -111.9343207 33.4298487)</t>
  </si>
  <si>
    <t>LINESTRING (-111.9305333 33.4289205, -111.9306629 33.4289502, -111.9307178 33.4289677, -111.9312478 33.4291369)</t>
  </si>
  <si>
    <t>LINESTRING (-111.9232919 33.4292614, -111.9239819 33.4289759)</t>
  </si>
  <si>
    <t>LINESTRING (-111.9196471 33.4293489, -111.9211588 33.4293611)</t>
  </si>
  <si>
    <t>LINESTRING (-111.9211588 33.4293611, -111.9220704 33.4293707, -111.9225329 33.4293756, -111.9228048 33.4293625, -111.9230612 33.4293217, -111.9232919 33.4292614)</t>
  </si>
  <si>
    <t>LINESTRING (-111.911908 33.4292497, -111.9125045 33.4293275, -111.9126336 33.4293372)</t>
  </si>
  <si>
    <t>LINESTRING (-111.9090906 33.4293194, -111.9092355 33.4293046, -111.9092557 33.4293025, -111.9097337 33.4292361, -111.9101485 33.4291933, -111.9104934 33.4291777, -111.9109665 33.4291777, -111.9114232 33.4291991, -111.911908 33.4292497)</t>
  </si>
  <si>
    <t>LINESTRING (-111.9211598 33.4292573, -111.9211588 33.4293611)</t>
  </si>
  <si>
    <t>LINESTRING (-111.9211588 33.4293611, -111.9211598 33.4292573)</t>
  </si>
  <si>
    <t>LINESTRING (-111.9254096 33.4220303, -111.9253713 33.4220302, -111.9248832 33.4220294)</t>
  </si>
  <si>
    <t>LINESTRING (-111.9248832 33.4220294, -111.9253713 33.4220302, -111.9254096 33.4220303)</t>
  </si>
  <si>
    <t>LINESTRING (-111.917698 33.4148781, -111.9176986 33.4148015, -111.9176992 33.41473, -111.9176995 33.4147003, -111.9177001 33.4146384)</t>
  </si>
  <si>
    <t>LINESTRING (-111.9177001 33.4146384, -111.9176995 33.4147003, -111.9176992 33.41473, -111.9176986 33.4148015, -111.917698 33.4148781)</t>
  </si>
  <si>
    <t>LINESTRING (-111.9220805 33.4147096, -111.9215519 33.4147093, -111.9212851 33.4147092, -111.9212488 33.4147092)</t>
  </si>
  <si>
    <t>LINESTRING (-111.9224969 33.4147141, -111.9220805 33.4147096)</t>
  </si>
  <si>
    <t>LINESTRING (-111.9124775 33.4148608, -111.9124756 33.4147882, -111.9124745 33.4147475, -111.9124726 33.4146766)</t>
  </si>
  <si>
    <t>LINESTRING (-111.9124726 33.4146766, -111.9124745 33.4147475, -111.9124756 33.4147882, -111.9124775 33.4148608)</t>
  </si>
  <si>
    <t>LINESTRING (-111.9262331 33.4228357, -111.9262287 33.4233394)</t>
  </si>
  <si>
    <t>LINESTRING (-111.9262287 33.4233394, -111.9262262 33.4238148)</t>
  </si>
  <si>
    <t>LINESTRING (-111.9262262 33.4238148, -111.9262248 33.4242002)</t>
  </si>
  <si>
    <t>LINESTRING (-111.928383 33.4097448, -111.9277733 33.4097482, -111.9268935 33.4097532, -111.926503 33.4097547)</t>
  </si>
  <si>
    <t>LINESTRING (-111.926503 33.4097547, -111.9268935 33.4097532, -111.9277733 33.4097482, -111.928383 33.4097448)</t>
  </si>
  <si>
    <t>LINESTRING (-111.927372 33.4146858, -111.9269614 33.4146908, -111.926748 33.414692)</t>
  </si>
  <si>
    <t>LINESTRING (-111.9273686 33.4148082, -111.9274004 33.4148076, -111.9285674 33.4148071, -111.9291473 33.4148012)</t>
  </si>
  <si>
    <t>LINESTRING (-111.9205452 33.4148706, -111.9204485 33.4147071)</t>
  </si>
  <si>
    <t>LINESTRING (-111.9204485 33.4147071, -111.9203868 33.4148865)</t>
  </si>
  <si>
    <t>LINESTRING (-111.9398917 33.4135032, -111.9370709 33.4135303)</t>
  </si>
  <si>
    <t>LINESTRING (-111.9370709 33.4135303, -111.9398917 33.4135032)</t>
  </si>
  <si>
    <t>LINESTRING (-111.9398917 33.4135032, -111.9398829 33.4130694)</t>
  </si>
  <si>
    <t>LINESTRING (-111.9398829 33.4130694, -111.9398917 33.4135032)</t>
  </si>
  <si>
    <t>LINESTRING (-111.9398928 33.4136273, -111.9398917 33.4135032)</t>
  </si>
  <si>
    <t>LINESTRING (-111.9398917 33.4135032, -111.9398928 33.4136273)</t>
  </si>
  <si>
    <t>LINESTRING (-111.9398936 33.4218943, -111.9398538 33.4218932, -111.9393175 33.4218971, -111.9389394 33.4218979, -111.9389268 33.4218979, -111.938246 33.4218977, -111.9381462 33.4218977)</t>
  </si>
  <si>
    <t>LINESTRING (-111.9381595 33.4231914, -111.9381582 33.4230826, -111.9381521 33.4225867, -111.9381494 33.42237, -111.938145 33.422052, -111.9381452 33.4219872)</t>
  </si>
  <si>
    <t>LINESTRING (-111.9381452 33.4219872, -111.938145 33.422052, -111.9381494 33.42237, -111.9381521 33.4225867, -111.9381582 33.4230826, -111.9381595 33.4231914)</t>
  </si>
  <si>
    <t>LINESTRING (-111.9381452 33.4219872, -111.938251 33.4219878, -111.9389138 33.4219837, -111.9389328 33.4219836, -111.9390184 33.4219833)</t>
  </si>
  <si>
    <t>LINESTRING (-111.9400474 33.4204936, -111.9400454 33.4204161, -111.9400338 33.4194368)</t>
  </si>
  <si>
    <t>LINESTRING (-111.9423905 33.4212237, -111.9423906 33.4213209, -111.9423904 33.4213628, -111.9423936 33.4216625, -111.9423945 33.4217049, -111.9423956 33.4218115, -111.9423899 33.4219281)</t>
  </si>
  <si>
    <t>LINESTRING (-111.9423899 33.4219281, -111.9423956 33.4218115, -111.9423945 33.4217049, -111.9423936 33.4216625, -111.9423904 33.4213628, -111.9423906 33.4213209, -111.9423905 33.4212237)</t>
  </si>
  <si>
    <t>LINESTRING (-111.9295985 33.4220148, -111.9297409 33.4220518, -111.930766 33.4220427)</t>
  </si>
  <si>
    <t>LINESTRING (-111.9349501 33.4150744, -111.9349563 33.4148208, -111.9349593 33.4147529)</t>
  </si>
  <si>
    <t>LINESTRING (-111.9349552 33.4146147, -111.9342965 33.4146294, -111.9338144 33.4146435, -111.9335205 33.4146455)</t>
  </si>
  <si>
    <t>LINESTRING (-111.9398081 33.4067486, -111.9398049 33.406561, -111.9398017 33.4063787)</t>
  </si>
  <si>
    <t>LINESTRING (-111.9398017 33.4063787, -111.9398049 33.406561, -111.9398081 33.4067486)</t>
  </si>
  <si>
    <t>LINESTRING (-111.9443252 33.4291446, -111.9448055 33.4291415)</t>
  </si>
  <si>
    <t>LINESTRING (-111.9448055 33.4291415, -111.9443252 33.4291446)</t>
  </si>
  <si>
    <t>LINESTRING (-111.9176985 33.4151844, -111.9176942 33.4149751, -111.917698 33.4148781)</t>
  </si>
  <si>
    <t>LINESTRING (-111.917698 33.4148781, -111.9176942 33.4149751, -111.9176985 33.4151844)</t>
  </si>
  <si>
    <t>LINESTRING (-111.9177035 33.4216544, -111.917704 33.421496, -111.9177046 33.4212686, -111.9177096 33.4206954, -111.9177074 33.4203063, -111.9177077 33.4201858, -111.9177082 33.4200246)</t>
  </si>
  <si>
    <t>LINESTRING (-111.9177082 33.4200246, -111.9177077 33.4201858, -111.9177074 33.4203063, -111.9177096 33.4206954, -111.9177046 33.4212686, -111.917704 33.421496, -111.9177035 33.4216544)</t>
  </si>
  <si>
    <t>LINESTRING (-111.9177025 33.4220187, -111.9177028 33.4218974, -111.9177035 33.4216544)</t>
  </si>
  <si>
    <t>LINESTRING (-111.9177035 33.4216544, -111.9177028 33.4218974, -111.9177025 33.4220187)</t>
  </si>
  <si>
    <t>LINESTRING (-111.9176821 33.4222296, -111.9176986 33.4221317, -111.9177025 33.4220187)</t>
  </si>
  <si>
    <t>LINESTRING (-111.9177025 33.4220187, -111.9176986 33.4221317, -111.9176821 33.4222296)</t>
  </si>
  <si>
    <t>LINESTRING (-111.9176682 33.4237215, -111.9176593 33.4232191, -111.9176562 33.4229467, -111.9176548 33.4228884, -111.9176467 33.422541, -111.9176443 33.4224386, -111.9176758 33.4222671, -111.9176821 33.4222296)</t>
  </si>
  <si>
    <t>LINESTRING (-111.9176821 33.4222296, -111.9176758 33.4222671, -111.9176443 33.4224386, -111.9176467 33.422541, -111.9176548 33.4228884, -111.9176562 33.4229467, -111.9176593 33.4232191, -111.9176682 33.4237215)</t>
  </si>
  <si>
    <t>LINESTRING (-111.9176978 33.4092243, -111.9176934 33.4090761, -111.9176894 33.4086162, -111.9176908 33.4084681, -111.9176922 33.408319, -111.9176951 33.408003)</t>
  </si>
  <si>
    <t>LINESTRING (-111.9176951 33.408003, -111.9176922 33.408319, -111.9176908 33.4084681, -111.9176894 33.4086162, -111.9176934 33.4090761, -111.9176978 33.4092243)</t>
  </si>
  <si>
    <t>LINESTRING (-111.9176951 33.408003, -111.9176983 33.4076542, -111.9176965 33.4075762)</t>
  </si>
  <si>
    <t>LINESTRING (-111.9176965 33.4075762, -111.9176983 33.4076542, -111.9176951 33.408003)</t>
  </si>
  <si>
    <t>LINESTRING (-111.9177031 33.4071744, -111.9177037 33.4069057, -111.9177038 33.4067778, -111.9177062 33.4063878)</t>
  </si>
  <si>
    <t>LINESTRING (-111.9177062 33.4063878, -111.9177038 33.4067778, -111.9177037 33.4069057, -111.9177031 33.4071744)</t>
  </si>
  <si>
    <t>LINESTRING (-111.9177062 33.4063878, -111.9177063 33.4063787)</t>
  </si>
  <si>
    <t>LINESTRING (-111.9177063 33.4063787, -111.9177062 33.4063878)</t>
  </si>
  <si>
    <t>LINESTRING (-111.9423899 33.4219281, -111.9423888 33.4219395, -111.9423874 33.4220465, -111.9423987 33.4224828)</t>
  </si>
  <si>
    <t>LINESTRING (-111.9423987 33.4224828, -111.9423874 33.4220465, -111.9423888 33.4219395, -111.9423899 33.4219281)</t>
  </si>
  <si>
    <t>LINESTRING (-111.9433507 33.4249452, -111.9433467 33.4253798, -111.943347 33.4254811)</t>
  </si>
  <si>
    <t>LINESTRING (-111.943347 33.4254811, -111.9433467 33.4253798, -111.9433507 33.4249452)</t>
  </si>
  <si>
    <t>LINESTRING (-111.9349044 33.4074493, -111.9349047 33.4073228, -111.9349055 33.4071062)</t>
  </si>
  <si>
    <t>LINESTRING (-111.9349055 33.4071062, -111.9349047 33.4073228, -111.9349044 33.4074493)</t>
  </si>
  <si>
    <t>LINESTRING (-111.9349089 33.4079907, -111.934905 33.4075768, -111.9349044 33.4074493)</t>
  </si>
  <si>
    <t>LINESTRING (-111.9349044 33.4074493, -111.934905 33.4075768, -111.9349089 33.4079907)</t>
  </si>
  <si>
    <t>LINESTRING (-111.934915 33.4093789, -111.9349119 33.4089659, -111.9349107 33.4088561, -111.9349102 33.408691, -111.9349095 33.4084881, -111.9349089 33.4079907)</t>
  </si>
  <si>
    <t>LINESTRING (-111.9349089 33.4079907, -111.9349095 33.4084881, -111.9349102 33.408691, -111.9349107 33.4088561, -111.9349119 33.4089659, -111.934915 33.4093789)</t>
  </si>
  <si>
    <t>LINESTRING (-111.9349552 33.4146147, -111.9349493 33.414314)</t>
  </si>
  <si>
    <t>LINESTRING (-111.9349493 33.414314, -111.9349552 33.4146147)</t>
  </si>
  <si>
    <t>LINESTRING (-111.9349498 33.4155051, -111.9349501 33.4150744)</t>
  </si>
  <si>
    <t>LINESTRING (-111.921125 33.4154858, -111.9206824 33.4150793, -111.9206122 33.4150047, -111.9205921 33.4149724, -111.9205452 33.4148706)</t>
  </si>
  <si>
    <t>LINESTRING (-111.9254783 33.4195802, -111.9256894 33.419775, -111.9259901 33.4200444, -111.9261388 33.4201748, -111.9263008 33.4202837)</t>
  </si>
  <si>
    <t>LINESTRING (-111.9306499 33.4147876, -111.930649 33.4147639, -111.9306493 33.4147379)</t>
  </si>
  <si>
    <t>LINESTRING (-111.9306493 33.4147379, -111.930649 33.4147639, -111.9306499 33.4147876)</t>
  </si>
  <si>
    <t>LINESTRING (-111.9306499 33.4147876, -111.930613 33.4148802, -111.9306049 33.4150435, -111.9305912 33.4151961, -111.9305745 33.4152628)</t>
  </si>
  <si>
    <t>LINESTRING (-111.9305745 33.4152628, -111.9305319 33.4153831, -111.9304791 33.4154969, -111.9304001 33.4156225, -111.9303119 33.4157222, -111.9301163 33.4159109, -111.9294542 33.4165531, -111.9294043 33.4166443)</t>
  </si>
  <si>
    <t>LINESTRING (-111.9288549 33.4184369, -111.928853 33.4183465, -111.928844 33.4180457)</t>
  </si>
  <si>
    <t>LINESTRING (-111.928844 33.4180457, -111.928853 33.4183465, -111.9288549 33.4184369)</t>
  </si>
  <si>
    <t>LINESTRING (-111.9288801 33.4195869, -111.9288784 33.4195156, -111.9288758 33.4193999, -111.9288716 33.4192147, -111.9288681 33.4190594, -111.9288562 33.4185348, -111.9288549 33.4184369)</t>
  </si>
  <si>
    <t>LINESTRING (-111.9288549 33.4184369, -111.9288562 33.4185348, -111.9288681 33.4190594, -111.9288716 33.4192147, -111.9288758 33.4193999, -111.9288784 33.4195156, -111.9288801 33.4195869)</t>
  </si>
  <si>
    <t>LINESTRING (-111.9289065 33.4200493, -111.9289025 33.4199815, -111.9288864 33.4197084, -111.9288842 33.4196669, -111.9288801 33.4195869)</t>
  </si>
  <si>
    <t>LINESTRING (-111.9288801 33.4195869, -111.9288842 33.4196669, -111.9288864 33.4197084, -111.9289025 33.4199815, -111.9289065 33.4200493)</t>
  </si>
  <si>
    <t>LINESTRING (-111.9289198 33.4202704, -111.9289133 33.4201645, -111.9289065 33.4200493)</t>
  </si>
  <si>
    <t>LINESTRING (-111.9289065 33.4200493, -111.9289133 33.4201645, -111.9289198 33.4202704)</t>
  </si>
  <si>
    <t>LINESTRING (-111.9289618 33.4208697, -111.9289604 33.4208451, -111.9289562 33.4206884, -111.9289561 33.4206801, -111.9289538 33.4206435, -111.9289438 33.4204819, -111.9289287 33.4203474, -111.9289198 33.4202704)</t>
  </si>
  <si>
    <t>LINESTRING (-111.9289198 33.4202704, -111.9289287 33.4203474, -111.9289438 33.4204819, -111.9289538 33.4206435, -111.9289561 33.4206801, -111.9289562 33.4206884, -111.9289604 33.4208451, -111.9289618 33.4208697)</t>
  </si>
  <si>
    <t>LINESTRING (-111.9289501 33.4212297, -111.9289516 33.4212032)</t>
  </si>
  <si>
    <t>LINESTRING (-111.9289516 33.4212032, -111.9289501 33.4212297)</t>
  </si>
  <si>
    <t>LINESTRING (-111.9289364 33.4215873, -111.9289369 33.4215339, -111.9289501 33.4212297)</t>
  </si>
  <si>
    <t>LINESTRING (-111.9289501 33.4212297, -111.9289369 33.4215339, -111.9289364 33.4215873)</t>
  </si>
  <si>
    <t>LINESTRING (-111.9295097 33.4227418, -111.9293204 33.422626)</t>
  </si>
  <si>
    <t>LINESTRING (-111.9293204 33.422626, -111.9295097 33.4227418)</t>
  </si>
  <si>
    <t>LINESTRING (-111.9293204 33.422626, -111.9292429 33.4225786, -111.9291529 33.4225115, -111.9291357 33.4224987, -111.9291136 33.4224748)</t>
  </si>
  <si>
    <t>LINESTRING (-111.9291136 33.4224748, -111.9291357 33.4224987, -111.9291529 33.4225115, -111.9292429 33.4225786, -111.9293204 33.422626)</t>
  </si>
  <si>
    <t>LINESTRING (-111.9291136 33.4224748, -111.9290459 33.4224016, -111.9290413 33.4223935)</t>
  </si>
  <si>
    <t>LINESTRING (-111.9290413 33.4223935, -111.9290459 33.4224016, -111.9291136 33.4224748)</t>
  </si>
  <si>
    <t>LINESTRING (-111.9290413 33.4223935, -111.9289967 33.4223153, -111.9289548 33.4221717, -111.9289506 33.4221573, -111.9289415 33.4220194)</t>
  </si>
  <si>
    <t>LINESTRING (-111.9289415 33.4220194, -111.9289506 33.4221573, -111.9289548 33.4221717, -111.9289967 33.4223153, -111.9290413 33.4223935)</t>
  </si>
  <si>
    <t>LINESTRING (-111.9339446 33.4251998, -111.934246 33.425333, -111.9343824 33.4253903, -111.9345254 33.4254357, -111.9346182 33.4254572, -111.9347083 33.4254777, -111.9347997 33.4254989, -111.9348577 33.4254844, -111.9349278 33.4254396)</t>
  </si>
  <si>
    <t>LINESTRING (-111.9312627 33.4233579, -111.9309728 33.423231, -111.9307104 33.4231653, -111.9305402 33.4231415, -111.93049 33.423135, -111.9304264 33.4231268)</t>
  </si>
  <si>
    <t>LINESTRING (-111.9358356 33.4255093, -111.9356991 33.4255109, -111.9353519 33.4255151)</t>
  </si>
  <si>
    <t>LINESTRING (-111.9353519 33.4255151, -111.9356991 33.4255109, -111.9358356 33.4255093)</t>
  </si>
  <si>
    <t>LINESTRING (-111.9399606 33.425492, -111.9398427 33.4254931, -111.9394161 33.4254973)</t>
  </si>
  <si>
    <t>LINESTRING (-111.9394161 33.4254973, -111.9398427 33.4254931, -111.9399606 33.425492)</t>
  </si>
  <si>
    <t>LINESTRING (-111.9401399 33.4303209, -111.9401286 33.4302061)</t>
  </si>
  <si>
    <t>LINESTRING (-111.9414688 33.4238299, -111.9413077 33.4239694, -111.9412789 33.4240102, -111.9412759 33.4240511, -111.9412691 33.4243385)</t>
  </si>
  <si>
    <t>LINESTRING (-111.9412691 33.4243385, -111.9412759 33.4240511, -111.9412789 33.4240102, -111.9413077 33.4239694, -111.9414688 33.4238299)</t>
  </si>
  <si>
    <t>LINESTRING (-111.9412691 33.4243385, -111.9417777 33.4243358, -111.941811 33.4243431, -111.9418436 33.4243558, -111.9419645 33.4244387, -111.9420123 33.4244614, -111.9420536 33.4244698, -111.9424207 33.4244682, -111.942467 33.4244556, -111.9425097 33.4244249, -111.9426433 33.4242842, -111.942677 33.4242646, -111.9427189 33.4242535, -111.9431087 33.4242487, -111.9432183 33.4242317)</t>
  </si>
  <si>
    <t>LINESTRING (-111.9432183 33.4242317, -111.9431087 33.4242487, -111.9427189 33.4242535, -111.942677 33.4242646, -111.9426433 33.4242842, -111.9425097 33.4244249, -111.942467 33.4244556, -111.9424207 33.4244682, -111.9420536 33.4244698, -111.9420123 33.4244614, -111.9419645 33.4244387, -111.9418436 33.4243558, -111.941811 33.4243431, -111.9417777 33.4243358, -111.9412691 33.4243385)</t>
  </si>
  <si>
    <t>footway</t>
  </si>
  <si>
    <t>LINESTRING (-111.9313563 33.420664, -111.9314528 33.4207446, -111.9316996 33.4207468)</t>
  </si>
  <si>
    <t>LINESTRING (-111.9316996 33.4207468, -111.9317112 33.4209585, -111.9317237 33.4211878, -111.9317246 33.4212406)</t>
  </si>
  <si>
    <t>LINESTRING (-111.9316996 33.4207468, -111.9316994 33.4207167, -111.9316983 33.4205349, -111.9316969 33.4202848)</t>
  </si>
  <si>
    <t>LINESTRING (-111.9290798 33.4242989, -111.9289046 33.4243452, -111.9287135 33.4243933, -111.928643 33.4244053, -111.9283655 33.4244526, -111.9282474 33.4244664, -111.9281214 33.4244812, -111.9278961 33.424498, -111.9276205 33.4245014, -111.9275146 33.4245016)</t>
  </si>
  <si>
    <t>LINESTRING (-111.9275146 33.4245016, -111.9276205 33.4245014, -111.9278961 33.424498, -111.9281214 33.4244812, -111.9282474 33.4244664, -111.9283655 33.4244526, -111.928643 33.4244053, -111.9287135 33.4243933, -111.9289046 33.4243452, -111.9290798 33.4242989)</t>
  </si>
  <si>
    <t>LINESTRING (-111.9275146 33.4245016, -111.927418 33.4245018, -111.926471 33.424506, -111.9263814 33.4245047)</t>
  </si>
  <si>
    <t>LINESTRING (-111.9263814 33.4245047, -111.926471 33.424506, -111.927418 33.4245018, -111.9275146 33.4245016)</t>
  </si>
  <si>
    <t>LINESTRING (-111.9306493 33.4147379, -111.9306565 33.4146999, -111.9306654 33.4146657)</t>
  </si>
  <si>
    <t>LINESTRING (-111.9306654 33.4146657, -111.9306565 33.4146999, -111.9306493 33.4147379)</t>
  </si>
  <si>
    <t>East Terrace Road</t>
  </si>
  <si>
    <t>LINESTRING (-111.9269771 33.4189112, -111.9268342 33.4189676, -111.9267271 33.4190079, -111.9266349 33.4190341, -111.9265531 33.4190475, -111.926472 33.4190602, -111.9262965 33.4191375)</t>
  </si>
  <si>
    <t>LINESTRING (-111.9317292 33.4215199, -111.9317241 33.4216751, -111.9317273 33.4218424)</t>
  </si>
  <si>
    <t>LINESTRING (-111.9317246 33.4212406, -111.9317267 33.4213704, -111.9317292 33.4215199)</t>
  </si>
  <si>
    <t>LINESTRING (-111.9401264 33.4316795, -111.9401814 33.4319584, -111.9402106 33.43209, -111.9402482 33.4322593, -111.940308 33.4324827, -111.9403797 33.4327082, -111.9405077 33.4330783, -111.9406317 33.4333828)</t>
  </si>
  <si>
    <t>LINESTRING (-111.9451095 33.4294457, -111.9451638 33.4293527, -111.9451628 33.4291392)</t>
  </si>
  <si>
    <t>LINESTRING (-111.9450555 33.4291399, -111.945063 33.4293593, -111.9451095 33.4294457)</t>
  </si>
  <si>
    <t>LINESTRING (-111.9453641 33.4305477, -111.9454283 33.430546)</t>
  </si>
  <si>
    <t>LINESTRING (-111.9454283 33.430546, -111.9453641 33.4305477)</t>
  </si>
  <si>
    <t>LINESTRING (-111.9454283 33.4294628, -111.9453461 33.4294451, -111.9452165 33.4294497)</t>
  </si>
  <si>
    <t>LINESTRING (-111.9452165 33.4294497, -111.9453461 33.4294451, -111.9454283 33.4294628)</t>
  </si>
  <si>
    <t>LINESTRING (-111.9447374 33.4305631, -111.9445366 33.4305672)</t>
  </si>
  <si>
    <t>LINESTRING (-111.9445366 33.4305672, -111.9447374 33.4305631)</t>
  </si>
  <si>
    <t>LINESTRING (-111.9445329 33.4307844, -111.9445366 33.4305672)</t>
  </si>
  <si>
    <t>LINESTRING (-111.9445366 33.4305672, -111.9445329 33.4307844)</t>
  </si>
  <si>
    <t>LINESTRING (-111.9445366 33.4305672, -111.9445362 33.4301978)</t>
  </si>
  <si>
    <t>LINESTRING (-111.9445362 33.4301978, -111.9445366 33.4305672)</t>
  </si>
  <si>
    <t>LINESTRING (-111.9195486 33.4072925, -111.9196143 33.4072385, -111.9196126 33.4070397, -111.9195914 33.406981)</t>
  </si>
  <si>
    <t>LINESTRING (-111.919683 33.4068264, -111.9196581 33.4067925, -111.919621 33.4067675, -111.919576 33.4067545)</t>
  </si>
  <si>
    <t>LINESTRING (-111.919576 33.4067545, -111.919621 33.4067675, -111.9196581 33.4067925, -111.919683 33.4068264)</t>
  </si>
  <si>
    <t>LINESTRING (-111.919576 33.4067545, -111.9195309 33.4067545, -111.9194881 33.4067666, -111.9194522 33.4067894, -111.9194264 33.4068217, -111.9194148 33.4068592, -111.9194186 33.4068978, -111.9194374 33.4069333, -111.9194691 33.4069616, -111.9195102 33.4069797)</t>
  </si>
  <si>
    <t>LINESTRING (-111.9195102 33.4069797, -111.9194691 33.4069616, -111.9194374 33.4069333, -111.9194186 33.4068978, -111.9194148 33.4068592, -111.9194264 33.4068217, -111.9194522 33.4067894, -111.9194881 33.4067666, -111.9195309 33.4067545, -111.919576 33.4067545)</t>
  </si>
  <si>
    <t>LINESTRING (-111.9195102 33.4069797, -111.9195507 33.4069854, -111.9195914 33.406981)</t>
  </si>
  <si>
    <t>LINESTRING (-111.9195914 33.406981, -111.9195507 33.4069854, -111.9195102 33.4069797)</t>
  </si>
  <si>
    <t>LINESTRING (-111.9195914 33.406981, -111.9196289 33.4069669, -111.9196639 33.40694, -111.9196861 33.4069048)</t>
  </si>
  <si>
    <t>LINESTRING (-111.9196861 33.4069048, -111.9196639 33.40694, -111.9196289 33.4069669, -111.9195914 33.406981)</t>
  </si>
  <si>
    <t>LINESTRING (-111.9196861 33.4069048, -111.9196927 33.4068654, -111.919683 33.4068264)</t>
  </si>
  <si>
    <t>LINESTRING (-111.919683 33.4068264, -111.9196927 33.4068654, -111.9196861 33.4069048)</t>
  </si>
  <si>
    <t>LINESTRING (-111.9285601 33.4146783, -111.928559 33.4145885, -111.9285521 33.4135942, -111.9285554 33.4130694, -111.928557 33.4129127, -111.928554 33.4128786, -111.9285521 33.4128472, -111.9285309 33.4128145, -111.9284607 33.41273, -111.9283494 33.4126305)</t>
  </si>
  <si>
    <t>LINESTRING (-111.9283494 33.4126305, -111.9284607 33.41273, -111.9285309 33.4128145, -111.9285521 33.4128472, -111.928554 33.4128786, -111.928557 33.4129127, -111.9285554 33.4130694, -111.9285521 33.4135942, -111.928559 33.4145885, -111.9285601 33.4146783)</t>
  </si>
  <si>
    <t>LINESTRING (-111.9257941 33.4101273, -111.9255669 33.4101291)</t>
  </si>
  <si>
    <t>LINESTRING (-111.9255669 33.4101291, -111.9257941 33.4101273)</t>
  </si>
  <si>
    <t>LINESTRING (-111.9255669 33.4101291, -111.9253586 33.4101308, -111.9250546 33.4101331, -111.9246146 33.4101366, -111.9243614 33.4101386, -111.9243204 33.4101392, -111.9237951 33.410147, -111.9235422 33.4101507)</t>
  </si>
  <si>
    <t>LINESTRING (-111.9235422 33.4101507, -111.9237951 33.410147, -111.9243204 33.4101392, -111.9243614 33.4101386, -111.9246146 33.4101366, -111.9250546 33.4101331, -111.9253586 33.4101308, -111.9255669 33.4101291)</t>
  </si>
  <si>
    <t>LINESTRING (-111.9235422 33.4101507, -111.9234032 33.4101518, -111.9233313 33.4101524, -111.9225032 33.4101593, -111.9223362 33.4101607, -111.9218256 33.410165, -111.9214308 33.4101077, -111.9211046 33.4100074, -111.920934 33.4099206, -111.9203579 33.4096276, -111.9201143 33.4095581, -111.9200665 33.4095444, -111.9200317 33.4095345, -111.9199484 33.4095258, -111.9197571 33.4095058, -111.9178224 33.409508, -111.9177984 33.4095043, -111.9177482 33.4094786)</t>
  </si>
  <si>
    <t>LINESTRING (-111.9177482 33.4094786, -111.9177984 33.4095043, -111.9178224 33.409508, -111.9197571 33.4095058, -111.9199484 33.4095258, -111.9200317 33.4095345, -111.9200665 33.4095444, -111.9201143 33.4095581, -111.9203579 33.4096276, -111.920934 33.4099206, -111.9211046 33.4100074, -111.9214308 33.4101077, -111.9218256 33.410165, -111.9223362 33.4101607, -111.9225032 33.4101593, -111.9233313 33.4101524, -111.9234032 33.4101518, -111.9235422 33.4101507)</t>
  </si>
  <si>
    <t>LINESTRING (-111.9401355 33.4074051, -111.9405939 33.4074032)</t>
  </si>
  <si>
    <t>LINESTRING (-111.9405939 33.4074032, -111.9401355 33.4074051)</t>
  </si>
  <si>
    <t>LINESTRING (-111.9195102 33.4069797, -111.9194875 33.4070408, -111.9194933 33.4072424, -111.9195486 33.4072925)</t>
  </si>
  <si>
    <t>LINESTRING (-111.9196861 33.4069048, -111.9197733 33.4069348, -111.9200041 33.4069878, -111.9212261 33.4070087, -111.92131 33.4069159, -111.9213116 33.4063787)</t>
  </si>
  <si>
    <t>LINESTRING (-111.9213116 33.4063787, -111.92131 33.4069159, -111.9212261 33.4070087, -111.9200041 33.4069878, -111.9197733 33.4069348, -111.9196861 33.4069048)</t>
  </si>
  <si>
    <t>LINESTRING (-111.9349328 33.4135475, -111.9348369 33.4135485, -111.9327775 33.4135705)</t>
  </si>
  <si>
    <t>LINESTRING (-111.9327775 33.4135705, -111.9348369 33.4135485, -111.9349328 33.4135475)</t>
  </si>
  <si>
    <t>LINESTRING (-111.9327775 33.4135705, -111.9307814 33.413585, -111.9307346 33.4135807, -111.9307043 33.4135726)</t>
  </si>
  <si>
    <t>LINESTRING (-111.9307043 33.4135726, -111.9307346 33.4135807, -111.9307814 33.413585, -111.9327775 33.4135705)</t>
  </si>
  <si>
    <t>LINESTRING (-111.9349328 33.4135475, -111.9349354 33.4130207, -111.9349327 33.4129448, -111.9349297 33.4119783)</t>
  </si>
  <si>
    <t>LINESTRING (-111.9349297 33.4119783, -111.9349327 33.4129448, -111.9349354 33.4130207, -111.9349328 33.4135475)</t>
  </si>
  <si>
    <t>LINESTRING (-111.9349297 33.4119783, -111.9349346 33.4113481, -111.934931 33.4110677, -111.9349309 33.4110191, -111.9349308 33.4109161, -111.9349316 33.4107429, -111.9349315 33.4107044, -111.9349226 33.4103317)</t>
  </si>
  <si>
    <t>LINESTRING (-111.9349226 33.4103317, -111.9349315 33.4107044, -111.9349316 33.4107429, -111.9349308 33.4109161, -111.9349309 33.4110191, -111.934931 33.4110677, -111.9349346 33.4113481, -111.9349297 33.4119783)</t>
  </si>
  <si>
    <t>LINESTRING (-111.9452441 33.4307647, -111.9452413 33.4306815, -111.9452385 33.4306457, -111.9452236 33.43061, -111.9451957 33.4305802, -111.9451318 33.4305537)</t>
  </si>
  <si>
    <t>LINESTRING (-111.9451318 33.4305537, -111.9450605 33.4305798, -111.945038 33.4306138, -111.9450336 33.4306468, -111.945035 33.430685, -111.9450364 33.4307669)</t>
  </si>
  <si>
    <t>LINESTRING (-111.9091161 33.4158327, -111.9086362 33.4158344, -111.9084809 33.4158349, -111.9079659 33.4158349, -111.9077755 33.4158349, -111.9077621 33.4164461, -111.9087742 33.4164478, -111.9091146 33.4164484)</t>
  </si>
  <si>
    <t>LINESTRING (-111.9091146 33.4164484, -111.9087742 33.4164478, -111.9077621 33.4164461, -111.9077755 33.4158349, -111.9079659 33.4158349, -111.9084809 33.4158349, -111.9086362 33.4158344, -111.9091161 33.4158327)</t>
  </si>
  <si>
    <t>LINESTRING (-111.9432128 33.4303148, -111.943221 33.4303864, -111.943241 33.4309221)</t>
  </si>
  <si>
    <t>LINESTRING (-111.9430423 33.429831, -111.9431038 33.4299596, -111.9431655 33.4301207, -111.9431917 33.4302098, -111.9432128 33.4303148)</t>
  </si>
  <si>
    <t>LINESTRING (-111.9262731 33.4079581, -111.9262739 33.408202, -111.9262744 33.4083544)</t>
  </si>
  <si>
    <t>LINESTRING (-111.9262744 33.4083544, -111.9262739 33.408202, -111.9262731 33.4079581)</t>
  </si>
  <si>
    <t>LINESTRING (-111.9294043 33.4166443, -111.9295169 33.4165881, -111.9296074 33.416506, -111.9302224 33.415909, -111.9303493 33.4157851, -111.9303964 33.4157365, -111.9304881 33.4156245, -111.9305592 33.4155164, -111.9306186 33.4154082, -111.9306452 33.4153477, -111.9306642 33.4152742, -111.9306766 33.415185, -111.9306837 33.4150881, -111.9306912 33.4148842, -111.9306499 33.4147876)</t>
  </si>
  <si>
    <t>service</t>
  </si>
  <si>
    <t>LINESTRING (-111.9407231 33.4213245, -111.9406838 33.42136, -111.9406654 33.4214007, -111.9406618 33.4214492, -111.9406731 33.4215057, -111.9407048 33.4215701, -111.9407078 33.4217665, -111.9407002 33.4219284)</t>
  </si>
  <si>
    <t>LINESTRING (-111.9391558 33.4074189, -111.9389839 33.4074225)</t>
  </si>
  <si>
    <t>LINESTRING (-111.9389839 33.4074225, -111.9391558 33.4074189)</t>
  </si>
  <si>
    <t>LINESTRING (-111.923179 33.417529, -111.9229809 33.4177201, -111.9227335 33.4179463, -111.9226204 33.4180497, -111.9223035 33.4182204, -111.9219423 33.418415, -111.9218791 33.4184524, -111.9217363 33.4185368, -111.9216162 33.4187016, -111.9214702 33.4187804, -111.9212894 33.4188214, -111.9205552 33.4187226)</t>
  </si>
  <si>
    <t>LINESTRING (-111.9205552 33.4187226, -111.9212894 33.4188214, -111.9214702 33.4187804, -111.9216162 33.4187016, -111.9217363 33.4185368, -111.9218791 33.4184524, -111.9219423 33.418415, -111.9223035 33.4182204, -111.9226204 33.4180497, -111.9227335 33.4179463, -111.9229809 33.4177201, -111.923179 33.417529)</t>
  </si>
  <si>
    <t>LINESTRING (-111.9205552 33.4187226, -111.9203596 33.4187002, -111.9201861 33.41865, -111.9200369 33.4185727, -111.9198051 33.418458, -111.919674 33.4184222, -111.9195587 33.4184066, -111.9195343 33.418407, -111.9194821 33.4184078, -111.9191918 33.4184073, -111.9191623 33.4184072, -111.9190885 33.4184071, -111.9186841 33.4184064)</t>
  </si>
  <si>
    <t>LINESTRING (-111.9186841 33.4184064, -111.9190885 33.4184071, -111.9191623 33.4184072, -111.9191918 33.4184073, -111.9194821 33.4184078, -111.9195343 33.418407, -111.9195587 33.4184066, -111.919674 33.4184222, -111.9198051 33.418458, -111.9200369 33.4185727, -111.9201861 33.41865, -111.9203596 33.4187002, -111.9205552 33.4187226)</t>
  </si>
  <si>
    <t>LINESTRING (-111.9186841 33.4184064, -111.9181954 33.4184067, -111.9178114 33.4184058, -111.9177365 33.4183756)</t>
  </si>
  <si>
    <t>LINESTRING (-111.9177365 33.4183756, -111.9178114 33.4184058, -111.9181954 33.4184067, -111.9186841 33.4184064)</t>
  </si>
  <si>
    <t>LINESTRING (-111.923179 33.417529, -111.9234954 33.4178081, -111.9238039 33.4180747, -111.923885 33.4181473, -111.9244087 33.41861, -111.9245129 33.418702, -111.9245914 33.418771, -111.9247795 33.4189363, -111.9250379 33.4191712, -111.9250952 33.419226, -111.9252892 33.4194071, -111.9253416 33.4194528, -111.9254075 33.4195146, -111.9254783 33.4195802)</t>
  </si>
  <si>
    <t>LINESTRING (-111.9430383 33.4219283, -111.9431678 33.4219692, -111.9435164 33.4219473, -111.9435706 33.4219441, -111.9437223 33.4219401, -111.9439222 33.4218959)</t>
  </si>
  <si>
    <t>LINESTRING (-111.9147587 33.4148409, -111.915678 33.4148505, -111.9158907 33.4148527, -111.9163531 33.414863, -111.916476 33.4148657, -111.9167018 33.4148707)</t>
  </si>
  <si>
    <t>LINESTRING (-111.9191579 33.4146605, -111.9190965 33.4146601, -111.9188238 33.4146585, -111.9187804 33.4146582, -111.918715 33.4146579, -111.9186464 33.4146574)</t>
  </si>
  <si>
    <t>LINESTRING (-111.9220806 33.4148179, -111.9221139 33.414818, -111.9228415 33.4148206, -111.9232043 33.4148218, -111.9233989 33.4148225, -111.9235864 33.414822, -111.9240547 33.4148207)</t>
  </si>
  <si>
    <t>LINESTRING (-111.9240547 33.4148207, -111.9243091 33.4148231, -111.9246025 33.4148259, -111.925551 33.4148387, -111.9258763 33.414841)</t>
  </si>
  <si>
    <t>LINESTRING (-111.9399748 33.4301976, -111.9399799 33.4304033, -111.9399972 33.4306963, -111.9400262 33.4309705, -111.9400556 33.4312394)</t>
  </si>
  <si>
    <t>LINESTRING (-111.9397193 33.4204945, -111.9398833 33.4204904)</t>
  </si>
  <si>
    <t>LINESTRING (-111.9398833 33.4204904, -111.9397193 33.4204945)</t>
  </si>
  <si>
    <t>LINESTRING (-111.9400474 33.4204936, -111.9403244 33.4204887, -111.9404473 33.4204877, -111.9406246 33.4204862, -111.9411404 33.4204828, -111.9411875 33.4204825)</t>
  </si>
  <si>
    <t>LINESTRING (-111.9411875 33.4204825, -111.9411404 33.4204828, -111.9406246 33.4204862, -111.9404473 33.4204877, -111.9403244 33.4204887, -111.9400474 33.4204936)</t>
  </si>
  <si>
    <t>LINESTRING (-111.9392023 33.420496, -111.9397193 33.4204945)</t>
  </si>
  <si>
    <t>LINESTRING (-111.9397193 33.4204945, -111.9392023 33.420496)</t>
  </si>
  <si>
    <t>LINESTRING (-111.919635 33.4295616, -111.9196389 33.4294883, -111.9196471 33.4293489)</t>
  </si>
  <si>
    <t>LINESTRING (-111.9196471 33.4293489, -111.9196389 33.4294883, -111.919635 33.4295616)</t>
  </si>
  <si>
    <t>LINESTRING (-111.9196278 33.4301419, -111.919633 33.4299964)</t>
  </si>
  <si>
    <t>LINESTRING (-111.919633 33.4299964, -111.9196278 33.4301419)</t>
  </si>
  <si>
    <t>LINESTRING (-111.918223 33.4304339, -111.9181292 33.4302676, -111.9180887 33.4301945)</t>
  </si>
  <si>
    <t>LINESTRING (-111.9180887 33.4301945, -111.9181292 33.4302676, -111.918223 33.4304339)</t>
  </si>
  <si>
    <t>LINESTRING (-111.9179144 33.4294474, -111.9179198 33.4293372)</t>
  </si>
  <si>
    <t>LINESTRING (-111.9179198 33.4293372, -111.9179144 33.4294474)</t>
  </si>
  <si>
    <t>LINESTRING (-111.9166557 33.4305645, -111.9166263 33.4305492, -111.9165191 33.4304935)</t>
  </si>
  <si>
    <t>LINESTRING (-111.9165191 33.4304935, -111.9166263 33.4305492, -111.9166557 33.4305645)</t>
  </si>
  <si>
    <t>LINESTRING (-111.9173182 33.4309518, -111.9172022 33.4308627)</t>
  </si>
  <si>
    <t>LINESTRING (-111.9172022 33.4308627, -111.9173182 33.4309518)</t>
  </si>
  <si>
    <t>LINESTRING (-111.9450095 33.4294461, -111.9449232 33.4294451, -111.9447259 33.4294547, -111.9447374 33.4305631)</t>
  </si>
  <si>
    <t>LINESTRING (-111.9447374 33.4305631, -111.9447259 33.4294547, -111.9449232 33.4294451, -111.9450095 33.4294461)</t>
  </si>
  <si>
    <t>LINESTRING (-111.9447374 33.4305631, -111.9449304 33.4305591)</t>
  </si>
  <si>
    <t>LINESTRING (-111.9449304 33.4305591, -111.9447374 33.4305631)</t>
  </si>
  <si>
    <t>LINESTRING (-111.9449304 33.4305591, -111.9451318 33.4305537)</t>
  </si>
  <si>
    <t>LINESTRING (-111.9451318 33.4305537, -111.9449304 33.4305591)</t>
  </si>
  <si>
    <t>LINESTRING (-111.9451318 33.4305537, -111.9453641 33.4305477)</t>
  </si>
  <si>
    <t>LINESTRING (-111.9453641 33.4305477, -111.9451318 33.4305537)</t>
  </si>
  <si>
    <t>LINESTRING (-111.9452165 33.4294497, -111.9451095 33.4294457)</t>
  </si>
  <si>
    <t>LINESTRING (-111.9451095 33.4294457, -111.9452165 33.4294497)</t>
  </si>
  <si>
    <t>LINESTRING (-111.9451095 33.4294457, -111.9450095 33.4294461)</t>
  </si>
  <si>
    <t>LINESTRING (-111.9450095 33.4294461, -111.9451095 33.4294457)</t>
  </si>
  <si>
    <t>LINESTRING (-111.9279752 33.4075028, -111.9273424 33.4075066, -111.9272515 33.4075072, -111.9270016 33.4075087)</t>
  </si>
  <si>
    <t>LINESTRING (-111.9270016 33.4075087, -111.9272515 33.4075072, -111.9273424 33.4075066, -111.9279752 33.4075028)</t>
  </si>
  <si>
    <t>LINESTRING (-111.9279752 33.4075028, -111.9281503 33.4075457, -111.9290294 33.407539)</t>
  </si>
  <si>
    <t>LINESTRING (-111.9290294 33.407539, -111.9301223 33.4075271)</t>
  </si>
  <si>
    <t>LINESTRING (-111.9301223 33.4075271, -111.9305887 33.4075251, -111.9308439 33.4075242, -111.9311382 33.4075231)</t>
  </si>
  <si>
    <t>LINESTRING (-111.9311382 33.4075231, -111.9316241 33.407519, -111.933812 33.4075039, -111.9340719 33.4074553)</t>
  </si>
  <si>
    <t>LINESTRING (-111.9340719 33.4074553, -111.9337872 33.4074141, -111.9316164 33.4074287, -111.9311381 33.407433)</t>
  </si>
  <si>
    <t>LINESTRING (-111.9311381 33.407433, -111.9308399 33.4074356, -111.9305975 33.4074377, -111.9302167 33.4074389, -111.929469 33.4074414, -111.9290279 33.4074428)</t>
  </si>
  <si>
    <t>LINESTRING (-111.9290279 33.4074428, -111.9284698 33.4074493, -111.9281491 33.407453, -111.9279752 33.4075028)</t>
  </si>
  <si>
    <t>LINESTRING (-111.9237187 33.4079673, -111.9237139 33.408166, -111.9236998 33.4082485, -111.9236624 33.4084669, -111.9236524 33.4085037, -111.9235851 33.4087607, -111.9235813 33.4087884, -111.9235336 33.4091404, -111.923536 33.4094268, -111.9235422 33.4101507)</t>
  </si>
  <si>
    <t>LINESTRING (-111.9235422 33.4101507, -111.923536 33.4094268, -111.9235336 33.4091404, -111.9235813 33.4087884, -111.9235851 33.4087607, -111.9236524 33.4085037, -111.9236624 33.4084669, -111.9236998 33.4082485, -111.9237139 33.408166, -111.9237187 33.4079673)</t>
  </si>
  <si>
    <t>LINESTRING (-111.9237187 33.4079673, -111.9237612 33.4078941, -111.9237612 33.4076658, -111.9237216 33.4075795)</t>
  </si>
  <si>
    <t>LINESTRING (-111.9364992 33.4074355, -111.9363634 33.4074363, -111.9359642 33.4074385)</t>
  </si>
  <si>
    <t>LINESTRING (-111.9359642 33.4074385, -111.9363634 33.4074363, -111.9364992 33.4074355)</t>
  </si>
  <si>
    <t>LINESTRING (-111.9359642 33.4074385, -111.9354177 33.4074426)</t>
  </si>
  <si>
    <t>LINESTRING (-111.9354177 33.4074426, -111.9359642 33.4074385)</t>
  </si>
  <si>
    <t>LINESTRING (-111.9385439 33.4074173, -111.9383164 33.4074206)</t>
  </si>
  <si>
    <t>LINESTRING (-111.9383164 33.4074206, -111.9385439 33.4074173)</t>
  </si>
  <si>
    <t>LINESTRING (-111.9364992 33.4074355, -111.9366382 33.4074783, -111.9372909 33.4074728, -111.9381507 33.4074647, -111.9383164 33.4074206)</t>
  </si>
  <si>
    <t>LINESTRING (-111.9383164 33.4074206, -111.9381611 33.407373, -111.9372909 33.4073831, -111.9366363 33.4073876, -111.9364992 33.4074355)</t>
  </si>
  <si>
    <t>LINESTRING (-111.9105708 33.4147001, -111.9105539 33.413434, -111.9104449 33.4133193)</t>
  </si>
  <si>
    <t>LINESTRING (-111.9104449 33.4133193, -111.9103762 33.4134498, -111.910382 33.414697)</t>
  </si>
  <si>
    <t>LINESTRING (-111.9104449 33.4133193, -111.9104355 33.4131295, -111.9104503 33.4127103)</t>
  </si>
  <si>
    <t>LINESTRING (-111.9104503 33.4127103, -111.9104355 33.4131295, -111.9104449 33.4133193)</t>
  </si>
  <si>
    <t>LINESTRING (-111.936319 33.4255035, -111.9361618 33.4255053, -111.9360994 33.4255061, -111.9358986 33.4255085, -111.9358356 33.4255093)</t>
  </si>
  <si>
    <t>LINESTRING (-111.9358356 33.4255093, -111.9358986 33.4255085, -111.9360994 33.4255061, -111.9361618 33.4255053, -111.936319 33.4255035)</t>
  </si>
  <si>
    <t>LINESTRING (-111.9398439 33.4174549, -111.9398468 33.4176189)</t>
  </si>
  <si>
    <t>LINESTRING (-111.9398468 33.4176189, -111.9398778 33.4176221, -111.9399555 33.4176243, -111.9400253 33.4176249)</t>
  </si>
  <si>
    <t>LINESTRING (-111.9398348 33.4170325, -111.9398421 33.4171208, -111.9398439 33.4174549)</t>
  </si>
  <si>
    <t>LINESTRING (-111.940029 33.4174558, -111.9400269 33.417428)</t>
  </si>
  <si>
    <t>LINESTRING (-111.9366575 33.4176535, -111.936655 33.4174833)</t>
  </si>
  <si>
    <t>LINESTRING (-111.936655 33.4174833, -111.9366575 33.4176535)</t>
  </si>
  <si>
    <t>LINESTRING (-111.9377644 33.4242905, -111.9377303 33.4242867, -111.9376966 33.4242926, -111.9376671 33.4243075, -111.9376452 33.4243297, -111.9376334 33.4243567)</t>
  </si>
  <si>
    <t>LINESTRING (-111.9376334 33.4243567, -111.9376328 33.4243841, -111.9376425 33.4244102, -111.9376617 33.4244324, -111.9376883 33.4244484, -111.9377197 33.4244566, -111.9377525 33.424456, -111.9377834 33.4244468, -111.9378092 33.4244299, -111.9378273 33.4244071, -111.937836 33.4243793, -111.937833 33.4243506, -111.9378189 33.4243244, -111.9377951 33.4243036, -111.9377644 33.4242905)</t>
  </si>
  <si>
    <t>LINESTRING (-111.9085434 33.4075681, -111.9085518 33.4074305)</t>
  </si>
  <si>
    <t>LINESTRING (-111.9085518 33.4074305, -111.9085434 33.4075681)</t>
  </si>
  <si>
    <t>LINESTRING (-111.940778 33.4264585, -111.9412469 33.4264549)</t>
  </si>
  <si>
    <t>LINESTRING (-111.9412469 33.4264549, -111.940778 33.4264585)</t>
  </si>
  <si>
    <t>LINESTRING (-111.9412469 33.4264549, -111.9412513 33.426127)</t>
  </si>
  <si>
    <t>LINESTRING (-111.926503 33.4097547, -111.9264325 33.4097221, -111.9263846 33.4096861, -111.926345 33.4096296, -111.9262783 33.4094872)</t>
  </si>
  <si>
    <t>LINESTRING (-111.9262808 33.4099305, -111.9263006 33.4098915, -111.9263578 33.4098292, -111.9264022 33.4097921, -111.926503 33.4097547)</t>
  </si>
  <si>
    <t>LINESTRING (-111.9262827 33.4100947, -111.9261191 33.4100957, -111.9258144 33.4100976, -111.9257941 33.4101273)</t>
  </si>
  <si>
    <t>LINESTRING (-111.9257941 33.4101273, -111.9258576 33.4101524, -111.9261183 33.4101532, -111.9261723 33.4101533, -111.9262835 33.4101537)</t>
  </si>
  <si>
    <t>LINESTRING (-111.9289516 33.4212032, -111.9289598 33.4210596, -111.9289622 33.4208816, -111.9289618 33.4208697)</t>
  </si>
  <si>
    <t>LINESTRING (-111.9289618 33.4208697, -111.9289622 33.4208816, -111.9289598 33.4210596, -111.9289516 33.4212032)</t>
  </si>
  <si>
    <t>LINESTRING (-111.9438761 33.4073773, -111.9439499 33.4073767)</t>
  </si>
  <si>
    <t>LINESTRING (-111.9439499 33.4073767, -111.9438761 33.4073773)</t>
  </si>
  <si>
    <t>LINESTRING (-111.9439499 33.4073767, -111.9440359 33.4073758, -111.944424 33.4073707, -111.9446083 33.4073714, -111.9447304 33.4073721, -111.9449251 33.4073721, -111.9451487 33.4073726, -111.9452064 33.4073725, -111.9454228 33.4073737, -111.9454283 33.4073737)</t>
  </si>
  <si>
    <t>LINESTRING (-111.9454283 33.4073737, -111.9454228 33.4073737, -111.9452064 33.4073725, -111.9451487 33.4073726, -111.9449251 33.4073721, -111.9447304 33.4073721, -111.9446083 33.4073714, -111.944424 33.4073707, -111.9440359 33.4073758, -111.9439499 33.4073767)</t>
  </si>
  <si>
    <t>LINESTRING (-111.9433255 33.4073787, -111.9434388 33.4074222, -111.9435352 33.4074228, -111.9436503 33.4074218, -111.9438761 33.4073773)</t>
  </si>
  <si>
    <t>LINESTRING (-111.9438761 33.4073773, -111.9436698 33.4073239, -111.9435344 33.4073247, -111.9434148 33.4073264, -111.9433255 33.4073787)</t>
  </si>
  <si>
    <t>LINESTRING (-111.9423307 33.4204818, -111.9423368 33.4204922, -111.9423464 33.4205006, -111.9423585 33.4205062, -111.942372 33.4205087)</t>
  </si>
  <si>
    <t>LINESTRING (-111.942372 33.4205087, -111.9423871 33.4205074, -111.9424008 33.4205021, -111.9424118 33.4204934, -111.9424189 33.4204823, -111.9424213 33.4204698)</t>
  </si>
  <si>
    <t>LINESTRING (-111.9424213 33.4204698, -111.9424189 33.4204576, -111.9424119 33.4204466, -111.9424012 33.420438, -111.9423878 33.4204327, -111.9423773 33.4204312)</t>
  </si>
  <si>
    <t>LINESTRING (-111.9423773 33.4204312, -111.942359 33.4204335, -111.9423465 33.4204393, -111.9423367 33.4204479, -111.9423305 33.4204586, -111.9423284 33.4204704)</t>
  </si>
  <si>
    <t>LINESTRING (-111.9423284 33.4204704, -111.9423307 33.4204818)</t>
  </si>
  <si>
    <t>LINESTRING (-111.9424213 33.4204698, -111.9424635 33.4204696, -111.9428321 33.4204683, -111.9432087 33.4204653, -111.9432579 33.4204648, -111.9432847 33.4204639, -111.9433089 33.420462, -111.9433575 33.4204578, -111.9434088 33.4204491, -111.9434597 33.4204374, -111.9434713 33.4204336, -111.9434998 33.4204249, -111.9435693 33.4203957, -111.9436256 33.4203768, -111.943673 33.4203632, -111.9437235 33.4203539, -111.9437786 33.4203484, -111.9438355 33.4203468, -111.9441571 33.420348, -111.9442479 33.4203483)</t>
  </si>
  <si>
    <t>LINESTRING (-111.9442479 33.4203483, -111.9441571 33.420348, -111.9438355 33.4203468, -111.9437786 33.4203484, -111.9437235 33.4203539, -111.943673 33.4203632, -111.9436256 33.4203768, -111.9435693 33.4203957, -111.9434998 33.4204249, -111.9434713 33.4204336, -111.9434597 33.4204374, -111.9434088 33.4204491, -111.9433575 33.4204578, -111.9433089 33.420462, -111.9432847 33.4204639, -111.9432579 33.4204648, -111.9432087 33.4204653, -111.9428321 33.4204683, -111.9424635 33.4204696, -111.9424213 33.4204698)</t>
  </si>
  <si>
    <t>LINESTRING (-111.9411873 33.4204889, -111.941192 33.4205014, -111.9412016 33.4205119, -111.9412147 33.4205191, -111.94123 33.4205223)</t>
  </si>
  <si>
    <t>LINESTRING (-111.94123 33.4205223, -111.9412457 33.4205209, -111.94126 33.4205153, -111.9412706 33.4205066, -111.9412774 33.4204956, -111.9412797 33.4204834)</t>
  </si>
  <si>
    <t>LINESTRING (-111.9412797 33.4204834, -111.9412772 33.4204711, -111.9412703 33.4204602, -111.9412595 33.4204516, -111.9412461 33.4204463, -111.9412313 33.4204449)</t>
  </si>
  <si>
    <t>LINESTRING (-111.9412313 33.4204449, -111.9412168 33.4204474, -111.9412039 33.4204536, -111.9411936 33.4204635, -111.9411878 33.4204757, -111.9411875 33.4204825)</t>
  </si>
  <si>
    <t>LINESTRING (-111.9411875 33.4204825, -111.9411873 33.4204889)</t>
  </si>
  <si>
    <t>LINESTRING (-111.9412797 33.4204834, -111.9413371 33.4204827, -111.9418 33.4204769, -111.9422957 33.4204708, -111.9423284 33.4204704)</t>
  </si>
  <si>
    <t>LINESTRING (-111.9423284 33.4204704, -111.9422957 33.4204708, -111.9418 33.4204769, -111.9413371 33.4204827, -111.9412797 33.4204834)</t>
  </si>
  <si>
    <t>LINESTRING (-111.9412313 33.4204449, -111.9412317 33.4203907, -111.9412339 33.4200543, -111.941222 33.4191313, -111.9412354 33.4190569)</t>
  </si>
  <si>
    <t>LINESTRING (-111.9412354 33.4190569, -111.941222 33.4191313, -111.9412339 33.4200543, -111.9412317 33.4203907, -111.9412313 33.4204449)</t>
  </si>
  <si>
    <t>LINESTRING (-111.9412354 33.4190569, -111.941237 33.4189818, -111.94123 33.4176195)</t>
  </si>
  <si>
    <t>LINESTRING (-111.94123 33.4176195, -111.941237 33.4189818, -111.9412354 33.4190569)</t>
  </si>
  <si>
    <t>LINESTRING (-111.94123 33.4176195, -111.941205 33.416204)</t>
  </si>
  <si>
    <t>LINESTRING (-111.941205 33.416204, -111.94123 33.4176195)</t>
  </si>
  <si>
    <t>LINESTRING (-111.941205 33.416204, -111.9411894 33.4147443)</t>
  </si>
  <si>
    <t>LINESTRING (-111.9411894 33.4147443, -111.941205 33.416204)</t>
  </si>
  <si>
    <t>LINESTRING (-111.942372 33.4205087, -111.9423726 33.4205305, -111.9423831 33.4209119, -111.9423871 33.4210355, -111.9423905 33.4212237)</t>
  </si>
  <si>
    <t>LINESTRING (-111.9423905 33.4212237, -111.9423871 33.4210355, -111.9423831 33.4209119, -111.9423726 33.4205305, -111.942372 33.4205087)</t>
  </si>
  <si>
    <t>LINESTRING (-111.9343732 33.4074544, -111.9340719 33.4074553)</t>
  </si>
  <si>
    <t>LINESTRING (-111.9340719 33.4074553, -111.9343732 33.4074544)</t>
  </si>
  <si>
    <t>LINESTRING (-111.943347 33.4254811, -111.9434364 33.4255151, -111.9434737 33.425529, -111.9435719 33.425529, -111.943615 33.425529, -111.9437176 33.425529, -111.9442085 33.4254991, -111.9442882 33.4254677)</t>
  </si>
  <si>
    <t>LINESTRING (-111.9451009 33.4254702, -111.9454283 33.4254738)</t>
  </si>
  <si>
    <t>LINESTRING (-111.9454283 33.4254738, -111.9451009 33.4254702)</t>
  </si>
  <si>
    <t>LINESTRING (-111.9446931 33.425471, -111.9448596 33.4254906, -111.9449758 33.4254889, -111.9451009 33.4254702)</t>
  </si>
  <si>
    <t>LINESTRING (-111.9451009 33.4254702, -111.9449781 33.4254568, -111.9448567 33.4254551, -111.9446931 33.425471)</t>
  </si>
  <si>
    <t>LINESTRING (-111.9091162 33.4141228, -111.9091161 33.4140521, -111.9091153 33.413681)</t>
  </si>
  <si>
    <t>LINESTRING (-111.9091153 33.413681, -111.9091161 33.4140521, -111.9091162 33.4141228)</t>
  </si>
  <si>
    <t>LINESTRING (-111.9327942 33.4146458, -111.9327934 33.4145749, -111.9327814 33.4140702, -111.9327775 33.4135705)</t>
  </si>
  <si>
    <t>LINESTRING (-111.9327775 33.4135705, -111.9327814 33.4140702, -111.9327934 33.4145749, -111.9327942 33.4146458)</t>
  </si>
  <si>
    <t>LINESTRING (-111.942523 33.429252, -111.9424907 33.4292857, -111.9424679 33.4293072)</t>
  </si>
  <si>
    <t>LINESTRING (-111.942465 33.4284426, -111.9424693 33.4283595, -111.9424879 33.4281866, -111.9425189 33.4280458, -111.9425545 33.4279426)</t>
  </si>
  <si>
    <t>LINESTRING (-111.9425545 33.4279426, -111.9425189 33.4280458, -111.9424879 33.4281866, -111.9424693 33.4283595, -111.942465 33.4284426)</t>
  </si>
  <si>
    <t>LINESTRING (-111.9427707 33.4291942, -111.9427375 33.4291853, -111.9426983 33.4291776, -111.9426474 33.4291792, -111.9426006 33.4291945, -111.9425565 33.4292191, -111.942523 33.429252)</t>
  </si>
  <si>
    <t>LINESTRING (-111.9427707 33.4291942, -111.9427523 33.4291629, -111.9427017 33.4291063)</t>
  </si>
  <si>
    <t>LINESTRING (-111.9428484 33.4296132, -111.942981 33.4297412, -111.9430423 33.429831)</t>
  </si>
  <si>
    <t>LINESTRING (-111.9430761 33.429697, -111.9431471 33.4296654, -111.9433834 33.4295692, -111.9434283 33.4295304)</t>
  </si>
  <si>
    <t>LINESTRING (-111.9434283 33.4295304, -111.9433652 33.4295157, -111.9431149 33.4296058, -111.9430137 33.4296434)</t>
  </si>
  <si>
    <t>LINESTRING (-111.9428484 33.4296132, -111.9428918 33.4296181, -111.9429964 33.4297012, -111.943038 33.4297088, -111.9430761 33.429697)</t>
  </si>
  <si>
    <t>LINESTRING (-111.9195633 33.4063787, -111.919576 33.4067545)</t>
  </si>
  <si>
    <t>LINESTRING (-111.919576 33.4067545, -111.9195633 33.4063787)</t>
  </si>
  <si>
    <t>LINESTRING (-111.9195486 33.4072925, -111.9195397 33.4074443)</t>
  </si>
  <si>
    <t>LINESTRING (-111.9195397 33.4074443, -111.9195486 33.4072925)</t>
  </si>
  <si>
    <t>LINESTRING (-111.9148228 33.4323224, -111.9148229 33.4322974, -111.9148139 33.4322736, -111.9147966 33.4322532, -111.9147694 33.4322366, -111.914737 33.4322288)</t>
  </si>
  <si>
    <t>LINESTRING (-111.914737 33.4322288, -111.9147694 33.4322366, -111.9147966 33.4322532, -111.9148139 33.4322736, -111.9148229 33.4322974, -111.9148228 33.4323224)</t>
  </si>
  <si>
    <t>LINESTRING (-111.914737 33.4322288, -111.9147034 33.4322306, -111.9146725 33.4322419, -111.9146481 33.4322613, -111.914633 33.4322864, -111.9146291 33.4323143, -111.9146367 33.4323417, -111.9146551 33.4323653, -111.914682 33.4323822, -111.9147143 33.4323905, -111.9147442 33.4323898, -111.9147724 33.4323815, -111.9147963 33.4323665, -111.9148137 33.4323462, -111.9148228 33.4323224)</t>
  </si>
  <si>
    <t>LINESTRING (-111.9148228 33.4323224, -111.9148137 33.4323462, -111.9147963 33.4323665, -111.9147724 33.4323815, -111.9147442 33.4323898, -111.9147143 33.4323905, -111.914682 33.4323822, -111.9146551 33.4323653, -111.9146367 33.4323417, -111.9146291 33.4323143, -111.914633 33.4322864, -111.9146481 33.4322613, -111.9146725 33.4322419, -111.9147034 33.4322306, -111.914737 33.4322288)</t>
  </si>
  <si>
    <t>East  Packard Drive</t>
  </si>
  <si>
    <t>LINESTRING (-111.9290798 33.4242989, -111.9290627 33.4242318, -111.9287706 33.4236406, -111.9287539 33.4236069, -111.9286792 33.4234783, -111.9285811 33.4233769, -111.9284457 33.4233341, -111.9275107 33.4233377)</t>
  </si>
  <si>
    <t>LINESTRING (-111.9275107 33.4233377, -111.9284457 33.4233341, -111.9285811 33.4233769, -111.9286792 33.4234783, -111.9287539 33.4236069, -111.9287706 33.4236406, -111.9290627 33.4242318, -111.9290798 33.4242989)</t>
  </si>
  <si>
    <t>LINESTRING (-111.9275107 33.4233377, -111.9264642 33.4233419, -111.9263941 33.4233419)</t>
  </si>
  <si>
    <t>LINESTRING (-111.9263941 33.4233419, -111.9264642 33.4233419, -111.9275107 33.4233377)</t>
  </si>
  <si>
    <t>South Alpha Drive</t>
  </si>
  <si>
    <t>LINESTRING (-111.9275146 33.4245016, -111.9275138 33.4244324, -111.9275107 33.4233377)</t>
  </si>
  <si>
    <t>LINESTRING (-111.9275107 33.4233377, -111.9275138 33.4244324, -111.9275146 33.4245016)</t>
  </si>
  <si>
    <t>LINESTRING (-111.9275107 33.4233377, -111.9275396 33.4221164, -111.9275425 33.4220137)</t>
  </si>
  <si>
    <t>LINESTRING (-111.9275425 33.4220137, -111.9275396 33.4221164, -111.9275107 33.4233377)</t>
  </si>
  <si>
    <t>LINESTRING (-111.9339885 33.4219235, -111.9339909 33.4220122)</t>
  </si>
  <si>
    <t>LINESTRING (-111.9339909 33.4220122, -111.9339885 33.4219235)</t>
  </si>
  <si>
    <t>LINESTRING (-111.9307627 33.421952, -111.9302053 33.4219599, -111.9297246 33.4219631, -111.9295985 33.4220148)</t>
  </si>
  <si>
    <t>LINESTRING (-111.9349692 33.4219161, -111.9348817 33.4219166, -111.9339885 33.4219235)</t>
  </si>
  <si>
    <t>LINESTRING (-111.9339885 33.4219235, -111.9332203 33.4219303, -111.9307627 33.421952)</t>
  </si>
  <si>
    <t>LINESTRING (-111.939851 33.4147095, -111.9397742 33.4147095, -111.9397539 33.4147097, -111.939166 33.4147167)</t>
  </si>
  <si>
    <t>LINESTRING (-111.9262965 33.4191375, -111.9264704 33.4191473, -111.9265817 33.419132, -111.9266886 33.4191283, -111.9267684 33.4191364, -111.9268289 33.4191225, -111.9270629 33.4190274, -111.9271102 33.4189623, -111.9271558 33.4189227, -111.9273276 33.4188569, -111.9273828 33.4188262, -111.9274574 33.4187662, -111.9275636 33.4186999)</t>
  </si>
  <si>
    <t>LINESTRING (-111.9277064 33.4186462, -111.9275636 33.4186999)</t>
  </si>
  <si>
    <t>LINESTRING (-111.9275636 33.4186999, -111.9277064 33.4186462)</t>
  </si>
  <si>
    <t>LINESTRING (-111.9275636 33.4186999, -111.9273059 33.4187986, -111.9269771 33.4189112)</t>
  </si>
  <si>
    <t>LINESTRING (-111.9294043 33.4166443, -111.9292738 33.4166437, -111.9291845 33.4166419, -111.928751 33.4166318, -111.9279378 33.4166216, -111.9275795 33.4166248, -111.9274785 33.4166304, -111.9273827 33.4166406, -111.9272923 33.4166614, -111.9271917 33.4166831, -111.9271601 33.4166905, -111.926853 33.4167857, -111.9267505 33.4168087, -111.926644 33.4168225, -111.9265633 33.4168309, -111.9264704 33.4168349, -111.9263035 33.4168382)</t>
  </si>
  <si>
    <t>LINESTRING (-111.9263035 33.4168382, -111.9264704 33.4168349, -111.9265633 33.4168309, -111.926644 33.4168225, -111.9267505 33.4168087, -111.926853 33.4167857, -111.9271601 33.4166905, -111.9271917 33.4166831, -111.9272923 33.4166614, -111.9273827 33.4166406, -111.9274785 33.4166304, -111.9275795 33.4166248, -111.9279378 33.4166216, -111.928751 33.4166318, -111.9291845 33.4166419, -111.9292738 33.4166437, -111.9294043 33.4166443)</t>
  </si>
  <si>
    <t>LINESTRING (-111.9263035 33.4168382, -111.9261395 33.4168327, -111.9260081 33.4168288, -111.9257802 33.4168223, -111.9256121 33.4168174, -111.925416 33.4168118)</t>
  </si>
  <si>
    <t>LINESTRING (-111.925416 33.4168118, -111.9256121 33.4168174, -111.9257802 33.4168223, -111.9260081 33.4168288, -111.9261395 33.4168327, -111.9263035 33.4168382)</t>
  </si>
  <si>
    <t>LINESTRING (-111.9366651 33.4223635, -111.936662 33.4220574, -111.9366619 33.4219911)</t>
  </si>
  <si>
    <t>LINESTRING (-111.9366619 33.4219911, -111.936662 33.4220574, -111.9366651 33.4223635)</t>
  </si>
  <si>
    <t>LINESTRING (-111.9366614 33.4219091, -111.936661 33.4218453, -111.9366517 33.4212922)</t>
  </si>
  <si>
    <t>LINESTRING (-111.9366517 33.4212922, -111.936661 33.4218453, -111.9366614 33.4219091)</t>
  </si>
  <si>
    <t>LINESTRING (-111.9391012 33.4244499, -111.9391355 33.4244595, -111.9391717 33.4244595, -111.939206 33.4244502, -111.9392352 33.4244323, -111.9392562 33.4244078, -111.9392669 33.424379, -111.9392663 33.4243488)</t>
  </si>
  <si>
    <t>LINESTRING (-111.9392663 33.4243488, -111.939253 33.4243181, -111.939228 33.4242929, -111.9391942 33.4242763, -111.9391558 33.4242701, -111.9391171 33.4242752, -111.9390827 33.4242909, -111.9390568 33.4243154, -111.9390422 33.4243457, -111.9390408 33.4243784, -111.9390514 33.4244073, -111.9390722 33.4244319, -111.9391012 33.4244499)</t>
  </si>
  <si>
    <t>LINESTRING (-111.9451058 33.4218963, -111.9452194 33.4218967, -111.9452473 33.4218968, -111.9453183 33.421897)</t>
  </si>
  <si>
    <t>LINESTRING (-111.9453183 33.421897, -111.9452473 33.4218968, -111.9452194 33.4218967, -111.9451058 33.4218963)</t>
  </si>
  <si>
    <t>LINESTRING (-111.9451058 33.4218963, -111.9450466 33.4218508, -111.9448736 33.4218505, -111.9447771 33.4218511, -111.9446584 33.4218949)</t>
  </si>
  <si>
    <t>LINESTRING (-111.9389085 33.4204277, -111.9388965 33.4204672, -111.9388999 33.4205078)</t>
  </si>
  <si>
    <t>LINESTRING (-111.9388999 33.4205078, -111.9389176 33.4205445, -111.9389477 33.4205749, -111.9389876 33.4205962, -111.9390333 33.4206064, -111.9390805 33.4206046, -111.9391249 33.4205909, -111.9391621 33.4205665, -111.9391888 33.4205339, -111.9392023 33.420496)</t>
  </si>
  <si>
    <t>LINESTRING (-111.9392023 33.420496, -111.9392011 33.4204553, -111.9391847 33.4204169, -111.9391547 33.4203847, -111.9391142 33.420362, -111.9390671 33.420351, -111.9390183 33.4203529, -111.9389727 33.4203675, -111.9389348 33.4203933, -111.9389085 33.4204277)</t>
  </si>
  <si>
    <t>LINESTRING (-111.9337083 33.4173613, -111.9336455 33.4173509, -111.9334577 33.4173564, -111.9333809 33.417357)</t>
  </si>
  <si>
    <t>LINESTRING (-111.9333809 33.417357, -111.9334577 33.4173564, -111.9336455 33.4173509, -111.9337083 33.4173613)</t>
  </si>
  <si>
    <t>LINESTRING (-111.936754 33.421991, -111.9377106 33.421986, -111.938061 33.4219867, -111.9381452 33.4219872)</t>
  </si>
  <si>
    <t>LINESTRING (-111.9091127 33.4090648, -111.9090595 33.4091732, -111.9090565 33.410527)</t>
  </si>
  <si>
    <t>LINESTRING (-111.9090565 33.410527, -111.9090591 33.4114902)</t>
  </si>
  <si>
    <t>LINESTRING (-111.9091127 33.4090648, -111.9091111 33.4088792, -111.9091095 33.4087241, -111.9091088 33.4085182)</t>
  </si>
  <si>
    <t>LINESTRING (-111.9091088 33.4085182, -111.9091095 33.4087241, -111.9091111 33.4088792, -111.9091127 33.4090648)</t>
  </si>
  <si>
    <t>LINESTRING (-111.9091664 33.4105267, -111.9091596 33.4091694, -111.9091127 33.4090648)</t>
  </si>
  <si>
    <t>LINESTRING (-111.9091671 33.4114897, -111.9091664 33.4105267)</t>
  </si>
  <si>
    <t>LINESTRING (-111.9091115 33.412465, -111.9091691 33.4123644, -111.9091671 33.4114897)</t>
  </si>
  <si>
    <t>LINESTRING (-111.9090591 33.4114902, -111.9090615 33.4123569, -111.9091115 33.412465)</t>
  </si>
  <si>
    <t>LINESTRING (-111.9430761 33.429697, -111.9430137 33.4296434)</t>
  </si>
  <si>
    <t>connector</t>
  </si>
  <si>
    <t>LINESTRING (-111.9280358432747 33.42506280934404, -111.9275146 33.4245016)</t>
  </si>
  <si>
    <t>all</t>
  </si>
  <si>
    <t>LINESTRING (-111.9275146 33.4245016, -111.9280358432747 33.42506280934404)</t>
  </si>
  <si>
    <t>LINESTRING (-111.9287362210371 33.42550837646745, -111.9290798 33.4242989)</t>
  </si>
  <si>
    <t>LINESTRING (-111.9290798 33.4242989, -111.9287362210371 33.42550837646745)</t>
  </si>
  <si>
    <t>LINESTRING (-111.9324938360912 33.42483615926083, -111.9339446 33.4251998)</t>
  </si>
  <si>
    <t>LINESTRING (-111.9339446 33.4251998, -111.9324938360912 33.42483615926083)</t>
  </si>
  <si>
    <t>LINESTRING (-111.9310034874332 33.42451077967427, -111.9312627 33.4233579)</t>
  </si>
  <si>
    <t>LINESTRING (-111.9312627 33.4233579, -111.9310034874332 33.42451077967427)</t>
  </si>
  <si>
    <t>LINESTRING (-111.9375865853916 33.42619086021536, -111.938161 33.4254954)</t>
  </si>
  <si>
    <t>LINESTRING (-111.938161 33.4254954, -111.9375865853916 33.42619086021536)</t>
  </si>
  <si>
    <t>LINESTRING (-111.9330761627045 33.42403998805249, -111.9339446 33.4251998)</t>
  </si>
  <si>
    <t>LINESTRING (-111.9339446 33.4251998, -111.9330761627045 33.42403998805249)</t>
  </si>
  <si>
    <t>LINESTRING (-111.9338445684439 33.41654799600259, -111.933278 33.4160881)</t>
  </si>
  <si>
    <t>LINESTRING (-111.933278 33.4160881, -111.9338445684439 33.41654799600259)</t>
  </si>
  <si>
    <t>LINESTRING (-111.9344966117691 33.41656417567456, -111.9349506 33.4161111)</t>
  </si>
  <si>
    <t>LINESTRING (-111.9349506 33.4161111, -111.9344966117691 33.41656417567456)</t>
  </si>
  <si>
    <t>LINESTRING (-111.9355249879962 33.41649295171043, -111.9349506 33.4161111)</t>
  </si>
  <si>
    <t>LINESTRING (-111.9349506 33.4161111, -111.9355249879962 33.41649295171043)</t>
  </si>
  <si>
    <t>LINESTRING (-111.9362788125786 33.41696009135995, -111.936655 33.4174833)</t>
  </si>
  <si>
    <t>LINESTRING (-111.936655 33.4174833, -111.9362788125786 33.41696009135995)</t>
  </si>
  <si>
    <t>LINESTRING (-111.9356363680231 33.41721034768429, -111.936655 33.4174833)</t>
  </si>
  <si>
    <t>LINESTRING (-111.936655 33.4174833, -111.9356363680231 33.41721034768429)</t>
  </si>
  <si>
    <t>LINESTRING (-111.9354974485366 33.41762575029788, -111.9366575 33.4176535)</t>
  </si>
  <si>
    <t>LINESTRING (-111.9366575 33.4176535, -111.9354974485366 33.41762575029788)</t>
  </si>
  <si>
    <t>LINESTRING (-111.9361687646759 33.41794461461026, -111.9366575 33.4176535)</t>
  </si>
  <si>
    <t>LINESTRING (-111.9366575 33.4176535, -111.9361687646759 33.41794461461026)</t>
  </si>
  <si>
    <t>LINESTRING (-111.9378560808303 33.41792833519707, -111.9366575 33.4176535)</t>
  </si>
  <si>
    <t>LINESTRING (-111.9366575 33.4176535, -111.9378560808303 33.41792833519707)</t>
  </si>
  <si>
    <t>LINESTRING (-111.9372550050832 33.41888255007904, -111.936617 33.4190938)</t>
  </si>
  <si>
    <t>LINESTRING (-111.936617 33.4190938, -111.9372550050832 33.41888255007904)</t>
  </si>
  <si>
    <t>LINESTRING (-111.9390414751922 33.41804776551981, -111.9398468 33.4176189)</t>
  </si>
  <si>
    <t>LINESTRING (-111.9398468 33.4176189, -111.9390414751922 33.41804776551981)</t>
  </si>
  <si>
    <t>LINESTRING (-111.9394119 33.41941929999999, -111.9398606 33.4193366)</t>
  </si>
  <si>
    <t>LINESTRING (-111.9398606 33.4193366, -111.9394119 33.41941929999999)</t>
  </si>
  <si>
    <t>LINESTRING (-111.9377727498391 33.420202354892, -111.9381294 33.4205154)</t>
  </si>
  <si>
    <t>LINESTRING (-111.9381294 33.4205154, -111.9377727498391 33.420202354892)</t>
  </si>
  <si>
    <t>LINESTRING (-111.9371335175308 33.41985302047534, -111.936617 33.4190938)</t>
  </si>
  <si>
    <t>LINESTRING (-111.936617 33.4190938, -111.9371335175308 33.41985302047534)</t>
  </si>
  <si>
    <t>LINESTRING (-111.9369018917017 33.42032503063584, -111.9366784 33.4212889)</t>
  </si>
  <si>
    <t>LINESTRING (-111.9366784 33.4212889, -111.9369018917017 33.42032503063584)</t>
  </si>
  <si>
    <t>LINESTRING (-111.9373392371614 33.42050504903586, -111.9381294 33.4205154)</t>
  </si>
  <si>
    <t>LINESTRING (-111.9381294 33.4205154, -111.9373392371614 33.42050504903586)</t>
  </si>
  <si>
    <t>LINESTRING (-111.9378457634889 33.42092831554896, -111.9381294 33.4205154)</t>
  </si>
  <si>
    <t>LINESTRING (-111.9381294 33.4205154, -111.9378457634889 33.42092831554896)</t>
  </si>
  <si>
    <t>LINESTRING (-111.9375465488019 33.42157126865772, -111.9381462 33.4218977)</t>
  </si>
  <si>
    <t>LINESTRING (-111.9381462 33.4218977, -111.9375465488019 33.42157126865772)</t>
  </si>
  <si>
    <t>LINESTRING (-111.9378639250531 33.42162924415872, -111.9381462 33.4218977)</t>
  </si>
  <si>
    <t>LINESTRING (-111.9381462 33.4218977, -111.9378639250531 33.42162924415872)</t>
  </si>
  <si>
    <t>LINESTRING (-111.9370711635275 33.42153766505053, -111.9366784 33.4212889)</t>
  </si>
  <si>
    <t>LINESTRING (-111.9366784 33.4212889, -111.9370711635275 33.42153766505053)</t>
  </si>
  <si>
    <t>LINESTRING (-111.937090304828 33.42102006266697, -111.9366784 33.4212889)</t>
  </si>
  <si>
    <t>LINESTRING (-111.9366784 33.4212889, -111.937090304828 33.42102006266697)</t>
  </si>
  <si>
    <t>LINESTRING (-111.9419177023858 33.41282199640844, -111.94234 33.4136148)</t>
  </si>
  <si>
    <t>LINESTRING (-111.94234 33.4136148, -111.9419177023858 33.41282199640844)</t>
  </si>
  <si>
    <t>LINESTRING (-111.9407547233927 33.4123098514337, -111.9398827 33.4125946)</t>
  </si>
  <si>
    <t>LINESTRING (-111.9398827 33.4125946, -111.9407547233927 33.4123098514337)</t>
  </si>
  <si>
    <t>LINESTRING (-111.9361695261562 33.41427578900286, -111.9361331 33.4147441)</t>
  </si>
  <si>
    <t>LINESTRING (-111.9361331 33.4147441, -111.9361695261562 33.41427578900286)</t>
  </si>
  <si>
    <t>LINESTRING (-111.9343609382369 33.41768349885134, -111.9337083 33.4173613)</t>
  </si>
  <si>
    <t>LINESTRING (-111.9337083 33.4173613, -111.9343609382369 33.41768349885134)</t>
  </si>
  <si>
    <t>LINESTRING (-111.9345787304986 33.41902321243499, -111.9339665 33.4183547)</t>
  </si>
  <si>
    <t>LINESTRING (-111.9339665 33.4183547, -111.9345787304986 33.41902321243499)</t>
  </si>
  <si>
    <t>LINESTRING (-111.9352841606869 33.41886245559178, -111.936617 33.4190938)</t>
  </si>
  <si>
    <t>LINESTRING (-111.936617 33.4190938, -111.9352841606869 33.41886245559178)</t>
  </si>
  <si>
    <t>LINESTRING (-111.93531345 33.41852355, -111.9339665 33.4183547)</t>
  </si>
  <si>
    <t>LINESTRING (-111.9339665 33.4183547, -111.93531345 33.41852355)</t>
  </si>
  <si>
    <t>LINESTRING (-111.9359876158318 33.41852749885645, -111.936617 33.4190938)</t>
  </si>
  <si>
    <t>LINESTRING (-111.936617 33.4190938, -111.9359876158318 33.41852749885645)</t>
  </si>
  <si>
    <t>LINESTRING (-111.9358670949681 33.41911558119676, -111.936617 33.4190938)</t>
  </si>
  <si>
    <t>LINESTRING (-111.936617 33.4190938, -111.9358670949681 33.41911558119676)</t>
  </si>
  <si>
    <t>LINESTRING (-111.9362725995384 33.41911670973946, -111.936617 33.4190938)</t>
  </si>
  <si>
    <t>LINESTRING (-111.936617 33.4190938, -111.9362725995384 33.41911670973946)</t>
  </si>
  <si>
    <t>LINESTRING (-111.9361369624522 33.42011906104774, -111.936617 33.4190938)</t>
  </si>
  <si>
    <t>LINESTRING (-111.936617 33.4190938, -111.9361369624522 33.42011906104774)</t>
  </si>
  <si>
    <t>LINESTRING (-111.9354902970984 33.4199516108573, -111.936617 33.4190938)</t>
  </si>
  <si>
    <t>LINESTRING (-111.936617 33.4190938, -111.9354902970984 33.4199516108573)</t>
  </si>
  <si>
    <t>LINESTRING (-111.9364025287232 33.42054325535322, -111.9366517 33.4212922)</t>
  </si>
  <si>
    <t>LINESTRING (-111.9366517 33.4212922, -111.9364025287232 33.42054325535322)</t>
  </si>
  <si>
    <t>LINESTRING (-111.9362931033015 33.42100698058581, -111.9366517 33.4212922)</t>
  </si>
  <si>
    <t>LINESTRING (-111.9366517 33.4212922, -111.9362931033015 33.42100698058581)</t>
  </si>
  <si>
    <t>LINESTRING (-111.9344652593706 33.42226947958124, -111.9339909 33.4220122)</t>
  </si>
  <si>
    <t>LINESTRING (-111.9339909 33.4220122, -111.9344652593706 33.42226947958124)</t>
  </si>
  <si>
    <t>LINESTRING (-111.9306061103024 33.41904203056886, -111.9316969 33.4202848)</t>
  </si>
  <si>
    <t>LINESTRING (-111.9316969 33.4202848, -111.9306061103024 33.41904203056886)</t>
  </si>
  <si>
    <t>LINESTRING (-111.9314456559818 33.418922336313, -111.9316969 33.4202848)</t>
  </si>
  <si>
    <t>LINESTRING (-111.9316969 33.4202848, -111.9314456559818 33.418922336313)</t>
  </si>
  <si>
    <t>LINESTRING (-111.9313943393183 33.41787961355529, -111.9301745 33.4173982)</t>
  </si>
  <si>
    <t>LINESTRING (-111.9301745 33.4173982, -111.9313943393183 33.41787961355529)</t>
  </si>
  <si>
    <t>LINESTRING (-111.9295641229869 33.42064238235706, -111.9289618 33.4208697)</t>
  </si>
  <si>
    <t>LINESTRING (-111.9289618 33.4208697, -111.9295641229869 33.42064238235706)</t>
  </si>
  <si>
    <t>LINESTRING (-111.9295953720814 33.42103853071611, -111.9289618 33.4208697)</t>
  </si>
  <si>
    <t>LINESTRING (-111.9289618 33.4208697, -111.9295953720814 33.42103853071611)</t>
  </si>
  <si>
    <t>LINESTRING (-111.933070090197 33.41785476055531, -111.9333809 33.417357)</t>
  </si>
  <si>
    <t>LINESTRING (-111.9333809 33.417357, -111.933070090197 33.41785476055531)</t>
  </si>
  <si>
    <t>LINESTRING (-111.932394683205 33.41783514096839, -111.93269 33.4173629)</t>
  </si>
  <si>
    <t>LINESTRING (-111.93269 33.4173629, -111.932394683205 33.41783514096839)</t>
  </si>
  <si>
    <t>LINESTRING (-111.9318569391966 33.41780492827534, -111.93269 33.4173629)</t>
  </si>
  <si>
    <t>LINESTRING (-111.93269 33.4173629, -111.9318569391966 33.41780492827534)</t>
  </si>
  <si>
    <t>LINESTRING (-111.9307829252246 33.41784776427622, -111.9301745 33.4173982)</t>
  </si>
  <si>
    <t>LINESTRING (-111.9301745 33.4173982, -111.9307829252246 33.41784776427622)</t>
  </si>
  <si>
    <t>LINESTRING (-111.9296867717618 33.41710669308149, -111.9301745 33.4173982)</t>
  </si>
  <si>
    <t>LINESTRING (-111.9301745 33.4173982, -111.9296867717618 33.41710669308149)</t>
  </si>
  <si>
    <t>LINESTRING (-111.9294442200658 33.41781957614825, -111.928844 33.4180457)</t>
  </si>
  <si>
    <t>LINESTRING (-111.928844 33.4180457, -111.9294442200658 33.41781957614825)</t>
  </si>
  <si>
    <t>LINESTRING (-111.9272308296375 33.41766972222068, -111.9263 33.4175412)</t>
  </si>
  <si>
    <t>LINESTRING (-111.9263 33.4175412, -111.9272308296375 33.41766972222068)</t>
  </si>
  <si>
    <t>LINESTRING (-111.9418736111084 33.409632948008, -111.9399036 33.4106076)</t>
  </si>
  <si>
    <t>LINESTRING (-111.9399036 33.4106076, -111.9418736111084 33.409632948008)</t>
  </si>
  <si>
    <t>LINESTRING (-111.9345719631244 33.42093010843197, -111.9349692 33.4219161)</t>
  </si>
  <si>
    <t>LINESTRING (-111.9349692 33.4219161, -111.9345719631244 33.42093010843197)</t>
  </si>
  <si>
    <t>LINESTRING (-111.93356205 33.41909335, -111.9338292 33.4183283)</t>
  </si>
  <si>
    <t>LINESTRING (-111.9338292 33.4183283, -111.93356205 33.41909335)</t>
  </si>
  <si>
    <t>LINESTRING (-111.9338193951831 33.41952266516335, -111.9339665 33.4183547)</t>
  </si>
  <si>
    <t>LINESTRING (-111.9339665 33.4183547, -111.9338193951831 33.41952266516335)</t>
  </si>
  <si>
    <t>LINESTRING (-111.9337502 33.420015, -111.9339665 33.4183547)</t>
  </si>
  <si>
    <t>LINESTRING (-111.9339665 33.4183547, -111.9337502 33.420015)</t>
  </si>
  <si>
    <t>LINESTRING (-111.9321008624261 33.42006371292712, -111.9316969 33.4202848)</t>
  </si>
  <si>
    <t>LINESTRING (-111.9316969 33.4202848, -111.9321008624261 33.42006371292712)</t>
  </si>
  <si>
    <t>LINESTRING (-111.9313689291706 33.41976093998081, -111.9316969 33.4202848)</t>
  </si>
  <si>
    <t>LINESTRING (-111.9316969 33.4202848, -111.9313689291706 33.41976093998081)</t>
  </si>
  <si>
    <t>LINESTRING (-111.9321261414156 33.41862782178136, -111.93269 33.4173629)</t>
  </si>
  <si>
    <t>LINESTRING (-111.93269 33.4173629, -111.9321261414156 33.41862782178136)</t>
  </si>
  <si>
    <t>LINESTRING (-111.93237165 33.4187934, -111.9338292 33.4183283)</t>
  </si>
  <si>
    <t>LINESTRING (-111.9338292 33.4183283, -111.93237165 33.4187934)</t>
  </si>
  <si>
    <t>LINESTRING (-111.9322364964627 33.41896159674588, -111.9316969 33.4202848)</t>
  </si>
  <si>
    <t>LINESTRING (-111.9316969 33.4202848, -111.9322364964627 33.41896159674588)</t>
  </si>
  <si>
    <t>LINESTRING (-111.93219575 33.4191301, -111.9316969 33.4202848)</t>
  </si>
  <si>
    <t>LINESTRING (-111.9316969 33.4202848, -111.93219575 33.4191301)</t>
  </si>
  <si>
    <t>LINESTRING (-111.93223865 33.41930920000001, -111.9316969 33.4202848)</t>
  </si>
  <si>
    <t>LINESTRING (-111.9316969 33.4202848, -111.93223865 33.41930920000001)</t>
  </si>
  <si>
    <t>LINESTRING (-111.93219575 33.4194919, -111.9316969 33.4202848)</t>
  </si>
  <si>
    <t>LINESTRING (-111.9316969 33.4202848, -111.93219575 33.4194919)</t>
  </si>
  <si>
    <t>LINESTRING (-111.93223865 33.4196638, -111.9316969 33.4202848)</t>
  </si>
  <si>
    <t>LINESTRING (-111.9316969 33.4202848, -111.93223865 33.4196638)</t>
  </si>
  <si>
    <t>LINESTRING (-111.9295568912037 33.41989344318624, -111.9289065 33.4200493)</t>
  </si>
  <si>
    <t>LINESTRING (-111.9289065 33.4200493, -111.9295568912037 33.41989344318624)</t>
  </si>
  <si>
    <t>LINESTRING (-111.9355088522811 33.42058301862372, -111.9366517 33.4212922)</t>
  </si>
  <si>
    <t>LINESTRING (-111.9366517 33.4212922, -111.9355088522811 33.42058301862372)</t>
  </si>
  <si>
    <t>LINESTRING (-111.9284112626838 33.41744727503244, -111.928844 33.4180457)</t>
  </si>
  <si>
    <t>LINESTRING (-111.928844 33.4180457, -111.9284112626838 33.41744727503244)</t>
  </si>
  <si>
    <t>LINESTRING (-111.9282524047567 33.4207305713424, -111.9278714 33.4202692)</t>
  </si>
  <si>
    <t>LINESTRING (-111.9278714 33.4202692, -111.9282524047567 33.4207305713424)</t>
  </si>
  <si>
    <t>LINESTRING (-111.9372510795459 33.4154503213022, -111.9373669 33.4146466)</t>
  </si>
  <si>
    <t>LINESTRING (-111.9373669 33.4146466, -111.9372510795459 33.4154503213022)</t>
  </si>
  <si>
    <t>LINESTRING (-111.9388847172158 33.41690956763006, -111.9398348 33.4170325)</t>
  </si>
  <si>
    <t>LINESTRING (-111.9398348 33.4170325, -111.9388847172158 33.41690956763006)</t>
  </si>
  <si>
    <t>LINESTRING (-111.9353237914973 33.4215139758405, -111.9349692 33.4219161)</t>
  </si>
  <si>
    <t>LINESTRING (-111.9349692 33.4219161, -111.9353237914973 33.4215139758405)</t>
  </si>
  <si>
    <t>LINESTRING (-111.9355719806869 33.42105882426102, -111.9366517 33.4212922)</t>
  </si>
  <si>
    <t>LINESTRING (-111.9366517 33.4212922, -111.9355719806869 33.42105882426102)</t>
  </si>
  <si>
    <t>LINESTRING (-111.9361576168103 33.42152484390581, -111.9366517 33.4212922)</t>
  </si>
  <si>
    <t>LINESTRING (-111.9366517 33.4212922, -111.9361576168103 33.42152484390581)</t>
  </si>
  <si>
    <t>LINESTRING (-111.9363769247484 33.42169259102343, -111.9366614 33.4219091)</t>
  </si>
  <si>
    <t>LINESTRING (-111.9366614 33.4219091, -111.9363769247484 33.42169259102343)</t>
  </si>
  <si>
    <t>LINESTRING (-111.9339622736416 33.42056558997257, -111.9339885 33.4219235)</t>
  </si>
  <si>
    <t>LINESTRING (-111.9339885 33.4219235, -111.9339622736416 33.42056558997257)</t>
  </si>
  <si>
    <t>LINESTRING (-111.9335481216568 33.42096524448375, -111.9339885 33.4219235)</t>
  </si>
  <si>
    <t>LINESTRING (-111.9339885 33.4219235, -111.9335481216568 33.42096524448375)</t>
  </si>
  <si>
    <t>LINESTRING (-111.9330655312473 33.42136341378616, -111.9339885 33.4219235)</t>
  </si>
  <si>
    <t>LINESTRING (-111.9339885 33.4219235, -111.9330655312473 33.42136341378616)</t>
  </si>
  <si>
    <t>LINESTRING (-111.9330452660716 33.42053379309821, -111.9316996 33.4207468)</t>
  </si>
  <si>
    <t>LINESTRING (-111.9316996 33.4207468, -111.9330452660716 33.42053379309821)</t>
  </si>
  <si>
    <t>LINESTRING (-111.9313908650122 33.42097457867948, -111.9313563 33.420664)</t>
  </si>
  <si>
    <t>LINESTRING (-111.9313563 33.420664, -111.9313908650122 33.42097457867948)</t>
  </si>
  <si>
    <t>LINESTRING (-111.9315082796046 33.42138365908132, -111.9317292 33.4215199)</t>
  </si>
  <si>
    <t>LINESTRING (-111.9317292 33.4215199, -111.9315082796046 33.42138365908132)</t>
  </si>
  <si>
    <t>LINESTRING (-111.9313450923425 33.42166134986698, -111.9317292 33.4215199)</t>
  </si>
  <si>
    <t>LINESTRING (-111.9317292 33.4215199, -111.9313450923425 33.42166134986698)</t>
  </si>
  <si>
    <t>LINESTRING (-111.9321377459332 33.42165034659457, -111.9317292 33.4215199)</t>
  </si>
  <si>
    <t>LINESTRING (-111.9317292 33.4215199, -111.9321377459332 33.42165034659457)</t>
  </si>
  <si>
    <t>LINESTRING (-111.9322162380618 33.42135348635387, -111.9317246 33.4212406)</t>
  </si>
  <si>
    <t>LINESTRING (-111.9317246 33.4212406, -111.9322162380618 33.42135348635387)</t>
  </si>
  <si>
    <t>LINESTRING (-111.9322178525103 33.42106352082616, -111.9317246 33.4212406)</t>
  </si>
  <si>
    <t>LINESTRING (-111.9317246 33.4212406, -111.9322178525103 33.42106352082616)</t>
  </si>
  <si>
    <t>LINESTRING (-111.9321415077056 33.42083572858845, -111.9316996 33.4207468)</t>
  </si>
  <si>
    <t>LINESTRING (-111.9316996 33.4207468, -111.9321415077056 33.42083572858845)</t>
  </si>
  <si>
    <t>LINESTRING (-111.9323704088902 33.42058935711828, -111.9316996 33.4207468)</t>
  </si>
  <si>
    <t>LINESTRING (-111.9316996 33.4207468, -111.9323704088902 33.42058935711828)</t>
  </si>
  <si>
    <t>LINESTRING (-111.931972594855 33.42062516736156, -111.9316996 33.4207468)</t>
  </si>
  <si>
    <t>LINESTRING (-111.9316996 33.4207468, -111.931972594855 33.42062516736156)</t>
  </si>
  <si>
    <t>LINESTRING (-111.9309843154498 33.42070033401397, -111.9313563 33.420664)</t>
  </si>
  <si>
    <t>LINESTRING (-111.9313563 33.420664, -111.9309843154498 33.42070033401397)</t>
  </si>
  <si>
    <t>LINESTRING (-111.9304711258949 33.42078615340571, -111.9313563 33.420664)</t>
  </si>
  <si>
    <t>LINESTRING (-111.9313563 33.420664, -111.9304711258949 33.42078615340571)</t>
  </si>
  <si>
    <t>LINESTRING (-111.9294109 33.42132775, -111.9289501 33.4212297)</t>
  </si>
  <si>
    <t>LINESTRING (-111.9289501 33.4212297, -111.9294109 33.42132775)</t>
  </si>
  <si>
    <t>LINESTRING (-111.9295893953073 33.42160686736444, -111.9295985 33.4220148)</t>
  </si>
  <si>
    <t>LINESTRING (-111.9295985 33.4220148, -111.9295893953073 33.42160686736444)</t>
  </si>
  <si>
    <t>LINESTRING (-111.928406580493 33.4215266734153, -111.9289364 33.4215873)</t>
  </si>
  <si>
    <t>LINESTRING (-111.9289364 33.4215873, -111.928406580493 33.4215266734153)</t>
  </si>
  <si>
    <t>LINESTRING (-111.9283364940196 33.41902946823699, -111.9277064 33.4186462)</t>
  </si>
  <si>
    <t>LINESTRING (-111.9277064 33.4186462, -111.9283364940196 33.41902946823699)</t>
  </si>
  <si>
    <t>LINESTRING (-111.9343280069592 33.42303833487991, -111.9349761 33.4232093)</t>
  </si>
  <si>
    <t>LINESTRING (-111.9349761 33.4232093, -111.9343280069592 33.42303833487991)</t>
  </si>
  <si>
    <t>LINESTRING (-111.9347193268994 33.42281584853462, -111.9349761 33.4232093)</t>
  </si>
  <si>
    <t>LINESTRING (-111.9349761 33.4232093, -111.9347193268994 33.42281584853462)</t>
  </si>
  <si>
    <t>LINESTRING (-111.9380137157649 33.41625999219285, -111.9366276 33.4162059)</t>
  </si>
  <si>
    <t>LINESTRING (-111.9366276 33.4162059, -111.9380137157649 33.41625999219285)</t>
  </si>
  <si>
    <t>LINESTRING (-111.9325316147323 33.41555410596758, -111.932805 33.4147645)</t>
  </si>
  <si>
    <t>LINESTRING (-111.932805 33.4147645, -111.9325316147323 33.41555410596758)</t>
  </si>
  <si>
    <t>LINESTRING (-111.9357610766497 33.41512627577982, -111.9361331 33.4147441)</t>
  </si>
  <si>
    <t>LINESTRING (-111.9361331 33.4147441, -111.9357610766497 33.41512627577982)</t>
  </si>
  <si>
    <t>LINESTRING (-111.9361294 33.4154285, -111.9361331 33.4147441)</t>
  </si>
  <si>
    <t>LINESTRING (-111.9361331 33.4147441, -111.9361294 33.4154285)</t>
  </si>
  <si>
    <t>LINESTRING (-111.9361375 33.4159137, -111.9366276 33.4162059)</t>
  </si>
  <si>
    <t>LINESTRING (-111.9366276 33.4162059, -111.9361375 33.4159137)</t>
  </si>
  <si>
    <t>LINESTRING (-111.93610975 33.4156697, -111.9366276 33.4162059)</t>
  </si>
  <si>
    <t>LINESTRING (-111.9366276 33.4162059, -111.93610975 33.4156697)</t>
  </si>
  <si>
    <t>LINESTRING (-111.9358475 33.41567005, -111.9349498 33.4155051)</t>
  </si>
  <si>
    <t>LINESTRING (-111.9349498 33.4155051, -111.9358475 33.41567005)</t>
  </si>
  <si>
    <t>LINESTRING (-111.93524765 33.41568405, -111.9349498 33.4155051)</t>
  </si>
  <si>
    <t>LINESTRING (-111.9349498 33.4155051, -111.93524765 33.41568405)</t>
  </si>
  <si>
    <t>LINESTRING (-111.9300198390312 33.41502875712182, -111.9300149 33.4147941)</t>
  </si>
  <si>
    <t>LINESTRING (-111.9300149 33.4147941, -111.9300198390312 33.41502875712182)</t>
  </si>
  <si>
    <t>LINESTRING (-111.9300913078228 33.41539317199548, -111.9305745 33.4152628)</t>
  </si>
  <si>
    <t>LINESTRING (-111.9305745 33.4152628, -111.9300913078228 33.41539317199548)</t>
  </si>
  <si>
    <t>LINESTRING (-111.9294510441396 33.41511959982508, -111.9291473 33.4148012)</t>
  </si>
  <si>
    <t>LINESTRING (-111.9291473 33.4148012, -111.9294510441396 33.41511959982508)</t>
  </si>
  <si>
    <t>LINESTRING (-111.9294425492569 33.41548196186744, -111.9291473 33.4148012)</t>
  </si>
  <si>
    <t>LINESTRING (-111.9291473 33.4148012, -111.9294425492569 33.41548196186744)</t>
  </si>
  <si>
    <t>LINESTRING (-111.9296171492099 33.41580066567631, -111.9294043 33.4166443)</t>
  </si>
  <si>
    <t>LINESTRING (-111.9294043 33.4166443, -111.9296171492099 33.41580066567631)</t>
  </si>
  <si>
    <t>LINESTRING (-111.925535630758 33.41166403982669, -111.9262942 33.4124964)</t>
  </si>
  <si>
    <t>LINESTRING (-111.9262942 33.4124964, -111.925535630758 33.41166403982669)</t>
  </si>
  <si>
    <t>LINESTRING (-111.928675293969 33.41130572422954, -111.9283494 33.4126305)</t>
  </si>
  <si>
    <t>LINESTRING (-111.9283494 33.4126305, -111.928675293969 33.41130572422954)</t>
  </si>
  <si>
    <t>LINESTRING (-111.92749306595 33.41198964701902, -111.9283494 33.4126305)</t>
  </si>
  <si>
    <t>LINESTRING (-111.9283494 33.4126305, -111.92749306595 33.41198964701902)</t>
  </si>
  <si>
    <t>LINESTRING (-111.9361197785548 33.42472881989341, -111.936666 33.4243591)</t>
  </si>
  <si>
    <t>LINESTRING (-111.936666 33.4243591, -111.9361197785548 33.42472881989341)</t>
  </si>
  <si>
    <t>LINESTRING (-111.9313502293409 33.42243515325618, -111.930766 33.4220427)</t>
  </si>
  <si>
    <t>LINESTRING (-111.930766 33.4220427, -111.9313502293409 33.42243515325618)</t>
  </si>
  <si>
    <t>LINESTRING (-111.9305881393723 33.42284185769197, -111.9304264 33.4231268)</t>
  </si>
  <si>
    <t>LINESTRING (-111.9304264 33.4231268, -111.9305881393723 33.42284185769197)</t>
  </si>
  <si>
    <t>LINESTRING (-111.9347245542003 33.42385897952764, -111.9349809 33.4243346)</t>
  </si>
  <si>
    <t>LINESTRING (-111.9349809 33.4243346, -111.9347245542003 33.42385897952764)</t>
  </si>
  <si>
    <t>LINESTRING (-111.9341854448485 33.42382191123811, -111.9349809 33.4243346)</t>
  </si>
  <si>
    <t>LINESTRING (-111.9349809 33.4243346, -111.9341854448485 33.42382191123811)</t>
  </si>
  <si>
    <t>LINESTRING (-111.92767305 33.4248114, -111.9275146 33.4245016)</t>
  </si>
  <si>
    <t>LINESTRING (-111.9275146 33.4245016, -111.92767305 33.4248114)</t>
  </si>
  <si>
    <t>LINESTRING (-111.927613 33.42523755, -111.9275146 33.4245016)</t>
  </si>
  <si>
    <t>LINESTRING (-111.9275146 33.4245016, -111.927613 33.42523755)</t>
  </si>
  <si>
    <t>LINESTRING (-111.9281838 33.42848975, -111.9284571 33.4288722)</t>
  </si>
  <si>
    <t>LINESTRING (-111.9284571 33.4288722, -111.9281838 33.42848975)</t>
  </si>
  <si>
    <t>LINESTRING (-111.9279300819454 33.42769637667217, -111.9279262 33.428948)</t>
  </si>
  <si>
    <t>LINESTRING (-111.9279262 33.428948, -111.9279300819454 33.42769637667217)</t>
  </si>
  <si>
    <t>LINESTRING (-111.9323496891944 33.4282513219724, -111.9321918 33.4292423)</t>
  </si>
  <si>
    <t>LINESTRING (-111.9321918 33.4292423, -111.9323496891944 33.4282513219724)</t>
  </si>
  <si>
    <t>LINESTRING (-111.9301671043228 33.42544620557894, -111.9290798 33.4242989)</t>
  </si>
  <si>
    <t>LINESTRING (-111.9290798 33.4242989, -111.9301671043228 33.42544620557894)</t>
  </si>
  <si>
    <t>LINESTRING (-111.92378065 33.42429199999999, -111.9228983 33.4238125)</t>
  </si>
  <si>
    <t>LINESTRING (-111.9228983 33.4238125, -111.92378065 33.42429199999999)</t>
  </si>
  <si>
    <t>LINESTRING (-111.925024 33.4249976, -111.9262237 33.4245026)</t>
  </si>
  <si>
    <t>LINESTRING (-111.9262237 33.4245026, -111.925024 33.4249976)</t>
  </si>
  <si>
    <t>LINESTRING (-111.92408105 33.42555635, -111.926379 33.4250061)</t>
  </si>
  <si>
    <t>LINESTRING (-111.926379 33.4250061, -111.92408105 33.42555635)</t>
  </si>
  <si>
    <t>LINESTRING (-111.92242025 33.42456425, -111.9228983 33.4238125)</t>
  </si>
  <si>
    <t>LINESTRING (-111.9228983 33.4238125, -111.92242025 33.42456425)</t>
  </si>
  <si>
    <t>LINESTRING (-111.9235159457418 33.42534691533314, -111.9228983 33.4238125)</t>
  </si>
  <si>
    <t>LINESTRING (-111.9228983 33.4238125, -111.9235159457418 33.42534691533314)</t>
  </si>
  <si>
    <t>LINESTRING (-111.9233172 33.42624044999999, -111.9228983 33.4238125)</t>
  </si>
  <si>
    <t>LINESTRING (-111.9228983 33.4238125, -111.9233172 33.42624044999999)</t>
  </si>
  <si>
    <t>LINESTRING (-111.9236948 33.42653060000001, -111.9262149 33.4275095)</t>
  </si>
  <si>
    <t>LINESTRING (-111.9262149 33.4275095, -111.9236948 33.42653060000001)</t>
  </si>
  <si>
    <t>LINESTRING (-111.9227979 33.4268422, -111.9239819 33.4289759)</t>
  </si>
  <si>
    <t>LINESTRING (-111.9239819 33.4289759, -111.9227979 33.4268422)</t>
  </si>
  <si>
    <t>LINESTRING (-111.9221542532736 33.42797852286211, -111.9217497 33.4292597)</t>
  </si>
  <si>
    <t>LINESTRING (-111.9217497 33.4292597, -111.9221542532736 33.42797852286211)</t>
  </si>
  <si>
    <t>LINESTRING (-111.9242620866907 33.42349238404258, -111.9228983 33.4238125)</t>
  </si>
  <si>
    <t>LINESTRING (-111.9228983 33.4238125, -111.9242620866907 33.42349238404258)</t>
  </si>
  <si>
    <t>LINESTRING (-111.922161899743 33.4229782292036, -111.9228983 33.4238125)</t>
  </si>
  <si>
    <t>LINESTRING (-111.9228983 33.4238125, -111.922161899743 33.4229782292036)</t>
  </si>
  <si>
    <t>LINESTRING (-111.9211683789365 33.42324123741872, -111.9228983 33.4238125)</t>
  </si>
  <si>
    <t>LINESTRING (-111.9228983 33.4238125, -111.9211683789365 33.42324123741872)</t>
  </si>
  <si>
    <t>LINESTRING (-111.9236149007327 33.4284177810152, -111.9239819 33.4289759)</t>
  </si>
  <si>
    <t>LINESTRING (-111.9239819 33.4289759, -111.9236149007327 33.4284177810152)</t>
  </si>
  <si>
    <t>LINESTRING (-111.9356533302633 33.42743657245287, -111.9358356 33.4255093)</t>
  </si>
  <si>
    <t>LINESTRING (-111.9358356 33.4255093, -111.9356533302633 33.42743657245287)</t>
  </si>
  <si>
    <t>LINESTRING (-111.935321262086 33.42735962263419, -111.9353519 33.4255151)</t>
  </si>
  <si>
    <t>LINESTRING (-111.9353519 33.4255151, -111.935321262086 33.42735962263419)</t>
  </si>
  <si>
    <t>LINESTRING (-111.9340199664878 33.41548994590249, -111.9342173 33.4147571)</t>
  </si>
  <si>
    <t>LINESTRING (-111.9342173 33.4147571, -111.9340199664878 33.41548994590249)</t>
  </si>
  <si>
    <t>LINESTRING (-111.9356984048472 33.41627613400486, -111.9349506 33.4161111)</t>
  </si>
  <si>
    <t>LINESTRING (-111.9349506 33.4161111, -111.9356984048472 33.41627613400486)</t>
  </si>
  <si>
    <t>LINESTRING (-111.9333529208206 33.41437236752397, -111.9335205 33.4146455)</t>
  </si>
  <si>
    <t>LINESTRING (-111.9335205 33.4146455, -111.9333529208206 33.41437236752397)</t>
  </si>
  <si>
    <t>LINESTRING (-111.935932648719 33.42513725997644, -111.9358356 33.4255093)</t>
  </si>
  <si>
    <t>LINESTRING (-111.9358356 33.4255093, -111.935932648719 33.42513725997644)</t>
  </si>
  <si>
    <t>LINESTRING (-111.9365939129287 33.41556740184805, -111.9366276 33.4162059)</t>
  </si>
  <si>
    <t>LINESTRING (-111.9366276 33.4162059, -111.9365939129287 33.41556740184805)</t>
  </si>
  <si>
    <t>LINESTRING (-111.9418939468188 33.43097753299683, -111.943241 33.4309221)</t>
  </si>
  <si>
    <t>LINESTRING (-111.943241 33.4309221, -111.9418939468188 33.43097753299683)</t>
  </si>
  <si>
    <t>LINESTRING (-111.9427134337119 33.42997045155538, -111.9430423 33.429831)</t>
  </si>
  <si>
    <t>LINESTRING (-111.9430423 33.429831, -111.9427134337119 33.42997045155538)</t>
  </si>
  <si>
    <t>LINESTRING (-111.942641580774 33.4296714921756, -111.9428484 33.4296132)</t>
  </si>
  <si>
    <t>LINESTRING (-111.9428484 33.4296132, -111.942641580774 33.4296714921756)</t>
  </si>
  <si>
    <t>LINESTRING (-111.9429911483576 33.4304857349082, -111.9432128 33.4303148)</t>
  </si>
  <si>
    <t>LINESTRING (-111.9432128 33.4303148, -111.9429911483576 33.4304857349082)</t>
  </si>
  <si>
    <t>LINESTRING (-111.941733416391 33.43100580086699, -111.9404627 33.431309)</t>
  </si>
  <si>
    <t>LINESTRING (-111.9404627 33.431309, -111.941733416391 33.43100580086699)</t>
  </si>
  <si>
    <t>LINESTRING (-111.939524717596 33.42358223065791, -111.9400646 33.4234469)</t>
  </si>
  <si>
    <t>LINESTRING (-111.9400646 33.4234469, -111.939524717596 33.42358223065791)</t>
  </si>
  <si>
    <t>LINESTRING (-111.9414885583989 33.42301855577045, -111.9418695 33.423497)</t>
  </si>
  <si>
    <t>LINESTRING (-111.9418695 33.423497, -111.9414885583989 33.42301855577045)</t>
  </si>
  <si>
    <t>LINESTRING (-111.941961445101 33.42301989931688, -111.9418695 33.423497)</t>
  </si>
  <si>
    <t>LINESTRING (-111.9418695 33.423497, -111.941961445101 33.42301989931688)</t>
  </si>
  <si>
    <t>LINESTRING (-111.9428647042132 33.42494546179255, -111.9433507 33.4249452)</t>
  </si>
  <si>
    <t>LINESTRING (-111.9433507 33.4249452, -111.9428647042132 33.42494546179255)</t>
  </si>
  <si>
    <t>LINESTRING (-111.9306614387589 33.41995155940386, -111.9313563 33.420664)</t>
  </si>
  <si>
    <t>LINESTRING (-111.9313563 33.420664, -111.9306614387589 33.41995155940386)</t>
  </si>
  <si>
    <t>LINESTRING (-111.9387522483292 33.42404503548862, -111.9391012 33.4244499)</t>
  </si>
  <si>
    <t>LINESTRING (-111.9391012 33.4244499, -111.9387522483292 33.42404503548862)</t>
  </si>
  <si>
    <t>LINESTRING (-111.9433357992569 33.42777122909285, -111.9427719 33.4275569)</t>
  </si>
  <si>
    <t>LINESTRING (-111.9427719 33.4275569, -111.9433357992569 33.42777122909285)</t>
  </si>
  <si>
    <t>LINESTRING (-111.9431521717085 33.42322344653049, -111.9442993 33.4231771)</t>
  </si>
  <si>
    <t>LINESTRING (-111.9442993 33.4231771, -111.9431521717085 33.42322344653049)</t>
  </si>
  <si>
    <t>LINESTRING (-111.941776686274 33.42228339352247, -111.9417462 33.4219298)</t>
  </si>
  <si>
    <t>LINESTRING (-111.9417462 33.4219298, -111.941776686274 33.42228339352247)</t>
  </si>
  <si>
    <t>LINESTRING (-111.9387740154261 33.41626490159899, -111.9394923 33.4160741)</t>
  </si>
  <si>
    <t>LINESTRING (-111.9394923 33.4160741, -111.9387740154261 33.41626490159899)</t>
  </si>
  <si>
    <t>LINESTRING (-111.9247624874349 33.42132863476991, -111.9248832 33.4220294)</t>
  </si>
  <si>
    <t>LINESTRING (-111.9248832 33.4220294, -111.9247624874349 33.42132863476991)</t>
  </si>
  <si>
    <t>LINESTRING (-111.9384453929302 33.4249337740652, -111.938161 33.4254954)</t>
  </si>
  <si>
    <t>LINESTRING (-111.938161 33.4254954, -111.9384453929302 33.4249337740652)</t>
  </si>
  <si>
    <t>LINESTRING (-111.9283959935967 33.41801763974826, -111.928844 33.4180457)</t>
  </si>
  <si>
    <t>LINESTRING (-111.928844 33.4180457, -111.9283959935967 33.41801763974826)</t>
  </si>
  <si>
    <t>LINESTRING (-111.9295163228525 33.41878586536811, -111.9288549 33.4184369)</t>
  </si>
  <si>
    <t>LINESTRING (-111.9288549 33.4184369, -111.9295163228525 33.41878586536811)</t>
  </si>
  <si>
    <t>LINESTRING (-111.9295342208657 33.41936844859779, -111.9288801 33.4195869)</t>
  </si>
  <si>
    <t>LINESTRING (-111.9288801 33.4195869, -111.9295342208657 33.41936844859779)</t>
  </si>
  <si>
    <t>LINESTRING (-111.9180335754044 33.41235979667303, -111.9182799 33.4123049)</t>
  </si>
  <si>
    <t>LINESTRING (-111.9182799 33.4123049, -111.9180335754044 33.41235979667303)</t>
  </si>
  <si>
    <t>LINESTRING (-111.917835785304 33.41235802551039, -111.9182799 33.4123049)</t>
  </si>
  <si>
    <t>LINESTRING (-111.9182799 33.4123049, -111.917835785304 33.41235802551039)</t>
  </si>
  <si>
    <t>LINESTRING (-111.9169543490402 33.41139510083602, -111.9162827 33.4112033)</t>
  </si>
  <si>
    <t>LINESTRING (-111.9162827 33.4112033, -111.9169543490402 33.41139510083602)</t>
  </si>
  <si>
    <t>LINESTRING (-111.9390364097685 33.41973486934651, -111.9398665 33.419777)</t>
  </si>
  <si>
    <t>LINESTRING (-111.9398665 33.419777, -111.9390364097685 33.41973486934651)</t>
  </si>
  <si>
    <t>LINESTRING (-111.9447365003048 33.40790595516208, -111.9454283 33.4073737)</t>
  </si>
  <si>
    <t>LINESTRING (-111.9454283 33.4073737, -111.9447365003048 33.40790595516208)</t>
  </si>
  <si>
    <t>LINESTRING (-111.9441877837804 33.40781087038867, -111.9439499 33.4073767)</t>
  </si>
  <si>
    <t>LINESTRING (-111.9439499 33.4073767, -111.9441877837804 33.40781087038867)</t>
  </si>
  <si>
    <t>LINESTRING (-111.94470335 33.40827045, -111.9442945 33.4087687)</t>
  </si>
  <si>
    <t>LINESTRING (-111.9442945 33.4087687, -111.94470335 33.40827045)</t>
  </si>
  <si>
    <t>LINESTRING (-111.9447063703881 33.40682156397581, -111.9454283 33.4073737)</t>
  </si>
  <si>
    <t>LINESTRING (-111.9454283 33.4073737, -111.9447063703881 33.40682156397581)</t>
  </si>
  <si>
    <t>LINESTRING (-111.9419974152086 33.42400400809053, -111.9414688 33.4238299)</t>
  </si>
  <si>
    <t>LINESTRING (-111.9414688 33.4238299, -111.9419974152086 33.42400400809053)</t>
  </si>
  <si>
    <t>LINESTRING (-111.9424312590544 33.42365007645164, -111.9418695 33.423497)</t>
  </si>
  <si>
    <t>LINESTRING (-111.9418695 33.423497, -111.9424312590544 33.42365007645164)</t>
  </si>
  <si>
    <t>LINESTRING (-111.938369312374 33.42350225899095, -111.9381595 33.4231914)</t>
  </si>
  <si>
    <t>LINESTRING (-111.9381595 33.4231914, -111.938369312374 33.42350225899095)</t>
  </si>
  <si>
    <t>LINESTRING (-111.9385717579721 33.42357118272064, -111.9381595 33.4231914)</t>
  </si>
  <si>
    <t>LINESTRING (-111.9381595 33.4231914, -111.9385717579721 33.42357118272064)</t>
  </si>
  <si>
    <t>LINESTRING (-111.9389443762078 33.42348838500325, -111.9381595 33.4231914)</t>
  </si>
  <si>
    <t>LINESTRING (-111.9381595 33.4231914, -111.9389443762078 33.42348838500325)</t>
  </si>
  <si>
    <t>LINESTRING (-111.9403003194537 33.42522464206331, -111.939958 33.4251292)</t>
  </si>
  <si>
    <t>LINESTRING (-111.939958 33.4251292, -111.9403003194537 33.42522464206331)</t>
  </si>
  <si>
    <t>LINESTRING (-111.9418549103121 33.4289586731595, -111.9417837 33.4295365)</t>
  </si>
  <si>
    <t>LINESTRING (-111.9417837 33.4295365, -111.9418549103121 33.4289586731595)</t>
  </si>
  <si>
    <t>LINESTRING (-111.9396537254446 33.4226079831972, -111.9400741 33.4225274)</t>
  </si>
  <si>
    <t>LINESTRING (-111.9400741 33.4225274, -111.9396537254446 33.4226079831972)</t>
  </si>
  <si>
    <t>LINESTRING (-111.9396397570808 33.42220829963623, -111.9398966 33.4219821)</t>
  </si>
  <si>
    <t>LINESTRING (-111.9398966 33.4219821, -111.9396397570808 33.42220829963623)</t>
  </si>
  <si>
    <t>LINESTRING (-111.9390615030969 33.42248648374886, -111.9390184 33.4219833)</t>
  </si>
  <si>
    <t>LINESTRING (-111.9390184 33.4219833, -111.9390615030969 33.42248648374886)</t>
  </si>
  <si>
    <t>LINESTRING (-111.9389314297911 33.42222575225475, -111.9390184 33.4219833)</t>
  </si>
  <si>
    <t>LINESTRING (-111.9390184 33.4219833, -111.9389314297911 33.42222575225475)</t>
  </si>
  <si>
    <t>LINESTRING (-111.9364445 33.42252670000001, -111.9366651 33.4223635)</t>
  </si>
  <si>
    <t>LINESTRING (-111.9366651 33.4223635, -111.9364445 33.42252670000001)</t>
  </si>
  <si>
    <t>LINESTRING (-111.9362393751457 33.42238856255182, -111.9366651 33.4223635)</t>
  </si>
  <si>
    <t>LINESTRING (-111.9366651 33.4223635, -111.9362393751457 33.42238856255182)</t>
  </si>
  <si>
    <t>LINESTRING (-111.9352632997765 33.42285581709172, -111.9349761 33.4232093)</t>
  </si>
  <si>
    <t>LINESTRING (-111.9349761 33.4232093, -111.9352632997765 33.42285581709172)</t>
  </si>
  <si>
    <t>LINESTRING (-111.9300863761736 33.42246306358353, -111.9295097 33.4227418)</t>
  </si>
  <si>
    <t>LINESTRING (-111.9295097 33.4227418, -111.9300863761736 33.42246306358353)</t>
  </si>
  <si>
    <t>LINESTRING (-111.9286627556723 33.41511960122365, -111.9285601 33.4146783)</t>
  </si>
  <si>
    <t>LINESTRING (-111.9285601 33.4146783, -111.9286627556723 33.41511960122365)</t>
  </si>
  <si>
    <t>LINESTRING (-111.9284207878558 33.41548839657359, -111.9285601 33.4146783)</t>
  </si>
  <si>
    <t>LINESTRING (-111.9285601 33.4146783, -111.9284207878558 33.41548839657359)</t>
  </si>
  <si>
    <t>LINESTRING (-111.9276633904005 33.4151139066782, -111.9273686 33.4148082)</t>
  </si>
  <si>
    <t>LINESTRING (-111.9273686 33.4148082, -111.9276633904005 33.4151139066782)</t>
  </si>
  <si>
    <t>LINESTRING (-111.9269900300259 33.41525915261809, -111.9273686 33.4148082)</t>
  </si>
  <si>
    <t>LINESTRING (-111.9273686 33.4148082, -111.9269900300259 33.41525915261809)</t>
  </si>
  <si>
    <t>LINESTRING (-111.9302324932665 33.41425178204094, -111.9306654 33.4146657)</t>
  </si>
  <si>
    <t>LINESTRING (-111.9306654 33.4146657, -111.9302324932665 33.41425178204094)</t>
  </si>
  <si>
    <t>LINESTRING (-111.9294845702376 33.41424187435285, -111.9291456 33.4146674)</t>
  </si>
  <si>
    <t>LINESTRING (-111.9291456 33.4146674, -111.9294845702376 33.41424187435285)</t>
  </si>
  <si>
    <t>LINESTRING (-111.9302362989795 33.41365013074385, -111.9307043 33.4135726)</t>
  </si>
  <si>
    <t>LINESTRING (-111.9307043 33.4135726, -111.9302362989795 33.41365013074385)</t>
  </si>
  <si>
    <t>LINESTRING (-111.9295873775324 33.41363958174247, -111.9307043 33.4135726)</t>
  </si>
  <si>
    <t>LINESTRING (-111.9307043 33.4135726, -111.9295873775324 33.41363958174247)</t>
  </si>
  <si>
    <t>LINESTRING (-111.9288885523557 33.41424975109358, -111.9291456 33.4146674)</t>
  </si>
  <si>
    <t>LINESTRING (-111.9291456 33.4146674, -111.9288885523557 33.41424975109358)</t>
  </si>
  <si>
    <t>LINESTRING (-111.9288375520208 33.41375881660439, -111.9291456 33.4146674)</t>
  </si>
  <si>
    <t>LINESTRING (-111.9291456 33.4146674, -111.9288375520208 33.41375881660439)</t>
  </si>
  <si>
    <t>LINESTRING (-111.9300835831921 33.41302849801553, -111.9307043 33.4135726)</t>
  </si>
  <si>
    <t>LINESTRING (-111.9307043 33.4135726, -111.9300835831921 33.41302849801553)</t>
  </si>
  <si>
    <t>LINESTRING (-111.9291193737322 33.41310141210679, -111.9283494 33.4126305)</t>
  </si>
  <si>
    <t>LINESTRING (-111.9283494 33.4126305, -111.9291193737322 33.41310141210679)</t>
  </si>
  <si>
    <t>LINESTRING (-111.9302279647559 33.4124264657024, -111.9306853 33.4120477)</t>
  </si>
  <si>
    <t>LINESTRING (-111.9306853 33.4120477, -111.9302279647559 33.4124264657024)</t>
  </si>
  <si>
    <t>LINESTRING (-111.9295861424144 33.41242854134235, -111.9306853 33.4120477)</t>
  </si>
  <si>
    <t>LINESTRING (-111.9306853 33.4120477, -111.9295861424144 33.41242854134235)</t>
  </si>
  <si>
    <t>LINESTRING (-111.9302168538099 33.411816822231, -111.930544 33.4115482)</t>
  </si>
  <si>
    <t>LINESTRING (-111.930544 33.4115482, -111.9302168538099 33.411816822231)</t>
  </si>
  <si>
    <t>LINESTRING (-111.9295904574654 33.41182302632124, -111.930544 33.4115482)</t>
  </si>
  <si>
    <t>LINESTRING (-111.930544 33.4115482, -111.9295904574654 33.41182302632124)</t>
  </si>
  <si>
    <t>LINESTRING (-111.9289269784218 33.41210969746152, -111.9283494 33.4126305)</t>
  </si>
  <si>
    <t>LINESTRING (-111.9283494 33.4126305, -111.9289269784218 33.41210969746152)</t>
  </si>
  <si>
    <t>LINESTRING (-111.9259874879735 33.40966900850375, -111.9262799 33.4098462)</t>
  </si>
  <si>
    <t>LINESTRING (-111.9262799 33.4098462, -111.9259874879735 33.40966900850375)</t>
  </si>
  <si>
    <t>LINESTRING (-111.928368647849 33.4141590783307, -111.9285601 33.4146783)</t>
  </si>
  <si>
    <t>LINESTRING (-111.9285601 33.4146783, -111.928368647849 33.4141590783307)</t>
  </si>
  <si>
    <t>LINESTRING (-111.9277491293814 33.41451244240498, -111.927372 33.4146858)</t>
  </si>
  <si>
    <t>LINESTRING (-111.927372 33.4146858, -111.9277491293814 33.41451244240498)</t>
  </si>
  <si>
    <t>LINESTRING (-111.9275634856786 33.41409553830512, -111.927372 33.4146858)</t>
  </si>
  <si>
    <t>LINESTRING (-111.927372 33.4146858, -111.9275634856786 33.41409553830512)</t>
  </si>
  <si>
    <t>LINESTRING (-111.9279422835748 33.41382032031083, -111.927372 33.4146858)</t>
  </si>
  <si>
    <t>LINESTRING (-111.927372 33.4146858, -111.9279422835748 33.41382032031083)</t>
  </si>
  <si>
    <t>LINESTRING (-111.9283396262633 33.41335084314189, -111.9283494 33.4126305)</t>
  </si>
  <si>
    <t>LINESTRING (-111.9283494 33.4126305, -111.9283396262633 33.41335084314189)</t>
  </si>
  <si>
    <t>LINESTRING (-111.9279577563724 33.41324579757018, -111.9283494 33.4126305)</t>
  </si>
  <si>
    <t>LINESTRING (-111.9283494 33.4126305, -111.9279577563724 33.41324579757018)</t>
  </si>
  <si>
    <t>LINESTRING (-111.9276070914881 33.41317723828814, -111.9283494 33.4126305)</t>
  </si>
  <si>
    <t>LINESTRING (-111.9283494 33.4126305, -111.9276070914881 33.41317723828814)</t>
  </si>
  <si>
    <t>LINESTRING (-111.927162531857 33.41314722647534, -111.9262984 33.4131293)</t>
  </si>
  <si>
    <t>LINESTRING (-111.9262984 33.4131293, -111.927162531857 33.41314722647534)</t>
  </si>
  <si>
    <t>LINESTRING (-111.9276446395473 33.41351395910538, -111.9283494 33.4126305)</t>
  </si>
  <si>
    <t>LINESTRING (-111.9283494 33.4126305, -111.9276446395473 33.41351395910538)</t>
  </si>
  <si>
    <t>LINESTRING (-111.9266622122523 33.41445744851504, -111.926748 33.414692)</t>
  </si>
  <si>
    <t>LINESTRING (-111.926748 33.414692, -111.9266622122523 33.41445744851504)</t>
  </si>
  <si>
    <t>LINESTRING (-111.9267827373498 33.41425429026779, -111.926748 33.414692)</t>
  </si>
  <si>
    <t>LINESTRING (-111.926748 33.414692, -111.9267827373498 33.41425429026779)</t>
  </si>
  <si>
    <t>LINESTRING (-111.9271779 33.4144613, -111.927372 33.4146858)</t>
  </si>
  <si>
    <t>LINESTRING (-111.927372 33.4146858, -111.9271779 33.4144613)</t>
  </si>
  <si>
    <t>LINESTRING (-111.9170742720656 33.41951100149354, -111.9177134 33.4194298)</t>
  </si>
  <si>
    <t>LINESTRING (-111.9177134 33.4194298, -111.9170742720656 33.41951100149354)</t>
  </si>
  <si>
    <t>LINESTRING (-111.9160502134289 33.41963405314945, -111.9146898 33.4194459)</t>
  </si>
  <si>
    <t>LINESTRING (-111.9146898 33.4194459, -111.9160502134289 33.41963405314945)</t>
  </si>
  <si>
    <t>LINESTRING (-111.9150706 33.4197758, -111.9146898 33.4194459)</t>
  </si>
  <si>
    <t>LINESTRING (-111.9146898 33.4194459, -111.9150706 33.4197758)</t>
  </si>
  <si>
    <t>LINESTRING (-111.9150711751539 33.4200824526866, -111.9146898 33.4194459)</t>
  </si>
  <si>
    <t>LINESTRING (-111.9146898 33.4194459, -111.9150711751539 33.4200824526866)</t>
  </si>
  <si>
    <t>LINESTRING (-111.9153754309075 33.42053968296017, -111.9146898 33.4194459)</t>
  </si>
  <si>
    <t>LINESTRING (-111.9146898 33.4194459, -111.9153754309075 33.42053968296017)</t>
  </si>
  <si>
    <t>LINESTRING (-111.91729875 33.41993960000001, -111.9177082 33.4200246)</t>
  </si>
  <si>
    <t>LINESTRING (-111.9177082 33.4200246, -111.91729875 33.41993960000001)</t>
  </si>
  <si>
    <t>LINESTRING (-111.916581809763 33.4200113119111, -111.9177082 33.4200246)</t>
  </si>
  <si>
    <t>LINESTRING (-111.9177082 33.4200246, -111.916581809763 33.4200113119111)</t>
  </si>
  <si>
    <t>LINESTRING (-111.9162060772666 33.420221555648, -111.9177082 33.4200246)</t>
  </si>
  <si>
    <t>LINESTRING (-111.9177082 33.4200246, -111.9162060772666 33.420221555648)</t>
  </si>
  <si>
    <t>LINESTRING (-111.9161985420932 33.4206451849697, -111.9177082 33.4200246)</t>
  </si>
  <si>
    <t>LINESTRING (-111.9177082 33.4200246, -111.9161985420932 33.4206451849697)</t>
  </si>
  <si>
    <t>LINESTRING (-111.9167728315628 33.42048130757402, -111.9177082 33.4200246)</t>
  </si>
  <si>
    <t>LINESTRING (-111.9177082 33.4200246, -111.9167728315628 33.42048130757402)</t>
  </si>
  <si>
    <t>LINESTRING (-111.9173238518263 33.4204830496705, -111.9177082 33.4200246)</t>
  </si>
  <si>
    <t>LINESTRING (-111.9177082 33.4200246, -111.9173238518263 33.4204830496705)</t>
  </si>
  <si>
    <t>LINESTRING (-111.9160200877652 33.42154747524253, -111.9171959 33.4220165)</t>
  </si>
  <si>
    <t>LINESTRING (-111.9171959 33.4220165, -111.9160200877652 33.42154747524253)</t>
  </si>
  <si>
    <t>LINESTRING (-111.916946464216 33.4212466878122, -111.9177035 33.4216544)</t>
  </si>
  <si>
    <t>LINESTRING (-111.9177035 33.4216544, -111.916946464216 33.4212466878122)</t>
  </si>
  <si>
    <t>LINESTRING (-111.9156381941975 33.42130682735592, -111.9171959 33.4220165)</t>
  </si>
  <si>
    <t>LINESTRING (-111.9171959 33.4220165, -111.9156381941975 33.42130682735592)</t>
  </si>
  <si>
    <t>LINESTRING (-111.9149330854097 33.42120363848948, -111.9146898 33.4194459)</t>
  </si>
  <si>
    <t>LINESTRING (-111.9146898 33.4194459, -111.9149330854097 33.42120363848948)</t>
  </si>
  <si>
    <t>LINESTRING (-111.9142743 33.42004325000001, -111.9146898 33.4194459)</t>
  </si>
  <si>
    <t>LINESTRING (-111.9146898 33.4194459, -111.9142743 33.42004325000001)</t>
  </si>
  <si>
    <t>LINESTRING (-111.9138135959123 33.42006697164277, -111.9146898 33.4194459)</t>
  </si>
  <si>
    <t>LINESTRING (-111.9146898 33.4194459, -111.9138135959123 33.42006697164277)</t>
  </si>
  <si>
    <t>LINESTRING (-111.9145659196869 33.42141621168966, -111.9146898 33.4194459)</t>
  </si>
  <si>
    <t>LINESTRING (-111.9146898 33.4194459, -111.9145659196869 33.42141621168966)</t>
  </si>
  <si>
    <t>LINESTRING (-111.9141197 33.4214862, -111.9146898 33.4194459)</t>
  </si>
  <si>
    <t>LINESTRING (-111.9146898 33.4194459, -111.9141197 33.4214862)</t>
  </si>
  <si>
    <t>LINESTRING (-111.91451075 33.42095225, -111.9146898 33.4194459)</t>
  </si>
  <si>
    <t>LINESTRING (-111.9146898 33.4194459, -111.91451075 33.42095225)</t>
  </si>
  <si>
    <t>LINESTRING (-111.9141326 33.42106835, -111.9146898 33.4194459)</t>
  </si>
  <si>
    <t>LINESTRING (-111.9146898 33.4194459, -111.9141326 33.42106835)</t>
  </si>
  <si>
    <t>LINESTRING (-111.92036573988 33.42324915873482, -111.9228983 33.4238125)</t>
  </si>
  <si>
    <t>LINESTRING (-111.9228983 33.4238125, -111.92036573988 33.42324915873482)</t>
  </si>
  <si>
    <t>LINESTRING (-111.9199282535437 33.42240762968916, -111.9181401 33.4220184)</t>
  </si>
  <si>
    <t>LINESTRING (-111.9181401 33.4220184, -111.9199282535437 33.42240762968916)</t>
  </si>
  <si>
    <t>LINESTRING (-111.923692386134 33.4224501322694, -111.9228964 33.4220263)</t>
  </si>
  <si>
    <t>LINESTRING (-111.9228964 33.4220263, -111.923692386134 33.4224501322694)</t>
  </si>
  <si>
    <t>LINESTRING (-111.9243889096041 33.42242183105314, -111.9248832 33.4220294)</t>
  </si>
  <si>
    <t>LINESTRING (-111.9248832 33.4220294, -111.9243889096041 33.42242183105314)</t>
  </si>
  <si>
    <t>LINESTRING (-111.9252258473348 33.42238160022136, -111.9254096 33.4220303)</t>
  </si>
  <si>
    <t>LINESTRING (-111.9254096 33.4220303, -111.9252258473348 33.42238160022136)</t>
  </si>
  <si>
    <t>LINESTRING (-111.9258610445765 33.42274101598039, -111.9262331 33.4228357)</t>
  </si>
  <si>
    <t>LINESTRING (-111.9262331 33.4228357, -111.9258610445765 33.42274101598039)</t>
  </si>
  <si>
    <t>LINESTRING (-111.9258421 33.42316225, -111.9258887 33.4233401)</t>
  </si>
  <si>
    <t>LINESTRING (-111.9258887 33.4233401, -111.9258421 33.42316225)</t>
  </si>
  <si>
    <t>LINESTRING (-111.9258497949478 33.42358046811401, -111.9258887 33.4233401)</t>
  </si>
  <si>
    <t>LINESTRING (-111.9258887 33.4233401, -111.9258497949478 33.42358046811401)</t>
  </si>
  <si>
    <t>LINESTRING (-111.9234468333613 33.42480247995486, -111.9228983 33.4238125)</t>
  </si>
  <si>
    <t>LINESTRING (-111.9228983 33.4238125, -111.9234468333613 33.42480247995486)</t>
  </si>
  <si>
    <t>LINESTRING (-111.9395879249527 33.42405919466315, -111.9399588 33.4240116)</t>
  </si>
  <si>
    <t>LINESTRING (-111.9399588 33.4240116, -111.9395879249527 33.42405919466315)</t>
  </si>
  <si>
    <t>LINESTRING (-111.9395472870327 33.42466143740126, -111.9392663 33.4243488)</t>
  </si>
  <si>
    <t>LINESTRING (-111.9392663 33.4243488, -111.9395472870327 33.42466143740126)</t>
  </si>
  <si>
    <t>LINESTRING (-111.93963639208 33.42520426487548, -111.939958 33.4251292)</t>
  </si>
  <si>
    <t>LINESTRING (-111.939958 33.4251292, -111.93963639208 33.42520426487548)</t>
  </si>
  <si>
    <t>LINESTRING (-111.9403502618911 33.42488971028435, -111.9400789 33.424691)</t>
  </si>
  <si>
    <t>LINESTRING (-111.9400789 33.424691, -111.9403502618911 33.42488971028435)</t>
  </si>
  <si>
    <t>LINESTRING (-111.9409202100289 33.4251492431149, -111.9412736 33.4254885)</t>
  </si>
  <si>
    <t>LINESTRING (-111.9412736 33.4254885, -111.9409202100289 33.4251492431149)</t>
  </si>
  <si>
    <t>LINESTRING (-111.9409801865749 33.42454722503213, -111.9412691 33.4243385)</t>
  </si>
  <si>
    <t>LINESTRING (-111.9412691 33.4243385, -111.9409801865749 33.42454722503213)</t>
  </si>
  <si>
    <t>LINESTRING (-111.9257760426773 33.40792572106702, -111.9256844 33.4075643)</t>
  </si>
  <si>
    <t>LINESTRING (-111.9256844 33.4075643, -111.9257760426773 33.40792572106702)</t>
  </si>
  <si>
    <t>LINESTRING (-111.926696503026 33.41311799109894, -111.9262984 33.4131293)</t>
  </si>
  <si>
    <t>LINESTRING (-111.9262984 33.4131293, -111.926696503026 33.41311799109894)</t>
  </si>
  <si>
    <t>LINESTRING (-111.92669415 33.4139184, -111.9262948 33.4140912)</t>
  </si>
  <si>
    <t>LINESTRING (-111.9262948 33.4140912, -111.92669415 33.4139184)</t>
  </si>
  <si>
    <t>LINESTRING (-111.9410554093956 33.4320058243966, -111.9409696 33.4323251)</t>
  </si>
  <si>
    <t>LINESTRING (-111.9409696 33.4323251, -111.9410554093956 33.4320058243966)</t>
  </si>
  <si>
    <t>LINESTRING (-111.94152515 33.4300788, -111.9417837 33.4295365)</t>
  </si>
  <si>
    <t>LINESTRING (-111.9417837 33.4295365, -111.94152515 33.4300788)</t>
  </si>
  <si>
    <t>LINESTRING (-111.9257678084079 33.41761738814682, -111.9263 33.4175412)</t>
  </si>
  <si>
    <t>LINESTRING (-111.9263 33.4175412, -111.9257678084079 33.41761738814682)</t>
  </si>
  <si>
    <t>LINESTRING (-111.92595705 33.417467, -111.9263 33.4175412)</t>
  </si>
  <si>
    <t>LINESTRING (-111.9263 33.4175412, -111.92595705 33.417467)</t>
  </si>
  <si>
    <t>LINESTRING (-111.9254690153429 33.41742396676034, -111.925416 33.4168118)</t>
  </si>
  <si>
    <t>LINESTRING (-111.925416 33.4168118, -111.9254690153429 33.41742396676034)</t>
  </si>
  <si>
    <t>LINESTRING (-111.9248578002092 33.41758800341271, -111.925416 33.4168118)</t>
  </si>
  <si>
    <t>LINESTRING (-111.925416 33.4168118, -111.9248578002092 33.41758800341271)</t>
  </si>
  <si>
    <t>LINESTRING (-111.9251063892578 33.41716326971559, -111.925416 33.4168118)</t>
  </si>
  <si>
    <t>LINESTRING (-111.925416 33.4168118, -111.9251063892578 33.41716326971559)</t>
  </si>
  <si>
    <t>LINESTRING (-111.9245326425642 33.41715219332426, -111.925416 33.4168118)</t>
  </si>
  <si>
    <t>LINESTRING (-111.925416 33.4168118, -111.9245326425642 33.41715219332426)</t>
  </si>
  <si>
    <t>LINESTRING (-111.9259121808681 33.42166038509689, -111.9262412 33.421881)</t>
  </si>
  <si>
    <t>LINESTRING (-111.9262412 33.421881, -111.9259121808681 33.42166038509689)</t>
  </si>
  <si>
    <t>LINESTRING (-111.9258381738325 33.42135600880316, -111.9262395 33.4214276)</t>
  </si>
  <si>
    <t>LINESTRING (-111.9262395 33.4214276, -111.9258381738325 33.42135600880316)</t>
  </si>
  <si>
    <t>LINESTRING (-111.9255109790111 33.42166840766332, -111.9254096 33.4220303)</t>
  </si>
  <si>
    <t>LINESTRING (-111.9254096 33.4220303, -111.9255109790111 33.42166840766332)</t>
  </si>
  <si>
    <t>LINESTRING (-111.9252186 33.42165295, -111.9254096 33.4220303)</t>
  </si>
  <si>
    <t>LINESTRING (-111.9254096 33.4220303, -111.9252186 33.42165295)</t>
  </si>
  <si>
    <t>LINESTRING (-111.9252260468997 33.42141518468693, -111.9254096 33.4220303)</t>
  </si>
  <si>
    <t>LINESTRING (-111.9254096 33.4220303, -111.9252260468997 33.42141518468693)</t>
  </si>
  <si>
    <t>LINESTRING (-111.9243397886793 33.42168110826584, -111.9248832 33.4220294)</t>
  </si>
  <si>
    <t>LINESTRING (-111.9248832 33.4220294, -111.9243397886793 33.42168110826584)</t>
  </si>
  <si>
    <t>LINESTRING (-111.9242345787822 33.42123223502384, -111.9248832 33.4220294)</t>
  </si>
  <si>
    <t>LINESTRING (-111.9248832 33.4220294, -111.9242345787822 33.42123223502384)</t>
  </si>
  <si>
    <t>LINESTRING (-111.92496695 33.4194331, -111.9254783 33.4195802)</t>
  </si>
  <si>
    <t>LINESTRING (-111.9254783 33.4195802, -111.92496695 33.4194331)</t>
  </si>
  <si>
    <t>LINESTRING (-111.9232720552848 33.41889758839285, -111.923179 33.417529)</t>
  </si>
  <si>
    <t>LINESTRING (-111.923179 33.417529, -111.9232720552848 33.41889758839285)</t>
  </si>
  <si>
    <t>LINESTRING (-111.9225810393382 33.4193681017292, -111.9205552 33.4187226)</t>
  </si>
  <si>
    <t>LINESTRING (-111.9205552 33.4187226, -111.9225810393382 33.4193681017292)</t>
  </si>
  <si>
    <t>LINESTRING (-111.9230209502027 33.41916566824384, -111.923179 33.417529)</t>
  </si>
  <si>
    <t>LINESTRING (-111.923179 33.417529, -111.9230209502027 33.41916566824384)</t>
  </si>
  <si>
    <t>LINESTRING (-111.9227267560291 33.41927602860028, -111.923179 33.417529)</t>
  </si>
  <si>
    <t>LINESTRING (-111.923179 33.417529, -111.9227267560291 33.41927602860028)</t>
  </si>
  <si>
    <t>LINESTRING (-111.9226350605078 33.41899995966438, -111.923179 33.417529)</t>
  </si>
  <si>
    <t>LINESTRING (-111.923179 33.417529, -111.9226350605078 33.41899995966438)</t>
  </si>
  <si>
    <t>LINESTRING (-111.9233467319086 33.41844546778055, -111.923179 33.417529)</t>
  </si>
  <si>
    <t>LINESTRING (-111.923179 33.417529, -111.9233467319086 33.41844546778055)</t>
  </si>
  <si>
    <t>LINESTRING (-111.9237472388241 33.4201583455213, -111.9254783 33.4195802)</t>
  </si>
  <si>
    <t>LINESTRING (-111.9254783 33.4195802, -111.9237472388241 33.4201583455213)</t>
  </si>
  <si>
    <t>LINESTRING (-111.9225634 33.4199575, -111.9228964 33.4220263)</t>
  </si>
  <si>
    <t>LINESTRING (-111.9228964 33.4220263, -111.9225634 33.4199575)</t>
  </si>
  <si>
    <t>LINESTRING (-111.9217629 33.41985065, -111.9205552 33.4187226)</t>
  </si>
  <si>
    <t>LINESTRING (-111.9205552 33.4187226, -111.9217629 33.41985065)</t>
  </si>
  <si>
    <t>LINESTRING (-111.9217223548283 33.41963443147744, -111.9205552 33.4187226)</t>
  </si>
  <si>
    <t>LINESTRING (-111.9205552 33.4187226, -111.9217223548283 33.41963443147744)</t>
  </si>
  <si>
    <t>LINESTRING (-111.9221740947994 33.41971438797634, -111.9205552 33.4187226)</t>
  </si>
  <si>
    <t>LINESTRING (-111.9205552 33.4187226, -111.9221740947994 33.41971438797634)</t>
  </si>
  <si>
    <t>LINESTRING (-111.9225786644171 33.41979389917522, -111.9205552 33.4187226)</t>
  </si>
  <si>
    <t>LINESTRING (-111.9205552 33.4187226, -111.9225786644171 33.41979389917522)</t>
  </si>
  <si>
    <t>LINESTRING (-111.9396447725402 33.42575914692494, -111.9394161 33.4254973)</t>
  </si>
  <si>
    <t>LINESTRING (-111.9394161 33.4254973, -111.9396447725402 33.42575914692494)</t>
  </si>
  <si>
    <t>LINESTRING (-111.9250022019463 33.40980335226443, -111.9255669 33.4101291)</t>
  </si>
  <si>
    <t>LINESTRING (-111.9255669 33.4101291, -111.9250022019463 33.40980335226443)</t>
  </si>
  <si>
    <t>LINESTRING (-111.9221950910471 33.40819692243748, -111.9219839 33.4075771)</t>
  </si>
  <si>
    <t>LINESTRING (-111.9219839 33.4075771, -111.9221950910471 33.40819692243748)</t>
  </si>
  <si>
    <t>LINESTRING (-111.9253690682518 33.40899546670404, -111.9262783 33.4094872)</t>
  </si>
  <si>
    <t>LINESTRING (-111.9262783 33.4094872, -111.9253690682518 33.40899546670404)</t>
  </si>
  <si>
    <t>LINESTRING (-111.9221824 33.4078968, -111.9219839 33.4075771)</t>
  </si>
  <si>
    <t>LINESTRING (-111.9219839 33.4075771, -111.9221824 33.4078968)</t>
  </si>
  <si>
    <t>LINESTRING (-111.9242506838876 33.40911367507177, -111.9235422 33.4101507)</t>
  </si>
  <si>
    <t>LINESTRING (-111.9235422 33.4101507, -111.9242506838876 33.40911367507177)</t>
  </si>
  <si>
    <t>LINESTRING (-111.9228517040603 33.40974332175717, -111.9235422 33.4101507)</t>
  </si>
  <si>
    <t>LINESTRING (-111.9235422 33.4101507, -111.9228517040603 33.40974332175717)</t>
  </si>
  <si>
    <t>LINESTRING (-111.9242652542343 33.4097326284169, -111.9235422 33.4101507)</t>
  </si>
  <si>
    <t>LINESTRING (-111.9235422 33.4101507, -111.9242652542343 33.4097326284169)</t>
  </si>
  <si>
    <t>LINESTRING (-111.9266251834322 33.41563174632215, -111.9262936 33.4155005)</t>
  </si>
  <si>
    <t>LINESTRING (-111.9262936 33.4155005, -111.9266251834322 33.41563174632215)</t>
  </si>
  <si>
    <t>LINESTRING (-111.9266403631911 33.41634263996445, -111.9263007 33.4163769)</t>
  </si>
  <si>
    <t>LINESTRING (-111.9263007 33.4163769, -111.9266403631911 33.41634263996445)</t>
  </si>
  <si>
    <t>LINESTRING (-111.9269932397962 33.41626725675707, -111.9263007 33.4163769)</t>
  </si>
  <si>
    <t>LINESTRING (-111.9263007 33.4163769, -111.9269932397962 33.41626725675707)</t>
  </si>
  <si>
    <t>LINESTRING (-111.9370621433475 33.42404040294766, -111.936666 33.4243591)</t>
  </si>
  <si>
    <t>LINESTRING (-111.936666 33.4243591, -111.9370621433475 33.42404040294766)</t>
  </si>
  <si>
    <t>LINESTRING (-111.9331489703466 33.41682015655091, -111.9333809 33.417357)</t>
  </si>
  <si>
    <t>LINESTRING (-111.9333809 33.417357, -111.9331489703466 33.41682015655091)</t>
  </si>
  <si>
    <t>LINESTRING (-111.9272208609065 33.41936155826629, -111.9269771 33.4189112)</t>
  </si>
  <si>
    <t>LINESTRING (-111.9269771 33.4189112, -111.9272208609065 33.41936155826629)</t>
  </si>
  <si>
    <t>LINESTRING (-111.9368312097848 33.414273975285, -111.9370852 33.4145236)</t>
  </si>
  <si>
    <t>LINESTRING (-111.9370852 33.4145236, -111.9368312097848 33.414273975285)</t>
  </si>
  <si>
    <t>LINESTRING (-111.9354027211983 33.41431868525351, -111.9349493 33.414314)</t>
  </si>
  <si>
    <t>LINESTRING (-111.9349493 33.414314, -111.9354027211983 33.41431868525351)</t>
  </si>
  <si>
    <t>LINESTRING (-111.9120665746884 33.42638750497805, -111.9090423 33.4273929)</t>
  </si>
  <si>
    <t>LINESTRING (-111.9090423 33.4273929, -111.9120665746884 33.42638750497805)</t>
  </si>
  <si>
    <t>LINESTRING (-111.9173207826096 33.42271550323605, -111.9176821 33.4222296)</t>
  </si>
  <si>
    <t>LINESTRING (-111.9176821 33.4222296, -111.9173207826096 33.42271550323605)</t>
  </si>
  <si>
    <t>LINESTRING (-111.9119972794513 33.42439457371614, -111.9102088 33.4219858)</t>
  </si>
  <si>
    <t>LINESTRING (-111.9102088 33.4219858, -111.9119972794513 33.42439457371614)</t>
  </si>
  <si>
    <t>LINESTRING (-111.9121386248878 33.42605999364265, -111.9090423 33.4273929)</t>
  </si>
  <si>
    <t>LINESTRING (-111.9090423 33.4273929, -111.9121386248878 33.42605999364265)</t>
  </si>
  <si>
    <t>LINESTRING (-111.9166064 33.42414725, -111.9176682 33.4237215)</t>
  </si>
  <si>
    <t>LINESTRING (-111.9176682 33.4237215, -111.9166064 33.42414725)</t>
  </si>
  <si>
    <t>LINESTRING (-111.9122620552117 33.42337322546398, -111.9102088 33.4219858)</t>
  </si>
  <si>
    <t>LINESTRING (-111.9102088 33.4219858, -111.9122620552117 33.42337322546398)</t>
  </si>
  <si>
    <t>LINESTRING (-111.9164262214772 33.42333770461132, -111.9176682 33.4237215)</t>
  </si>
  <si>
    <t>LINESTRING (-111.9176682 33.4237215, -111.9164262214772 33.42333770461132)</t>
  </si>
  <si>
    <t>LINESTRING (-111.9126593746033 33.42400820499831, -111.9102088 33.4219858)</t>
  </si>
  <si>
    <t>LINESTRING (-111.9102088 33.4219858, -111.9126593746033 33.42400820499831)</t>
  </si>
  <si>
    <t>LINESTRING (-111.9121027747327 33.4233037131882, -111.9102088 33.4219858)</t>
  </si>
  <si>
    <t>LINESTRING (-111.9102088 33.4219858, -111.9121027747327 33.4233037131882)</t>
  </si>
  <si>
    <t>LINESTRING (-111.9132985 33.4257029, -111.9126336 33.4293372)</t>
  </si>
  <si>
    <t>LINESTRING (-111.9126336 33.4293372, -111.9132985 33.4257029)</t>
  </si>
  <si>
    <t>LINESTRING (-111.91200135 33.42450554999999, -111.9102088 33.4219858)</t>
  </si>
  <si>
    <t>LINESTRING (-111.9102088 33.4219858, -111.91200135 33.42450554999999)</t>
  </si>
  <si>
    <t>LINESTRING (-111.91058625 33.42372785000001, -111.9090865 33.422857)</t>
  </si>
  <si>
    <t>LINESTRING (-111.9090865 33.422857, -111.91058625 33.42372785000001)</t>
  </si>
  <si>
    <t>LINESTRING (-111.9173180751353 33.42402386906473, -111.9176682 33.4237215)</t>
  </si>
  <si>
    <t>LINESTRING (-111.9176682 33.4237215, -111.9173180751353 33.42402386906473)</t>
  </si>
  <si>
    <t>LINESTRING (-111.9132864312437 33.42483116396855, -111.9176682 33.4237215)</t>
  </si>
  <si>
    <t>LINESTRING (-111.9176682 33.4237215, -111.9132864312437 33.42483116396855)</t>
  </si>
  <si>
    <t>LINESTRING (-111.91334005 33.42456745, -111.9102088 33.4219858)</t>
  </si>
  <si>
    <t>LINESTRING (-111.9102088 33.4219858, -111.91334005 33.42456745)</t>
  </si>
  <si>
    <t>LINESTRING (-111.9129906625401 33.42497372489377, -111.9102088 33.4219858)</t>
  </si>
  <si>
    <t>LINESTRING (-111.9102088 33.4219858, -111.9129906625401 33.42497372489377)</t>
  </si>
  <si>
    <t>LINESTRING (-111.91188085 33.42620974999999, -111.9090423 33.4273929)</t>
  </si>
  <si>
    <t>LINESTRING (-111.9090423 33.4273929, -111.91188085 33.42620974999999)</t>
  </si>
  <si>
    <t>LINESTRING (-111.916057653889 33.42257407787274, -111.9171959 33.4220165)</t>
  </si>
  <si>
    <t>LINESTRING (-111.9171959 33.4220165, -111.916057653889 33.42257407787274)</t>
  </si>
  <si>
    <t>LINESTRING (-111.9159575251309 33.42396230460297, -111.9176682 33.4237215)</t>
  </si>
  <si>
    <t>LINESTRING (-111.9176682 33.4237215, -111.9159575251309 33.42396230460297)</t>
  </si>
  <si>
    <t>LINESTRING (-111.91248695 33.42602965000001, -111.9090423 33.4273929)</t>
  </si>
  <si>
    <t>LINESTRING (-111.9090423 33.4273929, -111.91248695 33.42602965000001)</t>
  </si>
  <si>
    <t>LINESTRING (-111.91688445 33.42287115000001, -111.9171959 33.4220165)</t>
  </si>
  <si>
    <t>LINESTRING (-111.9171959 33.4220165, -111.91688445 33.42287115000001)</t>
  </si>
  <si>
    <t>LINESTRING (-111.9167393 33.4238704, -111.9176682 33.4237215)</t>
  </si>
  <si>
    <t>LINESTRING (-111.9176682 33.4237215, -111.9167393 33.4238704)</t>
  </si>
  <si>
    <t>LINESTRING (-111.9129413205454 33.42453563597884, -111.9102088 33.4219858)</t>
  </si>
  <si>
    <t>LINESTRING (-111.9102088 33.4219858, -111.9129413205454 33.42453563597884)</t>
  </si>
  <si>
    <t>LINESTRING (-111.9119862051446 33.42352627626228, -111.9102088 33.4219858)</t>
  </si>
  <si>
    <t>LINESTRING (-111.9102088 33.4219858, -111.9119862051446 33.42352627626228)</t>
  </si>
  <si>
    <t>LINESTRING (-111.9123343464329 33.42654706423161, -111.911908 33.4292497)</t>
  </si>
  <si>
    <t>LINESTRING (-111.911908 33.4292497, -111.9123343464329 33.42654706423161)</t>
  </si>
  <si>
    <t>LINESTRING (-111.9172116123178 33.42351858638974, -111.9176682 33.4237215)</t>
  </si>
  <si>
    <t>LINESTRING (-111.9176682 33.4237215, -111.9172116123178 33.42351858638974)</t>
  </si>
  <si>
    <t>LINESTRING (-111.9126402009416 33.42319323955619, -111.9102088 33.4219858)</t>
  </si>
  <si>
    <t>LINESTRING (-111.9102088 33.4219858, -111.9126402009416 33.42319323955619)</t>
  </si>
  <si>
    <t>LINESTRING (-111.9125348781766 33.42449767439389, -111.9102088 33.4219858)</t>
  </si>
  <si>
    <t>LINESTRING (-111.9102088 33.4219858, -111.9125348781766 33.42449767439389)</t>
  </si>
  <si>
    <t>LINESTRING (-111.911724342406 33.42716317507969, -111.911908 33.4292497)</t>
  </si>
  <si>
    <t>LINESTRING (-111.911908 33.4292497, -111.911724342406 33.42716317507969)</t>
  </si>
  <si>
    <t>LINESTRING (-111.9451075251154 33.42876891377961, -111.9450555 33.4291399)</t>
  </si>
  <si>
    <t>LINESTRING (-111.9450555 33.4291399, -111.9451075251154 33.42876891377961)</t>
  </si>
  <si>
    <t>LINESTRING (-111.9097786041762 33.41990569576033, -111.9090775 33.4195301)</t>
  </si>
  <si>
    <t>LINESTRING (-111.9090775 33.4195301, -111.9097786041762 33.41990569576033)</t>
  </si>
  <si>
    <t>LINESTRING (-111.930074174916 33.41779373994098, -111.9301745 33.4173982)</t>
  </si>
  <si>
    <t>LINESTRING (-111.9301745 33.4173982, -111.930074174916 33.41779373994098)</t>
  </si>
  <si>
    <t>LINESTRING (-111.9340228992985 33.41528486912279, -111.9342173 33.4147571)</t>
  </si>
  <si>
    <t>LINESTRING (-111.9342173 33.4147571, -111.9340228992985 33.41528486912279)</t>
  </si>
  <si>
    <t>LINESTRING (-111.9340322674765 33.41578068044872, -111.933278 33.4160881)</t>
  </si>
  <si>
    <t>LINESTRING (-111.933278 33.4160881, -111.9340322674765 33.41578068044872)</t>
  </si>
  <si>
    <t>LINESTRING (-111.9275458944121 33.41744533898959, -111.9263004 33.4173778)</t>
  </si>
  <si>
    <t>LINESTRING (-111.9263004 33.4173778, -111.9275458944121 33.41744533898959)</t>
  </si>
  <si>
    <t>LINESTRING (-111.926910526724 33.41767227173631, -111.9263 33.4175412)</t>
  </si>
  <si>
    <t>LINESTRING (-111.9263 33.4175412, -111.926910526724 33.41767227173631)</t>
  </si>
  <si>
    <t>LINESTRING (-111.9339996459311 33.42094866992326, -111.9339885 33.4219235)</t>
  </si>
  <si>
    <t>LINESTRING (-111.9339885 33.4219235, -111.9339996459311 33.42094866992326)</t>
  </si>
  <si>
    <t>LINESTRING (-111.9297048377413 33.42471484090676, -111.9290798 33.4242989)</t>
  </si>
  <si>
    <t>LINESTRING (-111.9290798 33.4242989, -111.9297048377413 33.42471484090676)</t>
  </si>
  <si>
    <t>LINESTRING (-111.9215581750328 33.42313805425778, -111.9228983 33.4238125)</t>
  </si>
  <si>
    <t>LINESTRING (-111.9228983 33.4238125, -111.9215581750328 33.42313805425778)</t>
  </si>
  <si>
    <t>LINESTRING (-111.9215438755019 33.42296500769838, -111.9228983 33.4238125)</t>
  </si>
  <si>
    <t>LINESTRING (-111.9228983 33.4238125, -111.9215438755019 33.42296500769838)</t>
  </si>
  <si>
    <t>LINESTRING (-111.921447224854 33.42279075184683, -111.9228964 33.4220263)</t>
  </si>
  <si>
    <t>LINESTRING (-111.9228964 33.4220263, -111.921447224854 33.42279075184683)</t>
  </si>
  <si>
    <t>LINESTRING (-111.9213964332088 33.42261029489414, -111.9228964 33.4220263)</t>
  </si>
  <si>
    <t>LINESTRING (-111.9228964 33.4220263, -111.9213964332088 33.42261029489414)</t>
  </si>
  <si>
    <t>LINESTRING (-111.9213461017086 33.42243341334287, -111.9228964 33.4220263)</t>
  </si>
  <si>
    <t>LINESTRING (-111.9228964 33.4220263, -111.9213461017086 33.42243341334287)</t>
  </si>
  <si>
    <t>LINESTRING (-111.92040115 33.42243205, -111.9181401 33.4220184)</t>
  </si>
  <si>
    <t>LINESTRING (-111.9181401 33.4220184, -111.92040115 33.42243205)</t>
  </si>
  <si>
    <t>LINESTRING (-111.92028065 33.42260945, -111.9181401 33.4220184)</t>
  </si>
  <si>
    <t>LINESTRING (-111.9181401 33.4220184, -111.92028065 33.42260945)</t>
  </si>
  <si>
    <t>LINESTRING (-111.9202089 33.42278965000001, -111.9181401 33.4220184)</t>
  </si>
  <si>
    <t>LINESTRING (-111.9181401 33.4220184, -111.9202089 33.42278965000001)</t>
  </si>
  <si>
    <t>LINESTRING (-111.9199911237304 33.42296538057483, -111.9181401 33.4220184)</t>
  </si>
  <si>
    <t>LINESTRING (-111.9181401 33.4220184, -111.9199911237304 33.42296538057483)</t>
  </si>
  <si>
    <t>LINESTRING (-111.9212418362924 33.42372762467092, -111.9228983 33.4238125)</t>
  </si>
  <si>
    <t>LINESTRING (-111.9228983 33.4238125, -111.9212418362924 33.42372762467092)</t>
  </si>
  <si>
    <t>LINESTRING (-111.9207661343736 33.42356068912701, -111.9228983 33.4238125)</t>
  </si>
  <si>
    <t>LINESTRING (-111.9228983 33.4238125, -111.9207661343736 33.42356068912701)</t>
  </si>
  <si>
    <t>LINESTRING (-111.9346555246053 33.41838039840996, -111.9339665 33.4183547)</t>
  </si>
  <si>
    <t>LINESTRING (-111.9339665 33.4183547, -111.9346555246053 33.41838039840996)</t>
  </si>
  <si>
    <t>LINESTRING (-111.935077138233 33.41811027525491, -111.9339665 33.4183547)</t>
  </si>
  <si>
    <t>LINESTRING (-111.9339665 33.4183547, -111.935077138233 33.41811027525491)</t>
  </si>
  <si>
    <t>LINESTRING (-111.9287617752134 33.42815905545122, -111.9293057 33.4286516)</t>
  </si>
  <si>
    <t>LINESTRING (-111.9293057 33.4286516, -111.9287617752134 33.42815905545122)</t>
  </si>
  <si>
    <t>LINESTRING (-111.929806412831 33.42815367478082, -111.9300918 33.4286969)</t>
  </si>
  <si>
    <t>LINESTRING (-111.9300918 33.4286969, -111.929806412831 33.42815367478082)</t>
  </si>
  <si>
    <t>LINESTRING (-111.92979425 33.42749449999999, -111.9293057 33.4286516)</t>
  </si>
  <si>
    <t>LINESTRING (-111.9293057 33.4286516, -111.92979425 33.42749449999999)</t>
  </si>
  <si>
    <t>LINESTRING (-111.9287526751718 33.4274982054553, -111.9293057 33.4286516)</t>
  </si>
  <si>
    <t>LINESTRING (-111.9293057 33.4286516, -111.9287526751718 33.4274982054553)</t>
  </si>
  <si>
    <t>LINESTRING (-111.9096838251281 33.40703120630254, -111.9099258 33.4074356)</t>
  </si>
  <si>
    <t>LINESTRING (-111.9099258 33.4074356, -111.9096838251281 33.40703120630254)</t>
  </si>
  <si>
    <t>LINESTRING (-111.9086956808956 33.40797911682809, -111.9091078 33.4082217)</t>
  </si>
  <si>
    <t>LINESTRING (-111.9091078 33.4082217, -111.9086956808956 33.40797911682809)</t>
  </si>
  <si>
    <t>LINESTRING (-111.9117538576734 33.40806717481458, -111.9119245 33.4074381)</t>
  </si>
  <si>
    <t>LINESTRING (-111.9119245 33.4074381, -111.9117538576734 33.40806717481458)</t>
  </si>
  <si>
    <t>LINESTRING (-111.9086585 33.42978625000001, -111.9083245 33.4293683)</t>
  </si>
  <si>
    <t>LINESTRING (-111.9083245 33.4293683, -111.9086585 33.42978625000001)</t>
  </si>
  <si>
    <t>LINESTRING (-111.9408693726861 33.42166716314975, -111.9407478 33.4219322)</t>
  </si>
  <si>
    <t>LINESTRING (-111.9407478 33.4219322, -111.9408693726861 33.42166716314975)</t>
  </si>
  <si>
    <t>LINESTRING (-110.9375657378409 32.19551958711197, -111.9091195 33.4063787)</t>
  </si>
  <si>
    <t>LINESTRING (-111.9091195 33.4063787, -110.9375657378409 32.19551958711197)</t>
  </si>
  <si>
    <t>LINESTRING (-111.9317781180333 33.42977305115765, -111.9322313 33.4294306)</t>
  </si>
  <si>
    <t>LINESTRING (-111.9322313 33.4294306, -111.9317781180333 33.42977305115765)</t>
  </si>
  <si>
    <t>LINESTRING (-111.920735090213 33.41444012515812, -111.9204485 33.4147071)</t>
  </si>
  <si>
    <t>LINESTRING (-111.9204485 33.4147071, -111.920735090213 33.41444012515812)</t>
  </si>
  <si>
    <t>LINESTRING (-111.9187709703913 33.41597579213866, -111.9187765 33.4166821)</t>
  </si>
  <si>
    <t>LINESTRING (-111.9187765 33.4166821, -111.9187709703913 33.41597579213866)</t>
  </si>
  <si>
    <t>LINESTRING (-111.91740125 33.4155627, -111.9176985 33.4151844)</t>
  </si>
  <si>
    <t>LINESTRING (-111.9176985 33.4151844, -111.91740125 33.4155627)</t>
  </si>
  <si>
    <t>LINESTRING (-111.9411028025631 33.41259571907607, -111.9398827 33.4125946)</t>
  </si>
  <si>
    <t>LINESTRING (-111.9398827 33.4125946, -111.9411028025631 33.41259571907607)</t>
  </si>
  <si>
    <t>LINESTRING (-111.9321577142957 33.40979163688919, -111.9311446 33.4093331)</t>
  </si>
  <si>
    <t>LINESTRING (-111.9311446 33.4093331, -111.9321577142957 33.40979163688919)</t>
  </si>
  <si>
    <t>LINESTRING (-111.9302112868967 33.42153470240331, -111.9307627 33.421952)</t>
  </si>
  <si>
    <t>LINESTRING (-111.9307627 33.421952, -111.9302112868967 33.42153470240331)</t>
  </si>
  <si>
    <t>LINESTRING (-111.9430580773471 33.42128541649285, -111.9423905 33.4212237)</t>
  </si>
  <si>
    <t>LINESTRING (-111.9423905 33.4212237, -111.9430580773471 33.42128541649285)</t>
  </si>
  <si>
    <t>LINESTRING (-111.9427062567372 33.42151143654656, -111.9423905 33.4212237)</t>
  </si>
  <si>
    <t>LINESTRING (-111.9423905 33.4212237, -111.9427062567372 33.42151143654656)</t>
  </si>
  <si>
    <t>LINESTRING (-111.9438608511485 33.42160461183001, -111.9439222 33.4218959)</t>
  </si>
  <si>
    <t>LINESTRING (-111.9439222 33.4218959, -111.9438608511485 33.42160461183001)</t>
  </si>
  <si>
    <t>LINESTRING (-111.9403548242258 33.42155811987821, -111.9407231 33.4213245)</t>
  </si>
  <si>
    <t>LINESTRING (-111.9407231 33.4213245, -111.9403548242258 33.42155811987821)</t>
  </si>
  <si>
    <t>LINESTRING (-111.940425949716 33.40681320409035, -111.9398081 33.4067486)</t>
  </si>
  <si>
    <t>LINESTRING (-111.9398081 33.4067486, -111.940425949716 33.40681320409035)</t>
  </si>
  <si>
    <t>LINESTRING (-111.938814091796 33.40674150332367, -111.9389839 33.4074225)</t>
  </si>
  <si>
    <t>LINESTRING (-111.9389839 33.4074225, -111.938814091796 33.40674150332367)</t>
  </si>
  <si>
    <t>LINESTRING (-111.9416894682781 33.42805713211949, -111.9425545 33.4279426)</t>
  </si>
  <si>
    <t>LINESTRING (-111.9425545 33.4279426, -111.9416894682781 33.42805713211949)</t>
  </si>
  <si>
    <t>LINESTRING (-111.9404138 33.42804875, -111.9399618 33.4281865)</t>
  </si>
  <si>
    <t>LINESTRING (-111.9399618 33.4281865, -111.9404138 33.42804875)</t>
  </si>
  <si>
    <t>LINESTRING (-111.942690642577 33.40853561445796, -111.9433255 33.4073787)</t>
  </si>
  <si>
    <t>LINESTRING (-111.9433255 33.4073787, -111.942690642577 33.40853561445796)</t>
  </si>
  <si>
    <t>LINESTRING (-111.9422493767566 33.40763781434362, -111.9419779 33.4073972)</t>
  </si>
  <si>
    <t>LINESTRING (-111.9419779 33.4073972, -111.9422493767566 33.40763781434362)</t>
  </si>
  <si>
    <t>LINESTRING (-111.9432714255941 33.40752250186351, -111.9433255 33.4073787)</t>
  </si>
  <si>
    <t>LINESTRING (-111.9433255 33.4073787, -111.9432714255941 33.40752250186351)</t>
  </si>
  <si>
    <t>LINESTRING (-111.9433201832957 33.40788617942238, -111.9433255 33.4073787)</t>
  </si>
  <si>
    <t>LINESTRING (-111.9433255 33.4073787, -111.9433201832957 33.40788617942238)</t>
  </si>
  <si>
    <t>LINESTRING (-111.94310635 33.4079709, -111.9433255 33.4073787)</t>
  </si>
  <si>
    <t>LINESTRING (-111.9433255 33.4073787, -111.94310635 33.4079709)</t>
  </si>
  <si>
    <t>LINESTRING (-111.9427781747208 33.40792809644761, -111.9433255 33.4073787)</t>
  </si>
  <si>
    <t>LINESTRING (-111.9433255 33.4073787, -111.9427781747208 33.40792809644761)</t>
  </si>
  <si>
    <t>LINESTRING (-111.9417117375208 33.4079830135356, -111.9419779 33.4073972)</t>
  </si>
  <si>
    <t>LINESTRING (-111.9419779 33.4073972, -111.9417117375208 33.4079830135356)</t>
  </si>
  <si>
    <t>LINESTRING (-111.9412540628726 33.40777351353351, -111.9405939 33.4074032)</t>
  </si>
  <si>
    <t>LINESTRING (-111.9405939 33.4074032, -111.9412540628726 33.40777351353351)</t>
  </si>
  <si>
    <t>LINESTRING (-111.9405357168529 33.40820084747595, -111.9398844 33.4080275)</t>
  </si>
  <si>
    <t>LINESTRING (-111.9398844 33.4080275, -111.9405357168529 33.40820084747595)</t>
  </si>
  <si>
    <t>LINESTRING (-111.9407279807106 33.40771045013222, -111.9405939 33.4074032)</t>
  </si>
  <si>
    <t>LINESTRING (-111.9405939 33.4074032, -111.9407279807106 33.40771045013222)</t>
  </si>
  <si>
    <t>LINESTRING (-111.9401869278718 33.4094213077007, -111.9398422 33.4086532)</t>
  </si>
  <si>
    <t>LINESTRING (-111.9398422 33.4086532, -111.9401869278718 33.4094213077007)</t>
  </si>
  <si>
    <t>LINESTRING (-111.9414665253331 33.40842240265044, -111.9419779 33.4073972)</t>
  </si>
  <si>
    <t>LINESTRING (-111.9419779 33.4073972, -111.9414665253331 33.40842240265044)</t>
  </si>
  <si>
    <t>LINESTRING (-111.9407697749639 33.40858699734247, -111.9398422 33.4086532)</t>
  </si>
  <si>
    <t>LINESTRING (-111.9398422 33.4086532, -111.9407697749639 33.40858699734247)</t>
  </si>
  <si>
    <t>LINESTRING (-111.9414682267209 33.40874007467972, -111.9398422 33.4086532)</t>
  </si>
  <si>
    <t>LINESTRING (-111.9398422 33.4086532, -111.9414682267209 33.40874007467972)</t>
  </si>
  <si>
    <t>LINESTRING (-111.9407798230667 33.40890437518786, -111.9398422 33.4086532)</t>
  </si>
  <si>
    <t>LINESTRING (-111.9398422 33.4086532, -111.9407798230667 33.40890437518786)</t>
  </si>
  <si>
    <t>LINESTRING (-111.94147255 33.4090639, -111.9398422 33.4086532)</t>
  </si>
  <si>
    <t>LINESTRING (-111.9398422 33.4086532, -111.94147255 33.4090639)</t>
  </si>
  <si>
    <t>LINESTRING (-111.9407801726947 33.40924552528831, -111.9398422 33.4086532)</t>
  </si>
  <si>
    <t>LINESTRING (-111.9398422 33.4086532, -111.9407801726947 33.40924552528831)</t>
  </si>
  <si>
    <t>LINESTRING (-111.941979547831 33.40887831299061, -111.9419779 33.4073972)</t>
  </si>
  <si>
    <t>LINESTRING (-111.9419779 33.4073972, -111.941979547831 33.40887831299061)</t>
  </si>
  <si>
    <t>LINESTRING (-111.9419292 33.40934655, -111.9398422 33.4086532)</t>
  </si>
  <si>
    <t>LINESTRING (-111.9398422 33.4086532, -111.9419292 33.40934655)</t>
  </si>
  <si>
    <t>LINESTRING (-111.9413525387148 33.40963202603004, -111.9399036 33.4106076)</t>
  </si>
  <si>
    <t>LINESTRING (-111.9399036 33.4106076, -111.9413525387148 33.40963202603004)</t>
  </si>
  <si>
    <t>LINESTRING (-111.9425042219557 33.41024077470205, -111.9439296 33.411019)</t>
  </si>
  <si>
    <t>LINESTRING (-111.9439296 33.411019, -111.9425042219557 33.41024077470205)</t>
  </si>
  <si>
    <t>LINESTRING (-111.9421508 33.4115483, -111.9439296 33.411019)</t>
  </si>
  <si>
    <t>LINESTRING (-111.9439296 33.411019, -111.9421508 33.4115483)</t>
  </si>
  <si>
    <t>LINESTRING (-111.9184234367456 33.41613484226029, -111.9187765 33.4166821)</t>
  </si>
  <si>
    <t>LINESTRING (-111.9187765 33.4166821, -111.9184234367456 33.41613484226029)</t>
  </si>
  <si>
    <t>LINESTRING (-111.9184098909946 33.41541621938217, -111.9176985 33.4151844)</t>
  </si>
  <si>
    <t>LINESTRING (-111.9176985 33.4151844, -111.9184098909946 33.41541621938217)</t>
  </si>
  <si>
    <t>LINESTRING (-111.9192530521014 33.41526322783967, -111.9189923 33.4148614)</t>
  </si>
  <si>
    <t>LINESTRING (-111.9189923 33.4148614, -111.9192530521014 33.41526322783967)</t>
  </si>
  <si>
    <t>LINESTRING (-111.9384708870887 33.43060110432084, -111.9381867 33.4300134)</t>
  </si>
  <si>
    <t>LINESTRING (-111.9381867 33.4300134, -111.9384708870887 33.43060110432084)</t>
  </si>
  <si>
    <t>LINESTRING (-111.9395158617929 33.43026799960842, -111.9399748 33.4301976)</t>
  </si>
  <si>
    <t>LINESTRING (-111.9399748 33.4301976, -111.9395158617929 33.43026799960842)</t>
  </si>
  <si>
    <t>LINESTRING (-111.9394785134798 33.43129016888042, -111.9400556 33.4312394)</t>
  </si>
  <si>
    <t>LINESTRING (-111.9400556 33.4312394, -111.9394785134798 33.43129016888042)</t>
  </si>
  <si>
    <t>LINESTRING (-111.9384556637282 33.43143628313469, -111.9374938 33.4305413)</t>
  </si>
  <si>
    <t>LINESTRING (-111.9374938 33.4305413, -111.9384556637282 33.43143628313469)</t>
  </si>
  <si>
    <t>LINESTRING (-111.9373623909934 33.43147490204929, -111.9368145 33.4306868)</t>
  </si>
  <si>
    <t>LINESTRING (-111.9368145 33.4306868, -111.9373623909934 33.43147490204929)</t>
  </si>
  <si>
    <t>LINESTRING (-111.9180454105305 33.41511422496914, -111.9176985 33.4151844)</t>
  </si>
  <si>
    <t>LINESTRING (-111.9176985 33.4151844, -111.9180454105305 33.41511422496914)</t>
  </si>
  <si>
    <t>LINESTRING (-111.9210932552191 33.41626543439763, -111.920587 33.4167118)</t>
  </si>
  <si>
    <t>LINESTRING (-111.920587 33.4167118, -111.9210932552191 33.41626543439763)</t>
  </si>
  <si>
    <t>LINESTRING (-111.9257249367545 33.40983038351874, -111.9257941 33.4101273)</t>
  </si>
  <si>
    <t>LINESTRING (-111.9257941 33.4101273, -111.9257249367545 33.40983038351874)</t>
  </si>
  <si>
    <t>LINESTRING (-111.9342638723361 33.40923998859821, -111.9338376 33.4093122)</t>
  </si>
  <si>
    <t>LINESTRING (-111.9338376 33.4093122, -111.9342638723361 33.40923998859821)</t>
  </si>
  <si>
    <t>LINESTRING (-111.9447300819433 33.42603989356498, -111.9446931 33.425471)</t>
  </si>
  <si>
    <t>LINESTRING (-111.9446931 33.425471, -111.9447300819433 33.42603989356498)</t>
  </si>
  <si>
    <t>LINESTRING (-111.9414221666667 33.4236071, -111.9414688 33.4238299)</t>
  </si>
  <si>
    <t>LINESTRING (-111.9414688 33.4238299, -111.9414221666667 33.4236071)</t>
  </si>
  <si>
    <t>LINESTRING (-111.9409009569231 33.42385544914964, -111.9414688 33.4238299)</t>
  </si>
  <si>
    <t>LINESTRING (-111.9414688 33.4238299, -111.9409009569231 33.42385544914964)</t>
  </si>
  <si>
    <t>LINESTRING (-111.9404718001963 33.42344067255376, -111.9400646 33.4234469)</t>
  </si>
  <si>
    <t>LINESTRING (-111.9400646 33.4234469, -111.9404718001963 33.42344067255376)</t>
  </si>
  <si>
    <t>LINESTRING (-111.9402819596287 33.42382327389784, -111.9399588 33.4240116)</t>
  </si>
  <si>
    <t>LINESTRING (-111.9399588 33.4240116, -111.9402819596287 33.42382327389784)</t>
  </si>
  <si>
    <t>LINESTRING (-111.9405759779581 33.42414328240312, -111.9400719 33.424345)</t>
  </si>
  <si>
    <t>LINESTRING (-111.9400719 33.424345, -111.9405759779581 33.42414328240312)</t>
  </si>
  <si>
    <t>LINESTRING (-111.9408927811122 33.42244326487203, -111.9407478 33.4219322)</t>
  </si>
  <si>
    <t>LINESTRING (-111.9407478 33.4219322, -111.9408927811122 33.42244326487203)</t>
  </si>
  <si>
    <t>LINESTRING (-111.9403860028596 33.42273406936071, -111.9400741 33.4225274)</t>
  </si>
  <si>
    <t>LINESTRING (-111.9400741 33.4225274, -111.9403860028596 33.42273406936071)</t>
  </si>
  <si>
    <t>LINESTRING (-111.9389690477954 33.42015116973234, -111.9389085 33.4204277)</t>
  </si>
  <si>
    <t>LINESTRING (-111.9389085 33.4204277, -111.9389690477954 33.42015116973234)</t>
  </si>
  <si>
    <t>LINESTRING (-111.9357466506994 33.42155427562783, -111.9349692 33.4219161)</t>
  </si>
  <si>
    <t>LINESTRING (-111.9349692 33.4219161, -111.9357466506994 33.42155427562783)</t>
  </si>
  <si>
    <t>LINESTRING (-111.9258557532524 33.41712826370374, -111.9263004 33.4173778)</t>
  </si>
  <si>
    <t>LINESTRING (-111.9263004 33.4173778, -111.9258557532524 33.41712826370374)</t>
  </si>
  <si>
    <t>LINESTRING (-111.9259024583862 33.41629325712704, -111.9263007 33.4163769)</t>
  </si>
  <si>
    <t>LINESTRING (-111.9263007 33.4163769, -111.9259024583862 33.41629325712704)</t>
  </si>
  <si>
    <t>LINESTRING (-111.9259067069845 33.41665177507927, -111.9263035 33.4168382)</t>
  </si>
  <si>
    <t>LINESTRING (-111.9263035 33.4168382, -111.9259067069845 33.41665177507927)</t>
  </si>
  <si>
    <t>LINESTRING (-111.9259211375555 33.41578038288852, -111.9262936 33.4155005)</t>
  </si>
  <si>
    <t>LINESTRING (-111.9262936 33.4155005, -111.9259211375555 33.41578038288852)</t>
  </si>
  <si>
    <t>LINESTRING (-111.9257356938707 33.41570850707063, -111.9262936 33.4155005)</t>
  </si>
  <si>
    <t>LINESTRING (-111.9262936 33.4155005, -111.9257356938707 33.41570850707063)</t>
  </si>
  <si>
    <t>LINESTRING (-111.9257969819671 33.41607074049229, -111.9263007 33.4163769)</t>
  </si>
  <si>
    <t>LINESTRING (-111.9263007 33.4163769, -111.9257969819671 33.41607074049229)</t>
  </si>
  <si>
    <t>LINESTRING (-111.9251848258498 33.41991850324913, -111.9254783 33.4195802)</t>
  </si>
  <si>
    <t>LINESTRING (-111.9254783 33.4195802, -111.9251848258498 33.41991850324913)</t>
  </si>
  <si>
    <t>LINESTRING (-111.9253135959639 33.41742281355198, -111.925416 33.4168118)</t>
  </si>
  <si>
    <t>LINESTRING (-111.925416 33.4168118, -111.9253135959639 33.41742281355198)</t>
  </si>
  <si>
    <t>LINESTRING (-111.9249678186081 33.41746639239097, -111.925416 33.4168118)</t>
  </si>
  <si>
    <t>LINESTRING (-111.925416 33.4168118, -111.9249678186081 33.41746639239097)</t>
  </si>
  <si>
    <t>LINESTRING (-111.9388999605642 33.41744256788296, -111.9398439 33.4174549)</t>
  </si>
  <si>
    <t>LINESTRING (-111.9398439 33.4174549, -111.9388999605642 33.41744256788296)</t>
  </si>
  <si>
    <t>LINESTRING (-111.9390257212056 33.41940250776028, -111.9398606 33.4193366)</t>
  </si>
  <si>
    <t>LINESTRING (-111.9398606 33.4193366, -111.9390257212056 33.41940250776028)</t>
  </si>
  <si>
    <t>LINESTRING (-111.9250793058601 33.42313792682234, -111.9258887 33.4233401)</t>
  </si>
  <si>
    <t>LINESTRING (-111.9258887 33.4233401, -111.9250793058601 33.42313792682234)</t>
  </si>
  <si>
    <t>LINESTRING (-111.9244645521591 33.42397920953468, -111.9228983 33.4238125)</t>
  </si>
  <si>
    <t>LINESTRING (-111.9228983 33.4238125, -111.9244645521591 33.42397920953468)</t>
  </si>
  <si>
    <t>LINESTRING (-111.925911379189 33.42564868264332, -111.926379 33.4250061)</t>
  </si>
  <si>
    <t>LINESTRING (-111.926379 33.4250061, -111.925911379189 33.42564868264332)</t>
  </si>
  <si>
    <t>LINESTRING (-111.9228595253299 33.42429879091365, -111.9228983 33.4238125)</t>
  </si>
  <si>
    <t>LINESTRING (-111.9228983 33.4238125, -111.9228595253299 33.42429879091365)</t>
  </si>
  <si>
    <t>LINESTRING (-111.9241022294828 33.42629459061593, -111.9262149 33.4275095)</t>
  </si>
  <si>
    <t>LINESTRING (-111.9262149 33.4275095, -111.9241022294828 33.42629459061593)</t>
  </si>
  <si>
    <t>LINESTRING (-111.9228694368928 33.42663140815354, -111.9239819 33.4289759)</t>
  </si>
  <si>
    <t>LINESTRING (-111.9239819 33.4289759, -111.9228694368928 33.42663140815354)</t>
  </si>
  <si>
    <t>LINESTRING (-111.9243375698702 33.42274756996058, -111.9248832 33.4220294)</t>
  </si>
  <si>
    <t>LINESTRING (-111.9248832 33.4220294, -111.9243375698702 33.42274756996058)</t>
  </si>
  <si>
    <t>LINESTRING (-111.9235297774008 33.42333684839578, -111.9228983 33.4238125)</t>
  </si>
  <si>
    <t>LINESTRING (-111.9228983 33.4238125, -111.9235297774008 33.42333684839578)</t>
  </si>
  <si>
    <t>LINESTRING (-111.9329169188089 33.41920185985059, -111.9338292 33.4183283)</t>
  </si>
  <si>
    <t>LINESTRING (-111.9338292 33.4183283, -111.9329169188089 33.41920185985059)</t>
  </si>
  <si>
    <t>LINESTRING (-111.93963637507 33.41868246007183, -111.9398502 33.4186881)</t>
  </si>
  <si>
    <t>LINESTRING (-111.9398502 33.4186881, -111.93963637507 33.41868246007183)</t>
  </si>
  <si>
    <t>LINESTRING (-111.9394697252121 33.41839605262469, -111.9398502 33.4186881)</t>
  </si>
  <si>
    <t>LINESTRING (-111.9398502 33.4186881, -111.9394697252121 33.41839605262469)</t>
  </si>
  <si>
    <t>LINESTRING (-111.9331233587483 33.42094205320043, -111.9317246 33.4212406)</t>
  </si>
  <si>
    <t>LINESTRING (-111.9317246 33.4212406, -111.9331233587483 33.42094205320043)</t>
  </si>
  <si>
    <t>LINESTRING (-111.9333857527761 33.42142928032136, -111.9339885 33.4219235)</t>
  </si>
  <si>
    <t>LINESTRING (-111.9339885 33.4219235, -111.9333857527761 33.42142928032136)</t>
  </si>
  <si>
    <t>LINESTRING (-111.929673 33.424508, -111.9290798 33.4242989)</t>
  </si>
  <si>
    <t>LINESTRING (-111.9290798 33.4242989, -111.929673 33.424508)</t>
  </si>
  <si>
    <t>LINESTRING (-111.9297271747552 33.42433604779229, -111.9290798 33.4242989)</t>
  </si>
  <si>
    <t>LINESTRING (-111.9290798 33.4242989, -111.9297271747552 33.42433604779229)</t>
  </si>
  <si>
    <t>LINESTRING (-111.92972565 33.42488055, -111.9290798 33.4242989)</t>
  </si>
  <si>
    <t>LINESTRING (-111.9290798 33.4242989, -111.92972565 33.42488055)</t>
  </si>
  <si>
    <t>LINESTRING (-111.92969965 33.425032, -111.9290798 33.4242989)</t>
  </si>
  <si>
    <t>LINESTRING (-111.9290798 33.4242989, -111.92969965 33.425032)</t>
  </si>
  <si>
    <t>LINESTRING (-111.9296395801956 33.42519442481971, -111.9290798 33.4242989)</t>
  </si>
  <si>
    <t>LINESTRING (-111.9290798 33.4242989, -111.9296395801956 33.42519442481971)</t>
  </si>
  <si>
    <t>LINESTRING (-111.9295946749365 33.4253732469566, -111.9290798 33.4242989)</t>
  </si>
  <si>
    <t>LINESTRING (-111.9290798 33.4242989, -111.9295946749365 33.4253732469566)</t>
  </si>
  <si>
    <t>LINESTRING (-111.929489463843 33.42234918387506, -111.9293204 33.422626)</t>
  </si>
  <si>
    <t>LINESTRING (-111.9293204 33.422626, -111.929489463843 33.42234918387506)</t>
  </si>
  <si>
    <t>LINESTRING (-111.9355724287865 33.42350819187969, -111.9349761 33.4232093)</t>
  </si>
  <si>
    <t>LINESTRING (-111.9349761 33.4232093, -111.9355724287865 33.42350819187969)</t>
  </si>
  <si>
    <t>LINESTRING (-111.9368729251904 33.42351412389059, -111.9366651 33.4232037)</t>
  </si>
  <si>
    <t>LINESTRING (-111.9366651 33.4232037, -111.9368729251904 33.42351412389059)</t>
  </si>
  <si>
    <t>LINESTRING (-111.9378459165282 33.4239988390079, -111.9377644 33.4242905)</t>
  </si>
  <si>
    <t>LINESTRING (-111.9377644 33.4242905, -111.9378459165282 33.4239988390079)</t>
  </si>
  <si>
    <t>LINESTRING (-111.9376537672353 33.42362473653729, -111.9381595 33.4231914)</t>
  </si>
  <si>
    <t>LINESTRING (-111.9381595 33.4231914, -111.9376537672353 33.42362473653729)</t>
  </si>
  <si>
    <t>LINESTRING (-111.9373510013011 33.42350940149568, -111.9366651 33.4232037)</t>
  </si>
  <si>
    <t>LINESTRING (-111.9366651 33.4232037, -111.9373510013011 33.42350940149568)</t>
  </si>
  <si>
    <t>LINESTRING (-111.9364521617294 33.42352098152552, -111.9366651 33.4232037)</t>
  </si>
  <si>
    <t>LINESTRING (-111.9366651 33.4232037, -111.9364521617294 33.42352098152552)</t>
  </si>
  <si>
    <t>LINESTRING (-111.9373261787527 33.4250752229451, -111.9366724 33.4254992)</t>
  </si>
  <si>
    <t>LINESTRING (-111.9366724 33.4254992, -111.9373261787527 33.4250752229451)</t>
  </si>
  <si>
    <t>LINESTRING (-111.9370488 33.42466790000001, -111.936666 33.4243591)</t>
  </si>
  <si>
    <t>LINESTRING (-111.936666 33.4243591, -111.9370488 33.42466790000001)</t>
  </si>
  <si>
    <t>LINESTRING (-111.9359834068245 33.42403454040671, -111.936666 33.4243591)</t>
  </si>
  <si>
    <t>LINESTRING (-111.936666 33.4243591, -111.9359834068245 33.42403454040671)</t>
  </si>
  <si>
    <t>LINESTRING (-111.9352275002137 33.42396388317145, -111.9349809 33.4243346)</t>
  </si>
  <si>
    <t>LINESTRING (-111.9349809 33.4243346, -111.9352275002137 33.42396388317145)</t>
  </si>
  <si>
    <t>LINESTRING (-111.9353205527302 33.4247365375159, -111.9349809 33.4243346)</t>
  </si>
  <si>
    <t>LINESTRING (-111.9349809 33.4243346, -111.9353205527302 33.4247365375159)</t>
  </si>
  <si>
    <t>LINESTRING (-111.9352797 33.42515965, -111.9353519 33.4255151)</t>
  </si>
  <si>
    <t>LINESTRING (-111.9353519 33.4255151, -111.9352797 33.42515965)</t>
  </si>
  <si>
    <t>LINESTRING (-111.9394959494541 33.42784394349894, -111.9395019 33.4273825)</t>
  </si>
  <si>
    <t>LINESTRING (-111.9395019 33.4273825, -111.9394959494541 33.42784394349894)</t>
  </si>
  <si>
    <t>LINESTRING (-111.9391558470978 33.42691343580681, -111.9395019 33.4273825)</t>
  </si>
  <si>
    <t>LINESTRING (-111.9395019 33.4273825, -111.9391558470978 33.42691343580681)</t>
  </si>
  <si>
    <t>LINESTRING (-111.9396987517364 33.42616027684499, -111.9399637 33.426342)</t>
  </si>
  <si>
    <t>LINESTRING (-111.9399637 33.426342, -111.9396987517364 33.42616027684499)</t>
  </si>
  <si>
    <t>LINESTRING (-111.9396275610634 33.42900183957961, -111.9399832 33.4290713)</t>
  </si>
  <si>
    <t>LINESTRING (-111.9399832 33.4290713, -111.9396275610634 33.42900183957961)</t>
  </si>
  <si>
    <t>LINESTRING (-111.9392636792885 33.42889077444613, -111.9399832 33.4290713)</t>
  </si>
  <si>
    <t>LINESTRING (-111.9399832 33.4290713, -111.9392636792885 33.42889077444613)</t>
  </si>
  <si>
    <t>LINESTRING (-111.9404432005031 33.42912115168836, -111.9399832 33.4290713)</t>
  </si>
  <si>
    <t>LINESTRING (-111.9399832 33.4290713, -111.9404432005031 33.42912115168836)</t>
  </si>
  <si>
    <t>LINESTRING (-111.9431126186057 33.42595314157244, -111.9433518 33.4260281)</t>
  </si>
  <si>
    <t>LINESTRING (-111.9433518 33.4260281, -111.9431126186057 33.42595314157244)</t>
  </si>
  <si>
    <t>LINESTRING (-111.9426650021928 33.42649135579607, -111.9433518 33.4260281)</t>
  </si>
  <si>
    <t>LINESTRING (-111.9433518 33.4260281, -111.9426650021928 33.42649135579607)</t>
  </si>
  <si>
    <t>LINESTRING (-111.9403807529316 33.42600199777564, -111.9400785 33.4260353)</t>
  </si>
  <si>
    <t>LINESTRING (-111.9400785 33.4260353, -111.9403807529316 33.42600199777564)</t>
  </si>
  <si>
    <t>LINESTRING (-111.9409359311454 33.42577671237631, -111.9412736 33.4254885)</t>
  </si>
  <si>
    <t>LINESTRING (-111.9412736 33.4254885, -111.9409359311454 33.42577671237631)</t>
  </si>
  <si>
    <t>LINESTRING (-111.9409048931483 33.42678994674498, -111.940778 33.4264585)</t>
  </si>
  <si>
    <t>LINESTRING (-111.940778 33.4264585, -111.9409048931483 33.42678994674498)</t>
  </si>
  <si>
    <t>LINESTRING (-111.9410656805655 33.42711884769829, -111.9412469 33.4264549)</t>
  </si>
  <si>
    <t>LINESTRING (-111.9412469 33.4264549, -111.9410656805655 33.42711884769829)</t>
  </si>
  <si>
    <t>LINESTRING (-111.940921934982 33.42887858867442, -111.9406832 33.4295107)</t>
  </si>
  <si>
    <t>LINESTRING (-111.9406832 33.4295107, -111.940921934982 33.42887858867442)</t>
  </si>
  <si>
    <t>LINESTRING (-111.924688353161 33.41989521495319, -111.9254783 33.4195802)</t>
  </si>
  <si>
    <t>LINESTRING (-111.9254783 33.4195802, -111.924688353161 33.41989521495319)</t>
  </si>
  <si>
    <t>LINESTRING (-111.9248059536263 33.42931435081786, -111.9253831 33.4288338)</t>
  </si>
  <si>
    <t>LINESTRING (-111.9253831 33.4288338, -111.9248059536263 33.42931435081786)</t>
  </si>
  <si>
    <t>LINESTRING (-111.9342620172588 33.43077899325358, -111.9350596 33.4303286)</t>
  </si>
  <si>
    <t>LINESTRING (-111.9350596 33.4303286, -111.9342620172588 33.43077899325358)</t>
  </si>
  <si>
    <t>LINESTRING (-111.9331847588418 33.42988499291382, -111.9332589 33.42946)</t>
  </si>
  <si>
    <t>LINESTRING (-111.9332589 33.42946, -111.9331847588418 33.42988499291382)</t>
  </si>
  <si>
    <t>LINESTRING (-111.93211067093 33.43054064814484, -111.9322313 33.4294306)</t>
  </si>
  <si>
    <t>LINESTRING (-111.9322313 33.4294306, -111.93211067093 33.43054064814484)</t>
  </si>
  <si>
    <t>LINESTRING (-111.9301937287598 33.42969998907108, -111.9293144 33.4297279)</t>
  </si>
  <si>
    <t>LINESTRING (-111.9293144 33.4297279, -111.9301937287598 33.42969998907108)</t>
  </si>
  <si>
    <t>LINESTRING (-111.9324017575112 33.42237465178135, -111.9317273 33.4218424)</t>
  </si>
  <si>
    <t>LINESTRING (-111.9317273 33.4218424, -111.9324017575112 33.42237465178135)</t>
  </si>
  <si>
    <t>LINESTRING (-111.9331970101095 33.4227466114404, -111.9339909 33.4220122)</t>
  </si>
  <si>
    <t>LINESTRING (-111.9339909 33.4220122, -111.9331970101095 33.4227466114404)</t>
  </si>
  <si>
    <t>LINESTRING (-111.933192890519 33.42236934608757, -111.9339909 33.4220122)</t>
  </si>
  <si>
    <t>LINESTRING (-111.9339909 33.4220122, -111.933192890519 33.42236934608757)</t>
  </si>
  <si>
    <t>LINESTRING (-111.9308909688004 33.42252686440553, -111.930766 33.4220427)</t>
  </si>
  <si>
    <t>LINESTRING (-111.930766 33.4220427, -111.9308909688004 33.42252686440553)</t>
  </si>
  <si>
    <t>LINESTRING (-111.9305956244687 33.42260054921793, -111.9304264 33.4231268)</t>
  </si>
  <si>
    <t>LINESTRING (-111.9304264 33.4231268, -111.9305956244687 33.42260054921793)</t>
  </si>
  <si>
    <t>LINESTRING (-111.9360556426484 33.42057402522812, -111.9366517 33.4212922)</t>
  </si>
  <si>
    <t>LINESTRING (-111.9366517 33.4212922, -111.9360556426484 33.42057402522812)</t>
  </si>
  <si>
    <t>LINESTRING (-111.9379919154261 33.41561680159898, -111.9381424 33.4149982)</t>
  </si>
  <si>
    <t>LINESTRING (-111.9381424 33.4149982, -111.9379919154261 33.41561680159898)</t>
  </si>
  <si>
    <t>LINESTRING (-111.9395814742175 33.41778369504657, -111.9398468 33.4176189)</t>
  </si>
  <si>
    <t>LINESTRING (-111.9398468 33.4176189, -111.9395814742175 33.41778369504657)</t>
  </si>
  <si>
    <t>LINESTRING (-111.9326349248358 33.42066017688909, -111.9316996 33.4207468)</t>
  </si>
  <si>
    <t>LINESTRING (-111.9316996 33.4207468, -111.9326349248358 33.42066017688909)</t>
  </si>
  <si>
    <t>LINESTRING (-111.9347190532248 33.41678104662033, -111.9349506 33.4161111)</t>
  </si>
  <si>
    <t>LINESTRING (-111.9349506 33.4161111, -111.9347190532248 33.41678104662033)</t>
  </si>
  <si>
    <t>LINESTRING (-111.934074737018 33.4171277489805, -111.9337083 33.4173613)</t>
  </si>
  <si>
    <t>LINESTRING (-111.9337083 33.4173613, -111.934074737018 33.4171277489805)</t>
  </si>
  <si>
    <t>LINESTRING (-111.9337992028846 33.41710368698892, -111.9337083 33.4173613)</t>
  </si>
  <si>
    <t>LINESTRING (-111.9337083 33.4173613, -111.9337992028846 33.41710368698892)</t>
  </si>
  <si>
    <t>LINESTRING (-111.9338729877122 33.41688544847359, -111.9337083 33.4173613)</t>
  </si>
  <si>
    <t>LINESTRING (-111.9337083 33.4173613, -111.9338729877122 33.41688544847359)</t>
  </si>
  <si>
    <t>LINESTRING (-111.933238515225 33.41727297140709, -111.9333809 33.417357)</t>
  </si>
  <si>
    <t>LINESTRING (-111.9333809 33.417357, -111.933238515225 33.41727297140709)</t>
  </si>
  <si>
    <t>LINESTRING (-111.9328565136096 33.41617869142407, -111.933278 33.4160881)</t>
  </si>
  <si>
    <t>LINESTRING (-111.933278 33.4160881, -111.9328565136096 33.41617869142407)</t>
  </si>
  <si>
    <t>LINESTRING (-111.9312301546694 33.41547471806734, -111.9305745 33.4152628)</t>
  </si>
  <si>
    <t>LINESTRING (-111.9305745 33.4152628, -111.9312301546694 33.41547471806734)</t>
  </si>
  <si>
    <t>LINESTRING (-111.9333237380893 33.41675924860939, -111.9333809 33.417357)</t>
  </si>
  <si>
    <t>LINESTRING (-111.9333809 33.417357, -111.9333237380893 33.41675924860939)</t>
  </si>
  <si>
    <t>LINESTRING (-111.9335833420894 33.41802186366279, -111.9338292 33.4183283)</t>
  </si>
  <si>
    <t>LINESTRING (-111.9338292 33.4183283, -111.9335833420894 33.41802186366279)</t>
  </si>
  <si>
    <t>LINESTRING (-111.9308858903113 33.42167501605503, -111.9307627 33.421952)</t>
  </si>
  <si>
    <t>LINESTRING (-111.9307627 33.421952, -111.9308858903113 33.42167501605503)</t>
  </si>
  <si>
    <t>LINESTRING (-111.93199775 33.42121075, -111.9317246 33.4212406)</t>
  </si>
  <si>
    <t>LINESTRING (-111.9317246 33.4212406, -111.93199775 33.42121075)</t>
  </si>
  <si>
    <t>LINESTRING (-111.9320536649086 33.42123137095881, -111.9317246 33.4212406)</t>
  </si>
  <si>
    <t>LINESTRING (-111.9317246 33.4212406, -111.9320536649086 33.42123137095881)</t>
  </si>
  <si>
    <t>LINESTRING (-111.9280682633267 33.4293778102972, -111.9279262 33.428948)</t>
  </si>
  <si>
    <t>LINESTRING (-111.9279262 33.428948, -111.9280682633267 33.4293778102972)</t>
  </si>
  <si>
    <t>LINESTRING (-111.9339508514817 33.41016251668584, -111.9338902 33.4096095)</t>
  </si>
  <si>
    <t>LINESTRING (-111.9338902 33.4096095, -111.9339508514817 33.41016251668584)</t>
  </si>
  <si>
    <t>LINESTRING (-111.9338639750712 33.41060099535506, -111.9349226 33.4103317)</t>
  </si>
  <si>
    <t>LINESTRING (-111.9349226 33.4103317, -111.9338639750712 33.41060099535506)</t>
  </si>
  <si>
    <t>LINESTRING (-111.9371585 33.41861859999999, -111.936617 33.4190938)</t>
  </si>
  <si>
    <t>LINESTRING (-111.936617 33.4190938, -111.9371585 33.41861859999999)</t>
  </si>
  <si>
    <t>LINESTRING (-111.931802944146 33.42154418781517, -111.9317292 33.4215199)</t>
  </si>
  <si>
    <t>LINESTRING (-111.9317292 33.4215199, -111.931802944146 33.42154418781517)</t>
  </si>
  <si>
    <t>LINESTRING (-111.9317967083919 33.42178342482802, -111.9317273 33.4218424)</t>
  </si>
  <si>
    <t>LINESTRING (-111.9317273 33.4218424, -111.9317967083919 33.42178342482802)</t>
  </si>
  <si>
    <t>LINESTRING (-111.9325299232975 33.4214662902168, -111.9317292 33.4215199)</t>
  </si>
  <si>
    <t>LINESTRING (-111.9317292 33.4215199, -111.9325299232975 33.4214662902168)</t>
  </si>
  <si>
    <t>LINESTRING (-111.9391670663847 33.42520551693215, -111.9394161 33.4254973)</t>
  </si>
  <si>
    <t>LINESTRING (-111.9394161 33.4254973, -111.9391670663847 33.42520551693215)</t>
  </si>
  <si>
    <t>LINESTRING (-111.9337237349681 33.41864027109659, -111.9338292 33.4183283)</t>
  </si>
  <si>
    <t>LINESTRING (-111.9338292 33.4183283, -111.9337237349681 33.41864027109659)</t>
  </si>
  <si>
    <t>LINESTRING (-111.933182006609 33.41864253553194, -111.9338292 33.4183283)</t>
  </si>
  <si>
    <t>LINESTRING (-111.9338292 33.4183283, -111.933182006609 33.41864253553194)</t>
  </si>
  <si>
    <t>LINESTRING (-111.9419254743478 33.43054158620687, -111.9420775 33.4295382)</t>
  </si>
  <si>
    <t>LINESTRING (-111.9420775 33.4295382, -111.9419254743478 33.43054158620687)</t>
  </si>
  <si>
    <t>LINESTRING (-111.9419665151235 33.43040773042385, -111.9420775 33.4295382)</t>
  </si>
  <si>
    <t>LINESTRING (-111.9420775 33.4295382, -111.9419665151235 33.43040773042385)</t>
  </si>
  <si>
    <t>LINESTRING (-111.9280107978306 33.42603264629295, -111.9275146 33.4245016)</t>
  </si>
  <si>
    <t>LINESTRING (-111.9275146 33.4245016, -111.9280107978306 33.42603264629295)</t>
  </si>
  <si>
    <t>LINESTRING (-111.9359116754365 33.4222725174122, -111.9366651 33.4223635)</t>
  </si>
  <si>
    <t>LINESTRING (-111.9366651 33.4223635, -111.9359116754365 33.4222725174122)</t>
  </si>
  <si>
    <t>LINESTRING (-111.9364451928908 33.42217067031444, -111.9366619 33.4219911)</t>
  </si>
  <si>
    <t>LINESTRING (-111.9366619 33.4219911, -111.9364451928908 33.42217067031444)</t>
  </si>
  <si>
    <t>LINESTRING (-111.9413433821264 33.42670773167578, -111.9412469 33.4264549)</t>
  </si>
  <si>
    <t>LINESTRING (-111.9412469 33.4264549, -111.9413433821264 33.42670773167578)</t>
  </si>
  <si>
    <t>LINESTRING (-111.9273485536498 33.41999007748772, -111.9278714 33.4202692)</t>
  </si>
  <si>
    <t>LINESTRING (-111.9278714 33.4202692, -111.9273485536498 33.41999007748772)</t>
  </si>
  <si>
    <t>LINESTRING (-111.9366946350982 33.4259463619814, -111.9366724 33.4254992)</t>
  </si>
  <si>
    <t>LINESTRING (-111.9366724 33.4254992, -111.9366946350982 33.4259463619814)</t>
  </si>
  <si>
    <t>LINESTRING (-111.9364624 33.42562950000001, -111.936319 33.4255035)</t>
  </si>
  <si>
    <t>LINESTRING (-111.936319 33.4255035, -111.9364624 33.42562950000001)</t>
  </si>
  <si>
    <t>LINESTRING (-111.9362882248728 33.42562779715566, -111.936319 33.4255035)</t>
  </si>
  <si>
    <t>LINESTRING (-111.936319 33.4255035, -111.9362882248728 33.42562779715566)</t>
  </si>
  <si>
    <t>LINESTRING (-111.9360737748811 33.42562879702133, -111.9358356 33.4255093)</t>
  </si>
  <si>
    <t>LINESTRING (-111.9358356 33.4255093, -111.9360737748811 33.42562879702133)</t>
  </si>
  <si>
    <t>LINESTRING (-111.9358734248463 33.42562894711884, -111.9358356 33.4255093)</t>
  </si>
  <si>
    <t>LINESTRING (-111.9358356 33.4255093, -111.9358734248463 33.42562894711884)</t>
  </si>
  <si>
    <t>LINESTRING (-111.935666 33.42562779999999, -111.9358356 33.4255093)</t>
  </si>
  <si>
    <t>LINESTRING (-111.9358356 33.4255093, -111.935666 33.42562779999999)</t>
  </si>
  <si>
    <t>LINESTRING (-111.93634845 33.4257017, -111.936319 33.4255035)</t>
  </si>
  <si>
    <t>LINESTRING (-111.936319 33.4255035, -111.93634845 33.4257017)</t>
  </si>
  <si>
    <t>LINESTRING (-111.93609 33.42571405, -111.936319 33.4255035)</t>
  </si>
  <si>
    <t>LINESTRING (-111.936319 33.4255035, -111.93609 33.42571405)</t>
  </si>
  <si>
    <t>LINESTRING (-111.9358664776209 33.42572019737555, -111.9358356 33.4255093)</t>
  </si>
  <si>
    <t>LINESTRING (-111.9358356 33.4255093, -111.9358664776209 33.42572019737555)</t>
  </si>
  <si>
    <t>LINESTRING (-111.9355867324249 33.42569074932172, -111.9353519 33.4255151)</t>
  </si>
  <si>
    <t>LINESTRING (-111.9353519 33.4255151, -111.9355867324249 33.42569074932172)</t>
  </si>
  <si>
    <t>LINESTRING (-111.9356033218422 33.42589153261093, -111.9358356 33.4255093)</t>
  </si>
  <si>
    <t>LINESTRING (-111.9358356 33.4255093, -111.9356033218422 33.42589153261093)</t>
  </si>
  <si>
    <t>LINESTRING (-111.9358560216522 33.4259113024217, -111.9358356 33.4255093)</t>
  </si>
  <si>
    <t>LINESTRING (-111.9358356 33.4255093, -111.9358560216522 33.4259113024217)</t>
  </si>
  <si>
    <t>LINESTRING (-111.93609715 33.4259148, -111.936319 33.4255035)</t>
  </si>
  <si>
    <t>LINESTRING (-111.936319 33.4255035, -111.93609715 33.4259148)</t>
  </si>
  <si>
    <t>LINESTRING (-111.93641005 33.4258879, -111.936319 33.4255035)</t>
  </si>
  <si>
    <t>LINESTRING (-111.936319 33.4255035, -111.93641005 33.4258879)</t>
  </si>
  <si>
    <t>LINESTRING (-111.9168632406091 33.41253295045514, -111.9169266 33.4127154)</t>
  </si>
  <si>
    <t>LINESTRING (-111.9169266 33.4127154, -111.9168632406091 33.41253295045514)</t>
  </si>
  <si>
    <t>LINESTRING (-111.9161826260146 33.41255069298388, -111.9155964 33.4126931)</t>
  </si>
  <si>
    <t>LINESTRING (-111.9155964 33.4126931, -111.9161826260146 33.41255069298388)</t>
  </si>
  <si>
    <t>LINESTRING (-111.9159331267887 33.41222370704906, -111.9157422 33.4118556)</t>
  </si>
  <si>
    <t>LINESTRING (-111.9157422 33.4118556, -111.9159331267887 33.41222370704906)</t>
  </si>
  <si>
    <t>LINESTRING (-111.9318337337419 33.42046224462482, -111.9316969 33.4202848)</t>
  </si>
  <si>
    <t>LINESTRING (-111.9316969 33.4202848, -111.9318337337419 33.42046224462482)</t>
  </si>
  <si>
    <t>LINESTRING (-111.9394439809059 33.40809766131364, -111.9398844 33.4080275)</t>
  </si>
  <si>
    <t>LINESTRING (-111.9398844 33.4080275, -111.9394439809059 33.40809766131364)</t>
  </si>
  <si>
    <t>LINESTRING (-111.9404087567526 33.41812648229644, -111.9400253 33.4176249)</t>
  </si>
  <si>
    <t>LINESTRING (-111.9400253 33.4176249, -111.9404087567526 33.41812648229644)</t>
  </si>
  <si>
    <t>LINESTRING (-111.9402786620085 33.41849943115483, -111.9398502 33.4186881)</t>
  </si>
  <si>
    <t>LINESTRING (-111.9398502 33.4186881, -111.9402786620085 33.41849943115483)</t>
  </si>
  <si>
    <t>LINESTRING (-111.9402476747562 33.41886009424098, -111.940028 33.4190552)</t>
  </si>
  <si>
    <t>LINESTRING (-111.940028 33.4190552, -111.9402476747562 33.41886009424098)</t>
  </si>
  <si>
    <t>LINESTRING (-111.9402188 33.41870495, -111.9398502 33.4186881)</t>
  </si>
  <si>
    <t>LINESTRING (-111.9398502 33.4186881, -111.9402188 33.41870495)</t>
  </si>
  <si>
    <t>LINESTRING (-111.9402227772649 33.41930492593986, -111.9400338 33.4194368)</t>
  </si>
  <si>
    <t>LINESTRING (-111.9400338 33.4194368, -111.9402227772649 33.41930492593986)</t>
  </si>
  <si>
    <t>LINESTRING (-111.9402507704332 33.419388301318, -111.9400338 33.4194368)</t>
  </si>
  <si>
    <t>LINESTRING (-111.9400338 33.4194368, -111.9402507704332 33.419388301318)</t>
  </si>
  <si>
    <t>LINESTRING (-111.9404674359589 33.41932633338752, -111.9400338 33.4194368)</t>
  </si>
  <si>
    <t>LINESTRING (-111.9400338 33.4194368, -111.9404674359589 33.41932633338752)</t>
  </si>
  <si>
    <t>LINESTRING (-111.9302122445295 33.41859608329005, -111.9288549 33.4184369)</t>
  </si>
  <si>
    <t>LINESTRING (-111.9288549 33.4184369, -111.9302122445295 33.41859608329005)</t>
  </si>
  <si>
    <t>LINESTRING (-111.9190034664486 33.41318339267545, -111.9194063 33.4128698)</t>
  </si>
  <si>
    <t>LINESTRING (-111.9194063 33.4128698, -111.9190034664486 33.41318339267545)</t>
  </si>
  <si>
    <t>LINESTRING (-111.9186346050843 33.4130745665079, -111.9182827 33.4128801)</t>
  </si>
  <si>
    <t>LINESTRING (-111.9182827 33.4128801, -111.9186346050843 33.4130745665079)</t>
  </si>
  <si>
    <t>LINESTRING (-111.9134557288853 33.42045272495047, -111.9128246 33.4194946)</t>
  </si>
  <si>
    <t>LINESTRING (-111.9128246 33.4194946, -111.9134557288853 33.42045272495047)</t>
  </si>
  <si>
    <t>LINESTRING (-111.9131516285585 33.42143637890432, -111.9128246 33.4194946)</t>
  </si>
  <si>
    <t>LINESTRING (-111.9128246 33.4194946, -111.9131516285585 33.42143637890432)</t>
  </si>
  <si>
    <t>LINESTRING (-111.91300125 33.42106285, -111.9128246 33.4194946)</t>
  </si>
  <si>
    <t>LINESTRING (-111.9128246 33.4194946, -111.91300125 33.42106285)</t>
  </si>
  <si>
    <t>LINESTRING (-111.91310795 33.4207616, -111.9128246 33.4194946)</t>
  </si>
  <si>
    <t>LINESTRING (-111.9128246 33.4194946, -111.91310795 33.4207616)</t>
  </si>
  <si>
    <t>LINESTRING (-111.9126002990706 33.42127980455447, -111.9128246 33.4194946)</t>
  </si>
  <si>
    <t>LINESTRING (-111.9128246 33.4194946, -111.9126002990706 33.42127980455447)</t>
  </si>
  <si>
    <t>LINESTRING (-111.9121774 33.4214115, -111.9102088 33.4219858)</t>
  </si>
  <si>
    <t>LINESTRING (-111.9102088 33.4219858, -111.9121774 33.4214115)</t>
  </si>
  <si>
    <t>LINESTRING (-111.91184095 33.42148885, -111.9102088 33.4219858)</t>
  </si>
  <si>
    <t>LINESTRING (-111.9102088 33.4219858, -111.91184095 33.42148885)</t>
  </si>
  <si>
    <t>LINESTRING (-111.91176735 33.4211667, -111.9102088 33.4219858)</t>
  </si>
  <si>
    <t>LINESTRING (-111.9102088 33.4219858, -111.91176735 33.4211667)</t>
  </si>
  <si>
    <t>LINESTRING (-111.9119359368609 33.42080448128439, -111.9128246 33.4194946)</t>
  </si>
  <si>
    <t>LINESTRING (-111.9128246 33.4194946, -111.9119359368609 33.42080448128439)</t>
  </si>
  <si>
    <t>LINESTRING (-111.9119917468843 33.42036467510954, -111.9128246 33.4194946)</t>
  </si>
  <si>
    <t>LINESTRING (-111.9128246 33.4194946, -111.9119917468843 33.42036467510954)</t>
  </si>
  <si>
    <t>LINESTRING (-111.9119948695777 33.41999207473143, -111.9128246 33.4194946)</t>
  </si>
  <si>
    <t>LINESTRING (-111.9128246 33.4194946, -111.9119948695777 33.41999207473143)</t>
  </si>
  <si>
    <t>LINESTRING (-111.9112592083481 33.42000197103397, -111.9128246 33.4194946)</t>
  </si>
  <si>
    <t>LINESTRING (-111.9128246 33.4194946, -111.9112592083481 33.42000197103397)</t>
  </si>
  <si>
    <t>LINESTRING (-111.9112117583685 33.42060762897206, -111.9102088 33.4219858)</t>
  </si>
  <si>
    <t>LINESTRING (-111.9102088 33.4219858, -111.9112117583685 33.42060762897206)</t>
  </si>
  <si>
    <t>LINESTRING (-111.91077495 33.42028958961474, -111.9091721 33.4208613)</t>
  </si>
  <si>
    <t>LINESTRING (-111.9091721 33.4208613, -111.91077495 33.42028958961474)</t>
  </si>
  <si>
    <t>LINESTRING (-111.9179490274776 33.41929899577189, -111.9177134 33.4194298)</t>
  </si>
  <si>
    <t>LINESTRING (-111.9177134 33.4194298, -111.9179490274776 33.41929899577189)</t>
  </si>
  <si>
    <t>LINESTRING (-111.9172292290214 33.41911079799628, -111.9177134 33.4194298)</t>
  </si>
  <si>
    <t>LINESTRING (-111.9177134 33.4194298, -111.9172292290214 33.41911079799628)</t>
  </si>
  <si>
    <t>LINESTRING (-111.91682745 33.4190103, -111.9177134 33.4194298)</t>
  </si>
  <si>
    <t>LINESTRING (-111.9177134 33.4194298, -111.91682745 33.4190103)</t>
  </si>
  <si>
    <t>LINESTRING (-111.916412823991 33.41907249758316, -111.9177134 33.4194298)</t>
  </si>
  <si>
    <t>LINESTRING (-111.9177134 33.4194298, -111.916412823991 33.41907249758316)</t>
  </si>
  <si>
    <t>LINESTRING (-111.9174289591218 33.41894610660189, -111.9177134 33.4194298)</t>
  </si>
  <si>
    <t>LINESTRING (-111.9177134 33.4194298, -111.9174289591218 33.41894610660189)</t>
  </si>
  <si>
    <t>LINESTRING (-111.915676 33.4190813, -111.9146898 33.4194459)</t>
  </si>
  <si>
    <t>LINESTRING (-111.9146898 33.4194459, -111.915676 33.4190813)</t>
  </si>
  <si>
    <t>LINESTRING (-111.9152016508064 33.41919292958215, -111.9146898 33.4194459)</t>
  </si>
  <si>
    <t>LINESTRING (-111.9146898 33.4194459, -111.9152016508064 33.41919292958215)</t>
  </si>
  <si>
    <t>LINESTRING (-111.9154697 33.41908355, -111.9146898 33.4194459)</t>
  </si>
  <si>
    <t>LINESTRING (-111.9146898 33.4194459, -111.9154697 33.41908355)</t>
  </si>
  <si>
    <t>LINESTRING (-111.9152003 33.41901475, -111.9146898 33.4194459)</t>
  </si>
  <si>
    <t>LINESTRING (-111.9146898 33.4194459, -111.9152003 33.41901475)</t>
  </si>
  <si>
    <t>LINESTRING (-111.9149316939874 33.41912610993341, -111.9146898 33.4194459)</t>
  </si>
  <si>
    <t>LINESTRING (-111.9146898 33.4194459, -111.9149316939874 33.41912610993341)</t>
  </si>
  <si>
    <t>LINESTRING (-111.9137583771747 33.41517916972046, -111.9136482 33.414836)</t>
  </si>
  <si>
    <t>LINESTRING (-111.9136482 33.414836, -111.9137583771747 33.41517916972046)</t>
  </si>
  <si>
    <t>LINESTRING (-111.9144300402308 33.41519120847661, -111.9147587 33.4148409)</t>
  </si>
  <si>
    <t>LINESTRING (-111.9147587 33.4148409, -111.9144300402308 33.41519120847661)</t>
  </si>
  <si>
    <t>LINESTRING (-111.9127802311608 33.41515223523417, -111.9124775 33.4148608)</t>
  </si>
  <si>
    <t>LINESTRING (-111.9124775 33.4148608, -111.9127802311608 33.41515223523417)</t>
  </si>
  <si>
    <t>LINESTRING (-111.9130608270382 33.41540433644623, -111.9133844 33.4148388)</t>
  </si>
  <si>
    <t>LINESTRING (-111.9133844 33.4148388, -111.9130608270382 33.41540433644623)</t>
  </si>
  <si>
    <t>LINESTRING (-111.9156255019338 33.41546629599975, -111.9164439 33.4157358)</t>
  </si>
  <si>
    <t>LINESTRING (-111.9164439 33.4157358, -111.9156255019338 33.41546629599975)</t>
  </si>
  <si>
    <t>LINESTRING (-111.91194195 33.4150622, -111.9123384 33.4148643)</t>
  </si>
  <si>
    <t>LINESTRING (-111.9123384 33.4148643, -111.91194195 33.4150622)</t>
  </si>
  <si>
    <t>LINESTRING (-111.9169184022364 33.41550762569609, -111.9164439 33.4157358)</t>
  </si>
  <si>
    <t>LINESTRING (-111.9164439 33.4157358, -111.9169184022364 33.41550762569609)</t>
  </si>
  <si>
    <t>LINESTRING (-111.9105661433315 33.41512704514064, -111.9105708 33.4147001)</t>
  </si>
  <si>
    <t>LINESTRING (-111.9105708 33.4147001, -111.9105661433315 33.41512704514064)</t>
  </si>
  <si>
    <t>LINESTRING (-111.9110393622729 33.41549676783092, -111.9113853 33.4148731)</t>
  </si>
  <si>
    <t>LINESTRING (-111.9113853 33.4148731, -111.9110393622729 33.41549676783092)</t>
  </si>
  <si>
    <t>LINESTRING (-111.9108837046389 33.41524613113272, -111.9113853 33.4148731)</t>
  </si>
  <si>
    <t>LINESTRING (-111.9113853 33.4148731, -111.9108837046389 33.41524613113272)</t>
  </si>
  <si>
    <t>LINESTRING (-111.9095963619636 33.41556011368544, -111.9091146 33.415374)</t>
  </si>
  <si>
    <t>LINESTRING (-111.9091146 33.415374, -111.9095963619636 33.41556011368544)</t>
  </si>
  <si>
    <t>LINESTRING (-111.9099681 33.41555254999999, -111.9091146 33.415374)</t>
  </si>
  <si>
    <t>LINESTRING (-111.9091146 33.415374, -111.9099681 33.41555254999999)</t>
  </si>
  <si>
    <t>LINESTRING (-111.9101193039163 33.41542098153889, -111.910382 33.414697)</t>
  </si>
  <si>
    <t>LINESTRING (-111.910382 33.414697, -111.9101193039163 33.41542098153889)</t>
  </si>
  <si>
    <t>LINESTRING (-111.909868390974 33.41513081324793, -111.910382 33.414697)</t>
  </si>
  <si>
    <t>LINESTRING (-111.910382 33.414697, -111.909868390974 33.41513081324793)</t>
  </si>
  <si>
    <t>LINESTRING (-111.9101130268444 33.41516314987305, -111.910382 33.414697)</t>
  </si>
  <si>
    <t>LINESTRING (-111.910382 33.414697, -111.9101130268444 33.41516314987305)</t>
  </si>
  <si>
    <t>LINESTRING (-111.9096232411537 33.41521884245635, -111.9091146 33.415374)</t>
  </si>
  <si>
    <t>LINESTRING (-111.9091146 33.415374, -111.9096232411537 33.41521884245635)</t>
  </si>
  <si>
    <t>LINESTRING (-111.9094645 33.4150703, -111.9091135 33.4148353)</t>
  </si>
  <si>
    <t>LINESTRING (-111.9091135 33.4148353, -111.9094645 33.4150703)</t>
  </si>
  <si>
    <t>LINESTRING (-111.9096775023655 33.41505162905462, -111.9091135 33.4148353)</t>
  </si>
  <si>
    <t>LINESTRING (-111.9091135 33.4148353, -111.9096775023655 33.41505162905462)</t>
  </si>
  <si>
    <t>LINESTRING (-111.9120557512744 33.41528809389867, -111.9123384 33.4148643)</t>
  </si>
  <si>
    <t>LINESTRING (-111.9123384 33.4148643, -111.9120557512744 33.41528809389867)</t>
  </si>
  <si>
    <t>LINESTRING (-111.9098271292086 33.41436619550255, -111.910382 33.414697)</t>
  </si>
  <si>
    <t>LINESTRING (-111.910382 33.414697, -111.9098271292086 33.41436619550255)</t>
  </si>
  <si>
    <t>LINESTRING (-111.9097130934278 33.41411103333443, -111.9091162 33.4141228)</t>
  </si>
  <si>
    <t>LINESTRING (-111.9091162 33.4141228, -111.9097130934278 33.41411103333443)</t>
  </si>
  <si>
    <t>LINESTRING (-111.9104011589249 33.41528086633952, -111.910382 33.414697)</t>
  </si>
  <si>
    <t>LINESTRING (-111.910382 33.414697, -111.9104011589249 33.41528086633952)</t>
  </si>
  <si>
    <t>LINESTRING (-111.9156442399953 33.41516821336054, -111.9147587 33.4148409)</t>
  </si>
  <si>
    <t>LINESTRING (-111.9147587 33.4148409, -111.9156442399953 33.41516821336054)</t>
  </si>
  <si>
    <t>LINESTRING (-111.9139698817074 33.41554778982131, -111.9136482 33.414836)</t>
  </si>
  <si>
    <t>LINESTRING (-111.9136482 33.414836, -111.9139698817074 33.41554778982131)</t>
  </si>
  <si>
    <t>LINESTRING (-111.9170546946882 33.41518441383029, -111.9167018 33.4148707)</t>
  </si>
  <si>
    <t>LINESTRING (-111.9167018 33.4148707, -111.9170546946882 33.41518441383029)</t>
  </si>
  <si>
    <t>LINESTRING (-111.9183286177428 33.42161023645856, -111.9181401 33.4220184)</t>
  </si>
  <si>
    <t>LINESTRING (-111.9181401 33.4220184, -111.9183286177428 33.42161023645856)</t>
  </si>
  <si>
    <t>LINESTRING (-111.9185819415599 33.4213106129827, -111.9181401 33.4220184)</t>
  </si>
  <si>
    <t>LINESTRING (-111.9181401 33.4220184, -111.9185819415599 33.4213106129827)</t>
  </si>
  <si>
    <t>LINESTRING (-111.9188283048218 33.42170612519966, -111.9181401 33.4220184)</t>
  </si>
  <si>
    <t>LINESTRING (-111.9181401 33.4220184, -111.9188283048218 33.42170612519966)</t>
  </si>
  <si>
    <t>LINESTRING (-111.9180124886402 33.42127648009834, -111.9177035 33.4216544)</t>
  </si>
  <si>
    <t>LINESTRING (-111.9177035 33.4216544, -111.9180124886402 33.42127648009834)</t>
  </si>
  <si>
    <t>LINESTRING (-111.90944318857 33.42070783790668, -111.9091721 33.4208613)</t>
  </si>
  <si>
    <t>LINESTRING (-111.9091721 33.4208613, -111.90944318857 33.42070783790668)</t>
  </si>
  <si>
    <t>LINESTRING (-111.9102598693762 33.41984888725282, -111.9090775 33.4195301)</t>
  </si>
  <si>
    <t>LINESTRING (-111.9090775 33.4195301, -111.9102598693762 33.41984888725282)</t>
  </si>
  <si>
    <t>LINESTRING (-111.9095336446493 33.42052542607986, -111.9091721 33.4208613)</t>
  </si>
  <si>
    <t>LINESTRING (-111.9091721 33.4208613, -111.9095336446493 33.42052542607986)</t>
  </si>
  <si>
    <t>LINESTRING (-111.9095217250212 33.41851894562505, -111.9091033 33.4181939)</t>
  </si>
  <si>
    <t>LINESTRING (-111.9091033 33.4181939, -111.9095217250212 33.41851894562505)</t>
  </si>
  <si>
    <t>LINESTRING (-111.9102656585569 33.41901091631695, -111.9090828 33.4190024)</t>
  </si>
  <si>
    <t>LINESTRING (-111.9090828 33.4190024, -111.9102656585569 33.41901091631695)</t>
  </si>
  <si>
    <t>LINESTRING (-111.9098746910332 33.41906483541133, -111.9090828 33.4190024)</t>
  </si>
  <si>
    <t>LINESTRING (-111.9090828 33.4190024, -111.9098746910332 33.41906483541133)</t>
  </si>
  <si>
    <t>LINESTRING (-111.9100433821985 33.41871150528078, -111.9090828 33.4190024)</t>
  </si>
  <si>
    <t>LINESTRING (-111.9090828 33.4190024, -111.9100433821985 33.41871150528078)</t>
  </si>
  <si>
    <t>LINESTRING (-111.9095323965635 33.41873916031463, -111.9090828 33.4190024)</t>
  </si>
  <si>
    <t>LINESTRING (-111.9090828 33.4190024, -111.9095323965635 33.41873916031463)</t>
  </si>
  <si>
    <t>LINESTRING (-111.9094802586212 33.41912489129622, -111.9090828 33.4190024)</t>
  </si>
  <si>
    <t>LINESTRING (-111.9090828 33.4190024, -111.9094802586212 33.41912489129622)</t>
  </si>
  <si>
    <t>LINESTRING (-111.9100099096319 33.41933517691271, -111.9090775 33.4195301)</t>
  </si>
  <si>
    <t>LINESTRING (-111.9090775 33.4195301, -111.9100099096319 33.41933517691271)</t>
  </si>
  <si>
    <t>LINESTRING (-111.910284 33.41921079999999, -111.9090828 33.4190024)</t>
  </si>
  <si>
    <t>LINESTRING (-111.9090828 33.4190024, -111.910284 33.41921079999999)</t>
  </si>
  <si>
    <t>LINESTRING (-111.90982565 33.4192123, -111.9090828 33.4190024)</t>
  </si>
  <si>
    <t>LINESTRING (-111.9090828 33.4190024, -111.90982565 33.4192123)</t>
  </si>
  <si>
    <t>LINESTRING (-111.9104359 33.41905885000001, -111.9108076 33.418129)</t>
  </si>
  <si>
    <t>LINESTRING (-111.9108076 33.418129, -111.9104359 33.41905885000001)</t>
  </si>
  <si>
    <t>LINESTRING (-111.91043425 33.4188718, -111.9108076 33.418129)</t>
  </si>
  <si>
    <t>LINESTRING (-111.9108076 33.418129, -111.91043425 33.4188718)</t>
  </si>
  <si>
    <t>LINESTRING (-111.9104321752638 33.41867511385245, -111.9108076 33.418129)</t>
  </si>
  <si>
    <t>LINESTRING (-111.9108076 33.418129, -111.9104321752638 33.41867511385245)</t>
  </si>
  <si>
    <t>LINESTRING (-111.91023155 33.4185871, -111.9108076 33.418129)</t>
  </si>
  <si>
    <t>LINESTRING (-111.9108076 33.418129, -111.91023155 33.4185871)</t>
  </si>
  <si>
    <t>LINESTRING (-111.90989235 33.41858809999999, -111.9091033 33.4181939)</t>
  </si>
  <si>
    <t>LINESTRING (-111.9091033 33.4181939, -111.90989235 33.41858809999999)</t>
  </si>
  <si>
    <t>LINESTRING (-111.9102889 33.41846635, -111.9108076 33.418129)</t>
  </si>
  <si>
    <t>LINESTRING (-111.9108076 33.418129, -111.9102889 33.41846635)</t>
  </si>
  <si>
    <t>LINESTRING (-111.9098639747693 33.41846284826273, -111.9091033 33.4181939)</t>
  </si>
  <si>
    <t>LINESTRING (-111.9091033 33.4181939, -111.9098639747693 33.41846284826273)</t>
  </si>
  <si>
    <t>LINESTRING (-111.9333422697448 33.42337630595686, -111.9349761 33.4232093)</t>
  </si>
  <si>
    <t>LINESTRING (-111.9349761 33.4232093, -111.9333422697448 33.42337630595686)</t>
  </si>
  <si>
    <t>LINESTRING (-111.9328287708702 33.42319151446362, -111.9312627 33.4233579)</t>
  </si>
  <si>
    <t>LINESTRING (-111.9312627 33.4233579, -111.9328287708702 33.42319151446362)</t>
  </si>
  <si>
    <t>LINESTRING (-111.9323518949946 33.42300942819634, -111.9312627 33.4233579)</t>
  </si>
  <si>
    <t>LINESTRING (-111.9312627 33.4233579, -111.9323518949946 33.42300942819634)</t>
  </si>
  <si>
    <t>LINESTRING (-111.9185105866038 33.42245698546252, -111.9181401 33.4220184)</t>
  </si>
  <si>
    <t>LINESTRING (-111.9181401 33.4220184, -111.9185105866038 33.42245698546252)</t>
  </si>
  <si>
    <t>LINESTRING (-111.918561954341 33.42351978914045, -111.9176682 33.4237215)</t>
  </si>
  <si>
    <t>LINESTRING (-111.9176682 33.4237215, -111.918561954341 33.42351978914045)</t>
  </si>
  <si>
    <t>LINESTRING (-111.9244548995361 33.4138789032689, -111.9245817 33.4147173)</t>
  </si>
  <si>
    <t>LINESTRING (-111.9245817 33.4147173, -111.9244548995361 33.4138789032689)</t>
  </si>
  <si>
    <t>LINESTRING (-111.9256449734915 33.4133641499041, -111.9262984 33.4131293)</t>
  </si>
  <si>
    <t>LINESTRING (-111.9262984 33.4131293, -111.9256449734915 33.4133641499041)</t>
  </si>
  <si>
    <t>LINESTRING (-111.9257032133647 33.41394067502345, -111.9262948 33.4140912)</t>
  </si>
  <si>
    <t>LINESTRING (-111.9262948 33.4140912, -111.9257032133647 33.41394067502345)</t>
  </si>
  <si>
    <t>LINESTRING (-111.9232616 33.4142371, -111.9224969 33.4147141)</t>
  </si>
  <si>
    <t>LINESTRING (-111.9224969 33.4147141, -111.9232616 33.4142371)</t>
  </si>
  <si>
    <t>LINESTRING (-111.9240205597042 33.4187945106411, -111.923179 33.417529)</t>
  </si>
  <si>
    <t>LINESTRING (-111.923179 33.417529, -111.9240205597042 33.4187945106411)</t>
  </si>
  <si>
    <t>LINESTRING (-111.928425530413 33.41697104993828, -111.9294043 33.4166443)</t>
  </si>
  <si>
    <t>LINESTRING (-111.9294043 33.4166443, -111.928425530413 33.41697104993828)</t>
  </si>
  <si>
    <t>LINESTRING (-111.9118008558478 33.41903059179801, -111.9117974 33.4183775)</t>
  </si>
  <si>
    <t>LINESTRING (-111.9117974 33.4183775, -111.9118008558478 33.41903059179801)</t>
  </si>
  <si>
    <t>LINESTRING (-111.9117916762044 33.41880878828069, -111.9117974 33.4183775)</t>
  </si>
  <si>
    <t>LINESTRING (-111.9117974 33.4183775, -111.9117916762044 33.41880878828069)</t>
  </si>
  <si>
    <t>LINESTRING (-111.9114561288022 33.4190133133518, -111.9117974 33.4183775)</t>
  </si>
  <si>
    <t>LINESTRING (-111.9117974 33.4183775, -111.9114561288022 33.4190133133518)</t>
  </si>
  <si>
    <t>LINESTRING (-111.9110670680189 33.41906720079849, -111.9117974 33.4183775)</t>
  </si>
  <si>
    <t>LINESTRING (-111.9117974 33.4183775, -111.9110670680189 33.41906720079849)</t>
  </si>
  <si>
    <t>LINESTRING (-111.9107008619367 33.41901595084435, -111.9108076 33.418129)</t>
  </si>
  <si>
    <t>LINESTRING (-111.9108076 33.418129, -111.9107008619367 33.41901595084435)</t>
  </si>
  <si>
    <t>LINESTRING (-111.9112811081146 33.41869085147061, -111.9117974 33.4183775)</t>
  </si>
  <si>
    <t>LINESTRING (-111.9117974 33.4183775, -111.9112811081146 33.41869085147061)</t>
  </si>
  <si>
    <t>LINESTRING (-111.9107964602989 33.4187261450636, -111.9108076 33.418129)</t>
  </si>
  <si>
    <t>LINESTRING (-111.9108076 33.418129, -111.9107964602989 33.4187261450636)</t>
  </si>
  <si>
    <t>LINESTRING (-111.9118573750887 33.41932530171495, -111.9128246 33.4194946)</t>
  </si>
  <si>
    <t>LINESTRING (-111.9128246 33.4194946, -111.9118573750887 33.41932530171495)</t>
  </si>
  <si>
    <t>LINESTRING (-111.9116041115594 33.41932617547159, -111.9117974 33.4183775)</t>
  </si>
  <si>
    <t>LINESTRING (-111.9117974 33.4183775, -111.9116041115594 33.41932617547159)</t>
  </si>
  <si>
    <t>LINESTRING (-111.9116971844247 33.41920262687675, -111.9117974 33.4183775)</t>
  </si>
  <si>
    <t>LINESTRING (-111.9117974 33.4183775, -111.9116971844247 33.41920262687675)</t>
  </si>
  <si>
    <t>LINESTRING (-111.9112174721578 33.41920979656278, -111.9117974 33.4183775)</t>
  </si>
  <si>
    <t>LINESTRING (-111.9117974 33.4183775, -111.9112174721578 33.41920979656278)</t>
  </si>
  <si>
    <t>LINESTRING (-111.9110267254919 33.41922005177097, -111.9117974 33.4183775)</t>
  </si>
  <si>
    <t>LINESTRING (-111.9117974 33.4183775, -111.9110267254919 33.41922005177097)</t>
  </si>
  <si>
    <t>LINESTRING (-111.9107451381073 33.41922322476809, -111.9108076 33.418129)</t>
  </si>
  <si>
    <t>LINESTRING (-111.9108076 33.418129, -111.9107451381073 33.41922322476809)</t>
  </si>
  <si>
    <t>LINESTRING (-111.9119994748385 33.41909592946041, -111.9117974 33.4183775)</t>
  </si>
  <si>
    <t>LINESTRING (-111.9117974 33.4183775, -111.9119994748385 33.41909592946041)</t>
  </si>
  <si>
    <t>LINESTRING (-111.91198315 33.4188266, -111.9117974 33.4183775)</t>
  </si>
  <si>
    <t>LINESTRING (-111.9117974 33.4183775, -111.91198315 33.4188266)</t>
  </si>
  <si>
    <t>LINESTRING (-111.9117945413397 33.41866392483109, -111.9117974 33.4183775)</t>
  </si>
  <si>
    <t>LINESTRING (-111.9117974 33.4183775, -111.9117945413397 33.41866392483109)</t>
  </si>
  <si>
    <t>LINESTRING (-111.911278 33.41857895, -111.9117974 33.4183775)</t>
  </si>
  <si>
    <t>LINESTRING (-111.9117974 33.4183775, -111.911278 33.41857895)</t>
  </si>
  <si>
    <t>LINESTRING (-111.9108003 33.41858855, -111.9108076 33.418129)</t>
  </si>
  <si>
    <t>LINESTRING (-111.9108076 33.418129, -111.9108003 33.41858855)</t>
  </si>
  <si>
    <t>LINESTRING (-111.9105790043442 33.41865667475932, -111.9108076 33.418129)</t>
  </si>
  <si>
    <t>LINESTRING (-111.9108076 33.418129, -111.9105790043442 33.41865667475932)</t>
  </si>
  <si>
    <t>LINESTRING (-111.9098761228739 33.42136797244658, -111.9091782 33.4211714)</t>
  </si>
  <si>
    <t>LINESTRING (-111.9091782 33.4211714, -111.9098761228739 33.42136797244658)</t>
  </si>
  <si>
    <t>LINESTRING (-111.9095732297686 33.42157504787406, -111.9090227 33.421459)</t>
  </si>
  <si>
    <t>LINESTRING (-111.9090227 33.421459, -111.9095732297686 33.42157504787406)</t>
  </si>
  <si>
    <t>LINESTRING (-111.910230232826 33.42145467352252, -111.9102088 33.4219858)</t>
  </si>
  <si>
    <t>LINESTRING (-111.9102088 33.4219858, -111.910230232826 33.42145467352252)</t>
  </si>
  <si>
    <t>LINESTRING (-111.9096684475216 33.42101809390875, -111.9091782 33.4211714)</t>
  </si>
  <si>
    <t>LINESTRING (-111.9091782 33.4211714, -111.9096684475216 33.42101809390875)</t>
  </si>
  <si>
    <t>LINESTRING (-111.9104443248282 33.42096570345684, -111.9102088 33.4219858)</t>
  </si>
  <si>
    <t>LINESTRING (-111.9102088 33.4219858, -111.9104443248282 33.42096570345684)</t>
  </si>
  <si>
    <t>LINESTRING (-111.9087200464441 33.42170829136521, -111.9090932 33.4218349)</t>
  </si>
  <si>
    <t>LINESTRING (-111.9090932 33.4218349, -111.9087200464441 33.42170829136521)</t>
  </si>
  <si>
    <t>LINESTRING (-111.90855465 33.4213745, -111.9090227 33.421459)</t>
  </si>
  <si>
    <t>LINESTRING (-111.9090227 33.421459, -111.90855465 33.4213745)</t>
  </si>
  <si>
    <t>LINESTRING (-111.9083482957368 33.42159045175635, -111.9082205 33.4219911)</t>
  </si>
  <si>
    <t>LINESTRING (-111.9082205 33.4219911, -111.9083482957368 33.42159045175635)</t>
  </si>
  <si>
    <t>LINESTRING (-111.9167329810803 33.41949759767093, -111.9177134 33.4194298)</t>
  </si>
  <si>
    <t>LINESTRING (-111.9177134 33.4194298, -111.9167329810803 33.41949759767093)</t>
  </si>
  <si>
    <t>LINESTRING (-111.9156092548541 33.41996720945968, -111.9146898 33.4194459)</t>
  </si>
  <si>
    <t>LINESTRING (-111.9146898 33.4194459, -111.9156092548541 33.41996720945968)</t>
  </si>
  <si>
    <t>LINESTRING (-111.9230338102137 33.42067019636985, -111.9228964 33.4220263)</t>
  </si>
  <si>
    <t>LINESTRING (-111.9228964 33.4220263, -111.9230338102137 33.42067019636985)</t>
  </si>
  <si>
    <t>LINESTRING (-111.9229852427975 33.42163897431112, -111.9228964 33.4220263)</t>
  </si>
  <si>
    <t>LINESTRING (-111.9228964 33.4220263, -111.9229852427975 33.42163897431112)</t>
  </si>
  <si>
    <t>LINESTRING (-111.9229827046686 33.42111726755286, -111.9228964 33.4220263)</t>
  </si>
  <si>
    <t>LINESTRING (-111.9228964 33.4220263, -111.9229827046686 33.42111726755286)</t>
  </si>
  <si>
    <t>LINESTRING (-111.9232897 33.42166539999999, -111.9228964 33.4220263)</t>
  </si>
  <si>
    <t>LINESTRING (-111.9228964 33.4220263, -111.9232897 33.42166539999999)</t>
  </si>
  <si>
    <t>LINESTRING (-111.923289251435 33.42139172476602, -111.9228964 33.4220263)</t>
  </si>
  <si>
    <t>LINESTRING (-111.9228964 33.4220263, -111.923289251435 33.42139172476602)</t>
  </si>
  <si>
    <t>LINESTRING (-111.9232886974129 33.42105277534939, -111.9228964 33.4220263)</t>
  </si>
  <si>
    <t>LINESTRING (-111.9228964 33.4220263, -111.9232886974129 33.42105277534939)</t>
  </si>
  <si>
    <t>LINESTRING (-111.9199347784873 33.41529505465447, -111.9203868 33.4148865)</t>
  </si>
  <si>
    <t>LINESTRING (-111.9203868 33.4148865, -111.9199347784873 33.41529505465447)</t>
  </si>
  <si>
    <t>LINESTRING (-111.9224881858741 33.4153330389853, -111.9220806 33.4148179)</t>
  </si>
  <si>
    <t>LINESTRING (-111.9220806 33.4148179, -111.9224881858741 33.4153330389853)</t>
  </si>
  <si>
    <t>LINESTRING (-111.922974051867 33.41544527696668, -111.9224969 33.4147141)</t>
  </si>
  <si>
    <t>LINESTRING (-111.9224969 33.4147141, -111.922974051867 33.41544527696668)</t>
  </si>
  <si>
    <t>LINESTRING (-111.9218751336878 33.41579919633337, -111.921125 33.4154858)</t>
  </si>
  <si>
    <t>LINESTRING (-111.921125 33.4154858, -111.9218751336878 33.41579919633337)</t>
  </si>
  <si>
    <t>LINESTRING (-111.9224855636589 33.41625173874242, -111.9225356 33.416758)</t>
  </si>
  <si>
    <t>LINESTRING (-111.9225356 33.416758, -111.9224855636589 33.41625173874242)</t>
  </si>
  <si>
    <t>LINESTRING (-111.9245296821554 33.41621101444168, -111.925416 33.4168118)</t>
  </si>
  <si>
    <t>LINESTRING (-111.925416 33.4168118, -111.9245296821554 33.41621101444168)</t>
  </si>
  <si>
    <t>LINESTRING (-111.9258184687218 33.41502570472063, -111.9258763 33.414841)</t>
  </si>
  <si>
    <t>LINESTRING (-111.9258763 33.414841, -111.9258184687218 33.41502570472063)</t>
  </si>
  <si>
    <t>LINESTRING (-111.9259656160023 33.41536366247323, -111.9262936 33.4155005)</t>
  </si>
  <si>
    <t>LINESTRING (-111.9262936 33.4155005, -111.9259656160023 33.41536366247323)</t>
  </si>
  <si>
    <t>LINESTRING (-111.9258210256289 33.41521502757352, -111.9258763 33.414841)</t>
  </si>
  <si>
    <t>LINESTRING (-111.9258763 33.414841, -111.9258210256289 33.41521502757352)</t>
  </si>
  <si>
    <t>LINESTRING (-111.925579081644 33.41539026461689, -111.9258763 33.414841)</t>
  </si>
  <si>
    <t>LINESTRING (-111.9258763 33.414841, -111.925579081644 33.41539026461689)</t>
  </si>
  <si>
    <t>LINESTRING (-111.9255331831251 33.41619376644575, -111.925416 33.4168118)</t>
  </si>
  <si>
    <t>LINESTRING (-111.925416 33.4168118, -111.9255331831251 33.41619376644575)</t>
  </si>
  <si>
    <t>LINESTRING (-111.9255909489777 33.41635290360414, -111.925416 33.4168118)</t>
  </si>
  <si>
    <t>LINESTRING (-111.925416 33.4168118, -111.9255909489777 33.41635290360414)</t>
  </si>
  <si>
    <t>LINESTRING (-111.9256663247 33.41671345441088, -111.925416 33.4168118)</t>
  </si>
  <si>
    <t>LINESTRING (-111.925416 33.4168118, -111.9256663247 33.41671345441088)</t>
  </si>
  <si>
    <t>LINESTRING (-111.9255167252971 33.41667219700372, -111.925416 33.4168118)</t>
  </si>
  <si>
    <t>LINESTRING (-111.925416 33.4168118, -111.9255167252971 33.41667219700372)</t>
  </si>
  <si>
    <t>LINESTRING (-111.9260173667636 33.41655346716487, -111.9263007 33.4163769)</t>
  </si>
  <si>
    <t>LINESTRING (-111.9263007 33.4163769, -111.9260173667636 33.41655346716487)</t>
  </si>
  <si>
    <t>LINESTRING (-111.9253969535308 33.41669207010546, -111.925416 33.4168118)</t>
  </si>
  <si>
    <t>LINESTRING (-111.925416 33.4168118, -111.9253969535308 33.41669207010546)</t>
  </si>
  <si>
    <t>LINESTRING (-111.9258895028176 33.41438819342078, -111.9262948 33.4140912)</t>
  </si>
  <si>
    <t>LINESTRING (-111.9262948 33.4140912, -111.9258895028176 33.41438819342078)</t>
  </si>
  <si>
    <t>LINESTRING (-111.9095147675893 33.41817548394048, -111.9091033 33.4181939)</t>
  </si>
  <si>
    <t>LINESTRING (-111.9091033 33.4181939, -111.9095147675893 33.41817548394048)</t>
  </si>
  <si>
    <t>LINESTRING (-111.909329388306 33.41818858239134, -111.9091033 33.4181939)</t>
  </si>
  <si>
    <t>LINESTRING (-111.9091033 33.4181939, -111.909329388306 33.41818858239134)</t>
  </si>
  <si>
    <t>LINESTRING (-111.9100533902575 33.41793414589883, -111.9108076 33.418129)</t>
  </si>
  <si>
    <t>LINESTRING (-111.9108076 33.418129, -111.9100533902575 33.41793414589883)</t>
  </si>
  <si>
    <t>LINESTRING (-111.9445009477578 33.42943607707105, -111.9442567 33.4295155)</t>
  </si>
  <si>
    <t>LINESTRING (-111.9442567 33.4295155, -111.9445009477578 33.42943607707105)</t>
  </si>
  <si>
    <t>LINESTRING (-111.9444630282001 33.43002806807458, -111.9445362 33.4301978)</t>
  </si>
  <si>
    <t>LINESTRING (-111.9445362 33.4301978, -111.9444630282001 33.43002806807458)</t>
  </si>
  <si>
    <t>LINESTRING (-111.9445403012535 33.42977686543588, -111.9442567 33.4295155)</t>
  </si>
  <si>
    <t>LINESTRING (-111.9442567 33.4295155, -111.9445403012535 33.42977686543588)</t>
  </si>
  <si>
    <t>LINESTRING (-111.9451266032312 33.43090522785397, -111.9450364 33.4307669)</t>
  </si>
  <si>
    <t>LINESTRING (-111.9450364 33.4307669, -111.9451266032312 33.43090522785397)</t>
  </si>
  <si>
    <t>LINESTRING (-111.94547935 33.43065840000001, -111.9454283 33.4307627)</t>
  </si>
  <si>
    <t>LINESTRING (-111.9454283 33.4307627, -111.94547935 33.43065840000001)</t>
  </si>
  <si>
    <t>LINESTRING (-111.94475795 33.43066745, -111.9447374 33.4305631)</t>
  </si>
  <si>
    <t>LINESTRING (-111.9447374 33.4305631, -111.94475795 33.43066745)</t>
  </si>
  <si>
    <t>LINESTRING (-111.9453168831492 33.43025611641797, -111.9453641 33.4305477)</t>
  </si>
  <si>
    <t>LINESTRING (-111.9453641 33.4305477, -111.9453168831492 33.43025611641797)</t>
  </si>
  <si>
    <t>LINESTRING (-111.9453958 33.42934504999999, -111.9454283 33.4294628)</t>
  </si>
  <si>
    <t>LINESTRING (-111.9454283 33.4294628, -111.9453958 33.42934504999999)</t>
  </si>
  <si>
    <t>LINESTRING (-111.9448179748559 33.42935004674591, -111.9450095 33.4294461)</t>
  </si>
  <si>
    <t>LINESTRING (-111.9450095 33.4294461, -111.9448179748559 33.42935004674591)</t>
  </si>
  <si>
    <t>LINESTRING (-111.9446675941823 33.430047375332, -111.9445362 33.4301978)</t>
  </si>
  <si>
    <t>LINESTRING (-111.9445362 33.4301978, -111.9446675941823 33.430047375332)</t>
  </si>
  <si>
    <t>LINESTRING (-111.9446671 33.42992599999999, -111.9445362 33.4301978)</t>
  </si>
  <si>
    <t>LINESTRING (-111.9445362 33.4301978, -111.9446671 33.42992599999999)</t>
  </si>
  <si>
    <t>LINESTRING (-111.9449177769368 33.43025756647571, -111.9449304 33.4305591)</t>
  </si>
  <si>
    <t>LINESTRING (-111.9449304 33.4305591, -111.9449177769368 33.43025756647571)</t>
  </si>
  <si>
    <t>LINESTRING (-111.9439796623655 33.42667503166054, -111.9442762 33.426894)</t>
  </si>
  <si>
    <t>LINESTRING (-111.9442762 33.426894, -111.9439796623655 33.42667503166054)</t>
  </si>
  <si>
    <t>LINESTRING (-111.9439325190183 33.42830657315629, -111.9443252 33.4291446)</t>
  </si>
  <si>
    <t>LINESTRING (-111.9443252 33.4291446, -111.9439325190183 33.42830657315629)</t>
  </si>
  <si>
    <t>LINESTRING (-111.9440528590417 33.42889365827889, -111.9443252 33.4291446)</t>
  </si>
  <si>
    <t>LINESTRING (-111.9443252 33.4291446, -111.9440528590417 33.42889365827889)</t>
  </si>
  <si>
    <t>LINESTRING (-111.9432661100821 33.42738835038908, -111.9430789 33.4272077)</t>
  </si>
  <si>
    <t>LINESTRING (-111.9430789 33.4272077, -111.9432661100821 33.42738835038908)</t>
  </si>
  <si>
    <t>LINESTRING (-111.9440948030794 33.4239594748242, -111.9443033 33.4243197)</t>
  </si>
  <si>
    <t>LINESTRING (-111.9443033 33.4243197, -111.9440948030794 33.4239594748242)</t>
  </si>
  <si>
    <t>LINESTRING (-111.944085324892 33.4234235350493, -111.9442993 33.4231771)</t>
  </si>
  <si>
    <t>LINESTRING (-111.9442993 33.4231771, -111.944085324892 33.4234235350493)</t>
  </si>
  <si>
    <t>LINESTRING (-111.9250590803231 33.41447636176292, -111.9245817 33.4147173)</t>
  </si>
  <si>
    <t>LINESTRING (-111.9245817 33.4147173, -111.9250590803231 33.41447636176292)</t>
  </si>
  <si>
    <t>LINESTRING (-111.9237161596577 33.4144404001996, -111.9240547 33.4148207)</t>
  </si>
  <si>
    <t>LINESTRING (-111.9240547 33.4148207, -111.9237161596577 33.4144404001996)</t>
  </si>
  <si>
    <t>LINESTRING (-111.9248265942119 33.413410115972, -111.9262984 33.4131293)</t>
  </si>
  <si>
    <t>LINESTRING (-111.9262984 33.4131293, -111.9248265942119 33.413410115972)</t>
  </si>
  <si>
    <t>LINESTRING (-111.937310535758 33.43095171861181, -111.9374938 33.4305413)</t>
  </si>
  <si>
    <t>LINESTRING (-111.9374938 33.4305413, -111.937310535758 33.43095171861181)</t>
  </si>
  <si>
    <t>LINESTRING (-111.9409163992022 33.421406422743, -111.9407231 33.4213245)</t>
  </si>
  <si>
    <t>LINESTRING (-111.9407231 33.4213245, -111.9409163992022 33.421406422743)</t>
  </si>
  <si>
    <t>LINESTRING (-111.9415993517967 33.42144160788285, -111.9417462 33.4219298)</t>
  </si>
  <si>
    <t>LINESTRING (-111.9417462 33.4219298, -111.9415993517967 33.42144160788285)</t>
  </si>
  <si>
    <t>LINESTRING (-111.9416592047448 33.42158699436917, -111.9417462 33.4219298)</t>
  </si>
  <si>
    <t>LINESTRING (-111.9417462 33.4219298, -111.9416592047448 33.42158699436917)</t>
  </si>
  <si>
    <t>LINESTRING (-111.944872 33.429055, -111.9448055 33.4291415)</t>
  </si>
  <si>
    <t>LINESTRING (-111.9448055 33.4291415, -111.944872 33.429055)</t>
  </si>
  <si>
    <t>LINESTRING (-111.9403929888728 33.4211766801416, -111.9407231 33.4213245)</t>
  </si>
  <si>
    <t>LINESTRING (-111.9407231 33.4213245, -111.9403929888728 33.4211766801416)</t>
  </si>
  <si>
    <t>LINESTRING (-111.9240335251244 33.40792971045544, -111.9237187 33.4079673)</t>
  </si>
  <si>
    <t>LINESTRING (-111.9237187 33.4079673, -111.9240335251244 33.40792971045544)</t>
  </si>
  <si>
    <t>LINESTRING (-111.9234772545606 33.40796913347044, -111.9237187 33.4079673)</t>
  </si>
  <si>
    <t>LINESTRING (-111.9237187 33.4079673, -111.9234772545606 33.40796913347044)</t>
  </si>
  <si>
    <t>LINESTRING (-111.9230401756683 33.40775830769986, -111.9232831 33.4075793)</t>
  </si>
  <si>
    <t>LINESTRING (-111.9232831 33.4075793, -111.9230401756683 33.40775830769986)</t>
  </si>
  <si>
    <t>LINESTRING (-111.922877363668 33.40780642501451, -111.9226118 33.4075789)</t>
  </si>
  <si>
    <t>LINESTRING (-111.9226118 33.4075789, -111.922877363668 33.40780642501451)</t>
  </si>
  <si>
    <t>LINESTRING (-111.9240330439697 33.40865422510036, -111.9237187 33.4079673)</t>
  </si>
  <si>
    <t>LINESTRING (-111.9237187 33.4079673, -111.9240330439697 33.40865422510036)</t>
  </si>
  <si>
    <t>LINESTRING (-111.9242158689334 33.40865283657207, -111.9237187 33.4079673)</t>
  </si>
  <si>
    <t>LINESTRING (-111.9237187 33.4079673, -111.9242158689334 33.40865283657207)</t>
  </si>
  <si>
    <t>LINESTRING (-111.9243017986328 33.40815722277176, -111.9237187 33.4079673)</t>
  </si>
  <si>
    <t>LINESTRING (-111.9237187 33.4079673, -111.9243017986328 33.40815722277176)</t>
  </si>
  <si>
    <t>LINESTRING (-111.923298069048 33.40841954966813, -111.9237187 33.4079673)</t>
  </si>
  <si>
    <t>LINESTRING (-111.9237187 33.4079673, -111.923298069048 33.40841954966813)</t>
  </si>
  <si>
    <t>LINESTRING (-111.922925 33.40842009999999, -111.9237187 33.4079673)</t>
  </si>
  <si>
    <t>LINESTRING (-111.9237187 33.4079673, -111.922925 33.40842009999999)</t>
  </si>
  <si>
    <t>LINESTRING (-111.9232771282341 33.40862718916836, -111.9237187 33.4079673)</t>
  </si>
  <si>
    <t>LINESTRING (-111.9237187 33.4079673, -111.9232771282341 33.40862718916836)</t>
  </si>
  <si>
    <t>LINESTRING (-111.9229136250979 33.40862840444827, -111.9237187 33.4079673)</t>
  </si>
  <si>
    <t>LINESTRING (-111.9237187 33.4079673, -111.9229136250979 33.40862840444827)</t>
  </si>
  <si>
    <t>LINESTRING (-111.9234260605708 33.4085102181154, -111.9237187 33.4079673)</t>
  </si>
  <si>
    <t>LINESTRING (-111.9237187 33.4079673, -111.9234260605708 33.4085102181154)</t>
  </si>
  <si>
    <t>LINESTRING (-111.9248311 33.4077721, -111.9247739 33.4075717)</t>
  </si>
  <si>
    <t>LINESTRING (-111.9247739 33.4075717, -111.9248311 33.4077721)</t>
  </si>
  <si>
    <t>LINESTRING (-111.9244425722744 33.40712154674796, -111.9243424 33.4074438)</t>
  </si>
  <si>
    <t>LINESTRING (-111.9243424 33.4074438, -111.9244425722744 33.40712154674796)</t>
  </si>
  <si>
    <t>LINESTRING (-111.923870239107 33.40711703597197, -111.9236803 33.4074433)</t>
  </si>
  <si>
    <t>LINESTRING (-111.9236803 33.4074433, -111.923870239107 33.40711703597197)</t>
  </si>
  <si>
    <t>LINESTRING (-111.9230727688488 33.40702004752734, -111.9230728 33.4074436)</t>
  </si>
  <si>
    <t>LINESTRING (-111.9230728 33.4074436, -111.9230727688488 33.40702004752734)</t>
  </si>
  <si>
    <t>LINESTRING (-111.9222074524996 33.4068629783479, -111.9226174 33.4063787)</t>
  </si>
  <si>
    <t>LINESTRING (-111.9226174 33.4063787, -111.9222074524996 33.4068629783479)</t>
  </si>
  <si>
    <t>LINESTRING (-111.91732185 33.40789365, -111.9176951 33.408003)</t>
  </si>
  <si>
    <t>LINESTRING (-111.9176951 33.408003, -111.91732185 33.40789365)</t>
  </si>
  <si>
    <t>LINESTRING (-111.9156475 33.4078897, -111.9154379 33.4075755)</t>
  </si>
  <si>
    <t>LINESTRING (-111.9154379 33.4075755, -111.9156475 33.4078897)</t>
  </si>
  <si>
    <t>LINESTRING (-111.9164805364726 33.40829862014736, -111.917013 33.407576)</t>
  </si>
  <si>
    <t>LINESTRING (-111.917013 33.407576, -111.9164805364726 33.40829862014736)</t>
  </si>
  <si>
    <t>LINESTRING (-111.91697205 33.4083327, -111.9176951 33.408003)</t>
  </si>
  <si>
    <t>LINESTRING (-111.9176951 33.408003, -111.91697205 33.4083327)</t>
  </si>
  <si>
    <t>LINESTRING (-111.91599355 33.408331, -111.9154379 33.4075755)</t>
  </si>
  <si>
    <t>LINESTRING (-111.9154379 33.4075755, -111.91599355 33.408331)</t>
  </si>
  <si>
    <t>LINESTRING (-111.9155442684789 33.40674686005045, -111.9154658 33.4074418)</t>
  </si>
  <si>
    <t>LINESTRING (-111.9154658 33.4074418, -111.9155442684789 33.40674686005045)</t>
  </si>
  <si>
    <t>LINESTRING (-111.9157956652236 33.40674692348356, -111.9154658 33.4074418)</t>
  </si>
  <si>
    <t>LINESTRING (-111.9154658 33.4074418, -111.9157956652236 33.40674692348356)</t>
  </si>
  <si>
    <t>LINESTRING (-111.9152819943548 33.4067502667192, -111.9154658 33.4074418)</t>
  </si>
  <si>
    <t>LINESTRING (-111.9154658 33.4074418, -111.9152819943548 33.4067502667192)</t>
  </si>
  <si>
    <t>LINESTRING (-111.9150325617188 33.40674574761161, -111.9154658 33.4074418)</t>
  </si>
  <si>
    <t>LINESTRING (-111.9154658 33.4074418, -111.9150325617188 33.40674574761161)</t>
  </si>
  <si>
    <t>LINESTRING (-111.9147683556826 33.40674244580975, -111.9148321 33.4075753)</t>
  </si>
  <si>
    <t>LINESTRING (-111.9148321 33.4075753, -111.9147683556826 33.40674244580975)</t>
  </si>
  <si>
    <t>LINESTRING (-111.913499662086 33.40674805133869, -111.9132489 33.4065043)</t>
  </si>
  <si>
    <t>LINESTRING (-111.9132489 33.4065043, -111.913499662086 33.40674805133869)</t>
  </si>
  <si>
    <t>LINESTRING (-111.9173580578006 33.40662039772135, -111.9177062 33.4063878)</t>
  </si>
  <si>
    <t>LINESTRING (-111.9177062 33.4063878, -111.9173580578006 33.40662039772135)</t>
  </si>
  <si>
    <t>LINESTRING (-111.91853695 33.40888125000001, -111.9176978 33.4092243)</t>
  </si>
  <si>
    <t>LINESTRING (-111.9176978 33.4092243, -111.91853695 33.40888125000001)</t>
  </si>
  <si>
    <t>LINESTRING (-111.91790165 33.40856374999999, -111.9176951 33.408003)</t>
  </si>
  <si>
    <t>LINESTRING (-111.9176951 33.408003, -111.91790165 33.40856374999999)</t>
  </si>
  <si>
    <t>LINESTRING (-111.9183020470992 33.40864332632069, -111.9176978 33.4092243)</t>
  </si>
  <si>
    <t>LINESTRING (-111.9176978 33.4092243, -111.9183020470992 33.40864332632069)</t>
  </si>
  <si>
    <t>LINESTRING (-111.9185248217185 33.40845552470841, -111.9176951 33.408003)</t>
  </si>
  <si>
    <t>LINESTRING (-111.9176951 33.408003, -111.9185248217185 33.40845552470841)</t>
  </si>
  <si>
    <t>LINESTRING (-111.91843605 33.4079715, -111.9183745 33.4074446)</t>
  </si>
  <si>
    <t>LINESTRING (-111.9183745 33.4074446, -111.91843605 33.4079715)</t>
  </si>
  <si>
    <t>LINESTRING (-111.918661197964 33.40799467504358, -111.9189369 33.4075769)</t>
  </si>
  <si>
    <t>LINESTRING (-111.9189369 33.4075769, -111.918661197964 33.40799467504358)</t>
  </si>
  <si>
    <t>LINESTRING (-111.9196671516806 33.4079653255293, -111.9195304 33.4075772)</t>
  </si>
  <si>
    <t>LINESTRING (-111.9195304 33.4075772, -111.9196671516806 33.4079653255293)</t>
  </si>
  <si>
    <t>LINESTRING (-111.9205664016923 33.40796507452662, -111.9204775 33.4075777)</t>
  </si>
  <si>
    <t>LINESTRING (-111.9204775 33.4075777, -111.9205664016923 33.40796507452662)</t>
  </si>
  <si>
    <t>LINESTRING (-111.9211823188915 33.40816863280446, -111.9209418 33.4075741)</t>
  </si>
  <si>
    <t>LINESTRING (-111.9209418 33.4075741, -111.9211823188915 33.40816863280446)</t>
  </si>
  <si>
    <t>LINESTRING (-111.9212041997551 33.40835840611595, -111.9209418 33.4075741)</t>
  </si>
  <si>
    <t>LINESTRING (-111.9209418 33.4075741, -111.9212041997551 33.40835840611595)</t>
  </si>
  <si>
    <t>LINESTRING (-111.9322502048363 33.42745867402424, -111.9312927 33.4290308)</t>
  </si>
  <si>
    <t>LINESTRING (-111.9312927 33.4290308, -111.9322502048363 33.42745867402424)</t>
  </si>
  <si>
    <t>LINESTRING (-111.9202867706502 33.40875490258912, -111.9204775 33.4075777)</t>
  </si>
  <si>
    <t>LINESTRING (-111.9204775 33.4075777, -111.9202867706502 33.40875490258912)</t>
  </si>
  <si>
    <t>LINESTRING (-111.914480617551 33.41854888857184, -111.9146941 33.4183685)</t>
  </si>
  <si>
    <t>LINESTRING (-111.9146941 33.4183685, -111.914480617551 33.41854888857184)</t>
  </si>
  <si>
    <t>LINESTRING (-111.9198706247483 33.40864997599542, -111.9195304 33.4075772)</t>
  </si>
  <si>
    <t>LINESTRING (-111.9195304 33.4075772, -111.9198706247483 33.40864997599542)</t>
  </si>
  <si>
    <t>LINESTRING (-111.9124438751044 33.42361458137008, -111.9102088 33.4219858)</t>
  </si>
  <si>
    <t>LINESTRING (-111.9102088 33.4219858, -111.9124438751044 33.42361458137008)</t>
  </si>
  <si>
    <t>LINESTRING (-111.9124438491129 33.42383787512232, -111.9102088 33.4219858)</t>
  </si>
  <si>
    <t>LINESTRING (-111.9102088 33.4219858, -111.9124438491129 33.42383787512232)</t>
  </si>
  <si>
    <t>LINESTRING (-111.912499499113 33.42383767516239, -111.9102088 33.4219858)</t>
  </si>
  <si>
    <t>LINESTRING (-111.9102088 33.4219858, -111.912499499113 33.42383767516239)</t>
  </si>
  <si>
    <t>LINESTRING (-111.9124995240403 33.42361434371586, -111.9102088 33.4219858)</t>
  </si>
  <si>
    <t>LINESTRING (-111.9102088 33.4219858, -111.9124995240403 33.42361434371586)</t>
  </si>
  <si>
    <t>LINESTRING (-111.9125555248956 33.42361431862989, -111.9102088 33.4219858)</t>
  </si>
  <si>
    <t>LINESTRING (-111.9102088 33.4219858, -111.9125555248956 33.42361431862989)</t>
  </si>
  <si>
    <t>LINESTRING (-111.9125554748552 33.42383742156697, -111.9102088 33.4219858)</t>
  </si>
  <si>
    <t>LINESTRING (-111.9102088 33.4219858, -111.9125554748552 33.42383742156697)</t>
  </si>
  <si>
    <t>LINESTRING (-111.9126111508871 33.42383732487767, -111.9102088 33.4219858)</t>
  </si>
  <si>
    <t>LINESTRING (-111.9102088 33.4219858, -111.9126111508871 33.42383732487767)</t>
  </si>
  <si>
    <t>LINESTRING (-111.9126111751044 33.42361438137009, -111.9102088 33.4219858)</t>
  </si>
  <si>
    <t>LINESTRING (-111.9102088 33.4219858, -111.9126111751044 33.42361438137009)</t>
  </si>
  <si>
    <t>LINESTRING (-111.9126673257465 33.42361419350273, -111.9102088 33.4219858)</t>
  </si>
  <si>
    <t>LINESTRING (-111.9102088 33.4219858, -111.9126673257465 33.42361419350273)</t>
  </si>
  <si>
    <t>LINESTRING (-111.912667300887 33.42383712483761, -111.9102088 33.4219858)</t>
  </si>
  <si>
    <t>LINESTRING (-111.9102088 33.4219858, -111.912667300887 33.42383712483761)</t>
  </si>
  <si>
    <t>LINESTRING (-111.9127229508871 33.42383692487768, -111.9102088 33.4219858)</t>
  </si>
  <si>
    <t>LINESTRING (-111.9102088 33.4219858, -111.9127229508871 33.42383692487768)</t>
  </si>
  <si>
    <t>LINESTRING (-111.912723 33.42361420000001, -111.9102088 33.4219858)</t>
  </si>
  <si>
    <t>LINESTRING (-111.9102088 33.4219858, -111.912723 33.42361420000001)</t>
  </si>
  <si>
    <t>LINESTRING (-111.91277745 33.42383674999999, -111.9102088 33.4219858)</t>
  </si>
  <si>
    <t>LINESTRING (-111.9102088 33.4219858, -111.91277745 33.42383674999999)</t>
  </si>
  <si>
    <t>LINESTRING (-111.9127774742535 33.42361420649728, -111.9102088 33.4219858)</t>
  </si>
  <si>
    <t>LINESTRING (-111.9102088 33.4219858, -111.9127774742535 33.42361420649728)</t>
  </si>
  <si>
    <t>LINESTRING (-111.9128337248956 33.42361401862991, -111.9102088 33.4219858)</t>
  </si>
  <si>
    <t>LINESTRING (-111.9102088 33.4219858, -111.9128337248956 33.42361401862991)</t>
  </si>
  <si>
    <t>LINESTRING (-111.9128337 33.42383655, -111.9102088 33.4219858)</t>
  </si>
  <si>
    <t>LINESTRING (-111.9102088 33.4219858, -111.9128337 33.42383655)</t>
  </si>
  <si>
    <t>LINESTRING (-111.91192935 33.42402595000001, -111.9102088 33.4219858)</t>
  </si>
  <si>
    <t>LINESTRING (-111.9102088 33.4219858, -111.91192935 33.42402595000001)</t>
  </si>
  <si>
    <t>LINESTRING (-111.9119294 33.4241282, -111.9102088 33.4219858)</t>
  </si>
  <si>
    <t>LINESTRING (-111.9102088 33.4219858, -111.9119294 33.4241282)</t>
  </si>
  <si>
    <t>LINESTRING (-111.91196595 33.42413320000001, -111.9102088 33.4219858)</t>
  </si>
  <si>
    <t>LINESTRING (-111.9102088 33.4219858, -111.91196595 33.42413320000001)</t>
  </si>
  <si>
    <t>LINESTRING (-111.91196585 33.42402594999999, -111.9102088 33.4219858)</t>
  </si>
  <si>
    <t>LINESTRING (-111.9102088 33.4219858, -111.91196585 33.42402594999999)</t>
  </si>
  <si>
    <t>LINESTRING (-111.9120024013617 33.42402592489422, -111.9102088 33.4219858)</t>
  </si>
  <si>
    <t>LINESTRING (-111.9102088 33.4219858, -111.9120024013617 33.42402592489422)</t>
  </si>
  <si>
    <t>LINESTRING (-111.9120024986274 33.42413317510582, -111.9102088 33.4219858)</t>
  </si>
  <si>
    <t>LINESTRING (-111.9102088 33.4219858, -111.9120024986274 33.42413317510582)</t>
  </si>
  <si>
    <t>LINESTRING (-111.91203805 33.42412815, -111.9102088 33.4219858)</t>
  </si>
  <si>
    <t>LINESTRING (-111.9102088 33.4219858, -111.91203805 33.42412815)</t>
  </si>
  <si>
    <t>LINESTRING (-111.91203795 33.42402585000001, -111.9102088 33.4219858)</t>
  </si>
  <si>
    <t>LINESTRING (-111.9102088 33.4219858, -111.91203795 33.42402585000001)</t>
  </si>
  <si>
    <t>LINESTRING (-111.9120735 33.42402584999999, -111.9102088 33.4219858)</t>
  </si>
  <si>
    <t>LINESTRING (-111.9102088 33.4219858, -111.9120735 33.42402584999999)</t>
  </si>
  <si>
    <t>LINESTRING (-111.91207355 33.42413315, -111.9102088 33.4219858)</t>
  </si>
  <si>
    <t>LINESTRING (-111.9102088 33.4219858, -111.91207355 33.42413315)</t>
  </si>
  <si>
    <t>LINESTRING (-111.9121118 33.4241331, -111.9102088 33.4219858)</t>
  </si>
  <si>
    <t>LINESTRING (-111.9102088 33.4219858, -111.9121118 33.4241331)</t>
  </si>
  <si>
    <t>LINESTRING (-111.9121117 33.42402585000001, -111.9102088 33.4219858)</t>
  </si>
  <si>
    <t>LINESTRING (-111.9102088 33.4219858, -111.9121117 33.42402585000001)</t>
  </si>
  <si>
    <t>LINESTRING (-111.91214725 33.42402579999999, -111.9102088 33.4219858)</t>
  </si>
  <si>
    <t>LINESTRING (-111.9102088 33.4219858, -111.91214725 33.42402579999999)</t>
  </si>
  <si>
    <t>LINESTRING (-111.91214735 33.42412865000001, -111.9102088 33.4219858)</t>
  </si>
  <si>
    <t>LINESTRING (-111.9102088 33.4219858, -111.91214735 33.42412865000001)</t>
  </si>
  <si>
    <t>LINESTRING (-111.91218145 33.42402574999999, -111.9102088 33.4219858)</t>
  </si>
  <si>
    <t>LINESTRING (-111.9102088 33.4219858, -111.91218145 33.42402574999999)</t>
  </si>
  <si>
    <t>LINESTRING (-111.91218155 33.42413305, -111.9102088 33.4219858)</t>
  </si>
  <si>
    <t>LINESTRING (-111.9102088 33.4219858, -111.91218155 33.42413305)</t>
  </si>
  <si>
    <t>LINESTRING (-111.9122197013726 33.42413302489418, -111.9102088 33.4219858)</t>
  </si>
  <si>
    <t>LINESTRING (-111.9102088 33.4219858, -111.9122197013726 33.42413302489418)</t>
  </si>
  <si>
    <t>LINESTRING (-111.91221965 33.42402575000001, -111.9102088 33.4219858)</t>
  </si>
  <si>
    <t>LINESTRING (-111.9102088 33.4219858, -111.91221965 33.42402575000001)</t>
  </si>
  <si>
    <t>LINESTRING (-111.9119484744751 33.42375997386589, -111.9102088 33.4219858)</t>
  </si>
  <si>
    <t>LINESTRING (-111.9102088 33.4219858, -111.9119484744751 33.42375997386589)</t>
  </si>
  <si>
    <t>LINESTRING (-111.9120329492956 33.42375997519199, -111.9102088 33.4219858)</t>
  </si>
  <si>
    <t>LINESTRING (-111.9102088 33.4219858, -111.9120329492956 33.42375997519199)</t>
  </si>
  <si>
    <t>LINESTRING (-111.91211405 33.4237601, -111.9102088 33.4219858)</t>
  </si>
  <si>
    <t>LINESTRING (-111.9102088 33.4219858, -111.91211405 33.4237601)</t>
  </si>
  <si>
    <t>LINESTRING (-111.91219255 33.4237602, -111.9102088 33.4219858)</t>
  </si>
  <si>
    <t>LINESTRING (-111.9102088 33.4219858, -111.91219255 33.4237602)</t>
  </si>
  <si>
    <t>LINESTRING (-111.91227635 33.42376030000001, -111.9102088 33.4219858)</t>
  </si>
  <si>
    <t>LINESTRING (-111.9102088 33.4219858, -111.91227635 33.42376030000001)</t>
  </si>
  <si>
    <t>LINESTRING (-111.9123601751796 33.42376049867329, -111.9102088 33.4219858)</t>
  </si>
  <si>
    <t>LINESTRING (-111.9102088 33.4219858, -111.9123601751796 33.42376049867329)</t>
  </si>
  <si>
    <t>LINESTRING (-111.9291484605438 33.42084257492103, -111.9289618 33.4208697)</t>
  </si>
  <si>
    <t>LINESTRING (-111.9289618 33.4208697, -111.9291484605438 33.42084257492103)</t>
  </si>
  <si>
    <t>LINESTRING (-111.9300364152762 33.42056898072769, -111.9289618 33.4208697)</t>
  </si>
  <si>
    <t>LINESTRING (-111.9289618 33.4208697, -111.9300364152762 33.42056898072769)</t>
  </si>
  <si>
    <t>LINESTRING (-111.9306287771076 33.4203912633174, -111.9313563 33.420664)</t>
  </si>
  <si>
    <t>LINESTRING (-111.9313563 33.420664, -111.9306287771076 33.4203912633174)</t>
  </si>
  <si>
    <t>LINESTRING (-111.9366338916689 33.43125103014938, -111.9368145 33.4306868)</t>
  </si>
  <si>
    <t>LINESTRING (-111.9368145 33.4306868, -111.9366338916689 33.43125103014938)</t>
  </si>
  <si>
    <t>LINESTRING (-111.9356180708052 33.4311101095301, -111.9357552 33.4306078)</t>
  </si>
  <si>
    <t>LINESTRING (-111.9357552 33.4306078, -111.9356180708052 33.4311101095301)</t>
  </si>
  <si>
    <t>LINESTRING (-111.9299626849587 33.42912759870866, -111.9297937 33.4287965)</t>
  </si>
  <si>
    <t>LINESTRING (-111.9297937 33.4287965, -111.9299626849587 33.42912759870866)</t>
  </si>
  <si>
    <t>LINESTRING (-111.931727900264 33.41437868981804, -111.9314439 33.4146642)</t>
  </si>
  <si>
    <t>LINESTRING (-111.9314439 33.4146642, -111.931727900264 33.41437868981804)</t>
  </si>
  <si>
    <t>LINESTRING (-111.9404753 33.41886909999999, -111.940028 33.4190552)</t>
  </si>
  <si>
    <t>LINESTRING (-111.940028 33.4190552, -111.9404753 33.41886909999999)</t>
  </si>
  <si>
    <t>LINESTRING (-111.9404352249464 33.41869914569312, -111.9398502 33.4186881)</t>
  </si>
  <si>
    <t>LINESTRING (-111.9398502 33.4186881, -111.9404352249464 33.41869914569312)</t>
  </si>
  <si>
    <t>LINESTRING (-111.9403085453197 33.41834902778619, -111.9398502 33.4186881)</t>
  </si>
  <si>
    <t>LINESTRING (-111.9398502 33.4186881, -111.9403085453197 33.41834902778619)</t>
  </si>
  <si>
    <t>LINESTRING (-111.9405012832213 33.41850596656084, -111.9398502 33.4186881)</t>
  </si>
  <si>
    <t>LINESTRING (-111.9398502 33.4186881, -111.9405012832213 33.41850596656084)</t>
  </si>
  <si>
    <t>LINESTRING (-111.9386382963037 33.42631436102411, -111.938161 33.4254954)</t>
  </si>
  <si>
    <t>LINESTRING (-111.938161 33.4254954, -111.9386382963037 33.42631436102411)</t>
  </si>
  <si>
    <t>LINESTRING (-111.9388405989562 33.42582437027587, -111.9394161 33.4254973)</t>
  </si>
  <si>
    <t>LINESTRING (-111.9394161 33.4254973, -111.9388405989562 33.42582437027587)</t>
  </si>
  <si>
    <t>LINESTRING (-111.9114432251616 33.41428988599379, -111.9113853 33.4148731)</t>
  </si>
  <si>
    <t>LINESTRING (-111.9113853 33.4148731, -111.9114432251616 33.41428988599379)</t>
  </si>
  <si>
    <t>LINESTRING (-111.91116675 33.4142907, -111.9113853 33.4148731)</t>
  </si>
  <si>
    <t>LINESTRING (-111.9113853 33.4148731, -111.91116675 33.4142907)</t>
  </si>
  <si>
    <t>LINESTRING (-111.9084091627237 33.41413648810885, -111.9091162 33.4141228)</t>
  </si>
  <si>
    <t>LINESTRING (-111.9091162 33.4141228, -111.9084091627237 33.41413648810885)</t>
  </si>
  <si>
    <t>LINESTRING (-111.9084850221561 33.42307109613564, -111.9090865 33.422857)</t>
  </si>
  <si>
    <t>LINESTRING (-111.9090865 33.422857, -111.9084850221561 33.42307109613564)</t>
  </si>
  <si>
    <t>LINESTRING (-111.90825705 33.4233924, -111.9090865 33.422857)</t>
  </si>
  <si>
    <t>LINESTRING (-111.9090865 33.422857, -111.90825705 33.4233924)</t>
  </si>
  <si>
    <t>LINESTRING (-111.9084831143437 33.42371611684666, -111.9090865 33.422857)</t>
  </si>
  <si>
    <t>LINESTRING (-111.9090865 33.422857, -111.9084831143437 33.42371611684666)</t>
  </si>
  <si>
    <t>LINESTRING (-111.9083890292981 33.42444580368162, -111.9090865 33.422857)</t>
  </si>
  <si>
    <t>LINESTRING (-111.9090865 33.422857, -111.9083890292981 33.42444580368162)</t>
  </si>
  <si>
    <t>LINESTRING (-111.9084558376869 33.42508445068659, -111.9090865 33.422857)</t>
  </si>
  <si>
    <t>LINESTRING (-111.9090865 33.422857, -111.9084558376869 33.42508445068659)</t>
  </si>
  <si>
    <t>LINESTRING (-111.9084553 33.42526865, -111.9090423 33.4273929)</t>
  </si>
  <si>
    <t>LINESTRING (-111.9090423 33.4273929, -111.9084553 33.42526865)</t>
  </si>
  <si>
    <t>LINESTRING (-111.9084564430323 33.42539342310047, -111.9090423 33.4273929)</t>
  </si>
  <si>
    <t>LINESTRING (-111.9090423 33.4273929, -111.9084564430323 33.42539342310047)</t>
  </si>
  <si>
    <t>LINESTRING (-111.9084545999481 33.42556572372294, -111.9090423 33.4273929)</t>
  </si>
  <si>
    <t>LINESTRING (-111.9090423 33.4273929, -111.9084545999481 33.42556572372294)</t>
  </si>
  <si>
    <t>LINESTRING (-111.9083972898451 33.42581632414964, -111.9090423 33.4273929)</t>
  </si>
  <si>
    <t>LINESTRING (-111.9090423 33.4273929, -111.9083972898451 33.42581632414964)</t>
  </si>
  <si>
    <t>LINESTRING (-111.9085994750235 33.42339519244669, -111.9090865 33.422857)</t>
  </si>
  <si>
    <t>LINESTRING (-111.9090865 33.422857, -111.9085994750235 33.42339519244669)</t>
  </si>
  <si>
    <t>LINESTRING (-111.9074602733549 33.42393767661452, -111.9090865 33.422857)</t>
  </si>
  <si>
    <t>LINESTRING (-111.9090865 33.422857, -111.9074602733549 33.42393767661452)</t>
  </si>
  <si>
    <t>LINESTRING (-111.9361234722819 33.42581693631489, -111.936319 33.4255035)</t>
  </si>
  <si>
    <t>LINESTRING (-111.936319 33.4255035, -111.9361234722819 33.42581693631489)</t>
  </si>
  <si>
    <t>LINESTRING (-111.936790313194 33.42627898223834, -111.9366724 33.4254992)</t>
  </si>
  <si>
    <t>LINESTRING (-111.9366724 33.4254992, -111.936790313194 33.42627898223834)</t>
  </si>
  <si>
    <t>LINESTRING (-111.9391692536493 33.42535448623249, -111.9394161 33.4254973)</t>
  </si>
  <si>
    <t>LINESTRING (-111.9394161 33.4254973, -111.9391692536493 33.42535448623249)</t>
  </si>
  <si>
    <t>LINESTRING (-111.9388396252564 33.42537580430769, -111.9394161 33.4254973)</t>
  </si>
  <si>
    <t>LINESTRING (-111.9394161 33.4254973, -111.9388396252564 33.42537580430769)</t>
  </si>
  <si>
    <t>LINESTRING (-111.9398960950642 33.42716302490136, -111.939964 33.4270359)</t>
  </si>
  <si>
    <t>LINESTRING (-111.939964 33.4270359, -111.9398960950642 33.42716302490136)</t>
  </si>
  <si>
    <t>LINESTRING (-111.9398638950642 33.42256732490135, -111.9400741 33.4225274)</t>
  </si>
  <si>
    <t>LINESTRING (-111.9400741 33.4225274, -111.9398638950642 33.42256732490135)</t>
  </si>
  <si>
    <t>LINESTRING (-111.9398638049358 33.42253127509863, -111.9400741 33.4225274)</t>
  </si>
  <si>
    <t>LINESTRING (-111.9400741 33.4225274, -111.9398638049358 33.42253127509863)</t>
  </si>
  <si>
    <t>LINESTRING (-111.9421010907597 33.42157737455342, -111.9423899 33.4219281)</t>
  </si>
  <si>
    <t>LINESTRING (-111.9423899 33.4219281, -111.9421010907597 33.42157737455342)</t>
  </si>
  <si>
    <t>LINESTRING (-111.9313282597479 33.41271646513174, -111.9306853 33.4120477)</t>
  </si>
  <si>
    <t>LINESTRING (-111.9306853 33.4120477, -111.9313282597479 33.41271646513174)</t>
  </si>
  <si>
    <t>LINESTRING (-111.9310166715957 33.41254509069397, -111.9306853 33.4120477)</t>
  </si>
  <si>
    <t>LINESTRING (-111.9306853 33.4120477, -111.9310166715957 33.41254509069397)</t>
  </si>
  <si>
    <t>LINESTRING (-111.9309452250613 33.41282038782047, -111.9307043 33.4135726)</t>
  </si>
  <si>
    <t>LINESTRING (-111.9307043 33.4135726, -111.9309452250613 33.41282038782047)</t>
  </si>
  <si>
    <t>LINESTRING (-111.9244783000585 33.41067339123674, -111.9235422 33.4101507)</t>
  </si>
  <si>
    <t>LINESTRING (-111.9235422 33.4101507, -111.9244783000585 33.41067339123674)</t>
  </si>
  <si>
    <t>LINESTRING (-111.9407340053835 33.41287043386854, -111.9398829 33.4130694)</t>
  </si>
  <si>
    <t>LINESTRING (-111.9398829 33.4130694, -111.9407340053835 33.41287043386854)</t>
  </si>
  <si>
    <t>LINESTRING (-111.9414007565799 33.41268855940623, -111.94234 33.4136148)</t>
  </si>
  <si>
    <t>LINESTRING (-111.94234 33.4136148, -111.9414007565799 33.41268855940623)</t>
  </si>
  <si>
    <t>LINESTRING (-111.9402221618616 33.41381417479647, -111.9398928 33.4136273)</t>
  </si>
  <si>
    <t>LINESTRING (-111.9398928 33.4136273, -111.9402221618616 33.41381417479647)</t>
  </si>
  <si>
    <t>LINESTRING (-111.9076574025949 33.43012976806051, -111.9074988 33.4293778)</t>
  </si>
  <si>
    <t>LINESTRING (-111.9074988 33.4293778, -111.9076574025949 33.43012976806051)</t>
  </si>
  <si>
    <t>LINESTRING (-111.9081928653941 33.43041462369354, -111.9091495 33.430223)</t>
  </si>
  <si>
    <t>LINESTRING (-111.9091495 33.430223, -111.9081928653941 33.43041462369354)</t>
  </si>
  <si>
    <t>LINESTRING (-111.9083456980592 33.43081032665968, -111.9091495 33.430223)</t>
  </si>
  <si>
    <t>LINESTRING (-111.9091495 33.430223, -111.9083456980592 33.43081032665968)</t>
  </si>
  <si>
    <t>LINESTRING (-111.9083735412117 33.43110688487135, -111.9091495 33.430223)</t>
  </si>
  <si>
    <t>LINESTRING (-111.9091495 33.430223, -111.9083735412117 33.43110688487135)</t>
  </si>
  <si>
    <t>LINESTRING (-111.908378665447 33.43145465051034, -111.9092699 33.4319755)</t>
  </si>
  <si>
    <t>LINESTRING (-111.9092699 33.4319755, -111.908378665447 33.43145465051034)</t>
  </si>
  <si>
    <t>LINESTRING (-111.908284151738 33.43178979085599, -111.9092699 33.4319755)</t>
  </si>
  <si>
    <t>LINESTRING (-111.9092699 33.4319755, -111.908284151738 33.43178979085599)</t>
  </si>
  <si>
    <t>LINESTRING (-111.9222627627605 33.40653642535934, -111.9226174 33.4063787)</t>
  </si>
  <si>
    <t>LINESTRING (-111.9226174 33.4063787, -111.9222627627605 33.40653642535934)</t>
  </si>
  <si>
    <t>LINESTRING (-111.9222666565704 33.40726403682114, -111.9226148 33.4074455)</t>
  </si>
  <si>
    <t>LINESTRING (-111.9226148 33.4074455, -111.9222666565704 33.40726403682114)</t>
  </si>
  <si>
    <t>LINESTRING (-111.9223851203465 33.40708193320776, -111.9226148 33.4074455)</t>
  </si>
  <si>
    <t>LINESTRING (-111.9226148 33.4074455, -111.9223851203465 33.40708193320776)</t>
  </si>
  <si>
    <t>LINESTRING (-111.9222493126655 33.4064395893242, -111.9226174 33.4063787)</t>
  </si>
  <si>
    <t>LINESTRING (-111.9226174 33.4063787, -111.9222493126655 33.4064395893242)</t>
  </si>
  <si>
    <t>LINESTRING (-111.9224195253895 33.40664085153202, -111.9226174 33.4063787)</t>
  </si>
  <si>
    <t>LINESTRING (-111.9226174 33.4063787, -111.9224195253895 33.40664085153202)</t>
  </si>
  <si>
    <t>LINESTRING (-111.9341247583543 33.40890097085878, -111.9338376 33.4093122)</t>
  </si>
  <si>
    <t>LINESTRING (-111.9338376 33.4093122, -111.9341247583543 33.40890097085878)</t>
  </si>
  <si>
    <t>LINESTRING (-111.9184169911939 33.40999377500739, -111.9177482 33.4094786)</t>
  </si>
  <si>
    <t>LINESTRING (-111.9177482 33.4094786, -111.9184169911939 33.40999377500739)</t>
  </si>
  <si>
    <t>LINESTRING (-111.9180207144285 33.4101153728779, -111.9177482 33.4094786)</t>
  </si>
  <si>
    <t>LINESTRING (-111.9177482 33.4094786, -111.9180207144285 33.4101153728779)</t>
  </si>
  <si>
    <t>LINESTRING (-111.9177532771211 33.41011926398927, -111.9177482 33.4094786)</t>
  </si>
  <si>
    <t>LINESTRING (-111.9177482 33.4094786, -111.9177532771211 33.41011926398927)</t>
  </si>
  <si>
    <t>LINESTRING (-111.9180008 33.41024154999999, -111.9177482 33.4094786)</t>
  </si>
  <si>
    <t>LINESTRING (-111.9177482 33.4094786, -111.9180008 33.41024154999999)</t>
  </si>
  <si>
    <t>LINESTRING (-111.91775435 33.40976245, -111.9177482 33.4094786)</t>
  </si>
  <si>
    <t>LINESTRING (-111.9177482 33.4094786, -111.91775435 33.40976245)</t>
  </si>
  <si>
    <t>LINESTRING (-111.917752875801 33.41053562955567, -111.9182748 33.4112636)</t>
  </si>
  <si>
    <t>LINESTRING (-111.9182748 33.4112636, -111.917752875801 33.41053562955567)</t>
  </si>
  <si>
    <t>LINESTRING (-111.9177722459886 33.41080769361545, -111.9182748 33.4112636)</t>
  </si>
  <si>
    <t>LINESTRING (-111.9182748 33.4112636, -111.9177722459886 33.41080769361545)</t>
  </si>
  <si>
    <t>LINESTRING (-111.9201825746563 33.40916464599196, -111.9204775 33.4075777)</t>
  </si>
  <si>
    <t>LINESTRING (-111.9204775 33.4075777, -111.9201825746563 33.40916464599196)</t>
  </si>
  <si>
    <t>LINESTRING (-111.9198489865365 33.41068882479186, -111.920032 33.4113543)</t>
  </si>
  <si>
    <t>LINESTRING (-111.920032 33.4113543, -111.9198489865365 33.41068882479186)</t>
  </si>
  <si>
    <t>LINESTRING (-111.917736432982 33.41029204923351, -111.9177482 33.4094786)</t>
  </si>
  <si>
    <t>LINESTRING (-111.9177482 33.4094786, -111.917736432982 33.41029204923351)</t>
  </si>
  <si>
    <t>LINESTRING (-111.91966405 33.40992050000001, -111.9193991 33.4112636)</t>
  </si>
  <si>
    <t>LINESTRING (-111.9193991 33.4112636, -111.91966405 33.40992050000001)</t>
  </si>
  <si>
    <t>LINESTRING (-111.920045 33.4093625, -111.9204775 33.4075777)</t>
  </si>
  <si>
    <t>LINESTRING (-111.9204775 33.4075777, -111.920045 33.4093625)</t>
  </si>
  <si>
    <t>LINESTRING (-111.9179905896406 33.40976564660671, -111.9177482 33.4094786)</t>
  </si>
  <si>
    <t>LINESTRING (-111.9177482 33.4094786, -111.9179905896406 33.40976564660671)</t>
  </si>
  <si>
    <t>LINESTRING (-111.9276757070302 33.40723902794195, -111.9279752 33.4075028)</t>
  </si>
  <si>
    <t>LINESTRING (-111.9279752 33.4075028, -111.9276757070302 33.40723902794195)</t>
  </si>
  <si>
    <t>LINESTRING (-111.9275839894197 33.40699761937596, -111.9279752 33.4075028)</t>
  </si>
  <si>
    <t>LINESTRING (-111.9279752 33.4075028, -111.9275839894197 33.40699761937596)</t>
  </si>
  <si>
    <t>LINESTRING (-111.9374601409901 33.4068898043534, -111.9383164 33.4074206)</t>
  </si>
  <si>
    <t>LINESTRING (-111.9383164 33.4074206, -111.9374601409901 33.4068898043534)</t>
  </si>
  <si>
    <t>LINESTRING (-111.9373566331529 33.40706150108055, -111.9364992 33.4074355)</t>
  </si>
  <si>
    <t>LINESTRING (-111.9364992 33.4074355, -111.9373566331529 33.40706150108055)</t>
  </si>
  <si>
    <t>LINESTRING (-111.9378222948276 33.40691486949193, -111.9383164 33.4074206)</t>
  </si>
  <si>
    <t>LINESTRING (-111.9383164 33.4074206, -111.9378222948276 33.40691486949193)</t>
  </si>
  <si>
    <t>LINESTRING (-111.9352499445786 33.40909806778989, -111.934915 33.4093789)</t>
  </si>
  <si>
    <t>LINESTRING (-111.934915 33.4093789, -111.9352499445786 33.40909806778989)</t>
  </si>
  <si>
    <t>LINESTRING (-111.9352056669508 33.40870857150433, -111.934915 33.4093789)</t>
  </si>
  <si>
    <t>LINESTRING (-111.934915 33.4093789, -111.9352056669508 33.40870857150433)</t>
  </si>
  <si>
    <t>LINESTRING (-111.9352294555967 33.40854602170501, -111.9349089 33.4079907)</t>
  </si>
  <si>
    <t>LINESTRING (-111.9349089 33.4079907, -111.9352294555967 33.40854602170501)</t>
  </si>
  <si>
    <t>LINESTRING (-111.9364211255518 33.40713022163298, -111.9364992 33.4074355)</t>
  </si>
  <si>
    <t>LINESTRING (-111.9364992 33.4074355, -111.9364211255518 33.40713022163298)</t>
  </si>
  <si>
    <t>LINESTRING (-111.9364223479691 33.40680692462553, -111.9359727 33.4063787)</t>
  </si>
  <si>
    <t>LINESTRING (-111.9359727 33.4063787, -111.9364223479691 33.40680692462553)</t>
  </si>
  <si>
    <t>LINESTRING (-111.9364243733486 33.40653429052207, -111.9359727 33.4063787)</t>
  </si>
  <si>
    <t>LINESTRING (-111.9359727 33.4063787, -111.9364243733486 33.40653429052207)</t>
  </si>
  <si>
    <t>LINESTRING (-111.9272199871315 33.40721397482187, -111.9270016 33.4075087)</t>
  </si>
  <si>
    <t>LINESTRING (-111.9270016 33.4075087, -111.9272199871315 33.40721397482187)</t>
  </si>
  <si>
    <t>LINESTRING (-111.9273191635897 33.40719247412679, -111.9270016 33.4075087)</t>
  </si>
  <si>
    <t>LINESTRING (-111.9270016 33.4075087, -111.9273191635897 33.40719247412679)</t>
  </si>
  <si>
    <t>LINESTRING (-111.9286852406069 33.40711205120294, -111.9290279 33.4074428)</t>
  </si>
  <si>
    <t>LINESTRING (-111.9290279 33.4074428, -111.9286852406069 33.40711205120294)</t>
  </si>
  <si>
    <t>LINESTRING (-111.928705407722 33.40725898389986, -111.9290279 33.4074428)</t>
  </si>
  <si>
    <t>LINESTRING (-111.9290279 33.4074428, -111.928705407722 33.40725898389986)</t>
  </si>
  <si>
    <t>LINESTRING (-111.9267355057357 33.40803656244967, -111.9265205 33.408338)</t>
  </si>
  <si>
    <t>LINESTRING (-111.9265205 33.408338, -111.9267355057357 33.40803656244967)</t>
  </si>
  <si>
    <t>LINESTRING (-111.9266335905584 33.40792956885119, -111.9262731 33.4079581)</t>
  </si>
  <si>
    <t>LINESTRING (-111.9262731 33.4079581, -111.9266335905584 33.40792956885119)</t>
  </si>
  <si>
    <t>LINESTRING (-111.9265761869006 33.4072799751462, -111.926277 33.4075074)</t>
  </si>
  <si>
    <t>LINESTRING (-111.926277 33.4075074, -111.9265761869006 33.4072799751462)</t>
  </si>
  <si>
    <t>LINESTRING (-111.9266953738603 33.40671954227585, -111.9262858 33.4066282)</t>
  </si>
  <si>
    <t>LINESTRING (-111.9262858 33.4066282, -111.9266953738603 33.40671954227585)</t>
  </si>
  <si>
    <t>LINESTRING (-111.9267440041621 33.40691655636613, -111.9262858 33.4066282)</t>
  </si>
  <si>
    <t>LINESTRING (-111.9262858 33.4066282, -111.9267440041621 33.40691655636613)</t>
  </si>
  <si>
    <t>LINESTRING (-111.9269944651511 33.40718192287719, -111.9270016 33.4075087)</t>
  </si>
  <si>
    <t>LINESTRING (-111.9270016 33.4075087, -111.9269944651511 33.40718192287719)</t>
  </si>
  <si>
    <t>LINESTRING (-111.92750794209 33.40681778521303, -111.92797 33.4063787)</t>
  </si>
  <si>
    <t>LINESTRING (-111.92797 33.4063787, -111.92750794209 33.40681778521303)</t>
  </si>
  <si>
    <t>LINESTRING (-111.927556507407 33.40693560876826, -111.92797 33.4063787)</t>
  </si>
  <si>
    <t>LINESTRING (-111.92797 33.4063787, -111.927556507407 33.40693560876826)</t>
  </si>
  <si>
    <t>LINESTRING (-111.9258955027137 33.4077683004616, -111.9256844 33.4075643)</t>
  </si>
  <si>
    <t>LINESTRING (-111.9256844 33.4075643, -111.9258955027137 33.4077683004616)</t>
  </si>
  <si>
    <t>LINESTRING (-111.9265615741543 33.40692808361927, -111.9262858 33.4066282)</t>
  </si>
  <si>
    <t>LINESTRING (-111.9262858 33.4066282, -111.9265615741543 33.40692808361927)</t>
  </si>
  <si>
    <t>LINESTRING (-111.9269818811406 33.40697181424559, -111.9270016 33.4075087)</t>
  </si>
  <si>
    <t>LINESTRING (-111.9270016 33.4075087, -111.9269818811406 33.40697181424559)</t>
  </si>
  <si>
    <t>LINESTRING (-111.9368392487022 33.40668487768514, -111.9359727 33.4063787)</t>
  </si>
  <si>
    <t>LINESTRING (-111.9359727 33.4063787, -111.9368392487022 33.40668487768514)</t>
  </si>
  <si>
    <t>LINESTRING (-111.9357908899409 33.40700073927637, -111.9359642 33.4074385)</t>
  </si>
  <si>
    <t>LINESTRING (-111.9359642 33.4074385, -111.9357908899409 33.40700073927637)</t>
  </si>
  <si>
    <t>LINESTRING (-111.9371733558372 33.40686551656487, -111.9364992 33.4074355)</t>
  </si>
  <si>
    <t>LINESTRING (-111.9364992 33.4074355, -111.9371733558372 33.40686551656487)</t>
  </si>
  <si>
    <t>LINESTRING (-111.926661491814 33.40718195344261, -111.9270016 33.4075087)</t>
  </si>
  <si>
    <t>LINESTRING (-111.9270016 33.4075087, -111.926661491814 33.40718195344261)</t>
  </si>
  <si>
    <t>LINESTRING (-111.9269718278951 33.40731052441843, -111.9270016 33.4075087)</t>
  </si>
  <si>
    <t>LINESTRING (-111.9270016 33.4075087, -111.9269718278951 33.40731052441843)</t>
  </si>
  <si>
    <t>LINESTRING (-111.9281241651011 33.40727898343052, -111.9279752 33.4075028)</t>
  </si>
  <si>
    <t>LINESTRING (-111.9279752 33.4075028, -111.9281241651011 33.40727898343052)</t>
  </si>
  <si>
    <t>LINESTRING (-111.9283724614088 33.40726693827248, -111.9279752 33.4075028)</t>
  </si>
  <si>
    <t>LINESTRING (-111.9279752 33.4075028, -111.9283724614088 33.40726693827248)</t>
  </si>
  <si>
    <t>LINESTRING (-111.9282400652641 33.40711548675061, -111.9279752 33.4075028)</t>
  </si>
  <si>
    <t>LINESTRING (-111.9279752 33.4075028, -111.9282400652641 33.40711548675061)</t>
  </si>
  <si>
    <t>LINESTRING (-111.9282126253951 33.40705095836125, -111.9279752 33.4075028)</t>
  </si>
  <si>
    <t>LINESTRING (-111.9279752 33.4075028, -111.9282126253951 33.40705095836125)</t>
  </si>
  <si>
    <t>LINESTRING (-111.9294820888322 33.40720831601815, -111.9290279 33.4074428)</t>
  </si>
  <si>
    <t>LINESTRING (-111.9290279 33.4074428, -111.9294820888322 33.40720831601815)</t>
  </si>
  <si>
    <t>LINESTRING (-111.9295365752103 33.40711233143841, -111.9290279 33.4074428)</t>
  </si>
  <si>
    <t>LINESTRING (-111.9290279 33.4074428, -111.9295365752103 33.40711233143841)</t>
  </si>
  <si>
    <t>LINESTRING (-111.9269705568696 33.40685557200759, -111.9262858 33.4066282)</t>
  </si>
  <si>
    <t>LINESTRING (-111.9262858 33.4066282, -111.9269705568696 33.40685557200759)</t>
  </si>
  <si>
    <t>LINESTRING (-111.9381508072858 33.40709892035215, -111.9383164 33.4074206)</t>
  </si>
  <si>
    <t>LINESTRING (-111.9383164 33.4074206, -111.9381508072858 33.40709892035215)</t>
  </si>
  <si>
    <t>LINESTRING (-111.9382779568533 33.40719811037934, -111.9383164 33.4074206)</t>
  </si>
  <si>
    <t>LINESTRING (-111.9383164 33.4074206, -111.9382779568533 33.40719811037934)</t>
  </si>
  <si>
    <t>LINESTRING (-111.9382117282765 33.40654797249469, -111.9383164 33.4074206)</t>
  </si>
  <si>
    <t>LINESTRING (-111.9383164 33.4074206, -111.9382117282765 33.40654797249469)</t>
  </si>
  <si>
    <t>LINESTRING (-111.9391673916997 33.40688677858489, -111.9397915 33.4068077)</t>
  </si>
  <si>
    <t>LINESTRING (-111.9397915 33.4068077, -111.9391673916997 33.40688677858489)</t>
  </si>
  <si>
    <t>LINESTRING (-111.9382410432139 33.40689700128156, -111.9383164 33.4074206)</t>
  </si>
  <si>
    <t>LINESTRING (-111.9383164 33.4074206, -111.9382410432139 33.40689700128156)</t>
  </si>
  <si>
    <t>LINESTRING (-111.928762307554 33.40686700483083, -111.9290192 33.4063787)</t>
  </si>
  <si>
    <t>LINESTRING (-111.9290192 33.4063787, -111.928762307554 33.40686700483083)</t>
  </si>
  <si>
    <t>LINESTRING (-111.9345602957508 33.40818327935596, -111.9349089 33.4079907)</t>
  </si>
  <si>
    <t>LINESTRING (-111.9349089 33.4079907, -111.9345602957508 33.40818327935596)</t>
  </si>
  <si>
    <t>LINESTRING (-111.9345623455062 33.40786484043818, -111.9349089 33.4079907)</t>
  </si>
  <si>
    <t>LINESTRING (-111.9349089 33.4079907, -111.9345623455062 33.40786484043818)</t>
  </si>
  <si>
    <t>LINESTRING (-111.9345819566712 33.40774321819879, -111.9344169 33.4074542)</t>
  </si>
  <si>
    <t>LINESTRING (-111.9344169 33.4074542, -111.9345819566712 33.40774321819879)</t>
  </si>
  <si>
    <t>LINESTRING (-111.9346205358569 33.40869135575182, -111.934915 33.4093789)</t>
  </si>
  <si>
    <t>LINESTRING (-111.934915 33.4093789, -111.9346205358569 33.40869135575182)</t>
  </si>
  <si>
    <t>LINESTRING (-111.935360505151 33.40790238471283, -111.9349089 33.4079907)</t>
  </si>
  <si>
    <t>LINESTRING (-111.9349089 33.4079907, -111.935360505151 33.40790238471283)</t>
  </si>
  <si>
    <t>LINESTRING (-111.9352274861902 33.40788369847761, -111.9349089 33.4079907)</t>
  </si>
  <si>
    <t>LINESTRING (-111.9349089 33.4079907, -111.9352274861902 33.40788369847761)</t>
  </si>
  <si>
    <t>LINESTRING (-111.9351671969852 33.40792243159579, -111.9349089 33.4079907)</t>
  </si>
  <si>
    <t>LINESTRING (-111.9349089 33.4079907, -111.9351671969852 33.40792243159579)</t>
  </si>
  <si>
    <t>LINESTRING (-111.9351813654766 33.4065626810631, -111.9349083 33.4063787)</t>
  </si>
  <si>
    <t>LINESTRING (-111.9349083 33.4063787, -111.9351813654766 33.4065626810631)</t>
  </si>
  <si>
    <t>LINESTRING (-111.9351782383019 33.40673131662375, -111.9349083 33.4063787)</t>
  </si>
  <si>
    <t>LINESTRING (-111.9349083 33.4063787, -111.9351782383019 33.40673131662375)</t>
  </si>
  <si>
    <t>LINESTRING (-111.9351424888841 33.40709992441909, -111.9349055 33.4071062)</t>
  </si>
  <si>
    <t>LINESTRING (-111.9349055 33.4071062, -111.9351424888841 33.40709992441909)</t>
  </si>
  <si>
    <t>LINESTRING (-111.935799 33.40673655, -111.9359727 33.4063787)</t>
  </si>
  <si>
    <t>LINESTRING (-111.9359727 33.4063787, -111.935799 33.40673655)</t>
  </si>
  <si>
    <t>LINESTRING (-111.9353948005155 33.40702860960792, -111.9354177 33.4074426)</t>
  </si>
  <si>
    <t>LINESTRING (-111.9354177 33.4074426, -111.9353948005155 33.40702860960792)</t>
  </si>
  <si>
    <t>LINESTRING (-111.934625938839 33.40718302930645, -111.9349055 33.4071062)</t>
  </si>
  <si>
    <t>LINESTRING (-111.9349055 33.4071062, -111.934625938839 33.40718302930645)</t>
  </si>
  <si>
    <t>LINESTRING (-111.9354929100477 33.40677828265413, -111.9359727 33.4063787)</t>
  </si>
  <si>
    <t>LINESTRING (-111.9359727 33.4063787, -111.9354929100477 33.40677828265413)</t>
  </si>
  <si>
    <t>LINESTRING (-111.9287229995956 33.40665635872924, -111.9290192 33.4063787)</t>
  </si>
  <si>
    <t>LINESTRING (-111.9290192 33.4063787, -111.9287229995956 33.40665635872924)</t>
  </si>
  <si>
    <t>LINESTRING (-111.9292066796892 33.40720485748415, -111.9290279 33.4074428)</t>
  </si>
  <si>
    <t>LINESTRING (-111.9290279 33.4074428, -111.9292066796892 33.40720485748415)</t>
  </si>
  <si>
    <t>LINESTRING (-111.9292369481358 33.40666070148994, -111.9290192 33.4063787)</t>
  </si>
  <si>
    <t>LINESTRING (-111.9290192 33.4063787, -111.9292369481358 33.40666070148994)</t>
  </si>
  <si>
    <t>LINESTRING (-111.9267792450564 33.40787519296965, -111.9269827 33.4076415)</t>
  </si>
  <si>
    <t>LINESTRING (-111.9269827 33.4076415, -111.9267792450564 33.40787519296965)</t>
  </si>
  <si>
    <t>LINESTRING (-111.9332895582 33.41040907495521, -111.9338902 33.4096095)</t>
  </si>
  <si>
    <t>LINESTRING (-111.9338902 33.4096095, -111.9332895582 33.41040907495521)</t>
  </si>
  <si>
    <t>LINESTRING (-111.93478165 33.4098142, -111.9348914 33.4096614)</t>
  </si>
  <si>
    <t>LINESTRING (-111.9348914 33.4096614, -111.93478165 33.4098142)</t>
  </si>
  <si>
    <t>LINESTRING (-111.9347633394494 33.41035867269537, -111.9349226 33.4103317)</t>
  </si>
  <si>
    <t>LINESTRING (-111.9349226 33.4103317, -111.9347633394494 33.41035867269537)</t>
  </si>
  <si>
    <t>LINESTRING (-111.9390620754295 33.40812971324559, -111.9392768 33.408668)</t>
  </si>
  <si>
    <t>LINESTRING (-111.9392768 33.408668, -111.9390620754295 33.40812971324559)</t>
  </si>
  <si>
    <t>LINESTRING (-111.9390535245704 33.4078339867544, -111.9389839 33.4074225)</t>
  </si>
  <si>
    <t>LINESTRING (-111.9389839 33.4074225, -111.9390535245704 33.4078339867544)</t>
  </si>
  <si>
    <t>LINESTRING (-111.9388485290363 33.40783694301167, -111.9389839 33.4074225)</t>
  </si>
  <si>
    <t>LINESTRING (-111.9389839 33.4074225, -111.9388485290363 33.40783694301167)</t>
  </si>
  <si>
    <t>LINESTRING (-111.9386380867272 33.40783828248823, -111.9385439 33.4074173)</t>
  </si>
  <si>
    <t>LINESTRING (-111.9385439 33.4074173, -111.9386380867272 33.40783828248823)</t>
  </si>
  <si>
    <t>LINESTRING (-111.938854487336 33.40813071812596, -111.9392768 33.408668)</t>
  </si>
  <si>
    <t>LINESTRING (-111.9392768 33.408668, -111.938854487336 33.40813071812596)</t>
  </si>
  <si>
    <t>LINESTRING (-111.9386464388571 33.40815607495185, -111.9381791 33.4085985)</t>
  </si>
  <si>
    <t>LINESTRING (-111.9381791 33.4085985, -111.9386464388571 33.40815607495185)</t>
  </si>
  <si>
    <t>LINESTRING (-111.939085256683 33.40842397458638, -111.9392768 33.408668)</t>
  </si>
  <si>
    <t>LINESTRING (-111.9392768 33.408668, -111.939085256683 33.40842397458638)</t>
  </si>
  <si>
    <t>LINESTRING (-111.9402250682633 33.40698020436882, -111.9397915 33.4068077)</t>
  </si>
  <si>
    <t>LINESTRING (-111.9397915 33.4068077, -111.9402250682633 33.40698020436882)</t>
  </si>
  <si>
    <t>LINESTRING (-111.9283181364146 33.40687357525384, -111.92797 33.4063787)</t>
  </si>
  <si>
    <t>LINESTRING (-111.92797 33.4063787, -111.9283181364146 33.40687357525384)</t>
  </si>
  <si>
    <t>LINESTRING (-111.9283012828448 33.40694122511708, -111.9279752 33.4075028)</t>
  </si>
  <si>
    <t>LINESTRING (-111.9279752 33.4075028, -111.9283012828448 33.40694122511708)</t>
  </si>
  <si>
    <t>LINESTRING (-111.9283462100856 33.40670617582218, -111.92797 33.4063787)</t>
  </si>
  <si>
    <t>LINESTRING (-111.92797 33.4063787, -111.9283462100856 33.40670617582218)</t>
  </si>
  <si>
    <t>LINESTRING (-111.9281530823499 33.40686496913593, -111.92797 33.4063787)</t>
  </si>
  <si>
    <t>LINESTRING (-111.92797 33.4063787, -111.9281530823499 33.40686496913593)</t>
  </si>
  <si>
    <t>LINESTRING (-111.9281855697287 33.40664293210682, -111.92797 33.4063787)</t>
  </si>
  <si>
    <t>LINESTRING (-111.92797 33.4063787, -111.9281855697287 33.40664293210682)</t>
  </si>
  <si>
    <t>LINESTRING (-111.9304058496237 33.4068746896942, -111.93012 33.4066513)</t>
  </si>
  <si>
    <t>LINESTRING (-111.93012 33.4066513, -111.9304058496237 33.4068746896942)</t>
  </si>
  <si>
    <t>LINESTRING (-111.9304882958228 33.40687476790687, -111.93012 33.4066513)</t>
  </si>
  <si>
    <t>LINESTRING (-111.93012 33.4066513, -111.9304882958228 33.40687476790687)</t>
  </si>
  <si>
    <t>LINESTRING (-111.9303307298305 33.40687615994446, -111.93012 33.4066513)</t>
  </si>
  <si>
    <t>LINESTRING (-111.93012 33.4066513, -111.9303307298305 33.40687615994446)</t>
  </si>
  <si>
    <t>LINESTRING (-111.9302494181076 33.40687626285008, -111.93012 33.4066513)</t>
  </si>
  <si>
    <t>LINESTRING (-111.93012 33.4066513, -111.9302494181076 33.40687626285008)</t>
  </si>
  <si>
    <t>LINESTRING (-111.9304122917147 33.40718592009961, -111.9301223 33.4075271)</t>
  </si>
  <si>
    <t>LINESTRING (-111.9301223 33.4075271, -111.9304122917147 33.40718592009961)</t>
  </si>
  <si>
    <t>LINESTRING (-111.9304856535371 33.40718458220096, -111.9305895 33.4076081)</t>
  </si>
  <si>
    <t>LINESTRING (-111.9305895 33.4076081, -111.9304856535371 33.40718458220096)</t>
  </si>
  <si>
    <t>LINESTRING (-111.930327879176 33.40718519640547, -111.9301223 33.4075271)</t>
  </si>
  <si>
    <t>LINESTRING (-111.9301223 33.4075271, -111.930327879176 33.40718519640547)</t>
  </si>
  <si>
    <t>LINESTRING (-111.9439910903231 33.4222843570174, -111.9439222 33.4218959)</t>
  </si>
  <si>
    <t>LINESTRING (-111.9439222 33.4218959, -111.9439910903231 33.4222843570174)</t>
  </si>
  <si>
    <t>LINESTRING (-111.9445438644037 33.42218409325544, -111.9446584 33.4218949)</t>
  </si>
  <si>
    <t>LINESTRING (-111.9446584 33.4218949, -111.9445438644037 33.42218409325544)</t>
  </si>
  <si>
    <t>LINESTRING (-110.7936354621667 32.1137246133019, -111.9091195 33.4063787)</t>
  </si>
  <si>
    <t>LINESTRING (-111.9091195 33.4063787, -110.7936354621667 32.1137246133019)</t>
  </si>
  <si>
    <t>LINESTRING (-110.7936558187843 32.11381016391556, -111.9091195 33.4063787)</t>
  </si>
  <si>
    <t>LINESTRING (-111.9091195 33.4063787, -110.7936558187843 32.11381016391556)</t>
  </si>
  <si>
    <t>LINESTRING (-110.7936319140022 32.11375395078773, -111.9091195 33.4063787)</t>
  </si>
  <si>
    <t>LINESTRING (-111.9091195 33.4063787, -110.7936319140022 32.11375395078773)</t>
  </si>
  <si>
    <t>LINESTRING (-110.7917453789493 32.09615565083254, -111.9091195 33.4063787)</t>
  </si>
  <si>
    <t>LINESTRING (-111.9091195 33.4063787, -110.7917453789493 32.09615565083254)</t>
  </si>
  <si>
    <t>LINESTRING (-110.7923566447144 32.09551863714915, -111.9091195 33.4063787)</t>
  </si>
  <si>
    <t>LINESTRING (-111.9091195 33.4063787, -110.7923566447144 32.09551863714915)</t>
  </si>
  <si>
    <t>LINESTRING (-111.7725622602293 33.3432922403781, -111.9074988 33.4074335)</t>
  </si>
  <si>
    <t>LINESTRING (-111.9074988 33.4074335, -111.7725622602293 33.3432922403781)</t>
  </si>
  <si>
    <t>LINESTRING (-111.7724417228017 33.34347749267899, -111.9074988 33.4074335)</t>
  </si>
  <si>
    <t>LINESTRING (-111.9074988 33.4074335, -111.7724417228017 33.34347749267899)</t>
  </si>
  <si>
    <t>LINESTRING (-110.9347428818661 32.19668572834499, -111.9091195 33.4063787)</t>
  </si>
  <si>
    <t>LINESTRING (-111.9091195 33.4063787, -110.9347428818661 32.19668572834499)</t>
  </si>
  <si>
    <t>LINESTRING (-110.9350394730088 32.1966690028449, -111.9091195 33.4063787)</t>
  </si>
  <si>
    <t>LINESTRING (-111.9091195 33.4063787, -110.9350394730088 32.1966690028449)</t>
  </si>
  <si>
    <t>LINESTRING (-110.9367731260989 32.19642451755974, -111.9091195 33.4063787)</t>
  </si>
  <si>
    <t>LINESTRING (-111.9091195 33.4063787, -110.9367731260989 32.19642451755974)</t>
  </si>
  <si>
    <t>LINESTRING (-110.9366875186247 32.19495599323792, -111.9091195 33.4063787)</t>
  </si>
  <si>
    <t>LINESTRING (-111.9091195 33.4063787, -110.9366875186247 32.19495599323792)</t>
  </si>
  <si>
    <t>LINESTRING (-110.9356647009441 32.19678050507041, -111.9091195 33.4063787)</t>
  </si>
  <si>
    <t>LINESTRING (-111.9091195 33.4063787, -110.9356647009441 32.19678050507041)</t>
  </si>
  <si>
    <t>LINESTRING (-110.936248534512 32.19329342897628, -111.9091195 33.4063787)</t>
  </si>
  <si>
    <t>LINESTRING (-111.9091195 33.4063787, -110.936248534512 32.19329342897628)</t>
  </si>
  <si>
    <t>LINESTRING (-110.9361599522766 32.192906710613, -111.9091195 33.4063787)</t>
  </si>
  <si>
    <t>LINESTRING (-111.9091195 33.4063787, -110.9361599522766 32.192906710613)</t>
  </si>
  <si>
    <t>LINESTRING (-110.9370347667094 32.19686100037802, -111.9091195 33.4063787)</t>
  </si>
  <si>
    <t>LINESTRING (-111.9091195 33.4063787, -110.9370347667094 32.19686100037802)</t>
  </si>
  <si>
    <t>LINESTRING (-110.9369777 32.1969359, -111.9091195 33.4063787)</t>
  </si>
  <si>
    <t>LINESTRING (-111.9091195 33.4063787, -110.9369777 32.1969359)</t>
  </si>
  <si>
    <t>LINESTRING (-110.9365992878213 32.19684852491763, -111.9091195 33.4063787)</t>
  </si>
  <si>
    <t>LINESTRING (-111.9091195 33.4063787, -110.9365992878213 32.19684852491763)</t>
  </si>
  <si>
    <t>LINESTRING (-110.9360806451417 32.19710076599946, -111.9091195 33.4063787)</t>
  </si>
  <si>
    <t>LINESTRING (-111.9091195 33.4063787, -110.9360806451417 32.19710076599946)</t>
  </si>
  <si>
    <t>LINESTRING (-110.9373048514318 32.19429967770868, -111.9091195 33.4063787)</t>
  </si>
  <si>
    <t>LINESTRING (-111.9091195 33.4063787, -110.9373048514318 32.19429967770868)</t>
  </si>
  <si>
    <t>LINESTRING (-110.9367373656661 32.19313191865496, -111.9091195 33.4063787)</t>
  </si>
  <si>
    <t>LINESTRING (-111.9091195 33.4063787, -110.9367373656661 32.19313191865496)</t>
  </si>
  <si>
    <t>LINESTRING (-111.9085586174722 33.41504818931782, -111.9091135 33.4148353)</t>
  </si>
  <si>
    <t>LINESTRING (-111.9091135 33.4148353, -111.9085586174722 33.41504818931782)</t>
  </si>
  <si>
    <t>LINESTRING (-111.9087703060765 33.41509893325475, -111.9091135 33.4148353)</t>
  </si>
  <si>
    <t>LINESTRING (-111.9091135 33.4148353, -111.9087703060765 33.41509893325475)</t>
  </si>
  <si>
    <t>LINESTRING (-111.9098081249621 33.40806654241651, -111.9091078 33.4082217)</t>
  </si>
  <si>
    <t>LINESTRING (-111.9091078 33.4082217, -111.9098081249621 33.40806654241651)</t>
  </si>
  <si>
    <t>LINESTRING (-111.9105173548431 33.40797432725284, -111.9106315 33.407571)</t>
  </si>
  <si>
    <t>LINESTRING (-111.9106315 33.407571, -111.9105173548431 33.40797432725284)</t>
  </si>
  <si>
    <t>LINESTRING (-111.9096852307968 33.40644169743339, -111.9091195 33.4063787)</t>
  </si>
  <si>
    <t>LINESTRING (-111.9091195 33.4063787, -111.9096852307968 33.40644169743339)</t>
  </si>
  <si>
    <t>LINESTRING (-111.9099953849569 33.40657136412398, -111.9091195 33.4063787)</t>
  </si>
  <si>
    <t>LINESTRING (-111.9091195 33.4063787, -111.9099953849569 33.40657136412398)</t>
  </si>
  <si>
    <t>LINESTRING (-111.9105198114004 33.40645141843658, -111.9099258 33.4074356)</t>
  </si>
  <si>
    <t>LINESTRING (-111.9099258 33.4074356, -111.9105198114004 33.40645141843658)</t>
  </si>
  <si>
    <t>LINESTRING (-111.9111103358528 33.40653280478135, -111.911231 33.4074387)</t>
  </si>
  <si>
    <t>LINESTRING (-111.911231 33.4074387, -111.9111103358528 33.40653280478135)</t>
  </si>
  <si>
    <t>LINESTRING (-111.9115038614384 33.40670528161577, -111.911231 33.4074387)</t>
  </si>
  <si>
    <t>LINESTRING (-111.911231 33.4074387, -111.9115038614384 33.40670528161577)</t>
  </si>
  <si>
    <t>LINESTRING (-111.9114913 33.40710910000001, -111.911231 33.4074387)</t>
  </si>
  <si>
    <t>LINESTRING (-111.911231 33.4074387, -111.9114913 33.40710910000001)</t>
  </si>
  <si>
    <t>LINESTRING (-111.9074779985938 33.40670164667831, -111.9074988 33.4074335)</t>
  </si>
  <si>
    <t>LINESTRING (-111.9074988 33.4074335, -111.9074779985938 33.40670164667831)</t>
  </si>
  <si>
    <t>LINESTRING (-111.90868365 33.4066203, -111.9091145 33.4068521)</t>
  </si>
  <si>
    <t>LINESTRING (-111.9091145 33.4068521, -111.90868365 33.4066203)</t>
  </si>
  <si>
    <t>LINESTRING (-111.9083286227855 33.40702753151452, -111.9085518 33.4074305)</t>
  </si>
  <si>
    <t>LINESTRING (-111.9085518 33.4074305, -111.9083286227855 33.40702753151452)</t>
  </si>
  <si>
    <t>LINESTRING (-111.9079042901913 33.43014393664302, -111.9081933 33.4293742)</t>
  </si>
  <si>
    <t>LINESTRING (-111.9081933 33.4293742, -111.9079042901913 33.43014393664302)</t>
  </si>
  <si>
    <t>LINESTRING (-111.9082967207258 33.43057257912298, -111.9091495 33.430223)</t>
  </si>
  <si>
    <t>LINESTRING (-111.9091495 33.430223, -111.9082967207258 33.43057257912298)</t>
  </si>
  <si>
    <t>LINESTRING (-111.9076601909229 33.43246603763286, -111.9093089 33.4325046)</t>
  </si>
  <si>
    <t>LINESTRING (-111.9093089 33.4325046, -111.9076601909229 33.43246603763286)</t>
  </si>
  <si>
    <t>LINESTRING (-111.908108624945 33.43242337183312, -111.9093089 33.4325046)</t>
  </si>
  <si>
    <t>LINESTRING (-111.9093089 33.4325046, -111.908108624945 33.43242337183312)</t>
  </si>
  <si>
    <t>LINESTRING (-111.9085813623006 33.43239626604161, -111.9093089 33.4325046)</t>
  </si>
  <si>
    <t>LINESTRING (-111.9093089 33.4325046, -111.9085813623006 33.43239626604161)</t>
  </si>
  <si>
    <t>LINESTRING (-111.9298630018254 33.42349634093659, -111.9304264 33.4231268)</t>
  </si>
  <si>
    <t>LINESTRING (-111.9304264 33.4231268, -111.9298630018254 33.42349634093659)</t>
  </si>
  <si>
    <t>LINESTRING (-111.9157593604316 33.40902943302238, -111.9154379 33.4075755)</t>
  </si>
  <si>
    <t>LINESTRING (-111.9154379 33.4075755, -111.9157593604316 33.40902943302238)</t>
  </si>
  <si>
    <t>LINESTRING (-111.9083646511019 33.40796681883531, -111.9082621 33.4075674)</t>
  </si>
  <si>
    <t>LINESTRING (-111.9082621 33.4075674, -111.9083646511019 33.40796681883531)</t>
  </si>
  <si>
    <t>LINESTRING (-111.9074591158337 33.40952720910886, -111.9091127 33.4090648)</t>
  </si>
  <si>
    <t>LINESTRING (-111.9091127 33.4090648, -111.9074591158337 33.40952720910886)</t>
  </si>
  <si>
    <t>LINESTRING (-111.9074880412595 33.40854943284676, -111.9074988 33.4075654)</t>
  </si>
  <si>
    <t>LINESTRING (-111.9074988 33.4075654, -111.9074880412595 33.40854943284676)</t>
  </si>
  <si>
    <t>LINESTRING (-111.9078903462672 33.40838733784979, -111.9082621 33.4075674)</t>
  </si>
  <si>
    <t>LINESTRING (-111.9082621 33.4075674, -111.9078903462672 33.40838733784979)</t>
  </si>
  <si>
    <t>LINESTRING (-111.9074753407736 33.40829648346703, -111.9074988 33.4075654)</t>
  </si>
  <si>
    <t>LINESTRING (-111.9074988 33.4075654, -111.9074753407736 33.40829648346703)</t>
  </si>
  <si>
    <t>LINESTRING (-111.9077139396319 33.40832331511474, -111.9074988 33.4075654)</t>
  </si>
  <si>
    <t>LINESTRING (-111.9074988 33.4075654, -111.9077139396319 33.40832331511474)</t>
  </si>
  <si>
    <t>LINESTRING (-111.907875409487 33.40873087858986, -111.9091088 33.4085182)</t>
  </si>
  <si>
    <t>LINESTRING (-111.9091088 33.4085182, -111.907875409487 33.40873087858986)</t>
  </si>
  <si>
    <t>LINESTRING (-111.9080063963694 33.41216851567816, -111.9091115 33.412465)</t>
  </si>
  <si>
    <t>LINESTRING (-111.9091115 33.412465, -111.9080063963694 33.41216851567816)</t>
  </si>
  <si>
    <t>LINESTRING (-111.9084428108647 33.41234116364008, -111.9091115 33.412465)</t>
  </si>
  <si>
    <t>LINESTRING (-111.9091115 33.412465, -111.9084428108647 33.41234116364008)</t>
  </si>
  <si>
    <t>LINESTRING (-111.9084198463989 33.41157282871904, -111.9090591 33.4114902)</t>
  </si>
  <si>
    <t>LINESTRING (-111.9090591 33.4114902, -111.9084198463989 33.41157282871904)</t>
  </si>
  <si>
    <t>LINESTRING (-111.9081146545322 33.41297721178392, -111.9091115 33.412465)</t>
  </si>
  <si>
    <t>LINESTRING (-111.9091115 33.412465, -111.9081146545322 33.41297721178392)</t>
  </si>
  <si>
    <t>LINESTRING (-111.9082198385605 33.41320706529934, -111.9091153 33.413681)</t>
  </si>
  <si>
    <t>LINESTRING (-111.9091153 33.413681, -111.9082198385605 33.41320706529934)</t>
  </si>
  <si>
    <t>LINESTRING (-111.9098915 33.41590850000001, -111.9091161 33.4158327)</t>
  </si>
  <si>
    <t>LINESTRING (-111.9091161 33.4158327, -111.9098915 33.41590850000001)</t>
  </si>
  <si>
    <t>LINESTRING (-111.90974 33.4159085, -111.9091161 33.4158327)</t>
  </si>
  <si>
    <t>LINESTRING (-111.9091161 33.4158327, -111.90974 33.4159085)</t>
  </si>
  <si>
    <t>LINESTRING (-111.910133 33.41594449999999, -111.9091161 33.4158327)</t>
  </si>
  <si>
    <t>LINESTRING (-111.9091161 33.4158327, -111.910133 33.41594449999999)</t>
  </si>
  <si>
    <t>LINESTRING (-111.910299 33.41597700000001, -111.9091161 33.4158327)</t>
  </si>
  <si>
    <t>LINESTRING (-111.9091161 33.4158327, -111.910299 33.41597700000001)</t>
  </si>
  <si>
    <t>LINESTRING (-111.9105065 33.4159705, -111.9117974 33.4161499)</t>
  </si>
  <si>
    <t>LINESTRING (-111.9117974 33.4161499, -111.9105065 33.4159705)</t>
  </si>
  <si>
    <t>LINESTRING (-111.9107004390018 33.41597442513864, -111.9117974 33.4161499)</t>
  </si>
  <si>
    <t>LINESTRING (-111.9117974 33.4161499, -111.9107004390018 33.41597442513864)</t>
  </si>
  <si>
    <t>LINESTRING (-111.9077361184465 33.42553367486629, -111.9074988 33.4274045)</t>
  </si>
  <si>
    <t>LINESTRING (-111.9074988 33.4274045, -111.9077361184465 33.42553367486629)</t>
  </si>
  <si>
    <t>LINESTRING (-111.90779231253 33.42504344976946, -111.9074988 33.4274045)</t>
  </si>
  <si>
    <t>LINESTRING (-111.9074988 33.4274045, -111.90779231253 33.42504344976946)</t>
  </si>
  <si>
    <t>LINESTRING (-111.9076656734027 33.42768355211243, -111.9074988 33.4274045)</t>
  </si>
  <si>
    <t>LINESTRING (-111.9074988 33.4274045, -111.9076656734027 33.42768355211243)</t>
  </si>
  <si>
    <t>LINESTRING (-111.9074257923458 33.4286901131829, -111.9074988 33.4292515)</t>
  </si>
  <si>
    <t>LINESTRING (-111.9074988 33.4292515, -111.9074257923458 33.4286901131829)</t>
  </si>
  <si>
    <t>LINESTRING (-111.9072933544488 33.42316700102377, -111.9074988 33.4219987)</t>
  </si>
  <si>
    <t>LINESTRING (-111.9074988 33.4219987, -111.9072933544488 33.42316700102377)</t>
  </si>
  <si>
    <t>LINESTRING (-111.9075030975645 33.42246021933537, -111.9074988 33.4219987)</t>
  </si>
  <si>
    <t>LINESTRING (-111.9074988 33.4219987, -111.9075030975645 33.42246021933537)</t>
  </si>
  <si>
    <t>LINESTRING (-111.910842 33.40846200000001, -111.9106315 33.407571)</t>
  </si>
  <si>
    <t>LINESTRING (-111.9106315 33.407571, -111.910842 33.40846200000001)</t>
  </si>
  <si>
    <t>LINESTRING (-111.910488 33.408466, -111.9106315 33.407571)</t>
  </si>
  <si>
    <t>LINESTRING (-111.9106315 33.407571, -111.910488 33.408466)</t>
  </si>
  <si>
    <t>LINESTRING (-111.9112085 33.408395, -111.91123 33.4075712)</t>
  </si>
  <si>
    <t>LINESTRING (-111.91123 33.4075712, -111.9112085 33.408395)</t>
  </si>
  <si>
    <t>LINESTRING (-111.9106055 33.408873, -111.9091127 33.4090648)</t>
  </si>
  <si>
    <t>LINESTRING (-111.9091127 33.4090648, -111.9106055 33.408873)</t>
  </si>
  <si>
    <t>LINESTRING (-111.9104634715628 33.40911681710845, -111.9091127 33.4090648)</t>
  </si>
  <si>
    <t>LINESTRING (-111.9091127 33.4090648, -111.9104634715628 33.40911681710845)</t>
  </si>
  <si>
    <t>LINESTRING (-111.9109519271288 33.4090733504173, -111.91123 33.4075712)</t>
  </si>
  <si>
    <t>LINESTRING (-111.91123 33.4075712, -111.9109519271288 33.4090733504173)</t>
  </si>
  <si>
    <t>LINESTRING (-111.9098175 33.408874, -111.9091127 33.4090648)</t>
  </si>
  <si>
    <t>LINESTRING (-111.9091127 33.4090648, -111.9098175 33.408874)</t>
  </si>
  <si>
    <t>LINESTRING (-111.9097863185814 33.40918373694333, -111.9091127 33.4090648)</t>
  </si>
  <si>
    <t>LINESTRING (-111.9091127 33.4090648, -111.9097863185814 33.40918373694333)</t>
  </si>
  <si>
    <t>LINESTRING (-111.91027 33.40948649999999, -111.9091127 33.4090648)</t>
  </si>
  <si>
    <t>LINESTRING (-111.9091127 33.4090648, -111.91027 33.40948649999999)</t>
  </si>
  <si>
    <t>LINESTRING (-111.910652 33.409508, -111.9091127 33.4090648)</t>
  </si>
  <si>
    <t>LINESTRING (-111.9091127 33.4090648, -111.910652 33.409508)</t>
  </si>
  <si>
    <t>LINESTRING (-111.9098545 33.409522, -111.9091127 33.4090648)</t>
  </si>
  <si>
    <t>LINESTRING (-111.9091127 33.4090648, -111.9098545 33.409522)</t>
  </si>
  <si>
    <t>LINESTRING (-111.9102093428574 33.408882175994, -111.9091127 33.4090648)</t>
  </si>
  <si>
    <t>LINESTRING (-111.9091127 33.4090648, -111.9102093428574 33.408882175994)</t>
  </si>
  <si>
    <t>LINESTRING (-111.9113385 33.40958499999999, -111.9091127 33.4090648)</t>
  </si>
  <si>
    <t>LINESTRING (-111.9091127 33.4090648, -111.9113385 33.40958499999999)</t>
  </si>
  <si>
    <t>LINESTRING (-111.9109775 33.4099475, -111.9091664 33.4105267)</t>
  </si>
  <si>
    <t>LINESTRING (-111.9091664 33.4105267, -111.9109775 33.4099475)</t>
  </si>
  <si>
    <t>LINESTRING (-111.9106531118673 33.40999860411366, -111.9091664 33.4105267)</t>
  </si>
  <si>
    <t>LINESTRING (-111.9091664 33.4105267, -111.9106531118673 33.40999860411366)</t>
  </si>
  <si>
    <t>LINESTRING (-111.9110710471714 33.41027057585672, -111.9108155 33.4116335)</t>
  </si>
  <si>
    <t>LINESTRING (-111.9108155 33.4116335, -111.9110710471714 33.41027057585672)</t>
  </si>
  <si>
    <t>LINESTRING (-111.910654 33.410328, -111.9091664 33.4105267)</t>
  </si>
  <si>
    <t>LINESTRING (-111.9091664 33.4105267, -111.910654 33.410328)</t>
  </si>
  <si>
    <t>LINESTRING (-111.910155104663 33.41031137371112, -111.9091664 33.4105267)</t>
  </si>
  <si>
    <t>LINESTRING (-111.9091664 33.4105267, -111.910155104663 33.41031137371112)</t>
  </si>
  <si>
    <t>LINESTRING (-111.910155 33.40999449999999, -111.9091664 33.4105267)</t>
  </si>
  <si>
    <t>LINESTRING (-111.9091664 33.4105267, -111.910155 33.40999449999999)</t>
  </si>
  <si>
    <t>LINESTRING (-111.909815 33.4099485, -111.9091664 33.4105267)</t>
  </si>
  <si>
    <t>LINESTRING (-111.9091664 33.4105267, -111.909815 33.4099485)</t>
  </si>
  <si>
    <t>LINESTRING (-111.9097435 33.410223, -111.9091664 33.4105267)</t>
  </si>
  <si>
    <t>LINESTRING (-111.9091664 33.4105267, -111.9097435 33.410223)</t>
  </si>
  <si>
    <t>LINESTRING (-111.9097947489113 33.41056739571388, -111.9091664 33.4105267)</t>
  </si>
  <si>
    <t>LINESTRING (-111.9091664 33.4105267, -111.9097947489113 33.41056739571388)</t>
  </si>
  <si>
    <t>LINESTRING (-111.910126 33.4106255, -111.9091664 33.4105267)</t>
  </si>
  <si>
    <t>LINESTRING (-111.9091664 33.4105267, -111.910126 33.4106255)</t>
  </si>
  <si>
    <t>LINESTRING (-111.9107140004763 33.41062288471259, -111.9108155 33.4116335)</t>
  </si>
  <si>
    <t>LINESTRING (-111.9108155 33.4116335, -111.9107140004763 33.41062288471259)</t>
  </si>
  <si>
    <t>LINESTRING (-111.9111341013434 33.41061274425015, -111.9108155 33.4116335)</t>
  </si>
  <si>
    <t>LINESTRING (-111.9108155 33.4116335, -111.9111341013434 33.41061274425015)</t>
  </si>
  <si>
    <t>LINESTRING (-111.911172 33.410899, -111.9108155 33.4116335)</t>
  </si>
  <si>
    <t>LINESTRING (-111.9108155 33.4116335, -111.911172 33.410899)</t>
  </si>
  <si>
    <t>LINESTRING (-111.9105815 33.4109025, -111.9108155 33.4116335)</t>
  </si>
  <si>
    <t>LINESTRING (-111.9108155 33.4116335, -111.9105815 33.4109025)</t>
  </si>
  <si>
    <t>LINESTRING (-111.909858 33.4109045, -111.9091664 33.4105267)</t>
  </si>
  <si>
    <t>LINESTRING (-111.9091664 33.4105267, -111.909858 33.4109045)</t>
  </si>
  <si>
    <t>LINESTRING (-111.9171395 33.4066035, -111.9177062 33.4063878)</t>
  </si>
  <si>
    <t>LINESTRING (-111.9177062 33.4063878, -111.9171395 33.4066035)</t>
  </si>
  <si>
    <t>LINESTRING (-111.9168657112371 33.40661293052261, -111.9177062 33.4063878)</t>
  </si>
  <si>
    <t>LINESTRING (-111.9177062 33.4063878, -111.9168657112371 33.40661293052261)</t>
  </si>
  <si>
    <t>LINESTRING (-111.9166157078847 33.4066708589602, -111.9161352 33.4074426)</t>
  </si>
  <si>
    <t>LINESTRING (-111.9161352 33.4074426, -111.9166157078847 33.4066708589602)</t>
  </si>
  <si>
    <t>LINESTRING (-111.928306 33.40648949999999, -111.92797 33.4063787)</t>
  </si>
  <si>
    <t>LINESTRING (-111.92797 33.4063787, -111.928306 33.40648949999999)</t>
  </si>
  <si>
    <t>LINESTRING (-111.9281555 33.4064905, -111.92797 33.4063787)</t>
  </si>
  <si>
    <t>LINESTRING (-111.92797 33.4063787, -111.9281555 33.4064905)</t>
  </si>
  <si>
    <t>LINESTRING (-111.9298561414831 33.4066434448776, -111.93012 33.4066513)</t>
  </si>
  <si>
    <t>LINESTRING (-111.93012 33.4066513, -111.9298561414831 33.4066434448776)</t>
  </si>
  <si>
    <t>LINESTRING (-111.930355 33.4066425, -111.93012 33.4066513)</t>
  </si>
  <si>
    <t>LINESTRING (-111.93012 33.4066513, -111.930355 33.4066425)</t>
  </si>
  <si>
    <t>LINESTRING (-111.9293175109832 33.40687050918405, -111.9290192 33.4063787)</t>
  </si>
  <si>
    <t>LINESTRING (-111.9290192 33.4063787, -111.9293175109832 33.40687050918405)</t>
  </si>
  <si>
    <t>LINESTRING (-111.9308149129285 33.40652509304215, -111.9310728 33.4066298)</t>
  </si>
  <si>
    <t>LINESTRING (-111.9310728 33.4066298, -111.9308149129285 33.40652509304215)</t>
  </si>
  <si>
    <t>LINESTRING (-111.9308224053149 33.40677356776905, -111.9310728 33.4066298)</t>
  </si>
  <si>
    <t>LINESTRING (-111.9310728 33.4066298, -111.9308224053149 33.40677356776905)</t>
  </si>
  <si>
    <t>LINESTRING (-111.9308308103252 33.40699419738016, -111.9310728 33.4066298)</t>
  </si>
  <si>
    <t>LINESTRING (-111.9310728 33.4066298, -111.9308308103252 33.40699419738016)</t>
  </si>
  <si>
    <t>LINESTRING (-111.9308554469373 33.40723210596853, -111.9311381 33.407433)</t>
  </si>
  <si>
    <t>LINESTRING (-111.9311381 33.407433, -111.9308554469373 33.40723210596853)</t>
  </si>
  <si>
    <t>LINESTRING (-111.934116 33.40662699999999, -111.9338966 33.4066011)</t>
  </si>
  <si>
    <t>LINESTRING (-111.9338966 33.4066011, -111.934116 33.40662699999999)</t>
  </si>
  <si>
    <t>LINESTRING (-111.9346305 33.40661000000001, -111.9349083 33.4063787)</t>
  </si>
  <si>
    <t>LINESTRING (-111.9349083 33.4063787, -111.9346305 33.40661000000001)</t>
  </si>
  <si>
    <t>LINESTRING (-111.9278155637585 33.41629507543108, -111.9263007 33.4163769)</t>
  </si>
  <si>
    <t>LINESTRING (-111.9263007 33.4163769, -111.9278155637585 33.41629507543108)</t>
  </si>
  <si>
    <t>LINESTRING (-111.9241935002735 33.41530828330559, -111.9240547 33.4148207)</t>
  </si>
  <si>
    <t>LINESTRING (-111.9240547 33.4148207, -111.9241935002735 33.41530828330559)</t>
  </si>
  <si>
    <t>LINESTRING (-111.9389653799953 33.41754617896602, -111.9398468 33.4176189)</t>
  </si>
  <si>
    <t>LINESTRING (-111.9398468 33.4176189, -111.9389653799953 33.41754617896602)</t>
  </si>
  <si>
    <t>LINESTRING (-111.937504543339 33.4175580707, -111.936655 33.4174833)</t>
  </si>
  <si>
    <t>LINESTRING (-111.936655 33.4174833, -111.937504543339 33.4175580707)</t>
  </si>
  <si>
    <t>LINESTRING (-111.9333532931707 33.4143999730138, -111.9335205 33.4146455)</t>
  </si>
  <si>
    <t>LINESTRING (-111.9335205 33.4146455, -111.9333532931707 33.4143999730138)</t>
  </si>
  <si>
    <t>LINESTRING (-111.9333525888513 33.41453257447772, -111.9335205 33.4146455)</t>
  </si>
  <si>
    <t>LINESTRING (-111.9335205 33.4146455, -111.9333525888513 33.41453257447772)</t>
  </si>
  <si>
    <t>LINESTRING (-111.9333538698689 33.4142447243946, -111.9335205 33.4146455)</t>
  </si>
  <si>
    <t>LINESTRING (-111.9335205 33.4146455, -111.9333538698689 33.4142447243946)</t>
  </si>
  <si>
    <t>LINESTRING (-111.9344262947079 33.41438515018687, -111.9342173 33.4147571)</t>
  </si>
  <si>
    <t>LINESTRING (-111.9342173 33.4147571, -111.9344262947079 33.41438515018687)</t>
  </si>
  <si>
    <t>LINESTRING (-111.9259589313159 33.41950375826463, -111.926299 33.4195429)</t>
  </si>
  <si>
    <t>LINESTRING (-111.926299 33.4195429, -111.9259589313159 33.41950375826463)</t>
  </si>
  <si>
    <t>LINESTRING (-111.9374516664662 33.42292459959158, -111.9381595 33.4231914)</t>
  </si>
  <si>
    <t>LINESTRING (-111.9381595 33.4231914, -111.9374516664662 33.42292459959158)</t>
  </si>
  <si>
    <t>LINESTRING (-111.9371335635988 33.42251966902776, -111.9366651 33.4223635)</t>
  </si>
  <si>
    <t>LINESTRING (-111.9366651 33.4223635, -111.9371335635988 33.42251966902776)</t>
  </si>
  <si>
    <t>LINESTRING (-111.9285824135476 33.42287662794411, -111.9291136 33.4224748)</t>
  </si>
  <si>
    <t>LINESTRING (-111.9291136 33.4224748, -111.9285824135476 33.42287662794411)</t>
  </si>
  <si>
    <t>LINESTRING (-111.9143123370165 33.41919144941736, -111.9146898 33.4194459)</t>
  </si>
  <si>
    <t>LINESTRING (-111.9146898 33.4194459, -111.9143123370165 33.41919144941736)</t>
  </si>
  <si>
    <t>LINESTRING (-111.9143097252922 33.41891819779777, -111.9146898 33.4194459)</t>
  </si>
  <si>
    <t>LINESTRING (-111.9146898 33.4194459, -111.9143097252922 33.41891819779777)</t>
  </si>
  <si>
    <t>LINESTRING (-111.9137190684966 33.41892447471167, -111.9128246 33.418373)</t>
  </si>
  <si>
    <t>LINESTRING (-111.9128246 33.418373, -111.9137190684966 33.41892447471167)</t>
  </si>
  <si>
    <t>LINESTRING (-111.9137190370165 33.41919234941737, -111.9128246 33.4194946)</t>
  </si>
  <si>
    <t>LINESTRING (-111.9128246 33.4194946, -111.9137190370165 33.41919234941737)</t>
  </si>
  <si>
    <t>LINESTRING (-111.9269788082045 33.42302003144317, -111.9275107 33.4233377)</t>
  </si>
  <si>
    <t>LINESTRING (-111.9275107 33.4233377, -111.9269788082045 33.42302003144317)</t>
  </si>
  <si>
    <t>LINESTRING (-111.9279607499141 33.42391867933548, -111.9275107 33.4233377)</t>
  </si>
  <si>
    <t>LINESTRING (-111.9275107 33.4233377, -111.9279607499141 33.42391867933548)</t>
  </si>
  <si>
    <t>LINESTRING (-111.9148087476571 33.42637444952987, -111.9126336 33.4293372)</t>
  </si>
  <si>
    <t>LINESTRING (-111.9126336 33.4293372, -111.9148087476571 33.42637444952987)</t>
  </si>
  <si>
    <t>LINESTRING (-111.939292719778 33.42285714514881, -111.939954 33.422988)</t>
  </si>
  <si>
    <t>LINESTRING (-111.939954 33.422988, -111.939292719778 33.42285714514881)</t>
  </si>
  <si>
    <t>LINESTRING (-111.9372523315903 33.41805809312834, -111.9366575 33.4176535)</t>
  </si>
  <si>
    <t>LINESTRING (-111.9366575 33.4176535, -111.9372523315903 33.41805809312834)</t>
  </si>
  <si>
    <t>LINESTRING (-111.9360761 33.4196892, -111.936617 33.4190938)</t>
  </si>
  <si>
    <t>LINESTRING (-111.936617 33.4190938, -111.9360761 33.4196892)</t>
  </si>
  <si>
    <t>LINESTRING (-111.9344911 33.4199302, -111.9339665 33.4183547)</t>
  </si>
  <si>
    <t>LINESTRING (-111.9339665 33.4183547, -111.9344911 33.4199302)</t>
  </si>
  <si>
    <t>LINESTRING (-111.9331409122402 33.4198547056377, -111.9316969 33.4202848)</t>
  </si>
  <si>
    <t>LINESTRING (-111.9316969 33.4202848, -111.9331409122402 33.4198547056377)</t>
  </si>
  <si>
    <t>LINESTRING (-111.9355638 33.4159284, -111.9349506 33.4161111)</t>
  </si>
  <si>
    <t>LINESTRING (-111.9349506 33.4161111, -111.9355638 33.4159284)</t>
  </si>
  <si>
    <t>LINESTRING (-111.9355638 33.4154369, -111.9349498 33.4155051)</t>
  </si>
  <si>
    <t>LINESTRING (-111.9349498 33.4155051, -111.9355638 33.4154369)</t>
  </si>
  <si>
    <t>LINESTRING (-111.9313393555828 33.42288083441887, -111.9312627 33.4233579)</t>
  </si>
  <si>
    <t>LINESTRING (-111.9312627 33.4233579, -111.9313393555828 33.42288083441887)</t>
  </si>
  <si>
    <t>LINESTRING (-111.9429211443443 33.43132273043049, -111.9433753 33.4312967)</t>
  </si>
  <si>
    <t>LINESTRING (-111.9433753 33.4312967, -111.9429211443443 33.43132273043049)</t>
  </si>
  <si>
    <t>LINESTRING (-111.9280118470626 33.42284459386426, -111.9275107 33.4233377)</t>
  </si>
  <si>
    <t>LINESTRING (-111.9275107 33.4233377, -111.9280118470626 33.42284459386426)</t>
  </si>
  <si>
    <t>LINESTRING (-111.9320873745983 33.42251040467669, -111.9317273 33.4218424)</t>
  </si>
  <si>
    <t>LINESTRING (-111.9317273 33.4218424, -111.9320873745983 33.42251040467669)</t>
  </si>
  <si>
    <t>LINESTRING (-111.9335408129592 33.42249898285986, -111.9339909 33.4220122)</t>
  </si>
  <si>
    <t>LINESTRING (-111.9339909 33.4220122, -111.9335408129592 33.42249898285986)</t>
  </si>
  <si>
    <t>LINESTRING (-111.924117582611 33.40911398880917, -111.9235422 33.4101507)</t>
  </si>
  <si>
    <t>LINESTRING (-111.9235422 33.4101507, -111.924117582611 33.40911398880917)</t>
  </si>
  <si>
    <t>LINESTRING (-111.919193772536 33.407924015855, -111.9189369 33.4075769)</t>
  </si>
  <si>
    <t>LINESTRING (-111.9189369 33.4075769, -111.919193772536 33.407924015855)</t>
  </si>
  <si>
    <t>LINESTRING (-111.9201799262887 33.40792891625154, -111.9204775 33.4075777)</t>
  </si>
  <si>
    <t>LINESTRING (-111.9204775 33.4075777, -111.9201799262887 33.40792891625154)</t>
  </si>
  <si>
    <t>LINESTRING (-111.9241182949269 33.4097326639431, -111.9235422 33.4101507)</t>
  </si>
  <si>
    <t>LINESTRING (-111.9235422 33.4101507, -111.9241182949269 33.4097326639431)</t>
  </si>
  <si>
    <t>LINESTRING (-111.9180679321333 33.40799297326478, -111.9176951 33.408003)</t>
  </si>
  <si>
    <t>LINESTRING (-111.9176951 33.408003, -111.9180679321333 33.40799297326478)</t>
  </si>
  <si>
    <t>LINESTRING (-111.9230043585253 33.40974423429594, -111.9235422 33.4101507)</t>
  </si>
  <si>
    <t>LINESTRING (-111.9235422 33.4101507, -111.9230043585253 33.40974423429594)</t>
  </si>
  <si>
    <t>LINESTRING (-111.927365911827 33.4157679883708, -111.9262936 33.4155005)</t>
  </si>
  <si>
    <t>LINESTRING (-111.9262936 33.4155005, -111.927365911827 33.4157679883708)</t>
  </si>
  <si>
    <t>LINESTRING (-111.9355277500885 33.42227951838418, -111.9349691 33.4220021)</t>
  </si>
  <si>
    <t>LINESTRING (-111.9349691 33.4220021, -111.9355277500885 33.42227951838418)</t>
  </si>
  <si>
    <t>LINESTRING (-111.9283505377376 33.41974598435412, -111.9288801 33.4195869)</t>
  </si>
  <si>
    <t>LINESTRING (-111.9288801 33.4195869, -111.9283505377376 33.41974598435412)</t>
  </si>
  <si>
    <t>LINESTRING (-111.9422374161816 33.40807081601228, -111.9419779 33.4073972)</t>
  </si>
  <si>
    <t>LINESTRING (-111.9419779 33.4073972, -111.9422374161816 33.40807081601228)</t>
  </si>
  <si>
    <t>LINESTRING (-111.9325918520726 33.42650366384845, -111.9339446 33.4251998)</t>
  </si>
  <si>
    <t>LINESTRING (-111.9339446 33.4251998, -111.9325918520726 33.42650366384845)</t>
  </si>
  <si>
    <t>LINESTRING (-111.9305720622285 33.42761457903878, -111.9301262 33.4287001)</t>
  </si>
  <si>
    <t>LINESTRING (-111.9301262 33.4287001, -111.9305720622285 33.42761457903878)</t>
  </si>
  <si>
    <t>LINESTRING (-111.9437980550287 33.40681422444613, -111.9438761 33.4073773)</t>
  </si>
  <si>
    <t>LINESTRING (-111.9438761 33.4073773, -111.9437980550287 33.40681422444613)</t>
  </si>
  <si>
    <t>LINESTRING (-111.9228428757645 33.4162794612572, -111.9225356 33.416758)</t>
  </si>
  <si>
    <t>LINESTRING (-111.9225356 33.416758, -111.9228428757645 33.4162794612572)</t>
  </si>
  <si>
    <t>LINESTRING (-111.9193215970052 33.41610069084479, -111.9187765 33.4166821)</t>
  </si>
  <si>
    <t>LINESTRING (-111.9187765 33.4166821, -111.9193215970052 33.41610069084479)</t>
  </si>
  <si>
    <t>LINESTRING (-111.9198676245866 33.41602302689508, -111.920587 33.4167118)</t>
  </si>
  <si>
    <t>LINESTRING (-111.920587 33.4167118, -111.9198676245866 33.41602302689508)</t>
  </si>
  <si>
    <t>LINESTRING (-111.9235546388371 33.41534266030707, -111.9240547 33.4148207)</t>
  </si>
  <si>
    <t>LINESTRING (-111.9240547 33.4148207, -111.9235546388371 33.41534266030707)</t>
  </si>
  <si>
    <t>LINESTRING (-111.9235756334751 33.41628309230112, -111.9225356 33.416758)</t>
  </si>
  <si>
    <t>LINESTRING (-111.9225356 33.416758, -111.9235756334751 33.41628309230112)</t>
  </si>
  <si>
    <t>LINESTRING (-111.9240580177946 33.41631716556397, -111.925416 33.4168118)</t>
  </si>
  <si>
    <t>LINESTRING (-111.925416 33.4168118, -111.9240580177946 33.41631716556397)</t>
  </si>
  <si>
    <t>LINESTRING (-111.9250723832441 33.41627014235665, -111.925416 33.4168118)</t>
  </si>
  <si>
    <t>LINESTRING (-111.925416 33.4168118, -111.9250723832441 33.41627014235665)</t>
  </si>
  <si>
    <t>LINESTRING (-111.9251220796853 33.41522261415013, -111.9245817 33.4147173)</t>
  </si>
  <si>
    <t>LINESTRING (-111.9245817 33.4147173, -111.9251220796853 33.41522261415013)</t>
  </si>
  <si>
    <t>LINESTRING (-111.9256107975184 33.41657277154037, -111.925416 33.4168118)</t>
  </si>
  <si>
    <t>LINESTRING (-111.925416 33.4168118, -111.9256107975184 33.41657277154037)</t>
  </si>
  <si>
    <t>LINESTRING (-111.9260275585436 33.41696943876959, -111.9263035 33.4168382)</t>
  </si>
  <si>
    <t>LINESTRING (-111.9263035 33.4168382, -111.9260275585436 33.41696943876959)</t>
  </si>
  <si>
    <t>LINESTRING (-111.9238720831532 33.41741542310132, -111.923179 33.417529)</t>
  </si>
  <si>
    <t>LINESTRING (-111.923179 33.417529, -111.9238720831532 33.41741542310132)</t>
  </si>
  <si>
    <t>LINESTRING (-111.9451104210876 33.42972736950494, -111.9451095 33.4294457)</t>
  </si>
  <si>
    <t>LINESTRING (-111.9451095 33.4294457, -111.9451104210876 33.42972736950494)</t>
  </si>
  <si>
    <t>LINESTRING (-111.9414890082502 33.4216522682871, -111.9412608 33.4219305)</t>
  </si>
  <si>
    <t>LINESTRING (-111.9412608 33.4219305, -111.9414890082502 33.4216522682871)</t>
  </si>
  <si>
    <t>LINESTRING (-111.9388593606248 33.42643524697868, -111.9399641 33.4264662)</t>
  </si>
  <si>
    <t>LINESTRING (-111.9399641 33.4264662, -111.9388593606248 33.42643524697868)</t>
  </si>
  <si>
    <t>LINESTRING (-111.9185514428528 33.41408313313189, -111.9186464 33.4146574)</t>
  </si>
  <si>
    <t>LINESTRING (-111.9186464 33.4146574, -111.9185514428528 33.41408313313189)</t>
  </si>
  <si>
    <t>LINESTRING (-111.9418782985739 33.42492531167147, -111.9412736 33.4254885)</t>
  </si>
  <si>
    <t>LINESTRING (-111.9412736 33.4254885, -111.9418782985739 33.42492531167147)</t>
  </si>
  <si>
    <t>LINESTRING (-111.9082671846654 33.41407227136722, -111.9091162 33.4141228)</t>
  </si>
  <si>
    <t>LINESTRING (-111.9091162 33.4141228, -111.9082671846654 33.41407227136722)</t>
  </si>
  <si>
    <t>LINESTRING (-111.9281534597937 33.41625942791801, -111.9294043 33.4166443)</t>
  </si>
  <si>
    <t>LINESTRING (-111.9294043 33.4166443, -111.9281534597937 33.41625942791801)</t>
  </si>
  <si>
    <t>LINESTRING (-111.9242921797623 33.41534641021077, -111.9240547 33.4148207)</t>
  </si>
  <si>
    <t>LINESTRING (-111.9240547 33.4148207, -111.9242921797623 33.41534641021077)</t>
  </si>
  <si>
    <t>LINESTRING (-111.9383795020149 33.41869919625851, -111.9381178 33.419078)</t>
  </si>
  <si>
    <t>LINESTRING (-111.9381178 33.419078, -111.9383795020149 33.41869919625851)</t>
  </si>
  <si>
    <t>LINESTRING (-111.9373582339366 33.41937000532432, -111.936617 33.4190938)</t>
  </si>
  <si>
    <t>LINESTRING (-111.936617 33.4190938, -111.9373582339366 33.41937000532432)</t>
  </si>
  <si>
    <t>LINESTRING (-111.9430060820797 33.42244904656158, -111.9423987 33.4224828)</t>
  </si>
  <si>
    <t>LINESTRING (-111.9423987 33.4224828, -111.9430060820797 33.42244904656158)</t>
  </si>
  <si>
    <t>LINESTRING (-111.9240875609543 33.41908999872162, -111.9254783 33.4195802)</t>
  </si>
  <si>
    <t>LINESTRING (-111.9254783 33.4195802, -111.9240875609543 33.41908999872162)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</si>
</sst>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hh:mm:ss"/>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sz val="11"/>
      <color theme="1"/>
      <name val="Wingdings"/>
      <charset val="2"/>
    </font>
    <font>
      <b/>
      <sz val="20"/>
      <color theme="1"/>
      <name val="Wingdings"/>
      <charset val="2"/>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sz val="16"/>
      <color theme="1"/>
      <name val="Wingdings 3"/>
      <family val="1"/>
      <charset val="2"/>
    </font>
    <font>
      <sz val="16"/>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569">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9" fillId="0" borderId="0" xfId="0" applyFont="1" applyFill="1"/>
    <xf numFmtId="0" fontId="9" fillId="0" borderId="0" xfId="0" applyFont="1"/>
    <xf numFmtId="0" fontId="10" fillId="0" borderId="0" xfId="0" applyFont="1" applyFill="1" applyAlignment="1">
      <alignment horizontal="center"/>
    </xf>
    <xf numFmtId="0" fontId="9" fillId="0" borderId="0" xfId="0" applyFont="1" applyFill="1" applyBorder="1"/>
    <xf numFmtId="37" fontId="10" fillId="0" borderId="0" xfId="0" applyNumberFormat="1" applyFont="1" applyFill="1" applyBorder="1" applyAlignment="1">
      <alignment horizontal="center"/>
    </xf>
    <xf numFmtId="0" fontId="9" fillId="0" borderId="0" xfId="1" applyFont="1"/>
    <xf numFmtId="0" fontId="9" fillId="0" borderId="0" xfId="1" applyFont="1" applyFill="1"/>
    <xf numFmtId="0" fontId="10" fillId="0" borderId="0" xfId="1" applyFont="1" applyAlignment="1">
      <alignment horizontal="center"/>
    </xf>
    <xf numFmtId="37" fontId="9" fillId="0" borderId="0" xfId="1" applyNumberFormat="1" applyFont="1" applyBorder="1" applyAlignment="1">
      <alignment horizontal="center"/>
    </xf>
    <xf numFmtId="0" fontId="9" fillId="0" borderId="0" xfId="1" applyFont="1" applyBorder="1" applyAlignment="1">
      <alignment horizontal="center"/>
    </xf>
    <xf numFmtId="0" fontId="9" fillId="0" borderId="0" xfId="1" applyFont="1" applyAlignment="1">
      <alignment horizontal="center"/>
    </xf>
    <xf numFmtId="0" fontId="9" fillId="0" borderId="0" xfId="1" applyFont="1" applyFill="1" applyBorder="1"/>
    <xf numFmtId="0" fontId="9" fillId="0" borderId="0" xfId="1" applyFont="1" applyBorder="1"/>
    <xf numFmtId="0" fontId="10" fillId="0" borderId="0" xfId="0" applyFont="1" applyFill="1" applyBorder="1" applyAlignment="1">
      <alignment horizontal="center"/>
    </xf>
    <xf numFmtId="0" fontId="9" fillId="0" borderId="0" xfId="0" applyFont="1" applyAlignment="1">
      <alignment horizontal="left"/>
    </xf>
    <xf numFmtId="0" fontId="9" fillId="0" borderId="0" xfId="1" applyFont="1" applyFill="1" applyAlignment="1">
      <alignment horizontal="center"/>
    </xf>
    <xf numFmtId="0" fontId="9" fillId="0" borderId="0" xfId="0" applyFont="1" applyBorder="1"/>
    <xf numFmtId="0" fontId="9" fillId="2" borderId="0" xfId="0" applyFont="1" applyFill="1" applyAlignment="1">
      <alignment horizontal="left"/>
    </xf>
    <xf numFmtId="37" fontId="10" fillId="0" borderId="0" xfId="1" applyNumberFormat="1" applyFont="1" applyFill="1" applyBorder="1" applyAlignment="1">
      <alignment horizontal="center"/>
    </xf>
    <xf numFmtId="0" fontId="9" fillId="0" borderId="0" xfId="1" applyFont="1" applyFill="1" applyBorder="1" applyAlignment="1">
      <alignment horizontal="center"/>
    </xf>
    <xf numFmtId="37" fontId="9" fillId="0" borderId="0" xfId="1" applyNumberFormat="1" applyFont="1" applyBorder="1" applyAlignment="1" applyProtection="1"/>
    <xf numFmtId="2" fontId="9" fillId="0" borderId="0" xfId="1" applyNumberFormat="1" applyFont="1" applyFill="1" applyBorder="1" applyAlignment="1" applyProtection="1"/>
    <xf numFmtId="18" fontId="10" fillId="0" borderId="0" xfId="1" applyNumberFormat="1" applyFont="1" applyFill="1" applyAlignment="1"/>
    <xf numFmtId="0" fontId="9" fillId="0" borderId="0" xfId="1" applyFont="1" applyAlignment="1"/>
    <xf numFmtId="0" fontId="9" fillId="0" borderId="0" xfId="1" applyFont="1" applyBorder="1" applyProtection="1"/>
    <xf numFmtId="0" fontId="9" fillId="0" borderId="0" xfId="1" applyFont="1" applyFill="1" applyBorder="1" applyProtection="1"/>
    <xf numFmtId="0" fontId="9" fillId="2" borderId="0" xfId="1" applyFont="1" applyFill="1" applyAlignment="1">
      <alignment horizontal="center"/>
    </xf>
    <xf numFmtId="0" fontId="9" fillId="2" borderId="0" xfId="1" applyFont="1" applyFill="1" applyBorder="1" applyAlignment="1">
      <alignment horizontal="center"/>
    </xf>
    <xf numFmtId="0" fontId="9" fillId="0" borderId="1" xfId="0" applyFont="1" applyFill="1" applyBorder="1"/>
    <xf numFmtId="0" fontId="0" fillId="0" borderId="1" xfId="0" applyFont="1" applyBorder="1"/>
    <xf numFmtId="0" fontId="9" fillId="0" borderId="2" xfId="1" applyFont="1" applyFill="1" applyBorder="1"/>
    <xf numFmtId="0" fontId="0" fillId="0" borderId="0" xfId="0" applyFont="1" applyFill="1" applyBorder="1"/>
    <xf numFmtId="0" fontId="0" fillId="0" borderId="0" xfId="0" applyFont="1" applyBorder="1"/>
    <xf numFmtId="0" fontId="7"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9" fillId="0" borderId="3" xfId="1" applyFont="1" applyFill="1" applyBorder="1" applyAlignment="1">
      <alignment horizontal="center"/>
    </xf>
    <xf numFmtId="0" fontId="9" fillId="3" borderId="0" xfId="1" applyFont="1" applyFill="1"/>
    <xf numFmtId="0" fontId="0" fillId="3" borderId="0" xfId="0" applyFont="1" applyFill="1"/>
    <xf numFmtId="0" fontId="7"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9"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37" fontId="9" fillId="0" borderId="0" xfId="1" applyNumberFormat="1" applyFont="1" applyBorder="1" applyAlignment="1">
      <alignment horizontal="center"/>
    </xf>
    <xf numFmtId="0" fontId="0" fillId="2" borderId="0" xfId="0" applyFill="1" applyAlignment="1">
      <alignment horizontal="center"/>
    </xf>
    <xf numFmtId="0" fontId="0" fillId="0" borderId="0" xfId="0" applyAlignment="1">
      <alignment horizontal="center"/>
    </xf>
    <xf numFmtId="0" fontId="8"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7" fillId="3" borderId="0" xfId="0" applyFont="1" applyFill="1" applyAlignment="1">
      <alignment horizontal="center"/>
    </xf>
    <xf numFmtId="0" fontId="0" fillId="0" borderId="0" xfId="0" applyFont="1" applyFill="1"/>
    <xf numFmtId="0" fontId="7" fillId="0" borderId="0" xfId="0" applyFont="1" applyFill="1" applyAlignment="1">
      <alignment horizontal="right"/>
    </xf>
    <xf numFmtId="0" fontId="0" fillId="0" borderId="0" xfId="0" applyFont="1" applyFill="1" applyAlignment="1">
      <alignment horizontal="right"/>
    </xf>
    <xf numFmtId="37" fontId="9" fillId="0" borderId="0" xfId="1" applyNumberFormat="1" applyFont="1" applyFill="1" applyBorder="1" applyAlignment="1"/>
    <xf numFmtId="0" fontId="0" fillId="0" borderId="0" xfId="0" applyAlignment="1">
      <alignment horizontal="center"/>
    </xf>
    <xf numFmtId="0" fontId="9"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0" fillId="0" borderId="0" xfId="0" applyFont="1" applyFill="1" applyAlignment="1">
      <alignment wrapText="1"/>
    </xf>
    <xf numFmtId="0" fontId="0" fillId="6" borderId="0" xfId="0" applyFill="1"/>
    <xf numFmtId="0" fontId="7" fillId="3" borderId="0" xfId="0" applyFont="1" applyFill="1"/>
    <xf numFmtId="0" fontId="8" fillId="0" borderId="0" xfId="0" applyFont="1"/>
    <xf numFmtId="0" fontId="0" fillId="0" borderId="0" xfId="0" applyAlignment="1"/>
    <xf numFmtId="0" fontId="7" fillId="3" borderId="0" xfId="0" applyFont="1" applyFill="1" applyAlignment="1" applyProtection="1"/>
    <xf numFmtId="0" fontId="7" fillId="3" borderId="0" xfId="0" applyFont="1" applyFill="1" applyProtection="1"/>
    <xf numFmtId="0" fontId="11" fillId="2" borderId="0" xfId="0" applyFont="1" applyFill="1"/>
    <xf numFmtId="0" fontId="9" fillId="0" borderId="0" xfId="0" applyFont="1" applyFill="1" applyAlignment="1">
      <alignment horizontal="center"/>
    </xf>
    <xf numFmtId="0" fontId="9" fillId="0" borderId="0" xfId="0" applyFont="1" applyFill="1" applyAlignment="1">
      <alignment horizontal="right"/>
    </xf>
    <xf numFmtId="0" fontId="9" fillId="0" borderId="0" xfId="0" applyFont="1" applyFill="1" applyAlignment="1">
      <alignment horizontal="left"/>
    </xf>
    <xf numFmtId="37" fontId="9" fillId="0" borderId="0" xfId="1" applyNumberFormat="1" applyFont="1" applyFill="1" applyBorder="1" applyAlignment="1" applyProtection="1"/>
    <xf numFmtId="37" fontId="9" fillId="0" borderId="0" xfId="1" applyNumberFormat="1" applyFont="1" applyFill="1" applyBorder="1" applyAlignment="1">
      <alignment horizontal="center"/>
    </xf>
    <xf numFmtId="0" fontId="9" fillId="0" borderId="0" xfId="1" applyNumberFormat="1" applyFont="1" applyFill="1" applyAlignment="1"/>
    <xf numFmtId="0" fontId="9" fillId="0" borderId="0" xfId="1" applyNumberFormat="1" applyFont="1" applyFill="1" applyAlignment="1">
      <alignment horizontal="center"/>
    </xf>
    <xf numFmtId="0" fontId="9" fillId="0" borderId="0" xfId="0" applyNumberFormat="1" applyFont="1" applyFill="1"/>
    <xf numFmtId="0" fontId="9" fillId="0" borderId="0" xfId="1" applyNumberFormat="1" applyFont="1" applyFill="1"/>
    <xf numFmtId="0" fontId="0" fillId="0" borderId="0" xfId="0" applyNumberFormat="1" applyFont="1" applyAlignment="1">
      <alignment horizontal="center"/>
    </xf>
    <xf numFmtId="0" fontId="9" fillId="0" borderId="0" xfId="0" applyFont="1" applyFill="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7"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9" fillId="6" borderId="0" xfId="0" applyFont="1" applyFill="1" applyAlignment="1">
      <alignment horizontal="left"/>
    </xf>
    <xf numFmtId="0" fontId="9" fillId="0" borderId="0" xfId="0" applyFont="1" applyBorder="1" applyAlignment="1">
      <alignment horizontal="left"/>
    </xf>
    <xf numFmtId="0" fontId="9"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9" fillId="5" borderId="0" xfId="1" applyFont="1" applyFill="1" applyBorder="1" applyAlignment="1">
      <alignment horizontal="center"/>
    </xf>
    <xf numFmtId="0" fontId="7"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9" fillId="7" borderId="0" xfId="1" applyFont="1" applyFill="1" applyAlignment="1">
      <alignment horizontal="center"/>
    </xf>
    <xf numFmtId="0" fontId="9" fillId="7" borderId="0" xfId="1" applyFont="1" applyFill="1" applyBorder="1" applyAlignment="1">
      <alignment horizontal="center"/>
    </xf>
    <xf numFmtId="0" fontId="0" fillId="7" borderId="0" xfId="0" applyFont="1" applyFill="1" applyAlignment="1">
      <alignment horizontal="left"/>
    </xf>
    <xf numFmtId="0" fontId="9"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9" fillId="0" borderId="0" xfId="0" applyNumberFormat="1" applyFont="1"/>
    <xf numFmtId="2" fontId="9" fillId="0" borderId="0" xfId="0" applyNumberFormat="1" applyFont="1" applyAlignment="1">
      <alignment horizontal="left"/>
    </xf>
    <xf numFmtId="2" fontId="9" fillId="0" borderId="0" xfId="0" applyNumberFormat="1" applyFont="1" applyBorder="1"/>
    <xf numFmtId="2" fontId="9" fillId="4" borderId="0" xfId="0" applyNumberFormat="1" applyFont="1" applyFill="1" applyAlignment="1">
      <alignment horizontal="left"/>
    </xf>
    <xf numFmtId="2" fontId="9" fillId="0" borderId="0" xfId="1" applyNumberFormat="1" applyFont="1" applyBorder="1" applyAlignment="1" applyProtection="1"/>
    <xf numFmtId="2" fontId="9" fillId="0" borderId="0" xfId="1" applyNumberFormat="1" applyFont="1"/>
    <xf numFmtId="2" fontId="10" fillId="0" borderId="0" xfId="1" applyNumberFormat="1" applyFont="1" applyFill="1" applyAlignment="1"/>
    <xf numFmtId="2" fontId="9" fillId="0" borderId="0" xfId="1" applyNumberFormat="1" applyFont="1" applyAlignment="1"/>
    <xf numFmtId="2" fontId="9" fillId="0" borderId="0" xfId="1" applyNumberFormat="1" applyFont="1" applyBorder="1" applyProtection="1"/>
    <xf numFmtId="2" fontId="9" fillId="0" borderId="0" xfId="1" applyNumberFormat="1" applyFont="1" applyBorder="1" applyAlignment="1">
      <alignment horizontal="center"/>
    </xf>
    <xf numFmtId="2" fontId="9" fillId="0" borderId="0" xfId="1" applyNumberFormat="1" applyFont="1" applyFill="1" applyBorder="1" applyProtection="1"/>
    <xf numFmtId="2" fontId="10" fillId="0" borderId="0" xfId="0" applyNumberFormat="1" applyFont="1" applyFill="1" applyBorder="1" applyAlignment="1">
      <alignment horizontal="center"/>
    </xf>
    <xf numFmtId="2" fontId="9" fillId="4" borderId="0" xfId="1" applyNumberFormat="1" applyFont="1" applyFill="1" applyAlignment="1">
      <alignment horizontal="center"/>
    </xf>
    <xf numFmtId="2" fontId="9" fillId="4" borderId="0" xfId="1" applyNumberFormat="1" applyFont="1" applyFill="1" applyBorder="1" applyAlignment="1">
      <alignment horizontal="center"/>
    </xf>
    <xf numFmtId="0" fontId="9" fillId="0" borderId="0" xfId="1" applyFont="1" applyFill="1" applyAlignment="1"/>
    <xf numFmtId="0" fontId="0" fillId="4" borderId="0" xfId="0" applyFill="1"/>
    <xf numFmtId="0" fontId="0" fillId="8" borderId="0" xfId="0" applyFill="1"/>
    <xf numFmtId="0" fontId="0" fillId="9" borderId="0" xfId="0" applyFill="1"/>
    <xf numFmtId="0" fontId="7" fillId="0" borderId="0" xfId="0" applyFont="1" applyFill="1" applyAlignment="1">
      <alignment horizontal="center"/>
    </xf>
    <xf numFmtId="0" fontId="10" fillId="0" borderId="0" xfId="1" applyFont="1" applyFill="1" applyAlignment="1">
      <alignment horizontal="center"/>
    </xf>
    <xf numFmtId="0" fontId="10" fillId="0" borderId="0" xfId="1" applyFont="1" applyFill="1" applyBorder="1" applyAlignment="1">
      <alignment horizontal="center"/>
    </xf>
    <xf numFmtId="0" fontId="7" fillId="0" borderId="0" xfId="0" applyFont="1" applyFill="1" applyAlignment="1">
      <alignment horizontal="left"/>
    </xf>
    <xf numFmtId="0" fontId="10"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7"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7"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9" fillId="10" borderId="0" xfId="1" applyFont="1" applyFill="1" applyAlignment="1">
      <alignment horizontal="center"/>
    </xf>
    <xf numFmtId="0" fontId="7" fillId="5" borderId="0" xfId="0" applyFont="1" applyFill="1" applyBorder="1" applyAlignment="1">
      <alignment horizontal="center"/>
    </xf>
    <xf numFmtId="0" fontId="7" fillId="0" borderId="0" xfId="0" applyFont="1" applyBorder="1" applyAlignment="1">
      <alignment horizontal="right"/>
    </xf>
    <xf numFmtId="0" fontId="7" fillId="2" borderId="0" xfId="0" applyFont="1" applyFill="1" applyBorder="1" applyAlignment="1">
      <alignment horizontal="center"/>
    </xf>
    <xf numFmtId="0" fontId="7"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1" fillId="0" borderId="0" xfId="0" applyFont="1" applyFill="1" applyAlignment="1"/>
    <xf numFmtId="0" fontId="0" fillId="0" borderId="0" xfId="0" applyNumberFormat="1" applyFont="1" applyFill="1" applyBorder="1" applyAlignment="1">
      <alignment horizontal="center"/>
    </xf>
    <xf numFmtId="0" fontId="11" fillId="0" borderId="0" xfId="0" applyFont="1" applyFill="1" applyBorder="1" applyAlignment="1"/>
    <xf numFmtId="0" fontId="0" fillId="0" borderId="0" xfId="0"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9" fillId="11" borderId="0" xfId="0" applyFont="1" applyFill="1"/>
    <xf numFmtId="0" fontId="0" fillId="11" borderId="0" xfId="0" applyFill="1"/>
    <xf numFmtId="0" fontId="0" fillId="11" borderId="0" xfId="0" applyFont="1" applyFill="1"/>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7" fillId="3" borderId="0" xfId="0" applyFont="1" applyFill="1" applyAlignment="1">
      <alignment horizontal="center"/>
    </xf>
    <xf numFmtId="0" fontId="0" fillId="0" borderId="0" xfId="0" applyAlignment="1">
      <alignment horizontal="center"/>
    </xf>
    <xf numFmtId="0" fontId="7" fillId="0" borderId="0" xfId="0" applyFont="1" applyFill="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Font="1" applyAlignment="1">
      <alignment horizontal="center"/>
    </xf>
    <xf numFmtId="0" fontId="10" fillId="3" borderId="0" xfId="0" applyFont="1" applyFill="1" applyBorder="1" applyAlignment="1">
      <alignment horizontal="center"/>
    </xf>
    <xf numFmtId="0" fontId="0" fillId="3" borderId="0" xfId="0" applyFill="1" applyBorder="1" applyAlignment="1">
      <alignment horizontal="center"/>
    </xf>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7"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12" fillId="0" borderId="0" xfId="0" applyNumberFormat="1" applyFont="1" applyAlignment="1">
      <alignment horizontal="center"/>
    </xf>
    <xf numFmtId="0" fontId="7" fillId="0" borderId="5" xfId="0" applyNumberFormat="1" applyFont="1" applyBorder="1" applyAlignment="1">
      <alignment horizontal="center"/>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8" xfId="0" applyNumberFormat="1" applyFont="1" applyBorder="1" applyAlignment="1">
      <alignment horizontal="center"/>
    </xf>
    <xf numFmtId="0" fontId="7" fillId="0" borderId="0" xfId="0" applyNumberFormat="1" applyFont="1" applyBorder="1" applyAlignment="1">
      <alignment horizontal="center"/>
    </xf>
    <xf numFmtId="0" fontId="7" fillId="0" borderId="9" xfId="0" applyNumberFormat="1" applyFont="1" applyBorder="1" applyAlignment="1">
      <alignment horizontal="center"/>
    </xf>
    <xf numFmtId="0" fontId="13" fillId="0" borderId="8" xfId="0" applyNumberFormat="1" applyFont="1" applyBorder="1" applyAlignment="1">
      <alignment horizontal="center"/>
    </xf>
    <xf numFmtId="0" fontId="13" fillId="0" borderId="0" xfId="0" applyNumberFormat="1" applyFont="1" applyBorder="1" applyAlignment="1">
      <alignment horizontal="center"/>
    </xf>
    <xf numFmtId="0" fontId="13" fillId="0" borderId="9" xfId="0" applyNumberFormat="1" applyFont="1" applyBorder="1" applyAlignment="1">
      <alignment horizontal="center"/>
    </xf>
    <xf numFmtId="0" fontId="7" fillId="0" borderId="10"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center"/>
    </xf>
    <xf numFmtId="0" fontId="0" fillId="0" borderId="0" xfId="0" applyAlignment="1">
      <alignment horizontal="center"/>
    </xf>
    <xf numFmtId="0" fontId="11"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7"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7"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0" fillId="15" borderId="0" xfId="0" applyNumberFormat="1" applyFont="1" applyFill="1" applyAlignment="1">
      <alignment horizontal="left"/>
    </xf>
    <xf numFmtId="164" fontId="9" fillId="0" borderId="0" xfId="0" applyNumberFormat="1" applyFont="1"/>
    <xf numFmtId="164" fontId="9" fillId="0" borderId="0" xfId="0" applyNumberFormat="1" applyFont="1" applyAlignment="1">
      <alignment horizontal="left"/>
    </xf>
    <xf numFmtId="164" fontId="9" fillId="0" borderId="0" xfId="0" applyNumberFormat="1" applyFont="1" applyBorder="1"/>
    <xf numFmtId="164" fontId="9" fillId="15" borderId="0" xfId="0" applyNumberFormat="1" applyFont="1" applyFill="1" applyAlignment="1">
      <alignment horizontal="left"/>
    </xf>
    <xf numFmtId="164" fontId="9" fillId="0" borderId="0" xfId="1" applyNumberFormat="1" applyFont="1" applyBorder="1" applyAlignment="1" applyProtection="1"/>
    <xf numFmtId="164" fontId="9" fillId="0" borderId="0" xfId="1" applyNumberFormat="1" applyFont="1"/>
    <xf numFmtId="164" fontId="9" fillId="0" borderId="0" xfId="1" applyNumberFormat="1" applyFont="1" applyFill="1" applyBorder="1" applyAlignment="1" applyProtection="1"/>
    <xf numFmtId="164" fontId="10" fillId="0" borderId="0" xfId="1" applyNumberFormat="1" applyFont="1" applyFill="1" applyAlignment="1"/>
    <xf numFmtId="164" fontId="9" fillId="0" borderId="0" xfId="1" applyNumberFormat="1" applyFont="1" applyAlignment="1"/>
    <xf numFmtId="164" fontId="9" fillId="0" borderId="0" xfId="1" applyNumberFormat="1" applyFont="1" applyBorder="1" applyProtection="1"/>
    <xf numFmtId="164" fontId="9" fillId="0" borderId="0" xfId="1" applyNumberFormat="1" applyFont="1" applyBorder="1" applyAlignment="1">
      <alignment horizontal="center"/>
    </xf>
    <xf numFmtId="164" fontId="9" fillId="0" borderId="0" xfId="1" applyNumberFormat="1" applyFont="1" applyFill="1" applyBorder="1" applyProtection="1"/>
    <xf numFmtId="164" fontId="10" fillId="0" borderId="0" xfId="0" applyNumberFormat="1" applyFont="1" applyFill="1" applyBorder="1" applyAlignment="1">
      <alignment horizontal="center"/>
    </xf>
    <xf numFmtId="164" fontId="9" fillId="15" borderId="0" xfId="1" applyNumberFormat="1" applyFont="1" applyFill="1" applyAlignment="1">
      <alignment horizontal="center"/>
    </xf>
    <xf numFmtId="164" fontId="9"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7" fillId="14" borderId="0" xfId="0" applyFont="1" applyFill="1"/>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8" fillId="0" borderId="0" xfId="0" applyFont="1" applyFill="1" applyAlignment="1">
      <alignment horizontal="center"/>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9"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7" fillId="0" borderId="0" xfId="0" applyNumberFormat="1" applyFont="1" applyFill="1" applyAlignment="1">
      <alignment vertical="center"/>
    </xf>
    <xf numFmtId="0" fontId="14" fillId="0" borderId="0" xfId="0" applyFont="1" applyFill="1" applyAlignment="1">
      <alignment vertical="center"/>
    </xf>
    <xf numFmtId="0" fontId="7" fillId="9" borderId="0" xfId="0" applyFont="1" applyFill="1" applyAlignment="1">
      <alignment horizontal="right"/>
    </xf>
    <xf numFmtId="164" fontId="0" fillId="15" borderId="0" xfId="0" applyNumberFormat="1" applyFill="1" applyAlignment="1">
      <alignment horizontal="center"/>
    </xf>
    <xf numFmtId="164" fontId="0" fillId="15" borderId="0" xfId="0" applyNumberFormat="1" applyFill="1" applyAlignment="1">
      <alignment horizontal="left"/>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7"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0" fillId="14" borderId="3" xfId="0" applyFill="1" applyBorder="1" applyAlignment="1">
      <alignment horizontal="center"/>
    </xf>
    <xf numFmtId="0" fontId="7" fillId="4" borderId="0" xfId="0" applyFont="1" applyFill="1" applyAlignment="1">
      <alignment horizontal="center"/>
    </xf>
    <xf numFmtId="0" fontId="7" fillId="3" borderId="0" xfId="0" applyFont="1" applyFill="1" applyAlignment="1">
      <alignment horizontal="center"/>
    </xf>
    <xf numFmtId="0" fontId="7" fillId="5" borderId="0" xfId="0" applyFont="1" applyFill="1" applyAlignment="1">
      <alignment horizontal="center"/>
    </xf>
    <xf numFmtId="0" fontId="0" fillId="0" borderId="0" xfId="0" applyAlignment="1">
      <alignment horizontal="center"/>
    </xf>
    <xf numFmtId="0" fontId="6" fillId="0" borderId="0" xfId="0" applyFont="1"/>
    <xf numFmtId="0" fontId="0" fillId="0" borderId="0" xfId="0" applyFill="1" applyAlignment="1">
      <alignment horizontal="right"/>
    </xf>
    <xf numFmtId="0" fontId="0" fillId="0" borderId="1" xfId="0" applyBorder="1" applyAlignment="1">
      <alignment horizontal="center"/>
    </xf>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Fill="1" applyBorder="1" applyAlignment="1">
      <alignment horizontal="center"/>
    </xf>
    <xf numFmtId="0" fontId="0" fillId="0" borderId="20" xfId="0" applyFill="1" applyBorder="1" applyAlignment="1">
      <alignment horizontal="center"/>
    </xf>
    <xf numFmtId="0" fontId="0" fillId="0" borderId="0" xfId="0" applyFill="1" applyAlignment="1">
      <alignment horizontal="left"/>
    </xf>
    <xf numFmtId="0" fontId="8" fillId="14" borderId="0" xfId="0" applyFont="1" applyFill="1" applyAlignment="1">
      <alignment horizontal="center"/>
    </xf>
    <xf numFmtId="0" fontId="8"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13" xfId="0" applyNumberFormat="1" applyFont="1" applyFill="1" applyBorder="1" applyAlignment="1">
      <alignment horizontal="center"/>
    </xf>
    <xf numFmtId="0" fontId="0" fillId="0" borderId="3" xfId="0" applyFill="1" applyBorder="1" applyAlignment="1">
      <alignment vertic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7"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7" fillId="0" borderId="0" xfId="0" applyFont="1" applyFill="1" applyAlignment="1">
      <alignment horizontal="center"/>
    </xf>
    <xf numFmtId="0" fontId="0" fillId="0" borderId="13"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0" borderId="0" xfId="0" applyAlignment="1">
      <alignment horizontal="center"/>
    </xf>
    <xf numFmtId="0" fontId="0" fillId="3" borderId="0" xfId="0"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0" xfId="0" applyAlignment="1">
      <alignment horizontal="center"/>
    </xf>
    <xf numFmtId="0" fontId="0" fillId="0" borderId="0" xfId="0" applyFill="1" applyAlignment="1">
      <alignment horizontal="center"/>
    </xf>
    <xf numFmtId="0" fontId="0" fillId="3" borderId="0" xfId="0" applyFill="1" applyAlignment="1">
      <alignment horizontal="center"/>
    </xf>
    <xf numFmtId="0" fontId="0" fillId="8" borderId="0" xfId="0" applyFill="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 xfId="0" applyFill="1" applyBorder="1" applyAlignment="1">
      <alignment horizontal="center"/>
    </xf>
    <xf numFmtId="0" fontId="0" fillId="0" borderId="18" xfId="0" applyFill="1" applyBorder="1" applyAlignment="1">
      <alignment horizontal="center"/>
    </xf>
    <xf numFmtId="0" fontId="0" fillId="0" borderId="23" xfId="0" applyBorder="1" applyAlignment="1">
      <alignment horizontal="center"/>
    </xf>
    <xf numFmtId="0" fontId="0" fillId="0" borderId="4"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6" fillId="0" borderId="0" xfId="0" applyFont="1" applyBorder="1" applyAlignment="1">
      <alignment vertical="center" wrapText="1"/>
    </xf>
    <xf numFmtId="0" fontId="6" fillId="14" borderId="0" xfId="0" applyFont="1" applyFill="1" applyAlignment="1"/>
    <xf numFmtId="0" fontId="6" fillId="14" borderId="0" xfId="0" applyFont="1" applyFill="1" applyAlignment="1">
      <alignment horizontal="center"/>
    </xf>
    <xf numFmtId="0" fontId="6" fillId="0" borderId="0" xfId="0" applyFont="1" applyAlignment="1"/>
    <xf numFmtId="0" fontId="6" fillId="0" borderId="0" xfId="0" applyFont="1" applyFill="1" applyAlignment="1">
      <alignment horizontal="center"/>
    </xf>
    <xf numFmtId="0" fontId="16"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Fill="1" applyAlignment="1">
      <alignment horizontal="center" vertical="center"/>
    </xf>
    <xf numFmtId="0" fontId="6" fillId="0" borderId="0" xfId="0" applyFont="1" applyFill="1" applyAlignment="1">
      <alignment vertical="center"/>
    </xf>
    <xf numFmtId="0" fontId="6" fillId="17" borderId="15" xfId="0" applyFont="1" applyFill="1" applyBorder="1" applyAlignment="1">
      <alignment horizontal="center"/>
    </xf>
    <xf numFmtId="0" fontId="16" fillId="13" borderId="15" xfId="0" applyFont="1" applyFill="1" applyBorder="1" applyAlignment="1">
      <alignment horizontal="center"/>
    </xf>
    <xf numFmtId="0" fontId="6" fillId="14" borderId="0" xfId="0" applyFont="1" applyFill="1" applyAlignment="1">
      <alignment vertical="center"/>
    </xf>
    <xf numFmtId="0" fontId="6" fillId="14" borderId="0" xfId="0" applyFont="1" applyFill="1" applyBorder="1" applyAlignment="1">
      <alignment horizontal="center"/>
    </xf>
    <xf numFmtId="0" fontId="16" fillId="3" borderId="15" xfId="0" applyFont="1" applyFill="1" applyBorder="1" applyAlignment="1">
      <alignment horizontal="center"/>
    </xf>
    <xf numFmtId="0" fontId="6" fillId="0" borderId="0" xfId="0" applyFont="1" applyAlignment="1">
      <alignment horizontal="center"/>
    </xf>
    <xf numFmtId="0" fontId="6" fillId="0" borderId="0" xfId="0" applyFont="1" applyFill="1" applyBorder="1" applyAlignment="1">
      <alignment horizontal="center" vertical="center"/>
    </xf>
    <xf numFmtId="0" fontId="6" fillId="14" borderId="0" xfId="0" applyFont="1" applyFill="1" applyBorder="1" applyAlignment="1"/>
    <xf numFmtId="0" fontId="6" fillId="14" borderId="0" xfId="0" applyFont="1" applyFill="1" applyBorder="1" applyAlignment="1">
      <alignment horizontal="center" vertical="center"/>
    </xf>
    <xf numFmtId="0" fontId="16" fillId="0" borderId="0" xfId="0" applyFont="1" applyAlignment="1">
      <alignment horizontal="center"/>
    </xf>
    <xf numFmtId="0" fontId="16" fillId="0" borderId="0" xfId="0" applyFont="1" applyBorder="1" applyAlignment="1">
      <alignment wrapText="1"/>
    </xf>
    <xf numFmtId="0" fontId="16" fillId="0" borderId="0" xfId="0" applyFont="1" applyFill="1" applyBorder="1" applyAlignment="1">
      <alignment vertical="center"/>
    </xf>
    <xf numFmtId="0" fontId="6" fillId="0" borderId="0" xfId="0" applyFont="1" applyFill="1" applyBorder="1" applyAlignment="1">
      <alignment horizontal="center"/>
    </xf>
    <xf numFmtId="0" fontId="16" fillId="0" borderId="0" xfId="0" applyFont="1" applyFill="1" applyBorder="1" applyAlignment="1">
      <alignment horizontal="center"/>
    </xf>
    <xf numFmtId="0" fontId="10" fillId="3" borderId="0" xfId="0" applyFont="1" applyFill="1" applyAlignment="1" applyProtection="1"/>
    <xf numFmtId="0" fontId="10" fillId="3" borderId="0" xfId="0" applyFont="1" applyFill="1" applyProtection="1"/>
    <xf numFmtId="0" fontId="9" fillId="0" borderId="0" xfId="0" applyFont="1" applyAlignment="1"/>
    <xf numFmtId="0" fontId="6" fillId="14" borderId="21" xfId="0" applyFont="1" applyFill="1" applyBorder="1" applyAlignment="1"/>
    <xf numFmtId="0" fontId="6" fillId="14" borderId="22" xfId="0" applyFont="1" applyFill="1" applyBorder="1" applyAlignment="1"/>
    <xf numFmtId="0" fontId="6" fillId="14" borderId="16" xfId="0" applyFont="1" applyFill="1" applyBorder="1" applyAlignment="1"/>
    <xf numFmtId="0" fontId="6" fillId="0" borderId="11" xfId="0" applyFont="1" applyBorder="1" applyAlignment="1"/>
    <xf numFmtId="0" fontId="16" fillId="2" borderId="21" xfId="0" applyFont="1" applyFill="1" applyBorder="1" applyAlignment="1"/>
    <xf numFmtId="0" fontId="16" fillId="2" borderId="22" xfId="0" applyFont="1" applyFill="1" applyBorder="1" applyAlignment="1"/>
    <xf numFmtId="0" fontId="18" fillId="0" borderId="0" xfId="0" applyFont="1" applyAlignment="1">
      <alignment horizontal="center"/>
    </xf>
    <xf numFmtId="0" fontId="18" fillId="0"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0" fontId="6" fillId="3" borderId="0" xfId="0" applyFont="1" applyFill="1" applyBorder="1" applyAlignment="1">
      <alignment horizontal="center"/>
    </xf>
    <xf numFmtId="0" fontId="0" fillId="0" borderId="19" xfId="0" applyBorder="1" applyAlignment="1">
      <alignment horizontal="center"/>
    </xf>
    <xf numFmtId="0" fontId="0" fillId="0" borderId="3" xfId="0" applyBorder="1" applyAlignment="1">
      <alignment horizontal="center"/>
    </xf>
    <xf numFmtId="164" fontId="0" fillId="0" borderId="0" xfId="0" applyNumberFormat="1" applyBorder="1" applyAlignment="1">
      <alignment horizontal="center"/>
    </xf>
    <xf numFmtId="164" fontId="0" fillId="0" borderId="3"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0" xfId="0" applyNumberFormat="1" applyBorder="1" applyAlignment="1">
      <alignment horizontal="center"/>
    </xf>
    <xf numFmtId="1" fontId="0" fillId="0" borderId="3" xfId="0" applyNumberFormat="1" applyBorder="1" applyAlignment="1">
      <alignment horizontal="center"/>
    </xf>
    <xf numFmtId="0" fontId="0" fillId="0" borderId="20" xfId="0"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Border="1" applyAlignment="1">
      <alignment vertical="center"/>
    </xf>
    <xf numFmtId="0" fontId="6" fillId="0" borderId="0" xfId="0" applyFont="1" applyBorder="1" applyAlignment="1">
      <alignment vertical="center" wrapText="1"/>
    </xf>
    <xf numFmtId="0" fontId="6" fillId="2" borderId="16" xfId="0" applyFont="1" applyFill="1" applyBorder="1" applyAlignment="1"/>
    <xf numFmtId="0" fontId="9" fillId="3" borderId="0" xfId="0" applyFont="1" applyFill="1" applyAlignment="1" applyProtection="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0" fontId="7" fillId="0" borderId="0" xfId="0" applyFont="1" applyFill="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7" fillId="14" borderId="0" xfId="0" applyNumberFormat="1" applyFont="1" applyFill="1" applyAlignment="1">
      <alignment horizontal="center"/>
    </xf>
    <xf numFmtId="0" fontId="7" fillId="14" borderId="0" xfId="0" applyFont="1" applyFill="1" applyAlignment="1">
      <alignment horizontal="center"/>
    </xf>
    <xf numFmtId="164" fontId="0" fillId="14" borderId="3" xfId="0" applyNumberFormat="1" applyFont="1" applyFill="1" applyBorder="1" applyAlignment="1">
      <alignment horizontal="center"/>
    </xf>
    <xf numFmtId="0" fontId="0" fillId="0" borderId="0" xfId="0" applyAlignment="1">
      <alignment horizontal="center"/>
    </xf>
    <xf numFmtId="0" fontId="6" fillId="0" borderId="0" xfId="0" applyFont="1" applyAlignment="1">
      <alignment horizontal="left"/>
    </xf>
    <xf numFmtId="0" fontId="19" fillId="0" borderId="0" xfId="0" applyFont="1" applyAlignment="1">
      <alignment horizontal="center"/>
    </xf>
    <xf numFmtId="0" fontId="20" fillId="0" borderId="0" xfId="0" applyFont="1" applyAlignment="1">
      <alignment horizontal="center"/>
    </xf>
    <xf numFmtId="0" fontId="19" fillId="0" borderId="0" xfId="0" applyFont="1" applyAlignment="1"/>
    <xf numFmtId="0" fontId="19" fillId="0" borderId="0" xfId="0" applyFont="1"/>
    <xf numFmtId="0" fontId="16" fillId="0" borderId="0" xfId="0" applyFont="1" applyFill="1" applyBorder="1" applyAlignment="1"/>
    <xf numFmtId="0" fontId="6" fillId="0" borderId="0" xfId="0" applyFont="1" applyFill="1" applyBorder="1" applyAlignment="1"/>
    <xf numFmtId="0" fontId="16" fillId="2" borderId="26" xfId="0" applyFont="1" applyFill="1" applyBorder="1" applyAlignment="1"/>
    <xf numFmtId="0" fontId="0" fillId="0" borderId="0" xfId="0"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NumberFormat="1" applyFont="1" applyAlignment="1">
      <alignment horizontal="center"/>
    </xf>
    <xf numFmtId="0" fontId="0" fillId="0" borderId="0" xfId="0" applyFill="1" applyAlignment="1">
      <alignment horizontal="center"/>
    </xf>
    <xf numFmtId="0" fontId="0" fillId="3" borderId="0" xfId="0" applyFill="1" applyAlignment="1">
      <alignment horizontal="center"/>
    </xf>
    <xf numFmtId="0" fontId="0" fillId="3" borderId="0" xfId="0" applyFill="1"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Alignment="1">
      <alignment horizontal="center"/>
    </xf>
    <xf numFmtId="165" fontId="0" fillId="0" borderId="0" xfId="0" applyNumberFormat="1"/>
    <xf numFmtId="0" fontId="0" fillId="0" borderId="0" xfId="0" applyAlignment="1">
      <alignment horizontal="center"/>
    </xf>
    <xf numFmtId="2" fontId="0" fillId="0" borderId="0" xfId="0" applyNumberFormat="1"/>
    <xf numFmtId="0" fontId="0" fillId="0" borderId="0" xfId="0" applyAlignment="1">
      <alignment horizontal="left"/>
    </xf>
    <xf numFmtId="0" fontId="23" fillId="0" borderId="0" xfId="0" applyNumberFormat="1" applyFont="1" applyAlignment="1">
      <alignment horizontal="center"/>
    </xf>
    <xf numFmtId="0" fontId="24" fillId="0" borderId="0" xfId="0" applyNumberFormat="1" applyFont="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7" fillId="0" borderId="0" xfId="0" applyFont="1" applyAlignment="1">
      <alignment horizontal="center" vertical="center"/>
    </xf>
    <xf numFmtId="0" fontId="0" fillId="0" borderId="0" xfId="0"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pplyProtection="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22"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pplyProtection="1">
      <alignment horizontal="left"/>
    </xf>
    <xf numFmtId="0" fontId="19" fillId="0" borderId="0" xfId="0" applyFont="1" applyAlignment="1">
      <alignment horizontal="center"/>
    </xf>
    <xf numFmtId="0" fontId="19" fillId="0" borderId="21" xfId="0" applyFont="1" applyBorder="1" applyAlignment="1">
      <alignment horizontal="center"/>
    </xf>
    <xf numFmtId="0" fontId="19" fillId="0" borderId="16" xfId="0" applyFont="1" applyBorder="1" applyAlignment="1">
      <alignment horizontal="center"/>
    </xf>
    <xf numFmtId="0" fontId="0" fillId="0" borderId="0" xfId="0" applyFont="1" applyAlignment="1">
      <alignment horizontal="center"/>
    </xf>
    <xf numFmtId="37" fontId="9" fillId="3" borderId="0" xfId="1" applyNumberFormat="1" applyFont="1" applyFill="1" applyBorder="1" applyAlignment="1">
      <alignment horizontal="center"/>
    </xf>
    <xf numFmtId="0" fontId="0" fillId="0" borderId="0" xfId="0" applyFill="1" applyAlignment="1">
      <alignment horizontal="right"/>
    </xf>
    <xf numFmtId="0" fontId="11" fillId="2" borderId="0" xfId="0" applyFont="1" applyFill="1" applyAlignment="1">
      <alignment horizontal="center"/>
    </xf>
    <xf numFmtId="37" fontId="9" fillId="0" borderId="0" xfId="1" applyNumberFormat="1" applyFont="1" applyBorder="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10" fillId="0" borderId="0" xfId="0" applyFont="1" applyFill="1" applyAlignment="1">
      <alignment horizontal="center" vertical="center" textRotation="90" wrapText="1"/>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0" fillId="0" borderId="0" xfId="0" applyNumberFormat="1" applyFont="1" applyAlignment="1">
      <alignment horizontal="center"/>
    </xf>
    <xf numFmtId="0" fontId="15"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13" borderId="0" xfId="0" applyFont="1" applyFill="1" applyAlignment="1">
      <alignment horizontal="center"/>
    </xf>
    <xf numFmtId="37" fontId="15" fillId="0" borderId="0" xfId="1" applyNumberFormat="1" applyFont="1" applyFill="1" applyBorder="1" applyAlignment="1" applyProtection="1">
      <alignment horizontal="center" wrapText="1"/>
    </xf>
    <xf numFmtId="0" fontId="0" fillId="0" borderId="25" xfId="0" applyBorder="1" applyAlignment="1">
      <alignment horizontal="center" vertical="center"/>
    </xf>
    <xf numFmtId="0" fontId="0" fillId="0" borderId="13" xfId="0" applyBorder="1" applyAlignment="1">
      <alignment horizontal="center" vertical="center"/>
    </xf>
    <xf numFmtId="0" fontId="0" fillId="0" borderId="17" xfId="0" applyBorder="1" applyAlignment="1">
      <alignment horizontal="center" vertical="center"/>
    </xf>
    <xf numFmtId="0" fontId="11" fillId="0" borderId="0" xfId="0" applyFont="1" applyAlignment="1">
      <alignment horizontal="center"/>
    </xf>
    <xf numFmtId="0" fontId="7" fillId="6" borderId="0" xfId="0" applyFont="1" applyFill="1" applyAlignment="1">
      <alignment horizontal="center"/>
    </xf>
    <xf numFmtId="0" fontId="0" fillId="11" borderId="0" xfId="0"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164" fontId="7" fillId="18" borderId="0" xfId="0" applyNumberFormat="1" applyFont="1" applyFill="1" applyAlignment="1">
      <alignment horizontal="center"/>
    </xf>
    <xf numFmtId="0" fontId="7" fillId="0" borderId="8" xfId="0" applyNumberFormat="1"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Fill="1" applyAlignment="1">
      <alignment horizontal="center" vertic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0" fontId="7" fillId="0" borderId="0" xfId="0" applyFont="1" applyAlignment="1">
      <alignment horizontal="center"/>
    </xf>
  </cellXfs>
  <cellStyles count="2">
    <cellStyle name="Normal" xfId="0" builtinId="0"/>
    <cellStyle name="Normal_COUNTS" xfId="1" xr:uid="{00000000-0005-0000-0000-000001000000}"/>
  </cellStyles>
  <dxfs count="4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worksheet" Target="worksheets/sheet22.xml"/><Relationship Id="rId28" Type="http://schemas.microsoft.com/office/2006/relationships/vbaProject" Target="vbaProject.bin"/><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worksheet" Target="worksheets/sheet21.xml"/><Relationship Id="rId27"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1">
                  <c:v>9</c:v>
                </c:pt>
                <c:pt idx="2">
                  <c:v>!</c:v>
                </c:pt>
                <c:pt idx="4">
                  <c:v>$</c:v>
                </c:pt>
                <c:pt idx="5">
                  <c:v>:</c:v>
                </c:pt>
                <c:pt idx="6">
                  <c:v>"</c:v>
                </c:pt>
              </c:strCache>
            </c:strRef>
          </c:cat>
          <c:val>
            <c:numRef>
              <c:f>Phasing!$AC$33:$AC$40</c:f>
              <c:numCache>
                <c:formatCode>General</c:formatCode>
                <c:ptCount val="8"/>
                <c:pt idx="0">
                  <c:v>71</c:v>
                </c:pt>
                <c:pt idx="1">
                  <c:v>59</c:v>
                </c:pt>
                <c:pt idx="2">
                  <c:v>0</c:v>
                </c:pt>
                <c:pt idx="3">
                  <c:v>0</c:v>
                </c:pt>
                <c:pt idx="4">
                  <c:v>74</c:v>
                </c:pt>
                <c:pt idx="5">
                  <c:v>59</c:v>
                </c:pt>
                <c:pt idx="6">
                  <c:v>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9</c:v>
                </c:pt>
                <c:pt idx="2">
                  <c:v>!</c:v>
                </c:pt>
                <c:pt idx="4">
                  <c:v>$</c:v>
                </c:pt>
                <c:pt idx="5">
                  <c:v>:</c:v>
                </c:pt>
                <c:pt idx="6">
                  <c:v>"</c:v>
                </c:pt>
              </c:strCache>
            </c:strRef>
          </c:cat>
          <c:val>
            <c:numRef>
              <c:f>Phasing!$AD$33:$AD$40</c:f>
              <c:numCache>
                <c:formatCode>General</c:formatCode>
                <c:ptCount val="8"/>
                <c:pt idx="0">
                  <c:v>43</c:v>
                </c:pt>
                <c:pt idx="1">
                  <c:v>5.9</c:v>
                </c:pt>
                <c:pt idx="2">
                  <c:v>52.9</c:v>
                </c:pt>
                <c:pt idx="3">
                  <c:v>0</c:v>
                </c:pt>
                <c:pt idx="4">
                  <c:v>39.9</c:v>
                </c:pt>
                <c:pt idx="5">
                  <c:v>9</c:v>
                </c:pt>
                <c:pt idx="6">
                  <c:v>52.9</c:v>
                </c:pt>
                <c:pt idx="7">
                  <c:v>0</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9</c:v>
                </c:pt>
                <c:pt idx="2">
                  <c:v>!</c:v>
                </c:pt>
                <c:pt idx="4">
                  <c:v>$</c:v>
                </c:pt>
                <c:pt idx="5">
                  <c:v>:</c:v>
                </c:pt>
                <c:pt idx="6">
                  <c:v>"</c:v>
                </c:pt>
              </c:strCache>
            </c:strRef>
          </c:cat>
          <c:val>
            <c:numRef>
              <c:f>Phasing!$AE$33:$AE$40</c:f>
              <c:numCache>
                <c:formatCode>General</c:formatCode>
                <c:ptCount val="8"/>
                <c:pt idx="0">
                  <c:v>3</c:v>
                </c:pt>
                <c:pt idx="1">
                  <c:v>3.6</c:v>
                </c:pt>
                <c:pt idx="2">
                  <c:v>3.6</c:v>
                </c:pt>
                <c:pt idx="3">
                  <c:v>0</c:v>
                </c:pt>
                <c:pt idx="4">
                  <c:v>3.6</c:v>
                </c:pt>
                <c:pt idx="5">
                  <c:v>3</c:v>
                </c:pt>
                <c:pt idx="6">
                  <c:v>3.6</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1">
                  <c:v>9</c:v>
                </c:pt>
                <c:pt idx="2">
                  <c:v>!</c:v>
                </c:pt>
                <c:pt idx="4">
                  <c:v>$</c:v>
                </c:pt>
                <c:pt idx="5">
                  <c:v>:</c:v>
                </c:pt>
                <c:pt idx="6">
                  <c:v>"</c:v>
                </c:pt>
              </c:strCache>
            </c:strRef>
          </c:cat>
          <c:val>
            <c:numRef>
              <c:f>Phasing!$AF$33:$AF$40</c:f>
              <c:numCache>
                <c:formatCode>0.0</c:formatCode>
                <c:ptCount val="8"/>
                <c:pt idx="0">
                  <c:v>3</c:v>
                </c:pt>
                <c:pt idx="1">
                  <c:v>51.5</c:v>
                </c:pt>
                <c:pt idx="2">
                  <c:v>63.500000000000007</c:v>
                </c:pt>
                <c:pt idx="3">
                  <c:v>120</c:v>
                </c:pt>
                <c:pt idx="4">
                  <c:v>2.5</c:v>
                </c:pt>
                <c:pt idx="5">
                  <c:v>49</c:v>
                </c:pt>
                <c:pt idx="6">
                  <c:v>63.500000000000007</c:v>
                </c:pt>
                <c:pt idx="7">
                  <c:v>120</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Phase</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1">
                  <c:v>9</c:v>
                </c:pt>
                <c:pt idx="2">
                  <c:v>!</c:v>
                </c:pt>
                <c:pt idx="4">
                  <c:v>$</c:v>
                </c:pt>
                <c:pt idx="5">
                  <c:v>:</c:v>
                </c:pt>
                <c:pt idx="6">
                  <c:v>"</c:v>
                </c:pt>
              </c:strCache>
            </c:strRef>
          </c:cat>
          <c:val>
            <c:numRef>
              <c:f>Phasing!$AC$33:$AC$40</c:f>
              <c:numCache>
                <c:formatCode>General</c:formatCode>
                <c:ptCount val="8"/>
                <c:pt idx="0">
                  <c:v>71</c:v>
                </c:pt>
                <c:pt idx="1">
                  <c:v>59</c:v>
                </c:pt>
                <c:pt idx="2">
                  <c:v>0</c:v>
                </c:pt>
                <c:pt idx="3">
                  <c:v>0</c:v>
                </c:pt>
                <c:pt idx="4">
                  <c:v>74</c:v>
                </c:pt>
                <c:pt idx="5">
                  <c:v>59</c:v>
                </c:pt>
                <c:pt idx="6">
                  <c:v>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9</c:v>
                </c:pt>
                <c:pt idx="2">
                  <c:v>!</c:v>
                </c:pt>
                <c:pt idx="4">
                  <c:v>$</c:v>
                </c:pt>
                <c:pt idx="5">
                  <c:v>:</c:v>
                </c:pt>
                <c:pt idx="6">
                  <c:v>"</c:v>
                </c:pt>
              </c:strCache>
            </c:strRef>
          </c:cat>
          <c:val>
            <c:numRef>
              <c:f>Phasing!$AD$33:$AD$40</c:f>
              <c:numCache>
                <c:formatCode>General</c:formatCode>
                <c:ptCount val="8"/>
                <c:pt idx="0">
                  <c:v>43</c:v>
                </c:pt>
                <c:pt idx="1">
                  <c:v>5.9</c:v>
                </c:pt>
                <c:pt idx="2">
                  <c:v>52.9</c:v>
                </c:pt>
                <c:pt idx="3">
                  <c:v>0</c:v>
                </c:pt>
                <c:pt idx="4">
                  <c:v>39.9</c:v>
                </c:pt>
                <c:pt idx="5">
                  <c:v>9</c:v>
                </c:pt>
                <c:pt idx="6">
                  <c:v>52.9</c:v>
                </c:pt>
                <c:pt idx="7">
                  <c:v>0</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9</c:v>
                </c:pt>
                <c:pt idx="2">
                  <c:v>!</c:v>
                </c:pt>
                <c:pt idx="4">
                  <c:v>$</c:v>
                </c:pt>
                <c:pt idx="5">
                  <c:v>:</c:v>
                </c:pt>
                <c:pt idx="6">
                  <c:v>"</c:v>
                </c:pt>
              </c:strCache>
            </c:strRef>
          </c:cat>
          <c:val>
            <c:numRef>
              <c:f>Phasing!$AE$33:$AE$40</c:f>
              <c:numCache>
                <c:formatCode>General</c:formatCode>
                <c:ptCount val="8"/>
                <c:pt idx="0">
                  <c:v>3</c:v>
                </c:pt>
                <c:pt idx="1">
                  <c:v>3.6</c:v>
                </c:pt>
                <c:pt idx="2">
                  <c:v>3.6</c:v>
                </c:pt>
                <c:pt idx="3">
                  <c:v>0</c:v>
                </c:pt>
                <c:pt idx="4">
                  <c:v>3.6</c:v>
                </c:pt>
                <c:pt idx="5">
                  <c:v>3</c:v>
                </c:pt>
                <c:pt idx="6">
                  <c:v>3.6</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1">
                  <c:v>9</c:v>
                </c:pt>
                <c:pt idx="2">
                  <c:v>!</c:v>
                </c:pt>
                <c:pt idx="4">
                  <c:v>$</c:v>
                </c:pt>
                <c:pt idx="5">
                  <c:v>:</c:v>
                </c:pt>
                <c:pt idx="6">
                  <c:v>"</c:v>
                </c:pt>
              </c:strCache>
            </c:strRef>
          </c:cat>
          <c:val>
            <c:numRef>
              <c:f>Phasing!$AF$33:$AF$40</c:f>
              <c:numCache>
                <c:formatCode>0.0</c:formatCode>
                <c:ptCount val="8"/>
                <c:pt idx="0">
                  <c:v>3</c:v>
                </c:pt>
                <c:pt idx="1">
                  <c:v>51.5</c:v>
                </c:pt>
                <c:pt idx="2">
                  <c:v>63.500000000000007</c:v>
                </c:pt>
                <c:pt idx="3">
                  <c:v>120</c:v>
                </c:pt>
                <c:pt idx="4">
                  <c:v>2.5</c:v>
                </c:pt>
                <c:pt idx="5">
                  <c:v>49</c:v>
                </c:pt>
                <c:pt idx="6">
                  <c:v>63.500000000000007</c:v>
                </c:pt>
                <c:pt idx="7">
                  <c:v>120</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Phase</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320540" y="1367790"/>
          <a:ext cx="3185160" cy="190690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209800" y="5562600"/>
          <a:ext cx="2257425" cy="177165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1363980</xdr:colOff>
          <xdr:row>13</xdr:row>
          <xdr:rowOff>83820</xdr:rowOff>
        </xdr:from>
        <xdr:to>
          <xdr:col>65</xdr:col>
          <xdr:colOff>571500</xdr:colOff>
          <xdr:row>18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129540</xdr:rowOff>
        </xdr:from>
        <xdr:to>
          <xdr:col>65</xdr:col>
          <xdr:colOff>586740</xdr:colOff>
          <xdr:row>22</xdr:row>
          <xdr:rowOff>129540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82511" y="864054"/>
          <a:ext cx="3555546" cy="2045153"/>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18</xdr:col>
      <xdr:colOff>228600</xdr:colOff>
      <xdr:row>41</xdr:row>
      <xdr:rowOff>38100</xdr:rowOff>
    </xdr:from>
    <xdr:to>
      <xdr:col>18</xdr:col>
      <xdr:colOff>533400</xdr:colOff>
      <xdr:row>45</xdr:row>
      <xdr:rowOff>85725</xdr:rowOff>
    </xdr:to>
    <xdr:sp macro="" textlink="">
      <xdr:nvSpPr>
        <xdr:cNvPr id="100936" name="AutoShape 16">
          <a:extLst>
            <a:ext uri="{FF2B5EF4-FFF2-40B4-BE49-F238E27FC236}">
              <a16:creationId xmlns:a16="http://schemas.microsoft.com/office/drawing/2014/main" id="{00000000-0008-0000-0800-0000488A0100}"/>
            </a:ext>
          </a:extLst>
        </xdr:cNvPr>
        <xdr:cNvSpPr>
          <a:spLocks noChangeArrowheads="1"/>
        </xdr:cNvSpPr>
      </xdr:nvSpPr>
      <xdr:spPr bwMode="auto">
        <a:xfrm rot="-5400000">
          <a:off x="13044487" y="81010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21</xdr:col>
      <xdr:colOff>123825</xdr:colOff>
      <xdr:row>4</xdr:row>
      <xdr:rowOff>123825</xdr:rowOff>
    </xdr:from>
    <xdr:to>
      <xdr:col>25</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5342054" y="864054"/>
          <a:ext cx="2891517" cy="2045153"/>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22</xdr:col>
      <xdr:colOff>0</xdr:colOff>
      <xdr:row>5</xdr:row>
      <xdr:rowOff>0</xdr:rowOff>
    </xdr:from>
    <xdr:to>
      <xdr:col>22</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190500</xdr:colOff>
      <xdr:row>13</xdr:row>
      <xdr:rowOff>76200</xdr:rowOff>
    </xdr:from>
    <xdr:to>
      <xdr:col>24</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21</xdr:col>
      <xdr:colOff>139700</xdr:colOff>
      <xdr:row>11</xdr:row>
      <xdr:rowOff>139700</xdr:rowOff>
    </xdr:from>
    <xdr:to>
      <xdr:col>21</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25</xdr:col>
      <xdr:colOff>152400</xdr:colOff>
      <xdr:row>6</xdr:row>
      <xdr:rowOff>152402</xdr:rowOff>
    </xdr:from>
    <xdr:to>
      <xdr:col>25</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63461" y="4176032"/>
          <a:ext cx="3555546" cy="2045154"/>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9066439" y="825954"/>
          <a:ext cx="3526972" cy="2045153"/>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9047389" y="4176032"/>
          <a:ext cx="3536497" cy="2045154"/>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39661" y="7839075"/>
          <a:ext cx="3555546" cy="2045154"/>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748157" y="7858125"/>
          <a:ext cx="3536497" cy="2045154"/>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400675" y="11383736"/>
          <a:ext cx="3536496" cy="2088696"/>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216354</xdr:colOff>
      <xdr:row>92</xdr:row>
      <xdr:rowOff>38916</xdr:rowOff>
    </xdr:from>
    <xdr:to>
      <xdr:col>15</xdr:col>
      <xdr:colOff>102054</xdr:colOff>
      <xdr:row>122</xdr:row>
      <xdr:rowOff>62049</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6320" cy="6278880"/>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4.4" x14ac:dyDescent="0.3"/>
  <cols>
    <col min="1" max="1" width="14.109375" bestFit="1" customWidth="1"/>
    <col min="5" max="5" width="10" bestFit="1" customWidth="1"/>
  </cols>
  <sheetData>
    <row r="1" spans="1:34"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3">
      <c r="A2" t="s">
        <v>34</v>
      </c>
      <c r="B2" t="str">
        <f>'Input sheet'!J28</f>
        <v>Street 1 &amp; Street 2</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3">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x14ac:dyDescent="0.3">
      <c r="A4" s="59" t="s">
        <v>72</v>
      </c>
      <c r="B4" s="59">
        <v>4431</v>
      </c>
      <c r="C4" s="59">
        <v>0</v>
      </c>
      <c r="D4" s="59">
        <f>'Input sheet'!I21</f>
        <v>290</v>
      </c>
      <c r="E4" s="59">
        <f>'Input sheet'!J21</f>
        <v>0</v>
      </c>
      <c r="F4" s="59">
        <f>'Input sheet'!K21</f>
        <v>0</v>
      </c>
      <c r="G4" s="59">
        <v>0</v>
      </c>
      <c r="H4" s="59">
        <v>0</v>
      </c>
      <c r="I4" s="59">
        <f>'Input sheet'!K7</f>
        <v>107</v>
      </c>
      <c r="J4" s="59">
        <f>'Input sheet'!J7</f>
        <v>656</v>
      </c>
      <c r="K4" s="59">
        <f>'Input sheet'!I7</f>
        <v>178</v>
      </c>
      <c r="L4" s="59">
        <v>0</v>
      </c>
      <c r="M4" s="59">
        <v>0</v>
      </c>
      <c r="N4" s="59">
        <f>'Input sheet'!G12</f>
        <v>83</v>
      </c>
      <c r="O4" s="59">
        <f>'Input sheet'!G14</f>
        <v>303</v>
      </c>
      <c r="P4" s="59">
        <f>'Input sheet'!G16</f>
        <v>106</v>
      </c>
      <c r="Q4" s="59">
        <v>0</v>
      </c>
      <c r="R4" s="59">
        <v>0</v>
      </c>
      <c r="S4" s="59">
        <f>'Input sheet'!M16</f>
        <v>166</v>
      </c>
      <c r="T4" s="59">
        <f>'Input sheet'!M14</f>
        <v>789</v>
      </c>
      <c r="U4" s="59">
        <f>'Input sheet'!M12</f>
        <v>237</v>
      </c>
      <c r="V4" s="59">
        <v>0</v>
      </c>
      <c r="W4" s="59">
        <v>0</v>
      </c>
      <c r="X4" s="59">
        <v>0</v>
      </c>
      <c r="Y4" s="59">
        <v>0</v>
      </c>
      <c r="Z4" s="59">
        <v>0</v>
      </c>
      <c r="AA4" s="59">
        <v>0</v>
      </c>
      <c r="AB4" s="59">
        <v>0</v>
      </c>
      <c r="AC4" s="59">
        <v>0</v>
      </c>
      <c r="AD4" s="59">
        <v>0</v>
      </c>
      <c r="AE4" s="59">
        <v>0</v>
      </c>
      <c r="AF4" s="59">
        <v>0</v>
      </c>
      <c r="AG4" s="59">
        <v>0</v>
      </c>
      <c r="AH4" s="59">
        <v>0</v>
      </c>
    </row>
    <row r="5" spans="1:34" x14ac:dyDescent="0.3">
      <c r="A5" t="s">
        <v>36</v>
      </c>
      <c r="B5">
        <v>4431</v>
      </c>
      <c r="C5">
        <v>0</v>
      </c>
      <c r="D5">
        <f>'Input sheet'!I22</f>
        <v>2</v>
      </c>
      <c r="E5">
        <f>'Input sheet'!J22</f>
        <v>0</v>
      </c>
      <c r="F5">
        <f>'Input sheet'!K22</f>
        <v>0</v>
      </c>
      <c r="G5">
        <v>0</v>
      </c>
      <c r="H5">
        <v>0</v>
      </c>
      <c r="I5">
        <f>'Input sheet'!K6</f>
        <v>2</v>
      </c>
      <c r="J5">
        <f>'Input sheet'!J6</f>
        <v>4</v>
      </c>
      <c r="K5">
        <f>'Input sheet'!I6</f>
        <v>5</v>
      </c>
      <c r="L5">
        <v>0</v>
      </c>
      <c r="M5">
        <v>0</v>
      </c>
      <c r="N5">
        <f>'Input sheet'!F12</f>
        <v>1</v>
      </c>
      <c r="O5">
        <f>'Input sheet'!F14</f>
        <v>2</v>
      </c>
      <c r="P5">
        <f>'Input sheet'!F16</f>
        <v>4</v>
      </c>
      <c r="Q5">
        <v>0</v>
      </c>
      <c r="R5">
        <v>0</v>
      </c>
      <c r="S5">
        <f>'Input sheet'!N16</f>
        <v>1</v>
      </c>
      <c r="T5">
        <f>'Input sheet'!N14</f>
        <v>2</v>
      </c>
      <c r="U5">
        <f>'Input sheet'!N12</f>
        <v>5</v>
      </c>
      <c r="V5">
        <v>0</v>
      </c>
      <c r="W5">
        <v>0</v>
      </c>
      <c r="X5">
        <v>0</v>
      </c>
      <c r="Y5">
        <v>0</v>
      </c>
      <c r="Z5">
        <v>0</v>
      </c>
      <c r="AA5">
        <v>0</v>
      </c>
      <c r="AB5">
        <v>0</v>
      </c>
      <c r="AC5">
        <v>0</v>
      </c>
      <c r="AD5">
        <v>0</v>
      </c>
      <c r="AE5">
        <v>0</v>
      </c>
      <c r="AF5">
        <v>0</v>
      </c>
      <c r="AG5">
        <v>0</v>
      </c>
      <c r="AH5">
        <v>0</v>
      </c>
    </row>
    <row r="6" spans="1:34" x14ac:dyDescent="0.3">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3">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3">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3">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3">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3">
      <c r="A11" t="s">
        <v>42</v>
      </c>
      <c r="B11">
        <v>4431</v>
      </c>
      <c r="C11">
        <v>0</v>
      </c>
      <c r="D11">
        <v>0</v>
      </c>
      <c r="E11">
        <f>'Input sheet'!J24</f>
        <v>20</v>
      </c>
      <c r="F11">
        <v>0</v>
      </c>
      <c r="G11">
        <v>0</v>
      </c>
      <c r="H11">
        <v>0</v>
      </c>
      <c r="I11">
        <v>0</v>
      </c>
      <c r="J11">
        <f>'Input sheet'!J4</f>
        <v>35</v>
      </c>
      <c r="K11">
        <v>0</v>
      </c>
      <c r="L11">
        <v>0</v>
      </c>
      <c r="M11">
        <v>0</v>
      </c>
      <c r="N11">
        <v>0</v>
      </c>
      <c r="O11">
        <f>'Input sheet'!D13</f>
        <v>35</v>
      </c>
      <c r="P11">
        <v>0</v>
      </c>
      <c r="Q11">
        <v>0</v>
      </c>
      <c r="R11">
        <v>0</v>
      </c>
      <c r="S11">
        <v>0</v>
      </c>
      <c r="T11">
        <f>'Input sheet'!P13</f>
        <v>35</v>
      </c>
      <c r="U11">
        <v>0</v>
      </c>
      <c r="V11">
        <v>0</v>
      </c>
      <c r="W11">
        <v>0</v>
      </c>
      <c r="X11">
        <v>0</v>
      </c>
      <c r="Y11">
        <v>0</v>
      </c>
      <c r="Z11">
        <v>0</v>
      </c>
      <c r="AA11">
        <v>0</v>
      </c>
      <c r="AB11">
        <v>0</v>
      </c>
      <c r="AC11">
        <v>0</v>
      </c>
      <c r="AD11">
        <v>0</v>
      </c>
      <c r="AE11">
        <v>0</v>
      </c>
      <c r="AF11">
        <v>0</v>
      </c>
      <c r="AG11">
        <v>0</v>
      </c>
      <c r="AH11">
        <v>0</v>
      </c>
    </row>
    <row r="12" spans="1:34" x14ac:dyDescent="0.3">
      <c r="A12" t="s">
        <v>43</v>
      </c>
      <c r="B12">
        <v>1</v>
      </c>
      <c r="D12">
        <v>50</v>
      </c>
      <c r="E12">
        <v>50</v>
      </c>
      <c r="F12">
        <v>50</v>
      </c>
      <c r="I12">
        <v>50</v>
      </c>
      <c r="J12">
        <v>50</v>
      </c>
      <c r="K12">
        <v>50</v>
      </c>
      <c r="N12">
        <v>50</v>
      </c>
      <c r="O12">
        <v>50</v>
      </c>
      <c r="P12">
        <v>50</v>
      </c>
      <c r="S12">
        <v>50</v>
      </c>
      <c r="T12">
        <v>50</v>
      </c>
      <c r="U12">
        <v>50</v>
      </c>
    </row>
    <row r="13" spans="1:34" x14ac:dyDescent="0.3">
      <c r="A13" t="s">
        <v>44</v>
      </c>
      <c r="B13">
        <v>1</v>
      </c>
      <c r="D13">
        <v>0</v>
      </c>
      <c r="E13">
        <v>0</v>
      </c>
      <c r="F13">
        <v>0</v>
      </c>
      <c r="I13">
        <v>0</v>
      </c>
      <c r="J13">
        <v>0</v>
      </c>
      <c r="K13">
        <v>0</v>
      </c>
      <c r="N13">
        <v>0</v>
      </c>
      <c r="O13">
        <v>0</v>
      </c>
      <c r="P13">
        <v>0</v>
      </c>
      <c r="S13">
        <v>0</v>
      </c>
      <c r="T13">
        <v>0</v>
      </c>
      <c r="U13">
        <v>0</v>
      </c>
    </row>
    <row r="14" spans="1:34" s="1" customFormat="1" x14ac:dyDescent="0.3">
      <c r="A14" s="1" t="s">
        <v>45</v>
      </c>
      <c r="B14" s="1">
        <v>1</v>
      </c>
      <c r="D14" s="1">
        <f>'Phase designation'!F27</f>
        <v>3</v>
      </c>
      <c r="E14" s="1">
        <f>'Phase designation'!G27</f>
        <v>8</v>
      </c>
      <c r="F14" s="1">
        <v>0</v>
      </c>
      <c r="I14" s="1">
        <f>'Phase designation'!H27</f>
        <v>7</v>
      </c>
      <c r="J14" s="1">
        <f>'Phase designation'!I27</f>
        <v>4</v>
      </c>
      <c r="K14" s="1">
        <v>0</v>
      </c>
      <c r="N14" s="1">
        <f>'Phase designation'!B27</f>
        <v>0</v>
      </c>
      <c r="O14" s="1">
        <f>'Phase designation'!C27</f>
        <v>2</v>
      </c>
      <c r="P14" s="1">
        <v>0</v>
      </c>
      <c r="S14" s="1">
        <f>'Phase designation'!D27</f>
        <v>0</v>
      </c>
      <c r="T14" s="1">
        <f>'Phase designation'!E27</f>
        <v>6</v>
      </c>
      <c r="U14" s="1">
        <v>0</v>
      </c>
    </row>
    <row r="15" spans="1:34" s="1" customFormat="1" x14ac:dyDescent="0.3">
      <c r="A15" s="1" t="s">
        <v>46</v>
      </c>
      <c r="B15" s="1">
        <v>1</v>
      </c>
      <c r="D15" s="1">
        <f>'Phase designation'!F28</f>
        <v>0</v>
      </c>
      <c r="E15" s="1">
        <f>'Phase designation'!G28</f>
        <v>0</v>
      </c>
      <c r="F15" s="1">
        <f>E14</f>
        <v>8</v>
      </c>
      <c r="I15" s="1">
        <f>'Phase designation'!H28</f>
        <v>0</v>
      </c>
      <c r="J15" s="1">
        <f>'Phase designation'!I28</f>
        <v>0</v>
      </c>
      <c r="K15" s="1">
        <f>J14</f>
        <v>4</v>
      </c>
      <c r="N15" s="1">
        <f>'Phase designation'!B28</f>
        <v>2</v>
      </c>
      <c r="O15" s="1">
        <f>'Phase designation'!C28</f>
        <v>0</v>
      </c>
      <c r="P15" s="1">
        <f>O14</f>
        <v>2</v>
      </c>
      <c r="S15" s="1">
        <f>'Phase designation'!D28</f>
        <v>6</v>
      </c>
      <c r="T15" s="1">
        <f>'Phase designation'!E28</f>
        <v>0</v>
      </c>
      <c r="U15" s="1">
        <f>T14</f>
        <v>6</v>
      </c>
    </row>
    <row r="16" spans="1:34" s="1" customFormat="1" x14ac:dyDescent="0.3">
      <c r="A16" s="1" t="s">
        <v>47</v>
      </c>
      <c r="B16" s="1">
        <v>1</v>
      </c>
      <c r="D16" s="1">
        <f>IF(D14&gt;0,D14,D15)</f>
        <v>3</v>
      </c>
      <c r="E16" s="1">
        <f>E14</f>
        <v>8</v>
      </c>
      <c r="F16" s="1">
        <f>E16</f>
        <v>8</v>
      </c>
      <c r="I16" s="1">
        <f>IF(I14&gt;0,I14,I15)</f>
        <v>7</v>
      </c>
      <c r="J16" s="1">
        <f>J14</f>
        <v>4</v>
      </c>
      <c r="K16" s="1">
        <f>J16</f>
        <v>4</v>
      </c>
      <c r="N16" s="1">
        <f>IF(N14&gt;0,N14,N15)</f>
        <v>2</v>
      </c>
      <c r="O16" s="1">
        <f>O14</f>
        <v>2</v>
      </c>
      <c r="P16" s="1">
        <f>O16</f>
        <v>2</v>
      </c>
      <c r="S16" s="1">
        <f>IF(S14&gt;0,S14,S15)</f>
        <v>6</v>
      </c>
      <c r="T16" s="1">
        <f>T14</f>
        <v>6</v>
      </c>
      <c r="U16" s="1">
        <f>T16</f>
        <v>6</v>
      </c>
    </row>
    <row r="17" spans="1:21" s="156" customFormat="1" x14ac:dyDescent="0.3">
      <c r="A17" s="156" t="s">
        <v>148</v>
      </c>
      <c r="B17" s="156">
        <v>1</v>
      </c>
      <c r="D17" s="156">
        <f>'Phase calculation'!I38</f>
        <v>11</v>
      </c>
      <c r="E17" s="156">
        <f>'Phase calculation'!J38</f>
        <v>45</v>
      </c>
      <c r="F17" s="156">
        <f>'Phase calculation'!K38</f>
        <v>45</v>
      </c>
      <c r="I17" s="156">
        <f>'Phase calculation'!L38</f>
        <v>8</v>
      </c>
      <c r="J17" s="156">
        <f>'Phase calculation'!M38</f>
        <v>42</v>
      </c>
      <c r="K17" s="156">
        <f>'Phase calculation'!N38</f>
        <v>42</v>
      </c>
      <c r="N17" s="156">
        <f>'Phase calculation'!C38</f>
        <v>55</v>
      </c>
      <c r="O17" s="156">
        <f>'Phase calculation'!D38</f>
        <v>55</v>
      </c>
      <c r="P17" s="156">
        <f>'Phase calculation'!E38</f>
        <v>55</v>
      </c>
      <c r="S17" s="156">
        <f>'Phase calculation'!F38</f>
        <v>55</v>
      </c>
      <c r="T17" s="156">
        <f>'Phase calculation'!G38</f>
        <v>55</v>
      </c>
      <c r="U17" s="156">
        <f>'Phase calculation'!H38</f>
        <v>55</v>
      </c>
    </row>
    <row r="18" spans="1:21" s="1" customFormat="1" x14ac:dyDescent="0.3">
      <c r="A18" s="1" t="s">
        <v>149</v>
      </c>
      <c r="B18" s="1">
        <v>1</v>
      </c>
      <c r="D18" s="1">
        <f>'Phase calculation'!I41</f>
        <v>561</v>
      </c>
      <c r="E18" s="1">
        <f>'Phase calculation'!J41</f>
        <v>2295</v>
      </c>
      <c r="F18" s="1">
        <f>'Phase calculation'!K41</f>
        <v>0</v>
      </c>
      <c r="I18" s="1">
        <f>'Phase calculation'!L41</f>
        <v>434</v>
      </c>
      <c r="J18" s="1">
        <f>'Phase calculation'!M41</f>
        <v>2142</v>
      </c>
      <c r="K18" s="1">
        <f>'Phase calculation'!N41</f>
        <v>13388</v>
      </c>
      <c r="N18" s="1">
        <f>'Phase calculation'!C41</f>
        <v>70</v>
      </c>
      <c r="O18" s="1">
        <f>'Phase calculation'!D41</f>
        <v>1403</v>
      </c>
      <c r="P18" s="1">
        <f>'Phase calculation'!E41</f>
        <v>11220</v>
      </c>
      <c r="S18" s="1">
        <f>'Phase calculation'!F41</f>
        <v>78</v>
      </c>
      <c r="T18" s="1">
        <f>'Phase calculation'!G41</f>
        <v>1403</v>
      </c>
      <c r="U18" s="1">
        <f>'Phase calculation'!H41</f>
        <v>17531</v>
      </c>
    </row>
    <row r="19" spans="1:21" s="247" customFormat="1" x14ac:dyDescent="0.3">
      <c r="A19" s="247" t="s">
        <v>135</v>
      </c>
      <c r="B19" s="247">
        <v>1</v>
      </c>
      <c r="D19" s="247">
        <f>'Phase calculation'!I40</f>
        <v>0.52</v>
      </c>
      <c r="E19" s="247">
        <f>'Phase calculation'!J40</f>
        <v>0</v>
      </c>
      <c r="F19" s="247">
        <f>'Phase calculation'!K40</f>
        <v>0</v>
      </c>
      <c r="I19" s="247">
        <f>'Phase calculation'!L40</f>
        <v>0.25</v>
      </c>
      <c r="J19" s="247">
        <f>'Phase calculation'!M40</f>
        <v>0.31</v>
      </c>
      <c r="K19" s="247">
        <f>'Phase calculation'!N40</f>
        <v>6.6477442485808188E-3</v>
      </c>
      <c r="N19" s="247">
        <f>'Phase calculation'!C40</f>
        <v>1.19</v>
      </c>
      <c r="O19" s="247">
        <f>'Phase calculation'!D40</f>
        <v>0.22</v>
      </c>
      <c r="P19" s="247">
        <f>'Phase calculation'!E40</f>
        <v>4.7237076648841353E-3</v>
      </c>
      <c r="S19" s="247">
        <f>'Phase calculation'!F40</f>
        <v>2.13</v>
      </c>
      <c r="T19" s="247">
        <f>'Phase calculation'!G40</f>
        <v>0.56000000000000005</v>
      </c>
      <c r="U19" s="247">
        <f>'Phase calculation'!H40</f>
        <v>6.7309337744566764E-3</v>
      </c>
    </row>
    <row r="20" spans="1:21" s="248" customFormat="1" x14ac:dyDescent="0.3">
      <c r="A20" s="248" t="s">
        <v>150</v>
      </c>
      <c r="B20" s="248">
        <v>1</v>
      </c>
      <c r="D20" s="248">
        <f>'Phase calculation'!I44</f>
        <v>55.4</v>
      </c>
      <c r="E20" s="248">
        <f>'Phase calculation'!J44</f>
        <v>0</v>
      </c>
      <c r="F20" s="248">
        <f>'Phase calculation'!K44</f>
        <v>0</v>
      </c>
      <c r="I20" s="248">
        <f>'Phase calculation'!L44</f>
        <v>54.53</v>
      </c>
      <c r="J20" s="248">
        <f>'Phase calculation'!M44</f>
        <v>28.82</v>
      </c>
      <c r="K20" s="248">
        <f>'Phase calculation'!N44</f>
        <v>25.41</v>
      </c>
      <c r="N20" s="248">
        <f>'Phase calculation'!C44</f>
        <v>200.14</v>
      </c>
      <c r="O20" s="248">
        <f>'Phase calculation'!D44</f>
        <v>19.939999999999998</v>
      </c>
      <c r="P20" s="248">
        <f>'Phase calculation'!E44</f>
        <v>17.64</v>
      </c>
      <c r="S20" s="248">
        <f>'Phase calculation'!F44</f>
        <v>581.29999999999995</v>
      </c>
      <c r="T20" s="248">
        <f>'Phase calculation'!G44</f>
        <v>25.3</v>
      </c>
      <c r="U20" s="248">
        <f>'Phase calculation'!H44</f>
        <v>17.66</v>
      </c>
    </row>
    <row r="21" spans="1:21" s="1" customFormat="1" x14ac:dyDescent="0.3">
      <c r="A21" s="1" t="s">
        <v>139</v>
      </c>
      <c r="B21" s="1">
        <v>1</v>
      </c>
      <c r="D21" s="73" t="str">
        <f>'Phase calculation'!I45</f>
        <v>E</v>
      </c>
      <c r="E21" s="243" t="str">
        <f>'Phase calculation'!J45</f>
        <v>N/A</v>
      </c>
      <c r="F21" s="243" t="str">
        <f>'Phase calculation'!K45</f>
        <v>N/A</v>
      </c>
      <c r="G21" s="73"/>
      <c r="H21" s="73"/>
      <c r="I21" s="73" t="str">
        <f>'Phase calculation'!L45</f>
        <v>D</v>
      </c>
      <c r="J21" s="243" t="str">
        <f>'Phase calculation'!M45</f>
        <v>C</v>
      </c>
      <c r="K21" s="243" t="str">
        <f>'Phase calculation'!N45</f>
        <v>C</v>
      </c>
      <c r="L21" s="73"/>
      <c r="M21" s="73"/>
      <c r="N21" s="73" t="str">
        <f>'Phase calculation'!C45</f>
        <v>F</v>
      </c>
      <c r="O21" s="243" t="str">
        <f>'Phase calculation'!D45</f>
        <v>B</v>
      </c>
      <c r="P21" s="243" t="str">
        <f>'Phase calculation'!E45</f>
        <v>B</v>
      </c>
      <c r="Q21" s="73"/>
      <c r="R21" s="73"/>
      <c r="S21" s="73" t="str">
        <f>'Phase calculation'!F45</f>
        <v>F</v>
      </c>
      <c r="T21" s="243" t="str">
        <f>'Phase calculation'!G45</f>
        <v>C</v>
      </c>
      <c r="U21" s="243" t="str">
        <f>'Phase calculation'!H45</f>
        <v>B</v>
      </c>
    </row>
    <row r="22" spans="1:21" x14ac:dyDescent="0.3">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3">
      <c r="A23" t="s">
        <v>49</v>
      </c>
      <c r="B23">
        <v>1</v>
      </c>
      <c r="D23">
        <v>4</v>
      </c>
      <c r="E23">
        <v>4</v>
      </c>
      <c r="F23">
        <v>4</v>
      </c>
      <c r="I23">
        <v>4</v>
      </c>
      <c r="J23">
        <v>4</v>
      </c>
      <c r="K23">
        <v>4</v>
      </c>
      <c r="N23">
        <v>4</v>
      </c>
      <c r="O23">
        <v>4</v>
      </c>
      <c r="P23">
        <v>4</v>
      </c>
      <c r="S23">
        <v>4</v>
      </c>
      <c r="T23">
        <v>4</v>
      </c>
      <c r="U23">
        <v>4</v>
      </c>
    </row>
    <row r="24" spans="1:21" s="1" customFormat="1" x14ac:dyDescent="0.3">
      <c r="A24" s="1" t="s">
        <v>465</v>
      </c>
      <c r="B24" s="1">
        <v>1</v>
      </c>
      <c r="D24" s="1">
        <f>'Phase calculation'!I11</f>
        <v>3060</v>
      </c>
      <c r="E24" s="1">
        <f>'Phase calculation'!J11</f>
        <v>0</v>
      </c>
      <c r="F24" s="1">
        <f>'Phase calculation'!K11</f>
        <v>0</v>
      </c>
      <c r="I24" s="1">
        <f>'Phase calculation'!L11</f>
        <v>3060</v>
      </c>
      <c r="J24" s="1">
        <f>'Phase calculation'!M11</f>
        <v>6120</v>
      </c>
      <c r="K24" s="1">
        <f>'Phase calculation'!N11</f>
        <v>7650</v>
      </c>
      <c r="N24" s="1">
        <f>'Phase calculation'!C11</f>
        <v>0</v>
      </c>
      <c r="O24" s="1">
        <f>'Phase calculation'!D11</f>
        <v>3060</v>
      </c>
      <c r="P24" s="1">
        <f>'Phase calculation'!E11</f>
        <v>6120</v>
      </c>
      <c r="S24" s="1">
        <f>'Phase calculation'!F11</f>
        <v>0</v>
      </c>
      <c r="T24" s="1">
        <f>'Phase calculation'!G11</f>
        <v>3060</v>
      </c>
      <c r="U24" s="1">
        <f>'Phase calculation'!H11</f>
        <v>7650</v>
      </c>
    </row>
    <row r="25" spans="1:21" s="1" customFormat="1" x14ac:dyDescent="0.3">
      <c r="A25" s="1" t="s">
        <v>50</v>
      </c>
      <c r="B25" s="1">
        <v>1</v>
      </c>
      <c r="D25" s="1">
        <f>'Phase calculation'!I14</f>
        <v>0</v>
      </c>
      <c r="E25" s="1">
        <f>'Phase calculation'!J14</f>
        <v>0</v>
      </c>
      <c r="F25" s="1">
        <f>'Phase calculation'!K14</f>
        <v>0</v>
      </c>
      <c r="I25" s="1">
        <f>'Phase calculation'!L14</f>
        <v>0</v>
      </c>
      <c r="J25" s="1">
        <f>'Phase calculation'!M14</f>
        <v>6120</v>
      </c>
      <c r="K25" s="1">
        <f>'Phase calculation'!N14</f>
        <v>7650</v>
      </c>
      <c r="N25" s="1">
        <f>'Phase calculation'!C14</f>
        <v>517</v>
      </c>
      <c r="O25" s="1">
        <f>'Phase calculation'!D14</f>
        <v>3060</v>
      </c>
      <c r="P25" s="1">
        <f>'Phase calculation'!E14</f>
        <v>6120</v>
      </c>
      <c r="S25" s="1">
        <f>'Phase calculation'!F14</f>
        <v>919</v>
      </c>
      <c r="T25" s="1">
        <f>'Phase calculation'!G14</f>
        <v>3060</v>
      </c>
      <c r="U25" s="1">
        <f>'Phase calculation'!H14</f>
        <v>7650</v>
      </c>
    </row>
    <row r="26" spans="1:21" x14ac:dyDescent="0.3">
      <c r="A26" t="s">
        <v>51</v>
      </c>
      <c r="B26">
        <v>1</v>
      </c>
      <c r="D26">
        <v>0</v>
      </c>
      <c r="E26">
        <v>0</v>
      </c>
      <c r="F26">
        <v>0</v>
      </c>
      <c r="I26">
        <v>0</v>
      </c>
      <c r="J26">
        <v>0</v>
      </c>
      <c r="K26">
        <v>0</v>
      </c>
      <c r="N26">
        <v>0</v>
      </c>
      <c r="O26">
        <v>0</v>
      </c>
      <c r="P26">
        <v>0</v>
      </c>
      <c r="S26">
        <v>0</v>
      </c>
      <c r="T26">
        <v>0</v>
      </c>
      <c r="U26">
        <v>0</v>
      </c>
    </row>
    <row r="27" spans="1:21" x14ac:dyDescent="0.3">
      <c r="A27" t="s">
        <v>52</v>
      </c>
      <c r="B27">
        <v>1</v>
      </c>
      <c r="D27">
        <v>1</v>
      </c>
      <c r="E27">
        <v>1</v>
      </c>
      <c r="F27">
        <v>1</v>
      </c>
      <c r="I27">
        <v>1</v>
      </c>
      <c r="J27">
        <v>1</v>
      </c>
      <c r="K27">
        <v>1</v>
      </c>
      <c r="N27">
        <v>1</v>
      </c>
      <c r="O27">
        <v>1</v>
      </c>
      <c r="P27">
        <v>1</v>
      </c>
      <c r="S27">
        <v>1</v>
      </c>
      <c r="T27">
        <v>1</v>
      </c>
      <c r="U27">
        <v>1</v>
      </c>
    </row>
    <row r="28" spans="1:21" x14ac:dyDescent="0.3">
      <c r="A28" t="s">
        <v>53</v>
      </c>
      <c r="B28">
        <v>1</v>
      </c>
      <c r="D28">
        <v>0</v>
      </c>
      <c r="E28">
        <v>0</v>
      </c>
      <c r="F28">
        <v>0</v>
      </c>
      <c r="I28">
        <v>0</v>
      </c>
      <c r="J28">
        <v>0</v>
      </c>
      <c r="K28">
        <v>0</v>
      </c>
      <c r="N28">
        <v>0</v>
      </c>
      <c r="O28">
        <v>0</v>
      </c>
      <c r="P28">
        <v>0</v>
      </c>
      <c r="S28">
        <v>0</v>
      </c>
      <c r="T28">
        <v>0</v>
      </c>
      <c r="U28">
        <v>0</v>
      </c>
    </row>
    <row r="29" spans="1:21" s="62" customFormat="1" x14ac:dyDescent="0.3">
      <c r="A29" s="62" t="s">
        <v>54</v>
      </c>
      <c r="B29" s="62">
        <v>1</v>
      </c>
      <c r="E29" s="62">
        <f>IF('Input sheet'!M22="Yes",10,0)</f>
        <v>10</v>
      </c>
      <c r="J29" s="62">
        <f>IF('Input sheet'!L5="Yes",10,0)</f>
        <v>10</v>
      </c>
      <c r="O29" s="62">
        <f>IF('Input sheet'!D16="Yes",10,0)</f>
        <v>10</v>
      </c>
      <c r="T29" s="62">
        <f>IF('Input sheet'!P16="Yes",10,0)</f>
        <v>10</v>
      </c>
    </row>
    <row r="30" spans="1:21" x14ac:dyDescent="0.3">
      <c r="A30" t="s">
        <v>55</v>
      </c>
      <c r="B30">
        <v>1</v>
      </c>
      <c r="D30">
        <v>0</v>
      </c>
      <c r="E30">
        <v>0</v>
      </c>
      <c r="F30">
        <v>0</v>
      </c>
      <c r="I30">
        <v>0</v>
      </c>
      <c r="J30">
        <v>0</v>
      </c>
      <c r="K30">
        <v>0</v>
      </c>
      <c r="N30">
        <v>0</v>
      </c>
      <c r="O30">
        <v>0</v>
      </c>
      <c r="P30">
        <v>0</v>
      </c>
      <c r="S30">
        <v>0</v>
      </c>
      <c r="T30">
        <v>0</v>
      </c>
      <c r="U30">
        <v>0</v>
      </c>
    </row>
    <row r="31" spans="1:21" x14ac:dyDescent="0.3">
      <c r="A31" t="s">
        <v>56</v>
      </c>
      <c r="B31">
        <v>1</v>
      </c>
      <c r="D31">
        <f>'Input sheet'!$V$4</f>
        <v>1</v>
      </c>
      <c r="E31">
        <f>'Input sheet'!$V$4</f>
        <v>1</v>
      </c>
      <c r="F31">
        <f>'Input sheet'!$V$4</f>
        <v>1</v>
      </c>
      <c r="I31">
        <f>'Input sheet'!$V$4</f>
        <v>1</v>
      </c>
      <c r="J31">
        <f>'Input sheet'!$V$4</f>
        <v>1</v>
      </c>
      <c r="K31">
        <f>'Input sheet'!$V$4</f>
        <v>1</v>
      </c>
      <c r="N31">
        <f>'Input sheet'!$V$4</f>
        <v>1</v>
      </c>
      <c r="O31">
        <f>'Input sheet'!$V$4</f>
        <v>1</v>
      </c>
      <c r="P31">
        <f>'Input sheet'!$V$4</f>
        <v>1</v>
      </c>
      <c r="S31">
        <f>'Input sheet'!$V$4</f>
        <v>1</v>
      </c>
      <c r="T31">
        <f>'Input sheet'!$V$4</f>
        <v>1</v>
      </c>
      <c r="U31">
        <f>'Input sheet'!$V$4</f>
        <v>1</v>
      </c>
    </row>
    <row r="32" spans="1:21" x14ac:dyDescent="0.3">
      <c r="A32" t="s">
        <v>57</v>
      </c>
      <c r="B32">
        <v>1</v>
      </c>
      <c r="D32">
        <v>100</v>
      </c>
      <c r="E32">
        <v>100</v>
      </c>
      <c r="F32">
        <v>100</v>
      </c>
      <c r="I32">
        <v>100</v>
      </c>
      <c r="J32">
        <v>100</v>
      </c>
      <c r="K32">
        <v>100</v>
      </c>
      <c r="N32">
        <v>100</v>
      </c>
      <c r="O32">
        <v>100</v>
      </c>
      <c r="P32">
        <v>100</v>
      </c>
      <c r="S32">
        <v>100</v>
      </c>
      <c r="T32">
        <v>100</v>
      </c>
      <c r="U32">
        <v>100</v>
      </c>
    </row>
    <row r="33" spans="1:31" x14ac:dyDescent="0.3">
      <c r="A33" t="s">
        <v>58</v>
      </c>
      <c r="B33">
        <v>1</v>
      </c>
      <c r="D33">
        <f>'Input sheet'!$V$5</f>
        <v>8</v>
      </c>
      <c r="E33">
        <f>'Input sheet'!$V$5</f>
        <v>8</v>
      </c>
      <c r="F33">
        <f>'Input sheet'!$V$5</f>
        <v>8</v>
      </c>
      <c r="I33">
        <f>'Input sheet'!$V$5</f>
        <v>8</v>
      </c>
      <c r="J33">
        <f>'Input sheet'!$V$5</f>
        <v>8</v>
      </c>
      <c r="K33">
        <f>'Input sheet'!$V$5</f>
        <v>8</v>
      </c>
      <c r="N33">
        <f>'Input sheet'!$V$5</f>
        <v>8</v>
      </c>
      <c r="O33">
        <f>'Input sheet'!$V$5</f>
        <v>8</v>
      </c>
      <c r="P33">
        <f>'Input sheet'!$V$5</f>
        <v>8</v>
      </c>
      <c r="S33">
        <f>'Input sheet'!$V$5</f>
        <v>8</v>
      </c>
      <c r="T33">
        <f>'Input sheet'!$V$5</f>
        <v>8</v>
      </c>
      <c r="U33">
        <f>'Input sheet'!$V$5</f>
        <v>8</v>
      </c>
    </row>
    <row r="34" spans="1:31" x14ac:dyDescent="0.3">
      <c r="A34" t="s">
        <v>59</v>
      </c>
      <c r="B34">
        <v>1</v>
      </c>
      <c r="D34">
        <v>0</v>
      </c>
      <c r="E34">
        <v>0</v>
      </c>
      <c r="F34">
        <v>0</v>
      </c>
      <c r="I34">
        <v>0</v>
      </c>
      <c r="J34">
        <v>0</v>
      </c>
      <c r="K34">
        <v>0</v>
      </c>
      <c r="N34">
        <v>0</v>
      </c>
      <c r="O34">
        <v>0</v>
      </c>
      <c r="P34">
        <v>0</v>
      </c>
      <c r="S34">
        <v>0</v>
      </c>
      <c r="T34">
        <v>0</v>
      </c>
      <c r="U34">
        <v>0</v>
      </c>
    </row>
    <row r="35" spans="1:31" x14ac:dyDescent="0.3">
      <c r="A35" s="67" t="s">
        <v>462</v>
      </c>
      <c r="B35" s="67">
        <v>1</v>
      </c>
      <c r="C35" s="67"/>
      <c r="D35" s="67">
        <f>IF(C70=0,0,INDEX($C$59:$J$59,C70))</f>
        <v>0</v>
      </c>
      <c r="E35" s="67">
        <f>IF(D70=0,0,INDEX($C$59:$J$59,D70))</f>
        <v>0</v>
      </c>
      <c r="F35" s="67">
        <f>E35</f>
        <v>0</v>
      </c>
      <c r="G35" s="67"/>
      <c r="H35" s="67"/>
      <c r="I35" s="67">
        <f>IF(E70=0,0,INDEX($C$59:$J$59,E70))</f>
        <v>59</v>
      </c>
      <c r="J35" s="67">
        <f>IF(F70=0,0,INDEX($C$59:$J$59,F70))</f>
        <v>74</v>
      </c>
      <c r="K35" s="67">
        <f>J35</f>
        <v>74</v>
      </c>
      <c r="L35" s="67"/>
      <c r="M35" s="67"/>
      <c r="N35" s="67">
        <f>IF(G70=0,0,INDEX($C$59:$J$59,G70))</f>
        <v>0</v>
      </c>
      <c r="O35" s="67">
        <f>IF(H70=0,0,INDEX($C$59:$J$59,H70))</f>
        <v>0</v>
      </c>
      <c r="P35" s="67">
        <f>O35</f>
        <v>0</v>
      </c>
      <c r="Q35" s="67"/>
      <c r="R35" s="67"/>
      <c r="S35" s="67">
        <f>IF(I70=0,0,INDEX($C$59:$J$59,I70))</f>
        <v>59</v>
      </c>
      <c r="T35" s="67">
        <f>IF(J70=0,0,INDEX($C$59:$J$59,J70))</f>
        <v>71</v>
      </c>
      <c r="U35" s="67">
        <f>T35</f>
        <v>71</v>
      </c>
      <c r="V35" s="67"/>
    </row>
    <row r="36" spans="1:31" x14ac:dyDescent="0.3">
      <c r="A36" s="59" t="s">
        <v>463</v>
      </c>
      <c r="B36" s="59">
        <v>1</v>
      </c>
      <c r="C36" s="59"/>
      <c r="D36" s="59">
        <f>IF(C70=0,0,INDEX($C$60:$J$60,C70))</f>
        <v>59</v>
      </c>
      <c r="E36" s="59">
        <f>IF(D70=0,0,INDEX($C$60:$J$60,D70))</f>
        <v>59</v>
      </c>
      <c r="F36" s="59">
        <f>E36</f>
        <v>59</v>
      </c>
      <c r="G36" s="59"/>
      <c r="H36" s="59"/>
      <c r="I36" s="59">
        <f>IF(E70=0,0,INDEX($C$60:$J$60,E70))</f>
        <v>74</v>
      </c>
      <c r="J36" s="59">
        <f>IF(F70=0,0,INDEX($C$60:$J$60,F70))</f>
        <v>120</v>
      </c>
      <c r="K36" s="59">
        <f>J36</f>
        <v>120</v>
      </c>
      <c r="L36" s="59"/>
      <c r="M36" s="59"/>
      <c r="N36" s="59">
        <f>IF(G70=0,0,INDEX($C$60:$J$60,G70))</f>
        <v>59</v>
      </c>
      <c r="O36" s="59">
        <f>IF(H70=0,0,INDEX($C$60:$J$60,H70))</f>
        <v>59</v>
      </c>
      <c r="P36" s="59">
        <f>O36</f>
        <v>59</v>
      </c>
      <c r="Q36" s="59"/>
      <c r="R36" s="59"/>
      <c r="S36" s="59">
        <f>IF(I70=0,0,INDEX($C$60:$J$60,I70))</f>
        <v>71</v>
      </c>
      <c r="T36" s="59">
        <f>IF(J70=0,0,INDEX($C$60:$J$60,J70))</f>
        <v>120</v>
      </c>
      <c r="U36" s="59">
        <f>T36</f>
        <v>120</v>
      </c>
      <c r="V36" s="59"/>
    </row>
    <row r="37" spans="1:31" x14ac:dyDescent="0.3">
      <c r="A37" t="s">
        <v>78</v>
      </c>
      <c r="B37">
        <v>1</v>
      </c>
      <c r="D37">
        <v>0</v>
      </c>
      <c r="E37">
        <v>0</v>
      </c>
      <c r="F37">
        <v>0</v>
      </c>
      <c r="I37">
        <v>0</v>
      </c>
      <c r="J37">
        <v>0</v>
      </c>
      <c r="K37">
        <v>0</v>
      </c>
      <c r="N37">
        <v>0</v>
      </c>
      <c r="O37">
        <v>0</v>
      </c>
      <c r="P37">
        <v>0</v>
      </c>
      <c r="S37">
        <v>0</v>
      </c>
      <c r="T37">
        <v>0</v>
      </c>
      <c r="U37">
        <v>0</v>
      </c>
    </row>
    <row r="38" spans="1:31" x14ac:dyDescent="0.3">
      <c r="A38" t="s">
        <v>243</v>
      </c>
      <c r="E38" s="155" t="str">
        <f>'Input sheet'!I26</f>
        <v>Street 1</v>
      </c>
      <c r="J38" s="155" t="str">
        <f>'Input sheet'!I2</f>
        <v>Street 1</v>
      </c>
      <c r="O38" s="155" t="str">
        <f>'Input sheet'!A13</f>
        <v>Street 2</v>
      </c>
      <c r="T38" s="155" t="str">
        <f>'Input sheet'!R13</f>
        <v>Street 2</v>
      </c>
    </row>
    <row r="39" spans="1:31" s="156" customFormat="1" x14ac:dyDescent="0.3">
      <c r="A39" s="156" t="s">
        <v>359</v>
      </c>
      <c r="D39" s="156">
        <f>'Phase calculation'!I54</f>
        <v>3060</v>
      </c>
      <c r="E39" s="156">
        <f>'Phase calculation'!J54</f>
        <v>0</v>
      </c>
      <c r="F39" s="156">
        <f>'Phase calculation'!K54</f>
        <v>0</v>
      </c>
      <c r="I39" s="156">
        <f>'Phase calculation'!L54</f>
        <v>3060</v>
      </c>
      <c r="J39" s="156">
        <f>'Phase calculation'!M54</f>
        <v>6120</v>
      </c>
      <c r="K39" s="156">
        <f>'Phase calculation'!N54</f>
        <v>7650</v>
      </c>
      <c r="N39" s="156">
        <f>'Phase calculation'!C54</f>
        <v>517</v>
      </c>
      <c r="O39" s="156">
        <f>'Phase calculation'!D54</f>
        <v>3060</v>
      </c>
      <c r="P39" s="156">
        <f>'Phase calculation'!E54</f>
        <v>6120</v>
      </c>
      <c r="S39" s="156">
        <f>'Phase calculation'!F54</f>
        <v>919</v>
      </c>
      <c r="T39" s="156">
        <f>'Phase calculation'!G54</f>
        <v>3060</v>
      </c>
      <c r="U39" s="156">
        <f>'Phase calculation'!H54</f>
        <v>7650</v>
      </c>
    </row>
    <row r="40" spans="1:31" x14ac:dyDescent="0.3">
      <c r="A40" t="s">
        <v>1</v>
      </c>
      <c r="B40" t="s">
        <v>60</v>
      </c>
      <c r="C40" t="s">
        <v>61</v>
      </c>
      <c r="D40" t="s">
        <v>62</v>
      </c>
      <c r="E40" t="s">
        <v>63</v>
      </c>
      <c r="F40" t="s">
        <v>64</v>
      </c>
      <c r="G40" t="s">
        <v>65</v>
      </c>
      <c r="H40" t="s">
        <v>66</v>
      </c>
      <c r="I40" t="s">
        <v>67</v>
      </c>
      <c r="J40" t="s">
        <v>68</v>
      </c>
      <c r="K40" t="s">
        <v>69</v>
      </c>
      <c r="L40" t="s">
        <v>70</v>
      </c>
      <c r="M40" t="s">
        <v>71</v>
      </c>
    </row>
    <row r="41" spans="1:31" x14ac:dyDescent="0.3">
      <c r="A41">
        <v>1</v>
      </c>
      <c r="B41" s="67">
        <f>'Phase calculation'!C83</f>
        <v>0</v>
      </c>
      <c r="C41" s="67">
        <f>'Phase calculation'!D83</f>
        <v>59</v>
      </c>
      <c r="D41" s="67">
        <f>'Phase calculation'!E83</f>
        <v>15</v>
      </c>
      <c r="E41" s="67">
        <f>'Phase calculation'!F83</f>
        <v>46</v>
      </c>
      <c r="F41" s="67">
        <f>'Phase calculation'!C84</f>
        <v>0</v>
      </c>
      <c r="G41" s="67">
        <f>'Phase calculation'!D84</f>
        <v>59</v>
      </c>
      <c r="H41" s="67">
        <f>'Phase calculation'!E84</f>
        <v>12</v>
      </c>
      <c r="I41" s="67">
        <f>'Phase calculation'!F84</f>
        <v>49</v>
      </c>
      <c r="J41" s="67">
        <f>IF(SUM(B41:I41)=0,0,'Phase calculation'!C25)</f>
        <v>120</v>
      </c>
      <c r="K41" s="62">
        <v>0</v>
      </c>
      <c r="L41" s="62">
        <v>1357</v>
      </c>
      <c r="M41" s="62">
        <v>0</v>
      </c>
    </row>
    <row r="42" spans="1:31" s="62" customFormat="1" x14ac:dyDescent="0.3">
      <c r="A42" s="200" t="s">
        <v>0</v>
      </c>
      <c r="B42" s="62" t="str">
        <f>Phasing!C29</f>
        <v>INTID</v>
      </c>
      <c r="C42" s="389" t="str">
        <f>Phasing!D29</f>
        <v>D1</v>
      </c>
      <c r="D42" s="389" t="str">
        <f>Phasing!E29</f>
        <v>D2</v>
      </c>
      <c r="E42" s="389" t="str">
        <f>Phasing!F29</f>
        <v>D3</v>
      </c>
      <c r="F42" s="389" t="str">
        <f>Phasing!G29</f>
        <v>D4</v>
      </c>
      <c r="G42" s="389" t="str">
        <f>Phasing!H29</f>
        <v>D5</v>
      </c>
      <c r="H42" s="389" t="str">
        <f>Phasing!I29</f>
        <v>D6</v>
      </c>
      <c r="I42" s="389" t="str">
        <f>Phasing!J29</f>
        <v>D7</v>
      </c>
      <c r="J42" s="389" t="str">
        <f>Phasing!K29</f>
        <v>D8</v>
      </c>
    </row>
    <row r="43" spans="1:31" x14ac:dyDescent="0.3">
      <c r="A43" s="200" t="s">
        <v>254</v>
      </c>
      <c r="B43" s="62" t="str">
        <f>Phasing!C30</f>
        <v>Street 1 &amp; Street 2</v>
      </c>
      <c r="C43" s="389">
        <f>Phasing!D30</f>
        <v>0</v>
      </c>
      <c r="D43" s="389">
        <f>Phasing!E30</f>
        <v>112</v>
      </c>
      <c r="E43" s="389">
        <f>Phasing!F30</f>
        <v>212</v>
      </c>
      <c r="F43" s="389">
        <f>Phasing!G30</f>
        <v>211</v>
      </c>
      <c r="G43" s="389">
        <f>Phasing!H30</f>
        <v>0</v>
      </c>
      <c r="H43" s="389">
        <f>Phasing!I30</f>
        <v>122</v>
      </c>
      <c r="I43" s="389">
        <f>Phasing!J30</f>
        <v>221</v>
      </c>
      <c r="J43" s="389">
        <f>Phasing!K30</f>
        <v>222</v>
      </c>
      <c r="O43" s="518" t="s">
        <v>203</v>
      </c>
      <c r="P43" s="518"/>
      <c r="Q43" s="518"/>
      <c r="R43" s="518"/>
      <c r="S43" s="518"/>
      <c r="T43" s="518"/>
      <c r="U43" s="518"/>
      <c r="V43" s="518"/>
    </row>
    <row r="44" spans="1:31" x14ac:dyDescent="0.3">
      <c r="A44" s="200" t="s">
        <v>255</v>
      </c>
      <c r="B44" s="62" t="str">
        <f>Phasing!C31</f>
        <v>Street 1 &amp; Street 2</v>
      </c>
      <c r="C44" s="389">
        <f>C45</f>
        <v>0</v>
      </c>
      <c r="D44" s="389">
        <f t="shared" ref="D44:J44" si="0">D45</f>
        <v>52.9</v>
      </c>
      <c r="E44" s="389">
        <f t="shared" si="0"/>
        <v>9</v>
      </c>
      <c r="F44" s="389">
        <f t="shared" si="0"/>
        <v>39.9</v>
      </c>
      <c r="G44" s="389">
        <f t="shared" si="0"/>
        <v>0</v>
      </c>
      <c r="H44" s="389">
        <f t="shared" si="0"/>
        <v>52.9</v>
      </c>
      <c r="I44" s="389">
        <f t="shared" si="0"/>
        <v>5.9</v>
      </c>
      <c r="J44" s="389">
        <f t="shared" si="0"/>
        <v>43</v>
      </c>
      <c r="O44" s="515" t="s">
        <v>201</v>
      </c>
      <c r="P44" s="515"/>
      <c r="Q44" s="515"/>
      <c r="R44" s="515"/>
      <c r="S44" s="515"/>
      <c r="T44" s="515"/>
      <c r="U44" s="515"/>
      <c r="V44" s="515"/>
      <c r="X44" s="516" t="s">
        <v>239</v>
      </c>
      <c r="Y44" s="516"/>
      <c r="Z44" s="516"/>
      <c r="AA44" s="516"/>
      <c r="AB44" s="516"/>
      <c r="AC44" s="516"/>
      <c r="AD44" s="516"/>
      <c r="AE44" s="516"/>
    </row>
    <row r="45" spans="1:31" ht="15" customHeight="1" x14ac:dyDescent="0.3">
      <c r="A45" s="200" t="s">
        <v>256</v>
      </c>
      <c r="B45" s="62" t="str">
        <f>Phasing!C32</f>
        <v>Street 1 &amp; Street 2</v>
      </c>
      <c r="C45" s="389">
        <f>Phasing!D58</f>
        <v>0</v>
      </c>
      <c r="D45" s="389">
        <f>Phasing!E58</f>
        <v>52.9</v>
      </c>
      <c r="E45" s="389">
        <f>Phasing!F58</f>
        <v>9</v>
      </c>
      <c r="F45" s="389">
        <f>Phasing!G58</f>
        <v>39.9</v>
      </c>
      <c r="G45" s="389">
        <f>Phasing!H58</f>
        <v>0</v>
      </c>
      <c r="H45" s="389">
        <f>Phasing!I58</f>
        <v>52.9</v>
      </c>
      <c r="I45" s="389">
        <f>Phasing!J58</f>
        <v>5.9</v>
      </c>
      <c r="J45" s="389">
        <f>Phasing!K58</f>
        <v>43</v>
      </c>
      <c r="O45" s="98" t="s">
        <v>202</v>
      </c>
      <c r="P45" s="98"/>
      <c r="Q45" s="98"/>
      <c r="R45" s="98"/>
      <c r="S45" s="98"/>
      <c r="T45" s="98"/>
      <c r="U45" s="98"/>
      <c r="V45" s="99"/>
      <c r="X45" s="516"/>
      <c r="Y45" s="516"/>
      <c r="Z45" s="516"/>
      <c r="AA45" s="516"/>
      <c r="AB45" s="516"/>
      <c r="AC45" s="516"/>
      <c r="AD45" s="516"/>
      <c r="AE45" s="516"/>
    </row>
    <row r="46" spans="1:31" x14ac:dyDescent="0.3">
      <c r="A46" s="200" t="s">
        <v>257</v>
      </c>
      <c r="B46" s="62" t="str">
        <f>Phasing!C33</f>
        <v>Street 1 &amp; Street 2</v>
      </c>
      <c r="C46" s="389">
        <f>Phasing!D33</f>
        <v>0</v>
      </c>
      <c r="D46" s="389">
        <f>Phasing!E33</f>
        <v>2.2999999999999998</v>
      </c>
      <c r="E46" s="389">
        <f>Phasing!F33</f>
        <v>1.5</v>
      </c>
      <c r="F46" s="389">
        <f>Phasing!G33</f>
        <v>2.2999999999999998</v>
      </c>
      <c r="G46" s="389">
        <f>Phasing!H33</f>
        <v>0</v>
      </c>
      <c r="H46" s="389">
        <f>Phasing!I33</f>
        <v>2.2999999999999998</v>
      </c>
      <c r="I46" s="389">
        <f>Phasing!J33</f>
        <v>2.2999999999999998</v>
      </c>
      <c r="J46" s="389">
        <f>Phasing!K33</f>
        <v>1.5</v>
      </c>
      <c r="P46" s="97"/>
      <c r="Q46" s="97"/>
      <c r="R46" s="97"/>
      <c r="S46" s="97"/>
      <c r="T46" s="97"/>
      <c r="U46" s="97"/>
      <c r="X46" s="516"/>
      <c r="Y46" s="516"/>
      <c r="Z46" s="516"/>
      <c r="AA46" s="516"/>
      <c r="AB46" s="516"/>
      <c r="AC46" s="516"/>
      <c r="AD46" s="516"/>
      <c r="AE46" s="516"/>
    </row>
    <row r="47" spans="1:31" ht="15" customHeight="1" x14ac:dyDescent="0.3">
      <c r="A47" s="200" t="s">
        <v>258</v>
      </c>
      <c r="B47" s="62" t="str">
        <f>Phasing!C34</f>
        <v>Street 1 &amp; Street 2</v>
      </c>
      <c r="C47" s="389">
        <f>Phasing!D34</f>
        <v>0</v>
      </c>
      <c r="D47" s="389">
        <f>Phasing!E34</f>
        <v>10</v>
      </c>
      <c r="E47" s="389">
        <f>Phasing!F34</f>
        <v>10</v>
      </c>
      <c r="F47" s="389">
        <f>Phasing!G34</f>
        <v>10</v>
      </c>
      <c r="G47" s="389">
        <f>Phasing!H34</f>
        <v>0</v>
      </c>
      <c r="H47" s="389">
        <f>Phasing!I34</f>
        <v>10</v>
      </c>
      <c r="I47" s="389">
        <f>Phasing!J34</f>
        <v>10</v>
      </c>
      <c r="J47" s="389">
        <f>Phasing!K34</f>
        <v>10</v>
      </c>
      <c r="O47" s="517" t="s">
        <v>222</v>
      </c>
      <c r="P47" s="517"/>
      <c r="Q47" s="517"/>
      <c r="R47" s="517"/>
      <c r="S47" s="517"/>
      <c r="T47" s="517"/>
      <c r="U47" s="517"/>
      <c r="V47" s="517"/>
      <c r="X47" s="516"/>
      <c r="Y47" s="516"/>
      <c r="Z47" s="516"/>
      <c r="AA47" s="516"/>
      <c r="AB47" s="516"/>
      <c r="AC47" s="516"/>
      <c r="AD47" s="516"/>
      <c r="AE47" s="516"/>
    </row>
    <row r="48" spans="1:31" x14ac:dyDescent="0.3">
      <c r="A48" s="200" t="s">
        <v>259</v>
      </c>
      <c r="B48" s="62" t="str">
        <f>Phasing!C35</f>
        <v>Street 1 &amp; Street 2</v>
      </c>
      <c r="C48" s="389">
        <f>Phasing!D35</f>
        <v>0</v>
      </c>
      <c r="D48" s="389">
        <f>Phasing!E35</f>
        <v>23</v>
      </c>
      <c r="E48" s="389">
        <f>Phasing!F35</f>
        <v>33</v>
      </c>
      <c r="F48" s="389">
        <f>Phasing!G35</f>
        <v>23</v>
      </c>
      <c r="G48" s="389">
        <f>Phasing!H35</f>
        <v>0</v>
      </c>
      <c r="H48" s="389">
        <f>Phasing!I35</f>
        <v>18</v>
      </c>
      <c r="I48" s="389">
        <f>Phasing!J35</f>
        <v>8</v>
      </c>
      <c r="J48" s="389">
        <f>Phasing!K35</f>
        <v>15</v>
      </c>
      <c r="O48" s="517"/>
      <c r="P48" s="517"/>
      <c r="Q48" s="517"/>
      <c r="R48" s="517"/>
      <c r="S48" s="517"/>
      <c r="T48" s="517"/>
      <c r="U48" s="517"/>
      <c r="V48" s="517"/>
      <c r="X48" s="516"/>
      <c r="Y48" s="516"/>
      <c r="Z48" s="516"/>
      <c r="AA48" s="516"/>
      <c r="AB48" s="516"/>
      <c r="AC48" s="516"/>
      <c r="AD48" s="516"/>
      <c r="AE48" s="516"/>
    </row>
    <row r="49" spans="1:22" x14ac:dyDescent="0.3">
      <c r="A49" s="200" t="s">
        <v>260</v>
      </c>
      <c r="B49" s="62" t="str">
        <f>Phasing!C36</f>
        <v>Street 1 &amp; Street 2</v>
      </c>
      <c r="C49" s="389">
        <f>Phasing!D36</f>
        <v>0</v>
      </c>
      <c r="D49" s="389">
        <f>Phasing!E36</f>
        <v>0.3</v>
      </c>
      <c r="E49" s="389">
        <f>Phasing!F36</f>
        <v>0</v>
      </c>
      <c r="F49" s="389">
        <f>Phasing!G36</f>
        <v>0.3</v>
      </c>
      <c r="G49" s="389">
        <f>Phasing!H36</f>
        <v>0</v>
      </c>
      <c r="H49" s="389">
        <f>Phasing!I36</f>
        <v>0.3</v>
      </c>
      <c r="I49" s="389">
        <f>Phasing!J36</f>
        <v>0.3</v>
      </c>
      <c r="J49" s="389">
        <f>Phasing!K36</f>
        <v>0</v>
      </c>
      <c r="O49" s="517"/>
      <c r="P49" s="517"/>
      <c r="Q49" s="517"/>
      <c r="R49" s="517"/>
      <c r="S49" s="517"/>
      <c r="T49" s="517"/>
      <c r="U49" s="517"/>
      <c r="V49" s="517"/>
    </row>
    <row r="50" spans="1:22" x14ac:dyDescent="0.3">
      <c r="A50" s="200" t="s">
        <v>261</v>
      </c>
      <c r="B50" s="62" t="str">
        <f>Phasing!C37</f>
        <v>Street 1 &amp; Street 2</v>
      </c>
      <c r="C50" s="389">
        <f>Phasing!D37</f>
        <v>0</v>
      </c>
      <c r="D50" s="389">
        <f>Phasing!E37</f>
        <v>3.6</v>
      </c>
      <c r="E50" s="389">
        <f>Phasing!F37</f>
        <v>3</v>
      </c>
      <c r="F50" s="389">
        <f>Phasing!G37</f>
        <v>3.6</v>
      </c>
      <c r="G50" s="389">
        <f>Phasing!H37</f>
        <v>0</v>
      </c>
      <c r="H50" s="389">
        <f>Phasing!I37</f>
        <v>3.6</v>
      </c>
      <c r="I50" s="389">
        <f>Phasing!J37</f>
        <v>3.6</v>
      </c>
      <c r="J50" s="389">
        <f>Phasing!K37</f>
        <v>3</v>
      </c>
      <c r="O50" s="517"/>
      <c r="P50" s="517"/>
      <c r="Q50" s="517"/>
      <c r="R50" s="517"/>
      <c r="S50" s="517"/>
      <c r="T50" s="517"/>
      <c r="U50" s="517"/>
      <c r="V50" s="517"/>
    </row>
    <row r="51" spans="1:22" x14ac:dyDescent="0.3">
      <c r="A51" s="200" t="s">
        <v>262</v>
      </c>
      <c r="B51" s="62" t="str">
        <f>Phasing!C38</f>
        <v>Street 1 &amp; Street 2</v>
      </c>
      <c r="C51" s="389">
        <f>Phasing!D38</f>
        <v>0</v>
      </c>
      <c r="D51" s="389">
        <f>Phasing!E38</f>
        <v>2.5</v>
      </c>
      <c r="E51" s="389">
        <f>Phasing!F38</f>
        <v>3</v>
      </c>
      <c r="F51" s="389">
        <f>Phasing!G38</f>
        <v>2.5</v>
      </c>
      <c r="G51" s="389">
        <f>Phasing!H38</f>
        <v>0</v>
      </c>
      <c r="H51" s="389">
        <f>Phasing!I38</f>
        <v>2.5</v>
      </c>
      <c r="I51" s="389">
        <f>Phasing!J38</f>
        <v>2.5</v>
      </c>
      <c r="J51" s="389">
        <f>Phasing!K38</f>
        <v>3</v>
      </c>
      <c r="O51" s="517"/>
      <c r="P51" s="517"/>
      <c r="Q51" s="517"/>
      <c r="R51" s="517"/>
      <c r="S51" s="517"/>
      <c r="T51" s="517"/>
      <c r="U51" s="517"/>
      <c r="V51" s="517"/>
    </row>
    <row r="52" spans="1:22" x14ac:dyDescent="0.3">
      <c r="A52" s="200" t="s">
        <v>263</v>
      </c>
      <c r="B52" s="62" t="str">
        <f>Phasing!C39</f>
        <v>Street 1 &amp; Street 2</v>
      </c>
      <c r="C52" s="389">
        <f>Phasing!D39</f>
        <v>0</v>
      </c>
      <c r="D52" s="389">
        <f>Phasing!E39</f>
        <v>1</v>
      </c>
      <c r="E52" s="389">
        <f>Phasing!F39</f>
        <v>0</v>
      </c>
      <c r="F52" s="389">
        <f>Phasing!G39</f>
        <v>1</v>
      </c>
      <c r="G52" s="389">
        <f>Phasing!H39</f>
        <v>0</v>
      </c>
      <c r="H52" s="389">
        <f>Phasing!I39</f>
        <v>1</v>
      </c>
      <c r="I52" s="389">
        <f>Phasing!J39</f>
        <v>0</v>
      </c>
      <c r="J52" s="389">
        <f>Phasing!K39</f>
        <v>1</v>
      </c>
      <c r="O52" s="517"/>
      <c r="P52" s="517"/>
      <c r="Q52" s="517"/>
      <c r="R52" s="517"/>
      <c r="S52" s="517"/>
      <c r="T52" s="517"/>
      <c r="U52" s="517"/>
      <c r="V52" s="517"/>
    </row>
    <row r="53" spans="1:22" x14ac:dyDescent="0.3">
      <c r="A53" s="200" t="s">
        <v>264</v>
      </c>
      <c r="B53" s="62" t="str">
        <f>Phasing!C40</f>
        <v>Street 1 &amp; Street 2</v>
      </c>
      <c r="C53" s="389">
        <f>Phasing!D40</f>
        <v>0</v>
      </c>
      <c r="D53" s="389">
        <f>Phasing!E40</f>
        <v>5</v>
      </c>
      <c r="E53" s="389">
        <f>Phasing!F40</f>
        <v>0</v>
      </c>
      <c r="F53" s="389">
        <f>Phasing!G40</f>
        <v>5</v>
      </c>
      <c r="G53" s="389">
        <f>Phasing!H40</f>
        <v>0</v>
      </c>
      <c r="H53" s="389">
        <f>Phasing!I40</f>
        <v>5</v>
      </c>
      <c r="I53" s="389">
        <f>Phasing!J40</f>
        <v>0</v>
      </c>
      <c r="J53" s="389">
        <f>Phasing!K40</f>
        <v>5</v>
      </c>
      <c r="O53" s="517"/>
      <c r="P53" s="517"/>
      <c r="Q53" s="517"/>
      <c r="R53" s="517"/>
      <c r="S53" s="517"/>
      <c r="T53" s="517"/>
      <c r="U53" s="517"/>
      <c r="V53" s="517"/>
    </row>
    <row r="54" spans="1:22" x14ac:dyDescent="0.3">
      <c r="A54" s="200" t="s">
        <v>265</v>
      </c>
      <c r="B54" s="62" t="str">
        <f>Phasing!C41</f>
        <v>Street 1 &amp; Street 2</v>
      </c>
      <c r="C54" s="389">
        <f>Phasing!D41</f>
        <v>0</v>
      </c>
      <c r="D54" s="389">
        <f>Phasing!E41</f>
        <v>24</v>
      </c>
      <c r="E54" s="389">
        <f>Phasing!F41</f>
        <v>0</v>
      </c>
      <c r="F54" s="389">
        <f>Phasing!G41</f>
        <v>34</v>
      </c>
      <c r="G54" s="389">
        <f>Phasing!H41</f>
        <v>0</v>
      </c>
      <c r="H54" s="389">
        <f>Phasing!I41</f>
        <v>41</v>
      </c>
      <c r="I54" s="389">
        <f>Phasing!J41</f>
        <v>0</v>
      </c>
      <c r="J54" s="389">
        <f>Phasing!K41</f>
        <v>38</v>
      </c>
      <c r="O54" s="517"/>
      <c r="P54" s="517"/>
      <c r="Q54" s="517"/>
      <c r="R54" s="517"/>
      <c r="S54" s="517"/>
      <c r="T54" s="517"/>
      <c r="U54" s="517"/>
      <c r="V54" s="517"/>
    </row>
    <row r="55" spans="1:22" x14ac:dyDescent="0.3">
      <c r="A55" s="200" t="s">
        <v>266</v>
      </c>
      <c r="B55" s="62" t="str">
        <f>Phasing!C42</f>
        <v>Street 1 &amp; Street 2</v>
      </c>
      <c r="C55" s="389">
        <f>Phasing!D42</f>
        <v>0</v>
      </c>
      <c r="D55" s="389">
        <f>Phasing!E42</f>
        <v>1</v>
      </c>
      <c r="E55" s="389">
        <f>Phasing!F42</f>
        <v>0</v>
      </c>
      <c r="F55" s="389">
        <f>Phasing!G42</f>
        <v>1</v>
      </c>
      <c r="G55" s="389">
        <f>Phasing!H42</f>
        <v>0</v>
      </c>
      <c r="H55" s="389">
        <f>Phasing!I42</f>
        <v>1</v>
      </c>
      <c r="I55" s="389">
        <f>Phasing!J42</f>
        <v>0</v>
      </c>
      <c r="J55" s="389">
        <f>Phasing!K42</f>
        <v>1</v>
      </c>
      <c r="O55" s="517"/>
      <c r="P55" s="517"/>
      <c r="Q55" s="517"/>
      <c r="R55" s="517"/>
      <c r="S55" s="517"/>
      <c r="T55" s="517"/>
      <c r="U55" s="517"/>
      <c r="V55" s="517"/>
    </row>
    <row r="56" spans="1:22" x14ac:dyDescent="0.3">
      <c r="A56" s="200" t="s">
        <v>267</v>
      </c>
      <c r="B56" s="62" t="str">
        <f>Phasing!C43</f>
        <v>Street 1 &amp; Street 2</v>
      </c>
      <c r="C56" s="389">
        <f>Phasing!D43</f>
        <v>0</v>
      </c>
      <c r="D56" s="389">
        <f>Phasing!E43</f>
        <v>36</v>
      </c>
      <c r="E56" s="389">
        <f>Phasing!F43</f>
        <v>9</v>
      </c>
      <c r="F56" s="389">
        <f>Phasing!G43</f>
        <v>46</v>
      </c>
      <c r="G56" s="389">
        <f>Phasing!H43</f>
        <v>0</v>
      </c>
      <c r="H56" s="389">
        <f>Phasing!I43</f>
        <v>53</v>
      </c>
      <c r="I56" s="389">
        <f>Phasing!J43</f>
        <v>9</v>
      </c>
      <c r="J56" s="389">
        <f>Phasing!K43</f>
        <v>49</v>
      </c>
    </row>
    <row r="57" spans="1:22" x14ac:dyDescent="0.3">
      <c r="A57" s="200" t="s">
        <v>268</v>
      </c>
      <c r="B57" s="62" t="str">
        <f>Phasing!C44</f>
        <v>Street 1 &amp; Street 2</v>
      </c>
      <c r="C57" s="389">
        <f>Phasing!D44</f>
        <v>0</v>
      </c>
      <c r="D57" s="389">
        <f>Phasing!E44</f>
        <v>1</v>
      </c>
      <c r="E57" s="389">
        <f>Phasing!F44</f>
        <v>0</v>
      </c>
      <c r="F57" s="389">
        <f>Phasing!G44</f>
        <v>1</v>
      </c>
      <c r="G57" s="389">
        <f>Phasing!H44</f>
        <v>0</v>
      </c>
      <c r="H57" s="389">
        <f>Phasing!I44</f>
        <v>1</v>
      </c>
      <c r="I57" s="389">
        <f>Phasing!J44</f>
        <v>0</v>
      </c>
      <c r="J57" s="389">
        <f>Phasing!K44</f>
        <v>1</v>
      </c>
    </row>
    <row r="58" spans="1:22" x14ac:dyDescent="0.3">
      <c r="A58" s="200" t="s">
        <v>269</v>
      </c>
      <c r="B58" s="62" t="str">
        <f>Phasing!C45</f>
        <v>Street 1 &amp; Street 2</v>
      </c>
      <c r="C58" s="389">
        <f>Phasing!D45</f>
        <v>0</v>
      </c>
      <c r="D58" s="389">
        <f>Phasing!E45</f>
        <v>1</v>
      </c>
      <c r="E58" s="389">
        <f>Phasing!F45</f>
        <v>1</v>
      </c>
      <c r="F58" s="389">
        <f>Phasing!G45</f>
        <v>1</v>
      </c>
      <c r="G58" s="389">
        <f>Phasing!H45</f>
        <v>0</v>
      </c>
      <c r="H58" s="389">
        <f>Phasing!I45</f>
        <v>1</v>
      </c>
      <c r="I58" s="389">
        <f>Phasing!J45</f>
        <v>1</v>
      </c>
      <c r="J58" s="389">
        <f>Phasing!K45</f>
        <v>1</v>
      </c>
    </row>
    <row r="59" spans="1:22" x14ac:dyDescent="0.3">
      <c r="A59" s="200" t="s">
        <v>270</v>
      </c>
      <c r="B59" s="62" t="str">
        <f>Phasing!C46</f>
        <v>Street 1 &amp; Street 2</v>
      </c>
      <c r="C59" s="389">
        <f>Phasing!D46</f>
        <v>0</v>
      </c>
      <c r="D59" s="389">
        <f>Phasing!E46</f>
        <v>0</v>
      </c>
      <c r="E59" s="389">
        <f>Phasing!F46</f>
        <v>59</v>
      </c>
      <c r="F59" s="389">
        <f>Phasing!G46</f>
        <v>74</v>
      </c>
      <c r="G59" s="389">
        <f>Phasing!H46</f>
        <v>0</v>
      </c>
      <c r="H59" s="389">
        <f>Phasing!I46</f>
        <v>0</v>
      </c>
      <c r="I59" s="389">
        <f>Phasing!J46</f>
        <v>59</v>
      </c>
      <c r="J59" s="389">
        <f>Phasing!K46</f>
        <v>71</v>
      </c>
    </row>
    <row r="60" spans="1:22" x14ac:dyDescent="0.3">
      <c r="A60" s="200" t="s">
        <v>271</v>
      </c>
      <c r="B60" s="62" t="str">
        <f>Phasing!C47</f>
        <v>Street 1 &amp; Street 2</v>
      </c>
      <c r="C60" s="389">
        <f>Phasing!D47</f>
        <v>0</v>
      </c>
      <c r="D60" s="389">
        <f>Phasing!E47</f>
        <v>59</v>
      </c>
      <c r="E60" s="389">
        <f>Phasing!F47</f>
        <v>74</v>
      </c>
      <c r="F60" s="389">
        <f>Phasing!G47</f>
        <v>120</v>
      </c>
      <c r="G60" s="389">
        <f>Phasing!H47</f>
        <v>0</v>
      </c>
      <c r="H60" s="389">
        <f>Phasing!I47</f>
        <v>59</v>
      </c>
      <c r="I60" s="389">
        <f>Phasing!J47</f>
        <v>71</v>
      </c>
      <c r="J60" s="389">
        <f>Phasing!K47</f>
        <v>120</v>
      </c>
    </row>
    <row r="61" spans="1:22" x14ac:dyDescent="0.3">
      <c r="A61" s="200" t="s">
        <v>272</v>
      </c>
      <c r="B61" s="62" t="str">
        <f>Phasing!C48</f>
        <v>Street 1 &amp; Street 2</v>
      </c>
      <c r="C61" s="389">
        <f>Phasing!D48</f>
        <v>0</v>
      </c>
      <c r="D61" s="389">
        <f>Phasing!E48</f>
        <v>53</v>
      </c>
      <c r="E61" s="389">
        <f>Phasing!F48</f>
        <v>68</v>
      </c>
      <c r="F61" s="389">
        <f>Phasing!G48</f>
        <v>114</v>
      </c>
      <c r="G61" s="389">
        <f>Phasing!H48</f>
        <v>0</v>
      </c>
      <c r="H61" s="389">
        <f>Phasing!I48</f>
        <v>53</v>
      </c>
      <c r="I61" s="389">
        <f>Phasing!J48</f>
        <v>65</v>
      </c>
      <c r="J61" s="389">
        <f>Phasing!K48</f>
        <v>114</v>
      </c>
    </row>
    <row r="62" spans="1:22" x14ac:dyDescent="0.3">
      <c r="A62" s="200" t="s">
        <v>273</v>
      </c>
      <c r="B62" s="62" t="str">
        <f>Phasing!C49</f>
        <v>Street 1 &amp; Street 2</v>
      </c>
      <c r="C62" s="389">
        <f>Phasing!D49</f>
        <v>0</v>
      </c>
      <c r="D62" s="389">
        <f>Phasing!E49</f>
        <v>53</v>
      </c>
      <c r="E62" s="389">
        <f>Phasing!F49</f>
        <v>68</v>
      </c>
      <c r="F62" s="389">
        <f>Phasing!G49</f>
        <v>114</v>
      </c>
      <c r="G62" s="389">
        <f>Phasing!H49</f>
        <v>0</v>
      </c>
      <c r="H62" s="389">
        <f>Phasing!I49</f>
        <v>53</v>
      </c>
      <c r="I62" s="389">
        <f>Phasing!J49</f>
        <v>65</v>
      </c>
      <c r="J62" s="389">
        <f>Phasing!K49</f>
        <v>114</v>
      </c>
    </row>
    <row r="63" spans="1:22" x14ac:dyDescent="0.3">
      <c r="A63" s="200" t="s">
        <v>274</v>
      </c>
      <c r="B63" s="62" t="str">
        <f>Phasing!C50</f>
        <v>Street 1 &amp; Street 2</v>
      </c>
      <c r="C63" s="389">
        <f>Phasing!D50</f>
        <v>0</v>
      </c>
      <c r="D63" s="389">
        <f>Phasing!E50</f>
        <v>0</v>
      </c>
      <c r="E63" s="389">
        <f>Phasing!F50</f>
        <v>59</v>
      </c>
      <c r="F63" s="389">
        <f>Phasing!G50</f>
        <v>74</v>
      </c>
      <c r="G63" s="389">
        <f>Phasing!H50</f>
        <v>0</v>
      </c>
      <c r="H63" s="389">
        <f>Phasing!I50</f>
        <v>0</v>
      </c>
      <c r="I63" s="389">
        <f>Phasing!J50</f>
        <v>59</v>
      </c>
      <c r="J63" s="389">
        <f>Phasing!K50</f>
        <v>71</v>
      </c>
    </row>
    <row r="64" spans="1:22" x14ac:dyDescent="0.3">
      <c r="A64" s="200" t="s">
        <v>275</v>
      </c>
      <c r="B64" s="62" t="str">
        <f>Phasing!C51</f>
        <v>Street 1 &amp; Street 2</v>
      </c>
      <c r="C64" s="389">
        <f>Phasing!D51</f>
        <v>0</v>
      </c>
      <c r="D64" s="389">
        <f>Phasing!E51</f>
        <v>53</v>
      </c>
      <c r="E64" s="389">
        <f>Phasing!F51</f>
        <v>68</v>
      </c>
      <c r="F64" s="389">
        <f>Phasing!G51</f>
        <v>114</v>
      </c>
      <c r="G64" s="389">
        <f>Phasing!H51</f>
        <v>0</v>
      </c>
      <c r="H64" s="389">
        <f>Phasing!I51</f>
        <v>53</v>
      </c>
      <c r="I64" s="389">
        <f>Phasing!J51</f>
        <v>65</v>
      </c>
      <c r="J64" s="389">
        <f>Phasing!K51</f>
        <v>114</v>
      </c>
    </row>
    <row r="65" spans="1:21" x14ac:dyDescent="0.3">
      <c r="A65" s="200" t="s">
        <v>276</v>
      </c>
      <c r="B65" s="62" t="str">
        <f>Phasing!C52</f>
        <v>Street 1 &amp; Street 2</v>
      </c>
      <c r="C65" s="389">
        <f>Phasing!D52</f>
        <v>0</v>
      </c>
      <c r="D65" s="389">
        <f>Phasing!E52</f>
        <v>53</v>
      </c>
      <c r="E65" s="389">
        <f>Phasing!F52</f>
        <v>68</v>
      </c>
      <c r="F65" s="389">
        <f>Phasing!G52</f>
        <v>114</v>
      </c>
      <c r="G65" s="389">
        <f>Phasing!H52</f>
        <v>0</v>
      </c>
      <c r="H65" s="389">
        <f>Phasing!I52</f>
        <v>53</v>
      </c>
      <c r="I65" s="389">
        <f>Phasing!J52</f>
        <v>65</v>
      </c>
      <c r="J65" s="389">
        <f>Phasing!K52</f>
        <v>114</v>
      </c>
    </row>
    <row r="66" spans="1:21" s="156" customFormat="1" x14ac:dyDescent="0.3">
      <c r="A66" s="302" t="s">
        <v>360</v>
      </c>
      <c r="D66" s="156">
        <f>'Phase calculation'!I55</f>
        <v>9.166666666666666E-2</v>
      </c>
      <c r="E66" s="156">
        <f>'Phase calculation'!J55</f>
        <v>0.375</v>
      </c>
      <c r="F66" s="156">
        <f>'Phase calculation'!K55</f>
        <v>0.375</v>
      </c>
      <c r="I66" s="156">
        <f>'Phase calculation'!L55</f>
        <v>6.6666666666666666E-2</v>
      </c>
      <c r="J66" s="156">
        <f>'Phase calculation'!M55</f>
        <v>0.35</v>
      </c>
      <c r="K66" s="156">
        <f>'Phase calculation'!N55</f>
        <v>0.35</v>
      </c>
      <c r="N66" s="156">
        <f>'Phase calculation'!C55</f>
        <v>0.45833333333333331</v>
      </c>
      <c r="O66" s="156">
        <f>'Phase calculation'!D55</f>
        <v>0.45833333333333331</v>
      </c>
      <c r="P66" s="156">
        <f>'Phase calculation'!E55</f>
        <v>0.45833333333333331</v>
      </c>
      <c r="S66" s="156">
        <f>'Phase calculation'!F55</f>
        <v>0.45833333333333331</v>
      </c>
      <c r="T66" s="156">
        <f>'Phase calculation'!G55</f>
        <v>0.45833333333333331</v>
      </c>
      <c r="U66" s="156">
        <f>'Phase calculation'!H55</f>
        <v>0.45833333333333331</v>
      </c>
    </row>
    <row r="67" spans="1:21" x14ac:dyDescent="0.3">
      <c r="A67" s="519" t="s">
        <v>73</v>
      </c>
      <c r="B67" s="519"/>
      <c r="C67" s="388" t="str">
        <f>'Summary sheet'!G92</f>
        <v>Not used</v>
      </c>
      <c r="D67" s="388" t="str">
        <f>'Summary sheet'!H92</f>
        <v>EBT</v>
      </c>
      <c r="E67" s="388" t="str">
        <f>'Summary sheet'!I92</f>
        <v>NBL</v>
      </c>
      <c r="F67" s="388" t="str">
        <f>'Summary sheet'!J92</f>
        <v>SBT</v>
      </c>
      <c r="G67" s="388" t="str">
        <f>'Summary sheet'!K92</f>
        <v>Not used</v>
      </c>
      <c r="H67" s="388" t="str">
        <f>'Summary sheet'!L92</f>
        <v>WBT</v>
      </c>
      <c r="I67" s="388" t="str">
        <f>'Summary sheet'!M92</f>
        <v>SBL</v>
      </c>
      <c r="J67" s="388" t="str">
        <f>'Summary sheet'!N92</f>
        <v>NBT</v>
      </c>
    </row>
    <row r="68" spans="1:21" x14ac:dyDescent="0.3">
      <c r="A68" s="519" t="s">
        <v>466</v>
      </c>
      <c r="B68" s="519"/>
      <c r="C68" s="388" t="str">
        <f>IF(AND(C70&gt;0,C70=H70),"X","")</f>
        <v>X</v>
      </c>
      <c r="D68" s="388"/>
      <c r="E68" s="388" t="str">
        <f>IF(AND(E70&gt;0,E70=J70),"X","")</f>
        <v/>
      </c>
      <c r="F68" s="388"/>
      <c r="G68" s="388" t="str">
        <f>IF(AND(G70&gt;0,G70=D70),"X","")</f>
        <v>X</v>
      </c>
      <c r="H68" s="388"/>
      <c r="I68" s="388" t="str">
        <f>IF(AND(I70&gt;0,I70=F70),"X","")</f>
        <v/>
      </c>
      <c r="J68" s="388"/>
    </row>
    <row r="69" spans="1:21" x14ac:dyDescent="0.3">
      <c r="A69" s="519" t="s">
        <v>464</v>
      </c>
      <c r="B69" s="519"/>
      <c r="C69" s="388" t="str">
        <f>IF(C67="Not used",H67,C67)</f>
        <v>WBT</v>
      </c>
      <c r="D69" s="388" t="str">
        <f>D67</f>
        <v>EBT</v>
      </c>
      <c r="E69" s="388" t="str">
        <f>IF(E67="Not used",J67,E67)</f>
        <v>NBL</v>
      </c>
      <c r="F69" s="388" t="str">
        <f>F67</f>
        <v>SBT</v>
      </c>
      <c r="G69" s="388" t="str">
        <f>IF(G67="Not used",D67,G67)</f>
        <v>EBT</v>
      </c>
      <c r="H69" s="388" t="str">
        <f>H67</f>
        <v>WBT</v>
      </c>
      <c r="I69" s="388" t="str">
        <f>IF(I67="Not used",F67,I67)</f>
        <v>SBL</v>
      </c>
      <c r="J69" s="388" t="str">
        <f>J67</f>
        <v>NBT</v>
      </c>
      <c r="O69" t="s">
        <v>4</v>
      </c>
      <c r="P69" t="s">
        <v>3</v>
      </c>
    </row>
    <row r="70" spans="1:21" x14ac:dyDescent="0.3">
      <c r="C70" s="388">
        <f t="shared" ref="C70:J70" si="1">IFERROR(MATCH(C69,$C$67:$J$67,0),0)</f>
        <v>6</v>
      </c>
      <c r="D70" s="388">
        <f t="shared" si="1"/>
        <v>2</v>
      </c>
      <c r="E70" s="388">
        <f t="shared" si="1"/>
        <v>3</v>
      </c>
      <c r="F70" s="388">
        <f t="shared" si="1"/>
        <v>4</v>
      </c>
      <c r="G70" s="388">
        <f t="shared" si="1"/>
        <v>2</v>
      </c>
      <c r="H70" s="388">
        <f t="shared" si="1"/>
        <v>6</v>
      </c>
      <c r="I70" s="388">
        <f t="shared" si="1"/>
        <v>7</v>
      </c>
      <c r="J70" s="388">
        <f t="shared" si="1"/>
        <v>8</v>
      </c>
      <c r="O70" t="s">
        <v>9</v>
      </c>
      <c r="P70" t="s">
        <v>8</v>
      </c>
    </row>
    <row r="71" spans="1:21" x14ac:dyDescent="0.3">
      <c r="A71" t="s">
        <v>467</v>
      </c>
      <c r="C71" s="388">
        <f t="shared" ref="C71:J71" si="2">IF(C67="Not used",0,MATCH(C77,$D$1:$U$1,0))</f>
        <v>0</v>
      </c>
      <c r="D71" s="388">
        <f t="shared" si="2"/>
        <v>12</v>
      </c>
      <c r="E71" s="388">
        <f t="shared" si="2"/>
        <v>1</v>
      </c>
      <c r="F71" s="388">
        <f t="shared" si="2"/>
        <v>7</v>
      </c>
      <c r="G71" s="388">
        <f t="shared" si="2"/>
        <v>0</v>
      </c>
      <c r="H71" s="388">
        <f t="shared" si="2"/>
        <v>17</v>
      </c>
      <c r="I71" s="388">
        <f t="shared" si="2"/>
        <v>6</v>
      </c>
      <c r="J71" s="388">
        <f t="shared" si="2"/>
        <v>2</v>
      </c>
      <c r="O71" t="s">
        <v>14</v>
      </c>
      <c r="P71" t="s">
        <v>13</v>
      </c>
    </row>
    <row r="72" spans="1:21" x14ac:dyDescent="0.3">
      <c r="A72" s="520" t="s">
        <v>468</v>
      </c>
      <c r="B72" s="520"/>
      <c r="C72" s="302">
        <f>IF(C71=0,0,INDEX($D$17:$U$17,1,C71))</f>
        <v>0</v>
      </c>
      <c r="D72" s="391">
        <f t="shared" ref="D72:J72" si="3">IF(D71=0,0,INDEX($D$17:$U$17,1,D71))</f>
        <v>55</v>
      </c>
      <c r="E72" s="391">
        <f t="shared" si="3"/>
        <v>11</v>
      </c>
      <c r="F72" s="391">
        <f t="shared" si="3"/>
        <v>42</v>
      </c>
      <c r="G72" s="391">
        <f t="shared" si="3"/>
        <v>0</v>
      </c>
      <c r="H72" s="391">
        <f t="shared" si="3"/>
        <v>55</v>
      </c>
      <c r="I72" s="391">
        <f t="shared" si="3"/>
        <v>8</v>
      </c>
      <c r="J72" s="391">
        <f t="shared" si="3"/>
        <v>45</v>
      </c>
      <c r="O72" t="s">
        <v>19</v>
      </c>
      <c r="P72" t="s">
        <v>18</v>
      </c>
    </row>
    <row r="73" spans="1:21" x14ac:dyDescent="0.3">
      <c r="A73" s="512" t="s">
        <v>469</v>
      </c>
      <c r="B73" s="512"/>
      <c r="C73" s="304">
        <f>C59</f>
        <v>0</v>
      </c>
      <c r="D73" s="304">
        <f t="shared" ref="D73:J73" si="4">D59</f>
        <v>0</v>
      </c>
      <c r="E73" s="304">
        <f t="shared" si="4"/>
        <v>59</v>
      </c>
      <c r="F73" s="304">
        <f t="shared" si="4"/>
        <v>74</v>
      </c>
      <c r="G73" s="304">
        <f t="shared" si="4"/>
        <v>0</v>
      </c>
      <c r="H73" s="304">
        <f t="shared" si="4"/>
        <v>0</v>
      </c>
      <c r="I73" s="304">
        <f t="shared" si="4"/>
        <v>59</v>
      </c>
      <c r="J73" s="304">
        <f t="shared" si="4"/>
        <v>71</v>
      </c>
      <c r="O73" t="s">
        <v>472</v>
      </c>
      <c r="P73">
        <v>0</v>
      </c>
    </row>
    <row r="74" spans="1:21" x14ac:dyDescent="0.3">
      <c r="A74" s="513" t="s">
        <v>470</v>
      </c>
      <c r="B74" s="513"/>
      <c r="C74" s="390">
        <f>C73+C72</f>
        <v>0</v>
      </c>
      <c r="D74" s="390">
        <f t="shared" ref="D74:J74" si="5">D73+D72</f>
        <v>55</v>
      </c>
      <c r="E74" s="390">
        <f t="shared" si="5"/>
        <v>70</v>
      </c>
      <c r="F74" s="390">
        <f t="shared" si="5"/>
        <v>116</v>
      </c>
      <c r="G74" s="390">
        <f t="shared" si="5"/>
        <v>0</v>
      </c>
      <c r="H74" s="390">
        <f t="shared" si="5"/>
        <v>55</v>
      </c>
      <c r="I74" s="390">
        <f t="shared" si="5"/>
        <v>67</v>
      </c>
      <c r="J74" s="390">
        <f t="shared" si="5"/>
        <v>116</v>
      </c>
      <c r="O74" t="s">
        <v>3</v>
      </c>
      <c r="P74" t="s">
        <v>3</v>
      </c>
    </row>
    <row r="75" spans="1:21" x14ac:dyDescent="0.3">
      <c r="C75" s="388">
        <v>1</v>
      </c>
      <c r="D75" s="388">
        <v>2</v>
      </c>
      <c r="E75" s="388">
        <v>3</v>
      </c>
      <c r="F75" s="388">
        <v>4</v>
      </c>
      <c r="G75" s="388">
        <v>5</v>
      </c>
      <c r="H75" s="388">
        <v>6</v>
      </c>
      <c r="I75" s="388">
        <v>7</v>
      </c>
      <c r="J75" s="388">
        <v>8</v>
      </c>
      <c r="O75" t="s">
        <v>8</v>
      </c>
      <c r="P75" t="s">
        <v>8</v>
      </c>
    </row>
    <row r="76" spans="1:21" x14ac:dyDescent="0.3">
      <c r="A76" s="514" t="s">
        <v>471</v>
      </c>
      <c r="B76" s="514"/>
      <c r="C76" s="388">
        <f>IF(C69=H69,MATCH(C69,$O$69:$O$77,0),0)</f>
        <v>4</v>
      </c>
      <c r="D76" s="388"/>
      <c r="E76" s="388">
        <f>IF(E69=J69,MATCH(E69,$O$69:$O$77,0),0)</f>
        <v>0</v>
      </c>
      <c r="F76" s="388"/>
      <c r="G76" s="388">
        <f>IF(G69=D69,MATCH(G69,$O$69:$O$77,0),0)</f>
        <v>3</v>
      </c>
      <c r="H76" s="388"/>
      <c r="I76" s="388">
        <f>IF(I69=F69,MATCH(I69,$O$69:$O$77,0),0)</f>
        <v>0</v>
      </c>
      <c r="J76" s="388"/>
      <c r="K76" s="388"/>
      <c r="L76" s="388"/>
      <c r="M76" s="388"/>
      <c r="N76" s="388"/>
      <c r="O76" t="s">
        <v>13</v>
      </c>
      <c r="P76" t="s">
        <v>13</v>
      </c>
    </row>
    <row r="77" spans="1:21" x14ac:dyDescent="0.3">
      <c r="A77" s="514"/>
      <c r="B77" s="514"/>
      <c r="C77" s="388" t="str">
        <f>IF(C69=H69,INDEX(P69:P77,C76),C69)</f>
        <v>WBL</v>
      </c>
      <c r="D77" s="388" t="str">
        <f>D69</f>
        <v>EBT</v>
      </c>
      <c r="E77" s="388" t="str">
        <f>IF(E69=J69,INDEX(P69:P77,E76),E69)</f>
        <v>NBL</v>
      </c>
      <c r="F77" s="388" t="str">
        <f>F69</f>
        <v>SBT</v>
      </c>
      <c r="G77" s="388" t="str">
        <f>IF(G69=D69,INDEX(P69:P77,G76),G69)</f>
        <v>EBL</v>
      </c>
      <c r="H77" s="388" t="str">
        <f>H69</f>
        <v>WBT</v>
      </c>
      <c r="I77" s="388" t="str">
        <f>IF(I69=F69,INDEX(P69:P77,I76),I69)</f>
        <v>SBL</v>
      </c>
      <c r="J77" s="388" t="str">
        <f>J69</f>
        <v>NBT</v>
      </c>
      <c r="K77" s="388"/>
      <c r="L77" s="388"/>
      <c r="M77" s="388"/>
      <c r="N77" s="388"/>
      <c r="O77" t="s">
        <v>18</v>
      </c>
      <c r="P77" t="s">
        <v>18</v>
      </c>
    </row>
  </sheetData>
  <mergeCells count="11">
    <mergeCell ref="O43:V43"/>
    <mergeCell ref="A67:B67"/>
    <mergeCell ref="A69:B69"/>
    <mergeCell ref="A68:B68"/>
    <mergeCell ref="A72:B72"/>
    <mergeCell ref="A73:B73"/>
    <mergeCell ref="A74:B74"/>
    <mergeCell ref="A76:B77"/>
    <mergeCell ref="O44:V44"/>
    <mergeCell ref="X44:AE48"/>
    <mergeCell ref="O47:V55"/>
  </mergeCells>
  <conditionalFormatting sqref="C68:J68">
    <cfRule type="containsText" dxfId="4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3"/>
  <sheetViews>
    <sheetView showGridLines="0" zoomScaleNormal="100" workbookViewId="0"/>
  </sheetViews>
  <sheetFormatPr defaultColWidth="9.109375" defaultRowHeight="13.2" x14ac:dyDescent="0.25"/>
  <cols>
    <col min="1" max="1" width="9.109375" style="399"/>
    <col min="2" max="2" width="9.109375" style="399" customWidth="1"/>
    <col min="3" max="3" width="4.6640625" style="399" customWidth="1"/>
    <col min="4" max="4" width="10.5546875" style="399" customWidth="1"/>
    <col min="5" max="5" width="9.109375" style="414"/>
    <col min="6" max="7" width="9.109375" style="399"/>
    <col min="8" max="8" width="11.5546875" style="399" bestFit="1" customWidth="1"/>
    <col min="9" max="9" width="10.5546875" style="399" bestFit="1" customWidth="1"/>
    <col min="10" max="12" width="9.109375" style="399"/>
    <col min="13" max="13" width="11.109375" style="399" customWidth="1"/>
    <col min="14" max="14" width="10.33203125" style="399" customWidth="1"/>
    <col min="15" max="15" width="11.5546875" style="399" customWidth="1"/>
    <col min="16" max="16" width="9.88671875" style="399" bestFit="1" customWidth="1"/>
    <col min="17" max="17" width="4.6640625" style="399" customWidth="1"/>
    <col min="18" max="18" width="9.109375" style="399"/>
    <col min="19" max="20" width="9.109375" style="399" customWidth="1"/>
    <col min="21" max="21" width="13.5546875" style="399" customWidth="1"/>
    <col min="22" max="23" width="9.109375" style="399" customWidth="1"/>
    <col min="24" max="26" width="9.109375" style="481" hidden="1" customWidth="1"/>
    <col min="27" max="16384" width="9.109375" style="399"/>
  </cols>
  <sheetData>
    <row r="1" spans="1:26" ht="15" customHeight="1" thickBot="1" x14ac:dyDescent="0.3">
      <c r="A1" s="458" t="s">
        <v>493</v>
      </c>
      <c r="B1" s="459"/>
      <c r="C1" s="454"/>
      <c r="D1" s="454"/>
      <c r="F1" s="414"/>
      <c r="G1" s="414"/>
      <c r="H1" s="414"/>
      <c r="I1" s="414"/>
      <c r="J1" s="414"/>
      <c r="K1" s="414"/>
      <c r="L1" s="414"/>
      <c r="M1" s="414"/>
      <c r="N1" s="414"/>
      <c r="O1" s="414"/>
      <c r="P1" s="414"/>
      <c r="Q1" s="414"/>
      <c r="R1" s="414"/>
      <c r="S1" s="414"/>
      <c r="T1" s="432"/>
      <c r="U1" s="432"/>
      <c r="V1" s="432"/>
      <c r="W1" s="432"/>
    </row>
    <row r="2" spans="1:26" ht="15" customHeight="1" thickBot="1" x14ac:dyDescent="0.3">
      <c r="A2" s="460" t="s">
        <v>494</v>
      </c>
      <c r="B2" s="461">
        <v>12.5</v>
      </c>
      <c r="C2" s="454"/>
      <c r="D2" s="454"/>
      <c r="E2" s="455"/>
      <c r="F2" s="400"/>
      <c r="G2" s="414"/>
      <c r="H2" s="414" t="s">
        <v>245</v>
      </c>
      <c r="I2" s="426" t="s">
        <v>565</v>
      </c>
      <c r="J2" s="427"/>
      <c r="K2" s="428"/>
      <c r="L2" s="414" t="s">
        <v>523</v>
      </c>
      <c r="M2" s="440">
        <v>2</v>
      </c>
      <c r="N2" s="414" t="s">
        <v>524</v>
      </c>
      <c r="O2" s="414"/>
      <c r="P2" s="414"/>
      <c r="Q2" s="414"/>
      <c r="R2" s="414"/>
      <c r="S2" s="414"/>
      <c r="T2" s="432">
        <f>IF(OR(Sheet1!O29&gt;0,D16="Yes"),1,0)</f>
        <v>1</v>
      </c>
      <c r="U2" s="432">
        <f>IF(OR(Sheet1!E29&gt;0,M22="Yes"),1,0)</f>
        <v>1</v>
      </c>
      <c r="V2" s="432">
        <f>IF(OR(Sheet1!T29&gt;0,P16="Yes"),1,0)</f>
        <v>1</v>
      </c>
      <c r="W2" s="432">
        <f>IF(OR(Sheet1!J29&gt;0,L5="Yes"),1,0)</f>
        <v>1</v>
      </c>
    </row>
    <row r="3" spans="1:26" ht="13.8" thickBot="1" x14ac:dyDescent="0.3">
      <c r="A3" s="460" t="s">
        <v>495</v>
      </c>
      <c r="B3" s="461">
        <v>31.5</v>
      </c>
      <c r="C3" s="454"/>
      <c r="D3" s="454"/>
      <c r="E3" s="455"/>
      <c r="F3" s="400"/>
      <c r="G3" s="414"/>
      <c r="H3" s="414"/>
      <c r="I3" s="414"/>
      <c r="J3" s="414"/>
      <c r="K3" s="414"/>
      <c r="L3" s="414"/>
      <c r="M3" s="414"/>
      <c r="N3" s="414"/>
      <c r="O3" s="414"/>
      <c r="P3" s="414"/>
      <c r="Q3" s="414"/>
      <c r="R3" s="414"/>
      <c r="S3" s="414"/>
      <c r="U3" s="401" t="s">
        <v>236</v>
      </c>
      <c r="V3" s="402">
        <v>1900</v>
      </c>
    </row>
    <row r="4" spans="1:26" ht="13.8" thickBot="1" x14ac:dyDescent="0.3">
      <c r="A4" s="462" t="s">
        <v>496</v>
      </c>
      <c r="B4" s="463">
        <v>8</v>
      </c>
      <c r="C4" s="454"/>
      <c r="D4" s="454"/>
      <c r="E4" s="455"/>
      <c r="F4" s="400"/>
      <c r="G4" s="414"/>
      <c r="H4" s="414"/>
      <c r="I4" s="414" t="s">
        <v>231</v>
      </c>
      <c r="J4" s="405">
        <f>MAX(20,osm!F27)</f>
        <v>35</v>
      </c>
      <c r="K4" s="414"/>
      <c r="L4" s="414" t="s">
        <v>518</v>
      </c>
      <c r="M4" s="414"/>
      <c r="N4" s="414"/>
      <c r="O4" s="414"/>
      <c r="P4" s="414"/>
      <c r="Q4" s="414"/>
      <c r="R4" s="414"/>
      <c r="S4" s="414"/>
      <c r="U4" s="403" t="s">
        <v>234</v>
      </c>
      <c r="V4" s="404">
        <v>1</v>
      </c>
    </row>
    <row r="5" spans="1:26" ht="14.4" thickBot="1" x14ac:dyDescent="0.35">
      <c r="A5" s="454"/>
      <c r="B5" s="454"/>
      <c r="C5" s="454"/>
      <c r="D5" s="454"/>
      <c r="E5" s="455"/>
      <c r="F5" s="400"/>
      <c r="G5" s="414"/>
      <c r="H5" s="414"/>
      <c r="I5" s="414"/>
      <c r="J5" s="414"/>
      <c r="K5" s="414"/>
      <c r="L5" s="406" t="s">
        <v>478</v>
      </c>
      <c r="M5" s="439" t="s">
        <v>479</v>
      </c>
      <c r="N5" s="439" t="s">
        <v>480</v>
      </c>
      <c r="O5" s="414"/>
      <c r="P5" s="414"/>
      <c r="Q5" s="414"/>
      <c r="R5" s="404"/>
      <c r="S5" s="414"/>
      <c r="U5" s="401" t="s">
        <v>235</v>
      </c>
      <c r="V5" s="402">
        <f>B4</f>
        <v>8</v>
      </c>
      <c r="X5" s="482"/>
      <c r="Y5" s="482"/>
    </row>
    <row r="6" spans="1:26" ht="15" customHeight="1" x14ac:dyDescent="0.25">
      <c r="A6" s="454"/>
      <c r="B6" s="454"/>
      <c r="C6" s="454"/>
      <c r="D6" s="454"/>
      <c r="E6" s="455"/>
      <c r="F6" s="400"/>
      <c r="G6" s="414" t="s">
        <v>228</v>
      </c>
      <c r="H6" s="409" t="s">
        <v>362</v>
      </c>
      <c r="I6" s="410">
        <f>osm!C28</f>
        <v>5</v>
      </c>
      <c r="J6" s="410">
        <f>osm!C27</f>
        <v>4</v>
      </c>
      <c r="K6" s="410">
        <f>osm!C26</f>
        <v>2</v>
      </c>
      <c r="L6" s="414"/>
      <c r="M6" s="440">
        <v>30</v>
      </c>
      <c r="N6" s="440">
        <v>4</v>
      </c>
      <c r="O6" s="414"/>
      <c r="P6" s="414"/>
      <c r="Q6" s="414"/>
      <c r="R6" s="414"/>
      <c r="S6" s="414"/>
      <c r="U6" s="403" t="s">
        <v>409</v>
      </c>
      <c r="V6" s="407">
        <v>4</v>
      </c>
      <c r="W6" s="408"/>
    </row>
    <row r="7" spans="1:26" ht="13.5" customHeight="1" thickBot="1" x14ac:dyDescent="0.3">
      <c r="A7" s="454"/>
      <c r="B7" s="454"/>
      <c r="C7" s="454"/>
      <c r="D7" s="454"/>
      <c r="E7" s="455"/>
      <c r="F7" s="400"/>
      <c r="G7" s="414" t="s">
        <v>53</v>
      </c>
      <c r="H7" s="409">
        <f>IF(I6=0,10,50)</f>
        <v>50</v>
      </c>
      <c r="I7" s="413">
        <f>osm!D28</f>
        <v>178</v>
      </c>
      <c r="J7" s="413">
        <f>osm!D27</f>
        <v>656</v>
      </c>
      <c r="K7" s="413">
        <f>osm!D26</f>
        <v>107</v>
      </c>
      <c r="L7" s="524" t="str">
        <f>IF($B$21="Yes","SB LT Treatment","")</f>
        <v/>
      </c>
      <c r="M7" s="524"/>
      <c r="N7" s="414"/>
      <c r="O7" s="414"/>
      <c r="P7" s="414"/>
      <c r="Q7" s="414"/>
      <c r="R7" s="414"/>
      <c r="S7" s="414"/>
      <c r="U7" s="411" t="s">
        <v>473</v>
      </c>
      <c r="V7" s="412" t="s">
        <v>411</v>
      </c>
      <c r="W7" s="433">
        <f>IF(V7="CBD",0.9,1)</f>
        <v>1</v>
      </c>
      <c r="X7" s="483"/>
      <c r="Y7" s="483"/>
    </row>
    <row r="8" spans="1:26" ht="13.8" thickBot="1" x14ac:dyDescent="0.3">
      <c r="A8" s="454"/>
      <c r="B8" s="454"/>
      <c r="C8" s="454"/>
      <c r="D8" s="454"/>
      <c r="F8" s="524" t="str">
        <f>IF($B$21="Yes","EB LT Treatment","")</f>
        <v/>
      </c>
      <c r="G8" s="524"/>
      <c r="H8" s="414"/>
      <c r="I8" s="414"/>
      <c r="J8" s="414"/>
      <c r="K8" s="414"/>
      <c r="L8" s="525"/>
      <c r="M8" s="526"/>
      <c r="N8" s="414"/>
      <c r="O8" s="414"/>
      <c r="P8" s="414"/>
      <c r="Q8" s="414"/>
      <c r="R8" s="414"/>
      <c r="S8" s="414"/>
      <c r="U8" s="403" t="s">
        <v>412</v>
      </c>
      <c r="V8" s="415">
        <v>40</v>
      </c>
    </row>
    <row r="9" spans="1:26" ht="13.8" thickBot="1" x14ac:dyDescent="0.3">
      <c r="A9" s="454"/>
      <c r="B9" s="454"/>
      <c r="C9" s="454"/>
      <c r="D9" s="454"/>
      <c r="F9" s="525"/>
      <c r="G9" s="526"/>
      <c r="H9" s="414"/>
      <c r="I9" s="414"/>
      <c r="J9" s="414"/>
      <c r="K9" s="414"/>
      <c r="L9" s="432">
        <f>IF(L8="",0,VLOOKUP(L8,$Y$12:$Z$14,2,FALSE))</f>
        <v>0</v>
      </c>
      <c r="M9" s="418"/>
      <c r="N9" s="414"/>
      <c r="O9" s="419"/>
      <c r="P9" s="420"/>
      <c r="Q9" s="414"/>
      <c r="R9" s="414"/>
      <c r="S9" s="414"/>
      <c r="U9" s="416" t="s">
        <v>413</v>
      </c>
      <c r="V9" s="417">
        <v>150</v>
      </c>
    </row>
    <row r="10" spans="1:26" x14ac:dyDescent="0.25">
      <c r="A10" s="414"/>
      <c r="B10" s="414"/>
      <c r="C10" s="414"/>
      <c r="D10" s="414"/>
      <c r="F10" s="432">
        <f>IF(F9="",0,VLOOKUP(F9,$Y$12:$Z$14,2,FALSE))</f>
        <v>0</v>
      </c>
      <c r="G10" s="414"/>
      <c r="H10" s="414"/>
      <c r="I10" s="414"/>
      <c r="J10" s="414"/>
      <c r="K10" s="414"/>
      <c r="L10" s="414"/>
      <c r="M10" s="414" t="s">
        <v>53</v>
      </c>
      <c r="N10" s="414" t="s">
        <v>228</v>
      </c>
      <c r="O10" s="414"/>
      <c r="P10" s="414"/>
      <c r="Q10" s="414"/>
      <c r="R10" s="414"/>
      <c r="S10" s="414"/>
      <c r="U10" s="480" t="s">
        <v>530</v>
      </c>
      <c r="V10" s="399">
        <v>3.5</v>
      </c>
      <c r="X10" s="481" t="s">
        <v>478</v>
      </c>
      <c r="Y10" s="481" t="s">
        <v>300</v>
      </c>
    </row>
    <row r="11" spans="1:26" x14ac:dyDescent="0.25">
      <c r="A11" s="414"/>
      <c r="B11" s="414"/>
      <c r="C11" s="414"/>
      <c r="D11" s="414"/>
      <c r="F11" s="414" t="s">
        <v>228</v>
      </c>
      <c r="G11" s="414" t="s">
        <v>53</v>
      </c>
      <c r="H11" s="414"/>
      <c r="I11" s="414"/>
      <c r="J11" s="414"/>
      <c r="K11" s="414"/>
      <c r="L11" s="414"/>
      <c r="M11" s="409" t="s">
        <v>362</v>
      </c>
      <c r="N11" s="409">
        <f>IF(N12=0,10,50)</f>
        <v>50</v>
      </c>
      <c r="O11" s="414"/>
      <c r="P11" s="414"/>
      <c r="Q11" s="414"/>
      <c r="R11" s="414"/>
      <c r="S11" s="414"/>
    </row>
    <row r="12" spans="1:26" ht="13.8" thickBot="1" x14ac:dyDescent="0.3">
      <c r="A12" s="429" t="s">
        <v>245</v>
      </c>
      <c r="B12" s="429"/>
      <c r="C12" s="414"/>
      <c r="D12" s="414" t="s">
        <v>229</v>
      </c>
      <c r="F12" s="410">
        <f>osm!C17</f>
        <v>1</v>
      </c>
      <c r="G12" s="413">
        <f>osm!D17</f>
        <v>83</v>
      </c>
      <c r="H12" s="414"/>
      <c r="I12" s="414"/>
      <c r="J12" s="414"/>
      <c r="K12" s="414"/>
      <c r="L12" s="414"/>
      <c r="M12" s="413">
        <f>osm!D22</f>
        <v>237</v>
      </c>
      <c r="N12" s="410">
        <f>osm!C22</f>
        <v>5</v>
      </c>
      <c r="O12" s="414"/>
      <c r="P12" s="414" t="s">
        <v>230</v>
      </c>
      <c r="Q12" s="414"/>
      <c r="R12" s="429" t="s">
        <v>245</v>
      </c>
      <c r="S12" s="429"/>
      <c r="V12" s="332"/>
      <c r="Y12" s="484" t="s">
        <v>82</v>
      </c>
      <c r="Z12" s="481">
        <v>1</v>
      </c>
    </row>
    <row r="13" spans="1:26" ht="13.8" thickBot="1" x14ac:dyDescent="0.3">
      <c r="A13" s="426" t="s">
        <v>566</v>
      </c>
      <c r="B13" s="428"/>
      <c r="C13" s="414"/>
      <c r="D13" s="405">
        <f>MAX(20,osm!F18)</f>
        <v>35</v>
      </c>
      <c r="F13" s="418"/>
      <c r="G13" s="418"/>
      <c r="H13" s="414"/>
      <c r="I13" s="414"/>
      <c r="J13" s="414"/>
      <c r="K13" s="414"/>
      <c r="L13" s="414"/>
      <c r="M13" s="418"/>
      <c r="N13" s="418"/>
      <c r="O13" s="414"/>
      <c r="P13" s="405">
        <f>MAX(20,osm!F21)</f>
        <v>35</v>
      </c>
      <c r="Q13" s="414"/>
      <c r="R13" s="426" t="s">
        <v>566</v>
      </c>
      <c r="S13" s="428"/>
      <c r="Y13" s="332" t="s">
        <v>83</v>
      </c>
      <c r="Z13" s="481">
        <v>2</v>
      </c>
    </row>
    <row r="14" spans="1:26" x14ac:dyDescent="0.25">
      <c r="A14" s="414" t="s">
        <v>523</v>
      </c>
      <c r="B14" s="414"/>
      <c r="C14" s="414"/>
      <c r="D14" s="414"/>
      <c r="F14" s="410">
        <f>osm!C18</f>
        <v>2</v>
      </c>
      <c r="G14" s="413">
        <f>osm!D18</f>
        <v>303</v>
      </c>
      <c r="H14" s="414"/>
      <c r="I14" s="414"/>
      <c r="J14" s="414">
        <f>osm!B1</f>
        <v>1966</v>
      </c>
      <c r="K14" s="414"/>
      <c r="L14" s="414"/>
      <c r="M14" s="413">
        <f>osm!D21</f>
        <v>789</v>
      </c>
      <c r="N14" s="410">
        <f>osm!C21</f>
        <v>2</v>
      </c>
      <c r="O14" s="414"/>
      <c r="P14" s="414"/>
      <c r="Q14" s="414"/>
      <c r="R14" s="414" t="s">
        <v>523</v>
      </c>
      <c r="S14" s="414"/>
      <c r="V14" s="332"/>
      <c r="Y14" s="332" t="s">
        <v>531</v>
      </c>
      <c r="Z14" s="481">
        <v>3</v>
      </c>
    </row>
    <row r="15" spans="1:26" ht="13.8" thickBot="1" x14ac:dyDescent="0.3">
      <c r="A15" s="440">
        <v>2</v>
      </c>
      <c r="B15" s="414" t="s">
        <v>524</v>
      </c>
      <c r="C15" s="414"/>
      <c r="D15" s="414" t="s">
        <v>519</v>
      </c>
      <c r="F15" s="418"/>
      <c r="G15" s="418"/>
      <c r="H15" s="414"/>
      <c r="I15" s="414"/>
      <c r="J15" s="414"/>
      <c r="K15" s="414"/>
      <c r="L15" s="414"/>
      <c r="M15" s="418"/>
      <c r="N15" s="418"/>
      <c r="O15" s="414"/>
      <c r="P15" s="414" t="s">
        <v>520</v>
      </c>
      <c r="Q15" s="414"/>
      <c r="R15" s="440">
        <v>2</v>
      </c>
      <c r="S15" s="414"/>
    </row>
    <row r="16" spans="1:26" ht="13.8" thickBot="1" x14ac:dyDescent="0.3">
      <c r="A16" s="414"/>
      <c r="B16" s="414"/>
      <c r="C16" s="414"/>
      <c r="D16" s="406" t="s">
        <v>478</v>
      </c>
      <c r="F16" s="410">
        <f>osm!C19</f>
        <v>4</v>
      </c>
      <c r="G16" s="413">
        <f>osm!D19</f>
        <v>106</v>
      </c>
      <c r="H16" s="414"/>
      <c r="I16" s="414"/>
      <c r="J16" s="414"/>
      <c r="K16" s="414"/>
      <c r="L16" s="414"/>
      <c r="M16" s="413">
        <f>osm!D20</f>
        <v>166</v>
      </c>
      <c r="N16" s="410">
        <f>osm!C20</f>
        <v>1</v>
      </c>
      <c r="O16" s="414"/>
      <c r="P16" s="406" t="s">
        <v>478</v>
      </c>
      <c r="Q16" s="414"/>
      <c r="R16" s="414" t="s">
        <v>524</v>
      </c>
      <c r="S16" s="414"/>
    </row>
    <row r="17" spans="1:24" x14ac:dyDescent="0.25">
      <c r="A17" s="414"/>
      <c r="B17" s="414"/>
      <c r="C17" s="414"/>
      <c r="D17" s="439" t="s">
        <v>479</v>
      </c>
      <c r="E17" s="440">
        <v>30</v>
      </c>
      <c r="F17" s="409" t="s">
        <v>362</v>
      </c>
      <c r="G17" s="409">
        <f>IF(F16=0,10,50)</f>
        <v>50</v>
      </c>
      <c r="H17" s="414"/>
      <c r="I17" s="414"/>
      <c r="J17" s="414"/>
      <c r="K17" s="414"/>
      <c r="L17" s="414"/>
      <c r="M17" s="414"/>
      <c r="N17" s="414"/>
      <c r="O17" s="414"/>
      <c r="P17" s="439" t="s">
        <v>479</v>
      </c>
      <c r="Q17" s="440">
        <v>30</v>
      </c>
      <c r="R17" s="414"/>
      <c r="S17" s="414"/>
      <c r="U17" s="432" t="s">
        <v>410</v>
      </c>
      <c r="X17" s="481" t="s">
        <v>410</v>
      </c>
    </row>
    <row r="18" spans="1:24" ht="13.8" thickBot="1" x14ac:dyDescent="0.3">
      <c r="A18" s="414"/>
      <c r="B18" s="414"/>
      <c r="C18" s="414"/>
      <c r="D18" s="439" t="s">
        <v>480</v>
      </c>
      <c r="E18" s="440">
        <v>4</v>
      </c>
      <c r="F18" s="414"/>
      <c r="G18" s="414"/>
      <c r="H18" s="414"/>
      <c r="I18" s="414"/>
      <c r="J18" s="414"/>
      <c r="K18" s="414"/>
      <c r="L18" s="414"/>
      <c r="M18" s="524" t="str">
        <f>IF($B$21="Yes","WB LT Treatment","")</f>
        <v/>
      </c>
      <c r="N18" s="524"/>
      <c r="O18" s="414"/>
      <c r="P18" s="439" t="s">
        <v>480</v>
      </c>
      <c r="Q18" s="440">
        <v>4</v>
      </c>
      <c r="R18" s="414"/>
      <c r="S18" s="414"/>
      <c r="U18" s="432" t="s">
        <v>411</v>
      </c>
      <c r="X18" s="481" t="s">
        <v>411</v>
      </c>
    </row>
    <row r="19" spans="1:24" ht="13.8" thickBot="1" x14ac:dyDescent="0.3">
      <c r="A19" s="414"/>
      <c r="B19" s="414"/>
      <c r="C19" s="414"/>
      <c r="D19" s="414"/>
      <c r="F19" s="414"/>
      <c r="G19" s="414"/>
      <c r="H19" s="414"/>
      <c r="I19" s="414"/>
      <c r="J19" s="414"/>
      <c r="K19" s="414"/>
      <c r="L19" s="414"/>
      <c r="M19" s="525"/>
      <c r="N19" s="526"/>
      <c r="O19" s="414"/>
      <c r="P19" s="414"/>
      <c r="Q19" s="414"/>
      <c r="R19" s="414"/>
      <c r="S19" s="414"/>
    </row>
    <row r="20" spans="1:24" ht="13.8" thickBot="1" x14ac:dyDescent="0.3">
      <c r="A20" s="414"/>
      <c r="B20" s="430" t="s">
        <v>521</v>
      </c>
      <c r="C20" s="431"/>
      <c r="D20" s="431"/>
      <c r="E20" s="456"/>
      <c r="F20" s="414"/>
      <c r="G20" s="414"/>
      <c r="H20" s="414"/>
      <c r="I20" s="414"/>
      <c r="J20" s="414"/>
      <c r="K20" s="414"/>
      <c r="L20" s="414"/>
      <c r="M20" s="432">
        <f>IF(M19="",0,VLOOKUP(M19,$Y$12:$Z$14,2,FALSE))</f>
        <v>0</v>
      </c>
      <c r="N20" s="414"/>
      <c r="O20" s="421"/>
      <c r="P20" s="421"/>
      <c r="Q20" s="414"/>
      <c r="R20" s="414"/>
      <c r="S20" s="414"/>
    </row>
    <row r="21" spans="1:24" ht="13.8" thickBot="1" x14ac:dyDescent="0.3">
      <c r="A21" s="414"/>
      <c r="B21" s="487" t="s">
        <v>300</v>
      </c>
      <c r="C21" s="485"/>
      <c r="D21" s="485"/>
      <c r="E21" s="486"/>
      <c r="F21" s="414"/>
      <c r="G21" s="414"/>
      <c r="H21" s="414" t="s">
        <v>53</v>
      </c>
      <c r="I21" s="413">
        <f>osm!D23</f>
        <v>290</v>
      </c>
      <c r="J21" s="413">
        <f>osm!D24</f>
        <v>0</v>
      </c>
      <c r="K21" s="413">
        <f>osm!D25</f>
        <v>0</v>
      </c>
      <c r="L21" s="409" t="s">
        <v>362</v>
      </c>
      <c r="M21" s="414" t="s">
        <v>522</v>
      </c>
      <c r="O21" s="440">
        <v>59</v>
      </c>
      <c r="P21" s="441">
        <v>1</v>
      </c>
      <c r="Q21" s="414"/>
      <c r="R21" s="414"/>
      <c r="S21" s="414"/>
    </row>
    <row r="22" spans="1:24" ht="13.8" thickBot="1" x14ac:dyDescent="0.3">
      <c r="A22" s="414"/>
      <c r="B22" s="414"/>
      <c r="C22" s="414"/>
      <c r="D22" s="414"/>
      <c r="F22" s="414"/>
      <c r="G22" s="414"/>
      <c r="H22" s="414" t="s">
        <v>228</v>
      </c>
      <c r="I22" s="410">
        <f>osm!C23</f>
        <v>2</v>
      </c>
      <c r="J22" s="410">
        <f>osm!C24</f>
        <v>0</v>
      </c>
      <c r="K22" s="410">
        <f>osm!C25</f>
        <v>0</v>
      </c>
      <c r="L22" s="409">
        <f>IF(K22=0,10,50)</f>
        <v>10</v>
      </c>
      <c r="M22" s="406" t="s">
        <v>478</v>
      </c>
      <c r="O22" s="439" t="s">
        <v>479</v>
      </c>
      <c r="P22" s="439" t="s">
        <v>480</v>
      </c>
      <c r="Q22" s="414"/>
      <c r="R22" s="414"/>
      <c r="S22" s="414"/>
    </row>
    <row r="23" spans="1:24" ht="13.8" thickBot="1" x14ac:dyDescent="0.3">
      <c r="A23" s="414"/>
      <c r="B23" s="414"/>
      <c r="C23" s="414"/>
      <c r="D23" s="414"/>
      <c r="F23" s="524" t="str">
        <f>IF($B$21="Yes","NB LT Treatment","")</f>
        <v/>
      </c>
      <c r="G23" s="524"/>
      <c r="H23" s="414"/>
      <c r="I23" s="414"/>
      <c r="J23" s="414"/>
      <c r="K23" s="414"/>
      <c r="L23" s="414"/>
      <c r="M23" s="414"/>
      <c r="N23" s="414"/>
      <c r="O23" s="422"/>
      <c r="P23" s="422"/>
      <c r="Q23" s="414"/>
      <c r="R23" s="414"/>
      <c r="S23" s="414"/>
    </row>
    <row r="24" spans="1:24" ht="13.8" thickBot="1" x14ac:dyDescent="0.3">
      <c r="A24" s="414"/>
      <c r="B24" s="414"/>
      <c r="C24" s="414"/>
      <c r="D24" s="414"/>
      <c r="F24" s="525"/>
      <c r="G24" s="526"/>
      <c r="H24" s="414"/>
      <c r="I24" s="414" t="s">
        <v>232</v>
      </c>
      <c r="J24" s="405">
        <f>MAX(20,osm!F24)</f>
        <v>20</v>
      </c>
      <c r="K24" s="414"/>
      <c r="L24" s="414"/>
      <c r="M24" s="414"/>
      <c r="N24" s="414"/>
      <c r="O24" s="422"/>
      <c r="P24" s="422"/>
      <c r="Q24" s="414"/>
      <c r="R24" s="414"/>
      <c r="S24" s="414"/>
    </row>
    <row r="25" spans="1:24" ht="13.8" thickBot="1" x14ac:dyDescent="0.3">
      <c r="A25" s="414"/>
      <c r="B25" s="414"/>
      <c r="C25" s="414"/>
      <c r="D25" s="414"/>
      <c r="F25" s="432">
        <f>IF(F24="",0,VLOOKUP(F24,$Y$12:$Z$14,2,FALSE))</f>
        <v>0</v>
      </c>
      <c r="G25" s="414"/>
      <c r="H25" s="414"/>
      <c r="I25" s="414"/>
      <c r="J25" s="414"/>
      <c r="K25" s="414"/>
      <c r="L25" s="414"/>
      <c r="M25" s="414"/>
      <c r="N25" s="414"/>
      <c r="O25" s="422"/>
      <c r="P25" s="422"/>
      <c r="Q25" s="414"/>
      <c r="R25" s="414"/>
      <c r="S25" s="414"/>
    </row>
    <row r="26" spans="1:24" ht="13.8" thickBot="1" x14ac:dyDescent="0.3">
      <c r="A26" s="414"/>
      <c r="B26" s="414"/>
      <c r="C26" s="414"/>
      <c r="D26" s="414"/>
      <c r="F26" s="414"/>
      <c r="G26" s="414"/>
      <c r="H26" s="414" t="s">
        <v>245</v>
      </c>
      <c r="I26" s="426" t="s">
        <v>565</v>
      </c>
      <c r="J26" s="427"/>
      <c r="K26" s="428"/>
      <c r="L26" s="414" t="s">
        <v>523</v>
      </c>
      <c r="M26" s="440">
        <v>2</v>
      </c>
      <c r="N26" s="414" t="s">
        <v>524</v>
      </c>
      <c r="O26" s="422"/>
      <c r="P26" s="422"/>
      <c r="Q26" s="414"/>
      <c r="R26" s="414"/>
      <c r="S26" s="414"/>
    </row>
    <row r="27" spans="1:24" x14ac:dyDescent="0.25">
      <c r="O27" s="421"/>
      <c r="P27" s="421"/>
    </row>
    <row r="28" spans="1:24" x14ac:dyDescent="0.25">
      <c r="J28" s="399" t="str">
        <f>IF(AND(I2="",A13=""),"",I2&amp;" &amp; "&amp;A13)</f>
        <v>Street 1 &amp; Street 2</v>
      </c>
    </row>
    <row r="30" spans="1:24" ht="14.4" x14ac:dyDescent="0.3">
      <c r="A30" s="522" t="s">
        <v>203</v>
      </c>
      <c r="B30" s="522"/>
      <c r="C30" s="522"/>
      <c r="D30" s="522"/>
      <c r="E30" s="522"/>
      <c r="F30" s="522"/>
      <c r="G30" s="522"/>
      <c r="H30" s="522"/>
    </row>
    <row r="31" spans="1:24" ht="14.4" x14ac:dyDescent="0.3">
      <c r="A31" s="523" t="s">
        <v>532</v>
      </c>
      <c r="B31" s="523"/>
      <c r="C31" s="523"/>
      <c r="D31" s="523"/>
      <c r="E31" s="523"/>
      <c r="F31" s="523"/>
      <c r="G31" s="523"/>
      <c r="H31" s="523"/>
    </row>
    <row r="32" spans="1:24" ht="14.4" x14ac:dyDescent="0.3">
      <c r="A32" s="423" t="s">
        <v>559</v>
      </c>
      <c r="B32" s="423"/>
      <c r="C32" s="423"/>
      <c r="D32" s="423"/>
      <c r="E32" s="457"/>
      <c r="F32" s="423"/>
      <c r="G32" s="423"/>
      <c r="H32" s="424"/>
    </row>
    <row r="33" spans="1:8" ht="14.4" x14ac:dyDescent="0.3">
      <c r="A33" s="11"/>
      <c r="B33" s="425"/>
      <c r="C33" s="425"/>
      <c r="D33" s="425"/>
      <c r="E33" s="425"/>
      <c r="F33" s="425"/>
      <c r="G33" s="425"/>
      <c r="H33" s="11"/>
    </row>
    <row r="34" spans="1:8" ht="12.75" customHeight="1" x14ac:dyDescent="0.25">
      <c r="A34" s="521" t="s">
        <v>558</v>
      </c>
      <c r="B34" s="521"/>
      <c r="C34" s="521"/>
      <c r="D34" s="521"/>
      <c r="E34" s="521"/>
      <c r="F34" s="521"/>
      <c r="G34" s="521"/>
      <c r="H34" s="521"/>
    </row>
    <row r="35" spans="1:8" ht="12.75" customHeight="1" x14ac:dyDescent="0.25">
      <c r="A35" s="521"/>
      <c r="B35" s="521"/>
      <c r="C35" s="521"/>
      <c r="D35" s="521"/>
      <c r="E35" s="521"/>
      <c r="F35" s="521"/>
      <c r="G35" s="521"/>
      <c r="H35" s="521"/>
    </row>
    <row r="36" spans="1:8" ht="12.75" customHeight="1" x14ac:dyDescent="0.25">
      <c r="A36" s="521"/>
      <c r="B36" s="521"/>
      <c r="C36" s="521"/>
      <c r="D36" s="521"/>
      <c r="E36" s="521"/>
      <c r="F36" s="521"/>
      <c r="G36" s="521"/>
      <c r="H36" s="521"/>
    </row>
    <row r="37" spans="1:8" ht="12.75" customHeight="1" x14ac:dyDescent="0.25">
      <c r="A37" s="521"/>
      <c r="B37" s="521"/>
      <c r="C37" s="521"/>
      <c r="D37" s="521"/>
      <c r="E37" s="521"/>
      <c r="F37" s="521"/>
      <c r="G37" s="521"/>
      <c r="H37" s="521"/>
    </row>
    <row r="38" spans="1:8" ht="12.75" customHeight="1" x14ac:dyDescent="0.25">
      <c r="A38" s="521"/>
      <c r="B38" s="521"/>
      <c r="C38" s="521"/>
      <c r="D38" s="521"/>
      <c r="E38" s="521"/>
      <c r="F38" s="521"/>
      <c r="G38" s="521"/>
      <c r="H38" s="521"/>
    </row>
    <row r="39" spans="1:8" ht="12.75" customHeight="1" x14ac:dyDescent="0.25">
      <c r="A39" s="521"/>
      <c r="B39" s="521"/>
      <c r="C39" s="521"/>
      <c r="D39" s="521"/>
      <c r="E39" s="521"/>
      <c r="F39" s="521"/>
      <c r="G39" s="521"/>
      <c r="H39" s="521"/>
    </row>
    <row r="40" spans="1:8" ht="12.75" customHeight="1" x14ac:dyDescent="0.25">
      <c r="A40" s="521"/>
      <c r="B40" s="521"/>
      <c r="C40" s="521"/>
      <c r="D40" s="521"/>
      <c r="E40" s="521"/>
      <c r="F40" s="521"/>
      <c r="G40" s="521"/>
      <c r="H40" s="521"/>
    </row>
    <row r="41" spans="1:8" ht="12.75" customHeight="1" x14ac:dyDescent="0.25">
      <c r="A41" s="521"/>
      <c r="B41" s="521"/>
      <c r="C41" s="521"/>
      <c r="D41" s="521"/>
      <c r="E41" s="521"/>
      <c r="F41" s="521"/>
      <c r="G41" s="521"/>
      <c r="H41" s="521"/>
    </row>
    <row r="42" spans="1:8" ht="12.75" customHeight="1" x14ac:dyDescent="0.25">
      <c r="A42" s="521"/>
      <c r="B42" s="521"/>
      <c r="C42" s="521"/>
      <c r="D42" s="521"/>
      <c r="E42" s="521"/>
      <c r="F42" s="521"/>
      <c r="G42" s="521"/>
      <c r="H42" s="521"/>
    </row>
    <row r="43" spans="1:8" x14ac:dyDescent="0.25">
      <c r="A43" s="521"/>
      <c r="B43" s="521"/>
      <c r="C43" s="521"/>
      <c r="D43" s="521"/>
      <c r="E43" s="521"/>
      <c r="F43" s="521"/>
      <c r="G43" s="521"/>
      <c r="H43" s="521"/>
    </row>
  </sheetData>
  <mergeCells count="11">
    <mergeCell ref="A34:H43"/>
    <mergeCell ref="A30:H30"/>
    <mergeCell ref="A31:H31"/>
    <mergeCell ref="F8:G8"/>
    <mergeCell ref="L7:M7"/>
    <mergeCell ref="F23:G23"/>
    <mergeCell ref="M18:N18"/>
    <mergeCell ref="F9:G9"/>
    <mergeCell ref="F24:G24"/>
    <mergeCell ref="M19:N19"/>
    <mergeCell ref="L8:M8"/>
  </mergeCells>
  <conditionalFormatting sqref="P9 V9">
    <cfRule type="containsText" dxfId="42" priority="23" stopIfTrue="1" operator="containsText" text="CS/RS">
      <formula>NOT(ISERROR(SEARCH("CS/RS",P9)))</formula>
    </cfRule>
    <cfRule type="containsText" dxfId="41" priority="24" stopIfTrue="1" operator="containsText" text="Webster">
      <formula>NOT(ISERROR(SEARCH("Webster",P9)))</formula>
    </cfRule>
  </conditionalFormatting>
  <conditionalFormatting sqref="F8:G8 F23:G23 L7:M7 M18:N18">
    <cfRule type="containsText" dxfId="40" priority="22" stopIfTrue="1" operator="containsText" text="LT">
      <formula>NOT(ISERROR(SEARCH("LT",F7)))</formula>
    </cfRule>
  </conditionalFormatting>
  <conditionalFormatting sqref="F9:G9 F24:G24 M19:N19 L8:M8">
    <cfRule type="containsText" dxfId="39" priority="18" stopIfTrue="1" operator="containsText" text="P">
      <formula>NOT(ISERROR(SEARCH("P",F8)))</formula>
    </cfRule>
  </conditionalFormatting>
  <conditionalFormatting sqref="F8:G8">
    <cfRule type="containsText" dxfId="38" priority="12" stopIfTrue="1" operator="containsText" text="LT">
      <formula>NOT(ISERROR(SEARCH("LT",F8)))</formula>
    </cfRule>
  </conditionalFormatting>
  <conditionalFormatting sqref="L7:M7">
    <cfRule type="containsText" dxfId="37" priority="11" stopIfTrue="1" operator="containsText" text="LT">
      <formula>NOT(ISERROR(SEARCH("LT",L7)))</formula>
    </cfRule>
  </conditionalFormatting>
  <conditionalFormatting sqref="F23:G23">
    <cfRule type="containsText" dxfId="36" priority="10" stopIfTrue="1" operator="containsText" text="LT">
      <formula>NOT(ISERROR(SEARCH("LT",F23)))</formula>
    </cfRule>
  </conditionalFormatting>
  <conditionalFormatting sqref="M18:N18">
    <cfRule type="containsText" dxfId="35" priority="9" stopIfTrue="1" operator="containsText" text="LT">
      <formula>NOT(ISERROR(SEARCH("LT",M18)))</formula>
    </cfRule>
  </conditionalFormatting>
  <conditionalFormatting sqref="F9:G9">
    <cfRule type="containsText" dxfId="34" priority="8" stopIfTrue="1" operator="containsText" text="P">
      <formula>NOT(ISERROR(SEARCH("P",F9)))</formula>
    </cfRule>
  </conditionalFormatting>
  <conditionalFormatting sqref="F24:G24">
    <cfRule type="containsText" dxfId="33" priority="7" stopIfTrue="1" operator="containsText" text="P">
      <formula>NOT(ISERROR(SEARCH("P",F24)))</formula>
    </cfRule>
  </conditionalFormatting>
  <conditionalFormatting sqref="M19:N19">
    <cfRule type="containsText" dxfId="32" priority="6" stopIfTrue="1" operator="containsText" text="P">
      <formula>NOT(ISERROR(SEARCH("P",M19)))</formula>
    </cfRule>
  </conditionalFormatting>
  <conditionalFormatting sqref="L8:M8">
    <cfRule type="containsText" dxfId="31" priority="5" stopIfTrue="1" operator="containsText" text="P">
      <formula>NOT(ISERROR(SEARCH("P",L8)))</formula>
    </cfRule>
  </conditionalFormatting>
  <conditionalFormatting sqref="F24:G24">
    <cfRule type="containsText" dxfId="30" priority="4" stopIfTrue="1" operator="containsText" text="P">
      <formula>NOT(ISERROR(SEARCH("P",F24)))</formula>
    </cfRule>
  </conditionalFormatting>
  <conditionalFormatting sqref="M19:N19">
    <cfRule type="containsText" dxfId="29" priority="3" stopIfTrue="1" operator="containsText" text="P">
      <formula>NOT(ISERROR(SEARCH("P",M19)))</formula>
    </cfRule>
  </conditionalFormatting>
  <conditionalFormatting sqref="L8:M8">
    <cfRule type="containsText" dxfId="28" priority="2" stopIfTrue="1" operator="containsText" text="P">
      <formula>NOT(ISERROR(SEARCH("P",L8)))</formula>
    </cfRule>
  </conditionalFormatting>
  <conditionalFormatting sqref="L8:M8">
    <cfRule type="containsText" dxfId="27" priority="1" stopIfTrue="1" operator="containsText" text="P">
      <formula>NOT(ISERROR(SEARCH("P",L8)))</formula>
    </cfRule>
  </conditionalFormatting>
  <dataValidations disablePrompts="1"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H68"/>
  <sheetViews>
    <sheetView zoomScale="80" zoomScaleNormal="80" workbookViewId="0">
      <selection sqref="A1:C1"/>
    </sheetView>
  </sheetViews>
  <sheetFormatPr defaultColWidth="9.109375" defaultRowHeight="14.4" x14ac:dyDescent="0.3"/>
  <cols>
    <col min="1" max="1" width="21" style="5" bestFit="1" customWidth="1"/>
    <col min="2" max="9" width="9.109375" style="5"/>
    <col min="10" max="11" width="9.6640625" style="5" hidden="1" customWidth="1"/>
    <col min="12" max="34" width="9.109375" style="5" hidden="1" customWidth="1"/>
    <col min="35" max="16384" width="9.109375" style="5"/>
  </cols>
  <sheetData>
    <row r="1" spans="1:27" x14ac:dyDescent="0.3">
      <c r="A1" s="530" t="s">
        <v>204</v>
      </c>
      <c r="B1" s="530"/>
      <c r="C1" s="530"/>
      <c r="L1" s="527" t="s">
        <v>75</v>
      </c>
      <c r="M1" s="527"/>
      <c r="N1" s="519" t="s">
        <v>115</v>
      </c>
      <c r="O1" s="527"/>
      <c r="Q1" t="s">
        <v>91</v>
      </c>
      <c r="R1" t="s">
        <v>92</v>
      </c>
      <c r="W1" t="s">
        <v>91</v>
      </c>
      <c r="X1" t="s">
        <v>92</v>
      </c>
    </row>
    <row r="2" spans="1:27" x14ac:dyDescent="0.3">
      <c r="A2" s="281" t="s">
        <v>73</v>
      </c>
      <c r="B2" s="253" t="s">
        <v>13</v>
      </c>
      <c r="C2" s="253" t="s">
        <v>14</v>
      </c>
      <c r="D2" s="253" t="s">
        <v>18</v>
      </c>
      <c r="E2" s="253" t="s">
        <v>19</v>
      </c>
      <c r="F2" s="253" t="s">
        <v>3</v>
      </c>
      <c r="G2" s="253" t="s">
        <v>4</v>
      </c>
      <c r="H2" s="253" t="s">
        <v>8</v>
      </c>
      <c r="I2" s="253" t="s">
        <v>9</v>
      </c>
      <c r="J2" s="7" t="str">
        <f>IF(M17+M18&gt;=M15+M16,L1,N1)</f>
        <v>E-W Major</v>
      </c>
      <c r="K2" s="7"/>
      <c r="L2" s="5" t="s">
        <v>13</v>
      </c>
      <c r="M2" s="5">
        <v>7</v>
      </c>
      <c r="N2" s="5" t="s">
        <v>13</v>
      </c>
      <c r="O2" s="5">
        <v>5</v>
      </c>
      <c r="Q2" s="5">
        <v>1</v>
      </c>
      <c r="R2" s="5">
        <v>50000</v>
      </c>
      <c r="W2" s="5">
        <v>1</v>
      </c>
      <c r="X2" s="5">
        <v>150000</v>
      </c>
    </row>
    <row r="3" spans="1:27" x14ac:dyDescent="0.3">
      <c r="A3" s="5" t="s">
        <v>74</v>
      </c>
      <c r="B3" s="6">
        <f>Sheet1!N4</f>
        <v>83</v>
      </c>
      <c r="C3" s="6">
        <f>IF(Sheet1!P5=0,Sheet1!O4+Sheet1!P4,Sheet1!O4)</f>
        <v>303</v>
      </c>
      <c r="D3" s="6">
        <f>IF(Sheet1!N4=Sheet1!S4, Sheet1!S4+1,Sheet1!S4)</f>
        <v>166</v>
      </c>
      <c r="E3" s="6">
        <f>IF(Sheet1!U5=0,Sheet1!T4+Sheet1!U4,Sheet1!T4)</f>
        <v>789</v>
      </c>
      <c r="F3" s="6">
        <f>Sheet1!D4+Sheet1!W4+Sheet1!Z4</f>
        <v>290</v>
      </c>
      <c r="G3" s="6">
        <f>IF(Sheet1!F5=0,Sheet1!E4+Sheet1!F4+Sheet1!X4+Sheet1!AA4,Sheet1!E4+Sheet1!X4+Sheet1!AA4)</f>
        <v>0</v>
      </c>
      <c r="H3" s="6">
        <f>IF(Sheet1!D4+Sheet1!W4+Sheet1!Z4=Sheet1!I4+Sheet1!AC4+Sheet1!AF4,Sheet1!I4+Sheet1!AC4+Sheet1!AF4+1,Sheet1!I4+Sheet1!AC4+Sheet1!AF4)</f>
        <v>107</v>
      </c>
      <c r="I3" s="6">
        <f>IF(Sheet1!K5=0,Sheet1!J4+Sheet1!K4+Sheet1!AD4+Sheet1!AG4,Sheet1!J4+Sheet1!AD4+Sheet1!AG4)</f>
        <v>656</v>
      </c>
      <c r="L3" s="5" t="s">
        <v>14</v>
      </c>
      <c r="M3" s="5">
        <v>4</v>
      </c>
      <c r="N3" s="5" t="s">
        <v>14</v>
      </c>
      <c r="O3" s="5">
        <v>2</v>
      </c>
      <c r="Q3" s="5">
        <v>2</v>
      </c>
      <c r="R3" s="5">
        <v>90000</v>
      </c>
      <c r="W3" s="5">
        <v>2</v>
      </c>
      <c r="X3" s="5">
        <v>300000</v>
      </c>
    </row>
    <row r="4" spans="1:27" x14ac:dyDescent="0.3">
      <c r="A4" s="281" t="s">
        <v>80</v>
      </c>
      <c r="B4" s="253">
        <f>IF($J$2="N-S Major",M2,O2)</f>
        <v>5</v>
      </c>
      <c r="C4" s="253">
        <f>IF($J$2="N-S Major",M3,O3)</f>
        <v>2</v>
      </c>
      <c r="D4" s="253">
        <f>IF($J$2="N-S Major",M4,O4)</f>
        <v>1</v>
      </c>
      <c r="E4" s="253">
        <f>IF($J$2="N-S Major",M5,O5)</f>
        <v>6</v>
      </c>
      <c r="F4" s="253">
        <f>IF($J$2="N-S Major",M6,O6)</f>
        <v>3</v>
      </c>
      <c r="G4" s="253">
        <f>IF($J$2="N-S Major",M7,O7)</f>
        <v>8</v>
      </c>
      <c r="H4" s="253">
        <f>IF($J$2="N-S Major",M8,O8)</f>
        <v>7</v>
      </c>
      <c r="I4" s="253">
        <f>IF($J$2="N-S Major",M9,O9)</f>
        <v>4</v>
      </c>
      <c r="L4" s="5" t="s">
        <v>18</v>
      </c>
      <c r="M4" s="5">
        <v>3</v>
      </c>
      <c r="N4" s="5" t="s">
        <v>18</v>
      </c>
      <c r="O4" s="5">
        <v>1</v>
      </c>
      <c r="Q4" s="5">
        <v>3</v>
      </c>
      <c r="R4" s="5">
        <v>110000</v>
      </c>
      <c r="W4" s="5">
        <v>3</v>
      </c>
      <c r="X4" s="5">
        <v>300000</v>
      </c>
    </row>
    <row r="5" spans="1:27" x14ac:dyDescent="0.3">
      <c r="A5" s="5" t="s">
        <v>97</v>
      </c>
      <c r="B5" s="87">
        <f>IF(B6=0,0,B4)</f>
        <v>5</v>
      </c>
      <c r="C5" s="87">
        <f>IF(AND(B6=0,C6=0),0,C4)</f>
        <v>2</v>
      </c>
      <c r="D5" s="87">
        <f>IF(D6=0,0,D4)</f>
        <v>1</v>
      </c>
      <c r="E5" s="87">
        <f>IF(AND(D6=0,E6=0),0,E4)</f>
        <v>6</v>
      </c>
      <c r="F5" s="87">
        <f>IF(F6=0,0,F4)</f>
        <v>3</v>
      </c>
      <c r="G5" s="87">
        <f>IF(AND(F6=0,G6=0),0,G4)</f>
        <v>8</v>
      </c>
      <c r="H5" s="87">
        <f>IF(H6=0,0,H4)</f>
        <v>7</v>
      </c>
      <c r="I5" s="87">
        <f>IF(AND(H6=0,I6=0),0,I4)</f>
        <v>4</v>
      </c>
      <c r="L5" s="5" t="s">
        <v>19</v>
      </c>
      <c r="M5" s="5">
        <v>8</v>
      </c>
      <c r="N5" s="5" t="s">
        <v>19</v>
      </c>
      <c r="O5" s="5">
        <v>6</v>
      </c>
    </row>
    <row r="6" spans="1:27" x14ac:dyDescent="0.3">
      <c r="A6" s="281" t="s">
        <v>79</v>
      </c>
      <c r="B6" s="253">
        <f>Sheet1!N5</f>
        <v>1</v>
      </c>
      <c r="C6" s="253">
        <f>Sheet1!O5</f>
        <v>2</v>
      </c>
      <c r="D6" s="253">
        <f>Sheet1!S5</f>
        <v>1</v>
      </c>
      <c r="E6" s="253">
        <f>Sheet1!T5</f>
        <v>2</v>
      </c>
      <c r="F6" s="253">
        <f>Sheet1!D5+Sheet1!W5+Sheet1!Z5</f>
        <v>2</v>
      </c>
      <c r="G6" s="253">
        <f>Sheet1!E5+Sheet1!X5+Sheet1!AA5</f>
        <v>0</v>
      </c>
      <c r="H6" s="253">
        <f>Sheet1!I5+Sheet1!AC5+Sheet1!AF5</f>
        <v>2</v>
      </c>
      <c r="I6" s="253">
        <f>Sheet1!J5+Sheet1!AD5+Sheet1!AG5</f>
        <v>4</v>
      </c>
      <c r="L6" s="5" t="s">
        <v>3</v>
      </c>
      <c r="M6" s="5">
        <v>5</v>
      </c>
      <c r="N6" s="5" t="s">
        <v>3</v>
      </c>
      <c r="O6" s="5">
        <v>3</v>
      </c>
      <c r="R6" s="6" t="s">
        <v>13</v>
      </c>
      <c r="S6" s="6" t="s">
        <v>18</v>
      </c>
      <c r="T6" s="6" t="s">
        <v>3</v>
      </c>
      <c r="U6" s="6" t="s">
        <v>8</v>
      </c>
      <c r="X6" s="6" t="s">
        <v>13</v>
      </c>
      <c r="Y6" s="6" t="s">
        <v>18</v>
      </c>
      <c r="Z6" s="6" t="s">
        <v>3</v>
      </c>
      <c r="AA6" s="6" t="s">
        <v>8</v>
      </c>
    </row>
    <row r="7" spans="1:27" x14ac:dyDescent="0.3">
      <c r="A7" s="5" t="s">
        <v>37</v>
      </c>
      <c r="B7" s="87">
        <f>Sheet1!N6</f>
        <v>0</v>
      </c>
      <c r="C7" s="87">
        <f>Sheet1!O6</f>
        <v>0</v>
      </c>
      <c r="D7" s="87">
        <f>Sheet1!S6</f>
        <v>0</v>
      </c>
      <c r="E7" s="87">
        <f>Sheet1!T6</f>
        <v>0</v>
      </c>
      <c r="F7" s="87">
        <f>Sheet1!D6</f>
        <v>0</v>
      </c>
      <c r="G7" s="87">
        <f>Sheet1!E6</f>
        <v>0</v>
      </c>
      <c r="H7" s="87">
        <f>Sheet1!I6</f>
        <v>0</v>
      </c>
      <c r="I7" s="87">
        <f>Sheet1!J6</f>
        <v>0</v>
      </c>
      <c r="L7" s="5" t="s">
        <v>4</v>
      </c>
      <c r="M7" s="5">
        <v>2</v>
      </c>
      <c r="N7" s="5" t="s">
        <v>4</v>
      </c>
      <c r="O7" s="5">
        <v>8</v>
      </c>
      <c r="Q7" s="5" t="s">
        <v>88</v>
      </c>
      <c r="R7" s="6">
        <f>E6</f>
        <v>2</v>
      </c>
      <c r="S7" s="6">
        <f>C6</f>
        <v>2</v>
      </c>
      <c r="T7" s="6">
        <f>I6</f>
        <v>4</v>
      </c>
      <c r="U7" s="6">
        <f>G6</f>
        <v>0</v>
      </c>
      <c r="W7" s="5" t="s">
        <v>88</v>
      </c>
      <c r="X7" s="6">
        <f t="shared" ref="X7:AA8" si="0">R7</f>
        <v>2</v>
      </c>
      <c r="Y7" s="6">
        <f t="shared" si="0"/>
        <v>2</v>
      </c>
      <c r="Z7" s="6">
        <f t="shared" si="0"/>
        <v>4</v>
      </c>
      <c r="AA7" s="6">
        <f t="shared" si="0"/>
        <v>0</v>
      </c>
    </row>
    <row r="8" spans="1:27" x14ac:dyDescent="0.3">
      <c r="A8" s="282" t="s">
        <v>296</v>
      </c>
      <c r="B8" s="281"/>
      <c r="C8" s="253">
        <f>Phasing!P6</f>
        <v>35</v>
      </c>
      <c r="D8" s="253"/>
      <c r="E8" s="253">
        <f>Phasing!R6</f>
        <v>35</v>
      </c>
      <c r="F8" s="253"/>
      <c r="G8" s="253">
        <f>Phasing!T6</f>
        <v>25</v>
      </c>
      <c r="H8" s="253"/>
      <c r="I8" s="253">
        <f>Phasing!V6</f>
        <v>35</v>
      </c>
      <c r="L8" s="5" t="s">
        <v>8</v>
      </c>
      <c r="M8" s="5">
        <v>1</v>
      </c>
      <c r="N8" s="5" t="s">
        <v>8</v>
      </c>
      <c r="O8" s="5">
        <v>7</v>
      </c>
      <c r="Q8" s="5" t="s">
        <v>92</v>
      </c>
      <c r="R8" s="6">
        <f>B3*E3</f>
        <v>65487</v>
      </c>
      <c r="S8" s="6">
        <f>D3*C3</f>
        <v>50298</v>
      </c>
      <c r="T8" s="6">
        <f>F3*I3</f>
        <v>190240</v>
      </c>
      <c r="U8" s="6">
        <f>H3*G3</f>
        <v>0</v>
      </c>
      <c r="W8" s="5" t="s">
        <v>92</v>
      </c>
      <c r="X8" s="6">
        <f t="shared" si="0"/>
        <v>65487</v>
      </c>
      <c r="Y8" s="6">
        <f t="shared" si="0"/>
        <v>50298</v>
      </c>
      <c r="Z8" s="6">
        <f t="shared" si="0"/>
        <v>190240</v>
      </c>
      <c r="AA8" s="6">
        <f t="shared" si="0"/>
        <v>0</v>
      </c>
    </row>
    <row r="9" spans="1:27" x14ac:dyDescent="0.3">
      <c r="B9" s="81"/>
      <c r="C9" s="81"/>
      <c r="D9" s="81"/>
      <c r="E9" s="81"/>
      <c r="G9" s="529" t="s">
        <v>440</v>
      </c>
      <c r="H9" s="529"/>
      <c r="I9" s="81">
        <f>IF(OR(SUM(B5:E5)=0,SUM(D5:G5)=0,SUM(F5:I5)=0,SUM(B5:C5,F5:G5)=0,SUM(B5:C5,H5:I5)=0,SUM(D5:E5,H5:I5)=0),1,0)</f>
        <v>0</v>
      </c>
      <c r="L9" s="5" t="s">
        <v>9</v>
      </c>
      <c r="M9" s="5">
        <v>6</v>
      </c>
      <c r="N9" s="5" t="s">
        <v>9</v>
      </c>
      <c r="O9" s="5">
        <v>4</v>
      </c>
      <c r="Q9" s="6">
        <v>1</v>
      </c>
      <c r="R9" s="6">
        <f>IF(AND(R7=1,R8&gt;=50000),1,0)</f>
        <v>0</v>
      </c>
      <c r="S9" s="6">
        <f>IF(AND(S7=1,S8&gt;=50000),1,0)</f>
        <v>0</v>
      </c>
      <c r="T9" s="6">
        <f>IF(AND(T7=1,T8&gt;=50000),1,0)</f>
        <v>0</v>
      </c>
      <c r="U9" s="6">
        <f>IF(AND(U7=1,U8&gt;=50000),1,0)</f>
        <v>0</v>
      </c>
      <c r="W9" s="6">
        <v>1</v>
      </c>
      <c r="X9" s="6">
        <f>IF(AND(X7=1,X8&gt;=150000),1,0)</f>
        <v>0</v>
      </c>
      <c r="Y9" s="6">
        <f>IF(AND(Y7=1,Y8&gt;=150000),1,0)</f>
        <v>0</v>
      </c>
      <c r="Z9" s="6">
        <f>IF(AND(Z7=1,Z8&gt;=150000),1,0)</f>
        <v>0</v>
      </c>
      <c r="AA9" s="6">
        <f>IF(AND(AA7=1,AA8&gt;=150000),1,0)</f>
        <v>0</v>
      </c>
    </row>
    <row r="10" spans="1:27" x14ac:dyDescent="0.3">
      <c r="A10" s="281" t="s">
        <v>86</v>
      </c>
      <c r="B10" s="253" t="s">
        <v>13</v>
      </c>
      <c r="C10" s="253"/>
      <c r="D10" s="253" t="s">
        <v>18</v>
      </c>
      <c r="E10" s="253"/>
      <c r="F10" s="253" t="s">
        <v>3</v>
      </c>
      <c r="G10" s="253"/>
      <c r="H10" s="253" t="s">
        <v>8</v>
      </c>
      <c r="I10" s="87"/>
      <c r="Q10" s="6">
        <v>2</v>
      </c>
      <c r="R10" s="6">
        <f>IF(AND(R7=2,R8&gt;=90000),1,0)</f>
        <v>0</v>
      </c>
      <c r="S10" s="6">
        <f>IF(AND(S7=2,S8&gt;=90000),1,0)</f>
        <v>0</v>
      </c>
      <c r="T10" s="6">
        <f>IF(AND(T7=2,T8&gt;=90000),1,0)</f>
        <v>0</v>
      </c>
      <c r="U10" s="6">
        <f>IF(AND(U7=2,U8&gt;=90000),1,0)</f>
        <v>0</v>
      </c>
      <c r="W10" s="6">
        <v>2</v>
      </c>
      <c r="X10" s="6">
        <f>IF(AND(X7=2,X8&gt;=300000),1,0)</f>
        <v>0</v>
      </c>
      <c r="Y10" s="6">
        <f>IF(AND(Y7=2,Y8&gt;=300000),1,0)</f>
        <v>0</v>
      </c>
      <c r="Z10" s="6">
        <f>IF(AND(Z7=2,Z8&gt;=300000),1,0)</f>
        <v>0</v>
      </c>
      <c r="AA10" s="6">
        <f>IF(AND(AA7=2,AA8&gt;=300000),1,0)</f>
        <v>0</v>
      </c>
    </row>
    <row r="11" spans="1:27" ht="15" customHeight="1" x14ac:dyDescent="0.3">
      <c r="A11" s="5" t="s">
        <v>87</v>
      </c>
      <c r="B11" s="87">
        <f>IF(B6&gt;=2,1,0)</f>
        <v>0</v>
      </c>
      <c r="C11" s="87"/>
      <c r="D11" s="87">
        <f>IF(D6&gt;=2,1,0)</f>
        <v>0</v>
      </c>
      <c r="E11" s="87"/>
      <c r="F11" s="87">
        <f>IF(F6&gt;=2,1,0)</f>
        <v>1</v>
      </c>
      <c r="G11" s="87"/>
      <c r="H11" s="87">
        <f>IF(H6&gt;=2,1,0)</f>
        <v>1</v>
      </c>
      <c r="I11" s="535" t="s">
        <v>90</v>
      </c>
      <c r="L11" s="5" t="s">
        <v>15</v>
      </c>
      <c r="M11" s="5">
        <f>Sheet1!P4</f>
        <v>106</v>
      </c>
      <c r="N11" s="5">
        <v>1</v>
      </c>
      <c r="O11" t="s">
        <v>82</v>
      </c>
      <c r="Q11" s="6">
        <v>3</v>
      </c>
      <c r="R11" s="6">
        <f>IF(AND(R7=3,R8&gt;=110000),1,0)</f>
        <v>0</v>
      </c>
      <c r="S11" s="6">
        <f>IF(AND(S7=3,S8&gt;=110000),1,0)</f>
        <v>0</v>
      </c>
      <c r="T11" s="6">
        <f>IF(AND(T7=3,T8&gt;=110000),1,0)</f>
        <v>0</v>
      </c>
      <c r="U11" s="6">
        <f>IF(AND(U7=3,U8&gt;=110000),1,0)</f>
        <v>0</v>
      </c>
      <c r="W11" s="6">
        <v>3</v>
      </c>
      <c r="X11" s="6">
        <f>IF(AND(X7=3,X8&gt;=300000),1,0)</f>
        <v>0</v>
      </c>
      <c r="Y11" s="6">
        <f>IF(AND(Y7=3,Y8&gt;=300000),1,0)</f>
        <v>0</v>
      </c>
      <c r="Z11" s="6">
        <f>IF(AND(Z7=3,Z8&gt;=300000),1,0)</f>
        <v>0</v>
      </c>
      <c r="AA11" s="6">
        <f>IF(AND(AA7=3,AA8&gt;=300000),1,0)</f>
        <v>0</v>
      </c>
    </row>
    <row r="12" spans="1:27" x14ac:dyDescent="0.3">
      <c r="A12" s="281" t="s">
        <v>88</v>
      </c>
      <c r="B12" s="253">
        <f>IF(E6&gt;=4,1,0)</f>
        <v>0</v>
      </c>
      <c r="C12" s="253"/>
      <c r="D12" s="253">
        <f>IF(C6&gt;=4,1,0)</f>
        <v>0</v>
      </c>
      <c r="E12" s="253"/>
      <c r="F12" s="253">
        <f>IF(I6&gt;=4,1,0)</f>
        <v>1</v>
      </c>
      <c r="G12" s="253"/>
      <c r="H12" s="253">
        <f>IF(G6&gt;=4,1,0)</f>
        <v>0</v>
      </c>
      <c r="I12" s="535"/>
      <c r="J12" s="10"/>
      <c r="K12" s="10"/>
      <c r="L12" s="11" t="s">
        <v>20</v>
      </c>
      <c r="M12" s="11">
        <f>Sheet1!U4</f>
        <v>237</v>
      </c>
      <c r="N12" s="11">
        <v>2</v>
      </c>
      <c r="O12" s="11" t="s">
        <v>83</v>
      </c>
      <c r="Q12" s="4" t="s">
        <v>93</v>
      </c>
      <c r="R12" s="8">
        <f>MAX(R9:S11)</f>
        <v>0</v>
      </c>
      <c r="S12" s="8">
        <f>MAX(R9:S11)</f>
        <v>0</v>
      </c>
      <c r="T12" s="8">
        <f>MAX(T9:U11)</f>
        <v>0</v>
      </c>
      <c r="U12" s="8">
        <f>MAX(T9:U11)</f>
        <v>0</v>
      </c>
      <c r="W12" s="4" t="s">
        <v>93</v>
      </c>
      <c r="X12" s="8">
        <f>MAX(X9:X11)</f>
        <v>0</v>
      </c>
      <c r="Y12" s="8">
        <f>MAX(Y9:Y11)</f>
        <v>0</v>
      </c>
      <c r="Z12" s="8">
        <f>MAX(Z9:Z11)</f>
        <v>0</v>
      </c>
      <c r="AA12" s="8">
        <f>MAX(AA9:AA11)</f>
        <v>0</v>
      </c>
    </row>
    <row r="13" spans="1:27" x14ac:dyDescent="0.3">
      <c r="A13" s="5" t="s">
        <v>81</v>
      </c>
      <c r="B13" s="87">
        <f>IF(E8&gt;45,1,0)</f>
        <v>0</v>
      </c>
      <c r="C13" s="87"/>
      <c r="D13" s="87">
        <f>IF(C8&gt;45,1,0)</f>
        <v>0</v>
      </c>
      <c r="E13" s="87"/>
      <c r="F13" s="87">
        <f>IF(I8&gt;45,1,0)</f>
        <v>0</v>
      </c>
      <c r="G13" s="87"/>
      <c r="H13" s="87">
        <f>IF(G8&gt;45,1,0)</f>
        <v>0</v>
      </c>
      <c r="I13" s="535"/>
      <c r="J13" s="12"/>
      <c r="K13" s="12"/>
      <c r="L13" s="11" t="s">
        <v>5</v>
      </c>
      <c r="M13" s="11">
        <f>Sheet1!F4+Sheet1!Y4+Sheet1!AB4</f>
        <v>0</v>
      </c>
      <c r="N13" s="11">
        <v>3</v>
      </c>
      <c r="O13" s="11" t="s">
        <v>84</v>
      </c>
      <c r="Q13" s="519" t="s">
        <v>94</v>
      </c>
      <c r="R13" s="519"/>
      <c r="S13" s="519"/>
      <c r="T13" s="519"/>
      <c r="U13" s="519"/>
    </row>
    <row r="14" spans="1:27" x14ac:dyDescent="0.3">
      <c r="A14" s="281" t="s">
        <v>98</v>
      </c>
      <c r="B14" s="253">
        <f>IF(B3&gt;=240,1,0)</f>
        <v>0</v>
      </c>
      <c r="C14" s="253"/>
      <c r="D14" s="253">
        <f>IF(D3&gt;=240,1,0)</f>
        <v>0</v>
      </c>
      <c r="E14" s="253"/>
      <c r="F14" s="253">
        <f>IF(F3&gt;=240,1,0)</f>
        <v>1</v>
      </c>
      <c r="G14" s="253"/>
      <c r="H14" s="253">
        <f>IF(H3&gt;=240,1,0)</f>
        <v>0</v>
      </c>
      <c r="I14" s="535"/>
      <c r="J14" s="93"/>
      <c r="K14" s="93"/>
      <c r="L14" s="11" t="s">
        <v>10</v>
      </c>
      <c r="M14" s="11">
        <f>Sheet1!K4+Sheet1!AE4+Sheet1!AH4</f>
        <v>178</v>
      </c>
      <c r="N14" s="56">
        <v>2</v>
      </c>
      <c r="O14" s="86" t="s">
        <v>85</v>
      </c>
      <c r="Q14" s="2"/>
      <c r="R14" s="2"/>
      <c r="S14" s="2"/>
      <c r="T14" s="2"/>
      <c r="U14" s="2"/>
    </row>
    <row r="15" spans="1:27" x14ac:dyDescent="0.3">
      <c r="A15" s="10" t="s">
        <v>99</v>
      </c>
      <c r="B15" s="87">
        <f>X12</f>
        <v>0</v>
      </c>
      <c r="C15" s="87"/>
      <c r="D15" s="87">
        <f>Y12</f>
        <v>0</v>
      </c>
      <c r="E15" s="87"/>
      <c r="F15" s="87">
        <f>Z12</f>
        <v>0</v>
      </c>
      <c r="G15" s="87"/>
      <c r="H15" s="87">
        <f>AA12</f>
        <v>0</v>
      </c>
      <c r="I15" s="535"/>
      <c r="J15" s="93"/>
      <c r="K15" s="534" t="s">
        <v>436</v>
      </c>
      <c r="L15" s="11" t="s">
        <v>402</v>
      </c>
      <c r="M15" s="11">
        <f>B3+C3+M11</f>
        <v>492</v>
      </c>
      <c r="N15" s="11"/>
      <c r="O15" s="11"/>
      <c r="Q15" s="2"/>
      <c r="R15" s="2"/>
      <c r="S15" s="2"/>
      <c r="T15" s="2"/>
      <c r="U15" s="2"/>
    </row>
    <row r="16" spans="1:27" x14ac:dyDescent="0.3">
      <c r="A16" s="282" t="s">
        <v>100</v>
      </c>
      <c r="B16" s="253">
        <f>IF(D3+E3=0,0,IF(AND(B14=1, SUM(B11:B13)=0),3,MAX(B11:B13)))</f>
        <v>0</v>
      </c>
      <c r="C16" s="253"/>
      <c r="D16" s="253">
        <f>IF(B3+C3=0,0,IF(AND(D14=1, SUM(D11:D13)=0),3,MAX(D11:D13)))</f>
        <v>0</v>
      </c>
      <c r="E16" s="253"/>
      <c r="F16" s="253">
        <f>IF(H3+I3=0,0,IF(AND(F14=1, SUM(F11:F13)=0),3,MAX(F11:F13)))</f>
        <v>1</v>
      </c>
      <c r="G16" s="253"/>
      <c r="H16" s="253">
        <f>IF(F3+G3=0,0,IF(AND(H14=1, SUM(H11:H13)=0),3,MAX(H11:H13)))</f>
        <v>1</v>
      </c>
      <c r="I16" s="278"/>
      <c r="J16" s="12"/>
      <c r="K16" s="534"/>
      <c r="L16" s="11" t="s">
        <v>403</v>
      </c>
      <c r="M16" s="11">
        <f>D3+E3+M12</f>
        <v>1192</v>
      </c>
      <c r="N16" s="11"/>
      <c r="O16" s="11"/>
      <c r="P16" s="536" t="s">
        <v>108</v>
      </c>
      <c r="Q16" s="537"/>
      <c r="R16" s="537"/>
      <c r="S16" s="537"/>
      <c r="T16" s="537"/>
      <c r="U16" s="2"/>
    </row>
    <row r="17" spans="1:24" x14ac:dyDescent="0.3">
      <c r="A17" s="39" t="s">
        <v>92</v>
      </c>
      <c r="B17" s="279">
        <f>IF(OR(D16=3,R12=1),3,2)</f>
        <v>2</v>
      </c>
      <c r="C17" s="279"/>
      <c r="D17" s="279">
        <f>IF(OR(B16=3,S12=1),3,2)</f>
        <v>2</v>
      </c>
      <c r="E17" s="279"/>
      <c r="F17" s="279">
        <f>IF(OR(H16=3,T12=1),3,2)</f>
        <v>2</v>
      </c>
      <c r="G17" s="279"/>
      <c r="H17" s="279">
        <f>IF(OR(F16=3,U12=1),3,2)</f>
        <v>2</v>
      </c>
      <c r="I17" s="40" t="s">
        <v>96</v>
      </c>
      <c r="J17" s="16"/>
      <c r="K17" s="534"/>
      <c r="L17" s="15" t="s">
        <v>404</v>
      </c>
      <c r="M17" s="15">
        <f>F3+G3+M13</f>
        <v>290</v>
      </c>
      <c r="N17" s="17"/>
      <c r="O17" s="11"/>
      <c r="P17" s="15"/>
      <c r="Q17" s="531" t="s">
        <v>107</v>
      </c>
      <c r="R17" s="531"/>
      <c r="S17" s="531"/>
      <c r="T17" s="531"/>
      <c r="U17" s="15"/>
      <c r="V17" s="15"/>
    </row>
    <row r="18" spans="1:24" x14ac:dyDescent="0.3">
      <c r="A18" s="283" t="s">
        <v>89</v>
      </c>
      <c r="B18" s="284">
        <f>IF(OR(E7&gt;0,C7&gt;0),2,0)</f>
        <v>0</v>
      </c>
      <c r="C18" s="284"/>
      <c r="D18" s="284">
        <f>IF(OR(C7&gt;0,E7&gt;0),2,0)</f>
        <v>0</v>
      </c>
      <c r="E18" s="284"/>
      <c r="F18" s="284">
        <f>IF(OR(I7&gt;0,G7&gt;0),2,0)</f>
        <v>0</v>
      </c>
      <c r="G18" s="284"/>
      <c r="H18" s="284">
        <f>IF(OR(G7&gt;0,I7&gt;0),2,0)</f>
        <v>0</v>
      </c>
      <c r="I18" s="38" t="s">
        <v>95</v>
      </c>
      <c r="J18" s="14"/>
      <c r="K18" s="534"/>
      <c r="L18" s="15" t="s">
        <v>405</v>
      </c>
      <c r="M18" s="15">
        <f>H3+I3+M14</f>
        <v>941</v>
      </c>
      <c r="N18" s="20"/>
      <c r="O18" s="11"/>
      <c r="P18" t="s">
        <v>105</v>
      </c>
      <c r="Q18" s="49">
        <v>1</v>
      </c>
      <c r="R18" s="50">
        <v>2</v>
      </c>
      <c r="S18" s="6">
        <v>3</v>
      </c>
      <c r="T18" s="6">
        <v>4</v>
      </c>
      <c r="V18" s="15"/>
    </row>
    <row r="19" spans="1:24" s="41" customFormat="1" x14ac:dyDescent="0.3">
      <c r="A19" s="46" t="s">
        <v>97</v>
      </c>
      <c r="B19" s="280">
        <f>IF(E5=0,2,0)</f>
        <v>0</v>
      </c>
      <c r="C19" s="280"/>
      <c r="D19" s="280">
        <f>IF(C5=0,2,0)</f>
        <v>0</v>
      </c>
      <c r="E19" s="280"/>
      <c r="F19" s="280">
        <f>IF(I5=0,2,0)</f>
        <v>0</v>
      </c>
      <c r="G19" s="280"/>
      <c r="H19" s="280">
        <f>IF(G5=0,2,0)</f>
        <v>0</v>
      </c>
      <c r="I19" s="38"/>
      <c r="J19" s="14"/>
      <c r="K19" s="14"/>
      <c r="L19" s="21"/>
      <c r="M19" s="21"/>
      <c r="N19" s="29"/>
      <c r="O19" s="13"/>
      <c r="P19" s="47" t="s">
        <v>106</v>
      </c>
      <c r="Q19" s="45">
        <v>5</v>
      </c>
      <c r="R19" s="51">
        <v>6</v>
      </c>
      <c r="S19" s="45">
        <v>7</v>
      </c>
      <c r="T19" s="45">
        <v>8</v>
      </c>
      <c r="V19" s="21"/>
    </row>
    <row r="20" spans="1:24" x14ac:dyDescent="0.3">
      <c r="A20" s="42"/>
      <c r="B20" s="81"/>
      <c r="C20" s="81"/>
      <c r="D20" s="81"/>
      <c r="E20" s="81"/>
      <c r="F20" s="81"/>
      <c r="G20" s="81"/>
      <c r="H20" s="81"/>
      <c r="I20" s="21"/>
      <c r="J20" s="15"/>
      <c r="K20" s="15"/>
      <c r="L20" s="15"/>
      <c r="M20" s="15"/>
      <c r="N20" s="20"/>
      <c r="O20" s="11"/>
      <c r="V20" s="15"/>
    </row>
    <row r="21" spans="1:24" x14ac:dyDescent="0.3">
      <c r="A21" s="285" t="s">
        <v>104</v>
      </c>
      <c r="B21" s="253">
        <f>IF(AND(B16=1,B18=0),1,MAX(B16:B18))</f>
        <v>2</v>
      </c>
      <c r="C21" s="253"/>
      <c r="D21" s="253">
        <f>IF(AND(D16=1,D18=0),1,MAX(D16:D18))</f>
        <v>2</v>
      </c>
      <c r="E21" s="253"/>
      <c r="F21" s="253">
        <f>IF(AND(F16=1,F18=0),1,MAX(F16:F18))</f>
        <v>1</v>
      </c>
      <c r="G21" s="253"/>
      <c r="H21" s="253">
        <f>IF(AND(H16=1,H18=0),1,MAX(H16:H18))</f>
        <v>1</v>
      </c>
      <c r="I21" s="16"/>
      <c r="J21" s="15"/>
      <c r="K21" s="20" t="s">
        <v>13</v>
      </c>
      <c r="L21" s="20" t="s">
        <v>18</v>
      </c>
      <c r="M21" s="20" t="s">
        <v>3</v>
      </c>
      <c r="N21" s="20" t="s">
        <v>8</v>
      </c>
      <c r="O21" s="11"/>
      <c r="Q21" s="519" t="s">
        <v>109</v>
      </c>
      <c r="R21" s="519"/>
      <c r="S21" s="48"/>
      <c r="T21" s="48"/>
      <c r="V21" s="15"/>
    </row>
    <row r="22" spans="1:24" x14ac:dyDescent="0.3">
      <c r="A22" s="47" t="s">
        <v>101</v>
      </c>
      <c r="B22" s="87">
        <f>IF('Input sheet'!$B$21="Yes",'Phase designation'!K23,'Phase designation'!K22)</f>
        <v>2</v>
      </c>
      <c r="C22" s="87"/>
      <c r="D22" s="87">
        <f>IF('Input sheet'!$B$21="Yes",'Phase designation'!L23,'Phase designation'!L22)</f>
        <v>2</v>
      </c>
      <c r="E22" s="87"/>
      <c r="F22" s="87">
        <f>IF('Input sheet'!$B$21="Yes",'Phase designation'!M23,'Phase designation'!M22)</f>
        <v>1</v>
      </c>
      <c r="G22" s="87"/>
      <c r="H22" s="87">
        <f>IF('Input sheet'!$B$21="Yes",'Phase designation'!N23,'Phase designation'!N22)</f>
        <v>1</v>
      </c>
      <c r="I22" s="16"/>
      <c r="J22" s="15" t="s">
        <v>307</v>
      </c>
      <c r="K22" s="20">
        <f>IF(B19=0,B21,B19)</f>
        <v>2</v>
      </c>
      <c r="L22" s="20">
        <f>IF(D19=0,D21,D19)</f>
        <v>2</v>
      </c>
      <c r="M22" s="20">
        <f>IF(F19=0,F21,F19)</f>
        <v>1</v>
      </c>
      <c r="N22" s="20">
        <f>IF(H19=0,H21,H19)</f>
        <v>1</v>
      </c>
      <c r="O22" s="11"/>
      <c r="P22" t="s">
        <v>105</v>
      </c>
      <c r="Q22" s="50">
        <v>2</v>
      </c>
      <c r="R22" s="49">
        <v>4</v>
      </c>
      <c r="S22" s="6"/>
      <c r="T22" s="6"/>
      <c r="V22" s="15"/>
    </row>
    <row r="23" spans="1:24" s="42" customFormat="1" x14ac:dyDescent="0.3">
      <c r="A23" s="286"/>
      <c r="B23" s="286" t="str">
        <f>LOOKUP(B22,$N$11:$N$14,$O$11:$O$14)</f>
        <v>Permitted</v>
      </c>
      <c r="C23" s="286"/>
      <c r="D23" s="286" t="str">
        <f>LOOKUP(D22,$N$11:$N$14,$O$11:$O$14)</f>
        <v>Permitted</v>
      </c>
      <c r="E23" s="286"/>
      <c r="F23" s="286" t="str">
        <f>LOOKUP(F22,$N$11:$N$14,$O$11:$O$14)</f>
        <v>Protected</v>
      </c>
      <c r="G23" s="286"/>
      <c r="H23" s="286" t="str">
        <f>LOOKUP(H22,$N$11:$N$14,$O$11:$O$14)</f>
        <v>Protected</v>
      </c>
      <c r="I23" s="21"/>
      <c r="J23" s="22" t="s">
        <v>308</v>
      </c>
      <c r="K23" s="19">
        <f>IF('Input sheet'!F10=0,K22,'Input sheet'!F10)</f>
        <v>2</v>
      </c>
      <c r="L23" s="19">
        <f>IF('Input sheet'!M20=0,L22,'Input sheet'!M20)</f>
        <v>2</v>
      </c>
      <c r="M23" s="19">
        <f>IF('Input sheet'!F25=0,M22,'Input sheet'!F25)</f>
        <v>1</v>
      </c>
      <c r="N23" s="19">
        <f>IF('Input sheet'!L9=0,N22,'Input sheet'!L9)</f>
        <v>1</v>
      </c>
      <c r="O23" s="26"/>
      <c r="P23" s="47" t="s">
        <v>106</v>
      </c>
      <c r="Q23" s="51">
        <v>6</v>
      </c>
      <c r="R23" s="45">
        <v>8</v>
      </c>
      <c r="S23" s="45"/>
      <c r="T23" s="45"/>
      <c r="V23" s="15"/>
    </row>
    <row r="24" spans="1:24" s="42" customFormat="1" x14ac:dyDescent="0.3">
      <c r="B24" s="41"/>
      <c r="C24" s="21"/>
      <c r="D24" s="21"/>
      <c r="E24" s="105"/>
      <c r="F24" s="21"/>
      <c r="G24" s="21"/>
      <c r="H24" s="21"/>
      <c r="I24" s="21"/>
      <c r="J24" s="22"/>
      <c r="K24" s="22"/>
      <c r="L24" s="18"/>
      <c r="M24" s="68"/>
      <c r="N24" s="19"/>
      <c r="O24" s="13"/>
      <c r="V24" s="15"/>
    </row>
    <row r="25" spans="1:24" x14ac:dyDescent="0.3">
      <c r="B25" s="81"/>
      <c r="C25" s="81"/>
      <c r="D25" s="81"/>
      <c r="E25" s="81"/>
      <c r="F25" s="81"/>
      <c r="G25" s="81"/>
      <c r="H25" s="81"/>
      <c r="I25" s="81"/>
      <c r="L25" s="18"/>
      <c r="M25" s="68"/>
      <c r="N25" s="20"/>
      <c r="O25" s="14"/>
      <c r="Q25" s="519" t="s">
        <v>111</v>
      </c>
      <c r="R25" s="519"/>
      <c r="S25" s="519"/>
      <c r="V25" s="22"/>
    </row>
    <row r="26" spans="1:24" x14ac:dyDescent="0.3">
      <c r="A26" s="287" t="s">
        <v>73</v>
      </c>
      <c r="B26" s="258" t="s">
        <v>13</v>
      </c>
      <c r="C26" s="258" t="s">
        <v>14</v>
      </c>
      <c r="D26" s="258" t="s">
        <v>18</v>
      </c>
      <c r="E26" s="258" t="s">
        <v>19</v>
      </c>
      <c r="F26" s="258" t="s">
        <v>3</v>
      </c>
      <c r="G26" s="258" t="s">
        <v>4</v>
      </c>
      <c r="H26" s="258" t="s">
        <v>8</v>
      </c>
      <c r="I26" s="258" t="s">
        <v>9</v>
      </c>
      <c r="L26" s="18"/>
      <c r="M26" s="68"/>
      <c r="N26" s="20"/>
      <c r="O26" s="13"/>
      <c r="P26" t="s">
        <v>105</v>
      </c>
      <c r="Q26" s="50">
        <v>2</v>
      </c>
      <c r="R26" s="52">
        <v>4</v>
      </c>
      <c r="U26" t="s">
        <v>105</v>
      </c>
      <c r="V26" s="54" t="str">
        <f>IF(AND(D22&lt;&gt;4,F22=4),Q26,"")</f>
        <v/>
      </c>
      <c r="W26" s="52" t="str">
        <f>IF(AND(D22&lt;&gt;4,F22=4),R26,"")</f>
        <v/>
      </c>
      <c r="X26" s="6"/>
    </row>
    <row r="27" spans="1:24" x14ac:dyDescent="0.3">
      <c r="A27" s="43" t="s">
        <v>102</v>
      </c>
      <c r="B27" s="158">
        <f>IF(OR(B22=1,B22=3),B5,0)</f>
        <v>0</v>
      </c>
      <c r="C27" s="158">
        <f>IF(AND(C5=0,$I$9=1),C4,C5)</f>
        <v>2</v>
      </c>
      <c r="D27" s="158">
        <f>IF(OR(D22=1,D22=3),D5,0)</f>
        <v>0</v>
      </c>
      <c r="E27" s="376">
        <f>IF(AND(E5=0,$I$9=1),E4,E5)</f>
        <v>6</v>
      </c>
      <c r="F27" s="158">
        <f>IF(OR(F22=1,F22=3),F5,0)</f>
        <v>3</v>
      </c>
      <c r="G27" s="376">
        <f>IF(AND(G5=0,$I$9=1),G4,G5)</f>
        <v>8</v>
      </c>
      <c r="H27" s="158">
        <f>IF(OR(H22=1,H22=3),H5,0)</f>
        <v>7</v>
      </c>
      <c r="I27" s="376">
        <f>IF(AND(I5=0,$I$9=1),I4,I5)</f>
        <v>4</v>
      </c>
      <c r="L27" s="18"/>
      <c r="M27" s="68"/>
      <c r="N27" s="20"/>
      <c r="O27" s="13"/>
      <c r="P27" s="47" t="s">
        <v>106</v>
      </c>
      <c r="Q27" s="51">
        <v>6</v>
      </c>
      <c r="R27" s="53"/>
      <c r="S27" s="6">
        <v>8</v>
      </c>
      <c r="U27" s="47" t="s">
        <v>106</v>
      </c>
      <c r="V27" s="54" t="str">
        <f>IF(AND(D22&lt;&gt;4,F22=4),Q27,"")</f>
        <v/>
      </c>
      <c r="W27" s="52"/>
      <c r="X27" s="6" t="str">
        <f>IF(AND(D22&lt;&gt;4,F22=4),S27,"")</f>
        <v/>
      </c>
    </row>
    <row r="28" spans="1:24" x14ac:dyDescent="0.3">
      <c r="A28" s="287" t="s">
        <v>103</v>
      </c>
      <c r="B28" s="258">
        <f>IF(OR(B22=2,B22=3,B22=4),C27,0)</f>
        <v>2</v>
      </c>
      <c r="C28" s="258"/>
      <c r="D28" s="258">
        <f>IF(OR(D22=2,D22=3,D22=4),E27,0)</f>
        <v>6</v>
      </c>
      <c r="E28" s="258"/>
      <c r="F28" s="258">
        <f>IF(OR(F22=2,F22=3,F22=4),G27,0)</f>
        <v>0</v>
      </c>
      <c r="G28" s="258"/>
      <c r="H28" s="258">
        <f>IF(OR(H22=2,H22=3,H22=4),I27,0)</f>
        <v>0</v>
      </c>
      <c r="I28" s="258"/>
      <c r="L28" s="22"/>
      <c r="M28" s="22"/>
      <c r="N28" s="20"/>
      <c r="O28" s="23"/>
      <c r="V28" s="10"/>
    </row>
    <row r="29" spans="1:24" x14ac:dyDescent="0.3">
      <c r="L29" s="19"/>
      <c r="M29" s="19"/>
      <c r="N29" s="20"/>
      <c r="O29" s="14"/>
      <c r="P29" t="s">
        <v>105</v>
      </c>
      <c r="Q29" s="50">
        <v>2</v>
      </c>
      <c r="R29" s="52"/>
      <c r="S29" s="6">
        <v>4</v>
      </c>
      <c r="U29" t="s">
        <v>105</v>
      </c>
      <c r="V29" s="50" t="str">
        <f>IF(AND(D22=4,F22&lt;&gt;4),Q29,"")</f>
        <v/>
      </c>
      <c r="W29" s="52"/>
      <c r="X29" s="6" t="str">
        <f>IF(AND(D22=4,F22&lt;&gt;4),S29,"")</f>
        <v/>
      </c>
    </row>
    <row r="30" spans="1:24" x14ac:dyDescent="0.3">
      <c r="D30" s="8">
        <f>I27</f>
        <v>4</v>
      </c>
      <c r="E30" s="8" t="str">
        <f>H27&amp;"  "&amp;H28</f>
        <v>7  0</v>
      </c>
      <c r="L30" s="16"/>
      <c r="M30" s="16"/>
      <c r="N30" s="25"/>
      <c r="O30" s="11"/>
      <c r="P30" s="47" t="s">
        <v>106</v>
      </c>
      <c r="Q30" s="51"/>
      <c r="R30" s="53">
        <v>6</v>
      </c>
      <c r="S30" s="6">
        <v>8</v>
      </c>
      <c r="U30" s="47" t="s">
        <v>106</v>
      </c>
      <c r="V30" s="51"/>
      <c r="W30" s="53" t="str">
        <f>IF(AND(D22=4,F22&lt;&gt;4),R30,"")</f>
        <v/>
      </c>
      <c r="X30" s="6" t="str">
        <f>IF(AND(D22=4,F22&lt;&gt;4),S30,"")</f>
        <v/>
      </c>
    </row>
    <row r="31" spans="1:24" x14ac:dyDescent="0.3">
      <c r="L31" s="28"/>
      <c r="M31" s="28"/>
      <c r="N31" s="29"/>
      <c r="O31" s="11"/>
    </row>
    <row r="32" spans="1:24" x14ac:dyDescent="0.3">
      <c r="H32" s="17" t="s">
        <v>76</v>
      </c>
      <c r="L32" s="10"/>
      <c r="M32" s="10"/>
      <c r="N32" s="10"/>
      <c r="O32" s="11"/>
      <c r="P32" t="s">
        <v>105</v>
      </c>
      <c r="Q32" s="50">
        <v>2</v>
      </c>
      <c r="R32" s="52"/>
      <c r="S32" s="52">
        <v>4</v>
      </c>
      <c r="U32" t="s">
        <v>105</v>
      </c>
      <c r="V32" s="50" t="str">
        <f>IF(AND(D22=4,F22=4),Q32,"")</f>
        <v/>
      </c>
      <c r="W32" s="52"/>
      <c r="X32" s="52" t="str">
        <f>IF(AND(D22=4,F22=4),S32,"")</f>
        <v/>
      </c>
    </row>
    <row r="33" spans="2:33" x14ac:dyDescent="0.3">
      <c r="J33" s="16"/>
      <c r="K33" s="16"/>
      <c r="L33" s="84"/>
      <c r="M33" s="84"/>
      <c r="N33" s="84"/>
      <c r="O33" s="84"/>
      <c r="P33" s="47" t="s">
        <v>106</v>
      </c>
      <c r="Q33" s="51"/>
      <c r="R33" s="53">
        <v>6</v>
      </c>
      <c r="S33" s="52"/>
      <c r="T33" s="6">
        <v>8</v>
      </c>
      <c r="U33" s="47" t="s">
        <v>106</v>
      </c>
      <c r="V33" s="51"/>
      <c r="W33" s="53" t="str">
        <f>IF(AND(D22=4,F22=4),R33,"")</f>
        <v/>
      </c>
      <c r="X33" s="52"/>
      <c r="Y33" s="6" t="str">
        <f>IF(AND(D22=4,F22=4),T33,"")</f>
        <v/>
      </c>
    </row>
    <row r="34" spans="2:33" x14ac:dyDescent="0.3">
      <c r="J34" s="55"/>
      <c r="K34" s="528" t="s">
        <v>113</v>
      </c>
      <c r="L34" s="528"/>
      <c r="M34" s="528"/>
      <c r="N34" s="528"/>
      <c r="O34" s="82"/>
    </row>
    <row r="35" spans="2:33" x14ac:dyDescent="0.3">
      <c r="B35" s="44" t="str">
        <f>B27&amp;"  "&amp;B28</f>
        <v>0  2</v>
      </c>
      <c r="G35" s="9">
        <f>E27</f>
        <v>6</v>
      </c>
      <c r="J35" s="56"/>
      <c r="K35" s="57" t="str">
        <f>IF($U$41=0,"b","")</f>
        <v/>
      </c>
      <c r="L35" s="57" t="str">
        <f>IF(OR($U$41=0,$U$41=1),"b","")</f>
        <v>b</v>
      </c>
      <c r="M35" s="57" t="str">
        <f>IF($U$41=0,"b","")</f>
        <v/>
      </c>
      <c r="N35" s="58"/>
      <c r="O35" s="77"/>
      <c r="P35" s="42"/>
      <c r="Q35" s="42"/>
    </row>
    <row r="36" spans="2:33" x14ac:dyDescent="0.3">
      <c r="C36" s="11"/>
      <c r="D36" s="11"/>
      <c r="E36" s="11"/>
      <c r="F36" s="11"/>
      <c r="G36" s="24"/>
      <c r="H36" s="10"/>
      <c r="J36" s="59" t="s">
        <v>105</v>
      </c>
      <c r="K36" s="60">
        <f t="shared" ref="K36:N37" si="1">IF($U$41=1,Q41,Q45)</f>
        <v>0</v>
      </c>
      <c r="L36" s="60">
        <f t="shared" si="1"/>
        <v>2</v>
      </c>
      <c r="M36" s="60">
        <f t="shared" si="1"/>
        <v>3</v>
      </c>
      <c r="N36" s="60">
        <f t="shared" si="1"/>
        <v>4</v>
      </c>
      <c r="O36" s="77"/>
      <c r="P36" s="42"/>
      <c r="Q36" s="42"/>
      <c r="U36" t="s">
        <v>105</v>
      </c>
      <c r="V36" s="50">
        <f t="shared" ref="V36:Y37" si="2">MAX(V26,V29,V32)</f>
        <v>0</v>
      </c>
      <c r="W36" s="50">
        <f t="shared" si="2"/>
        <v>0</v>
      </c>
      <c r="X36" s="50">
        <f t="shared" si="2"/>
        <v>0</v>
      </c>
      <c r="Y36" s="50">
        <f t="shared" si="2"/>
        <v>0</v>
      </c>
    </row>
    <row r="37" spans="2:33" x14ac:dyDescent="0.3">
      <c r="B37" s="7">
        <f>C27</f>
        <v>2</v>
      </c>
      <c r="C37" s="26"/>
      <c r="D37" s="11"/>
      <c r="E37" s="11"/>
      <c r="F37" s="11"/>
      <c r="G37" s="27" t="str">
        <f>D27&amp;"  "&amp;D28</f>
        <v>0  6</v>
      </c>
      <c r="H37" s="10"/>
      <c r="J37" s="61" t="s">
        <v>106</v>
      </c>
      <c r="K37" s="60">
        <f t="shared" si="1"/>
        <v>0</v>
      </c>
      <c r="L37" s="60">
        <f t="shared" si="1"/>
        <v>6</v>
      </c>
      <c r="M37" s="60">
        <f t="shared" si="1"/>
        <v>7</v>
      </c>
      <c r="N37" s="60">
        <f t="shared" si="1"/>
        <v>8</v>
      </c>
      <c r="O37" s="81"/>
      <c r="P37" s="42"/>
      <c r="Q37" s="42"/>
      <c r="U37" s="47" t="s">
        <v>106</v>
      </c>
      <c r="V37" s="50">
        <f t="shared" si="2"/>
        <v>0</v>
      </c>
      <c r="W37" s="50">
        <f t="shared" si="2"/>
        <v>0</v>
      </c>
      <c r="X37" s="50">
        <f t="shared" si="2"/>
        <v>0</v>
      </c>
      <c r="Y37" s="50">
        <f t="shared" si="2"/>
        <v>0</v>
      </c>
    </row>
    <row r="38" spans="2:33" x14ac:dyDescent="0.3">
      <c r="C38" s="30"/>
      <c r="D38" s="15"/>
      <c r="E38" s="15"/>
      <c r="F38" s="15"/>
      <c r="G38" s="26"/>
      <c r="H38" s="14"/>
      <c r="P38" s="42"/>
      <c r="Q38" s="42"/>
    </row>
    <row r="39" spans="2:33" x14ac:dyDescent="0.3">
      <c r="C39" s="31"/>
      <c r="D39" s="32"/>
      <c r="E39" s="32"/>
      <c r="F39" s="33"/>
      <c r="G39" s="15"/>
      <c r="H39" s="16"/>
      <c r="J39" s="55"/>
      <c r="K39" s="528" t="s">
        <v>114</v>
      </c>
      <c r="L39" s="528"/>
      <c r="M39" s="528"/>
      <c r="N39" s="528"/>
    </row>
    <row r="40" spans="2:33" x14ac:dyDescent="0.3">
      <c r="C40" s="34"/>
      <c r="D40" s="15"/>
      <c r="E40" s="15"/>
      <c r="F40" s="15"/>
      <c r="G40" s="18"/>
      <c r="H40" s="18"/>
      <c r="J40" s="56"/>
      <c r="K40" s="57" t="str">
        <f>K35</f>
        <v/>
      </c>
      <c r="L40" s="57" t="str">
        <f>L35</f>
        <v>b</v>
      </c>
      <c r="M40" s="57" t="str">
        <f>M35</f>
        <v/>
      </c>
      <c r="N40" s="57"/>
      <c r="P40" s="15"/>
      <c r="Q40" s="531" t="s">
        <v>110</v>
      </c>
      <c r="R40" s="531"/>
      <c r="S40" s="531"/>
      <c r="T40" s="531"/>
      <c r="W40" s="15"/>
      <c r="X40" s="531" t="s">
        <v>115</v>
      </c>
      <c r="Y40" s="531"/>
      <c r="Z40" s="531"/>
      <c r="AA40" s="531"/>
      <c r="AC40" s="15"/>
      <c r="AD40" s="531" t="s">
        <v>75</v>
      </c>
      <c r="AE40" s="531"/>
      <c r="AF40" s="531"/>
      <c r="AG40" s="531"/>
    </row>
    <row r="41" spans="2:33" x14ac:dyDescent="0.3">
      <c r="C41" s="35"/>
      <c r="D41" s="15"/>
      <c r="E41" s="15" t="s">
        <v>77</v>
      </c>
      <c r="F41" s="15"/>
      <c r="G41" s="15"/>
      <c r="H41" s="15"/>
      <c r="J41" s="59" t="s">
        <v>105</v>
      </c>
      <c r="K41" s="60" t="str">
        <f t="shared" ref="K41:N42" si="3">IF(K36&lt;&gt;0,Q55,"")</f>
        <v/>
      </c>
      <c r="L41" s="60" t="str">
        <f t="shared" si="3"/>
        <v>EBT</v>
      </c>
      <c r="M41" s="60" t="str">
        <f t="shared" si="3"/>
        <v>NBL</v>
      </c>
      <c r="N41" s="60" t="str">
        <f t="shared" si="3"/>
        <v>SBT</v>
      </c>
      <c r="P41" t="s">
        <v>105</v>
      </c>
      <c r="Q41" s="49">
        <f>MAX(X41,AD41)</f>
        <v>0</v>
      </c>
      <c r="R41" s="49">
        <f t="shared" ref="R41:T42" si="4">MAX(Y41,AE41)</f>
        <v>2</v>
      </c>
      <c r="S41" s="49">
        <f t="shared" si="4"/>
        <v>3</v>
      </c>
      <c r="T41" s="49">
        <f t="shared" si="4"/>
        <v>4</v>
      </c>
      <c r="U41" s="532">
        <f>IF(V36=0,1,0)</f>
        <v>1</v>
      </c>
      <c r="W41" t="s">
        <v>105</v>
      </c>
      <c r="X41" s="49">
        <f>IF(AND($X$40=$J$2,D27=1),1,0)</f>
        <v>0</v>
      </c>
      <c r="Y41" s="50">
        <f>IF(AND($X$40=$J$2,C27=2),2,0)</f>
        <v>2</v>
      </c>
      <c r="Z41" s="6">
        <f>IF(AND($X$40=$J$2,F27=3),3,0)</f>
        <v>3</v>
      </c>
      <c r="AA41" s="50">
        <f>IF(AND($X$40=$J$2,I27=4),4,0)</f>
        <v>4</v>
      </c>
      <c r="AC41" t="s">
        <v>105</v>
      </c>
      <c r="AD41" s="49">
        <f>IF(AND($AD$40=$J$2,H27=1),1,0)</f>
        <v>0</v>
      </c>
      <c r="AE41" s="50">
        <f>IF(AND($AD$40=$J$2,G27=2),2,0)</f>
        <v>0</v>
      </c>
      <c r="AF41" s="6">
        <f>IF(AND($AD$40=$J$2,D27=3),3,0)</f>
        <v>0</v>
      </c>
      <c r="AG41" s="50">
        <f>IF(AND($AD$40=$J$2,C27=4),4,0)</f>
        <v>0</v>
      </c>
    </row>
    <row r="42" spans="2:33" x14ac:dyDescent="0.3">
      <c r="C42" s="23"/>
      <c r="D42" s="36" t="str">
        <f>F27&amp;"  "&amp;F28</f>
        <v>3  0</v>
      </c>
      <c r="E42" s="37">
        <f>G27</f>
        <v>8</v>
      </c>
      <c r="F42" s="15"/>
      <c r="G42" s="15"/>
      <c r="H42" s="15"/>
      <c r="J42" s="61" t="s">
        <v>106</v>
      </c>
      <c r="K42" s="60" t="str">
        <f t="shared" si="3"/>
        <v/>
      </c>
      <c r="L42" s="60" t="str">
        <f t="shared" si="3"/>
        <v>WBT</v>
      </c>
      <c r="M42" s="60" t="str">
        <f t="shared" si="3"/>
        <v>SBL</v>
      </c>
      <c r="N42" s="60" t="str">
        <f t="shared" si="3"/>
        <v>NBT</v>
      </c>
      <c r="P42" s="47" t="s">
        <v>106</v>
      </c>
      <c r="Q42" s="49">
        <f>MAX(X42,AD42)</f>
        <v>0</v>
      </c>
      <c r="R42" s="49">
        <f t="shared" si="4"/>
        <v>6</v>
      </c>
      <c r="S42" s="49">
        <f t="shared" si="4"/>
        <v>7</v>
      </c>
      <c r="T42" s="49">
        <f t="shared" si="4"/>
        <v>8</v>
      </c>
      <c r="U42" s="532"/>
      <c r="W42" s="47" t="s">
        <v>106</v>
      </c>
      <c r="X42" s="45">
        <f>IF(AND($X$40=$J$2,B27=5),5,0)</f>
        <v>0</v>
      </c>
      <c r="Y42" s="51">
        <f>IF(AND($X$40=$J$2,E27=6),6,0)</f>
        <v>6</v>
      </c>
      <c r="Z42" s="45">
        <f>IF(AND($X$40=$J$2,H27=7),7,0)</f>
        <v>7</v>
      </c>
      <c r="AA42" s="51">
        <f>IF(AND($X$40=$J$2,G27=8),8,0)</f>
        <v>8</v>
      </c>
      <c r="AC42" s="47" t="s">
        <v>106</v>
      </c>
      <c r="AD42" s="45">
        <f>IF(AND($AD$40=$J$2,F27=5),5,0)</f>
        <v>0</v>
      </c>
      <c r="AE42" s="51">
        <f>IF(AND($AD$40=$J$2,I27=6),6,0)</f>
        <v>0</v>
      </c>
      <c r="AF42" s="45">
        <f>IF(AND($AD$40=$J$2,B27=7),7,0)</f>
        <v>0</v>
      </c>
      <c r="AG42" s="51">
        <f>IF(AND($AD$40=$J$2,E27=8),8,0)</f>
        <v>0</v>
      </c>
    </row>
    <row r="43" spans="2:33" x14ac:dyDescent="0.3">
      <c r="P43"/>
      <c r="Q43" s="42"/>
      <c r="R43" s="42"/>
      <c r="S43" s="42"/>
      <c r="T43" s="42"/>
      <c r="U43" s="6"/>
    </row>
    <row r="44" spans="2:33" hidden="1" x14ac:dyDescent="0.3">
      <c r="P44" s="47"/>
      <c r="Q44" s="531" t="s">
        <v>112</v>
      </c>
      <c r="R44" s="531"/>
      <c r="S44" s="531"/>
      <c r="T44" s="531"/>
      <c r="U44" s="6"/>
    </row>
    <row r="45" spans="2:33" hidden="1" x14ac:dyDescent="0.3">
      <c r="P45" t="s">
        <v>105</v>
      </c>
      <c r="Q45" s="50">
        <f t="shared" ref="Q45:T46" si="5">IF(V36&lt;&gt;0,V36,0)</f>
        <v>0</v>
      </c>
      <c r="R45" s="50">
        <f t="shared" si="5"/>
        <v>0</v>
      </c>
      <c r="S45" s="50">
        <f t="shared" si="5"/>
        <v>0</v>
      </c>
      <c r="T45" s="50">
        <f t="shared" si="5"/>
        <v>0</v>
      </c>
      <c r="U45" s="533">
        <f>IF(V36=0,0,1)</f>
        <v>0</v>
      </c>
    </row>
    <row r="46" spans="2:33" hidden="1" x14ac:dyDescent="0.3">
      <c r="P46" s="47" t="s">
        <v>106</v>
      </c>
      <c r="Q46" s="50">
        <f t="shared" si="5"/>
        <v>0</v>
      </c>
      <c r="R46" s="50">
        <f t="shared" si="5"/>
        <v>0</v>
      </c>
      <c r="S46" s="50">
        <f t="shared" si="5"/>
        <v>0</v>
      </c>
      <c r="T46" s="50">
        <f t="shared" si="5"/>
        <v>0</v>
      </c>
      <c r="U46" s="533"/>
    </row>
    <row r="47" spans="2:33" x14ac:dyDescent="0.3">
      <c r="B47" s="55"/>
      <c r="C47" s="528" t="s">
        <v>113</v>
      </c>
      <c r="D47" s="528"/>
      <c r="E47" s="528"/>
      <c r="F47" s="528"/>
      <c r="J47" s="55"/>
      <c r="K47" s="528" t="s">
        <v>441</v>
      </c>
      <c r="L47" s="528"/>
      <c r="M47" s="528"/>
      <c r="N47" s="528"/>
    </row>
    <row r="48" spans="2:33" x14ac:dyDescent="0.3">
      <c r="B48" s="56"/>
      <c r="C48" s="57" t="str">
        <f t="shared" ref="C48:F50" si="6">K35</f>
        <v/>
      </c>
      <c r="D48" s="57" t="str">
        <f t="shared" si="6"/>
        <v>b</v>
      </c>
      <c r="E48" s="57" t="str">
        <f t="shared" si="6"/>
        <v/>
      </c>
      <c r="F48" s="57">
        <f t="shared" si="6"/>
        <v>0</v>
      </c>
      <c r="J48" s="56"/>
      <c r="K48" s="57" t="str">
        <f>IF($U$41=0,"b","")</f>
        <v/>
      </c>
      <c r="L48" s="57" t="str">
        <f>IF(OR($U$41=0,$U$41=1),"b","")</f>
        <v>b</v>
      </c>
      <c r="M48" s="57" t="str">
        <f>IF($U$41=0,"b","")</f>
        <v/>
      </c>
      <c r="N48" s="58"/>
      <c r="P48" s="25"/>
      <c r="Q48" s="25"/>
      <c r="R48" s="25"/>
      <c r="S48" s="25"/>
      <c r="T48" s="25"/>
      <c r="U48" s="25"/>
      <c r="V48" s="25"/>
      <c r="W48" s="25"/>
    </row>
    <row r="49" spans="2:23" x14ac:dyDescent="0.3">
      <c r="B49" s="95" t="s">
        <v>105</v>
      </c>
      <c r="C49" s="57">
        <f t="shared" si="6"/>
        <v>0</v>
      </c>
      <c r="D49" s="57">
        <f t="shared" si="6"/>
        <v>2</v>
      </c>
      <c r="E49" s="57">
        <f t="shared" si="6"/>
        <v>3</v>
      </c>
      <c r="F49" s="57">
        <f t="shared" si="6"/>
        <v>4</v>
      </c>
      <c r="J49" s="59" t="s">
        <v>105</v>
      </c>
      <c r="K49" s="60">
        <f>Phasing!D46</f>
        <v>0</v>
      </c>
      <c r="L49" s="60">
        <f>Phasing!E46</f>
        <v>0</v>
      </c>
      <c r="M49" s="60">
        <f>Phasing!F46</f>
        <v>59</v>
      </c>
      <c r="N49" s="60">
        <f>Phasing!G46</f>
        <v>74</v>
      </c>
      <c r="P49" s="6">
        <f>B27</f>
        <v>0</v>
      </c>
      <c r="Q49" s="6">
        <f t="shared" ref="Q49:W49" si="7">C27</f>
        <v>2</v>
      </c>
      <c r="R49" s="6">
        <f t="shared" si="7"/>
        <v>0</v>
      </c>
      <c r="S49" s="6">
        <f t="shared" si="7"/>
        <v>6</v>
      </c>
      <c r="T49" s="6">
        <f t="shared" si="7"/>
        <v>3</v>
      </c>
      <c r="U49" s="6">
        <f t="shared" si="7"/>
        <v>8</v>
      </c>
      <c r="V49" s="6">
        <f t="shared" si="7"/>
        <v>7</v>
      </c>
      <c r="W49" s="6">
        <f t="shared" si="7"/>
        <v>4</v>
      </c>
    </row>
    <row r="50" spans="2:23" x14ac:dyDescent="0.3">
      <c r="B50" s="184" t="s">
        <v>106</v>
      </c>
      <c r="C50" s="57">
        <f t="shared" si="6"/>
        <v>0</v>
      </c>
      <c r="D50" s="57">
        <f t="shared" si="6"/>
        <v>6</v>
      </c>
      <c r="E50" s="57">
        <f t="shared" si="6"/>
        <v>7</v>
      </c>
      <c r="F50" s="57">
        <f t="shared" si="6"/>
        <v>8</v>
      </c>
      <c r="J50" s="61" t="s">
        <v>106</v>
      </c>
      <c r="K50" s="60">
        <f>Phasing!H46</f>
        <v>0</v>
      </c>
      <c r="L50" s="60">
        <f>Phasing!I46</f>
        <v>0</v>
      </c>
      <c r="M50" s="60">
        <f>Phasing!J46</f>
        <v>59</v>
      </c>
      <c r="N50" s="60">
        <f>Phasing!K46</f>
        <v>71</v>
      </c>
      <c r="P50" s="6">
        <f t="shared" ref="P50:W50" si="8">IF(P49&gt;0,B26,0)</f>
        <v>0</v>
      </c>
      <c r="Q50" s="6" t="str">
        <f t="shared" si="8"/>
        <v>EBT</v>
      </c>
      <c r="R50" s="6">
        <f t="shared" si="8"/>
        <v>0</v>
      </c>
      <c r="S50" s="6" t="str">
        <f t="shared" si="8"/>
        <v>WBT</v>
      </c>
      <c r="T50" s="6" t="str">
        <f t="shared" si="8"/>
        <v>NBL</v>
      </c>
      <c r="U50" s="6" t="str">
        <f t="shared" si="8"/>
        <v>NBT</v>
      </c>
      <c r="V50" s="6" t="str">
        <f t="shared" si="8"/>
        <v>SBL</v>
      </c>
      <c r="W50" s="6" t="str">
        <f t="shared" si="8"/>
        <v>SBT</v>
      </c>
    </row>
    <row r="51" spans="2:23" x14ac:dyDescent="0.3">
      <c r="Q51" s="45"/>
      <c r="R51" s="45"/>
      <c r="S51" s="45"/>
      <c r="T51" s="45"/>
    </row>
    <row r="52" spans="2:23" x14ac:dyDescent="0.3">
      <c r="J52" s="55"/>
      <c r="K52" s="528" t="s">
        <v>442</v>
      </c>
      <c r="L52" s="528"/>
      <c r="M52" s="528"/>
      <c r="N52" s="528"/>
      <c r="P52" s="62" t="s">
        <v>105</v>
      </c>
      <c r="Q52" s="70">
        <f t="shared" ref="Q52:T53" si="9">MATCH(K36,$P$49:$W$49,0)</f>
        <v>1</v>
      </c>
      <c r="R52" s="70">
        <f t="shared" si="9"/>
        <v>2</v>
      </c>
      <c r="S52" s="70">
        <f t="shared" si="9"/>
        <v>5</v>
      </c>
      <c r="T52" s="70">
        <f t="shared" si="9"/>
        <v>8</v>
      </c>
    </row>
    <row r="53" spans="2:23" x14ac:dyDescent="0.3">
      <c r="J53" s="56"/>
      <c r="K53" s="57" t="str">
        <f>IF($U$41=0,"b","")</f>
        <v/>
      </c>
      <c r="L53" s="57" t="str">
        <f>IF(OR($U$41=0,$U$41=1),"b","")</f>
        <v>b</v>
      </c>
      <c r="M53" s="57" t="str">
        <f>IF($U$41=0,"b","")</f>
        <v/>
      </c>
      <c r="N53" s="58"/>
      <c r="P53" s="47" t="s">
        <v>106</v>
      </c>
      <c r="Q53" s="70">
        <f t="shared" si="9"/>
        <v>1</v>
      </c>
      <c r="R53" s="70">
        <f t="shared" si="9"/>
        <v>4</v>
      </c>
      <c r="S53" s="70">
        <f t="shared" si="9"/>
        <v>7</v>
      </c>
      <c r="T53" s="70">
        <f t="shared" si="9"/>
        <v>6</v>
      </c>
    </row>
    <row r="54" spans="2:23" x14ac:dyDescent="0.3">
      <c r="J54" s="59" t="s">
        <v>105</v>
      </c>
      <c r="K54" s="60">
        <f>Phasing!D47</f>
        <v>0</v>
      </c>
      <c r="L54" s="60">
        <f>Phasing!E47</f>
        <v>59</v>
      </c>
      <c r="M54" s="60">
        <f>Phasing!F47</f>
        <v>74</v>
      </c>
      <c r="N54" s="60">
        <f>Phasing!G47</f>
        <v>120</v>
      </c>
      <c r="Q54" s="70"/>
      <c r="R54" s="70"/>
      <c r="S54" s="70"/>
      <c r="T54" s="70"/>
    </row>
    <row r="55" spans="2:23" x14ac:dyDescent="0.3">
      <c r="J55" s="61" t="s">
        <v>106</v>
      </c>
      <c r="K55" s="60">
        <f>Phasing!H47</f>
        <v>0</v>
      </c>
      <c r="L55" s="60">
        <f>Phasing!I47</f>
        <v>59</v>
      </c>
      <c r="M55" s="60">
        <f>Phasing!J47</f>
        <v>71</v>
      </c>
      <c r="N55" s="60">
        <f>Phasing!K47</f>
        <v>120</v>
      </c>
      <c r="P55" s="62" t="s">
        <v>105</v>
      </c>
      <c r="Q55" s="70">
        <f>IF(Q52&gt;0,INDEX($P$49:$W$50,2,Q52),0)</f>
        <v>0</v>
      </c>
      <c r="R55" s="70" t="str">
        <f>IF(R52&gt;0,INDEX($P$49:$W$50,2,R52),0)</f>
        <v>EBT</v>
      </c>
      <c r="S55" s="70" t="str">
        <f>IF(S52&gt;0,INDEX($P$49:$W$50,2,S52),0)</f>
        <v>NBL</v>
      </c>
      <c r="T55" s="70" t="str">
        <f t="shared" ref="R55:T56" si="10">INDEX($P$49:$W$50,2,T52)</f>
        <v>SBT</v>
      </c>
    </row>
    <row r="56" spans="2:23" x14ac:dyDescent="0.3">
      <c r="P56" s="47" t="s">
        <v>106</v>
      </c>
      <c r="Q56" s="70">
        <f>INDEX($P$49:$W$50,2,Q53)</f>
        <v>0</v>
      </c>
      <c r="R56" s="70" t="str">
        <f t="shared" si="10"/>
        <v>WBT</v>
      </c>
      <c r="S56" s="70" t="str">
        <f t="shared" si="10"/>
        <v>SBL</v>
      </c>
      <c r="T56" s="70" t="str">
        <f t="shared" si="10"/>
        <v>NBT</v>
      </c>
    </row>
    <row r="59" spans="2:23" x14ac:dyDescent="0.3">
      <c r="J59" s="519" t="s">
        <v>443</v>
      </c>
      <c r="K59" s="527"/>
      <c r="L59" s="519" t="s">
        <v>444</v>
      </c>
      <c r="M59" s="527"/>
      <c r="N59" s="519" t="s">
        <v>445</v>
      </c>
      <c r="O59" s="527"/>
      <c r="P59" s="519" t="s">
        <v>446</v>
      </c>
      <c r="Q59" s="527"/>
      <c r="R59" s="84"/>
      <c r="S59" s="84"/>
      <c r="T59" s="84"/>
      <c r="U59" s="84"/>
      <c r="V59" s="84"/>
      <c r="W59" s="84"/>
    </row>
    <row r="60" spans="2:23" x14ac:dyDescent="0.3">
      <c r="I60" t="s">
        <v>105</v>
      </c>
      <c r="J60" s="379">
        <f>K49</f>
        <v>0</v>
      </c>
      <c r="K60" s="379">
        <f>K54</f>
        <v>0</v>
      </c>
      <c r="L60" s="379">
        <f>L49</f>
        <v>0</v>
      </c>
      <c r="M60" s="379">
        <f>L54</f>
        <v>59</v>
      </c>
      <c r="N60" s="379">
        <f>M49</f>
        <v>59</v>
      </c>
      <c r="O60" s="379">
        <f>M54</f>
        <v>74</v>
      </c>
      <c r="P60" s="87">
        <f>N49</f>
        <v>74</v>
      </c>
      <c r="Q60" s="87">
        <f>N54</f>
        <v>120</v>
      </c>
      <c r="R60" s="82"/>
      <c r="S60" s="82"/>
      <c r="T60" s="82"/>
      <c r="U60" s="82"/>
      <c r="V60" s="82"/>
      <c r="W60" s="83"/>
    </row>
    <row r="61" spans="2:23" x14ac:dyDescent="0.3">
      <c r="I61" t="s">
        <v>106</v>
      </c>
      <c r="J61" s="379">
        <f>K50</f>
        <v>0</v>
      </c>
      <c r="K61" s="379">
        <f>K55</f>
        <v>0</v>
      </c>
      <c r="L61" s="379">
        <f>L50</f>
        <v>0</v>
      </c>
      <c r="M61" s="379">
        <f>L55</f>
        <v>59</v>
      </c>
      <c r="N61" s="379">
        <f>M50</f>
        <v>59</v>
      </c>
      <c r="O61" s="379">
        <f>M55</f>
        <v>71</v>
      </c>
      <c r="P61" s="87">
        <f>N50</f>
        <v>71</v>
      </c>
      <c r="Q61" s="87">
        <f>N55</f>
        <v>120</v>
      </c>
      <c r="R61" s="45"/>
      <c r="S61" s="45"/>
      <c r="T61" s="45"/>
      <c r="U61" s="45"/>
      <c r="V61" s="45"/>
      <c r="W61" s="45"/>
    </row>
    <row r="62" spans="2:23" x14ac:dyDescent="0.3">
      <c r="J62" s="519" t="s">
        <v>447</v>
      </c>
      <c r="K62" s="527"/>
      <c r="L62" s="519" t="s">
        <v>448</v>
      </c>
      <c r="M62" s="527"/>
      <c r="N62" s="519" t="s">
        <v>449</v>
      </c>
      <c r="O62" s="527"/>
      <c r="P62" s="519" t="s">
        <v>450</v>
      </c>
      <c r="Q62" s="527"/>
      <c r="R62" s="45"/>
      <c r="S62" s="45"/>
      <c r="T62" s="45"/>
      <c r="U62" s="45"/>
      <c r="V62" s="45"/>
      <c r="W62" s="45"/>
    </row>
    <row r="63" spans="2:23" x14ac:dyDescent="0.3">
      <c r="P63" s="81"/>
      <c r="Q63" s="81"/>
      <c r="R63" s="81"/>
      <c r="S63" s="81"/>
      <c r="T63" s="81"/>
      <c r="U63" s="81"/>
      <c r="V63" s="81"/>
      <c r="W63" s="81"/>
    </row>
    <row r="64" spans="2:23" x14ac:dyDescent="0.3">
      <c r="J64" t="s">
        <v>105</v>
      </c>
      <c r="K64" s="379">
        <v>0</v>
      </c>
      <c r="L64" s="379">
        <f>L60</f>
        <v>0</v>
      </c>
      <c r="M64" s="379">
        <f>N60</f>
        <v>59</v>
      </c>
      <c r="N64" s="379">
        <f>P60</f>
        <v>74</v>
      </c>
      <c r="O64" s="379">
        <f>Q60</f>
        <v>120</v>
      </c>
      <c r="P64" s="81"/>
      <c r="Q64" s="81"/>
      <c r="R64" s="81"/>
      <c r="S64" s="81"/>
      <c r="T64" s="81"/>
      <c r="U64" s="81"/>
      <c r="V64" s="81"/>
      <c r="W64" s="81"/>
    </row>
    <row r="65" spans="10:23" x14ac:dyDescent="0.3">
      <c r="J65" t="s">
        <v>106</v>
      </c>
      <c r="K65" s="379">
        <v>0</v>
      </c>
      <c r="L65" s="379">
        <f>L61</f>
        <v>0</v>
      </c>
      <c r="M65" s="379">
        <f>N61</f>
        <v>59</v>
      </c>
      <c r="N65" s="379">
        <f>P61</f>
        <v>71</v>
      </c>
      <c r="O65" s="379">
        <f>Q61</f>
        <v>120</v>
      </c>
      <c r="P65" s="16"/>
      <c r="Q65" s="16"/>
      <c r="R65" s="84"/>
      <c r="S65" s="84"/>
      <c r="T65" s="84"/>
      <c r="U65" s="84"/>
      <c r="V65" s="84"/>
      <c r="W65" s="84"/>
    </row>
    <row r="66" spans="10:23" x14ac:dyDescent="0.3">
      <c r="P66" s="81"/>
      <c r="Q66" s="81"/>
      <c r="R66" s="82"/>
      <c r="S66" s="82"/>
      <c r="T66" s="82"/>
      <c r="U66" s="82"/>
      <c r="V66" s="82"/>
      <c r="W66" s="83"/>
    </row>
    <row r="67" spans="10:23" x14ac:dyDescent="0.3">
      <c r="P67" s="62"/>
      <c r="Q67" s="77"/>
      <c r="R67" s="77"/>
      <c r="S67" s="77"/>
      <c r="T67" s="77"/>
      <c r="U67" s="77"/>
      <c r="V67" s="77"/>
      <c r="W67" s="77"/>
    </row>
    <row r="68" spans="10:23" x14ac:dyDescent="0.3">
      <c r="P68" s="47"/>
      <c r="Q68" s="77"/>
      <c r="R68" s="77"/>
      <c r="S68" s="77"/>
      <c r="T68" s="77"/>
      <c r="U68" s="77"/>
      <c r="V68" s="77"/>
      <c r="W68" s="77"/>
    </row>
  </sheetData>
  <mergeCells count="30">
    <mergeCell ref="X40:AA40"/>
    <mergeCell ref="I11:I15"/>
    <mergeCell ref="Q17:T17"/>
    <mergeCell ref="P16:T16"/>
    <mergeCell ref="AD40:AG40"/>
    <mergeCell ref="Q21:R21"/>
    <mergeCell ref="Q25:S25"/>
    <mergeCell ref="Q40:T40"/>
    <mergeCell ref="K34:N34"/>
    <mergeCell ref="K39:N39"/>
    <mergeCell ref="G9:H9"/>
    <mergeCell ref="C47:F47"/>
    <mergeCell ref="A1:C1"/>
    <mergeCell ref="Q44:T44"/>
    <mergeCell ref="U41:U42"/>
    <mergeCell ref="U45:U46"/>
    <mergeCell ref="N1:O1"/>
    <mergeCell ref="L1:M1"/>
    <mergeCell ref="Q13:U13"/>
    <mergeCell ref="K15:K18"/>
    <mergeCell ref="J62:K62"/>
    <mergeCell ref="L62:M62"/>
    <mergeCell ref="N62:O62"/>
    <mergeCell ref="P62:Q62"/>
    <mergeCell ref="K47:N47"/>
    <mergeCell ref="K52:N52"/>
    <mergeCell ref="J59:K59"/>
    <mergeCell ref="L59:M59"/>
    <mergeCell ref="N59:O59"/>
    <mergeCell ref="P59:Q59"/>
  </mergeCells>
  <conditionalFormatting sqref="O35:O36 K35:N37 C48:F50">
    <cfRule type="cellIs" dxfId="26" priority="9" stopIfTrue="1" operator="equal">
      <formula>0</formula>
    </cfRule>
  </conditionalFormatting>
  <conditionalFormatting sqref="K48:N50">
    <cfRule type="cellIs" dxfId="25" priority="2" stopIfTrue="1" operator="equal">
      <formula>0</formula>
    </cfRule>
  </conditionalFormatting>
  <conditionalFormatting sqref="K53:N55">
    <cfRule type="cellIs" dxfId="24"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64"/>
  <sheetViews>
    <sheetView zoomScale="60" zoomScaleNormal="60" workbookViewId="0">
      <selection activeCell="BQ38" sqref="BQ38"/>
    </sheetView>
  </sheetViews>
  <sheetFormatPr defaultRowHeight="14.4" x14ac:dyDescent="0.3"/>
  <cols>
    <col min="1" max="1" width="9.109375" customWidth="1"/>
    <col min="2" max="2" width="34.5546875" customWidth="1"/>
    <col min="3" max="5" width="16.6640625" customWidth="1"/>
    <col min="6" max="19" width="9.109375" hidden="1" customWidth="1"/>
    <col min="20" max="20" width="35" customWidth="1"/>
    <col min="21" max="23" width="16.6640625" customWidth="1"/>
    <col min="24" max="24" width="9.109375" customWidth="1"/>
    <col min="25" max="36" width="9.109375" hidden="1" customWidth="1"/>
    <col min="37" max="37" width="35" bestFit="1" customWidth="1"/>
    <col min="38" max="40" width="16.6640625" customWidth="1"/>
    <col min="42" max="53" width="0" hidden="1" customWidth="1"/>
    <col min="54" max="54" width="35" bestFit="1" customWidth="1"/>
    <col min="55" max="57" width="16.6640625" customWidth="1"/>
  </cols>
  <sheetData>
    <row r="1" spans="2:57" x14ac:dyDescent="0.3">
      <c r="B1" s="100" t="s">
        <v>204</v>
      </c>
      <c r="T1" s="96"/>
      <c r="AK1" s="96"/>
      <c r="BB1" s="96"/>
    </row>
    <row r="2" spans="2:57" s="62" customFormat="1" x14ac:dyDescent="0.3">
      <c r="B2" s="538" t="s">
        <v>151</v>
      </c>
      <c r="C2" s="538"/>
      <c r="D2" s="538"/>
      <c r="E2" s="538"/>
      <c r="T2" s="538" t="s">
        <v>198</v>
      </c>
      <c r="U2" s="538"/>
      <c r="V2" s="538"/>
      <c r="W2" s="538"/>
      <c r="AK2" s="538" t="s">
        <v>199</v>
      </c>
      <c r="AL2" s="538"/>
      <c r="AM2" s="538"/>
      <c r="AN2" s="538"/>
      <c r="BB2" s="538" t="s">
        <v>200</v>
      </c>
      <c r="BC2" s="538"/>
      <c r="BD2" s="538"/>
      <c r="BE2" s="538"/>
    </row>
    <row r="3" spans="2:57" s="62" customFormat="1" x14ac:dyDescent="0.3"/>
    <row r="4" spans="2:57" s="282" customFormat="1" x14ac:dyDescent="0.3">
      <c r="B4" s="287" t="s">
        <v>152</v>
      </c>
      <c r="C4" s="282" t="s">
        <v>153</v>
      </c>
      <c r="D4" s="282" t="s">
        <v>154</v>
      </c>
      <c r="T4" s="287" t="s">
        <v>152</v>
      </c>
      <c r="U4" s="282" t="s">
        <v>153</v>
      </c>
      <c r="V4" s="282" t="s">
        <v>154</v>
      </c>
      <c r="AK4" s="287" t="s">
        <v>152</v>
      </c>
      <c r="AL4" s="282" t="s">
        <v>153</v>
      </c>
      <c r="AM4" s="282" t="s">
        <v>154</v>
      </c>
      <c r="BB4" s="287" t="s">
        <v>152</v>
      </c>
      <c r="BC4" s="282" t="s">
        <v>153</v>
      </c>
      <c r="BD4" s="282" t="s">
        <v>154</v>
      </c>
    </row>
    <row r="5" spans="2:57" s="62" customFormat="1" x14ac:dyDescent="0.3">
      <c r="B5" s="62" t="s">
        <v>164</v>
      </c>
      <c r="C5" s="77">
        <f>ROUND(Sheet1!P4*(1-'Input sheet'!G17/100),0)</f>
        <v>53</v>
      </c>
      <c r="D5" s="77">
        <f>C5</f>
        <v>53</v>
      </c>
      <c r="T5" s="62" t="s">
        <v>164</v>
      </c>
      <c r="U5" s="77">
        <f>ROUND(Sheet1!U4*(1-'Input sheet'!N11/100),0)</f>
        <v>119</v>
      </c>
      <c r="V5" s="77">
        <f>U5</f>
        <v>119</v>
      </c>
      <c r="AK5" s="62" t="s">
        <v>164</v>
      </c>
      <c r="AL5" s="77">
        <f>ROUND((Sheet1!F4+Sheet1!Y4+Sheet1!AB4)*(1-'Input sheet'!L22/100),0)</f>
        <v>0</v>
      </c>
      <c r="AM5" s="77">
        <f>AL5</f>
        <v>0</v>
      </c>
      <c r="BB5" s="62" t="s">
        <v>164</v>
      </c>
      <c r="BC5" s="77">
        <f>ROUND((Sheet1!K4+Sheet1!AE4+Sheet1!AH4)*(1-'Input sheet'!H7/100),0)</f>
        <v>89</v>
      </c>
      <c r="BD5" s="77">
        <f>BC5</f>
        <v>89</v>
      </c>
    </row>
    <row r="6" spans="2:57" s="282" customFormat="1" x14ac:dyDescent="0.3">
      <c r="B6" s="282" t="s">
        <v>167</v>
      </c>
      <c r="C6" s="256">
        <f>Sheet1!P5</f>
        <v>4</v>
      </c>
      <c r="D6" s="256">
        <v>1</v>
      </c>
      <c r="T6" s="282" t="s">
        <v>167</v>
      </c>
      <c r="U6" s="256">
        <f>Sheet1!U5</f>
        <v>5</v>
      </c>
      <c r="V6" s="256">
        <v>1</v>
      </c>
      <c r="AK6" s="282" t="s">
        <v>167</v>
      </c>
      <c r="AL6" s="256">
        <f>Sheet1!F5+Sheet1!Y5+Sheet1!AB5</f>
        <v>0</v>
      </c>
      <c r="AM6" s="256">
        <v>1</v>
      </c>
      <c r="BB6" s="282" t="s">
        <v>167</v>
      </c>
      <c r="BC6" s="256">
        <f>Sheet1!K5+Sheet1!AE5+Sheet1!AH5</f>
        <v>5</v>
      </c>
      <c r="BD6" s="256">
        <v>1</v>
      </c>
    </row>
    <row r="7" spans="2:57" s="62" customFormat="1" x14ac:dyDescent="0.3">
      <c r="B7" s="62" t="s">
        <v>166</v>
      </c>
      <c r="C7" s="77">
        <f>IF(C6=1,0.85,0.75)</f>
        <v>0.75</v>
      </c>
      <c r="D7" s="77">
        <v>0.85</v>
      </c>
      <c r="T7" s="62" t="s">
        <v>166</v>
      </c>
      <c r="U7" s="77">
        <f>IF(U6=1,0.85,0.75)</f>
        <v>0.75</v>
      </c>
      <c r="V7" s="77">
        <v>0.85</v>
      </c>
      <c r="AK7" s="62" t="s">
        <v>166</v>
      </c>
      <c r="AL7" s="77">
        <f>IF(AL6=1,0.85,0.75)</f>
        <v>0.75</v>
      </c>
      <c r="AM7" s="77">
        <v>0.85</v>
      </c>
      <c r="BB7" s="62" t="s">
        <v>166</v>
      </c>
      <c r="BC7" s="77">
        <f>IF(BC6=1,0.85,0.75)</f>
        <v>0.75</v>
      </c>
      <c r="BD7" s="77">
        <v>0.85</v>
      </c>
    </row>
    <row r="8" spans="2:57" s="282" customFormat="1" x14ac:dyDescent="0.3">
      <c r="B8" s="282" t="s">
        <v>168</v>
      </c>
      <c r="C8" s="256">
        <f>ROUND(IF(C6=0,0,C5/(C6*C7)),0)</f>
        <v>18</v>
      </c>
      <c r="D8" s="256">
        <f>ROUND(IF(C6=0,D5/(D6*D7),0),0)</f>
        <v>0</v>
      </c>
      <c r="T8" s="282" t="s">
        <v>168</v>
      </c>
      <c r="U8" s="256">
        <f>ROUND(IF(U6=0,0,U5/(U6*U7)),0)</f>
        <v>32</v>
      </c>
      <c r="V8" s="256">
        <f>ROUND(IF(U6=0,V5/(V6*V7),0),0)</f>
        <v>0</v>
      </c>
      <c r="AK8" s="282" t="s">
        <v>168</v>
      </c>
      <c r="AL8" s="256">
        <f>ROUND(IF(AL6=0,0,AL5/(AL6*AL7)),0)</f>
        <v>0</v>
      </c>
      <c r="AM8" s="256">
        <f>ROUND(IF(AL6=0,AM5/(AM6*AM7),0),0)</f>
        <v>0</v>
      </c>
      <c r="BB8" s="282" t="s">
        <v>168</v>
      </c>
      <c r="BC8" s="256">
        <f>ROUND(IF(BC6=0,0,BC5/(BC6*BC7)),0)</f>
        <v>24</v>
      </c>
      <c r="BD8" s="256">
        <f>ROUND(IF(BC6=0,BD5/(BD6*BD7),0),0)</f>
        <v>0</v>
      </c>
    </row>
    <row r="9" spans="2:57" s="62" customFormat="1" x14ac:dyDescent="0.3"/>
    <row r="10" spans="2:57" s="282" customFormat="1" x14ac:dyDescent="0.3">
      <c r="B10" s="287" t="s">
        <v>155</v>
      </c>
      <c r="T10" s="287" t="s">
        <v>155</v>
      </c>
      <c r="AK10" s="287" t="s">
        <v>155</v>
      </c>
      <c r="BB10" s="287" t="s">
        <v>155</v>
      </c>
    </row>
    <row r="11" spans="2:57" s="62" customFormat="1" x14ac:dyDescent="0.3">
      <c r="B11" s="62" t="s">
        <v>165</v>
      </c>
      <c r="C11" s="77">
        <f>Sheet1!N4</f>
        <v>83</v>
      </c>
      <c r="T11" s="62" t="s">
        <v>165</v>
      </c>
      <c r="U11" s="77">
        <f>Sheet1!S4</f>
        <v>166</v>
      </c>
      <c r="AK11" s="62" t="s">
        <v>165</v>
      </c>
      <c r="AL11" s="77">
        <f>Sheet1!D4+Sheet1!W4+Sheet1!Z4</f>
        <v>290</v>
      </c>
      <c r="BB11" s="62" t="s">
        <v>165</v>
      </c>
      <c r="BC11" s="77">
        <f>Sheet1!I4+Sheet1!AC4+Sheet1!AF4</f>
        <v>107</v>
      </c>
    </row>
    <row r="12" spans="2:57" s="282" customFormat="1" x14ac:dyDescent="0.3">
      <c r="B12" s="282" t="s">
        <v>169</v>
      </c>
      <c r="C12" s="256">
        <f>SUM(Sheet1!S4:U4)-Sheet1!S4</f>
        <v>1026</v>
      </c>
      <c r="T12" s="282" t="s">
        <v>169</v>
      </c>
      <c r="U12" s="256">
        <f>SUM(Sheet1!N4:P4)-Sheet1!N4</f>
        <v>409</v>
      </c>
      <c r="AK12" s="282" t="s">
        <v>169</v>
      </c>
      <c r="AL12" s="256">
        <f>SUM(Sheet1!I4:K4,Sheet1!AC4:AH4)-Sheet1!AF4-Sheet1!AC4-Sheet1!I4</f>
        <v>834</v>
      </c>
      <c r="BB12" s="282" t="s">
        <v>169</v>
      </c>
      <c r="BC12" s="256">
        <f>SUM(Sheet1!D4:F4,Sheet1!W4:AB4)-Sheet1!Z4-Sheet1!W4-Sheet1!D4</f>
        <v>0</v>
      </c>
    </row>
    <row r="13" spans="2:57" s="62" customFormat="1" x14ac:dyDescent="0.3">
      <c r="B13" s="62" t="s">
        <v>170</v>
      </c>
      <c r="C13" s="77">
        <f>Sheet1!N5</f>
        <v>1</v>
      </c>
      <c r="T13" s="62" t="s">
        <v>170</v>
      </c>
      <c r="U13" s="77">
        <f>Sheet1!S5</f>
        <v>1</v>
      </c>
      <c r="AK13" s="62" t="s">
        <v>170</v>
      </c>
      <c r="AL13" s="77">
        <f>Sheet1!D5+Sheet1!W5+Sheet1!Z5</f>
        <v>2</v>
      </c>
      <c r="BB13" s="62" t="s">
        <v>170</v>
      </c>
      <c r="BC13" s="77">
        <f>Sheet1!I5+Sheet1!AC4+Sheet1!AF4</f>
        <v>2</v>
      </c>
    </row>
    <row r="14" spans="2:57" s="282" customFormat="1" x14ac:dyDescent="0.3">
      <c r="B14" s="282" t="s">
        <v>171</v>
      </c>
      <c r="C14" s="256">
        <f>MAX(C18:C21)</f>
        <v>0.95</v>
      </c>
      <c r="D14" s="341">
        <f>IF(OR('Phase designation'!B22=1,'Phase designation'!B22=3),1,0)</f>
        <v>0</v>
      </c>
      <c r="T14" s="282" t="s">
        <v>171</v>
      </c>
      <c r="U14" s="256">
        <f>MAX(U18:U21)</f>
        <v>0.95</v>
      </c>
      <c r="V14" s="341">
        <f>IF(OR('Phase designation'!D22=1,'Phase designation'!D22=3),1,0)</f>
        <v>0</v>
      </c>
      <c r="AK14" s="282" t="s">
        <v>171</v>
      </c>
      <c r="AL14" s="256">
        <f>MAX(AL18:AL21)</f>
        <v>0.92</v>
      </c>
      <c r="AM14" s="341">
        <f>IF(OR('Phase designation'!F22=1,'Phase designation'!F22=3),1,0)</f>
        <v>1</v>
      </c>
      <c r="BB14" s="282" t="s">
        <v>171</v>
      </c>
      <c r="BC14" s="256">
        <f>MAX(BC18:BC21)</f>
        <v>0.92</v>
      </c>
      <c r="BD14" s="341">
        <f>IF(OR('Phase designation'!H22=1,'Phase designation'!H22=3),1,0)</f>
        <v>1</v>
      </c>
    </row>
    <row r="15" spans="2:57" s="62" customFormat="1" x14ac:dyDescent="0.3">
      <c r="B15" s="539" t="s">
        <v>156</v>
      </c>
      <c r="C15" s="77" t="s">
        <v>173</v>
      </c>
      <c r="D15" s="77" t="s">
        <v>174</v>
      </c>
      <c r="E15" s="77" t="s">
        <v>175</v>
      </c>
      <c r="T15" s="539" t="s">
        <v>156</v>
      </c>
      <c r="U15" s="77" t="s">
        <v>173</v>
      </c>
      <c r="V15" s="77" t="s">
        <v>174</v>
      </c>
      <c r="W15" s="77" t="s">
        <v>175</v>
      </c>
      <c r="AK15" s="539" t="s">
        <v>156</v>
      </c>
      <c r="AL15" s="77" t="s">
        <v>173</v>
      </c>
      <c r="AM15" s="77" t="s">
        <v>174</v>
      </c>
      <c r="AN15" s="77" t="s">
        <v>175</v>
      </c>
      <c r="BB15" s="539" t="s">
        <v>156</v>
      </c>
      <c r="BC15" s="77" t="s">
        <v>173</v>
      </c>
      <c r="BD15" s="77" t="s">
        <v>174</v>
      </c>
      <c r="BE15" s="77" t="s">
        <v>175</v>
      </c>
    </row>
    <row r="16" spans="2:57" s="282" customFormat="1" x14ac:dyDescent="0.3">
      <c r="B16" s="539"/>
      <c r="C16" s="293">
        <v>0</v>
      </c>
      <c r="D16" s="293">
        <f>IF(D14=1,D17,0)</f>
        <v>0</v>
      </c>
      <c r="E16" s="293">
        <f>ROUND(IF(OR(C20&gt;0,C21&gt;0),C11/(C13*C14),0),0)</f>
        <v>0</v>
      </c>
      <c r="T16" s="539"/>
      <c r="U16" s="293">
        <v>0</v>
      </c>
      <c r="V16" s="293">
        <f>IF(V14=1,V17,0)</f>
        <v>0</v>
      </c>
      <c r="W16" s="293">
        <f>ROUND(IF(OR(U20&gt;0,U21&gt;0),U11/(U13*U14),0),0)</f>
        <v>0</v>
      </c>
      <c r="AK16" s="539"/>
      <c r="AL16" s="293">
        <v>0</v>
      </c>
      <c r="AM16" s="293">
        <f>IF(AM14=1,AM17,0)</f>
        <v>158</v>
      </c>
      <c r="AN16" s="293">
        <f>ROUND(IF(OR(AL20&gt;0,AL21&gt;0),AL11/(AL13*AL14),0),0)</f>
        <v>0</v>
      </c>
      <c r="BB16" s="539"/>
      <c r="BC16" s="293">
        <v>0</v>
      </c>
      <c r="BD16" s="293">
        <f>IF(BD14=1,BD17,0)</f>
        <v>58</v>
      </c>
      <c r="BE16" s="293">
        <f>ROUND(IF(OR(BC20&gt;0,BC21&gt;0),BC11/(BC13*BC14),0),0)</f>
        <v>0</v>
      </c>
    </row>
    <row r="17" spans="2:57" s="62" customFormat="1" x14ac:dyDescent="0.3">
      <c r="D17" s="292">
        <f>ROUND(IF(OR(C18&gt;0,C19&gt;0),C11/(C13*C14),0),0)</f>
        <v>87</v>
      </c>
      <c r="V17" s="292">
        <f>ROUND(IF(OR(U18&gt;0,U19&gt;0),U11/(U13*U14),0),0)</f>
        <v>175</v>
      </c>
      <c r="AM17" s="292">
        <f>ROUND(IF(OR(AL18&gt;0,AL19&gt;0),AL11/(AL13*AL14),0),0)</f>
        <v>158</v>
      </c>
      <c r="BD17" s="292">
        <f>ROUND(IF(OR(BC18&gt;0,BC19&gt;0),BC11/(BC13*BC14),0),0)</f>
        <v>58</v>
      </c>
    </row>
    <row r="18" spans="2:57" s="62" customFormat="1" x14ac:dyDescent="0.3">
      <c r="B18" s="62" t="s">
        <v>157</v>
      </c>
      <c r="C18" s="62">
        <f>IF(AND(SUM(Sheet1!S5:U5)&gt;0,'Lane volumes'!C13=1),0.95,0)</f>
        <v>0.95</v>
      </c>
      <c r="T18" s="62" t="s">
        <v>157</v>
      </c>
      <c r="U18" s="62">
        <f>IF(AND(SUM(Sheet1!N5:P5)&gt;0,'Lane volumes'!U13=1),0.95,0)</f>
        <v>0.95</v>
      </c>
      <c r="AK18" s="62" t="s">
        <v>157</v>
      </c>
      <c r="AL18" s="62">
        <f>IF(AND(SUM(Sheet1!I5:K5,Sheet1!AC5:AE5,Sheet1!AF5:AH5)&gt;0,'Lane volumes'!AL13=1),0.95,0)</f>
        <v>0</v>
      </c>
      <c r="BB18" s="62" t="s">
        <v>157</v>
      </c>
      <c r="BC18" s="62">
        <f>IF(AND(SUM(Sheet1!D5:F5,Sheet1!W5:Y5,Sheet1!Z5:AB5)&gt;0,'Lane volumes'!BC13=1),0.95,0)</f>
        <v>0</v>
      </c>
    </row>
    <row r="19" spans="2:57" s="62" customFormat="1" x14ac:dyDescent="0.3">
      <c r="B19" s="62" t="s">
        <v>160</v>
      </c>
      <c r="C19" s="62">
        <f>IF(AND(SUM(Sheet1!S5:U5)&gt;0,'Lane volumes'!C13&gt;=2),0.92,0)</f>
        <v>0</v>
      </c>
      <c r="T19" s="62" t="s">
        <v>160</v>
      </c>
      <c r="U19" s="62">
        <f>IF(AND(SUM(Sheet1!N5:P5)&gt;0,'Lane volumes'!U13&gt;=2),0.92,0)</f>
        <v>0</v>
      </c>
      <c r="AK19" s="62" t="s">
        <v>160</v>
      </c>
      <c r="AL19" s="62">
        <f>IF(AND(SUM(Sheet1!I5:K5,Sheet1!AC5:AE5,Sheet1!AF5:AH5)&gt;0,'Lane volumes'!AL13&gt;=2),0.92,0)</f>
        <v>0.92</v>
      </c>
      <c r="BB19" s="62" t="s">
        <v>160</v>
      </c>
      <c r="BC19" s="62">
        <f>IF(AND(SUM(Sheet1!D5:F5,Sheet1!W5:Y5,Sheet1!Z5:AB5)&gt;0,'Lane volumes'!BC13&gt;=2),0.92,0)</f>
        <v>0.92</v>
      </c>
    </row>
    <row r="20" spans="2:57" s="62" customFormat="1" x14ac:dyDescent="0.3">
      <c r="B20" s="62" t="s">
        <v>158</v>
      </c>
      <c r="C20" s="62">
        <f>IF(AND(SUM(Sheet1!S5:U5)=0,'Lane volumes'!C13=1),0.85,0)</f>
        <v>0</v>
      </c>
      <c r="T20" s="62" t="s">
        <v>158</v>
      </c>
      <c r="U20" s="62">
        <f>IF(AND(SUM(Sheet1!N5:P5)=0,'Lane volumes'!U13=1),0.85,0)</f>
        <v>0</v>
      </c>
      <c r="AK20" s="62" t="s">
        <v>158</v>
      </c>
      <c r="AL20" s="62">
        <f>IF(AND(SUM(Sheet1!I5:K5,Sheet1!AC5:AE5,Sheet1!AF5:AH5)=0,'Lane volumes'!AL13=1),0.85,0)</f>
        <v>0</v>
      </c>
      <c r="BB20" s="62" t="s">
        <v>158</v>
      </c>
      <c r="BC20" s="62">
        <f>IF(AND(SUM(Sheet1!D5:F5,Sheet1!W5:Y5,Sheet1!Z5:AB5)=0,'Lane volumes'!BC13=1),0.85,0)</f>
        <v>0</v>
      </c>
    </row>
    <row r="21" spans="2:57" s="62" customFormat="1" x14ac:dyDescent="0.3">
      <c r="B21" s="62" t="s">
        <v>159</v>
      </c>
      <c r="C21" s="62">
        <f>IF(AND(SUM(Sheet1!S5:U5)=0,'Lane volumes'!C13&gt;=2),0.75,0)</f>
        <v>0</v>
      </c>
      <c r="T21" s="62" t="s">
        <v>159</v>
      </c>
      <c r="U21" s="62">
        <f>IF(AND(SUM(Sheet1!N5:P5)=0,'Lane volumes'!U13&gt;=2),0.75,0)</f>
        <v>0</v>
      </c>
      <c r="AK21" s="62" t="s">
        <v>159</v>
      </c>
      <c r="AL21" s="62">
        <f>IF(AND(SUM(Sheet1!I5:K5,Sheet1!AC5:AE5,Sheet1!AF5:AH5)=0,'Lane volumes'!AL13&gt;=2),0.75,0)</f>
        <v>0</v>
      </c>
      <c r="BB21" s="62" t="s">
        <v>159</v>
      </c>
      <c r="BC21" s="62">
        <f>IF(AND(SUM(Sheet1!D5:F5,Sheet1!W5:Y5,Sheet1!Z5:AB5)=0,'Lane volumes'!BC13&gt;=2),0.75,0)</f>
        <v>0</v>
      </c>
    </row>
    <row r="22" spans="2:57" s="62" customFormat="1" x14ac:dyDescent="0.3"/>
    <row r="23" spans="2:57" s="282" customFormat="1" x14ac:dyDescent="0.3">
      <c r="B23" s="287" t="s">
        <v>172</v>
      </c>
      <c r="C23" s="256" t="s">
        <v>173</v>
      </c>
      <c r="D23" s="256" t="s">
        <v>174</v>
      </c>
      <c r="E23" s="256" t="s">
        <v>175</v>
      </c>
      <c r="T23" s="287" t="s">
        <v>172</v>
      </c>
      <c r="U23" s="256" t="s">
        <v>173</v>
      </c>
      <c r="V23" s="256" t="s">
        <v>174</v>
      </c>
      <c r="W23" s="256" t="s">
        <v>175</v>
      </c>
      <c r="AK23" s="287" t="s">
        <v>172</v>
      </c>
      <c r="AL23" s="256" t="s">
        <v>173</v>
      </c>
      <c r="AM23" s="256" t="s">
        <v>174</v>
      </c>
      <c r="AN23" s="256" t="s">
        <v>175</v>
      </c>
      <c r="BB23" s="287" t="s">
        <v>172</v>
      </c>
      <c r="BC23" s="256" t="s">
        <v>173</v>
      </c>
      <c r="BD23" s="256" t="s">
        <v>174</v>
      </c>
      <c r="BE23" s="256" t="s">
        <v>175</v>
      </c>
    </row>
    <row r="24" spans="2:57" s="62" customFormat="1" x14ac:dyDescent="0.3">
      <c r="B24" s="62" t="s">
        <v>193</v>
      </c>
      <c r="C24" s="77">
        <f>IF(AND('Phase designation'!B22=2,E16=0),Sheet1!O4,0)</f>
        <v>303</v>
      </c>
      <c r="D24" s="77">
        <f>IF(OR('Phase designation'!B22=1,'Phase designation'!B22=3),Sheet1!O4,0)</f>
        <v>0</v>
      </c>
      <c r="E24" s="77">
        <f>IF(OR(C20&gt;0,C21&gt;0),Sheet1!O4,0)</f>
        <v>0</v>
      </c>
      <c r="T24" s="62" t="s">
        <v>193</v>
      </c>
      <c r="U24" s="77">
        <f>IF(AND('Phase designation'!D22=2,W16=0),Sheet1!T4,0)</f>
        <v>789</v>
      </c>
      <c r="V24" s="77">
        <f>IF(OR('Phase designation'!D22=1,'Phase designation'!D22=3),Sheet1!T4,0)</f>
        <v>0</v>
      </c>
      <c r="W24" s="77">
        <f>IF(OR(U20&gt;0,U21&gt;0),Sheet1!T4,0)</f>
        <v>0</v>
      </c>
      <c r="AK24" s="62" t="s">
        <v>193</v>
      </c>
      <c r="AL24" s="77">
        <f>IF(AND('Phase designation'!F22=2,AN16=0),Sheet1!E4+Sheet1!X4+Sheet1!AA4,0)</f>
        <v>0</v>
      </c>
      <c r="AM24" s="77">
        <f>IF(OR('Phase designation'!F22=1,'Phase designation'!F22=3),Sheet1!E4+Sheet1!X4+Sheet1!AA4,0)</f>
        <v>0</v>
      </c>
      <c r="AN24" s="77">
        <f>IF(OR(AL20&gt;0,AL21&gt;0),Sheet1!E4+Sheet1!X4+Sheet1!AA4,0)</f>
        <v>0</v>
      </c>
      <c r="BB24" s="62" t="s">
        <v>193</v>
      </c>
      <c r="BC24" s="77">
        <f>IF(AND('Phase designation'!H22=2,BE16=0),Sheet1!J4+Sheet1!AD4+Sheet1!AG4,0)</f>
        <v>0</v>
      </c>
      <c r="BD24" s="77">
        <f>IF(OR('Phase designation'!H22=1,'Phase designation'!H22=3),Sheet1!J4+Sheet1!AD4+Sheet1!AG4,0)</f>
        <v>656</v>
      </c>
      <c r="BE24" s="77">
        <f>IF(OR(BC20&gt;0,BC21&gt;0),Sheet1!J4+Sheet1!AD4+Sheet1!AG4,0)</f>
        <v>0</v>
      </c>
    </row>
    <row r="25" spans="2:57" s="282" customFormat="1" x14ac:dyDescent="0.3">
      <c r="B25" s="282" t="s">
        <v>161</v>
      </c>
      <c r="C25" s="256">
        <v>1</v>
      </c>
      <c r="D25" s="256">
        <v>1</v>
      </c>
      <c r="E25" s="256">
        <v>1</v>
      </c>
      <c r="T25" s="282" t="s">
        <v>161</v>
      </c>
      <c r="U25" s="256">
        <v>1</v>
      </c>
      <c r="V25" s="256">
        <v>1</v>
      </c>
      <c r="W25" s="256">
        <v>1</v>
      </c>
      <c r="AK25" s="282" t="s">
        <v>161</v>
      </c>
      <c r="AL25" s="256">
        <v>1</v>
      </c>
      <c r="AM25" s="256">
        <v>1</v>
      </c>
      <c r="AN25" s="256">
        <v>1</v>
      </c>
      <c r="BB25" s="282" t="s">
        <v>161</v>
      </c>
      <c r="BC25" s="256">
        <v>1</v>
      </c>
      <c r="BD25" s="256">
        <v>1</v>
      </c>
      <c r="BE25" s="256">
        <v>1</v>
      </c>
    </row>
    <row r="26" spans="2:57" s="62" customFormat="1" x14ac:dyDescent="0.3">
      <c r="B26" s="62" t="s">
        <v>163</v>
      </c>
      <c r="C26" s="77">
        <f>Sheet1!O5</f>
        <v>2</v>
      </c>
      <c r="D26" s="77">
        <f>C26</f>
        <v>2</v>
      </c>
      <c r="E26" s="77">
        <f>C26</f>
        <v>2</v>
      </c>
      <c r="T26" s="62" t="s">
        <v>163</v>
      </c>
      <c r="U26" s="77">
        <f>Sheet1!T5</f>
        <v>2</v>
      </c>
      <c r="V26" s="77">
        <f>U26</f>
        <v>2</v>
      </c>
      <c r="W26" s="77">
        <f>U26</f>
        <v>2</v>
      </c>
      <c r="AK26" s="62" t="s">
        <v>163</v>
      </c>
      <c r="AL26" s="77">
        <f>Sheet1!E5+Sheet1!X5+Sheet1!AA5</f>
        <v>0</v>
      </c>
      <c r="AM26" s="77">
        <f>AL26</f>
        <v>0</v>
      </c>
      <c r="AN26" s="77">
        <f>AL26</f>
        <v>0</v>
      </c>
      <c r="BB26" s="62" t="s">
        <v>163</v>
      </c>
      <c r="BC26" s="77">
        <f>Sheet1!J5+Sheet1!AD5+Sheet1!AG5</f>
        <v>4</v>
      </c>
      <c r="BD26" s="77">
        <f>BC26</f>
        <v>4</v>
      </c>
      <c r="BE26" s="77">
        <f>BC26</f>
        <v>4</v>
      </c>
    </row>
    <row r="27" spans="2:57" s="282" customFormat="1" x14ac:dyDescent="0.3">
      <c r="B27" s="282" t="s">
        <v>162</v>
      </c>
      <c r="C27" s="256">
        <f>IF(C24=0,0,(D8+C24)/C25)</f>
        <v>303</v>
      </c>
      <c r="D27" s="256">
        <f>IF(D24=0,0,(D8+D24)/D25)</f>
        <v>0</v>
      </c>
      <c r="E27" s="256">
        <f>IF(E24=0,0,(D8+E24+E16)/E25)</f>
        <v>0</v>
      </c>
      <c r="T27" s="282" t="s">
        <v>162</v>
      </c>
      <c r="U27" s="256">
        <f>IF(U24=0,0,(V8+U24)/U25)</f>
        <v>789</v>
      </c>
      <c r="V27" s="256">
        <f>IF(V24=0,0,(V8+V24)/V25)</f>
        <v>0</v>
      </c>
      <c r="W27" s="256">
        <f>IF(W24=0,0,(V8+W24+W16)/W25)</f>
        <v>0</v>
      </c>
      <c r="AK27" s="282" t="s">
        <v>162</v>
      </c>
      <c r="AL27" s="256">
        <f>IF(AL24=0,0,(AM8+AL24)/AL25)</f>
        <v>0</v>
      </c>
      <c r="AM27" s="256">
        <f>IF(AM24=0,0,(AM8+AM24)/AM25)</f>
        <v>0</v>
      </c>
      <c r="AN27" s="256">
        <f>IF(AN24=0,0,(AM8+AN24+AN16)/AN25)</f>
        <v>0</v>
      </c>
      <c r="BB27" s="282" t="s">
        <v>162</v>
      </c>
      <c r="BC27" s="256">
        <f>IF(BC24=0,0,(BD8+BC24)/BC25)</f>
        <v>0</v>
      </c>
      <c r="BD27" s="256">
        <f>IF(BD24=0,0,(BD8+BD24)/BD25)</f>
        <v>656</v>
      </c>
      <c r="BE27" s="256">
        <f>IF(BE24=0,0,(BD8+BE24+BE16)/BE25)</f>
        <v>0</v>
      </c>
    </row>
    <row r="28" spans="2:57" s="62" customFormat="1" x14ac:dyDescent="0.3"/>
    <row r="29" spans="2:57" s="282" customFormat="1" ht="30" customHeight="1" x14ac:dyDescent="0.3">
      <c r="B29" s="294" t="s">
        <v>176</v>
      </c>
      <c r="C29" s="293" t="s">
        <v>173</v>
      </c>
      <c r="D29" s="293" t="s">
        <v>174</v>
      </c>
      <c r="E29" s="293" t="s">
        <v>175</v>
      </c>
      <c r="T29" s="294" t="s">
        <v>176</v>
      </c>
      <c r="U29" s="293" t="s">
        <v>173</v>
      </c>
      <c r="V29" s="293" t="s">
        <v>174</v>
      </c>
      <c r="W29" s="293" t="s">
        <v>175</v>
      </c>
      <c r="AK29" s="294" t="s">
        <v>176</v>
      </c>
      <c r="AL29" s="293" t="s">
        <v>173</v>
      </c>
      <c r="AM29" s="293" t="s">
        <v>174</v>
      </c>
      <c r="AN29" s="293" t="s">
        <v>175</v>
      </c>
      <c r="BB29" s="294" t="s">
        <v>176</v>
      </c>
      <c r="BC29" s="293" t="s">
        <v>173</v>
      </c>
      <c r="BD29" s="293" t="s">
        <v>174</v>
      </c>
      <c r="BE29" s="293" t="s">
        <v>175</v>
      </c>
    </row>
    <row r="30" spans="2:57" s="62" customFormat="1" x14ac:dyDescent="0.3">
      <c r="B30" s="62" t="s">
        <v>178</v>
      </c>
      <c r="C30" s="77">
        <f>IF(C26&gt;0,ROUND(C27/C26,0),0)</f>
        <v>152</v>
      </c>
      <c r="D30" s="77">
        <f>IF(D26&gt;0,ROUND(D27/D26,0),0)</f>
        <v>0</v>
      </c>
      <c r="E30" s="77">
        <f>IF(E26&gt;0,ROUND(E27/E26,0),0)</f>
        <v>0</v>
      </c>
      <c r="T30" s="62" t="s">
        <v>178</v>
      </c>
      <c r="U30" s="77">
        <f>IF(U26&gt;0,ROUND(U27/U26,0),0)</f>
        <v>395</v>
      </c>
      <c r="V30" s="77">
        <f>IF(V26&gt;0,ROUND(V27/V26,0),0)</f>
        <v>0</v>
      </c>
      <c r="W30" s="77">
        <f>IF(W26&gt;0,ROUND(W27/W26,0),0)</f>
        <v>0</v>
      </c>
      <c r="AK30" s="62" t="s">
        <v>178</v>
      </c>
      <c r="AL30" s="77">
        <f>IF(AL26&gt;0,ROUND(AL27/AL26,0),0)</f>
        <v>0</v>
      </c>
      <c r="AM30" s="77">
        <f>IF(AM26&gt;0,ROUND(AM27/AM26,0),0)</f>
        <v>0</v>
      </c>
      <c r="AN30" s="77">
        <f>IF(AN26&gt;0,ROUND(AN27/AN26,0),0)</f>
        <v>0</v>
      </c>
      <c r="BB30" s="62" t="s">
        <v>178</v>
      </c>
      <c r="BC30" s="77">
        <f>IF(BC26&gt;0,ROUND(BC27/BC26,0),0)</f>
        <v>0</v>
      </c>
      <c r="BD30" s="77">
        <f>IF(BD26&gt;0,ROUND(BD27/BD26,0),0)</f>
        <v>164</v>
      </c>
      <c r="BE30" s="77">
        <f>IF(BE26&gt;0,ROUND(BE27/BE26,0),0)</f>
        <v>0</v>
      </c>
    </row>
    <row r="31" spans="2:57" s="282" customFormat="1" ht="30" customHeight="1" x14ac:dyDescent="0.3">
      <c r="B31" s="295" t="s">
        <v>177</v>
      </c>
      <c r="C31" s="293">
        <f>IF(C30=0,0,MAX(C30,C8,E16))</f>
        <v>152</v>
      </c>
      <c r="D31" s="293">
        <f>IF(D30=0,0,MAX(D30,C8,E16))</f>
        <v>0</v>
      </c>
      <c r="E31" s="293">
        <f>IF(E30=0,0,MAX(E30,C8,E16))</f>
        <v>0</v>
      </c>
      <c r="T31" s="295" t="s">
        <v>177</v>
      </c>
      <c r="U31" s="293">
        <f>IF(U30=0,0,MAX(U30,U8,W16))</f>
        <v>395</v>
      </c>
      <c r="V31" s="293">
        <f>IF(V30=0,0,MAX(V30,U8,W16))</f>
        <v>0</v>
      </c>
      <c r="W31" s="293">
        <f>IF(W30=0,0,MAX(W30,U8,W16))</f>
        <v>0</v>
      </c>
      <c r="AK31" s="295" t="s">
        <v>177</v>
      </c>
      <c r="AL31" s="293">
        <f>IF(AL30=0,0,MAX(AL30,AL8,AN16))</f>
        <v>0</v>
      </c>
      <c r="AM31" s="293">
        <f>IF(AM30=0,0,MAX(AM30,AL8,AN16))</f>
        <v>0</v>
      </c>
      <c r="AN31" s="293">
        <f>IF(AN30=0,0,MAX(AN30,AL8,AN16))</f>
        <v>0</v>
      </c>
      <c r="BB31" s="295" t="s">
        <v>177</v>
      </c>
      <c r="BC31" s="293">
        <f>IF(BC30=0,0,MAX(BC30,BC8,BE16))</f>
        <v>0</v>
      </c>
      <c r="BD31" s="293">
        <f>IF(BD30=0,0,MAX(BD30,BC8,BE16))</f>
        <v>164</v>
      </c>
      <c r="BE31" s="293">
        <f>IF(BE30=0,0,MAX(BE30,BC8,BE16))</f>
        <v>0</v>
      </c>
    </row>
    <row r="32" spans="2:57" s="62" customFormat="1" x14ac:dyDescent="0.3"/>
    <row r="33" spans="2:69" s="282" customFormat="1" ht="30" customHeight="1" x14ac:dyDescent="0.3">
      <c r="B33" s="294" t="s">
        <v>197</v>
      </c>
      <c r="C33" s="293" t="s">
        <v>173</v>
      </c>
      <c r="D33" s="293" t="s">
        <v>174</v>
      </c>
      <c r="E33" s="293" t="s">
        <v>175</v>
      </c>
      <c r="T33" s="294" t="s">
        <v>197</v>
      </c>
      <c r="U33" s="293" t="s">
        <v>173</v>
      </c>
      <c r="V33" s="293" t="s">
        <v>174</v>
      </c>
      <c r="W33" s="293" t="s">
        <v>175</v>
      </c>
      <c r="AK33" s="294" t="s">
        <v>197</v>
      </c>
      <c r="AL33" s="293" t="s">
        <v>173</v>
      </c>
      <c r="AM33" s="293" t="s">
        <v>174</v>
      </c>
      <c r="AN33" s="293" t="s">
        <v>175</v>
      </c>
      <c r="BB33" s="294" t="s">
        <v>197</v>
      </c>
      <c r="BC33" s="293" t="s">
        <v>173</v>
      </c>
      <c r="BD33" s="293" t="s">
        <v>174</v>
      </c>
      <c r="BE33" s="293" t="s">
        <v>175</v>
      </c>
    </row>
    <row r="34" spans="2:69" s="62" customFormat="1" x14ac:dyDescent="0.3">
      <c r="B34" s="62" t="s">
        <v>180</v>
      </c>
      <c r="C34" s="77">
        <f>MAX(D56:D57)</f>
        <v>1</v>
      </c>
      <c r="D34" s="77">
        <v>0</v>
      </c>
      <c r="E34" s="77">
        <v>0</v>
      </c>
      <c r="T34" s="62" t="s">
        <v>180</v>
      </c>
      <c r="U34" s="77">
        <f>MAX(V56:V57)</f>
        <v>1</v>
      </c>
      <c r="V34" s="77">
        <v>0</v>
      </c>
      <c r="W34" s="77">
        <v>0</v>
      </c>
      <c r="AK34" s="62" t="s">
        <v>180</v>
      </c>
      <c r="AL34" s="77">
        <f>MAX(AM56:AM57)</f>
        <v>1</v>
      </c>
      <c r="AM34" s="77">
        <v>0</v>
      </c>
      <c r="AN34" s="77">
        <v>0</v>
      </c>
      <c r="BB34" s="62" t="s">
        <v>180</v>
      </c>
      <c r="BC34" s="77">
        <f>MAX(BD56:BD57)</f>
        <v>1</v>
      </c>
      <c r="BD34" s="77">
        <v>0</v>
      </c>
      <c r="BE34" s="77">
        <v>0</v>
      </c>
    </row>
    <row r="35" spans="2:69" s="282" customFormat="1" x14ac:dyDescent="0.3">
      <c r="B35" s="282" t="s">
        <v>181</v>
      </c>
      <c r="C35" s="256">
        <f>IF(Sheet1!O6=0,INDEX(C42:Q43,2,C44+1),INDEX(C42:Q43,1,C44+1))</f>
        <v>4</v>
      </c>
      <c r="D35" s="256">
        <v>0</v>
      </c>
      <c r="E35" s="256">
        <v>0</v>
      </c>
      <c r="T35" s="282" t="s">
        <v>181</v>
      </c>
      <c r="U35" s="256">
        <f>IF(Sheet1!T6=0,INDEX(U42:AI43,2,U44+1),INDEX(U42:AI43,1,U44+1))</f>
        <v>2.2999999999999998</v>
      </c>
      <c r="V35" s="256">
        <v>0</v>
      </c>
      <c r="W35" s="256">
        <v>0</v>
      </c>
      <c r="AK35" s="282" t="s">
        <v>181</v>
      </c>
      <c r="AL35" s="256">
        <f>IF(Sheet1!E6=0,INDEX(AL42:AZ43,2,AL44+1),INDEX(AL42:AZ43,1,AL44+1))</f>
        <v>3.3</v>
      </c>
      <c r="AM35" s="256">
        <v>0</v>
      </c>
      <c r="AN35" s="256">
        <v>0</v>
      </c>
      <c r="BB35" s="282" t="s">
        <v>181</v>
      </c>
      <c r="BC35" s="256">
        <f>IF(Sheet1!J6=0,INDEX(BC42:BQ43,2,BC44+1),INDEX(BC42:BQ43,1,BC44+1))</f>
        <v>1.3</v>
      </c>
      <c r="BD35" s="256">
        <v>0</v>
      </c>
      <c r="BE35" s="256">
        <v>0</v>
      </c>
    </row>
    <row r="36" spans="2:69" s="62" customFormat="1" x14ac:dyDescent="0.3">
      <c r="B36" s="62" t="s">
        <v>182</v>
      </c>
      <c r="C36" s="77">
        <f>IF(Sheet1!O6=0,1,MIN('Lane volumes'!E49,'Lane volumes'!E52))</f>
        <v>1</v>
      </c>
      <c r="D36" s="77">
        <f>IF(Sheet1!O6=0,1,E52)</f>
        <v>1</v>
      </c>
      <c r="E36" s="77">
        <v>1</v>
      </c>
      <c r="T36" s="62" t="s">
        <v>182</v>
      </c>
      <c r="U36" s="77">
        <f>IF(Sheet1!T6=0,1,MIN('Lane volumes'!W49,'Lane volumes'!W52))</f>
        <v>1</v>
      </c>
      <c r="V36" s="77">
        <f>IF(Sheet1!T6=0,1,W52)</f>
        <v>1</v>
      </c>
      <c r="W36" s="77">
        <v>1</v>
      </c>
      <c r="AK36" s="62" t="s">
        <v>182</v>
      </c>
      <c r="AL36" s="77">
        <f>IF(Sheet1!E6=0,1,MIN('Lane volumes'!AN49,'Lane volumes'!AN52))</f>
        <v>1</v>
      </c>
      <c r="AM36" s="77">
        <f>IF(Sheet1!E6=0,1,AN52)</f>
        <v>1</v>
      </c>
      <c r="AN36" s="77">
        <v>1</v>
      </c>
      <c r="BB36" s="62" t="s">
        <v>182</v>
      </c>
      <c r="BC36" s="77">
        <f>IF(Sheet1!J6=0,1,MIN('Lane volumes'!BE49,'Lane volumes'!BE52))</f>
        <v>1</v>
      </c>
      <c r="BD36" s="77">
        <f>IF(Sheet1!J6=0,1,BE52)</f>
        <v>1</v>
      </c>
      <c r="BE36" s="77">
        <v>1</v>
      </c>
    </row>
    <row r="37" spans="2:69" s="282" customFormat="1" x14ac:dyDescent="0.3">
      <c r="B37" s="282" t="s">
        <v>178</v>
      </c>
      <c r="C37" s="256">
        <f>IF(C36=1,0,C27/(C26*C36))</f>
        <v>0</v>
      </c>
      <c r="D37" s="256">
        <f>IF(D36=1,0,D27/(D26*D36))</f>
        <v>0</v>
      </c>
      <c r="E37" s="256">
        <f>IF(E36=1,0,E27/(E26*E36))</f>
        <v>0</v>
      </c>
      <c r="T37" s="282" t="s">
        <v>178</v>
      </c>
      <c r="U37" s="256">
        <f>IF(U36=1,0,U27/(U26*U36))</f>
        <v>0</v>
      </c>
      <c r="V37" s="256">
        <f>IF(V36=1,0,V27/(V26*V36))</f>
        <v>0</v>
      </c>
      <c r="W37" s="256">
        <f>IF(W36=1,0,W27/(W26*W36))</f>
        <v>0</v>
      </c>
      <c r="AK37" s="282" t="s">
        <v>178</v>
      </c>
      <c r="AL37" s="256">
        <f>IF(AL36=1,0,AL27/(AL26*AL36))</f>
        <v>0</v>
      </c>
      <c r="AM37" s="256">
        <f>IF(AM36=1,0,AM27/(AM26*AM36))</f>
        <v>0</v>
      </c>
      <c r="AN37" s="256">
        <f>IF(AN36=1,0,AN27/(AN26*AN36))</f>
        <v>0</v>
      </c>
      <c r="BB37" s="282" t="s">
        <v>178</v>
      </c>
      <c r="BC37" s="256">
        <f>IF(BC36=1,0,BC27/(BC26*BC36))</f>
        <v>0</v>
      </c>
      <c r="BD37" s="256">
        <f>IF(BD36=1,0,BD27/(BD26*BD36))</f>
        <v>0</v>
      </c>
      <c r="BE37" s="256">
        <f>IF(BE36=1,0,BE27/(BE26*BE36))</f>
        <v>0</v>
      </c>
    </row>
    <row r="38" spans="2:69" s="62" customFormat="1" ht="30" customHeight="1" x14ac:dyDescent="0.3">
      <c r="B38" s="290" t="s">
        <v>179</v>
      </c>
      <c r="C38" s="289">
        <f>IF(C37=0,0,MAX($C$8,C37))</f>
        <v>0</v>
      </c>
      <c r="D38" s="289">
        <f>IF(D37=0,0,MAX($C$8,D37))</f>
        <v>0</v>
      </c>
      <c r="E38" s="289">
        <f>IF(E37=0,0,MAX($C$8,E37))</f>
        <v>0</v>
      </c>
      <c r="T38" s="290" t="s">
        <v>179</v>
      </c>
      <c r="U38" s="289">
        <f>IF(U37=0,0,MAX($C$8,U37))</f>
        <v>0</v>
      </c>
      <c r="V38" s="289">
        <f>IF(V37=0,0,MAX($C$8,V37))</f>
        <v>0</v>
      </c>
      <c r="W38" s="289">
        <f>IF(W37=0,0,MAX($C$8,W37))</f>
        <v>0</v>
      </c>
      <c r="AK38" s="290" t="s">
        <v>179</v>
      </c>
      <c r="AL38" s="289">
        <f>IF(AL37=0,0,MAX($C$8,AL37))</f>
        <v>0</v>
      </c>
      <c r="AM38" s="289">
        <f>IF(AM37=0,0,MAX($C$8,AM37))</f>
        <v>0</v>
      </c>
      <c r="AN38" s="289">
        <f>IF(AN37=0,0,MAX($C$8,AN37))</f>
        <v>0</v>
      </c>
      <c r="BB38" s="290" t="s">
        <v>179</v>
      </c>
      <c r="BC38" s="289">
        <f>IF(BC37=0,0,MAX($C$8,BC37))</f>
        <v>0</v>
      </c>
      <c r="BD38" s="289">
        <f>IF(BD37=0,0,MAX($C$8,BD37))</f>
        <v>0</v>
      </c>
      <c r="BE38" s="289">
        <f>IF(BE37=0,0,MAX($C$8,BE37))</f>
        <v>0</v>
      </c>
    </row>
    <row r="39" spans="2:69" s="282" customFormat="1" x14ac:dyDescent="0.3"/>
    <row r="40" spans="2:69" s="62" customFormat="1" hidden="1" x14ac:dyDescent="0.3">
      <c r="C40" s="540" t="s">
        <v>184</v>
      </c>
      <c r="D40" s="540"/>
      <c r="E40" s="540"/>
      <c r="F40" s="540"/>
      <c r="G40" s="540"/>
      <c r="H40" s="540"/>
      <c r="I40" s="540"/>
      <c r="U40" s="540" t="s">
        <v>184</v>
      </c>
      <c r="V40" s="540"/>
      <c r="W40" s="540"/>
      <c r="X40" s="540"/>
      <c r="Y40" s="540"/>
      <c r="Z40" s="540"/>
      <c r="AA40" s="540"/>
      <c r="AL40" s="540" t="s">
        <v>184</v>
      </c>
      <c r="AM40" s="540"/>
      <c r="AN40" s="540"/>
      <c r="AO40" s="540"/>
      <c r="AP40" s="540"/>
      <c r="AQ40" s="540"/>
      <c r="AR40" s="540"/>
      <c r="BC40" s="540" t="s">
        <v>184</v>
      </c>
      <c r="BD40" s="540"/>
      <c r="BE40" s="540"/>
      <c r="BF40" s="540"/>
      <c r="BG40" s="540"/>
      <c r="BH40" s="540"/>
      <c r="BI40" s="540"/>
    </row>
    <row r="41" spans="2:69" s="62" customFormat="1" hidden="1" x14ac:dyDescent="0.3">
      <c r="B41" s="62" t="s">
        <v>185</v>
      </c>
      <c r="C41" s="77">
        <v>1</v>
      </c>
      <c r="D41" s="77">
        <v>200</v>
      </c>
      <c r="E41" s="77">
        <v>400</v>
      </c>
      <c r="F41" s="77">
        <v>600</v>
      </c>
      <c r="G41" s="77">
        <v>800</v>
      </c>
      <c r="H41" s="77">
        <v>1000</v>
      </c>
      <c r="I41" s="77">
        <v>1200</v>
      </c>
      <c r="J41" s="77">
        <v>1300</v>
      </c>
      <c r="K41" s="77">
        <v>1400</v>
      </c>
      <c r="L41" s="77">
        <v>1500</v>
      </c>
      <c r="M41" s="77">
        <v>1600</v>
      </c>
      <c r="N41" s="77">
        <v>1700</v>
      </c>
      <c r="O41" s="77">
        <v>1800</v>
      </c>
      <c r="P41" s="77">
        <v>1900</v>
      </c>
      <c r="Q41" s="77">
        <v>2000</v>
      </c>
      <c r="T41" s="62" t="s">
        <v>185</v>
      </c>
      <c r="U41" s="77">
        <v>1</v>
      </c>
      <c r="V41" s="77">
        <v>200</v>
      </c>
      <c r="W41" s="77">
        <v>400</v>
      </c>
      <c r="X41" s="77">
        <v>600</v>
      </c>
      <c r="Y41" s="77">
        <v>800</v>
      </c>
      <c r="Z41" s="77">
        <v>1000</v>
      </c>
      <c r="AA41" s="77">
        <v>1200</v>
      </c>
      <c r="AB41" s="77">
        <v>1300</v>
      </c>
      <c r="AC41" s="77">
        <v>1400</v>
      </c>
      <c r="AD41" s="77">
        <v>1500</v>
      </c>
      <c r="AE41" s="77">
        <v>1600</v>
      </c>
      <c r="AF41" s="77">
        <v>1700</v>
      </c>
      <c r="AG41" s="77">
        <v>1800</v>
      </c>
      <c r="AH41" s="77">
        <v>1900</v>
      </c>
      <c r="AI41" s="77">
        <v>2000</v>
      </c>
      <c r="AK41" s="62" t="s">
        <v>185</v>
      </c>
      <c r="AL41" s="77">
        <v>1</v>
      </c>
      <c r="AM41" s="77">
        <v>200</v>
      </c>
      <c r="AN41" s="77">
        <v>400</v>
      </c>
      <c r="AO41" s="77">
        <v>600</v>
      </c>
      <c r="AP41" s="77">
        <v>800</v>
      </c>
      <c r="AQ41" s="77">
        <v>1000</v>
      </c>
      <c r="AR41" s="77">
        <v>1200</v>
      </c>
      <c r="AS41" s="77">
        <v>1300</v>
      </c>
      <c r="AT41" s="77">
        <v>1400</v>
      </c>
      <c r="AU41" s="77">
        <v>1500</v>
      </c>
      <c r="AV41" s="77">
        <v>1600</v>
      </c>
      <c r="AW41" s="77">
        <v>1700</v>
      </c>
      <c r="AX41" s="77">
        <v>1800</v>
      </c>
      <c r="AY41" s="77">
        <v>1900</v>
      </c>
      <c r="AZ41" s="77">
        <v>2000</v>
      </c>
      <c r="BB41" s="62" t="s">
        <v>185</v>
      </c>
      <c r="BC41" s="77">
        <v>1</v>
      </c>
      <c r="BD41" s="77">
        <v>200</v>
      </c>
      <c r="BE41" s="77">
        <v>400</v>
      </c>
      <c r="BF41" s="77">
        <v>600</v>
      </c>
      <c r="BG41" s="77">
        <v>800</v>
      </c>
      <c r="BH41" s="77">
        <v>1000</v>
      </c>
      <c r="BI41" s="77">
        <v>1200</v>
      </c>
      <c r="BJ41" s="77">
        <v>1300</v>
      </c>
      <c r="BK41" s="77">
        <v>1400</v>
      </c>
      <c r="BL41" s="77">
        <v>1500</v>
      </c>
      <c r="BM41" s="77">
        <v>1600</v>
      </c>
      <c r="BN41" s="77">
        <v>1700</v>
      </c>
      <c r="BO41" s="77">
        <v>1800</v>
      </c>
      <c r="BP41" s="77">
        <v>1900</v>
      </c>
      <c r="BQ41" s="77">
        <v>2000</v>
      </c>
    </row>
    <row r="42" spans="2:69" s="62" customFormat="1" hidden="1" x14ac:dyDescent="0.3">
      <c r="B42" s="62" t="s">
        <v>37</v>
      </c>
      <c r="C42" s="77">
        <v>1.4</v>
      </c>
      <c r="D42" s="77">
        <v>1.7</v>
      </c>
      <c r="E42" s="77">
        <v>2.1</v>
      </c>
      <c r="F42" s="77">
        <v>2.5</v>
      </c>
      <c r="G42" s="77">
        <v>3.1</v>
      </c>
      <c r="H42" s="77">
        <v>3.7</v>
      </c>
      <c r="I42" s="77">
        <v>4.5</v>
      </c>
      <c r="J42" s="77">
        <f>ROUND((1750/J44)-J46,2)</f>
        <v>6.14</v>
      </c>
      <c r="K42" s="77">
        <f t="shared" ref="K42:Q42" si="0">ROUND((1750/K44)-K46,2)</f>
        <v>6.14</v>
      </c>
      <c r="L42" s="77">
        <f t="shared" si="0"/>
        <v>6.14</v>
      </c>
      <c r="M42" s="77">
        <f t="shared" si="0"/>
        <v>6.14</v>
      </c>
      <c r="N42" s="77">
        <f t="shared" si="0"/>
        <v>6.14</v>
      </c>
      <c r="O42" s="77">
        <f t="shared" si="0"/>
        <v>6.14</v>
      </c>
      <c r="P42" s="77">
        <f t="shared" si="0"/>
        <v>6.14</v>
      </c>
      <c r="Q42" s="77">
        <f t="shared" si="0"/>
        <v>6.14</v>
      </c>
      <c r="T42" s="62" t="s">
        <v>37</v>
      </c>
      <c r="U42" s="77">
        <v>1.4</v>
      </c>
      <c r="V42" s="77">
        <v>1.7</v>
      </c>
      <c r="W42" s="77">
        <v>2.1</v>
      </c>
      <c r="X42" s="77">
        <v>2.5</v>
      </c>
      <c r="Y42" s="77">
        <v>3.1</v>
      </c>
      <c r="Z42" s="77">
        <v>3.7</v>
      </c>
      <c r="AA42" s="77">
        <v>4.5</v>
      </c>
      <c r="AB42" s="77">
        <f>ROUND((1750/AB44)-AB46,2)</f>
        <v>7.14</v>
      </c>
      <c r="AC42" s="77">
        <f t="shared" ref="AC42:AI42" si="1">ROUND((1750/AC44)-AC46,2)</f>
        <v>7.14</v>
      </c>
      <c r="AD42" s="77">
        <f t="shared" si="1"/>
        <v>7.14</v>
      </c>
      <c r="AE42" s="77">
        <f t="shared" si="1"/>
        <v>7.14</v>
      </c>
      <c r="AF42" s="77">
        <f t="shared" si="1"/>
        <v>7.14</v>
      </c>
      <c r="AG42" s="77">
        <f t="shared" si="1"/>
        <v>7.14</v>
      </c>
      <c r="AH42" s="77">
        <f t="shared" si="1"/>
        <v>7.14</v>
      </c>
      <c r="AI42" s="77">
        <f t="shared" si="1"/>
        <v>7.14</v>
      </c>
      <c r="AK42" s="62" t="s">
        <v>37</v>
      </c>
      <c r="AL42" s="77">
        <v>1.4</v>
      </c>
      <c r="AM42" s="77">
        <v>1.7</v>
      </c>
      <c r="AN42" s="77">
        <v>2.1</v>
      </c>
      <c r="AO42" s="77">
        <v>2.5</v>
      </c>
      <c r="AP42" s="77">
        <v>3.1</v>
      </c>
      <c r="AQ42" s="77">
        <v>3.7</v>
      </c>
      <c r="AR42" s="77">
        <v>4.5</v>
      </c>
      <c r="AS42" s="77">
        <f>ROUND((1750/AS44)-AS46,2)</f>
        <v>5.95</v>
      </c>
      <c r="AT42" s="77">
        <f t="shared" ref="AT42:AZ42" si="2">ROUND((1750/AT44)-AT46,2)</f>
        <v>5.95</v>
      </c>
      <c r="AU42" s="77">
        <f t="shared" si="2"/>
        <v>5.95</v>
      </c>
      <c r="AV42" s="77">
        <f t="shared" si="2"/>
        <v>5.95</v>
      </c>
      <c r="AW42" s="77">
        <f t="shared" si="2"/>
        <v>5.95</v>
      </c>
      <c r="AX42" s="77">
        <f t="shared" si="2"/>
        <v>5.95</v>
      </c>
      <c r="AY42" s="77">
        <f t="shared" si="2"/>
        <v>5.95</v>
      </c>
      <c r="AZ42" s="77">
        <f t="shared" si="2"/>
        <v>5.95</v>
      </c>
      <c r="BB42" s="62" t="s">
        <v>37</v>
      </c>
      <c r="BC42" s="77">
        <v>1.4</v>
      </c>
      <c r="BD42" s="77">
        <v>1.7</v>
      </c>
      <c r="BE42" s="77">
        <v>2.1</v>
      </c>
      <c r="BF42" s="77">
        <v>2.5</v>
      </c>
      <c r="BG42" s="77">
        <v>3.1</v>
      </c>
      <c r="BH42" s="77">
        <v>3.7</v>
      </c>
      <c r="BI42" s="77">
        <v>4.5</v>
      </c>
      <c r="BJ42" s="77" t="e">
        <f>ROUND((1750/BJ44)-BJ46,2)</f>
        <v>#DIV/0!</v>
      </c>
      <c r="BK42" s="77" t="e">
        <f t="shared" ref="BK42:BQ42" si="3">ROUND((1750/BK44)-BK46,2)</f>
        <v>#DIV/0!</v>
      </c>
      <c r="BL42" s="77" t="e">
        <f t="shared" si="3"/>
        <v>#DIV/0!</v>
      </c>
      <c r="BM42" s="77" t="e">
        <f t="shared" si="3"/>
        <v>#DIV/0!</v>
      </c>
      <c r="BN42" s="77" t="e">
        <f t="shared" si="3"/>
        <v>#DIV/0!</v>
      </c>
      <c r="BO42" s="77" t="e">
        <f t="shared" si="3"/>
        <v>#DIV/0!</v>
      </c>
      <c r="BP42" s="77" t="e">
        <f t="shared" si="3"/>
        <v>#DIV/0!</v>
      </c>
      <c r="BQ42" s="77" t="e">
        <f t="shared" si="3"/>
        <v>#DIV/0!</v>
      </c>
    </row>
    <row r="43" spans="2:69" s="62" customFormat="1" hidden="1" x14ac:dyDescent="0.3">
      <c r="B43" s="62" t="s">
        <v>183</v>
      </c>
      <c r="C43" s="77">
        <v>1.3</v>
      </c>
      <c r="D43" s="77">
        <v>1.6</v>
      </c>
      <c r="E43" s="77">
        <v>1.9</v>
      </c>
      <c r="F43" s="77">
        <v>2.2999999999999998</v>
      </c>
      <c r="G43" s="77">
        <v>2.8</v>
      </c>
      <c r="H43" s="77">
        <v>3.3</v>
      </c>
      <c r="I43" s="77">
        <v>4</v>
      </c>
      <c r="J43" s="77">
        <f>ROUND((1750/J44)-J46,2)</f>
        <v>6.14</v>
      </c>
      <c r="K43" s="77">
        <f t="shared" ref="K43:Q43" si="4">ROUND((1750/K44)-K46,2)</f>
        <v>6.14</v>
      </c>
      <c r="L43" s="77">
        <f t="shared" si="4"/>
        <v>6.14</v>
      </c>
      <c r="M43" s="77">
        <f t="shared" si="4"/>
        <v>6.14</v>
      </c>
      <c r="N43" s="77">
        <f t="shared" si="4"/>
        <v>6.14</v>
      </c>
      <c r="O43" s="77">
        <f t="shared" si="4"/>
        <v>6.14</v>
      </c>
      <c r="P43" s="77">
        <f t="shared" si="4"/>
        <v>6.14</v>
      </c>
      <c r="Q43" s="77">
        <f t="shared" si="4"/>
        <v>6.14</v>
      </c>
      <c r="T43" s="62" t="s">
        <v>183</v>
      </c>
      <c r="U43" s="77">
        <v>1.3</v>
      </c>
      <c r="V43" s="77">
        <v>1.6</v>
      </c>
      <c r="W43" s="77">
        <v>1.9</v>
      </c>
      <c r="X43" s="77">
        <v>2.2999999999999998</v>
      </c>
      <c r="Y43" s="77">
        <v>2.8</v>
      </c>
      <c r="Z43" s="77">
        <v>3.3</v>
      </c>
      <c r="AA43" s="77">
        <v>4</v>
      </c>
      <c r="AB43" s="77">
        <f t="shared" ref="AB43:AI43" si="5">ROUND((1750/AB44)-AB46,2)</f>
        <v>7.14</v>
      </c>
      <c r="AC43" s="77">
        <f t="shared" si="5"/>
        <v>7.14</v>
      </c>
      <c r="AD43" s="77">
        <f t="shared" si="5"/>
        <v>7.14</v>
      </c>
      <c r="AE43" s="77">
        <f t="shared" si="5"/>
        <v>7.14</v>
      </c>
      <c r="AF43" s="77">
        <f t="shared" si="5"/>
        <v>7.14</v>
      </c>
      <c r="AG43" s="77">
        <f t="shared" si="5"/>
        <v>7.14</v>
      </c>
      <c r="AH43" s="77">
        <f t="shared" si="5"/>
        <v>7.14</v>
      </c>
      <c r="AI43" s="77">
        <f t="shared" si="5"/>
        <v>7.14</v>
      </c>
      <c r="AK43" s="62" t="s">
        <v>183</v>
      </c>
      <c r="AL43" s="77">
        <v>1.3</v>
      </c>
      <c r="AM43" s="77">
        <v>1.6</v>
      </c>
      <c r="AN43" s="77">
        <v>1.9</v>
      </c>
      <c r="AO43" s="77">
        <v>2.2999999999999998</v>
      </c>
      <c r="AP43" s="77">
        <v>2.8</v>
      </c>
      <c r="AQ43" s="77">
        <v>3.3</v>
      </c>
      <c r="AR43" s="77">
        <v>4</v>
      </c>
      <c r="AS43" s="77">
        <f t="shared" ref="AS43:AZ43" si="6">ROUND((1750/AS44)-AS46,2)</f>
        <v>5.95</v>
      </c>
      <c r="AT43" s="77">
        <f t="shared" si="6"/>
        <v>5.95</v>
      </c>
      <c r="AU43" s="77">
        <f t="shared" si="6"/>
        <v>5.95</v>
      </c>
      <c r="AV43" s="77">
        <f t="shared" si="6"/>
        <v>5.95</v>
      </c>
      <c r="AW43" s="77">
        <f t="shared" si="6"/>
        <v>5.95</v>
      </c>
      <c r="AX43" s="77">
        <f t="shared" si="6"/>
        <v>5.95</v>
      </c>
      <c r="AY43" s="77">
        <f t="shared" si="6"/>
        <v>5.95</v>
      </c>
      <c r="AZ43" s="77">
        <f t="shared" si="6"/>
        <v>5.95</v>
      </c>
      <c r="BB43" s="62" t="s">
        <v>183</v>
      </c>
      <c r="BC43" s="77">
        <v>1.3</v>
      </c>
      <c r="BD43" s="77">
        <v>1.6</v>
      </c>
      <c r="BE43" s="77">
        <v>1.9</v>
      </c>
      <c r="BF43" s="77">
        <v>2.2999999999999998</v>
      </c>
      <c r="BG43" s="77">
        <v>2.8</v>
      </c>
      <c r="BH43" s="77">
        <v>3.3</v>
      </c>
      <c r="BI43" s="77">
        <v>4</v>
      </c>
      <c r="BJ43" s="77" t="e">
        <f t="shared" ref="BJ43:BQ43" si="7">ROUND((1750/BJ44)-BJ46,2)</f>
        <v>#DIV/0!</v>
      </c>
      <c r="BK43" s="77" t="e">
        <f t="shared" si="7"/>
        <v>#DIV/0!</v>
      </c>
      <c r="BL43" s="77" t="e">
        <f t="shared" si="7"/>
        <v>#DIV/0!</v>
      </c>
      <c r="BM43" s="77" t="e">
        <f t="shared" si="7"/>
        <v>#DIV/0!</v>
      </c>
      <c r="BN43" s="77" t="e">
        <f t="shared" si="7"/>
        <v>#DIV/0!</v>
      </c>
      <c r="BO43" s="77" t="e">
        <f t="shared" si="7"/>
        <v>#DIV/0!</v>
      </c>
      <c r="BP43" s="77" t="e">
        <f t="shared" si="7"/>
        <v>#DIV/0!</v>
      </c>
      <c r="BQ43" s="77" t="e">
        <f t="shared" si="7"/>
        <v>#DIV/0!</v>
      </c>
    </row>
    <row r="44" spans="2:69" s="62" customFormat="1" hidden="1" x14ac:dyDescent="0.3">
      <c r="C44" s="292">
        <f>IF(C12&gt;0,MATCH($C$12,$C$41:$Q$41),0)</f>
        <v>6</v>
      </c>
      <c r="I44" s="77" t="s">
        <v>186</v>
      </c>
      <c r="J44" s="77">
        <f>ROUND(($C$12*EXP(-1*$C$12*4.5/3600))/(1-EXP(-1*$C$12*J45)),0)</f>
        <v>285</v>
      </c>
      <c r="K44" s="77">
        <f t="shared" ref="K44:Q44" si="8">ROUND(($C$12*EXP(-1*$C$12*4.5/3600))/(1-EXP(-1*$C$12*K45)),0)</f>
        <v>285</v>
      </c>
      <c r="L44" s="77">
        <f t="shared" si="8"/>
        <v>285</v>
      </c>
      <c r="M44" s="77">
        <f t="shared" si="8"/>
        <v>285</v>
      </c>
      <c r="N44" s="77">
        <f t="shared" si="8"/>
        <v>285</v>
      </c>
      <c r="O44" s="77">
        <f t="shared" si="8"/>
        <v>285</v>
      </c>
      <c r="P44" s="77">
        <f t="shared" si="8"/>
        <v>285</v>
      </c>
      <c r="Q44" s="77">
        <f t="shared" si="8"/>
        <v>285</v>
      </c>
      <c r="U44" s="292">
        <f>IF(U12&gt;0,MATCH($U$12,$U$41:$AI$41),0)</f>
        <v>3</v>
      </c>
      <c r="AA44" s="77" t="s">
        <v>186</v>
      </c>
      <c r="AB44" s="77">
        <f>ROUND(($U$12*EXP(-1*$U$12*4.5/3600))/(1-EXP(-1*$U$12*AB45)),0)</f>
        <v>245</v>
      </c>
      <c r="AC44" s="77">
        <f t="shared" ref="AC44:AI44" si="9">ROUND(($U$12*EXP(-1*$U$12*4.5/3600))/(1-EXP(-1*$U$12*AC45)),0)</f>
        <v>245</v>
      </c>
      <c r="AD44" s="77">
        <f t="shared" si="9"/>
        <v>245</v>
      </c>
      <c r="AE44" s="77">
        <f t="shared" si="9"/>
        <v>245</v>
      </c>
      <c r="AF44" s="77">
        <f t="shared" si="9"/>
        <v>245</v>
      </c>
      <c r="AG44" s="77">
        <f t="shared" si="9"/>
        <v>245</v>
      </c>
      <c r="AH44" s="77">
        <f t="shared" si="9"/>
        <v>245</v>
      </c>
      <c r="AI44" s="77">
        <f t="shared" si="9"/>
        <v>245</v>
      </c>
      <c r="AL44" s="292">
        <f>IF(AL12&gt;0,MATCH($AL$12,$AL$41:$AZ$41),0)</f>
        <v>5</v>
      </c>
      <c r="AR44" s="77" t="s">
        <v>186</v>
      </c>
      <c r="AS44" s="77">
        <f>ROUND(($AL$12*EXP(-1*$AL$12*4.5/3600))/(1-EXP(-1*$AL$12*AS45)),0)</f>
        <v>294</v>
      </c>
      <c r="AT44" s="77">
        <f t="shared" ref="AT44:AZ44" si="10">ROUND(($AL$12*EXP(-1*$AL$12*4.5/3600))/(1-EXP(-1*$AL$12*AT45)),0)</f>
        <v>294</v>
      </c>
      <c r="AU44" s="77">
        <f t="shared" si="10"/>
        <v>294</v>
      </c>
      <c r="AV44" s="77">
        <f t="shared" si="10"/>
        <v>294</v>
      </c>
      <c r="AW44" s="77">
        <f t="shared" si="10"/>
        <v>294</v>
      </c>
      <c r="AX44" s="77">
        <f t="shared" si="10"/>
        <v>294</v>
      </c>
      <c r="AY44" s="77">
        <f t="shared" si="10"/>
        <v>294</v>
      </c>
      <c r="AZ44" s="77">
        <f t="shared" si="10"/>
        <v>294</v>
      </c>
      <c r="BC44" s="292">
        <f>IF(BC12&gt;0,MATCH($BC$12,$BC$41:$BQ$41),0)</f>
        <v>0</v>
      </c>
      <c r="BI44" s="77" t="s">
        <v>186</v>
      </c>
      <c r="BJ44" s="77" t="e">
        <f>ROUND(($BC$12*EXP(-1*$BC$12*4.5/3600))/(1-EXP(-1*$BC$12*BJ45)),0)</f>
        <v>#DIV/0!</v>
      </c>
      <c r="BK44" s="77" t="e">
        <f t="shared" ref="BK44:BP44" si="11">ROUND(($BC$12*EXP(-1*$BC$12*4.5/3600))/(1-EXP(-1*$BC$12*BK45)),0)</f>
        <v>#DIV/0!</v>
      </c>
      <c r="BL44" s="77" t="e">
        <f t="shared" si="11"/>
        <v>#DIV/0!</v>
      </c>
      <c r="BM44" s="77" t="e">
        <f t="shared" si="11"/>
        <v>#DIV/0!</v>
      </c>
      <c r="BN44" s="77" t="e">
        <f t="shared" si="11"/>
        <v>#DIV/0!</v>
      </c>
      <c r="BO44" s="77" t="e">
        <f t="shared" si="11"/>
        <v>#DIV/0!</v>
      </c>
      <c r="BP44" s="77" t="e">
        <f t="shared" si="11"/>
        <v>#DIV/0!</v>
      </c>
      <c r="BQ44" s="77" t="e">
        <f>ROUND(($BC$12*EXP(-1*$BC$12*4.5/3600))/(1-EXP(-1*$BC$12*BQ45)),0)</f>
        <v>#DIV/0!</v>
      </c>
    </row>
    <row r="45" spans="2:69" s="62" customFormat="1" hidden="1" x14ac:dyDescent="0.3">
      <c r="I45" s="77" t="s">
        <v>187</v>
      </c>
      <c r="J45" s="77">
        <f>IF(Sheet1!O6=0,2.5,4.5)</f>
        <v>2.5</v>
      </c>
      <c r="K45" s="77">
        <f>J45</f>
        <v>2.5</v>
      </c>
      <c r="L45" s="77">
        <f>J45</f>
        <v>2.5</v>
      </c>
      <c r="M45" s="77">
        <f>J45</f>
        <v>2.5</v>
      </c>
      <c r="N45" s="77">
        <f>J45</f>
        <v>2.5</v>
      </c>
      <c r="O45" s="77">
        <f>J45</f>
        <v>2.5</v>
      </c>
      <c r="P45" s="77">
        <f>J45</f>
        <v>2.5</v>
      </c>
      <c r="Q45" s="77">
        <f>J45</f>
        <v>2.5</v>
      </c>
      <c r="AA45" s="77" t="s">
        <v>187</v>
      </c>
      <c r="AB45" s="77">
        <f>IF(Sheet1!T6=0,2.5,4.5)</f>
        <v>2.5</v>
      </c>
      <c r="AC45" s="77">
        <f>AB45</f>
        <v>2.5</v>
      </c>
      <c r="AD45" s="77">
        <f>AB45</f>
        <v>2.5</v>
      </c>
      <c r="AE45" s="77">
        <f>AB45</f>
        <v>2.5</v>
      </c>
      <c r="AF45" s="77">
        <f>AB45</f>
        <v>2.5</v>
      </c>
      <c r="AG45" s="77">
        <f>AB45</f>
        <v>2.5</v>
      </c>
      <c r="AH45" s="77">
        <f>AB45</f>
        <v>2.5</v>
      </c>
      <c r="AI45" s="77">
        <f>AB45</f>
        <v>2.5</v>
      </c>
      <c r="AR45" s="77" t="s">
        <v>187</v>
      </c>
      <c r="AS45" s="77">
        <f>IF(Sheet1!E6=0,2.5,4.5)</f>
        <v>2.5</v>
      </c>
      <c r="AT45" s="77">
        <f>AS45</f>
        <v>2.5</v>
      </c>
      <c r="AU45" s="77">
        <f>AS45</f>
        <v>2.5</v>
      </c>
      <c r="AV45" s="77">
        <f>AS45</f>
        <v>2.5</v>
      </c>
      <c r="AW45" s="77">
        <f>AS45</f>
        <v>2.5</v>
      </c>
      <c r="AX45" s="77">
        <f>AS45</f>
        <v>2.5</v>
      </c>
      <c r="AY45" s="77">
        <f>AS45</f>
        <v>2.5</v>
      </c>
      <c r="AZ45" s="77">
        <f>AS45</f>
        <v>2.5</v>
      </c>
      <c r="BI45" s="77" t="s">
        <v>187</v>
      </c>
      <c r="BJ45" s="77">
        <f>IF(Sheet1!J6=0,2.5,4.5)</f>
        <v>2.5</v>
      </c>
      <c r="BK45" s="77">
        <f>BJ45</f>
        <v>2.5</v>
      </c>
      <c r="BL45" s="77">
        <f>BJ45</f>
        <v>2.5</v>
      </c>
      <c r="BM45" s="77">
        <f>BJ45</f>
        <v>2.5</v>
      </c>
      <c r="BN45" s="77">
        <f>BJ45</f>
        <v>2.5</v>
      </c>
      <c r="BO45" s="77">
        <f>BJ45</f>
        <v>2.5</v>
      </c>
      <c r="BP45" s="77">
        <f>BJ45</f>
        <v>2.5</v>
      </c>
      <c r="BQ45" s="77">
        <f>BJ45</f>
        <v>2.5</v>
      </c>
    </row>
    <row r="46" spans="2:69" s="62" customFormat="1" hidden="1" x14ac:dyDescent="0.3">
      <c r="I46" s="77" t="s">
        <v>188</v>
      </c>
      <c r="J46" s="77">
        <f>IF(Sheet1!O6=0,0,1)</f>
        <v>0</v>
      </c>
      <c r="K46" s="77">
        <f>J46</f>
        <v>0</v>
      </c>
      <c r="L46" s="77">
        <f>J46</f>
        <v>0</v>
      </c>
      <c r="M46" s="77">
        <f>J46</f>
        <v>0</v>
      </c>
      <c r="N46" s="77">
        <f>J46</f>
        <v>0</v>
      </c>
      <c r="O46" s="77">
        <f>J46</f>
        <v>0</v>
      </c>
      <c r="P46" s="77">
        <f>J46</f>
        <v>0</v>
      </c>
      <c r="Q46" s="77">
        <f>J46</f>
        <v>0</v>
      </c>
      <c r="AA46" s="77" t="s">
        <v>188</v>
      </c>
      <c r="AB46" s="77">
        <f>IF(Sheet1!T6=0,0,1)</f>
        <v>0</v>
      </c>
      <c r="AC46" s="77">
        <f>AB46</f>
        <v>0</v>
      </c>
      <c r="AD46" s="77">
        <f>AB46</f>
        <v>0</v>
      </c>
      <c r="AE46" s="77">
        <f>AB46</f>
        <v>0</v>
      </c>
      <c r="AF46" s="77">
        <f>AB46</f>
        <v>0</v>
      </c>
      <c r="AG46" s="77">
        <f>AB46</f>
        <v>0</v>
      </c>
      <c r="AH46" s="77">
        <f>AB46</f>
        <v>0</v>
      </c>
      <c r="AI46" s="77">
        <f>AB46</f>
        <v>0</v>
      </c>
      <c r="AR46" s="77" t="s">
        <v>188</v>
      </c>
      <c r="AS46" s="77">
        <f>IF(Sheet1!E6=0,0,1)</f>
        <v>0</v>
      </c>
      <c r="AT46" s="77">
        <f>AS46</f>
        <v>0</v>
      </c>
      <c r="AU46" s="77">
        <f>AS46</f>
        <v>0</v>
      </c>
      <c r="AV46" s="77">
        <f>AS46</f>
        <v>0</v>
      </c>
      <c r="AW46" s="77">
        <f>AS46</f>
        <v>0</v>
      </c>
      <c r="AX46" s="77">
        <f>AS46</f>
        <v>0</v>
      </c>
      <c r="AY46" s="77">
        <f>AS46</f>
        <v>0</v>
      </c>
      <c r="AZ46" s="77">
        <f>AS46</f>
        <v>0</v>
      </c>
      <c r="BI46" s="77" t="s">
        <v>188</v>
      </c>
      <c r="BJ46" s="77">
        <f>IF(Sheet1!J6=0,0,1)</f>
        <v>0</v>
      </c>
      <c r="BK46" s="77">
        <f>BJ46</f>
        <v>0</v>
      </c>
      <c r="BL46" s="77">
        <f>BJ46</f>
        <v>0</v>
      </c>
      <c r="BM46" s="77">
        <f>BJ46</f>
        <v>0</v>
      </c>
      <c r="BN46" s="77">
        <f>BJ46</f>
        <v>0</v>
      </c>
      <c r="BO46" s="77">
        <f>BJ46</f>
        <v>0</v>
      </c>
      <c r="BP46" s="77">
        <f>BJ46</f>
        <v>0</v>
      </c>
      <c r="BQ46" s="77">
        <f>BJ46</f>
        <v>0</v>
      </c>
    </row>
    <row r="47" spans="2:69" s="62" customFormat="1" hidden="1" x14ac:dyDescent="0.3"/>
    <row r="48" spans="2:69" s="62" customFormat="1" hidden="1" x14ac:dyDescent="0.3">
      <c r="B48" s="539" t="s">
        <v>192</v>
      </c>
      <c r="C48" s="62" t="s">
        <v>189</v>
      </c>
      <c r="D48" s="62">
        <f>IF(C13&gt;=2,((C26-1)+EXP(-1*C26*C11*C35/600))/C26,0)</f>
        <v>0</v>
      </c>
      <c r="T48" s="539" t="s">
        <v>192</v>
      </c>
      <c r="U48" s="62" t="s">
        <v>189</v>
      </c>
      <c r="V48" s="62">
        <f>IF(U13&gt;=2,((U26-1)+EXP(-1*U26*U11*U35/600))/U26,0)</f>
        <v>0</v>
      </c>
      <c r="AK48" s="539" t="s">
        <v>192</v>
      </c>
      <c r="AL48" s="62" t="s">
        <v>189</v>
      </c>
      <c r="AM48" s="62" t="e">
        <f>IF(AL13&gt;=2,((AL26-1)+EXP(-1*AL26*AL11*AL35/600))/AL26,0)</f>
        <v>#DIV/0!</v>
      </c>
      <c r="BB48" s="539" t="s">
        <v>192</v>
      </c>
      <c r="BC48" s="62" t="s">
        <v>189</v>
      </c>
      <c r="BD48" s="62">
        <f>IF(BC13&gt;=2,((BC26-1)+EXP(-1*BC26*BC11*BC35/600))/BC26,0)</f>
        <v>0.84890181442617796</v>
      </c>
    </row>
    <row r="49" spans="2:57" s="62" customFormat="1" hidden="1" x14ac:dyDescent="0.3">
      <c r="B49" s="539"/>
      <c r="C49" s="62" t="s">
        <v>190</v>
      </c>
      <c r="D49" s="62">
        <f>IF(SUM(Sheet1!N5:P5)=1,EXP(-0.02*(C35+10*C34)*C11*0.0444),0)</f>
        <v>0</v>
      </c>
      <c r="E49" s="62">
        <f>IF('Phase designation'!B22=2,MAX('Lane volumes'!D48:D50),1)</f>
        <v>0.51254607789518969</v>
      </c>
      <c r="T49" s="539"/>
      <c r="U49" s="62" t="s">
        <v>190</v>
      </c>
      <c r="V49" s="62">
        <f>IF(SUM(Sheet1!S5:U5)=1,EXP(-0.02*(U35+10*U34)*U11*0.0444),0)</f>
        <v>0</v>
      </c>
      <c r="W49" s="62">
        <f>IF('Phase designation'!T22=2,MAX('Lane volumes'!V48:V50),1)</f>
        <v>1</v>
      </c>
      <c r="AK49" s="539"/>
      <c r="AL49" s="62" t="s">
        <v>190</v>
      </c>
      <c r="AM49" s="62">
        <f>IF(SUM(Sheet1!D5:F5)=1,EXP(-0.02*(AL35+10*AL34)*AL11*0.0444),0)</f>
        <v>0</v>
      </c>
      <c r="AN49" s="62">
        <f>IF('Phase designation'!F22=2,MAX('Lane volumes'!AM48:AM50),1)</f>
        <v>1</v>
      </c>
      <c r="BB49" s="539"/>
      <c r="BC49" s="62" t="s">
        <v>190</v>
      </c>
      <c r="BD49" s="62">
        <f>IF(SUM(Sheet1!I5:K5)=1,EXP(-0.02*(BC35+10*BC34)*BC11*0.0444),0)</f>
        <v>0</v>
      </c>
      <c r="BE49" s="62">
        <f>IF('Phase designation'!H22=2,MAX('Lane volumes'!BD48:BD50),1)</f>
        <v>1</v>
      </c>
    </row>
    <row r="50" spans="2:57" s="62" customFormat="1" hidden="1" x14ac:dyDescent="0.3">
      <c r="B50" s="539"/>
      <c r="C50" s="62" t="s">
        <v>191</v>
      </c>
      <c r="D50" s="62">
        <f>((C26-1)+EXP(-1*C11*0.0444))/C26</f>
        <v>0.51254607789518969</v>
      </c>
      <c r="T50" s="539"/>
      <c r="U50" s="62" t="s">
        <v>191</v>
      </c>
      <c r="V50" s="62">
        <f>((U26-1)+EXP(-1*U11*0.0444))/U26</f>
        <v>0.50031480814110429</v>
      </c>
      <c r="AK50" s="539"/>
      <c r="AL50" s="62" t="s">
        <v>191</v>
      </c>
      <c r="AM50" s="62" t="e">
        <f>((AL26-1)+EXP(-1*AL11*0.0444))/AL26</f>
        <v>#DIV/0!</v>
      </c>
      <c r="BB50" s="539"/>
      <c r="BC50" s="62" t="s">
        <v>191</v>
      </c>
      <c r="BD50" s="62">
        <f>((BC26-1)+EXP(-1*BC11*0.0444))/BC26</f>
        <v>0.75216119415369065</v>
      </c>
    </row>
    <row r="51" spans="2:57" s="62" customFormat="1" hidden="1" x14ac:dyDescent="0.3"/>
    <row r="52" spans="2:57" s="62" customFormat="1" hidden="1" x14ac:dyDescent="0.3">
      <c r="B52" s="539" t="s">
        <v>194</v>
      </c>
      <c r="C52" s="62" t="s">
        <v>195</v>
      </c>
      <c r="D52" s="62">
        <f>IF(C12&lt;1220,1/(1+(C34*(235+0.435*C12)/(1400-C12))),0)</f>
        <v>0.35439823369436474</v>
      </c>
      <c r="E52" s="62">
        <f>IF('Phase designation'!B22=3,MAX('Lane volumes'!D52:D53),1)</f>
        <v>1</v>
      </c>
      <c r="T52" s="539" t="s">
        <v>194</v>
      </c>
      <c r="U52" s="62" t="s">
        <v>195</v>
      </c>
      <c r="V52" s="62">
        <f>IF(U12&lt;1220,1/(1+(U34*(235+0.435*U12)/(1400-U12))),0)</f>
        <v>0.70588319093392404</v>
      </c>
      <c r="W52" s="62">
        <f>IF('Phase designation'!T22=3,MAX('Lane volumes'!V52:V53),1)</f>
        <v>1</v>
      </c>
      <c r="AK52" s="539" t="s">
        <v>194</v>
      </c>
      <c r="AL52" s="62" t="s">
        <v>195</v>
      </c>
      <c r="AM52" s="62">
        <f>IF(AL12&lt;1220,1/(1+(AL34*(235+0.435*AL12)/(1400-AL12))),0)</f>
        <v>0.48634203765284117</v>
      </c>
      <c r="AN52" s="62">
        <f>IF('Phase designation'!F22=3,MAX('Lane volumes'!AM52:AM53),1)</f>
        <v>1</v>
      </c>
      <c r="BB52" s="539" t="s">
        <v>194</v>
      </c>
      <c r="BC52" s="62" t="s">
        <v>195</v>
      </c>
      <c r="BD52" s="62">
        <f>IF(BC12&lt;1220,1/(1+(BC34*(235+0.435*BC12)/(1400-BC12))),0)</f>
        <v>0.85626911314984699</v>
      </c>
      <c r="BE52" s="62">
        <f>IF('Phase designation'!H22=3,MAX('Lane volumes'!BD52:BD53),1)</f>
        <v>1</v>
      </c>
    </row>
    <row r="53" spans="2:57" s="62" customFormat="1" hidden="1" x14ac:dyDescent="0.3">
      <c r="B53" s="539"/>
      <c r="C53" s="62" t="s">
        <v>196</v>
      </c>
      <c r="D53" s="62">
        <f>IF(C12&gt;=1220,1/(1+4.525*C34),0)</f>
        <v>0</v>
      </c>
      <c r="T53" s="539"/>
      <c r="U53" s="62" t="s">
        <v>196</v>
      </c>
      <c r="V53" s="62">
        <f>IF(U12&gt;=1220,1/(1+4.525*U34),0)</f>
        <v>0</v>
      </c>
      <c r="AK53" s="539"/>
      <c r="AL53" s="62" t="s">
        <v>196</v>
      </c>
      <c r="AM53" s="62">
        <f>IF(AL12&gt;=1220,1/(1+4.525*AL34),0)</f>
        <v>0</v>
      </c>
      <c r="BB53" s="539"/>
      <c r="BC53" s="62" t="s">
        <v>196</v>
      </c>
      <c r="BD53" s="62">
        <f>IF(BC12&gt;=1220,1/(1+4.525*BC34),0)</f>
        <v>0</v>
      </c>
    </row>
    <row r="54" spans="2:57" s="62" customFormat="1" hidden="1" x14ac:dyDescent="0.3"/>
    <row r="55" spans="2:57" s="62" customFormat="1" hidden="1" x14ac:dyDescent="0.3"/>
    <row r="56" spans="2:57" s="62" customFormat="1" hidden="1" x14ac:dyDescent="0.3">
      <c r="B56" s="333" t="s">
        <v>363</v>
      </c>
      <c r="C56" s="324">
        <f>IF(Sheet1!N4&gt;0,ROUND(Sheet1!N4/SUM(Sheet1!N4:P4),2),0)</f>
        <v>0.17</v>
      </c>
      <c r="D56" s="62">
        <f>IF(C13=0,0,1)</f>
        <v>1</v>
      </c>
      <c r="T56" s="333" t="s">
        <v>363</v>
      </c>
      <c r="U56" s="324">
        <f>IF(Sheet1!S4&gt;0,ROUND(Sheet1!S4/SUM(Sheet1!S4:U4),2),0)</f>
        <v>0.14000000000000001</v>
      </c>
      <c r="V56" s="62">
        <f>IF(U13=0,U560,1)</f>
        <v>1</v>
      </c>
      <c r="AK56" s="333" t="s">
        <v>363</v>
      </c>
      <c r="AL56" s="324">
        <f>IF((Sheet1!D4+Sheet1!W4+Sheet1!Z4)&gt;0,ROUND((Sheet1!D4+Sheet1!W4+Sheet1!Z4)/SUM(Sheet1!D4:F4,Sheet1!W4:AB4),2),0)</f>
        <v>1</v>
      </c>
      <c r="AM56" s="62">
        <f>IF(AL13=0,AL560,1)</f>
        <v>1</v>
      </c>
      <c r="BB56" s="333" t="s">
        <v>363</v>
      </c>
      <c r="BC56" s="324">
        <f>IF((Sheet1!I4+Sheet1!AC4+Sheet1!AF4)&gt;0,ROUND((Sheet1!I4+Sheet1!AC4+Sheet1!AF4)/SUM(Sheet1!I4:K4,Sheet1!AC4:AE4,Sheet1!AF4:AH4),2),0)</f>
        <v>0.11</v>
      </c>
      <c r="BD56" s="62">
        <f>IF(BC13=0,BC560,1)</f>
        <v>1</v>
      </c>
    </row>
    <row r="57" spans="2:57" s="62" customFormat="1" hidden="1" x14ac:dyDescent="0.3">
      <c r="B57" s="333" t="s">
        <v>364</v>
      </c>
      <c r="C57" s="324">
        <f>IF(Sheet1!N4&gt;0,ROUND(Sheet1!N4/SUM(Sheet1!N4:P4),2),0)</f>
        <v>0.17</v>
      </c>
      <c r="D57" s="62">
        <f>IF(C13=0,C57,0)</f>
        <v>0</v>
      </c>
      <c r="T57" s="333" t="s">
        <v>364</v>
      </c>
      <c r="U57" s="324">
        <f>IF(Sheet1!S4&gt;0,ROUND(Sheet1!S4/SUM(Sheet1!S4:U4),2),0)</f>
        <v>0.14000000000000001</v>
      </c>
      <c r="V57" s="62">
        <f>IF(U13=0,U57,0)</f>
        <v>0</v>
      </c>
      <c r="AK57" s="333" t="s">
        <v>364</v>
      </c>
      <c r="AL57" s="324">
        <f>IF((Sheet1!D4+Sheet1!W4+Sheet1!Z4)&gt;0,ROUND((Sheet1!D4+Sheet1!W4+Sheet1!Z4)/SUM(Sheet1!D4:F4,Sheet1!W4:AB4),2),0)</f>
        <v>1</v>
      </c>
      <c r="AM57" s="62">
        <f>IF(AL13=0,AL57,0)</f>
        <v>0</v>
      </c>
      <c r="BB57" s="333" t="s">
        <v>364</v>
      </c>
      <c r="BC57" s="324">
        <f>IF((Sheet1!I4+Sheet1!AC4+Sheet1!AF4)&gt;0,ROUND((Sheet1!I4+Sheet1!AC4+Sheet1!AF4)/SUM(Sheet1!I4:K4,Sheet1!AC4:AE4,Sheet1!AF4:AH4),2),0)</f>
        <v>0.11</v>
      </c>
      <c r="BD57" s="62">
        <f>IF(BC13=0,BC57,0)</f>
        <v>0</v>
      </c>
    </row>
    <row r="58" spans="2:57" s="62" customFormat="1" x14ac:dyDescent="0.3"/>
    <row r="59" spans="2:57" s="62" customFormat="1" x14ac:dyDescent="0.3"/>
    <row r="60" spans="2:57" s="62" customFormat="1" x14ac:dyDescent="0.3"/>
    <row r="61" spans="2:57" s="62" customFormat="1" x14ac:dyDescent="0.3"/>
    <row r="62" spans="2:57" s="62" customFormat="1" x14ac:dyDescent="0.3"/>
    <row r="63" spans="2:57" s="62" customFormat="1" x14ac:dyDescent="0.3"/>
    <row r="64" spans="2:57" s="62" customFormat="1" x14ac:dyDescent="0.3"/>
  </sheetData>
  <mergeCells count="20">
    <mergeCell ref="AK2:AN2"/>
    <mergeCell ref="AK15:AK16"/>
    <mergeCell ref="AL40:AR40"/>
    <mergeCell ref="AK48:AK50"/>
    <mergeCell ref="AK52:AK53"/>
    <mergeCell ref="BB2:BE2"/>
    <mergeCell ref="BB15:BB16"/>
    <mergeCell ref="BC40:BI40"/>
    <mergeCell ref="BB48:BB50"/>
    <mergeCell ref="BB52:BB53"/>
    <mergeCell ref="B2:E2"/>
    <mergeCell ref="B15:B16"/>
    <mergeCell ref="C40:I40"/>
    <mergeCell ref="B48:B50"/>
    <mergeCell ref="B52:B53"/>
    <mergeCell ref="T2:W2"/>
    <mergeCell ref="T15:T16"/>
    <mergeCell ref="U40:AA40"/>
    <mergeCell ref="T48:T50"/>
    <mergeCell ref="T52:T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X160"/>
  <sheetViews>
    <sheetView zoomScale="80" zoomScaleNormal="80" workbookViewId="0">
      <selection activeCell="D161" sqref="D161"/>
    </sheetView>
  </sheetViews>
  <sheetFormatPr defaultColWidth="9.109375" defaultRowHeight="14.4" x14ac:dyDescent="0.3"/>
  <cols>
    <col min="1" max="1" width="9.109375" style="3"/>
    <col min="2" max="2" width="31.109375" style="3" customWidth="1"/>
    <col min="3" max="4" width="15.109375" style="3" bestFit="1" customWidth="1"/>
    <col min="5" max="5" width="15.109375" style="242" bestFit="1" customWidth="1"/>
    <col min="6" max="7" width="15.109375" style="3" bestFit="1" customWidth="1"/>
    <col min="8" max="8" width="9.109375" style="242"/>
    <col min="9" max="10" width="9.109375" style="3"/>
    <col min="11" max="11" width="9.109375" style="242"/>
    <col min="12" max="13" width="9.109375" style="3"/>
    <col min="14" max="14" width="9.109375" style="242" customWidth="1"/>
    <col min="15" max="15" width="9.109375" style="3" hidden="1" customWidth="1"/>
    <col min="16" max="16" width="9.109375" style="291" hidden="1" customWidth="1"/>
    <col min="17" max="18" width="9.109375" style="3" hidden="1" customWidth="1"/>
    <col min="19" max="19" width="10.6640625" style="3" hidden="1" customWidth="1"/>
    <col min="20" max="20" width="9.5546875" style="3" hidden="1" customWidth="1"/>
    <col min="21" max="24" width="9.109375" style="3" hidden="1" customWidth="1"/>
    <col min="25" max="29" width="13.6640625" style="3" hidden="1" customWidth="1"/>
    <col min="30" max="30" width="10.6640625" style="3" hidden="1" customWidth="1"/>
    <col min="31" max="32" width="25.6640625" style="78" hidden="1" customWidth="1"/>
    <col min="33" max="34" width="9.109375" style="78" hidden="1" customWidth="1"/>
    <col min="35" max="35" width="17" style="78" hidden="1" customWidth="1"/>
    <col min="36" max="36" width="9.109375" style="78" hidden="1" customWidth="1"/>
    <col min="37" max="39" width="9.109375" style="77" hidden="1" customWidth="1"/>
    <col min="40" max="40" width="17" style="77" hidden="1" customWidth="1"/>
    <col min="41" max="44" width="9.109375" style="77" hidden="1" customWidth="1"/>
    <col min="45" max="45" width="16.33203125" style="77" hidden="1" customWidth="1"/>
    <col min="46" max="48" width="9.109375" style="77" hidden="1" customWidth="1"/>
    <col min="49" max="60" width="9.109375" style="3" hidden="1" customWidth="1"/>
    <col min="61" max="61" width="7.6640625" style="3" customWidth="1"/>
    <col min="62" max="62" width="8.33203125" style="3" customWidth="1"/>
    <col min="63" max="63" width="20.5546875" style="434" bestFit="1" customWidth="1"/>
    <col min="64" max="16384" width="9.109375" style="3"/>
  </cols>
  <sheetData>
    <row r="1" spans="2:76" x14ac:dyDescent="0.3">
      <c r="B1" s="530" t="s">
        <v>204</v>
      </c>
      <c r="C1" s="530"/>
      <c r="D1" s="530"/>
      <c r="E1" s="241"/>
      <c r="Q1" s="101"/>
      <c r="R1" s="101"/>
      <c r="S1" s="101"/>
      <c r="T1" s="101"/>
      <c r="U1" s="101"/>
      <c r="V1" s="101"/>
      <c r="Y1" s="519" t="s">
        <v>378</v>
      </c>
      <c r="Z1" s="519"/>
      <c r="AA1" s="519"/>
      <c r="AB1" s="519"/>
      <c r="AC1" s="519"/>
      <c r="BI1" s="488"/>
      <c r="BJ1" s="488"/>
      <c r="BK1" s="488"/>
      <c r="BL1" s="488"/>
      <c r="BM1" s="488"/>
      <c r="BN1" s="488"/>
      <c r="BO1" s="488"/>
      <c r="BP1" s="488"/>
      <c r="BQ1" s="488"/>
      <c r="BR1" s="488"/>
      <c r="BS1" s="488"/>
      <c r="BT1" s="488"/>
      <c r="BU1" s="488"/>
      <c r="BV1" s="488"/>
      <c r="BW1" s="488"/>
      <c r="BX1" s="488"/>
    </row>
    <row r="2" spans="2:76" x14ac:dyDescent="0.3">
      <c r="B2" s="253" t="s">
        <v>73</v>
      </c>
      <c r="C2" s="254" t="s">
        <v>13</v>
      </c>
      <c r="D2" s="255" t="s">
        <v>14</v>
      </c>
      <c r="E2" s="326" t="s">
        <v>15</v>
      </c>
      <c r="F2" s="254" t="s">
        <v>18</v>
      </c>
      <c r="G2" s="255" t="s">
        <v>19</v>
      </c>
      <c r="H2" s="326" t="s">
        <v>20</v>
      </c>
      <c r="I2" s="254" t="s">
        <v>3</v>
      </c>
      <c r="J2" s="255" t="s">
        <v>4</v>
      </c>
      <c r="K2" s="326" t="s">
        <v>5</v>
      </c>
      <c r="L2" s="254" t="s">
        <v>8</v>
      </c>
      <c r="M2" s="255" t="s">
        <v>9</v>
      </c>
      <c r="N2" s="326" t="s">
        <v>10</v>
      </c>
      <c r="O2" s="250"/>
      <c r="Q2" s="10"/>
      <c r="R2" s="112" t="s">
        <v>205</v>
      </c>
      <c r="S2" s="113">
        <f>'Input sheet'!V3</f>
        <v>1900</v>
      </c>
      <c r="T2" s="101"/>
      <c r="U2" s="10"/>
      <c r="V2" s="10"/>
      <c r="W2" s="5"/>
      <c r="X2" s="319"/>
      <c r="Y2" s="396" t="s">
        <v>377</v>
      </c>
      <c r="Z2" s="334" t="s">
        <v>365</v>
      </c>
      <c r="AA2" s="334" t="s">
        <v>366</v>
      </c>
      <c r="AB2" s="334" t="s">
        <v>367</v>
      </c>
      <c r="AC2" s="334" t="s">
        <v>368</v>
      </c>
      <c r="AD2" s="396" t="s">
        <v>377</v>
      </c>
      <c r="AE2" s="394" t="s">
        <v>386</v>
      </c>
      <c r="AF2" s="338" t="s">
        <v>387</v>
      </c>
      <c r="AH2" s="251" t="s">
        <v>386</v>
      </c>
      <c r="AI2" s="78" t="s">
        <v>390</v>
      </c>
      <c r="AJ2" s="78" t="s">
        <v>124</v>
      </c>
      <c r="AN2" s="77" t="s">
        <v>391</v>
      </c>
      <c r="AO2" s="77" t="s">
        <v>124</v>
      </c>
      <c r="AS2" s="77" t="s">
        <v>392</v>
      </c>
      <c r="AT2" s="77" t="s">
        <v>124</v>
      </c>
      <c r="BI2" s="488" t="s">
        <v>302</v>
      </c>
      <c r="BJ2" s="488" t="s">
        <v>474</v>
      </c>
      <c r="BK2" s="488"/>
      <c r="BL2" s="488" t="s">
        <v>533</v>
      </c>
      <c r="BM2" s="488" t="s">
        <v>534</v>
      </c>
      <c r="BN2" s="488" t="s">
        <v>535</v>
      </c>
      <c r="BO2" s="488" t="s">
        <v>536</v>
      </c>
      <c r="BP2" s="488" t="s">
        <v>537</v>
      </c>
      <c r="BQ2" s="488" t="s">
        <v>538</v>
      </c>
      <c r="BR2" s="488" t="s">
        <v>539</v>
      </c>
      <c r="BS2" s="488" t="s">
        <v>540</v>
      </c>
      <c r="BT2" s="488" t="s">
        <v>541</v>
      </c>
      <c r="BU2" s="488" t="s">
        <v>542</v>
      </c>
      <c r="BV2" s="488" t="s">
        <v>543</v>
      </c>
      <c r="BW2" s="488" t="s">
        <v>544</v>
      </c>
      <c r="BX2" s="488"/>
    </row>
    <row r="3" spans="2:76" x14ac:dyDescent="0.3">
      <c r="B3" s="87" t="s">
        <v>74</v>
      </c>
      <c r="C3" s="249">
        <f>IF(SUM(C6:E6=0),0,'Phase designation'!B3)</f>
        <v>83</v>
      </c>
      <c r="D3" s="377">
        <f>'Phase designation'!C3</f>
        <v>303</v>
      </c>
      <c r="E3" s="45">
        <f>IF(SUM('Phase designation'!B19:H19)&gt;2,0,Sheet1!P4)</f>
        <v>106</v>
      </c>
      <c r="F3" s="249">
        <f>IF(SUM(F6:H6=0),0,'Phase designation'!D3)</f>
        <v>166</v>
      </c>
      <c r="G3" s="377">
        <f>'Phase designation'!E3</f>
        <v>789</v>
      </c>
      <c r="H3" s="45">
        <f>IF(SUM('Phase designation'!B19:H19)&gt;2,0,Sheet1!U4)</f>
        <v>237</v>
      </c>
      <c r="I3" s="249">
        <f>IF(SUM(I6:K6)=0,0,'Phase designation'!F3)</f>
        <v>290</v>
      </c>
      <c r="J3" s="377">
        <f>'Phase designation'!G3</f>
        <v>0</v>
      </c>
      <c r="K3" s="45">
        <f>IF(SUM('Phase designation'!B19:H19)&gt;2,0,Sheet1!F4+Sheet1!Y4+Sheet1!AB4)</f>
        <v>0</v>
      </c>
      <c r="L3" s="249">
        <f>IF(SUM(L6:N6)=0,0,'Phase designation'!H3)</f>
        <v>107</v>
      </c>
      <c r="M3" s="377">
        <f>'Phase designation'!I3</f>
        <v>656</v>
      </c>
      <c r="N3" s="45">
        <f>IF(SUM('Phase designation'!B19:H19)&gt;2,0,Sheet1!K4+Sheet1!AE4+Sheet1!AH4)</f>
        <v>178</v>
      </c>
      <c r="O3" s="250">
        <f>SUM(C3:N3)</f>
        <v>2915</v>
      </c>
      <c r="Q3" s="10"/>
      <c r="R3" s="112" t="s">
        <v>206</v>
      </c>
      <c r="S3" s="113">
        <f>'Input sheet'!V5</f>
        <v>8</v>
      </c>
      <c r="T3" s="10"/>
      <c r="U3" s="10"/>
      <c r="V3" s="10"/>
      <c r="W3" s="5"/>
      <c r="Y3" s="397" t="s">
        <v>369</v>
      </c>
      <c r="Z3" s="168" t="s">
        <v>83</v>
      </c>
      <c r="AA3" s="168" t="s">
        <v>83</v>
      </c>
      <c r="AB3" s="168" t="s">
        <v>83</v>
      </c>
      <c r="AC3" s="168" t="s">
        <v>83</v>
      </c>
      <c r="AD3" s="397" t="s">
        <v>369</v>
      </c>
      <c r="AE3" s="392" t="str">
        <f>Z3&amp;" "&amp;AA3</f>
        <v>Permitted Permitted</v>
      </c>
      <c r="AF3" s="393" t="str">
        <f>AB3&amp;" "&amp;AC3</f>
        <v>Permitted Permitted</v>
      </c>
      <c r="AI3" s="78" t="s">
        <v>377</v>
      </c>
      <c r="AJ3" s="78">
        <v>1</v>
      </c>
      <c r="AK3" s="77">
        <v>2</v>
      </c>
      <c r="AL3" s="77">
        <v>3</v>
      </c>
      <c r="AN3" s="77" t="s">
        <v>377</v>
      </c>
      <c r="AO3" s="77">
        <v>1</v>
      </c>
      <c r="AP3" s="77">
        <v>2</v>
      </c>
      <c r="AQ3" s="77">
        <v>3</v>
      </c>
      <c r="AS3" s="77" t="s">
        <v>377</v>
      </c>
      <c r="AT3" s="77">
        <v>1</v>
      </c>
      <c r="AU3" s="77">
        <v>2</v>
      </c>
      <c r="AV3" s="77">
        <v>3</v>
      </c>
      <c r="BI3" s="488">
        <f>MAX(F24,'Input sheet'!V8)</f>
        <v>120</v>
      </c>
      <c r="BJ3" s="488">
        <f>'Input sheet'!V9</f>
        <v>150</v>
      </c>
      <c r="BK3" s="488"/>
      <c r="BL3" s="489">
        <f>BI3</f>
        <v>120</v>
      </c>
      <c r="BM3" s="489">
        <f>IF(BI3+10&lt;=$BJ$3,BI3+10,0)</f>
        <v>130</v>
      </c>
      <c r="BN3" s="489">
        <f>IF(BM3=0,0,IF(BM3+10&lt;=$BJ$3,BM3+10,0))</f>
        <v>140</v>
      </c>
      <c r="BO3" s="489">
        <f t="shared" ref="BO3:BW3" si="0">IF(BN3=0,0,IF(BN3+10&lt;=$BJ$3,BN3+10,0))</f>
        <v>150</v>
      </c>
      <c r="BP3" s="489">
        <f t="shared" si="0"/>
        <v>0</v>
      </c>
      <c r="BQ3" s="489">
        <f t="shared" si="0"/>
        <v>0</v>
      </c>
      <c r="BR3" s="489">
        <f t="shared" si="0"/>
        <v>0</v>
      </c>
      <c r="BS3" s="489">
        <f t="shared" si="0"/>
        <v>0</v>
      </c>
      <c r="BT3" s="489">
        <f t="shared" si="0"/>
        <v>0</v>
      </c>
      <c r="BU3" s="489">
        <f t="shared" si="0"/>
        <v>0</v>
      </c>
      <c r="BV3" s="489">
        <f t="shared" si="0"/>
        <v>0</v>
      </c>
      <c r="BW3" s="489">
        <f t="shared" si="0"/>
        <v>0</v>
      </c>
      <c r="BX3" s="488"/>
    </row>
    <row r="4" spans="2:76" x14ac:dyDescent="0.3">
      <c r="B4" s="256" t="s">
        <v>122</v>
      </c>
      <c r="C4" s="325">
        <f>Sheet1!N31</f>
        <v>1</v>
      </c>
      <c r="D4" s="326">
        <f>Sheet1!O31</f>
        <v>1</v>
      </c>
      <c r="E4" s="326">
        <f>D4</f>
        <v>1</v>
      </c>
      <c r="F4" s="325">
        <f>Sheet1!S31</f>
        <v>1</v>
      </c>
      <c r="G4" s="326">
        <f>Sheet1!T31</f>
        <v>1</v>
      </c>
      <c r="H4" s="326">
        <f>G4</f>
        <v>1</v>
      </c>
      <c r="I4" s="325">
        <f>Sheet1!D31</f>
        <v>1</v>
      </c>
      <c r="J4" s="326">
        <f>Sheet1!E31</f>
        <v>1</v>
      </c>
      <c r="K4" s="326">
        <f>J4</f>
        <v>1</v>
      </c>
      <c r="L4" s="325">
        <f>Sheet1!I31</f>
        <v>1</v>
      </c>
      <c r="M4" s="326">
        <f>Sheet1!J31</f>
        <v>1</v>
      </c>
      <c r="N4" s="326">
        <f>M4</f>
        <v>1</v>
      </c>
      <c r="O4" s="250">
        <f>AVERAGE(C4:M4)</f>
        <v>1</v>
      </c>
      <c r="Q4" s="10"/>
      <c r="R4" s="114" t="s">
        <v>211</v>
      </c>
      <c r="S4" s="115">
        <f>100/(100+S3)</f>
        <v>0.92592592592592593</v>
      </c>
      <c r="T4" s="10"/>
      <c r="U4" s="10"/>
      <c r="V4" s="10"/>
      <c r="W4" s="17"/>
      <c r="Y4" s="397" t="s">
        <v>370</v>
      </c>
      <c r="Z4" s="168" t="s">
        <v>83</v>
      </c>
      <c r="AA4" s="168" t="s">
        <v>376</v>
      </c>
      <c r="AB4" s="168" t="s">
        <v>83</v>
      </c>
      <c r="AC4" s="168" t="s">
        <v>376</v>
      </c>
      <c r="AD4" s="397" t="s">
        <v>370</v>
      </c>
      <c r="AE4" s="392" t="str">
        <f t="shared" ref="AE4:AE10" si="1">Z4&amp;" "&amp;AA4</f>
        <v>Permitted Not opposed</v>
      </c>
      <c r="AF4" s="393" t="str">
        <f t="shared" ref="AF4:AF10" si="2">AB4&amp;" "&amp;AC4</f>
        <v>Permitted Not opposed</v>
      </c>
      <c r="AI4" s="78" t="s">
        <v>369</v>
      </c>
      <c r="AJ4" s="78">
        <v>4</v>
      </c>
      <c r="AN4" s="77" t="s">
        <v>369</v>
      </c>
      <c r="AO4" s="340" t="s">
        <v>393</v>
      </c>
      <c r="AP4" s="340"/>
      <c r="AQ4" s="340"/>
      <c r="AS4" s="77" t="s">
        <v>369</v>
      </c>
      <c r="AT4" s="77">
        <f>MAX(D16,G16,F16)</f>
        <v>395</v>
      </c>
      <c r="BI4" s="488"/>
      <c r="BJ4" s="488"/>
      <c r="BK4" s="488"/>
      <c r="BL4" s="488" t="s">
        <v>545</v>
      </c>
      <c r="BM4" s="488" t="s">
        <v>546</v>
      </c>
      <c r="BN4" s="488" t="s">
        <v>547</v>
      </c>
      <c r="BO4" s="488" t="s">
        <v>548</v>
      </c>
      <c r="BP4" s="488" t="s">
        <v>549</v>
      </c>
      <c r="BQ4" s="488" t="s">
        <v>550</v>
      </c>
      <c r="BR4" s="488" t="s">
        <v>551</v>
      </c>
      <c r="BS4" s="488" t="s">
        <v>552</v>
      </c>
      <c r="BT4" s="488" t="s">
        <v>553</v>
      </c>
      <c r="BU4" s="488" t="s">
        <v>554</v>
      </c>
      <c r="BV4" s="488" t="s">
        <v>555</v>
      </c>
      <c r="BW4" s="488"/>
      <c r="BX4" s="488"/>
    </row>
    <row r="5" spans="2:76" x14ac:dyDescent="0.3">
      <c r="B5" s="324" t="s">
        <v>123</v>
      </c>
      <c r="C5" s="250">
        <f>ROUND(C3/C4,0)</f>
        <v>83</v>
      </c>
      <c r="D5" s="251">
        <f t="shared" ref="D5:N5" si="3">ROUND(D3/D4,0)</f>
        <v>303</v>
      </c>
      <c r="E5" s="251">
        <f t="shared" si="3"/>
        <v>106</v>
      </c>
      <c r="F5" s="250">
        <f t="shared" si="3"/>
        <v>166</v>
      </c>
      <c r="G5" s="251">
        <f t="shared" si="3"/>
        <v>789</v>
      </c>
      <c r="H5" s="251">
        <f t="shared" si="3"/>
        <v>237</v>
      </c>
      <c r="I5" s="250">
        <f t="shared" si="3"/>
        <v>290</v>
      </c>
      <c r="J5" s="251">
        <f t="shared" si="3"/>
        <v>0</v>
      </c>
      <c r="K5" s="251">
        <f t="shared" si="3"/>
        <v>0</v>
      </c>
      <c r="L5" s="250">
        <f t="shared" si="3"/>
        <v>107</v>
      </c>
      <c r="M5" s="251">
        <f t="shared" si="3"/>
        <v>656</v>
      </c>
      <c r="N5" s="251">
        <f t="shared" si="3"/>
        <v>178</v>
      </c>
      <c r="O5" s="250"/>
      <c r="Q5" s="10"/>
      <c r="R5" s="10"/>
      <c r="S5" s="101" t="s">
        <v>209</v>
      </c>
      <c r="T5" s="10"/>
      <c r="U5" s="10"/>
      <c r="V5" s="10"/>
      <c r="W5" s="5"/>
      <c r="Y5" s="397" t="s">
        <v>371</v>
      </c>
      <c r="Z5" s="168" t="s">
        <v>376</v>
      </c>
      <c r="AA5" s="168" t="s">
        <v>83</v>
      </c>
      <c r="AB5" s="168" t="s">
        <v>376</v>
      </c>
      <c r="AC5" s="168" t="s">
        <v>83</v>
      </c>
      <c r="AD5" s="397" t="s">
        <v>371</v>
      </c>
      <c r="AE5" s="392" t="str">
        <f t="shared" si="1"/>
        <v>Not opposed Permitted</v>
      </c>
      <c r="AF5" s="393" t="str">
        <f t="shared" si="2"/>
        <v>Not opposed Permitted</v>
      </c>
      <c r="AI5" s="78" t="s">
        <v>370</v>
      </c>
      <c r="AJ5" s="78">
        <v>4</v>
      </c>
      <c r="AN5" s="77" t="s">
        <v>370</v>
      </c>
      <c r="AO5" s="340" t="s">
        <v>393</v>
      </c>
      <c r="AP5" s="340"/>
      <c r="AQ5" s="340"/>
      <c r="AS5" s="77" t="s">
        <v>370</v>
      </c>
      <c r="AT5" s="324">
        <f>MAX(D16,G16,F16)</f>
        <v>395</v>
      </c>
      <c r="BI5" s="488"/>
      <c r="BJ5" s="488"/>
      <c r="BK5" s="488"/>
      <c r="BL5" s="488">
        <v>110.24</v>
      </c>
      <c r="BM5" s="488">
        <v>67.22</v>
      </c>
      <c r="BN5" s="488">
        <v>51.42</v>
      </c>
      <c r="BO5" s="488">
        <v>44.56</v>
      </c>
      <c r="BP5" s="488">
        <v>45.76</v>
      </c>
      <c r="BQ5" s="488">
        <v>48.69</v>
      </c>
      <c r="BR5" s="488">
        <v>51.8</v>
      </c>
      <c r="BS5" s="488">
        <v>0</v>
      </c>
      <c r="BT5" s="488">
        <v>0</v>
      </c>
      <c r="BU5" s="488">
        <v>0</v>
      </c>
      <c r="BV5" s="488">
        <v>0</v>
      </c>
      <c r="BW5" s="488">
        <v>0</v>
      </c>
      <c r="BX5" s="488"/>
    </row>
    <row r="6" spans="2:76" ht="15" customHeight="1" x14ac:dyDescent="0.3">
      <c r="B6" s="256" t="s">
        <v>127</v>
      </c>
      <c r="C6" s="325">
        <f>'Phase designation'!B6</f>
        <v>1</v>
      </c>
      <c r="D6" s="325">
        <f>'Phase designation'!C6</f>
        <v>2</v>
      </c>
      <c r="E6" s="326">
        <f>IF(SUM('Phase designation'!B19:H19)&gt;2,0,'Summary sheet'!U13)</f>
        <v>4</v>
      </c>
      <c r="F6" s="325">
        <f>'Phase designation'!D6</f>
        <v>1</v>
      </c>
      <c r="G6" s="325">
        <f>'Phase designation'!E6</f>
        <v>2</v>
      </c>
      <c r="H6" s="326">
        <f>IF(SUM('Phase designation'!B19:H19)&gt;2,0,'Summary sheet'!AA9)</f>
        <v>5</v>
      </c>
      <c r="I6" s="325">
        <f>'Phase designation'!F6</f>
        <v>2</v>
      </c>
      <c r="J6" s="325">
        <f>'Phase designation'!G6</f>
        <v>0</v>
      </c>
      <c r="K6" s="326">
        <f>IF(SUM('Phase designation'!B19:H19)&gt;2,0,'Summary sheet'!Y17)</f>
        <v>0</v>
      </c>
      <c r="L6" s="325">
        <f>'Phase designation'!H6</f>
        <v>2</v>
      </c>
      <c r="M6" s="325">
        <f>'Phase designation'!I6</f>
        <v>4</v>
      </c>
      <c r="N6" s="326">
        <f>IF(SUM('Phase designation'!B19:H19)&gt;2,0,'Summary sheet'!W4)</f>
        <v>5</v>
      </c>
      <c r="O6" s="250"/>
      <c r="Q6" s="10"/>
      <c r="R6" s="545" t="s">
        <v>207</v>
      </c>
      <c r="S6" s="101">
        <v>1</v>
      </c>
      <c r="T6" s="101">
        <v>1</v>
      </c>
      <c r="U6" s="10"/>
      <c r="V6" s="10"/>
      <c r="W6" s="5"/>
      <c r="Y6" s="397" t="s">
        <v>372</v>
      </c>
      <c r="Z6" s="168" t="s">
        <v>83</v>
      </c>
      <c r="AA6" s="168" t="s">
        <v>82</v>
      </c>
      <c r="AB6" s="168" t="s">
        <v>83</v>
      </c>
      <c r="AC6" s="168" t="s">
        <v>82</v>
      </c>
      <c r="AD6" s="397" t="s">
        <v>372</v>
      </c>
      <c r="AE6" s="392" t="str">
        <f t="shared" si="1"/>
        <v>Permitted Protected</v>
      </c>
      <c r="AF6" s="393" t="str">
        <f t="shared" si="2"/>
        <v>Permitted Protected</v>
      </c>
      <c r="AI6" s="78" t="s">
        <v>371</v>
      </c>
      <c r="AJ6" s="78">
        <v>4</v>
      </c>
      <c r="AN6" s="77" t="s">
        <v>371</v>
      </c>
      <c r="AO6" s="340" t="s">
        <v>393</v>
      </c>
      <c r="AP6" s="340"/>
      <c r="AQ6" s="340"/>
      <c r="AS6" s="77" t="s">
        <v>371</v>
      </c>
      <c r="AT6" s="324">
        <f>MAX(D16,G16,F16)</f>
        <v>395</v>
      </c>
      <c r="BI6" s="488"/>
      <c r="BJ6" s="488"/>
      <c r="BK6" s="488"/>
      <c r="BL6" s="489">
        <f>IF(BL5=0,"",BL5)</f>
        <v>110.24</v>
      </c>
      <c r="BM6" s="489">
        <f>IF(BM5=0,"",BM5)</f>
        <v>67.22</v>
      </c>
      <c r="BN6" s="489">
        <f t="shared" ref="BN6:BW6" si="4">IF(BN5=0,"",BN5)</f>
        <v>51.42</v>
      </c>
      <c r="BO6" s="489">
        <f t="shared" si="4"/>
        <v>44.56</v>
      </c>
      <c r="BP6" s="489">
        <f t="shared" si="4"/>
        <v>45.76</v>
      </c>
      <c r="BQ6" s="489">
        <f t="shared" si="4"/>
        <v>48.69</v>
      </c>
      <c r="BR6" s="489">
        <f t="shared" si="4"/>
        <v>51.8</v>
      </c>
      <c r="BS6" s="489" t="str">
        <f t="shared" si="4"/>
        <v/>
      </c>
      <c r="BT6" s="489" t="str">
        <f t="shared" si="4"/>
        <v/>
      </c>
      <c r="BU6" s="489" t="str">
        <f t="shared" si="4"/>
        <v/>
      </c>
      <c r="BV6" s="489" t="str">
        <f t="shared" si="4"/>
        <v/>
      </c>
      <c r="BW6" s="489" t="str">
        <f t="shared" si="4"/>
        <v/>
      </c>
      <c r="BX6" s="488"/>
    </row>
    <row r="7" spans="2:76" s="69" customFormat="1" hidden="1" x14ac:dyDescent="0.3">
      <c r="B7" s="324" t="s">
        <v>131</v>
      </c>
      <c r="C7" s="250">
        <f>IF(C6&gt;0,ROUND(C5/C6,0),0)</f>
        <v>83</v>
      </c>
      <c r="D7" s="251">
        <f t="shared" ref="D7:M7" si="5">IF(D6&gt;0,ROUND(D5/D6,0),0)</f>
        <v>152</v>
      </c>
      <c r="E7" s="251"/>
      <c r="F7" s="250">
        <f t="shared" si="5"/>
        <v>166</v>
      </c>
      <c r="G7" s="251">
        <f t="shared" si="5"/>
        <v>395</v>
      </c>
      <c r="H7" s="251"/>
      <c r="I7" s="250">
        <f t="shared" si="5"/>
        <v>145</v>
      </c>
      <c r="J7" s="251">
        <f t="shared" si="5"/>
        <v>0</v>
      </c>
      <c r="K7" s="251"/>
      <c r="L7" s="250">
        <f t="shared" si="5"/>
        <v>54</v>
      </c>
      <c r="M7" s="251">
        <f t="shared" si="5"/>
        <v>164</v>
      </c>
      <c r="N7" s="251"/>
      <c r="O7" s="250"/>
      <c r="P7" s="291"/>
      <c r="Q7" s="102"/>
      <c r="R7" s="545"/>
      <c r="S7" s="101">
        <v>2</v>
      </c>
      <c r="T7" s="101">
        <v>0.95199999999999996</v>
      </c>
      <c r="U7" s="10"/>
      <c r="V7" s="103"/>
      <c r="W7" s="5"/>
      <c r="Y7" s="397" t="s">
        <v>373</v>
      </c>
      <c r="Z7" s="168" t="s">
        <v>82</v>
      </c>
      <c r="AA7" s="168" t="s">
        <v>83</v>
      </c>
      <c r="AB7" s="168" t="s">
        <v>82</v>
      </c>
      <c r="AC7" s="168" t="s">
        <v>83</v>
      </c>
      <c r="AD7" s="397" t="s">
        <v>373</v>
      </c>
      <c r="AE7" s="392" t="str">
        <f t="shared" si="1"/>
        <v>Protected Permitted</v>
      </c>
      <c r="AF7" s="393" t="str">
        <f t="shared" si="2"/>
        <v>Protected Permitted</v>
      </c>
      <c r="AG7" s="78"/>
      <c r="AH7" s="78"/>
      <c r="AI7" s="78" t="s">
        <v>372</v>
      </c>
      <c r="AJ7" s="78">
        <v>4</v>
      </c>
      <c r="AK7" s="77">
        <v>4</v>
      </c>
      <c r="AL7" s="77"/>
      <c r="AM7" s="77"/>
      <c r="AN7" s="77" t="s">
        <v>372</v>
      </c>
      <c r="AO7" s="340" t="s">
        <v>394</v>
      </c>
      <c r="AP7" s="340" t="s">
        <v>393</v>
      </c>
      <c r="AQ7" s="340"/>
      <c r="AR7" s="77"/>
      <c r="AS7" s="77" t="s">
        <v>372</v>
      </c>
      <c r="AT7" s="77">
        <f>F16</f>
        <v>0</v>
      </c>
      <c r="AU7" s="77">
        <f>MAX(G16-F16,D16)</f>
        <v>395</v>
      </c>
      <c r="AV7" s="77"/>
      <c r="BI7" s="488"/>
      <c r="BJ7" s="488"/>
      <c r="BK7" s="488"/>
      <c r="BL7" s="488"/>
      <c r="BM7" s="488"/>
      <c r="BN7" s="488"/>
      <c r="BO7" s="488"/>
      <c r="BP7" s="488"/>
      <c r="BQ7" s="488"/>
      <c r="BR7" s="488"/>
      <c r="BS7" s="488"/>
      <c r="BT7" s="488"/>
      <c r="BU7" s="488"/>
      <c r="BV7" s="488"/>
      <c r="BW7" s="488"/>
      <c r="BX7" s="488"/>
    </row>
    <row r="8" spans="2:76" s="242" customFormat="1" x14ac:dyDescent="0.3">
      <c r="B8" s="324" t="s">
        <v>330</v>
      </c>
      <c r="C8" s="250"/>
      <c r="D8" s="251"/>
      <c r="E8" s="251">
        <f>ROUND('Input sheet'!G17/100*E5,0)</f>
        <v>53</v>
      </c>
      <c r="F8" s="250"/>
      <c r="G8" s="251"/>
      <c r="H8" s="251">
        <f>ROUND('Input sheet'!N11/100*H5,0)</f>
        <v>119</v>
      </c>
      <c r="I8" s="250"/>
      <c r="J8" s="251"/>
      <c r="K8" s="251">
        <f>ROUND('Input sheet'!L22/100*K5,0)</f>
        <v>0</v>
      </c>
      <c r="L8" s="250"/>
      <c r="M8" s="251"/>
      <c r="N8" s="251">
        <f>ROUND('Input sheet'!H7/100*N5,0)</f>
        <v>89</v>
      </c>
      <c r="O8" s="250"/>
      <c r="P8" s="291"/>
      <c r="Q8" s="102"/>
      <c r="R8" s="545"/>
      <c r="S8" s="101"/>
      <c r="T8" s="101"/>
      <c r="U8" s="10"/>
      <c r="V8" s="103"/>
      <c r="W8" s="5"/>
      <c r="Y8" s="397" t="s">
        <v>374</v>
      </c>
      <c r="Z8" s="168" t="s">
        <v>383</v>
      </c>
      <c r="AA8" s="168" t="s">
        <v>82</v>
      </c>
      <c r="AB8" s="168" t="s">
        <v>383</v>
      </c>
      <c r="AC8" s="168" t="s">
        <v>82</v>
      </c>
      <c r="AD8" s="397" t="s">
        <v>374</v>
      </c>
      <c r="AE8" s="392" t="str">
        <f t="shared" si="1"/>
        <v>ProtectedA Protected</v>
      </c>
      <c r="AF8" s="393" t="str">
        <f t="shared" si="2"/>
        <v>ProtectedA Protected</v>
      </c>
      <c r="AG8" s="78"/>
      <c r="AH8" s="78"/>
      <c r="AI8" s="78" t="s">
        <v>373</v>
      </c>
      <c r="AJ8" s="78">
        <v>4</v>
      </c>
      <c r="AK8" s="77">
        <v>4</v>
      </c>
      <c r="AL8" s="77"/>
      <c r="AM8" s="77"/>
      <c r="AN8" s="77" t="s">
        <v>373</v>
      </c>
      <c r="AO8" s="340" t="s">
        <v>395</v>
      </c>
      <c r="AP8" s="340" t="s">
        <v>393</v>
      </c>
      <c r="AQ8" s="340"/>
      <c r="AR8" s="77"/>
      <c r="AS8" s="77" t="s">
        <v>373</v>
      </c>
      <c r="AT8" s="77">
        <f>C16</f>
        <v>0</v>
      </c>
      <c r="AU8" s="77">
        <f>MAX(D16-C16,G16)</f>
        <v>395</v>
      </c>
      <c r="AV8" s="77"/>
      <c r="BI8" s="488"/>
      <c r="BJ8" s="488"/>
      <c r="BK8" s="488"/>
      <c r="BL8" s="488"/>
      <c r="BM8" s="488"/>
      <c r="BN8" s="488"/>
      <c r="BO8" s="488"/>
      <c r="BP8" s="488"/>
      <c r="BQ8" s="488"/>
      <c r="BR8" s="488"/>
      <c r="BS8" s="488"/>
      <c r="BT8" s="488"/>
      <c r="BU8" s="488"/>
      <c r="BV8" s="488"/>
      <c r="BW8" s="488"/>
      <c r="BX8" s="488"/>
    </row>
    <row r="9" spans="2:76" s="242" customFormat="1" x14ac:dyDescent="0.3">
      <c r="B9" s="256" t="s">
        <v>331</v>
      </c>
      <c r="C9" s="325">
        <f>C5</f>
        <v>83</v>
      </c>
      <c r="D9" s="326">
        <f>IF(AND(E3&gt;0,E6=0),D5+E5,D5)</f>
        <v>303</v>
      </c>
      <c r="E9" s="326">
        <f>IF(AND(E3&gt;0,E6=0),0,E5-E8)</f>
        <v>53</v>
      </c>
      <c r="F9" s="325">
        <f>F5</f>
        <v>166</v>
      </c>
      <c r="G9" s="326">
        <f>IF(AND(H3&gt;0,H6=0),G5+H5,G5)</f>
        <v>789</v>
      </c>
      <c r="H9" s="326">
        <f>IF(AND(H3&gt;0,H6=0),0,H5-H8)</f>
        <v>118</v>
      </c>
      <c r="I9" s="325">
        <f>I5</f>
        <v>290</v>
      </c>
      <c r="J9" s="326">
        <f>IF(AND(K3&gt;0,K6=0),J5+K5,J5)</f>
        <v>0</v>
      </c>
      <c r="K9" s="326">
        <f>IF(AND(K3&gt;0,K6=0),0,K5-K8)</f>
        <v>0</v>
      </c>
      <c r="L9" s="325">
        <f>L5</f>
        <v>107</v>
      </c>
      <c r="M9" s="326">
        <f>IF(AND(N3&gt;0,N6=0),M5+N5,M5)</f>
        <v>656</v>
      </c>
      <c r="N9" s="326">
        <f>IF(AND(N3&gt;0,N6=0),0,N5-N8)</f>
        <v>89</v>
      </c>
      <c r="O9" s="250">
        <f>SUM(C9:N9)</f>
        <v>2654</v>
      </c>
      <c r="P9" s="291"/>
      <c r="Q9" s="102"/>
      <c r="R9" s="545"/>
      <c r="S9" s="101"/>
      <c r="T9" s="101"/>
      <c r="U9" s="10"/>
      <c r="V9" s="103"/>
      <c r="W9" s="5"/>
      <c r="Y9" s="397" t="s">
        <v>375</v>
      </c>
      <c r="Z9" s="168" t="s">
        <v>82</v>
      </c>
      <c r="AA9" s="168" t="s">
        <v>383</v>
      </c>
      <c r="AB9" s="168" t="s">
        <v>82</v>
      </c>
      <c r="AC9" s="168" t="s">
        <v>383</v>
      </c>
      <c r="AD9" s="397" t="s">
        <v>375</v>
      </c>
      <c r="AE9" s="392" t="str">
        <f t="shared" si="1"/>
        <v>Protected ProtectedA</v>
      </c>
      <c r="AF9" s="393" t="str">
        <f t="shared" si="2"/>
        <v>Protected ProtectedA</v>
      </c>
      <c r="AG9" s="78"/>
      <c r="AH9" s="78"/>
      <c r="AI9" s="78" t="s">
        <v>374</v>
      </c>
      <c r="AJ9" s="78">
        <v>4</v>
      </c>
      <c r="AK9" s="77">
        <v>0</v>
      </c>
      <c r="AL9" s="77">
        <v>4</v>
      </c>
      <c r="AM9" s="77"/>
      <c r="AN9" s="77" t="s">
        <v>374</v>
      </c>
      <c r="AO9" s="340" t="s">
        <v>396</v>
      </c>
      <c r="AP9" s="340" t="s">
        <v>395</v>
      </c>
      <c r="AQ9" s="340" t="s">
        <v>393</v>
      </c>
      <c r="AR9" s="77"/>
      <c r="AS9" s="77" t="s">
        <v>374</v>
      </c>
      <c r="AT9" s="77">
        <f>F16</f>
        <v>0</v>
      </c>
      <c r="AU9" s="77">
        <f>C16-F16</f>
        <v>0</v>
      </c>
      <c r="AV9" s="77">
        <f>MAX(G16,D16-(C16-F16))</f>
        <v>395</v>
      </c>
      <c r="BI9" s="488"/>
      <c r="BJ9" s="488"/>
      <c r="BK9" s="488"/>
      <c r="BL9" s="488" t="s">
        <v>556</v>
      </c>
      <c r="BM9" s="387">
        <f>MIN(BL6:BW6)</f>
        <v>44.56</v>
      </c>
      <c r="BN9" s="488"/>
      <c r="BO9" s="488"/>
      <c r="BP9" s="488"/>
      <c r="BQ9" s="488"/>
      <c r="BR9" s="488"/>
      <c r="BS9" s="488"/>
      <c r="BT9" s="488"/>
      <c r="BU9" s="488"/>
      <c r="BV9" s="488"/>
      <c r="BW9" s="488"/>
      <c r="BX9" s="488"/>
    </row>
    <row r="10" spans="2:76" s="85" customFormat="1" x14ac:dyDescent="0.3">
      <c r="B10" s="324" t="s">
        <v>210</v>
      </c>
      <c r="C10" s="250">
        <f>IF(C6=0,1,LOOKUP(C6,$S$18:$S$19,$T$18:$T$19))</f>
        <v>1</v>
      </c>
      <c r="D10" s="251">
        <f>IF(D6=0,1,LOOKUP(D6,$S$6:$S$10,$T$6:$T$10))</f>
        <v>0.95199999999999996</v>
      </c>
      <c r="E10" s="251"/>
      <c r="F10" s="250">
        <f>IF(F6=0,1,LOOKUP(F6,$S$18:$S$19,$T$18:$T$19))</f>
        <v>1</v>
      </c>
      <c r="G10" s="251">
        <f>IF(G6=0,1,LOOKUP(G6,$S$6:$S$10,$T$6:$T$10))</f>
        <v>0.95199999999999996</v>
      </c>
      <c r="H10" s="251"/>
      <c r="I10" s="250">
        <f>IF(I6=0,1,LOOKUP(I6,$S$18:$S$19,$T$18:$T$19))</f>
        <v>0.97099999999999997</v>
      </c>
      <c r="J10" s="251">
        <f>IF(J6=0,1,LOOKUP(J6,$S$6:$S$10,$T$6:$T$10))</f>
        <v>1</v>
      </c>
      <c r="K10" s="251"/>
      <c r="L10" s="250">
        <f>IF(L6=0,1,LOOKUP(L6,$S$18:$S$19,$T$18:$T$19))</f>
        <v>0.97099999999999997</v>
      </c>
      <c r="M10" s="251">
        <f>IF(M6=0,1,LOOKUP(M6,$S$6:$S$10,$T$6:$T$10))</f>
        <v>0.90800000000000003</v>
      </c>
      <c r="N10" s="251"/>
      <c r="O10" s="250"/>
      <c r="P10" s="291"/>
      <c r="Q10" s="102"/>
      <c r="R10" s="545"/>
      <c r="S10" s="101">
        <v>3</v>
      </c>
      <c r="T10" s="101">
        <v>0.90800000000000003</v>
      </c>
      <c r="U10" s="10"/>
      <c r="V10" s="103"/>
      <c r="W10" s="5"/>
      <c r="Y10" s="397">
        <v>4</v>
      </c>
      <c r="Z10" s="168" t="s">
        <v>376</v>
      </c>
      <c r="AA10" s="168" t="s">
        <v>376</v>
      </c>
      <c r="AB10" s="168" t="s">
        <v>376</v>
      </c>
      <c r="AC10" s="168" t="s">
        <v>376</v>
      </c>
      <c r="AD10" s="397">
        <v>4</v>
      </c>
      <c r="AE10" s="392" t="str">
        <f t="shared" si="1"/>
        <v>Not opposed Not opposed</v>
      </c>
      <c r="AF10" s="393" t="str">
        <f t="shared" si="2"/>
        <v>Not opposed Not opposed</v>
      </c>
      <c r="AG10" s="78"/>
      <c r="AH10" s="78"/>
      <c r="AI10" s="78" t="s">
        <v>375</v>
      </c>
      <c r="AJ10" s="78">
        <v>4</v>
      </c>
      <c r="AK10" s="77">
        <v>0</v>
      </c>
      <c r="AL10" s="77">
        <v>4</v>
      </c>
      <c r="AM10" s="77"/>
      <c r="AN10" s="77" t="s">
        <v>375</v>
      </c>
      <c r="AO10" s="340" t="s">
        <v>396</v>
      </c>
      <c r="AP10" s="340" t="s">
        <v>394</v>
      </c>
      <c r="AQ10" s="340" t="s">
        <v>393</v>
      </c>
      <c r="AR10" s="77"/>
      <c r="AS10" s="77" t="s">
        <v>375</v>
      </c>
      <c r="AT10" s="77">
        <f>C16</f>
        <v>0</v>
      </c>
      <c r="AU10" s="77">
        <f>F16-C16</f>
        <v>0</v>
      </c>
      <c r="AV10" s="77">
        <f>MAX(D16,G16-(F16-C16))</f>
        <v>395</v>
      </c>
      <c r="BI10" s="488"/>
      <c r="BJ10" s="488"/>
      <c r="BK10" s="488"/>
      <c r="BL10" s="488" t="s">
        <v>557</v>
      </c>
      <c r="BM10" s="488">
        <f>IF(BM9=0,0,INDEX(BL3:BW3,MATCH(BM9,BL5:BW5,0)))</f>
        <v>150</v>
      </c>
      <c r="BN10" s="488"/>
      <c r="BO10" s="488"/>
      <c r="BP10" s="488"/>
      <c r="BQ10" s="488"/>
      <c r="BR10" s="488"/>
      <c r="BS10" s="488"/>
      <c r="BT10" s="488"/>
      <c r="BU10" s="488"/>
      <c r="BV10" s="488"/>
      <c r="BW10" s="488"/>
      <c r="BX10" s="488"/>
    </row>
    <row r="11" spans="2:76" x14ac:dyDescent="0.3">
      <c r="B11" s="256" t="s">
        <v>332</v>
      </c>
      <c r="C11" s="325">
        <f>IF(C34=0,0,ROUND(C6*1530*C4*'Input sheet'!$W$7,0))</f>
        <v>0</v>
      </c>
      <c r="D11" s="326">
        <f>IF(D34=0,0,ROUND(D6*1530*D4*'Input sheet'!$W$7,0))</f>
        <v>3060</v>
      </c>
      <c r="E11" s="327">
        <f>IF(E34=0,0,ROUND(E6*1530*E4*'Input sheet'!$W$7,0))</f>
        <v>6120</v>
      </c>
      <c r="F11" s="325">
        <f>IF(F34=0,0,ROUND(F6*1530*F4*'Input sheet'!$W$7,0))</f>
        <v>0</v>
      </c>
      <c r="G11" s="326">
        <f>IF(G34=0,0,ROUND(G6*1530*G4*'Input sheet'!$W$7,0))</f>
        <v>3060</v>
      </c>
      <c r="H11" s="327">
        <f>IF(H34=0,0,ROUND(H6*1530*H4*'Input sheet'!$W$7,0))</f>
        <v>7650</v>
      </c>
      <c r="I11" s="325">
        <f>IF(I34=0,0,ROUND(I6*1530*I4*'Input sheet'!$W$7,0))</f>
        <v>3060</v>
      </c>
      <c r="J11" s="326">
        <f>IF(J34=0,0,ROUND(J6*1530*J4*'Input sheet'!$W$7,0))</f>
        <v>0</v>
      </c>
      <c r="K11" s="327">
        <f>IF(K34=0,0,ROUND(K6*1530*K4*'Input sheet'!$W$7,0))</f>
        <v>0</v>
      </c>
      <c r="L11" s="325">
        <f>IF(L34=0,0,ROUND(L6*1530*L4*'Input sheet'!$W$7,0))</f>
        <v>3060</v>
      </c>
      <c r="M11" s="326">
        <f>IF(M34=0,0,ROUND(M6*1530*M4*'Input sheet'!$W$7,0))</f>
        <v>6120</v>
      </c>
      <c r="N11" s="326">
        <f>IF(N34=0,0,ROUND(N6*1530*N4*'Input sheet'!$W$7,0))</f>
        <v>7650</v>
      </c>
      <c r="O11" s="346">
        <f>ROUND(1530*O4*'Input sheet'!W7,0)</f>
        <v>1530</v>
      </c>
      <c r="P11" s="291" t="s">
        <v>212</v>
      </c>
      <c r="Q11" s="77"/>
      <c r="R11" s="111"/>
      <c r="U11" s="10"/>
      <c r="V11" s="103"/>
      <c r="W11" s="10"/>
      <c r="Y11" s="398" t="s">
        <v>374</v>
      </c>
      <c r="Z11" s="337" t="s">
        <v>383</v>
      </c>
      <c r="AA11" s="337" t="s">
        <v>383</v>
      </c>
      <c r="AB11" s="337" t="s">
        <v>383</v>
      </c>
      <c r="AC11" s="337" t="s">
        <v>383</v>
      </c>
      <c r="AD11" s="398" t="s">
        <v>374</v>
      </c>
      <c r="AE11" s="395" t="str">
        <f>Z11&amp;" "&amp;AA11</f>
        <v>ProtectedA ProtectedA</v>
      </c>
      <c r="AF11" s="339" t="str">
        <f>AB11&amp;" "&amp;AC11</f>
        <v>ProtectedA ProtectedA</v>
      </c>
      <c r="AI11" s="78">
        <v>4</v>
      </c>
      <c r="AJ11" s="78">
        <v>4</v>
      </c>
      <c r="AK11" s="77">
        <v>4</v>
      </c>
      <c r="AN11" s="77">
        <v>4</v>
      </c>
      <c r="AO11" s="340" t="s">
        <v>395</v>
      </c>
      <c r="AP11" s="340" t="s">
        <v>394</v>
      </c>
      <c r="AQ11" s="340"/>
      <c r="AS11" s="77">
        <v>4</v>
      </c>
      <c r="AT11" s="77">
        <f>MAX(D16,C16)</f>
        <v>152</v>
      </c>
      <c r="AU11" s="77">
        <f>MAX(G16,F16)</f>
        <v>395</v>
      </c>
      <c r="BE11" s="168"/>
      <c r="BI11" s="488"/>
      <c r="BJ11" s="488"/>
      <c r="BK11" s="488"/>
      <c r="BL11" s="488"/>
      <c r="BM11" s="488"/>
      <c r="BN11" s="488"/>
      <c r="BO11" s="488"/>
      <c r="BP11" s="488"/>
      <c r="BQ11" s="488"/>
      <c r="BR11" s="488"/>
      <c r="BS11" s="488"/>
      <c r="BT11" s="488"/>
      <c r="BU11" s="488"/>
      <c r="BV11" s="488"/>
      <c r="BW11" s="488"/>
      <c r="BX11" s="488"/>
    </row>
    <row r="12" spans="2:76" s="77" customFormat="1" hidden="1" x14ac:dyDescent="0.3">
      <c r="B12" s="324" t="s">
        <v>334</v>
      </c>
      <c r="C12" s="250">
        <f>MAX(1,'Lane volumes'!C12)</f>
        <v>1026</v>
      </c>
      <c r="D12" s="251"/>
      <c r="E12" s="251"/>
      <c r="F12" s="250">
        <f>MAX(1,'Lane volumes'!U12)</f>
        <v>409</v>
      </c>
      <c r="G12" s="251"/>
      <c r="H12" s="251"/>
      <c r="I12" s="250">
        <f>MAX(1,'Lane volumes'!AL12)</f>
        <v>834</v>
      </c>
      <c r="J12" s="251"/>
      <c r="K12" s="251"/>
      <c r="L12" s="250">
        <f>MAX(1,'Lane volumes'!BC12)</f>
        <v>1</v>
      </c>
      <c r="M12" s="251"/>
      <c r="N12" s="251"/>
      <c r="O12" s="250"/>
      <c r="P12" s="291"/>
      <c r="R12" s="111"/>
      <c r="U12" s="10"/>
      <c r="V12" s="103"/>
      <c r="W12" s="10"/>
      <c r="AE12" s="78"/>
      <c r="AF12" s="78"/>
      <c r="AG12" s="78"/>
      <c r="AH12" s="78"/>
      <c r="BI12" s="490"/>
      <c r="BJ12" s="490"/>
      <c r="BK12" s="490"/>
      <c r="BL12" s="490"/>
      <c r="BM12" s="490"/>
      <c r="BN12" s="490"/>
      <c r="BO12" s="490"/>
      <c r="BP12" s="490"/>
      <c r="BQ12" s="490"/>
      <c r="BR12" s="490"/>
      <c r="BS12" s="490"/>
      <c r="BT12" s="490"/>
      <c r="BU12" s="490"/>
      <c r="BV12" s="490"/>
      <c r="BW12" s="490"/>
      <c r="BX12" s="490"/>
    </row>
    <row r="13" spans="2:76" s="291" customFormat="1" hidden="1" x14ac:dyDescent="0.3">
      <c r="B13" s="324" t="s">
        <v>335</v>
      </c>
      <c r="C13" s="250">
        <f>IF(AND(C6=0,C3&gt;0),4.5,2.5)</f>
        <v>2.5</v>
      </c>
      <c r="D13" s="251"/>
      <c r="E13" s="251"/>
      <c r="F13" s="250">
        <f>IF(AND(F6=0,F3&gt;0),4.5,2.5)</f>
        <v>2.5</v>
      </c>
      <c r="G13" s="251"/>
      <c r="H13" s="251"/>
      <c r="I13" s="250">
        <f>IF(AND(I6=0,I3&gt;0),4.5,2.5)</f>
        <v>2.5</v>
      </c>
      <c r="J13" s="251"/>
      <c r="K13" s="251"/>
      <c r="L13" s="250">
        <f>IF(AND(L6=0,L3&gt;0),4.5,2.5)</f>
        <v>2.5</v>
      </c>
      <c r="M13" s="251"/>
      <c r="N13" s="251"/>
      <c r="O13" s="250"/>
      <c r="R13" s="111"/>
      <c r="U13" s="10"/>
      <c r="V13" s="103"/>
      <c r="W13" s="10"/>
      <c r="Y13" s="324" t="s">
        <v>379</v>
      </c>
      <c r="Z13" s="77" t="str">
        <f>'Phase designation'!B23</f>
        <v>Permitted</v>
      </c>
      <c r="AA13" s="324" t="str">
        <f>'Phase designation'!D23</f>
        <v>Permitted</v>
      </c>
      <c r="AB13" s="324" t="str">
        <f>'Phase designation'!F23</f>
        <v>Protected</v>
      </c>
      <c r="AC13" s="324" t="str">
        <f>'Phase designation'!H23</f>
        <v>Protected</v>
      </c>
      <c r="AE13" s="251"/>
      <c r="AF13" s="251"/>
      <c r="AG13" s="251"/>
      <c r="AH13" s="251"/>
      <c r="AI13" s="251"/>
      <c r="AJ13" s="251"/>
      <c r="BI13" s="490"/>
      <c r="BJ13" s="490"/>
      <c r="BK13" s="490"/>
      <c r="BL13" s="490"/>
      <c r="BM13" s="490"/>
      <c r="BN13" s="490"/>
      <c r="BO13" s="490"/>
      <c r="BP13" s="490"/>
      <c r="BQ13" s="490"/>
      <c r="BR13" s="490"/>
      <c r="BS13" s="490"/>
      <c r="BT13" s="490"/>
      <c r="BU13" s="490"/>
      <c r="BV13" s="490"/>
      <c r="BW13" s="490"/>
      <c r="BX13" s="490"/>
    </row>
    <row r="14" spans="2:76" s="242" customFormat="1" x14ac:dyDescent="0.3">
      <c r="B14" s="324" t="s">
        <v>333</v>
      </c>
      <c r="C14" s="250">
        <f>IF(D57+D59&gt;=1,ROUND(C10*$S$4*(C12*EXP(-1*C12*4.5/3600))/((1-EXP(-1*C12*C13/3600))),0),0)</f>
        <v>517</v>
      </c>
      <c r="D14" s="251">
        <f>D11</f>
        <v>3060</v>
      </c>
      <c r="E14" s="251">
        <f>E11</f>
        <v>6120</v>
      </c>
      <c r="F14" s="250">
        <f>IF(G57+G59&gt;=1,ROUND(F10*$S$4*(F12*EXP(-1*F12*4.5/3600))/((1-EXP(-1*F12*F13/3600))),0),0)</f>
        <v>919</v>
      </c>
      <c r="G14" s="251">
        <f>G11</f>
        <v>3060</v>
      </c>
      <c r="H14" s="251">
        <f>H11</f>
        <v>7650</v>
      </c>
      <c r="I14" s="250">
        <f>IF(J57+J59&gt;=1,ROUND(I10*$S$4*(I12*EXP(-1*I12*4.5/3600))/((1-EXP(-1*I12*I13/3600))),0),0)</f>
        <v>0</v>
      </c>
      <c r="J14" s="251">
        <f>J11</f>
        <v>0</v>
      </c>
      <c r="K14" s="251">
        <f>K11</f>
        <v>0</v>
      </c>
      <c r="L14" s="250">
        <f>IF(M57+M59&gt;=1,ROUND(L10*$S$4*(L12*EXP(-1*L12*4.5/3600))/((1-EXP(-1*L12*L13/3600))),0),0)</f>
        <v>0</v>
      </c>
      <c r="M14" s="251">
        <f>M11</f>
        <v>6120</v>
      </c>
      <c r="N14" s="251">
        <f>N11</f>
        <v>7650</v>
      </c>
      <c r="O14" s="250"/>
      <c r="P14" s="291"/>
      <c r="Q14" s="77"/>
      <c r="R14" s="111"/>
      <c r="U14" s="10"/>
      <c r="V14" s="103"/>
      <c r="W14" s="10"/>
      <c r="Y14" s="319" t="s">
        <v>382</v>
      </c>
      <c r="Z14" s="242">
        <f>IF(SUM(Sheet1!S5:U5)=0,1,0)</f>
        <v>0</v>
      </c>
      <c r="AA14" s="319">
        <f>IF(SUM(Sheet1!N5:P5)=0,1,0)</f>
        <v>0</v>
      </c>
      <c r="AB14" s="319">
        <f>IF(SUM(Sheet1!I5:K5,Sheet1!AC5:AH5)=0,1,0)</f>
        <v>0</v>
      </c>
      <c r="AC14" s="319">
        <f>IF(SUM(Sheet1!D5:F5,Sheet1!W5:AB5)=0,1,0)</f>
        <v>0</v>
      </c>
      <c r="AE14" s="78"/>
      <c r="AF14" s="78"/>
      <c r="AG14" s="78"/>
      <c r="AH14" s="167" t="s">
        <v>386</v>
      </c>
      <c r="AI14" s="342" t="str">
        <f>Z21</f>
        <v>1a</v>
      </c>
      <c r="AJ14" s="167"/>
      <c r="AK14" s="318"/>
      <c r="AL14" s="318"/>
      <c r="AM14" s="77"/>
      <c r="AN14" s="77"/>
      <c r="AO14" s="77"/>
      <c r="AP14" s="77"/>
      <c r="AQ14" s="77"/>
      <c r="AR14" s="77"/>
      <c r="AS14" s="77"/>
      <c r="AT14" s="77"/>
      <c r="AU14" s="77"/>
      <c r="AV14" s="77"/>
      <c r="BI14" s="488"/>
      <c r="BJ14" s="488"/>
      <c r="BK14" s="488"/>
      <c r="BL14" s="488"/>
      <c r="BM14" s="488"/>
      <c r="BN14" s="488"/>
      <c r="BO14" s="488"/>
      <c r="BP14" s="488"/>
      <c r="BQ14" s="488"/>
      <c r="BR14" s="488"/>
      <c r="BS14" s="488"/>
      <c r="BT14" s="488"/>
      <c r="BU14" s="488"/>
      <c r="BV14" s="488"/>
      <c r="BW14" s="488"/>
      <c r="BX14" s="488"/>
    </row>
    <row r="15" spans="2:76" hidden="1" x14ac:dyDescent="0.3">
      <c r="B15" s="324" t="s">
        <v>130</v>
      </c>
      <c r="C15" s="250">
        <f>IF(C7+G7&gt;F7+D7,C7,0)</f>
        <v>83</v>
      </c>
      <c r="D15" s="251">
        <f>IF(D7+F7&gt;G7+C7,D7,0)</f>
        <v>0</v>
      </c>
      <c r="E15" s="251"/>
      <c r="F15" s="250">
        <f>IF(F7+D7&gt;C7+G7,F7,0)</f>
        <v>0</v>
      </c>
      <c r="G15" s="251">
        <f>IF(G7+C7&gt;D7+F7,G7,0)</f>
        <v>395</v>
      </c>
      <c r="H15" s="251"/>
      <c r="I15" s="250">
        <f>IF(I7+M7&gt;L7+J7,I7,0)</f>
        <v>145</v>
      </c>
      <c r="J15" s="251">
        <f>IF(J7+L7&gt;M7+I7,J7,0)</f>
        <v>0</v>
      </c>
      <c r="K15" s="251"/>
      <c r="L15" s="250">
        <f>IF(L7+J7&gt;I7+M7,L7,0)</f>
        <v>0</v>
      </c>
      <c r="M15" s="251">
        <f>IF(M7+I7&gt;J7+L7,M7,0)</f>
        <v>164</v>
      </c>
      <c r="N15" s="251"/>
      <c r="O15" s="250">
        <f>SUM(C15:M15)</f>
        <v>787</v>
      </c>
      <c r="Q15" s="10"/>
      <c r="R15" s="13"/>
      <c r="S15" s="101"/>
      <c r="T15" s="101"/>
      <c r="U15" s="10"/>
      <c r="V15" s="103"/>
      <c r="W15" s="10"/>
      <c r="Y15" s="319" t="s">
        <v>381</v>
      </c>
      <c r="Z15" s="3" t="str">
        <f>IF(Z13="Prot+perm","Protected",Z13)</f>
        <v>Permitted</v>
      </c>
      <c r="AA15" s="319" t="str">
        <f>IF(AA13="Prot+perm","Protected",AA13)</f>
        <v>Permitted</v>
      </c>
      <c r="AB15" s="319" t="str">
        <f>IF(AB13="Prot+perm","Protected",AB13)</f>
        <v>Protected</v>
      </c>
      <c r="AC15" s="319" t="str">
        <f>IF(AC13="Prot+perm","Protected",AC13)</f>
        <v>Protected</v>
      </c>
      <c r="AI15" s="167" t="s">
        <v>390</v>
      </c>
      <c r="AJ15" s="167">
        <f>INDEX(AJ4:AJ11,MATCH($AI$14,$AI$4:$AI$11,0))</f>
        <v>4</v>
      </c>
      <c r="AK15" s="167">
        <f>INDEX(AK4:AK11,MATCH($AI$14,$AI$4:$AI$11,0))</f>
        <v>0</v>
      </c>
      <c r="AL15" s="167">
        <f>INDEX(AL4:AL11,MATCH($AI$14,$AI$4:$AI$11,0))</f>
        <v>0</v>
      </c>
      <c r="BI15" s="488"/>
      <c r="BJ15" s="488"/>
      <c r="BK15" s="488"/>
      <c r="BL15" s="488"/>
      <c r="BM15" s="488"/>
      <c r="BN15" s="488"/>
      <c r="BO15" s="488"/>
      <c r="BP15" s="488"/>
      <c r="BQ15" s="488"/>
      <c r="BR15" s="488"/>
      <c r="BS15" s="488"/>
      <c r="BT15" s="488"/>
      <c r="BU15" s="488"/>
      <c r="BV15" s="488"/>
      <c r="BW15" s="488"/>
      <c r="BX15" s="488"/>
    </row>
    <row r="16" spans="2:76" s="291" customFormat="1" x14ac:dyDescent="0.3">
      <c r="B16" s="256" t="s">
        <v>336</v>
      </c>
      <c r="C16" s="325">
        <f>MAX('Lane volumes'!C16:E16)</f>
        <v>0</v>
      </c>
      <c r="D16" s="326">
        <f>IF(D6=0,0,ROUND(MAX('Lane volumes'!C31:E31,'Lane volumes'!C38:E38),0))</f>
        <v>152</v>
      </c>
      <c r="E16" s="326">
        <f>MAX('Lane volumes'!C8:D8)</f>
        <v>18</v>
      </c>
      <c r="F16" s="325">
        <f>MAX('Lane volumes'!U16:W16)</f>
        <v>0</v>
      </c>
      <c r="G16" s="326">
        <f>IF(G6=0,0,ROUND(MAX('Lane volumes'!U31:W31,'Lane volumes'!U38:W38),0))</f>
        <v>395</v>
      </c>
      <c r="H16" s="326">
        <f>MAX('Lane volumes'!U8:V8)</f>
        <v>32</v>
      </c>
      <c r="I16" s="325">
        <f>MAX('Lane volumes'!AL16:AN16)</f>
        <v>158</v>
      </c>
      <c r="J16" s="326">
        <f>IF(J6=0,0,ROUND(MAX('Lane volumes'!AL31:AN31,'Lane volumes'!AL38:AN38),0))</f>
        <v>0</v>
      </c>
      <c r="K16" s="326">
        <f>MAX('Lane volumes'!AL8:AM8)</f>
        <v>0</v>
      </c>
      <c r="L16" s="325">
        <f>MAX('Lane volumes'!BC16:BE16)</f>
        <v>58</v>
      </c>
      <c r="M16" s="326">
        <f>IF(M6=0,0,ROUND(MAX('Lane volumes'!BC31:BE31,'Lane volumes'!BC38:BE38),0))</f>
        <v>164</v>
      </c>
      <c r="N16" s="326">
        <f>MAX('Lane volumes'!BC8:BD8)</f>
        <v>24</v>
      </c>
      <c r="O16" s="250"/>
      <c r="Q16" s="10"/>
      <c r="R16" s="13"/>
      <c r="S16" s="101"/>
      <c r="T16" s="101"/>
      <c r="U16" s="10"/>
      <c r="V16" s="103"/>
      <c r="W16" s="10"/>
      <c r="Y16" s="324" t="s">
        <v>384</v>
      </c>
      <c r="Z16" s="291" t="str">
        <f>IF(AND(Z15="Protected",AA15="Protected",C3&gt;=F3),"ProtectedA","Protected")</f>
        <v>Protected</v>
      </c>
      <c r="AA16" s="324" t="str">
        <f>IF(AND(Z15="Protected",AA15="Protected",F3&gt;=C3),"ProtectedA","Protected")</f>
        <v>Protected</v>
      </c>
      <c r="AB16" s="324" t="str">
        <f>IF(AND(AB15="Protected",AC15="Protected",I3&gt;=L3),"ProtectedA","Protected")</f>
        <v>ProtectedA</v>
      </c>
      <c r="AC16" s="324" t="str">
        <f>IF(AND(AB15="Protected",AC15="Protected",L3&gt;=I3),"ProtectedA","Protected")</f>
        <v>Protected</v>
      </c>
      <c r="AE16" s="251"/>
      <c r="AF16" s="251"/>
      <c r="AG16" s="251"/>
      <c r="AH16" s="251"/>
      <c r="AI16" s="167" t="s">
        <v>391</v>
      </c>
      <c r="AJ16" s="167" t="str">
        <f>INDEX(AO4:AO11,MATCH($AI$14,$AN$4:$AN$11,0))</f>
        <v>EBWBTH</v>
      </c>
      <c r="AK16" s="167">
        <f>INDEX(AP4:AP11,MATCH($AI$14,$AN$4:$AN$11,0))</f>
        <v>0</v>
      </c>
      <c r="AL16" s="167">
        <f>INDEX(AQ4:AQ11,MATCH($AI$14,$AN$4:$AN$11,0))</f>
        <v>0</v>
      </c>
      <c r="BI16" s="490"/>
      <c r="BJ16" s="490"/>
      <c r="BK16" s="490"/>
      <c r="BL16" s="490"/>
      <c r="BM16" s="490"/>
      <c r="BN16" s="490"/>
      <c r="BO16" s="490"/>
      <c r="BP16" s="490"/>
      <c r="BQ16" s="490"/>
      <c r="BR16" s="490"/>
      <c r="BS16" s="490"/>
      <c r="BT16" s="490"/>
      <c r="BU16" s="490"/>
      <c r="BV16" s="490"/>
      <c r="BW16" s="490"/>
      <c r="BX16" s="490"/>
    </row>
    <row r="17" spans="2:76" s="164" customFormat="1" hidden="1" x14ac:dyDescent="0.3">
      <c r="B17" s="324" t="s">
        <v>227</v>
      </c>
      <c r="C17" s="546"/>
      <c r="D17" s="547"/>
      <c r="E17" s="548"/>
      <c r="F17" s="546"/>
      <c r="G17" s="547"/>
      <c r="H17" s="548"/>
      <c r="I17" s="546"/>
      <c r="J17" s="547"/>
      <c r="K17" s="548"/>
      <c r="L17" s="547"/>
      <c r="M17" s="547"/>
      <c r="N17" s="547"/>
      <c r="O17" s="346">
        <f>SUM(AJ17:AL17,AJ33:AL33)</f>
        <v>717</v>
      </c>
      <c r="P17" s="291" t="s">
        <v>213</v>
      </c>
      <c r="Q17" s="10"/>
      <c r="R17" s="13"/>
      <c r="S17" s="101"/>
      <c r="T17" s="101"/>
      <c r="U17" s="10"/>
      <c r="V17" s="103"/>
      <c r="W17" s="10"/>
      <c r="Y17" s="324" t="s">
        <v>385</v>
      </c>
      <c r="Z17" s="324" t="str">
        <f>IF(AND(Z14=1,Z15="Permitted"),"Not opposed",Z15)</f>
        <v>Permitted</v>
      </c>
      <c r="AA17" s="324" t="str">
        <f>IF(AND(AA14=1,AA15="Permitted"),"Not opposed",AA15)</f>
        <v>Permitted</v>
      </c>
      <c r="AB17" s="324" t="str">
        <f>IF(AND(AB14=1,AB15="Permitted"),"Not opposed",AB15)</f>
        <v>Protected</v>
      </c>
      <c r="AC17" s="324" t="str">
        <f>IF(AND(AC14=1,AC15="Permitted"),"Not opposed",AC15)</f>
        <v>Protected</v>
      </c>
      <c r="AE17" s="78"/>
      <c r="AF17" s="78"/>
      <c r="AG17" s="78"/>
      <c r="AH17" s="78"/>
      <c r="AI17" s="167" t="s">
        <v>392</v>
      </c>
      <c r="AJ17" s="167">
        <f>INDEX(AT4:AT11,MATCH($AI$14,$AS$4:$AS$11,0))</f>
        <v>395</v>
      </c>
      <c r="AK17" s="167">
        <f>INDEX(AU4:AU11,MATCH($AI$14,$AS$4:$AS$11,0))</f>
        <v>0</v>
      </c>
      <c r="AL17" s="167">
        <f>INDEX(AV4:AV11,MATCH($AI$14,$AS$4:$AS$11,0))</f>
        <v>0</v>
      </c>
      <c r="AM17" s="77"/>
      <c r="AN17" s="77"/>
      <c r="AO17" s="77"/>
      <c r="AP17" s="77"/>
      <c r="AQ17" s="77"/>
      <c r="AR17" s="77"/>
      <c r="AS17" s="77"/>
      <c r="AT17" s="77"/>
      <c r="AU17" s="77"/>
      <c r="AV17" s="77"/>
      <c r="BE17" s="168"/>
      <c r="BI17" s="488"/>
      <c r="BJ17" s="488"/>
      <c r="BK17" s="488"/>
      <c r="BL17" s="488"/>
      <c r="BM17" s="488"/>
      <c r="BN17" s="488"/>
      <c r="BO17" s="488"/>
      <c r="BP17" s="488"/>
      <c r="BQ17" s="488"/>
      <c r="BR17" s="488"/>
      <c r="BS17" s="488"/>
      <c r="BT17" s="488"/>
      <c r="BU17" s="488"/>
      <c r="BV17" s="488"/>
      <c r="BW17" s="488"/>
      <c r="BX17" s="488"/>
    </row>
    <row r="18" spans="2:76" x14ac:dyDescent="0.3">
      <c r="B18" s="324" t="s">
        <v>420</v>
      </c>
      <c r="C18" s="250">
        <f>'Phase designation'!B27</f>
        <v>0</v>
      </c>
      <c r="D18" s="251">
        <f>'Phase designation'!C27</f>
        <v>2</v>
      </c>
      <c r="E18" s="251"/>
      <c r="F18" s="250">
        <f>'Phase designation'!D27</f>
        <v>0</v>
      </c>
      <c r="G18" s="251">
        <f>'Phase designation'!E27</f>
        <v>6</v>
      </c>
      <c r="H18" s="251"/>
      <c r="I18" s="250">
        <f>'Phase designation'!F27</f>
        <v>3</v>
      </c>
      <c r="J18" s="251">
        <f>'Phase designation'!G27</f>
        <v>8</v>
      </c>
      <c r="K18" s="251"/>
      <c r="L18" s="250">
        <f>'Phase designation'!H27</f>
        <v>7</v>
      </c>
      <c r="M18" s="251">
        <f>'Phase designation'!I27</f>
        <v>4</v>
      </c>
      <c r="N18" s="251"/>
      <c r="O18" s="250"/>
      <c r="Q18" s="10"/>
      <c r="R18" s="550" t="s">
        <v>208</v>
      </c>
      <c r="S18" s="25">
        <v>1</v>
      </c>
      <c r="T18" s="25">
        <v>1</v>
      </c>
      <c r="U18" s="16"/>
      <c r="V18" s="13"/>
      <c r="W18" s="14"/>
      <c r="Y18" s="318" t="s">
        <v>380</v>
      </c>
      <c r="Z18" s="318" t="str">
        <f>IF(AND(Z16="ProtectedA",Z17="Protected"),"ProtectedA",Z17)</f>
        <v>Permitted</v>
      </c>
      <c r="AA18" s="318" t="str">
        <f>IF(AND(AA16="ProtectedA",AA17="Protected"),"ProtectedA",AA17)</f>
        <v>Permitted</v>
      </c>
      <c r="AB18" s="318" t="str">
        <f>IF(AND(AB16="ProtectedA",AB17="Protected"),"ProtectedA",AB17)</f>
        <v>ProtectedA</v>
      </c>
      <c r="AC18" s="318" t="str">
        <f>IF(AND(AC16="ProtectedA",AC17="Protected"),"ProtectedA",AC17)</f>
        <v>Protected</v>
      </c>
      <c r="AI18" s="344" t="s">
        <v>401</v>
      </c>
      <c r="AJ18" s="344">
        <f>IF(AJ17=0,0,ROUND(($C$25-$C$23)*(AJ17/$O$17)+AJ15,1))</f>
        <v>63.5</v>
      </c>
      <c r="AK18" s="344">
        <f>IF(AK17=0,0,ROUND(($C$25-$C$23)*(AK17/$O$17)+AK15,1))</f>
        <v>0</v>
      </c>
      <c r="AL18" s="344">
        <f>IF(AL17=0,0,ROUND(($C$25-$C$23)*(AL17/$O$17)+AL15,1))</f>
        <v>0</v>
      </c>
      <c r="BI18" s="488"/>
      <c r="BJ18" s="488"/>
      <c r="BK18" s="488"/>
      <c r="BL18" s="488"/>
      <c r="BM18" s="488"/>
      <c r="BN18" s="488"/>
      <c r="BO18" s="488"/>
      <c r="BP18" s="488"/>
      <c r="BQ18" s="488"/>
      <c r="BR18" s="488"/>
      <c r="BS18" s="488"/>
      <c r="BT18" s="488"/>
      <c r="BU18" s="488"/>
      <c r="BV18" s="488"/>
      <c r="BW18" s="488"/>
      <c r="BX18" s="488"/>
    </row>
    <row r="19" spans="2:76" s="110" customFormat="1" x14ac:dyDescent="0.3">
      <c r="B19" s="296" t="s">
        <v>125</v>
      </c>
      <c r="C19" s="297">
        <f>'Phase designation'!B28</f>
        <v>2</v>
      </c>
      <c r="D19" s="298">
        <f>'Phase designation'!C28</f>
        <v>0</v>
      </c>
      <c r="E19" s="298">
        <f>D18</f>
        <v>2</v>
      </c>
      <c r="F19" s="297">
        <f>'Phase designation'!D28</f>
        <v>6</v>
      </c>
      <c r="G19" s="298">
        <f>'Phase designation'!E28</f>
        <v>0</v>
      </c>
      <c r="H19" s="298">
        <f>D18</f>
        <v>2</v>
      </c>
      <c r="I19" s="297">
        <f>'Phase designation'!F28</f>
        <v>0</v>
      </c>
      <c r="J19" s="298">
        <f>'Phase designation'!G28</f>
        <v>0</v>
      </c>
      <c r="K19" s="298">
        <f>J18</f>
        <v>8</v>
      </c>
      <c r="L19" s="297">
        <f>'Phase designation'!H28</f>
        <v>0</v>
      </c>
      <c r="M19" s="298">
        <f>'Phase designation'!I28</f>
        <v>0</v>
      </c>
      <c r="N19" s="298">
        <f>M18</f>
        <v>4</v>
      </c>
      <c r="O19" s="347"/>
      <c r="P19" s="195"/>
      <c r="Q19" s="108"/>
      <c r="R19" s="550"/>
      <c r="S19" s="107">
        <v>2</v>
      </c>
      <c r="T19" s="107">
        <v>0.97099999999999997</v>
      </c>
      <c r="U19" s="106"/>
      <c r="V19" s="109"/>
      <c r="W19" s="109"/>
      <c r="Y19" s="226" t="s">
        <v>388</v>
      </c>
      <c r="Z19" s="544" t="str">
        <f>IF(OR(AND(Z18="Not opposed", AA18="Protected"),AND(AA18="Not opposed", Z18="Protected")),"ProtectedA Protected",Z18&amp;" "&amp;AA18)</f>
        <v>Permitted Permitted</v>
      </c>
      <c r="AA19" s="544"/>
      <c r="AB19" s="544" t="str">
        <f>IF(OR(AND(AB18="Protected",AC18="Not opposed"),AND(AC18="Protected",AB18="Not opposed")),"Protected ProtectedA",AB18&amp;" "&amp;AC18)</f>
        <v>ProtectedA Protected</v>
      </c>
      <c r="AC19" s="544"/>
      <c r="AE19" s="198"/>
      <c r="AF19" s="198"/>
      <c r="AG19" s="198"/>
      <c r="AH19" s="301" t="s">
        <v>387</v>
      </c>
      <c r="AI19" s="78" t="s">
        <v>390</v>
      </c>
      <c r="AJ19" s="78" t="s">
        <v>124</v>
      </c>
      <c r="AK19" s="77"/>
      <c r="AL19" s="77"/>
      <c r="AM19" s="77"/>
      <c r="AN19" s="77" t="s">
        <v>391</v>
      </c>
      <c r="AO19" s="77" t="s">
        <v>124</v>
      </c>
      <c r="AP19" s="77"/>
      <c r="AQ19" s="77"/>
      <c r="AR19" s="77"/>
      <c r="AS19" s="77" t="s">
        <v>392</v>
      </c>
      <c r="AT19" s="77" t="s">
        <v>124</v>
      </c>
      <c r="AU19" s="77"/>
      <c r="AV19" s="77"/>
      <c r="BI19" s="491"/>
      <c r="BJ19" s="491"/>
      <c r="BK19" s="491"/>
      <c r="BL19" s="491"/>
      <c r="BM19" s="491"/>
      <c r="BN19" s="491"/>
      <c r="BO19" s="491"/>
      <c r="BP19" s="491"/>
      <c r="BQ19" s="491"/>
      <c r="BR19" s="491"/>
      <c r="BS19" s="491"/>
      <c r="BT19" s="491"/>
      <c r="BU19" s="491"/>
      <c r="BV19" s="491"/>
      <c r="BW19" s="491"/>
      <c r="BX19" s="491"/>
    </row>
    <row r="20" spans="2:76" x14ac:dyDescent="0.3">
      <c r="B20" s="364" t="s">
        <v>126</v>
      </c>
      <c r="C20" s="251">
        <f>'Input sheet'!$V$6</f>
        <v>4</v>
      </c>
      <c r="D20" s="251">
        <f>'Input sheet'!$V$6</f>
        <v>4</v>
      </c>
      <c r="E20" s="251">
        <f>'Input sheet'!$V$6</f>
        <v>4</v>
      </c>
      <c r="F20" s="251">
        <f>'Input sheet'!$V$6</f>
        <v>4</v>
      </c>
      <c r="G20" s="251">
        <f>'Input sheet'!$V$6</f>
        <v>4</v>
      </c>
      <c r="H20" s="251">
        <f>'Input sheet'!$V$6</f>
        <v>4</v>
      </c>
      <c r="I20" s="251">
        <f>'Input sheet'!$V$6</f>
        <v>4</v>
      </c>
      <c r="J20" s="251">
        <f>'Input sheet'!$V$6</f>
        <v>4</v>
      </c>
      <c r="K20" s="251">
        <f>'Input sheet'!$V$6</f>
        <v>4</v>
      </c>
      <c r="L20" s="251">
        <f>'Input sheet'!$V$6</f>
        <v>4</v>
      </c>
      <c r="M20" s="251">
        <f>'Input sheet'!$V$6</f>
        <v>4</v>
      </c>
      <c r="N20" s="251">
        <f>'Input sheet'!$V$6</f>
        <v>4</v>
      </c>
      <c r="O20" s="251"/>
      <c r="Q20" s="10"/>
      <c r="R20" s="35"/>
      <c r="S20" s="25"/>
      <c r="T20" s="25"/>
      <c r="U20" s="16"/>
      <c r="V20" s="105"/>
      <c r="W20" s="72"/>
      <c r="Y20" s="319" t="s">
        <v>389</v>
      </c>
      <c r="Z20" s="519">
        <f>MATCH(Z19,AE3:AE11,0)</f>
        <v>1</v>
      </c>
      <c r="AA20" s="519"/>
      <c r="AB20" s="519">
        <f>MATCH(AB19,AF3:AF11,0)</f>
        <v>6</v>
      </c>
      <c r="AC20" s="519"/>
      <c r="AI20" s="78" t="s">
        <v>377</v>
      </c>
      <c r="AJ20" s="78">
        <v>1</v>
      </c>
      <c r="AK20" s="77">
        <v>2</v>
      </c>
      <c r="AL20" s="77">
        <v>3</v>
      </c>
      <c r="AN20" s="77" t="s">
        <v>377</v>
      </c>
      <c r="AO20" s="77">
        <v>1</v>
      </c>
      <c r="AP20" s="77">
        <v>2</v>
      </c>
      <c r="AQ20" s="77">
        <v>3</v>
      </c>
      <c r="AS20" s="77" t="s">
        <v>377</v>
      </c>
      <c r="AT20" s="77">
        <v>1</v>
      </c>
      <c r="AU20" s="77">
        <v>2</v>
      </c>
      <c r="AV20" s="77">
        <v>3</v>
      </c>
      <c r="BI20" s="488"/>
      <c r="BJ20" s="488"/>
      <c r="BK20" s="488"/>
      <c r="BL20" s="488"/>
      <c r="BM20" s="488"/>
      <c r="BN20" s="488"/>
      <c r="BO20" s="488"/>
      <c r="BP20" s="488"/>
      <c r="BQ20" s="488"/>
      <c r="BR20" s="488"/>
      <c r="BS20" s="488"/>
      <c r="BT20" s="488"/>
      <c r="BU20" s="488"/>
      <c r="BV20" s="488"/>
      <c r="BW20" s="488"/>
      <c r="BX20" s="488"/>
    </row>
    <row r="21" spans="2:76" x14ac:dyDescent="0.3">
      <c r="B21" s="348"/>
      <c r="C21" s="250"/>
      <c r="D21" s="251"/>
      <c r="E21" s="251"/>
      <c r="F21" s="250"/>
      <c r="G21" s="251"/>
      <c r="H21" s="251"/>
      <c r="I21" s="250"/>
      <c r="J21" s="251"/>
      <c r="K21" s="251"/>
      <c r="L21" s="250"/>
      <c r="M21" s="251"/>
      <c r="N21" s="251"/>
      <c r="O21" s="250"/>
      <c r="Q21" s="10"/>
      <c r="R21" s="104"/>
      <c r="S21" s="25"/>
      <c r="T21" s="25"/>
      <c r="U21" s="16"/>
      <c r="V21" s="16"/>
      <c r="W21" s="15"/>
      <c r="Y21" s="319" t="s">
        <v>377</v>
      </c>
      <c r="Z21" s="519" t="str">
        <f>INDEX(AD3:AD13,Z20)</f>
        <v>1a</v>
      </c>
      <c r="AA21" s="519"/>
      <c r="AB21" s="519" t="str">
        <f>INDEX(AD3:AD11,AB20)</f>
        <v>3a</v>
      </c>
      <c r="AC21" s="519"/>
      <c r="AI21" s="78" t="s">
        <v>369</v>
      </c>
      <c r="AJ21" s="78">
        <v>4</v>
      </c>
      <c r="AN21" s="77" t="s">
        <v>369</v>
      </c>
      <c r="AO21" s="340" t="s">
        <v>397</v>
      </c>
      <c r="AP21" s="340"/>
      <c r="AQ21" s="340"/>
      <c r="AS21" s="77" t="s">
        <v>369</v>
      </c>
      <c r="AT21" s="77">
        <f>MAX(J16,I16,M16,L16)</f>
        <v>164</v>
      </c>
      <c r="BI21" s="488"/>
      <c r="BJ21" s="488"/>
      <c r="BK21" s="488"/>
      <c r="BL21" s="488"/>
      <c r="BM21" s="488"/>
      <c r="BN21" s="488"/>
      <c r="BO21" s="488"/>
      <c r="BP21" s="488"/>
      <c r="BQ21" s="488"/>
      <c r="BR21" s="488"/>
      <c r="BS21" s="488"/>
      <c r="BT21" s="488"/>
      <c r="BU21" s="488"/>
      <c r="BV21" s="488"/>
      <c r="BW21" s="488"/>
      <c r="BX21" s="488"/>
    </row>
    <row r="22" spans="2:76" x14ac:dyDescent="0.3">
      <c r="B22" s="77"/>
      <c r="C22" s="77"/>
      <c r="D22" s="77"/>
      <c r="E22" s="77"/>
      <c r="F22" s="77"/>
      <c r="G22" s="101"/>
      <c r="H22" s="101"/>
      <c r="I22" s="101"/>
      <c r="J22" s="101"/>
      <c r="K22" s="101"/>
      <c r="L22" s="101"/>
      <c r="M22" s="101"/>
      <c r="N22" s="101"/>
      <c r="O22" s="77"/>
      <c r="Q22" s="10"/>
      <c r="R22" s="104"/>
      <c r="S22" s="25"/>
      <c r="T22" s="29"/>
      <c r="U22" s="16"/>
      <c r="V22" s="101" t="s">
        <v>233</v>
      </c>
      <c r="W22" s="15"/>
      <c r="AI22" s="78" t="s">
        <v>370</v>
      </c>
      <c r="AJ22" s="78">
        <v>4</v>
      </c>
      <c r="AN22" s="77" t="s">
        <v>370</v>
      </c>
      <c r="AO22" s="340" t="s">
        <v>397</v>
      </c>
      <c r="AP22" s="340"/>
      <c r="AQ22" s="340"/>
      <c r="AS22" s="77" t="s">
        <v>370</v>
      </c>
      <c r="AT22" s="324">
        <f>MAX(J16,I16,M16,L16)</f>
        <v>164</v>
      </c>
      <c r="BI22" s="488"/>
      <c r="BJ22" s="488"/>
      <c r="BK22" s="488"/>
      <c r="BL22" s="488"/>
      <c r="BM22" s="488"/>
      <c r="BN22" s="488"/>
      <c r="BO22" s="488"/>
      <c r="BP22" s="488"/>
      <c r="BQ22" s="488"/>
      <c r="BR22" s="488"/>
      <c r="BS22" s="488"/>
      <c r="BT22" s="488"/>
      <c r="BU22" s="488"/>
      <c r="BV22" s="488"/>
      <c r="BW22" s="488"/>
      <c r="BX22" s="488"/>
    </row>
    <row r="23" spans="2:76" x14ac:dyDescent="0.3">
      <c r="B23" s="328" t="s">
        <v>421</v>
      </c>
      <c r="C23" s="328">
        <f>SUM(AJ15:AL15,AJ31:AL31)</f>
        <v>12</v>
      </c>
      <c r="F23" s="101"/>
      <c r="H23" s="101"/>
      <c r="M23" s="101"/>
      <c r="N23" s="101"/>
      <c r="O23" s="77"/>
      <c r="S23" s="85"/>
      <c r="V23" s="101">
        <f>IF(O17&gt;=O11,140,C23/(1-(O17/O11)))</f>
        <v>22.583025830258304</v>
      </c>
      <c r="Y23" s="331" t="s">
        <v>430</v>
      </c>
      <c r="Z23" s="331" t="s">
        <v>431</v>
      </c>
      <c r="AA23" s="331" t="s">
        <v>432</v>
      </c>
      <c r="AB23" s="101" t="s">
        <v>305</v>
      </c>
      <c r="AC23" s="331" t="s">
        <v>433</v>
      </c>
      <c r="AI23" s="78" t="s">
        <v>371</v>
      </c>
      <c r="AJ23" s="78">
        <v>4</v>
      </c>
      <c r="AN23" s="77" t="s">
        <v>371</v>
      </c>
      <c r="AO23" s="340" t="s">
        <v>397</v>
      </c>
      <c r="AP23" s="340"/>
      <c r="AQ23" s="340"/>
      <c r="AS23" s="77" t="s">
        <v>371</v>
      </c>
      <c r="AT23" s="324">
        <f>MAX(J16,I16,M16,L16)</f>
        <v>164</v>
      </c>
      <c r="BI23" s="488"/>
      <c r="BJ23" s="488"/>
      <c r="BK23" s="488"/>
      <c r="BL23" s="488"/>
      <c r="BM23" s="488"/>
      <c r="BN23" s="488"/>
      <c r="BO23" s="488"/>
      <c r="BP23" s="488"/>
      <c r="BQ23" s="488"/>
      <c r="BR23" s="488"/>
      <c r="BS23" s="488"/>
      <c r="BT23" s="488"/>
      <c r="BU23" s="488"/>
      <c r="BV23" s="488"/>
      <c r="BW23" s="488"/>
      <c r="BX23" s="488"/>
    </row>
    <row r="24" spans="2:76" x14ac:dyDescent="0.3">
      <c r="B24" s="330" t="s">
        <v>422</v>
      </c>
      <c r="C24" s="366">
        <f>C23/(1-(O17/O11))</f>
        <v>22.583025830258304</v>
      </c>
      <c r="D24" s="549" t="s">
        <v>435</v>
      </c>
      <c r="E24" s="549"/>
      <c r="F24" s="372">
        <f>V25</f>
        <v>120</v>
      </c>
      <c r="H24" s="101"/>
      <c r="M24" s="101"/>
      <c r="N24" s="101"/>
      <c r="O24" s="77"/>
      <c r="U24" s="101" t="s">
        <v>434</v>
      </c>
      <c r="V24" s="101" t="s">
        <v>302</v>
      </c>
      <c r="Y24" s="3">
        <v>-100000</v>
      </c>
      <c r="Z24" s="3">
        <v>0</v>
      </c>
      <c r="AA24" s="3">
        <f>'Input sheet'!V9</f>
        <v>150</v>
      </c>
      <c r="AB24" s="101">
        <f>V23</f>
        <v>22.583025830258304</v>
      </c>
      <c r="AC24" s="3">
        <f>LOOKUP(AB24,Y24:Z37,AA24:AA37)</f>
        <v>40</v>
      </c>
      <c r="AI24" s="78" t="s">
        <v>372</v>
      </c>
      <c r="AJ24" s="78">
        <v>4</v>
      </c>
      <c r="AK24" s="77">
        <v>4</v>
      </c>
      <c r="AN24" s="77" t="s">
        <v>372</v>
      </c>
      <c r="AO24" s="340" t="s">
        <v>398</v>
      </c>
      <c r="AP24" s="340" t="s">
        <v>397</v>
      </c>
      <c r="AQ24" s="340"/>
      <c r="AS24" s="77" t="s">
        <v>372</v>
      </c>
      <c r="AT24" s="77">
        <f>L16</f>
        <v>58</v>
      </c>
      <c r="AU24" s="324">
        <f>MAX(M16-L16,J16)</f>
        <v>106</v>
      </c>
    </row>
    <row r="25" spans="2:76" x14ac:dyDescent="0.3">
      <c r="B25" s="329" t="s">
        <v>423</v>
      </c>
      <c r="C25" s="244">
        <f>V27</f>
        <v>120</v>
      </c>
      <c r="D25" s="492"/>
      <c r="E25" s="77"/>
      <c r="F25" s="77"/>
      <c r="G25" s="101"/>
      <c r="H25" s="101"/>
      <c r="I25" s="101"/>
      <c r="J25" s="101"/>
      <c r="K25" s="101"/>
      <c r="L25" s="101"/>
      <c r="M25" s="101"/>
      <c r="N25" s="101"/>
      <c r="O25" s="77"/>
      <c r="Q25" s="75"/>
      <c r="R25" s="75"/>
      <c r="S25" s="75"/>
      <c r="U25" s="3">
        <f>Phasing!L27</f>
        <v>111</v>
      </c>
      <c r="V25" s="101">
        <f>10*ROUNDUP(U25/10,0)</f>
        <v>120</v>
      </c>
      <c r="Y25" s="3">
        <v>0</v>
      </c>
      <c r="Z25" s="3">
        <v>40</v>
      </c>
      <c r="AA25" s="3">
        <f>'Input sheet'!V8</f>
        <v>40</v>
      </c>
      <c r="AI25" s="78" t="s">
        <v>373</v>
      </c>
      <c r="AJ25" s="78">
        <v>4</v>
      </c>
      <c r="AK25" s="77">
        <v>4</v>
      </c>
      <c r="AN25" s="77" t="s">
        <v>373</v>
      </c>
      <c r="AO25" s="340" t="s">
        <v>399</v>
      </c>
      <c r="AP25" s="340" t="s">
        <v>397</v>
      </c>
      <c r="AQ25" s="340"/>
      <c r="AS25" s="77" t="s">
        <v>373</v>
      </c>
      <c r="AT25" s="77">
        <f>I16</f>
        <v>158</v>
      </c>
      <c r="AU25" s="77">
        <f>MAX(J16-I16,M16)</f>
        <v>164</v>
      </c>
    </row>
    <row r="26" spans="2:76" hidden="1" x14ac:dyDescent="0.3">
      <c r="B26" s="77" t="s">
        <v>244</v>
      </c>
      <c r="C26" s="77">
        <f>C7</f>
        <v>83</v>
      </c>
      <c r="D26" s="77">
        <f>IF(AND(C18=0,C26&gt;0,D3=0),C26,D7)</f>
        <v>152</v>
      </c>
      <c r="E26" s="77"/>
      <c r="F26" s="77">
        <f>F7</f>
        <v>166</v>
      </c>
      <c r="G26" s="77">
        <f>IF(AND(F18=0,F26&gt;0,G3=0),F26,G7)</f>
        <v>395</v>
      </c>
      <c r="H26" s="77"/>
      <c r="I26" s="77">
        <f>I7</f>
        <v>145</v>
      </c>
      <c r="J26" s="77">
        <f>IF(AND(I18=0,I26&gt;0,J3=0),I26,J7)</f>
        <v>0</v>
      </c>
      <c r="K26" s="77"/>
      <c r="L26" s="77">
        <f>L7</f>
        <v>54</v>
      </c>
      <c r="M26" s="77">
        <f>IF(AND(L18=0,L26&gt;0,M3=0),L26,M7)</f>
        <v>164</v>
      </c>
      <c r="N26" s="77"/>
      <c r="O26" s="77"/>
      <c r="V26" s="291" t="s">
        <v>337</v>
      </c>
      <c r="Y26" s="3">
        <f>Z25+0.001</f>
        <v>40.000999999999998</v>
      </c>
      <c r="Z26" s="3">
        <f>Z25+10</f>
        <v>50</v>
      </c>
      <c r="AA26" s="3">
        <f>AA25+10</f>
        <v>50</v>
      </c>
      <c r="AI26" s="78" t="s">
        <v>374</v>
      </c>
      <c r="AJ26" s="78">
        <v>4</v>
      </c>
      <c r="AK26" s="77">
        <v>0</v>
      </c>
      <c r="AL26" s="77">
        <v>4</v>
      </c>
      <c r="AN26" s="77" t="s">
        <v>374</v>
      </c>
      <c r="AO26" s="340" t="s">
        <v>400</v>
      </c>
      <c r="AP26" s="340" t="s">
        <v>399</v>
      </c>
      <c r="AQ26" s="340" t="s">
        <v>397</v>
      </c>
      <c r="AS26" s="77" t="s">
        <v>374</v>
      </c>
      <c r="AT26" s="77">
        <f>L16</f>
        <v>58</v>
      </c>
      <c r="AU26" s="77">
        <f>I16-L16</f>
        <v>100</v>
      </c>
      <c r="AV26" s="77">
        <f>MAX(M16,J16-(I16-L16))</f>
        <v>164</v>
      </c>
    </row>
    <row r="27" spans="2:76" hidden="1" x14ac:dyDescent="0.3">
      <c r="B27" s="77" t="s">
        <v>128</v>
      </c>
      <c r="C27" s="77">
        <f>IF(C18=0,0,MATCH(C26,'Max greens'!$B:$B))</f>
        <v>0</v>
      </c>
      <c r="D27" s="77">
        <f>IF(D18=0,0,MATCH(D26,'Max greens'!$B:$B))</f>
        <v>9</v>
      </c>
      <c r="E27" s="77"/>
      <c r="F27" s="77">
        <f>IF(F18=0,0,MATCH(F26,'Max greens'!$B:$B))</f>
        <v>0</v>
      </c>
      <c r="G27" s="77">
        <f>IF(G18=0,0,MATCH(G26,'Max greens'!$B:$B))</f>
        <v>11</v>
      </c>
      <c r="H27" s="77"/>
      <c r="I27" s="77">
        <f>IF(I18=0,0,MATCH(I26,'Max greens'!$B:$B))</f>
        <v>9</v>
      </c>
      <c r="J27" s="77">
        <f>IF(J18=0,0,MATCH(J26,'Max greens'!$B:$B))</f>
        <v>7</v>
      </c>
      <c r="K27" s="77"/>
      <c r="L27" s="77">
        <f>IF(L18=0,0,MATCH(L26,'Max greens'!$B:$B))</f>
        <v>8</v>
      </c>
      <c r="M27" s="77">
        <f>IF(M18=0,0,MATCH(M26,'Max greens'!$B:$B))</f>
        <v>9</v>
      </c>
      <c r="N27" s="77"/>
      <c r="O27" s="77"/>
      <c r="Q27" s="55"/>
      <c r="R27" s="528" t="s">
        <v>113</v>
      </c>
      <c r="S27" s="528"/>
      <c r="T27" s="528"/>
      <c r="U27" s="528"/>
      <c r="V27" s="77">
        <f>IF(MAX(V25,AC24)&gt;='Input sheet'!V9,'Input sheet'!V9,MAX(V25,AC24))</f>
        <v>120</v>
      </c>
      <c r="Y27" s="331">
        <f t="shared" ref="Y27:Y36" si="6">Z26+0.001</f>
        <v>50.000999999999998</v>
      </c>
      <c r="Z27" s="331">
        <f t="shared" ref="Z27:Z35" si="7">Z26+10</f>
        <v>60</v>
      </c>
      <c r="AA27" s="331">
        <f t="shared" ref="AA27:AA36" si="8">AA26+10</f>
        <v>60</v>
      </c>
      <c r="AI27" s="78" t="s">
        <v>375</v>
      </c>
      <c r="AJ27" s="78">
        <v>4</v>
      </c>
      <c r="AK27" s="77">
        <v>0</v>
      </c>
      <c r="AL27" s="77">
        <v>4</v>
      </c>
      <c r="AN27" s="77" t="s">
        <v>375</v>
      </c>
      <c r="AO27" s="340" t="s">
        <v>400</v>
      </c>
      <c r="AP27" s="340" t="s">
        <v>398</v>
      </c>
      <c r="AQ27" s="340" t="s">
        <v>397</v>
      </c>
      <c r="AS27" s="77" t="s">
        <v>375</v>
      </c>
      <c r="AT27" s="77">
        <f>I16</f>
        <v>158</v>
      </c>
      <c r="AU27" s="77">
        <f>L16-I16</f>
        <v>-100</v>
      </c>
      <c r="AV27" s="77">
        <f>MAX(J16,M16-(L16-I16))</f>
        <v>264</v>
      </c>
    </row>
    <row r="28" spans="2:76" hidden="1" x14ac:dyDescent="0.3">
      <c r="B28" s="77" t="s">
        <v>129</v>
      </c>
      <c r="C28" s="77">
        <f>IF(SUM('Phase designation'!B19:H19)&gt;2,0,MATCH($C$25,'Max greens'!5:5))</f>
        <v>11</v>
      </c>
      <c r="D28" s="77">
        <f>IF(SUM('Phase designation'!B19:H19)&gt;2,0,MATCH($C$25,'Max greens'!5:5))</f>
        <v>11</v>
      </c>
      <c r="E28" s="77"/>
      <c r="F28" s="77">
        <f>IF(SUM('Phase designation'!B19:H19)&gt;2,0,MATCH($C$25,'Max greens'!5:5))</f>
        <v>11</v>
      </c>
      <c r="G28" s="77">
        <f>IF(SUM('Phase designation'!B19:H19)&gt;2,0,MATCH($C$25,'Max greens'!5:5))</f>
        <v>11</v>
      </c>
      <c r="H28" s="77"/>
      <c r="I28" s="77">
        <f>IF(SUM('Phase designation'!B19:H19)&gt;2,0,MATCH($C$25,'Max greens'!5:5))</f>
        <v>11</v>
      </c>
      <c r="J28" s="77">
        <f>IF(SUM('Phase designation'!B19:H19)&gt;2,0,MATCH($C$25,'Max greens'!5:5))</f>
        <v>11</v>
      </c>
      <c r="K28" s="77"/>
      <c r="L28" s="77">
        <f>IF(SUM('Phase designation'!B19:H19)&gt;2,0,MATCH($C$25,'Max greens'!5:5))</f>
        <v>11</v>
      </c>
      <c r="M28" s="77">
        <f>IF(SUM('Phase designation'!B19:H19)&gt;2,0,MATCH($C$25,'Max greens'!5:5))</f>
        <v>11</v>
      </c>
      <c r="N28" s="77"/>
      <c r="O28" s="77"/>
      <c r="Q28" s="56"/>
      <c r="R28" s="57" t="str">
        <f>'Phase designation'!K35</f>
        <v/>
      </c>
      <c r="S28" s="57" t="str">
        <f>'Phase designation'!L35</f>
        <v>b</v>
      </c>
      <c r="T28" s="57" t="str">
        <f>'Phase designation'!M35</f>
        <v/>
      </c>
      <c r="U28" s="57"/>
      <c r="Y28" s="331">
        <f t="shared" si="6"/>
        <v>60.000999999999998</v>
      </c>
      <c r="Z28" s="331">
        <f t="shared" si="7"/>
        <v>70</v>
      </c>
      <c r="AA28" s="331">
        <f t="shared" si="8"/>
        <v>70</v>
      </c>
      <c r="AI28" s="78">
        <v>4</v>
      </c>
      <c r="AJ28" s="78">
        <v>4</v>
      </c>
      <c r="AK28" s="77">
        <v>4</v>
      </c>
      <c r="AN28" s="77">
        <v>4</v>
      </c>
      <c r="AO28" s="340" t="s">
        <v>399</v>
      </c>
      <c r="AP28" s="340" t="s">
        <v>398</v>
      </c>
      <c r="AQ28" s="340"/>
      <c r="AS28" s="77">
        <v>4</v>
      </c>
      <c r="AT28" s="77">
        <f>MAX(J16,I16)</f>
        <v>158</v>
      </c>
      <c r="AU28" s="77">
        <f>MAX(M16,L16)</f>
        <v>164</v>
      </c>
    </row>
    <row r="29" spans="2:76" hidden="1" x14ac:dyDescent="0.3">
      <c r="B29" s="324" t="s">
        <v>256</v>
      </c>
      <c r="C29" s="350">
        <f>MAX(INDEX('Max greens'!1:1048576,C27,C28),C34-C35-C36)</f>
        <v>120</v>
      </c>
      <c r="D29" s="350">
        <f>MAX(INDEX('Max greens'!1:1048576,D27,D28),D34-D35-D36)</f>
        <v>52.9</v>
      </c>
      <c r="E29" s="350">
        <f>D29</f>
        <v>52.9</v>
      </c>
      <c r="F29" s="350">
        <f>MAX(INDEX('Max greens'!1:1048576,F27,F28),F34-F35-F36)</f>
        <v>120</v>
      </c>
      <c r="G29" s="350">
        <f>MAX(INDEX('Max greens'!1:1048576,G27,G28),G34-G35-G36)</f>
        <v>52.9</v>
      </c>
      <c r="H29" s="350">
        <f>G29</f>
        <v>52.9</v>
      </c>
      <c r="I29" s="350">
        <f>MAX(INDEX('Max greens'!1:1048576,I27,I28),I34-I35-I36)</f>
        <v>15</v>
      </c>
      <c r="J29" s="350">
        <f>MAX(INDEX('Max greens'!1:1048576,J27,J28),J34-J35-J36)</f>
        <v>43</v>
      </c>
      <c r="K29" s="350">
        <f>J29</f>
        <v>43</v>
      </c>
      <c r="L29" s="350">
        <f>MAX(INDEX('Max greens'!1:1048576,L27,L28),L34-L35-L36)</f>
        <v>7</v>
      </c>
      <c r="M29" s="350">
        <f>MAX(INDEX('Max greens'!1:1048576,M27,M28),M34-M35-M36)</f>
        <v>39.9</v>
      </c>
      <c r="N29" s="350">
        <f>M29</f>
        <v>39.9</v>
      </c>
      <c r="O29" s="77"/>
      <c r="Q29" s="59" t="s">
        <v>105</v>
      </c>
      <c r="R29" s="80">
        <f>'Phase designation'!K36</f>
        <v>0</v>
      </c>
      <c r="S29" s="80">
        <f>'Phase designation'!L36</f>
        <v>2</v>
      </c>
      <c r="T29" s="80">
        <f>'Phase designation'!M36</f>
        <v>3</v>
      </c>
      <c r="U29" s="80">
        <f>'Phase designation'!N36</f>
        <v>4</v>
      </c>
      <c r="Y29" s="331">
        <f t="shared" si="6"/>
        <v>70.001000000000005</v>
      </c>
      <c r="Z29" s="331">
        <f t="shared" si="7"/>
        <v>80</v>
      </c>
      <c r="AA29" s="331">
        <f t="shared" si="8"/>
        <v>80</v>
      </c>
    </row>
    <row r="30" spans="2:76" hidden="1" x14ac:dyDescent="0.3">
      <c r="B30" s="324" t="s">
        <v>414</v>
      </c>
      <c r="C30" s="77">
        <f>IF(SUM('Phase designation'!B19:H19)&gt;2,0,AQ48)</f>
        <v>0</v>
      </c>
      <c r="D30" s="324">
        <f>IF(SUM('Phase designation'!B19:H19)&gt;2,0,AR48)</f>
        <v>63.5</v>
      </c>
      <c r="E30" s="324">
        <f>IF(SUM('Phase designation'!B19:H19)&gt;2,0,AS48)</f>
        <v>63.5</v>
      </c>
      <c r="F30" s="324">
        <f>IF(SUM('Phase designation'!B19:H19)&gt;2,0,AT48)</f>
        <v>0</v>
      </c>
      <c r="G30" s="324">
        <f>IF(SUM('Phase designation'!B19:H19)&gt;2,0,AU48)</f>
        <v>63.5</v>
      </c>
      <c r="H30" s="324">
        <f>IF(SUM('Phase designation'!B19:H19)&gt;2,0,AV48)</f>
        <v>63.5</v>
      </c>
      <c r="I30" s="324">
        <f>IF(SUM('Phase designation'!B19:H19)&gt;2,0,AW48)</f>
        <v>27.799999999999997</v>
      </c>
      <c r="J30" s="324">
        <f>IF(SUM('Phase designation'!B19:H19)&gt;2,0,AX48)</f>
        <v>43.8</v>
      </c>
      <c r="K30" s="324">
        <f>IF(SUM('Phase designation'!B19:H19)&gt;2,0,AY48)</f>
        <v>43.8</v>
      </c>
      <c r="L30" s="324">
        <f>IF(SUM('Phase designation'!B19:H19)&gt;2,0,AZ48)</f>
        <v>12.7</v>
      </c>
      <c r="M30" s="324">
        <f>IF(SUM('Phase designation'!B19:H19)&gt;2,0,BA48)</f>
        <v>28.7</v>
      </c>
      <c r="N30" s="324">
        <f>IF(SUM('Phase designation'!B19:H19)&gt;2,0,BB48)</f>
        <v>28.7</v>
      </c>
      <c r="O30" s="77"/>
      <c r="Q30" s="61" t="s">
        <v>106</v>
      </c>
      <c r="R30" s="80">
        <f>'Phase designation'!K37</f>
        <v>0</v>
      </c>
      <c r="S30" s="80">
        <f>'Phase designation'!L37</f>
        <v>6</v>
      </c>
      <c r="T30" s="80">
        <f>'Phase designation'!M37</f>
        <v>7</v>
      </c>
      <c r="U30" s="80">
        <f>'Phase designation'!N37</f>
        <v>8</v>
      </c>
      <c r="Y30" s="331">
        <f t="shared" si="6"/>
        <v>80.001000000000005</v>
      </c>
      <c r="Z30" s="331">
        <f t="shared" si="7"/>
        <v>90</v>
      </c>
      <c r="AA30" s="331">
        <f t="shared" si="8"/>
        <v>90</v>
      </c>
      <c r="AH30" s="343" t="s">
        <v>387</v>
      </c>
      <c r="AI30" s="342" t="str">
        <f>AB21</f>
        <v>3a</v>
      </c>
      <c r="AJ30" s="167"/>
      <c r="AK30" s="318"/>
      <c r="AL30" s="318"/>
    </row>
    <row r="31" spans="2:76" s="69" customFormat="1" x14ac:dyDescent="0.3">
      <c r="B31" s="77"/>
      <c r="C31" s="77"/>
      <c r="D31" s="77"/>
      <c r="E31" s="77"/>
      <c r="F31" s="77"/>
      <c r="G31" s="77"/>
      <c r="H31" s="77"/>
      <c r="I31" s="77"/>
      <c r="J31" s="77"/>
      <c r="K31" s="77"/>
      <c r="L31" s="77"/>
      <c r="M31" s="77"/>
      <c r="N31" s="77"/>
      <c r="O31" s="324"/>
      <c r="P31" s="291"/>
      <c r="Q31" s="62" t="s">
        <v>105</v>
      </c>
      <c r="R31" s="87">
        <f t="shared" ref="R31:U32" si="9">IF(R29=0,0,1)</f>
        <v>0</v>
      </c>
      <c r="S31" s="87">
        <f t="shared" si="9"/>
        <v>1</v>
      </c>
      <c r="T31" s="87">
        <f t="shared" si="9"/>
        <v>1</v>
      </c>
      <c r="U31" s="87">
        <f t="shared" si="9"/>
        <v>1</v>
      </c>
      <c r="Y31" s="331">
        <f t="shared" si="6"/>
        <v>90.001000000000005</v>
      </c>
      <c r="Z31" s="331">
        <f t="shared" si="7"/>
        <v>100</v>
      </c>
      <c r="AA31" s="331">
        <f t="shared" si="8"/>
        <v>100</v>
      </c>
      <c r="AE31" s="78"/>
      <c r="AF31" s="78"/>
      <c r="AG31" s="78"/>
      <c r="AH31" s="78"/>
      <c r="AI31" s="167" t="s">
        <v>390</v>
      </c>
      <c r="AJ31" s="167">
        <f>INDEX(AJ21:AJ28,MATCH($AI$30,$AI$21:$AI$28,0))</f>
        <v>4</v>
      </c>
      <c r="AK31" s="167">
        <f>INDEX(AK21:AK28,MATCH($AI$30,$AI$21:$AI$28,0))</f>
        <v>0</v>
      </c>
      <c r="AL31" s="167">
        <f>INDEX(AL21:AL28,MATCH($AI$30,$AI$21:$AI$28,0))</f>
        <v>4</v>
      </c>
      <c r="AM31" s="77"/>
      <c r="AN31" s="77"/>
      <c r="AO31" s="77"/>
      <c r="AP31" s="77"/>
      <c r="AQ31" s="77"/>
      <c r="AR31" s="77"/>
      <c r="AS31" s="77"/>
      <c r="AT31" s="77"/>
      <c r="AU31" s="77"/>
      <c r="AV31" s="77"/>
      <c r="BK31" s="434"/>
    </row>
    <row r="32" spans="2:76" x14ac:dyDescent="0.3">
      <c r="B32" s="253" t="s">
        <v>73</v>
      </c>
      <c r="C32" s="352" t="str">
        <f>C2</f>
        <v>EBL</v>
      </c>
      <c r="D32" s="353" t="str">
        <f>D2</f>
        <v>EBT</v>
      </c>
      <c r="E32" s="353" t="s">
        <v>15</v>
      </c>
      <c r="F32" s="352" t="s">
        <v>18</v>
      </c>
      <c r="G32" s="353" t="s">
        <v>19</v>
      </c>
      <c r="H32" s="353" t="s">
        <v>20</v>
      </c>
      <c r="I32" s="352" t="s">
        <v>3</v>
      </c>
      <c r="J32" s="353" t="s">
        <v>4</v>
      </c>
      <c r="K32" s="353" t="s">
        <v>5</v>
      </c>
      <c r="L32" s="352" t="s">
        <v>8</v>
      </c>
      <c r="M32" s="353" t="s">
        <v>9</v>
      </c>
      <c r="N32" s="353" t="s">
        <v>10</v>
      </c>
      <c r="O32" s="324"/>
      <c r="Q32" s="47" t="s">
        <v>106</v>
      </c>
      <c r="R32" s="87">
        <f t="shared" si="9"/>
        <v>0</v>
      </c>
      <c r="S32" s="87">
        <f t="shared" si="9"/>
        <v>1</v>
      </c>
      <c r="T32" s="87">
        <f t="shared" si="9"/>
        <v>1</v>
      </c>
      <c r="U32" s="87">
        <f t="shared" si="9"/>
        <v>1</v>
      </c>
      <c r="Y32" s="331">
        <f t="shared" si="6"/>
        <v>100.001</v>
      </c>
      <c r="Z32" s="331">
        <f t="shared" si="7"/>
        <v>110</v>
      </c>
      <c r="AA32" s="331">
        <f t="shared" si="8"/>
        <v>110</v>
      </c>
      <c r="AI32" s="167" t="s">
        <v>391</v>
      </c>
      <c r="AJ32" s="167" t="str">
        <f>INDEX(AO21:AO28,MATCH($AI$30,$AN$21:$AN$28,0))</f>
        <v>NBSBLT</v>
      </c>
      <c r="AK32" s="167" t="str">
        <f>INDEX(AP21:AP28,MATCH($AI$30,$AN$21:$AN$28,0))</f>
        <v>NBTHLT</v>
      </c>
      <c r="AL32" s="167" t="str">
        <f>INDEX(AQ21:AQ28,MATCH($AI$30,$AN$21:$AN$28,0))</f>
        <v>NBSBTH</v>
      </c>
    </row>
    <row r="33" spans="2:63" x14ac:dyDescent="0.3">
      <c r="B33" s="77" t="s">
        <v>124</v>
      </c>
      <c r="C33" s="250">
        <f>IF('Phase designation'!B19=2,D33,C18)</f>
        <v>0</v>
      </c>
      <c r="D33" s="251">
        <f>D18</f>
        <v>2</v>
      </c>
      <c r="E33" s="251">
        <f>D33</f>
        <v>2</v>
      </c>
      <c r="F33" s="250">
        <f>IF('Phase designation'!D19=2,G33,F18)</f>
        <v>0</v>
      </c>
      <c r="G33" s="251">
        <f>G18</f>
        <v>6</v>
      </c>
      <c r="H33" s="251">
        <f>G33</f>
        <v>6</v>
      </c>
      <c r="I33" s="250">
        <f>IF('Phase designation'!F19=2,J33,I18)</f>
        <v>3</v>
      </c>
      <c r="J33" s="251">
        <f>J18</f>
        <v>8</v>
      </c>
      <c r="K33" s="251">
        <f>J33</f>
        <v>8</v>
      </c>
      <c r="L33" s="250">
        <f>IF('Phase designation'!H19=2,M33,L18)</f>
        <v>7</v>
      </c>
      <c r="M33" s="251">
        <f>M18</f>
        <v>4</v>
      </c>
      <c r="N33" s="251">
        <f>M33</f>
        <v>4</v>
      </c>
      <c r="O33" s="324"/>
      <c r="Y33" s="331">
        <f t="shared" si="6"/>
        <v>110.001</v>
      </c>
      <c r="Z33" s="331">
        <f t="shared" si="7"/>
        <v>120</v>
      </c>
      <c r="AA33" s="331">
        <f t="shared" si="8"/>
        <v>120</v>
      </c>
      <c r="AI33" s="167" t="s">
        <v>392</v>
      </c>
      <c r="AJ33" s="167">
        <f>INDEX(AT21:AT28,MATCH($AI$30,$AS$21:$AS$28,0))</f>
        <v>58</v>
      </c>
      <c r="AK33" s="167">
        <f>INDEX(AU21:AU28,MATCH($AI$30,$AS$21:$AS$28,0))</f>
        <v>100</v>
      </c>
      <c r="AL33" s="167">
        <f>INDEX(AV21:AV28,MATCH($AI$30,$AS$21:$AS$28,0))</f>
        <v>164</v>
      </c>
      <c r="AP33" s="514" t="s">
        <v>386</v>
      </c>
      <c r="AQ33" s="318" t="str">
        <f>AJ16</f>
        <v>EBWBTH</v>
      </c>
      <c r="AR33" s="318">
        <f>AK16</f>
        <v>0</v>
      </c>
      <c r="AS33" s="318">
        <f>AL16</f>
        <v>0</v>
      </c>
      <c r="AT33" s="242"/>
      <c r="AU33" s="242"/>
      <c r="AV33" s="242"/>
      <c r="AW33" s="242"/>
      <c r="AX33" s="242"/>
      <c r="AY33" s="242"/>
      <c r="AZ33" s="242"/>
      <c r="BA33" s="242"/>
      <c r="BB33" s="242"/>
    </row>
    <row r="34" spans="2:63" x14ac:dyDescent="0.3">
      <c r="B34" s="256" t="s">
        <v>134</v>
      </c>
      <c r="C34" s="325">
        <f>IF(C33=0,0,INDEX($Q$64:$X$64,1,Q69))</f>
        <v>0</v>
      </c>
      <c r="D34" s="326">
        <f>IF(D33=0,0,INDEX($Q$64:$X$64,1,R69))</f>
        <v>59</v>
      </c>
      <c r="E34" s="326">
        <f>D34</f>
        <v>59</v>
      </c>
      <c r="F34" s="325">
        <f>IF(F33=0,0,INDEX($Q$64:$X$64,1,S69))</f>
        <v>0</v>
      </c>
      <c r="G34" s="326">
        <f>IF(G33=0,0,INDEX($Q$64:$X$64,1,T69))</f>
        <v>59</v>
      </c>
      <c r="H34" s="326">
        <f>G34</f>
        <v>59</v>
      </c>
      <c r="I34" s="325">
        <f>IF(I33=0,0,INDEX($Q$64:$X$64,1,U69))</f>
        <v>15</v>
      </c>
      <c r="J34" s="326">
        <f>IF(J33=0,0,INDEX($Q$64:$X$64,1,V69))</f>
        <v>49</v>
      </c>
      <c r="K34" s="326">
        <f>J34</f>
        <v>49</v>
      </c>
      <c r="L34" s="325">
        <f>IF(L33=0,0,INDEX($Q$64:$X$64,1,W69))</f>
        <v>12</v>
      </c>
      <c r="M34" s="326">
        <f>IF(M33=0,0,INDEX($Q$64:$X$64,1,X69))</f>
        <v>46</v>
      </c>
      <c r="N34" s="326">
        <f>M34</f>
        <v>46</v>
      </c>
      <c r="O34" s="324"/>
      <c r="Y34" s="331">
        <f t="shared" si="6"/>
        <v>120.001</v>
      </c>
      <c r="Z34" s="331">
        <f t="shared" si="7"/>
        <v>130</v>
      </c>
      <c r="AA34" s="331">
        <f t="shared" si="8"/>
        <v>130</v>
      </c>
      <c r="AI34" s="344" t="s">
        <v>401</v>
      </c>
      <c r="AJ34" s="344">
        <f>IF(AJ33=0,0,ROUND(($C$25-$C$23)*(AJ33/$O$17)+AJ31,1))</f>
        <v>12.7</v>
      </c>
      <c r="AK34" s="344">
        <f>IF(AK33=0,0,ROUND(($C$25-$C$23)*(AK33/$O$17)+AK31,1))</f>
        <v>15.1</v>
      </c>
      <c r="AL34" s="344">
        <f>IF(AL33=0,0,ROUND(($C$25-$C$23)*(AL33/$O$17)+AL31,1))</f>
        <v>28.7</v>
      </c>
      <c r="AP34" s="514"/>
      <c r="AQ34" s="304">
        <f>AJ18</f>
        <v>63.5</v>
      </c>
      <c r="AR34" s="304">
        <f>AK18</f>
        <v>0</v>
      </c>
      <c r="AS34" s="304">
        <f>AL18</f>
        <v>0</v>
      </c>
      <c r="AT34" s="3"/>
      <c r="AU34" s="3"/>
      <c r="AV34" s="3"/>
    </row>
    <row r="35" spans="2:63" s="240" customFormat="1" x14ac:dyDescent="0.3">
      <c r="B35" s="77" t="s">
        <v>261</v>
      </c>
      <c r="C35" s="250">
        <f>Phasing!O8</f>
        <v>3.6</v>
      </c>
      <c r="D35" s="251">
        <f>Phasing!P8</f>
        <v>3.6</v>
      </c>
      <c r="E35" s="251">
        <f>D35</f>
        <v>3.6</v>
      </c>
      <c r="F35" s="250">
        <f>Phasing!Q8</f>
        <v>3.6</v>
      </c>
      <c r="G35" s="251">
        <f>Phasing!R8</f>
        <v>3.6</v>
      </c>
      <c r="H35" s="251">
        <f>G35</f>
        <v>3.6</v>
      </c>
      <c r="I35" s="250">
        <f>Phasing!S8</f>
        <v>3</v>
      </c>
      <c r="J35" s="251">
        <f>Phasing!T8</f>
        <v>3</v>
      </c>
      <c r="K35" s="251">
        <f>J35</f>
        <v>3</v>
      </c>
      <c r="L35" s="250">
        <f>Phasing!U8</f>
        <v>3.6</v>
      </c>
      <c r="M35" s="251">
        <f>Phasing!V8</f>
        <v>3.6</v>
      </c>
      <c r="N35" s="251">
        <f>M35</f>
        <v>3.6</v>
      </c>
      <c r="O35" s="324"/>
      <c r="P35" s="291"/>
      <c r="Q35" s="77">
        <f>C33</f>
        <v>0</v>
      </c>
      <c r="R35" s="77">
        <f>D33</f>
        <v>2</v>
      </c>
      <c r="S35" s="77">
        <f>F33</f>
        <v>0</v>
      </c>
      <c r="T35" s="77">
        <f>G33</f>
        <v>6</v>
      </c>
      <c r="U35" s="77">
        <f>I33</f>
        <v>3</v>
      </c>
      <c r="V35" s="77">
        <f>J33</f>
        <v>8</v>
      </c>
      <c r="W35" s="77">
        <f>L33</f>
        <v>7</v>
      </c>
      <c r="X35" s="77">
        <f>M33</f>
        <v>4</v>
      </c>
      <c r="Y35" s="331">
        <f t="shared" si="6"/>
        <v>130.001</v>
      </c>
      <c r="Z35" s="331">
        <f t="shared" si="7"/>
        <v>140</v>
      </c>
      <c r="AA35" s="331">
        <f t="shared" si="8"/>
        <v>140</v>
      </c>
      <c r="AE35" s="78"/>
      <c r="AF35" s="78"/>
      <c r="AG35" s="78"/>
      <c r="AH35" s="78"/>
      <c r="AI35" s="78"/>
      <c r="AJ35" s="251"/>
      <c r="AK35" s="324"/>
      <c r="AL35" s="324"/>
      <c r="AM35" s="77"/>
      <c r="AN35" s="77"/>
      <c r="AO35" s="77"/>
      <c r="AP35" s="539" t="s">
        <v>387</v>
      </c>
      <c r="AQ35" s="318" t="str">
        <f>AJ32</f>
        <v>NBSBLT</v>
      </c>
      <c r="AR35" s="318" t="str">
        <f>AK32</f>
        <v>NBTHLT</v>
      </c>
      <c r="AS35" s="318" t="str">
        <f>AL32</f>
        <v>NBSBTH</v>
      </c>
      <c r="AT35" s="291"/>
      <c r="AU35" s="291"/>
      <c r="AV35" s="291"/>
      <c r="AW35" s="291"/>
      <c r="AX35" s="291"/>
      <c r="AY35" s="291"/>
      <c r="AZ35" s="291"/>
      <c r="BA35" s="291"/>
      <c r="BB35" s="291"/>
      <c r="BK35" s="434"/>
    </row>
    <row r="36" spans="2:63" s="240" customFormat="1" x14ac:dyDescent="0.3">
      <c r="B36" s="256" t="s">
        <v>262</v>
      </c>
      <c r="C36" s="325">
        <f>Phasing!O11</f>
        <v>2.5</v>
      </c>
      <c r="D36" s="326">
        <f>Phasing!P11</f>
        <v>2.5</v>
      </c>
      <c r="E36" s="326">
        <f>D36</f>
        <v>2.5</v>
      </c>
      <c r="F36" s="325">
        <f>Phasing!Q11</f>
        <v>2.5</v>
      </c>
      <c r="G36" s="326">
        <f>Phasing!R11</f>
        <v>2.5</v>
      </c>
      <c r="H36" s="326">
        <f>G36</f>
        <v>2.5</v>
      </c>
      <c r="I36" s="325">
        <f>Phasing!S11</f>
        <v>3</v>
      </c>
      <c r="J36" s="326">
        <f>Phasing!T11</f>
        <v>3</v>
      </c>
      <c r="K36" s="326">
        <f>J36</f>
        <v>3</v>
      </c>
      <c r="L36" s="325">
        <f>Phasing!U11</f>
        <v>2.5</v>
      </c>
      <c r="M36" s="326">
        <f>Phasing!V11</f>
        <v>2.5</v>
      </c>
      <c r="N36" s="326">
        <f>M36</f>
        <v>2.5</v>
      </c>
      <c r="O36" s="324"/>
      <c r="P36" s="291"/>
      <c r="Q36" s="78">
        <f>Q40</f>
        <v>0</v>
      </c>
      <c r="R36" s="251">
        <f t="shared" ref="R36:X36" si="10">R40</f>
        <v>63.5</v>
      </c>
      <c r="S36" s="251">
        <f t="shared" si="10"/>
        <v>0</v>
      </c>
      <c r="T36" s="251">
        <f t="shared" si="10"/>
        <v>63.5</v>
      </c>
      <c r="U36" s="251">
        <f t="shared" si="10"/>
        <v>27.799999999999997</v>
      </c>
      <c r="V36" s="251">
        <f t="shared" si="10"/>
        <v>43.8</v>
      </c>
      <c r="W36" s="251">
        <f t="shared" si="10"/>
        <v>12.7</v>
      </c>
      <c r="X36" s="251">
        <f t="shared" si="10"/>
        <v>28.7</v>
      </c>
      <c r="Y36" s="331">
        <f t="shared" si="6"/>
        <v>140.001</v>
      </c>
      <c r="Z36" s="331">
        <f>Z35+10</f>
        <v>150</v>
      </c>
      <c r="AA36" s="331">
        <f t="shared" si="8"/>
        <v>150</v>
      </c>
      <c r="AE36" s="78"/>
      <c r="AF36" s="78"/>
      <c r="AG36" s="78"/>
      <c r="AH36" s="78"/>
      <c r="AI36" s="78"/>
      <c r="AJ36" s="251"/>
      <c r="AK36" s="324"/>
      <c r="AL36" s="324"/>
      <c r="AM36" s="77"/>
      <c r="AN36" s="77"/>
      <c r="AO36" s="77"/>
      <c r="AP36" s="539"/>
      <c r="AQ36" s="304">
        <f>AJ34</f>
        <v>12.7</v>
      </c>
      <c r="AR36" s="304">
        <f>AK34</f>
        <v>15.1</v>
      </c>
      <c r="AS36" s="304">
        <f>AL34</f>
        <v>28.7</v>
      </c>
      <c r="AT36" s="164"/>
      <c r="AU36" s="164"/>
      <c r="AV36" s="164"/>
      <c r="AW36" s="164"/>
      <c r="AX36" s="164"/>
      <c r="AY36" s="164"/>
      <c r="AZ36" s="164"/>
      <c r="BA36" s="164"/>
      <c r="BB36" s="164"/>
      <c r="BK36" s="434"/>
    </row>
    <row r="37" spans="2:63" s="240" customFormat="1" x14ac:dyDescent="0.3">
      <c r="B37" s="77" t="s">
        <v>325</v>
      </c>
      <c r="C37" s="250">
        <f>MAX(0,SUMPRODUCT(C62:C64,D62:D64))</f>
        <v>52.9</v>
      </c>
      <c r="D37" s="251">
        <f>MAX(0,D34-D35-D36)</f>
        <v>52.9</v>
      </c>
      <c r="E37" s="251">
        <f>D37</f>
        <v>52.9</v>
      </c>
      <c r="F37" s="250">
        <f>MAX(0,SUMPRODUCT(F62:F64,G62:G64))</f>
        <v>52.9</v>
      </c>
      <c r="G37" s="251">
        <f>MAX(0,G34-G35-G36)</f>
        <v>52.9</v>
      </c>
      <c r="H37" s="251">
        <f>G37</f>
        <v>52.9</v>
      </c>
      <c r="I37" s="250">
        <f>MAX(0,SUMPRODUCT(I62:I64,J62:J64))</f>
        <v>9</v>
      </c>
      <c r="J37" s="251">
        <f>MAX(0,J34-J35-J36)</f>
        <v>43</v>
      </c>
      <c r="K37" s="251">
        <f>J37</f>
        <v>43</v>
      </c>
      <c r="L37" s="250">
        <f>MAX(0,SUMPRODUCT(L62:L64,M62:M64))</f>
        <v>5.9</v>
      </c>
      <c r="M37" s="251">
        <f>MAX(0,M34-M35-M36)</f>
        <v>39.9</v>
      </c>
      <c r="N37" s="251">
        <f>M37</f>
        <v>39.9</v>
      </c>
      <c r="O37" s="324"/>
      <c r="P37" s="291"/>
      <c r="Q37" s="78"/>
      <c r="R37" s="78"/>
      <c r="S37" s="78"/>
      <c r="T37" s="78"/>
      <c r="U37" s="78"/>
      <c r="V37" s="78"/>
      <c r="W37" s="78"/>
      <c r="X37" s="78"/>
      <c r="Y37" s="240">
        <v>150.001</v>
      </c>
      <c r="Z37" s="331">
        <v>100000</v>
      </c>
      <c r="AA37" s="331">
        <v>150</v>
      </c>
      <c r="AE37" s="78"/>
      <c r="AF37" s="78"/>
      <c r="AG37" s="78"/>
      <c r="AH37" s="78"/>
      <c r="AI37" s="78"/>
      <c r="AJ37" s="78"/>
      <c r="AK37" s="77"/>
      <c r="AL37" s="77"/>
      <c r="AM37" s="77"/>
      <c r="AN37" s="77"/>
      <c r="AO37" s="77"/>
      <c r="AP37" s="3"/>
      <c r="AQ37" s="3"/>
      <c r="AR37" s="3"/>
      <c r="AS37" s="3"/>
      <c r="AT37" s="3"/>
      <c r="AU37" s="3"/>
      <c r="AV37" s="3"/>
      <c r="AW37" s="3"/>
      <c r="AX37" s="3"/>
      <c r="AY37" s="3"/>
      <c r="AZ37" s="3"/>
      <c r="BA37" s="3"/>
      <c r="BB37" s="3"/>
      <c r="BF37" s="166" t="s">
        <v>139</v>
      </c>
      <c r="BG37" s="166" t="s">
        <v>221</v>
      </c>
      <c r="BK37" s="434"/>
    </row>
    <row r="38" spans="2:63" s="240" customFormat="1" x14ac:dyDescent="0.3">
      <c r="B38" s="256" t="s">
        <v>326</v>
      </c>
      <c r="C38" s="325">
        <f>IF(C37=0,0,(C37+C36+C35)-C20)</f>
        <v>55</v>
      </c>
      <c r="D38" s="326">
        <f t="shared" ref="D38:N38" si="11">IF(D37=0,0,(D37+D36+D35)-D20)</f>
        <v>55</v>
      </c>
      <c r="E38" s="326">
        <f t="shared" si="11"/>
        <v>55</v>
      </c>
      <c r="F38" s="325">
        <f t="shared" si="11"/>
        <v>55</v>
      </c>
      <c r="G38" s="326">
        <f t="shared" si="11"/>
        <v>55</v>
      </c>
      <c r="H38" s="326">
        <f t="shared" si="11"/>
        <v>55</v>
      </c>
      <c r="I38" s="325">
        <f t="shared" si="11"/>
        <v>11</v>
      </c>
      <c r="J38" s="326">
        <f t="shared" si="11"/>
        <v>45</v>
      </c>
      <c r="K38" s="326">
        <f t="shared" si="11"/>
        <v>45</v>
      </c>
      <c r="L38" s="325">
        <f t="shared" si="11"/>
        <v>8</v>
      </c>
      <c r="M38" s="326">
        <f t="shared" si="11"/>
        <v>42</v>
      </c>
      <c r="N38" s="326">
        <f t="shared" si="11"/>
        <v>42</v>
      </c>
      <c r="O38" s="324"/>
      <c r="P38" s="291"/>
      <c r="Q38" s="78"/>
      <c r="R38" s="78"/>
      <c r="S38" s="78"/>
      <c r="T38" s="78"/>
      <c r="U38" s="78"/>
      <c r="V38" s="78"/>
      <c r="W38" s="78"/>
      <c r="X38" s="78"/>
      <c r="AE38" s="78"/>
      <c r="AF38" s="78"/>
      <c r="AG38" s="78"/>
      <c r="AH38" s="78"/>
      <c r="AI38" s="78"/>
      <c r="AJ38" s="78"/>
      <c r="AK38" s="77"/>
      <c r="AL38" s="77"/>
      <c r="AM38" s="77"/>
      <c r="AN38" s="77"/>
      <c r="AO38" s="77"/>
      <c r="AP38" s="356"/>
      <c r="AQ38" s="532" t="s">
        <v>402</v>
      </c>
      <c r="AR38" s="533"/>
      <c r="AS38" s="533"/>
      <c r="AT38" s="532" t="s">
        <v>403</v>
      </c>
      <c r="AU38" s="533"/>
      <c r="AV38" s="533"/>
      <c r="AW38" s="532" t="s">
        <v>404</v>
      </c>
      <c r="AX38" s="533"/>
      <c r="AY38" s="533"/>
      <c r="AZ38" s="532" t="s">
        <v>405</v>
      </c>
      <c r="BA38" s="533"/>
      <c r="BB38" s="533"/>
      <c r="BF38" s="166" t="s">
        <v>142</v>
      </c>
      <c r="BG38" s="67"/>
      <c r="BK38" s="434"/>
    </row>
    <row r="39" spans="2:63" s="319" customFormat="1" x14ac:dyDescent="0.3">
      <c r="B39" s="324" t="s">
        <v>429</v>
      </c>
      <c r="C39" s="369">
        <f t="shared" ref="C39:N39" si="12">IF($C$25=0,0,C34/$C$25)</f>
        <v>0</v>
      </c>
      <c r="D39" s="368">
        <f t="shared" si="12"/>
        <v>0.49166666666666664</v>
      </c>
      <c r="E39" s="368">
        <f t="shared" si="12"/>
        <v>0.49166666666666664</v>
      </c>
      <c r="F39" s="369">
        <f t="shared" si="12"/>
        <v>0</v>
      </c>
      <c r="G39" s="368">
        <f t="shared" si="12"/>
        <v>0.49166666666666664</v>
      </c>
      <c r="H39" s="368">
        <f t="shared" si="12"/>
        <v>0.49166666666666664</v>
      </c>
      <c r="I39" s="369">
        <f t="shared" si="12"/>
        <v>0.125</v>
      </c>
      <c r="J39" s="368">
        <f t="shared" si="12"/>
        <v>0.40833333333333333</v>
      </c>
      <c r="K39" s="368">
        <f t="shared" si="12"/>
        <v>0.40833333333333333</v>
      </c>
      <c r="L39" s="369">
        <f t="shared" si="12"/>
        <v>0.1</v>
      </c>
      <c r="M39" s="368">
        <f t="shared" si="12"/>
        <v>0.38333333333333336</v>
      </c>
      <c r="N39" s="368">
        <f t="shared" si="12"/>
        <v>0.38333333333333336</v>
      </c>
      <c r="O39" s="324"/>
      <c r="P39" s="324"/>
      <c r="Q39" s="251"/>
      <c r="R39" s="251"/>
      <c r="S39" s="251"/>
      <c r="T39" s="251"/>
      <c r="U39" s="251"/>
      <c r="V39" s="251"/>
      <c r="W39" s="251"/>
      <c r="X39" s="251"/>
      <c r="AE39" s="251"/>
      <c r="AF39" s="251"/>
      <c r="AG39" s="251"/>
      <c r="AH39" s="251"/>
      <c r="AI39" s="251"/>
      <c r="AJ39" s="251"/>
      <c r="AK39" s="324"/>
      <c r="AL39" s="324"/>
      <c r="AM39" s="324"/>
      <c r="AN39" s="324"/>
      <c r="AO39" s="324"/>
      <c r="AP39" s="356"/>
      <c r="AQ39" s="320" t="s">
        <v>406</v>
      </c>
      <c r="AR39" s="321" t="s">
        <v>407</v>
      </c>
      <c r="AS39" s="321" t="s">
        <v>408</v>
      </c>
      <c r="AT39" s="320" t="s">
        <v>406</v>
      </c>
      <c r="AU39" s="321" t="s">
        <v>407</v>
      </c>
      <c r="AV39" s="321" t="s">
        <v>408</v>
      </c>
      <c r="AW39" s="320" t="s">
        <v>406</v>
      </c>
      <c r="AX39" s="321" t="s">
        <v>407</v>
      </c>
      <c r="AY39" s="321" t="s">
        <v>408</v>
      </c>
      <c r="AZ39" s="320" t="s">
        <v>406</v>
      </c>
      <c r="BA39" s="321" t="s">
        <v>407</v>
      </c>
      <c r="BB39" s="321" t="s">
        <v>408</v>
      </c>
      <c r="BF39" s="166" t="s">
        <v>143</v>
      </c>
      <c r="BG39" s="156"/>
      <c r="BK39" s="434"/>
    </row>
    <row r="40" spans="2:63" x14ac:dyDescent="0.3">
      <c r="B40" s="256" t="s">
        <v>135</v>
      </c>
      <c r="C40" s="325">
        <f>IF(C41=0,0,ROUND(C5/C41,2))</f>
        <v>1.19</v>
      </c>
      <c r="D40" s="326">
        <f>IF(D41=0,0,ROUND(D5/D41,2))</f>
        <v>0.22</v>
      </c>
      <c r="E40" s="354">
        <f>IF(E41=0,0,E9/E41)</f>
        <v>4.7237076648841353E-3</v>
      </c>
      <c r="F40" s="325">
        <f>IF(F41=0,0,ROUND(F5/F41,2))</f>
        <v>2.13</v>
      </c>
      <c r="G40" s="326">
        <f>IF(G41=0,0,ROUND(G5/G41,2))</f>
        <v>0.56000000000000005</v>
      </c>
      <c r="H40" s="354">
        <f>IF(H41=0,0,H9/H41)</f>
        <v>6.7309337744566764E-3</v>
      </c>
      <c r="I40" s="325">
        <f>IF(I41=0,0,ROUND(I5/I41,2))</f>
        <v>0.52</v>
      </c>
      <c r="J40" s="326">
        <f>IF(J41=0,0,ROUND(J5/J41,2))</f>
        <v>0</v>
      </c>
      <c r="K40" s="354">
        <f>IF(K41=0,0,K9/K41)</f>
        <v>0</v>
      </c>
      <c r="L40" s="325">
        <f>IF(L41=0,0,ROUND(L5/L41,2))</f>
        <v>0.25</v>
      </c>
      <c r="M40" s="326">
        <f>IF(M41=0,0,ROUND(M5/M41,2))</f>
        <v>0.31</v>
      </c>
      <c r="N40" s="354">
        <f>IF(N41=0,0,N9/N41)</f>
        <v>6.6477442485808188E-3</v>
      </c>
      <c r="Q40" s="78">
        <f>C30</f>
        <v>0</v>
      </c>
      <c r="R40" s="78">
        <f>D30</f>
        <v>63.5</v>
      </c>
      <c r="S40" s="78">
        <f>F30</f>
        <v>0</v>
      </c>
      <c r="T40" s="78">
        <f>G30</f>
        <v>63.5</v>
      </c>
      <c r="U40" s="78">
        <f>I30</f>
        <v>27.799999999999997</v>
      </c>
      <c r="V40" s="78">
        <f>J30</f>
        <v>43.8</v>
      </c>
      <c r="W40" s="78">
        <f>L30</f>
        <v>12.7</v>
      </c>
      <c r="X40" s="78">
        <f>M30</f>
        <v>28.7</v>
      </c>
      <c r="Y40" s="164"/>
      <c r="AP40" s="357" t="s">
        <v>393</v>
      </c>
      <c r="AQ40" s="358"/>
      <c r="AR40" s="357">
        <f>IF($AP$40=$AQ$33,$AQ$34,0)+IF($AP40=$AR$33,$AR$34,0)+IF($AP40=$AS$33,$AS$34,0)</f>
        <v>63.5</v>
      </c>
      <c r="AS40" s="357">
        <f>IF($AP$40=$AQ$33,$AQ$34,0)+IF($AP40=$AR$33,$AR$34,0)+IF($AP40=$AS$33,$AS$34,0)</f>
        <v>63.5</v>
      </c>
      <c r="AT40" s="358"/>
      <c r="AU40" s="357">
        <f>IF($AP$40=$AQ$33,$AQ$34,0)+IF($AP40=$AR$33,$AR$34,0)+IF($AP40=$AS$33,$AS$34,0)</f>
        <v>63.5</v>
      </c>
      <c r="AV40" s="357">
        <f>IF($AP$40=$AQ$33,$AQ$34,0)+IF($AP40=$AR$33,$AR$34,0)+IF($AP40=$AS$33,$AS$34,0)</f>
        <v>63.5</v>
      </c>
      <c r="AW40" s="358"/>
      <c r="AX40" s="357"/>
      <c r="AY40" s="357"/>
      <c r="AZ40" s="358"/>
      <c r="BA40" s="357"/>
      <c r="BB40" s="357"/>
      <c r="BF40" s="166" t="s">
        <v>144</v>
      </c>
      <c r="BG40" s="157"/>
    </row>
    <row r="41" spans="2:63" x14ac:dyDescent="0.3">
      <c r="B41" s="324" t="s">
        <v>361</v>
      </c>
      <c r="C41" s="250">
        <f>IF($C$25=0,0,IF('Phase designation'!B19=0,SUMPRODUCT(C57:C60,D57:D60),(D41/MAX(1,D6))*C6))</f>
        <v>70</v>
      </c>
      <c r="D41" s="251">
        <f>IF($C$25=0,0,IF(AND(C6&gt;0,D6=0),ROUND(C6*C11*D38/$C$25,0),ROUND(D11*D38/$C$25,0)))</f>
        <v>1403</v>
      </c>
      <c r="E41" s="251">
        <f>IF($C$25=0,0,ROUND(E6*E11*E38/$C$25,0))</f>
        <v>11220</v>
      </c>
      <c r="F41" s="250">
        <f>IF($C$25=0,0,IF('Phase designation'!D19=0,SUMPRODUCT(F57:F60,G57:G60),(G41/MAX(1,G6))*F6))</f>
        <v>78</v>
      </c>
      <c r="G41" s="251">
        <f>IF($C$25=0,0,IF(AND(F6&gt;0,G6=0),ROUND(F6*F11*G38/$C$25,0),ROUND(G11*G38/$C$25,0)))</f>
        <v>1403</v>
      </c>
      <c r="H41" s="251">
        <f>IF($C$25=0,0,ROUND(H6*H11*H38/$C$25,0))</f>
        <v>17531</v>
      </c>
      <c r="I41" s="250">
        <f>IF($C$25=0,0,IF('Phase designation'!F19=0,SUMPRODUCT(I57:I60,J57:J60),(J41/MAX(1,J6))*I6))</f>
        <v>561</v>
      </c>
      <c r="J41" s="251">
        <f>IF($C$25=0,0,IF(AND(I6&gt;0,J6=0),ROUND(I6*I11*J38/$C$25,0),ROUND(J11*J38/$C$25,0)))</f>
        <v>2295</v>
      </c>
      <c r="K41" s="251">
        <f>IF($C$25=0,0,ROUND(K6*K11*K38/$C$25,0))</f>
        <v>0</v>
      </c>
      <c r="L41" s="250">
        <f>IF($C$25=0,0,IF('Phase designation'!H19=0,SUMPRODUCT(L57:L60,M57:M60),(M41/MAX(1,M6))*L6))</f>
        <v>434</v>
      </c>
      <c r="M41" s="251">
        <f>IF($C$25=0,0,IF(AND(L6&gt;0,M6=0),ROUND(L6*L11*M38/$C$25,0),ROUND(M11*M38/$C$25,0)))</f>
        <v>2142</v>
      </c>
      <c r="N41" s="251">
        <f>IF($C$25=0,0,ROUND(N6*N11*N38/$C$25,0))</f>
        <v>13388</v>
      </c>
      <c r="Q41" s="62" t="s">
        <v>105</v>
      </c>
      <c r="R41" s="70">
        <f t="shared" ref="R41:U42" si="13">MATCH(R29,$Q$35:$X$35,0)</f>
        <v>1</v>
      </c>
      <c r="S41" s="70">
        <f t="shared" si="13"/>
        <v>2</v>
      </c>
      <c r="T41" s="70">
        <f t="shared" si="13"/>
        <v>5</v>
      </c>
      <c r="U41" s="70">
        <f t="shared" si="13"/>
        <v>8</v>
      </c>
      <c r="AP41" s="357" t="s">
        <v>394</v>
      </c>
      <c r="AQ41" s="358"/>
      <c r="AR41" s="357"/>
      <c r="AS41" s="357"/>
      <c r="AT41" s="358">
        <f>IF($AP$41=$AQ$33,$AQ$34,0)+IF($AP41=$AR$33,$AR$34,0)+IF($AP41=$AS$33,$AS$34,0)</f>
        <v>0</v>
      </c>
      <c r="AU41" s="357">
        <f>IF($AP$41=$AQ$33,$AQ$34,0)+IF($AP41=$AR$33,$AR$34,0)+IF($AP41=$AS$33,$AS$34,0)</f>
        <v>0</v>
      </c>
      <c r="AV41" s="357">
        <f>IF($AP$41=$AQ$33,$AQ$34,0)+IF($AP41=$AR$33,$AR$34,0)+IF($AP41=$AS$33,$AS$34,0)</f>
        <v>0</v>
      </c>
      <c r="AW41" s="358"/>
      <c r="AX41" s="357"/>
      <c r="AY41" s="357"/>
      <c r="AZ41" s="358"/>
      <c r="BA41" s="357"/>
      <c r="BB41" s="357"/>
      <c r="BF41" s="166" t="s">
        <v>145</v>
      </c>
      <c r="BG41" s="1"/>
    </row>
    <row r="42" spans="2:63" hidden="1" x14ac:dyDescent="0.3">
      <c r="B42" s="324" t="s">
        <v>136</v>
      </c>
      <c r="C42" s="250">
        <f t="shared" ref="C42:N42" si="14">IF(C40=0,0,ROUND((0.5*$C$25*(1-(C38)/$C$25)^2)/(1-(MIN(1,C40)*(C38))/$C$25),2))</f>
        <v>32.5</v>
      </c>
      <c r="D42" s="251">
        <f t="shared" si="14"/>
        <v>19.579999999999998</v>
      </c>
      <c r="E42" s="251">
        <f t="shared" si="14"/>
        <v>17.64</v>
      </c>
      <c r="F42" s="250">
        <f t="shared" si="14"/>
        <v>32.5</v>
      </c>
      <c r="G42" s="251">
        <f t="shared" si="14"/>
        <v>23.68</v>
      </c>
      <c r="H42" s="251">
        <f t="shared" si="14"/>
        <v>17.66</v>
      </c>
      <c r="I42" s="250">
        <f t="shared" si="14"/>
        <v>51.98</v>
      </c>
      <c r="J42" s="251">
        <f t="shared" si="14"/>
        <v>0</v>
      </c>
      <c r="K42" s="251">
        <f t="shared" si="14"/>
        <v>0</v>
      </c>
      <c r="L42" s="250">
        <f t="shared" si="14"/>
        <v>53.15</v>
      </c>
      <c r="M42" s="251">
        <f t="shared" si="14"/>
        <v>28.44</v>
      </c>
      <c r="N42" s="251">
        <f t="shared" si="14"/>
        <v>25.41</v>
      </c>
      <c r="O42" s="324"/>
      <c r="Q42" s="47" t="s">
        <v>106</v>
      </c>
      <c r="R42" s="70">
        <f t="shared" si="13"/>
        <v>1</v>
      </c>
      <c r="S42" s="70">
        <f t="shared" si="13"/>
        <v>4</v>
      </c>
      <c r="T42" s="70">
        <f t="shared" si="13"/>
        <v>7</v>
      </c>
      <c r="U42" s="70">
        <f t="shared" si="13"/>
        <v>6</v>
      </c>
      <c r="AP42" s="357" t="s">
        <v>395</v>
      </c>
      <c r="AQ42" s="358">
        <f>IF($AP$42=$AQ$33,$AQ$34,0)+IF($AP42=$AR$33,$AR$34,0)+IF($AP42=$AS$33,$AS$34,0)</f>
        <v>0</v>
      </c>
      <c r="AR42" s="357">
        <f>IF($AP$42=$AQ$33,$AQ$34,0)+IF($AP42=$AR$33,$AR$34,0)+IF($AP42=$AS$33,$AS$34,0)</f>
        <v>0</v>
      </c>
      <c r="AS42" s="357">
        <f>IF($AP$42=$AQ$33,$AQ$34,0)+IF($AP42=$AR$33,$AR$34,0)+IF($AP42=$AS$33,$AS$34,0)</f>
        <v>0</v>
      </c>
      <c r="AT42" s="358"/>
      <c r="AU42" s="357"/>
      <c r="AV42" s="357"/>
      <c r="AW42" s="358"/>
      <c r="AX42" s="357"/>
      <c r="AY42" s="357"/>
      <c r="AZ42" s="358"/>
      <c r="BA42" s="357"/>
      <c r="BB42" s="357"/>
      <c r="BF42" s="77"/>
      <c r="BG42" s="62"/>
    </row>
    <row r="43" spans="2:63" hidden="1" x14ac:dyDescent="0.3">
      <c r="B43" s="324" t="s">
        <v>137</v>
      </c>
      <c r="C43" s="250">
        <f>IF(OR(C41=0,C11+C14=0),0,ROUND(225*((C40-1)+SQRT((C40-1)^2+(4*C40)/(C41*0.25))),2))</f>
        <v>167.64</v>
      </c>
      <c r="D43" s="251">
        <f>IF(OR(D41=0,D11=0),0,ROUND(225*((D40-1)+SQRT((D40-1)^2+(4*D40)/(D41*0.25))),2))</f>
        <v>0.36</v>
      </c>
      <c r="E43" s="251">
        <f>IF(OR(E41=0,E11=0),0,ROUND(225*((E40-1)+SQRT((E40-1)^2+(4*E40)/(E41*0.25))),2))</f>
        <v>0</v>
      </c>
      <c r="F43" s="250">
        <f>IF(OR(F41=0,F11+F14=0),0,ROUND(225*((F40-1)+SQRT((F40-1)^2+(4*F40)/(F41*0.25))),2))</f>
        <v>548.79999999999995</v>
      </c>
      <c r="G43" s="251">
        <f>IF(OR(G41=0,G11=0),0,ROUND(225*((G40-1)+SQRT((G40-1)^2+(4*G40)/(G41*0.25))),2))</f>
        <v>1.62</v>
      </c>
      <c r="H43" s="251">
        <f>IF(OR(H41=0,H11=0),0,ROUND(225*((H40-1)+SQRT((H40-1)^2+(4*H40)/(H41*0.25))),2))</f>
        <v>0</v>
      </c>
      <c r="I43" s="250">
        <f>IF(OR(I41=0,I11+I14=0),0,ROUND(225*((I40-1)+SQRT((I40-1)^2+(4*I40)/(I41*0.25))),2))</f>
        <v>3.42</v>
      </c>
      <c r="J43" s="251">
        <f>IF(OR(J41=0,J11=0),0,ROUND(225*((J40-1)+SQRT((J40-1)^2+(4*J40)/(J41*0.25))),2))</f>
        <v>0</v>
      </c>
      <c r="K43" s="251">
        <f>IF(OR(K41=0,K11=0),0,ROUND(225*((K40-1)+SQRT((K40-1)^2+(4*K40)/(K41*0.25))),2))</f>
        <v>0</v>
      </c>
      <c r="L43" s="250">
        <f>IF(OR(L41=0,L11+L14=0),0,ROUND(225*((L40-1)+SQRT((L40-1)^2+(4*L40)/(L41*0.25))),2))</f>
        <v>1.38</v>
      </c>
      <c r="M43" s="251">
        <f>IF(OR(M41=0,M41=0),0,ROUND(225*((M40-1)+SQRT((M40-1)^2+(4*M40)/(M41*0.25))),2))</f>
        <v>0.38</v>
      </c>
      <c r="N43" s="251">
        <f>IF(OR(N41=0,N11=0),0,ROUND(225*((N40-1)+SQRT((N40-1)^2+(4*N40)/(N41*0.25))),2))</f>
        <v>0</v>
      </c>
      <c r="O43" s="324"/>
      <c r="R43" s="69"/>
      <c r="S43" s="69"/>
      <c r="T43" s="69"/>
      <c r="U43" s="69"/>
      <c r="Y43" s="554" t="s">
        <v>306</v>
      </c>
      <c r="Z43" s="554"/>
      <c r="AA43" s="554"/>
      <c r="AB43" s="554"/>
      <c r="AF43" s="78" t="s">
        <v>237</v>
      </c>
      <c r="AG43" s="78" t="s">
        <v>238</v>
      </c>
      <c r="AP43" s="357" t="s">
        <v>396</v>
      </c>
      <c r="AQ43" s="358">
        <f>IF($AP$43=$AQ$33,$AQ$34,0)+IF($AP43=$AR$33,$AR$34,0)+IF($AP43=$AS$33,$AS$34,0)</f>
        <v>0</v>
      </c>
      <c r="AR43" s="357"/>
      <c r="AS43" s="357"/>
      <c r="AT43" s="358">
        <f>IF($AP$43=$AQ$33,$AQ$34,0)+IF($AP43=$AR$33,$AR$34,0)+IF($AP43=$AS$33,$AS$34,0)</f>
        <v>0</v>
      </c>
      <c r="AU43" s="357"/>
      <c r="AV43" s="357"/>
      <c r="AW43" s="358"/>
      <c r="AX43" s="357"/>
      <c r="AY43" s="357"/>
      <c r="AZ43" s="358"/>
      <c r="BA43" s="357"/>
      <c r="BB43" s="357"/>
      <c r="BF43" s="77"/>
      <c r="BG43" s="62"/>
    </row>
    <row r="44" spans="2:63" x14ac:dyDescent="0.3">
      <c r="B44" s="256" t="s">
        <v>138</v>
      </c>
      <c r="C44" s="370">
        <f>IF(C3=0,0,C42+C43)</f>
        <v>200.14</v>
      </c>
      <c r="D44" s="371">
        <f>IF(OR(D3=0,D6=0),0,D42+D43)</f>
        <v>19.939999999999998</v>
      </c>
      <c r="E44" s="371">
        <f>IF(E3=0,0,E42+E43)</f>
        <v>17.64</v>
      </c>
      <c r="F44" s="370">
        <f>IF(F3=0,0,F42+F43)</f>
        <v>581.29999999999995</v>
      </c>
      <c r="G44" s="371">
        <f>IF(OR(G3=0,G6=0),0,G42+G43)</f>
        <v>25.3</v>
      </c>
      <c r="H44" s="371">
        <f>IF(H3=0,0,H42+H43)</f>
        <v>17.66</v>
      </c>
      <c r="I44" s="370">
        <f>IF(I3=0,0,I42+I43)</f>
        <v>55.4</v>
      </c>
      <c r="J44" s="371">
        <f>IF(OR(J3=0,J6=0),0,J42+J43)</f>
        <v>0</v>
      </c>
      <c r="K44" s="371">
        <f>IF(K3=0,0,K42+K43)</f>
        <v>0</v>
      </c>
      <c r="L44" s="370">
        <f>IF(L3=0,0,L42+L43)</f>
        <v>54.53</v>
      </c>
      <c r="M44" s="371">
        <f>IF(OR(M3=0,M6=0),0,M42+M43)</f>
        <v>28.82</v>
      </c>
      <c r="N44" s="371">
        <f>IF(N3=0,0,N42+N43)</f>
        <v>25.41</v>
      </c>
      <c r="Q44" s="62" t="s">
        <v>105</v>
      </c>
      <c r="R44" s="70">
        <f t="shared" ref="R44:U45" si="15">IF(R41&gt;0,MAX(Y44,INDEX($Q$35:$X$36,2,R41),0))</f>
        <v>0</v>
      </c>
      <c r="S44" s="70">
        <f t="shared" si="15"/>
        <v>63.5</v>
      </c>
      <c r="T44" s="70">
        <f t="shared" si="15"/>
        <v>27.799999999999997</v>
      </c>
      <c r="U44" s="70">
        <f t="shared" si="15"/>
        <v>46</v>
      </c>
      <c r="V44" s="71">
        <f>SUM(R44:U44)</f>
        <v>137.30000000000001</v>
      </c>
      <c r="X44" s="62" t="s">
        <v>105</v>
      </c>
      <c r="Y44" s="45">
        <f>Phasing!D43</f>
        <v>0</v>
      </c>
      <c r="Z44" s="45">
        <f>Phasing!E43</f>
        <v>36</v>
      </c>
      <c r="AA44" s="45">
        <f>Phasing!F43</f>
        <v>9</v>
      </c>
      <c r="AB44" s="45">
        <f>Phasing!G43</f>
        <v>46</v>
      </c>
      <c r="AC44" s="170" t="s">
        <v>237</v>
      </c>
      <c r="AD44" s="170" t="s">
        <v>238</v>
      </c>
      <c r="AE44" s="47"/>
      <c r="AF44" s="167">
        <f>Y44+Z44</f>
        <v>36</v>
      </c>
      <c r="AG44" s="167">
        <f>AA44+AB44</f>
        <v>55</v>
      </c>
      <c r="AH44" s="62" t="s">
        <v>105</v>
      </c>
      <c r="AI44" s="78">
        <f>IF(MIN(AF44,$AC$45)=0,0,ROUND(Y44*MAX(AF44,$AC$45)/MIN(AF44,$AC$45)*$C$25/$AE$45,0))</f>
        <v>0</v>
      </c>
      <c r="AJ44" s="78">
        <f>IF(MIN(AF44,$AC$45)=0,0,ROUND(Z44*MAX(AF44,$AC$45)/MIN(AF44,$AC$45)*$C$25/$AE$45,0))</f>
        <v>57</v>
      </c>
      <c r="AK44" s="78">
        <f>IF(MIN(AG44,$AD$45)=0,0,ROUND(AA44*MAX(AG44,$AD$45)/MIN(AG44,$AD$45)*$C$25/$AE$45,0))</f>
        <v>10</v>
      </c>
      <c r="AL44" s="78">
        <f>$C$25-SUM(AI44:AK44)</f>
        <v>53</v>
      </c>
      <c r="AM44" s="87"/>
      <c r="AN44" s="87"/>
      <c r="AO44" s="87"/>
      <c r="AP44" s="359" t="s">
        <v>397</v>
      </c>
      <c r="AQ44" s="360"/>
      <c r="AR44" s="359"/>
      <c r="AS44" s="359"/>
      <c r="AT44" s="360"/>
      <c r="AU44" s="359"/>
      <c r="AV44" s="359"/>
      <c r="AW44" s="360"/>
      <c r="AX44" s="359">
        <f>IF($AP$44=$AQ$35,$AQ$36,0)+IF($AP44=$AR$35,$AR$36,0)+IF($AP44=$AS$35,$AS$36,0)</f>
        <v>28.7</v>
      </c>
      <c r="AY44" s="359">
        <f>IF($AP$44=$AQ$35,$AQ$36,0)+IF($AP44=$AR$35,$AR$36,0)+IF($AP44=$AS$35,$AS$36,0)</f>
        <v>28.7</v>
      </c>
      <c r="AZ44" s="360"/>
      <c r="BA44" s="359">
        <f>IF($AP$44=$AQ$35,$AQ$36,0)+IF($AP44=$AR$35,$AR$36,0)+IF($AP44=$AS$35,$AS$36,0)</f>
        <v>28.7</v>
      </c>
      <c r="BB44" s="359">
        <f>IF($AP$44=$AQ$35,$AQ$36,0)+IF($AP44=$AR$35,$AR$36,0)+IF($AP44=$AS$35,$AS$36,0)</f>
        <v>28.7</v>
      </c>
      <c r="BF44" s="194" t="s">
        <v>146</v>
      </c>
      <c r="BG44" s="155"/>
    </row>
    <row r="45" spans="2:63" x14ac:dyDescent="0.3">
      <c r="B45" s="324" t="s">
        <v>139</v>
      </c>
      <c r="C45" s="249" t="str">
        <f>IF(C44=0,"N/A",VLOOKUP(C44,'LOS table'!$B$3:$D$8,3))</f>
        <v>F</v>
      </c>
      <c r="D45" s="45" t="str">
        <f>IF(D44=0,"N/A",VLOOKUP(D44,'LOS table'!$B$3:$D$8,3))</f>
        <v>B</v>
      </c>
      <c r="E45" s="45" t="str">
        <f>IF(E44=0,"N/A",VLOOKUP(E44,'LOS table'!$B$3:$D$8,3))</f>
        <v>B</v>
      </c>
      <c r="F45" s="249" t="str">
        <f>IF(F44=0,"N/A",VLOOKUP(F44,'LOS table'!$B$3:$D$8,3))</f>
        <v>F</v>
      </c>
      <c r="G45" s="45" t="str">
        <f>IF(G44=0,"N/A",VLOOKUP(G44,'LOS table'!$B$3:$D$8,3))</f>
        <v>C</v>
      </c>
      <c r="H45" s="45" t="str">
        <f>IF(H44=0,"N/A",VLOOKUP(H44,'LOS table'!$B$3:$D$8,3))</f>
        <v>B</v>
      </c>
      <c r="I45" s="249" t="str">
        <f>IF(I44=0,"N/A",VLOOKUP(I44,'LOS table'!$B$3:$D$8,3))</f>
        <v>E</v>
      </c>
      <c r="J45" s="45" t="str">
        <f>IF(J44=0,"N/A",VLOOKUP(J44,'LOS table'!$B$3:$D$8,3))</f>
        <v>N/A</v>
      </c>
      <c r="K45" s="45" t="str">
        <f>IF(K44=0,"N/A",VLOOKUP(K44,'LOS table'!$B$3:$D$8,3))</f>
        <v>N/A</v>
      </c>
      <c r="L45" s="249" t="str">
        <f>IF(L44=0,"N/A",VLOOKUP(L44,'LOS table'!$B$3:$D$8,3))</f>
        <v>D</v>
      </c>
      <c r="M45" s="45" t="str">
        <f>IF(M44=0,"N/A",VLOOKUP(M44,'LOS table'!$B$3:$D$8,3))</f>
        <v>C</v>
      </c>
      <c r="N45" s="45" t="str">
        <f>IF(N44=0,"N/A",VLOOKUP(N44,'LOS table'!$B$3:$D$8,3))</f>
        <v>C</v>
      </c>
      <c r="Q45" s="47" t="s">
        <v>106</v>
      </c>
      <c r="R45" s="211">
        <f t="shared" si="15"/>
        <v>0</v>
      </c>
      <c r="S45" s="70">
        <f t="shared" si="15"/>
        <v>63.5</v>
      </c>
      <c r="T45" s="70">
        <f t="shared" si="15"/>
        <v>12.7</v>
      </c>
      <c r="U45" s="70">
        <f t="shared" si="15"/>
        <v>49</v>
      </c>
      <c r="V45" s="71">
        <f>SUM(R45:U45)</f>
        <v>125.2</v>
      </c>
      <c r="X45" s="47" t="s">
        <v>106</v>
      </c>
      <c r="Y45" s="45">
        <f>Phasing!H43</f>
        <v>0</v>
      </c>
      <c r="Z45" s="45">
        <f>Phasing!I43</f>
        <v>53</v>
      </c>
      <c r="AA45" s="45">
        <f>Phasing!J43</f>
        <v>9</v>
      </c>
      <c r="AB45" s="45">
        <f>Phasing!K43</f>
        <v>49</v>
      </c>
      <c r="AC45" s="170">
        <f>MAX(Y44+Z44,Y45+Z45)</f>
        <v>53</v>
      </c>
      <c r="AD45" s="170">
        <f>MAX(AA44+AB44,AA45+AB45)</f>
        <v>58</v>
      </c>
      <c r="AE45" s="219">
        <f>SUM(AC45:AD45)</f>
        <v>111</v>
      </c>
      <c r="AF45" s="167">
        <f>Y45+Z45</f>
        <v>53</v>
      </c>
      <c r="AG45" s="167">
        <f>AA45+AB45</f>
        <v>58</v>
      </c>
      <c r="AH45" s="47" t="s">
        <v>106</v>
      </c>
      <c r="AI45" s="78">
        <f>IF(MIN(AF45,$AC$45)=0,0,ROUND(Y45*MAX(AF45,$AC$45)/MIN(AF45,$AC$45)*$C$25/$AE$45,0))</f>
        <v>0</v>
      </c>
      <c r="AJ45" s="78">
        <f>IF(MIN(AF45,$AC$45)=0,0,ROUND(Z45*MAX(AF45,$AC$45)/MIN(AF45,$AC$45)*$C$25/$AE$45,0))</f>
        <v>57</v>
      </c>
      <c r="AK45" s="78">
        <f>IF(MIN(AG45,$AD$45)=0,0,ROUND(AA45*MAX(AG45,$AD$45)/MIN(AG45,$AD$45)*$C$25/$AE$45,0))</f>
        <v>10</v>
      </c>
      <c r="AL45" s="78">
        <f>$C$25-SUM(AI45:AK45)</f>
        <v>53</v>
      </c>
      <c r="AM45" s="87"/>
      <c r="AN45" s="87"/>
      <c r="AO45" s="87"/>
      <c r="AP45" s="359" t="s">
        <v>398</v>
      </c>
      <c r="AQ45" s="360"/>
      <c r="AR45" s="359"/>
      <c r="AS45" s="359"/>
      <c r="AT45" s="360"/>
      <c r="AU45" s="359"/>
      <c r="AV45" s="359"/>
      <c r="AW45" s="360"/>
      <c r="AX45" s="359"/>
      <c r="AY45" s="359"/>
      <c r="AZ45" s="360">
        <f>IF($AP$45=$AQ$35,$AQ$36,0)+IF($AP45=$AR$35,$AR$36,0)+IF($AP45=$AS$35,$AS$36,0)</f>
        <v>0</v>
      </c>
      <c r="BA45" s="359">
        <f>IF($AP$45=$AQ$35,$AQ$36,0)+IF($AP45=$AR$35,$AR$36,0)+IF($AP45=$AS$35,$AS$36,0)</f>
        <v>0</v>
      </c>
      <c r="BB45" s="359">
        <f>IF($AP$45=$AQ$35,$AQ$36,0)+IF($AP45=$AR$35,$AR$36,0)+IF($AP45=$AS$35,$AS$36,0)</f>
        <v>0</v>
      </c>
      <c r="BF45" s="194" t="s">
        <v>147</v>
      </c>
      <c r="BG45" s="59"/>
    </row>
    <row r="46" spans="2:63" s="319" customFormat="1" x14ac:dyDescent="0.3">
      <c r="B46" s="256" t="s">
        <v>415</v>
      </c>
      <c r="C46" s="472">
        <f>IF(SUM(C3:E3)=0,0,SUMPRODUCT(C3:E3,C44:E44)/SUM(C3:E3))</f>
        <v>49.844065040650406</v>
      </c>
      <c r="D46" s="473"/>
      <c r="E46" s="478"/>
      <c r="F46" s="472">
        <f>IF(SUM(F3:H3)=0,0,SUMPRODUCT(F3:H3,F44:H44)/SUM(F3:H3))</f>
        <v>101.21050335570469</v>
      </c>
      <c r="G46" s="473"/>
      <c r="H46" s="478"/>
      <c r="I46" s="472">
        <f>IF(SUM(I3:K3)=0,0,SUMPRODUCT(I3:K3,I44:K44)/SUM(I3:K3))</f>
        <v>55.4</v>
      </c>
      <c r="J46" s="473"/>
      <c r="K46" s="478"/>
      <c r="L46" s="472">
        <f>IF(SUM(L3:N3)=0,0,SUMPRODUCT(L3:N3,L44:N44)/SUM(L3:N3))</f>
        <v>31.098416578108395</v>
      </c>
      <c r="M46" s="473"/>
      <c r="N46" s="473"/>
      <c r="O46" s="252"/>
      <c r="P46" s="324"/>
      <c r="Q46" s="47"/>
      <c r="R46" s="322"/>
      <c r="S46" s="322"/>
      <c r="T46" s="322"/>
      <c r="U46" s="322"/>
      <c r="V46" s="324"/>
      <c r="X46" s="47"/>
      <c r="Y46" s="45"/>
      <c r="Z46" s="45"/>
      <c r="AA46" s="45"/>
      <c r="AB46" s="45"/>
      <c r="AC46" s="251"/>
      <c r="AD46" s="251"/>
      <c r="AE46" s="251"/>
      <c r="AF46" s="251"/>
      <c r="AG46" s="251"/>
      <c r="AH46" s="47"/>
      <c r="AI46" s="251"/>
      <c r="AJ46" s="251"/>
      <c r="AK46" s="251"/>
      <c r="AL46" s="251"/>
      <c r="AM46" s="87"/>
      <c r="AN46" s="87"/>
      <c r="AO46" s="87"/>
      <c r="AP46" s="359" t="s">
        <v>399</v>
      </c>
      <c r="AQ46" s="360"/>
      <c r="AR46" s="359"/>
      <c r="AS46" s="359"/>
      <c r="AT46" s="360"/>
      <c r="AU46" s="359"/>
      <c r="AV46" s="359"/>
      <c r="AW46" s="360">
        <f>IF($AP$46=$AQ$35,$AQ$36,0)+IF($AP46=$AR$35,$AR$36,0)+IF($AP46=$AS$35,$AS$36,0)</f>
        <v>15.1</v>
      </c>
      <c r="AX46" s="359">
        <f>IF($AP$46=$AQ$35,$AQ$36,0)+IF($AP46=$AR$35,$AR$36,0)+IF($AP46=$AS$35,$AS$36,0)</f>
        <v>15.1</v>
      </c>
      <c r="AY46" s="359">
        <f>IF($AP$46=$AQ$35,$AQ$36,0)+IF($AP46=$AR$35,$AR$36,0)+IF($AP46=$AS$35,$AS$36,0)</f>
        <v>15.1</v>
      </c>
      <c r="AZ46" s="360"/>
      <c r="BA46" s="359"/>
      <c r="BB46" s="359"/>
      <c r="BK46" s="434"/>
    </row>
    <row r="47" spans="2:63" s="319" customFormat="1" x14ac:dyDescent="0.3">
      <c r="B47" s="324" t="s">
        <v>416</v>
      </c>
      <c r="C47" s="474" t="str">
        <f>IF(C46=0,"N/A",VLOOKUP(C46,'LOS table'!$B$3:$D$8,3))</f>
        <v>D</v>
      </c>
      <c r="D47" s="475"/>
      <c r="E47" s="51"/>
      <c r="F47" s="474" t="str">
        <f>IF(F46=0,"N/A",VLOOKUP(F46,'LOS table'!$B$3:$D$8,3))</f>
        <v>F</v>
      </c>
      <c r="G47" s="475"/>
      <c r="H47" s="51"/>
      <c r="I47" s="474" t="str">
        <f>IF(I46=0,"N/A",VLOOKUP(I46,'LOS table'!$B$3:$D$8,3))</f>
        <v>E</v>
      </c>
      <c r="J47" s="475"/>
      <c r="K47" s="51"/>
      <c r="L47" s="474" t="str">
        <f>IF(L46=0,"N/A",VLOOKUP(L46,'LOS table'!$B$3:$D$8,3))</f>
        <v>C</v>
      </c>
      <c r="M47" s="475"/>
      <c r="N47" s="475"/>
      <c r="O47" s="323"/>
      <c r="P47" s="324"/>
      <c r="Q47" s="47"/>
      <c r="R47" s="322"/>
      <c r="S47" s="322"/>
      <c r="T47" s="322"/>
      <c r="U47" s="322"/>
      <c r="V47" s="324"/>
      <c r="X47" s="47"/>
      <c r="Y47" s="45"/>
      <c r="Z47" s="45"/>
      <c r="AA47" s="45"/>
      <c r="AB47" s="45"/>
      <c r="AC47" s="251"/>
      <c r="AD47" s="251"/>
      <c r="AE47" s="251"/>
      <c r="AF47" s="251"/>
      <c r="AG47" s="251"/>
      <c r="AH47" s="47"/>
      <c r="AI47" s="251"/>
      <c r="AJ47" s="251"/>
      <c r="AK47" s="251"/>
      <c r="AL47" s="251"/>
      <c r="AM47" s="87"/>
      <c r="AN47" s="87"/>
      <c r="AO47" s="87"/>
      <c r="AP47" s="359" t="s">
        <v>400</v>
      </c>
      <c r="AQ47" s="360"/>
      <c r="AR47" s="359"/>
      <c r="AS47" s="359"/>
      <c r="AT47" s="360"/>
      <c r="AU47" s="359"/>
      <c r="AV47" s="359"/>
      <c r="AW47" s="360">
        <f>IF($AP$47=$AQ$35,$AQ$36,0)+IF($AP47=$AR$35,$AR$36,0)+IF($AP47=$AS$35,$AS$36,0)</f>
        <v>12.7</v>
      </c>
      <c r="AX47" s="359"/>
      <c r="AY47" s="359"/>
      <c r="AZ47" s="360">
        <f>IF($AP$47=$AQ$35,$AQ$36,0)+IF($AP47=$AR$35,$AR$36,0)+IF($AP47=$AS$35,$AS$36,0)</f>
        <v>12.7</v>
      </c>
      <c r="BA47" s="359"/>
      <c r="BB47" s="359"/>
      <c r="BK47" s="434"/>
    </row>
    <row r="48" spans="2:63" s="319" customFormat="1" x14ac:dyDescent="0.3">
      <c r="B48" s="324"/>
      <c r="C48" s="87"/>
      <c r="D48" s="87"/>
      <c r="E48" s="87"/>
      <c r="F48" s="87"/>
      <c r="G48" s="87"/>
      <c r="H48" s="87"/>
      <c r="I48" s="87"/>
      <c r="J48" s="87"/>
      <c r="K48" s="87"/>
      <c r="L48" s="87"/>
      <c r="M48" s="87"/>
      <c r="N48" s="87"/>
      <c r="O48" s="323"/>
      <c r="P48" s="324"/>
      <c r="Q48" s="47"/>
      <c r="R48" s="322"/>
      <c r="S48" s="322"/>
      <c r="T48" s="322"/>
      <c r="U48" s="322"/>
      <c r="V48" s="324"/>
      <c r="X48" s="47"/>
      <c r="Y48" s="45"/>
      <c r="Z48" s="45"/>
      <c r="AA48" s="45"/>
      <c r="AB48" s="45"/>
      <c r="AC48" s="251"/>
      <c r="AD48" s="251"/>
      <c r="AE48" s="251"/>
      <c r="AF48" s="251"/>
      <c r="AG48" s="251"/>
      <c r="AH48" s="47"/>
      <c r="AI48" s="251"/>
      <c r="AJ48" s="251"/>
      <c r="AK48" s="251"/>
      <c r="AL48" s="251"/>
      <c r="AM48" s="87"/>
      <c r="AN48" s="87"/>
      <c r="AO48" s="87"/>
      <c r="AP48" s="361"/>
      <c r="AQ48" s="362">
        <f>SUM(AQ40:AQ47)</f>
        <v>0</v>
      </c>
      <c r="AR48" s="363">
        <f t="shared" ref="AR48:BB48" si="16">SUM(AR40:AR47)</f>
        <v>63.5</v>
      </c>
      <c r="AS48" s="363">
        <f t="shared" si="16"/>
        <v>63.5</v>
      </c>
      <c r="AT48" s="362">
        <f t="shared" si="16"/>
        <v>0</v>
      </c>
      <c r="AU48" s="363">
        <f t="shared" si="16"/>
        <v>63.5</v>
      </c>
      <c r="AV48" s="363">
        <f t="shared" si="16"/>
        <v>63.5</v>
      </c>
      <c r="AW48" s="362">
        <f t="shared" si="16"/>
        <v>27.799999999999997</v>
      </c>
      <c r="AX48" s="363">
        <f t="shared" si="16"/>
        <v>43.8</v>
      </c>
      <c r="AY48" s="363">
        <f t="shared" si="16"/>
        <v>43.8</v>
      </c>
      <c r="AZ48" s="362">
        <f t="shared" si="16"/>
        <v>12.7</v>
      </c>
      <c r="BA48" s="363">
        <f t="shared" si="16"/>
        <v>28.7</v>
      </c>
      <c r="BB48" s="363">
        <f t="shared" si="16"/>
        <v>28.7</v>
      </c>
      <c r="BK48" s="434"/>
    </row>
    <row r="49" spans="2:63" s="319" customFormat="1" x14ac:dyDescent="0.3">
      <c r="B49" s="365" t="s">
        <v>417</v>
      </c>
      <c r="C49" s="476">
        <f>IF($C$25=0,"CHECK INPUT DATA!",IF(OR(SUM(C9:H9)=0,SUM(I9:N9)=0),0,ROUND(SUMPRODUCT(C9:N9,C44:N44)/O9,2)))</f>
        <v>69.78</v>
      </c>
      <c r="D49" s="476"/>
      <c r="E49" s="355"/>
      <c r="G49" s="87"/>
      <c r="H49" s="87"/>
      <c r="M49" s="87"/>
      <c r="N49" s="87"/>
      <c r="O49" s="323"/>
      <c r="P49" s="324"/>
      <c r="Q49" s="47"/>
      <c r="R49" s="345">
        <v>0</v>
      </c>
      <c r="S49" s="345">
        <v>0.85</v>
      </c>
      <c r="T49" s="345" t="s">
        <v>425</v>
      </c>
      <c r="U49" s="322"/>
      <c r="V49" s="324"/>
      <c r="X49" s="47"/>
      <c r="Y49" s="45"/>
      <c r="Z49" s="45"/>
      <c r="AA49" s="45"/>
      <c r="AB49" s="45"/>
      <c r="AC49" s="251"/>
      <c r="AD49" s="251"/>
      <c r="AE49" s="251"/>
      <c r="AF49" s="251"/>
      <c r="AG49" s="251"/>
      <c r="AH49" s="47"/>
      <c r="AI49" s="251"/>
      <c r="AJ49" s="251"/>
      <c r="AK49" s="251"/>
      <c r="AL49" s="251"/>
      <c r="AM49" s="87"/>
      <c r="AN49" s="87"/>
      <c r="AO49" s="87"/>
      <c r="AP49" s="3"/>
      <c r="AQ49" s="3"/>
      <c r="AR49" s="3"/>
      <c r="AS49" s="3"/>
      <c r="AT49" s="3"/>
      <c r="AU49" s="3"/>
      <c r="AV49" s="3"/>
      <c r="AW49" s="3"/>
      <c r="AX49" s="3"/>
      <c r="AY49" s="3"/>
      <c r="AZ49" s="3"/>
      <c r="BA49" s="3"/>
      <c r="BB49" s="3"/>
      <c r="BK49" s="434"/>
    </row>
    <row r="50" spans="2:63" s="319" customFormat="1" x14ac:dyDescent="0.3">
      <c r="B50" s="161" t="s">
        <v>418</v>
      </c>
      <c r="C50" s="471" t="str">
        <f>IF($C$25=0,"CHECK INPUT DATA",IF(C49=0,"N/A",VLOOKUP(C49,'LOS table'!$B$3:$D$8,3)))</f>
        <v>E</v>
      </c>
      <c r="D50" s="471"/>
      <c r="E50" s="87"/>
      <c r="F50" s="87"/>
      <c r="G50" s="87"/>
      <c r="H50" s="87"/>
      <c r="I50" s="87"/>
      <c r="J50" s="87"/>
      <c r="K50" s="87"/>
      <c r="L50" s="87"/>
      <c r="M50" s="87"/>
      <c r="N50" s="87"/>
      <c r="O50" s="323"/>
      <c r="P50" s="324"/>
      <c r="Q50" s="47"/>
      <c r="R50" s="345">
        <v>0.85</v>
      </c>
      <c r="S50" s="345">
        <v>0.95</v>
      </c>
      <c r="T50" s="345" t="s">
        <v>426</v>
      </c>
      <c r="U50" s="322"/>
      <c r="V50" s="324"/>
      <c r="X50" s="47"/>
      <c r="Y50" s="45"/>
      <c r="Z50" s="45"/>
      <c r="AA50" s="45"/>
      <c r="AB50" s="45"/>
      <c r="AC50" s="251"/>
      <c r="AD50" s="251"/>
      <c r="AE50" s="251"/>
      <c r="AF50" s="251"/>
      <c r="AG50" s="251"/>
      <c r="AH50" s="47"/>
      <c r="AI50" s="251"/>
      <c r="AJ50" s="251"/>
      <c r="AK50" s="251"/>
      <c r="AL50" s="251"/>
      <c r="AM50" s="87"/>
      <c r="AN50" s="87"/>
      <c r="AO50" s="87"/>
      <c r="AP50" s="69"/>
      <c r="AQ50" s="69"/>
      <c r="AR50" s="69"/>
      <c r="AS50" s="69"/>
      <c r="AT50" s="69"/>
      <c r="AU50" s="69"/>
      <c r="AV50" s="69"/>
      <c r="AW50" s="69"/>
      <c r="AX50" s="69"/>
      <c r="AY50" s="69"/>
      <c r="AZ50" s="69"/>
      <c r="BA50" s="69"/>
      <c r="BB50" s="69"/>
      <c r="BK50" s="434"/>
    </row>
    <row r="51" spans="2:63" s="319" customFormat="1" x14ac:dyDescent="0.3">
      <c r="B51" s="365" t="s">
        <v>419</v>
      </c>
      <c r="C51" s="477">
        <f>IF($C$25=0,"CHECK INPUT DATA",ROUND(O17/(1700*O4*'Input sheet'!W7*(1-C23/C25)),2))</f>
        <v>0.47</v>
      </c>
      <c r="D51" s="477"/>
      <c r="E51" s="87"/>
      <c r="F51" s="87"/>
      <c r="G51" s="87"/>
      <c r="H51" s="87"/>
      <c r="I51" s="87"/>
      <c r="J51" s="87"/>
      <c r="K51" s="87"/>
      <c r="L51" s="87"/>
      <c r="M51" s="87"/>
      <c r="N51" s="87"/>
      <c r="O51" s="323"/>
      <c r="P51" s="324"/>
      <c r="Q51" s="47"/>
      <c r="R51" s="345">
        <v>0.95</v>
      </c>
      <c r="S51" s="345">
        <v>1</v>
      </c>
      <c r="T51" s="345" t="s">
        <v>427</v>
      </c>
      <c r="U51" s="322"/>
      <c r="V51" s="324"/>
      <c r="X51" s="47"/>
      <c r="Y51" s="45"/>
      <c r="Z51" s="45"/>
      <c r="AA51" s="45"/>
      <c r="AB51" s="45"/>
      <c r="AC51" s="251"/>
      <c r="AD51" s="251"/>
      <c r="AE51" s="251"/>
      <c r="AF51" s="251"/>
      <c r="AG51" s="251"/>
      <c r="AH51" s="47"/>
      <c r="AI51" s="251"/>
      <c r="AJ51" s="251"/>
      <c r="AK51" s="251"/>
      <c r="AL51" s="251"/>
      <c r="AM51" s="87"/>
      <c r="AN51" s="87"/>
      <c r="AO51" s="87"/>
      <c r="AP51" s="87"/>
      <c r="AQ51" s="324"/>
      <c r="AR51" s="47"/>
      <c r="AS51" s="87"/>
      <c r="AT51" s="87"/>
      <c r="AU51" s="87"/>
      <c r="AV51" s="87"/>
      <c r="AX51" s="62"/>
      <c r="BK51" s="434"/>
    </row>
    <row r="52" spans="2:63" s="319" customFormat="1" x14ac:dyDescent="0.3">
      <c r="B52" s="161" t="s">
        <v>424</v>
      </c>
      <c r="C52" s="471" t="str">
        <f>IF($C$25=0,"CHECK INPUT DATA",VLOOKUP(C51,R49:T52,3))</f>
        <v>Under Capacity</v>
      </c>
      <c r="D52" s="471"/>
      <c r="E52" s="87"/>
      <c r="F52" s="87"/>
      <c r="G52" s="87"/>
      <c r="H52" s="87"/>
      <c r="I52" s="87"/>
      <c r="J52" s="87"/>
      <c r="K52" s="87"/>
      <c r="L52" s="87"/>
      <c r="M52" s="87"/>
      <c r="N52" s="87"/>
      <c r="O52" s="323"/>
      <c r="P52" s="324"/>
      <c r="Q52" s="47"/>
      <c r="R52" s="345">
        <v>1</v>
      </c>
      <c r="S52" s="345">
        <v>100</v>
      </c>
      <c r="T52" s="345" t="s">
        <v>428</v>
      </c>
      <c r="U52" s="322"/>
      <c r="V52" s="324"/>
      <c r="X52" s="47"/>
      <c r="Y52" s="45"/>
      <c r="Z52" s="45"/>
      <c r="AA52" s="45"/>
      <c r="AB52" s="45"/>
      <c r="AC52" s="251"/>
      <c r="AD52" s="251"/>
      <c r="AE52" s="251"/>
      <c r="AF52" s="251"/>
      <c r="AG52" s="251"/>
      <c r="AH52" s="47"/>
      <c r="AI52" s="251"/>
      <c r="AJ52" s="251"/>
      <c r="AK52" s="251"/>
      <c r="AL52" s="251"/>
      <c r="AM52" s="87"/>
      <c r="AN52" s="87"/>
      <c r="AO52" s="87"/>
      <c r="AP52" s="87"/>
      <c r="AQ52" s="324"/>
      <c r="AR52" s="47"/>
      <c r="AS52" s="87"/>
      <c r="AT52" s="87"/>
      <c r="AU52" s="87"/>
      <c r="AV52" s="87"/>
      <c r="AX52" s="62"/>
      <c r="BK52" s="434"/>
    </row>
    <row r="53" spans="2:63" s="319" customFormat="1" x14ac:dyDescent="0.3">
      <c r="B53" s="324"/>
      <c r="C53" s="87"/>
      <c r="D53" s="87"/>
      <c r="E53" s="87"/>
      <c r="F53" s="87"/>
      <c r="G53" s="87"/>
      <c r="H53" s="87"/>
      <c r="I53" s="87"/>
      <c r="J53" s="87"/>
      <c r="K53" s="87"/>
      <c r="L53" s="87"/>
      <c r="M53" s="87"/>
      <c r="N53" s="87"/>
      <c r="O53" s="323"/>
      <c r="P53" s="324"/>
      <c r="Q53" s="47"/>
      <c r="R53" s="322"/>
      <c r="S53" s="322"/>
      <c r="T53" s="322"/>
      <c r="U53" s="322"/>
      <c r="V53" s="324"/>
      <c r="X53" s="47"/>
      <c r="Y53" s="45"/>
      <c r="Z53" s="45"/>
      <c r="AA53" s="45"/>
      <c r="AB53" s="45"/>
      <c r="AC53" s="251"/>
      <c r="AD53" s="251"/>
      <c r="AE53" s="251"/>
      <c r="AF53" s="251"/>
      <c r="AG53" s="251"/>
      <c r="AH53" s="47"/>
      <c r="AI53" s="251"/>
      <c r="AJ53" s="251"/>
      <c r="AK53" s="251"/>
      <c r="AL53" s="251"/>
      <c r="AM53" s="87"/>
      <c r="AN53" s="87"/>
      <c r="AO53" s="87"/>
      <c r="AP53" s="87"/>
      <c r="AQ53" s="324"/>
      <c r="AR53" s="47"/>
      <c r="AS53" s="87"/>
      <c r="AT53" s="87"/>
      <c r="AU53" s="87"/>
      <c r="AV53" s="87"/>
      <c r="AX53" s="62"/>
      <c r="BK53" s="434"/>
    </row>
    <row r="54" spans="2:63" hidden="1" x14ac:dyDescent="0.3">
      <c r="B54" s="246" t="s">
        <v>359</v>
      </c>
      <c r="C54" s="3">
        <f>ROUND(SUMPRODUCT(C66:C68,D66:D68),0)</f>
        <v>517</v>
      </c>
      <c r="D54" s="85">
        <f>IF($C$25=0,0,IF(D41=0,0,D11))</f>
        <v>3060</v>
      </c>
      <c r="E54" s="246">
        <f>IF($C$25=0,0,IF(AND(E6=0,E3&gt;0),ROUND(0.25*D54,0),E11))</f>
        <v>6120</v>
      </c>
      <c r="F54" s="373">
        <f>ROUND(SUMPRODUCT(F66:F68,G66:G68),0)</f>
        <v>919</v>
      </c>
      <c r="G54" s="246">
        <f>IF($C$25=0,0,IF(G41=0,0,G11))</f>
        <v>3060</v>
      </c>
      <c r="H54" s="246">
        <f>IF($C$25=0,0,IF(AND(H6=0,H3&gt;0),ROUND(0.25*G54,0),H11))</f>
        <v>7650</v>
      </c>
      <c r="I54" s="373">
        <f>ROUND(SUMPRODUCT(I66:I68,J66:J68),0)</f>
        <v>3060</v>
      </c>
      <c r="J54" s="246">
        <f>IF($C$25=0,0,IF(J41=0,0,J11))</f>
        <v>0</v>
      </c>
      <c r="K54" s="246">
        <f>IF($C$25=0,0,IF(AND(K6=0,K3&gt;0),ROUND(0.25*J54,0),K11))</f>
        <v>0</v>
      </c>
      <c r="L54" s="373">
        <f>ROUND(SUMPRODUCT(L66:L68,M66:M68),0)</f>
        <v>3060</v>
      </c>
      <c r="M54" s="246">
        <f>IF($C$25=0,0,IF(M41=0,0,M11))</f>
        <v>6120</v>
      </c>
      <c r="N54" s="246">
        <f>IF($C$25=0,0,IF(AND(N6=0,N3&gt;0),ROUND(0.25*M54,0),N11))</f>
        <v>7650</v>
      </c>
      <c r="Y54" s="78"/>
      <c r="Z54" s="78"/>
      <c r="AA54" s="78"/>
      <c r="AB54" s="78"/>
      <c r="AC54" s="78"/>
      <c r="AD54" s="78"/>
    </row>
    <row r="55" spans="2:63" hidden="1" x14ac:dyDescent="0.3">
      <c r="B55" s="246" t="s">
        <v>360</v>
      </c>
      <c r="C55" s="3">
        <f t="shared" ref="C55:N55" si="17">IF($C$25=0,0,C38/$C$25)</f>
        <v>0.45833333333333331</v>
      </c>
      <c r="D55" s="246">
        <f t="shared" si="17"/>
        <v>0.45833333333333331</v>
      </c>
      <c r="E55" s="246">
        <f t="shared" si="17"/>
        <v>0.45833333333333331</v>
      </c>
      <c r="F55" s="246">
        <f t="shared" si="17"/>
        <v>0.45833333333333331</v>
      </c>
      <c r="G55" s="246">
        <f t="shared" si="17"/>
        <v>0.45833333333333331</v>
      </c>
      <c r="H55" s="246">
        <f t="shared" si="17"/>
        <v>0.45833333333333331</v>
      </c>
      <c r="I55" s="246">
        <f t="shared" si="17"/>
        <v>9.166666666666666E-2</v>
      </c>
      <c r="J55" s="246">
        <f t="shared" si="17"/>
        <v>0.375</v>
      </c>
      <c r="K55" s="246">
        <f t="shared" si="17"/>
        <v>0.375</v>
      </c>
      <c r="L55" s="246">
        <f t="shared" si="17"/>
        <v>6.6666666666666666E-2</v>
      </c>
      <c r="M55" s="246">
        <f t="shared" si="17"/>
        <v>0.35</v>
      </c>
      <c r="N55" s="246">
        <f t="shared" si="17"/>
        <v>0.35</v>
      </c>
      <c r="Q55" s="62" t="s">
        <v>105</v>
      </c>
      <c r="R55" s="70">
        <f>IF(V44=0,0,ROUND(R44*$C$25/$V$44,0))</f>
        <v>0</v>
      </c>
      <c r="S55" s="70">
        <f>IF(V44=0,0,ROUND(S44*$C$25/$V$44,0))</f>
        <v>55</v>
      </c>
      <c r="T55" s="70">
        <f>IF(V44=0,0,ROUND(T44*$C$25/$V$44,0))</f>
        <v>24</v>
      </c>
      <c r="U55" s="70">
        <f>IF(V44=0,0,ROUND(U44*$C$25/$V$44,0))</f>
        <v>40</v>
      </c>
      <c r="W55" s="71">
        <f>SUM(R55:S55)</f>
        <v>55</v>
      </c>
      <c r="X55" s="71">
        <f>SUM(T55:U55)</f>
        <v>64</v>
      </c>
      <c r="Y55" s="47"/>
      <c r="Z55" s="62" t="s">
        <v>105</v>
      </c>
      <c r="AA55" s="193">
        <f>IF(W55=0,0,R31*MAX(Y44,ROUNDDOWN($W$58/W55*R55,0)))</f>
        <v>0</v>
      </c>
      <c r="AB55" s="193">
        <f>IF(W55=0,0,S31*MAX(Z44,ROUNDUP($W$58/W55*S55,0)))</f>
        <v>59</v>
      </c>
      <c r="AC55" s="193">
        <f>IF(X55=0,0,T31*MAX(AA44,ROUNDDOWN($X$58/X55*T55,0)))</f>
        <v>22</v>
      </c>
      <c r="AD55" s="193">
        <f>IF(X55=0,0,U31*MAX(AB44,ROUNDUP($X$58/X55*U55,0)))</f>
        <v>46</v>
      </c>
      <c r="AE55" s="47"/>
      <c r="AF55" s="62" t="s">
        <v>105</v>
      </c>
      <c r="AG55" s="193">
        <f>IF(AND(AB55=Z44,AA55+AB55&gt;W58),W58-AB57,AA57)</f>
        <v>0</v>
      </c>
      <c r="AH55" s="193">
        <f>IF(AND(AA55=Y44,AA55+AB55&gt;W58),W58-AA57,AB57)</f>
        <v>59</v>
      </c>
      <c r="AI55" s="193">
        <f>IF(AND(AD55=AB44,AC55+AD55&gt;X58),X58-AD57,AC57)</f>
        <v>15</v>
      </c>
      <c r="AJ55" s="193">
        <f>IF(AND(AC55=AA44,AC55+AD55&gt;X58),X58-AC57,AD57)</f>
        <v>46</v>
      </c>
      <c r="AK55" s="196"/>
      <c r="AM55" s="62"/>
      <c r="AN55" s="87"/>
      <c r="AO55" s="87"/>
      <c r="AP55" s="87"/>
      <c r="AQ55" s="87"/>
      <c r="AT55" s="62"/>
      <c r="AU55" s="87"/>
      <c r="AV55" s="87"/>
      <c r="AW55" s="87"/>
      <c r="AX55" s="87"/>
      <c r="AY55" s="77"/>
    </row>
    <row r="56" spans="2:63" hidden="1" x14ac:dyDescent="0.3">
      <c r="C56" s="519" t="s">
        <v>13</v>
      </c>
      <c r="D56" s="519"/>
      <c r="F56" s="519" t="s">
        <v>18</v>
      </c>
      <c r="G56" s="519"/>
      <c r="I56" s="519" t="s">
        <v>3</v>
      </c>
      <c r="J56" s="519"/>
      <c r="L56" s="519" t="s">
        <v>8</v>
      </c>
      <c r="M56" s="519"/>
      <c r="Q56" s="47" t="s">
        <v>106</v>
      </c>
      <c r="R56" s="70">
        <f>IF(V45=0,0,ROUND(R45*$C$25/$V$45,0))</f>
        <v>0</v>
      </c>
      <c r="S56" s="70">
        <f>IF(V45=0,0,ROUND(S45*$C$25/$V$45,0))</f>
        <v>61</v>
      </c>
      <c r="T56" s="70">
        <f>IF(V45=0,0,ROUND(T45*$C$25/$V$45,0))</f>
        <v>12</v>
      </c>
      <c r="U56" s="70">
        <f>IF(V45=0,0,ROUND(U45*$C$25/$V$45,0))</f>
        <v>47</v>
      </c>
      <c r="W56" s="71">
        <f>SUM(R56:S56)</f>
        <v>61</v>
      </c>
      <c r="X56" s="71">
        <f>SUM(T56:U56)</f>
        <v>59</v>
      </c>
      <c r="Y56" s="214"/>
      <c r="Z56" s="47" t="s">
        <v>106</v>
      </c>
      <c r="AA56" s="193">
        <f>IF(W56=0,0,R32*MAX(Y45,ROUNDDOWN($W$58/W56*R56,0)))</f>
        <v>0</v>
      </c>
      <c r="AB56" s="193">
        <f>IF(W56=0,0,S32*MAX(Z45,ROUNDUP($W$58/W56*S56,0)))</f>
        <v>59</v>
      </c>
      <c r="AC56" s="193">
        <f>IF(X56=0,0,T32*MAX(AA45,ROUNDDOWN($X$58/X56*T56,0)))</f>
        <v>12</v>
      </c>
      <c r="AD56" s="193">
        <f>IF(X56=0,0,U32*MAX(AB45,ROUNDUP($X$58/X56*U56,0)))</f>
        <v>49</v>
      </c>
      <c r="AE56" s="47"/>
      <c r="AF56" s="47" t="s">
        <v>106</v>
      </c>
      <c r="AG56" s="193">
        <f>IF(AND(AB56=Z45,AA56+AB56&gt;W58),W58-AB56,AA58)</f>
        <v>0</v>
      </c>
      <c r="AH56" s="193">
        <f>IF(AND(AA56=Y45,AA56+AB56&gt;W58),W58-AA58,AB58)</f>
        <v>59</v>
      </c>
      <c r="AI56" s="193">
        <f>IF(AND(AD56=AB45,AC56+AD56&gt;X58),X58-AD58,AC58)</f>
        <v>12</v>
      </c>
      <c r="AJ56" s="193">
        <f>IF(AND(AC56=AA45,AC56+AD56&gt;X58),X58-AC58,AD58)</f>
        <v>49</v>
      </c>
      <c r="AK56" s="196"/>
      <c r="AM56" s="47"/>
      <c r="AN56" s="87"/>
      <c r="AO56" s="87"/>
      <c r="AP56" s="87"/>
      <c r="AQ56" s="87"/>
      <c r="AT56" s="47"/>
      <c r="AU56" s="87"/>
      <c r="AV56" s="87"/>
      <c r="AW56" s="87"/>
      <c r="AX56" s="87"/>
      <c r="AY56" s="77"/>
    </row>
    <row r="57" spans="2:63" hidden="1" x14ac:dyDescent="0.3">
      <c r="B57" s="164" t="s">
        <v>224</v>
      </c>
      <c r="C57" s="164">
        <f>C97</f>
        <v>70</v>
      </c>
      <c r="D57" s="163">
        <f>IF('Phase designation'!B22=2,1,0)</f>
        <v>1</v>
      </c>
      <c r="F57" s="246">
        <f>F97</f>
        <v>78</v>
      </c>
      <c r="G57" s="164">
        <f>IF('Phase designation'!D22=2,1,0)</f>
        <v>1</v>
      </c>
      <c r="I57" s="246">
        <f>I97</f>
        <v>120</v>
      </c>
      <c r="J57" s="164">
        <f>IF('Phase designation'!F22=2,1,0)</f>
        <v>0</v>
      </c>
      <c r="L57" s="246">
        <f>L97</f>
        <v>120</v>
      </c>
      <c r="M57" s="164">
        <f>IF('Phase designation'!H22=2,1,0)</f>
        <v>0</v>
      </c>
      <c r="W57" s="65">
        <f>MAX(AC45,MAX(W55:W56))</f>
        <v>61</v>
      </c>
      <c r="X57" s="65">
        <f>MAX(AD45,MAX(X55:X56))</f>
        <v>64</v>
      </c>
      <c r="Y57" s="214"/>
      <c r="Z57" s="62" t="s">
        <v>105</v>
      </c>
      <c r="AA57" s="193">
        <f>AA55</f>
        <v>0</v>
      </c>
      <c r="AB57" s="193">
        <f t="shared" ref="AB57:AD58" si="18">AB55</f>
        <v>59</v>
      </c>
      <c r="AC57" s="193">
        <f t="shared" si="18"/>
        <v>22</v>
      </c>
      <c r="AD57" s="193">
        <f t="shared" si="18"/>
        <v>46</v>
      </c>
    </row>
    <row r="58" spans="2:63" ht="15" hidden="1" thickBot="1" x14ac:dyDescent="0.35">
      <c r="B58" s="164" t="s">
        <v>225</v>
      </c>
      <c r="C58" s="3">
        <f>C96</f>
        <v>0</v>
      </c>
      <c r="D58" s="164">
        <f>IF('Phase designation'!B22=1,1,0)</f>
        <v>0</v>
      </c>
      <c r="F58" s="246">
        <f>F96</f>
        <v>0</v>
      </c>
      <c r="G58" s="164">
        <f>IF('Phase designation'!D22=1,1,0)</f>
        <v>0</v>
      </c>
      <c r="I58" s="246">
        <f>I96</f>
        <v>561</v>
      </c>
      <c r="J58" s="164">
        <f>IF('Phase designation'!F22=1,1,0)</f>
        <v>1</v>
      </c>
      <c r="L58" s="246">
        <f>L96</f>
        <v>434</v>
      </c>
      <c r="M58" s="164">
        <f>IF('Phase designation'!H22=1,1,0)</f>
        <v>1</v>
      </c>
      <c r="W58" s="76">
        <f>C25-MIN(W57:X57)</f>
        <v>59</v>
      </c>
      <c r="X58" s="76">
        <f>C25-W58</f>
        <v>61</v>
      </c>
      <c r="Y58" s="47"/>
      <c r="Z58" s="47" t="s">
        <v>106</v>
      </c>
      <c r="AA58" s="193">
        <f>AA56</f>
        <v>0</v>
      </c>
      <c r="AB58" s="193">
        <f t="shared" si="18"/>
        <v>59</v>
      </c>
      <c r="AC58" s="193">
        <f t="shared" si="18"/>
        <v>12</v>
      </c>
      <c r="AD58" s="193">
        <f t="shared" si="18"/>
        <v>49</v>
      </c>
      <c r="AE58" s="197" t="s">
        <v>223</v>
      </c>
    </row>
    <row r="59" spans="2:63" s="77" customFormat="1" hidden="1" x14ac:dyDescent="0.3">
      <c r="B59" s="77" t="s">
        <v>226</v>
      </c>
      <c r="C59" s="77">
        <f>C104</f>
        <v>70</v>
      </c>
      <c r="D59" s="77">
        <f>IF('Phase designation'!B22=3,1,0)</f>
        <v>0</v>
      </c>
      <c r="F59" s="291">
        <f>F104</f>
        <v>78</v>
      </c>
      <c r="G59" s="77">
        <f>IF('Phase designation'!D22=3,1,0)</f>
        <v>0</v>
      </c>
      <c r="I59" s="291">
        <f>I104</f>
        <v>681</v>
      </c>
      <c r="J59" s="77">
        <f>IF('Phase designation'!F22=3,1,0)</f>
        <v>0</v>
      </c>
      <c r="L59" s="291">
        <f>L104</f>
        <v>554</v>
      </c>
      <c r="M59" s="77">
        <f>IF('Phase designation'!H22=3,1,0)</f>
        <v>0</v>
      </c>
      <c r="P59" s="291"/>
      <c r="Q59" s="172"/>
      <c r="R59" s="173"/>
      <c r="S59" s="173"/>
      <c r="T59" s="173"/>
      <c r="U59" s="173"/>
      <c r="V59" s="174" t="s">
        <v>132</v>
      </c>
      <c r="W59" s="175" t="s">
        <v>237</v>
      </c>
      <c r="X59" s="176" t="s">
        <v>238</v>
      </c>
      <c r="Y59" s="47"/>
      <c r="AA59" s="78"/>
      <c r="AB59" s="78"/>
      <c r="AC59" s="78"/>
      <c r="AD59" s="78"/>
      <c r="AE59" s="78"/>
      <c r="AF59" s="78"/>
      <c r="AG59" s="78"/>
      <c r="AH59" s="78"/>
      <c r="AI59" s="78"/>
      <c r="AJ59" s="78"/>
      <c r="BK59" s="435"/>
    </row>
    <row r="60" spans="2:63" s="77" customFormat="1" hidden="1" x14ac:dyDescent="0.3">
      <c r="B60" s="246" t="s">
        <v>358</v>
      </c>
      <c r="C60" s="3">
        <f>C103</f>
        <v>264</v>
      </c>
      <c r="D60" s="77">
        <f>IF(AND(C6=0,C3&gt;0),1,0)</f>
        <v>0</v>
      </c>
      <c r="F60" s="246">
        <f>F103</f>
        <v>442</v>
      </c>
      <c r="G60" s="291">
        <f>IF(AND(F6=0,F3&gt;0),1,0)</f>
        <v>0</v>
      </c>
      <c r="I60" s="246">
        <f>I103</f>
        <v>60</v>
      </c>
      <c r="J60" s="291">
        <f>IF(AND(I6=0,I3&gt;0),1,0)</f>
        <v>0</v>
      </c>
      <c r="L60" s="246">
        <f>L103</f>
        <v>33</v>
      </c>
      <c r="M60" s="291">
        <f>IF(AND(L6=0,L3&gt;0),1,0)</f>
        <v>0</v>
      </c>
      <c r="P60" s="291"/>
      <c r="Q60" s="177" t="s">
        <v>105</v>
      </c>
      <c r="R60" s="169">
        <f t="shared" ref="R60:U61" si="19">AG55</f>
        <v>0</v>
      </c>
      <c r="S60" s="169">
        <f t="shared" si="19"/>
        <v>59</v>
      </c>
      <c r="T60" s="169">
        <f t="shared" si="19"/>
        <v>15</v>
      </c>
      <c r="U60" s="169">
        <f t="shared" si="19"/>
        <v>46</v>
      </c>
      <c r="V60" s="167">
        <f>SUM(R60:U60)</f>
        <v>120</v>
      </c>
      <c r="W60" s="170">
        <f>R60+S60</f>
        <v>59</v>
      </c>
      <c r="X60" s="178">
        <f>T60+U60</f>
        <v>61</v>
      </c>
      <c r="Y60" s="47"/>
      <c r="Z60" s="62" t="s">
        <v>105</v>
      </c>
      <c r="AA60" s="217">
        <f t="shared" ref="AA60:AD61" si="20">IF(R60&lt;Y44,1,0)</f>
        <v>0</v>
      </c>
      <c r="AB60" s="217">
        <f t="shared" si="20"/>
        <v>0</v>
      </c>
      <c r="AC60" s="217">
        <f t="shared" si="20"/>
        <v>0</v>
      </c>
      <c r="AD60" s="217">
        <f t="shared" si="20"/>
        <v>0</v>
      </c>
      <c r="AE60" s="78"/>
      <c r="AF60" s="45"/>
      <c r="AG60" s="45"/>
      <c r="AH60" s="45"/>
      <c r="AI60" s="45"/>
      <c r="AJ60" s="78"/>
      <c r="BK60" s="435"/>
    </row>
    <row r="61" spans="2:63" s="77" customFormat="1" ht="15" hidden="1" thickBot="1" x14ac:dyDescent="0.35">
      <c r="P61" s="291"/>
      <c r="Q61" s="179" t="s">
        <v>106</v>
      </c>
      <c r="R61" s="180">
        <f t="shared" si="19"/>
        <v>0</v>
      </c>
      <c r="S61" s="180">
        <f t="shared" si="19"/>
        <v>59</v>
      </c>
      <c r="T61" s="180">
        <f t="shared" si="19"/>
        <v>12</v>
      </c>
      <c r="U61" s="180">
        <f t="shared" si="19"/>
        <v>49</v>
      </c>
      <c r="V61" s="181">
        <f>SUM(R61:U61)</f>
        <v>120</v>
      </c>
      <c r="W61" s="182">
        <f>R61+S61</f>
        <v>59</v>
      </c>
      <c r="X61" s="183">
        <f>T61+U61</f>
        <v>61</v>
      </c>
      <c r="Y61" s="47"/>
      <c r="Z61" s="47" t="s">
        <v>106</v>
      </c>
      <c r="AA61" s="217">
        <f t="shared" si="20"/>
        <v>0</v>
      </c>
      <c r="AB61" s="217">
        <f t="shared" si="20"/>
        <v>0</v>
      </c>
      <c r="AC61" s="217">
        <f t="shared" si="20"/>
        <v>0</v>
      </c>
      <c r="AD61" s="217">
        <f t="shared" si="20"/>
        <v>0</v>
      </c>
      <c r="AE61" s="218">
        <f>SUM(AA60:AD61)</f>
        <v>0</v>
      </c>
      <c r="AF61" s="45"/>
      <c r="AG61" s="45"/>
      <c r="AH61" s="45"/>
      <c r="AI61" s="45"/>
      <c r="AJ61" s="78"/>
      <c r="BK61" s="435"/>
    </row>
    <row r="62" spans="2:63" hidden="1" x14ac:dyDescent="0.3">
      <c r="B62" s="240" t="s">
        <v>327</v>
      </c>
      <c r="C62" s="77">
        <f>MAX(0,D37)</f>
        <v>52.9</v>
      </c>
      <c r="D62" s="77">
        <f>D57</f>
        <v>1</v>
      </c>
      <c r="E62" s="77"/>
      <c r="F62" s="291">
        <f>MAX(0,G37)</f>
        <v>52.9</v>
      </c>
      <c r="G62" s="77">
        <f>G57</f>
        <v>1</v>
      </c>
      <c r="H62" s="77"/>
      <c r="I62" s="291">
        <f>MAX(0,J37)</f>
        <v>43</v>
      </c>
      <c r="J62" s="77">
        <f>J57</f>
        <v>0</v>
      </c>
      <c r="K62" s="77"/>
      <c r="L62" s="291">
        <f>MAX(0,M37)</f>
        <v>39.9</v>
      </c>
      <c r="M62" s="77">
        <f>M57</f>
        <v>0</v>
      </c>
      <c r="N62" s="77"/>
      <c r="X62" s="77"/>
      <c r="Z62" s="197"/>
      <c r="AA62" s="197"/>
      <c r="AB62" s="197"/>
      <c r="AC62" s="197"/>
      <c r="AD62" s="197"/>
      <c r="AE62" s="199"/>
      <c r="AF62" s="199"/>
      <c r="AG62" s="199"/>
      <c r="AH62" s="199"/>
      <c r="AI62" s="199"/>
    </row>
    <row r="63" spans="2:63" hidden="1" x14ac:dyDescent="0.3">
      <c r="B63" s="240" t="s">
        <v>328</v>
      </c>
      <c r="C63" s="240">
        <f>MAX(0,C34-C35-C36)</f>
        <v>0</v>
      </c>
      <c r="D63" s="77">
        <f>D58</f>
        <v>0</v>
      </c>
      <c r="E63" s="77"/>
      <c r="F63" s="246">
        <f>MAX(0,F34-F35-F36)</f>
        <v>0</v>
      </c>
      <c r="G63" s="77">
        <f>G58</f>
        <v>0</v>
      </c>
      <c r="H63" s="77"/>
      <c r="I63" s="246">
        <f>MAX(0,I34-I35-I36)</f>
        <v>9</v>
      </c>
      <c r="J63" s="77">
        <f>J58</f>
        <v>1</v>
      </c>
      <c r="K63" s="77"/>
      <c r="L63" s="246">
        <f>MAX(0,L34-L35-L36)</f>
        <v>5.9</v>
      </c>
      <c r="M63" s="77">
        <f>M58</f>
        <v>1</v>
      </c>
      <c r="N63" s="77"/>
      <c r="Q63" s="3">
        <f>R29</f>
        <v>0</v>
      </c>
      <c r="R63" s="69">
        <f>S29</f>
        <v>2</v>
      </c>
      <c r="S63" s="69">
        <f>T29</f>
        <v>3</v>
      </c>
      <c r="T63" s="69">
        <f>U29</f>
        <v>4</v>
      </c>
      <c r="U63" s="69">
        <f>R30</f>
        <v>0</v>
      </c>
      <c r="V63" s="69">
        <f>S30</f>
        <v>6</v>
      </c>
      <c r="W63" s="69">
        <f>T30</f>
        <v>7</v>
      </c>
      <c r="X63" s="69">
        <f>U30</f>
        <v>8</v>
      </c>
    </row>
    <row r="64" spans="2:63" hidden="1" x14ac:dyDescent="0.3">
      <c r="B64" s="77" t="s">
        <v>329</v>
      </c>
      <c r="C64" s="3">
        <f>MAX(0,C63+C62-C35-C36)</f>
        <v>46.8</v>
      </c>
      <c r="D64" s="77">
        <f>D59</f>
        <v>0</v>
      </c>
      <c r="E64" s="77"/>
      <c r="F64" s="246">
        <f>MAX(0,F63+F62-F35-F36)</f>
        <v>46.8</v>
      </c>
      <c r="G64" s="77">
        <f>G59</f>
        <v>0</v>
      </c>
      <c r="H64" s="77"/>
      <c r="I64" s="246">
        <f>MAX(0,I63+I62-I35-I36)</f>
        <v>46</v>
      </c>
      <c r="J64" s="77">
        <f>J59</f>
        <v>0</v>
      </c>
      <c r="K64" s="77"/>
      <c r="L64" s="246">
        <f>MAX(0,L63+L62-L35-L36)</f>
        <v>39.699999999999996</v>
      </c>
      <c r="M64" s="77">
        <f>M59</f>
        <v>0</v>
      </c>
      <c r="Q64" s="3">
        <f>C83</f>
        <v>0</v>
      </c>
      <c r="R64" s="216">
        <f>D83</f>
        <v>59</v>
      </c>
      <c r="S64" s="216">
        <f>E83</f>
        <v>15</v>
      </c>
      <c r="T64" s="216">
        <f>F83</f>
        <v>46</v>
      </c>
      <c r="U64" s="3">
        <f>C84</f>
        <v>0</v>
      </c>
      <c r="V64" s="216">
        <f>D84</f>
        <v>59</v>
      </c>
      <c r="W64" s="216">
        <f>E84</f>
        <v>12</v>
      </c>
      <c r="X64" s="216">
        <f>F84</f>
        <v>49</v>
      </c>
    </row>
    <row r="65" spans="2:63" hidden="1" x14ac:dyDescent="0.3">
      <c r="D65" s="246"/>
      <c r="F65" s="246"/>
      <c r="G65" s="246"/>
      <c r="I65" s="246"/>
      <c r="J65" s="246"/>
      <c r="L65" s="246"/>
      <c r="M65" s="246"/>
      <c r="Q65" s="3">
        <f>C33</f>
        <v>0</v>
      </c>
      <c r="R65" s="163">
        <f>D33</f>
        <v>2</v>
      </c>
      <c r="S65" s="163">
        <f>F33</f>
        <v>0</v>
      </c>
      <c r="T65" s="163">
        <f>G33</f>
        <v>6</v>
      </c>
      <c r="U65" s="163">
        <f>I33</f>
        <v>3</v>
      </c>
      <c r="V65" s="163">
        <f>J33</f>
        <v>8</v>
      </c>
      <c r="W65" s="163">
        <f>L33</f>
        <v>7</v>
      </c>
      <c r="X65" s="163">
        <f>M33</f>
        <v>4</v>
      </c>
    </row>
    <row r="66" spans="2:63" s="373" customFormat="1" hidden="1" x14ac:dyDescent="0.3">
      <c r="B66" s="373" t="s">
        <v>437</v>
      </c>
      <c r="C66" s="373">
        <f>C14</f>
        <v>517</v>
      </c>
      <c r="D66" s="373">
        <f>D62</f>
        <v>1</v>
      </c>
      <c r="F66" s="373">
        <f>F14</f>
        <v>919</v>
      </c>
      <c r="G66" s="373">
        <f>G62</f>
        <v>1</v>
      </c>
      <c r="I66" s="373">
        <f>I14</f>
        <v>0</v>
      </c>
      <c r="J66" s="373">
        <f>J62</f>
        <v>0</v>
      </c>
      <c r="L66" s="373">
        <f>L14</f>
        <v>0</v>
      </c>
      <c r="M66" s="373">
        <f>M62</f>
        <v>0</v>
      </c>
      <c r="P66" s="374"/>
      <c r="AE66" s="375"/>
      <c r="AF66" s="375"/>
      <c r="AG66" s="375"/>
      <c r="AH66" s="375"/>
      <c r="AI66" s="375"/>
      <c r="AJ66" s="375"/>
      <c r="AK66" s="374"/>
      <c r="AL66" s="374"/>
      <c r="AM66" s="374"/>
      <c r="AN66" s="374"/>
      <c r="AO66" s="374"/>
      <c r="AP66" s="374"/>
      <c r="AQ66" s="374"/>
      <c r="AR66" s="374"/>
      <c r="AS66" s="374"/>
      <c r="AT66" s="374"/>
      <c r="AU66" s="374"/>
      <c r="AV66" s="374"/>
      <c r="BK66" s="434"/>
    </row>
    <row r="67" spans="2:63" s="373" customFormat="1" hidden="1" x14ac:dyDescent="0.3">
      <c r="B67" s="373" t="s">
        <v>438</v>
      </c>
      <c r="C67" s="373">
        <f>C11</f>
        <v>0</v>
      </c>
      <c r="D67" s="373">
        <f>D63</f>
        <v>0</v>
      </c>
      <c r="F67" s="373">
        <f>F11</f>
        <v>0</v>
      </c>
      <c r="G67" s="373">
        <f>G63</f>
        <v>0</v>
      </c>
      <c r="I67" s="373">
        <f>I11</f>
        <v>3060</v>
      </c>
      <c r="J67" s="373">
        <f>J63</f>
        <v>1</v>
      </c>
      <c r="L67" s="373">
        <f>L11</f>
        <v>3060</v>
      </c>
      <c r="M67" s="373">
        <f>M63</f>
        <v>1</v>
      </c>
      <c r="P67" s="374"/>
      <c r="AE67" s="375"/>
      <c r="AF67" s="375"/>
      <c r="AG67" s="375"/>
      <c r="AH67" s="375"/>
      <c r="AI67" s="375"/>
      <c r="AJ67" s="375"/>
      <c r="AK67" s="374"/>
      <c r="AL67" s="374"/>
      <c r="AM67" s="374"/>
      <c r="AN67" s="374"/>
      <c r="AO67" s="374"/>
      <c r="AP67" s="374"/>
      <c r="AQ67" s="374"/>
      <c r="AR67" s="374"/>
      <c r="AS67" s="374"/>
      <c r="AT67" s="374"/>
      <c r="AU67" s="374"/>
      <c r="AV67" s="374"/>
      <c r="BK67" s="434"/>
    </row>
    <row r="68" spans="2:63" s="373" customFormat="1" hidden="1" x14ac:dyDescent="0.3">
      <c r="B68" s="373" t="s">
        <v>439</v>
      </c>
      <c r="C68" s="351">
        <f>IF(C64=0,0,(C67*C63+C66*C62)/C64)</f>
        <v>584.38675213675219</v>
      </c>
      <c r="D68" s="373">
        <f>D64</f>
        <v>0</v>
      </c>
      <c r="F68" s="351">
        <f>IF(F64=0,0,(F67*F63+F66*F62)/F64)</f>
        <v>1038.784188034188</v>
      </c>
      <c r="G68" s="373">
        <f>G64</f>
        <v>0</v>
      </c>
      <c r="I68" s="351">
        <f>IF(I64=0,0,(I67*I63+I66*I62)/I64)</f>
        <v>598.695652173913</v>
      </c>
      <c r="J68" s="373">
        <f>J64</f>
        <v>0</v>
      </c>
      <c r="L68" s="351">
        <f>IF(L64=0,0,(L67*L63+L66*L62)/L64)</f>
        <v>454.76070528967261</v>
      </c>
      <c r="M68" s="373">
        <f>M64</f>
        <v>0</v>
      </c>
      <c r="P68" s="374"/>
      <c r="AE68" s="375"/>
      <c r="AF68" s="375"/>
      <c r="AG68" s="375"/>
      <c r="AH68" s="375"/>
      <c r="AI68" s="375"/>
      <c r="AJ68" s="375"/>
      <c r="AK68" s="374"/>
      <c r="AL68" s="374"/>
      <c r="AM68" s="374"/>
      <c r="AN68" s="374"/>
      <c r="AO68" s="374"/>
      <c r="AP68" s="374"/>
      <c r="AQ68" s="374"/>
      <c r="AR68" s="374"/>
      <c r="AS68" s="374"/>
      <c r="AT68" s="374"/>
      <c r="AU68" s="374"/>
      <c r="AV68" s="374"/>
      <c r="BK68" s="434"/>
    </row>
    <row r="69" spans="2:63" hidden="1" x14ac:dyDescent="0.3">
      <c r="Q69" s="77">
        <f>IF(Q65=0,0,MATCH(Q65,$Q$63:$X$63,0))</f>
        <v>0</v>
      </c>
      <c r="R69" s="77">
        <f t="shared" ref="R69:X69" si="21">IF(R65=0,0,MATCH(R65,$Q$63:$X$63,0))</f>
        <v>2</v>
      </c>
      <c r="S69" s="77">
        <f t="shared" si="21"/>
        <v>0</v>
      </c>
      <c r="T69" s="77">
        <f t="shared" si="21"/>
        <v>6</v>
      </c>
      <c r="U69" s="77">
        <f t="shared" si="21"/>
        <v>3</v>
      </c>
      <c r="V69" s="77">
        <f t="shared" si="21"/>
        <v>8</v>
      </c>
      <c r="W69" s="77">
        <f t="shared" si="21"/>
        <v>7</v>
      </c>
      <c r="X69" s="77">
        <f t="shared" si="21"/>
        <v>4</v>
      </c>
    </row>
    <row r="70" spans="2:63" s="246" customFormat="1" hidden="1" x14ac:dyDescent="0.3">
      <c r="C70" s="246" t="s">
        <v>13</v>
      </c>
      <c r="D70" s="3"/>
      <c r="E70" s="242"/>
      <c r="F70" s="246" t="s">
        <v>18</v>
      </c>
      <c r="G70" s="3"/>
      <c r="H70" s="242"/>
      <c r="I70" s="246" t="s">
        <v>3</v>
      </c>
      <c r="J70" s="3"/>
      <c r="K70" s="242"/>
      <c r="L70" s="246" t="s">
        <v>8</v>
      </c>
      <c r="P70" s="291"/>
      <c r="Q70" s="291"/>
      <c r="R70" s="291"/>
      <c r="S70" s="291"/>
      <c r="T70" s="291"/>
      <c r="U70" s="291"/>
      <c r="V70" s="291"/>
      <c r="W70" s="291"/>
      <c r="X70" s="291"/>
      <c r="AE70" s="251"/>
      <c r="AF70" s="251"/>
      <c r="AG70" s="251"/>
      <c r="AH70" s="251"/>
      <c r="AI70" s="251"/>
      <c r="AJ70" s="251"/>
      <c r="AK70" s="291"/>
      <c r="AL70" s="291"/>
      <c r="AM70" s="291"/>
      <c r="AN70" s="291"/>
      <c r="AO70" s="291"/>
      <c r="AP70" s="291"/>
      <c r="AQ70" s="291"/>
      <c r="AR70" s="291"/>
      <c r="AS70" s="291"/>
      <c r="AT70" s="291"/>
      <c r="AU70" s="291"/>
      <c r="AV70" s="291"/>
      <c r="BK70" s="434"/>
    </row>
    <row r="71" spans="2:63" s="246" customFormat="1" hidden="1" x14ac:dyDescent="0.3">
      <c r="B71" s="246" t="s">
        <v>338</v>
      </c>
      <c r="C71" s="246">
        <f>IF(C34&lt;F34,MAX(0,MIN(C34+G34-F34-D35-D36,G34-D35-D36-G37)),G34-D35-D36-G37)</f>
        <v>0</v>
      </c>
      <c r="F71" s="246">
        <f>IF(F34&lt;C34,MAX(0,MIN(F34+D34-C34-G35-G36,D34-G35-G36-D37)),D34-G35-G36-D37)</f>
        <v>0</v>
      </c>
      <c r="I71" s="246">
        <f>IF(I34&lt;L34,MAX(0,MIN(I34+M34-L34-J35-J36,M34-J35-J36-M37)),M34-J35-J36-M37)</f>
        <v>0.10000000000000142</v>
      </c>
      <c r="L71" s="246">
        <f>IF(L34&lt;I34,MAX(0,MIN(L34+J34-I34-M35-M36,J34-M35-M36-J37)),J34-M35-M36-J37)</f>
        <v>0</v>
      </c>
      <c r="P71" s="291"/>
      <c r="Q71" s="291"/>
      <c r="R71" s="291"/>
      <c r="S71" s="291"/>
      <c r="T71" s="291"/>
      <c r="U71" s="291"/>
      <c r="V71" s="291"/>
      <c r="W71" s="291"/>
      <c r="X71" s="291"/>
      <c r="AE71" s="251"/>
      <c r="AF71" s="251"/>
      <c r="AG71" s="251"/>
      <c r="AH71" s="251"/>
      <c r="AI71" s="251"/>
      <c r="AJ71" s="251"/>
      <c r="AK71" s="291"/>
      <c r="AL71" s="291"/>
      <c r="AM71" s="291"/>
      <c r="AN71" s="291"/>
      <c r="AO71" s="291"/>
      <c r="AP71" s="291"/>
      <c r="AQ71" s="291"/>
      <c r="AR71" s="291"/>
      <c r="AS71" s="291"/>
      <c r="AT71" s="291"/>
      <c r="AU71" s="291"/>
      <c r="AV71" s="291"/>
      <c r="BK71" s="434"/>
    </row>
    <row r="72" spans="2:63" s="246" customFormat="1" hidden="1" x14ac:dyDescent="0.3">
      <c r="B72" s="246" t="s">
        <v>339</v>
      </c>
      <c r="C72" s="246">
        <f>IF(C34&lt;F34,MAX(0,MIN(C34+G34-F34-D35-D36,G34-D35-D36)),G34-D35-D36)</f>
        <v>52.9</v>
      </c>
      <c r="F72" s="246">
        <f>IF(F34&lt;C34,MAX(0,MIN(F34+D34-C34-G35-G36,D34-G35-G36)),D34-G35-G36)</f>
        <v>52.9</v>
      </c>
      <c r="I72" s="246">
        <f>IF(I34&lt;L34,MAX(0,MIN(I34+M34-L34-J35-J36,M34-J35-J36)),M34-J35-J36)</f>
        <v>40</v>
      </c>
      <c r="L72" s="246">
        <f>IF(L34&lt;I34,MAX(0,MIN(L34+J34-I34-M35-M36,J34-M35-M36)),J34-M35-M36)</f>
        <v>39.9</v>
      </c>
      <c r="P72" s="291"/>
      <c r="Q72" s="291"/>
      <c r="R72" s="291"/>
      <c r="S72" s="291"/>
      <c r="T72" s="291"/>
      <c r="U72" s="291"/>
      <c r="V72" s="291"/>
      <c r="W72" s="291"/>
      <c r="X72" s="291"/>
      <c r="AE72" s="251"/>
      <c r="AF72" s="251"/>
      <c r="AG72" s="251"/>
      <c r="AH72" s="251"/>
      <c r="AI72" s="251"/>
      <c r="AJ72" s="251"/>
      <c r="AK72" s="291"/>
      <c r="AL72" s="291"/>
      <c r="AM72" s="291"/>
      <c r="AN72" s="291"/>
      <c r="AO72" s="291"/>
      <c r="AP72" s="291"/>
      <c r="AQ72" s="291"/>
      <c r="AR72" s="291"/>
      <c r="AS72" s="291"/>
      <c r="AT72" s="291"/>
      <c r="AU72" s="291"/>
      <c r="AV72" s="291"/>
      <c r="BK72" s="434"/>
    </row>
    <row r="73" spans="2:63" s="246" customFormat="1" hidden="1" x14ac:dyDescent="0.3">
      <c r="B73" s="246" t="s">
        <v>342</v>
      </c>
      <c r="C73" s="246">
        <f>IF(F34&gt;(C34-C35-C36),MIN(C74,F34-(C34-C35-C36)+C74-C75),0)</f>
        <v>2</v>
      </c>
      <c r="F73" s="246">
        <f>IF(C34&gt;(F34-F35-F36),MIN(F74,C34-(F34-F35-F36)+F74-F75),0)</f>
        <v>2</v>
      </c>
      <c r="I73" s="246">
        <f>IF(L34&gt;(I34-I35-I36),MIN(I74,L34-(I34-I35-I36)+I74-I75),0)</f>
        <v>2</v>
      </c>
      <c r="L73" s="246">
        <f>IF(I34&gt;(L34-L35-L36),MIN(L74,I34-(L34-L35-L36)+L74-L75),0)</f>
        <v>2</v>
      </c>
      <c r="P73" s="291"/>
      <c r="Q73" s="291"/>
      <c r="R73" s="291"/>
      <c r="S73" s="291"/>
      <c r="T73" s="291"/>
      <c r="U73" s="291"/>
      <c r="V73" s="291"/>
      <c r="W73" s="291"/>
      <c r="X73" s="291"/>
      <c r="AE73" s="251"/>
      <c r="AF73" s="251"/>
      <c r="AG73" s="251"/>
      <c r="AH73" s="251"/>
      <c r="AI73" s="251"/>
      <c r="AJ73" s="251"/>
      <c r="AK73" s="291"/>
      <c r="AL73" s="291"/>
      <c r="AM73" s="291"/>
      <c r="AN73" s="291"/>
      <c r="AO73" s="291"/>
      <c r="AP73" s="291"/>
      <c r="AQ73" s="291"/>
      <c r="AR73" s="291"/>
      <c r="AS73" s="291"/>
      <c r="AT73" s="291"/>
      <c r="AU73" s="291"/>
      <c r="AV73" s="291"/>
      <c r="BK73" s="434"/>
    </row>
    <row r="74" spans="2:63" s="246" customFormat="1" hidden="1" x14ac:dyDescent="0.3">
      <c r="B74" s="246" t="s">
        <v>344</v>
      </c>
      <c r="C74" s="246">
        <v>2</v>
      </c>
      <c r="F74" s="246">
        <v>2</v>
      </c>
      <c r="I74" s="246">
        <v>2</v>
      </c>
      <c r="L74" s="246">
        <v>2</v>
      </c>
      <c r="P74" s="291"/>
      <c r="Q74" s="291"/>
      <c r="R74" s="291"/>
      <c r="S74" s="291"/>
      <c r="T74" s="291"/>
      <c r="U74" s="291"/>
      <c r="V74" s="291"/>
      <c r="W74" s="291"/>
      <c r="X74" s="291"/>
      <c r="AE74" s="251"/>
      <c r="AF74" s="251"/>
      <c r="AG74" s="251"/>
      <c r="AH74" s="251"/>
      <c r="AI74" s="251"/>
      <c r="AJ74" s="251"/>
      <c r="AK74" s="291"/>
      <c r="AL74" s="291"/>
      <c r="AM74" s="291"/>
      <c r="AN74" s="291"/>
      <c r="AO74" s="291"/>
      <c r="AP74" s="291"/>
      <c r="AQ74" s="291"/>
      <c r="AR74" s="291"/>
      <c r="AS74" s="291"/>
      <c r="AT74" s="291"/>
      <c r="AU74" s="291"/>
      <c r="AV74" s="291"/>
      <c r="BK74" s="434"/>
    </row>
    <row r="75" spans="2:63" s="246" customFormat="1" hidden="1" x14ac:dyDescent="0.3">
      <c r="B75" s="246" t="s">
        <v>343</v>
      </c>
      <c r="C75" s="246">
        <f>Phasing!O27</f>
        <v>2.2999999999999998</v>
      </c>
      <c r="F75" s="246">
        <f>Phasing!Q27</f>
        <v>2.2999999999999998</v>
      </c>
      <c r="I75" s="246">
        <f>Phasing!S27</f>
        <v>1.5</v>
      </c>
      <c r="L75" s="246">
        <f>Phasing!U27</f>
        <v>2.2999999999999998</v>
      </c>
      <c r="P75" s="291"/>
      <c r="Q75" s="291"/>
      <c r="R75" s="291"/>
      <c r="S75" s="291"/>
      <c r="T75" s="291"/>
      <c r="U75" s="291"/>
      <c r="V75" s="291"/>
      <c r="W75" s="291"/>
      <c r="X75" s="291"/>
      <c r="AE75" s="251"/>
      <c r="AF75" s="251"/>
      <c r="AG75" s="251"/>
      <c r="AH75" s="251"/>
      <c r="AI75" s="251"/>
      <c r="AJ75" s="251"/>
      <c r="AK75" s="291"/>
      <c r="AL75" s="291"/>
      <c r="AM75" s="291"/>
      <c r="AN75" s="291"/>
      <c r="AO75" s="291"/>
      <c r="AP75" s="291"/>
      <c r="AQ75" s="291"/>
      <c r="AR75" s="291"/>
      <c r="AS75" s="291"/>
      <c r="AT75" s="291"/>
      <c r="AU75" s="291"/>
      <c r="AV75" s="291"/>
      <c r="BK75" s="434"/>
    </row>
    <row r="76" spans="2:63" s="246" customFormat="1" hidden="1" x14ac:dyDescent="0.3">
      <c r="B76" s="246" t="s">
        <v>340</v>
      </c>
      <c r="C76" s="246">
        <f>MIN(C71+C75,C77)</f>
        <v>2.2999999999999998</v>
      </c>
      <c r="F76" s="246">
        <f>MIN(F71+F75,F77)</f>
        <v>2.2999999999999998</v>
      </c>
      <c r="I76" s="246">
        <f>MIN(I71+I75,I77)</f>
        <v>1.6000000000000014</v>
      </c>
      <c r="L76" s="246">
        <f>MIN(L71+L75,L77)</f>
        <v>2.2999999999999998</v>
      </c>
      <c r="P76" s="291"/>
      <c r="Q76" s="291"/>
      <c r="R76" s="291"/>
      <c r="S76" s="291"/>
      <c r="T76" s="291"/>
      <c r="U76" s="291"/>
      <c r="V76" s="291"/>
      <c r="W76" s="291"/>
      <c r="X76" s="291"/>
      <c r="AE76" s="251"/>
      <c r="AF76" s="251"/>
      <c r="AG76" s="251"/>
      <c r="AH76" s="251"/>
      <c r="AI76" s="251"/>
      <c r="AJ76" s="251"/>
      <c r="AK76" s="291"/>
      <c r="AL76" s="291"/>
      <c r="AM76" s="291"/>
      <c r="AN76" s="291"/>
      <c r="AO76" s="291"/>
      <c r="AP76" s="291"/>
      <c r="AQ76" s="291"/>
      <c r="AR76" s="291"/>
      <c r="AS76" s="291"/>
      <c r="AT76" s="291"/>
      <c r="AU76" s="291"/>
      <c r="AV76" s="291"/>
      <c r="BK76" s="434"/>
    </row>
    <row r="77" spans="2:63" s="246" customFormat="1" hidden="1" x14ac:dyDescent="0.3">
      <c r="B77" s="246" t="s">
        <v>341</v>
      </c>
      <c r="C77" s="246">
        <f>MAX(0,C72-C73+C75)</f>
        <v>53.199999999999996</v>
      </c>
      <c r="F77" s="246">
        <f>MAX(0,F72-F73+F75)</f>
        <v>53.199999999999996</v>
      </c>
      <c r="I77" s="246">
        <f>MAX(0,I72-I73+I75)</f>
        <v>39.5</v>
      </c>
      <c r="L77" s="246">
        <f>MAX(0,L72-L73+L75)</f>
        <v>40.199999999999996</v>
      </c>
      <c r="P77" s="291"/>
      <c r="Q77" s="291"/>
      <c r="R77" s="291"/>
      <c r="S77" s="291"/>
      <c r="T77" s="291"/>
      <c r="U77" s="291"/>
      <c r="V77" s="291"/>
      <c r="W77" s="291"/>
      <c r="X77" s="291"/>
      <c r="AE77" s="251"/>
      <c r="AF77" s="251"/>
      <c r="AG77" s="251"/>
      <c r="AH77" s="251"/>
      <c r="AI77" s="251"/>
      <c r="AJ77" s="251"/>
      <c r="AK77" s="291"/>
      <c r="AL77" s="291"/>
      <c r="AM77" s="291"/>
      <c r="AN77" s="291"/>
      <c r="AO77" s="291"/>
      <c r="AP77" s="291"/>
      <c r="AQ77" s="291"/>
      <c r="AR77" s="291"/>
      <c r="AS77" s="291"/>
      <c r="AT77" s="291"/>
      <c r="AU77" s="291"/>
      <c r="AV77" s="291"/>
      <c r="BK77" s="434"/>
    </row>
    <row r="78" spans="2:63" s="246" customFormat="1" hidden="1" x14ac:dyDescent="0.3">
      <c r="P78" s="291"/>
      <c r="Q78" s="291"/>
      <c r="R78" s="291"/>
      <c r="S78" s="291"/>
      <c r="T78" s="291"/>
      <c r="U78" s="291"/>
      <c r="V78" s="291"/>
      <c r="W78" s="291"/>
      <c r="X78" s="291"/>
      <c r="AE78" s="251"/>
      <c r="AF78" s="251"/>
      <c r="AG78" s="251"/>
      <c r="AH78" s="251"/>
      <c r="AI78" s="251"/>
      <c r="AJ78" s="251"/>
      <c r="AK78" s="291"/>
      <c r="AL78" s="291"/>
      <c r="AM78" s="291"/>
      <c r="AN78" s="291"/>
      <c r="AO78" s="291"/>
      <c r="AP78" s="291"/>
      <c r="AQ78" s="291"/>
      <c r="AR78" s="291"/>
      <c r="AS78" s="291"/>
      <c r="AT78" s="291"/>
      <c r="AU78" s="291"/>
      <c r="AV78" s="291"/>
      <c r="BK78" s="434"/>
    </row>
    <row r="79" spans="2:63" s="246" customFormat="1" hidden="1" x14ac:dyDescent="0.3">
      <c r="P79" s="291"/>
      <c r="Q79" s="291"/>
      <c r="R79" s="291"/>
      <c r="S79" s="291"/>
      <c r="T79" s="291"/>
      <c r="U79" s="291"/>
      <c r="V79" s="291"/>
      <c r="W79" s="291"/>
      <c r="X79" s="291"/>
      <c r="AE79" s="251"/>
      <c r="AF79" s="251"/>
      <c r="AG79" s="251"/>
      <c r="AH79" s="251"/>
      <c r="AI79" s="251"/>
      <c r="AJ79" s="251"/>
      <c r="AK79" s="291"/>
      <c r="AL79" s="291"/>
      <c r="AM79" s="291"/>
      <c r="AN79" s="291"/>
      <c r="AO79" s="291"/>
      <c r="AP79" s="291"/>
      <c r="AQ79" s="291"/>
      <c r="AR79" s="291"/>
      <c r="AS79" s="291"/>
      <c r="AT79" s="291"/>
      <c r="AU79" s="291"/>
      <c r="AV79" s="291"/>
      <c r="BK79" s="434"/>
    </row>
    <row r="80" spans="2:63" s="246" customFormat="1" hidden="1" x14ac:dyDescent="0.3">
      <c r="P80" s="291"/>
      <c r="Q80" s="291"/>
      <c r="R80" s="291"/>
      <c r="S80" s="291"/>
      <c r="T80" s="291"/>
      <c r="U80" s="291"/>
      <c r="V80" s="291"/>
      <c r="W80" s="291"/>
      <c r="X80" s="291"/>
      <c r="AE80" s="251"/>
      <c r="AF80" s="251"/>
      <c r="AG80" s="251"/>
      <c r="AH80" s="251"/>
      <c r="AI80" s="251"/>
      <c r="AJ80" s="251"/>
      <c r="AK80" s="291"/>
      <c r="AL80" s="291"/>
      <c r="AM80" s="291"/>
      <c r="AN80" s="291"/>
      <c r="AO80" s="291"/>
      <c r="AP80" s="291"/>
      <c r="AQ80" s="291"/>
      <c r="AR80" s="291"/>
      <c r="AS80" s="291"/>
      <c r="AT80" s="291"/>
      <c r="AU80" s="291"/>
      <c r="AV80" s="291"/>
      <c r="BK80" s="434"/>
    </row>
    <row r="81" spans="2:63" hidden="1" x14ac:dyDescent="0.3">
      <c r="B81" s="291"/>
      <c r="C81" s="291"/>
      <c r="Q81" s="88"/>
      <c r="R81" s="88"/>
      <c r="S81" s="88"/>
      <c r="T81" s="88"/>
      <c r="U81" s="88"/>
      <c r="V81" s="77"/>
      <c r="W81" s="77"/>
    </row>
    <row r="82" spans="2:63" x14ac:dyDescent="0.3">
      <c r="B82" s="168"/>
      <c r="C82" s="189" t="str">
        <f>R28</f>
        <v/>
      </c>
      <c r="D82" s="189" t="str">
        <f>S28</f>
        <v>b</v>
      </c>
      <c r="E82" s="189"/>
      <c r="F82" s="189" t="str">
        <f>T28</f>
        <v/>
      </c>
      <c r="G82" s="167" t="s">
        <v>132</v>
      </c>
      <c r="H82" s="170" t="s">
        <v>241</v>
      </c>
      <c r="I82" s="170" t="s">
        <v>242</v>
      </c>
      <c r="Q82" s="62"/>
      <c r="R82" s="87"/>
      <c r="S82" s="87"/>
      <c r="T82" s="323">
        <f>IF($C$25=0,"CHECK INPUT DATA",ROUND(O17/(1700*O4*'Input sheet'!W7*(1-C23/C25)),2))</f>
        <v>0.47</v>
      </c>
      <c r="U82" s="87"/>
      <c r="V82" s="77"/>
      <c r="W82" s="77"/>
    </row>
    <row r="83" spans="2:63" x14ac:dyDescent="0.3">
      <c r="B83" s="188" t="s">
        <v>105</v>
      </c>
      <c r="C83" s="188">
        <f t="shared" ref="C83:F84" si="22">IF($C$25=0,0,IF($AE$61=0,R60,AI44))</f>
        <v>0</v>
      </c>
      <c r="D83" s="188">
        <f t="shared" si="22"/>
        <v>59</v>
      </c>
      <c r="E83" s="188">
        <f t="shared" si="22"/>
        <v>15</v>
      </c>
      <c r="F83" s="188">
        <f t="shared" si="22"/>
        <v>46</v>
      </c>
      <c r="G83" s="190">
        <f>SUM(C83:F83)</f>
        <v>120</v>
      </c>
      <c r="H83" s="191">
        <f>C83+D83</f>
        <v>59</v>
      </c>
      <c r="I83" s="191">
        <f>E83+F83</f>
        <v>61</v>
      </c>
      <c r="Q83" s="47"/>
      <c r="R83" s="87"/>
      <c r="S83" s="87"/>
      <c r="T83" s="87"/>
      <c r="U83" s="87"/>
      <c r="V83" s="77"/>
      <c r="W83" s="77"/>
    </row>
    <row r="84" spans="2:63" x14ac:dyDescent="0.3">
      <c r="B84" s="188" t="s">
        <v>106</v>
      </c>
      <c r="C84" s="188">
        <f t="shared" si="22"/>
        <v>0</v>
      </c>
      <c r="D84" s="188">
        <f t="shared" si="22"/>
        <v>59</v>
      </c>
      <c r="E84" s="188">
        <f t="shared" si="22"/>
        <v>12</v>
      </c>
      <c r="F84" s="188">
        <f t="shared" si="22"/>
        <v>49</v>
      </c>
      <c r="G84" s="190">
        <f>SUM(C84:F84)</f>
        <v>120</v>
      </c>
      <c r="H84" s="191">
        <f>C84+D84</f>
        <v>59</v>
      </c>
      <c r="I84" s="191">
        <f>E84+F84</f>
        <v>61</v>
      </c>
      <c r="T84" s="252">
        <f>IF($C$25=0,"CHECK INPUT DATA",IF(OR(SUM(C9:H9)=0,SUM(I9:N9)=0),0,ROUND(SUMPRODUCT(C9:N9,C44:N44)/O9,2)))</f>
        <v>69.78</v>
      </c>
      <c r="U84" s="158" t="str">
        <f>IF($C$25=0,"CHECK INPUT DATA",IF(T84=0,"N/A",VLOOKUP(T84,'LOS table'!$B$3:$D$8,3)))</f>
        <v>E</v>
      </c>
    </row>
    <row r="85" spans="2:63" hidden="1" x14ac:dyDescent="0.3"/>
    <row r="86" spans="2:63" hidden="1" x14ac:dyDescent="0.3">
      <c r="C86" s="3">
        <f>IF(C83&lt;Y44,1,0)</f>
        <v>0</v>
      </c>
      <c r="D86" s="210">
        <f>IF(D83&lt;Z44,1,0)</f>
        <v>0</v>
      </c>
      <c r="F86" s="210">
        <f>IF(E83&lt;AA44,1,0)</f>
        <v>0</v>
      </c>
      <c r="G86" s="210">
        <f>IF(F83&lt;AB44,1,0)</f>
        <v>0</v>
      </c>
    </row>
    <row r="87" spans="2:63" hidden="1" x14ac:dyDescent="0.3">
      <c r="C87" s="210">
        <f>IF(C84&lt;Y45,1,0)</f>
        <v>0</v>
      </c>
      <c r="D87" s="210">
        <f>IF(D84&lt;Z45,1,0)</f>
        <v>0</v>
      </c>
      <c r="F87" s="210">
        <f>IF(E84&lt;AA45,1,0)</f>
        <v>0</v>
      </c>
      <c r="G87" s="210">
        <f>IF(F84&lt;AB45,1,0)</f>
        <v>0</v>
      </c>
    </row>
    <row r="88" spans="2:63" hidden="1" x14ac:dyDescent="0.3"/>
    <row r="89" spans="2:63" hidden="1" x14ac:dyDescent="0.3">
      <c r="B89" s="253" t="s">
        <v>73</v>
      </c>
      <c r="C89" s="257" t="s">
        <v>13</v>
      </c>
      <c r="D89" s="257" t="s">
        <v>14</v>
      </c>
      <c r="E89" s="257" t="s">
        <v>15</v>
      </c>
      <c r="F89" s="257" t="s">
        <v>18</v>
      </c>
      <c r="G89" s="257" t="s">
        <v>19</v>
      </c>
      <c r="H89" s="257" t="s">
        <v>20</v>
      </c>
      <c r="I89" s="257" t="s">
        <v>3</v>
      </c>
      <c r="J89" s="257" t="s">
        <v>4</v>
      </c>
      <c r="K89" s="257" t="s">
        <v>5</v>
      </c>
      <c r="L89" s="257" t="s">
        <v>8</v>
      </c>
      <c r="M89" s="257" t="s">
        <v>9</v>
      </c>
      <c r="N89" s="257" t="s">
        <v>10</v>
      </c>
    </row>
    <row r="90" spans="2:63" s="226" customFormat="1" hidden="1" x14ac:dyDescent="0.3">
      <c r="B90" s="299" t="s">
        <v>326</v>
      </c>
      <c r="C90" s="299">
        <f>C38</f>
        <v>55</v>
      </c>
      <c r="D90" s="299">
        <f t="shared" ref="D90:N90" si="23">D38</f>
        <v>55</v>
      </c>
      <c r="E90" s="299">
        <f t="shared" si="23"/>
        <v>55</v>
      </c>
      <c r="F90" s="299">
        <f t="shared" si="23"/>
        <v>55</v>
      </c>
      <c r="G90" s="299">
        <f t="shared" si="23"/>
        <v>55</v>
      </c>
      <c r="H90" s="299">
        <f t="shared" si="23"/>
        <v>55</v>
      </c>
      <c r="I90" s="299">
        <f t="shared" si="23"/>
        <v>11</v>
      </c>
      <c r="J90" s="299">
        <f t="shared" si="23"/>
        <v>45</v>
      </c>
      <c r="K90" s="299">
        <f t="shared" si="23"/>
        <v>45</v>
      </c>
      <c r="L90" s="299">
        <f t="shared" si="23"/>
        <v>8</v>
      </c>
      <c r="M90" s="299">
        <f t="shared" si="23"/>
        <v>42</v>
      </c>
      <c r="N90" s="299">
        <f t="shared" si="23"/>
        <v>42</v>
      </c>
      <c r="P90" s="300"/>
      <c r="AE90" s="301"/>
      <c r="AF90" s="301"/>
      <c r="AG90" s="301"/>
      <c r="AH90" s="301"/>
      <c r="AI90" s="301"/>
      <c r="AJ90" s="301"/>
      <c r="AK90" s="300"/>
      <c r="AL90" s="300"/>
      <c r="AM90" s="300"/>
      <c r="AN90" s="300"/>
      <c r="AO90" s="300"/>
      <c r="AP90" s="300"/>
      <c r="AQ90" s="300"/>
      <c r="AR90" s="300"/>
      <c r="AS90" s="300"/>
      <c r="AT90" s="300"/>
      <c r="AU90" s="300"/>
      <c r="AV90" s="300"/>
    </row>
    <row r="91" spans="2:63" hidden="1" x14ac:dyDescent="0.3">
      <c r="B91" s="246" t="s">
        <v>347</v>
      </c>
      <c r="C91" s="3">
        <f>C3*$C$25/3600</f>
        <v>2.7666666666666666</v>
      </c>
      <c r="E91" s="246"/>
      <c r="F91" s="246">
        <f>F3*$C$25/3600</f>
        <v>5.5333333333333332</v>
      </c>
      <c r="G91" s="246"/>
      <c r="I91" s="246">
        <f>I3*$C$25/3600</f>
        <v>9.6666666666666661</v>
      </c>
      <c r="L91" s="246">
        <f>L3*$C$25/3600</f>
        <v>3.5666666666666669</v>
      </c>
    </row>
    <row r="92" spans="2:63" hidden="1" x14ac:dyDescent="0.3">
      <c r="B92" s="246" t="s">
        <v>346</v>
      </c>
      <c r="C92" s="3">
        <f>MAX(C90*EXP(-0.86*(C91^0.629)-C73),0)</f>
        <v>1.4567391163045429</v>
      </c>
      <c r="F92" s="246">
        <f>MAX(F90*EXP(-0.86*(F91^0.629)-F73),0)</f>
        <v>0.59738013113631216</v>
      </c>
      <c r="I92" s="246">
        <f>MAX(I90*EXP(-0.86*(I91^0.629)-I73),0)</f>
        <v>4.1377082201272543E-2</v>
      </c>
      <c r="L92" s="246">
        <f>MAX(L90*EXP(-0.86*(L91^0.629)-L73),0)</f>
        <v>0.15973350958535515</v>
      </c>
    </row>
    <row r="93" spans="2:63" hidden="1" x14ac:dyDescent="0.3">
      <c r="B93" s="246" t="s">
        <v>348</v>
      </c>
      <c r="C93" s="246">
        <f>MAX(C90*EXP(-0.882*(C91^0.717)-C73),0)</f>
        <v>1.1945292816313093</v>
      </c>
      <c r="F93" s="246">
        <f>MAX(F90*EXP(-0.882*(F91^0.717)-F73),0)</f>
        <v>0.3678575388600227</v>
      </c>
      <c r="I93" s="246">
        <f>MAX(I90*EXP(-0.882*(I91^0.717)-I73),0)</f>
        <v>1.676185448888072E-2</v>
      </c>
      <c r="L93" s="246">
        <f>MAX(L90*EXP(-0.882*(L91^0.717)-L73),0)</f>
        <v>0.12056210713998738</v>
      </c>
    </row>
    <row r="94" spans="2:63" hidden="1" x14ac:dyDescent="0.3">
      <c r="B94" s="246" t="s">
        <v>345</v>
      </c>
      <c r="C94" s="3">
        <f>IF(SUM(C6:E6)=1,C92,C93)</f>
        <v>1.1945292816313093</v>
      </c>
      <c r="F94" s="246">
        <f>IF(SUM(F6:H6)=1,F92,F93)</f>
        <v>0.3678575388600227</v>
      </c>
      <c r="I94" s="246">
        <f>IF(SUM(I6:K6)=1,I92,I93)</f>
        <v>1.676185448888072E-2</v>
      </c>
      <c r="L94" s="246">
        <f>IF(SUM(L6:N6)=1,L92,L93)</f>
        <v>0.12056210713998738</v>
      </c>
    </row>
    <row r="95" spans="2:63" hidden="1" x14ac:dyDescent="0.3"/>
    <row r="96" spans="2:63" s="246" customFormat="1" hidden="1" x14ac:dyDescent="0.3">
      <c r="B96" s="256" t="s">
        <v>354</v>
      </c>
      <c r="C96" s="256">
        <f>MAX(0,ROUND(C6*(C63+C35-1)*C11/$C$25,0))</f>
        <v>0</v>
      </c>
      <c r="D96" s="256"/>
      <c r="E96" s="256"/>
      <c r="F96" s="256">
        <f>MAX(0,ROUND(F6*(F63+F35-1)*F11/$C$25,0))</f>
        <v>0</v>
      </c>
      <c r="G96" s="256"/>
      <c r="H96" s="256"/>
      <c r="I96" s="256">
        <f>MAX(0,ROUND(I6*(I63+I35-1)*I11/$C$25,0))</f>
        <v>561</v>
      </c>
      <c r="J96" s="256"/>
      <c r="K96" s="256"/>
      <c r="L96" s="256">
        <f>MAX(0,ROUND(L6*(L63+L35-1)*L11/$C$25,0))</f>
        <v>434</v>
      </c>
      <c r="P96" s="291"/>
      <c r="AE96" s="251"/>
      <c r="AF96" s="251"/>
      <c r="AG96" s="251"/>
      <c r="AH96" s="251"/>
      <c r="AI96" s="251"/>
      <c r="AJ96" s="251"/>
      <c r="AK96" s="291"/>
      <c r="AL96" s="291"/>
      <c r="AM96" s="291"/>
      <c r="AN96" s="291"/>
      <c r="AO96" s="291"/>
      <c r="AP96" s="291"/>
      <c r="AQ96" s="291"/>
      <c r="AR96" s="291"/>
      <c r="AS96" s="291"/>
      <c r="AT96" s="291"/>
      <c r="AU96" s="291"/>
      <c r="AV96" s="291"/>
      <c r="BK96" s="434"/>
    </row>
    <row r="97" spans="1:13" hidden="1" x14ac:dyDescent="0.3">
      <c r="B97" s="256" t="s">
        <v>349</v>
      </c>
      <c r="C97" s="256">
        <f>ROUND(((MIN(C77-C94,C76)*C14+7200)/$C$25)*C6,0)</f>
        <v>70</v>
      </c>
      <c r="D97" s="256"/>
      <c r="E97" s="256"/>
      <c r="F97" s="256">
        <f>ROUND(((MIN(F77-F94,F76)*F14+7200)/$C$25)*F6,0)</f>
        <v>78</v>
      </c>
      <c r="G97" s="256"/>
      <c r="H97" s="256"/>
      <c r="I97" s="256">
        <f>ROUND(((MIN(I77-I94,I76)*I14+7200)/$C$25)*I6,0)</f>
        <v>120</v>
      </c>
      <c r="J97" s="256"/>
      <c r="K97" s="256"/>
      <c r="L97" s="256">
        <f>ROUND(((MIN(L77-L94,L76)*L14+7200)/$C$25)*L6,0)</f>
        <v>120</v>
      </c>
    </row>
    <row r="98" spans="1:13" hidden="1" x14ac:dyDescent="0.3">
      <c r="B98" s="246" t="s">
        <v>350</v>
      </c>
      <c r="C98" s="3">
        <f>IF(C14=0,0,$S$2/C14)</f>
        <v>3.6750483558994196</v>
      </c>
      <c r="F98" s="246">
        <f>IF(F14=0,0,$S$2/F14)</f>
        <v>2.0674646354733408</v>
      </c>
      <c r="I98" s="246">
        <f>IF(I14=0,0,$S$2/I14)</f>
        <v>0</v>
      </c>
      <c r="L98" s="246">
        <f>IF(L14=0,0,$S$2/L14)</f>
        <v>0</v>
      </c>
    </row>
    <row r="99" spans="1:13" hidden="1" x14ac:dyDescent="0.3">
      <c r="B99" s="246" t="s">
        <v>351</v>
      </c>
      <c r="C99" s="3">
        <f>MAX(0,0.5*(C77-C76-C94))</f>
        <v>24.852735359184344</v>
      </c>
      <c r="F99" s="246">
        <f>MAX(0,0.5*(F77-F76-F94))</f>
        <v>25.266071230569988</v>
      </c>
      <c r="I99" s="246">
        <f>MAX(0,0.5*(I77-I76-I94))</f>
        <v>18.941619072755557</v>
      </c>
      <c r="L99" s="246">
        <f>MAX(0,0.5*(L77-L76-L94))</f>
        <v>18.889718946430005</v>
      </c>
    </row>
    <row r="100" spans="1:13" hidden="1" x14ac:dyDescent="0.3">
      <c r="B100" s="246" t="s">
        <v>353</v>
      </c>
      <c r="C100" s="3">
        <f>IF(SUM(F3:H3)=0,0,F3/SUM(F3:H3))</f>
        <v>0.13926174496644295</v>
      </c>
      <c r="F100" s="246">
        <f>IF(SUM(C3:E3)=0,0,C3/SUM(C3:E3))</f>
        <v>0.16869918699186992</v>
      </c>
      <c r="I100" s="246">
        <f>IF(SUM(L3:N3)=0,0,L3/SUM(L3:N3))</f>
        <v>0.11370882040382571</v>
      </c>
      <c r="L100" s="246">
        <f>IF(SUM(I3:K3)=0,0,I3/SUM(I3:K3))</f>
        <v>1</v>
      </c>
    </row>
    <row r="101" spans="1:13" hidden="1" x14ac:dyDescent="0.3">
      <c r="B101" s="246" t="s">
        <v>352</v>
      </c>
      <c r="C101" s="3">
        <f>IF(C100=0,0,MAX(1,(1-(1-C100)^C99)/C100))</f>
        <v>7.0079255785598482</v>
      </c>
      <c r="F101" s="246">
        <f>IF(F100=0,0,MAX(1,(1-(1-F100)^F99)/F100))</f>
        <v>5.8720573912509959</v>
      </c>
      <c r="I101" s="246">
        <f>IF(I100=0,0,MAX(1,(1-(1-I100)^I99)/I100))</f>
        <v>7.9006374922724056</v>
      </c>
      <c r="L101" s="246">
        <f>IF(L100=0,0,MAX(1,(1-(1-L100)^L99)/L100))</f>
        <v>1</v>
      </c>
    </row>
    <row r="102" spans="1:13" hidden="1" x14ac:dyDescent="0.3">
      <c r="B102" s="246" t="s">
        <v>356</v>
      </c>
      <c r="C102" s="3">
        <f>IF(SUM(C3:E3)=0,0,C3/SUM(C3:E3))</f>
        <v>0.16869918699186992</v>
      </c>
      <c r="F102" s="246">
        <f>IF(SUM(F3:H3)=0,0,F3/SUM(F3:H3))</f>
        <v>0.13926174496644295</v>
      </c>
      <c r="I102" s="246">
        <f>IF(SUM(I3:K3)=0,0,I3/SUM(I3:K3))</f>
        <v>1</v>
      </c>
      <c r="L102" s="246">
        <f>IF(SUM(L3:N3)=0,0,L3/SUM(L3:N3))</f>
        <v>0.11370882040382571</v>
      </c>
    </row>
    <row r="103" spans="1:13" hidden="1" x14ac:dyDescent="0.3">
      <c r="B103" s="256" t="s">
        <v>355</v>
      </c>
      <c r="C103" s="256">
        <f>ROUND((C77*C14+3600*(1+C102))/$C$25,0)</f>
        <v>264</v>
      </c>
      <c r="D103" s="256"/>
      <c r="E103" s="256"/>
      <c r="F103" s="256">
        <f>ROUND((F77*F14+3600*(1+F102))/$C$25,0)</f>
        <v>442</v>
      </c>
      <c r="G103" s="256"/>
      <c r="H103" s="256"/>
      <c r="I103" s="256">
        <f>ROUND((I77*I14+3600*(1+I102))/$C$25,0)</f>
        <v>60</v>
      </c>
      <c r="J103" s="256"/>
      <c r="K103" s="256"/>
      <c r="L103" s="256">
        <f>ROUND((L77*L14+3600*(1+L102))/$C$25,0)</f>
        <v>33</v>
      </c>
    </row>
    <row r="104" spans="1:13" hidden="1" x14ac:dyDescent="0.3">
      <c r="B104" s="256" t="s">
        <v>357</v>
      </c>
      <c r="C104" s="256">
        <f>MAX(0,ROUND(((C63+C35-1)*C11/$C$25+(MIN(C77-C94,C76)*C14+7200)/$C$25)*C6,0))</f>
        <v>70</v>
      </c>
      <c r="D104" s="256"/>
      <c r="E104" s="256"/>
      <c r="F104" s="256">
        <f>MAX(0,ROUND(((F63+F35-1)*F11/$C$25+(MIN(F77-F94,F76)*F14+7200)/$C$25)*F6,0))</f>
        <v>78</v>
      </c>
      <c r="G104" s="256"/>
      <c r="H104" s="256"/>
      <c r="I104" s="256">
        <f>MAX(0,ROUND(((I63+I35-1)*I11/$C$25+(MIN(I77-I94,I76)*I14+7200)/$C$25)*I6,0))</f>
        <v>681</v>
      </c>
      <c r="J104" s="256"/>
      <c r="K104" s="256"/>
      <c r="L104" s="256">
        <f>MAX(0,ROUND(((L63+L35-1)*L11/$C$25+(MIN(L77-L94,L76)*L14+7200)/$C$25)*L6,0))</f>
        <v>554</v>
      </c>
    </row>
    <row r="105" spans="1:13" hidden="1" x14ac:dyDescent="0.3"/>
    <row r="106" spans="1:13" hidden="1" x14ac:dyDescent="0.3">
      <c r="A106" s="551" t="s">
        <v>484</v>
      </c>
      <c r="B106" s="334" t="s">
        <v>73</v>
      </c>
      <c r="C106" s="334"/>
      <c r="D106" s="334" t="s">
        <v>14</v>
      </c>
      <c r="E106" s="334"/>
      <c r="F106" s="334"/>
      <c r="G106" s="334" t="s">
        <v>19</v>
      </c>
      <c r="H106" s="334"/>
      <c r="I106" s="334"/>
      <c r="J106" s="334" t="s">
        <v>4</v>
      </c>
      <c r="K106" s="334"/>
      <c r="L106" s="334"/>
      <c r="M106" s="442" t="s">
        <v>9</v>
      </c>
    </row>
    <row r="107" spans="1:13" hidden="1" x14ac:dyDescent="0.3">
      <c r="A107" s="552"/>
      <c r="B107" s="168" t="s">
        <v>475</v>
      </c>
      <c r="C107" s="168"/>
      <c r="D107" s="168">
        <f>D37-Phasing!P19</f>
        <v>28.9</v>
      </c>
      <c r="E107" s="168"/>
      <c r="F107" s="168"/>
      <c r="G107" s="168">
        <f>G37-Phasing!R19</f>
        <v>11.899999999999999</v>
      </c>
      <c r="H107" s="168"/>
      <c r="I107" s="168"/>
      <c r="J107" s="168">
        <f>J37-Phasing!T19</f>
        <v>5</v>
      </c>
      <c r="K107" s="168"/>
      <c r="L107" s="168"/>
      <c r="M107" s="443">
        <f>M37-Phasing!V19</f>
        <v>5.8999999999999986</v>
      </c>
    </row>
    <row r="108" spans="1:13" hidden="1" x14ac:dyDescent="0.3">
      <c r="A108" s="552"/>
      <c r="B108" s="168" t="s">
        <v>476</v>
      </c>
      <c r="C108" s="168"/>
      <c r="D108" s="168">
        <f>D107+4</f>
        <v>32.9</v>
      </c>
      <c r="E108" s="168"/>
      <c r="F108" s="168"/>
      <c r="G108" s="168">
        <f>G107+4</f>
        <v>15.899999999999999</v>
      </c>
      <c r="H108" s="168"/>
      <c r="I108" s="168"/>
      <c r="J108" s="168">
        <f>J107+4</f>
        <v>9</v>
      </c>
      <c r="K108" s="168"/>
      <c r="L108" s="168"/>
      <c r="M108" s="443">
        <f>M107+4</f>
        <v>9.8999999999999986</v>
      </c>
    </row>
    <row r="109" spans="1:13" hidden="1" x14ac:dyDescent="0.3">
      <c r="A109" s="552"/>
      <c r="B109" s="168" t="s">
        <v>477</v>
      </c>
      <c r="C109" s="444"/>
      <c r="D109" s="444">
        <f>(($C$25-D108)^2)/(2*$C$25)</f>
        <v>31.610041666666664</v>
      </c>
      <c r="E109" s="444"/>
      <c r="F109" s="444"/>
      <c r="G109" s="444">
        <f>(($C$25-G108)^2)/(2*$C$25)</f>
        <v>45.153374999999997</v>
      </c>
      <c r="H109" s="444"/>
      <c r="I109" s="444"/>
      <c r="J109" s="444">
        <f>(($C$25-J108)^2)/(2*$C$25)</f>
        <v>51.337499999999999</v>
      </c>
      <c r="K109" s="444"/>
      <c r="L109" s="444"/>
      <c r="M109" s="445">
        <f>(($C$25-M108)^2)/(2*$C$25)</f>
        <v>50.508374999999994</v>
      </c>
    </row>
    <row r="110" spans="1:13" hidden="1" x14ac:dyDescent="0.3">
      <c r="A110" s="552"/>
      <c r="B110" s="168" t="s">
        <v>481</v>
      </c>
      <c r="C110" s="168"/>
      <c r="D110" s="168">
        <f>'Input sheet'!E17</f>
        <v>30</v>
      </c>
      <c r="E110" s="168"/>
      <c r="F110" s="168"/>
      <c r="G110" s="168">
        <f>'Input sheet'!Q17</f>
        <v>30</v>
      </c>
      <c r="H110" s="168"/>
      <c r="I110" s="168"/>
      <c r="J110" s="168">
        <f>'Input sheet'!O21</f>
        <v>59</v>
      </c>
      <c r="K110" s="168"/>
      <c r="L110" s="168"/>
      <c r="M110" s="443">
        <f>'Input sheet'!M6</f>
        <v>30</v>
      </c>
    </row>
    <row r="111" spans="1:13" hidden="1" x14ac:dyDescent="0.3">
      <c r="A111" s="552"/>
      <c r="B111" s="168" t="s">
        <v>483</v>
      </c>
      <c r="C111" s="168"/>
      <c r="D111" s="446">
        <f>D109*D110/3600</f>
        <v>0.26341701388888883</v>
      </c>
      <c r="E111" s="446"/>
      <c r="F111" s="446"/>
      <c r="G111" s="446">
        <f>G109*G110/3600</f>
        <v>0.37627812499999996</v>
      </c>
      <c r="H111" s="446"/>
      <c r="I111" s="446"/>
      <c r="J111" s="446">
        <f>J109*J110/3600</f>
        <v>0.8413645833333333</v>
      </c>
      <c r="K111" s="446"/>
      <c r="L111" s="446"/>
      <c r="M111" s="447">
        <f>M109*M110/3600</f>
        <v>0.42090312499999993</v>
      </c>
    </row>
    <row r="112" spans="1:13" hidden="1" x14ac:dyDescent="0.3">
      <c r="A112" s="552"/>
      <c r="B112" s="168" t="s">
        <v>482</v>
      </c>
      <c r="C112" s="168"/>
      <c r="D112" s="446">
        <f>D111+G111+J111+M111</f>
        <v>1.9019628472222221</v>
      </c>
      <c r="E112" s="446"/>
      <c r="F112" s="446"/>
      <c r="G112" s="446"/>
      <c r="H112" s="446"/>
      <c r="I112" s="446"/>
      <c r="J112" s="446"/>
      <c r="K112" s="446"/>
      <c r="L112" s="446"/>
      <c r="M112" s="447"/>
    </row>
    <row r="113" spans="1:58" s="436" customFormat="1" hidden="1" x14ac:dyDescent="0.3">
      <c r="A113" s="552"/>
      <c r="B113" s="168" t="s">
        <v>491</v>
      </c>
      <c r="C113" s="168"/>
      <c r="D113" s="449">
        <f>Phasing!P3</f>
        <v>120</v>
      </c>
      <c r="E113" s="449"/>
      <c r="F113" s="449"/>
      <c r="G113" s="449">
        <f>Phasing!R3</f>
        <v>132</v>
      </c>
      <c r="H113" s="449"/>
      <c r="I113" s="449"/>
      <c r="J113" s="449">
        <f>Phasing!T3</f>
        <v>84</v>
      </c>
      <c r="K113" s="449"/>
      <c r="L113" s="449"/>
      <c r="M113" s="450">
        <f>Phasing!V3</f>
        <v>144</v>
      </c>
      <c r="P113" s="437"/>
      <c r="AE113" s="438"/>
      <c r="AF113" s="438"/>
      <c r="AG113" s="438"/>
      <c r="AH113" s="438"/>
      <c r="AI113" s="438"/>
      <c r="AJ113" s="438"/>
      <c r="AK113" s="437"/>
      <c r="AL113" s="437"/>
      <c r="AM113" s="437"/>
      <c r="AN113" s="437"/>
      <c r="AO113" s="437"/>
      <c r="AP113" s="437"/>
      <c r="AQ113" s="437"/>
      <c r="AR113" s="437"/>
      <c r="AS113" s="437"/>
      <c r="AT113" s="437"/>
      <c r="AU113" s="437"/>
      <c r="AV113" s="437"/>
    </row>
    <row r="114" spans="1:58" s="436" customFormat="1" hidden="1" x14ac:dyDescent="0.3">
      <c r="A114" s="553"/>
      <c r="B114" s="337" t="s">
        <v>492</v>
      </c>
      <c r="C114" s="337"/>
      <c r="D114" s="452">
        <f>MAX(D113:M113)</f>
        <v>144</v>
      </c>
      <c r="E114" s="452"/>
      <c r="F114" s="452"/>
      <c r="G114" s="452"/>
      <c r="H114" s="452"/>
      <c r="I114" s="452"/>
      <c r="J114" s="452"/>
      <c r="K114" s="452"/>
      <c r="L114" s="452"/>
      <c r="M114" s="453"/>
      <c r="P114" s="437"/>
      <c r="AE114" s="438"/>
      <c r="AF114" s="438"/>
      <c r="AG114" s="438"/>
      <c r="AH114" s="438"/>
      <c r="AI114" s="438"/>
      <c r="AJ114" s="438"/>
      <c r="AK114" s="437"/>
      <c r="AL114" s="437"/>
      <c r="AM114" s="437"/>
      <c r="AN114" s="437"/>
      <c r="AO114" s="437"/>
      <c r="AP114" s="437"/>
      <c r="AQ114" s="437"/>
      <c r="AR114" s="437"/>
      <c r="AS114" s="437"/>
      <c r="AT114" s="437"/>
      <c r="AU114" s="437"/>
      <c r="AV114" s="437"/>
    </row>
    <row r="115" spans="1:58" hidden="1" x14ac:dyDescent="0.3"/>
    <row r="116" spans="1:58" hidden="1" x14ac:dyDescent="0.3">
      <c r="A116" s="551" t="s">
        <v>490</v>
      </c>
      <c r="B116" s="334" t="s">
        <v>73</v>
      </c>
      <c r="C116" s="334"/>
      <c r="D116" s="334" t="s">
        <v>14</v>
      </c>
      <c r="E116" s="334"/>
      <c r="F116" s="334"/>
      <c r="G116" s="334" t="s">
        <v>19</v>
      </c>
      <c r="H116" s="334"/>
      <c r="I116" s="334"/>
      <c r="J116" s="334" t="s">
        <v>4</v>
      </c>
      <c r="K116" s="334"/>
      <c r="L116" s="334"/>
      <c r="M116" s="442" t="s">
        <v>9</v>
      </c>
    </row>
    <row r="117" spans="1:58" hidden="1" x14ac:dyDescent="0.3">
      <c r="A117" s="552"/>
      <c r="B117" s="168" t="s">
        <v>485</v>
      </c>
      <c r="C117" s="168"/>
      <c r="D117" s="449">
        <f>2000*D38/$C$25</f>
        <v>916.66666666666663</v>
      </c>
      <c r="E117" s="449"/>
      <c r="F117" s="449"/>
      <c r="G117" s="449">
        <f>2000*G38/$C$25</f>
        <v>916.66666666666663</v>
      </c>
      <c r="H117" s="449"/>
      <c r="I117" s="449"/>
      <c r="J117" s="449">
        <f>2000*J38/$C$25</f>
        <v>750</v>
      </c>
      <c r="K117" s="449"/>
      <c r="L117" s="449"/>
      <c r="M117" s="450">
        <f>2000*M38/$C$25</f>
        <v>700</v>
      </c>
    </row>
    <row r="118" spans="1:58" s="436" customFormat="1" hidden="1" x14ac:dyDescent="0.3">
      <c r="A118" s="552"/>
      <c r="B118" s="168" t="s">
        <v>487</v>
      </c>
      <c r="C118" s="168"/>
      <c r="D118" s="449">
        <f>'Input sheet'!E18</f>
        <v>4</v>
      </c>
      <c r="E118" s="449"/>
      <c r="F118" s="449"/>
      <c r="G118" s="449">
        <f>'Input sheet'!Q18</f>
        <v>4</v>
      </c>
      <c r="H118" s="449"/>
      <c r="I118" s="449"/>
      <c r="J118" s="449">
        <f>'Input sheet'!P21</f>
        <v>1</v>
      </c>
      <c r="K118" s="449"/>
      <c r="L118" s="449"/>
      <c r="M118" s="450">
        <f>'Input sheet'!N6</f>
        <v>4</v>
      </c>
      <c r="P118" s="437"/>
      <c r="AE118" s="438"/>
      <c r="AF118" s="438"/>
      <c r="AG118" s="438"/>
      <c r="AH118" s="438"/>
      <c r="AI118" s="438"/>
      <c r="AJ118" s="438"/>
      <c r="AK118" s="437"/>
      <c r="AL118" s="437"/>
      <c r="AM118" s="437"/>
      <c r="AN118" s="437"/>
      <c r="AO118" s="437"/>
      <c r="AP118" s="437"/>
      <c r="AQ118" s="437"/>
      <c r="AR118" s="437"/>
      <c r="AS118" s="437"/>
      <c r="AT118" s="437"/>
      <c r="AU118" s="437"/>
      <c r="AV118" s="437"/>
    </row>
    <row r="119" spans="1:58" s="436" customFormat="1" hidden="1" x14ac:dyDescent="0.3">
      <c r="A119" s="552"/>
      <c r="B119" s="168" t="s">
        <v>488</v>
      </c>
      <c r="C119" s="168"/>
      <c r="D119" s="449">
        <f>D38</f>
        <v>55</v>
      </c>
      <c r="E119" s="449"/>
      <c r="F119" s="449"/>
      <c r="G119" s="449">
        <f>G38</f>
        <v>55</v>
      </c>
      <c r="H119" s="449"/>
      <c r="I119" s="449"/>
      <c r="J119" s="449">
        <f>J38</f>
        <v>45</v>
      </c>
      <c r="K119" s="449"/>
      <c r="L119" s="449"/>
      <c r="M119" s="450">
        <f>M38</f>
        <v>42</v>
      </c>
      <c r="P119" s="437"/>
      <c r="AE119" s="438"/>
      <c r="AF119" s="438"/>
      <c r="AG119" s="438"/>
      <c r="AH119" s="438"/>
      <c r="AI119" s="438"/>
      <c r="AJ119" s="438"/>
      <c r="AK119" s="437"/>
      <c r="AL119" s="437"/>
      <c r="AM119" s="437"/>
      <c r="AN119" s="437"/>
      <c r="AO119" s="437"/>
      <c r="AP119" s="437"/>
      <c r="AQ119" s="437"/>
      <c r="AR119" s="437"/>
      <c r="AS119" s="437"/>
      <c r="AT119" s="437"/>
      <c r="AU119" s="437"/>
      <c r="AV119" s="437"/>
    </row>
    <row r="120" spans="1:58" hidden="1" x14ac:dyDescent="0.3">
      <c r="A120" s="552"/>
      <c r="B120" s="168" t="s">
        <v>486</v>
      </c>
      <c r="C120" s="168"/>
      <c r="D120" s="444">
        <f>(0.5*$C$25*(1-D119/$C$25)^2)/(1-(D118/D117)*(D119/$C$25))</f>
        <v>17.639445557782235</v>
      </c>
      <c r="E120" s="444"/>
      <c r="F120" s="444"/>
      <c r="G120" s="444">
        <f>(0.5*$C$25*(1-G119/$C$25)^2)/(1-(G118/G117)*(G119/$C$25))</f>
        <v>17.639445557782235</v>
      </c>
      <c r="H120" s="444"/>
      <c r="I120" s="444"/>
      <c r="J120" s="444">
        <f>(0.5*$C$25*(1-J119/$C$25)^2)/(1-(J118/J117)*(J119/$C$25))</f>
        <v>23.449224612306153</v>
      </c>
      <c r="K120" s="444"/>
      <c r="L120" s="444"/>
      <c r="M120" s="445">
        <f>(0.5*$C$25*(1-M119/$C$25)^2)/(1-(M118/M117)*(M119/$C$25))</f>
        <v>25.400801603206414</v>
      </c>
    </row>
    <row r="121" spans="1:58" hidden="1" x14ac:dyDescent="0.3">
      <c r="A121" s="553"/>
      <c r="B121" s="337" t="s">
        <v>489</v>
      </c>
      <c r="C121" s="337"/>
      <c r="D121" s="448">
        <f>(D118*D120+G118*G120+J118*J120+M118*M120)/3600</f>
        <v>7.3935554302052689E-2</v>
      </c>
      <c r="E121" s="337"/>
      <c r="F121" s="337"/>
      <c r="G121" s="337"/>
      <c r="H121" s="337"/>
      <c r="I121" s="337"/>
      <c r="J121" s="337"/>
      <c r="K121" s="337"/>
      <c r="L121" s="337"/>
      <c r="M121" s="451"/>
    </row>
    <row r="122" spans="1:58" hidden="1" x14ac:dyDescent="0.3"/>
    <row r="123" spans="1:58" hidden="1" x14ac:dyDescent="0.3">
      <c r="A123" s="551" t="s">
        <v>501</v>
      </c>
      <c r="B123" s="334" t="s">
        <v>497</v>
      </c>
      <c r="C123" s="280" t="s">
        <v>13</v>
      </c>
      <c r="D123" s="280" t="s">
        <v>14</v>
      </c>
      <c r="E123" s="394" t="s">
        <v>15</v>
      </c>
      <c r="F123" s="280" t="s">
        <v>18</v>
      </c>
      <c r="G123" s="280" t="s">
        <v>19</v>
      </c>
      <c r="H123" s="394" t="s">
        <v>20</v>
      </c>
      <c r="I123" s="280" t="s">
        <v>3</v>
      </c>
      <c r="J123" s="280" t="s">
        <v>4</v>
      </c>
      <c r="K123" s="394" t="s">
        <v>5</v>
      </c>
      <c r="L123" s="280" t="s">
        <v>8</v>
      </c>
      <c r="M123" s="280" t="s">
        <v>9</v>
      </c>
      <c r="N123" s="394" t="s">
        <v>10</v>
      </c>
      <c r="O123" s="334"/>
      <c r="P123" s="394"/>
      <c r="Q123" s="334"/>
      <c r="R123" s="334"/>
      <c r="S123" s="334"/>
      <c r="T123" s="334"/>
      <c r="U123" s="334"/>
      <c r="V123" s="334"/>
      <c r="W123" s="334"/>
      <c r="X123" s="334"/>
      <c r="Y123" s="334"/>
      <c r="Z123" s="334"/>
      <c r="AA123" s="334"/>
      <c r="AB123" s="334"/>
      <c r="AC123" s="334"/>
      <c r="AD123" s="334"/>
      <c r="AE123" s="394"/>
      <c r="AF123" s="394"/>
      <c r="AG123" s="394"/>
      <c r="AH123" s="394"/>
      <c r="AI123" s="394"/>
      <c r="AJ123" s="394"/>
      <c r="AK123" s="394"/>
      <c r="AL123" s="394"/>
      <c r="AM123" s="394"/>
      <c r="AN123" s="394"/>
      <c r="AO123" s="394"/>
      <c r="AP123" s="394"/>
      <c r="AQ123" s="394"/>
      <c r="AR123" s="394"/>
      <c r="AS123" s="394"/>
      <c r="AT123" s="394"/>
      <c r="AU123" s="394"/>
      <c r="AV123" s="394"/>
      <c r="AW123" s="334"/>
      <c r="AX123" s="334"/>
      <c r="AY123" s="334"/>
      <c r="AZ123" s="334"/>
      <c r="BA123" s="334"/>
      <c r="BB123" s="334"/>
      <c r="BC123" s="334"/>
      <c r="BD123" s="334"/>
      <c r="BE123" s="334"/>
      <c r="BF123" s="442" t="s">
        <v>499</v>
      </c>
    </row>
    <row r="124" spans="1:58" hidden="1" x14ac:dyDescent="0.3">
      <c r="A124" s="552"/>
      <c r="B124" s="168" t="s">
        <v>494</v>
      </c>
      <c r="C124" s="446">
        <f>(((100-'Input sheet'!$B$4)/100)*'Phase calculation'!C3*'Phase calculation'!C44*'Input sheet'!$B$2)/3600</f>
        <v>53.064897222222221</v>
      </c>
      <c r="D124" s="446">
        <f>(((100-'Input sheet'!$B$4)/100)*'Phase calculation'!D3*'Phase calculation'!D44*'Input sheet'!$B$2)/3600</f>
        <v>19.300258333333332</v>
      </c>
      <c r="E124" s="446">
        <f>(((100-'Input sheet'!$B$4)/100)*'Phase calculation'!E3*'Phase calculation'!E44*'Input sheet'!$B$2)/3600</f>
        <v>5.9731000000000014</v>
      </c>
      <c r="F124" s="446">
        <f>(((100-'Input sheet'!$B$4)/100)*'Phase calculation'!F3*'Phase calculation'!F44*'Input sheet'!$B$2)/3600</f>
        <v>308.25047222222219</v>
      </c>
      <c r="G124" s="446">
        <f>(((100-'Input sheet'!$B$4)/100)*'Phase calculation'!G3*'Phase calculation'!G44*'Input sheet'!$B$2)/3600</f>
        <v>63.766541666666662</v>
      </c>
      <c r="H124" s="446">
        <f>(((100-'Input sheet'!$B$4)/100)*'Phase calculation'!H3*'Phase calculation'!H44*'Input sheet'!$B$2)/3600</f>
        <v>13.370091666666669</v>
      </c>
      <c r="I124" s="446">
        <f>(((100-'Input sheet'!$B$4)/100)*'Phase calculation'!I3*'Phase calculation'!I44*'Input sheet'!$B$2)/3600</f>
        <v>51.321944444444448</v>
      </c>
      <c r="J124" s="446">
        <f>(((100-'Input sheet'!$B$4)/100)*'Phase calculation'!J3*'Phase calculation'!J44*'Input sheet'!$B$2)/3600</f>
        <v>0</v>
      </c>
      <c r="K124" s="446">
        <f>(((100-'Input sheet'!$B$4)/100)*'Phase calculation'!K3*'Phase calculation'!K44*'Input sheet'!$B$2)/3600</f>
        <v>0</v>
      </c>
      <c r="L124" s="446">
        <f>(((100-'Input sheet'!$B$4)/100)*'Phase calculation'!L3*'Phase calculation'!L44*'Input sheet'!$B$2)/3600</f>
        <v>18.638656944444445</v>
      </c>
      <c r="M124" s="446">
        <f>(((100-'Input sheet'!$B$4)/100)*'Phase calculation'!M3*'Phase calculation'!M44*'Input sheet'!$B$2)/3600</f>
        <v>60.393911111111116</v>
      </c>
      <c r="N124" s="446">
        <f>(((100-'Input sheet'!$B$4)/100)*'Phase calculation'!N3*'Phase calculation'!N44*'Input sheet'!$B$2)/3600</f>
        <v>14.448408333333337</v>
      </c>
      <c r="O124" s="168"/>
      <c r="P124" s="438"/>
      <c r="Q124" s="168"/>
      <c r="R124" s="168"/>
      <c r="S124" s="168"/>
      <c r="T124" s="168"/>
      <c r="U124" s="168"/>
      <c r="V124" s="168"/>
      <c r="W124" s="168"/>
      <c r="X124" s="168"/>
      <c r="Y124" s="168"/>
      <c r="Z124" s="168"/>
      <c r="AA124" s="168"/>
      <c r="AB124" s="168"/>
      <c r="AC124" s="168"/>
      <c r="AD124" s="168"/>
      <c r="AE124" s="438"/>
      <c r="AF124" s="438"/>
      <c r="AG124" s="438"/>
      <c r="AH124" s="438"/>
      <c r="AI124" s="438"/>
      <c r="AJ124" s="438"/>
      <c r="AK124" s="438"/>
      <c r="AL124" s="438"/>
      <c r="AM124" s="438"/>
      <c r="AN124" s="438"/>
      <c r="AO124" s="438"/>
      <c r="AP124" s="438"/>
      <c r="AQ124" s="438"/>
      <c r="AR124" s="438"/>
      <c r="AS124" s="438"/>
      <c r="AT124" s="438"/>
      <c r="AU124" s="438"/>
      <c r="AV124" s="438"/>
      <c r="AW124" s="168"/>
      <c r="AX124" s="168"/>
      <c r="AY124" s="168"/>
      <c r="AZ124" s="168"/>
      <c r="BA124" s="168"/>
      <c r="BB124" s="168"/>
      <c r="BC124" s="168"/>
      <c r="BD124" s="168"/>
      <c r="BE124" s="168"/>
      <c r="BF124" s="447">
        <f>SUM(C124:N124)</f>
        <v>608.52828194444442</v>
      </c>
    </row>
    <row r="125" spans="1:58" hidden="1" x14ac:dyDescent="0.3">
      <c r="A125" s="552"/>
      <c r="B125" s="168" t="s">
        <v>495</v>
      </c>
      <c r="C125" s="446">
        <f>(('Input sheet'!$B$4/100)*'Phase calculation'!C3*'Phase calculation'!C44*'Input sheet'!$B$3)/3600</f>
        <v>11.628133999999999</v>
      </c>
      <c r="D125" s="446">
        <f>(('Input sheet'!$B$4/100)*'Phase calculation'!D3*'Phase calculation'!D44*'Input sheet'!$B$3)/3600</f>
        <v>4.2292740000000002</v>
      </c>
      <c r="E125" s="446">
        <f>(('Input sheet'!$B$4/100)*'Phase calculation'!E3*'Phase calculation'!E44*'Input sheet'!$B$3)/3600</f>
        <v>1.3088880000000003</v>
      </c>
      <c r="F125" s="446">
        <f>(('Input sheet'!$B$4/100)*'Phase calculation'!F3*'Phase calculation'!F44*'Input sheet'!$B$3)/3600</f>
        <v>67.547060000000002</v>
      </c>
      <c r="G125" s="446">
        <f>(('Input sheet'!$B$4/100)*'Phase calculation'!G3*'Phase calculation'!G44*'Input sheet'!$B$3)/3600</f>
        <v>13.973190000000001</v>
      </c>
      <c r="H125" s="446">
        <f>(('Input sheet'!$B$4/100)*'Phase calculation'!H3*'Phase calculation'!H44*'Input sheet'!$B$3)/3600</f>
        <v>2.9297939999999998</v>
      </c>
      <c r="I125" s="446">
        <f>(('Input sheet'!$B$4/100)*'Phase calculation'!I3*'Phase calculation'!I44*'Input sheet'!$B$3)/3600</f>
        <v>11.2462</v>
      </c>
      <c r="J125" s="446">
        <f>(('Input sheet'!$B$4/100)*'Phase calculation'!J3*'Phase calculation'!J44*'Input sheet'!$B$3)/3600</f>
        <v>0</v>
      </c>
      <c r="K125" s="446">
        <f>(('Input sheet'!$B$4/100)*'Phase calculation'!K3*'Phase calculation'!K44*'Input sheet'!$B$3)/3600</f>
        <v>0</v>
      </c>
      <c r="L125" s="446">
        <f>(('Input sheet'!$B$4/100)*'Phase calculation'!L3*'Phase calculation'!L44*'Input sheet'!$B$3)/3600</f>
        <v>4.0842970000000003</v>
      </c>
      <c r="M125" s="446">
        <f>(('Input sheet'!$B$4/100)*'Phase calculation'!M3*'Phase calculation'!M44*'Input sheet'!$B$3)/3600</f>
        <v>13.234144000000001</v>
      </c>
      <c r="N125" s="446">
        <f>(('Input sheet'!$B$4/100)*'Phase calculation'!N3*'Phase calculation'!N44*'Input sheet'!$B$3)/3600</f>
        <v>3.1660860000000004</v>
      </c>
      <c r="O125" s="446">
        <f>(('Input sheet'!$B$4/100)*'Phase calculation'!O3*'Phase calculation'!O44*'Input sheet'!$B$3)/3600</f>
        <v>0</v>
      </c>
      <c r="P125" s="446">
        <f>(('Input sheet'!$B$4/100)*'Phase calculation'!P3*'Phase calculation'!P44*'Input sheet'!$B$3)/3600</f>
        <v>0</v>
      </c>
      <c r="Q125" s="446" t="e">
        <f>(('Input sheet'!$B$4/100)*'Phase calculation'!Q3*'Phase calculation'!Q44*'Input sheet'!$B$3)/3600</f>
        <v>#VALUE!</v>
      </c>
      <c r="R125" s="446" t="e">
        <f>(('Input sheet'!$B$4/100)*'Phase calculation'!R3*'Phase calculation'!R44*'Input sheet'!$B$3)/3600</f>
        <v>#VALUE!</v>
      </c>
      <c r="S125" s="446">
        <f>(('Input sheet'!$B$4/100)*'Phase calculation'!S3*'Phase calculation'!S44*'Input sheet'!$B$3)/3600</f>
        <v>0.35560000000000003</v>
      </c>
      <c r="T125" s="446">
        <f>(('Input sheet'!$B$4/100)*'Phase calculation'!T3*'Phase calculation'!T44*'Input sheet'!$B$3)/3600</f>
        <v>0</v>
      </c>
      <c r="U125" s="446">
        <f>(('Input sheet'!$B$4/100)*'Phase calculation'!U3*'Phase calculation'!U44*'Input sheet'!$B$3)/3600</f>
        <v>0</v>
      </c>
      <c r="V125" s="446">
        <f>(('Input sheet'!$B$4/100)*'Phase calculation'!V3*'Phase calculation'!V44*'Input sheet'!$B$3)/3600</f>
        <v>0</v>
      </c>
      <c r="W125" s="446">
        <f>(('Input sheet'!$B$4/100)*'Phase calculation'!W3*'Phase calculation'!W44*'Input sheet'!$B$3)/3600</f>
        <v>0</v>
      </c>
      <c r="X125" s="446" t="e">
        <f>(('Input sheet'!$B$4/100)*'Phase calculation'!X3*'Phase calculation'!X44*'Input sheet'!$B$3)/3600</f>
        <v>#VALUE!</v>
      </c>
      <c r="Y125" s="446" t="e">
        <f>(('Input sheet'!$B$4/100)*'Phase calculation'!Y3*'Phase calculation'!Y44*'Input sheet'!$B$3)/3600</f>
        <v>#VALUE!</v>
      </c>
      <c r="Z125" s="446" t="e">
        <f>(('Input sheet'!$B$4/100)*'Phase calculation'!Z3*'Phase calculation'!Z44*'Input sheet'!$B$3)/3600</f>
        <v>#VALUE!</v>
      </c>
      <c r="AA125" s="446" t="e">
        <f>(('Input sheet'!$B$4/100)*'Phase calculation'!AA3*'Phase calculation'!AA44*'Input sheet'!$B$3)/3600</f>
        <v>#VALUE!</v>
      </c>
      <c r="AB125" s="446" t="e">
        <f>(('Input sheet'!$B$4/100)*'Phase calculation'!AB3*'Phase calculation'!AB44*'Input sheet'!$B$3)/3600</f>
        <v>#VALUE!</v>
      </c>
      <c r="AC125" s="446" t="e">
        <f>(('Input sheet'!$B$4/100)*'Phase calculation'!AC3*'Phase calculation'!AC44*'Input sheet'!$B$3)/3600</f>
        <v>#VALUE!</v>
      </c>
      <c r="AD125" s="446" t="e">
        <f>(('Input sheet'!$B$4/100)*'Phase calculation'!AD3*'Phase calculation'!AD44*'Input sheet'!$B$3)/3600</f>
        <v>#VALUE!</v>
      </c>
      <c r="AE125" s="446" t="e">
        <f>(('Input sheet'!$B$4/100)*'Phase calculation'!AE3*'Phase calculation'!AE44*'Input sheet'!$B$3)/3600</f>
        <v>#VALUE!</v>
      </c>
      <c r="AF125" s="446" t="e">
        <f>(('Input sheet'!$B$4/100)*'Phase calculation'!AF3*'Phase calculation'!AF44*'Input sheet'!$B$3)/3600</f>
        <v>#VALUE!</v>
      </c>
      <c r="AG125" s="446">
        <f>(('Input sheet'!$B$4/100)*'Phase calculation'!AG3*'Phase calculation'!AG44*'Input sheet'!$B$3)/3600</f>
        <v>0</v>
      </c>
      <c r="AH125" s="446" t="e">
        <f>(('Input sheet'!$B$4/100)*'Phase calculation'!AH3*'Phase calculation'!AH44*'Input sheet'!$B$3)/3600</f>
        <v>#VALUE!</v>
      </c>
      <c r="AI125" s="446" t="e">
        <f>(('Input sheet'!$B$4/100)*'Phase calculation'!AI3*'Phase calculation'!AI44*'Input sheet'!$B$3)/3600</f>
        <v>#VALUE!</v>
      </c>
      <c r="AJ125" s="446">
        <f>(('Input sheet'!$B$4/100)*'Phase calculation'!AJ3*'Phase calculation'!AJ44*'Input sheet'!$B$3)/3600</f>
        <v>3.9900000000000005E-2</v>
      </c>
      <c r="AK125" s="446">
        <f>(('Input sheet'!$B$4/100)*'Phase calculation'!AK3*'Phase calculation'!AK44*'Input sheet'!$B$3)/3600</f>
        <v>1.4000000000000002E-2</v>
      </c>
      <c r="AL125" s="446">
        <f>(('Input sheet'!$B$4/100)*'Phase calculation'!AL3*'Phase calculation'!AL44*'Input sheet'!$B$3)/3600</f>
        <v>0.11129999999999998</v>
      </c>
      <c r="AM125" s="446">
        <f>(('Input sheet'!$B$4/100)*'Phase calculation'!AM3*'Phase calculation'!AM44*'Input sheet'!$B$3)/3600</f>
        <v>0</v>
      </c>
      <c r="AN125" s="446" t="e">
        <f>(('Input sheet'!$B$4/100)*'Phase calculation'!AN3*'Phase calculation'!AN44*'Input sheet'!$B$3)/3600</f>
        <v>#VALUE!</v>
      </c>
      <c r="AO125" s="446">
        <f>(('Input sheet'!$B$4/100)*'Phase calculation'!AO3*'Phase calculation'!AO44*'Input sheet'!$B$3)/3600</f>
        <v>0</v>
      </c>
      <c r="AP125" s="446" t="e">
        <f>(('Input sheet'!$B$4/100)*'Phase calculation'!AP3*'Phase calculation'!AP44*'Input sheet'!$B$3)/3600</f>
        <v>#VALUE!</v>
      </c>
      <c r="AQ125" s="446">
        <f>(('Input sheet'!$B$4/100)*'Phase calculation'!AQ3*'Phase calculation'!AQ44*'Input sheet'!$B$3)/3600</f>
        <v>0</v>
      </c>
      <c r="AR125" s="446">
        <f>(('Input sheet'!$B$4/100)*'Phase calculation'!AR3*'Phase calculation'!AR44*'Input sheet'!$B$3)/3600</f>
        <v>0</v>
      </c>
      <c r="AS125" s="446" t="e">
        <f>(('Input sheet'!$B$4/100)*'Phase calculation'!AS3*'Phase calculation'!AS44*'Input sheet'!$B$3)/3600</f>
        <v>#VALUE!</v>
      </c>
      <c r="AT125" s="446">
        <f>(('Input sheet'!$B$4/100)*'Phase calculation'!AT3*'Phase calculation'!AT44*'Input sheet'!$B$3)/3600</f>
        <v>0</v>
      </c>
      <c r="AU125" s="446">
        <f>(('Input sheet'!$B$4/100)*'Phase calculation'!AU3*'Phase calculation'!AU44*'Input sheet'!$B$3)/3600</f>
        <v>0</v>
      </c>
      <c r="AV125" s="446">
        <f>(('Input sheet'!$B$4/100)*'Phase calculation'!AV3*'Phase calculation'!AV44*'Input sheet'!$B$3)/3600</f>
        <v>0</v>
      </c>
      <c r="AW125" s="446">
        <f>(('Input sheet'!$B$4/100)*'Phase calculation'!AW3*'Phase calculation'!AW44*'Input sheet'!$B$3)/3600</f>
        <v>0</v>
      </c>
      <c r="AX125" s="446">
        <f>(('Input sheet'!$B$4/100)*'Phase calculation'!AX3*'Phase calculation'!AX44*'Input sheet'!$B$3)/3600</f>
        <v>0</v>
      </c>
      <c r="AY125" s="446">
        <f>(('Input sheet'!$B$4/100)*'Phase calculation'!AY3*'Phase calculation'!AY44*'Input sheet'!$B$3)/3600</f>
        <v>0</v>
      </c>
      <c r="AZ125" s="446">
        <f>(('Input sheet'!$B$4/100)*'Phase calculation'!AZ3*'Phase calculation'!AZ44*'Input sheet'!$B$3)/3600</f>
        <v>0</v>
      </c>
      <c r="BA125" s="446">
        <f>(('Input sheet'!$B$4/100)*'Phase calculation'!BA3*'Phase calculation'!BA44*'Input sheet'!$B$3)/3600</f>
        <v>0</v>
      </c>
      <c r="BB125" s="446">
        <f>(('Input sheet'!$B$4/100)*'Phase calculation'!BB3*'Phase calculation'!BB44*'Input sheet'!$B$3)/3600</f>
        <v>0</v>
      </c>
      <c r="BC125" s="446">
        <f>(('Input sheet'!$B$4/100)*'Phase calculation'!BC3*'Phase calculation'!BC44*'Input sheet'!$B$3)/3600</f>
        <v>0</v>
      </c>
      <c r="BD125" s="446">
        <f>(('Input sheet'!$B$4/100)*'Phase calculation'!BD3*'Phase calculation'!BD44*'Input sheet'!$B$3)/3600</f>
        <v>0</v>
      </c>
      <c r="BE125" s="446">
        <f>(('Input sheet'!$B$4/100)*'Phase calculation'!BE3*'Phase calculation'!BE44*'Input sheet'!$B$3)/3600</f>
        <v>0</v>
      </c>
      <c r="BF125" s="447">
        <f>SUM(C125:N125)</f>
        <v>133.34706700000004</v>
      </c>
    </row>
    <row r="126" spans="1:58" hidden="1" x14ac:dyDescent="0.3">
      <c r="A126" s="552"/>
      <c r="B126" s="168" t="s">
        <v>54</v>
      </c>
      <c r="C126" s="168"/>
      <c r="D126" s="446">
        <f>D111*'Input sheet'!$B$2</f>
        <v>3.2927126736111103</v>
      </c>
      <c r="E126" s="168"/>
      <c r="F126" s="168"/>
      <c r="G126" s="446">
        <f>G111*'Input sheet'!$B$2</f>
        <v>4.7034765624999997</v>
      </c>
      <c r="H126" s="168"/>
      <c r="I126" s="168"/>
      <c r="J126" s="446">
        <f>J111*'Input sheet'!$B$2</f>
        <v>10.517057291666667</v>
      </c>
      <c r="K126" s="168"/>
      <c r="L126" s="168"/>
      <c r="M126" s="446">
        <f>M111*'Input sheet'!$B$2</f>
        <v>5.2612890624999995</v>
      </c>
      <c r="N126" s="168"/>
      <c r="O126" s="168"/>
      <c r="P126" s="438"/>
      <c r="Q126" s="168"/>
      <c r="R126" s="168"/>
      <c r="S126" s="168"/>
      <c r="T126" s="168"/>
      <c r="U126" s="168"/>
      <c r="V126" s="168"/>
      <c r="W126" s="168"/>
      <c r="X126" s="168"/>
      <c r="Y126" s="168"/>
      <c r="Z126" s="168"/>
      <c r="AA126" s="168"/>
      <c r="AB126" s="168"/>
      <c r="AC126" s="168"/>
      <c r="AD126" s="168"/>
      <c r="AE126" s="438"/>
      <c r="AF126" s="438"/>
      <c r="AG126" s="438"/>
      <c r="AH126" s="438"/>
      <c r="AI126" s="438"/>
      <c r="AJ126" s="438"/>
      <c r="AK126" s="438"/>
      <c r="AL126" s="438"/>
      <c r="AM126" s="438"/>
      <c r="AN126" s="438"/>
      <c r="AO126" s="438"/>
      <c r="AP126" s="438"/>
      <c r="AQ126" s="438"/>
      <c r="AR126" s="438"/>
      <c r="AS126" s="438"/>
      <c r="AT126" s="438"/>
      <c r="AU126" s="438"/>
      <c r="AV126" s="438"/>
      <c r="AW126" s="168"/>
      <c r="AX126" s="168"/>
      <c r="AY126" s="168"/>
      <c r="AZ126" s="168"/>
      <c r="BA126" s="168"/>
      <c r="BB126" s="168"/>
      <c r="BC126" s="168"/>
      <c r="BD126" s="168"/>
      <c r="BE126" s="168"/>
      <c r="BF126" s="447">
        <f>SUM(C126:N126)</f>
        <v>23.774535590277779</v>
      </c>
    </row>
    <row r="127" spans="1:58" hidden="1" x14ac:dyDescent="0.3">
      <c r="A127" s="552"/>
      <c r="B127" s="168" t="s">
        <v>498</v>
      </c>
      <c r="C127" s="168"/>
      <c r="D127" s="446">
        <f>(D118*D120/3600)*'Input sheet'!$B$2</f>
        <v>0.24499229941364215</v>
      </c>
      <c r="E127" s="168"/>
      <c r="F127" s="168"/>
      <c r="G127" s="446">
        <f>(G118*G120/3600)*'Input sheet'!$B$2</f>
        <v>0.24499229941364215</v>
      </c>
      <c r="H127" s="168"/>
      <c r="I127" s="168"/>
      <c r="J127" s="446">
        <f>(J118*J120/3600)*'Input sheet'!$B$2</f>
        <v>8.1420918792729696E-2</v>
      </c>
      <c r="K127" s="168"/>
      <c r="L127" s="168"/>
      <c r="M127" s="446">
        <f>(M118*M120/3600)*'Input sheet'!$B$2</f>
        <v>0.35278891115564465</v>
      </c>
      <c r="N127" s="168"/>
      <c r="O127" s="168"/>
      <c r="P127" s="438"/>
      <c r="Q127" s="168"/>
      <c r="R127" s="168"/>
      <c r="S127" s="168"/>
      <c r="T127" s="168"/>
      <c r="U127" s="168"/>
      <c r="V127" s="168"/>
      <c r="W127" s="168"/>
      <c r="X127" s="168"/>
      <c r="Y127" s="168"/>
      <c r="Z127" s="168"/>
      <c r="AA127" s="168"/>
      <c r="AB127" s="168"/>
      <c r="AC127" s="168"/>
      <c r="AD127" s="168"/>
      <c r="AE127" s="438"/>
      <c r="AF127" s="438"/>
      <c r="AG127" s="438"/>
      <c r="AH127" s="438"/>
      <c r="AI127" s="438"/>
      <c r="AJ127" s="438"/>
      <c r="AK127" s="438"/>
      <c r="AL127" s="438"/>
      <c r="AM127" s="438"/>
      <c r="AN127" s="438"/>
      <c r="AO127" s="438"/>
      <c r="AP127" s="438"/>
      <c r="AQ127" s="438"/>
      <c r="AR127" s="438"/>
      <c r="AS127" s="438"/>
      <c r="AT127" s="438"/>
      <c r="AU127" s="438"/>
      <c r="AV127" s="438"/>
      <c r="AW127" s="168"/>
      <c r="AX127" s="168"/>
      <c r="AY127" s="168"/>
      <c r="AZ127" s="168"/>
      <c r="BA127" s="168"/>
      <c r="BB127" s="168"/>
      <c r="BC127" s="168"/>
      <c r="BD127" s="168"/>
      <c r="BE127" s="168"/>
      <c r="BF127" s="447">
        <f>SUM(C127:N127)</f>
        <v>0.92419442877565872</v>
      </c>
    </row>
    <row r="128" spans="1:58" hidden="1" x14ac:dyDescent="0.3">
      <c r="A128" s="553"/>
      <c r="B128" s="464" t="s">
        <v>500</v>
      </c>
      <c r="C128" s="465">
        <f>SUM(BF124:BF127)</f>
        <v>766.57407896349787</v>
      </c>
      <c r="D128" s="337"/>
      <c r="E128" s="337"/>
      <c r="F128" s="337"/>
      <c r="G128" s="337"/>
      <c r="H128" s="337"/>
      <c r="I128" s="337"/>
      <c r="J128" s="337"/>
      <c r="K128" s="337"/>
      <c r="L128" s="337"/>
      <c r="M128" s="337"/>
      <c r="N128" s="337"/>
      <c r="O128" s="337"/>
      <c r="P128" s="395"/>
      <c r="Q128" s="337"/>
      <c r="R128" s="337"/>
      <c r="S128" s="337"/>
      <c r="T128" s="337"/>
      <c r="U128" s="337"/>
      <c r="V128" s="337"/>
      <c r="W128" s="337"/>
      <c r="X128" s="337"/>
      <c r="Y128" s="337"/>
      <c r="Z128" s="337"/>
      <c r="AA128" s="337"/>
      <c r="AB128" s="337"/>
      <c r="AC128" s="337"/>
      <c r="AD128" s="337"/>
      <c r="AE128" s="395"/>
      <c r="AF128" s="395"/>
      <c r="AG128" s="395"/>
      <c r="AH128" s="395"/>
      <c r="AI128" s="395"/>
      <c r="AJ128" s="395"/>
      <c r="AK128" s="395"/>
      <c r="AL128" s="395"/>
      <c r="AM128" s="395"/>
      <c r="AN128" s="395"/>
      <c r="AO128" s="395"/>
      <c r="AP128" s="395"/>
      <c r="AQ128" s="395"/>
      <c r="AR128" s="395"/>
      <c r="AS128" s="395"/>
      <c r="AT128" s="395"/>
      <c r="AU128" s="395"/>
      <c r="AV128" s="395"/>
      <c r="AW128" s="337"/>
      <c r="AX128" s="337"/>
      <c r="AY128" s="337"/>
      <c r="AZ128" s="337"/>
      <c r="BA128" s="337"/>
      <c r="BB128" s="337"/>
      <c r="BC128" s="337"/>
      <c r="BD128" s="337"/>
      <c r="BE128" s="337"/>
      <c r="BF128" s="451"/>
    </row>
    <row r="129" spans="1:63" hidden="1" x14ac:dyDescent="0.3"/>
    <row r="130" spans="1:63" hidden="1" x14ac:dyDescent="0.3"/>
    <row r="131" spans="1:63" hidden="1" x14ac:dyDescent="0.3">
      <c r="B131" s="466"/>
      <c r="C131" s="334" t="s">
        <v>503</v>
      </c>
      <c r="D131" s="334" t="s">
        <v>504</v>
      </c>
      <c r="E131" s="334" t="s">
        <v>505</v>
      </c>
      <c r="F131" s="334" t="s">
        <v>506</v>
      </c>
      <c r="G131" s="442"/>
      <c r="BI131" s="436" t="s">
        <v>507</v>
      </c>
      <c r="BJ131" s="436" t="s">
        <v>508</v>
      </c>
      <c r="BK131" s="436" t="s">
        <v>509</v>
      </c>
    </row>
    <row r="132" spans="1:63" hidden="1" x14ac:dyDescent="0.3">
      <c r="B132" s="335" t="s">
        <v>502</v>
      </c>
      <c r="C132" s="168">
        <f>Phasing!P3</f>
        <v>120</v>
      </c>
      <c r="D132" s="168">
        <f>Phasing!R3</f>
        <v>132</v>
      </c>
      <c r="E132" s="168">
        <f>Phasing!T3</f>
        <v>84</v>
      </c>
      <c r="F132" s="168">
        <f>Phasing!V3</f>
        <v>144</v>
      </c>
      <c r="G132" s="443"/>
      <c r="BI132" s="436">
        <v>8</v>
      </c>
      <c r="BJ132" s="436" t="s">
        <v>513</v>
      </c>
      <c r="BK132" s="436">
        <v>300</v>
      </c>
    </row>
    <row r="133" spans="1:63" hidden="1" x14ac:dyDescent="0.3">
      <c r="B133" s="335" t="s">
        <v>42</v>
      </c>
      <c r="C133" s="168">
        <f>'Input sheet'!D13</f>
        <v>35</v>
      </c>
      <c r="D133" s="168">
        <f>'Input sheet'!P13</f>
        <v>35</v>
      </c>
      <c r="E133" s="168">
        <f>'Input sheet'!J24</f>
        <v>20</v>
      </c>
      <c r="F133" s="168">
        <f>'Input sheet'!J4</f>
        <v>35</v>
      </c>
      <c r="G133" s="443"/>
      <c r="BI133" s="436">
        <v>6</v>
      </c>
      <c r="BJ133" s="436" t="s">
        <v>512</v>
      </c>
      <c r="BK133" s="436">
        <v>350</v>
      </c>
    </row>
    <row r="134" spans="1:63" hidden="1" x14ac:dyDescent="0.3">
      <c r="B134" s="335" t="s">
        <v>514</v>
      </c>
      <c r="C134" s="168" t="e">
        <f>VLOOKUP(C133,#REF!,3)</f>
        <v>#REF!</v>
      </c>
      <c r="D134" s="168" t="e">
        <f>VLOOKUP(D133,#REF!,3)</f>
        <v>#REF!</v>
      </c>
      <c r="E134" s="168" t="e">
        <f>VLOOKUP(E133,#REF!,3)</f>
        <v>#REF!</v>
      </c>
      <c r="F134" s="168" t="e">
        <f>VLOOKUP(F133,#REF!,3)</f>
        <v>#REF!</v>
      </c>
      <c r="G134" s="443"/>
      <c r="BI134" s="436">
        <v>5</v>
      </c>
      <c r="BJ134" s="436" t="s">
        <v>511</v>
      </c>
      <c r="BK134" s="436">
        <v>660</v>
      </c>
    </row>
    <row r="135" spans="1:63" hidden="1" x14ac:dyDescent="0.3">
      <c r="B135" s="335" t="s">
        <v>509</v>
      </c>
      <c r="C135" s="168" t="e">
        <f>INDEX($BK$132:$BK$134,MATCH(C134,$BJ$132:$BJ$134,0))</f>
        <v>#REF!</v>
      </c>
      <c r="D135" s="168" t="e">
        <f t="shared" ref="D135:F135" si="24">INDEX($BK$132:$BK$134,MATCH(D134,$BJ$132:$BJ$134,0))</f>
        <v>#REF!</v>
      </c>
      <c r="E135" s="168" t="e">
        <f t="shared" si="24"/>
        <v>#REF!</v>
      </c>
      <c r="F135" s="168" t="e">
        <f t="shared" si="24"/>
        <v>#REF!</v>
      </c>
      <c r="G135" s="443"/>
    </row>
    <row r="136" spans="1:63" hidden="1" x14ac:dyDescent="0.3">
      <c r="B136" s="335" t="s">
        <v>510</v>
      </c>
      <c r="C136" s="168" t="e">
        <f>INDEX(#REF!,MATCH(C134,$BJ$132:$BJ$134,0))</f>
        <v>#REF!</v>
      </c>
      <c r="D136" s="168" t="e">
        <f>INDEX(#REF!,MATCH(D134,$BJ$132:$BJ$134,0))</f>
        <v>#REF!</v>
      </c>
      <c r="E136" s="168" t="e">
        <f>INDEX(#REF!,MATCH(E134,$BJ$132:$BJ$134,0))</f>
        <v>#REF!</v>
      </c>
      <c r="F136" s="168" t="e">
        <f>INDEX(#REF!,MATCH(F134,$BJ$132:$BJ$134,0))</f>
        <v>#REF!</v>
      </c>
      <c r="G136" s="443"/>
    </row>
    <row r="137" spans="1:63" hidden="1" x14ac:dyDescent="0.3">
      <c r="B137" s="335" t="s">
        <v>517</v>
      </c>
      <c r="C137" s="168" t="e">
        <f>INDEX(#REF!,MATCH(C134,$BJ$132:$BJ$134,0))</f>
        <v>#REF!</v>
      </c>
      <c r="D137" s="168" t="e">
        <f>INDEX(#REF!,MATCH(D134,$BJ$132:$BJ$134,0))</f>
        <v>#REF!</v>
      </c>
      <c r="E137" s="168" t="e">
        <f>INDEX(#REF!,MATCH(E134,$BJ$132:$BJ$134,0))</f>
        <v>#REF!</v>
      </c>
      <c r="F137" s="168" t="e">
        <f>INDEX(#REF!,MATCH(F134,$BJ$132:$BJ$134,0))</f>
        <v>#REF!</v>
      </c>
      <c r="G137" s="468" t="s">
        <v>499</v>
      </c>
    </row>
    <row r="138" spans="1:63" hidden="1" x14ac:dyDescent="0.3">
      <c r="B138" s="335" t="s">
        <v>515</v>
      </c>
      <c r="C138" s="444" t="e">
        <f>(C137-C132)/C135</f>
        <v>#REF!</v>
      </c>
      <c r="D138" s="444" t="e">
        <f t="shared" ref="D138:F138" si="25">(D137-D132)/D135</f>
        <v>#REF!</v>
      </c>
      <c r="E138" s="444" t="e">
        <f t="shared" si="25"/>
        <v>#REF!</v>
      </c>
      <c r="F138" s="444" t="e">
        <f t="shared" si="25"/>
        <v>#REF!</v>
      </c>
      <c r="G138" s="469" t="e">
        <f>SUM(C138:F138)</f>
        <v>#REF!</v>
      </c>
    </row>
    <row r="139" spans="1:63" hidden="1" x14ac:dyDescent="0.3">
      <c r="B139" s="336" t="s">
        <v>516</v>
      </c>
      <c r="C139" s="467" t="e">
        <f>(C137-C132)/C136</f>
        <v>#REF!</v>
      </c>
      <c r="D139" s="467" t="e">
        <f t="shared" ref="D139:F139" si="26">(D137-D132)/D136</f>
        <v>#REF!</v>
      </c>
      <c r="E139" s="467" t="e">
        <f t="shared" si="26"/>
        <v>#REF!</v>
      </c>
      <c r="F139" s="467" t="e">
        <f t="shared" si="26"/>
        <v>#REF!</v>
      </c>
      <c r="G139" s="470" t="e">
        <f>SUM(C139:F139)</f>
        <v>#REF!</v>
      </c>
    </row>
    <row r="140" spans="1:63" hidden="1" x14ac:dyDescent="0.3"/>
    <row r="141" spans="1:63" hidden="1" x14ac:dyDescent="0.3"/>
    <row r="142" spans="1:63" hidden="1" x14ac:dyDescent="0.3">
      <c r="A142" s="541" t="s">
        <v>525</v>
      </c>
      <c r="B142" s="334" t="s">
        <v>73</v>
      </c>
      <c r="C142" s="334"/>
      <c r="D142" s="334" t="s">
        <v>14</v>
      </c>
      <c r="E142" s="334"/>
      <c r="F142" s="334"/>
      <c r="G142" s="334" t="s">
        <v>19</v>
      </c>
      <c r="H142" s="334"/>
      <c r="I142" s="334"/>
      <c r="J142" s="334" t="s">
        <v>4</v>
      </c>
      <c r="K142" s="334"/>
      <c r="L142" s="334"/>
      <c r="M142" s="442" t="s">
        <v>9</v>
      </c>
    </row>
    <row r="143" spans="1:63" hidden="1" x14ac:dyDescent="0.3">
      <c r="A143" s="542"/>
      <c r="B143" s="168" t="s">
        <v>526</v>
      </c>
      <c r="C143" s="168"/>
      <c r="D143" s="449">
        <f>'Input sheet'!A15</f>
        <v>2</v>
      </c>
      <c r="E143" s="449"/>
      <c r="F143" s="449"/>
      <c r="G143" s="449">
        <f>'Input sheet'!R15</f>
        <v>2</v>
      </c>
      <c r="H143" s="449"/>
      <c r="I143" s="449"/>
      <c r="J143" s="449">
        <f>'Input sheet'!M26</f>
        <v>2</v>
      </c>
      <c r="K143" s="449"/>
      <c r="L143" s="449"/>
      <c r="M143" s="450">
        <f>'Input sheet'!M2</f>
        <v>2</v>
      </c>
    </row>
    <row r="144" spans="1:63" hidden="1" x14ac:dyDescent="0.3">
      <c r="A144" s="542"/>
      <c r="B144" s="168" t="s">
        <v>527</v>
      </c>
      <c r="C144" s="168"/>
      <c r="D144" s="449">
        <f>D38</f>
        <v>55</v>
      </c>
      <c r="E144" s="449"/>
      <c r="F144" s="449"/>
      <c r="G144" s="449">
        <f>G38</f>
        <v>55</v>
      </c>
      <c r="H144" s="449"/>
      <c r="I144" s="449"/>
      <c r="J144" s="449">
        <f>J38</f>
        <v>45</v>
      </c>
      <c r="K144" s="449"/>
      <c r="L144" s="449"/>
      <c r="M144" s="450">
        <f>M38</f>
        <v>42</v>
      </c>
    </row>
    <row r="145" spans="1:65" hidden="1" x14ac:dyDescent="0.3">
      <c r="A145" s="542"/>
      <c r="B145" s="168" t="s">
        <v>528</v>
      </c>
      <c r="C145" s="168"/>
      <c r="D145" s="444">
        <f>D44</f>
        <v>19.939999999999998</v>
      </c>
      <c r="E145" s="444"/>
      <c r="F145" s="444"/>
      <c r="G145" s="444">
        <f>G44</f>
        <v>25.3</v>
      </c>
      <c r="H145" s="444"/>
      <c r="I145" s="444"/>
      <c r="J145" s="444">
        <f>J44</f>
        <v>0</v>
      </c>
      <c r="K145" s="444"/>
      <c r="L145" s="444"/>
      <c r="M145" s="445">
        <f>M44</f>
        <v>28.82</v>
      </c>
    </row>
    <row r="146" spans="1:65" hidden="1" x14ac:dyDescent="0.3">
      <c r="A146" s="543"/>
      <c r="B146" s="337" t="s">
        <v>529</v>
      </c>
      <c r="C146" s="337"/>
      <c r="D146" s="448">
        <f>(D143*D145+G143*G145+J143*J145+M143*M145)/3600</f>
        <v>4.1144444444444449E-2</v>
      </c>
      <c r="E146" s="337"/>
      <c r="F146" s="337"/>
      <c r="G146" s="337"/>
      <c r="H146" s="337"/>
      <c r="I146" s="337"/>
      <c r="J146" s="337"/>
      <c r="K146" s="337"/>
      <c r="L146" s="337"/>
      <c r="M146" s="451"/>
    </row>
    <row r="147" spans="1:65" hidden="1" x14ac:dyDescent="0.3"/>
    <row r="149" spans="1:65" x14ac:dyDescent="0.3">
      <c r="B149" s="504" t="s">
        <v>628</v>
      </c>
      <c r="C149" s="504" t="str">
        <f>IF(C33=0,D33&amp;"2",C33)</f>
        <v>22</v>
      </c>
      <c r="D149" s="504">
        <f>D33</f>
        <v>2</v>
      </c>
      <c r="E149" s="504" t="str">
        <f>E33&amp;"1"</f>
        <v>21</v>
      </c>
      <c r="F149" s="504" t="str">
        <f>IF(F33=0,G33&amp;"2",F33)</f>
        <v>62</v>
      </c>
      <c r="G149" s="504">
        <f>G33</f>
        <v>6</v>
      </c>
      <c r="H149" s="504" t="str">
        <f>H33&amp;"1"</f>
        <v>61</v>
      </c>
      <c r="I149" s="504">
        <f>IF(I33=0,J33&amp;"2",I33)</f>
        <v>3</v>
      </c>
      <c r="J149" s="504">
        <f>J33</f>
        <v>8</v>
      </c>
      <c r="K149" s="504" t="str">
        <f>K33&amp;"1"</f>
        <v>81</v>
      </c>
      <c r="L149" s="504">
        <f>IF(L33=0,M33&amp;"2",L33)</f>
        <v>7</v>
      </c>
      <c r="M149" s="504">
        <f>M33</f>
        <v>4</v>
      </c>
      <c r="N149" s="504" t="str">
        <f>N33&amp;"1"</f>
        <v>41</v>
      </c>
      <c r="O149" s="504"/>
      <c r="P149" s="505"/>
      <c r="Q149" s="504"/>
      <c r="R149" s="504"/>
      <c r="S149" s="504"/>
      <c r="T149" s="504"/>
      <c r="U149" s="504"/>
      <c r="V149" s="504"/>
      <c r="W149" s="504"/>
      <c r="X149" s="504"/>
      <c r="Y149" s="504"/>
      <c r="Z149" s="504"/>
      <c r="AA149" s="504"/>
      <c r="AB149" s="504"/>
      <c r="AC149" s="504"/>
      <c r="AD149" s="504"/>
      <c r="AE149" s="506"/>
      <c r="AF149" s="506"/>
      <c r="AG149" s="506"/>
      <c r="AH149" s="506"/>
      <c r="AI149" s="506"/>
      <c r="AJ149" s="506"/>
      <c r="AK149" s="505"/>
      <c r="AL149" s="505"/>
      <c r="AM149" s="505"/>
      <c r="AN149" s="505"/>
      <c r="AO149" s="505"/>
      <c r="AP149" s="505"/>
      <c r="AQ149" s="505"/>
      <c r="AR149" s="505"/>
      <c r="AS149" s="505"/>
      <c r="AT149" s="505"/>
      <c r="AU149" s="505"/>
      <c r="AV149" s="505"/>
      <c r="AW149" s="504"/>
      <c r="AX149" s="504"/>
      <c r="AY149" s="504"/>
      <c r="AZ149" s="504"/>
      <c r="BA149" s="504"/>
      <c r="BB149" s="504"/>
      <c r="BC149" s="504"/>
      <c r="BD149" s="504"/>
      <c r="BE149" s="504"/>
      <c r="BF149" s="504"/>
      <c r="BG149" s="504"/>
      <c r="BH149" s="504"/>
      <c r="BI149" s="504"/>
      <c r="BJ149" s="504"/>
      <c r="BK149" s="504" t="s">
        <v>82</v>
      </c>
      <c r="BL149" s="504" t="s">
        <v>82</v>
      </c>
      <c r="BM149" s="504"/>
    </row>
    <row r="150" spans="1:65" x14ac:dyDescent="0.3">
      <c r="B150" s="504" t="s">
        <v>658</v>
      </c>
      <c r="C150" s="504">
        <f>IF(C33=0,D33,C33)</f>
        <v>2</v>
      </c>
      <c r="D150" s="504">
        <f>D33</f>
        <v>2</v>
      </c>
      <c r="E150" s="504">
        <f>E33</f>
        <v>2</v>
      </c>
      <c r="F150" s="504">
        <f>IF(F33=0,G33,F33)</f>
        <v>6</v>
      </c>
      <c r="G150" s="504">
        <f>G33</f>
        <v>6</v>
      </c>
      <c r="H150" s="504">
        <f>H33</f>
        <v>6</v>
      </c>
      <c r="I150" s="504">
        <f>IF(I33=0,J33,I33)</f>
        <v>3</v>
      </c>
      <c r="J150" s="504">
        <f>J33</f>
        <v>8</v>
      </c>
      <c r="K150" s="504">
        <f>K33</f>
        <v>8</v>
      </c>
      <c r="L150" s="504">
        <f>IF(L33=0,M33,L33)</f>
        <v>7</v>
      </c>
      <c r="M150" s="504">
        <f>M33</f>
        <v>4</v>
      </c>
      <c r="N150" s="504">
        <f>N33</f>
        <v>4</v>
      </c>
      <c r="O150" s="504"/>
      <c r="P150" s="505"/>
      <c r="Q150" s="504"/>
      <c r="R150" s="504"/>
      <c r="S150" s="504"/>
      <c r="T150" s="504"/>
      <c r="U150" s="504"/>
      <c r="V150" s="504"/>
      <c r="W150" s="504"/>
      <c r="X150" s="504"/>
      <c r="Y150" s="504"/>
      <c r="Z150" s="504"/>
      <c r="AA150" s="504"/>
      <c r="AB150" s="504"/>
      <c r="AC150" s="504"/>
      <c r="AD150" s="504"/>
      <c r="AE150" s="506"/>
      <c r="AF150" s="506"/>
      <c r="AG150" s="506"/>
      <c r="AH150" s="506"/>
      <c r="AI150" s="506"/>
      <c r="AJ150" s="506"/>
      <c r="AK150" s="505"/>
      <c r="AL150" s="505"/>
      <c r="AM150" s="505"/>
      <c r="AN150" s="505"/>
      <c r="AO150" s="505"/>
      <c r="AP150" s="505"/>
      <c r="AQ150" s="505"/>
      <c r="AR150" s="505"/>
      <c r="AS150" s="505"/>
      <c r="AT150" s="505"/>
      <c r="AU150" s="505"/>
      <c r="AV150" s="505"/>
      <c r="AW150" s="504"/>
      <c r="AX150" s="504"/>
      <c r="AY150" s="504"/>
      <c r="AZ150" s="504"/>
      <c r="BA150" s="504"/>
      <c r="BB150" s="504"/>
      <c r="BC150" s="504"/>
      <c r="BD150" s="504"/>
      <c r="BE150" s="504"/>
      <c r="BF150" s="504"/>
      <c r="BG150" s="504"/>
      <c r="BH150" s="504"/>
      <c r="BI150" s="504"/>
      <c r="BJ150" s="504"/>
      <c r="BK150" s="504" t="s">
        <v>83</v>
      </c>
      <c r="BL150" s="504" t="s">
        <v>659</v>
      </c>
      <c r="BM150" s="504"/>
    </row>
    <row r="151" spans="1:65" x14ac:dyDescent="0.3">
      <c r="B151" s="504" t="s">
        <v>660</v>
      </c>
      <c r="C151" s="504" t="str">
        <f>'Phase designation'!B23</f>
        <v>Permitted</v>
      </c>
      <c r="D151" s="504"/>
      <c r="E151" s="504"/>
      <c r="F151" s="504" t="str">
        <f>'Phase designation'!D23</f>
        <v>Permitted</v>
      </c>
      <c r="G151" s="504"/>
      <c r="H151" s="504"/>
      <c r="I151" s="504" t="str">
        <f>'Phase designation'!F23</f>
        <v>Protected</v>
      </c>
      <c r="J151" s="504"/>
      <c r="K151" s="504"/>
      <c r="L151" s="504" t="str">
        <f>'Phase designation'!H23</f>
        <v>Protected</v>
      </c>
      <c r="M151" s="504"/>
      <c r="N151" s="504"/>
      <c r="O151" s="504"/>
      <c r="P151" s="505"/>
      <c r="Q151" s="504"/>
      <c r="R151" s="504"/>
      <c r="S151" s="504"/>
      <c r="T151" s="504"/>
      <c r="U151" s="504"/>
      <c r="V151" s="504"/>
      <c r="W151" s="504"/>
      <c r="X151" s="504"/>
      <c r="Y151" s="504"/>
      <c r="Z151" s="504"/>
      <c r="AA151" s="504"/>
      <c r="AB151" s="504"/>
      <c r="AC151" s="504"/>
      <c r="AD151" s="504"/>
      <c r="AE151" s="506"/>
      <c r="AF151" s="506"/>
      <c r="AG151" s="506"/>
      <c r="AH151" s="506"/>
      <c r="AI151" s="506"/>
      <c r="AJ151" s="506"/>
      <c r="AK151" s="505"/>
      <c r="AL151" s="505"/>
      <c r="AM151" s="505"/>
      <c r="AN151" s="505"/>
      <c r="AO151" s="505"/>
      <c r="AP151" s="505"/>
      <c r="AQ151" s="505"/>
      <c r="AR151" s="505"/>
      <c r="AS151" s="505"/>
      <c r="AT151" s="505"/>
      <c r="AU151" s="505"/>
      <c r="AV151" s="505"/>
      <c r="AW151" s="504"/>
      <c r="AX151" s="504"/>
      <c r="AY151" s="504"/>
      <c r="AZ151" s="504"/>
      <c r="BA151" s="504"/>
      <c r="BB151" s="504"/>
      <c r="BC151" s="504"/>
      <c r="BD151" s="504"/>
      <c r="BE151" s="504"/>
      <c r="BF151" s="504"/>
      <c r="BG151" s="504"/>
      <c r="BH151" s="504"/>
      <c r="BI151" s="504"/>
      <c r="BJ151" s="504"/>
      <c r="BK151" s="504" t="s">
        <v>84</v>
      </c>
      <c r="BL151" s="504" t="s">
        <v>661</v>
      </c>
      <c r="BM151" s="504"/>
    </row>
    <row r="152" spans="1:65" x14ac:dyDescent="0.3">
      <c r="B152" s="504" t="s">
        <v>662</v>
      </c>
      <c r="C152" s="504" t="str">
        <f>IF(C150=0,"",INDEX($BL$149:$BL$151,MATCH(C151,$BK$149:$BK$151,0)))</f>
        <v>Permissive</v>
      </c>
      <c r="D152" s="504" t="str">
        <f>IF(D150=0,"","Protected")</f>
        <v>Protected</v>
      </c>
      <c r="E152" s="504" t="str">
        <f>IF(E150=0,"","RTOR")</f>
        <v>RTOR</v>
      </c>
      <c r="F152" s="504" t="str">
        <f>IF(F150=0,"",INDEX($BL$149:$BL$151,MATCH(F151,$BK$149:$BK$151,0)))</f>
        <v>Permissive</v>
      </c>
      <c r="G152" s="504" t="str">
        <f>IF(G150=0,"","Protected")</f>
        <v>Protected</v>
      </c>
      <c r="H152" s="504" t="str">
        <f>IF(H150=0,"","RTOR")</f>
        <v>RTOR</v>
      </c>
      <c r="I152" s="504" t="str">
        <f>IF(I150=0,"",INDEX($BL$149:$BL$151,MATCH(I151,$BK$149:$BK$151,0)))</f>
        <v>Protected</v>
      </c>
      <c r="J152" s="504" t="str">
        <f>IF(J150=0,"","Protected")</f>
        <v>Protected</v>
      </c>
      <c r="K152" s="504" t="str">
        <f>IF(K150=0,"","RTOR")</f>
        <v>RTOR</v>
      </c>
      <c r="L152" s="504" t="str">
        <f>IF(L150=0,"",INDEX($BL$149:$BL$151,MATCH(L151,$BK$149:$BK$151,0)))</f>
        <v>Protected</v>
      </c>
      <c r="M152" s="504" t="str">
        <f>IF(M150=0,"","Protected")</f>
        <v>Protected</v>
      </c>
      <c r="N152" s="504" t="str">
        <f>IF(N150=0,"","RTOR")</f>
        <v>RTOR</v>
      </c>
      <c r="O152" s="504"/>
      <c r="P152" s="505"/>
      <c r="Q152" s="504"/>
      <c r="R152" s="504"/>
      <c r="S152" s="504"/>
      <c r="T152" s="504"/>
      <c r="U152" s="504"/>
      <c r="V152" s="504"/>
      <c r="W152" s="504"/>
      <c r="X152" s="504"/>
      <c r="Y152" s="504"/>
      <c r="Z152" s="504"/>
      <c r="AA152" s="504"/>
      <c r="AB152" s="504"/>
      <c r="AC152" s="504"/>
      <c r="AD152" s="504"/>
      <c r="AE152" s="506"/>
      <c r="AF152" s="506"/>
      <c r="AG152" s="506"/>
      <c r="AH152" s="506"/>
      <c r="AI152" s="506"/>
      <c r="AJ152" s="506"/>
      <c r="AK152" s="505"/>
      <c r="AL152" s="505"/>
      <c r="AM152" s="505"/>
      <c r="AN152" s="505"/>
      <c r="AO152" s="505"/>
      <c r="AP152" s="505"/>
      <c r="AQ152" s="505"/>
      <c r="AR152" s="505"/>
      <c r="AS152" s="505"/>
      <c r="AT152" s="505"/>
      <c r="AU152" s="505"/>
      <c r="AV152" s="505"/>
      <c r="AW152" s="504"/>
      <c r="AX152" s="504"/>
      <c r="AY152" s="504"/>
      <c r="AZ152" s="504"/>
      <c r="BA152" s="504"/>
      <c r="BB152" s="504"/>
      <c r="BC152" s="504"/>
      <c r="BD152" s="504"/>
      <c r="BE152" s="504"/>
      <c r="BF152" s="504"/>
      <c r="BG152" s="504"/>
      <c r="BH152" s="504"/>
      <c r="BI152" s="504"/>
      <c r="BJ152" s="504"/>
      <c r="BK152" s="504"/>
      <c r="BL152" s="504"/>
      <c r="BM152" s="504"/>
    </row>
    <row r="153" spans="1:65" x14ac:dyDescent="0.3">
      <c r="B153" s="504"/>
      <c r="C153" s="504"/>
      <c r="D153" s="504"/>
      <c r="E153" s="504"/>
      <c r="F153" s="504"/>
      <c r="G153" s="504"/>
      <c r="H153" s="504"/>
      <c r="I153" s="504"/>
      <c r="J153" s="504"/>
      <c r="K153" s="504"/>
      <c r="L153" s="504"/>
      <c r="M153" s="504"/>
      <c r="N153" s="504"/>
      <c r="O153" s="504"/>
      <c r="P153" s="505"/>
      <c r="Q153" s="504"/>
      <c r="R153" s="504"/>
      <c r="S153" s="504"/>
      <c r="T153" s="504"/>
      <c r="U153" s="504"/>
      <c r="V153" s="504"/>
      <c r="W153" s="504"/>
      <c r="X153" s="504"/>
      <c r="Y153" s="504"/>
      <c r="Z153" s="504"/>
      <c r="AA153" s="504"/>
      <c r="AB153" s="504"/>
      <c r="AC153" s="504"/>
      <c r="AD153" s="504"/>
      <c r="AE153" s="506"/>
      <c r="AF153" s="506"/>
      <c r="AG153" s="506"/>
      <c r="AH153" s="506"/>
      <c r="AI153" s="506"/>
      <c r="AJ153" s="506"/>
      <c r="AK153" s="505"/>
      <c r="AL153" s="505"/>
      <c r="AM153" s="505"/>
      <c r="AN153" s="505"/>
      <c r="AO153" s="505"/>
      <c r="AP153" s="505"/>
      <c r="AQ153" s="505"/>
      <c r="AR153" s="505"/>
      <c r="AS153" s="505"/>
      <c r="AT153" s="505"/>
      <c r="AU153" s="505"/>
      <c r="AV153" s="505"/>
      <c r="AW153" s="504"/>
      <c r="AX153" s="504"/>
      <c r="AY153" s="504"/>
      <c r="AZ153" s="504"/>
      <c r="BA153" s="504"/>
      <c r="BB153" s="504"/>
      <c r="BC153" s="504"/>
      <c r="BD153" s="504"/>
      <c r="BE153" s="504"/>
      <c r="BF153" s="504"/>
      <c r="BG153" s="504"/>
      <c r="BH153" s="504"/>
      <c r="BI153" s="504"/>
      <c r="BJ153" s="504"/>
      <c r="BK153" s="504"/>
      <c r="BL153" s="504"/>
      <c r="BM153" s="504"/>
    </row>
    <row r="154" spans="1:65" x14ac:dyDescent="0.3">
      <c r="B154" s="504" t="s">
        <v>663</v>
      </c>
      <c r="C154" s="504"/>
      <c r="D154" s="504"/>
      <c r="E154" s="504"/>
      <c r="F154" s="504"/>
      <c r="G154" s="504"/>
      <c r="H154" s="504"/>
      <c r="I154" s="504"/>
      <c r="J154" s="504"/>
      <c r="K154" s="504"/>
      <c r="L154" s="504"/>
      <c r="M154" s="504"/>
      <c r="N154" s="504"/>
      <c r="O154" s="504"/>
      <c r="P154" s="505"/>
      <c r="Q154" s="504"/>
      <c r="R154" s="504"/>
      <c r="S154" s="504"/>
      <c r="T154" s="504"/>
      <c r="U154" s="504"/>
      <c r="V154" s="504"/>
      <c r="W154" s="504"/>
      <c r="X154" s="504"/>
      <c r="Y154" s="504"/>
      <c r="Z154" s="504"/>
      <c r="AA154" s="504"/>
      <c r="AB154" s="504"/>
      <c r="AC154" s="504"/>
      <c r="AD154" s="504"/>
      <c r="AE154" s="506"/>
      <c r="AF154" s="506"/>
      <c r="AG154" s="506"/>
      <c r="AH154" s="506"/>
      <c r="AI154" s="506"/>
      <c r="AJ154" s="506"/>
      <c r="AK154" s="505"/>
      <c r="AL154" s="505"/>
      <c r="AM154" s="505"/>
      <c r="AN154" s="505"/>
      <c r="AO154" s="505"/>
      <c r="AP154" s="505"/>
      <c r="AQ154" s="505"/>
      <c r="AR154" s="505"/>
      <c r="AS154" s="505"/>
      <c r="AT154" s="505"/>
      <c r="AU154" s="505"/>
      <c r="AV154" s="505"/>
      <c r="AW154" s="504"/>
      <c r="AX154" s="504"/>
      <c r="AY154" s="504"/>
      <c r="AZ154" s="504"/>
      <c r="BA154" s="504"/>
      <c r="BB154" s="504"/>
      <c r="BC154" s="504"/>
      <c r="BD154" s="504"/>
      <c r="BE154" s="504"/>
      <c r="BF154" s="504"/>
      <c r="BG154" s="504"/>
      <c r="BH154" s="504"/>
      <c r="BI154" s="504"/>
      <c r="BJ154" s="504"/>
      <c r="BK154" s="504"/>
      <c r="BL154" s="504"/>
      <c r="BM154" s="504"/>
    </row>
    <row r="155" spans="1:65" x14ac:dyDescent="0.3">
      <c r="B155" s="345" t="s">
        <v>561</v>
      </c>
      <c r="C155" s="504" t="str">
        <f>IF(C150=0,"",Sheet1!$B$2)</f>
        <v>Street 1 &amp; Street 2</v>
      </c>
      <c r="D155" s="504" t="str">
        <f>IF(D150=0,"",Sheet1!$B$2)</f>
        <v>Street 1 &amp; Street 2</v>
      </c>
      <c r="E155" s="504" t="str">
        <f>IF(E150=0,"",Sheet1!$B$2)</f>
        <v>Street 1 &amp; Street 2</v>
      </c>
      <c r="F155" s="504" t="str">
        <f>IF(F150=0,"",Sheet1!$B$2)</f>
        <v>Street 1 &amp; Street 2</v>
      </c>
      <c r="G155" s="504" t="str">
        <f>IF(G150=0,"",Sheet1!$B$2)</f>
        <v>Street 1 &amp; Street 2</v>
      </c>
      <c r="H155" s="504" t="str">
        <f>IF(H150=0,"",Sheet1!$B$2)</f>
        <v>Street 1 &amp; Street 2</v>
      </c>
      <c r="I155" s="504" t="str">
        <f>IF(I150=0,"",Sheet1!$B$2)</f>
        <v>Street 1 &amp; Street 2</v>
      </c>
      <c r="J155" s="504" t="str">
        <f>IF(J150=0,"",Sheet1!$B$2)</f>
        <v>Street 1 &amp; Street 2</v>
      </c>
      <c r="K155" s="504" t="str">
        <f>IF(K150=0,"",Sheet1!$B$2)</f>
        <v>Street 1 &amp; Street 2</v>
      </c>
      <c r="L155" s="504" t="str">
        <f>IF(L150=0,"",Sheet1!$B$2)</f>
        <v>Street 1 &amp; Street 2</v>
      </c>
      <c r="M155" s="504" t="str">
        <f>IF(M150=0,"",Sheet1!$B$2)</f>
        <v>Street 1 &amp; Street 2</v>
      </c>
      <c r="N155" s="504" t="str">
        <f>IF(N150=0,"",Sheet1!$B$2)</f>
        <v>Street 1 &amp; Street 2</v>
      </c>
      <c r="O155" s="504"/>
      <c r="P155" s="505"/>
      <c r="Q155" s="504"/>
      <c r="R155" s="504"/>
      <c r="S155" s="504"/>
      <c r="T155" s="504"/>
      <c r="U155" s="504"/>
      <c r="V155" s="504"/>
      <c r="W155" s="504"/>
      <c r="X155" s="504"/>
      <c r="Y155" s="504"/>
      <c r="Z155" s="504"/>
      <c r="AA155" s="504"/>
      <c r="AB155" s="504"/>
      <c r="AC155" s="504"/>
      <c r="AD155" s="504"/>
      <c r="AE155" s="506"/>
      <c r="AF155" s="506"/>
      <c r="AG155" s="506"/>
      <c r="AH155" s="506"/>
      <c r="AI155" s="506"/>
      <c r="AJ155" s="506"/>
      <c r="AK155" s="505"/>
      <c r="AL155" s="505"/>
      <c r="AM155" s="505"/>
      <c r="AN155" s="505"/>
      <c r="AO155" s="505"/>
      <c r="AP155" s="505"/>
      <c r="AQ155" s="505"/>
      <c r="AR155" s="505"/>
      <c r="AS155" s="505"/>
      <c r="AT155" s="505"/>
      <c r="AU155" s="505"/>
      <c r="AV155" s="505"/>
      <c r="AW155" s="504"/>
      <c r="AX155" s="504"/>
      <c r="AY155" s="504"/>
      <c r="AZ155" s="504"/>
      <c r="BA155" s="504"/>
      <c r="BB155" s="504"/>
      <c r="BC155" s="504"/>
      <c r="BD155" s="504"/>
      <c r="BE155" s="504"/>
      <c r="BF155" s="504"/>
      <c r="BG155" s="504"/>
      <c r="BH155" s="504"/>
      <c r="BI155" s="504"/>
      <c r="BJ155" s="504"/>
      <c r="BK155" s="504"/>
      <c r="BL155" s="504"/>
      <c r="BM155" s="504"/>
    </row>
    <row r="156" spans="1:65" x14ac:dyDescent="0.3">
      <c r="B156" s="345" t="s">
        <v>596</v>
      </c>
      <c r="C156" s="504" t="str">
        <f>IF(C150=0,"",C149)</f>
        <v>22</v>
      </c>
      <c r="D156" s="504">
        <f t="shared" ref="D156:N156" si="27">IF(D150=0,"",D149)</f>
        <v>2</v>
      </c>
      <c r="E156" s="504" t="str">
        <f t="shared" si="27"/>
        <v>21</v>
      </c>
      <c r="F156" s="504" t="str">
        <f t="shared" si="27"/>
        <v>62</v>
      </c>
      <c r="G156" s="504">
        <f t="shared" si="27"/>
        <v>6</v>
      </c>
      <c r="H156" s="504" t="str">
        <f t="shared" si="27"/>
        <v>61</v>
      </c>
      <c r="I156" s="504">
        <f t="shared" si="27"/>
        <v>3</v>
      </c>
      <c r="J156" s="504">
        <f t="shared" si="27"/>
        <v>8</v>
      </c>
      <c r="K156" s="504" t="str">
        <f t="shared" si="27"/>
        <v>81</v>
      </c>
      <c r="L156" s="504">
        <f t="shared" si="27"/>
        <v>7</v>
      </c>
      <c r="M156" s="504">
        <f t="shared" si="27"/>
        <v>4</v>
      </c>
      <c r="N156" s="504" t="str">
        <f t="shared" si="27"/>
        <v>41</v>
      </c>
      <c r="O156" s="504"/>
      <c r="P156" s="505"/>
      <c r="Q156" s="504"/>
      <c r="R156" s="504"/>
      <c r="S156" s="504"/>
      <c r="T156" s="504"/>
      <c r="U156" s="504"/>
      <c r="V156" s="504"/>
      <c r="W156" s="504"/>
      <c r="X156" s="504"/>
      <c r="Y156" s="504"/>
      <c r="Z156" s="504"/>
      <c r="AA156" s="504"/>
      <c r="AB156" s="504"/>
      <c r="AC156" s="504"/>
      <c r="AD156" s="504"/>
      <c r="AE156" s="506"/>
      <c r="AF156" s="506"/>
      <c r="AG156" s="506"/>
      <c r="AH156" s="506"/>
      <c r="AI156" s="506"/>
      <c r="AJ156" s="506"/>
      <c r="AK156" s="505"/>
      <c r="AL156" s="505"/>
      <c r="AM156" s="505"/>
      <c r="AN156" s="505"/>
      <c r="AO156" s="505"/>
      <c r="AP156" s="505"/>
      <c r="AQ156" s="505"/>
      <c r="AR156" s="505"/>
      <c r="AS156" s="505"/>
      <c r="AT156" s="505"/>
      <c r="AU156" s="505"/>
      <c r="AV156" s="505"/>
      <c r="AW156" s="504"/>
      <c r="AX156" s="504"/>
      <c r="AY156" s="504"/>
      <c r="AZ156" s="504"/>
      <c r="BA156" s="504"/>
      <c r="BB156" s="504"/>
      <c r="BC156" s="504"/>
      <c r="BD156" s="504"/>
      <c r="BE156" s="504"/>
      <c r="BF156" s="504"/>
      <c r="BG156" s="504"/>
      <c r="BH156" s="504"/>
      <c r="BI156" s="504"/>
      <c r="BJ156" s="504"/>
      <c r="BK156" s="504"/>
      <c r="BL156" s="504"/>
      <c r="BM156" s="504"/>
    </row>
    <row r="157" spans="1:65" x14ac:dyDescent="0.3">
      <c r="B157" s="345" t="s">
        <v>597</v>
      </c>
      <c r="C157" s="504"/>
      <c r="D157" s="504"/>
      <c r="E157" s="504"/>
      <c r="F157" s="504"/>
      <c r="G157" s="504"/>
      <c r="H157" s="504"/>
      <c r="I157" s="504"/>
      <c r="J157" s="504"/>
      <c r="K157" s="504"/>
      <c r="L157" s="504"/>
      <c r="M157" s="504"/>
      <c r="N157" s="504"/>
      <c r="O157" s="504"/>
      <c r="P157" s="505"/>
      <c r="Q157" s="504"/>
      <c r="R157" s="504"/>
      <c r="S157" s="504"/>
      <c r="T157" s="504"/>
      <c r="U157" s="504"/>
      <c r="V157" s="504"/>
      <c r="W157" s="504"/>
      <c r="X157" s="504"/>
      <c r="Y157" s="504"/>
      <c r="Z157" s="504"/>
      <c r="AA157" s="504"/>
      <c r="AB157" s="504"/>
      <c r="AC157" s="504"/>
      <c r="AD157" s="504"/>
      <c r="AE157" s="506"/>
      <c r="AF157" s="506"/>
      <c r="AG157" s="506"/>
      <c r="AH157" s="506"/>
      <c r="AI157" s="506"/>
      <c r="AJ157" s="506"/>
      <c r="AK157" s="505"/>
      <c r="AL157" s="505"/>
      <c r="AM157" s="505"/>
      <c r="AN157" s="505"/>
      <c r="AO157" s="505"/>
      <c r="AP157" s="505"/>
      <c r="AQ157" s="505"/>
      <c r="AR157" s="505"/>
      <c r="AS157" s="505"/>
      <c r="AT157" s="505"/>
      <c r="AU157" s="505"/>
      <c r="AV157" s="505"/>
      <c r="AW157" s="504"/>
      <c r="AX157" s="504"/>
      <c r="AY157" s="504"/>
      <c r="AZ157" s="504"/>
      <c r="BA157" s="504"/>
      <c r="BB157" s="504"/>
      <c r="BC157" s="504"/>
      <c r="BD157" s="504"/>
      <c r="BE157" s="504"/>
      <c r="BF157" s="504"/>
      <c r="BG157" s="504"/>
      <c r="BH157" s="504"/>
      <c r="BI157" s="504"/>
      <c r="BJ157" s="504"/>
      <c r="BK157" s="504"/>
      <c r="BL157" s="504"/>
      <c r="BM157" s="504"/>
    </row>
    <row r="158" spans="1:65" x14ac:dyDescent="0.3">
      <c r="B158" s="345" t="s">
        <v>598</v>
      </c>
      <c r="C158" s="504">
        <f>IF(C150=0,"",C150)</f>
        <v>2</v>
      </c>
      <c r="D158" s="504">
        <f t="shared" ref="D158:N158" si="28">IF(D150=0,"",D150)</f>
        <v>2</v>
      </c>
      <c r="E158" s="504">
        <f t="shared" si="28"/>
        <v>2</v>
      </c>
      <c r="F158" s="504">
        <f t="shared" si="28"/>
        <v>6</v>
      </c>
      <c r="G158" s="504">
        <f t="shared" si="28"/>
        <v>6</v>
      </c>
      <c r="H158" s="504">
        <f t="shared" si="28"/>
        <v>6</v>
      </c>
      <c r="I158" s="504">
        <f t="shared" si="28"/>
        <v>3</v>
      </c>
      <c r="J158" s="504">
        <f t="shared" si="28"/>
        <v>8</v>
      </c>
      <c r="K158" s="504">
        <f t="shared" si="28"/>
        <v>8</v>
      </c>
      <c r="L158" s="504">
        <f t="shared" si="28"/>
        <v>7</v>
      </c>
      <c r="M158" s="504">
        <f t="shared" si="28"/>
        <v>4</v>
      </c>
      <c r="N158" s="504">
        <f t="shared" si="28"/>
        <v>4</v>
      </c>
      <c r="O158" s="504"/>
      <c r="P158" s="505"/>
      <c r="Q158" s="504"/>
      <c r="R158" s="504"/>
      <c r="S158" s="504"/>
      <c r="T158" s="504"/>
      <c r="U158" s="504"/>
      <c r="V158" s="504"/>
      <c r="W158" s="504"/>
      <c r="X158" s="504"/>
      <c r="Y158" s="504"/>
      <c r="Z158" s="504"/>
      <c r="AA158" s="504"/>
      <c r="AB158" s="504"/>
      <c r="AC158" s="504"/>
      <c r="AD158" s="504"/>
      <c r="AE158" s="506"/>
      <c r="AF158" s="506"/>
      <c r="AG158" s="506"/>
      <c r="AH158" s="506"/>
      <c r="AI158" s="506"/>
      <c r="AJ158" s="506"/>
      <c r="AK158" s="505"/>
      <c r="AL158" s="505"/>
      <c r="AM158" s="505"/>
      <c r="AN158" s="505"/>
      <c r="AO158" s="505"/>
      <c r="AP158" s="505"/>
      <c r="AQ158" s="505"/>
      <c r="AR158" s="505"/>
      <c r="AS158" s="505"/>
      <c r="AT158" s="505"/>
      <c r="AU158" s="505"/>
      <c r="AV158" s="505"/>
      <c r="AW158" s="504"/>
      <c r="AX158" s="504"/>
      <c r="AY158" s="504"/>
      <c r="AZ158" s="504"/>
      <c r="BA158" s="504"/>
      <c r="BB158" s="504"/>
      <c r="BC158" s="504"/>
      <c r="BD158" s="504"/>
      <c r="BE158" s="504"/>
      <c r="BF158" s="504"/>
      <c r="BG158" s="504"/>
      <c r="BH158" s="504"/>
      <c r="BI158" s="504"/>
      <c r="BJ158" s="504"/>
      <c r="BK158" s="504"/>
      <c r="BL158" s="504"/>
      <c r="BM158" s="504"/>
    </row>
    <row r="159" spans="1:65" x14ac:dyDescent="0.3">
      <c r="B159" s="345" t="s">
        <v>599</v>
      </c>
      <c r="C159" s="504" t="str">
        <f>C152</f>
        <v>Permissive</v>
      </c>
      <c r="D159" s="504" t="str">
        <f t="shared" ref="D159:N159" si="29">D152</f>
        <v>Protected</v>
      </c>
      <c r="E159" s="504" t="str">
        <f t="shared" si="29"/>
        <v>RTOR</v>
      </c>
      <c r="F159" s="504" t="str">
        <f t="shared" si="29"/>
        <v>Permissive</v>
      </c>
      <c r="G159" s="504" t="str">
        <f t="shared" si="29"/>
        <v>Protected</v>
      </c>
      <c r="H159" s="504" t="str">
        <f t="shared" si="29"/>
        <v>RTOR</v>
      </c>
      <c r="I159" s="504" t="str">
        <f t="shared" si="29"/>
        <v>Protected</v>
      </c>
      <c r="J159" s="504" t="str">
        <f t="shared" si="29"/>
        <v>Protected</v>
      </c>
      <c r="K159" s="504" t="str">
        <f t="shared" si="29"/>
        <v>RTOR</v>
      </c>
      <c r="L159" s="504" t="str">
        <f t="shared" si="29"/>
        <v>Protected</v>
      </c>
      <c r="M159" s="504" t="str">
        <f t="shared" si="29"/>
        <v>Protected</v>
      </c>
      <c r="N159" s="504" t="str">
        <f t="shared" si="29"/>
        <v>RTOR</v>
      </c>
      <c r="O159" s="504"/>
      <c r="P159" s="505"/>
      <c r="Q159" s="504"/>
      <c r="R159" s="504"/>
      <c r="S159" s="504"/>
      <c r="T159" s="504"/>
      <c r="U159" s="504"/>
      <c r="V159" s="504"/>
      <c r="W159" s="504"/>
      <c r="X159" s="504"/>
      <c r="Y159" s="504"/>
      <c r="Z159" s="504"/>
      <c r="AA159" s="504"/>
      <c r="AB159" s="504"/>
      <c r="AC159" s="504"/>
      <c r="AD159" s="504"/>
      <c r="AE159" s="506"/>
      <c r="AF159" s="506"/>
      <c r="AG159" s="506"/>
      <c r="AH159" s="506"/>
      <c r="AI159" s="506"/>
      <c r="AJ159" s="506"/>
      <c r="AK159" s="505"/>
      <c r="AL159" s="505"/>
      <c r="AM159" s="505"/>
      <c r="AN159" s="505"/>
      <c r="AO159" s="505"/>
      <c r="AP159" s="505"/>
      <c r="AQ159" s="505"/>
      <c r="AR159" s="505"/>
      <c r="AS159" s="505"/>
      <c r="AT159" s="505"/>
      <c r="AU159" s="505"/>
      <c r="AV159" s="505"/>
      <c r="AW159" s="504"/>
      <c r="AX159" s="504"/>
      <c r="AY159" s="504"/>
      <c r="AZ159" s="504"/>
      <c r="BA159" s="504"/>
      <c r="BB159" s="504"/>
      <c r="BC159" s="504"/>
      <c r="BD159" s="504"/>
      <c r="BE159" s="504"/>
      <c r="BF159" s="504"/>
      <c r="BG159" s="504"/>
      <c r="BH159" s="504"/>
      <c r="BI159" s="504"/>
      <c r="BJ159" s="504"/>
      <c r="BK159" s="504"/>
      <c r="BL159" s="504"/>
      <c r="BM159" s="504"/>
    </row>
    <row r="160" spans="1:65" x14ac:dyDescent="0.3">
      <c r="B160" s="345" t="s">
        <v>600</v>
      </c>
      <c r="C160" s="66" t="str">
        <f>C32</f>
        <v>EBL</v>
      </c>
      <c r="D160" s="66" t="str">
        <f t="shared" ref="D160:N160" si="30">D32</f>
        <v>EBT</v>
      </c>
      <c r="E160" s="66" t="str">
        <f t="shared" si="30"/>
        <v>EBR</v>
      </c>
      <c r="F160" s="66" t="str">
        <f t="shared" si="30"/>
        <v>WBL</v>
      </c>
      <c r="G160" s="66" t="str">
        <f t="shared" si="30"/>
        <v>WBT</v>
      </c>
      <c r="H160" s="66" t="str">
        <f t="shared" si="30"/>
        <v>WBR</v>
      </c>
      <c r="I160" s="66" t="str">
        <f t="shared" si="30"/>
        <v>NBL</v>
      </c>
      <c r="J160" s="66" t="str">
        <f t="shared" si="30"/>
        <v>NBT</v>
      </c>
      <c r="K160" s="66" t="str">
        <f t="shared" si="30"/>
        <v>NBR</v>
      </c>
      <c r="L160" s="66" t="str">
        <f t="shared" si="30"/>
        <v>SBL</v>
      </c>
      <c r="M160" s="66" t="str">
        <f t="shared" si="30"/>
        <v>SBT</v>
      </c>
      <c r="N160" s="66" t="str">
        <f t="shared" si="30"/>
        <v>SBR</v>
      </c>
      <c r="O160" s="504"/>
      <c r="P160" s="505"/>
      <c r="Q160" s="504"/>
      <c r="R160" s="504"/>
      <c r="S160" s="504"/>
      <c r="T160" s="504"/>
      <c r="U160" s="504"/>
      <c r="V160" s="504"/>
      <c r="W160" s="504"/>
      <c r="X160" s="504"/>
      <c r="Y160" s="504"/>
      <c r="Z160" s="504"/>
      <c r="AA160" s="504"/>
      <c r="AB160" s="504"/>
      <c r="AC160" s="504"/>
      <c r="AD160" s="504"/>
      <c r="AE160" s="506"/>
      <c r="AF160" s="506"/>
      <c r="AG160" s="506"/>
      <c r="AH160" s="506"/>
      <c r="AI160" s="506"/>
      <c r="AJ160" s="506"/>
      <c r="AK160" s="505"/>
      <c r="AL160" s="505"/>
      <c r="AM160" s="505"/>
      <c r="AN160" s="505"/>
      <c r="AO160" s="505"/>
      <c r="AP160" s="505"/>
      <c r="AQ160" s="505"/>
      <c r="AR160" s="505"/>
      <c r="AS160" s="505"/>
      <c r="AT160" s="505"/>
      <c r="AU160" s="505"/>
      <c r="AV160" s="505"/>
      <c r="AW160" s="504"/>
      <c r="AX160" s="504"/>
      <c r="AY160" s="504"/>
      <c r="AZ160" s="504"/>
      <c r="BA160" s="504"/>
      <c r="BB160" s="504"/>
      <c r="BC160" s="504"/>
      <c r="BD160" s="504"/>
      <c r="BE160" s="504"/>
      <c r="BF160" s="504"/>
      <c r="BG160" s="504"/>
      <c r="BH160" s="504"/>
      <c r="BI160" s="504"/>
      <c r="BJ160" s="504"/>
      <c r="BK160" s="504"/>
      <c r="BL160" s="504"/>
      <c r="BM160" s="504"/>
    </row>
  </sheetData>
  <mergeCells count="31">
    <mergeCell ref="AZ38:BB38"/>
    <mergeCell ref="Y43:AB43"/>
    <mergeCell ref="Z21:AA21"/>
    <mergeCell ref="AB21:AC21"/>
    <mergeCell ref="AQ38:AS38"/>
    <mergeCell ref="AT38:AV38"/>
    <mergeCell ref="AW38:AY38"/>
    <mergeCell ref="A106:A114"/>
    <mergeCell ref="A123:A128"/>
    <mergeCell ref="AP33:AP34"/>
    <mergeCell ref="AP35:AP36"/>
    <mergeCell ref="C56:D56"/>
    <mergeCell ref="F56:G56"/>
    <mergeCell ref="I56:J56"/>
    <mergeCell ref="L56:M56"/>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s>
  <conditionalFormatting sqref="D24:E24">
    <cfRule type="containsText" dxfId="23" priority="27" stopIfTrue="1" operator="containsText" text="CS/RS">
      <formula>NOT(ISERROR(SEARCH("CS/RS",D24)))</formula>
    </cfRule>
    <cfRule type="containsText" dxfId="22" priority="28" stopIfTrue="1" operator="containsText" text="Webster">
      <formula>NOT(ISERROR(SEARCH("Webster",D24)))</formula>
    </cfRule>
  </conditionalFormatting>
  <conditionalFormatting sqref="E45:E53 G45:H53 M45:N53 O46:O53 C50 I45:L48 I50:L53 F45:F48 F50:F53 C45:D48 C53:D53">
    <cfRule type="containsText" dxfId="21" priority="2" stopIfTrue="1" operator="containsText" text="N/A">
      <formula>NOT(ISERROR(SEARCH("N/A",C45)))</formula>
    </cfRule>
    <cfRule type="containsText" dxfId="20" priority="21" stopIfTrue="1" operator="containsText" text="F">
      <formula>NOT(ISERROR(SEARCH("F",C45)))</formula>
    </cfRule>
    <cfRule type="containsText" dxfId="19" priority="22" stopIfTrue="1" operator="containsText" text="E">
      <formula>NOT(ISERROR(SEARCH("E",C45)))</formula>
    </cfRule>
    <cfRule type="containsText" dxfId="18" priority="23" stopIfTrue="1" operator="containsText" text="D">
      <formula>NOT(ISERROR(SEARCH("D",C45)))</formula>
    </cfRule>
    <cfRule type="containsText" dxfId="17" priority="24" stopIfTrue="1" operator="containsText" text="C">
      <formula>NOT(ISERROR(SEARCH("C",C45)))</formula>
    </cfRule>
    <cfRule type="containsText" dxfId="16" priority="25" stopIfTrue="1" operator="containsText" text="B">
      <formula>NOT(ISERROR(SEARCH("B",C45)))</formula>
    </cfRule>
    <cfRule type="containsText" dxfId="15" priority="26" stopIfTrue="1" operator="containsText" text="A">
      <formula>NOT(ISERROR(SEARCH("A",C45)))</formula>
    </cfRule>
  </conditionalFormatting>
  <conditionalFormatting sqref="C86:H87">
    <cfRule type="cellIs" dxfId="14" priority="1" stopIfTrue="1" operator="equal">
      <formula>1</formula>
    </cfRule>
  </conditionalFormatting>
  <pageMargins left="0.7" right="0.7" top="0.75" bottom="0.75" header="0.3" footer="0.3"/>
  <pageSetup orientation="portrait" horizontalDpi="1200" verticalDpi="1200" r:id="rId1"/>
  <ignoredErrors>
    <ignoredError sqref="F14 I14 L14"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1363980</xdr:colOff>
                    <xdr:row>13</xdr:row>
                    <xdr:rowOff>83820</xdr:rowOff>
                  </from>
                  <to>
                    <xdr:col>65</xdr:col>
                    <xdr:colOff>571500</xdr:colOff>
                    <xdr:row>18</xdr:row>
                    <xdr:rowOff>83820</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129540</xdr:rowOff>
                  </from>
                  <to>
                    <xdr:col>65</xdr:col>
                    <xdr:colOff>586740</xdr:colOff>
                    <xdr:row>22</xdr:row>
                    <xdr:rowOff>129540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4.4" x14ac:dyDescent="0.3"/>
  <cols>
    <col min="2" max="2" width="9.109375" style="3"/>
    <col min="3" max="3" width="9.109375" style="319"/>
  </cols>
  <sheetData>
    <row r="3" spans="1:14" x14ac:dyDescent="0.3">
      <c r="D3" s="519" t="s">
        <v>116</v>
      </c>
      <c r="E3" s="519"/>
      <c r="F3" s="519"/>
      <c r="G3" s="519"/>
      <c r="H3" s="519"/>
      <c r="I3" s="519"/>
      <c r="J3" s="519"/>
      <c r="K3" s="519"/>
      <c r="L3" s="519" t="s">
        <v>117</v>
      </c>
      <c r="M3" s="519"/>
      <c r="N3" s="519"/>
    </row>
    <row r="4" spans="1:14" x14ac:dyDescent="0.3">
      <c r="D4" s="519" t="s">
        <v>118</v>
      </c>
      <c r="E4" s="519"/>
      <c r="F4" s="519"/>
      <c r="G4" s="519"/>
      <c r="H4" s="519"/>
      <c r="I4" s="519"/>
      <c r="J4" s="519"/>
      <c r="K4" s="519"/>
    </row>
    <row r="5" spans="1:14" ht="43.2" x14ac:dyDescent="0.3">
      <c r="B5" s="63" t="s">
        <v>119</v>
      </c>
      <c r="C5" s="349">
        <v>40</v>
      </c>
      <c r="D5" s="64">
        <v>50</v>
      </c>
      <c r="E5" s="64">
        <v>60</v>
      </c>
      <c r="F5" s="64">
        <v>70</v>
      </c>
      <c r="G5" s="64">
        <v>80</v>
      </c>
      <c r="H5" s="64">
        <v>90</v>
      </c>
      <c r="I5" s="64">
        <v>100</v>
      </c>
      <c r="J5" s="64">
        <v>110</v>
      </c>
      <c r="K5" s="64">
        <v>120</v>
      </c>
      <c r="L5" s="64">
        <v>130</v>
      </c>
      <c r="M5" s="64">
        <v>140</v>
      </c>
      <c r="N5" s="64">
        <v>150</v>
      </c>
    </row>
    <row r="6" spans="1:14" x14ac:dyDescent="0.3">
      <c r="B6" s="3" t="s">
        <v>120</v>
      </c>
      <c r="D6" s="519" t="s">
        <v>121</v>
      </c>
      <c r="E6" s="519"/>
      <c r="F6" s="519"/>
      <c r="G6" s="519"/>
      <c r="H6" s="519"/>
      <c r="I6" s="519"/>
      <c r="J6" s="519"/>
      <c r="K6" s="519"/>
    </row>
    <row r="7" spans="1:14" x14ac:dyDescent="0.3">
      <c r="A7" s="514" t="s">
        <v>133</v>
      </c>
      <c r="B7" s="65">
        <v>0</v>
      </c>
      <c r="C7" s="65">
        <v>5</v>
      </c>
      <c r="D7" s="65">
        <v>5</v>
      </c>
      <c r="E7" s="65">
        <v>5</v>
      </c>
      <c r="F7" s="65">
        <v>5</v>
      </c>
      <c r="G7" s="65">
        <v>5</v>
      </c>
      <c r="H7" s="65">
        <v>5</v>
      </c>
      <c r="I7" s="65">
        <v>5</v>
      </c>
      <c r="J7" s="65">
        <v>5</v>
      </c>
      <c r="K7" s="65">
        <v>5</v>
      </c>
      <c r="L7" s="65">
        <v>5</v>
      </c>
      <c r="M7" s="65">
        <v>5</v>
      </c>
      <c r="N7" s="65">
        <v>5</v>
      </c>
    </row>
    <row r="8" spans="1:14" x14ac:dyDescent="0.3">
      <c r="A8" s="514"/>
      <c r="B8" s="65">
        <v>50</v>
      </c>
      <c r="C8" s="65">
        <v>7</v>
      </c>
      <c r="D8" s="65">
        <v>7</v>
      </c>
      <c r="E8" s="65">
        <v>7</v>
      </c>
      <c r="F8" s="65">
        <v>7</v>
      </c>
      <c r="G8" s="65">
        <v>7</v>
      </c>
      <c r="H8" s="65">
        <v>7</v>
      </c>
      <c r="I8" s="65">
        <v>7</v>
      </c>
      <c r="J8" s="65">
        <v>7</v>
      </c>
      <c r="K8" s="65">
        <v>7</v>
      </c>
      <c r="L8" s="65">
        <v>7</v>
      </c>
      <c r="M8" s="65">
        <v>7</v>
      </c>
      <c r="N8" s="65">
        <v>7</v>
      </c>
    </row>
    <row r="9" spans="1:14" x14ac:dyDescent="0.3">
      <c r="B9" s="3">
        <v>100</v>
      </c>
      <c r="C9" s="319">
        <v>15</v>
      </c>
      <c r="D9" s="3">
        <v>15</v>
      </c>
      <c r="E9" s="3">
        <v>15</v>
      </c>
      <c r="F9" s="3">
        <v>15</v>
      </c>
      <c r="G9" s="3">
        <v>15</v>
      </c>
      <c r="H9" s="3">
        <v>15</v>
      </c>
      <c r="I9" s="3">
        <v>15</v>
      </c>
      <c r="J9" s="3">
        <v>15</v>
      </c>
      <c r="K9" s="3">
        <v>15</v>
      </c>
      <c r="L9" s="3">
        <v>15</v>
      </c>
      <c r="M9" s="3">
        <v>15</v>
      </c>
      <c r="N9" s="3">
        <v>15</v>
      </c>
    </row>
    <row r="10" spans="1:14" x14ac:dyDescent="0.3">
      <c r="B10" s="3">
        <v>200</v>
      </c>
      <c r="C10" s="319">
        <v>15</v>
      </c>
      <c r="D10" s="3">
        <v>15</v>
      </c>
      <c r="E10" s="3">
        <v>15</v>
      </c>
      <c r="F10" s="3">
        <v>15</v>
      </c>
      <c r="G10" s="3">
        <v>15</v>
      </c>
      <c r="H10" s="3">
        <v>16</v>
      </c>
      <c r="I10" s="3">
        <v>18</v>
      </c>
      <c r="J10" s="3">
        <v>19</v>
      </c>
      <c r="K10" s="3">
        <v>21</v>
      </c>
      <c r="L10" s="3">
        <f>ROUND(0.18*L5,0)</f>
        <v>23</v>
      </c>
      <c r="M10" s="3">
        <f>ROUND(0.18*M5,0)</f>
        <v>25</v>
      </c>
      <c r="N10" s="3">
        <f>ROUND(0.18*N5,0)</f>
        <v>27</v>
      </c>
    </row>
    <row r="11" spans="1:14" x14ac:dyDescent="0.3">
      <c r="B11" s="3">
        <v>300</v>
      </c>
      <c r="C11" s="319">
        <v>15</v>
      </c>
      <c r="D11" s="3">
        <v>15</v>
      </c>
      <c r="E11" s="3">
        <v>16</v>
      </c>
      <c r="F11" s="3">
        <v>19</v>
      </c>
      <c r="G11" s="3">
        <v>21</v>
      </c>
      <c r="H11" s="3">
        <v>24</v>
      </c>
      <c r="I11" s="3">
        <v>26</v>
      </c>
      <c r="J11" s="3">
        <v>29</v>
      </c>
      <c r="K11" s="3">
        <v>31</v>
      </c>
      <c r="L11" s="3">
        <f>ROUND(0.26*L5,0)</f>
        <v>34</v>
      </c>
      <c r="M11" s="3">
        <f>ROUND(0.26*M5,0)</f>
        <v>36</v>
      </c>
      <c r="N11" s="3">
        <f>ROUND(0.26*N5,0)</f>
        <v>39</v>
      </c>
    </row>
    <row r="12" spans="1:14" x14ac:dyDescent="0.3">
      <c r="B12" s="3">
        <v>400</v>
      </c>
      <c r="C12" s="319">
        <v>17</v>
      </c>
      <c r="D12" s="3">
        <v>18</v>
      </c>
      <c r="E12" s="3">
        <v>21</v>
      </c>
      <c r="F12" s="3">
        <v>24</v>
      </c>
      <c r="G12" s="3">
        <v>28</v>
      </c>
      <c r="H12" s="3">
        <v>31</v>
      </c>
      <c r="I12" s="3">
        <v>34</v>
      </c>
      <c r="J12" s="3">
        <v>38</v>
      </c>
      <c r="K12" s="3">
        <v>41</v>
      </c>
      <c r="L12" s="3">
        <f>ROUND(0.34*L5,0)</f>
        <v>44</v>
      </c>
      <c r="M12" s="3">
        <f>ROUND(0.34*M5,0)</f>
        <v>48</v>
      </c>
      <c r="N12" s="3">
        <f>ROUND(0.34*N5,0)</f>
        <v>51</v>
      </c>
    </row>
    <row r="13" spans="1:14" x14ac:dyDescent="0.3">
      <c r="B13" s="3">
        <v>500</v>
      </c>
      <c r="C13" s="319">
        <v>19</v>
      </c>
      <c r="D13" s="3">
        <v>22</v>
      </c>
      <c r="E13" s="3">
        <v>26</v>
      </c>
      <c r="F13" s="3">
        <v>30</v>
      </c>
      <c r="G13" s="3">
        <v>34</v>
      </c>
      <c r="H13" s="3">
        <v>39</v>
      </c>
      <c r="I13" s="3">
        <v>43</v>
      </c>
      <c r="J13" s="3">
        <v>47</v>
      </c>
      <c r="K13" s="3">
        <v>51</v>
      </c>
      <c r="L13" s="3">
        <f>ROUND(0.43*L5,0)</f>
        <v>56</v>
      </c>
      <c r="M13" s="3">
        <f>ROUND(0.43*M5,0)</f>
        <v>60</v>
      </c>
      <c r="N13" s="3">
        <f>ROUND(0.43*N5,0)</f>
        <v>65</v>
      </c>
    </row>
    <row r="14" spans="1:14" x14ac:dyDescent="0.3">
      <c r="B14" s="3">
        <v>600</v>
      </c>
      <c r="C14" s="319">
        <v>23</v>
      </c>
      <c r="D14" s="3">
        <v>26</v>
      </c>
      <c r="E14" s="3">
        <v>31</v>
      </c>
      <c r="F14" s="3">
        <v>36</v>
      </c>
      <c r="G14" s="3">
        <v>41</v>
      </c>
      <c r="H14" s="3">
        <v>46</v>
      </c>
      <c r="I14" s="3">
        <v>51</v>
      </c>
      <c r="J14" s="3">
        <v>56</v>
      </c>
      <c r="K14" s="3">
        <v>61</v>
      </c>
      <c r="L14" s="3">
        <f>ROUND(0.51*L5,0)</f>
        <v>66</v>
      </c>
      <c r="M14" s="3">
        <f>ROUND(0.51*M5,0)</f>
        <v>71</v>
      </c>
      <c r="N14" s="3">
        <f>ROUND(0.51*N5,0)</f>
        <v>77</v>
      </c>
    </row>
    <row r="15" spans="1:14" x14ac:dyDescent="0.3">
      <c r="B15" s="3">
        <v>700</v>
      </c>
      <c r="C15" s="319">
        <v>27</v>
      </c>
      <c r="D15" s="3">
        <v>30</v>
      </c>
      <c r="E15" s="3">
        <v>36</v>
      </c>
      <c r="F15" s="3">
        <v>42</v>
      </c>
      <c r="G15" s="3">
        <v>48</v>
      </c>
      <c r="H15" s="3">
        <v>54</v>
      </c>
      <c r="I15" s="3">
        <v>59</v>
      </c>
      <c r="J15" s="3">
        <v>65</v>
      </c>
      <c r="K15" s="3">
        <v>71</v>
      </c>
      <c r="L15" s="3">
        <f>ROUND(0.6*L5,0)</f>
        <v>78</v>
      </c>
      <c r="M15" s="3">
        <f>ROUND(0.6*M5,0)</f>
        <v>84</v>
      </c>
      <c r="N15" s="3">
        <f>ROUND(0.6*N5,0)</f>
        <v>90</v>
      </c>
    </row>
    <row r="16" spans="1:14" x14ac:dyDescent="0.3">
      <c r="B16" s="3">
        <v>800</v>
      </c>
      <c r="C16" s="319">
        <v>30</v>
      </c>
      <c r="D16" s="3">
        <v>34</v>
      </c>
      <c r="E16" s="3">
        <v>41</v>
      </c>
      <c r="F16" s="3">
        <v>48</v>
      </c>
      <c r="G16" s="3">
        <v>54</v>
      </c>
      <c r="H16" s="3">
        <v>61</v>
      </c>
      <c r="I16" s="3">
        <v>68</v>
      </c>
      <c r="J16" s="3">
        <v>74</v>
      </c>
      <c r="K16" s="3">
        <v>81</v>
      </c>
      <c r="L16" s="3">
        <f>ROUND(0.68*L5,0)</f>
        <v>88</v>
      </c>
      <c r="M16" s="3">
        <f>ROUND(0.68*M5,0)</f>
        <v>95</v>
      </c>
      <c r="N16" s="3">
        <f>ROUND(0.68*N5,0)</f>
        <v>102</v>
      </c>
    </row>
    <row r="18" spans="3:14" x14ac:dyDescent="0.3">
      <c r="C18" s="3">
        <v>1</v>
      </c>
      <c r="D18" s="3">
        <v>2</v>
      </c>
      <c r="E18" s="3">
        <v>3</v>
      </c>
      <c r="F18" s="3">
        <v>4</v>
      </c>
      <c r="G18" s="3">
        <v>5</v>
      </c>
      <c r="H18" s="3">
        <v>6</v>
      </c>
      <c r="I18" s="3">
        <v>7</v>
      </c>
      <c r="J18" s="3">
        <v>8</v>
      </c>
      <c r="K18" s="3">
        <v>9</v>
      </c>
      <c r="L18" s="3">
        <v>10</v>
      </c>
      <c r="M18" s="3">
        <v>11</v>
      </c>
      <c r="N18" s="319">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4.4" x14ac:dyDescent="0.3"/>
  <sheetData>
    <row r="2" spans="2:4" x14ac:dyDescent="0.3">
      <c r="B2" s="89" t="s">
        <v>140</v>
      </c>
      <c r="C2" s="89" t="s">
        <v>141</v>
      </c>
      <c r="D2" s="89" t="s">
        <v>139</v>
      </c>
    </row>
    <row r="3" spans="2:4" x14ac:dyDescent="0.3">
      <c r="B3" s="74">
        <v>0</v>
      </c>
      <c r="C3" s="74">
        <v>10</v>
      </c>
      <c r="D3" s="89" t="s">
        <v>142</v>
      </c>
    </row>
    <row r="4" spans="2:4" x14ac:dyDescent="0.3">
      <c r="B4" s="74">
        <v>10.1</v>
      </c>
      <c r="C4" s="74">
        <v>20</v>
      </c>
      <c r="D4" s="89" t="s">
        <v>143</v>
      </c>
    </row>
    <row r="5" spans="2:4" x14ac:dyDescent="0.3">
      <c r="B5" s="74">
        <v>20.100000000000001</v>
      </c>
      <c r="C5" s="74">
        <v>35</v>
      </c>
      <c r="D5" s="89" t="s">
        <v>144</v>
      </c>
    </row>
    <row r="6" spans="2:4" x14ac:dyDescent="0.3">
      <c r="B6" s="74">
        <v>35.1</v>
      </c>
      <c r="C6" s="74">
        <v>55</v>
      </c>
      <c r="D6" s="89" t="s">
        <v>145</v>
      </c>
    </row>
    <row r="7" spans="2:4" x14ac:dyDescent="0.3">
      <c r="B7" s="74">
        <v>55.1</v>
      </c>
      <c r="C7" s="74">
        <v>80</v>
      </c>
      <c r="D7" s="89" t="s">
        <v>146</v>
      </c>
    </row>
    <row r="8" spans="2:4" x14ac:dyDescent="0.3">
      <c r="B8" s="74">
        <v>80.099999999999994</v>
      </c>
      <c r="C8" s="74">
        <v>2000</v>
      </c>
      <c r="D8" s="89"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topLeftCell="F32" zoomScale="80" zoomScaleNormal="80" workbookViewId="0"/>
  </sheetViews>
  <sheetFormatPr defaultColWidth="9.109375" defaultRowHeight="14.4" x14ac:dyDescent="0.3"/>
  <cols>
    <col min="1" max="1" width="9.109375" style="200"/>
    <col min="2" max="2" width="18.33203125" style="200" bestFit="1" customWidth="1"/>
    <col min="3" max="11" width="9.109375" style="200"/>
    <col min="12" max="13" width="9.109375" style="200" customWidth="1"/>
    <col min="14" max="14" width="15.5546875" style="200" customWidth="1"/>
    <col min="15" max="26" width="9.109375" style="200" customWidth="1"/>
    <col min="27" max="27" width="9.109375" style="381" customWidth="1"/>
    <col min="28" max="28" width="9.109375" style="200" customWidth="1"/>
    <col min="29" max="31" width="9.109375" style="200"/>
    <col min="32" max="32" width="13" style="200" bestFit="1" customWidth="1"/>
    <col min="33" max="16384" width="9.109375" style="200"/>
  </cols>
  <sheetData>
    <row r="1" spans="2:27" s="202" customFormat="1" x14ac:dyDescent="0.3">
      <c r="D1" s="202">
        <v>111</v>
      </c>
      <c r="E1" s="202">
        <v>112</v>
      </c>
      <c r="F1" s="202">
        <v>212</v>
      </c>
      <c r="G1" s="202">
        <v>211</v>
      </c>
      <c r="H1" s="202">
        <v>121</v>
      </c>
      <c r="I1" s="202">
        <v>122</v>
      </c>
      <c r="J1" s="202">
        <v>221</v>
      </c>
      <c r="K1" s="202">
        <v>222</v>
      </c>
      <c r="AA1" s="381"/>
    </row>
    <row r="2" spans="2:27" x14ac:dyDescent="0.3">
      <c r="B2" s="203" t="s">
        <v>124</v>
      </c>
      <c r="D2" s="200">
        <v>1</v>
      </c>
      <c r="E2" s="200">
        <v>2</v>
      </c>
      <c r="F2" s="200">
        <v>3</v>
      </c>
      <c r="G2" s="200">
        <v>4</v>
      </c>
      <c r="H2" s="200">
        <v>5</v>
      </c>
      <c r="I2" s="200">
        <v>6</v>
      </c>
      <c r="J2" s="200">
        <v>7</v>
      </c>
      <c r="K2" s="200">
        <v>8</v>
      </c>
      <c r="N2" s="200" t="s">
        <v>278</v>
      </c>
      <c r="O2" s="66" t="s">
        <v>13</v>
      </c>
      <c r="P2" s="66" t="s">
        <v>14</v>
      </c>
      <c r="Q2" s="66" t="s">
        <v>18</v>
      </c>
      <c r="R2" s="66" t="s">
        <v>19</v>
      </c>
      <c r="S2" s="66" t="s">
        <v>3</v>
      </c>
      <c r="T2" s="66" t="s">
        <v>4</v>
      </c>
      <c r="U2" s="66" t="s">
        <v>8</v>
      </c>
      <c r="V2" s="66" t="s">
        <v>9</v>
      </c>
    </row>
    <row r="3" spans="2:27" x14ac:dyDescent="0.3">
      <c r="B3" s="200" t="s">
        <v>277</v>
      </c>
      <c r="D3" s="200">
        <f>'Phase calculation'!C83</f>
        <v>0</v>
      </c>
      <c r="E3" s="213">
        <f>'Phase calculation'!D83</f>
        <v>59</v>
      </c>
      <c r="F3" s="213">
        <f>'Phase calculation'!E83</f>
        <v>15</v>
      </c>
      <c r="G3" s="213">
        <f>'Phase calculation'!F83</f>
        <v>46</v>
      </c>
      <c r="H3" s="200">
        <f>'Phase calculation'!C84</f>
        <v>0</v>
      </c>
      <c r="I3" s="213">
        <f>'Phase calculation'!D84</f>
        <v>59</v>
      </c>
      <c r="J3" s="213">
        <f>'Phase calculation'!E84</f>
        <v>12</v>
      </c>
      <c r="K3" s="213">
        <f>'Phase calculation'!F84</f>
        <v>49</v>
      </c>
      <c r="N3" s="200" t="s">
        <v>279</v>
      </c>
      <c r="P3" s="200">
        <f>IF('Summary sheet'!U15=0,0,MAX(30,12*'Summary sheet'!U15+12))</f>
        <v>120</v>
      </c>
      <c r="R3" s="200">
        <f>IF('Summary sheet'!AA15=0,0,MAX(30,12*'Summary sheet'!AA15+12))</f>
        <v>132</v>
      </c>
      <c r="T3" s="200">
        <f>IF('Summary sheet'!Z17=0,0,MAX(30,12*'Summary sheet'!Z17+12))</f>
        <v>84</v>
      </c>
      <c r="V3" s="200">
        <f>IF('Summary sheet'!Z4=0,0,MAX(30,12*'Summary sheet'!Z4+12))</f>
        <v>144</v>
      </c>
    </row>
    <row r="4" spans="2:27" x14ac:dyDescent="0.3">
      <c r="B4" s="200" t="s">
        <v>73</v>
      </c>
      <c r="D4" s="200" t="str">
        <f>'Phase designation'!K41</f>
        <v/>
      </c>
      <c r="E4" s="200" t="str">
        <f>'Phase designation'!L41</f>
        <v>EBT</v>
      </c>
      <c r="F4" s="200" t="str">
        <f>'Phase designation'!M41</f>
        <v>NBL</v>
      </c>
      <c r="G4" s="200" t="str">
        <f>'Phase designation'!N41</f>
        <v>SBT</v>
      </c>
      <c r="H4" s="200" t="str">
        <f>'Phase designation'!K42</f>
        <v/>
      </c>
      <c r="I4" s="200" t="str">
        <f>'Phase designation'!L42</f>
        <v>WBT</v>
      </c>
      <c r="J4" s="200" t="str">
        <f>'Phase designation'!M42</f>
        <v>SBL</v>
      </c>
      <c r="K4" s="200" t="str">
        <f>'Phase designation'!N42</f>
        <v>NBT</v>
      </c>
      <c r="N4" s="204" t="s">
        <v>294</v>
      </c>
      <c r="P4" s="200">
        <f>MAX(Sheet1!N11:P11)</f>
        <v>35</v>
      </c>
      <c r="R4" s="200">
        <f>MAX(Sheet1!S11:U11)</f>
        <v>35</v>
      </c>
      <c r="T4" s="200">
        <f>MAX(Sheet1!C11:F11,Sheet1!W11:AB11)</f>
        <v>20</v>
      </c>
      <c r="V4" s="200">
        <f>MAX(Sheet1!I11:K11,Sheet1!AC11:AH11)</f>
        <v>35</v>
      </c>
    </row>
    <row r="5" spans="2:27" s="210" customFormat="1" x14ac:dyDescent="0.3">
      <c r="B5" s="210" t="s">
        <v>42</v>
      </c>
      <c r="E5" s="210">
        <f>IF(E4="",0,INDEX($O$6:$V$6,1,E6))</f>
        <v>35</v>
      </c>
      <c r="G5" s="210">
        <f>IF(G4="",0,INDEX($O$6:$V$6,1,G6))</f>
        <v>35</v>
      </c>
      <c r="I5" s="210">
        <f>IF(I4="",0,INDEX($O$6:$V$6,1,I6))</f>
        <v>35</v>
      </c>
      <c r="K5" s="210">
        <f>IF(K4="",0,INDEX($O$6:$V$6,1,K6))</f>
        <v>25</v>
      </c>
      <c r="AA5" s="381"/>
    </row>
    <row r="6" spans="2:27" x14ac:dyDescent="0.3">
      <c r="B6" s="210" t="s">
        <v>301</v>
      </c>
      <c r="D6" s="200">
        <f t="shared" ref="D6:K6" si="0">IF(D4="",0,MATCH(D4,$O$2:$V$2,0))</f>
        <v>0</v>
      </c>
      <c r="E6" s="200">
        <f t="shared" si="0"/>
        <v>2</v>
      </c>
      <c r="F6" s="200">
        <f t="shared" si="0"/>
        <v>5</v>
      </c>
      <c r="G6" s="200">
        <f t="shared" si="0"/>
        <v>8</v>
      </c>
      <c r="H6" s="200">
        <f t="shared" si="0"/>
        <v>0</v>
      </c>
      <c r="I6" s="200">
        <f t="shared" si="0"/>
        <v>4</v>
      </c>
      <c r="J6" s="200">
        <f t="shared" si="0"/>
        <v>7</v>
      </c>
      <c r="K6" s="200">
        <f t="shared" si="0"/>
        <v>6</v>
      </c>
      <c r="N6" s="204" t="s">
        <v>295</v>
      </c>
      <c r="P6" s="200">
        <f>IF(P4&lt;25,25,ROUNDDOWN(P4/5,0)*5)</f>
        <v>35</v>
      </c>
      <c r="R6" s="204">
        <f>IF(R4&lt;25,25,ROUNDDOWN(R4/5,0)*5)</f>
        <v>35</v>
      </c>
      <c r="T6" s="204">
        <f>IF(T4&lt;25,25,ROUNDDOWN(T4/5,0)*5)</f>
        <v>25</v>
      </c>
      <c r="V6" s="204">
        <f>IF(V4&lt;25,25,ROUNDDOWN(V4/5,0)*5)</f>
        <v>35</v>
      </c>
    </row>
    <row r="7" spans="2:27" x14ac:dyDescent="0.3">
      <c r="B7" s="200" t="s">
        <v>261</v>
      </c>
      <c r="D7" s="200">
        <f>IF(D6=0,0,INDEX($O$8:$V$8,1,D6))</f>
        <v>0</v>
      </c>
      <c r="E7" s="200">
        <f t="shared" ref="E7:K7" si="1">IF(E6=0,0,INDEX($O$8:$V$8,1,E6))</f>
        <v>3.6</v>
      </c>
      <c r="F7" s="200">
        <f t="shared" si="1"/>
        <v>3</v>
      </c>
      <c r="G7" s="200">
        <f t="shared" si="1"/>
        <v>3.6</v>
      </c>
      <c r="H7" s="200">
        <f t="shared" si="1"/>
        <v>0</v>
      </c>
      <c r="I7" s="200">
        <f t="shared" si="1"/>
        <v>3.6</v>
      </c>
      <c r="J7" s="200">
        <f t="shared" si="1"/>
        <v>3.6</v>
      </c>
      <c r="K7" s="200">
        <f t="shared" si="1"/>
        <v>3</v>
      </c>
      <c r="N7" s="200" t="s">
        <v>282</v>
      </c>
      <c r="P7" s="200">
        <f>IF(P6=0,0,MATCH(P6,'Y-AllRed'!$A:$A))</f>
        <v>6</v>
      </c>
      <c r="R7" s="200">
        <f>IF(R6=0,0,MATCH(R6,'Y-AllRed'!$A:$A))</f>
        <v>6</v>
      </c>
      <c r="T7" s="200">
        <f>IF(T6=0,0,MATCH(T6,'Y-AllRed'!$A:$A))</f>
        <v>4</v>
      </c>
      <c r="V7" s="200">
        <f>IF(V6=0,0,MATCH(V6,'Y-AllRed'!$A:$A))</f>
        <v>6</v>
      </c>
    </row>
    <row r="8" spans="2:27" x14ac:dyDescent="0.3">
      <c r="B8" s="200" t="s">
        <v>285</v>
      </c>
      <c r="D8" s="200">
        <f>IF(D6=0,0,INDEX($O$11:$V$11,1,D6))</f>
        <v>0</v>
      </c>
      <c r="E8" s="200">
        <f t="shared" ref="E8:K8" si="2">IF(E6=0,0,INDEX($O$11:$V$11,1,E6))</f>
        <v>2.5</v>
      </c>
      <c r="F8" s="200">
        <f t="shared" si="2"/>
        <v>3</v>
      </c>
      <c r="G8" s="200">
        <f t="shared" si="2"/>
        <v>2.5</v>
      </c>
      <c r="H8" s="200">
        <f t="shared" si="2"/>
        <v>0</v>
      </c>
      <c r="I8" s="200">
        <f t="shared" si="2"/>
        <v>2.5</v>
      </c>
      <c r="J8" s="200">
        <f t="shared" si="2"/>
        <v>2.5</v>
      </c>
      <c r="K8" s="200">
        <f t="shared" si="2"/>
        <v>3</v>
      </c>
      <c r="N8" s="201" t="s">
        <v>261</v>
      </c>
      <c r="O8" s="201">
        <f>IF('Phase calculation'!C34=0,P8,IF('Phase calculation'!C34&lt;11.9,3,P8))</f>
        <v>3.6</v>
      </c>
      <c r="P8" s="201">
        <f>IF(P3=0,0,INDEX('Y-AllRed'!$B:$B,Phasing!P7))</f>
        <v>3.6</v>
      </c>
      <c r="Q8" s="496">
        <f>IF('Phase calculation'!F34=0,R8,IF('Phase calculation'!F34&lt;11.9,3,R8))</f>
        <v>3.6</v>
      </c>
      <c r="R8" s="201">
        <f>IF(R3=0,0,INDEX('Y-AllRed'!$B:$B,Phasing!R7))</f>
        <v>3.6</v>
      </c>
      <c r="S8" s="496">
        <f>IF('Phase calculation'!I34=0,T8,IF('Phase calculation'!I34&lt;11.9,3,T8))</f>
        <v>3</v>
      </c>
      <c r="T8" s="201">
        <f>IF(T3=0,0,INDEX('Y-AllRed'!$B:$B,Phasing!T7))</f>
        <v>3</v>
      </c>
      <c r="U8" s="496">
        <f>IF('Phase calculation'!L34=0,V8,IF('Phase calculation'!L34&lt;11.9,3,V8))</f>
        <v>3.6</v>
      </c>
      <c r="V8" s="201">
        <f>IF(V3=0,0,INDEX('Y-AllRed'!$B:$B,Phasing!V7))</f>
        <v>3.6</v>
      </c>
    </row>
    <row r="9" spans="2:27" x14ac:dyDescent="0.3">
      <c r="B9" s="200" t="s">
        <v>264</v>
      </c>
      <c r="E9" s="203">
        <f>IF(E6=0,0,INDEX($O$22:$V$22,1,E6))</f>
        <v>5</v>
      </c>
      <c r="G9" s="215">
        <f>IF(G6=0,0,INDEX($O$22:$V$22,1,G6))</f>
        <v>5</v>
      </c>
      <c r="I9" s="215">
        <f>IF(I6=0,0,INDEX($O$22:$V$22,1,I6))</f>
        <v>5</v>
      </c>
      <c r="K9" s="215">
        <f>IF(K6=0,0,INDEX($O$22:$V$22,1,K6))</f>
        <v>5</v>
      </c>
      <c r="N9" s="200" t="s">
        <v>283</v>
      </c>
      <c r="P9" s="200">
        <f>P7</f>
        <v>6</v>
      </c>
      <c r="R9" s="200">
        <f>R7</f>
        <v>6</v>
      </c>
      <c r="T9" s="200">
        <f>T7</f>
        <v>4</v>
      </c>
      <c r="V9" s="200">
        <f>V7</f>
        <v>6</v>
      </c>
    </row>
    <row r="10" spans="2:27" x14ac:dyDescent="0.3">
      <c r="B10" s="200" t="s">
        <v>286</v>
      </c>
      <c r="E10" s="200">
        <f>IF(E9=0,0,INDEX($O$19:$V$19,E6))</f>
        <v>24</v>
      </c>
      <c r="F10" s="203"/>
      <c r="G10" s="210">
        <f>IF(G9=0,0,INDEX($O$19:$V$19,G6))</f>
        <v>34</v>
      </c>
      <c r="H10" s="203"/>
      <c r="I10" s="210">
        <f>IF(I9=0,0,INDEX($O$19:$V$19,I6))</f>
        <v>41</v>
      </c>
      <c r="J10" s="203"/>
      <c r="K10" s="210">
        <f>IF(K9=0,0,INDEX($O$19:$V$19,K6))</f>
        <v>38</v>
      </c>
      <c r="N10" s="200" t="s">
        <v>284</v>
      </c>
      <c r="P10" s="200">
        <f>IF(P3=0,0,1+MATCH(P3,'Y-AllRed'!$3:$3))</f>
        <v>8</v>
      </c>
      <c r="R10" s="200">
        <f>IF(R3=0,0,1+MATCH(R3,'Y-AllRed'!$3:$3))</f>
        <v>8</v>
      </c>
      <c r="T10" s="200">
        <f>IF(T3=0,0,1+MATCH(T3,'Y-AllRed'!$3:$3))</f>
        <v>6</v>
      </c>
      <c r="V10" s="200">
        <f>IF(V3=0,0,1+MATCH(V3,'Y-AllRed'!$3:$3))</f>
        <v>8</v>
      </c>
    </row>
    <row r="11" spans="2:27" x14ac:dyDescent="0.3">
      <c r="B11" s="200" t="s">
        <v>287</v>
      </c>
      <c r="D11" s="200">
        <f>IF(D4="",0,5)</f>
        <v>0</v>
      </c>
      <c r="E11" s="200">
        <f>IF(E5&gt;40,15,10)</f>
        <v>10</v>
      </c>
      <c r="F11" s="210">
        <f>IF(F4="",0,5)</f>
        <v>5</v>
      </c>
      <c r="G11" s="210">
        <f>IF(G5&gt;40,15,10)</f>
        <v>10</v>
      </c>
      <c r="H11" s="210">
        <f>IF(H4="",0,5)</f>
        <v>0</v>
      </c>
      <c r="I11" s="210">
        <f>IF(I5&gt;40,15,10)</f>
        <v>10</v>
      </c>
      <c r="J11" s="210">
        <f>IF(J4="",0,5)</f>
        <v>5</v>
      </c>
      <c r="K11" s="210">
        <f>IF(K5&gt;40,15,10)</f>
        <v>10</v>
      </c>
      <c r="N11" s="76" t="s">
        <v>262</v>
      </c>
      <c r="O11" s="76">
        <f>IF('Phase calculation'!C34=0,P11,IF('Phase calculation'!C34&lt;11.9,'Phase calculation'!C34-O8-O12,P11))</f>
        <v>2.5</v>
      </c>
      <c r="P11" s="76">
        <f>INDEX('Y-AllRed'!1:1048576,Phasing!P9,Phasing!P10)</f>
        <v>2.5</v>
      </c>
      <c r="Q11" s="494">
        <f>IF('Phase calculation'!F34=0,R11,IF('Phase calculation'!F34&lt;11.9,'Phase calculation'!F34-Q8-Q12,R11))</f>
        <v>2.5</v>
      </c>
      <c r="R11" s="76">
        <f>INDEX('Y-AllRed'!1:1048576,Phasing!R9,Phasing!R10)</f>
        <v>2.5</v>
      </c>
      <c r="S11" s="494">
        <f>IF('Phase calculation'!I34=0,T11,IF('Phase calculation'!I34&lt;11.9,'Phase calculation'!I34-S8-S12,T11))</f>
        <v>3</v>
      </c>
      <c r="T11" s="76">
        <f>INDEX('Y-AllRed'!1:1048576,Phasing!T9,Phasing!T10)</f>
        <v>3</v>
      </c>
      <c r="U11" s="494">
        <f>IF('Phase calculation'!L34=0,V11,IF('Phase calculation'!L34&lt;11.9,'Phase calculation'!L34-U8-U12,V11))</f>
        <v>2.5</v>
      </c>
      <c r="V11" s="76">
        <f>INDEX('Y-AllRed'!1:1048576,Phasing!V9,Phasing!V10)</f>
        <v>2.5</v>
      </c>
    </row>
    <row r="12" spans="2:27" x14ac:dyDescent="0.3">
      <c r="B12" s="200" t="s">
        <v>288</v>
      </c>
      <c r="D12" s="77">
        <f>IF(D4="",0,ROUNDUP(INDEX($O$16:$V$16,D6),0))</f>
        <v>0</v>
      </c>
      <c r="E12" s="324">
        <f t="shared" ref="E12:K12" si="3">IF(E4="",0,ROUNDUP(INDEX($O$16:$V$16,E6),0))</f>
        <v>53</v>
      </c>
      <c r="F12" s="324">
        <f t="shared" si="3"/>
        <v>15</v>
      </c>
      <c r="G12" s="324">
        <f t="shared" si="3"/>
        <v>40</v>
      </c>
      <c r="H12" s="324">
        <f t="shared" si="3"/>
        <v>0</v>
      </c>
      <c r="I12" s="324">
        <f t="shared" si="3"/>
        <v>53</v>
      </c>
      <c r="J12" s="324">
        <f t="shared" si="3"/>
        <v>7</v>
      </c>
      <c r="K12" s="324">
        <f t="shared" si="3"/>
        <v>43</v>
      </c>
      <c r="L12" s="77"/>
      <c r="N12" s="200" t="s">
        <v>255</v>
      </c>
      <c r="O12" s="200" t="str">
        <f>IFERROR(INDEX($D$11:$K$11,MATCH(O2,$D$4:$K$4,0)),"")</f>
        <v/>
      </c>
      <c r="P12" s="495">
        <f t="shared" ref="P12:V12" si="4">IFERROR(INDEX($D$11:$K$11,MATCH(P2,$D$4:$K$4,0)),"")</f>
        <v>10</v>
      </c>
      <c r="Q12" s="495" t="str">
        <f t="shared" si="4"/>
        <v/>
      </c>
      <c r="R12" s="495">
        <f t="shared" si="4"/>
        <v>10</v>
      </c>
      <c r="S12" s="495">
        <f t="shared" si="4"/>
        <v>5</v>
      </c>
      <c r="T12" s="495">
        <f t="shared" si="4"/>
        <v>10</v>
      </c>
      <c r="U12" s="495">
        <f t="shared" si="4"/>
        <v>5</v>
      </c>
      <c r="V12" s="495">
        <f t="shared" si="4"/>
        <v>10</v>
      </c>
    </row>
    <row r="13" spans="2:27" x14ac:dyDescent="0.3">
      <c r="N13" s="200" t="s">
        <v>256</v>
      </c>
      <c r="O13" s="200">
        <v>1</v>
      </c>
      <c r="P13" s="200">
        <v>20</v>
      </c>
      <c r="Q13" s="200">
        <v>25</v>
      </c>
      <c r="R13" s="200">
        <v>30</v>
      </c>
      <c r="S13" s="200">
        <v>35</v>
      </c>
      <c r="T13" s="200">
        <v>40</v>
      </c>
      <c r="U13" s="200">
        <v>45</v>
      </c>
      <c r="V13" s="200">
        <v>50</v>
      </c>
      <c r="W13" s="200">
        <v>55</v>
      </c>
      <c r="X13" s="200">
        <v>60</v>
      </c>
      <c r="Y13" s="200">
        <v>65</v>
      </c>
      <c r="Z13" s="200">
        <v>70</v>
      </c>
    </row>
    <row r="14" spans="2:27" x14ac:dyDescent="0.3">
      <c r="B14" s="200" t="s">
        <v>258</v>
      </c>
      <c r="D14" s="200">
        <f>IF(D3=0,0,10)</f>
        <v>0</v>
      </c>
      <c r="E14" s="200">
        <f t="shared" ref="E14:K14" si="5">IF(E3=0,0,10)</f>
        <v>10</v>
      </c>
      <c r="F14" s="200">
        <f t="shared" si="5"/>
        <v>10</v>
      </c>
      <c r="G14" s="200">
        <f t="shared" si="5"/>
        <v>10</v>
      </c>
      <c r="H14" s="200">
        <f t="shared" si="5"/>
        <v>0</v>
      </c>
      <c r="I14" s="200">
        <f t="shared" si="5"/>
        <v>10</v>
      </c>
      <c r="J14" s="200">
        <f t="shared" si="5"/>
        <v>10</v>
      </c>
      <c r="K14" s="200">
        <f t="shared" si="5"/>
        <v>10</v>
      </c>
      <c r="N14" s="200" t="s">
        <v>259</v>
      </c>
      <c r="O14" s="200">
        <v>8</v>
      </c>
      <c r="P14" s="200">
        <v>8</v>
      </c>
      <c r="Q14" s="200">
        <v>10</v>
      </c>
      <c r="R14" s="200">
        <v>13</v>
      </c>
      <c r="S14" s="200">
        <v>15</v>
      </c>
      <c r="T14" s="200">
        <v>18</v>
      </c>
      <c r="U14" s="200">
        <v>20</v>
      </c>
      <c r="V14" s="200">
        <v>23</v>
      </c>
      <c r="W14" s="200">
        <v>25</v>
      </c>
      <c r="X14" s="200">
        <v>28</v>
      </c>
      <c r="Y14" s="200">
        <v>30</v>
      </c>
      <c r="Z14" s="200">
        <v>33</v>
      </c>
    </row>
    <row r="15" spans="2:27" x14ac:dyDescent="0.3">
      <c r="B15" s="200" t="s">
        <v>259</v>
      </c>
      <c r="D15" s="200">
        <f>IF(D3=0,0,INDEX($O$14:$Z$14,1,O17))</f>
        <v>0</v>
      </c>
      <c r="E15" s="203">
        <f t="shared" ref="E15:K15" si="6">IF(E3=0,0,INDEX($O$14:$Z$14,1,P17))</f>
        <v>23</v>
      </c>
      <c r="F15" s="203">
        <f t="shared" si="6"/>
        <v>33</v>
      </c>
      <c r="G15" s="203">
        <f t="shared" si="6"/>
        <v>23</v>
      </c>
      <c r="H15" s="203">
        <f t="shared" si="6"/>
        <v>0</v>
      </c>
      <c r="I15" s="203">
        <f t="shared" si="6"/>
        <v>18</v>
      </c>
      <c r="J15" s="203">
        <f t="shared" si="6"/>
        <v>8</v>
      </c>
      <c r="K15" s="203">
        <f t="shared" si="6"/>
        <v>15</v>
      </c>
      <c r="O15" s="200">
        <v>1</v>
      </c>
      <c r="P15" s="200">
        <v>2</v>
      </c>
      <c r="Q15" s="200">
        <v>3</v>
      </c>
      <c r="R15" s="200">
        <v>4</v>
      </c>
      <c r="S15" s="200">
        <v>5</v>
      </c>
      <c r="T15" s="200">
        <v>6</v>
      </c>
      <c r="U15" s="200">
        <v>7</v>
      </c>
      <c r="V15" s="200">
        <v>8</v>
      </c>
    </row>
    <row r="16" spans="2:27" x14ac:dyDescent="0.3">
      <c r="B16" s="200" t="s">
        <v>290</v>
      </c>
      <c r="D16" s="200">
        <f>IF(D4="",0,INDEX($O$28:$V$28,D6))</f>
        <v>0</v>
      </c>
      <c r="E16" s="222">
        <f t="shared" ref="E16:K16" si="7">IF(E4="",0,INDEX($O$28:$V$28,E6))</f>
        <v>0.3</v>
      </c>
      <c r="F16" s="222">
        <f t="shared" si="7"/>
        <v>0</v>
      </c>
      <c r="G16" s="222">
        <f t="shared" si="7"/>
        <v>0.3</v>
      </c>
      <c r="H16" s="222">
        <f t="shared" si="7"/>
        <v>0</v>
      </c>
      <c r="I16" s="222">
        <f t="shared" si="7"/>
        <v>0.3</v>
      </c>
      <c r="J16" s="222">
        <f t="shared" si="7"/>
        <v>0.3</v>
      </c>
      <c r="K16" s="222">
        <f t="shared" si="7"/>
        <v>0</v>
      </c>
      <c r="N16" s="200" t="s">
        <v>288</v>
      </c>
      <c r="O16" s="351">
        <f>'Phase calculation'!C29</f>
        <v>120</v>
      </c>
      <c r="P16" s="351">
        <f>'Phase calculation'!D29</f>
        <v>52.9</v>
      </c>
      <c r="Q16" s="351">
        <f>'Phase calculation'!F29</f>
        <v>120</v>
      </c>
      <c r="R16" s="351">
        <f>'Phase calculation'!G29</f>
        <v>52.9</v>
      </c>
      <c r="S16" s="351">
        <f>'Phase calculation'!I29</f>
        <v>15</v>
      </c>
      <c r="T16" s="351">
        <f>'Phase calculation'!J29</f>
        <v>43</v>
      </c>
      <c r="U16" s="351">
        <f>'Phase calculation'!L29</f>
        <v>7</v>
      </c>
      <c r="V16" s="351">
        <f>'Phase calculation'!M29</f>
        <v>39.9</v>
      </c>
    </row>
    <row r="17" spans="1:32" x14ac:dyDescent="0.3">
      <c r="B17" s="200" t="s">
        <v>257</v>
      </c>
      <c r="D17" s="200">
        <f>IF(D4="",0,INDEX($O$27:$V$27,D6))</f>
        <v>0</v>
      </c>
      <c r="E17" s="222">
        <f t="shared" ref="E17:K17" si="8">IF(E4="",0,INDEX($O$27:$V$27,E6))</f>
        <v>2.2999999999999998</v>
      </c>
      <c r="F17" s="222">
        <f t="shared" si="8"/>
        <v>1.5</v>
      </c>
      <c r="G17" s="222">
        <f t="shared" si="8"/>
        <v>2.2999999999999998</v>
      </c>
      <c r="H17" s="222">
        <f t="shared" si="8"/>
        <v>0</v>
      </c>
      <c r="I17" s="222">
        <f t="shared" si="8"/>
        <v>2.2999999999999998</v>
      </c>
      <c r="J17" s="222">
        <f t="shared" si="8"/>
        <v>2.2999999999999998</v>
      </c>
      <c r="K17" s="222">
        <f t="shared" si="8"/>
        <v>1.5</v>
      </c>
      <c r="N17" s="200" t="s">
        <v>289</v>
      </c>
      <c r="O17" s="200">
        <f>IF(O16=0,0,MATCH(O16,$O$13:$Z$13,1))</f>
        <v>12</v>
      </c>
      <c r="P17" s="203">
        <f t="shared" ref="P17:V17" si="9">IF(P16=0,0,MATCH(P16,$O$13:$Z$13,1))</f>
        <v>8</v>
      </c>
      <c r="Q17" s="203">
        <f t="shared" si="9"/>
        <v>12</v>
      </c>
      <c r="R17" s="203">
        <f t="shared" si="9"/>
        <v>8</v>
      </c>
      <c r="S17" s="203">
        <f t="shared" si="9"/>
        <v>1</v>
      </c>
      <c r="T17" s="203">
        <f t="shared" si="9"/>
        <v>6</v>
      </c>
      <c r="U17" s="203">
        <f t="shared" si="9"/>
        <v>1</v>
      </c>
      <c r="V17" s="203">
        <f t="shared" si="9"/>
        <v>5</v>
      </c>
    </row>
    <row r="18" spans="1:32" x14ac:dyDescent="0.3">
      <c r="B18" s="200" t="s">
        <v>267</v>
      </c>
      <c r="D18" s="200">
        <f>IF(D4="",0,9)</f>
        <v>0</v>
      </c>
      <c r="E18" s="210">
        <f>IF(E9=0,ROUNDUP(E11+E7+E8,0),ROUNDUP(E9+E10+E7+E8,0))</f>
        <v>36</v>
      </c>
      <c r="F18" s="210">
        <f>IF(F4="",0,9)</f>
        <v>9</v>
      </c>
      <c r="G18" s="222">
        <f>IF(G9=0,ROUNDUP(G11+G7+G8,0),ROUNDUP(G9+G10+G7+G8,0))</f>
        <v>46</v>
      </c>
      <c r="H18" s="210">
        <f>IF(H4="",0,9)</f>
        <v>0</v>
      </c>
      <c r="I18" s="222">
        <f>IF(I9=0,ROUNDUP(I11+I7+I8,0),ROUNDUP(I9+I10+I7+I8,0))</f>
        <v>53</v>
      </c>
      <c r="J18" s="210">
        <f>IF(J4="",0,9)</f>
        <v>9</v>
      </c>
      <c r="K18" s="222">
        <f>IF(K9=0,ROUNDUP(K11+K7+K8,0),ROUNDUP(K9+K10+K7+K8,0))</f>
        <v>49</v>
      </c>
      <c r="N18" s="203" t="s">
        <v>291</v>
      </c>
      <c r="P18" s="203">
        <f>IF(E4="",0,MATCH(E4,$O$2:$V$2,0))</f>
        <v>2</v>
      </c>
      <c r="Q18" s="203"/>
      <c r="R18" s="203">
        <f>IF(G4="",0,MATCH(G4,$O$2:$V$2,0))</f>
        <v>8</v>
      </c>
      <c r="S18" s="203"/>
      <c r="T18" s="203">
        <f>IF(I4="",0,MATCH(I4,$O$2:$V$2,0))</f>
        <v>4</v>
      </c>
      <c r="U18" s="203"/>
      <c r="V18" s="203">
        <f>IF(K4="",0,MATCH(K4,$O$2:$V$2,0))</f>
        <v>6</v>
      </c>
    </row>
    <row r="19" spans="1:32" x14ac:dyDescent="0.3">
      <c r="B19" s="200" t="s">
        <v>270</v>
      </c>
      <c r="D19" s="200">
        <v>0</v>
      </c>
      <c r="E19" s="200">
        <f>IF(D3=0,0,D20)</f>
        <v>0</v>
      </c>
      <c r="F19" s="200">
        <f>E20</f>
        <v>59</v>
      </c>
      <c r="G19" s="200">
        <f>F20</f>
        <v>74</v>
      </c>
      <c r="H19" s="200">
        <v>0</v>
      </c>
      <c r="I19" s="200">
        <f>IF(H3=0,0,H20)</f>
        <v>0</v>
      </c>
      <c r="J19" s="200">
        <f>I20</f>
        <v>59</v>
      </c>
      <c r="K19" s="200">
        <f>J20</f>
        <v>71</v>
      </c>
      <c r="N19" s="203" t="s">
        <v>265</v>
      </c>
      <c r="P19" s="200">
        <f>ROUND(T3/'Input sheet'!$V$10,0)</f>
        <v>24</v>
      </c>
      <c r="Q19" s="203"/>
      <c r="R19" s="479">
        <f>ROUND(V3/'Input sheet'!$V$10,0)</f>
        <v>41</v>
      </c>
      <c r="S19" s="203"/>
      <c r="T19" s="479">
        <f>ROUND(R3/'Input sheet'!$V$10,0)</f>
        <v>38</v>
      </c>
      <c r="U19" s="203"/>
      <c r="V19" s="479">
        <f>ROUND(P3/'Input sheet'!$V$10,0)</f>
        <v>34</v>
      </c>
    </row>
    <row r="20" spans="1:32" x14ac:dyDescent="0.3">
      <c r="B20" s="200" t="s">
        <v>271</v>
      </c>
      <c r="D20" s="200">
        <f t="shared" ref="D20:K20" si="10">D19+D3</f>
        <v>0</v>
      </c>
      <c r="E20" s="200">
        <f t="shared" si="10"/>
        <v>59</v>
      </c>
      <c r="F20" s="200">
        <f t="shared" si="10"/>
        <v>74</v>
      </c>
      <c r="G20" s="200">
        <f t="shared" si="10"/>
        <v>120</v>
      </c>
      <c r="H20" s="200">
        <f t="shared" si="10"/>
        <v>0</v>
      </c>
      <c r="I20" s="200">
        <f t="shared" si="10"/>
        <v>59</v>
      </c>
      <c r="J20" s="200">
        <f t="shared" si="10"/>
        <v>71</v>
      </c>
      <c r="K20" s="200">
        <f t="shared" si="10"/>
        <v>120</v>
      </c>
      <c r="N20" s="203" t="s">
        <v>292</v>
      </c>
      <c r="P20" s="200">
        <v>4</v>
      </c>
      <c r="R20" s="200">
        <v>4</v>
      </c>
      <c r="T20" s="200">
        <v>4</v>
      </c>
      <c r="V20" s="200">
        <v>4</v>
      </c>
    </row>
    <row r="21" spans="1:32" x14ac:dyDescent="0.3">
      <c r="B21" s="200" t="s">
        <v>272</v>
      </c>
      <c r="D21" s="200">
        <f>ROUND(IF(D3=0,0,D20-D7-D8),0)</f>
        <v>0</v>
      </c>
      <c r="E21" s="200">
        <f t="shared" ref="E21:K21" si="11">ROUND(IF(E3=0,0,E20-E7-E8),0)</f>
        <v>53</v>
      </c>
      <c r="F21" s="200">
        <f t="shared" si="11"/>
        <v>68</v>
      </c>
      <c r="G21" s="200">
        <f t="shared" si="11"/>
        <v>114</v>
      </c>
      <c r="H21" s="200">
        <f t="shared" si="11"/>
        <v>0</v>
      </c>
      <c r="I21" s="200">
        <f t="shared" si="11"/>
        <v>53</v>
      </c>
      <c r="J21" s="200">
        <f t="shared" si="11"/>
        <v>65</v>
      </c>
      <c r="K21" s="200">
        <f t="shared" si="11"/>
        <v>114</v>
      </c>
      <c r="N21" s="203" t="s">
        <v>293</v>
      </c>
      <c r="P21" s="203">
        <f>IF(E9=0,0,MIN(ROUNDDOWN(E3-E7-E8-E9,0),ROUNDUP(E9+P19+E7+E8,0)))</f>
        <v>36</v>
      </c>
      <c r="Q21" s="203"/>
      <c r="R21" s="203">
        <f>IF(G9=0,0,MIN(ROUNDDOWN(G3-G7-G8-G9,0),ROUNDUP(G9+R19+G7+G8,0)))</f>
        <v>34</v>
      </c>
      <c r="S21" s="203"/>
      <c r="T21" s="203">
        <f>IF(I9=0,0,MIN(ROUNDDOWN(I3-I7-I8-I9,0),ROUNDUP(I9+T19+I7+I8,0)))</f>
        <v>47</v>
      </c>
      <c r="U21" s="203"/>
      <c r="V21" s="203">
        <f>IF(K9=0,0,MIN(ROUNDDOWN(K3-K7-K8-K9,0),ROUNDUP(K9+V19+K7+K8,0)))</f>
        <v>38</v>
      </c>
    </row>
    <row r="22" spans="1:32" x14ac:dyDescent="0.3">
      <c r="B22" s="200" t="s">
        <v>273</v>
      </c>
      <c r="D22" s="200">
        <f>D21</f>
        <v>0</v>
      </c>
      <c r="E22" s="200">
        <f t="shared" ref="E22:K22" si="12">E21</f>
        <v>53</v>
      </c>
      <c r="F22" s="200">
        <f t="shared" si="12"/>
        <v>68</v>
      </c>
      <c r="G22" s="200">
        <f t="shared" si="12"/>
        <v>114</v>
      </c>
      <c r="H22" s="200">
        <f t="shared" si="12"/>
        <v>0</v>
      </c>
      <c r="I22" s="200">
        <f t="shared" si="12"/>
        <v>53</v>
      </c>
      <c r="J22" s="200">
        <f t="shared" si="12"/>
        <v>65</v>
      </c>
      <c r="K22" s="200">
        <f t="shared" si="12"/>
        <v>114</v>
      </c>
      <c r="N22" s="210" t="s">
        <v>264</v>
      </c>
      <c r="P22" s="200">
        <f>IF('Input sheet'!T2=1,5,0)</f>
        <v>5</v>
      </c>
      <c r="R22" s="200">
        <f>IF('Input sheet'!V2=1,5,0)</f>
        <v>5</v>
      </c>
      <c r="T22" s="200">
        <f>IF('Input sheet'!U2=1,5,0)</f>
        <v>5</v>
      </c>
      <c r="V22" s="200">
        <f>IF('Input sheet'!W2=1,5,0)</f>
        <v>5</v>
      </c>
    </row>
    <row r="23" spans="1:32" x14ac:dyDescent="0.3">
      <c r="B23" s="200" t="s">
        <v>274</v>
      </c>
      <c r="D23" s="200">
        <f>D19</f>
        <v>0</v>
      </c>
      <c r="E23" s="200">
        <f t="shared" ref="E23:K23" si="13">E19</f>
        <v>0</v>
      </c>
      <c r="F23" s="200">
        <f t="shared" si="13"/>
        <v>59</v>
      </c>
      <c r="G23" s="200">
        <f t="shared" si="13"/>
        <v>74</v>
      </c>
      <c r="H23" s="200">
        <f t="shared" si="13"/>
        <v>0</v>
      </c>
      <c r="I23" s="200">
        <f t="shared" si="13"/>
        <v>0</v>
      </c>
      <c r="J23" s="200">
        <f t="shared" si="13"/>
        <v>59</v>
      </c>
      <c r="K23" s="200">
        <f t="shared" si="13"/>
        <v>71</v>
      </c>
      <c r="N23" s="222" t="s">
        <v>309</v>
      </c>
      <c r="P23" s="200">
        <f>IF(P6&lt;=25,3,3.5)</f>
        <v>3.5</v>
      </c>
      <c r="Q23" s="210"/>
      <c r="R23" s="222">
        <f>IF(R6&lt;=25,3,3.5)</f>
        <v>3.5</v>
      </c>
      <c r="S23" s="210"/>
      <c r="T23" s="222">
        <f>IF(T6&lt;=25,3,3.5)</f>
        <v>3</v>
      </c>
      <c r="U23" s="210"/>
      <c r="V23" s="222">
        <f>IF(V6&lt;=25,3,3.5)</f>
        <v>3.5</v>
      </c>
    </row>
    <row r="24" spans="1:32" x14ac:dyDescent="0.3">
      <c r="B24" s="200" t="s">
        <v>275</v>
      </c>
      <c r="D24" s="200">
        <f>D21</f>
        <v>0</v>
      </c>
      <c r="E24" s="200">
        <f t="shared" ref="E24:K24" si="14">E21</f>
        <v>53</v>
      </c>
      <c r="F24" s="200">
        <f t="shared" si="14"/>
        <v>68</v>
      </c>
      <c r="G24" s="200">
        <f t="shared" si="14"/>
        <v>114</v>
      </c>
      <c r="H24" s="200">
        <f t="shared" si="14"/>
        <v>0</v>
      </c>
      <c r="I24" s="200">
        <f t="shared" si="14"/>
        <v>53</v>
      </c>
      <c r="J24" s="200">
        <f t="shared" si="14"/>
        <v>65</v>
      </c>
      <c r="K24" s="200">
        <f t="shared" si="14"/>
        <v>114</v>
      </c>
      <c r="N24" s="210" t="s">
        <v>299</v>
      </c>
      <c r="P24" s="200">
        <f>VLOOKUP(P6,DetZone!$G$4:$H$10,2,FALSE)</f>
        <v>55</v>
      </c>
      <c r="Q24" s="210"/>
      <c r="R24" s="222">
        <f>VLOOKUP(R6,DetZone!$G$4:$H$10,2,FALSE)</f>
        <v>55</v>
      </c>
      <c r="S24" s="210"/>
      <c r="T24" s="222">
        <f>VLOOKUP(T6,DetZone!$G$4:$H$10,2,FALSE)</f>
        <v>60</v>
      </c>
      <c r="U24" s="210"/>
      <c r="V24" s="222">
        <f>VLOOKUP(V6,DetZone!$G$4:$H$10,2,FALSE)</f>
        <v>55</v>
      </c>
    </row>
    <row r="25" spans="1:32" x14ac:dyDescent="0.3">
      <c r="B25" s="200" t="s">
        <v>276</v>
      </c>
      <c r="D25" s="200">
        <f>D24</f>
        <v>0</v>
      </c>
      <c r="E25" s="200">
        <f t="shared" ref="E25:K25" si="15">E24</f>
        <v>53</v>
      </c>
      <c r="F25" s="200">
        <f t="shared" si="15"/>
        <v>68</v>
      </c>
      <c r="G25" s="200">
        <f t="shared" si="15"/>
        <v>114</v>
      </c>
      <c r="H25" s="200">
        <f t="shared" si="15"/>
        <v>0</v>
      </c>
      <c r="I25" s="200">
        <f t="shared" si="15"/>
        <v>53</v>
      </c>
      <c r="J25" s="200">
        <f t="shared" si="15"/>
        <v>65</v>
      </c>
      <c r="K25" s="200">
        <f t="shared" si="15"/>
        <v>114</v>
      </c>
      <c r="N25" s="222" t="s">
        <v>316</v>
      </c>
      <c r="P25" s="200">
        <f>MATCH(P24,DetZone!$B$18:$B$22,0)</f>
        <v>1</v>
      </c>
      <c r="R25" s="222">
        <f>MATCH(R24,DetZone!$B$18:$B$22,0)</f>
        <v>1</v>
      </c>
      <c r="T25" s="222">
        <f>MATCH(T24,DetZone!$B$18:$B$22,0)</f>
        <v>2</v>
      </c>
      <c r="V25" s="222">
        <f>MATCH(V24,DetZone!$B$18:$B$22,0)</f>
        <v>1</v>
      </c>
    </row>
    <row r="26" spans="1:32" x14ac:dyDescent="0.3">
      <c r="G26" s="65" t="s">
        <v>303</v>
      </c>
      <c r="K26" s="65" t="s">
        <v>304</v>
      </c>
      <c r="L26" s="212" t="s">
        <v>302</v>
      </c>
      <c r="N26" s="222" t="s">
        <v>317</v>
      </c>
      <c r="P26" s="200">
        <f>MATCH(P6,DetZone!$C$17:$I$17,0)</f>
        <v>3</v>
      </c>
      <c r="R26" s="222">
        <f>MATCH(R6,DetZone!$C$17:$I$17,0)</f>
        <v>3</v>
      </c>
      <c r="T26" s="222">
        <f>MATCH(T6,DetZone!$C$17:$I$17,0)</f>
        <v>1</v>
      </c>
      <c r="V26" s="222">
        <f>MATCH(V6,DetZone!$C$17:$I$17,0)</f>
        <v>3</v>
      </c>
    </row>
    <row r="27" spans="1:32" s="210" customFormat="1" x14ac:dyDescent="0.3">
      <c r="G27" s="65">
        <f>MAX(D43+E43,H43+I43)</f>
        <v>53</v>
      </c>
      <c r="K27" s="65">
        <f>MAX(F43+G43,J43+K43)</f>
        <v>58</v>
      </c>
      <c r="L27" s="212">
        <f>G27+K27</f>
        <v>111</v>
      </c>
      <c r="N27" s="122" t="s">
        <v>257</v>
      </c>
      <c r="O27" s="122">
        <f>P27</f>
        <v>2.2999999999999998</v>
      </c>
      <c r="P27" s="122">
        <f>INDEX(DetZone!$C$18:$I$22,Phasing!P25,Phasing!P26)</f>
        <v>2.2999999999999998</v>
      </c>
      <c r="Q27" s="122">
        <f>R27</f>
        <v>2.2999999999999998</v>
      </c>
      <c r="R27" s="122">
        <f>INDEX(DetZone!$C$18:$I$22,Phasing!R25,Phasing!R26)</f>
        <v>2.2999999999999998</v>
      </c>
      <c r="S27" s="122">
        <f>T27</f>
        <v>1.5</v>
      </c>
      <c r="T27" s="122">
        <f>INDEX(DetZone!$C$18:$I$22,Phasing!T25,Phasing!T26)</f>
        <v>1.5</v>
      </c>
      <c r="U27" s="122">
        <f>V27</f>
        <v>2.2999999999999998</v>
      </c>
      <c r="V27" s="122">
        <f>INDEX(DetZone!$C$18:$I$22,Phasing!V25,Phasing!V26)</f>
        <v>2.2999999999999998</v>
      </c>
      <c r="AA27" s="381"/>
    </row>
    <row r="28" spans="1:32" x14ac:dyDescent="0.3">
      <c r="A28" s="530" t="s">
        <v>204</v>
      </c>
      <c r="B28" s="530"/>
      <c r="C28" s="530"/>
      <c r="N28" s="224" t="s">
        <v>319</v>
      </c>
      <c r="O28" s="224">
        <f>P28</f>
        <v>0.3</v>
      </c>
      <c r="P28" s="224">
        <f>INDEX(DetZone!$C$27:$I$31,Phasing!P25,Phasing!P26)</f>
        <v>0.3</v>
      </c>
      <c r="Q28" s="224">
        <f>R28</f>
        <v>0.3</v>
      </c>
      <c r="R28" s="224">
        <f>INDEX(DetZone!$C$27:$I$31,Phasing!R25,Phasing!R26)</f>
        <v>0.3</v>
      </c>
      <c r="S28" s="224">
        <f>T28</f>
        <v>0</v>
      </c>
      <c r="T28" s="224">
        <f>INDEX(DetZone!$C$27:$I$31,Phasing!T25,Phasing!T26)</f>
        <v>0</v>
      </c>
      <c r="U28" s="224">
        <f>V28</f>
        <v>0.3</v>
      </c>
      <c r="V28" s="224">
        <f>INDEX(DetZone!$C$27:$I$31,Phasing!V25,Phasing!V26)</f>
        <v>0.3</v>
      </c>
    </row>
    <row r="29" spans="1:32" x14ac:dyDescent="0.3">
      <c r="B29" s="256" t="s">
        <v>0</v>
      </c>
      <c r="C29" s="256" t="s">
        <v>1</v>
      </c>
      <c r="D29" s="256" t="s">
        <v>246</v>
      </c>
      <c r="E29" s="256" t="s">
        <v>247</v>
      </c>
      <c r="F29" s="256" t="s">
        <v>248</v>
      </c>
      <c r="G29" s="256" t="s">
        <v>249</v>
      </c>
      <c r="H29" s="256" t="s">
        <v>250</v>
      </c>
      <c r="I29" s="256" t="s">
        <v>251</v>
      </c>
      <c r="J29" s="256" t="s">
        <v>252</v>
      </c>
      <c r="K29" s="256" t="s">
        <v>253</v>
      </c>
    </row>
    <row r="30" spans="1:32" x14ac:dyDescent="0.3">
      <c r="B30" s="200" t="s">
        <v>254</v>
      </c>
      <c r="C30" s="200" t="str">
        <f>Sheet1!B2</f>
        <v>Street 1 &amp; Street 2</v>
      </c>
      <c r="D30" s="200">
        <f>IF(D3=0,0,D1)</f>
        <v>0</v>
      </c>
      <c r="E30" s="202">
        <f t="shared" ref="E30:K30" si="16">IF(E3=0,0,E1)</f>
        <v>112</v>
      </c>
      <c r="F30" s="202">
        <f t="shared" si="16"/>
        <v>212</v>
      </c>
      <c r="G30" s="202">
        <f t="shared" si="16"/>
        <v>211</v>
      </c>
      <c r="H30" s="202">
        <f t="shared" si="16"/>
        <v>0</v>
      </c>
      <c r="I30" s="202">
        <f t="shared" si="16"/>
        <v>122</v>
      </c>
      <c r="J30" s="202">
        <f t="shared" si="16"/>
        <v>221</v>
      </c>
      <c r="K30" s="202">
        <f t="shared" si="16"/>
        <v>222</v>
      </c>
    </row>
    <row r="31" spans="1:32" x14ac:dyDescent="0.3">
      <c r="B31" s="256" t="s">
        <v>255</v>
      </c>
      <c r="C31" s="256" t="str">
        <f>C30</f>
        <v>Street 1 &amp; Street 2</v>
      </c>
      <c r="D31" s="256">
        <f>IF(D4="",0,D11)</f>
        <v>0</v>
      </c>
      <c r="E31" s="256">
        <f t="shared" ref="E31:K31" si="17">IF(E4="",0,E11)</f>
        <v>10</v>
      </c>
      <c r="F31" s="256">
        <f t="shared" si="17"/>
        <v>5</v>
      </c>
      <c r="G31" s="256">
        <f t="shared" si="17"/>
        <v>10</v>
      </c>
      <c r="H31" s="256">
        <f t="shared" si="17"/>
        <v>0</v>
      </c>
      <c r="I31" s="256">
        <f t="shared" si="17"/>
        <v>10</v>
      </c>
      <c r="J31" s="256">
        <f t="shared" si="17"/>
        <v>5</v>
      </c>
      <c r="K31" s="256">
        <f t="shared" si="17"/>
        <v>10</v>
      </c>
      <c r="W31" s="519" t="s">
        <v>461</v>
      </c>
      <c r="X31" s="519"/>
      <c r="Y31" s="519"/>
      <c r="Z31" s="519"/>
      <c r="AA31" s="519"/>
      <c r="AB31" s="519"/>
      <c r="AC31" s="519"/>
      <c r="AD31" s="519"/>
      <c r="AE31" s="519"/>
      <c r="AF31" s="519"/>
    </row>
    <row r="32" spans="1:32" x14ac:dyDescent="0.3">
      <c r="B32" s="200" t="s">
        <v>256</v>
      </c>
      <c r="C32" s="200" t="str">
        <f t="shared" ref="C32:C52" si="18">C31</f>
        <v>Street 1 &amp; Street 2</v>
      </c>
      <c r="D32" s="200">
        <f>D12</f>
        <v>0</v>
      </c>
      <c r="E32" s="200">
        <f t="shared" ref="E32:K32" si="19">E12</f>
        <v>53</v>
      </c>
      <c r="F32" s="200">
        <f t="shared" si="19"/>
        <v>15</v>
      </c>
      <c r="G32" s="200">
        <f t="shared" si="19"/>
        <v>40</v>
      </c>
      <c r="H32" s="200">
        <f t="shared" si="19"/>
        <v>0</v>
      </c>
      <c r="I32" s="200">
        <f t="shared" si="19"/>
        <v>53</v>
      </c>
      <c r="J32" s="200">
        <f t="shared" si="19"/>
        <v>7</v>
      </c>
      <c r="K32" s="200">
        <f t="shared" si="19"/>
        <v>43</v>
      </c>
      <c r="W32" s="381" t="s">
        <v>124</v>
      </c>
      <c r="X32" s="381" t="s">
        <v>451</v>
      </c>
      <c r="Y32" s="381" t="s">
        <v>261</v>
      </c>
      <c r="Z32" s="381" t="s">
        <v>456</v>
      </c>
      <c r="AA32" s="381" t="s">
        <v>285</v>
      </c>
      <c r="AB32" s="381" t="s">
        <v>124</v>
      </c>
      <c r="AC32" s="381" t="s">
        <v>457</v>
      </c>
      <c r="AD32" s="381" t="s">
        <v>458</v>
      </c>
      <c r="AE32" s="381" t="s">
        <v>459</v>
      </c>
      <c r="AF32" s="381" t="s">
        <v>460</v>
      </c>
    </row>
    <row r="33" spans="2:32" x14ac:dyDescent="0.3">
      <c r="B33" s="256" t="s">
        <v>257</v>
      </c>
      <c r="C33" s="256" t="str">
        <f t="shared" si="18"/>
        <v>Street 1 &amp; Street 2</v>
      </c>
      <c r="D33" s="256">
        <f>IF(D4="",0,D17)</f>
        <v>0</v>
      </c>
      <c r="E33" s="256">
        <f t="shared" ref="E33:K33" si="20">IF(E4="",0,E17)</f>
        <v>2.2999999999999998</v>
      </c>
      <c r="F33" s="256">
        <f t="shared" si="20"/>
        <v>1.5</v>
      </c>
      <c r="G33" s="256">
        <f t="shared" si="20"/>
        <v>2.2999999999999998</v>
      </c>
      <c r="H33" s="256">
        <f t="shared" si="20"/>
        <v>0</v>
      </c>
      <c r="I33" s="256">
        <f t="shared" si="20"/>
        <v>2.2999999999999998</v>
      </c>
      <c r="J33" s="256">
        <f t="shared" si="20"/>
        <v>2.2999999999999998</v>
      </c>
      <c r="K33" s="256">
        <f t="shared" si="20"/>
        <v>1.5</v>
      </c>
      <c r="W33" s="200">
        <v>8</v>
      </c>
      <c r="X33" s="304">
        <f>K58</f>
        <v>43</v>
      </c>
      <c r="Y33" s="380">
        <f>K56</f>
        <v>3</v>
      </c>
      <c r="Z33" s="382">
        <f>K59</f>
        <v>74</v>
      </c>
      <c r="AA33" s="65">
        <f>K57</f>
        <v>3</v>
      </c>
      <c r="AB33" s="381">
        <v>8</v>
      </c>
      <c r="AC33" s="200">
        <f>K62</f>
        <v>71</v>
      </c>
      <c r="AD33" s="200">
        <f>X33</f>
        <v>43</v>
      </c>
      <c r="AE33" s="200">
        <f>Y33</f>
        <v>3</v>
      </c>
      <c r="AF33" s="387">
        <f>$C$62-AE33-AD33-AC33</f>
        <v>3</v>
      </c>
    </row>
    <row r="34" spans="2:32" x14ac:dyDescent="0.3">
      <c r="B34" s="200" t="s">
        <v>258</v>
      </c>
      <c r="C34" s="200" t="str">
        <f t="shared" si="18"/>
        <v>Street 1 &amp; Street 2</v>
      </c>
      <c r="D34" s="200">
        <f>D14</f>
        <v>0</v>
      </c>
      <c r="E34" s="200">
        <f t="shared" ref="E34:K34" si="21">E14</f>
        <v>10</v>
      </c>
      <c r="F34" s="200">
        <f t="shared" si="21"/>
        <v>10</v>
      </c>
      <c r="G34" s="200">
        <f t="shared" si="21"/>
        <v>10</v>
      </c>
      <c r="H34" s="200">
        <f t="shared" si="21"/>
        <v>0</v>
      </c>
      <c r="I34" s="200">
        <f t="shared" si="21"/>
        <v>10</v>
      </c>
      <c r="J34" s="200">
        <f t="shared" si="21"/>
        <v>10</v>
      </c>
      <c r="K34" s="200">
        <f t="shared" si="21"/>
        <v>10</v>
      </c>
      <c r="W34" s="200">
        <v>7</v>
      </c>
      <c r="X34" s="304">
        <f>J58</f>
        <v>5.9</v>
      </c>
      <c r="Y34" s="380">
        <f>J56</f>
        <v>3.6</v>
      </c>
      <c r="Z34" s="382">
        <f>J59</f>
        <v>110.5</v>
      </c>
      <c r="AA34" s="65">
        <f>J57</f>
        <v>2.5</v>
      </c>
      <c r="AB34" s="381">
        <v>7</v>
      </c>
      <c r="AC34" s="200">
        <f>J62</f>
        <v>59</v>
      </c>
      <c r="AD34" s="381">
        <f t="shared" ref="AD34:AD40" si="22">X34</f>
        <v>5.9</v>
      </c>
      <c r="AE34" s="381">
        <f t="shared" ref="AE34:AE40" si="23">Y34</f>
        <v>3.6</v>
      </c>
      <c r="AF34" s="387">
        <f t="shared" ref="AF34:AF40" si="24">$C$62-AE34-AD34-AC34</f>
        <v>51.5</v>
      </c>
    </row>
    <row r="35" spans="2:32" x14ac:dyDescent="0.3">
      <c r="B35" s="256" t="s">
        <v>259</v>
      </c>
      <c r="C35" s="256" t="str">
        <f t="shared" si="18"/>
        <v>Street 1 &amp; Street 2</v>
      </c>
      <c r="D35" s="256">
        <f>D15</f>
        <v>0</v>
      </c>
      <c r="E35" s="256">
        <f t="shared" ref="E35:K35" si="25">E15</f>
        <v>23</v>
      </c>
      <c r="F35" s="256">
        <f t="shared" si="25"/>
        <v>33</v>
      </c>
      <c r="G35" s="256">
        <f t="shared" si="25"/>
        <v>23</v>
      </c>
      <c r="H35" s="256">
        <f t="shared" si="25"/>
        <v>0</v>
      </c>
      <c r="I35" s="256">
        <f t="shared" si="25"/>
        <v>18</v>
      </c>
      <c r="J35" s="256">
        <f t="shared" si="25"/>
        <v>8</v>
      </c>
      <c r="K35" s="256">
        <f t="shared" si="25"/>
        <v>15</v>
      </c>
      <c r="W35" s="200">
        <v>6</v>
      </c>
      <c r="X35" s="304">
        <f>I58</f>
        <v>52.9</v>
      </c>
      <c r="Y35" s="380">
        <f>I56</f>
        <v>3.6</v>
      </c>
      <c r="Z35" s="382">
        <f>I59</f>
        <v>63.5</v>
      </c>
      <c r="AA35" s="65">
        <f>I57</f>
        <v>2.5</v>
      </c>
      <c r="AB35" s="381">
        <v>6</v>
      </c>
      <c r="AC35" s="200">
        <f>I62</f>
        <v>0</v>
      </c>
      <c r="AD35" s="381">
        <f t="shared" si="22"/>
        <v>52.9</v>
      </c>
      <c r="AE35" s="381">
        <f t="shared" si="23"/>
        <v>3.6</v>
      </c>
      <c r="AF35" s="387">
        <f t="shared" si="24"/>
        <v>63.500000000000007</v>
      </c>
    </row>
    <row r="36" spans="2:32" x14ac:dyDescent="0.3">
      <c r="B36" s="200" t="s">
        <v>260</v>
      </c>
      <c r="C36" s="200" t="str">
        <f t="shared" si="18"/>
        <v>Street 1 &amp; Street 2</v>
      </c>
      <c r="D36" s="200">
        <f>IF(D4="",0,D16)</f>
        <v>0</v>
      </c>
      <c r="E36" s="222">
        <f t="shared" ref="E36:K36" si="26">IF(E4="",0,E16)</f>
        <v>0.3</v>
      </c>
      <c r="F36" s="222">
        <f t="shared" si="26"/>
        <v>0</v>
      </c>
      <c r="G36" s="222">
        <f t="shared" si="26"/>
        <v>0.3</v>
      </c>
      <c r="H36" s="222">
        <f t="shared" si="26"/>
        <v>0</v>
      </c>
      <c r="I36" s="222">
        <f t="shared" si="26"/>
        <v>0.3</v>
      </c>
      <c r="J36" s="222">
        <f t="shared" si="26"/>
        <v>0.3</v>
      </c>
      <c r="K36" s="222">
        <f t="shared" si="26"/>
        <v>0</v>
      </c>
      <c r="W36" s="200">
        <v>5</v>
      </c>
      <c r="X36" s="304">
        <f>H58</f>
        <v>0</v>
      </c>
      <c r="Y36" s="380">
        <f>H56</f>
        <v>0</v>
      </c>
      <c r="Z36" s="382">
        <f>H59</f>
        <v>120</v>
      </c>
      <c r="AA36" s="65">
        <f>H57</f>
        <v>0</v>
      </c>
      <c r="AB36" s="381">
        <v>5</v>
      </c>
      <c r="AC36" s="200">
        <f>H62</f>
        <v>0</v>
      </c>
      <c r="AD36" s="381">
        <f t="shared" si="22"/>
        <v>0</v>
      </c>
      <c r="AE36" s="381">
        <f t="shared" si="23"/>
        <v>0</v>
      </c>
      <c r="AF36" s="387">
        <f t="shared" si="24"/>
        <v>120</v>
      </c>
    </row>
    <row r="37" spans="2:32" x14ac:dyDescent="0.3">
      <c r="B37" s="256" t="s">
        <v>261</v>
      </c>
      <c r="C37" s="256" t="str">
        <f t="shared" si="18"/>
        <v>Street 1 &amp; Street 2</v>
      </c>
      <c r="D37" s="256">
        <f>D7</f>
        <v>0</v>
      </c>
      <c r="E37" s="256">
        <f t="shared" ref="E37:K37" si="27">E7</f>
        <v>3.6</v>
      </c>
      <c r="F37" s="256">
        <f t="shared" si="27"/>
        <v>3</v>
      </c>
      <c r="G37" s="256">
        <f t="shared" si="27"/>
        <v>3.6</v>
      </c>
      <c r="H37" s="256">
        <f t="shared" si="27"/>
        <v>0</v>
      </c>
      <c r="I37" s="256">
        <f t="shared" si="27"/>
        <v>3.6</v>
      </c>
      <c r="J37" s="256">
        <f t="shared" si="27"/>
        <v>3.6</v>
      </c>
      <c r="K37" s="256">
        <f t="shared" si="27"/>
        <v>3</v>
      </c>
      <c r="W37" s="200">
        <v>4</v>
      </c>
      <c r="X37" s="304">
        <f>G58</f>
        <v>39.9</v>
      </c>
      <c r="Y37" s="380">
        <f>G56</f>
        <v>3.6</v>
      </c>
      <c r="Z37" s="382">
        <f>G59</f>
        <v>76.5</v>
      </c>
      <c r="AA37" s="65">
        <f>G57</f>
        <v>2.5</v>
      </c>
      <c r="AB37" s="381">
        <v>4</v>
      </c>
      <c r="AC37" s="200">
        <f>G62</f>
        <v>74</v>
      </c>
      <c r="AD37" s="381">
        <f t="shared" si="22"/>
        <v>39.9</v>
      </c>
      <c r="AE37" s="381">
        <f t="shared" si="23"/>
        <v>3.6</v>
      </c>
      <c r="AF37" s="387">
        <f t="shared" si="24"/>
        <v>2.5</v>
      </c>
    </row>
    <row r="38" spans="2:32" x14ac:dyDescent="0.3">
      <c r="B38" s="200" t="s">
        <v>262</v>
      </c>
      <c r="C38" s="200" t="str">
        <f t="shared" si="18"/>
        <v>Street 1 &amp; Street 2</v>
      </c>
      <c r="D38" s="200">
        <f>D8</f>
        <v>0</v>
      </c>
      <c r="E38" s="200">
        <f t="shared" ref="E38:K38" si="28">E8</f>
        <v>2.5</v>
      </c>
      <c r="F38" s="200">
        <f t="shared" si="28"/>
        <v>3</v>
      </c>
      <c r="G38" s="200">
        <f t="shared" si="28"/>
        <v>2.5</v>
      </c>
      <c r="H38" s="200">
        <f t="shared" si="28"/>
        <v>0</v>
      </c>
      <c r="I38" s="200">
        <f t="shared" si="28"/>
        <v>2.5</v>
      </c>
      <c r="J38" s="200">
        <f t="shared" si="28"/>
        <v>2.5</v>
      </c>
      <c r="K38" s="200">
        <f t="shared" si="28"/>
        <v>3</v>
      </c>
      <c r="W38" s="200">
        <v>3</v>
      </c>
      <c r="X38" s="304">
        <f>F58</f>
        <v>9</v>
      </c>
      <c r="Y38" s="380">
        <f>F56</f>
        <v>3</v>
      </c>
      <c r="Z38" s="382">
        <f>F59</f>
        <v>108</v>
      </c>
      <c r="AA38" s="65">
        <f>F57</f>
        <v>3</v>
      </c>
      <c r="AB38" s="381">
        <v>3</v>
      </c>
      <c r="AC38" s="200">
        <f>F62</f>
        <v>59</v>
      </c>
      <c r="AD38" s="381">
        <f t="shared" si="22"/>
        <v>9</v>
      </c>
      <c r="AE38" s="381">
        <f t="shared" si="23"/>
        <v>3</v>
      </c>
      <c r="AF38" s="387">
        <f t="shared" si="24"/>
        <v>49</v>
      </c>
    </row>
    <row r="39" spans="2:32" x14ac:dyDescent="0.3">
      <c r="B39" s="256" t="s">
        <v>263</v>
      </c>
      <c r="C39" s="256" t="str">
        <f t="shared" si="18"/>
        <v>Street 1 &amp; Street 2</v>
      </c>
      <c r="D39" s="256">
        <v>0</v>
      </c>
      <c r="E39" s="256">
        <f>IF(E9=0,0,1)</f>
        <v>1</v>
      </c>
      <c r="F39" s="256">
        <v>0</v>
      </c>
      <c r="G39" s="256">
        <f>IF(G9=0,0,1)</f>
        <v>1</v>
      </c>
      <c r="H39" s="256">
        <v>0</v>
      </c>
      <c r="I39" s="256">
        <f>IF(I9=0,0,1)</f>
        <v>1</v>
      </c>
      <c r="J39" s="256">
        <v>0</v>
      </c>
      <c r="K39" s="256">
        <f>IF(K9=0,0,1)</f>
        <v>1</v>
      </c>
      <c r="W39" s="200">
        <v>2</v>
      </c>
      <c r="X39" s="304">
        <f>E58</f>
        <v>52.9</v>
      </c>
      <c r="Y39" s="380">
        <f>E56</f>
        <v>3.6</v>
      </c>
      <c r="Z39" s="382">
        <f>E59</f>
        <v>63.5</v>
      </c>
      <c r="AA39" s="65">
        <f>E57</f>
        <v>2.5</v>
      </c>
      <c r="AB39" s="381">
        <v>2</v>
      </c>
      <c r="AC39" s="200">
        <f>E62</f>
        <v>0</v>
      </c>
      <c r="AD39" s="381">
        <f t="shared" si="22"/>
        <v>52.9</v>
      </c>
      <c r="AE39" s="381">
        <f t="shared" si="23"/>
        <v>3.6</v>
      </c>
      <c r="AF39" s="387">
        <f t="shared" si="24"/>
        <v>63.500000000000007</v>
      </c>
    </row>
    <row r="40" spans="2:32" x14ac:dyDescent="0.3">
      <c r="B40" s="200" t="s">
        <v>264</v>
      </c>
      <c r="C40" s="200" t="str">
        <f t="shared" si="18"/>
        <v>Street 1 &amp; Street 2</v>
      </c>
      <c r="E40" s="200">
        <f>E9</f>
        <v>5</v>
      </c>
      <c r="G40" s="200">
        <f>G9</f>
        <v>5</v>
      </c>
      <c r="I40" s="200">
        <f>I9</f>
        <v>5</v>
      </c>
      <c r="K40" s="200">
        <f>K9</f>
        <v>5</v>
      </c>
      <c r="W40" s="200">
        <v>1</v>
      </c>
      <c r="X40" s="304">
        <f>D58</f>
        <v>0</v>
      </c>
      <c r="Y40" s="380">
        <f>D56</f>
        <v>0</v>
      </c>
      <c r="Z40" s="382">
        <f>D59</f>
        <v>120</v>
      </c>
      <c r="AA40" s="65">
        <f>D57</f>
        <v>0</v>
      </c>
      <c r="AB40" s="381">
        <v>1</v>
      </c>
      <c r="AC40" s="200">
        <f>D62</f>
        <v>0</v>
      </c>
      <c r="AD40" s="381">
        <f t="shared" si="22"/>
        <v>0</v>
      </c>
      <c r="AE40" s="381">
        <f t="shared" si="23"/>
        <v>0</v>
      </c>
      <c r="AF40" s="387">
        <f t="shared" si="24"/>
        <v>120</v>
      </c>
    </row>
    <row r="41" spans="2:32" x14ac:dyDescent="0.3">
      <c r="B41" s="256" t="s">
        <v>265</v>
      </c>
      <c r="C41" s="256" t="str">
        <f t="shared" si="18"/>
        <v>Street 1 &amp; Street 2</v>
      </c>
      <c r="D41" s="256"/>
      <c r="E41" s="256">
        <f>E10</f>
        <v>24</v>
      </c>
      <c r="F41" s="256"/>
      <c r="G41" s="256">
        <f>G10</f>
        <v>34</v>
      </c>
      <c r="H41" s="256"/>
      <c r="I41" s="256">
        <f>I10</f>
        <v>41</v>
      </c>
      <c r="J41" s="256"/>
      <c r="K41" s="256">
        <f>K10</f>
        <v>38</v>
      </c>
    </row>
    <row r="42" spans="2:32" x14ac:dyDescent="0.3">
      <c r="B42" s="200" t="s">
        <v>266</v>
      </c>
      <c r="C42" s="200" t="str">
        <f t="shared" si="18"/>
        <v>Street 1 &amp; Street 2</v>
      </c>
      <c r="E42" s="200">
        <f>IF(E40=0,0,1)</f>
        <v>1</v>
      </c>
      <c r="G42" s="215">
        <f>IF(G40=0,0,1)</f>
        <v>1</v>
      </c>
      <c r="I42" s="215">
        <f>IF(I40=0,0,1)</f>
        <v>1</v>
      </c>
      <c r="K42" s="215">
        <f>IF(K40=0,0,1)</f>
        <v>1</v>
      </c>
      <c r="AD42" s="381"/>
      <c r="AE42" s="381"/>
      <c r="AF42" s="387"/>
    </row>
    <row r="43" spans="2:32" x14ac:dyDescent="0.3">
      <c r="B43" s="256" t="s">
        <v>267</v>
      </c>
      <c r="C43" s="256" t="str">
        <f t="shared" si="18"/>
        <v>Street 1 &amp; Street 2</v>
      </c>
      <c r="D43" s="256">
        <f>IF(D4="",0,D18)</f>
        <v>0</v>
      </c>
      <c r="E43" s="256">
        <f t="shared" ref="E43:K43" si="29">IF(E4="",0,E18)</f>
        <v>36</v>
      </c>
      <c r="F43" s="256">
        <f t="shared" si="29"/>
        <v>9</v>
      </c>
      <c r="G43" s="256">
        <f t="shared" si="29"/>
        <v>46</v>
      </c>
      <c r="H43" s="256">
        <f t="shared" si="29"/>
        <v>0</v>
      </c>
      <c r="I43" s="256">
        <f t="shared" si="29"/>
        <v>53</v>
      </c>
      <c r="J43" s="256">
        <f t="shared" si="29"/>
        <v>9</v>
      </c>
      <c r="K43" s="256">
        <f t="shared" si="29"/>
        <v>49</v>
      </c>
      <c r="AD43" s="381"/>
      <c r="AE43" s="381"/>
      <c r="AF43" s="387"/>
    </row>
    <row r="44" spans="2:32" x14ac:dyDescent="0.3">
      <c r="B44" s="200" t="s">
        <v>268</v>
      </c>
      <c r="C44" s="200" t="str">
        <f t="shared" si="18"/>
        <v>Street 1 &amp; Street 2</v>
      </c>
      <c r="D44" s="200">
        <v>0</v>
      </c>
      <c r="E44" s="200">
        <f>IF(E3=0,0,1)</f>
        <v>1</v>
      </c>
      <c r="F44" s="200">
        <v>0</v>
      </c>
      <c r="G44" s="200">
        <f>IF(G3=0,0,1)</f>
        <v>1</v>
      </c>
      <c r="H44" s="200">
        <v>0</v>
      </c>
      <c r="I44" s="200">
        <f>IF(I3=0,0,1)</f>
        <v>1</v>
      </c>
      <c r="J44" s="200">
        <v>0</v>
      </c>
      <c r="K44" s="200">
        <f>IF(K3=0,0,1)</f>
        <v>1</v>
      </c>
      <c r="AD44" s="381"/>
      <c r="AE44" s="381"/>
      <c r="AF44" s="387"/>
    </row>
    <row r="45" spans="2:32" x14ac:dyDescent="0.3">
      <c r="B45" s="256" t="s">
        <v>269</v>
      </c>
      <c r="C45" s="256" t="str">
        <f t="shared" si="18"/>
        <v>Street 1 &amp; Street 2</v>
      </c>
      <c r="D45" s="256">
        <f>IF(D3=0,0,1)</f>
        <v>0</v>
      </c>
      <c r="E45" s="256">
        <f t="shared" ref="E45:K45" si="30">IF(E3=0,0,1)</f>
        <v>1</v>
      </c>
      <c r="F45" s="256">
        <f t="shared" si="30"/>
        <v>1</v>
      </c>
      <c r="G45" s="256">
        <f t="shared" si="30"/>
        <v>1</v>
      </c>
      <c r="H45" s="256">
        <f t="shared" si="30"/>
        <v>0</v>
      </c>
      <c r="I45" s="256">
        <f t="shared" si="30"/>
        <v>1</v>
      </c>
      <c r="J45" s="256">
        <f t="shared" si="30"/>
        <v>1</v>
      </c>
      <c r="K45" s="256">
        <f t="shared" si="30"/>
        <v>1</v>
      </c>
      <c r="AD45" s="381"/>
      <c r="AE45" s="381"/>
      <c r="AF45" s="387"/>
    </row>
    <row r="46" spans="2:32" x14ac:dyDescent="0.3">
      <c r="B46" s="200" t="s">
        <v>270</v>
      </c>
      <c r="C46" s="200" t="str">
        <f t="shared" si="18"/>
        <v>Street 1 &amp; Street 2</v>
      </c>
      <c r="D46" s="200">
        <f>IF(D4="",0,D19)</f>
        <v>0</v>
      </c>
      <c r="E46" s="222">
        <f t="shared" ref="E46:K46" si="31">IF(E4="",0,E19)</f>
        <v>0</v>
      </c>
      <c r="F46" s="222">
        <f t="shared" si="31"/>
        <v>59</v>
      </c>
      <c r="G46" s="222">
        <f t="shared" si="31"/>
        <v>74</v>
      </c>
      <c r="H46" s="222">
        <f t="shared" si="31"/>
        <v>0</v>
      </c>
      <c r="I46" s="222">
        <f t="shared" si="31"/>
        <v>0</v>
      </c>
      <c r="J46" s="222">
        <f t="shared" si="31"/>
        <v>59</v>
      </c>
      <c r="K46" s="222">
        <f t="shared" si="31"/>
        <v>71</v>
      </c>
      <c r="AD46" s="381"/>
      <c r="AE46" s="381"/>
      <c r="AF46" s="387"/>
    </row>
    <row r="47" spans="2:32" x14ac:dyDescent="0.3">
      <c r="B47" s="256" t="s">
        <v>271</v>
      </c>
      <c r="C47" s="256" t="str">
        <f t="shared" si="18"/>
        <v>Street 1 &amp; Street 2</v>
      </c>
      <c r="D47" s="256">
        <f>IF(D4="",0,D20)</f>
        <v>0</v>
      </c>
      <c r="E47" s="256">
        <f t="shared" ref="E47:K47" si="32">IF(E4="",0,E20)</f>
        <v>59</v>
      </c>
      <c r="F47" s="256">
        <f t="shared" si="32"/>
        <v>74</v>
      </c>
      <c r="G47" s="256">
        <f t="shared" si="32"/>
        <v>120</v>
      </c>
      <c r="H47" s="256">
        <f t="shared" si="32"/>
        <v>0</v>
      </c>
      <c r="I47" s="256">
        <f t="shared" si="32"/>
        <v>59</v>
      </c>
      <c r="J47" s="256">
        <f t="shared" si="32"/>
        <v>71</v>
      </c>
      <c r="K47" s="256">
        <f t="shared" si="32"/>
        <v>120</v>
      </c>
      <c r="AD47" s="381"/>
      <c r="AE47" s="381"/>
      <c r="AF47" s="387"/>
    </row>
    <row r="48" spans="2:32" x14ac:dyDescent="0.3">
      <c r="B48" s="200" t="s">
        <v>272</v>
      </c>
      <c r="C48" s="200" t="str">
        <f t="shared" si="18"/>
        <v>Street 1 &amp; Street 2</v>
      </c>
      <c r="D48" s="200">
        <f>IF(D4="",0,D21)</f>
        <v>0</v>
      </c>
      <c r="E48" s="222">
        <f t="shared" ref="E48:K48" si="33">IF(E4="",0,E21)</f>
        <v>53</v>
      </c>
      <c r="F48" s="222">
        <f t="shared" si="33"/>
        <v>68</v>
      </c>
      <c r="G48" s="222">
        <f t="shared" si="33"/>
        <v>114</v>
      </c>
      <c r="H48" s="222">
        <f t="shared" si="33"/>
        <v>0</v>
      </c>
      <c r="I48" s="222">
        <f t="shared" si="33"/>
        <v>53</v>
      </c>
      <c r="J48" s="222">
        <f t="shared" si="33"/>
        <v>65</v>
      </c>
      <c r="K48" s="222">
        <f t="shared" si="33"/>
        <v>114</v>
      </c>
      <c r="AD48" s="381"/>
      <c r="AE48" s="381"/>
      <c r="AF48" s="387"/>
    </row>
    <row r="49" spans="2:32" x14ac:dyDescent="0.3">
      <c r="B49" s="256" t="s">
        <v>273</v>
      </c>
      <c r="C49" s="256" t="str">
        <f t="shared" si="18"/>
        <v>Street 1 &amp; Street 2</v>
      </c>
      <c r="D49" s="256">
        <f>IF(D4="",0,D22)</f>
        <v>0</v>
      </c>
      <c r="E49" s="256">
        <f t="shared" ref="E49:K49" si="34">IF(E4="",0,E22)</f>
        <v>53</v>
      </c>
      <c r="F49" s="256">
        <f t="shared" si="34"/>
        <v>68</v>
      </c>
      <c r="G49" s="256">
        <f t="shared" si="34"/>
        <v>114</v>
      </c>
      <c r="H49" s="256">
        <f t="shared" si="34"/>
        <v>0</v>
      </c>
      <c r="I49" s="256">
        <f t="shared" si="34"/>
        <v>53</v>
      </c>
      <c r="J49" s="256">
        <f t="shared" si="34"/>
        <v>65</v>
      </c>
      <c r="K49" s="256">
        <f t="shared" si="34"/>
        <v>114</v>
      </c>
      <c r="AD49" s="381"/>
      <c r="AE49" s="381"/>
      <c r="AF49" s="387"/>
    </row>
    <row r="50" spans="2:32" x14ac:dyDescent="0.3">
      <c r="B50" s="200" t="s">
        <v>274</v>
      </c>
      <c r="C50" s="200" t="str">
        <f t="shared" si="18"/>
        <v>Street 1 &amp; Street 2</v>
      </c>
      <c r="D50" s="200">
        <f>IF(D4="",0,D23)</f>
        <v>0</v>
      </c>
      <c r="E50" s="222">
        <f t="shared" ref="E50:K50" si="35">IF(E4="",0,E23)</f>
        <v>0</v>
      </c>
      <c r="F50" s="222">
        <f t="shared" si="35"/>
        <v>59</v>
      </c>
      <c r="G50" s="222">
        <f t="shared" si="35"/>
        <v>74</v>
      </c>
      <c r="H50" s="222">
        <f t="shared" si="35"/>
        <v>0</v>
      </c>
      <c r="I50" s="222">
        <f t="shared" si="35"/>
        <v>0</v>
      </c>
      <c r="J50" s="222">
        <f t="shared" si="35"/>
        <v>59</v>
      </c>
      <c r="K50" s="222">
        <f t="shared" si="35"/>
        <v>71</v>
      </c>
    </row>
    <row r="51" spans="2:32" x14ac:dyDescent="0.3">
      <c r="B51" s="256" t="s">
        <v>275</v>
      </c>
      <c r="C51" s="256" t="str">
        <f t="shared" si="18"/>
        <v>Street 1 &amp; Street 2</v>
      </c>
      <c r="D51" s="256">
        <f>IF(D4="",0,D24)</f>
        <v>0</v>
      </c>
      <c r="E51" s="256">
        <f t="shared" ref="E51:K51" si="36">IF(E4="",0,E24)</f>
        <v>53</v>
      </c>
      <c r="F51" s="256">
        <f t="shared" si="36"/>
        <v>68</v>
      </c>
      <c r="G51" s="256">
        <f t="shared" si="36"/>
        <v>114</v>
      </c>
      <c r="H51" s="256">
        <f t="shared" si="36"/>
        <v>0</v>
      </c>
      <c r="I51" s="256">
        <f t="shared" si="36"/>
        <v>53</v>
      </c>
      <c r="J51" s="256">
        <f t="shared" si="36"/>
        <v>65</v>
      </c>
      <c r="K51" s="256">
        <f t="shared" si="36"/>
        <v>114</v>
      </c>
    </row>
    <row r="52" spans="2:32" x14ac:dyDescent="0.3">
      <c r="B52" s="200" t="s">
        <v>276</v>
      </c>
      <c r="C52" s="200" t="str">
        <f t="shared" si="18"/>
        <v>Street 1 &amp; Street 2</v>
      </c>
      <c r="D52" s="200">
        <f>IF(D4="",0,D25)</f>
        <v>0</v>
      </c>
      <c r="E52" s="222">
        <f t="shared" ref="E52:K52" si="37">IF(E4="",0,E25)</f>
        <v>53</v>
      </c>
      <c r="F52" s="222">
        <f t="shared" si="37"/>
        <v>68</v>
      </c>
      <c r="G52" s="222">
        <f t="shared" si="37"/>
        <v>114</v>
      </c>
      <c r="H52" s="222">
        <f t="shared" si="37"/>
        <v>0</v>
      </c>
      <c r="I52" s="222">
        <f t="shared" si="37"/>
        <v>53</v>
      </c>
      <c r="J52" s="222">
        <f t="shared" si="37"/>
        <v>65</v>
      </c>
      <c r="K52" s="222">
        <f t="shared" si="37"/>
        <v>114</v>
      </c>
    </row>
    <row r="54" spans="2:32" x14ac:dyDescent="0.3">
      <c r="D54" s="200">
        <v>1</v>
      </c>
      <c r="E54" s="200">
        <v>2</v>
      </c>
      <c r="F54" s="200">
        <v>3</v>
      </c>
      <c r="G54" s="200">
        <v>4</v>
      </c>
      <c r="H54" s="200">
        <v>5</v>
      </c>
      <c r="I54" s="200">
        <v>6</v>
      </c>
      <c r="J54" s="200">
        <v>7</v>
      </c>
      <c r="K54" s="200">
        <v>8</v>
      </c>
    </row>
    <row r="55" spans="2:32" x14ac:dyDescent="0.3">
      <c r="B55" s="256" t="s">
        <v>321</v>
      </c>
      <c r="C55" s="256"/>
      <c r="D55" s="256">
        <f>D3</f>
        <v>0</v>
      </c>
      <c r="E55" s="256">
        <f t="shared" ref="E55:K55" si="38">E3</f>
        <v>59</v>
      </c>
      <c r="F55" s="256">
        <f t="shared" si="38"/>
        <v>15</v>
      </c>
      <c r="G55" s="256">
        <f t="shared" si="38"/>
        <v>46</v>
      </c>
      <c r="H55" s="256">
        <f t="shared" si="38"/>
        <v>0</v>
      </c>
      <c r="I55" s="256">
        <f t="shared" si="38"/>
        <v>59</v>
      </c>
      <c r="J55" s="256">
        <f t="shared" si="38"/>
        <v>12</v>
      </c>
      <c r="K55" s="256">
        <f t="shared" si="38"/>
        <v>49</v>
      </c>
    </row>
    <row r="56" spans="2:32" x14ac:dyDescent="0.3">
      <c r="B56" s="378" t="s">
        <v>261</v>
      </c>
      <c r="D56" s="380">
        <f>D7</f>
        <v>0</v>
      </c>
      <c r="E56" s="380">
        <f t="shared" ref="E56:K56" si="39">E7</f>
        <v>3.6</v>
      </c>
      <c r="F56" s="380">
        <f t="shared" si="39"/>
        <v>3</v>
      </c>
      <c r="G56" s="380">
        <f t="shared" si="39"/>
        <v>3.6</v>
      </c>
      <c r="H56" s="380">
        <f t="shared" si="39"/>
        <v>0</v>
      </c>
      <c r="I56" s="380">
        <f t="shared" si="39"/>
        <v>3.6</v>
      </c>
      <c r="J56" s="380">
        <f t="shared" si="39"/>
        <v>3.6</v>
      </c>
      <c r="K56" s="380">
        <f t="shared" si="39"/>
        <v>3</v>
      </c>
    </row>
    <row r="57" spans="2:32" x14ac:dyDescent="0.3">
      <c r="B57" s="256" t="s">
        <v>285</v>
      </c>
      <c r="C57" s="256"/>
      <c r="D57" s="256">
        <f>D8</f>
        <v>0</v>
      </c>
      <c r="E57" s="256">
        <f t="shared" ref="E57:K57" si="40">E8</f>
        <v>2.5</v>
      </c>
      <c r="F57" s="256">
        <f t="shared" si="40"/>
        <v>3</v>
      </c>
      <c r="G57" s="256">
        <f t="shared" si="40"/>
        <v>2.5</v>
      </c>
      <c r="H57" s="256">
        <f t="shared" si="40"/>
        <v>0</v>
      </c>
      <c r="I57" s="256">
        <f t="shared" si="40"/>
        <v>2.5</v>
      </c>
      <c r="J57" s="256">
        <f t="shared" si="40"/>
        <v>2.5</v>
      </c>
      <c r="K57" s="256">
        <f t="shared" si="40"/>
        <v>3</v>
      </c>
    </row>
    <row r="58" spans="2:32" x14ac:dyDescent="0.3">
      <c r="B58" s="378" t="s">
        <v>451</v>
      </c>
      <c r="D58" s="304">
        <f>D55-D56-D57</f>
        <v>0</v>
      </c>
      <c r="E58" s="304">
        <f t="shared" ref="E58:K58" si="41">E55-E56-E57</f>
        <v>52.9</v>
      </c>
      <c r="F58" s="304">
        <f t="shared" si="41"/>
        <v>9</v>
      </c>
      <c r="G58" s="304">
        <f t="shared" si="41"/>
        <v>39.9</v>
      </c>
      <c r="H58" s="304">
        <f t="shared" si="41"/>
        <v>0</v>
      </c>
      <c r="I58" s="304">
        <f t="shared" si="41"/>
        <v>52.9</v>
      </c>
      <c r="J58" s="304">
        <f t="shared" si="41"/>
        <v>5.9</v>
      </c>
      <c r="K58" s="304">
        <f t="shared" si="41"/>
        <v>43</v>
      </c>
    </row>
    <row r="59" spans="2:32" s="378" customFormat="1" x14ac:dyDescent="0.3">
      <c r="B59" s="381" t="s">
        <v>456</v>
      </c>
      <c r="D59" s="378">
        <f>$C$62-D55+D57</f>
        <v>120</v>
      </c>
      <c r="E59" s="381">
        <f t="shared" ref="E59:K59" si="42">$C$62-E55+E57</f>
        <v>63.5</v>
      </c>
      <c r="F59" s="381">
        <f t="shared" si="42"/>
        <v>108</v>
      </c>
      <c r="G59" s="381">
        <f t="shared" si="42"/>
        <v>76.5</v>
      </c>
      <c r="H59" s="381">
        <f t="shared" si="42"/>
        <v>120</v>
      </c>
      <c r="I59" s="381">
        <f t="shared" si="42"/>
        <v>63.5</v>
      </c>
      <c r="J59" s="381">
        <f t="shared" si="42"/>
        <v>110.5</v>
      </c>
      <c r="K59" s="381">
        <f t="shared" si="42"/>
        <v>74</v>
      </c>
      <c r="AA59" s="381"/>
    </row>
    <row r="60" spans="2:32" s="381" customFormat="1" x14ac:dyDescent="0.3"/>
    <row r="61" spans="2:32" x14ac:dyDescent="0.3">
      <c r="C61" s="381" t="s">
        <v>144</v>
      </c>
      <c r="D61" s="337">
        <v>1</v>
      </c>
      <c r="E61" s="337">
        <v>2</v>
      </c>
      <c r="F61" s="337">
        <v>3</v>
      </c>
      <c r="G61" s="337">
        <v>4</v>
      </c>
      <c r="H61" s="336">
        <v>5</v>
      </c>
      <c r="I61" s="337">
        <v>6</v>
      </c>
      <c r="J61" s="337">
        <v>7</v>
      </c>
      <c r="K61" s="337">
        <v>8</v>
      </c>
    </row>
    <row r="62" spans="2:32" x14ac:dyDescent="0.3">
      <c r="B62" s="256" t="s">
        <v>452</v>
      </c>
      <c r="C62" s="386">
        <f>'Phase calculation'!C25</f>
        <v>120</v>
      </c>
      <c r="D62" s="304">
        <v>0</v>
      </c>
      <c r="E62" s="304">
        <f>D65</f>
        <v>0</v>
      </c>
      <c r="F62" s="304">
        <f>E65</f>
        <v>59</v>
      </c>
      <c r="G62" s="304">
        <f>F65</f>
        <v>74</v>
      </c>
      <c r="H62" s="383">
        <v>0</v>
      </c>
      <c r="I62" s="344">
        <f>H65</f>
        <v>0</v>
      </c>
      <c r="J62" s="344">
        <f>I65</f>
        <v>59</v>
      </c>
      <c r="K62" s="344">
        <f>J65</f>
        <v>71</v>
      </c>
    </row>
    <row r="63" spans="2:32" x14ac:dyDescent="0.3">
      <c r="B63" s="378" t="s">
        <v>453</v>
      </c>
      <c r="D63" s="380">
        <f t="shared" ref="D63:K63" si="43">D62+D58</f>
        <v>0</v>
      </c>
      <c r="E63" s="380">
        <f t="shared" si="43"/>
        <v>52.9</v>
      </c>
      <c r="F63" s="380">
        <f t="shared" si="43"/>
        <v>68</v>
      </c>
      <c r="G63" s="380">
        <f t="shared" si="43"/>
        <v>113.9</v>
      </c>
      <c r="H63" s="384">
        <f t="shared" si="43"/>
        <v>0</v>
      </c>
      <c r="I63" s="167">
        <f t="shared" si="43"/>
        <v>52.9</v>
      </c>
      <c r="J63" s="167">
        <f t="shared" si="43"/>
        <v>64.900000000000006</v>
      </c>
      <c r="K63" s="167">
        <f t="shared" si="43"/>
        <v>114</v>
      </c>
    </row>
    <row r="64" spans="2:32" x14ac:dyDescent="0.3">
      <c r="B64" s="256" t="s">
        <v>454</v>
      </c>
      <c r="C64" s="256"/>
      <c r="D64" s="382">
        <f t="shared" ref="D64:K65" si="44">D63+D56</f>
        <v>0</v>
      </c>
      <c r="E64" s="382">
        <f t="shared" si="44"/>
        <v>56.5</v>
      </c>
      <c r="F64" s="382">
        <f t="shared" si="44"/>
        <v>71</v>
      </c>
      <c r="G64" s="382">
        <f t="shared" si="44"/>
        <v>117.5</v>
      </c>
      <c r="H64" s="385">
        <f t="shared" si="44"/>
        <v>0</v>
      </c>
      <c r="I64" s="219">
        <f t="shared" si="44"/>
        <v>56.5</v>
      </c>
      <c r="J64" s="219">
        <f t="shared" si="44"/>
        <v>68.5</v>
      </c>
      <c r="K64" s="219">
        <f t="shared" si="44"/>
        <v>117</v>
      </c>
    </row>
    <row r="65" spans="2:11" x14ac:dyDescent="0.3">
      <c r="B65" s="378" t="s">
        <v>455</v>
      </c>
      <c r="D65" s="200">
        <f t="shared" si="44"/>
        <v>0</v>
      </c>
      <c r="E65" s="200">
        <f t="shared" si="44"/>
        <v>59</v>
      </c>
      <c r="F65" s="200">
        <f t="shared" si="44"/>
        <v>74</v>
      </c>
      <c r="G65" s="200">
        <f t="shared" si="44"/>
        <v>120</v>
      </c>
      <c r="H65" s="335">
        <f t="shared" si="44"/>
        <v>0</v>
      </c>
      <c r="I65" s="168">
        <f t="shared" si="44"/>
        <v>59</v>
      </c>
      <c r="J65" s="168">
        <f t="shared" si="44"/>
        <v>71</v>
      </c>
      <c r="K65" s="168">
        <f t="shared" si="44"/>
        <v>120</v>
      </c>
    </row>
  </sheetData>
  <mergeCells count="2">
    <mergeCell ref="A28:C28"/>
    <mergeCell ref="W31:AF31"/>
  </mergeCells>
  <pageMargins left="0.7" right="0.7" top="0.75" bottom="0.75" header="0.3" footer="0.3"/>
  <ignoredErrors>
    <ignoredError sqref="E32:K32 E44:K45 F42 H42 J42 E37:K41 E34:K35" formula="1"/>
  </ignoredErrors>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K247"/>
  <sheetViews>
    <sheetView showGridLines="0" topLeftCell="A77" zoomScale="70" zoomScaleNormal="70" workbookViewId="0">
      <selection activeCell="Q90" sqref="Q90"/>
    </sheetView>
  </sheetViews>
  <sheetFormatPr defaultRowHeight="14.4" x14ac:dyDescent="0.3"/>
  <cols>
    <col min="1" max="5" width="10.6640625" customWidth="1"/>
    <col min="6" max="6" width="13.88671875" bestFit="1" customWidth="1"/>
    <col min="7" max="18" width="10.6640625" customWidth="1"/>
    <col min="19" max="28" width="9.109375" customWidth="1"/>
    <col min="30" max="37" width="0" hidden="1" customWidth="1"/>
    <col min="49" max="50" width="0" hidden="1" customWidth="1"/>
  </cols>
  <sheetData>
    <row r="1" spans="1:37" x14ac:dyDescent="0.3">
      <c r="AD1" s="91" t="str">
        <f>'Phase designation'!B26</f>
        <v>EBL</v>
      </c>
      <c r="AE1" s="91" t="str">
        <f>'Phase designation'!C26</f>
        <v>EBT</v>
      </c>
      <c r="AF1" s="91" t="str">
        <f>'Phase designation'!D26</f>
        <v>WBL</v>
      </c>
      <c r="AG1" s="91" t="str">
        <f>'Phase designation'!E26</f>
        <v>WBT</v>
      </c>
      <c r="AH1" s="91" t="str">
        <f>'Phase designation'!F26</f>
        <v>NBL</v>
      </c>
      <c r="AI1" s="91" t="str">
        <f>'Phase designation'!G26</f>
        <v>NBT</v>
      </c>
      <c r="AJ1" s="91" t="str">
        <f>'Phase designation'!H26</f>
        <v>SBL</v>
      </c>
      <c r="AK1" s="91" t="str">
        <f>'Phase designation'!I26</f>
        <v>SBT</v>
      </c>
    </row>
    <row r="2" spans="1:37" x14ac:dyDescent="0.3">
      <c r="B2" s="555" t="s">
        <v>216</v>
      </c>
      <c r="C2" s="555"/>
      <c r="D2" s="555"/>
      <c r="E2" s="555"/>
      <c r="F2" s="555"/>
      <c r="G2" s="555"/>
      <c r="H2" s="555"/>
      <c r="I2" s="116"/>
      <c r="L2" s="557" t="s">
        <v>217</v>
      </c>
      <c r="M2" s="557"/>
      <c r="N2" s="557"/>
      <c r="O2" s="557"/>
      <c r="P2" s="557"/>
      <c r="Q2" s="557"/>
      <c r="R2" s="116"/>
      <c r="U2" s="555" t="s">
        <v>240</v>
      </c>
      <c r="V2" s="555"/>
      <c r="W2" s="555"/>
      <c r="X2" s="555"/>
      <c r="Y2" s="555"/>
      <c r="Z2" s="555"/>
      <c r="AA2" s="555"/>
      <c r="AD2" s="91">
        <f>'Phase designation'!B27</f>
        <v>0</v>
      </c>
      <c r="AE2" s="91">
        <f>'Phase designation'!C27</f>
        <v>2</v>
      </c>
      <c r="AF2" s="91">
        <f>'Phase designation'!D27</f>
        <v>0</v>
      </c>
      <c r="AG2" s="91">
        <f>'Phase designation'!E27</f>
        <v>6</v>
      </c>
      <c r="AH2" s="91">
        <f>'Phase designation'!F27</f>
        <v>3</v>
      </c>
      <c r="AI2" s="91">
        <f>'Phase designation'!G27</f>
        <v>8</v>
      </c>
      <c r="AJ2" s="91">
        <f>'Phase designation'!H27</f>
        <v>7</v>
      </c>
      <c r="AK2" s="91">
        <f>'Phase designation'!I27</f>
        <v>4</v>
      </c>
    </row>
    <row r="3" spans="1:37" x14ac:dyDescent="0.3">
      <c r="D3" s="556" t="str">
        <f>Sheet1!J38</f>
        <v>Street 1</v>
      </c>
      <c r="E3" s="556"/>
      <c r="F3" s="556"/>
      <c r="N3" s="556" t="str">
        <f>D3</f>
        <v>Street 1</v>
      </c>
      <c r="O3" s="556"/>
      <c r="P3" s="556"/>
      <c r="AD3" s="91">
        <f>'Phase designation'!B28</f>
        <v>2</v>
      </c>
      <c r="AE3" s="91">
        <f>'Phase designation'!C28</f>
        <v>0</v>
      </c>
      <c r="AF3" s="91">
        <f>'Phase designation'!D28</f>
        <v>6</v>
      </c>
      <c r="AG3" s="91">
        <f>'Phase designation'!E28</f>
        <v>0</v>
      </c>
      <c r="AH3" s="91">
        <f>'Phase designation'!F28</f>
        <v>0</v>
      </c>
      <c r="AI3" s="91">
        <f>'Phase designation'!G28</f>
        <v>0</v>
      </c>
      <c r="AJ3" s="91">
        <f>'Phase designation'!H28</f>
        <v>0</v>
      </c>
      <c r="AK3" s="91">
        <f>'Phase designation'!I28</f>
        <v>0</v>
      </c>
    </row>
    <row r="4" spans="1:37" x14ac:dyDescent="0.3">
      <c r="C4" s="5"/>
      <c r="D4" s="117">
        <f>IF(Z4=0,0,Sheet1!K4+Sheet1!AE4+Sheet1!AH4)</f>
        <v>178</v>
      </c>
      <c r="E4" s="117">
        <f>IF(Z4=0,0,Sheet1!J4+Sheet1!AD4+Sheet1!AG4)</f>
        <v>656</v>
      </c>
      <c r="F4" s="117">
        <f>IF(Z4=0,0,Sheet1!I4+Sheet1!AC4+Sheet1!AF4)</f>
        <v>107</v>
      </c>
      <c r="G4" s="5"/>
      <c r="H4" s="5"/>
      <c r="I4" s="5"/>
      <c r="L4" s="5"/>
      <c r="M4" s="5"/>
      <c r="N4" s="307">
        <f>'Phase calculation'!N33</f>
        <v>4</v>
      </c>
      <c r="O4" s="130">
        <f>IF(X4=0,"N/A",AK5)</f>
        <v>4</v>
      </c>
      <c r="P4" s="130" t="str">
        <f>IF(Y4=0,"N/A",AJ5)</f>
        <v>7+0</v>
      </c>
      <c r="Q4" s="5"/>
      <c r="R4" s="5"/>
      <c r="V4" s="5"/>
      <c r="W4" s="117">
        <f>Sheet1!K5+Sheet1!AE5+Sheet1!AH5</f>
        <v>5</v>
      </c>
      <c r="X4" s="117">
        <f>Sheet1!J5+Sheet1!AD5+Sheet1!AG5</f>
        <v>4</v>
      </c>
      <c r="Y4" s="117">
        <f>Sheet1!I5+Sheet1!AC5+Sheet1!AF5</f>
        <v>2</v>
      </c>
      <c r="Z4" s="186">
        <f>SUM(W4:Y4)+X17</f>
        <v>11</v>
      </c>
      <c r="AA4" s="5"/>
    </row>
    <row r="5" spans="1:37" x14ac:dyDescent="0.3">
      <c r="C5" s="5"/>
      <c r="D5" s="5"/>
      <c r="E5" s="5"/>
      <c r="F5" s="5"/>
      <c r="G5" s="5"/>
      <c r="H5" s="5"/>
      <c r="I5" s="5"/>
      <c r="L5" s="5"/>
      <c r="M5" s="5"/>
      <c r="N5" s="5"/>
      <c r="O5" s="5"/>
      <c r="P5" s="5"/>
      <c r="Q5" s="5"/>
      <c r="R5" s="5"/>
      <c r="T5" s="242"/>
      <c r="V5" s="5"/>
      <c r="W5" s="5"/>
      <c r="X5" s="5"/>
      <c r="Y5" s="5"/>
      <c r="Z5" s="5"/>
      <c r="AA5" s="5"/>
      <c r="AD5" s="91">
        <f>IF(AD2=0,AD3,AD2&amp;"+"&amp;AD3)</f>
        <v>2</v>
      </c>
      <c r="AE5" s="91">
        <f>AE2</f>
        <v>2</v>
      </c>
      <c r="AF5" s="91">
        <f>IF(AF2=0,AF3,AF2&amp;"+"&amp;AF3)</f>
        <v>6</v>
      </c>
      <c r="AG5" s="91">
        <f>AG2</f>
        <v>6</v>
      </c>
      <c r="AH5" s="91" t="str">
        <f>IF(AH2=0,AH3,AH2&amp;"+"&amp;AH3)</f>
        <v>3+0</v>
      </c>
      <c r="AI5" s="91">
        <f>AI2</f>
        <v>8</v>
      </c>
      <c r="AJ5" s="91" t="str">
        <f>IF(AJ2=0,AJ3,AJ2&amp;"+"&amp;AJ3)</f>
        <v>7+0</v>
      </c>
      <c r="AK5" s="91">
        <f>AK2</f>
        <v>4</v>
      </c>
    </row>
    <row r="6" spans="1:37" x14ac:dyDescent="0.3">
      <c r="C6" s="5"/>
      <c r="D6" s="5"/>
      <c r="E6" s="5"/>
      <c r="F6" s="5"/>
      <c r="G6" s="5"/>
      <c r="H6" s="5"/>
      <c r="I6" s="17" t="s">
        <v>76</v>
      </c>
      <c r="L6" s="5"/>
      <c r="M6" s="5"/>
      <c r="N6" s="5"/>
      <c r="O6" s="5"/>
      <c r="P6" s="5"/>
      <c r="Q6" s="5"/>
      <c r="S6" s="17" t="s">
        <v>76</v>
      </c>
      <c r="T6" s="242"/>
      <c r="V6" s="5"/>
      <c r="W6" s="5"/>
      <c r="X6" s="5"/>
      <c r="Y6" s="5"/>
      <c r="Z6" s="5"/>
      <c r="AA6" s="5"/>
    </row>
    <row r="7" spans="1:37" x14ac:dyDescent="0.3">
      <c r="C7" s="5"/>
      <c r="D7" s="5"/>
      <c r="E7" s="5"/>
      <c r="F7" s="5"/>
      <c r="G7" s="5"/>
      <c r="H7" s="5"/>
      <c r="I7" s="5"/>
      <c r="L7" s="5"/>
      <c r="M7" s="5"/>
      <c r="N7" s="5"/>
      <c r="O7" s="5"/>
      <c r="P7" s="5"/>
      <c r="Q7" s="5"/>
      <c r="R7" s="5"/>
      <c r="T7" s="242"/>
      <c r="V7" s="5"/>
      <c r="W7" s="5"/>
      <c r="X7" s="5"/>
      <c r="Y7" s="5"/>
      <c r="Z7" s="5"/>
      <c r="AA7" s="5"/>
    </row>
    <row r="8" spans="1:37" x14ac:dyDescent="0.3">
      <c r="C8" s="5"/>
      <c r="D8" s="5"/>
      <c r="E8" s="5"/>
      <c r="F8" s="5"/>
      <c r="G8" s="5"/>
      <c r="H8" s="5"/>
      <c r="I8" s="5"/>
      <c r="L8" s="5"/>
      <c r="M8" s="5"/>
      <c r="N8" s="5"/>
      <c r="O8" s="5"/>
      <c r="P8" s="5"/>
      <c r="Q8" s="5"/>
      <c r="R8" s="5"/>
      <c r="V8" s="5"/>
      <c r="W8" s="5"/>
      <c r="X8" s="5"/>
      <c r="Y8" s="5"/>
      <c r="Z8" s="5"/>
      <c r="AA8" s="5"/>
    </row>
    <row r="9" spans="1:37" x14ac:dyDescent="0.3">
      <c r="B9" s="94">
        <f>IF(U15=0,0,Sheet1!N4)</f>
        <v>83</v>
      </c>
      <c r="C9" s="83"/>
      <c r="D9" s="5"/>
      <c r="E9" s="5"/>
      <c r="F9" s="5"/>
      <c r="G9" s="5"/>
      <c r="H9" s="118">
        <f>IF(AA15=0,0,Sheet1!U4)</f>
        <v>237</v>
      </c>
      <c r="I9" s="5"/>
      <c r="L9" s="131">
        <f>IF(U9=0,"N/A",AD5)</f>
        <v>2</v>
      </c>
      <c r="M9" s="5"/>
      <c r="N9" s="5"/>
      <c r="O9" s="5"/>
      <c r="P9" s="5"/>
      <c r="R9" s="306">
        <f>'Phase calculation'!H33</f>
        <v>6</v>
      </c>
      <c r="T9" s="242"/>
      <c r="U9" s="94">
        <f>Sheet1!N5</f>
        <v>1</v>
      </c>
      <c r="V9" s="83"/>
      <c r="W9" s="5"/>
      <c r="X9" s="5"/>
      <c r="Y9" s="5"/>
      <c r="Z9" s="5"/>
      <c r="AA9" s="118">
        <f>Sheet1!U5</f>
        <v>5</v>
      </c>
    </row>
    <row r="10" spans="1:37" x14ac:dyDescent="0.3">
      <c r="C10" s="81"/>
      <c r="D10" s="11"/>
      <c r="E10" s="11"/>
      <c r="F10" s="11"/>
      <c r="G10" s="11"/>
      <c r="H10" s="103"/>
      <c r="I10" s="10"/>
      <c r="L10" s="5"/>
      <c r="M10" s="11"/>
      <c r="N10" s="11"/>
      <c r="O10" s="11"/>
      <c r="P10" s="11"/>
      <c r="V10" s="81"/>
      <c r="W10" s="11"/>
      <c r="X10" s="11"/>
      <c r="Y10" s="11"/>
      <c r="Z10" s="11"/>
      <c r="AA10" s="103"/>
    </row>
    <row r="11" spans="1:37" x14ac:dyDescent="0.3">
      <c r="A11" s="206" t="str">
        <f>Sheet1!O38</f>
        <v>Street 2</v>
      </c>
      <c r="B11" s="94">
        <f>IF(U15=0,0,Sheet1!O4)</f>
        <v>303</v>
      </c>
      <c r="C11" s="81"/>
      <c r="D11" s="26"/>
      <c r="E11" s="12" t="str">
        <f>Sheet1!B2</f>
        <v>Street 1 &amp; Street 2</v>
      </c>
      <c r="F11" s="11"/>
      <c r="G11" s="11"/>
      <c r="H11" s="119">
        <f>IF(AA15=0,0,Sheet1!T4)</f>
        <v>789</v>
      </c>
      <c r="I11" s="205" t="str">
        <f>Sheet1!T38</f>
        <v>Street 2</v>
      </c>
      <c r="K11" s="206" t="str">
        <f>A11</f>
        <v>Street 2</v>
      </c>
      <c r="L11" s="131">
        <f>IF(U11=0,"N/A",AE5)</f>
        <v>2</v>
      </c>
      <c r="M11" s="26"/>
      <c r="N11" s="11"/>
      <c r="O11" s="11"/>
      <c r="P11" s="11"/>
      <c r="R11" s="134">
        <f>IF(AA11=0,"N/A",AG5)</f>
        <v>6</v>
      </c>
      <c r="S11" s="205" t="str">
        <f>I11</f>
        <v>Street 2</v>
      </c>
      <c r="U11" s="94">
        <f>Sheet1!O5</f>
        <v>2</v>
      </c>
      <c r="V11" s="81"/>
      <c r="W11" s="26"/>
      <c r="X11" s="11"/>
      <c r="Y11" s="11"/>
      <c r="Z11" s="11"/>
      <c r="AA11" s="119">
        <f>Sheet1!T5</f>
        <v>2</v>
      </c>
    </row>
    <row r="12" spans="1:37" x14ac:dyDescent="0.3">
      <c r="C12" s="5"/>
      <c r="D12" s="30"/>
      <c r="E12" s="15"/>
      <c r="F12" s="15"/>
      <c r="G12" s="15"/>
      <c r="H12" s="120"/>
      <c r="I12" s="14"/>
      <c r="L12" s="5"/>
      <c r="M12" s="30"/>
      <c r="N12" s="15"/>
      <c r="O12" s="15"/>
      <c r="P12" s="15"/>
      <c r="R12" s="24"/>
      <c r="S12" s="10"/>
      <c r="V12" s="5"/>
      <c r="W12" s="30"/>
      <c r="X12" s="15"/>
      <c r="Y12" s="15"/>
      <c r="Z12" s="15"/>
      <c r="AA12" s="120"/>
    </row>
    <row r="13" spans="1:37" x14ac:dyDescent="0.3">
      <c r="B13" s="94">
        <f>IF(U15=0,0,Sheet1!P4)</f>
        <v>106</v>
      </c>
      <c r="C13" s="5"/>
      <c r="D13" s="31"/>
      <c r="E13" s="32"/>
      <c r="F13" s="32"/>
      <c r="G13" s="33"/>
      <c r="H13" s="121">
        <f>IF(AA15=0,0,Sheet1!S4)</f>
        <v>166</v>
      </c>
      <c r="I13" s="16"/>
      <c r="L13" s="305">
        <f>'Phase calculation'!E33</f>
        <v>2</v>
      </c>
      <c r="M13" s="31"/>
      <c r="N13" s="32"/>
      <c r="O13" s="32"/>
      <c r="P13" s="33"/>
      <c r="R13" s="135">
        <f>IF(AA13=0,"N/A",AF5)</f>
        <v>6</v>
      </c>
      <c r="U13" s="94">
        <f>Sheet1!P5</f>
        <v>4</v>
      </c>
      <c r="V13" s="5"/>
      <c r="W13" s="31"/>
      <c r="X13" s="32"/>
      <c r="Y13" s="32"/>
      <c r="Z13" s="33"/>
      <c r="AA13" s="121">
        <f>Sheet1!S5</f>
        <v>1</v>
      </c>
    </row>
    <row r="14" spans="1:37" x14ac:dyDescent="0.3">
      <c r="C14" s="5"/>
      <c r="D14" s="34"/>
      <c r="E14" s="15"/>
      <c r="F14" s="15"/>
      <c r="G14" s="15"/>
      <c r="H14" s="90"/>
      <c r="I14" s="90"/>
      <c r="L14" s="5"/>
      <c r="M14" s="34"/>
      <c r="N14" s="15"/>
      <c r="O14" s="15"/>
      <c r="P14" s="15"/>
      <c r="Q14" s="90"/>
      <c r="R14" s="90"/>
      <c r="V14" s="5"/>
      <c r="W14" s="34"/>
      <c r="X14" s="15"/>
      <c r="Y14" s="15"/>
      <c r="Z14" s="15"/>
      <c r="AA14" s="165"/>
    </row>
    <row r="15" spans="1:37" x14ac:dyDescent="0.3">
      <c r="C15" s="5"/>
      <c r="D15" s="35"/>
      <c r="E15" s="15"/>
      <c r="F15" s="15" t="s">
        <v>77</v>
      </c>
      <c r="G15" s="15"/>
      <c r="H15" s="15"/>
      <c r="I15" s="15"/>
      <c r="L15" s="5"/>
      <c r="M15" s="35"/>
      <c r="N15" s="15"/>
      <c r="O15" s="15" t="s">
        <v>77</v>
      </c>
      <c r="P15" s="15"/>
      <c r="Q15" s="15"/>
      <c r="R15" s="15"/>
      <c r="U15" s="185">
        <f>SUM(U9:U13)+AA11</f>
        <v>9</v>
      </c>
      <c r="V15" s="5"/>
      <c r="W15" s="35"/>
      <c r="X15" s="15"/>
      <c r="Y15" s="15" t="s">
        <v>77</v>
      </c>
      <c r="Z15" s="15"/>
      <c r="AA15" s="187">
        <f>SUM(AA9:AA13)+U11</f>
        <v>10</v>
      </c>
    </row>
    <row r="16" spans="1:37" x14ac:dyDescent="0.3">
      <c r="C16" s="5"/>
      <c r="D16" s="23"/>
      <c r="E16" s="25"/>
      <c r="F16" s="29"/>
      <c r="G16" s="15"/>
      <c r="H16" s="15"/>
      <c r="I16" s="15"/>
      <c r="L16" s="5"/>
      <c r="M16" s="23"/>
      <c r="P16" s="15"/>
      <c r="Q16" s="15"/>
      <c r="R16" s="15"/>
      <c r="V16" s="5"/>
      <c r="W16" s="23"/>
      <c r="X16" s="25"/>
      <c r="Y16" s="29"/>
      <c r="Z16" s="15"/>
      <c r="AA16" s="15"/>
    </row>
    <row r="17" spans="1:26" x14ac:dyDescent="0.3">
      <c r="D17" s="122">
        <f>IF(Z17=0,0,Sheet1!D4+Sheet1!Z4+Sheet1!W4)</f>
        <v>290</v>
      </c>
      <c r="E17" s="122">
        <f>IF(Z17=0,0,Sheet1!E4+Sheet1!X4+Sheet1!AA4)</f>
        <v>0</v>
      </c>
      <c r="F17" s="122">
        <f>IF(Z17=0,0,Sheet1!F4+Sheet1!Y4+Sheet1!AB4)</f>
        <v>0</v>
      </c>
      <c r="N17" s="132" t="str">
        <f>IF(W17=0,"N/A",AH5)</f>
        <v>3+0</v>
      </c>
      <c r="O17" s="133" t="str">
        <f>IF(X17=0,"N/A",AI5)</f>
        <v>N/A</v>
      </c>
      <c r="P17" s="307">
        <f>'Phase calculation'!K33</f>
        <v>8</v>
      </c>
      <c r="W17" s="122">
        <f>Sheet1!D5+Sheet1!W5+Sheet1!Z5</f>
        <v>2</v>
      </c>
      <c r="X17" s="122">
        <f>Sheet1!E5+Sheet1!X5+Sheet1!AA5</f>
        <v>0</v>
      </c>
      <c r="Y17" s="122">
        <f>Sheet1!F5+Sheet1!Y5+Sheet1!AB5</f>
        <v>0</v>
      </c>
      <c r="Z17" s="185">
        <f>SUM(W17:Y17)+X4</f>
        <v>6</v>
      </c>
    </row>
    <row r="18" spans="1:26" x14ac:dyDescent="0.3">
      <c r="D18" s="556" t="str">
        <f>Sheet1!E38</f>
        <v>Street 1</v>
      </c>
      <c r="E18" s="556"/>
      <c r="F18" s="556"/>
      <c r="N18" s="556" t="str">
        <f>D18</f>
        <v>Street 1</v>
      </c>
      <c r="O18" s="556"/>
      <c r="P18" s="556"/>
    </row>
    <row r="20" spans="1:26" x14ac:dyDescent="0.3">
      <c r="B20" s="558" t="s">
        <v>215</v>
      </c>
      <c r="C20" s="558"/>
      <c r="D20" s="558"/>
      <c r="E20" s="558"/>
      <c r="F20" s="558"/>
      <c r="G20" s="558"/>
      <c r="H20" s="116"/>
      <c r="L20" s="518" t="s">
        <v>214</v>
      </c>
      <c r="M20" s="518"/>
      <c r="N20" s="518"/>
      <c r="O20" s="518"/>
      <c r="P20" s="518"/>
      <c r="Q20" s="518"/>
    </row>
    <row r="21" spans="1:26" x14ac:dyDescent="0.3">
      <c r="D21" s="556" t="str">
        <f>D3</f>
        <v>Street 1</v>
      </c>
      <c r="E21" s="556"/>
      <c r="F21" s="556"/>
      <c r="N21" s="556" t="str">
        <f>D3</f>
        <v>Street 1</v>
      </c>
      <c r="O21" s="556"/>
      <c r="P21" s="556"/>
    </row>
    <row r="22" spans="1:26" x14ac:dyDescent="0.3">
      <c r="B22" s="5"/>
      <c r="C22" s="5"/>
      <c r="D22" s="304">
        <f>'Phase calculation'!N34</f>
        <v>46</v>
      </c>
      <c r="E22" s="79">
        <f>IF(X4=0,0,'Phase calculation'!M34)</f>
        <v>46</v>
      </c>
      <c r="F22" s="79">
        <f>IF(Z17=0,'Phase calculation'!M34,'Phase calculation'!L34)</f>
        <v>12</v>
      </c>
      <c r="G22" s="5"/>
      <c r="H22" s="5"/>
      <c r="I22" s="5"/>
      <c r="L22" s="5"/>
      <c r="M22" s="5"/>
      <c r="N22" s="245">
        <f>'Phase calculation'!N41</f>
        <v>13388</v>
      </c>
      <c r="O22" s="92">
        <f>IF(X4=0,"N/A",'Phase calculation'!M41)</f>
        <v>2142</v>
      </c>
      <c r="P22" s="92">
        <f>IF(Y4=0,"N/A",'Phase calculation'!L41)</f>
        <v>434</v>
      </c>
      <c r="Q22" s="5"/>
    </row>
    <row r="23" spans="1:26" x14ac:dyDescent="0.3">
      <c r="B23" s="5"/>
      <c r="C23" s="5"/>
      <c r="D23" s="5"/>
      <c r="E23" s="5"/>
      <c r="G23" s="5"/>
      <c r="H23" s="5"/>
      <c r="I23" s="5"/>
      <c r="L23" s="5"/>
      <c r="M23" s="5"/>
      <c r="N23" s="5"/>
      <c r="O23" s="5"/>
      <c r="P23" s="5"/>
      <c r="Q23" s="5"/>
    </row>
    <row r="24" spans="1:26" x14ac:dyDescent="0.3">
      <c r="B24" s="5"/>
      <c r="C24" s="5"/>
      <c r="D24" s="5"/>
      <c r="E24" s="5"/>
      <c r="G24" s="5"/>
      <c r="H24" s="5"/>
      <c r="I24" s="17" t="s">
        <v>76</v>
      </c>
      <c r="L24" s="5"/>
      <c r="M24" s="5"/>
      <c r="N24" s="5"/>
      <c r="O24" s="5"/>
      <c r="P24" s="5"/>
      <c r="Q24" s="5"/>
      <c r="S24" s="17" t="s">
        <v>76</v>
      </c>
    </row>
    <row r="25" spans="1:26" x14ac:dyDescent="0.3">
      <c r="B25" s="5"/>
      <c r="C25" s="5"/>
      <c r="D25" s="5"/>
      <c r="E25" s="5"/>
      <c r="G25" s="5"/>
      <c r="H25" s="5"/>
      <c r="I25" s="5"/>
      <c r="L25" s="5"/>
      <c r="M25" s="5"/>
      <c r="N25" s="5"/>
      <c r="O25" s="5"/>
      <c r="P25" s="5"/>
      <c r="Q25" s="5"/>
    </row>
    <row r="26" spans="1:26" x14ac:dyDescent="0.3">
      <c r="B26" s="5"/>
      <c r="C26" s="5"/>
      <c r="D26" s="5"/>
      <c r="E26" s="5"/>
      <c r="G26" s="5"/>
      <c r="H26" s="5"/>
      <c r="I26" s="5"/>
      <c r="L26" s="5"/>
      <c r="M26" s="5"/>
      <c r="N26" s="5"/>
      <c r="O26" s="5"/>
      <c r="P26" s="5"/>
      <c r="Q26" s="5"/>
    </row>
    <row r="27" spans="1:26" x14ac:dyDescent="0.3">
      <c r="B27" s="123">
        <f>IF(AA15=0,'Phase calculation'!D34,'Phase calculation'!C34)</f>
        <v>0</v>
      </c>
      <c r="C27" s="5"/>
      <c r="E27" s="129"/>
      <c r="G27" s="5"/>
      <c r="H27" s="125">
        <f>'Phase calculation'!H34</f>
        <v>59</v>
      </c>
      <c r="L27" s="44">
        <f>IF(U9=0,"N/A",'Phase calculation'!C41)</f>
        <v>70</v>
      </c>
      <c r="M27" s="5"/>
      <c r="N27" s="129"/>
      <c r="O27" s="129"/>
      <c r="P27" s="5"/>
      <c r="R27" s="308">
        <f>'Phase calculation'!H41</f>
        <v>17531</v>
      </c>
    </row>
    <row r="28" spans="1:26" x14ac:dyDescent="0.3">
      <c r="B28" s="5"/>
      <c r="C28" s="11"/>
      <c r="D28" s="129"/>
      <c r="E28" s="560" t="str">
        <f>IF(E22+F22+H27+H29+E35+D35+B29+B27=0,0,"C = "&amp;'Phase calculation'!C25&amp;" s")</f>
        <v>C = 120 s</v>
      </c>
      <c r="G28" s="11"/>
      <c r="H28" s="24"/>
      <c r="I28" s="10"/>
      <c r="L28" s="192"/>
      <c r="M28" s="11"/>
      <c r="N28" s="129"/>
      <c r="O28" s="129"/>
      <c r="P28" s="11"/>
    </row>
    <row r="29" spans="1:26" x14ac:dyDescent="0.3">
      <c r="A29" s="206" t="str">
        <f>A11</f>
        <v>Street 2</v>
      </c>
      <c r="B29" s="124">
        <f>IF(U11=0,0,'Phase calculation'!D34)</f>
        <v>59</v>
      </c>
      <c r="C29" s="26"/>
      <c r="D29" s="11"/>
      <c r="E29" s="560"/>
      <c r="G29" s="11"/>
      <c r="H29" s="126">
        <f>IF(AA11=0,0,'Phase calculation'!G34)</f>
        <v>59</v>
      </c>
      <c r="I29" s="207" t="str">
        <f>I11</f>
        <v>Street 2</v>
      </c>
      <c r="K29" s="206" t="str">
        <f>A11</f>
        <v>Street 2</v>
      </c>
      <c r="L29" s="44">
        <f>IF(U11=0,"N/A",'Phase calculation'!D41)</f>
        <v>1403</v>
      </c>
      <c r="M29" s="26"/>
      <c r="N29" s="11"/>
      <c r="O29" s="11"/>
      <c r="P29" s="11"/>
      <c r="R29" s="9">
        <f>IF(AA11=0,"N/A",'Phase calculation'!G41)</f>
        <v>1403</v>
      </c>
      <c r="S29" s="206" t="str">
        <f>I11</f>
        <v>Street 2</v>
      </c>
    </row>
    <row r="30" spans="1:26" x14ac:dyDescent="0.3">
      <c r="B30" s="5"/>
      <c r="C30" s="30"/>
      <c r="D30" s="15"/>
      <c r="E30" s="560"/>
      <c r="G30" s="15"/>
      <c r="H30" s="26"/>
      <c r="I30" s="14"/>
      <c r="L30" s="5"/>
      <c r="M30" s="30"/>
      <c r="N30" s="15"/>
      <c r="O30" s="15"/>
      <c r="P30" s="15"/>
      <c r="Q30" s="26"/>
      <c r="R30" s="24"/>
    </row>
    <row r="31" spans="1:26" x14ac:dyDescent="0.3">
      <c r="B31" s="124">
        <f>'Phase calculation'!E34</f>
        <v>59</v>
      </c>
      <c r="C31" s="31"/>
      <c r="D31" s="32"/>
      <c r="E31" s="32"/>
      <c r="F31" s="33"/>
      <c r="G31" s="15"/>
      <c r="H31" s="303">
        <f>IF(U15=0,'Phase calculation'!G34,'Phase calculation'!F34)</f>
        <v>0</v>
      </c>
      <c r="L31" s="7">
        <f>'Phase calculation'!E41</f>
        <v>11220</v>
      </c>
      <c r="M31" s="31"/>
      <c r="N31" s="32"/>
      <c r="O31" s="32"/>
      <c r="P31" s="33"/>
      <c r="Q31" s="15"/>
      <c r="R31" s="27">
        <f>IF(AA13=0,"N/A",'Phase calculation'!F41)</f>
        <v>78</v>
      </c>
    </row>
    <row r="32" spans="1:26" x14ac:dyDescent="0.3">
      <c r="B32" s="5"/>
      <c r="C32" s="34"/>
      <c r="D32" s="15"/>
      <c r="E32" s="15"/>
      <c r="F32" s="15"/>
      <c r="G32" s="90"/>
      <c r="H32" s="90"/>
      <c r="L32" s="5"/>
      <c r="M32" s="34"/>
      <c r="N32" s="15"/>
      <c r="O32" s="15"/>
      <c r="P32" s="15"/>
      <c r="Q32" s="90"/>
    </row>
    <row r="33" spans="2:20" x14ac:dyDescent="0.3">
      <c r="B33" s="5"/>
      <c r="C33" s="35"/>
      <c r="D33" s="15"/>
      <c r="E33" s="15" t="s">
        <v>77</v>
      </c>
      <c r="F33" s="15"/>
      <c r="G33" s="15"/>
      <c r="H33" s="15"/>
      <c r="L33" s="5"/>
      <c r="M33" s="35"/>
      <c r="N33" s="15"/>
      <c r="O33" s="15" t="s">
        <v>77</v>
      </c>
      <c r="P33" s="15"/>
      <c r="Q33" s="15"/>
    </row>
    <row r="34" spans="2:20" x14ac:dyDescent="0.3">
      <c r="B34" s="5"/>
      <c r="C34" s="23"/>
      <c r="F34" s="15"/>
      <c r="G34" s="15"/>
      <c r="H34" s="15"/>
      <c r="L34" s="5"/>
      <c r="M34" s="23"/>
      <c r="P34" s="15"/>
      <c r="Q34" s="15"/>
    </row>
    <row r="35" spans="2:20" x14ac:dyDescent="0.3">
      <c r="D35" s="127">
        <f>IF(Z4=0,'Phase calculation'!J34,'Phase calculation'!I34)</f>
        <v>15</v>
      </c>
      <c r="E35" s="128">
        <f>IF(X17=0,0,'Phase calculation'!J34)</f>
        <v>0</v>
      </c>
      <c r="F35" s="304">
        <f>'Phase calculation'!K34</f>
        <v>49</v>
      </c>
      <c r="N35" s="36">
        <f>IF(W17=0,"N/A",'Phase calculation'!I41)</f>
        <v>561</v>
      </c>
      <c r="O35" s="37" t="str">
        <f>IF(X17=0,"N/A",'Phase calculation'!J41)</f>
        <v>N/A</v>
      </c>
      <c r="P35" s="245">
        <f>'Phase calculation'!K41</f>
        <v>0</v>
      </c>
    </row>
    <row r="36" spans="2:20" x14ac:dyDescent="0.3">
      <c r="D36" s="556" t="str">
        <f>D18</f>
        <v>Street 1</v>
      </c>
      <c r="E36" s="556"/>
      <c r="F36" s="556"/>
      <c r="G36" s="62"/>
      <c r="H36" s="62"/>
      <c r="I36" s="62"/>
      <c r="J36" s="62"/>
      <c r="K36" s="62"/>
      <c r="L36" s="62"/>
      <c r="M36" s="62"/>
      <c r="N36" s="556" t="str">
        <f>D18</f>
        <v>Street 1</v>
      </c>
      <c r="O36" s="556"/>
      <c r="P36" s="556"/>
    </row>
    <row r="37" spans="2:20" x14ac:dyDescent="0.3">
      <c r="D37" s="291"/>
      <c r="E37" s="291"/>
      <c r="F37" s="62"/>
      <c r="G37" s="62"/>
      <c r="H37" s="62"/>
      <c r="I37" s="62"/>
      <c r="J37" s="62"/>
      <c r="K37" s="62"/>
      <c r="L37" s="62"/>
      <c r="M37" s="62"/>
    </row>
    <row r="39" spans="2:20" x14ac:dyDescent="0.3">
      <c r="M39" s="567" t="s">
        <v>219</v>
      </c>
      <c r="N39" s="567"/>
      <c r="O39" s="567"/>
      <c r="P39" s="567"/>
      <c r="Q39" s="567"/>
      <c r="R39" s="567"/>
      <c r="S39" s="567"/>
    </row>
    <row r="40" spans="2:20" x14ac:dyDescent="0.3">
      <c r="B40" s="563" t="s">
        <v>218</v>
      </c>
      <c r="C40" s="563"/>
      <c r="D40" s="563"/>
      <c r="E40" s="563"/>
      <c r="F40" s="563"/>
      <c r="G40" s="563"/>
      <c r="L40" s="323"/>
      <c r="M40" s="323"/>
      <c r="O40" s="556" t="str">
        <f>D3</f>
        <v>Street 1</v>
      </c>
      <c r="P40" s="556"/>
      <c r="Q40" s="556"/>
    </row>
    <row r="41" spans="2:20" x14ac:dyDescent="0.3">
      <c r="D41" s="556" t="str">
        <f>D3</f>
        <v>Street 1</v>
      </c>
      <c r="E41" s="556"/>
      <c r="F41" s="556"/>
      <c r="O41" s="561">
        <f>'Phase calculation'!L46</f>
        <v>31.098416578108395</v>
      </c>
      <c r="P41" s="561"/>
      <c r="Q41" s="561"/>
    </row>
    <row r="42" spans="2:20" x14ac:dyDescent="0.3">
      <c r="B42" s="136"/>
      <c r="C42" s="136"/>
      <c r="D42" s="311">
        <f>'Phase calculation'!N40</f>
        <v>6.6477442485808188E-3</v>
      </c>
      <c r="E42" s="137">
        <f>IF(X4=0,"N/A",'Phase calculation'!M40)</f>
        <v>0.31</v>
      </c>
      <c r="F42" s="137">
        <f>IF(Y4=0,"N/A",'Phase calculation'!L40)</f>
        <v>0.25</v>
      </c>
      <c r="G42" s="136"/>
      <c r="M42" s="259"/>
      <c r="N42" s="259"/>
      <c r="O42" s="316">
        <f>'Phase calculation'!N44</f>
        <v>25.41</v>
      </c>
      <c r="P42" s="260">
        <f>IF(X4=0,"N/A",'Phase calculation'!M44)</f>
        <v>28.82</v>
      </c>
      <c r="Q42" s="260">
        <f>IF(Y4=0,"N/A",'Phase calculation'!L44)</f>
        <v>54.53</v>
      </c>
      <c r="R42" s="259"/>
    </row>
    <row r="43" spans="2:20" x14ac:dyDescent="0.3">
      <c r="B43" s="136"/>
      <c r="C43" s="136"/>
      <c r="D43" s="136"/>
      <c r="E43" s="136"/>
      <c r="F43" s="136"/>
      <c r="G43" s="136"/>
      <c r="M43" s="259"/>
      <c r="N43" s="259"/>
      <c r="O43" s="259"/>
      <c r="P43" s="259"/>
      <c r="Q43" s="259"/>
      <c r="R43" s="259"/>
    </row>
    <row r="44" spans="2:20" x14ac:dyDescent="0.3">
      <c r="B44" s="136"/>
      <c r="C44" s="136"/>
      <c r="D44" s="136"/>
      <c r="E44" s="136"/>
      <c r="F44" s="136"/>
      <c r="G44" s="136"/>
      <c r="I44" s="17" t="s">
        <v>76</v>
      </c>
      <c r="M44" s="259"/>
      <c r="N44" s="259"/>
      <c r="O44" s="259"/>
      <c r="P44" s="259"/>
      <c r="Q44" s="259"/>
      <c r="R44" s="259"/>
      <c r="T44" s="17" t="s">
        <v>76</v>
      </c>
    </row>
    <row r="45" spans="2:20" x14ac:dyDescent="0.3">
      <c r="B45" s="136"/>
      <c r="C45" s="136"/>
      <c r="D45" s="136"/>
      <c r="E45" s="136"/>
      <c r="F45" s="136"/>
      <c r="G45" s="136"/>
      <c r="M45" s="259"/>
      <c r="N45" s="259"/>
      <c r="O45" s="259"/>
      <c r="P45" s="259"/>
      <c r="Q45" s="259"/>
      <c r="R45" s="259"/>
    </row>
    <row r="46" spans="2:20" x14ac:dyDescent="0.3">
      <c r="B46" s="136"/>
      <c r="C46" s="136"/>
      <c r="D46" s="136"/>
      <c r="E46" s="136"/>
      <c r="F46" s="136"/>
      <c r="G46" s="136"/>
      <c r="M46" s="259"/>
      <c r="N46" s="259"/>
      <c r="O46" s="259"/>
      <c r="P46" s="259"/>
      <c r="Q46" s="259"/>
      <c r="R46" s="259"/>
    </row>
    <row r="47" spans="2:20" x14ac:dyDescent="0.3">
      <c r="B47" s="138">
        <f>IF(U9=0,"N/A",'Phase calculation'!C40)</f>
        <v>1.19</v>
      </c>
      <c r="C47" s="136"/>
      <c r="H47" s="310">
        <f>'Phase calculation'!H40</f>
        <v>6.7309337744566764E-3</v>
      </c>
      <c r="M47" s="261">
        <f>IF(U9=0,"N/A",'Phase calculation'!C44)</f>
        <v>200.14</v>
      </c>
      <c r="N47" s="259"/>
      <c r="P47" s="313"/>
      <c r="Q47" s="259"/>
      <c r="S47" s="317">
        <f>'Phase calculation'!H44</f>
        <v>17.66</v>
      </c>
    </row>
    <row r="48" spans="2:20" x14ac:dyDescent="0.3">
      <c r="B48" s="136"/>
      <c r="C48" s="140"/>
      <c r="D48" s="566">
        <f>'Phase calculation'!T82</f>
        <v>0.47</v>
      </c>
      <c r="E48" s="566"/>
      <c r="F48" s="566"/>
      <c r="M48" s="259"/>
      <c r="N48" s="263"/>
      <c r="O48" s="559">
        <f>'Phase calculation'!T84</f>
        <v>69.78</v>
      </c>
      <c r="P48" s="559"/>
      <c r="Q48" s="559"/>
    </row>
    <row r="49" spans="1:21" x14ac:dyDescent="0.3">
      <c r="A49" s="206" t="str">
        <f>A11</f>
        <v>Street 2</v>
      </c>
      <c r="B49" s="138">
        <f>IF(U11=0,"N/A",'Phase calculation'!D40)</f>
        <v>0.22</v>
      </c>
      <c r="C49" s="142"/>
      <c r="D49" s="566" t="str">
        <f>'Phase calculation'!C52</f>
        <v>Under Capacity</v>
      </c>
      <c r="E49" s="566"/>
      <c r="F49" s="566"/>
      <c r="H49" s="139">
        <f>IF(AA11=0,"N/A",'Phase calculation'!G40)</f>
        <v>0.56000000000000005</v>
      </c>
      <c r="I49" s="206" t="str">
        <f>I11</f>
        <v>Street 2</v>
      </c>
      <c r="K49" s="206" t="str">
        <f>A11</f>
        <v>Street 2</v>
      </c>
      <c r="L49" s="367">
        <f>'Phase calculation'!C46</f>
        <v>49.844065040650406</v>
      </c>
      <c r="M49" s="261">
        <f>IF(U11=0,"N/A",'Phase calculation'!D44)</f>
        <v>19.939999999999998</v>
      </c>
      <c r="N49" s="265"/>
      <c r="O49" s="559"/>
      <c r="P49" s="559"/>
      <c r="Q49" s="559"/>
      <c r="S49" s="262">
        <f>IF(AA11=0,"N/A",'Phase calculation'!G44)</f>
        <v>25.3</v>
      </c>
      <c r="T49" s="367">
        <f>'Phase calculation'!F46</f>
        <v>101.21050335570469</v>
      </c>
      <c r="U49" s="206" t="str">
        <f>I11</f>
        <v>Street 2</v>
      </c>
    </row>
    <row r="50" spans="1:21" x14ac:dyDescent="0.3">
      <c r="B50" s="136"/>
      <c r="C50" s="144"/>
      <c r="D50" s="145"/>
      <c r="E50" s="145"/>
      <c r="F50" s="145"/>
      <c r="G50" s="142"/>
      <c r="H50" s="141"/>
      <c r="M50" s="259"/>
      <c r="N50" s="267"/>
      <c r="O50" s="559"/>
      <c r="P50" s="559"/>
      <c r="Q50" s="559"/>
      <c r="R50" s="265"/>
      <c r="S50" s="264"/>
    </row>
    <row r="51" spans="1:21" x14ac:dyDescent="0.3">
      <c r="B51" s="309">
        <f>'Phase calculation'!E40</f>
        <v>4.7237076648841353E-3</v>
      </c>
      <c r="C51" s="31"/>
      <c r="D51" s="146"/>
      <c r="E51" s="146"/>
      <c r="F51" s="147"/>
      <c r="G51" s="145"/>
      <c r="H51" s="143">
        <f>IF(AA13=0,"N/A",'Phase calculation'!F40)</f>
        <v>2.13</v>
      </c>
      <c r="M51" s="312">
        <f>'Phase calculation'!E44</f>
        <v>17.64</v>
      </c>
      <c r="N51" s="269"/>
      <c r="O51" s="270"/>
      <c r="P51" s="270"/>
      <c r="Q51" s="271"/>
      <c r="R51" s="268"/>
      <c r="S51" s="266">
        <f>IF(AA13=0,"N/A",'Phase calculation'!F44)</f>
        <v>581.29999999999995</v>
      </c>
    </row>
    <row r="52" spans="1:21" x14ac:dyDescent="0.3">
      <c r="B52" s="136"/>
      <c r="C52" s="148"/>
      <c r="D52" s="145"/>
      <c r="E52" s="145"/>
      <c r="F52" s="145"/>
      <c r="G52" s="149"/>
      <c r="M52" s="259"/>
      <c r="N52" s="272"/>
      <c r="O52" s="268"/>
      <c r="P52" s="268"/>
      <c r="Q52" s="268"/>
      <c r="R52" s="273"/>
    </row>
    <row r="53" spans="1:21" x14ac:dyDescent="0.3">
      <c r="B53" s="136"/>
      <c r="C53" s="150"/>
      <c r="D53" s="145"/>
      <c r="E53" s="145" t="s">
        <v>77</v>
      </c>
      <c r="F53" s="145"/>
      <c r="G53" s="145"/>
      <c r="M53" s="259"/>
      <c r="N53" s="274"/>
      <c r="O53" s="268"/>
      <c r="P53" s="268" t="s">
        <v>77</v>
      </c>
      <c r="Q53" s="268"/>
      <c r="R53" s="268"/>
    </row>
    <row r="54" spans="1:21" x14ac:dyDescent="0.3">
      <c r="B54" s="136"/>
      <c r="C54" s="151"/>
      <c r="G54" s="145"/>
      <c r="M54" s="259"/>
      <c r="N54" s="275"/>
      <c r="Q54" s="268"/>
      <c r="R54" s="268"/>
    </row>
    <row r="55" spans="1:21" x14ac:dyDescent="0.3">
      <c r="D55" s="152">
        <f>IF(W17=0,"N/A",'Phase calculation'!I40)</f>
        <v>0.52</v>
      </c>
      <c r="E55" s="153" t="str">
        <f>IF(X17=0,"N/A",'Phase calculation'!J40)</f>
        <v>N/A</v>
      </c>
      <c r="F55" s="152">
        <f>'Phase calculation'!K40</f>
        <v>0</v>
      </c>
      <c r="O55" s="276">
        <f>IF(W17=0,"N/A",'Phase calculation'!I44)</f>
        <v>55.4</v>
      </c>
      <c r="P55" s="277" t="str">
        <f>IF(X17=0,"N/A",'Phase calculation'!J44)</f>
        <v>N/A</v>
      </c>
      <c r="Q55" s="316">
        <f>'Phase calculation'!K44</f>
        <v>0</v>
      </c>
    </row>
    <row r="56" spans="1:21" x14ac:dyDescent="0.3">
      <c r="D56" s="556" t="str">
        <f>D18</f>
        <v>Street 1</v>
      </c>
      <c r="E56" s="556"/>
      <c r="F56" s="556"/>
      <c r="O56" s="561">
        <f>'Phase calculation'!I46</f>
        <v>55.4</v>
      </c>
      <c r="P56" s="561"/>
      <c r="Q56" s="561"/>
    </row>
    <row r="57" spans="1:21" x14ac:dyDescent="0.3">
      <c r="D57" s="88"/>
      <c r="E57" s="88"/>
      <c r="O57" s="556" t="str">
        <f>D18</f>
        <v>Street 1</v>
      </c>
      <c r="P57" s="556"/>
      <c r="Q57" s="556"/>
    </row>
    <row r="58" spans="1:21" x14ac:dyDescent="0.3">
      <c r="G58" s="564" t="s">
        <v>220</v>
      </c>
      <c r="H58" s="564"/>
      <c r="I58" s="564"/>
      <c r="J58" s="564"/>
      <c r="K58" s="564"/>
      <c r="L58" s="564"/>
      <c r="M58" s="116"/>
    </row>
    <row r="59" spans="1:21" x14ac:dyDescent="0.3">
      <c r="I59" s="556" t="str">
        <f>D3</f>
        <v>Street 1</v>
      </c>
      <c r="J59" s="556"/>
      <c r="K59" s="556"/>
    </row>
    <row r="60" spans="1:21" s="62" customFormat="1" x14ac:dyDescent="0.3">
      <c r="I60" s="324"/>
      <c r="J60" s="159" t="str">
        <f>'Phase calculation'!L47</f>
        <v>C</v>
      </c>
      <c r="K60" s="324"/>
    </row>
    <row r="61" spans="1:21" x14ac:dyDescent="0.3">
      <c r="G61" s="81"/>
      <c r="H61" s="81"/>
      <c r="I61" s="288" t="str">
        <f>'Phase calculation'!N45</f>
        <v>C</v>
      </c>
      <c r="J61" s="158" t="str">
        <f>'Phase calculation'!M45</f>
        <v>C</v>
      </c>
      <c r="K61" s="158" t="str">
        <f>'Phase calculation'!L45</f>
        <v>D</v>
      </c>
      <c r="L61" s="81"/>
      <c r="M61" s="5"/>
      <c r="P61" s="91" t="s">
        <v>139</v>
      </c>
      <c r="Q61" s="91" t="s">
        <v>221</v>
      </c>
    </row>
    <row r="62" spans="1:21" x14ac:dyDescent="0.3">
      <c r="G62" s="81"/>
      <c r="H62" s="81"/>
      <c r="I62" s="81"/>
      <c r="J62" s="81"/>
      <c r="K62" s="81"/>
      <c r="L62" s="81"/>
      <c r="M62" s="5"/>
      <c r="P62" s="91" t="s">
        <v>142</v>
      </c>
      <c r="Q62" s="67"/>
    </row>
    <row r="63" spans="1:21" x14ac:dyDescent="0.3">
      <c r="G63" s="81"/>
      <c r="H63" s="81"/>
      <c r="I63" s="81"/>
      <c r="J63" s="81"/>
      <c r="K63" s="81"/>
      <c r="L63" s="81"/>
      <c r="N63" s="17" t="s">
        <v>76</v>
      </c>
      <c r="P63" s="91" t="s">
        <v>143</v>
      </c>
      <c r="Q63" s="156"/>
    </row>
    <row r="64" spans="1:21" x14ac:dyDescent="0.3">
      <c r="G64" s="81"/>
      <c r="H64" s="81"/>
      <c r="I64" s="81"/>
      <c r="J64" s="81"/>
      <c r="K64" s="81"/>
      <c r="L64" s="81"/>
      <c r="M64" s="5"/>
      <c r="P64" s="91" t="s">
        <v>144</v>
      </c>
      <c r="Q64" s="157"/>
    </row>
    <row r="65" spans="5:17" x14ac:dyDescent="0.3">
      <c r="G65" s="81"/>
      <c r="H65" s="81"/>
      <c r="I65" s="81"/>
      <c r="J65" s="81"/>
      <c r="K65" s="81"/>
      <c r="L65" s="81"/>
      <c r="M65" s="5"/>
      <c r="P65" s="91" t="s">
        <v>145</v>
      </c>
      <c r="Q65" s="1"/>
    </row>
    <row r="66" spans="5:17" ht="15" customHeight="1" x14ac:dyDescent="0.3">
      <c r="G66" s="315" t="str">
        <f>'Phase calculation'!C45</f>
        <v>F</v>
      </c>
      <c r="H66" s="81"/>
      <c r="J66" s="314"/>
      <c r="K66" s="81"/>
      <c r="M66" s="161" t="str">
        <f>'Phase calculation'!H45</f>
        <v>B</v>
      </c>
      <c r="P66" s="91" t="s">
        <v>146</v>
      </c>
      <c r="Q66" s="155"/>
    </row>
    <row r="67" spans="5:17" ht="15" customHeight="1" x14ac:dyDescent="0.3">
      <c r="G67" s="82"/>
      <c r="H67" s="10"/>
      <c r="I67" s="565" t="str">
        <f>'Phase calculation'!U84</f>
        <v>E</v>
      </c>
      <c r="J67" s="565"/>
      <c r="K67" s="565"/>
      <c r="P67" s="91" t="s">
        <v>147</v>
      </c>
      <c r="Q67" s="59"/>
    </row>
    <row r="68" spans="5:17" ht="15" customHeight="1" x14ac:dyDescent="0.3">
      <c r="E68" s="206" t="str">
        <f>A11</f>
        <v>Street 2</v>
      </c>
      <c r="F68" s="159" t="str">
        <f>'Phase calculation'!C47</f>
        <v>D</v>
      </c>
      <c r="G68" s="82" t="str">
        <f>'Phase calculation'!D45</f>
        <v>B</v>
      </c>
      <c r="H68" s="13"/>
      <c r="I68" s="565"/>
      <c r="J68" s="565"/>
      <c r="K68" s="565"/>
      <c r="M68" s="161" t="str">
        <f>'Phase calculation'!G45</f>
        <v>C</v>
      </c>
      <c r="N68" s="159" t="str">
        <f>'Phase calculation'!F47</f>
        <v>F</v>
      </c>
      <c r="O68" s="207" t="str">
        <f>I11</f>
        <v>Street 2</v>
      </c>
    </row>
    <row r="69" spans="5:17" ht="15" customHeight="1" x14ac:dyDescent="0.3">
      <c r="G69" s="81"/>
      <c r="H69" s="104"/>
      <c r="I69" s="565"/>
      <c r="J69" s="565"/>
      <c r="K69" s="565"/>
      <c r="L69" s="13"/>
      <c r="M69" s="162"/>
      <c r="N69" s="10"/>
    </row>
    <row r="70" spans="5:17" x14ac:dyDescent="0.3">
      <c r="G70" s="82" t="str">
        <f>'Phase calculation'!E45</f>
        <v>B</v>
      </c>
      <c r="H70" s="31"/>
      <c r="I70" s="32"/>
      <c r="J70" s="32"/>
      <c r="K70" s="154"/>
      <c r="L70" s="16"/>
      <c r="M70" s="162" t="str">
        <f>'Phase calculation'!F45</f>
        <v>F</v>
      </c>
      <c r="N70" s="10"/>
    </row>
    <row r="71" spans="5:17" x14ac:dyDescent="0.3">
      <c r="G71" s="81"/>
      <c r="H71" s="35"/>
      <c r="I71" s="16"/>
      <c r="J71" s="16"/>
      <c r="K71" s="16"/>
      <c r="L71" s="105"/>
      <c r="M71" s="90"/>
    </row>
    <row r="72" spans="5:17" x14ac:dyDescent="0.3">
      <c r="G72" s="81"/>
      <c r="H72" s="35"/>
      <c r="I72" s="16"/>
      <c r="J72" s="16" t="s">
        <v>77</v>
      </c>
      <c r="K72" s="16"/>
      <c r="L72" s="16"/>
      <c r="M72" s="15"/>
    </row>
    <row r="73" spans="5:17" x14ac:dyDescent="0.3">
      <c r="G73" s="81"/>
      <c r="H73" s="23"/>
      <c r="K73" s="16"/>
      <c r="L73" s="16"/>
      <c r="M73" s="15"/>
    </row>
    <row r="74" spans="5:17" x14ac:dyDescent="0.3">
      <c r="I74" s="159" t="str">
        <f>'Phase calculation'!I45</f>
        <v>E</v>
      </c>
      <c r="J74" s="160" t="str">
        <f>'Phase calculation'!J45</f>
        <v>N/A</v>
      </c>
      <c r="K74" s="288" t="str">
        <f>'Phase calculation'!K45</f>
        <v>N/A</v>
      </c>
    </row>
    <row r="75" spans="5:17" x14ac:dyDescent="0.3">
      <c r="J75" s="159" t="str">
        <f>'Phase calculation'!I47</f>
        <v>E</v>
      </c>
    </row>
    <row r="76" spans="5:17" s="62" customFormat="1" x14ac:dyDescent="0.3">
      <c r="I76" s="556" t="str">
        <f>D18</f>
        <v>Street 1</v>
      </c>
      <c r="J76" s="556"/>
      <c r="K76" s="556"/>
    </row>
    <row r="79" spans="5:17" s="225" customFormat="1" x14ac:dyDescent="0.3"/>
    <row r="80" spans="5:17" s="225" customFormat="1" x14ac:dyDescent="0.3"/>
    <row r="81" spans="6:19" s="225" customFormat="1" x14ac:dyDescent="0.3"/>
    <row r="82" spans="6:19" s="225" customFormat="1" x14ac:dyDescent="0.3">
      <c r="F82" s="226" t="s">
        <v>73</v>
      </c>
      <c r="G82" s="226" t="str">
        <f>'Phase calculation'!C32</f>
        <v>EBL</v>
      </c>
      <c r="H82" s="226" t="str">
        <f>'Phase calculation'!D32</f>
        <v>EBT</v>
      </c>
      <c r="I82" s="226" t="str">
        <f>'Phase calculation'!F32</f>
        <v>WBL</v>
      </c>
      <c r="J82" s="226" t="str">
        <f>'Phase calculation'!G32</f>
        <v>WBT</v>
      </c>
      <c r="K82" s="226" t="str">
        <f>'Phase calculation'!I32</f>
        <v>NBL</v>
      </c>
      <c r="L82" s="226" t="str">
        <f>'Phase calculation'!J32</f>
        <v>NBT</v>
      </c>
      <c r="M82" s="226" t="str">
        <f>'Phase calculation'!L32</f>
        <v>SBL</v>
      </c>
      <c r="N82" s="226" t="str">
        <f>'Phase calculation'!M32</f>
        <v>SBT</v>
      </c>
    </row>
    <row r="83" spans="6:19" s="225" customFormat="1" x14ac:dyDescent="0.3">
      <c r="F83" s="226" t="s">
        <v>124</v>
      </c>
      <c r="G83" s="226">
        <f>'Phase calculation'!C33</f>
        <v>0</v>
      </c>
      <c r="H83" s="226">
        <f>'Phase calculation'!D33</f>
        <v>2</v>
      </c>
      <c r="I83" s="226">
        <f>'Phase calculation'!F33</f>
        <v>0</v>
      </c>
      <c r="J83" s="226">
        <f>'Phase calculation'!G33</f>
        <v>6</v>
      </c>
      <c r="K83" s="226">
        <f>'Phase calculation'!I33</f>
        <v>3</v>
      </c>
      <c r="L83" s="226">
        <f>'Phase calculation'!J33</f>
        <v>8</v>
      </c>
      <c r="M83" s="226">
        <f>'Phase calculation'!L33</f>
        <v>7</v>
      </c>
      <c r="N83" s="226">
        <f>'Phase calculation'!M33</f>
        <v>4</v>
      </c>
    </row>
    <row r="84" spans="6:19" s="225" customFormat="1" x14ac:dyDescent="0.3">
      <c r="F84" s="226" t="s">
        <v>321</v>
      </c>
      <c r="G84" s="226">
        <f>'Phase calculation'!C34</f>
        <v>0</v>
      </c>
      <c r="H84" s="226">
        <f>'Phase calculation'!D34</f>
        <v>59</v>
      </c>
      <c r="I84" s="226">
        <f>'Phase calculation'!F34</f>
        <v>0</v>
      </c>
      <c r="J84" s="226">
        <f>'Phase calculation'!G34</f>
        <v>59</v>
      </c>
      <c r="K84" s="226">
        <f>'Phase calculation'!I34</f>
        <v>15</v>
      </c>
      <c r="L84" s="226">
        <f>'Phase calculation'!J34</f>
        <v>49</v>
      </c>
      <c r="M84" s="226">
        <f>'Phase calculation'!L34</f>
        <v>12</v>
      </c>
      <c r="N84" s="226">
        <f>'Phase calculation'!M34</f>
        <v>46</v>
      </c>
    </row>
    <row r="85" spans="6:19" s="225" customFormat="1" x14ac:dyDescent="0.3">
      <c r="F85" s="226" t="s">
        <v>149</v>
      </c>
      <c r="G85" s="226">
        <f>'Phase calculation'!C41</f>
        <v>70</v>
      </c>
      <c r="H85" s="226">
        <f>'Phase calculation'!D41</f>
        <v>1403</v>
      </c>
      <c r="I85" s="226">
        <f>'Phase calculation'!F41</f>
        <v>78</v>
      </c>
      <c r="J85" s="226">
        <f>'Phase calculation'!G41</f>
        <v>1403</v>
      </c>
      <c r="K85" s="226">
        <f>'Phase calculation'!I41</f>
        <v>561</v>
      </c>
      <c r="L85" s="226">
        <f>'Phase calculation'!J41</f>
        <v>2295</v>
      </c>
      <c r="M85" s="226">
        <f>'Phase calculation'!L41</f>
        <v>434</v>
      </c>
      <c r="N85" s="226">
        <f>'Phase calculation'!M41</f>
        <v>2142</v>
      </c>
    </row>
    <row r="86" spans="6:19" s="225" customFormat="1" x14ac:dyDescent="0.3">
      <c r="F86" s="226" t="s">
        <v>135</v>
      </c>
      <c r="G86" s="226">
        <f>'Phase calculation'!C40</f>
        <v>1.19</v>
      </c>
      <c r="H86" s="226">
        <f>'Phase calculation'!D40</f>
        <v>0.22</v>
      </c>
      <c r="I86" s="226">
        <f>'Phase calculation'!F40</f>
        <v>2.13</v>
      </c>
      <c r="J86" s="226">
        <f>'Phase calculation'!G40</f>
        <v>0.56000000000000005</v>
      </c>
      <c r="K86" s="226">
        <f>'Phase calculation'!I40</f>
        <v>0.52</v>
      </c>
      <c r="L86" s="226">
        <f>'Phase calculation'!J40</f>
        <v>0</v>
      </c>
      <c r="M86" s="226">
        <f>'Phase calculation'!L40</f>
        <v>0.25</v>
      </c>
      <c r="N86" s="226">
        <f>'Phase calculation'!M40</f>
        <v>0.31</v>
      </c>
    </row>
    <row r="87" spans="6:19" s="225" customFormat="1" x14ac:dyDescent="0.3">
      <c r="F87" s="226" t="s">
        <v>150</v>
      </c>
      <c r="G87" s="226">
        <f>'Phase calculation'!C44</f>
        <v>200.14</v>
      </c>
      <c r="H87" s="226">
        <f>'Phase calculation'!D44</f>
        <v>19.939999999999998</v>
      </c>
      <c r="I87" s="226">
        <f>'Phase calculation'!F44</f>
        <v>581.29999999999995</v>
      </c>
      <c r="J87" s="226">
        <f>'Phase calculation'!G44</f>
        <v>25.3</v>
      </c>
      <c r="K87" s="226">
        <f>'Phase calculation'!I44</f>
        <v>55.4</v>
      </c>
      <c r="L87" s="226">
        <f>'Phase calculation'!J44</f>
        <v>0</v>
      </c>
      <c r="M87" s="226">
        <f>'Phase calculation'!L44</f>
        <v>54.53</v>
      </c>
      <c r="N87" s="226">
        <f>'Phase calculation'!M44</f>
        <v>28.82</v>
      </c>
    </row>
    <row r="88" spans="6:19" s="225" customFormat="1" x14ac:dyDescent="0.3">
      <c r="F88" s="226" t="s">
        <v>139</v>
      </c>
      <c r="G88" s="226" t="str">
        <f>'Phase calculation'!C45</f>
        <v>F</v>
      </c>
      <c r="H88" s="226" t="str">
        <f>'Phase calculation'!D45</f>
        <v>B</v>
      </c>
      <c r="I88" s="226" t="str">
        <f>'Phase calculation'!F45</f>
        <v>F</v>
      </c>
      <c r="J88" s="226" t="str">
        <f>'Phase calculation'!G45</f>
        <v>C</v>
      </c>
      <c r="K88" s="226" t="str">
        <f>'Phase calculation'!I45</f>
        <v>E</v>
      </c>
      <c r="L88" s="226" t="str">
        <f>'Phase calculation'!J45</f>
        <v>N/A</v>
      </c>
      <c r="M88" s="226" t="str">
        <f>'Phase calculation'!L45</f>
        <v>D</v>
      </c>
      <c r="N88" s="226" t="str">
        <f>'Phase calculation'!M45</f>
        <v>C</v>
      </c>
    </row>
    <row r="89" spans="6:19" s="225" customFormat="1" ht="21" thickBot="1" x14ac:dyDescent="0.4">
      <c r="G89" s="502" t="s">
        <v>589</v>
      </c>
      <c r="H89" s="502" t="s">
        <v>590</v>
      </c>
      <c r="I89" s="502" t="s">
        <v>591</v>
      </c>
      <c r="J89" s="502" t="s">
        <v>592</v>
      </c>
      <c r="K89" s="502" t="s">
        <v>593</v>
      </c>
      <c r="L89" s="502" t="s">
        <v>594</v>
      </c>
      <c r="M89" s="502">
        <v>9</v>
      </c>
      <c r="N89" s="502" t="s">
        <v>595</v>
      </c>
    </row>
    <row r="90" spans="6:19" s="226" customFormat="1" ht="20.399999999999999" x14ac:dyDescent="0.35">
      <c r="F90" s="228" t="s">
        <v>124</v>
      </c>
      <c r="G90" s="228">
        <v>1</v>
      </c>
      <c r="H90" s="229">
        <v>2</v>
      </c>
      <c r="I90" s="229">
        <v>3</v>
      </c>
      <c r="J90" s="229">
        <v>4</v>
      </c>
      <c r="K90" s="229">
        <v>5</v>
      </c>
      <c r="L90" s="229">
        <v>6</v>
      </c>
      <c r="M90" s="229">
        <v>7</v>
      </c>
      <c r="N90" s="230">
        <v>8</v>
      </c>
      <c r="P90" s="226">
        <v>8</v>
      </c>
      <c r="Q90" s="502" t="str">
        <f>INDEX($G$93:$N$93,1,P90)</f>
        <v>#</v>
      </c>
    </row>
    <row r="91" spans="6:19" s="226" customFormat="1" ht="21" hidden="1" x14ac:dyDescent="0.4">
      <c r="F91" s="231" t="s">
        <v>320</v>
      </c>
      <c r="G91" s="231">
        <f>IFERROR(MATCH(G90,$G$83:$N$83,0),0)</f>
        <v>0</v>
      </c>
      <c r="H91" s="232">
        <f t="shared" ref="H91:N91" si="0">IFERROR(MATCH(H90,$G$83:$N$83,0),0)</f>
        <v>2</v>
      </c>
      <c r="I91" s="232">
        <f t="shared" si="0"/>
        <v>5</v>
      </c>
      <c r="J91" s="232">
        <f t="shared" si="0"/>
        <v>8</v>
      </c>
      <c r="K91" s="232">
        <f t="shared" si="0"/>
        <v>0</v>
      </c>
      <c r="L91" s="232">
        <f t="shared" si="0"/>
        <v>4</v>
      </c>
      <c r="M91" s="232">
        <f t="shared" si="0"/>
        <v>7</v>
      </c>
      <c r="N91" s="233">
        <f t="shared" si="0"/>
        <v>6</v>
      </c>
      <c r="Q91" s="503" t="e">
        <f t="shared" ref="Q91:Q98" si="1">INDEX($G$93:$N$93,1,P91)</f>
        <v>#VALUE!</v>
      </c>
    </row>
    <row r="92" spans="6:19" s="226" customFormat="1" ht="20.399999999999999" x14ac:dyDescent="0.35">
      <c r="F92" s="562" t="s">
        <v>73</v>
      </c>
      <c r="G92" s="231" t="str">
        <f>IF(G91=0,"Not used",INDEX($G$82:$N$82,G91))</f>
        <v>Not used</v>
      </c>
      <c r="H92" s="232" t="str">
        <f t="shared" ref="H92:N92" si="2">IF(H91=0,"Not used",INDEX($G$82:$N$82,H91))</f>
        <v>EBT</v>
      </c>
      <c r="I92" s="232" t="str">
        <f t="shared" si="2"/>
        <v>NBL</v>
      </c>
      <c r="J92" s="232" t="str">
        <f t="shared" si="2"/>
        <v>SBT</v>
      </c>
      <c r="K92" s="232" t="str">
        <f t="shared" si="2"/>
        <v>Not used</v>
      </c>
      <c r="L92" s="232" t="str">
        <f t="shared" si="2"/>
        <v>WBT</v>
      </c>
      <c r="M92" s="232" t="str">
        <f t="shared" si="2"/>
        <v>SBL</v>
      </c>
      <c r="N92" s="233" t="str">
        <f t="shared" si="2"/>
        <v>NBT</v>
      </c>
      <c r="P92" s="226">
        <v>7</v>
      </c>
      <c r="Q92" s="502">
        <f t="shared" si="1"/>
        <v>9</v>
      </c>
    </row>
    <row r="93" spans="6:19" s="226" customFormat="1" ht="24.6" x14ac:dyDescent="0.4">
      <c r="F93" s="562"/>
      <c r="G93" s="234" t="str">
        <f t="shared" ref="G93:N93" si="3">IF(G91=0,"",INDEX($G$89:$N$89,G91))</f>
        <v/>
      </c>
      <c r="H93" s="235" t="str">
        <f t="shared" si="3"/>
        <v>"</v>
      </c>
      <c r="I93" s="235" t="str">
        <f t="shared" si="3"/>
        <v>:</v>
      </c>
      <c r="J93" s="235" t="str">
        <f t="shared" si="3"/>
        <v>$</v>
      </c>
      <c r="K93" s="235" t="str">
        <f t="shared" si="3"/>
        <v/>
      </c>
      <c r="L93" s="235" t="str">
        <f t="shared" si="3"/>
        <v>!</v>
      </c>
      <c r="M93" s="235">
        <f t="shared" si="3"/>
        <v>9</v>
      </c>
      <c r="N93" s="236" t="str">
        <f t="shared" si="3"/>
        <v>#</v>
      </c>
      <c r="P93" s="226">
        <v>6</v>
      </c>
      <c r="Q93" s="502" t="str">
        <f t="shared" si="1"/>
        <v>!</v>
      </c>
      <c r="S93" s="227"/>
    </row>
    <row r="94" spans="6:19" s="226" customFormat="1" ht="20.399999999999999" x14ac:dyDescent="0.35">
      <c r="F94" s="231" t="s">
        <v>322</v>
      </c>
      <c r="G94" s="231" t="str">
        <f>IF(G91=0,"Not used",INDEX($G$84:$N$84,G91))</f>
        <v>Not used</v>
      </c>
      <c r="H94" s="232">
        <f t="shared" ref="H94:N94" si="4">IF(H91=0,"Not used",INDEX($G$84:$N$84,H91))</f>
        <v>59</v>
      </c>
      <c r="I94" s="232">
        <f t="shared" si="4"/>
        <v>15</v>
      </c>
      <c r="J94" s="232">
        <f t="shared" si="4"/>
        <v>46</v>
      </c>
      <c r="K94" s="232" t="str">
        <f t="shared" si="4"/>
        <v>Not used</v>
      </c>
      <c r="L94" s="232">
        <f t="shared" si="4"/>
        <v>59</v>
      </c>
      <c r="M94" s="232">
        <f t="shared" si="4"/>
        <v>12</v>
      </c>
      <c r="N94" s="233">
        <f t="shared" si="4"/>
        <v>49</v>
      </c>
      <c r="P94" s="226">
        <v>5</v>
      </c>
      <c r="Q94" s="502" t="str">
        <f t="shared" si="1"/>
        <v/>
      </c>
    </row>
    <row r="95" spans="6:19" s="226" customFormat="1" ht="20.399999999999999" x14ac:dyDescent="0.35">
      <c r="F95" s="231" t="s">
        <v>323</v>
      </c>
      <c r="G95" s="231" t="str">
        <f>IF(G91=0,"Not used",INDEX($G$85:$N$85,G91))</f>
        <v>Not used</v>
      </c>
      <c r="H95" s="232">
        <f t="shared" ref="H95:N95" si="5">IF(H91=0,"Not used",INDEX($G$85:$N$85,H91))</f>
        <v>1403</v>
      </c>
      <c r="I95" s="232">
        <f t="shared" si="5"/>
        <v>561</v>
      </c>
      <c r="J95" s="232">
        <f t="shared" si="5"/>
        <v>2142</v>
      </c>
      <c r="K95" s="232" t="str">
        <f t="shared" si="5"/>
        <v>Not used</v>
      </c>
      <c r="L95" s="232">
        <f t="shared" si="5"/>
        <v>1403</v>
      </c>
      <c r="M95" s="232">
        <f t="shared" si="5"/>
        <v>434</v>
      </c>
      <c r="N95" s="233">
        <f t="shared" si="5"/>
        <v>2295</v>
      </c>
      <c r="P95" s="226">
        <v>4</v>
      </c>
      <c r="Q95" s="502" t="str">
        <f t="shared" si="1"/>
        <v>$</v>
      </c>
    </row>
    <row r="96" spans="6:19" s="226" customFormat="1" ht="20.399999999999999" x14ac:dyDescent="0.35">
      <c r="F96" s="231" t="s">
        <v>135</v>
      </c>
      <c r="G96" s="231" t="str">
        <f>IF(G91=0,"Not used",INDEX($G$86:$N$86,G91))</f>
        <v>Not used</v>
      </c>
      <c r="H96" s="232">
        <f t="shared" ref="H96:N96" si="6">IF(H91=0,"Not used",INDEX($G$86:$N$86,H91))</f>
        <v>0.22</v>
      </c>
      <c r="I96" s="232">
        <f t="shared" si="6"/>
        <v>0.52</v>
      </c>
      <c r="J96" s="232">
        <f t="shared" si="6"/>
        <v>0.31</v>
      </c>
      <c r="K96" s="232" t="str">
        <f t="shared" si="6"/>
        <v>Not used</v>
      </c>
      <c r="L96" s="232">
        <f t="shared" si="6"/>
        <v>0.56000000000000005</v>
      </c>
      <c r="M96" s="232">
        <f t="shared" si="6"/>
        <v>0.25</v>
      </c>
      <c r="N96" s="233">
        <f t="shared" si="6"/>
        <v>0</v>
      </c>
      <c r="P96" s="226">
        <v>3</v>
      </c>
      <c r="Q96" s="502" t="str">
        <f t="shared" si="1"/>
        <v>:</v>
      </c>
    </row>
    <row r="97" spans="6:17" s="226" customFormat="1" ht="20.399999999999999" x14ac:dyDescent="0.35">
      <c r="F97" s="231" t="s">
        <v>324</v>
      </c>
      <c r="G97" s="231" t="str">
        <f>IF(G91=0,"Not used",INDEX($G$87:$N$87,G91))</f>
        <v>Not used</v>
      </c>
      <c r="H97" s="232">
        <f t="shared" ref="H97:N97" si="7">IF(H91=0,"Not used",INDEX($G$87:$N$87,H91))</f>
        <v>19.939999999999998</v>
      </c>
      <c r="I97" s="232">
        <f t="shared" si="7"/>
        <v>55.4</v>
      </c>
      <c r="J97" s="232">
        <f t="shared" si="7"/>
        <v>28.82</v>
      </c>
      <c r="K97" s="232" t="str">
        <f t="shared" si="7"/>
        <v>Not used</v>
      </c>
      <c r="L97" s="232">
        <f t="shared" si="7"/>
        <v>25.3</v>
      </c>
      <c r="M97" s="232">
        <f t="shared" si="7"/>
        <v>54.53</v>
      </c>
      <c r="N97" s="233">
        <f t="shared" si="7"/>
        <v>0</v>
      </c>
      <c r="P97" s="226">
        <v>2</v>
      </c>
      <c r="Q97" s="502" t="str">
        <f t="shared" si="1"/>
        <v>"</v>
      </c>
    </row>
    <row r="98" spans="6:17" s="226" customFormat="1" ht="21" thickBot="1" x14ac:dyDescent="0.4">
      <c r="F98" s="237" t="s">
        <v>139</v>
      </c>
      <c r="G98" s="237" t="str">
        <f>IF(G91=0,"Not used",INDEX($G$88:$N$88,G91))</f>
        <v>Not used</v>
      </c>
      <c r="H98" s="238" t="str">
        <f t="shared" ref="H98:N98" si="8">IF(H91=0,"Not used",INDEX($G$88:$N$88,H91))</f>
        <v>B</v>
      </c>
      <c r="I98" s="238" t="str">
        <f t="shared" si="8"/>
        <v>E</v>
      </c>
      <c r="J98" s="238" t="str">
        <f t="shared" si="8"/>
        <v>C</v>
      </c>
      <c r="K98" s="238" t="str">
        <f t="shared" si="8"/>
        <v>Not used</v>
      </c>
      <c r="L98" s="238" t="str">
        <f t="shared" si="8"/>
        <v>C</v>
      </c>
      <c r="M98" s="238" t="str">
        <f t="shared" si="8"/>
        <v>D</v>
      </c>
      <c r="N98" s="239" t="str">
        <f t="shared" si="8"/>
        <v>N/A</v>
      </c>
      <c r="P98" s="226">
        <v>1</v>
      </c>
      <c r="Q98" s="502" t="str">
        <f t="shared" si="1"/>
        <v/>
      </c>
    </row>
    <row r="99" spans="6:17" s="226" customFormat="1" x14ac:dyDescent="0.3"/>
    <row r="100" spans="6:17" s="226" customFormat="1" x14ac:dyDescent="0.3"/>
    <row r="101" spans="6:17" s="226" customFormat="1" x14ac:dyDescent="0.3"/>
    <row r="102" spans="6:17" s="226" customFormat="1" x14ac:dyDescent="0.3"/>
    <row r="103" spans="6:17" s="226" customFormat="1" x14ac:dyDescent="0.3"/>
    <row r="104" spans="6:17" s="226" customFormat="1" x14ac:dyDescent="0.3"/>
    <row r="105" spans="6:17" s="226" customFormat="1" x14ac:dyDescent="0.3"/>
    <row r="106" spans="6:17" s="226" customFormat="1" x14ac:dyDescent="0.3"/>
    <row r="107" spans="6:17" s="226" customFormat="1" x14ac:dyDescent="0.3"/>
    <row r="108" spans="6:17" s="226" customFormat="1" x14ac:dyDescent="0.3"/>
    <row r="109" spans="6:17" s="226" customFormat="1" x14ac:dyDescent="0.3"/>
    <row r="110" spans="6:17" s="226" customFormat="1" x14ac:dyDescent="0.3"/>
    <row r="111" spans="6:17" s="226" customFormat="1" x14ac:dyDescent="0.3"/>
    <row r="112" spans="6:17" s="226" customFormat="1" x14ac:dyDescent="0.3"/>
    <row r="113" s="226" customFormat="1" x14ac:dyDescent="0.3"/>
    <row r="114" s="225" customFormat="1" x14ac:dyDescent="0.3"/>
    <row r="115" s="225" customFormat="1" x14ac:dyDescent="0.3"/>
    <row r="116" s="225" customFormat="1" x14ac:dyDescent="0.3"/>
    <row r="117" s="225" customFormat="1" x14ac:dyDescent="0.3"/>
    <row r="118" s="225" customFormat="1" x14ac:dyDescent="0.3"/>
    <row r="119" s="225" customFormat="1" x14ac:dyDescent="0.3"/>
    <row r="120" s="225" customFormat="1" x14ac:dyDescent="0.3"/>
    <row r="121" s="225" customFormat="1" x14ac:dyDescent="0.3"/>
    <row r="122" s="225" customFormat="1" x14ac:dyDescent="0.3"/>
    <row r="123" s="225" customFormat="1" x14ac:dyDescent="0.3"/>
    <row r="124" s="225" customFormat="1" x14ac:dyDescent="0.3"/>
    <row r="125" s="225" customFormat="1" x14ac:dyDescent="0.3"/>
    <row r="126" s="225" customFormat="1" x14ac:dyDescent="0.3"/>
    <row r="127" s="225" customFormat="1" x14ac:dyDescent="0.3"/>
    <row r="128" s="225" customFormat="1" x14ac:dyDescent="0.3"/>
    <row r="129" s="225" customFormat="1" x14ac:dyDescent="0.3"/>
    <row r="130" s="225" customFormat="1" x14ac:dyDescent="0.3"/>
    <row r="131" s="225" customFormat="1" x14ac:dyDescent="0.3"/>
    <row r="132" s="225" customFormat="1" x14ac:dyDescent="0.3"/>
    <row r="133" s="225" customFormat="1" x14ac:dyDescent="0.3"/>
    <row r="134" s="225" customFormat="1" x14ac:dyDescent="0.3"/>
    <row r="135" s="225" customFormat="1" x14ac:dyDescent="0.3"/>
    <row r="136" s="225" customFormat="1" x14ac:dyDescent="0.3"/>
    <row r="137" s="225" customFormat="1" x14ac:dyDescent="0.3"/>
    <row r="138" s="225" customFormat="1" x14ac:dyDescent="0.3"/>
    <row r="139" s="225" customFormat="1" x14ac:dyDescent="0.3"/>
    <row r="140" s="225" customFormat="1" x14ac:dyDescent="0.3"/>
    <row r="141" s="225" customFormat="1" x14ac:dyDescent="0.3"/>
    <row r="142" s="225" customFormat="1" x14ac:dyDescent="0.3"/>
    <row r="143" s="225" customFormat="1" x14ac:dyDescent="0.3"/>
    <row r="144" s="225" customFormat="1" x14ac:dyDescent="0.3"/>
    <row r="145" s="225" customFormat="1" x14ac:dyDescent="0.3"/>
    <row r="146" s="225" customFormat="1" x14ac:dyDescent="0.3"/>
    <row r="147" s="225" customFormat="1" x14ac:dyDescent="0.3"/>
    <row r="148" s="225" customFormat="1" x14ac:dyDescent="0.3"/>
    <row r="149" s="225" customFormat="1" x14ac:dyDescent="0.3"/>
    <row r="150" s="225" customFormat="1" x14ac:dyDescent="0.3"/>
    <row r="151" s="225" customFormat="1" x14ac:dyDescent="0.3"/>
    <row r="152" s="225" customFormat="1" x14ac:dyDescent="0.3"/>
    <row r="153" s="225" customFormat="1" x14ac:dyDescent="0.3"/>
    <row r="154" s="225" customFormat="1" x14ac:dyDescent="0.3"/>
    <row r="155" s="225" customFormat="1" x14ac:dyDescent="0.3"/>
    <row r="156" s="225" customFormat="1" x14ac:dyDescent="0.3"/>
    <row r="157" s="225" customFormat="1" x14ac:dyDescent="0.3"/>
    <row r="158" s="225" customFormat="1" x14ac:dyDescent="0.3"/>
    <row r="159" s="225" customFormat="1" x14ac:dyDescent="0.3"/>
    <row r="160" s="225" customFormat="1" x14ac:dyDescent="0.3"/>
    <row r="161" s="225" customFormat="1" x14ac:dyDescent="0.3"/>
    <row r="162" s="225" customFormat="1" x14ac:dyDescent="0.3"/>
    <row r="163" s="225" customFormat="1" x14ac:dyDescent="0.3"/>
    <row r="164" s="225" customFormat="1" x14ac:dyDescent="0.3"/>
    <row r="165" s="225" customFormat="1" x14ac:dyDescent="0.3"/>
    <row r="166" s="225" customFormat="1" x14ac:dyDescent="0.3"/>
    <row r="167" s="225" customFormat="1" x14ac:dyDescent="0.3"/>
    <row r="168" s="225" customFormat="1" x14ac:dyDescent="0.3"/>
    <row r="169" s="225" customFormat="1" x14ac:dyDescent="0.3"/>
    <row r="170" s="225" customFormat="1" x14ac:dyDescent="0.3"/>
    <row r="171" s="225" customFormat="1" x14ac:dyDescent="0.3"/>
    <row r="172" s="225" customFormat="1" x14ac:dyDescent="0.3"/>
    <row r="173" s="225" customFormat="1" x14ac:dyDescent="0.3"/>
    <row r="174" s="225" customFormat="1" x14ac:dyDescent="0.3"/>
    <row r="175" s="225" customFormat="1" x14ac:dyDescent="0.3"/>
    <row r="176" s="225" customFormat="1" x14ac:dyDescent="0.3"/>
    <row r="177" s="225" customFormat="1" x14ac:dyDescent="0.3"/>
    <row r="178" s="225" customFormat="1" x14ac:dyDescent="0.3"/>
    <row r="179" s="225" customFormat="1" x14ac:dyDescent="0.3"/>
    <row r="180" s="225" customFormat="1" x14ac:dyDescent="0.3"/>
    <row r="181" s="225" customFormat="1" x14ac:dyDescent="0.3"/>
    <row r="182" s="225" customFormat="1" x14ac:dyDescent="0.3"/>
    <row r="183" s="225" customFormat="1" x14ac:dyDescent="0.3"/>
    <row r="184" s="225" customFormat="1" x14ac:dyDescent="0.3"/>
    <row r="185" s="225" customFormat="1" x14ac:dyDescent="0.3"/>
    <row r="186" s="225" customFormat="1" x14ac:dyDescent="0.3"/>
    <row r="187" s="225" customFormat="1" x14ac:dyDescent="0.3"/>
    <row r="188" s="225" customFormat="1" x14ac:dyDescent="0.3"/>
    <row r="189" s="225" customFormat="1" x14ac:dyDescent="0.3"/>
    <row r="190" s="225" customFormat="1" x14ac:dyDescent="0.3"/>
    <row r="191" s="225" customFormat="1" x14ac:dyDescent="0.3"/>
    <row r="192" s="225" customFormat="1" x14ac:dyDescent="0.3"/>
    <row r="193" s="225" customFormat="1" x14ac:dyDescent="0.3"/>
    <row r="194" s="225" customFormat="1" x14ac:dyDescent="0.3"/>
    <row r="195" s="225" customFormat="1" x14ac:dyDescent="0.3"/>
    <row r="196" s="225" customFormat="1" x14ac:dyDescent="0.3"/>
    <row r="197" s="225" customFormat="1" x14ac:dyDescent="0.3"/>
    <row r="198" s="225" customFormat="1" x14ac:dyDescent="0.3"/>
    <row r="199" s="225" customFormat="1" x14ac:dyDescent="0.3"/>
    <row r="200" s="225" customFormat="1" x14ac:dyDescent="0.3"/>
    <row r="201" s="225" customFormat="1" x14ac:dyDescent="0.3"/>
    <row r="202" s="225" customFormat="1" x14ac:dyDescent="0.3"/>
    <row r="203" s="225" customFormat="1" x14ac:dyDescent="0.3"/>
    <row r="204" s="225" customFormat="1" x14ac:dyDescent="0.3"/>
    <row r="205" s="225" customFormat="1" x14ac:dyDescent="0.3"/>
    <row r="206" s="225" customFormat="1" x14ac:dyDescent="0.3"/>
    <row r="207" s="225" customFormat="1" x14ac:dyDescent="0.3"/>
    <row r="208" s="225" customFormat="1" x14ac:dyDescent="0.3"/>
    <row r="209" s="225" customFormat="1" x14ac:dyDescent="0.3"/>
    <row r="210" s="225" customFormat="1" x14ac:dyDescent="0.3"/>
    <row r="211" s="225" customFormat="1" x14ac:dyDescent="0.3"/>
    <row r="212" s="225" customFormat="1" x14ac:dyDescent="0.3"/>
    <row r="213" s="225" customFormat="1" x14ac:dyDescent="0.3"/>
    <row r="214" s="225" customFormat="1" x14ac:dyDescent="0.3"/>
    <row r="215" s="225" customFormat="1" x14ac:dyDescent="0.3"/>
    <row r="216" s="225" customFormat="1" x14ac:dyDescent="0.3"/>
    <row r="217" s="225" customFormat="1" x14ac:dyDescent="0.3"/>
    <row r="218" s="225" customFormat="1" x14ac:dyDescent="0.3"/>
    <row r="219" s="225" customFormat="1" x14ac:dyDescent="0.3"/>
    <row r="220" s="225" customFormat="1" x14ac:dyDescent="0.3"/>
    <row r="221" s="225" customFormat="1" x14ac:dyDescent="0.3"/>
    <row r="222" s="225" customFormat="1" x14ac:dyDescent="0.3"/>
    <row r="223" s="225" customFormat="1" x14ac:dyDescent="0.3"/>
    <row r="224" s="225" customFormat="1" x14ac:dyDescent="0.3"/>
    <row r="225" s="225" customFormat="1" x14ac:dyDescent="0.3"/>
    <row r="226" s="225" customFormat="1" x14ac:dyDescent="0.3"/>
    <row r="227" s="225" customFormat="1" x14ac:dyDescent="0.3"/>
    <row r="228" s="225" customFormat="1" x14ac:dyDescent="0.3"/>
    <row r="229" s="225" customFormat="1" x14ac:dyDescent="0.3"/>
    <row r="230" s="225" customFormat="1" x14ac:dyDescent="0.3"/>
    <row r="231" s="225" customFormat="1" x14ac:dyDescent="0.3"/>
    <row r="232" s="225" customFormat="1" x14ac:dyDescent="0.3"/>
    <row r="233" s="225" customFormat="1" x14ac:dyDescent="0.3"/>
    <row r="234" s="225" customFormat="1" x14ac:dyDescent="0.3"/>
    <row r="235" s="225" customFormat="1" x14ac:dyDescent="0.3"/>
    <row r="236" s="225" customFormat="1" x14ac:dyDescent="0.3"/>
    <row r="237" s="225" customFormat="1" x14ac:dyDescent="0.3"/>
    <row r="238" s="225" customFormat="1" x14ac:dyDescent="0.3"/>
    <row r="239" s="225" customFormat="1" x14ac:dyDescent="0.3"/>
    <row r="240" s="225" customFormat="1" x14ac:dyDescent="0.3"/>
    <row r="241" s="225" customFormat="1" x14ac:dyDescent="0.3"/>
    <row r="242" s="225" customFormat="1" x14ac:dyDescent="0.3"/>
    <row r="243" s="225" customFormat="1" x14ac:dyDescent="0.3"/>
    <row r="244" s="225" customFormat="1" x14ac:dyDescent="0.3"/>
    <row r="245" s="225" customFormat="1" x14ac:dyDescent="0.3"/>
    <row r="246" s="225" customFormat="1" x14ac:dyDescent="0.3"/>
    <row r="247" s="225" customFormat="1" x14ac:dyDescent="0.3"/>
  </sheetData>
  <mergeCells count="30">
    <mergeCell ref="D36:F36"/>
    <mergeCell ref="D48:F48"/>
    <mergeCell ref="D49:F49"/>
    <mergeCell ref="O40:Q40"/>
    <mergeCell ref="M39:S39"/>
    <mergeCell ref="O41:Q41"/>
    <mergeCell ref="F92:F93"/>
    <mergeCell ref="D41:F41"/>
    <mergeCell ref="D56:F56"/>
    <mergeCell ref="B40:G40"/>
    <mergeCell ref="G58:L58"/>
    <mergeCell ref="I76:K76"/>
    <mergeCell ref="I67:K69"/>
    <mergeCell ref="I59:K59"/>
    <mergeCell ref="U2:AA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H28"/>
  <sheetViews>
    <sheetView workbookViewId="0">
      <selection activeCell="E3" sqref="E3:E16"/>
    </sheetView>
  </sheetViews>
  <sheetFormatPr defaultRowHeight="14.4" x14ac:dyDescent="0.3"/>
  <sheetData>
    <row r="1" spans="1:8" x14ac:dyDescent="0.3">
      <c r="A1" t="s">
        <v>561</v>
      </c>
      <c r="B1">
        <v>1966</v>
      </c>
    </row>
    <row r="2" spans="1:8" x14ac:dyDescent="0.3">
      <c r="A2" t="s">
        <v>560</v>
      </c>
      <c r="B2" t="s">
        <v>584</v>
      </c>
      <c r="C2" t="s">
        <v>585</v>
      </c>
      <c r="D2" t="s">
        <v>583</v>
      </c>
      <c r="E2" t="s">
        <v>577</v>
      </c>
      <c r="F2" t="s">
        <v>664</v>
      </c>
    </row>
    <row r="3" spans="1:8" x14ac:dyDescent="0.3">
      <c r="A3">
        <f>$B$1</f>
        <v>1966</v>
      </c>
      <c r="B3" t="s">
        <v>15</v>
      </c>
      <c r="C3">
        <v>4</v>
      </c>
      <c r="D3">
        <v>106</v>
      </c>
      <c r="E3" t="s">
        <v>682</v>
      </c>
      <c r="F3">
        <f>INDEX(link!I:I,MATCH(B1,link!E:E,0))</f>
        <v>35</v>
      </c>
    </row>
    <row r="4" spans="1:8" x14ac:dyDescent="0.3">
      <c r="A4">
        <f t="shared" ref="A4:A14" si="0">$B$1</f>
        <v>1966</v>
      </c>
      <c r="B4" t="s">
        <v>14</v>
      </c>
      <c r="C4">
        <v>2</v>
      </c>
      <c r="D4">
        <v>303</v>
      </c>
      <c r="E4" t="s">
        <v>684</v>
      </c>
      <c r="F4">
        <f>$F$3</f>
        <v>35</v>
      </c>
    </row>
    <row r="5" spans="1:8" x14ac:dyDescent="0.3">
      <c r="A5">
        <f t="shared" si="0"/>
        <v>1966</v>
      </c>
      <c r="B5" t="s">
        <v>13</v>
      </c>
      <c r="C5">
        <v>1</v>
      </c>
      <c r="D5">
        <v>83</v>
      </c>
      <c r="E5" t="s">
        <v>686</v>
      </c>
      <c r="F5">
        <f t="shared" ref="F5:F14" si="1">$F$3</f>
        <v>35</v>
      </c>
    </row>
    <row r="6" spans="1:8" x14ac:dyDescent="0.3">
      <c r="A6">
        <f t="shared" si="0"/>
        <v>1966</v>
      </c>
      <c r="B6" t="s">
        <v>10</v>
      </c>
      <c r="C6">
        <v>5</v>
      </c>
      <c r="D6">
        <v>178</v>
      </c>
      <c r="E6" t="s">
        <v>687</v>
      </c>
      <c r="F6">
        <f t="shared" si="1"/>
        <v>35</v>
      </c>
    </row>
    <row r="7" spans="1:8" x14ac:dyDescent="0.3">
      <c r="A7">
        <f t="shared" si="0"/>
        <v>1966</v>
      </c>
      <c r="B7" t="s">
        <v>9</v>
      </c>
      <c r="C7">
        <v>4</v>
      </c>
      <c r="D7">
        <v>656</v>
      </c>
      <c r="E7" t="s">
        <v>688</v>
      </c>
      <c r="F7">
        <f t="shared" si="1"/>
        <v>35</v>
      </c>
    </row>
    <row r="8" spans="1:8" x14ac:dyDescent="0.3">
      <c r="A8">
        <f t="shared" si="0"/>
        <v>1966</v>
      </c>
      <c r="B8" t="s">
        <v>8</v>
      </c>
      <c r="C8">
        <v>2</v>
      </c>
      <c r="D8">
        <v>107</v>
      </c>
      <c r="E8" t="s">
        <v>689</v>
      </c>
      <c r="F8">
        <f t="shared" si="1"/>
        <v>35</v>
      </c>
    </row>
    <row r="9" spans="1:8" x14ac:dyDescent="0.3">
      <c r="A9">
        <f t="shared" si="0"/>
        <v>1966</v>
      </c>
      <c r="B9" t="s">
        <v>691</v>
      </c>
      <c r="C9">
        <v>1</v>
      </c>
      <c r="D9">
        <v>0</v>
      </c>
      <c r="E9" t="s">
        <v>692</v>
      </c>
      <c r="F9">
        <f t="shared" si="1"/>
        <v>35</v>
      </c>
    </row>
    <row r="10" spans="1:8" x14ac:dyDescent="0.3">
      <c r="A10">
        <f t="shared" si="0"/>
        <v>1966</v>
      </c>
      <c r="B10" t="s">
        <v>19</v>
      </c>
      <c r="C10">
        <v>2</v>
      </c>
      <c r="D10">
        <v>789</v>
      </c>
      <c r="E10" t="s">
        <v>693</v>
      </c>
      <c r="F10">
        <f t="shared" si="1"/>
        <v>35</v>
      </c>
    </row>
    <row r="11" spans="1:8" x14ac:dyDescent="0.3">
      <c r="A11">
        <f t="shared" si="0"/>
        <v>1966</v>
      </c>
      <c r="B11" t="s">
        <v>18</v>
      </c>
      <c r="C11">
        <v>1</v>
      </c>
      <c r="D11">
        <v>166</v>
      </c>
      <c r="E11" t="s">
        <v>694</v>
      </c>
      <c r="F11">
        <f t="shared" si="1"/>
        <v>35</v>
      </c>
    </row>
    <row r="12" spans="1:8" x14ac:dyDescent="0.3">
      <c r="A12">
        <f t="shared" si="0"/>
        <v>1966</v>
      </c>
      <c r="B12" t="s">
        <v>20</v>
      </c>
      <c r="C12">
        <v>5</v>
      </c>
      <c r="D12">
        <v>237</v>
      </c>
      <c r="E12" t="s">
        <v>695</v>
      </c>
      <c r="F12">
        <f t="shared" si="1"/>
        <v>35</v>
      </c>
    </row>
    <row r="13" spans="1:8" x14ac:dyDescent="0.3">
      <c r="A13">
        <f t="shared" si="0"/>
        <v>1966</v>
      </c>
      <c r="B13" t="s">
        <v>3</v>
      </c>
      <c r="C13">
        <v>2</v>
      </c>
      <c r="D13">
        <v>290</v>
      </c>
      <c r="E13" t="s">
        <v>696</v>
      </c>
      <c r="F13">
        <f t="shared" si="1"/>
        <v>35</v>
      </c>
    </row>
    <row r="14" spans="1:8" x14ac:dyDescent="0.3">
      <c r="A14">
        <f t="shared" si="0"/>
        <v>1966</v>
      </c>
      <c r="B14" t="s">
        <v>697</v>
      </c>
      <c r="C14">
        <v>1</v>
      </c>
      <c r="D14">
        <v>0</v>
      </c>
      <c r="E14" t="s">
        <v>698</v>
      </c>
      <c r="F14">
        <f t="shared" si="1"/>
        <v>35</v>
      </c>
    </row>
    <row r="15" spans="1:8" x14ac:dyDescent="0.3">
      <c r="B15" t="s">
        <v>5</v>
      </c>
      <c r="C15">
        <v>5</v>
      </c>
      <c r="D15">
        <v>152</v>
      </c>
      <c r="E15" t="s">
        <v>699</v>
      </c>
    </row>
    <row r="16" spans="1:8" x14ac:dyDescent="0.3">
      <c r="B16" t="s">
        <v>4</v>
      </c>
      <c r="C16" s="497">
        <v>4</v>
      </c>
      <c r="D16" s="497">
        <v>1098</v>
      </c>
      <c r="E16" s="497" t="s">
        <v>700</v>
      </c>
      <c r="F16" s="497" t="s">
        <v>664</v>
      </c>
      <c r="G16" s="497"/>
      <c r="H16" s="497"/>
    </row>
    <row r="17" spans="2:8" x14ac:dyDescent="0.3">
      <c r="B17" t="s">
        <v>13</v>
      </c>
      <c r="C17" s="497">
        <f>IFERROR(INDEX($C$3:$C$14,MATCH($B17,$B$3:$B$14,0)),0)</f>
        <v>1</v>
      </c>
      <c r="D17" s="497">
        <f>IFERROR(INDEX($D$3:$D$14,MATCH($B17,$B$3:$B$14,0)),0)</f>
        <v>83</v>
      </c>
      <c r="E17" s="501" t="str">
        <f>IFERROR(INDEX($E$3:$E$14,MATCH($B17,$B$3:$B$14,0)),0)</f>
        <v>LINESTRING (-111.9264933066724 33.42202626192582, -111.9262415646975 33.42210098561003)</v>
      </c>
      <c r="F17" s="497"/>
      <c r="G17" s="497"/>
      <c r="H17" s="497"/>
    </row>
    <row r="18" spans="2:8" x14ac:dyDescent="0.3">
      <c r="B18" t="s">
        <v>14</v>
      </c>
      <c r="C18" s="499">
        <f t="shared" ref="C18:C28" si="2">IFERROR(INDEX($C$3:$C$14,MATCH($B18,$B$3:$B$14,0)),0)</f>
        <v>2</v>
      </c>
      <c r="D18" s="499">
        <f t="shared" ref="D18:D28" si="3">IFERROR(INDEX($D$3:$D$14,MATCH($B18,$B$3:$B$14,0)),0)</f>
        <v>303</v>
      </c>
      <c r="E18" s="501" t="str">
        <f t="shared" ref="E18:E28" si="4">IFERROR(INDEX($E$3:$E$14,MATCH($B18,$B$3:$B$14,0)),0)</f>
        <v>LINESTRING (-111.9264933066724 33.42202626192582, -111.9261566859385 33.42203070294214)</v>
      </c>
      <c r="F18" s="511">
        <f t="shared" ref="F18:F27" si="5">IFERROR(INDEX($F$3:$F$14,MATCH($B18,$B$3:$B$14,0)),0)</f>
        <v>35</v>
      </c>
      <c r="G18" s="497"/>
      <c r="H18" s="497"/>
    </row>
    <row r="19" spans="2:8" x14ac:dyDescent="0.3">
      <c r="B19" t="s">
        <v>15</v>
      </c>
      <c r="C19" s="499">
        <f t="shared" si="2"/>
        <v>4</v>
      </c>
      <c r="D19" s="499">
        <f t="shared" si="3"/>
        <v>106</v>
      </c>
      <c r="E19" s="501" t="str">
        <f t="shared" si="4"/>
        <v>LINESTRING (-111.9264933066724 33.42202626192582, -111.9264072749496 33.42195576677923)</v>
      </c>
      <c r="F19" s="511"/>
      <c r="G19" s="497"/>
      <c r="H19" s="497"/>
    </row>
    <row r="20" spans="2:8" x14ac:dyDescent="0.3">
      <c r="B20" t="s">
        <v>18</v>
      </c>
      <c r="C20" s="499">
        <f t="shared" si="2"/>
        <v>1</v>
      </c>
      <c r="D20" s="499">
        <f t="shared" si="3"/>
        <v>166</v>
      </c>
      <c r="E20" s="501" t="str">
        <f t="shared" si="4"/>
        <v>LINESTRING (-111.9261566859385 33.42203070294214, -111.9264072749496 33.42195576677923)</v>
      </c>
      <c r="F20" s="511"/>
      <c r="G20" s="497"/>
      <c r="H20" s="497"/>
    </row>
    <row r="21" spans="2:8" x14ac:dyDescent="0.3">
      <c r="B21" t="s">
        <v>19</v>
      </c>
      <c r="C21" s="499">
        <f t="shared" si="2"/>
        <v>2</v>
      </c>
      <c r="D21" s="499">
        <f t="shared" si="3"/>
        <v>789</v>
      </c>
      <c r="E21" s="501" t="str">
        <f t="shared" si="4"/>
        <v>LINESTRING (-111.9261566859385 33.42203070294214, -111.9264933066724 33.42202626192582)</v>
      </c>
      <c r="F21" s="511">
        <f t="shared" si="5"/>
        <v>35</v>
      </c>
    </row>
    <row r="22" spans="2:8" x14ac:dyDescent="0.3">
      <c r="B22" t="s">
        <v>20</v>
      </c>
      <c r="C22" s="499">
        <f t="shared" si="2"/>
        <v>5</v>
      </c>
      <c r="D22" s="499">
        <f t="shared" si="3"/>
        <v>237</v>
      </c>
      <c r="E22" s="501" t="str">
        <f t="shared" si="4"/>
        <v>LINESTRING (-111.9261566859385 33.42203070294214, -111.9262415646975 33.42210098561003)</v>
      </c>
      <c r="F22" s="511"/>
    </row>
    <row r="23" spans="2:8" x14ac:dyDescent="0.3">
      <c r="B23" t="s">
        <v>3</v>
      </c>
      <c r="C23" s="499">
        <f t="shared" si="2"/>
        <v>2</v>
      </c>
      <c r="D23" s="499">
        <f t="shared" si="3"/>
        <v>290</v>
      </c>
      <c r="E23" s="501" t="str">
        <f t="shared" si="4"/>
        <v>LINESTRING (-111.9262421786933 33.42195667708921, -111.9264933066724 33.42202626192582)</v>
      </c>
      <c r="F23" s="511"/>
    </row>
    <row r="24" spans="2:8" x14ac:dyDescent="0.3">
      <c r="B24" t="s">
        <v>4</v>
      </c>
      <c r="C24" s="499">
        <f t="shared" si="2"/>
        <v>0</v>
      </c>
      <c r="D24" s="499">
        <f t="shared" si="3"/>
        <v>0</v>
      </c>
      <c r="E24" s="501">
        <f t="shared" si="4"/>
        <v>0</v>
      </c>
      <c r="F24" s="511">
        <f t="shared" si="5"/>
        <v>0</v>
      </c>
    </row>
    <row r="25" spans="2:8" x14ac:dyDescent="0.3">
      <c r="B25" t="s">
        <v>5</v>
      </c>
      <c r="C25" s="499">
        <f t="shared" si="2"/>
        <v>0</v>
      </c>
      <c r="D25" s="499">
        <f t="shared" si="3"/>
        <v>0</v>
      </c>
      <c r="E25" s="501">
        <f t="shared" si="4"/>
        <v>0</v>
      </c>
      <c r="F25" s="511"/>
    </row>
    <row r="26" spans="2:8" x14ac:dyDescent="0.3">
      <c r="B26" t="s">
        <v>8</v>
      </c>
      <c r="C26" s="499">
        <f t="shared" si="2"/>
        <v>2</v>
      </c>
      <c r="D26" s="499">
        <f t="shared" si="3"/>
        <v>107</v>
      </c>
      <c r="E26" s="501" t="str">
        <f t="shared" si="4"/>
        <v>LINESTRING (-111.9264079164864 33.42210008105089, -111.9261566859385 33.42203070294214)</v>
      </c>
      <c r="F26" s="511"/>
    </row>
    <row r="27" spans="2:8" x14ac:dyDescent="0.3">
      <c r="B27" t="s">
        <v>9</v>
      </c>
      <c r="C27" s="499">
        <f t="shared" si="2"/>
        <v>4</v>
      </c>
      <c r="D27" s="499">
        <f t="shared" si="3"/>
        <v>656</v>
      </c>
      <c r="E27" s="501" t="str">
        <f t="shared" si="4"/>
        <v>LINESTRING (-111.9264079164864 33.42210008105089, -111.9264072749496 33.42195576677923)</v>
      </c>
      <c r="F27" s="511">
        <f t="shared" si="5"/>
        <v>35</v>
      </c>
    </row>
    <row r="28" spans="2:8" x14ac:dyDescent="0.3">
      <c r="B28" t="s">
        <v>10</v>
      </c>
      <c r="C28" s="499">
        <f t="shared" si="2"/>
        <v>5</v>
      </c>
      <c r="D28" s="499">
        <f t="shared" si="3"/>
        <v>178</v>
      </c>
      <c r="E28" s="501" t="str">
        <f t="shared" si="4"/>
        <v>LINESTRING (-111.9264079164864 33.42210008105089, -111.9264933066724 33.42202626192582)</v>
      </c>
      <c r="F28" s="51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dimension ref="B2:E46"/>
  <sheetViews>
    <sheetView workbookViewId="0"/>
  </sheetViews>
  <sheetFormatPr defaultRowHeight="14.4" x14ac:dyDescent="0.3"/>
  <cols>
    <col min="2" max="2" width="15" customWidth="1"/>
    <col min="3" max="3" width="17" customWidth="1"/>
    <col min="4" max="4" width="20.33203125" customWidth="1"/>
  </cols>
  <sheetData>
    <row r="2" spans="2:5" x14ac:dyDescent="0.3">
      <c r="B2" s="97" t="s">
        <v>620</v>
      </c>
      <c r="C2" s="97"/>
      <c r="D2" s="97"/>
      <c r="E2" s="97"/>
    </row>
    <row r="3" spans="2:5" x14ac:dyDescent="0.3">
      <c r="B3" s="97"/>
      <c r="C3" s="97"/>
      <c r="D3" s="97"/>
      <c r="E3" s="97"/>
    </row>
    <row r="4" spans="2:5" x14ac:dyDescent="0.3">
      <c r="B4" s="510" t="s">
        <v>621</v>
      </c>
      <c r="C4" s="510" t="s">
        <v>622</v>
      </c>
      <c r="D4" s="510" t="s">
        <v>623</v>
      </c>
      <c r="E4" s="510" t="s">
        <v>624</v>
      </c>
    </row>
    <row r="5" spans="2:5" x14ac:dyDescent="0.3">
      <c r="B5" s="345" t="s">
        <v>561</v>
      </c>
      <c r="C5" s="345" t="s">
        <v>625</v>
      </c>
      <c r="D5" s="345" t="s">
        <v>626</v>
      </c>
      <c r="E5" s="345" t="s">
        <v>627</v>
      </c>
    </row>
    <row r="6" spans="2:5" x14ac:dyDescent="0.3">
      <c r="B6" s="345" t="s">
        <v>596</v>
      </c>
      <c r="C6" s="345" t="s">
        <v>628</v>
      </c>
      <c r="D6" s="345" t="s">
        <v>629</v>
      </c>
      <c r="E6" s="345" t="s">
        <v>630</v>
      </c>
    </row>
    <row r="7" spans="2:5" x14ac:dyDescent="0.3">
      <c r="B7" s="345" t="s">
        <v>597</v>
      </c>
      <c r="C7" s="345" t="s">
        <v>631</v>
      </c>
      <c r="D7" s="345" t="s">
        <v>629</v>
      </c>
      <c r="E7" s="345" t="s">
        <v>632</v>
      </c>
    </row>
    <row r="8" spans="2:5" x14ac:dyDescent="0.3">
      <c r="B8" s="345" t="s">
        <v>598</v>
      </c>
      <c r="C8" s="345" t="s">
        <v>633</v>
      </c>
      <c r="D8" s="345" t="s">
        <v>634</v>
      </c>
      <c r="E8" s="345" t="s">
        <v>635</v>
      </c>
    </row>
    <row r="9" spans="2:5" x14ac:dyDescent="0.3">
      <c r="B9" s="345" t="s">
        <v>599</v>
      </c>
      <c r="C9" s="345" t="s">
        <v>636</v>
      </c>
      <c r="D9" s="345" t="s">
        <v>626</v>
      </c>
      <c r="E9" s="345" t="s">
        <v>637</v>
      </c>
    </row>
    <row r="10" spans="2:5" x14ac:dyDescent="0.3">
      <c r="B10" s="345" t="s">
        <v>600</v>
      </c>
      <c r="C10" s="345" t="s">
        <v>638</v>
      </c>
      <c r="D10" s="345" t="s">
        <v>626</v>
      </c>
      <c r="E10" s="345"/>
    </row>
    <row r="13" spans="2:5" x14ac:dyDescent="0.3">
      <c r="B13" s="97" t="s">
        <v>639</v>
      </c>
      <c r="C13" s="97"/>
      <c r="D13" s="97"/>
      <c r="E13" s="97"/>
    </row>
    <row r="14" spans="2:5" x14ac:dyDescent="0.3">
      <c r="B14" s="97"/>
      <c r="C14" s="97"/>
      <c r="D14" s="97"/>
      <c r="E14" s="97"/>
    </row>
    <row r="15" spans="2:5" x14ac:dyDescent="0.3">
      <c r="B15" s="510" t="s">
        <v>621</v>
      </c>
      <c r="C15" s="510" t="s">
        <v>622</v>
      </c>
      <c r="D15" s="510" t="s">
        <v>623</v>
      </c>
      <c r="E15" s="510" t="s">
        <v>624</v>
      </c>
    </row>
    <row r="16" spans="2:5" x14ac:dyDescent="0.3">
      <c r="B16" s="345" t="s">
        <v>561</v>
      </c>
      <c r="C16" s="345" t="s">
        <v>625</v>
      </c>
      <c r="D16" s="345" t="s">
        <v>634</v>
      </c>
      <c r="E16" s="345" t="s">
        <v>640</v>
      </c>
    </row>
    <row r="17" spans="2:5" x14ac:dyDescent="0.3">
      <c r="B17" s="345" t="s">
        <v>602</v>
      </c>
      <c r="C17" s="345" t="s">
        <v>633</v>
      </c>
      <c r="D17" s="345" t="s">
        <v>634</v>
      </c>
      <c r="E17" s="345" t="s">
        <v>641</v>
      </c>
    </row>
    <row r="18" spans="2:5" x14ac:dyDescent="0.3">
      <c r="B18" s="345" t="s">
        <v>603</v>
      </c>
      <c r="C18" s="345" t="s">
        <v>633</v>
      </c>
      <c r="D18" s="345" t="s">
        <v>634</v>
      </c>
      <c r="E18" s="345"/>
    </row>
    <row r="19" spans="2:5" x14ac:dyDescent="0.3">
      <c r="B19" s="345" t="s">
        <v>604</v>
      </c>
      <c r="C19" s="345" t="s">
        <v>633</v>
      </c>
      <c r="D19" s="345" t="s">
        <v>634</v>
      </c>
      <c r="E19" s="345"/>
    </row>
    <row r="22" spans="2:5" x14ac:dyDescent="0.3">
      <c r="B22" s="97" t="s">
        <v>642</v>
      </c>
      <c r="C22" s="97"/>
      <c r="D22" s="97"/>
      <c r="E22" s="97"/>
    </row>
    <row r="23" spans="2:5" x14ac:dyDescent="0.3">
      <c r="B23" s="97"/>
      <c r="C23" s="97"/>
      <c r="D23" s="97"/>
      <c r="E23" s="97"/>
    </row>
    <row r="24" spans="2:5" x14ac:dyDescent="0.3">
      <c r="B24" s="510" t="s">
        <v>621</v>
      </c>
      <c r="C24" s="510" t="s">
        <v>622</v>
      </c>
      <c r="D24" s="510" t="s">
        <v>623</v>
      </c>
      <c r="E24" s="510" t="s">
        <v>624</v>
      </c>
    </row>
    <row r="25" spans="2:5" x14ac:dyDescent="0.3">
      <c r="B25" s="345" t="s">
        <v>561</v>
      </c>
      <c r="C25" s="345" t="s">
        <v>625</v>
      </c>
      <c r="D25" s="345" t="s">
        <v>634</v>
      </c>
      <c r="E25" s="345" t="s">
        <v>640</v>
      </c>
    </row>
    <row r="26" spans="2:5" x14ac:dyDescent="0.3">
      <c r="B26" s="345" t="s">
        <v>607</v>
      </c>
      <c r="C26" s="345" t="s">
        <v>643</v>
      </c>
      <c r="D26" s="345" t="s">
        <v>634</v>
      </c>
      <c r="E26" s="345" t="s">
        <v>641</v>
      </c>
    </row>
    <row r="27" spans="2:5" x14ac:dyDescent="0.3">
      <c r="B27" s="345" t="s">
        <v>615</v>
      </c>
      <c r="C27" s="345" t="s">
        <v>644</v>
      </c>
      <c r="D27" s="345" t="s">
        <v>634</v>
      </c>
      <c r="E27" s="345"/>
    </row>
    <row r="28" spans="2:5" x14ac:dyDescent="0.3">
      <c r="B28" s="345" t="s">
        <v>572</v>
      </c>
      <c r="C28" s="345" t="s">
        <v>633</v>
      </c>
      <c r="D28" s="345" t="s">
        <v>626</v>
      </c>
      <c r="E28" s="345" t="s">
        <v>645</v>
      </c>
    </row>
    <row r="29" spans="2:5" x14ac:dyDescent="0.3">
      <c r="B29" s="345" t="s">
        <v>616</v>
      </c>
      <c r="C29" s="345" t="s">
        <v>625</v>
      </c>
      <c r="D29" s="345" t="s">
        <v>626</v>
      </c>
      <c r="E29" s="345" t="s">
        <v>646</v>
      </c>
    </row>
    <row r="30" spans="2:5" x14ac:dyDescent="0.3">
      <c r="B30" s="345" t="s">
        <v>617</v>
      </c>
      <c r="C30" s="345" t="s">
        <v>633</v>
      </c>
      <c r="D30" s="345" t="s">
        <v>626</v>
      </c>
      <c r="E30" s="345" t="s">
        <v>647</v>
      </c>
    </row>
    <row r="31" spans="2:5" x14ac:dyDescent="0.3">
      <c r="B31" s="345" t="s">
        <v>618</v>
      </c>
      <c r="C31" s="345" t="s">
        <v>633</v>
      </c>
      <c r="D31" s="345" t="s">
        <v>626</v>
      </c>
      <c r="E31" s="345" t="s">
        <v>648</v>
      </c>
    </row>
    <row r="34" spans="2:5" x14ac:dyDescent="0.3">
      <c r="B34" s="97" t="s">
        <v>649</v>
      </c>
      <c r="C34" s="97"/>
      <c r="D34" s="97"/>
      <c r="E34" s="97"/>
    </row>
    <row r="35" spans="2:5" x14ac:dyDescent="0.3">
      <c r="B35" s="97"/>
      <c r="C35" s="97"/>
      <c r="D35" s="97"/>
      <c r="E35" s="97"/>
    </row>
    <row r="36" spans="2:5" x14ac:dyDescent="0.3">
      <c r="B36" s="510" t="s">
        <v>621</v>
      </c>
      <c r="C36" s="510" t="s">
        <v>622</v>
      </c>
      <c r="D36" s="510" t="s">
        <v>623</v>
      </c>
      <c r="E36" s="510" t="s">
        <v>624</v>
      </c>
    </row>
    <row r="37" spans="2:5" x14ac:dyDescent="0.3">
      <c r="B37" s="345" t="s">
        <v>606</v>
      </c>
      <c r="C37" s="345" t="s">
        <v>650</v>
      </c>
      <c r="D37" s="345" t="s">
        <v>634</v>
      </c>
      <c r="E37" s="345" t="s">
        <v>641</v>
      </c>
    </row>
    <row r="38" spans="2:5" x14ac:dyDescent="0.3">
      <c r="B38" s="345" t="s">
        <v>561</v>
      </c>
      <c r="C38" s="345" t="s">
        <v>625</v>
      </c>
      <c r="D38" s="345" t="s">
        <v>626</v>
      </c>
      <c r="E38" s="345" t="s">
        <v>627</v>
      </c>
    </row>
    <row r="39" spans="2:5" x14ac:dyDescent="0.3">
      <c r="B39" s="345" t="s">
        <v>607</v>
      </c>
      <c r="C39" s="345" t="s">
        <v>643</v>
      </c>
      <c r="D39" s="345" t="s">
        <v>626</v>
      </c>
      <c r="E39" s="345" t="s">
        <v>632</v>
      </c>
    </row>
    <row r="40" spans="2:5" x14ac:dyDescent="0.3">
      <c r="B40" s="345" t="s">
        <v>598</v>
      </c>
      <c r="C40" s="345" t="s">
        <v>633</v>
      </c>
      <c r="D40" s="345" t="s">
        <v>634</v>
      </c>
      <c r="E40" s="345" t="s">
        <v>651</v>
      </c>
    </row>
    <row r="41" spans="2:5" x14ac:dyDescent="0.3">
      <c r="B41" s="345" t="s">
        <v>608</v>
      </c>
      <c r="C41" s="345" t="s">
        <v>633</v>
      </c>
      <c r="D41" s="345" t="s">
        <v>634</v>
      </c>
      <c r="E41" s="345" t="s">
        <v>652</v>
      </c>
    </row>
    <row r="42" spans="2:5" x14ac:dyDescent="0.3">
      <c r="B42" s="345" t="s">
        <v>609</v>
      </c>
      <c r="C42" s="345" t="s">
        <v>633</v>
      </c>
      <c r="D42" s="345" t="s">
        <v>626</v>
      </c>
      <c r="E42" s="345" t="s">
        <v>653</v>
      </c>
    </row>
    <row r="43" spans="2:5" x14ac:dyDescent="0.3">
      <c r="B43" s="345" t="s">
        <v>610</v>
      </c>
      <c r="C43" s="345" t="s">
        <v>633</v>
      </c>
      <c r="D43" s="345" t="s">
        <v>626</v>
      </c>
      <c r="E43" s="345" t="s">
        <v>654</v>
      </c>
    </row>
    <row r="44" spans="2:5" x14ac:dyDescent="0.3">
      <c r="B44" s="345" t="s">
        <v>611</v>
      </c>
      <c r="C44" s="345" t="s">
        <v>633</v>
      </c>
      <c r="D44" s="345" t="s">
        <v>634</v>
      </c>
      <c r="E44" s="345" t="s">
        <v>655</v>
      </c>
    </row>
    <row r="45" spans="2:5" x14ac:dyDescent="0.3">
      <c r="B45" s="345" t="s">
        <v>612</v>
      </c>
      <c r="C45" s="345" t="s">
        <v>633</v>
      </c>
      <c r="D45" s="345" t="s">
        <v>634</v>
      </c>
      <c r="E45" s="345" t="s">
        <v>656</v>
      </c>
    </row>
    <row r="46" spans="2:5" x14ac:dyDescent="0.3">
      <c r="B46" s="345" t="s">
        <v>613</v>
      </c>
      <c r="C46" s="345" t="s">
        <v>633</v>
      </c>
      <c r="D46" s="345" t="s">
        <v>634</v>
      </c>
      <c r="E46" s="345" t="s">
        <v>657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L36"/>
  <sheetViews>
    <sheetView tabSelected="1" workbookViewId="0">
      <selection activeCell="A26" sqref="A26:J33"/>
    </sheetView>
  </sheetViews>
  <sheetFormatPr defaultRowHeight="14.4" x14ac:dyDescent="0.3"/>
  <sheetData>
    <row r="1" spans="1:7" x14ac:dyDescent="0.3">
      <c r="A1" s="507" t="s">
        <v>561</v>
      </c>
      <c r="B1" s="507" t="s">
        <v>596</v>
      </c>
      <c r="C1" s="507" t="s">
        <v>597</v>
      </c>
      <c r="D1" s="507" t="s">
        <v>598</v>
      </c>
      <c r="E1" s="507" t="s">
        <v>599</v>
      </c>
      <c r="F1" s="507" t="s">
        <v>600</v>
      </c>
      <c r="G1" s="508" t="s">
        <v>601</v>
      </c>
    </row>
    <row r="2" spans="1:7" x14ac:dyDescent="0.3">
      <c r="A2" s="501">
        <f>osm!$B$1</f>
        <v>1966</v>
      </c>
      <c r="B2" s="501" t="str">
        <f>'Phase calculation'!C156</f>
        <v>22</v>
      </c>
      <c r="C2" s="501"/>
      <c r="D2" s="501">
        <f>'Phase calculation'!C158</f>
        <v>2</v>
      </c>
      <c r="E2" s="501" t="str">
        <f>'Phase calculation'!C159</f>
        <v>Permissive</v>
      </c>
      <c r="F2" s="509" t="str">
        <f>'Phase calculation'!C160</f>
        <v>EBL</v>
      </c>
    </row>
    <row r="3" spans="1:7" x14ac:dyDescent="0.3">
      <c r="A3" s="501">
        <f>osm!$B$1</f>
        <v>1966</v>
      </c>
      <c r="B3" s="501">
        <f>'Phase calculation'!D156</f>
        <v>2</v>
      </c>
      <c r="C3" s="501"/>
      <c r="D3" s="501">
        <f>'Phase calculation'!D158</f>
        <v>2</v>
      </c>
      <c r="E3" s="501" t="str">
        <f>'Phase calculation'!D159</f>
        <v>Protected</v>
      </c>
      <c r="F3" s="509" t="str">
        <f>'Phase calculation'!D160</f>
        <v>EBT</v>
      </c>
    </row>
    <row r="4" spans="1:7" x14ac:dyDescent="0.3">
      <c r="A4" s="501">
        <f>osm!$B$1</f>
        <v>1966</v>
      </c>
      <c r="B4" s="501" t="str">
        <f>'Phase calculation'!E156</f>
        <v>21</v>
      </c>
      <c r="C4" s="501"/>
      <c r="D4" s="501">
        <f>'Phase calculation'!E158</f>
        <v>2</v>
      </c>
      <c r="E4" s="501" t="str">
        <f>'Phase calculation'!E159</f>
        <v>RTOR</v>
      </c>
      <c r="F4" s="509" t="str">
        <f>'Phase calculation'!E160</f>
        <v>EBR</v>
      </c>
    </row>
    <row r="5" spans="1:7" x14ac:dyDescent="0.3">
      <c r="A5" s="501">
        <f>osm!$B$1</f>
        <v>1966</v>
      </c>
      <c r="B5" s="501" t="str">
        <f>'Phase calculation'!F156</f>
        <v>62</v>
      </c>
      <c r="C5" s="501"/>
      <c r="D5" s="501">
        <f>'Phase calculation'!F158</f>
        <v>6</v>
      </c>
      <c r="E5" s="501" t="str">
        <f>'Phase calculation'!F159</f>
        <v>Permissive</v>
      </c>
      <c r="F5" s="509" t="str">
        <f>'Phase calculation'!F160</f>
        <v>WBL</v>
      </c>
    </row>
    <row r="6" spans="1:7" x14ac:dyDescent="0.3">
      <c r="A6" s="501">
        <f>osm!$B$1</f>
        <v>1966</v>
      </c>
      <c r="B6" s="501">
        <f>'Phase calculation'!G156</f>
        <v>6</v>
      </c>
      <c r="C6" s="501"/>
      <c r="D6" s="501">
        <f>'Phase calculation'!G158</f>
        <v>6</v>
      </c>
      <c r="E6" s="501" t="str">
        <f>'Phase calculation'!G159</f>
        <v>Protected</v>
      </c>
      <c r="F6" s="509" t="str">
        <f>'Phase calculation'!G160</f>
        <v>WBT</v>
      </c>
    </row>
    <row r="7" spans="1:7" x14ac:dyDescent="0.3">
      <c r="A7" s="501">
        <f>osm!$B$1</f>
        <v>1966</v>
      </c>
      <c r="B7" s="501" t="str">
        <f>'Phase calculation'!H156</f>
        <v>61</v>
      </c>
      <c r="C7" s="501"/>
      <c r="D7" s="501">
        <f>'Phase calculation'!H158</f>
        <v>6</v>
      </c>
      <c r="E7" s="501" t="str">
        <f>'Phase calculation'!H159</f>
        <v>RTOR</v>
      </c>
      <c r="F7" s="509" t="str">
        <f>'Phase calculation'!H160</f>
        <v>WBR</v>
      </c>
    </row>
    <row r="8" spans="1:7" x14ac:dyDescent="0.3">
      <c r="A8" s="501">
        <f>osm!$B$1</f>
        <v>1966</v>
      </c>
      <c r="B8" s="501">
        <f>'Phase calculation'!I156</f>
        <v>3</v>
      </c>
      <c r="C8" s="501"/>
      <c r="D8" s="501">
        <f>'Phase calculation'!I158</f>
        <v>3</v>
      </c>
      <c r="E8" s="501" t="str">
        <f>'Phase calculation'!I159</f>
        <v>Protected</v>
      </c>
      <c r="F8" s="509" t="str">
        <f>'Phase calculation'!I160</f>
        <v>NBL</v>
      </c>
    </row>
    <row r="9" spans="1:7" x14ac:dyDescent="0.3">
      <c r="A9" s="501">
        <f>osm!$B$1</f>
        <v>1966</v>
      </c>
      <c r="B9" s="501">
        <f>'Phase calculation'!J156</f>
        <v>8</v>
      </c>
      <c r="C9" s="501"/>
      <c r="D9" s="501">
        <f>'Phase calculation'!J158</f>
        <v>8</v>
      </c>
      <c r="E9" s="501" t="str">
        <f>'Phase calculation'!J159</f>
        <v>Protected</v>
      </c>
      <c r="F9" s="509" t="str">
        <f>'Phase calculation'!J160</f>
        <v>NBT</v>
      </c>
    </row>
    <row r="10" spans="1:7" x14ac:dyDescent="0.3">
      <c r="A10" s="501">
        <f>osm!$B$1</f>
        <v>1966</v>
      </c>
      <c r="B10" s="501" t="str">
        <f>'Phase calculation'!K156</f>
        <v>81</v>
      </c>
      <c r="C10" s="501"/>
      <c r="D10" s="501">
        <f>'Phase calculation'!K158</f>
        <v>8</v>
      </c>
      <c r="E10" s="501" t="str">
        <f>'Phase calculation'!K159</f>
        <v>RTOR</v>
      </c>
      <c r="F10" s="509" t="str">
        <f>'Phase calculation'!K160</f>
        <v>NBR</v>
      </c>
    </row>
    <row r="11" spans="1:7" x14ac:dyDescent="0.3">
      <c r="A11" s="501">
        <f>osm!$B$1</f>
        <v>1966</v>
      </c>
      <c r="B11" s="501">
        <f>'Phase calculation'!L156</f>
        <v>7</v>
      </c>
      <c r="C11" s="501"/>
      <c r="D11" s="501">
        <f>'Phase calculation'!L158</f>
        <v>7</v>
      </c>
      <c r="E11" s="501" t="str">
        <f>'Phase calculation'!L159</f>
        <v>Protected</v>
      </c>
      <c r="F11" s="509" t="str">
        <f>'Phase calculation'!L160</f>
        <v>SBL</v>
      </c>
    </row>
    <row r="12" spans="1:7" x14ac:dyDescent="0.3">
      <c r="A12" s="501">
        <f>osm!$B$1</f>
        <v>1966</v>
      </c>
      <c r="B12" s="501">
        <f>'Phase calculation'!M156</f>
        <v>4</v>
      </c>
      <c r="C12" s="501"/>
      <c r="D12" s="501">
        <f>'Phase calculation'!M158</f>
        <v>4</v>
      </c>
      <c r="E12" s="501" t="str">
        <f>'Phase calculation'!M159</f>
        <v>Protected</v>
      </c>
      <c r="F12" s="509" t="str">
        <f>'Phase calculation'!M160</f>
        <v>SBT</v>
      </c>
    </row>
    <row r="13" spans="1:7" x14ac:dyDescent="0.3">
      <c r="A13" s="501">
        <f>osm!$B$1</f>
        <v>1966</v>
      </c>
      <c r="B13" s="501" t="str">
        <f>'Phase calculation'!N156</f>
        <v>41</v>
      </c>
      <c r="C13" s="501"/>
      <c r="D13" s="501">
        <f>'Phase calculation'!N158</f>
        <v>4</v>
      </c>
      <c r="E13" s="501" t="str">
        <f>'Phase calculation'!N159</f>
        <v>RTOR</v>
      </c>
      <c r="F13" s="509" t="str">
        <f>'Phase calculation'!N160</f>
        <v>SBR</v>
      </c>
    </row>
    <row r="14" spans="1:7" x14ac:dyDescent="0.3">
      <c r="A14" s="501"/>
      <c r="B14" s="501"/>
      <c r="C14" s="501"/>
      <c r="D14" s="501"/>
      <c r="E14" s="501"/>
      <c r="F14" s="501"/>
    </row>
    <row r="15" spans="1:7" x14ac:dyDescent="0.3">
      <c r="A15" t="s">
        <v>561</v>
      </c>
      <c r="B15" t="s">
        <v>602</v>
      </c>
      <c r="C15" t="s">
        <v>603</v>
      </c>
      <c r="D15" t="s">
        <v>604</v>
      </c>
      <c r="G15" s="1" t="s">
        <v>605</v>
      </c>
    </row>
    <row r="16" spans="1:7" x14ac:dyDescent="0.3">
      <c r="A16">
        <f>osm!$B$1</f>
        <v>1966</v>
      </c>
      <c r="B16" t="str">
        <f>IF(Phasing!D58=0,"",Phasing!D54)</f>
        <v/>
      </c>
      <c r="C16" t="str">
        <f>IF(B16="","",IF(B16&lt;=4,1,2))</f>
        <v/>
      </c>
      <c r="D16" t="str">
        <f>IF(C16="","",IF(OR(B16=1,B16=2,B16=5,B16=6),1,2))</f>
        <v/>
      </c>
    </row>
    <row r="17" spans="1:12" x14ac:dyDescent="0.3">
      <c r="A17">
        <f>osm!$B$1</f>
        <v>1966</v>
      </c>
      <c r="B17">
        <f>IF(Phasing!E58=0,"",Phasing!E54)</f>
        <v>2</v>
      </c>
      <c r="C17">
        <f t="shared" ref="C17:C23" si="0">IF(B17="","",IF(B17&lt;=4,1,2))</f>
        <v>1</v>
      </c>
      <c r="D17">
        <f t="shared" ref="D17:D23" si="1">IF(C17="","",IF(OR(B17=1,B17=2,B17=5,B17=6),1,2))</f>
        <v>1</v>
      </c>
    </row>
    <row r="18" spans="1:12" x14ac:dyDescent="0.3">
      <c r="A18">
        <f>osm!$B$1</f>
        <v>1966</v>
      </c>
      <c r="B18">
        <f>IF(Phasing!F58=0,"",Phasing!F54)</f>
        <v>3</v>
      </c>
      <c r="C18">
        <f t="shared" si="0"/>
        <v>1</v>
      </c>
      <c r="D18">
        <f t="shared" si="1"/>
        <v>2</v>
      </c>
    </row>
    <row r="19" spans="1:12" x14ac:dyDescent="0.3">
      <c r="A19">
        <f>osm!$B$1</f>
        <v>1966</v>
      </c>
      <c r="B19">
        <f>IF(Phasing!G58=0,"",Phasing!G54)</f>
        <v>4</v>
      </c>
      <c r="C19">
        <f t="shared" si="0"/>
        <v>1</v>
      </c>
      <c r="D19">
        <f t="shared" si="1"/>
        <v>2</v>
      </c>
    </row>
    <row r="20" spans="1:12" x14ac:dyDescent="0.3">
      <c r="A20">
        <f>osm!$B$1</f>
        <v>1966</v>
      </c>
      <c r="B20" t="str">
        <f>IF(Phasing!H58=0,"",Phasing!H54)</f>
        <v/>
      </c>
      <c r="C20" t="str">
        <f t="shared" si="0"/>
        <v/>
      </c>
      <c r="D20" t="str">
        <f t="shared" si="1"/>
        <v/>
      </c>
    </row>
    <row r="21" spans="1:12" x14ac:dyDescent="0.3">
      <c r="A21">
        <f>osm!$B$1</f>
        <v>1966</v>
      </c>
      <c r="B21">
        <f>IF(Phasing!I58=0,"",Phasing!I54)</f>
        <v>6</v>
      </c>
      <c r="C21">
        <f t="shared" si="0"/>
        <v>2</v>
      </c>
      <c r="D21">
        <f t="shared" si="1"/>
        <v>1</v>
      </c>
    </row>
    <row r="22" spans="1:12" x14ac:dyDescent="0.3">
      <c r="A22">
        <f>osm!$B$1</f>
        <v>1966</v>
      </c>
      <c r="B22">
        <f>IF(Phasing!J58=0,"",Phasing!J54)</f>
        <v>7</v>
      </c>
      <c r="C22">
        <f t="shared" si="0"/>
        <v>2</v>
      </c>
      <c r="D22">
        <f t="shared" si="1"/>
        <v>2</v>
      </c>
    </row>
    <row r="23" spans="1:12" x14ac:dyDescent="0.3">
      <c r="A23">
        <f>osm!$B$1</f>
        <v>1966</v>
      </c>
      <c r="B23">
        <f>IF(Phasing!K58=0,"",Phasing!K54)</f>
        <v>8</v>
      </c>
      <c r="C23">
        <f t="shared" si="0"/>
        <v>2</v>
      </c>
      <c r="D23">
        <f t="shared" si="1"/>
        <v>2</v>
      </c>
    </row>
    <row r="25" spans="1:12" x14ac:dyDescent="0.3">
      <c r="A25" s="501" t="s">
        <v>606</v>
      </c>
      <c r="B25" s="501" t="s">
        <v>561</v>
      </c>
      <c r="C25" s="501" t="s">
        <v>607</v>
      </c>
      <c r="D25" s="501" t="s">
        <v>598</v>
      </c>
      <c r="E25" s="501" t="s">
        <v>608</v>
      </c>
      <c r="F25" s="501" t="s">
        <v>609</v>
      </c>
      <c r="G25" s="501" t="s">
        <v>610</v>
      </c>
      <c r="H25" s="501" t="s">
        <v>611</v>
      </c>
      <c r="I25" s="501" t="s">
        <v>612</v>
      </c>
      <c r="J25" s="501" t="s">
        <v>613</v>
      </c>
      <c r="L25" s="1" t="s">
        <v>614</v>
      </c>
    </row>
    <row r="26" spans="1:12" x14ac:dyDescent="0.3">
      <c r="A26" s="501" t="str">
        <f>IF(D26="","",1)</f>
        <v/>
      </c>
      <c r="B26" s="501">
        <f>osm!$B$1</f>
        <v>1966</v>
      </c>
      <c r="C26" s="501" t="str">
        <f>IF(D26="","",1)</f>
        <v/>
      </c>
      <c r="D26" s="501" t="str">
        <f>B16</f>
        <v/>
      </c>
      <c r="E26" s="501" t="str">
        <f>IF(D26="","",Phasing!D31)</f>
        <v/>
      </c>
      <c r="F26" s="501" t="str">
        <f>IF(D26="","",Phasing!D32)</f>
        <v/>
      </c>
      <c r="G26" s="501" t="str">
        <f>IF(D26="","",Phasing!D33)</f>
        <v/>
      </c>
      <c r="H26" s="501" t="str">
        <f>IF(D26="","",INDEX(Phasing!$Y$33:$Y$40,MATCH(D26,Phasing!$W$33:$W$40,0))+INDEX(Phasing!$AA$33:$AA$40,MATCH(D26,Phasing!$W$33:$W$40,0)))</f>
        <v/>
      </c>
      <c r="I26" s="501"/>
      <c r="J26" s="501"/>
    </row>
    <row r="27" spans="1:12" x14ac:dyDescent="0.3">
      <c r="A27" s="501">
        <f t="shared" ref="A27:A33" si="2">IF(D27="","",1)</f>
        <v>1</v>
      </c>
      <c r="B27" s="501">
        <f>osm!$B$1</f>
        <v>1966</v>
      </c>
      <c r="C27" s="501">
        <f t="shared" ref="C27:C33" si="3">IF(D27="","",1)</f>
        <v>1</v>
      </c>
      <c r="D27" s="501">
        <f t="shared" ref="D27:D33" si="4">B17</f>
        <v>2</v>
      </c>
      <c r="E27" s="501">
        <f>IF(D27="","",Phasing!E31)</f>
        <v>10</v>
      </c>
      <c r="F27" s="501">
        <f>IF(D27="","",Phasing!E32)</f>
        <v>53</v>
      </c>
      <c r="G27" s="501">
        <f>IF(D27="","",Phasing!E33)</f>
        <v>2.2999999999999998</v>
      </c>
      <c r="H27" s="501">
        <f>IF(D27="","",INDEX(Phasing!$Y$33:$Y$40,MATCH(D27,Phasing!$W$33:$W$40,0))+INDEX(Phasing!$AA$33:$AA$40,MATCH(D27,Phasing!$W$33:$W$40,0)))</f>
        <v>6.1</v>
      </c>
      <c r="I27" s="501">
        <f>IF(D27="","",Phasing!E40)</f>
        <v>5</v>
      </c>
      <c r="J27" s="501">
        <f>IF(D27="","",Phasing!E41)</f>
        <v>24</v>
      </c>
    </row>
    <row r="28" spans="1:12" x14ac:dyDescent="0.3">
      <c r="A28" s="501">
        <f t="shared" si="2"/>
        <v>1</v>
      </c>
      <c r="B28" s="501">
        <f>osm!$B$1</f>
        <v>1966</v>
      </c>
      <c r="C28" s="501">
        <f t="shared" si="3"/>
        <v>1</v>
      </c>
      <c r="D28" s="501">
        <f t="shared" si="4"/>
        <v>3</v>
      </c>
      <c r="E28" s="501">
        <f>IF(D28="","",Phasing!F31)</f>
        <v>5</v>
      </c>
      <c r="F28" s="501">
        <f>IF(D28="","",Phasing!F32)</f>
        <v>15</v>
      </c>
      <c r="G28" s="501">
        <f>IF(D28="","",Phasing!F33)</f>
        <v>1.5</v>
      </c>
      <c r="H28" s="501">
        <f>IF(D28="","",INDEX(Phasing!$Y$33:$Y$40,MATCH(D28,Phasing!$W$33:$W$40,0))+INDEX(Phasing!$AA$33:$AA$40,MATCH(D28,Phasing!$W$33:$W$40,0)))</f>
        <v>6</v>
      </c>
      <c r="I28" s="501"/>
      <c r="J28" s="501"/>
    </row>
    <row r="29" spans="1:12" x14ac:dyDescent="0.3">
      <c r="A29" s="501">
        <f t="shared" si="2"/>
        <v>1</v>
      </c>
      <c r="B29" s="501">
        <f>osm!$B$1</f>
        <v>1966</v>
      </c>
      <c r="C29" s="501">
        <f t="shared" si="3"/>
        <v>1</v>
      </c>
      <c r="D29" s="501">
        <f t="shared" si="4"/>
        <v>4</v>
      </c>
      <c r="E29" s="501">
        <f>IF(D29="","",Phasing!G31)</f>
        <v>10</v>
      </c>
      <c r="F29" s="501">
        <f>IF(D29="","",Phasing!G32)</f>
        <v>40</v>
      </c>
      <c r="G29" s="501">
        <f>IF(D29="","",Phasing!G33)</f>
        <v>2.2999999999999998</v>
      </c>
      <c r="H29" s="501">
        <f>IF(D29="","",INDEX(Phasing!$Y$33:$Y$40,MATCH(D29,Phasing!$W$33:$W$40,0))+INDEX(Phasing!$AA$33:$AA$40,MATCH(D29,Phasing!$W$33:$W$40,0)))</f>
        <v>6.1</v>
      </c>
      <c r="I29" s="501">
        <f>IF(D29="","",Phasing!G40)</f>
        <v>5</v>
      </c>
      <c r="J29" s="501">
        <f>IF(D29="","",Phasing!G41)</f>
        <v>34</v>
      </c>
    </row>
    <row r="30" spans="1:12" x14ac:dyDescent="0.3">
      <c r="A30" s="501" t="str">
        <f t="shared" si="2"/>
        <v/>
      </c>
      <c r="B30" s="501">
        <f>osm!$B$1</f>
        <v>1966</v>
      </c>
      <c r="C30" s="501" t="str">
        <f t="shared" si="3"/>
        <v/>
      </c>
      <c r="D30" s="501" t="str">
        <f t="shared" si="4"/>
        <v/>
      </c>
      <c r="E30" s="501" t="str">
        <f>IF(D30="","",Phasing!H31)</f>
        <v/>
      </c>
      <c r="F30" s="501" t="str">
        <f>IF(D30="","",Phasing!H32)</f>
        <v/>
      </c>
      <c r="G30" s="501" t="str">
        <f>IF(D30="","",Phasing!H33)</f>
        <v/>
      </c>
      <c r="H30" s="501" t="str">
        <f>IF(D30="","",INDEX(Phasing!$Y$33:$Y$40,MATCH(D30,Phasing!$W$33:$W$40,0))+INDEX(Phasing!$AA$33:$AA$40,MATCH(D30,Phasing!$W$33:$W$40,0)))</f>
        <v/>
      </c>
      <c r="I30" s="501"/>
      <c r="J30" s="501"/>
    </row>
    <row r="31" spans="1:12" x14ac:dyDescent="0.3">
      <c r="A31" s="501">
        <f t="shared" si="2"/>
        <v>1</v>
      </c>
      <c r="B31" s="501">
        <f>osm!$B$1</f>
        <v>1966</v>
      </c>
      <c r="C31" s="501">
        <f t="shared" si="3"/>
        <v>1</v>
      </c>
      <c r="D31" s="501">
        <f t="shared" si="4"/>
        <v>6</v>
      </c>
      <c r="E31" s="501">
        <f>IF(D31="","",Phasing!I31)</f>
        <v>10</v>
      </c>
      <c r="F31" s="501">
        <f>IF(D31="","",Phasing!I32)</f>
        <v>53</v>
      </c>
      <c r="G31" s="501">
        <f>IF(D31="","",Phasing!I33)</f>
        <v>2.2999999999999998</v>
      </c>
      <c r="H31" s="501">
        <f>IF(D31="","",INDEX(Phasing!$Y$33:$Y$40,MATCH(D31,Phasing!$W$33:$W$40,0))+INDEX(Phasing!$AA$33:$AA$40,MATCH(D31,Phasing!$W$33:$W$40,0)))</f>
        <v>6.1</v>
      </c>
      <c r="I31" s="501">
        <f>IF(D31="","",Phasing!I40)</f>
        <v>5</v>
      </c>
      <c r="J31" s="501">
        <f>IF(D31="","",Phasing!I41)</f>
        <v>41</v>
      </c>
    </row>
    <row r="32" spans="1:12" x14ac:dyDescent="0.3">
      <c r="A32" s="501">
        <f t="shared" si="2"/>
        <v>1</v>
      </c>
      <c r="B32" s="501">
        <f>osm!$B$1</f>
        <v>1966</v>
      </c>
      <c r="C32" s="501">
        <f t="shared" si="3"/>
        <v>1</v>
      </c>
      <c r="D32" s="501">
        <f t="shared" si="4"/>
        <v>7</v>
      </c>
      <c r="E32" s="501">
        <f>IF(D32="","",Phasing!J31)</f>
        <v>5</v>
      </c>
      <c r="F32" s="501">
        <f>IF(D32="","",Phasing!J32)</f>
        <v>7</v>
      </c>
      <c r="G32" s="501">
        <f>IF(D32="","",Phasing!J33)</f>
        <v>2.2999999999999998</v>
      </c>
      <c r="H32" s="501">
        <f>IF(D32="","",INDEX(Phasing!$Y$33:$Y$40,MATCH(D32,Phasing!$W$33:$W$40,0))+INDEX(Phasing!$AA$33:$AA$40,MATCH(D32,Phasing!$W$33:$W$40,0)))</f>
        <v>6.1</v>
      </c>
      <c r="I32" s="501"/>
      <c r="J32" s="501"/>
    </row>
    <row r="33" spans="1:12" x14ac:dyDescent="0.3">
      <c r="A33" s="501">
        <f t="shared" si="2"/>
        <v>1</v>
      </c>
      <c r="B33" s="501">
        <f>osm!$B$1</f>
        <v>1966</v>
      </c>
      <c r="C33" s="501">
        <f t="shared" si="3"/>
        <v>1</v>
      </c>
      <c r="D33" s="501">
        <f t="shared" si="4"/>
        <v>8</v>
      </c>
      <c r="E33" s="501">
        <f>IF(D33="","",Phasing!K31)</f>
        <v>10</v>
      </c>
      <c r="F33" s="501">
        <f>IF(D33="","",Phasing!K32)</f>
        <v>43</v>
      </c>
      <c r="G33" s="501">
        <f>IF(D33="","",Phasing!K33)</f>
        <v>1.5</v>
      </c>
      <c r="H33" s="501">
        <f>IF(D33="","",INDEX(Phasing!$Y$33:$Y$40,MATCH(D33,Phasing!$W$33:$W$40,0))+INDEX(Phasing!$AA$33:$AA$40,MATCH(D33,Phasing!$W$33:$W$40,0)))</f>
        <v>6</v>
      </c>
      <c r="I33" s="501">
        <f>IF(D33="","",Phasing!K40)</f>
        <v>5</v>
      </c>
      <c r="J33" s="501">
        <f>IF(D33="","",Phasing!K41)</f>
        <v>38</v>
      </c>
    </row>
    <row r="35" spans="1:12" x14ac:dyDescent="0.3">
      <c r="A35" t="s">
        <v>561</v>
      </c>
      <c r="B35" t="s">
        <v>607</v>
      </c>
      <c r="C35" t="s">
        <v>615</v>
      </c>
      <c r="D35" t="s">
        <v>572</v>
      </c>
      <c r="E35" t="s">
        <v>616</v>
      </c>
      <c r="F35" t="s">
        <v>617</v>
      </c>
      <c r="G35" t="s">
        <v>618</v>
      </c>
      <c r="L35" s="1" t="s">
        <v>619</v>
      </c>
    </row>
    <row r="36" spans="1:12" x14ac:dyDescent="0.3">
      <c r="A36">
        <f>osm!$B$1</f>
        <v>1966</v>
      </c>
      <c r="B36">
        <v>1</v>
      </c>
      <c r="C36">
        <v>1700</v>
      </c>
      <c r="D36">
        <f>'Phase calculation'!C25</f>
        <v>120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Y8856"/>
  <sheetViews>
    <sheetView workbookViewId="0">
      <selection activeCell="W1" sqref="W1:W1039723"/>
    </sheetView>
  </sheetViews>
  <sheetFormatPr defaultRowHeight="14.4" x14ac:dyDescent="0.3"/>
  <cols>
    <col min="22" max="25" width="8.88671875" style="1"/>
  </cols>
  <sheetData>
    <row r="1" spans="1:25" x14ac:dyDescent="0.3">
      <c r="A1" t="s">
        <v>596</v>
      </c>
      <c r="B1" t="s">
        <v>561</v>
      </c>
      <c r="C1" t="s">
        <v>586</v>
      </c>
      <c r="D1" t="s">
        <v>665</v>
      </c>
      <c r="E1" t="s">
        <v>666</v>
      </c>
      <c r="F1" t="s">
        <v>667</v>
      </c>
      <c r="G1" t="s">
        <v>668</v>
      </c>
      <c r="H1" t="s">
        <v>669</v>
      </c>
      <c r="I1" t="s">
        <v>670</v>
      </c>
      <c r="J1" t="s">
        <v>671</v>
      </c>
      <c r="K1" t="s">
        <v>672</v>
      </c>
      <c r="L1" t="s">
        <v>673</v>
      </c>
      <c r="M1" t="s">
        <v>674</v>
      </c>
      <c r="N1" t="s">
        <v>675</v>
      </c>
      <c r="O1" t="s">
        <v>676</v>
      </c>
      <c r="P1" t="s">
        <v>570</v>
      </c>
      <c r="Q1" t="s">
        <v>677</v>
      </c>
      <c r="R1" t="s">
        <v>576</v>
      </c>
      <c r="S1" t="s">
        <v>577</v>
      </c>
      <c r="T1" t="s">
        <v>583</v>
      </c>
      <c r="U1" t="s">
        <v>678</v>
      </c>
      <c r="V1" s="1" t="s">
        <v>562</v>
      </c>
      <c r="W1" s="1" t="s">
        <v>561</v>
      </c>
      <c r="X1" s="1" t="s">
        <v>563</v>
      </c>
      <c r="Y1" s="1" t="s">
        <v>564</v>
      </c>
    </row>
    <row r="2" spans="1:25" x14ac:dyDescent="0.3">
      <c r="A2">
        <v>14214</v>
      </c>
      <c r="B2">
        <v>1966</v>
      </c>
      <c r="C2" t="s">
        <v>679</v>
      </c>
      <c r="E2">
        <v>874</v>
      </c>
      <c r="F2">
        <v>4</v>
      </c>
      <c r="H2">
        <v>1126</v>
      </c>
      <c r="I2">
        <v>3</v>
      </c>
      <c r="K2">
        <v>1</v>
      </c>
      <c r="L2">
        <v>4346605164</v>
      </c>
      <c r="M2">
        <v>2822050829</v>
      </c>
      <c r="N2" t="s">
        <v>680</v>
      </c>
      <c r="Q2" t="s">
        <v>681</v>
      </c>
      <c r="R2" t="s">
        <v>15</v>
      </c>
      <c r="S2" t="s">
        <v>682</v>
      </c>
      <c r="T2">
        <v>106</v>
      </c>
      <c r="V2" s="1">
        <f>COUNT(W:W)</f>
        <v>1</v>
      </c>
      <c r="W2" s="1">
        <v>1966</v>
      </c>
      <c r="X2" s="1">
        <f>IFERROR(MATCH(W2,$B:$B,0),0)</f>
        <v>2</v>
      </c>
      <c r="Y2" s="1">
        <f>IF(X3=0,COUNTA(A:A),X3-1)</f>
        <v>15</v>
      </c>
    </row>
    <row r="3" spans="1:25" x14ac:dyDescent="0.3">
      <c r="A3">
        <v>14215</v>
      </c>
      <c r="B3">
        <v>1966</v>
      </c>
      <c r="C3" t="s">
        <v>679</v>
      </c>
      <c r="E3">
        <v>874</v>
      </c>
      <c r="F3">
        <v>2</v>
      </c>
      <c r="G3">
        <v>3</v>
      </c>
      <c r="H3">
        <v>876</v>
      </c>
      <c r="I3">
        <v>1</v>
      </c>
      <c r="J3">
        <v>2</v>
      </c>
      <c r="K3">
        <v>2</v>
      </c>
      <c r="L3">
        <v>4346605164</v>
      </c>
      <c r="M3">
        <v>4346605166</v>
      </c>
      <c r="N3" t="s">
        <v>683</v>
      </c>
      <c r="Q3" t="s">
        <v>681</v>
      </c>
      <c r="R3" t="s">
        <v>14</v>
      </c>
      <c r="S3" t="s">
        <v>684</v>
      </c>
      <c r="T3">
        <v>303</v>
      </c>
      <c r="X3" s="1">
        <f t="shared" ref="X3:X66" si="0">IFERROR(MATCH(W3,$B:$B,0),0)</f>
        <v>0</v>
      </c>
      <c r="Y3" s="1">
        <f t="shared" ref="Y3:Y66" si="1">IF(X4=0,COUNTA(A:A),X4-1)</f>
        <v>15</v>
      </c>
    </row>
    <row r="4" spans="1:25" x14ac:dyDescent="0.3">
      <c r="A4">
        <v>14216</v>
      </c>
      <c r="B4">
        <v>1966</v>
      </c>
      <c r="C4" t="s">
        <v>679</v>
      </c>
      <c r="E4">
        <v>874</v>
      </c>
      <c r="F4">
        <v>1</v>
      </c>
      <c r="H4">
        <v>1042</v>
      </c>
      <c r="I4">
        <v>1</v>
      </c>
      <c r="K4">
        <v>1</v>
      </c>
      <c r="L4">
        <v>4346605164</v>
      </c>
      <c r="M4">
        <v>2704829949</v>
      </c>
      <c r="N4" t="s">
        <v>685</v>
      </c>
      <c r="Q4" t="s">
        <v>681</v>
      </c>
      <c r="R4" t="s">
        <v>13</v>
      </c>
      <c r="S4" t="s">
        <v>686</v>
      </c>
      <c r="T4">
        <v>83</v>
      </c>
      <c r="X4" s="1">
        <f t="shared" si="0"/>
        <v>0</v>
      </c>
      <c r="Y4" s="1">
        <f t="shared" si="1"/>
        <v>15</v>
      </c>
    </row>
    <row r="5" spans="1:25" x14ac:dyDescent="0.3">
      <c r="A5">
        <v>14217</v>
      </c>
      <c r="B5">
        <v>1966</v>
      </c>
      <c r="C5" t="s">
        <v>679</v>
      </c>
      <c r="E5">
        <v>1016</v>
      </c>
      <c r="F5">
        <v>5</v>
      </c>
      <c r="H5">
        <v>875</v>
      </c>
      <c r="I5">
        <v>2</v>
      </c>
      <c r="K5">
        <v>1</v>
      </c>
      <c r="L5">
        <v>4347879983</v>
      </c>
      <c r="M5">
        <v>4346605164</v>
      </c>
      <c r="N5" t="s">
        <v>680</v>
      </c>
      <c r="Q5" t="s">
        <v>681</v>
      </c>
      <c r="R5" t="s">
        <v>10</v>
      </c>
      <c r="S5" t="s">
        <v>687</v>
      </c>
      <c r="T5">
        <v>178</v>
      </c>
      <c r="X5" s="1">
        <f t="shared" si="0"/>
        <v>0</v>
      </c>
      <c r="Y5" s="1">
        <f t="shared" si="1"/>
        <v>15</v>
      </c>
    </row>
    <row r="6" spans="1:25" x14ac:dyDescent="0.3">
      <c r="A6">
        <v>14218</v>
      </c>
      <c r="B6">
        <v>1966</v>
      </c>
      <c r="C6" t="s">
        <v>679</v>
      </c>
      <c r="E6">
        <v>1016</v>
      </c>
      <c r="F6">
        <v>4</v>
      </c>
      <c r="H6">
        <v>1126</v>
      </c>
      <c r="I6">
        <v>3</v>
      </c>
      <c r="K6">
        <v>1</v>
      </c>
      <c r="L6">
        <v>4347879983</v>
      </c>
      <c r="M6">
        <v>2822050829</v>
      </c>
      <c r="N6" t="s">
        <v>683</v>
      </c>
      <c r="Q6" t="s">
        <v>681</v>
      </c>
      <c r="R6" t="s">
        <v>9</v>
      </c>
      <c r="S6" t="s">
        <v>688</v>
      </c>
      <c r="T6">
        <v>656</v>
      </c>
      <c r="X6" s="1">
        <f t="shared" si="0"/>
        <v>0</v>
      </c>
      <c r="Y6" s="1">
        <f t="shared" si="1"/>
        <v>15</v>
      </c>
    </row>
    <row r="7" spans="1:25" x14ac:dyDescent="0.3">
      <c r="A7">
        <v>14219</v>
      </c>
      <c r="B7">
        <v>1966</v>
      </c>
      <c r="C7" t="s">
        <v>679</v>
      </c>
      <c r="E7">
        <v>1016</v>
      </c>
      <c r="F7">
        <v>2</v>
      </c>
      <c r="G7">
        <v>3</v>
      </c>
      <c r="H7">
        <v>876</v>
      </c>
      <c r="I7">
        <v>1</v>
      </c>
      <c r="J7">
        <v>2</v>
      </c>
      <c r="K7">
        <v>2</v>
      </c>
      <c r="L7">
        <v>4347879983</v>
      </c>
      <c r="M7">
        <v>4346605166</v>
      </c>
      <c r="N7" t="s">
        <v>685</v>
      </c>
      <c r="Q7" t="s">
        <v>681</v>
      </c>
      <c r="R7" t="s">
        <v>8</v>
      </c>
      <c r="S7" t="s">
        <v>689</v>
      </c>
      <c r="T7">
        <v>107</v>
      </c>
      <c r="X7" s="1">
        <f t="shared" si="0"/>
        <v>0</v>
      </c>
      <c r="Y7" s="1">
        <f t="shared" si="1"/>
        <v>15</v>
      </c>
    </row>
    <row r="8" spans="1:25" x14ac:dyDescent="0.3">
      <c r="A8">
        <v>14220</v>
      </c>
      <c r="B8">
        <v>1966</v>
      </c>
      <c r="C8" t="s">
        <v>679</v>
      </c>
      <c r="E8">
        <v>1016</v>
      </c>
      <c r="F8">
        <v>1</v>
      </c>
      <c r="H8">
        <v>1042</v>
      </c>
      <c r="I8">
        <v>1</v>
      </c>
      <c r="K8">
        <v>1</v>
      </c>
      <c r="L8">
        <v>4347879983</v>
      </c>
      <c r="M8">
        <v>2704829949</v>
      </c>
      <c r="N8" t="s">
        <v>690</v>
      </c>
      <c r="Q8" t="s">
        <v>681</v>
      </c>
      <c r="R8" t="s">
        <v>691</v>
      </c>
      <c r="S8" t="s">
        <v>692</v>
      </c>
      <c r="T8">
        <v>0</v>
      </c>
      <c r="X8" s="1">
        <f t="shared" si="0"/>
        <v>0</v>
      </c>
      <c r="Y8" s="1">
        <f t="shared" si="1"/>
        <v>15</v>
      </c>
    </row>
    <row r="9" spans="1:25" x14ac:dyDescent="0.3">
      <c r="A9">
        <v>14221</v>
      </c>
      <c r="B9">
        <v>1966</v>
      </c>
      <c r="C9" t="s">
        <v>679</v>
      </c>
      <c r="E9">
        <v>877</v>
      </c>
      <c r="F9">
        <v>2</v>
      </c>
      <c r="G9">
        <v>3</v>
      </c>
      <c r="H9">
        <v>875</v>
      </c>
      <c r="I9">
        <v>1</v>
      </c>
      <c r="J9">
        <v>2</v>
      </c>
      <c r="K9">
        <v>2</v>
      </c>
      <c r="L9">
        <v>4346605166</v>
      </c>
      <c r="M9">
        <v>4346605164</v>
      </c>
      <c r="N9" t="s">
        <v>683</v>
      </c>
      <c r="Q9" t="s">
        <v>681</v>
      </c>
      <c r="R9" t="s">
        <v>19</v>
      </c>
      <c r="S9" t="s">
        <v>693</v>
      </c>
      <c r="T9">
        <v>789</v>
      </c>
      <c r="X9" s="1">
        <f t="shared" si="0"/>
        <v>0</v>
      </c>
      <c r="Y9" s="1">
        <f t="shared" si="1"/>
        <v>15</v>
      </c>
    </row>
    <row r="10" spans="1:25" x14ac:dyDescent="0.3">
      <c r="A10">
        <v>14222</v>
      </c>
      <c r="B10">
        <v>1966</v>
      </c>
      <c r="C10" t="s">
        <v>679</v>
      </c>
      <c r="E10">
        <v>877</v>
      </c>
      <c r="F10">
        <v>1</v>
      </c>
      <c r="H10">
        <v>1126</v>
      </c>
      <c r="I10">
        <v>1</v>
      </c>
      <c r="K10">
        <v>1</v>
      </c>
      <c r="L10">
        <v>4346605166</v>
      </c>
      <c r="M10">
        <v>2822050829</v>
      </c>
      <c r="N10" t="s">
        <v>685</v>
      </c>
      <c r="Q10" t="s">
        <v>681</v>
      </c>
      <c r="R10" t="s">
        <v>18</v>
      </c>
      <c r="S10" t="s">
        <v>694</v>
      </c>
      <c r="T10">
        <v>166</v>
      </c>
      <c r="X10" s="1">
        <f t="shared" si="0"/>
        <v>0</v>
      </c>
      <c r="Y10" s="1">
        <f t="shared" si="1"/>
        <v>15</v>
      </c>
    </row>
    <row r="11" spans="1:25" x14ac:dyDescent="0.3">
      <c r="A11">
        <v>14223</v>
      </c>
      <c r="B11">
        <v>1966</v>
      </c>
      <c r="C11" t="s">
        <v>679</v>
      </c>
      <c r="E11">
        <v>877</v>
      </c>
      <c r="F11">
        <v>5</v>
      </c>
      <c r="H11">
        <v>1042</v>
      </c>
      <c r="I11">
        <v>3</v>
      </c>
      <c r="K11">
        <v>1</v>
      </c>
      <c r="L11">
        <v>4346605166</v>
      </c>
      <c r="M11">
        <v>2704829949</v>
      </c>
      <c r="N11" t="s">
        <v>680</v>
      </c>
      <c r="Q11" t="s">
        <v>681</v>
      </c>
      <c r="R11" t="s">
        <v>20</v>
      </c>
      <c r="S11" t="s">
        <v>695</v>
      </c>
      <c r="T11">
        <v>237</v>
      </c>
      <c r="X11" s="1">
        <f t="shared" si="0"/>
        <v>0</v>
      </c>
      <c r="Y11" s="1">
        <f t="shared" si="1"/>
        <v>15</v>
      </c>
    </row>
    <row r="12" spans="1:25" x14ac:dyDescent="0.3">
      <c r="A12">
        <v>14224</v>
      </c>
      <c r="B12">
        <v>1966</v>
      </c>
      <c r="C12" t="s">
        <v>679</v>
      </c>
      <c r="E12">
        <v>1127</v>
      </c>
      <c r="F12">
        <v>2</v>
      </c>
      <c r="G12">
        <v>3</v>
      </c>
      <c r="H12">
        <v>875</v>
      </c>
      <c r="I12">
        <v>1</v>
      </c>
      <c r="J12">
        <v>2</v>
      </c>
      <c r="K12">
        <v>2</v>
      </c>
      <c r="L12">
        <v>2822050830</v>
      </c>
      <c r="M12">
        <v>4346605164</v>
      </c>
      <c r="N12" t="s">
        <v>685</v>
      </c>
      <c r="Q12" t="s">
        <v>681</v>
      </c>
      <c r="R12" t="s">
        <v>3</v>
      </c>
      <c r="S12" t="s">
        <v>696</v>
      </c>
      <c r="T12">
        <v>290</v>
      </c>
      <c r="X12" s="1">
        <f t="shared" si="0"/>
        <v>0</v>
      </c>
      <c r="Y12" s="1">
        <f t="shared" si="1"/>
        <v>15</v>
      </c>
    </row>
    <row r="13" spans="1:25" x14ac:dyDescent="0.3">
      <c r="A13">
        <v>14225</v>
      </c>
      <c r="B13">
        <v>1966</v>
      </c>
      <c r="C13" t="s">
        <v>679</v>
      </c>
      <c r="E13">
        <v>1127</v>
      </c>
      <c r="F13">
        <v>1</v>
      </c>
      <c r="H13">
        <v>1126</v>
      </c>
      <c r="I13">
        <v>1</v>
      </c>
      <c r="K13">
        <v>1</v>
      </c>
      <c r="L13">
        <v>2822050830</v>
      </c>
      <c r="M13">
        <v>2822050829</v>
      </c>
      <c r="N13" t="s">
        <v>690</v>
      </c>
      <c r="Q13" t="s">
        <v>681</v>
      </c>
      <c r="R13" t="s">
        <v>697</v>
      </c>
      <c r="S13" t="s">
        <v>698</v>
      </c>
      <c r="T13">
        <v>0</v>
      </c>
      <c r="X13" s="1">
        <f t="shared" si="0"/>
        <v>0</v>
      </c>
      <c r="Y13" s="1">
        <f t="shared" si="1"/>
        <v>15</v>
      </c>
    </row>
    <row r="14" spans="1:25" x14ac:dyDescent="0.3">
      <c r="A14">
        <v>14226</v>
      </c>
      <c r="B14">
        <v>1966</v>
      </c>
      <c r="C14" t="s">
        <v>679</v>
      </c>
      <c r="E14">
        <v>1127</v>
      </c>
      <c r="F14">
        <v>5</v>
      </c>
      <c r="H14">
        <v>876</v>
      </c>
      <c r="I14">
        <v>2</v>
      </c>
      <c r="K14">
        <v>1</v>
      </c>
      <c r="L14">
        <v>2822050830</v>
      </c>
      <c r="M14">
        <v>4346605166</v>
      </c>
      <c r="N14" t="s">
        <v>680</v>
      </c>
      <c r="Q14" t="s">
        <v>681</v>
      </c>
      <c r="R14" t="s">
        <v>5</v>
      </c>
      <c r="S14" t="s">
        <v>699</v>
      </c>
      <c r="T14">
        <v>152</v>
      </c>
      <c r="X14" s="1">
        <f t="shared" si="0"/>
        <v>0</v>
      </c>
      <c r="Y14" s="1">
        <f t="shared" si="1"/>
        <v>15</v>
      </c>
    </row>
    <row r="15" spans="1:25" x14ac:dyDescent="0.3">
      <c r="A15">
        <v>14227</v>
      </c>
      <c r="B15">
        <v>1966</v>
      </c>
      <c r="C15" t="s">
        <v>679</v>
      </c>
      <c r="E15">
        <v>1127</v>
      </c>
      <c r="F15">
        <v>4</v>
      </c>
      <c r="H15">
        <v>1042</v>
      </c>
      <c r="I15">
        <v>3</v>
      </c>
      <c r="K15">
        <v>1</v>
      </c>
      <c r="L15">
        <v>2822050830</v>
      </c>
      <c r="M15">
        <v>2704829949</v>
      </c>
      <c r="N15" t="s">
        <v>683</v>
      </c>
      <c r="Q15" t="s">
        <v>681</v>
      </c>
      <c r="R15" t="s">
        <v>4</v>
      </c>
      <c r="S15" t="s">
        <v>700</v>
      </c>
      <c r="T15">
        <v>1098</v>
      </c>
      <c r="X15" s="1">
        <f t="shared" si="0"/>
        <v>0</v>
      </c>
      <c r="Y15" s="1">
        <f t="shared" si="1"/>
        <v>15</v>
      </c>
    </row>
    <row r="16" spans="1:25" x14ac:dyDescent="0.3">
      <c r="X16" s="1">
        <f t="shared" si="0"/>
        <v>0</v>
      </c>
      <c r="Y16" s="1">
        <f t="shared" si="1"/>
        <v>15</v>
      </c>
    </row>
    <row r="17" spans="24:25" x14ac:dyDescent="0.3">
      <c r="X17" s="1">
        <f t="shared" si="0"/>
        <v>0</v>
      </c>
      <c r="Y17" s="1">
        <f t="shared" si="1"/>
        <v>15</v>
      </c>
    </row>
    <row r="18" spans="24:25" x14ac:dyDescent="0.3">
      <c r="X18" s="1">
        <f t="shared" si="0"/>
        <v>0</v>
      </c>
      <c r="Y18" s="1">
        <f t="shared" si="1"/>
        <v>15</v>
      </c>
    </row>
    <row r="19" spans="24:25" x14ac:dyDescent="0.3">
      <c r="X19" s="1">
        <f t="shared" si="0"/>
        <v>0</v>
      </c>
      <c r="Y19" s="1">
        <f t="shared" si="1"/>
        <v>15</v>
      </c>
    </row>
    <row r="20" spans="24:25" x14ac:dyDescent="0.3">
      <c r="X20" s="1">
        <f t="shared" si="0"/>
        <v>0</v>
      </c>
      <c r="Y20" s="1">
        <f t="shared" si="1"/>
        <v>15</v>
      </c>
    </row>
    <row r="21" spans="24:25" x14ac:dyDescent="0.3">
      <c r="X21" s="1">
        <f t="shared" si="0"/>
        <v>0</v>
      </c>
      <c r="Y21" s="1">
        <f t="shared" si="1"/>
        <v>15</v>
      </c>
    </row>
    <row r="22" spans="24:25" x14ac:dyDescent="0.3">
      <c r="X22" s="1">
        <f t="shared" si="0"/>
        <v>0</v>
      </c>
      <c r="Y22" s="1">
        <f t="shared" si="1"/>
        <v>15</v>
      </c>
    </row>
    <row r="23" spans="24:25" x14ac:dyDescent="0.3">
      <c r="X23" s="1">
        <f t="shared" si="0"/>
        <v>0</v>
      </c>
      <c r="Y23" s="1">
        <f t="shared" si="1"/>
        <v>15</v>
      </c>
    </row>
    <row r="24" spans="24:25" x14ac:dyDescent="0.3">
      <c r="X24" s="1">
        <f t="shared" si="0"/>
        <v>0</v>
      </c>
      <c r="Y24" s="1">
        <f t="shared" si="1"/>
        <v>15</v>
      </c>
    </row>
    <row r="25" spans="24:25" x14ac:dyDescent="0.3">
      <c r="X25" s="1">
        <f t="shared" si="0"/>
        <v>0</v>
      </c>
      <c r="Y25" s="1">
        <f t="shared" si="1"/>
        <v>15</v>
      </c>
    </row>
    <row r="26" spans="24:25" x14ac:dyDescent="0.3">
      <c r="X26" s="1">
        <f t="shared" si="0"/>
        <v>0</v>
      </c>
      <c r="Y26" s="1">
        <f t="shared" si="1"/>
        <v>15</v>
      </c>
    </row>
    <row r="27" spans="24:25" x14ac:dyDescent="0.3">
      <c r="X27" s="1">
        <f t="shared" si="0"/>
        <v>0</v>
      </c>
      <c r="Y27" s="1">
        <f t="shared" si="1"/>
        <v>15</v>
      </c>
    </row>
    <row r="28" spans="24:25" x14ac:dyDescent="0.3">
      <c r="X28" s="1">
        <f t="shared" si="0"/>
        <v>0</v>
      </c>
      <c r="Y28" s="1">
        <f t="shared" si="1"/>
        <v>15</v>
      </c>
    </row>
    <row r="29" spans="24:25" x14ac:dyDescent="0.3">
      <c r="X29" s="1">
        <f t="shared" si="0"/>
        <v>0</v>
      </c>
      <c r="Y29" s="1">
        <f t="shared" si="1"/>
        <v>15</v>
      </c>
    </row>
    <row r="30" spans="24:25" x14ac:dyDescent="0.3">
      <c r="X30" s="1">
        <f t="shared" si="0"/>
        <v>0</v>
      </c>
      <c r="Y30" s="1">
        <f t="shared" si="1"/>
        <v>15</v>
      </c>
    </row>
    <row r="31" spans="24:25" x14ac:dyDescent="0.3">
      <c r="X31" s="1">
        <f t="shared" si="0"/>
        <v>0</v>
      </c>
      <c r="Y31" s="1">
        <f t="shared" si="1"/>
        <v>15</v>
      </c>
    </row>
    <row r="32" spans="24:25" x14ac:dyDescent="0.3">
      <c r="X32" s="1">
        <f t="shared" si="0"/>
        <v>0</v>
      </c>
      <c r="Y32" s="1">
        <f t="shared" si="1"/>
        <v>15</v>
      </c>
    </row>
    <row r="33" spans="24:25" x14ac:dyDescent="0.3">
      <c r="X33" s="1">
        <f t="shared" si="0"/>
        <v>0</v>
      </c>
      <c r="Y33" s="1">
        <f t="shared" si="1"/>
        <v>15</v>
      </c>
    </row>
    <row r="34" spans="24:25" x14ac:dyDescent="0.3">
      <c r="X34" s="1">
        <f t="shared" si="0"/>
        <v>0</v>
      </c>
      <c r="Y34" s="1">
        <f t="shared" si="1"/>
        <v>15</v>
      </c>
    </row>
    <row r="35" spans="24:25" x14ac:dyDescent="0.3">
      <c r="X35" s="1">
        <f t="shared" si="0"/>
        <v>0</v>
      </c>
      <c r="Y35" s="1">
        <f t="shared" si="1"/>
        <v>15</v>
      </c>
    </row>
    <row r="36" spans="24:25" x14ac:dyDescent="0.3">
      <c r="X36" s="1">
        <f t="shared" si="0"/>
        <v>0</v>
      </c>
      <c r="Y36" s="1">
        <f t="shared" si="1"/>
        <v>15</v>
      </c>
    </row>
    <row r="37" spans="24:25" x14ac:dyDescent="0.3">
      <c r="X37" s="1">
        <f t="shared" si="0"/>
        <v>0</v>
      </c>
      <c r="Y37" s="1">
        <f t="shared" si="1"/>
        <v>15</v>
      </c>
    </row>
    <row r="38" spans="24:25" x14ac:dyDescent="0.3">
      <c r="X38" s="1">
        <f t="shared" si="0"/>
        <v>0</v>
      </c>
      <c r="Y38" s="1">
        <f t="shared" si="1"/>
        <v>15</v>
      </c>
    </row>
    <row r="39" spans="24:25" x14ac:dyDescent="0.3">
      <c r="X39" s="1">
        <f t="shared" si="0"/>
        <v>0</v>
      </c>
      <c r="Y39" s="1">
        <f t="shared" si="1"/>
        <v>15</v>
      </c>
    </row>
    <row r="40" spans="24:25" x14ac:dyDescent="0.3">
      <c r="X40" s="1">
        <f t="shared" si="0"/>
        <v>0</v>
      </c>
      <c r="Y40" s="1">
        <f t="shared" si="1"/>
        <v>15</v>
      </c>
    </row>
    <row r="41" spans="24:25" x14ac:dyDescent="0.3">
      <c r="X41" s="1">
        <f t="shared" si="0"/>
        <v>0</v>
      </c>
      <c r="Y41" s="1">
        <f t="shared" si="1"/>
        <v>15</v>
      </c>
    </row>
    <row r="42" spans="24:25" x14ac:dyDescent="0.3">
      <c r="X42" s="1">
        <f t="shared" si="0"/>
        <v>0</v>
      </c>
      <c r="Y42" s="1">
        <f t="shared" si="1"/>
        <v>15</v>
      </c>
    </row>
    <row r="43" spans="24:25" x14ac:dyDescent="0.3">
      <c r="X43" s="1">
        <f t="shared" si="0"/>
        <v>0</v>
      </c>
      <c r="Y43" s="1">
        <f t="shared" si="1"/>
        <v>15</v>
      </c>
    </row>
    <row r="44" spans="24:25" x14ac:dyDescent="0.3">
      <c r="X44" s="1">
        <f t="shared" si="0"/>
        <v>0</v>
      </c>
      <c r="Y44" s="1">
        <f t="shared" si="1"/>
        <v>15</v>
      </c>
    </row>
    <row r="45" spans="24:25" x14ac:dyDescent="0.3">
      <c r="X45" s="1">
        <f t="shared" si="0"/>
        <v>0</v>
      </c>
      <c r="Y45" s="1">
        <f t="shared" si="1"/>
        <v>15</v>
      </c>
    </row>
    <row r="46" spans="24:25" x14ac:dyDescent="0.3">
      <c r="X46" s="1">
        <f t="shared" si="0"/>
        <v>0</v>
      </c>
      <c r="Y46" s="1">
        <f t="shared" si="1"/>
        <v>15</v>
      </c>
    </row>
    <row r="47" spans="24:25" x14ac:dyDescent="0.3">
      <c r="X47" s="1">
        <f t="shared" si="0"/>
        <v>0</v>
      </c>
      <c r="Y47" s="1">
        <f t="shared" si="1"/>
        <v>15</v>
      </c>
    </row>
    <row r="48" spans="24:25" x14ac:dyDescent="0.3">
      <c r="X48" s="1">
        <f t="shared" si="0"/>
        <v>0</v>
      </c>
      <c r="Y48" s="1">
        <f t="shared" si="1"/>
        <v>15</v>
      </c>
    </row>
    <row r="49" spans="24:25" x14ac:dyDescent="0.3">
      <c r="X49" s="1">
        <f t="shared" si="0"/>
        <v>0</v>
      </c>
      <c r="Y49" s="1">
        <f t="shared" si="1"/>
        <v>15</v>
      </c>
    </row>
    <row r="50" spans="24:25" x14ac:dyDescent="0.3">
      <c r="X50" s="1">
        <f t="shared" si="0"/>
        <v>0</v>
      </c>
      <c r="Y50" s="1">
        <f t="shared" si="1"/>
        <v>15</v>
      </c>
    </row>
    <row r="51" spans="24:25" x14ac:dyDescent="0.3">
      <c r="X51" s="1">
        <f t="shared" si="0"/>
        <v>0</v>
      </c>
      <c r="Y51" s="1">
        <f t="shared" si="1"/>
        <v>15</v>
      </c>
    </row>
    <row r="52" spans="24:25" x14ac:dyDescent="0.3">
      <c r="X52" s="1">
        <f t="shared" si="0"/>
        <v>0</v>
      </c>
      <c r="Y52" s="1">
        <f t="shared" si="1"/>
        <v>15</v>
      </c>
    </row>
    <row r="53" spans="24:25" x14ac:dyDescent="0.3">
      <c r="X53" s="1">
        <f t="shared" si="0"/>
        <v>0</v>
      </c>
      <c r="Y53" s="1">
        <f t="shared" si="1"/>
        <v>15</v>
      </c>
    </row>
    <row r="54" spans="24:25" x14ac:dyDescent="0.3">
      <c r="X54" s="1">
        <f t="shared" si="0"/>
        <v>0</v>
      </c>
      <c r="Y54" s="1">
        <f t="shared" si="1"/>
        <v>15</v>
      </c>
    </row>
    <row r="55" spans="24:25" x14ac:dyDescent="0.3">
      <c r="X55" s="1">
        <f t="shared" si="0"/>
        <v>0</v>
      </c>
      <c r="Y55" s="1">
        <f t="shared" si="1"/>
        <v>15</v>
      </c>
    </row>
    <row r="56" spans="24:25" x14ac:dyDescent="0.3">
      <c r="X56" s="1">
        <f t="shared" si="0"/>
        <v>0</v>
      </c>
      <c r="Y56" s="1">
        <f t="shared" si="1"/>
        <v>15</v>
      </c>
    </row>
    <row r="57" spans="24:25" x14ac:dyDescent="0.3">
      <c r="X57" s="1">
        <f t="shared" si="0"/>
        <v>0</v>
      </c>
      <c r="Y57" s="1">
        <f t="shared" si="1"/>
        <v>15</v>
      </c>
    </row>
    <row r="58" spans="24:25" x14ac:dyDescent="0.3">
      <c r="X58" s="1">
        <f t="shared" si="0"/>
        <v>0</v>
      </c>
      <c r="Y58" s="1">
        <f t="shared" si="1"/>
        <v>15</v>
      </c>
    </row>
    <row r="59" spans="24:25" x14ac:dyDescent="0.3">
      <c r="X59" s="1">
        <f t="shared" si="0"/>
        <v>0</v>
      </c>
      <c r="Y59" s="1">
        <f t="shared" si="1"/>
        <v>15</v>
      </c>
    </row>
    <row r="60" spans="24:25" x14ac:dyDescent="0.3">
      <c r="X60" s="1">
        <f t="shared" si="0"/>
        <v>0</v>
      </c>
      <c r="Y60" s="1">
        <f t="shared" si="1"/>
        <v>15</v>
      </c>
    </row>
    <row r="61" spans="24:25" x14ac:dyDescent="0.3">
      <c r="X61" s="1">
        <f t="shared" si="0"/>
        <v>0</v>
      </c>
      <c r="Y61" s="1">
        <f t="shared" si="1"/>
        <v>15</v>
      </c>
    </row>
    <row r="62" spans="24:25" x14ac:dyDescent="0.3">
      <c r="X62" s="1">
        <f t="shared" si="0"/>
        <v>0</v>
      </c>
      <c r="Y62" s="1">
        <f t="shared" si="1"/>
        <v>15</v>
      </c>
    </row>
    <row r="63" spans="24:25" x14ac:dyDescent="0.3">
      <c r="X63" s="1">
        <f t="shared" si="0"/>
        <v>0</v>
      </c>
      <c r="Y63" s="1">
        <f t="shared" si="1"/>
        <v>15</v>
      </c>
    </row>
    <row r="64" spans="24:25" x14ac:dyDescent="0.3">
      <c r="X64" s="1">
        <f t="shared" si="0"/>
        <v>0</v>
      </c>
      <c r="Y64" s="1">
        <f t="shared" si="1"/>
        <v>15</v>
      </c>
    </row>
    <row r="65" spans="24:25" x14ac:dyDescent="0.3">
      <c r="X65" s="1">
        <f t="shared" si="0"/>
        <v>0</v>
      </c>
      <c r="Y65" s="1">
        <f t="shared" si="1"/>
        <v>15</v>
      </c>
    </row>
    <row r="66" spans="24:25" x14ac:dyDescent="0.3">
      <c r="X66" s="1">
        <f t="shared" si="0"/>
        <v>0</v>
      </c>
      <c r="Y66" s="1">
        <f t="shared" si="1"/>
        <v>15</v>
      </c>
    </row>
    <row r="67" spans="24:25" x14ac:dyDescent="0.3">
      <c r="X67" s="1">
        <f t="shared" ref="X67:X130" si="2">IFERROR(MATCH(W67,$B:$B,0),0)</f>
        <v>0</v>
      </c>
      <c r="Y67" s="1">
        <f t="shared" ref="Y67:Y130" si="3">IF(X68=0,COUNTA(A:A),X68-1)</f>
        <v>15</v>
      </c>
    </row>
    <row r="68" spans="24:25" x14ac:dyDescent="0.3">
      <c r="X68" s="1">
        <f t="shared" si="2"/>
        <v>0</v>
      </c>
      <c r="Y68" s="1">
        <f t="shared" si="3"/>
        <v>15</v>
      </c>
    </row>
    <row r="69" spans="24:25" x14ac:dyDescent="0.3">
      <c r="X69" s="1">
        <f t="shared" si="2"/>
        <v>0</v>
      </c>
      <c r="Y69" s="1">
        <f t="shared" si="3"/>
        <v>15</v>
      </c>
    </row>
    <row r="70" spans="24:25" x14ac:dyDescent="0.3">
      <c r="X70" s="1">
        <f t="shared" si="2"/>
        <v>0</v>
      </c>
      <c r="Y70" s="1">
        <f t="shared" si="3"/>
        <v>15</v>
      </c>
    </row>
    <row r="71" spans="24:25" x14ac:dyDescent="0.3">
      <c r="X71" s="1">
        <f t="shared" si="2"/>
        <v>0</v>
      </c>
      <c r="Y71" s="1">
        <f t="shared" si="3"/>
        <v>15</v>
      </c>
    </row>
    <row r="72" spans="24:25" x14ac:dyDescent="0.3">
      <c r="X72" s="1">
        <f t="shared" si="2"/>
        <v>0</v>
      </c>
      <c r="Y72" s="1">
        <f t="shared" si="3"/>
        <v>15</v>
      </c>
    </row>
    <row r="73" spans="24:25" x14ac:dyDescent="0.3">
      <c r="X73" s="1">
        <f t="shared" si="2"/>
        <v>0</v>
      </c>
      <c r="Y73" s="1">
        <f t="shared" si="3"/>
        <v>15</v>
      </c>
    </row>
    <row r="74" spans="24:25" x14ac:dyDescent="0.3">
      <c r="X74" s="1">
        <f t="shared" si="2"/>
        <v>0</v>
      </c>
      <c r="Y74" s="1">
        <f t="shared" si="3"/>
        <v>15</v>
      </c>
    </row>
    <row r="75" spans="24:25" x14ac:dyDescent="0.3">
      <c r="X75" s="1">
        <f t="shared" si="2"/>
        <v>0</v>
      </c>
      <c r="Y75" s="1">
        <f t="shared" si="3"/>
        <v>15</v>
      </c>
    </row>
    <row r="76" spans="24:25" x14ac:dyDescent="0.3">
      <c r="X76" s="1">
        <f t="shared" si="2"/>
        <v>0</v>
      </c>
      <c r="Y76" s="1">
        <f t="shared" si="3"/>
        <v>15</v>
      </c>
    </row>
    <row r="77" spans="24:25" x14ac:dyDescent="0.3">
      <c r="X77" s="1">
        <f t="shared" si="2"/>
        <v>0</v>
      </c>
      <c r="Y77" s="1">
        <f t="shared" si="3"/>
        <v>15</v>
      </c>
    </row>
    <row r="78" spans="24:25" x14ac:dyDescent="0.3">
      <c r="X78" s="1">
        <f t="shared" si="2"/>
        <v>0</v>
      </c>
      <c r="Y78" s="1">
        <f t="shared" si="3"/>
        <v>15</v>
      </c>
    </row>
    <row r="79" spans="24:25" x14ac:dyDescent="0.3">
      <c r="X79" s="1">
        <f t="shared" si="2"/>
        <v>0</v>
      </c>
      <c r="Y79" s="1">
        <f t="shared" si="3"/>
        <v>15</v>
      </c>
    </row>
    <row r="80" spans="24:25" x14ac:dyDescent="0.3">
      <c r="X80" s="1">
        <f t="shared" si="2"/>
        <v>0</v>
      </c>
      <c r="Y80" s="1">
        <f t="shared" si="3"/>
        <v>15</v>
      </c>
    </row>
    <row r="81" spans="24:25" x14ac:dyDescent="0.3">
      <c r="X81" s="1">
        <f t="shared" si="2"/>
        <v>0</v>
      </c>
      <c r="Y81" s="1">
        <f t="shared" si="3"/>
        <v>15</v>
      </c>
    </row>
    <row r="82" spans="24:25" x14ac:dyDescent="0.3">
      <c r="X82" s="1">
        <f t="shared" si="2"/>
        <v>0</v>
      </c>
      <c r="Y82" s="1">
        <f t="shared" si="3"/>
        <v>15</v>
      </c>
    </row>
    <row r="83" spans="24:25" x14ac:dyDescent="0.3">
      <c r="X83" s="1">
        <f t="shared" si="2"/>
        <v>0</v>
      </c>
      <c r="Y83" s="1">
        <f t="shared" si="3"/>
        <v>15</v>
      </c>
    </row>
    <row r="84" spans="24:25" x14ac:dyDescent="0.3">
      <c r="X84" s="1">
        <f t="shared" si="2"/>
        <v>0</v>
      </c>
      <c r="Y84" s="1">
        <f t="shared" si="3"/>
        <v>15</v>
      </c>
    </row>
    <row r="85" spans="24:25" x14ac:dyDescent="0.3">
      <c r="X85" s="1">
        <f t="shared" si="2"/>
        <v>0</v>
      </c>
      <c r="Y85" s="1">
        <f t="shared" si="3"/>
        <v>15</v>
      </c>
    </row>
    <row r="86" spans="24:25" x14ac:dyDescent="0.3">
      <c r="X86" s="1">
        <f t="shared" si="2"/>
        <v>0</v>
      </c>
      <c r="Y86" s="1">
        <f t="shared" si="3"/>
        <v>15</v>
      </c>
    </row>
    <row r="87" spans="24:25" x14ac:dyDescent="0.3">
      <c r="X87" s="1">
        <f t="shared" si="2"/>
        <v>0</v>
      </c>
      <c r="Y87" s="1">
        <f t="shared" si="3"/>
        <v>15</v>
      </c>
    </row>
    <row r="88" spans="24:25" x14ac:dyDescent="0.3">
      <c r="X88" s="1">
        <f t="shared" si="2"/>
        <v>0</v>
      </c>
      <c r="Y88" s="1">
        <f t="shared" si="3"/>
        <v>15</v>
      </c>
    </row>
    <row r="89" spans="24:25" x14ac:dyDescent="0.3">
      <c r="X89" s="1">
        <f t="shared" si="2"/>
        <v>0</v>
      </c>
      <c r="Y89" s="1">
        <f t="shared" si="3"/>
        <v>15</v>
      </c>
    </row>
    <row r="90" spans="24:25" x14ac:dyDescent="0.3">
      <c r="X90" s="1">
        <f t="shared" si="2"/>
        <v>0</v>
      </c>
      <c r="Y90" s="1">
        <f t="shared" si="3"/>
        <v>15</v>
      </c>
    </row>
    <row r="91" spans="24:25" x14ac:dyDescent="0.3">
      <c r="X91" s="1">
        <f t="shared" si="2"/>
        <v>0</v>
      </c>
      <c r="Y91" s="1">
        <f t="shared" si="3"/>
        <v>15</v>
      </c>
    </row>
    <row r="92" spans="24:25" x14ac:dyDescent="0.3">
      <c r="X92" s="1">
        <f t="shared" si="2"/>
        <v>0</v>
      </c>
      <c r="Y92" s="1">
        <f t="shared" si="3"/>
        <v>15</v>
      </c>
    </row>
    <row r="93" spans="24:25" x14ac:dyDescent="0.3">
      <c r="X93" s="1">
        <f t="shared" si="2"/>
        <v>0</v>
      </c>
      <c r="Y93" s="1">
        <f t="shared" si="3"/>
        <v>15</v>
      </c>
    </row>
    <row r="94" spans="24:25" x14ac:dyDescent="0.3">
      <c r="X94" s="1">
        <f t="shared" si="2"/>
        <v>0</v>
      </c>
      <c r="Y94" s="1">
        <f t="shared" si="3"/>
        <v>15</v>
      </c>
    </row>
    <row r="95" spans="24:25" x14ac:dyDescent="0.3">
      <c r="X95" s="1">
        <f t="shared" si="2"/>
        <v>0</v>
      </c>
      <c r="Y95" s="1">
        <f t="shared" si="3"/>
        <v>15</v>
      </c>
    </row>
    <row r="96" spans="24:25" x14ac:dyDescent="0.3">
      <c r="X96" s="1">
        <f t="shared" si="2"/>
        <v>0</v>
      </c>
      <c r="Y96" s="1">
        <f t="shared" si="3"/>
        <v>15</v>
      </c>
    </row>
    <row r="97" spans="24:25" x14ac:dyDescent="0.3">
      <c r="X97" s="1">
        <f t="shared" si="2"/>
        <v>0</v>
      </c>
      <c r="Y97" s="1">
        <f t="shared" si="3"/>
        <v>15</v>
      </c>
    </row>
    <row r="98" spans="24:25" x14ac:dyDescent="0.3">
      <c r="X98" s="1">
        <f t="shared" si="2"/>
        <v>0</v>
      </c>
      <c r="Y98" s="1">
        <f t="shared" si="3"/>
        <v>15</v>
      </c>
    </row>
    <row r="99" spans="24:25" x14ac:dyDescent="0.3">
      <c r="X99" s="1">
        <f t="shared" si="2"/>
        <v>0</v>
      </c>
      <c r="Y99" s="1">
        <f t="shared" si="3"/>
        <v>15</v>
      </c>
    </row>
    <row r="100" spans="24:25" x14ac:dyDescent="0.3">
      <c r="X100" s="1">
        <f t="shared" si="2"/>
        <v>0</v>
      </c>
      <c r="Y100" s="1">
        <f t="shared" si="3"/>
        <v>15</v>
      </c>
    </row>
    <row r="101" spans="24:25" x14ac:dyDescent="0.3">
      <c r="X101" s="1">
        <f t="shared" si="2"/>
        <v>0</v>
      </c>
      <c r="Y101" s="1">
        <f t="shared" si="3"/>
        <v>15</v>
      </c>
    </row>
    <row r="102" spans="24:25" x14ac:dyDescent="0.3">
      <c r="X102" s="1">
        <f t="shared" si="2"/>
        <v>0</v>
      </c>
      <c r="Y102" s="1">
        <f t="shared" si="3"/>
        <v>15</v>
      </c>
    </row>
    <row r="103" spans="24:25" x14ac:dyDescent="0.3">
      <c r="X103" s="1">
        <f t="shared" si="2"/>
        <v>0</v>
      </c>
      <c r="Y103" s="1">
        <f t="shared" si="3"/>
        <v>15</v>
      </c>
    </row>
    <row r="104" spans="24:25" x14ac:dyDescent="0.3">
      <c r="X104" s="1">
        <f t="shared" si="2"/>
        <v>0</v>
      </c>
      <c r="Y104" s="1">
        <f t="shared" si="3"/>
        <v>15</v>
      </c>
    </row>
    <row r="105" spans="24:25" x14ac:dyDescent="0.3">
      <c r="X105" s="1">
        <f t="shared" si="2"/>
        <v>0</v>
      </c>
      <c r="Y105" s="1">
        <f t="shared" si="3"/>
        <v>15</v>
      </c>
    </row>
    <row r="106" spans="24:25" x14ac:dyDescent="0.3">
      <c r="X106" s="1">
        <f t="shared" si="2"/>
        <v>0</v>
      </c>
      <c r="Y106" s="1">
        <f t="shared" si="3"/>
        <v>15</v>
      </c>
    </row>
    <row r="107" spans="24:25" x14ac:dyDescent="0.3">
      <c r="X107" s="1">
        <f t="shared" si="2"/>
        <v>0</v>
      </c>
      <c r="Y107" s="1">
        <f t="shared" si="3"/>
        <v>15</v>
      </c>
    </row>
    <row r="108" spans="24:25" x14ac:dyDescent="0.3">
      <c r="X108" s="1">
        <f t="shared" si="2"/>
        <v>0</v>
      </c>
      <c r="Y108" s="1">
        <f t="shared" si="3"/>
        <v>15</v>
      </c>
    </row>
    <row r="109" spans="24:25" x14ac:dyDescent="0.3">
      <c r="X109" s="1">
        <f t="shared" si="2"/>
        <v>0</v>
      </c>
      <c r="Y109" s="1">
        <f t="shared" si="3"/>
        <v>15</v>
      </c>
    </row>
    <row r="110" spans="24:25" x14ac:dyDescent="0.3">
      <c r="X110" s="1">
        <f t="shared" si="2"/>
        <v>0</v>
      </c>
      <c r="Y110" s="1">
        <f t="shared" si="3"/>
        <v>15</v>
      </c>
    </row>
    <row r="111" spans="24:25" x14ac:dyDescent="0.3">
      <c r="X111" s="1">
        <f t="shared" si="2"/>
        <v>0</v>
      </c>
      <c r="Y111" s="1">
        <f t="shared" si="3"/>
        <v>15</v>
      </c>
    </row>
    <row r="112" spans="24:25" x14ac:dyDescent="0.3">
      <c r="X112" s="1">
        <f t="shared" si="2"/>
        <v>0</v>
      </c>
      <c r="Y112" s="1">
        <f t="shared" si="3"/>
        <v>15</v>
      </c>
    </row>
    <row r="113" spans="24:25" x14ac:dyDescent="0.3">
      <c r="X113" s="1">
        <f t="shared" si="2"/>
        <v>0</v>
      </c>
      <c r="Y113" s="1">
        <f t="shared" si="3"/>
        <v>15</v>
      </c>
    </row>
    <row r="114" spans="24:25" x14ac:dyDescent="0.3">
      <c r="X114" s="1">
        <f t="shared" si="2"/>
        <v>0</v>
      </c>
      <c r="Y114" s="1">
        <f t="shared" si="3"/>
        <v>15</v>
      </c>
    </row>
    <row r="115" spans="24:25" x14ac:dyDescent="0.3">
      <c r="X115" s="1">
        <f t="shared" si="2"/>
        <v>0</v>
      </c>
      <c r="Y115" s="1">
        <f t="shared" si="3"/>
        <v>15</v>
      </c>
    </row>
    <row r="116" spans="24:25" x14ac:dyDescent="0.3">
      <c r="X116" s="1">
        <f t="shared" si="2"/>
        <v>0</v>
      </c>
      <c r="Y116" s="1">
        <f t="shared" si="3"/>
        <v>15</v>
      </c>
    </row>
    <row r="117" spans="24:25" x14ac:dyDescent="0.3">
      <c r="X117" s="1">
        <f t="shared" si="2"/>
        <v>0</v>
      </c>
      <c r="Y117" s="1">
        <f t="shared" si="3"/>
        <v>15</v>
      </c>
    </row>
    <row r="118" spans="24:25" x14ac:dyDescent="0.3">
      <c r="X118" s="1">
        <f t="shared" si="2"/>
        <v>0</v>
      </c>
      <c r="Y118" s="1">
        <f t="shared" si="3"/>
        <v>15</v>
      </c>
    </row>
    <row r="119" spans="24:25" x14ac:dyDescent="0.3">
      <c r="X119" s="1">
        <f t="shared" si="2"/>
        <v>0</v>
      </c>
      <c r="Y119" s="1">
        <f t="shared" si="3"/>
        <v>15</v>
      </c>
    </row>
    <row r="120" spans="24:25" x14ac:dyDescent="0.3">
      <c r="X120" s="1">
        <f t="shared" si="2"/>
        <v>0</v>
      </c>
      <c r="Y120" s="1">
        <f t="shared" si="3"/>
        <v>15</v>
      </c>
    </row>
    <row r="121" spans="24:25" x14ac:dyDescent="0.3">
      <c r="X121" s="1">
        <f t="shared" si="2"/>
        <v>0</v>
      </c>
      <c r="Y121" s="1">
        <f t="shared" si="3"/>
        <v>15</v>
      </c>
    </row>
    <row r="122" spans="24:25" x14ac:dyDescent="0.3">
      <c r="X122" s="1">
        <f t="shared" si="2"/>
        <v>0</v>
      </c>
      <c r="Y122" s="1">
        <f t="shared" si="3"/>
        <v>15</v>
      </c>
    </row>
    <row r="123" spans="24:25" x14ac:dyDescent="0.3">
      <c r="X123" s="1">
        <f t="shared" si="2"/>
        <v>0</v>
      </c>
      <c r="Y123" s="1">
        <f t="shared" si="3"/>
        <v>15</v>
      </c>
    </row>
    <row r="124" spans="24:25" x14ac:dyDescent="0.3">
      <c r="X124" s="1">
        <f t="shared" si="2"/>
        <v>0</v>
      </c>
      <c r="Y124" s="1">
        <f t="shared" si="3"/>
        <v>15</v>
      </c>
    </row>
    <row r="125" spans="24:25" x14ac:dyDescent="0.3">
      <c r="X125" s="1">
        <f t="shared" si="2"/>
        <v>0</v>
      </c>
      <c r="Y125" s="1">
        <f t="shared" si="3"/>
        <v>15</v>
      </c>
    </row>
    <row r="126" spans="24:25" x14ac:dyDescent="0.3">
      <c r="X126" s="1">
        <f t="shared" si="2"/>
        <v>0</v>
      </c>
      <c r="Y126" s="1">
        <f t="shared" si="3"/>
        <v>15</v>
      </c>
    </row>
    <row r="127" spans="24:25" x14ac:dyDescent="0.3">
      <c r="X127" s="1">
        <f t="shared" si="2"/>
        <v>0</v>
      </c>
      <c r="Y127" s="1">
        <f t="shared" si="3"/>
        <v>15</v>
      </c>
    </row>
    <row r="128" spans="24:25" x14ac:dyDescent="0.3">
      <c r="X128" s="1">
        <f t="shared" si="2"/>
        <v>0</v>
      </c>
      <c r="Y128" s="1">
        <f t="shared" si="3"/>
        <v>15</v>
      </c>
    </row>
    <row r="129" spans="24:25" x14ac:dyDescent="0.3">
      <c r="X129" s="1">
        <f t="shared" si="2"/>
        <v>0</v>
      </c>
      <c r="Y129" s="1">
        <f t="shared" si="3"/>
        <v>15</v>
      </c>
    </row>
    <row r="130" spans="24:25" x14ac:dyDescent="0.3">
      <c r="X130" s="1">
        <f t="shared" si="2"/>
        <v>0</v>
      </c>
      <c r="Y130" s="1">
        <f t="shared" si="3"/>
        <v>15</v>
      </c>
    </row>
    <row r="131" spans="24:25" x14ac:dyDescent="0.3">
      <c r="X131" s="1">
        <f t="shared" ref="X131:X194" si="4">IFERROR(MATCH(W131,$B:$B,0),0)</f>
        <v>0</v>
      </c>
      <c r="Y131" s="1">
        <f t="shared" ref="Y131:Y194" si="5">IF(X132=0,COUNTA(A:A),X132-1)</f>
        <v>15</v>
      </c>
    </row>
    <row r="132" spans="24:25" x14ac:dyDescent="0.3">
      <c r="X132" s="1">
        <f t="shared" si="4"/>
        <v>0</v>
      </c>
      <c r="Y132" s="1">
        <f t="shared" si="5"/>
        <v>15</v>
      </c>
    </row>
    <row r="133" spans="24:25" x14ac:dyDescent="0.3">
      <c r="X133" s="1">
        <f t="shared" si="4"/>
        <v>0</v>
      </c>
      <c r="Y133" s="1">
        <f t="shared" si="5"/>
        <v>15</v>
      </c>
    </row>
    <row r="134" spans="24:25" x14ac:dyDescent="0.3">
      <c r="X134" s="1">
        <f t="shared" si="4"/>
        <v>0</v>
      </c>
      <c r="Y134" s="1">
        <f t="shared" si="5"/>
        <v>15</v>
      </c>
    </row>
    <row r="135" spans="24:25" x14ac:dyDescent="0.3">
      <c r="X135" s="1">
        <f t="shared" si="4"/>
        <v>0</v>
      </c>
      <c r="Y135" s="1">
        <f t="shared" si="5"/>
        <v>15</v>
      </c>
    </row>
    <row r="136" spans="24:25" x14ac:dyDescent="0.3">
      <c r="X136" s="1">
        <f t="shared" si="4"/>
        <v>0</v>
      </c>
      <c r="Y136" s="1">
        <f t="shared" si="5"/>
        <v>15</v>
      </c>
    </row>
    <row r="137" spans="24:25" x14ac:dyDescent="0.3">
      <c r="X137" s="1">
        <f t="shared" si="4"/>
        <v>0</v>
      </c>
      <c r="Y137" s="1">
        <f t="shared" si="5"/>
        <v>15</v>
      </c>
    </row>
    <row r="138" spans="24:25" x14ac:dyDescent="0.3">
      <c r="X138" s="1">
        <f t="shared" si="4"/>
        <v>0</v>
      </c>
      <c r="Y138" s="1">
        <f t="shared" si="5"/>
        <v>15</v>
      </c>
    </row>
    <row r="139" spans="24:25" x14ac:dyDescent="0.3">
      <c r="X139" s="1">
        <f t="shared" si="4"/>
        <v>0</v>
      </c>
      <c r="Y139" s="1">
        <f t="shared" si="5"/>
        <v>15</v>
      </c>
    </row>
    <row r="140" spans="24:25" x14ac:dyDescent="0.3">
      <c r="X140" s="1">
        <f t="shared" si="4"/>
        <v>0</v>
      </c>
      <c r="Y140" s="1">
        <f t="shared" si="5"/>
        <v>15</v>
      </c>
    </row>
    <row r="141" spans="24:25" x14ac:dyDescent="0.3">
      <c r="X141" s="1">
        <f t="shared" si="4"/>
        <v>0</v>
      </c>
      <c r="Y141" s="1">
        <f t="shared" si="5"/>
        <v>15</v>
      </c>
    </row>
    <row r="142" spans="24:25" x14ac:dyDescent="0.3">
      <c r="X142" s="1">
        <f t="shared" si="4"/>
        <v>0</v>
      </c>
      <c r="Y142" s="1">
        <f t="shared" si="5"/>
        <v>15</v>
      </c>
    </row>
    <row r="143" spans="24:25" x14ac:dyDescent="0.3">
      <c r="X143" s="1">
        <f t="shared" si="4"/>
        <v>0</v>
      </c>
      <c r="Y143" s="1">
        <f t="shared" si="5"/>
        <v>15</v>
      </c>
    </row>
    <row r="144" spans="24:25" x14ac:dyDescent="0.3">
      <c r="X144" s="1">
        <f t="shared" si="4"/>
        <v>0</v>
      </c>
      <c r="Y144" s="1">
        <f t="shared" si="5"/>
        <v>15</v>
      </c>
    </row>
    <row r="145" spans="24:25" x14ac:dyDescent="0.3">
      <c r="X145" s="1">
        <f t="shared" si="4"/>
        <v>0</v>
      </c>
      <c r="Y145" s="1">
        <f t="shared" si="5"/>
        <v>15</v>
      </c>
    </row>
    <row r="146" spans="24:25" x14ac:dyDescent="0.3">
      <c r="X146" s="1">
        <f t="shared" si="4"/>
        <v>0</v>
      </c>
      <c r="Y146" s="1">
        <f t="shared" si="5"/>
        <v>15</v>
      </c>
    </row>
    <row r="147" spans="24:25" x14ac:dyDescent="0.3">
      <c r="X147" s="1">
        <f t="shared" si="4"/>
        <v>0</v>
      </c>
      <c r="Y147" s="1">
        <f t="shared" si="5"/>
        <v>15</v>
      </c>
    </row>
    <row r="148" spans="24:25" x14ac:dyDescent="0.3">
      <c r="X148" s="1">
        <f t="shared" si="4"/>
        <v>0</v>
      </c>
      <c r="Y148" s="1">
        <f t="shared" si="5"/>
        <v>15</v>
      </c>
    </row>
    <row r="149" spans="24:25" x14ac:dyDescent="0.3">
      <c r="X149" s="1">
        <f t="shared" si="4"/>
        <v>0</v>
      </c>
      <c r="Y149" s="1">
        <f t="shared" si="5"/>
        <v>15</v>
      </c>
    </row>
    <row r="150" spans="24:25" x14ac:dyDescent="0.3">
      <c r="X150" s="1">
        <f t="shared" si="4"/>
        <v>0</v>
      </c>
      <c r="Y150" s="1">
        <f t="shared" si="5"/>
        <v>15</v>
      </c>
    </row>
    <row r="151" spans="24:25" x14ac:dyDescent="0.3">
      <c r="X151" s="1">
        <f t="shared" si="4"/>
        <v>0</v>
      </c>
      <c r="Y151" s="1">
        <f t="shared" si="5"/>
        <v>15</v>
      </c>
    </row>
    <row r="152" spans="24:25" x14ac:dyDescent="0.3">
      <c r="X152" s="1">
        <f t="shared" si="4"/>
        <v>0</v>
      </c>
      <c r="Y152" s="1">
        <f t="shared" si="5"/>
        <v>15</v>
      </c>
    </row>
    <row r="153" spans="24:25" x14ac:dyDescent="0.3">
      <c r="X153" s="1">
        <f t="shared" si="4"/>
        <v>0</v>
      </c>
      <c r="Y153" s="1">
        <f t="shared" si="5"/>
        <v>15</v>
      </c>
    </row>
    <row r="154" spans="24:25" x14ac:dyDescent="0.3">
      <c r="X154" s="1">
        <f t="shared" si="4"/>
        <v>0</v>
      </c>
      <c r="Y154" s="1">
        <f t="shared" si="5"/>
        <v>15</v>
      </c>
    </row>
    <row r="155" spans="24:25" x14ac:dyDescent="0.3">
      <c r="X155" s="1">
        <f t="shared" si="4"/>
        <v>0</v>
      </c>
      <c r="Y155" s="1">
        <f t="shared" si="5"/>
        <v>15</v>
      </c>
    </row>
    <row r="156" spans="24:25" x14ac:dyDescent="0.3">
      <c r="X156" s="1">
        <f t="shared" si="4"/>
        <v>0</v>
      </c>
      <c r="Y156" s="1">
        <f t="shared" si="5"/>
        <v>15</v>
      </c>
    </row>
    <row r="157" spans="24:25" x14ac:dyDescent="0.3">
      <c r="X157" s="1">
        <f t="shared" si="4"/>
        <v>0</v>
      </c>
      <c r="Y157" s="1">
        <f t="shared" si="5"/>
        <v>15</v>
      </c>
    </row>
    <row r="158" spans="24:25" x14ac:dyDescent="0.3">
      <c r="X158" s="1">
        <f t="shared" si="4"/>
        <v>0</v>
      </c>
      <c r="Y158" s="1">
        <f t="shared" si="5"/>
        <v>15</v>
      </c>
    </row>
    <row r="159" spans="24:25" x14ac:dyDescent="0.3">
      <c r="X159" s="1">
        <f t="shared" si="4"/>
        <v>0</v>
      </c>
      <c r="Y159" s="1">
        <f t="shared" si="5"/>
        <v>15</v>
      </c>
    </row>
    <row r="160" spans="24:25" x14ac:dyDescent="0.3">
      <c r="X160" s="1">
        <f t="shared" si="4"/>
        <v>0</v>
      </c>
      <c r="Y160" s="1">
        <f t="shared" si="5"/>
        <v>15</v>
      </c>
    </row>
    <row r="161" spans="24:25" x14ac:dyDescent="0.3">
      <c r="X161" s="1">
        <f t="shared" si="4"/>
        <v>0</v>
      </c>
      <c r="Y161" s="1">
        <f t="shared" si="5"/>
        <v>15</v>
      </c>
    </row>
    <row r="162" spans="24:25" x14ac:dyDescent="0.3">
      <c r="X162" s="1">
        <f t="shared" si="4"/>
        <v>0</v>
      </c>
      <c r="Y162" s="1">
        <f t="shared" si="5"/>
        <v>15</v>
      </c>
    </row>
    <row r="163" spans="24:25" x14ac:dyDescent="0.3">
      <c r="X163" s="1">
        <f t="shared" si="4"/>
        <v>0</v>
      </c>
      <c r="Y163" s="1">
        <f t="shared" si="5"/>
        <v>15</v>
      </c>
    </row>
    <row r="164" spans="24:25" x14ac:dyDescent="0.3">
      <c r="X164" s="1">
        <f t="shared" si="4"/>
        <v>0</v>
      </c>
      <c r="Y164" s="1">
        <f t="shared" si="5"/>
        <v>15</v>
      </c>
    </row>
    <row r="165" spans="24:25" x14ac:dyDescent="0.3">
      <c r="X165" s="1">
        <f t="shared" si="4"/>
        <v>0</v>
      </c>
      <c r="Y165" s="1">
        <f t="shared" si="5"/>
        <v>15</v>
      </c>
    </row>
    <row r="166" spans="24:25" x14ac:dyDescent="0.3">
      <c r="X166" s="1">
        <f t="shared" si="4"/>
        <v>0</v>
      </c>
      <c r="Y166" s="1">
        <f t="shared" si="5"/>
        <v>15</v>
      </c>
    </row>
    <row r="167" spans="24:25" x14ac:dyDescent="0.3">
      <c r="X167" s="1">
        <f t="shared" si="4"/>
        <v>0</v>
      </c>
      <c r="Y167" s="1">
        <f t="shared" si="5"/>
        <v>15</v>
      </c>
    </row>
    <row r="168" spans="24:25" x14ac:dyDescent="0.3">
      <c r="X168" s="1">
        <f t="shared" si="4"/>
        <v>0</v>
      </c>
      <c r="Y168" s="1">
        <f t="shared" si="5"/>
        <v>15</v>
      </c>
    </row>
    <row r="169" spans="24:25" x14ac:dyDescent="0.3">
      <c r="X169" s="1">
        <f t="shared" si="4"/>
        <v>0</v>
      </c>
      <c r="Y169" s="1">
        <f t="shared" si="5"/>
        <v>15</v>
      </c>
    </row>
    <row r="170" spans="24:25" x14ac:dyDescent="0.3">
      <c r="X170" s="1">
        <f t="shared" si="4"/>
        <v>0</v>
      </c>
      <c r="Y170" s="1">
        <f t="shared" si="5"/>
        <v>15</v>
      </c>
    </row>
    <row r="171" spans="24:25" x14ac:dyDescent="0.3">
      <c r="X171" s="1">
        <f t="shared" si="4"/>
        <v>0</v>
      </c>
      <c r="Y171" s="1">
        <f t="shared" si="5"/>
        <v>15</v>
      </c>
    </row>
    <row r="172" spans="24:25" x14ac:dyDescent="0.3">
      <c r="X172" s="1">
        <f t="shared" si="4"/>
        <v>0</v>
      </c>
      <c r="Y172" s="1">
        <f t="shared" si="5"/>
        <v>15</v>
      </c>
    </row>
    <row r="173" spans="24:25" x14ac:dyDescent="0.3">
      <c r="X173" s="1">
        <f t="shared" si="4"/>
        <v>0</v>
      </c>
      <c r="Y173" s="1">
        <f t="shared" si="5"/>
        <v>15</v>
      </c>
    </row>
    <row r="174" spans="24:25" x14ac:dyDescent="0.3">
      <c r="X174" s="1">
        <f t="shared" si="4"/>
        <v>0</v>
      </c>
      <c r="Y174" s="1">
        <f t="shared" si="5"/>
        <v>15</v>
      </c>
    </row>
    <row r="175" spans="24:25" x14ac:dyDescent="0.3">
      <c r="X175" s="1">
        <f t="shared" si="4"/>
        <v>0</v>
      </c>
      <c r="Y175" s="1">
        <f t="shared" si="5"/>
        <v>15</v>
      </c>
    </row>
    <row r="176" spans="24:25" x14ac:dyDescent="0.3">
      <c r="X176" s="1">
        <f t="shared" si="4"/>
        <v>0</v>
      </c>
      <c r="Y176" s="1">
        <f t="shared" si="5"/>
        <v>15</v>
      </c>
    </row>
    <row r="177" spans="24:25" x14ac:dyDescent="0.3">
      <c r="X177" s="1">
        <f t="shared" si="4"/>
        <v>0</v>
      </c>
      <c r="Y177" s="1">
        <f t="shared" si="5"/>
        <v>15</v>
      </c>
    </row>
    <row r="178" spans="24:25" x14ac:dyDescent="0.3">
      <c r="X178" s="1">
        <f t="shared" si="4"/>
        <v>0</v>
      </c>
      <c r="Y178" s="1">
        <f t="shared" si="5"/>
        <v>15</v>
      </c>
    </row>
    <row r="179" spans="24:25" x14ac:dyDescent="0.3">
      <c r="X179" s="1">
        <f t="shared" si="4"/>
        <v>0</v>
      </c>
      <c r="Y179" s="1">
        <f t="shared" si="5"/>
        <v>15</v>
      </c>
    </row>
    <row r="180" spans="24:25" x14ac:dyDescent="0.3">
      <c r="X180" s="1">
        <f t="shared" si="4"/>
        <v>0</v>
      </c>
      <c r="Y180" s="1">
        <f t="shared" si="5"/>
        <v>15</v>
      </c>
    </row>
    <row r="181" spans="24:25" x14ac:dyDescent="0.3">
      <c r="X181" s="1">
        <f t="shared" si="4"/>
        <v>0</v>
      </c>
      <c r="Y181" s="1">
        <f t="shared" si="5"/>
        <v>15</v>
      </c>
    </row>
    <row r="182" spans="24:25" x14ac:dyDescent="0.3">
      <c r="X182" s="1">
        <f t="shared" si="4"/>
        <v>0</v>
      </c>
      <c r="Y182" s="1">
        <f t="shared" si="5"/>
        <v>15</v>
      </c>
    </row>
    <row r="183" spans="24:25" x14ac:dyDescent="0.3">
      <c r="X183" s="1">
        <f t="shared" si="4"/>
        <v>0</v>
      </c>
      <c r="Y183" s="1">
        <f t="shared" si="5"/>
        <v>15</v>
      </c>
    </row>
    <row r="184" spans="24:25" x14ac:dyDescent="0.3">
      <c r="X184" s="1">
        <f t="shared" si="4"/>
        <v>0</v>
      </c>
      <c r="Y184" s="1">
        <f t="shared" si="5"/>
        <v>15</v>
      </c>
    </row>
    <row r="185" spans="24:25" x14ac:dyDescent="0.3">
      <c r="X185" s="1">
        <f t="shared" si="4"/>
        <v>0</v>
      </c>
      <c r="Y185" s="1">
        <f t="shared" si="5"/>
        <v>15</v>
      </c>
    </row>
    <row r="186" spans="24:25" x14ac:dyDescent="0.3">
      <c r="X186" s="1">
        <f t="shared" si="4"/>
        <v>0</v>
      </c>
      <c r="Y186" s="1">
        <f t="shared" si="5"/>
        <v>15</v>
      </c>
    </row>
    <row r="187" spans="24:25" x14ac:dyDescent="0.3">
      <c r="X187" s="1">
        <f t="shared" si="4"/>
        <v>0</v>
      </c>
      <c r="Y187" s="1">
        <f t="shared" si="5"/>
        <v>15</v>
      </c>
    </row>
    <row r="188" spans="24:25" x14ac:dyDescent="0.3">
      <c r="X188" s="1">
        <f t="shared" si="4"/>
        <v>0</v>
      </c>
      <c r="Y188" s="1">
        <f t="shared" si="5"/>
        <v>15</v>
      </c>
    </row>
    <row r="189" spans="24:25" x14ac:dyDescent="0.3">
      <c r="X189" s="1">
        <f t="shared" si="4"/>
        <v>0</v>
      </c>
      <c r="Y189" s="1">
        <f t="shared" si="5"/>
        <v>15</v>
      </c>
    </row>
    <row r="190" spans="24:25" x14ac:dyDescent="0.3">
      <c r="X190" s="1">
        <f t="shared" si="4"/>
        <v>0</v>
      </c>
      <c r="Y190" s="1">
        <f t="shared" si="5"/>
        <v>15</v>
      </c>
    </row>
    <row r="191" spans="24:25" x14ac:dyDescent="0.3">
      <c r="X191" s="1">
        <f t="shared" si="4"/>
        <v>0</v>
      </c>
      <c r="Y191" s="1">
        <f t="shared" si="5"/>
        <v>15</v>
      </c>
    </row>
    <row r="192" spans="24:25" x14ac:dyDescent="0.3">
      <c r="X192" s="1">
        <f t="shared" si="4"/>
        <v>0</v>
      </c>
      <c r="Y192" s="1">
        <f t="shared" si="5"/>
        <v>15</v>
      </c>
    </row>
    <row r="193" spans="24:25" x14ac:dyDescent="0.3">
      <c r="X193" s="1">
        <f t="shared" si="4"/>
        <v>0</v>
      </c>
      <c r="Y193" s="1">
        <f t="shared" si="5"/>
        <v>15</v>
      </c>
    </row>
    <row r="194" spans="24:25" x14ac:dyDescent="0.3">
      <c r="X194" s="1">
        <f t="shared" si="4"/>
        <v>0</v>
      </c>
      <c r="Y194" s="1">
        <f t="shared" si="5"/>
        <v>15</v>
      </c>
    </row>
    <row r="195" spans="24:25" x14ac:dyDescent="0.3">
      <c r="X195" s="1">
        <f t="shared" ref="X195:X258" si="6">IFERROR(MATCH(W195,$B:$B,0),0)</f>
        <v>0</v>
      </c>
      <c r="Y195" s="1">
        <f t="shared" ref="Y195:Y258" si="7">IF(X196=0,COUNTA(A:A),X196-1)</f>
        <v>15</v>
      </c>
    </row>
    <row r="196" spans="24:25" x14ac:dyDescent="0.3">
      <c r="X196" s="1">
        <f t="shared" si="6"/>
        <v>0</v>
      </c>
      <c r="Y196" s="1">
        <f t="shared" si="7"/>
        <v>15</v>
      </c>
    </row>
    <row r="197" spans="24:25" x14ac:dyDescent="0.3">
      <c r="X197" s="1">
        <f t="shared" si="6"/>
        <v>0</v>
      </c>
      <c r="Y197" s="1">
        <f t="shared" si="7"/>
        <v>15</v>
      </c>
    </row>
    <row r="198" spans="24:25" x14ac:dyDescent="0.3">
      <c r="X198" s="1">
        <f t="shared" si="6"/>
        <v>0</v>
      </c>
      <c r="Y198" s="1">
        <f t="shared" si="7"/>
        <v>15</v>
      </c>
    </row>
    <row r="199" spans="24:25" x14ac:dyDescent="0.3">
      <c r="X199" s="1">
        <f t="shared" si="6"/>
        <v>0</v>
      </c>
      <c r="Y199" s="1">
        <f t="shared" si="7"/>
        <v>15</v>
      </c>
    </row>
    <row r="200" spans="24:25" x14ac:dyDescent="0.3">
      <c r="X200" s="1">
        <f t="shared" si="6"/>
        <v>0</v>
      </c>
      <c r="Y200" s="1">
        <f t="shared" si="7"/>
        <v>15</v>
      </c>
    </row>
    <row r="201" spans="24:25" x14ac:dyDescent="0.3">
      <c r="X201" s="1">
        <f t="shared" si="6"/>
        <v>0</v>
      </c>
      <c r="Y201" s="1">
        <f t="shared" si="7"/>
        <v>15</v>
      </c>
    </row>
    <row r="202" spans="24:25" x14ac:dyDescent="0.3">
      <c r="X202" s="1">
        <f t="shared" si="6"/>
        <v>0</v>
      </c>
      <c r="Y202" s="1">
        <f t="shared" si="7"/>
        <v>15</v>
      </c>
    </row>
    <row r="203" spans="24:25" x14ac:dyDescent="0.3">
      <c r="X203" s="1">
        <f t="shared" si="6"/>
        <v>0</v>
      </c>
      <c r="Y203" s="1">
        <f t="shared" si="7"/>
        <v>15</v>
      </c>
    </row>
    <row r="204" spans="24:25" x14ac:dyDescent="0.3">
      <c r="X204" s="1">
        <f t="shared" si="6"/>
        <v>0</v>
      </c>
      <c r="Y204" s="1">
        <f t="shared" si="7"/>
        <v>15</v>
      </c>
    </row>
    <row r="205" spans="24:25" x14ac:dyDescent="0.3">
      <c r="X205" s="1">
        <f t="shared" si="6"/>
        <v>0</v>
      </c>
      <c r="Y205" s="1">
        <f t="shared" si="7"/>
        <v>15</v>
      </c>
    </row>
    <row r="206" spans="24:25" x14ac:dyDescent="0.3">
      <c r="X206" s="1">
        <f t="shared" si="6"/>
        <v>0</v>
      </c>
      <c r="Y206" s="1">
        <f t="shared" si="7"/>
        <v>15</v>
      </c>
    </row>
    <row r="207" spans="24:25" x14ac:dyDescent="0.3">
      <c r="X207" s="1">
        <f t="shared" si="6"/>
        <v>0</v>
      </c>
      <c r="Y207" s="1">
        <f t="shared" si="7"/>
        <v>15</v>
      </c>
    </row>
    <row r="208" spans="24:25" x14ac:dyDescent="0.3">
      <c r="X208" s="1">
        <f t="shared" si="6"/>
        <v>0</v>
      </c>
      <c r="Y208" s="1">
        <f t="shared" si="7"/>
        <v>15</v>
      </c>
    </row>
    <row r="209" spans="24:25" x14ac:dyDescent="0.3">
      <c r="X209" s="1">
        <f t="shared" si="6"/>
        <v>0</v>
      </c>
      <c r="Y209" s="1">
        <f t="shared" si="7"/>
        <v>15</v>
      </c>
    </row>
    <row r="210" spans="24:25" x14ac:dyDescent="0.3">
      <c r="X210" s="1">
        <f t="shared" si="6"/>
        <v>0</v>
      </c>
      <c r="Y210" s="1">
        <f t="shared" si="7"/>
        <v>15</v>
      </c>
    </row>
    <row r="211" spans="24:25" x14ac:dyDescent="0.3">
      <c r="X211" s="1">
        <f t="shared" si="6"/>
        <v>0</v>
      </c>
      <c r="Y211" s="1">
        <f t="shared" si="7"/>
        <v>15</v>
      </c>
    </row>
    <row r="212" spans="24:25" x14ac:dyDescent="0.3">
      <c r="X212" s="1">
        <f t="shared" si="6"/>
        <v>0</v>
      </c>
      <c r="Y212" s="1">
        <f t="shared" si="7"/>
        <v>15</v>
      </c>
    </row>
    <row r="213" spans="24:25" x14ac:dyDescent="0.3">
      <c r="X213" s="1">
        <f t="shared" si="6"/>
        <v>0</v>
      </c>
      <c r="Y213" s="1">
        <f t="shared" si="7"/>
        <v>15</v>
      </c>
    </row>
    <row r="214" spans="24:25" x14ac:dyDescent="0.3">
      <c r="X214" s="1">
        <f t="shared" si="6"/>
        <v>0</v>
      </c>
      <c r="Y214" s="1">
        <f t="shared" si="7"/>
        <v>15</v>
      </c>
    </row>
    <row r="215" spans="24:25" x14ac:dyDescent="0.3">
      <c r="X215" s="1">
        <f t="shared" si="6"/>
        <v>0</v>
      </c>
      <c r="Y215" s="1">
        <f t="shared" si="7"/>
        <v>15</v>
      </c>
    </row>
    <row r="216" spans="24:25" x14ac:dyDescent="0.3">
      <c r="X216" s="1">
        <f t="shared" si="6"/>
        <v>0</v>
      </c>
      <c r="Y216" s="1">
        <f t="shared" si="7"/>
        <v>15</v>
      </c>
    </row>
    <row r="217" spans="24:25" x14ac:dyDescent="0.3">
      <c r="X217" s="1">
        <f t="shared" si="6"/>
        <v>0</v>
      </c>
      <c r="Y217" s="1">
        <f t="shared" si="7"/>
        <v>15</v>
      </c>
    </row>
    <row r="218" spans="24:25" x14ac:dyDescent="0.3">
      <c r="X218" s="1">
        <f t="shared" si="6"/>
        <v>0</v>
      </c>
      <c r="Y218" s="1">
        <f t="shared" si="7"/>
        <v>15</v>
      </c>
    </row>
    <row r="219" spans="24:25" x14ac:dyDescent="0.3">
      <c r="X219" s="1">
        <f t="shared" si="6"/>
        <v>0</v>
      </c>
      <c r="Y219" s="1">
        <f t="shared" si="7"/>
        <v>15</v>
      </c>
    </row>
    <row r="220" spans="24:25" x14ac:dyDescent="0.3">
      <c r="X220" s="1">
        <f t="shared" si="6"/>
        <v>0</v>
      </c>
      <c r="Y220" s="1">
        <f t="shared" si="7"/>
        <v>15</v>
      </c>
    </row>
    <row r="221" spans="24:25" x14ac:dyDescent="0.3">
      <c r="X221" s="1">
        <f t="shared" si="6"/>
        <v>0</v>
      </c>
      <c r="Y221" s="1">
        <f t="shared" si="7"/>
        <v>15</v>
      </c>
    </row>
    <row r="222" spans="24:25" x14ac:dyDescent="0.3">
      <c r="X222" s="1">
        <f t="shared" si="6"/>
        <v>0</v>
      </c>
      <c r="Y222" s="1">
        <f t="shared" si="7"/>
        <v>15</v>
      </c>
    </row>
    <row r="223" spans="24:25" x14ac:dyDescent="0.3">
      <c r="X223" s="1">
        <f t="shared" si="6"/>
        <v>0</v>
      </c>
      <c r="Y223" s="1">
        <f t="shared" si="7"/>
        <v>15</v>
      </c>
    </row>
    <row r="224" spans="24:25" x14ac:dyDescent="0.3">
      <c r="X224" s="1">
        <f t="shared" si="6"/>
        <v>0</v>
      </c>
      <c r="Y224" s="1">
        <f t="shared" si="7"/>
        <v>15</v>
      </c>
    </row>
    <row r="225" spans="24:25" x14ac:dyDescent="0.3">
      <c r="X225" s="1">
        <f t="shared" si="6"/>
        <v>0</v>
      </c>
      <c r="Y225" s="1">
        <f t="shared" si="7"/>
        <v>15</v>
      </c>
    </row>
    <row r="226" spans="24:25" x14ac:dyDescent="0.3">
      <c r="X226" s="1">
        <f t="shared" si="6"/>
        <v>0</v>
      </c>
      <c r="Y226" s="1">
        <f t="shared" si="7"/>
        <v>15</v>
      </c>
    </row>
    <row r="227" spans="24:25" x14ac:dyDescent="0.3">
      <c r="X227" s="1">
        <f t="shared" si="6"/>
        <v>0</v>
      </c>
      <c r="Y227" s="1">
        <f t="shared" si="7"/>
        <v>15</v>
      </c>
    </row>
    <row r="228" spans="24:25" x14ac:dyDescent="0.3">
      <c r="X228" s="1">
        <f t="shared" si="6"/>
        <v>0</v>
      </c>
      <c r="Y228" s="1">
        <f t="shared" si="7"/>
        <v>15</v>
      </c>
    </row>
    <row r="229" spans="24:25" x14ac:dyDescent="0.3">
      <c r="X229" s="1">
        <f t="shared" si="6"/>
        <v>0</v>
      </c>
      <c r="Y229" s="1">
        <f t="shared" si="7"/>
        <v>15</v>
      </c>
    </row>
    <row r="230" spans="24:25" x14ac:dyDescent="0.3">
      <c r="X230" s="1">
        <f t="shared" si="6"/>
        <v>0</v>
      </c>
      <c r="Y230" s="1">
        <f t="shared" si="7"/>
        <v>15</v>
      </c>
    </row>
    <row r="231" spans="24:25" x14ac:dyDescent="0.3">
      <c r="X231" s="1">
        <f t="shared" si="6"/>
        <v>0</v>
      </c>
      <c r="Y231" s="1">
        <f t="shared" si="7"/>
        <v>15</v>
      </c>
    </row>
    <row r="232" spans="24:25" x14ac:dyDescent="0.3">
      <c r="X232" s="1">
        <f t="shared" si="6"/>
        <v>0</v>
      </c>
      <c r="Y232" s="1">
        <f t="shared" si="7"/>
        <v>15</v>
      </c>
    </row>
    <row r="233" spans="24:25" x14ac:dyDescent="0.3">
      <c r="X233" s="1">
        <f t="shared" si="6"/>
        <v>0</v>
      </c>
      <c r="Y233" s="1">
        <f t="shared" si="7"/>
        <v>15</v>
      </c>
    </row>
    <row r="234" spans="24:25" x14ac:dyDescent="0.3">
      <c r="X234" s="1">
        <f t="shared" si="6"/>
        <v>0</v>
      </c>
      <c r="Y234" s="1">
        <f t="shared" si="7"/>
        <v>15</v>
      </c>
    </row>
    <row r="235" spans="24:25" x14ac:dyDescent="0.3">
      <c r="X235" s="1">
        <f t="shared" si="6"/>
        <v>0</v>
      </c>
      <c r="Y235" s="1">
        <f t="shared" si="7"/>
        <v>15</v>
      </c>
    </row>
    <row r="236" spans="24:25" x14ac:dyDescent="0.3">
      <c r="X236" s="1">
        <f t="shared" si="6"/>
        <v>0</v>
      </c>
      <c r="Y236" s="1">
        <f t="shared" si="7"/>
        <v>15</v>
      </c>
    </row>
    <row r="237" spans="24:25" x14ac:dyDescent="0.3">
      <c r="X237" s="1">
        <f t="shared" si="6"/>
        <v>0</v>
      </c>
      <c r="Y237" s="1">
        <f t="shared" si="7"/>
        <v>15</v>
      </c>
    </row>
    <row r="238" spans="24:25" x14ac:dyDescent="0.3">
      <c r="X238" s="1">
        <f t="shared" si="6"/>
        <v>0</v>
      </c>
      <c r="Y238" s="1">
        <f t="shared" si="7"/>
        <v>15</v>
      </c>
    </row>
    <row r="239" spans="24:25" x14ac:dyDescent="0.3">
      <c r="X239" s="1">
        <f t="shared" si="6"/>
        <v>0</v>
      </c>
      <c r="Y239" s="1">
        <f t="shared" si="7"/>
        <v>15</v>
      </c>
    </row>
    <row r="240" spans="24:25" x14ac:dyDescent="0.3">
      <c r="X240" s="1">
        <f t="shared" si="6"/>
        <v>0</v>
      </c>
      <c r="Y240" s="1">
        <f t="shared" si="7"/>
        <v>15</v>
      </c>
    </row>
    <row r="241" spans="24:25" x14ac:dyDescent="0.3">
      <c r="X241" s="1">
        <f t="shared" si="6"/>
        <v>0</v>
      </c>
      <c r="Y241" s="1">
        <f t="shared" si="7"/>
        <v>15</v>
      </c>
    </row>
    <row r="242" spans="24:25" x14ac:dyDescent="0.3">
      <c r="X242" s="1">
        <f t="shared" si="6"/>
        <v>0</v>
      </c>
      <c r="Y242" s="1">
        <f t="shared" si="7"/>
        <v>15</v>
      </c>
    </row>
    <row r="243" spans="24:25" x14ac:dyDescent="0.3">
      <c r="X243" s="1">
        <f t="shared" si="6"/>
        <v>0</v>
      </c>
      <c r="Y243" s="1">
        <f t="shared" si="7"/>
        <v>15</v>
      </c>
    </row>
    <row r="244" spans="24:25" x14ac:dyDescent="0.3">
      <c r="X244" s="1">
        <f t="shared" si="6"/>
        <v>0</v>
      </c>
      <c r="Y244" s="1">
        <f t="shared" si="7"/>
        <v>15</v>
      </c>
    </row>
    <row r="245" spans="24:25" x14ac:dyDescent="0.3">
      <c r="X245" s="1">
        <f t="shared" si="6"/>
        <v>0</v>
      </c>
      <c r="Y245" s="1">
        <f t="shared" si="7"/>
        <v>15</v>
      </c>
    </row>
    <row r="246" spans="24:25" x14ac:dyDescent="0.3">
      <c r="X246" s="1">
        <f t="shared" si="6"/>
        <v>0</v>
      </c>
      <c r="Y246" s="1">
        <f t="shared" si="7"/>
        <v>15</v>
      </c>
    </row>
    <row r="247" spans="24:25" x14ac:dyDescent="0.3">
      <c r="X247" s="1">
        <f t="shared" si="6"/>
        <v>0</v>
      </c>
      <c r="Y247" s="1">
        <f t="shared" si="7"/>
        <v>15</v>
      </c>
    </row>
    <row r="248" spans="24:25" x14ac:dyDescent="0.3">
      <c r="X248" s="1">
        <f t="shared" si="6"/>
        <v>0</v>
      </c>
      <c r="Y248" s="1">
        <f t="shared" si="7"/>
        <v>15</v>
      </c>
    </row>
    <row r="249" spans="24:25" x14ac:dyDescent="0.3">
      <c r="X249" s="1">
        <f t="shared" si="6"/>
        <v>0</v>
      </c>
      <c r="Y249" s="1">
        <f t="shared" si="7"/>
        <v>15</v>
      </c>
    </row>
    <row r="250" spans="24:25" x14ac:dyDescent="0.3">
      <c r="X250" s="1">
        <f t="shared" si="6"/>
        <v>0</v>
      </c>
      <c r="Y250" s="1">
        <f t="shared" si="7"/>
        <v>15</v>
      </c>
    </row>
    <row r="251" spans="24:25" x14ac:dyDescent="0.3">
      <c r="X251" s="1">
        <f t="shared" si="6"/>
        <v>0</v>
      </c>
      <c r="Y251" s="1">
        <f t="shared" si="7"/>
        <v>15</v>
      </c>
    </row>
    <row r="252" spans="24:25" x14ac:dyDescent="0.3">
      <c r="X252" s="1">
        <f t="shared" si="6"/>
        <v>0</v>
      </c>
      <c r="Y252" s="1">
        <f t="shared" si="7"/>
        <v>15</v>
      </c>
    </row>
    <row r="253" spans="24:25" x14ac:dyDescent="0.3">
      <c r="X253" s="1">
        <f t="shared" si="6"/>
        <v>0</v>
      </c>
      <c r="Y253" s="1">
        <f t="shared" si="7"/>
        <v>15</v>
      </c>
    </row>
    <row r="254" spans="24:25" x14ac:dyDescent="0.3">
      <c r="X254" s="1">
        <f t="shared" si="6"/>
        <v>0</v>
      </c>
      <c r="Y254" s="1">
        <f t="shared" si="7"/>
        <v>15</v>
      </c>
    </row>
    <row r="255" spans="24:25" x14ac:dyDescent="0.3">
      <c r="X255" s="1">
        <f t="shared" si="6"/>
        <v>0</v>
      </c>
      <c r="Y255" s="1">
        <f t="shared" si="7"/>
        <v>15</v>
      </c>
    </row>
    <row r="256" spans="24:25" x14ac:dyDescent="0.3">
      <c r="X256" s="1">
        <f t="shared" si="6"/>
        <v>0</v>
      </c>
      <c r="Y256" s="1">
        <f t="shared" si="7"/>
        <v>15</v>
      </c>
    </row>
    <row r="257" spans="24:25" x14ac:dyDescent="0.3">
      <c r="X257" s="1">
        <f t="shared" si="6"/>
        <v>0</v>
      </c>
      <c r="Y257" s="1">
        <f t="shared" si="7"/>
        <v>15</v>
      </c>
    </row>
    <row r="258" spans="24:25" x14ac:dyDescent="0.3">
      <c r="X258" s="1">
        <f t="shared" si="6"/>
        <v>0</v>
      </c>
      <c r="Y258" s="1">
        <f t="shared" si="7"/>
        <v>15</v>
      </c>
    </row>
    <row r="259" spans="24:25" x14ac:dyDescent="0.3">
      <c r="X259" s="1">
        <f t="shared" ref="X259:X322" si="8">IFERROR(MATCH(W259,$B:$B,0),0)</f>
        <v>0</v>
      </c>
      <c r="Y259" s="1">
        <f t="shared" ref="Y259:Y322" si="9">IF(X260=0,COUNTA(A:A),X260-1)</f>
        <v>15</v>
      </c>
    </row>
    <row r="260" spans="24:25" x14ac:dyDescent="0.3">
      <c r="X260" s="1">
        <f t="shared" si="8"/>
        <v>0</v>
      </c>
      <c r="Y260" s="1">
        <f t="shared" si="9"/>
        <v>15</v>
      </c>
    </row>
    <row r="261" spans="24:25" x14ac:dyDescent="0.3">
      <c r="X261" s="1">
        <f t="shared" si="8"/>
        <v>0</v>
      </c>
      <c r="Y261" s="1">
        <f t="shared" si="9"/>
        <v>15</v>
      </c>
    </row>
    <row r="262" spans="24:25" x14ac:dyDescent="0.3">
      <c r="X262" s="1">
        <f t="shared" si="8"/>
        <v>0</v>
      </c>
      <c r="Y262" s="1">
        <f t="shared" si="9"/>
        <v>15</v>
      </c>
    </row>
    <row r="263" spans="24:25" x14ac:dyDescent="0.3">
      <c r="X263" s="1">
        <f t="shared" si="8"/>
        <v>0</v>
      </c>
      <c r="Y263" s="1">
        <f t="shared" si="9"/>
        <v>15</v>
      </c>
    </row>
    <row r="264" spans="24:25" x14ac:dyDescent="0.3">
      <c r="X264" s="1">
        <f t="shared" si="8"/>
        <v>0</v>
      </c>
      <c r="Y264" s="1">
        <f t="shared" si="9"/>
        <v>15</v>
      </c>
    </row>
    <row r="265" spans="24:25" x14ac:dyDescent="0.3">
      <c r="X265" s="1">
        <f t="shared" si="8"/>
        <v>0</v>
      </c>
      <c r="Y265" s="1">
        <f t="shared" si="9"/>
        <v>15</v>
      </c>
    </row>
    <row r="266" spans="24:25" x14ac:dyDescent="0.3">
      <c r="X266" s="1">
        <f t="shared" si="8"/>
        <v>0</v>
      </c>
      <c r="Y266" s="1">
        <f t="shared" si="9"/>
        <v>15</v>
      </c>
    </row>
    <row r="267" spans="24:25" x14ac:dyDescent="0.3">
      <c r="X267" s="1">
        <f t="shared" si="8"/>
        <v>0</v>
      </c>
      <c r="Y267" s="1">
        <f t="shared" si="9"/>
        <v>15</v>
      </c>
    </row>
    <row r="268" spans="24:25" x14ac:dyDescent="0.3">
      <c r="X268" s="1">
        <f t="shared" si="8"/>
        <v>0</v>
      </c>
      <c r="Y268" s="1">
        <f t="shared" si="9"/>
        <v>15</v>
      </c>
    </row>
    <row r="269" spans="24:25" x14ac:dyDescent="0.3">
      <c r="X269" s="1">
        <f t="shared" si="8"/>
        <v>0</v>
      </c>
      <c r="Y269" s="1">
        <f t="shared" si="9"/>
        <v>15</v>
      </c>
    </row>
    <row r="270" spans="24:25" x14ac:dyDescent="0.3">
      <c r="X270" s="1">
        <f t="shared" si="8"/>
        <v>0</v>
      </c>
      <c r="Y270" s="1">
        <f t="shared" si="9"/>
        <v>15</v>
      </c>
    </row>
    <row r="271" spans="24:25" x14ac:dyDescent="0.3">
      <c r="X271" s="1">
        <f t="shared" si="8"/>
        <v>0</v>
      </c>
      <c r="Y271" s="1">
        <f t="shared" si="9"/>
        <v>15</v>
      </c>
    </row>
    <row r="272" spans="24:25" x14ac:dyDescent="0.3">
      <c r="X272" s="1">
        <f t="shared" si="8"/>
        <v>0</v>
      </c>
      <c r="Y272" s="1">
        <f t="shared" si="9"/>
        <v>15</v>
      </c>
    </row>
    <row r="273" spans="24:25" x14ac:dyDescent="0.3">
      <c r="X273" s="1">
        <f t="shared" si="8"/>
        <v>0</v>
      </c>
      <c r="Y273" s="1">
        <f t="shared" si="9"/>
        <v>15</v>
      </c>
    </row>
    <row r="274" spans="24:25" x14ac:dyDescent="0.3">
      <c r="X274" s="1">
        <f t="shared" si="8"/>
        <v>0</v>
      </c>
      <c r="Y274" s="1">
        <f t="shared" si="9"/>
        <v>15</v>
      </c>
    </row>
    <row r="275" spans="24:25" x14ac:dyDescent="0.3">
      <c r="X275" s="1">
        <f t="shared" si="8"/>
        <v>0</v>
      </c>
      <c r="Y275" s="1">
        <f t="shared" si="9"/>
        <v>15</v>
      </c>
    </row>
    <row r="276" spans="24:25" x14ac:dyDescent="0.3">
      <c r="X276" s="1">
        <f t="shared" si="8"/>
        <v>0</v>
      </c>
      <c r="Y276" s="1">
        <f t="shared" si="9"/>
        <v>15</v>
      </c>
    </row>
    <row r="277" spans="24:25" x14ac:dyDescent="0.3">
      <c r="X277" s="1">
        <f t="shared" si="8"/>
        <v>0</v>
      </c>
      <c r="Y277" s="1">
        <f t="shared" si="9"/>
        <v>15</v>
      </c>
    </row>
    <row r="278" spans="24:25" x14ac:dyDescent="0.3">
      <c r="X278" s="1">
        <f t="shared" si="8"/>
        <v>0</v>
      </c>
      <c r="Y278" s="1">
        <f t="shared" si="9"/>
        <v>15</v>
      </c>
    </row>
    <row r="279" spans="24:25" x14ac:dyDescent="0.3">
      <c r="X279" s="1">
        <f t="shared" si="8"/>
        <v>0</v>
      </c>
      <c r="Y279" s="1">
        <f t="shared" si="9"/>
        <v>15</v>
      </c>
    </row>
    <row r="280" spans="24:25" x14ac:dyDescent="0.3">
      <c r="X280" s="1">
        <f t="shared" si="8"/>
        <v>0</v>
      </c>
      <c r="Y280" s="1">
        <f t="shared" si="9"/>
        <v>15</v>
      </c>
    </row>
    <row r="281" spans="24:25" x14ac:dyDescent="0.3">
      <c r="X281" s="1">
        <f t="shared" si="8"/>
        <v>0</v>
      </c>
      <c r="Y281" s="1">
        <f t="shared" si="9"/>
        <v>15</v>
      </c>
    </row>
    <row r="282" spans="24:25" x14ac:dyDescent="0.3">
      <c r="X282" s="1">
        <f t="shared" si="8"/>
        <v>0</v>
      </c>
      <c r="Y282" s="1">
        <f t="shared" si="9"/>
        <v>15</v>
      </c>
    </row>
    <row r="283" spans="24:25" x14ac:dyDescent="0.3">
      <c r="X283" s="1">
        <f t="shared" si="8"/>
        <v>0</v>
      </c>
      <c r="Y283" s="1">
        <f t="shared" si="9"/>
        <v>15</v>
      </c>
    </row>
    <row r="284" spans="24:25" x14ac:dyDescent="0.3">
      <c r="X284" s="1">
        <f t="shared" si="8"/>
        <v>0</v>
      </c>
      <c r="Y284" s="1">
        <f t="shared" si="9"/>
        <v>15</v>
      </c>
    </row>
    <row r="285" spans="24:25" x14ac:dyDescent="0.3">
      <c r="X285" s="1">
        <f t="shared" si="8"/>
        <v>0</v>
      </c>
      <c r="Y285" s="1">
        <f t="shared" si="9"/>
        <v>15</v>
      </c>
    </row>
    <row r="286" spans="24:25" x14ac:dyDescent="0.3">
      <c r="X286" s="1">
        <f t="shared" si="8"/>
        <v>0</v>
      </c>
      <c r="Y286" s="1">
        <f t="shared" si="9"/>
        <v>15</v>
      </c>
    </row>
    <row r="287" spans="24:25" x14ac:dyDescent="0.3">
      <c r="X287" s="1">
        <f t="shared" si="8"/>
        <v>0</v>
      </c>
      <c r="Y287" s="1">
        <f t="shared" si="9"/>
        <v>15</v>
      </c>
    </row>
    <row r="288" spans="24:25" x14ac:dyDescent="0.3">
      <c r="X288" s="1">
        <f t="shared" si="8"/>
        <v>0</v>
      </c>
      <c r="Y288" s="1">
        <f t="shared" si="9"/>
        <v>15</v>
      </c>
    </row>
    <row r="289" spans="24:25" x14ac:dyDescent="0.3">
      <c r="X289" s="1">
        <f t="shared" si="8"/>
        <v>0</v>
      </c>
      <c r="Y289" s="1">
        <f t="shared" si="9"/>
        <v>15</v>
      </c>
    </row>
    <row r="290" spans="24:25" x14ac:dyDescent="0.3">
      <c r="X290" s="1">
        <f t="shared" si="8"/>
        <v>0</v>
      </c>
      <c r="Y290" s="1">
        <f t="shared" si="9"/>
        <v>15</v>
      </c>
    </row>
    <row r="291" spans="24:25" x14ac:dyDescent="0.3">
      <c r="X291" s="1">
        <f t="shared" si="8"/>
        <v>0</v>
      </c>
      <c r="Y291" s="1">
        <f t="shared" si="9"/>
        <v>15</v>
      </c>
    </row>
    <row r="292" spans="24:25" x14ac:dyDescent="0.3">
      <c r="X292" s="1">
        <f t="shared" si="8"/>
        <v>0</v>
      </c>
      <c r="Y292" s="1">
        <f t="shared" si="9"/>
        <v>15</v>
      </c>
    </row>
    <row r="293" spans="24:25" x14ac:dyDescent="0.3">
      <c r="X293" s="1">
        <f t="shared" si="8"/>
        <v>0</v>
      </c>
      <c r="Y293" s="1">
        <f t="shared" si="9"/>
        <v>15</v>
      </c>
    </row>
    <row r="294" spans="24:25" x14ac:dyDescent="0.3">
      <c r="X294" s="1">
        <f t="shared" si="8"/>
        <v>0</v>
      </c>
      <c r="Y294" s="1">
        <f t="shared" si="9"/>
        <v>15</v>
      </c>
    </row>
    <row r="295" spans="24:25" x14ac:dyDescent="0.3">
      <c r="X295" s="1">
        <f t="shared" si="8"/>
        <v>0</v>
      </c>
      <c r="Y295" s="1">
        <f t="shared" si="9"/>
        <v>15</v>
      </c>
    </row>
    <row r="296" spans="24:25" x14ac:dyDescent="0.3">
      <c r="X296" s="1">
        <f t="shared" si="8"/>
        <v>0</v>
      </c>
      <c r="Y296" s="1">
        <f t="shared" si="9"/>
        <v>15</v>
      </c>
    </row>
    <row r="297" spans="24:25" x14ac:dyDescent="0.3">
      <c r="X297" s="1">
        <f t="shared" si="8"/>
        <v>0</v>
      </c>
      <c r="Y297" s="1">
        <f t="shared" si="9"/>
        <v>15</v>
      </c>
    </row>
    <row r="298" spans="24:25" x14ac:dyDescent="0.3">
      <c r="X298" s="1">
        <f t="shared" si="8"/>
        <v>0</v>
      </c>
      <c r="Y298" s="1">
        <f t="shared" si="9"/>
        <v>15</v>
      </c>
    </row>
    <row r="299" spans="24:25" x14ac:dyDescent="0.3">
      <c r="X299" s="1">
        <f t="shared" si="8"/>
        <v>0</v>
      </c>
      <c r="Y299" s="1">
        <f t="shared" si="9"/>
        <v>15</v>
      </c>
    </row>
    <row r="300" spans="24:25" x14ac:dyDescent="0.3">
      <c r="X300" s="1">
        <f t="shared" si="8"/>
        <v>0</v>
      </c>
      <c r="Y300" s="1">
        <f t="shared" si="9"/>
        <v>15</v>
      </c>
    </row>
    <row r="301" spans="24:25" x14ac:dyDescent="0.3">
      <c r="X301" s="1">
        <f t="shared" si="8"/>
        <v>0</v>
      </c>
      <c r="Y301" s="1">
        <f t="shared" si="9"/>
        <v>15</v>
      </c>
    </row>
    <row r="302" spans="24:25" x14ac:dyDescent="0.3">
      <c r="X302" s="1">
        <f t="shared" si="8"/>
        <v>0</v>
      </c>
      <c r="Y302" s="1">
        <f t="shared" si="9"/>
        <v>15</v>
      </c>
    </row>
    <row r="303" spans="24:25" x14ac:dyDescent="0.3">
      <c r="X303" s="1">
        <f t="shared" si="8"/>
        <v>0</v>
      </c>
      <c r="Y303" s="1">
        <f t="shared" si="9"/>
        <v>15</v>
      </c>
    </row>
    <row r="304" spans="24:25" x14ac:dyDescent="0.3">
      <c r="X304" s="1">
        <f t="shared" si="8"/>
        <v>0</v>
      </c>
      <c r="Y304" s="1">
        <f t="shared" si="9"/>
        <v>15</v>
      </c>
    </row>
    <row r="305" spans="24:25" x14ac:dyDescent="0.3">
      <c r="X305" s="1">
        <f t="shared" si="8"/>
        <v>0</v>
      </c>
      <c r="Y305" s="1">
        <f t="shared" si="9"/>
        <v>15</v>
      </c>
    </row>
    <row r="306" spans="24:25" x14ac:dyDescent="0.3">
      <c r="X306" s="1">
        <f t="shared" si="8"/>
        <v>0</v>
      </c>
      <c r="Y306" s="1">
        <f t="shared" si="9"/>
        <v>15</v>
      </c>
    </row>
    <row r="307" spans="24:25" x14ac:dyDescent="0.3">
      <c r="X307" s="1">
        <f t="shared" si="8"/>
        <v>0</v>
      </c>
      <c r="Y307" s="1">
        <f t="shared" si="9"/>
        <v>15</v>
      </c>
    </row>
    <row r="308" spans="24:25" x14ac:dyDescent="0.3">
      <c r="X308" s="1">
        <f t="shared" si="8"/>
        <v>0</v>
      </c>
      <c r="Y308" s="1">
        <f t="shared" si="9"/>
        <v>15</v>
      </c>
    </row>
    <row r="309" spans="24:25" x14ac:dyDescent="0.3">
      <c r="X309" s="1">
        <f t="shared" si="8"/>
        <v>0</v>
      </c>
      <c r="Y309" s="1">
        <f t="shared" si="9"/>
        <v>15</v>
      </c>
    </row>
    <row r="310" spans="24:25" x14ac:dyDescent="0.3">
      <c r="X310" s="1">
        <f t="shared" si="8"/>
        <v>0</v>
      </c>
      <c r="Y310" s="1">
        <f t="shared" si="9"/>
        <v>15</v>
      </c>
    </row>
    <row r="311" spans="24:25" x14ac:dyDescent="0.3">
      <c r="X311" s="1">
        <f t="shared" si="8"/>
        <v>0</v>
      </c>
      <c r="Y311" s="1">
        <f t="shared" si="9"/>
        <v>15</v>
      </c>
    </row>
    <row r="312" spans="24:25" x14ac:dyDescent="0.3">
      <c r="X312" s="1">
        <f t="shared" si="8"/>
        <v>0</v>
      </c>
      <c r="Y312" s="1">
        <f t="shared" si="9"/>
        <v>15</v>
      </c>
    </row>
    <row r="313" spans="24:25" x14ac:dyDescent="0.3">
      <c r="X313" s="1">
        <f t="shared" si="8"/>
        <v>0</v>
      </c>
      <c r="Y313" s="1">
        <f t="shared" si="9"/>
        <v>15</v>
      </c>
    </row>
    <row r="314" spans="24:25" x14ac:dyDescent="0.3">
      <c r="X314" s="1">
        <f t="shared" si="8"/>
        <v>0</v>
      </c>
      <c r="Y314" s="1">
        <f t="shared" si="9"/>
        <v>15</v>
      </c>
    </row>
    <row r="315" spans="24:25" x14ac:dyDescent="0.3">
      <c r="X315" s="1">
        <f t="shared" si="8"/>
        <v>0</v>
      </c>
      <c r="Y315" s="1">
        <f t="shared" si="9"/>
        <v>15</v>
      </c>
    </row>
    <row r="316" spans="24:25" x14ac:dyDescent="0.3">
      <c r="X316" s="1">
        <f t="shared" si="8"/>
        <v>0</v>
      </c>
      <c r="Y316" s="1">
        <f t="shared" si="9"/>
        <v>15</v>
      </c>
    </row>
    <row r="317" spans="24:25" x14ac:dyDescent="0.3">
      <c r="X317" s="1">
        <f t="shared" si="8"/>
        <v>0</v>
      </c>
      <c r="Y317" s="1">
        <f t="shared" si="9"/>
        <v>15</v>
      </c>
    </row>
    <row r="318" spans="24:25" x14ac:dyDescent="0.3">
      <c r="X318" s="1">
        <f t="shared" si="8"/>
        <v>0</v>
      </c>
      <c r="Y318" s="1">
        <f t="shared" si="9"/>
        <v>15</v>
      </c>
    </row>
    <row r="319" spans="24:25" x14ac:dyDescent="0.3">
      <c r="X319" s="1">
        <f t="shared" si="8"/>
        <v>0</v>
      </c>
      <c r="Y319" s="1">
        <f t="shared" si="9"/>
        <v>15</v>
      </c>
    </row>
    <row r="320" spans="24:25" x14ac:dyDescent="0.3">
      <c r="X320" s="1">
        <f t="shared" si="8"/>
        <v>0</v>
      </c>
      <c r="Y320" s="1">
        <f t="shared" si="9"/>
        <v>15</v>
      </c>
    </row>
    <row r="321" spans="24:25" x14ac:dyDescent="0.3">
      <c r="X321" s="1">
        <f t="shared" si="8"/>
        <v>0</v>
      </c>
      <c r="Y321" s="1">
        <f t="shared" si="9"/>
        <v>15</v>
      </c>
    </row>
    <row r="322" spans="24:25" x14ac:dyDescent="0.3">
      <c r="X322" s="1">
        <f t="shared" si="8"/>
        <v>0</v>
      </c>
      <c r="Y322" s="1">
        <f t="shared" si="9"/>
        <v>15</v>
      </c>
    </row>
    <row r="323" spans="24:25" x14ac:dyDescent="0.3">
      <c r="X323" s="1">
        <f t="shared" ref="X323:X386" si="10">IFERROR(MATCH(W323,$B:$B,0),0)</f>
        <v>0</v>
      </c>
      <c r="Y323" s="1">
        <f t="shared" ref="Y323:Y386" si="11">IF(X324=0,COUNTA(A:A),X324-1)</f>
        <v>15</v>
      </c>
    </row>
    <row r="324" spans="24:25" x14ac:dyDescent="0.3">
      <c r="X324" s="1">
        <f t="shared" si="10"/>
        <v>0</v>
      </c>
      <c r="Y324" s="1">
        <f t="shared" si="11"/>
        <v>15</v>
      </c>
    </row>
    <row r="325" spans="24:25" x14ac:dyDescent="0.3">
      <c r="X325" s="1">
        <f t="shared" si="10"/>
        <v>0</v>
      </c>
      <c r="Y325" s="1">
        <f t="shared" si="11"/>
        <v>15</v>
      </c>
    </row>
    <row r="326" spans="24:25" x14ac:dyDescent="0.3">
      <c r="X326" s="1">
        <f t="shared" si="10"/>
        <v>0</v>
      </c>
      <c r="Y326" s="1">
        <f t="shared" si="11"/>
        <v>15</v>
      </c>
    </row>
    <row r="327" spans="24:25" x14ac:dyDescent="0.3">
      <c r="X327" s="1">
        <f t="shared" si="10"/>
        <v>0</v>
      </c>
      <c r="Y327" s="1">
        <f t="shared" si="11"/>
        <v>15</v>
      </c>
    </row>
    <row r="328" spans="24:25" x14ac:dyDescent="0.3">
      <c r="X328" s="1">
        <f t="shared" si="10"/>
        <v>0</v>
      </c>
      <c r="Y328" s="1">
        <f t="shared" si="11"/>
        <v>15</v>
      </c>
    </row>
    <row r="329" spans="24:25" x14ac:dyDescent="0.3">
      <c r="X329" s="1">
        <f t="shared" si="10"/>
        <v>0</v>
      </c>
      <c r="Y329" s="1">
        <f t="shared" si="11"/>
        <v>15</v>
      </c>
    </row>
    <row r="330" spans="24:25" x14ac:dyDescent="0.3">
      <c r="X330" s="1">
        <f t="shared" si="10"/>
        <v>0</v>
      </c>
      <c r="Y330" s="1">
        <f t="shared" si="11"/>
        <v>15</v>
      </c>
    </row>
    <row r="331" spans="24:25" x14ac:dyDescent="0.3">
      <c r="X331" s="1">
        <f t="shared" si="10"/>
        <v>0</v>
      </c>
      <c r="Y331" s="1">
        <f t="shared" si="11"/>
        <v>15</v>
      </c>
    </row>
    <row r="332" spans="24:25" x14ac:dyDescent="0.3">
      <c r="X332" s="1">
        <f t="shared" si="10"/>
        <v>0</v>
      </c>
      <c r="Y332" s="1">
        <f t="shared" si="11"/>
        <v>15</v>
      </c>
    </row>
    <row r="333" spans="24:25" x14ac:dyDescent="0.3">
      <c r="X333" s="1">
        <f t="shared" si="10"/>
        <v>0</v>
      </c>
      <c r="Y333" s="1">
        <f t="shared" si="11"/>
        <v>15</v>
      </c>
    </row>
    <row r="334" spans="24:25" x14ac:dyDescent="0.3">
      <c r="X334" s="1">
        <f t="shared" si="10"/>
        <v>0</v>
      </c>
      <c r="Y334" s="1">
        <f t="shared" si="11"/>
        <v>15</v>
      </c>
    </row>
    <row r="335" spans="24:25" x14ac:dyDescent="0.3">
      <c r="X335" s="1">
        <f t="shared" si="10"/>
        <v>0</v>
      </c>
      <c r="Y335" s="1">
        <f t="shared" si="11"/>
        <v>15</v>
      </c>
    </row>
    <row r="336" spans="24:25" x14ac:dyDescent="0.3">
      <c r="X336" s="1">
        <f t="shared" si="10"/>
        <v>0</v>
      </c>
      <c r="Y336" s="1">
        <f t="shared" si="11"/>
        <v>15</v>
      </c>
    </row>
    <row r="337" spans="24:25" x14ac:dyDescent="0.3">
      <c r="X337" s="1">
        <f t="shared" si="10"/>
        <v>0</v>
      </c>
      <c r="Y337" s="1">
        <f t="shared" si="11"/>
        <v>15</v>
      </c>
    </row>
    <row r="338" spans="24:25" x14ac:dyDescent="0.3">
      <c r="X338" s="1">
        <f t="shared" si="10"/>
        <v>0</v>
      </c>
      <c r="Y338" s="1">
        <f t="shared" si="11"/>
        <v>15</v>
      </c>
    </row>
    <row r="339" spans="24:25" x14ac:dyDescent="0.3">
      <c r="X339" s="1">
        <f t="shared" si="10"/>
        <v>0</v>
      </c>
      <c r="Y339" s="1">
        <f t="shared" si="11"/>
        <v>15</v>
      </c>
    </row>
    <row r="340" spans="24:25" x14ac:dyDescent="0.3">
      <c r="X340" s="1">
        <f t="shared" si="10"/>
        <v>0</v>
      </c>
      <c r="Y340" s="1">
        <f t="shared" si="11"/>
        <v>15</v>
      </c>
    </row>
    <row r="341" spans="24:25" x14ac:dyDescent="0.3">
      <c r="X341" s="1">
        <f t="shared" si="10"/>
        <v>0</v>
      </c>
      <c r="Y341" s="1">
        <f t="shared" si="11"/>
        <v>15</v>
      </c>
    </row>
    <row r="342" spans="24:25" x14ac:dyDescent="0.3">
      <c r="X342" s="1">
        <f t="shared" si="10"/>
        <v>0</v>
      </c>
      <c r="Y342" s="1">
        <f t="shared" si="11"/>
        <v>15</v>
      </c>
    </row>
    <row r="343" spans="24:25" x14ac:dyDescent="0.3">
      <c r="X343" s="1">
        <f t="shared" si="10"/>
        <v>0</v>
      </c>
      <c r="Y343" s="1">
        <f t="shared" si="11"/>
        <v>15</v>
      </c>
    </row>
    <row r="344" spans="24:25" x14ac:dyDescent="0.3">
      <c r="X344" s="1">
        <f t="shared" si="10"/>
        <v>0</v>
      </c>
      <c r="Y344" s="1">
        <f t="shared" si="11"/>
        <v>15</v>
      </c>
    </row>
    <row r="345" spans="24:25" x14ac:dyDescent="0.3">
      <c r="X345" s="1">
        <f t="shared" si="10"/>
        <v>0</v>
      </c>
      <c r="Y345" s="1">
        <f t="shared" si="11"/>
        <v>15</v>
      </c>
    </row>
    <row r="346" spans="24:25" x14ac:dyDescent="0.3">
      <c r="X346" s="1">
        <f t="shared" si="10"/>
        <v>0</v>
      </c>
      <c r="Y346" s="1">
        <f t="shared" si="11"/>
        <v>15</v>
      </c>
    </row>
    <row r="347" spans="24:25" x14ac:dyDescent="0.3">
      <c r="X347" s="1">
        <f t="shared" si="10"/>
        <v>0</v>
      </c>
      <c r="Y347" s="1">
        <f t="shared" si="11"/>
        <v>15</v>
      </c>
    </row>
    <row r="348" spans="24:25" x14ac:dyDescent="0.3">
      <c r="X348" s="1">
        <f t="shared" si="10"/>
        <v>0</v>
      </c>
      <c r="Y348" s="1">
        <f t="shared" si="11"/>
        <v>15</v>
      </c>
    </row>
    <row r="349" spans="24:25" x14ac:dyDescent="0.3">
      <c r="X349" s="1">
        <f t="shared" si="10"/>
        <v>0</v>
      </c>
      <c r="Y349" s="1">
        <f t="shared" si="11"/>
        <v>15</v>
      </c>
    </row>
    <row r="350" spans="24:25" x14ac:dyDescent="0.3">
      <c r="X350" s="1">
        <f t="shared" si="10"/>
        <v>0</v>
      </c>
      <c r="Y350" s="1">
        <f t="shared" si="11"/>
        <v>15</v>
      </c>
    </row>
    <row r="351" spans="24:25" x14ac:dyDescent="0.3">
      <c r="X351" s="1">
        <f t="shared" si="10"/>
        <v>0</v>
      </c>
      <c r="Y351" s="1">
        <f t="shared" si="11"/>
        <v>15</v>
      </c>
    </row>
    <row r="352" spans="24:25" x14ac:dyDescent="0.3">
      <c r="X352" s="1">
        <f t="shared" si="10"/>
        <v>0</v>
      </c>
      <c r="Y352" s="1">
        <f t="shared" si="11"/>
        <v>15</v>
      </c>
    </row>
    <row r="353" spans="24:25" x14ac:dyDescent="0.3">
      <c r="X353" s="1">
        <f t="shared" si="10"/>
        <v>0</v>
      </c>
      <c r="Y353" s="1">
        <f t="shared" si="11"/>
        <v>15</v>
      </c>
    </row>
    <row r="354" spans="24:25" x14ac:dyDescent="0.3">
      <c r="X354" s="1">
        <f t="shared" si="10"/>
        <v>0</v>
      </c>
      <c r="Y354" s="1">
        <f t="shared" si="11"/>
        <v>15</v>
      </c>
    </row>
    <row r="355" spans="24:25" x14ac:dyDescent="0.3">
      <c r="X355" s="1">
        <f t="shared" si="10"/>
        <v>0</v>
      </c>
      <c r="Y355" s="1">
        <f t="shared" si="11"/>
        <v>15</v>
      </c>
    </row>
    <row r="356" spans="24:25" x14ac:dyDescent="0.3">
      <c r="X356" s="1">
        <f t="shared" si="10"/>
        <v>0</v>
      </c>
      <c r="Y356" s="1">
        <f t="shared" si="11"/>
        <v>15</v>
      </c>
    </row>
    <row r="357" spans="24:25" x14ac:dyDescent="0.3">
      <c r="X357" s="1">
        <f t="shared" si="10"/>
        <v>0</v>
      </c>
      <c r="Y357" s="1">
        <f t="shared" si="11"/>
        <v>15</v>
      </c>
    </row>
    <row r="358" spans="24:25" x14ac:dyDescent="0.3">
      <c r="X358" s="1">
        <f t="shared" si="10"/>
        <v>0</v>
      </c>
      <c r="Y358" s="1">
        <f t="shared" si="11"/>
        <v>15</v>
      </c>
    </row>
    <row r="359" spans="24:25" x14ac:dyDescent="0.3">
      <c r="X359" s="1">
        <f t="shared" si="10"/>
        <v>0</v>
      </c>
      <c r="Y359" s="1">
        <f t="shared" si="11"/>
        <v>15</v>
      </c>
    </row>
    <row r="360" spans="24:25" x14ac:dyDescent="0.3">
      <c r="X360" s="1">
        <f t="shared" si="10"/>
        <v>0</v>
      </c>
      <c r="Y360" s="1">
        <f t="shared" si="11"/>
        <v>15</v>
      </c>
    </row>
    <row r="361" spans="24:25" x14ac:dyDescent="0.3">
      <c r="X361" s="1">
        <f t="shared" si="10"/>
        <v>0</v>
      </c>
      <c r="Y361" s="1">
        <f t="shared" si="11"/>
        <v>15</v>
      </c>
    </row>
    <row r="362" spans="24:25" x14ac:dyDescent="0.3">
      <c r="X362" s="1">
        <f t="shared" si="10"/>
        <v>0</v>
      </c>
      <c r="Y362" s="1">
        <f t="shared" si="11"/>
        <v>15</v>
      </c>
    </row>
    <row r="363" spans="24:25" x14ac:dyDescent="0.3">
      <c r="X363" s="1">
        <f t="shared" si="10"/>
        <v>0</v>
      </c>
      <c r="Y363" s="1">
        <f t="shared" si="11"/>
        <v>15</v>
      </c>
    </row>
    <row r="364" spans="24:25" x14ac:dyDescent="0.3">
      <c r="X364" s="1">
        <f t="shared" si="10"/>
        <v>0</v>
      </c>
      <c r="Y364" s="1">
        <f t="shared" si="11"/>
        <v>15</v>
      </c>
    </row>
    <row r="365" spans="24:25" x14ac:dyDescent="0.3">
      <c r="X365" s="1">
        <f t="shared" si="10"/>
        <v>0</v>
      </c>
      <c r="Y365" s="1">
        <f t="shared" si="11"/>
        <v>15</v>
      </c>
    </row>
    <row r="366" spans="24:25" x14ac:dyDescent="0.3">
      <c r="X366" s="1">
        <f t="shared" si="10"/>
        <v>0</v>
      </c>
      <c r="Y366" s="1">
        <f t="shared" si="11"/>
        <v>15</v>
      </c>
    </row>
    <row r="367" spans="24:25" x14ac:dyDescent="0.3">
      <c r="X367" s="1">
        <f t="shared" si="10"/>
        <v>0</v>
      </c>
      <c r="Y367" s="1">
        <f t="shared" si="11"/>
        <v>15</v>
      </c>
    </row>
    <row r="368" spans="24:25" x14ac:dyDescent="0.3">
      <c r="X368" s="1">
        <f t="shared" si="10"/>
        <v>0</v>
      </c>
      <c r="Y368" s="1">
        <f t="shared" si="11"/>
        <v>15</v>
      </c>
    </row>
    <row r="369" spans="24:25" x14ac:dyDescent="0.3">
      <c r="X369" s="1">
        <f t="shared" si="10"/>
        <v>0</v>
      </c>
      <c r="Y369" s="1">
        <f t="shared" si="11"/>
        <v>15</v>
      </c>
    </row>
    <row r="370" spans="24:25" x14ac:dyDescent="0.3">
      <c r="X370" s="1">
        <f t="shared" si="10"/>
        <v>0</v>
      </c>
      <c r="Y370" s="1">
        <f t="shared" si="11"/>
        <v>15</v>
      </c>
    </row>
    <row r="371" spans="24:25" x14ac:dyDescent="0.3">
      <c r="X371" s="1">
        <f t="shared" si="10"/>
        <v>0</v>
      </c>
      <c r="Y371" s="1">
        <f t="shared" si="11"/>
        <v>15</v>
      </c>
    </row>
    <row r="372" spans="24:25" x14ac:dyDescent="0.3">
      <c r="X372" s="1">
        <f t="shared" si="10"/>
        <v>0</v>
      </c>
      <c r="Y372" s="1">
        <f t="shared" si="11"/>
        <v>15</v>
      </c>
    </row>
    <row r="373" spans="24:25" x14ac:dyDescent="0.3">
      <c r="X373" s="1">
        <f t="shared" si="10"/>
        <v>0</v>
      </c>
      <c r="Y373" s="1">
        <f t="shared" si="11"/>
        <v>15</v>
      </c>
    </row>
    <row r="374" spans="24:25" x14ac:dyDescent="0.3">
      <c r="X374" s="1">
        <f t="shared" si="10"/>
        <v>0</v>
      </c>
      <c r="Y374" s="1">
        <f t="shared" si="11"/>
        <v>15</v>
      </c>
    </row>
    <row r="375" spans="24:25" x14ac:dyDescent="0.3">
      <c r="X375" s="1">
        <f t="shared" si="10"/>
        <v>0</v>
      </c>
      <c r="Y375" s="1">
        <f t="shared" si="11"/>
        <v>15</v>
      </c>
    </row>
    <row r="376" spans="24:25" x14ac:dyDescent="0.3">
      <c r="X376" s="1">
        <f t="shared" si="10"/>
        <v>0</v>
      </c>
      <c r="Y376" s="1">
        <f t="shared" si="11"/>
        <v>15</v>
      </c>
    </row>
    <row r="377" spans="24:25" x14ac:dyDescent="0.3">
      <c r="X377" s="1">
        <f t="shared" si="10"/>
        <v>0</v>
      </c>
      <c r="Y377" s="1">
        <f t="shared" si="11"/>
        <v>15</v>
      </c>
    </row>
    <row r="378" spans="24:25" x14ac:dyDescent="0.3">
      <c r="X378" s="1">
        <f t="shared" si="10"/>
        <v>0</v>
      </c>
      <c r="Y378" s="1">
        <f t="shared" si="11"/>
        <v>15</v>
      </c>
    </row>
    <row r="379" spans="24:25" x14ac:dyDescent="0.3">
      <c r="X379" s="1">
        <f t="shared" si="10"/>
        <v>0</v>
      </c>
      <c r="Y379" s="1">
        <f t="shared" si="11"/>
        <v>15</v>
      </c>
    </row>
    <row r="380" spans="24:25" x14ac:dyDescent="0.3">
      <c r="X380" s="1">
        <f t="shared" si="10"/>
        <v>0</v>
      </c>
      <c r="Y380" s="1">
        <f t="shared" si="11"/>
        <v>15</v>
      </c>
    </row>
    <row r="381" spans="24:25" x14ac:dyDescent="0.3">
      <c r="X381" s="1">
        <f t="shared" si="10"/>
        <v>0</v>
      </c>
      <c r="Y381" s="1">
        <f t="shared" si="11"/>
        <v>15</v>
      </c>
    </row>
    <row r="382" spans="24:25" x14ac:dyDescent="0.3">
      <c r="X382" s="1">
        <f t="shared" si="10"/>
        <v>0</v>
      </c>
      <c r="Y382" s="1">
        <f t="shared" si="11"/>
        <v>15</v>
      </c>
    </row>
    <row r="383" spans="24:25" x14ac:dyDescent="0.3">
      <c r="X383" s="1">
        <f t="shared" si="10"/>
        <v>0</v>
      </c>
      <c r="Y383" s="1">
        <f t="shared" si="11"/>
        <v>15</v>
      </c>
    </row>
    <row r="384" spans="24:25" x14ac:dyDescent="0.3">
      <c r="X384" s="1">
        <f t="shared" si="10"/>
        <v>0</v>
      </c>
      <c r="Y384" s="1">
        <f t="shared" si="11"/>
        <v>15</v>
      </c>
    </row>
    <row r="385" spans="24:25" x14ac:dyDescent="0.3">
      <c r="X385" s="1">
        <f t="shared" si="10"/>
        <v>0</v>
      </c>
      <c r="Y385" s="1">
        <f t="shared" si="11"/>
        <v>15</v>
      </c>
    </row>
    <row r="386" spans="24:25" x14ac:dyDescent="0.3">
      <c r="X386" s="1">
        <f t="shared" si="10"/>
        <v>0</v>
      </c>
      <c r="Y386" s="1">
        <f t="shared" si="11"/>
        <v>15</v>
      </c>
    </row>
    <row r="387" spans="24:25" x14ac:dyDescent="0.3">
      <c r="X387" s="1">
        <f t="shared" ref="X387:X450" si="12">IFERROR(MATCH(W387,$B:$B,0),0)</f>
        <v>0</v>
      </c>
      <c r="Y387" s="1">
        <f t="shared" ref="Y387:Y450" si="13">IF(X388=0,COUNTA(A:A),X388-1)</f>
        <v>15</v>
      </c>
    </row>
    <row r="388" spans="24:25" x14ac:dyDescent="0.3">
      <c r="X388" s="1">
        <f t="shared" si="12"/>
        <v>0</v>
      </c>
      <c r="Y388" s="1">
        <f t="shared" si="13"/>
        <v>15</v>
      </c>
    </row>
    <row r="389" spans="24:25" x14ac:dyDescent="0.3">
      <c r="X389" s="1">
        <f t="shared" si="12"/>
        <v>0</v>
      </c>
      <c r="Y389" s="1">
        <f t="shared" si="13"/>
        <v>15</v>
      </c>
    </row>
    <row r="390" spans="24:25" x14ac:dyDescent="0.3">
      <c r="X390" s="1">
        <f t="shared" si="12"/>
        <v>0</v>
      </c>
      <c r="Y390" s="1">
        <f t="shared" si="13"/>
        <v>15</v>
      </c>
    </row>
    <row r="391" spans="24:25" x14ac:dyDescent="0.3">
      <c r="X391" s="1">
        <f t="shared" si="12"/>
        <v>0</v>
      </c>
      <c r="Y391" s="1">
        <f t="shared" si="13"/>
        <v>15</v>
      </c>
    </row>
    <row r="392" spans="24:25" x14ac:dyDescent="0.3">
      <c r="X392" s="1">
        <f t="shared" si="12"/>
        <v>0</v>
      </c>
      <c r="Y392" s="1">
        <f t="shared" si="13"/>
        <v>15</v>
      </c>
    </row>
    <row r="393" spans="24:25" x14ac:dyDescent="0.3">
      <c r="X393" s="1">
        <f t="shared" si="12"/>
        <v>0</v>
      </c>
      <c r="Y393" s="1">
        <f t="shared" si="13"/>
        <v>15</v>
      </c>
    </row>
    <row r="394" spans="24:25" x14ac:dyDescent="0.3">
      <c r="X394" s="1">
        <f t="shared" si="12"/>
        <v>0</v>
      </c>
      <c r="Y394" s="1">
        <f t="shared" si="13"/>
        <v>15</v>
      </c>
    </row>
    <row r="395" spans="24:25" x14ac:dyDescent="0.3">
      <c r="X395" s="1">
        <f t="shared" si="12"/>
        <v>0</v>
      </c>
      <c r="Y395" s="1">
        <f t="shared" si="13"/>
        <v>15</v>
      </c>
    </row>
    <row r="396" spans="24:25" x14ac:dyDescent="0.3">
      <c r="X396" s="1">
        <f t="shared" si="12"/>
        <v>0</v>
      </c>
      <c r="Y396" s="1">
        <f t="shared" si="13"/>
        <v>15</v>
      </c>
    </row>
    <row r="397" spans="24:25" x14ac:dyDescent="0.3">
      <c r="X397" s="1">
        <f t="shared" si="12"/>
        <v>0</v>
      </c>
      <c r="Y397" s="1">
        <f t="shared" si="13"/>
        <v>15</v>
      </c>
    </row>
    <row r="398" spans="24:25" x14ac:dyDescent="0.3">
      <c r="X398" s="1">
        <f t="shared" si="12"/>
        <v>0</v>
      </c>
      <c r="Y398" s="1">
        <f t="shared" si="13"/>
        <v>15</v>
      </c>
    </row>
    <row r="399" spans="24:25" x14ac:dyDescent="0.3">
      <c r="X399" s="1">
        <f t="shared" si="12"/>
        <v>0</v>
      </c>
      <c r="Y399" s="1">
        <f t="shared" si="13"/>
        <v>15</v>
      </c>
    </row>
    <row r="400" spans="24:25" x14ac:dyDescent="0.3">
      <c r="X400" s="1">
        <f t="shared" si="12"/>
        <v>0</v>
      </c>
      <c r="Y400" s="1">
        <f t="shared" si="13"/>
        <v>15</v>
      </c>
    </row>
    <row r="401" spans="24:25" x14ac:dyDescent="0.3">
      <c r="X401" s="1">
        <f t="shared" si="12"/>
        <v>0</v>
      </c>
      <c r="Y401" s="1">
        <f t="shared" si="13"/>
        <v>15</v>
      </c>
    </row>
    <row r="402" spans="24:25" x14ac:dyDescent="0.3">
      <c r="X402" s="1">
        <f t="shared" si="12"/>
        <v>0</v>
      </c>
      <c r="Y402" s="1">
        <f t="shared" si="13"/>
        <v>15</v>
      </c>
    </row>
    <row r="403" spans="24:25" x14ac:dyDescent="0.3">
      <c r="X403" s="1">
        <f t="shared" si="12"/>
        <v>0</v>
      </c>
      <c r="Y403" s="1">
        <f t="shared" si="13"/>
        <v>15</v>
      </c>
    </row>
    <row r="404" spans="24:25" x14ac:dyDescent="0.3">
      <c r="X404" s="1">
        <f t="shared" si="12"/>
        <v>0</v>
      </c>
      <c r="Y404" s="1">
        <f t="shared" si="13"/>
        <v>15</v>
      </c>
    </row>
    <row r="405" spans="24:25" x14ac:dyDescent="0.3">
      <c r="X405" s="1">
        <f t="shared" si="12"/>
        <v>0</v>
      </c>
      <c r="Y405" s="1">
        <f t="shared" si="13"/>
        <v>15</v>
      </c>
    </row>
    <row r="406" spans="24:25" x14ac:dyDescent="0.3">
      <c r="X406" s="1">
        <f t="shared" si="12"/>
        <v>0</v>
      </c>
      <c r="Y406" s="1">
        <f t="shared" si="13"/>
        <v>15</v>
      </c>
    </row>
    <row r="407" spans="24:25" x14ac:dyDescent="0.3">
      <c r="X407" s="1">
        <f t="shared" si="12"/>
        <v>0</v>
      </c>
      <c r="Y407" s="1">
        <f t="shared" si="13"/>
        <v>15</v>
      </c>
    </row>
    <row r="408" spans="24:25" x14ac:dyDescent="0.3">
      <c r="X408" s="1">
        <f t="shared" si="12"/>
        <v>0</v>
      </c>
      <c r="Y408" s="1">
        <f t="shared" si="13"/>
        <v>15</v>
      </c>
    </row>
    <row r="409" spans="24:25" x14ac:dyDescent="0.3">
      <c r="X409" s="1">
        <f t="shared" si="12"/>
        <v>0</v>
      </c>
      <c r="Y409" s="1">
        <f t="shared" si="13"/>
        <v>15</v>
      </c>
    </row>
    <row r="410" spans="24:25" x14ac:dyDescent="0.3">
      <c r="X410" s="1">
        <f t="shared" si="12"/>
        <v>0</v>
      </c>
      <c r="Y410" s="1">
        <f t="shared" si="13"/>
        <v>15</v>
      </c>
    </row>
    <row r="411" spans="24:25" x14ac:dyDescent="0.3">
      <c r="X411" s="1">
        <f t="shared" si="12"/>
        <v>0</v>
      </c>
      <c r="Y411" s="1">
        <f t="shared" si="13"/>
        <v>15</v>
      </c>
    </row>
    <row r="412" spans="24:25" x14ac:dyDescent="0.3">
      <c r="X412" s="1">
        <f t="shared" si="12"/>
        <v>0</v>
      </c>
      <c r="Y412" s="1">
        <f t="shared" si="13"/>
        <v>15</v>
      </c>
    </row>
    <row r="413" spans="24:25" x14ac:dyDescent="0.3">
      <c r="X413" s="1">
        <f t="shared" si="12"/>
        <v>0</v>
      </c>
      <c r="Y413" s="1">
        <f t="shared" si="13"/>
        <v>15</v>
      </c>
    </row>
    <row r="414" spans="24:25" x14ac:dyDescent="0.3">
      <c r="X414" s="1">
        <f t="shared" si="12"/>
        <v>0</v>
      </c>
      <c r="Y414" s="1">
        <f t="shared" si="13"/>
        <v>15</v>
      </c>
    </row>
    <row r="415" spans="24:25" x14ac:dyDescent="0.3">
      <c r="X415" s="1">
        <f t="shared" si="12"/>
        <v>0</v>
      </c>
      <c r="Y415" s="1">
        <f t="shared" si="13"/>
        <v>15</v>
      </c>
    </row>
    <row r="416" spans="24:25" x14ac:dyDescent="0.3">
      <c r="X416" s="1">
        <f t="shared" si="12"/>
        <v>0</v>
      </c>
      <c r="Y416" s="1">
        <f t="shared" si="13"/>
        <v>15</v>
      </c>
    </row>
    <row r="417" spans="24:25" x14ac:dyDescent="0.3">
      <c r="X417" s="1">
        <f t="shared" si="12"/>
        <v>0</v>
      </c>
      <c r="Y417" s="1">
        <f t="shared" si="13"/>
        <v>15</v>
      </c>
    </row>
    <row r="418" spans="24:25" x14ac:dyDescent="0.3">
      <c r="X418" s="1">
        <f t="shared" si="12"/>
        <v>0</v>
      </c>
      <c r="Y418" s="1">
        <f t="shared" si="13"/>
        <v>15</v>
      </c>
    </row>
    <row r="419" spans="24:25" x14ac:dyDescent="0.3">
      <c r="X419" s="1">
        <f t="shared" si="12"/>
        <v>0</v>
      </c>
      <c r="Y419" s="1">
        <f t="shared" si="13"/>
        <v>15</v>
      </c>
    </row>
    <row r="420" spans="24:25" x14ac:dyDescent="0.3">
      <c r="X420" s="1">
        <f t="shared" si="12"/>
        <v>0</v>
      </c>
      <c r="Y420" s="1">
        <f t="shared" si="13"/>
        <v>15</v>
      </c>
    </row>
    <row r="421" spans="24:25" x14ac:dyDescent="0.3">
      <c r="X421" s="1">
        <f t="shared" si="12"/>
        <v>0</v>
      </c>
      <c r="Y421" s="1">
        <f t="shared" si="13"/>
        <v>15</v>
      </c>
    </row>
    <row r="422" spans="24:25" x14ac:dyDescent="0.3">
      <c r="X422" s="1">
        <f t="shared" si="12"/>
        <v>0</v>
      </c>
      <c r="Y422" s="1">
        <f t="shared" si="13"/>
        <v>15</v>
      </c>
    </row>
    <row r="423" spans="24:25" x14ac:dyDescent="0.3">
      <c r="X423" s="1">
        <f t="shared" si="12"/>
        <v>0</v>
      </c>
      <c r="Y423" s="1">
        <f t="shared" si="13"/>
        <v>15</v>
      </c>
    </row>
    <row r="424" spans="24:25" x14ac:dyDescent="0.3">
      <c r="X424" s="1">
        <f t="shared" si="12"/>
        <v>0</v>
      </c>
      <c r="Y424" s="1">
        <f t="shared" si="13"/>
        <v>15</v>
      </c>
    </row>
    <row r="425" spans="24:25" x14ac:dyDescent="0.3">
      <c r="X425" s="1">
        <f t="shared" si="12"/>
        <v>0</v>
      </c>
      <c r="Y425" s="1">
        <f t="shared" si="13"/>
        <v>15</v>
      </c>
    </row>
    <row r="426" spans="24:25" x14ac:dyDescent="0.3">
      <c r="X426" s="1">
        <f t="shared" si="12"/>
        <v>0</v>
      </c>
      <c r="Y426" s="1">
        <f t="shared" si="13"/>
        <v>15</v>
      </c>
    </row>
    <row r="427" spans="24:25" x14ac:dyDescent="0.3">
      <c r="X427" s="1">
        <f t="shared" si="12"/>
        <v>0</v>
      </c>
      <c r="Y427" s="1">
        <f t="shared" si="13"/>
        <v>15</v>
      </c>
    </row>
    <row r="428" spans="24:25" x14ac:dyDescent="0.3">
      <c r="X428" s="1">
        <f t="shared" si="12"/>
        <v>0</v>
      </c>
      <c r="Y428" s="1">
        <f t="shared" si="13"/>
        <v>15</v>
      </c>
    </row>
    <row r="429" spans="24:25" x14ac:dyDescent="0.3">
      <c r="X429" s="1">
        <f t="shared" si="12"/>
        <v>0</v>
      </c>
      <c r="Y429" s="1">
        <f t="shared" si="13"/>
        <v>15</v>
      </c>
    </row>
    <row r="430" spans="24:25" x14ac:dyDescent="0.3">
      <c r="X430" s="1">
        <f t="shared" si="12"/>
        <v>0</v>
      </c>
      <c r="Y430" s="1">
        <f t="shared" si="13"/>
        <v>15</v>
      </c>
    </row>
    <row r="431" spans="24:25" x14ac:dyDescent="0.3">
      <c r="X431" s="1">
        <f t="shared" si="12"/>
        <v>0</v>
      </c>
      <c r="Y431" s="1">
        <f t="shared" si="13"/>
        <v>15</v>
      </c>
    </row>
    <row r="432" spans="24:25" x14ac:dyDescent="0.3">
      <c r="X432" s="1">
        <f t="shared" si="12"/>
        <v>0</v>
      </c>
      <c r="Y432" s="1">
        <f t="shared" si="13"/>
        <v>15</v>
      </c>
    </row>
    <row r="433" spans="24:25" x14ac:dyDescent="0.3">
      <c r="X433" s="1">
        <f t="shared" si="12"/>
        <v>0</v>
      </c>
      <c r="Y433" s="1">
        <f t="shared" si="13"/>
        <v>15</v>
      </c>
    </row>
    <row r="434" spans="24:25" x14ac:dyDescent="0.3">
      <c r="X434" s="1">
        <f t="shared" si="12"/>
        <v>0</v>
      </c>
      <c r="Y434" s="1">
        <f t="shared" si="13"/>
        <v>15</v>
      </c>
    </row>
    <row r="435" spans="24:25" x14ac:dyDescent="0.3">
      <c r="X435" s="1">
        <f t="shared" si="12"/>
        <v>0</v>
      </c>
      <c r="Y435" s="1">
        <f t="shared" si="13"/>
        <v>15</v>
      </c>
    </row>
    <row r="436" spans="24:25" x14ac:dyDescent="0.3">
      <c r="X436" s="1">
        <f t="shared" si="12"/>
        <v>0</v>
      </c>
      <c r="Y436" s="1">
        <f t="shared" si="13"/>
        <v>15</v>
      </c>
    </row>
    <row r="437" spans="24:25" x14ac:dyDescent="0.3">
      <c r="X437" s="1">
        <f t="shared" si="12"/>
        <v>0</v>
      </c>
      <c r="Y437" s="1">
        <f t="shared" si="13"/>
        <v>15</v>
      </c>
    </row>
    <row r="438" spans="24:25" x14ac:dyDescent="0.3">
      <c r="X438" s="1">
        <f t="shared" si="12"/>
        <v>0</v>
      </c>
      <c r="Y438" s="1">
        <f t="shared" si="13"/>
        <v>15</v>
      </c>
    </row>
    <row r="439" spans="24:25" x14ac:dyDescent="0.3">
      <c r="X439" s="1">
        <f t="shared" si="12"/>
        <v>0</v>
      </c>
      <c r="Y439" s="1">
        <f t="shared" si="13"/>
        <v>15</v>
      </c>
    </row>
    <row r="440" spans="24:25" x14ac:dyDescent="0.3">
      <c r="X440" s="1">
        <f t="shared" si="12"/>
        <v>0</v>
      </c>
      <c r="Y440" s="1">
        <f t="shared" si="13"/>
        <v>15</v>
      </c>
    </row>
    <row r="441" spans="24:25" x14ac:dyDescent="0.3">
      <c r="X441" s="1">
        <f t="shared" si="12"/>
        <v>0</v>
      </c>
      <c r="Y441" s="1">
        <f t="shared" si="13"/>
        <v>15</v>
      </c>
    </row>
    <row r="442" spans="24:25" x14ac:dyDescent="0.3">
      <c r="X442" s="1">
        <f t="shared" si="12"/>
        <v>0</v>
      </c>
      <c r="Y442" s="1">
        <f t="shared" si="13"/>
        <v>15</v>
      </c>
    </row>
    <row r="443" spans="24:25" x14ac:dyDescent="0.3">
      <c r="X443" s="1">
        <f t="shared" si="12"/>
        <v>0</v>
      </c>
      <c r="Y443" s="1">
        <f t="shared" si="13"/>
        <v>15</v>
      </c>
    </row>
    <row r="444" spans="24:25" x14ac:dyDescent="0.3">
      <c r="X444" s="1">
        <f t="shared" si="12"/>
        <v>0</v>
      </c>
      <c r="Y444" s="1">
        <f t="shared" si="13"/>
        <v>15</v>
      </c>
    </row>
    <row r="445" spans="24:25" x14ac:dyDescent="0.3">
      <c r="X445" s="1">
        <f t="shared" si="12"/>
        <v>0</v>
      </c>
      <c r="Y445" s="1">
        <f t="shared" si="13"/>
        <v>15</v>
      </c>
    </row>
    <row r="446" spans="24:25" x14ac:dyDescent="0.3">
      <c r="X446" s="1">
        <f t="shared" si="12"/>
        <v>0</v>
      </c>
      <c r="Y446" s="1">
        <f t="shared" si="13"/>
        <v>15</v>
      </c>
    </row>
    <row r="447" spans="24:25" x14ac:dyDescent="0.3">
      <c r="X447" s="1">
        <f t="shared" si="12"/>
        <v>0</v>
      </c>
      <c r="Y447" s="1">
        <f t="shared" si="13"/>
        <v>15</v>
      </c>
    </row>
    <row r="448" spans="24:25" x14ac:dyDescent="0.3">
      <c r="X448" s="1">
        <f t="shared" si="12"/>
        <v>0</v>
      </c>
      <c r="Y448" s="1">
        <f t="shared" si="13"/>
        <v>15</v>
      </c>
    </row>
    <row r="449" spans="24:25" x14ac:dyDescent="0.3">
      <c r="X449" s="1">
        <f t="shared" si="12"/>
        <v>0</v>
      </c>
      <c r="Y449" s="1">
        <f t="shared" si="13"/>
        <v>15</v>
      </c>
    </row>
    <row r="450" spans="24:25" x14ac:dyDescent="0.3">
      <c r="X450" s="1">
        <f t="shared" si="12"/>
        <v>0</v>
      </c>
      <c r="Y450" s="1">
        <f t="shared" si="13"/>
        <v>15</v>
      </c>
    </row>
    <row r="451" spans="24:25" x14ac:dyDescent="0.3">
      <c r="X451" s="1">
        <f t="shared" ref="X451:X514" si="14">IFERROR(MATCH(W451,$B:$B,0),0)</f>
        <v>0</v>
      </c>
      <c r="Y451" s="1">
        <f t="shared" ref="Y451:Y514" si="15">IF(X452=0,COUNTA(A:A),X452-1)</f>
        <v>15</v>
      </c>
    </row>
    <row r="452" spans="24:25" x14ac:dyDescent="0.3">
      <c r="X452" s="1">
        <f t="shared" si="14"/>
        <v>0</v>
      </c>
      <c r="Y452" s="1">
        <f t="shared" si="15"/>
        <v>15</v>
      </c>
    </row>
    <row r="453" spans="24:25" x14ac:dyDescent="0.3">
      <c r="X453" s="1">
        <f t="shared" si="14"/>
        <v>0</v>
      </c>
      <c r="Y453" s="1">
        <f t="shared" si="15"/>
        <v>15</v>
      </c>
    </row>
    <row r="454" spans="24:25" x14ac:dyDescent="0.3">
      <c r="X454" s="1">
        <f t="shared" si="14"/>
        <v>0</v>
      </c>
      <c r="Y454" s="1">
        <f t="shared" si="15"/>
        <v>15</v>
      </c>
    </row>
    <row r="455" spans="24:25" x14ac:dyDescent="0.3">
      <c r="X455" s="1">
        <f t="shared" si="14"/>
        <v>0</v>
      </c>
      <c r="Y455" s="1">
        <f t="shared" si="15"/>
        <v>15</v>
      </c>
    </row>
    <row r="456" spans="24:25" x14ac:dyDescent="0.3">
      <c r="X456" s="1">
        <f t="shared" si="14"/>
        <v>0</v>
      </c>
      <c r="Y456" s="1">
        <f t="shared" si="15"/>
        <v>15</v>
      </c>
    </row>
    <row r="457" spans="24:25" x14ac:dyDescent="0.3">
      <c r="X457" s="1">
        <f t="shared" si="14"/>
        <v>0</v>
      </c>
      <c r="Y457" s="1">
        <f t="shared" si="15"/>
        <v>15</v>
      </c>
    </row>
    <row r="458" spans="24:25" x14ac:dyDescent="0.3">
      <c r="X458" s="1">
        <f t="shared" si="14"/>
        <v>0</v>
      </c>
      <c r="Y458" s="1">
        <f t="shared" si="15"/>
        <v>15</v>
      </c>
    </row>
    <row r="459" spans="24:25" x14ac:dyDescent="0.3">
      <c r="X459" s="1">
        <f t="shared" si="14"/>
        <v>0</v>
      </c>
      <c r="Y459" s="1">
        <f t="shared" si="15"/>
        <v>15</v>
      </c>
    </row>
    <row r="460" spans="24:25" x14ac:dyDescent="0.3">
      <c r="X460" s="1">
        <f t="shared" si="14"/>
        <v>0</v>
      </c>
      <c r="Y460" s="1">
        <f t="shared" si="15"/>
        <v>15</v>
      </c>
    </row>
    <row r="461" spans="24:25" x14ac:dyDescent="0.3">
      <c r="X461" s="1">
        <f t="shared" si="14"/>
        <v>0</v>
      </c>
      <c r="Y461" s="1">
        <f t="shared" si="15"/>
        <v>15</v>
      </c>
    </row>
    <row r="462" spans="24:25" x14ac:dyDescent="0.3">
      <c r="X462" s="1">
        <f t="shared" si="14"/>
        <v>0</v>
      </c>
      <c r="Y462" s="1">
        <f t="shared" si="15"/>
        <v>15</v>
      </c>
    </row>
    <row r="463" spans="24:25" x14ac:dyDescent="0.3">
      <c r="X463" s="1">
        <f t="shared" si="14"/>
        <v>0</v>
      </c>
      <c r="Y463" s="1">
        <f t="shared" si="15"/>
        <v>15</v>
      </c>
    </row>
    <row r="464" spans="24:25" x14ac:dyDescent="0.3">
      <c r="X464" s="1">
        <f t="shared" si="14"/>
        <v>0</v>
      </c>
      <c r="Y464" s="1">
        <f t="shared" si="15"/>
        <v>15</v>
      </c>
    </row>
    <row r="465" spans="24:25" x14ac:dyDescent="0.3">
      <c r="X465" s="1">
        <f t="shared" si="14"/>
        <v>0</v>
      </c>
      <c r="Y465" s="1">
        <f t="shared" si="15"/>
        <v>15</v>
      </c>
    </row>
    <row r="466" spans="24:25" x14ac:dyDescent="0.3">
      <c r="X466" s="1">
        <f t="shared" si="14"/>
        <v>0</v>
      </c>
      <c r="Y466" s="1">
        <f t="shared" si="15"/>
        <v>15</v>
      </c>
    </row>
    <row r="467" spans="24:25" x14ac:dyDescent="0.3">
      <c r="X467" s="1">
        <f t="shared" si="14"/>
        <v>0</v>
      </c>
      <c r="Y467" s="1">
        <f t="shared" si="15"/>
        <v>15</v>
      </c>
    </row>
    <row r="468" spans="24:25" x14ac:dyDescent="0.3">
      <c r="X468" s="1">
        <f t="shared" si="14"/>
        <v>0</v>
      </c>
      <c r="Y468" s="1">
        <f t="shared" si="15"/>
        <v>15</v>
      </c>
    </row>
    <row r="469" spans="24:25" x14ac:dyDescent="0.3">
      <c r="X469" s="1">
        <f t="shared" si="14"/>
        <v>0</v>
      </c>
      <c r="Y469" s="1">
        <f t="shared" si="15"/>
        <v>15</v>
      </c>
    </row>
    <row r="470" spans="24:25" x14ac:dyDescent="0.3">
      <c r="X470" s="1">
        <f t="shared" si="14"/>
        <v>0</v>
      </c>
      <c r="Y470" s="1">
        <f t="shared" si="15"/>
        <v>15</v>
      </c>
    </row>
    <row r="471" spans="24:25" x14ac:dyDescent="0.3">
      <c r="X471" s="1">
        <f t="shared" si="14"/>
        <v>0</v>
      </c>
      <c r="Y471" s="1">
        <f t="shared" si="15"/>
        <v>15</v>
      </c>
    </row>
    <row r="472" spans="24:25" x14ac:dyDescent="0.3">
      <c r="X472" s="1">
        <f t="shared" si="14"/>
        <v>0</v>
      </c>
      <c r="Y472" s="1">
        <f t="shared" si="15"/>
        <v>15</v>
      </c>
    </row>
    <row r="473" spans="24:25" x14ac:dyDescent="0.3">
      <c r="X473" s="1">
        <f t="shared" si="14"/>
        <v>0</v>
      </c>
      <c r="Y473" s="1">
        <f t="shared" si="15"/>
        <v>15</v>
      </c>
    </row>
    <row r="474" spans="24:25" x14ac:dyDescent="0.3">
      <c r="X474" s="1">
        <f t="shared" si="14"/>
        <v>0</v>
      </c>
      <c r="Y474" s="1">
        <f t="shared" si="15"/>
        <v>15</v>
      </c>
    </row>
    <row r="475" spans="24:25" x14ac:dyDescent="0.3">
      <c r="X475" s="1">
        <f t="shared" si="14"/>
        <v>0</v>
      </c>
      <c r="Y475" s="1">
        <f t="shared" si="15"/>
        <v>15</v>
      </c>
    </row>
    <row r="476" spans="24:25" x14ac:dyDescent="0.3">
      <c r="X476" s="1">
        <f t="shared" si="14"/>
        <v>0</v>
      </c>
      <c r="Y476" s="1">
        <f t="shared" si="15"/>
        <v>15</v>
      </c>
    </row>
    <row r="477" spans="24:25" x14ac:dyDescent="0.3">
      <c r="X477" s="1">
        <f t="shared" si="14"/>
        <v>0</v>
      </c>
      <c r="Y477" s="1">
        <f t="shared" si="15"/>
        <v>15</v>
      </c>
    </row>
    <row r="478" spans="24:25" x14ac:dyDescent="0.3">
      <c r="X478" s="1">
        <f t="shared" si="14"/>
        <v>0</v>
      </c>
      <c r="Y478" s="1">
        <f t="shared" si="15"/>
        <v>15</v>
      </c>
    </row>
    <row r="479" spans="24:25" x14ac:dyDescent="0.3">
      <c r="X479" s="1">
        <f t="shared" si="14"/>
        <v>0</v>
      </c>
      <c r="Y479" s="1">
        <f t="shared" si="15"/>
        <v>15</v>
      </c>
    </row>
    <row r="480" spans="24:25" x14ac:dyDescent="0.3">
      <c r="X480" s="1">
        <f t="shared" si="14"/>
        <v>0</v>
      </c>
      <c r="Y480" s="1">
        <f t="shared" si="15"/>
        <v>15</v>
      </c>
    </row>
    <row r="481" spans="24:25" x14ac:dyDescent="0.3">
      <c r="X481" s="1">
        <f t="shared" si="14"/>
        <v>0</v>
      </c>
      <c r="Y481" s="1">
        <f t="shared" si="15"/>
        <v>15</v>
      </c>
    </row>
    <row r="482" spans="24:25" x14ac:dyDescent="0.3">
      <c r="X482" s="1">
        <f t="shared" si="14"/>
        <v>0</v>
      </c>
      <c r="Y482" s="1">
        <f t="shared" si="15"/>
        <v>15</v>
      </c>
    </row>
    <row r="483" spans="24:25" x14ac:dyDescent="0.3">
      <c r="X483" s="1">
        <f t="shared" si="14"/>
        <v>0</v>
      </c>
      <c r="Y483" s="1">
        <f t="shared" si="15"/>
        <v>15</v>
      </c>
    </row>
    <row r="484" spans="24:25" x14ac:dyDescent="0.3">
      <c r="X484" s="1">
        <f t="shared" si="14"/>
        <v>0</v>
      </c>
      <c r="Y484" s="1">
        <f t="shared" si="15"/>
        <v>15</v>
      </c>
    </row>
    <row r="485" spans="24:25" x14ac:dyDescent="0.3">
      <c r="X485" s="1">
        <f t="shared" si="14"/>
        <v>0</v>
      </c>
      <c r="Y485" s="1">
        <f t="shared" si="15"/>
        <v>15</v>
      </c>
    </row>
    <row r="486" spans="24:25" x14ac:dyDescent="0.3">
      <c r="X486" s="1">
        <f t="shared" si="14"/>
        <v>0</v>
      </c>
      <c r="Y486" s="1">
        <f t="shared" si="15"/>
        <v>15</v>
      </c>
    </row>
    <row r="487" spans="24:25" x14ac:dyDescent="0.3">
      <c r="X487" s="1">
        <f t="shared" si="14"/>
        <v>0</v>
      </c>
      <c r="Y487" s="1">
        <f t="shared" si="15"/>
        <v>15</v>
      </c>
    </row>
    <row r="488" spans="24:25" x14ac:dyDescent="0.3">
      <c r="X488" s="1">
        <f t="shared" si="14"/>
        <v>0</v>
      </c>
      <c r="Y488" s="1">
        <f t="shared" si="15"/>
        <v>15</v>
      </c>
    </row>
    <row r="489" spans="24:25" x14ac:dyDescent="0.3">
      <c r="X489" s="1">
        <f t="shared" si="14"/>
        <v>0</v>
      </c>
      <c r="Y489" s="1">
        <f t="shared" si="15"/>
        <v>15</v>
      </c>
    </row>
    <row r="490" spans="24:25" x14ac:dyDescent="0.3">
      <c r="X490" s="1">
        <f t="shared" si="14"/>
        <v>0</v>
      </c>
      <c r="Y490" s="1">
        <f t="shared" si="15"/>
        <v>15</v>
      </c>
    </row>
    <row r="491" spans="24:25" x14ac:dyDescent="0.3">
      <c r="X491" s="1">
        <f t="shared" si="14"/>
        <v>0</v>
      </c>
      <c r="Y491" s="1">
        <f t="shared" si="15"/>
        <v>15</v>
      </c>
    </row>
    <row r="492" spans="24:25" x14ac:dyDescent="0.3">
      <c r="X492" s="1">
        <f t="shared" si="14"/>
        <v>0</v>
      </c>
      <c r="Y492" s="1">
        <f t="shared" si="15"/>
        <v>15</v>
      </c>
    </row>
    <row r="493" spans="24:25" x14ac:dyDescent="0.3">
      <c r="X493" s="1">
        <f t="shared" si="14"/>
        <v>0</v>
      </c>
      <c r="Y493" s="1">
        <f t="shared" si="15"/>
        <v>15</v>
      </c>
    </row>
    <row r="494" spans="24:25" x14ac:dyDescent="0.3">
      <c r="X494" s="1">
        <f t="shared" si="14"/>
        <v>0</v>
      </c>
      <c r="Y494" s="1">
        <f t="shared" si="15"/>
        <v>15</v>
      </c>
    </row>
    <row r="495" spans="24:25" x14ac:dyDescent="0.3">
      <c r="X495" s="1">
        <f t="shared" si="14"/>
        <v>0</v>
      </c>
      <c r="Y495" s="1">
        <f t="shared" si="15"/>
        <v>15</v>
      </c>
    </row>
    <row r="496" spans="24:25" x14ac:dyDescent="0.3">
      <c r="X496" s="1">
        <f t="shared" si="14"/>
        <v>0</v>
      </c>
      <c r="Y496" s="1">
        <f t="shared" si="15"/>
        <v>15</v>
      </c>
    </row>
    <row r="497" spans="24:25" x14ac:dyDescent="0.3">
      <c r="X497" s="1">
        <f t="shared" si="14"/>
        <v>0</v>
      </c>
      <c r="Y497" s="1">
        <f t="shared" si="15"/>
        <v>15</v>
      </c>
    </row>
    <row r="498" spans="24:25" x14ac:dyDescent="0.3">
      <c r="X498" s="1">
        <f t="shared" si="14"/>
        <v>0</v>
      </c>
      <c r="Y498" s="1">
        <f t="shared" si="15"/>
        <v>15</v>
      </c>
    </row>
    <row r="499" spans="24:25" x14ac:dyDescent="0.3">
      <c r="X499" s="1">
        <f t="shared" si="14"/>
        <v>0</v>
      </c>
      <c r="Y499" s="1">
        <f t="shared" si="15"/>
        <v>15</v>
      </c>
    </row>
    <row r="500" spans="24:25" x14ac:dyDescent="0.3">
      <c r="X500" s="1">
        <f t="shared" si="14"/>
        <v>0</v>
      </c>
      <c r="Y500" s="1">
        <f t="shared" si="15"/>
        <v>15</v>
      </c>
    </row>
    <row r="501" spans="24:25" x14ac:dyDescent="0.3">
      <c r="X501" s="1">
        <f t="shared" si="14"/>
        <v>0</v>
      </c>
      <c r="Y501" s="1">
        <f t="shared" si="15"/>
        <v>15</v>
      </c>
    </row>
    <row r="502" spans="24:25" x14ac:dyDescent="0.3">
      <c r="X502" s="1">
        <f t="shared" si="14"/>
        <v>0</v>
      </c>
      <c r="Y502" s="1">
        <f t="shared" si="15"/>
        <v>15</v>
      </c>
    </row>
    <row r="503" spans="24:25" x14ac:dyDescent="0.3">
      <c r="X503" s="1">
        <f t="shared" si="14"/>
        <v>0</v>
      </c>
      <c r="Y503" s="1">
        <f t="shared" si="15"/>
        <v>15</v>
      </c>
    </row>
    <row r="504" spans="24:25" x14ac:dyDescent="0.3">
      <c r="X504" s="1">
        <f t="shared" si="14"/>
        <v>0</v>
      </c>
      <c r="Y504" s="1">
        <f t="shared" si="15"/>
        <v>15</v>
      </c>
    </row>
    <row r="505" spans="24:25" x14ac:dyDescent="0.3">
      <c r="X505" s="1">
        <f t="shared" si="14"/>
        <v>0</v>
      </c>
      <c r="Y505" s="1">
        <f t="shared" si="15"/>
        <v>15</v>
      </c>
    </row>
    <row r="506" spans="24:25" x14ac:dyDescent="0.3">
      <c r="X506" s="1">
        <f t="shared" si="14"/>
        <v>0</v>
      </c>
      <c r="Y506" s="1">
        <f t="shared" si="15"/>
        <v>15</v>
      </c>
    </row>
    <row r="507" spans="24:25" x14ac:dyDescent="0.3">
      <c r="X507" s="1">
        <f t="shared" si="14"/>
        <v>0</v>
      </c>
      <c r="Y507" s="1">
        <f t="shared" si="15"/>
        <v>15</v>
      </c>
    </row>
    <row r="508" spans="24:25" x14ac:dyDescent="0.3">
      <c r="X508" s="1">
        <f t="shared" si="14"/>
        <v>0</v>
      </c>
      <c r="Y508" s="1">
        <f t="shared" si="15"/>
        <v>15</v>
      </c>
    </row>
    <row r="509" spans="24:25" x14ac:dyDescent="0.3">
      <c r="X509" s="1">
        <f t="shared" si="14"/>
        <v>0</v>
      </c>
      <c r="Y509" s="1">
        <f t="shared" si="15"/>
        <v>15</v>
      </c>
    </row>
    <row r="510" spans="24:25" x14ac:dyDescent="0.3">
      <c r="X510" s="1">
        <f t="shared" si="14"/>
        <v>0</v>
      </c>
      <c r="Y510" s="1">
        <f t="shared" si="15"/>
        <v>15</v>
      </c>
    </row>
    <row r="511" spans="24:25" x14ac:dyDescent="0.3">
      <c r="X511" s="1">
        <f t="shared" si="14"/>
        <v>0</v>
      </c>
      <c r="Y511" s="1">
        <f t="shared" si="15"/>
        <v>15</v>
      </c>
    </row>
    <row r="512" spans="24:25" x14ac:dyDescent="0.3">
      <c r="X512" s="1">
        <f t="shared" si="14"/>
        <v>0</v>
      </c>
      <c r="Y512" s="1">
        <f t="shared" si="15"/>
        <v>15</v>
      </c>
    </row>
    <row r="513" spans="24:25" x14ac:dyDescent="0.3">
      <c r="X513" s="1">
        <f t="shared" si="14"/>
        <v>0</v>
      </c>
      <c r="Y513" s="1">
        <f t="shared" si="15"/>
        <v>15</v>
      </c>
    </row>
    <row r="514" spans="24:25" x14ac:dyDescent="0.3">
      <c r="X514" s="1">
        <f t="shared" si="14"/>
        <v>0</v>
      </c>
      <c r="Y514" s="1">
        <f t="shared" si="15"/>
        <v>15</v>
      </c>
    </row>
    <row r="515" spans="24:25" x14ac:dyDescent="0.3">
      <c r="X515" s="1">
        <f t="shared" ref="X515:X578" si="16">IFERROR(MATCH(W515,$B:$B,0),0)</f>
        <v>0</v>
      </c>
      <c r="Y515" s="1">
        <f t="shared" ref="Y515:Y578" si="17">IF(X516=0,COUNTA(A:A),X516-1)</f>
        <v>15</v>
      </c>
    </row>
    <row r="516" spans="24:25" x14ac:dyDescent="0.3">
      <c r="X516" s="1">
        <f t="shared" si="16"/>
        <v>0</v>
      </c>
      <c r="Y516" s="1">
        <f t="shared" si="17"/>
        <v>15</v>
      </c>
    </row>
    <row r="517" spans="24:25" x14ac:dyDescent="0.3">
      <c r="X517" s="1">
        <f t="shared" si="16"/>
        <v>0</v>
      </c>
      <c r="Y517" s="1">
        <f t="shared" si="17"/>
        <v>15</v>
      </c>
    </row>
    <row r="518" spans="24:25" x14ac:dyDescent="0.3">
      <c r="X518" s="1">
        <f t="shared" si="16"/>
        <v>0</v>
      </c>
      <c r="Y518" s="1">
        <f t="shared" si="17"/>
        <v>15</v>
      </c>
    </row>
    <row r="519" spans="24:25" x14ac:dyDescent="0.3">
      <c r="X519" s="1">
        <f t="shared" si="16"/>
        <v>0</v>
      </c>
      <c r="Y519" s="1">
        <f t="shared" si="17"/>
        <v>15</v>
      </c>
    </row>
    <row r="520" spans="24:25" x14ac:dyDescent="0.3">
      <c r="X520" s="1">
        <f t="shared" si="16"/>
        <v>0</v>
      </c>
      <c r="Y520" s="1">
        <f t="shared" si="17"/>
        <v>15</v>
      </c>
    </row>
    <row r="521" spans="24:25" x14ac:dyDescent="0.3">
      <c r="X521" s="1">
        <f t="shared" si="16"/>
        <v>0</v>
      </c>
      <c r="Y521" s="1">
        <f t="shared" si="17"/>
        <v>15</v>
      </c>
    </row>
    <row r="522" spans="24:25" x14ac:dyDescent="0.3">
      <c r="X522" s="1">
        <f t="shared" si="16"/>
        <v>0</v>
      </c>
      <c r="Y522" s="1">
        <f t="shared" si="17"/>
        <v>15</v>
      </c>
    </row>
    <row r="523" spans="24:25" x14ac:dyDescent="0.3">
      <c r="X523" s="1">
        <f t="shared" si="16"/>
        <v>0</v>
      </c>
      <c r="Y523" s="1">
        <f t="shared" si="17"/>
        <v>15</v>
      </c>
    </row>
    <row r="524" spans="24:25" x14ac:dyDescent="0.3">
      <c r="X524" s="1">
        <f t="shared" si="16"/>
        <v>0</v>
      </c>
      <c r="Y524" s="1">
        <f t="shared" si="17"/>
        <v>15</v>
      </c>
    </row>
    <row r="525" spans="24:25" x14ac:dyDescent="0.3">
      <c r="X525" s="1">
        <f t="shared" si="16"/>
        <v>0</v>
      </c>
      <c r="Y525" s="1">
        <f t="shared" si="17"/>
        <v>15</v>
      </c>
    </row>
    <row r="526" spans="24:25" x14ac:dyDescent="0.3">
      <c r="X526" s="1">
        <f t="shared" si="16"/>
        <v>0</v>
      </c>
      <c r="Y526" s="1">
        <f t="shared" si="17"/>
        <v>15</v>
      </c>
    </row>
    <row r="527" spans="24:25" x14ac:dyDescent="0.3">
      <c r="X527" s="1">
        <f t="shared" si="16"/>
        <v>0</v>
      </c>
      <c r="Y527" s="1">
        <f t="shared" si="17"/>
        <v>15</v>
      </c>
    </row>
    <row r="528" spans="24:25" x14ac:dyDescent="0.3">
      <c r="X528" s="1">
        <f t="shared" si="16"/>
        <v>0</v>
      </c>
      <c r="Y528" s="1">
        <f t="shared" si="17"/>
        <v>15</v>
      </c>
    </row>
    <row r="529" spans="24:25" x14ac:dyDescent="0.3">
      <c r="X529" s="1">
        <f t="shared" si="16"/>
        <v>0</v>
      </c>
      <c r="Y529" s="1">
        <f t="shared" si="17"/>
        <v>15</v>
      </c>
    </row>
    <row r="530" spans="24:25" x14ac:dyDescent="0.3">
      <c r="X530" s="1">
        <f t="shared" si="16"/>
        <v>0</v>
      </c>
      <c r="Y530" s="1">
        <f t="shared" si="17"/>
        <v>15</v>
      </c>
    </row>
    <row r="531" spans="24:25" x14ac:dyDescent="0.3">
      <c r="X531" s="1">
        <f t="shared" si="16"/>
        <v>0</v>
      </c>
      <c r="Y531" s="1">
        <f t="shared" si="17"/>
        <v>15</v>
      </c>
    </row>
    <row r="532" spans="24:25" x14ac:dyDescent="0.3">
      <c r="X532" s="1">
        <f t="shared" si="16"/>
        <v>0</v>
      </c>
      <c r="Y532" s="1">
        <f t="shared" si="17"/>
        <v>15</v>
      </c>
    </row>
    <row r="533" spans="24:25" x14ac:dyDescent="0.3">
      <c r="X533" s="1">
        <f t="shared" si="16"/>
        <v>0</v>
      </c>
      <c r="Y533" s="1">
        <f t="shared" si="17"/>
        <v>15</v>
      </c>
    </row>
    <row r="534" spans="24:25" x14ac:dyDescent="0.3">
      <c r="X534" s="1">
        <f t="shared" si="16"/>
        <v>0</v>
      </c>
      <c r="Y534" s="1">
        <f t="shared" si="17"/>
        <v>15</v>
      </c>
    </row>
    <row r="535" spans="24:25" x14ac:dyDescent="0.3">
      <c r="X535" s="1">
        <f t="shared" si="16"/>
        <v>0</v>
      </c>
      <c r="Y535" s="1">
        <f t="shared" si="17"/>
        <v>15</v>
      </c>
    </row>
    <row r="536" spans="24:25" x14ac:dyDescent="0.3">
      <c r="X536" s="1">
        <f t="shared" si="16"/>
        <v>0</v>
      </c>
      <c r="Y536" s="1">
        <f t="shared" si="17"/>
        <v>15</v>
      </c>
    </row>
    <row r="537" spans="24:25" x14ac:dyDescent="0.3">
      <c r="X537" s="1">
        <f t="shared" si="16"/>
        <v>0</v>
      </c>
      <c r="Y537" s="1">
        <f t="shared" si="17"/>
        <v>15</v>
      </c>
    </row>
    <row r="538" spans="24:25" x14ac:dyDescent="0.3">
      <c r="X538" s="1">
        <f t="shared" si="16"/>
        <v>0</v>
      </c>
      <c r="Y538" s="1">
        <f t="shared" si="17"/>
        <v>15</v>
      </c>
    </row>
    <row r="539" spans="24:25" x14ac:dyDescent="0.3">
      <c r="X539" s="1">
        <f t="shared" si="16"/>
        <v>0</v>
      </c>
      <c r="Y539" s="1">
        <f t="shared" si="17"/>
        <v>15</v>
      </c>
    </row>
    <row r="540" spans="24:25" x14ac:dyDescent="0.3">
      <c r="X540" s="1">
        <f t="shared" si="16"/>
        <v>0</v>
      </c>
      <c r="Y540" s="1">
        <f t="shared" si="17"/>
        <v>15</v>
      </c>
    </row>
    <row r="541" spans="24:25" x14ac:dyDescent="0.3">
      <c r="X541" s="1">
        <f t="shared" si="16"/>
        <v>0</v>
      </c>
      <c r="Y541" s="1">
        <f t="shared" si="17"/>
        <v>15</v>
      </c>
    </row>
    <row r="542" spans="24:25" x14ac:dyDescent="0.3">
      <c r="X542" s="1">
        <f t="shared" si="16"/>
        <v>0</v>
      </c>
      <c r="Y542" s="1">
        <f t="shared" si="17"/>
        <v>15</v>
      </c>
    </row>
    <row r="543" spans="24:25" x14ac:dyDescent="0.3">
      <c r="X543" s="1">
        <f t="shared" si="16"/>
        <v>0</v>
      </c>
      <c r="Y543" s="1">
        <f t="shared" si="17"/>
        <v>15</v>
      </c>
    </row>
    <row r="544" spans="24:25" x14ac:dyDescent="0.3">
      <c r="X544" s="1">
        <f t="shared" si="16"/>
        <v>0</v>
      </c>
      <c r="Y544" s="1">
        <f t="shared" si="17"/>
        <v>15</v>
      </c>
    </row>
    <row r="545" spans="24:25" x14ac:dyDescent="0.3">
      <c r="X545" s="1">
        <f t="shared" si="16"/>
        <v>0</v>
      </c>
      <c r="Y545" s="1">
        <f t="shared" si="17"/>
        <v>15</v>
      </c>
    </row>
    <row r="546" spans="24:25" x14ac:dyDescent="0.3">
      <c r="X546" s="1">
        <f t="shared" si="16"/>
        <v>0</v>
      </c>
      <c r="Y546" s="1">
        <f t="shared" si="17"/>
        <v>15</v>
      </c>
    </row>
    <row r="547" spans="24:25" x14ac:dyDescent="0.3">
      <c r="X547" s="1">
        <f t="shared" si="16"/>
        <v>0</v>
      </c>
      <c r="Y547" s="1">
        <f t="shared" si="17"/>
        <v>15</v>
      </c>
    </row>
    <row r="548" spans="24:25" x14ac:dyDescent="0.3">
      <c r="X548" s="1">
        <f t="shared" si="16"/>
        <v>0</v>
      </c>
      <c r="Y548" s="1">
        <f t="shared" si="17"/>
        <v>15</v>
      </c>
    </row>
    <row r="549" spans="24:25" x14ac:dyDescent="0.3">
      <c r="X549" s="1">
        <f t="shared" si="16"/>
        <v>0</v>
      </c>
      <c r="Y549" s="1">
        <f t="shared" si="17"/>
        <v>15</v>
      </c>
    </row>
    <row r="550" spans="24:25" x14ac:dyDescent="0.3">
      <c r="X550" s="1">
        <f t="shared" si="16"/>
        <v>0</v>
      </c>
      <c r="Y550" s="1">
        <f t="shared" si="17"/>
        <v>15</v>
      </c>
    </row>
    <row r="551" spans="24:25" x14ac:dyDescent="0.3">
      <c r="X551" s="1">
        <f t="shared" si="16"/>
        <v>0</v>
      </c>
      <c r="Y551" s="1">
        <f t="shared" si="17"/>
        <v>15</v>
      </c>
    </row>
    <row r="552" spans="24:25" x14ac:dyDescent="0.3">
      <c r="X552" s="1">
        <f t="shared" si="16"/>
        <v>0</v>
      </c>
      <c r="Y552" s="1">
        <f t="shared" si="17"/>
        <v>15</v>
      </c>
    </row>
    <row r="553" spans="24:25" x14ac:dyDescent="0.3">
      <c r="X553" s="1">
        <f t="shared" si="16"/>
        <v>0</v>
      </c>
      <c r="Y553" s="1">
        <f t="shared" si="17"/>
        <v>15</v>
      </c>
    </row>
    <row r="554" spans="24:25" x14ac:dyDescent="0.3">
      <c r="X554" s="1">
        <f t="shared" si="16"/>
        <v>0</v>
      </c>
      <c r="Y554" s="1">
        <f t="shared" si="17"/>
        <v>15</v>
      </c>
    </row>
    <row r="555" spans="24:25" x14ac:dyDescent="0.3">
      <c r="X555" s="1">
        <f t="shared" si="16"/>
        <v>0</v>
      </c>
      <c r="Y555" s="1">
        <f t="shared" si="17"/>
        <v>15</v>
      </c>
    </row>
    <row r="556" spans="24:25" x14ac:dyDescent="0.3">
      <c r="X556" s="1">
        <f t="shared" si="16"/>
        <v>0</v>
      </c>
      <c r="Y556" s="1">
        <f t="shared" si="17"/>
        <v>15</v>
      </c>
    </row>
    <row r="557" spans="24:25" x14ac:dyDescent="0.3">
      <c r="X557" s="1">
        <f t="shared" si="16"/>
        <v>0</v>
      </c>
      <c r="Y557" s="1">
        <f t="shared" si="17"/>
        <v>15</v>
      </c>
    </row>
    <row r="558" spans="24:25" x14ac:dyDescent="0.3">
      <c r="X558" s="1">
        <f t="shared" si="16"/>
        <v>0</v>
      </c>
      <c r="Y558" s="1">
        <f t="shared" si="17"/>
        <v>15</v>
      </c>
    </row>
    <row r="559" spans="24:25" x14ac:dyDescent="0.3">
      <c r="X559" s="1">
        <f t="shared" si="16"/>
        <v>0</v>
      </c>
      <c r="Y559" s="1">
        <f t="shared" si="17"/>
        <v>15</v>
      </c>
    </row>
    <row r="560" spans="24:25" x14ac:dyDescent="0.3">
      <c r="X560" s="1">
        <f t="shared" si="16"/>
        <v>0</v>
      </c>
      <c r="Y560" s="1">
        <f t="shared" si="17"/>
        <v>15</v>
      </c>
    </row>
    <row r="561" spans="24:25" x14ac:dyDescent="0.3">
      <c r="X561" s="1">
        <f t="shared" si="16"/>
        <v>0</v>
      </c>
      <c r="Y561" s="1">
        <f t="shared" si="17"/>
        <v>15</v>
      </c>
    </row>
    <row r="562" spans="24:25" x14ac:dyDescent="0.3">
      <c r="X562" s="1">
        <f t="shared" si="16"/>
        <v>0</v>
      </c>
      <c r="Y562" s="1">
        <f t="shared" si="17"/>
        <v>15</v>
      </c>
    </row>
    <row r="563" spans="24:25" x14ac:dyDescent="0.3">
      <c r="X563" s="1">
        <f t="shared" si="16"/>
        <v>0</v>
      </c>
      <c r="Y563" s="1">
        <f t="shared" si="17"/>
        <v>15</v>
      </c>
    </row>
    <row r="564" spans="24:25" x14ac:dyDescent="0.3">
      <c r="X564" s="1">
        <f t="shared" si="16"/>
        <v>0</v>
      </c>
      <c r="Y564" s="1">
        <f t="shared" si="17"/>
        <v>15</v>
      </c>
    </row>
    <row r="565" spans="24:25" x14ac:dyDescent="0.3">
      <c r="X565" s="1">
        <f t="shared" si="16"/>
        <v>0</v>
      </c>
      <c r="Y565" s="1">
        <f t="shared" si="17"/>
        <v>15</v>
      </c>
    </row>
    <row r="566" spans="24:25" x14ac:dyDescent="0.3">
      <c r="X566" s="1">
        <f t="shared" si="16"/>
        <v>0</v>
      </c>
      <c r="Y566" s="1">
        <f t="shared" si="17"/>
        <v>15</v>
      </c>
    </row>
    <row r="567" spans="24:25" x14ac:dyDescent="0.3">
      <c r="X567" s="1">
        <f t="shared" si="16"/>
        <v>0</v>
      </c>
      <c r="Y567" s="1">
        <f t="shared" si="17"/>
        <v>15</v>
      </c>
    </row>
    <row r="568" spans="24:25" x14ac:dyDescent="0.3">
      <c r="X568" s="1">
        <f t="shared" si="16"/>
        <v>0</v>
      </c>
      <c r="Y568" s="1">
        <f t="shared" si="17"/>
        <v>15</v>
      </c>
    </row>
    <row r="569" spans="24:25" x14ac:dyDescent="0.3">
      <c r="X569" s="1">
        <f t="shared" si="16"/>
        <v>0</v>
      </c>
      <c r="Y569" s="1">
        <f t="shared" si="17"/>
        <v>15</v>
      </c>
    </row>
    <row r="570" spans="24:25" x14ac:dyDescent="0.3">
      <c r="X570" s="1">
        <f t="shared" si="16"/>
        <v>0</v>
      </c>
      <c r="Y570" s="1">
        <f t="shared" si="17"/>
        <v>15</v>
      </c>
    </row>
    <row r="571" spans="24:25" x14ac:dyDescent="0.3">
      <c r="X571" s="1">
        <f t="shared" si="16"/>
        <v>0</v>
      </c>
      <c r="Y571" s="1">
        <f t="shared" si="17"/>
        <v>15</v>
      </c>
    </row>
    <row r="572" spans="24:25" x14ac:dyDescent="0.3">
      <c r="X572" s="1">
        <f t="shared" si="16"/>
        <v>0</v>
      </c>
      <c r="Y572" s="1">
        <f t="shared" si="17"/>
        <v>15</v>
      </c>
    </row>
    <row r="573" spans="24:25" x14ac:dyDescent="0.3">
      <c r="X573" s="1">
        <f t="shared" si="16"/>
        <v>0</v>
      </c>
      <c r="Y573" s="1">
        <f t="shared" si="17"/>
        <v>15</v>
      </c>
    </row>
    <row r="574" spans="24:25" x14ac:dyDescent="0.3">
      <c r="X574" s="1">
        <f t="shared" si="16"/>
        <v>0</v>
      </c>
      <c r="Y574" s="1">
        <f t="shared" si="17"/>
        <v>15</v>
      </c>
    </row>
    <row r="575" spans="24:25" x14ac:dyDescent="0.3">
      <c r="X575" s="1">
        <f t="shared" si="16"/>
        <v>0</v>
      </c>
      <c r="Y575" s="1">
        <f t="shared" si="17"/>
        <v>15</v>
      </c>
    </row>
    <row r="576" spans="24:25" x14ac:dyDescent="0.3">
      <c r="X576" s="1">
        <f t="shared" si="16"/>
        <v>0</v>
      </c>
      <c r="Y576" s="1">
        <f t="shared" si="17"/>
        <v>15</v>
      </c>
    </row>
    <row r="577" spans="24:25" x14ac:dyDescent="0.3">
      <c r="X577" s="1">
        <f t="shared" si="16"/>
        <v>0</v>
      </c>
      <c r="Y577" s="1">
        <f t="shared" si="17"/>
        <v>15</v>
      </c>
    </row>
    <row r="578" spans="24:25" x14ac:dyDescent="0.3">
      <c r="X578" s="1">
        <f t="shared" si="16"/>
        <v>0</v>
      </c>
      <c r="Y578" s="1">
        <f t="shared" si="17"/>
        <v>15</v>
      </c>
    </row>
    <row r="579" spans="24:25" x14ac:dyDescent="0.3">
      <c r="X579" s="1">
        <f t="shared" ref="X579:X642" si="18">IFERROR(MATCH(W579,$B:$B,0),0)</f>
        <v>0</v>
      </c>
      <c r="Y579" s="1">
        <f t="shared" ref="Y579:Y642" si="19">IF(X580=0,COUNTA(A:A),X580-1)</f>
        <v>15</v>
      </c>
    </row>
    <row r="580" spans="24:25" x14ac:dyDescent="0.3">
      <c r="X580" s="1">
        <f t="shared" si="18"/>
        <v>0</v>
      </c>
      <c r="Y580" s="1">
        <f t="shared" si="19"/>
        <v>15</v>
      </c>
    </row>
    <row r="581" spans="24:25" x14ac:dyDescent="0.3">
      <c r="X581" s="1">
        <f t="shared" si="18"/>
        <v>0</v>
      </c>
      <c r="Y581" s="1">
        <f t="shared" si="19"/>
        <v>15</v>
      </c>
    </row>
    <row r="582" spans="24:25" x14ac:dyDescent="0.3">
      <c r="X582" s="1">
        <f t="shared" si="18"/>
        <v>0</v>
      </c>
      <c r="Y582" s="1">
        <f t="shared" si="19"/>
        <v>15</v>
      </c>
    </row>
    <row r="583" spans="24:25" x14ac:dyDescent="0.3">
      <c r="X583" s="1">
        <f t="shared" si="18"/>
        <v>0</v>
      </c>
      <c r="Y583" s="1">
        <f t="shared" si="19"/>
        <v>15</v>
      </c>
    </row>
    <row r="584" spans="24:25" x14ac:dyDescent="0.3">
      <c r="X584" s="1">
        <f t="shared" si="18"/>
        <v>0</v>
      </c>
      <c r="Y584" s="1">
        <f t="shared" si="19"/>
        <v>15</v>
      </c>
    </row>
    <row r="585" spans="24:25" x14ac:dyDescent="0.3">
      <c r="X585" s="1">
        <f t="shared" si="18"/>
        <v>0</v>
      </c>
      <c r="Y585" s="1">
        <f t="shared" si="19"/>
        <v>15</v>
      </c>
    </row>
    <row r="586" spans="24:25" x14ac:dyDescent="0.3">
      <c r="X586" s="1">
        <f t="shared" si="18"/>
        <v>0</v>
      </c>
      <c r="Y586" s="1">
        <f t="shared" si="19"/>
        <v>15</v>
      </c>
    </row>
    <row r="587" spans="24:25" x14ac:dyDescent="0.3">
      <c r="X587" s="1">
        <f t="shared" si="18"/>
        <v>0</v>
      </c>
      <c r="Y587" s="1">
        <f t="shared" si="19"/>
        <v>15</v>
      </c>
    </row>
    <row r="588" spans="24:25" x14ac:dyDescent="0.3">
      <c r="X588" s="1">
        <f t="shared" si="18"/>
        <v>0</v>
      </c>
      <c r="Y588" s="1">
        <f t="shared" si="19"/>
        <v>15</v>
      </c>
    </row>
    <row r="589" spans="24:25" x14ac:dyDescent="0.3">
      <c r="X589" s="1">
        <f t="shared" si="18"/>
        <v>0</v>
      </c>
      <c r="Y589" s="1">
        <f t="shared" si="19"/>
        <v>15</v>
      </c>
    </row>
    <row r="590" spans="24:25" x14ac:dyDescent="0.3">
      <c r="X590" s="1">
        <f t="shared" si="18"/>
        <v>0</v>
      </c>
      <c r="Y590" s="1">
        <f t="shared" si="19"/>
        <v>15</v>
      </c>
    </row>
    <row r="591" spans="24:25" x14ac:dyDescent="0.3">
      <c r="X591" s="1">
        <f t="shared" si="18"/>
        <v>0</v>
      </c>
      <c r="Y591" s="1">
        <f t="shared" si="19"/>
        <v>15</v>
      </c>
    </row>
    <row r="592" spans="24:25" x14ac:dyDescent="0.3">
      <c r="X592" s="1">
        <f t="shared" si="18"/>
        <v>0</v>
      </c>
      <c r="Y592" s="1">
        <f t="shared" si="19"/>
        <v>15</v>
      </c>
    </row>
    <row r="593" spans="24:25" x14ac:dyDescent="0.3">
      <c r="X593" s="1">
        <f t="shared" si="18"/>
        <v>0</v>
      </c>
      <c r="Y593" s="1">
        <f t="shared" si="19"/>
        <v>15</v>
      </c>
    </row>
    <row r="594" spans="24:25" x14ac:dyDescent="0.3">
      <c r="X594" s="1">
        <f t="shared" si="18"/>
        <v>0</v>
      </c>
      <c r="Y594" s="1">
        <f t="shared" si="19"/>
        <v>15</v>
      </c>
    </row>
    <row r="595" spans="24:25" x14ac:dyDescent="0.3">
      <c r="X595" s="1">
        <f t="shared" si="18"/>
        <v>0</v>
      </c>
      <c r="Y595" s="1">
        <f t="shared" si="19"/>
        <v>15</v>
      </c>
    </row>
    <row r="596" spans="24:25" x14ac:dyDescent="0.3">
      <c r="X596" s="1">
        <f t="shared" si="18"/>
        <v>0</v>
      </c>
      <c r="Y596" s="1">
        <f t="shared" si="19"/>
        <v>15</v>
      </c>
    </row>
    <row r="597" spans="24:25" x14ac:dyDescent="0.3">
      <c r="X597" s="1">
        <f t="shared" si="18"/>
        <v>0</v>
      </c>
      <c r="Y597" s="1">
        <f t="shared" si="19"/>
        <v>15</v>
      </c>
    </row>
    <row r="598" spans="24:25" x14ac:dyDescent="0.3">
      <c r="X598" s="1">
        <f t="shared" si="18"/>
        <v>0</v>
      </c>
      <c r="Y598" s="1">
        <f t="shared" si="19"/>
        <v>15</v>
      </c>
    </row>
    <row r="599" spans="24:25" x14ac:dyDescent="0.3">
      <c r="X599" s="1">
        <f t="shared" si="18"/>
        <v>0</v>
      </c>
      <c r="Y599" s="1">
        <f t="shared" si="19"/>
        <v>15</v>
      </c>
    </row>
    <row r="600" spans="24:25" x14ac:dyDescent="0.3">
      <c r="X600" s="1">
        <f t="shared" si="18"/>
        <v>0</v>
      </c>
      <c r="Y600" s="1">
        <f t="shared" si="19"/>
        <v>15</v>
      </c>
    </row>
    <row r="601" spans="24:25" x14ac:dyDescent="0.3">
      <c r="X601" s="1">
        <f t="shared" si="18"/>
        <v>0</v>
      </c>
      <c r="Y601" s="1">
        <f t="shared" si="19"/>
        <v>15</v>
      </c>
    </row>
    <row r="602" spans="24:25" x14ac:dyDescent="0.3">
      <c r="X602" s="1">
        <f t="shared" si="18"/>
        <v>0</v>
      </c>
      <c r="Y602" s="1">
        <f t="shared" si="19"/>
        <v>15</v>
      </c>
    </row>
    <row r="603" spans="24:25" x14ac:dyDescent="0.3">
      <c r="X603" s="1">
        <f t="shared" si="18"/>
        <v>0</v>
      </c>
      <c r="Y603" s="1">
        <f t="shared" si="19"/>
        <v>15</v>
      </c>
    </row>
    <row r="604" spans="24:25" x14ac:dyDescent="0.3">
      <c r="X604" s="1">
        <f t="shared" si="18"/>
        <v>0</v>
      </c>
      <c r="Y604" s="1">
        <f t="shared" si="19"/>
        <v>15</v>
      </c>
    </row>
    <row r="605" spans="24:25" x14ac:dyDescent="0.3">
      <c r="X605" s="1">
        <f t="shared" si="18"/>
        <v>0</v>
      </c>
      <c r="Y605" s="1">
        <f t="shared" si="19"/>
        <v>15</v>
      </c>
    </row>
    <row r="606" spans="24:25" x14ac:dyDescent="0.3">
      <c r="X606" s="1">
        <f t="shared" si="18"/>
        <v>0</v>
      </c>
      <c r="Y606" s="1">
        <f t="shared" si="19"/>
        <v>15</v>
      </c>
    </row>
    <row r="607" spans="24:25" x14ac:dyDescent="0.3">
      <c r="X607" s="1">
        <f t="shared" si="18"/>
        <v>0</v>
      </c>
      <c r="Y607" s="1">
        <f t="shared" si="19"/>
        <v>15</v>
      </c>
    </row>
    <row r="608" spans="24:25" x14ac:dyDescent="0.3">
      <c r="X608" s="1">
        <f t="shared" si="18"/>
        <v>0</v>
      </c>
      <c r="Y608" s="1">
        <f t="shared" si="19"/>
        <v>15</v>
      </c>
    </row>
    <row r="609" spans="24:25" x14ac:dyDescent="0.3">
      <c r="X609" s="1">
        <f t="shared" si="18"/>
        <v>0</v>
      </c>
      <c r="Y609" s="1">
        <f t="shared" si="19"/>
        <v>15</v>
      </c>
    </row>
    <row r="610" spans="24:25" x14ac:dyDescent="0.3">
      <c r="X610" s="1">
        <f t="shared" si="18"/>
        <v>0</v>
      </c>
      <c r="Y610" s="1">
        <f t="shared" si="19"/>
        <v>15</v>
      </c>
    </row>
    <row r="611" spans="24:25" x14ac:dyDescent="0.3">
      <c r="X611" s="1">
        <f t="shared" si="18"/>
        <v>0</v>
      </c>
      <c r="Y611" s="1">
        <f t="shared" si="19"/>
        <v>15</v>
      </c>
    </row>
    <row r="612" spans="24:25" x14ac:dyDescent="0.3">
      <c r="X612" s="1">
        <f t="shared" si="18"/>
        <v>0</v>
      </c>
      <c r="Y612" s="1">
        <f t="shared" si="19"/>
        <v>15</v>
      </c>
    </row>
    <row r="613" spans="24:25" x14ac:dyDescent="0.3">
      <c r="X613" s="1">
        <f t="shared" si="18"/>
        <v>0</v>
      </c>
      <c r="Y613" s="1">
        <f t="shared" si="19"/>
        <v>15</v>
      </c>
    </row>
    <row r="614" spans="24:25" x14ac:dyDescent="0.3">
      <c r="X614" s="1">
        <f t="shared" si="18"/>
        <v>0</v>
      </c>
      <c r="Y614" s="1">
        <f t="shared" si="19"/>
        <v>15</v>
      </c>
    </row>
    <row r="615" spans="24:25" x14ac:dyDescent="0.3">
      <c r="X615" s="1">
        <f t="shared" si="18"/>
        <v>0</v>
      </c>
      <c r="Y615" s="1">
        <f t="shared" si="19"/>
        <v>15</v>
      </c>
    </row>
    <row r="616" spans="24:25" x14ac:dyDescent="0.3">
      <c r="X616" s="1">
        <f t="shared" si="18"/>
        <v>0</v>
      </c>
      <c r="Y616" s="1">
        <f t="shared" si="19"/>
        <v>15</v>
      </c>
    </row>
    <row r="617" spans="24:25" x14ac:dyDescent="0.3">
      <c r="X617" s="1">
        <f t="shared" si="18"/>
        <v>0</v>
      </c>
      <c r="Y617" s="1">
        <f t="shared" si="19"/>
        <v>15</v>
      </c>
    </row>
    <row r="618" spans="24:25" x14ac:dyDescent="0.3">
      <c r="X618" s="1">
        <f t="shared" si="18"/>
        <v>0</v>
      </c>
      <c r="Y618" s="1">
        <f t="shared" si="19"/>
        <v>15</v>
      </c>
    </row>
    <row r="619" spans="24:25" x14ac:dyDescent="0.3">
      <c r="X619" s="1">
        <f t="shared" si="18"/>
        <v>0</v>
      </c>
      <c r="Y619" s="1">
        <f t="shared" si="19"/>
        <v>15</v>
      </c>
    </row>
    <row r="620" spans="24:25" x14ac:dyDescent="0.3">
      <c r="X620" s="1">
        <f t="shared" si="18"/>
        <v>0</v>
      </c>
      <c r="Y620" s="1">
        <f t="shared" si="19"/>
        <v>15</v>
      </c>
    </row>
    <row r="621" spans="24:25" x14ac:dyDescent="0.3">
      <c r="X621" s="1">
        <f t="shared" si="18"/>
        <v>0</v>
      </c>
      <c r="Y621" s="1">
        <f t="shared" si="19"/>
        <v>15</v>
      </c>
    </row>
    <row r="622" spans="24:25" x14ac:dyDescent="0.3">
      <c r="X622" s="1">
        <f t="shared" si="18"/>
        <v>0</v>
      </c>
      <c r="Y622" s="1">
        <f t="shared" si="19"/>
        <v>15</v>
      </c>
    </row>
    <row r="623" spans="24:25" x14ac:dyDescent="0.3">
      <c r="X623" s="1">
        <f t="shared" si="18"/>
        <v>0</v>
      </c>
      <c r="Y623" s="1">
        <f t="shared" si="19"/>
        <v>15</v>
      </c>
    </row>
    <row r="624" spans="24:25" x14ac:dyDescent="0.3">
      <c r="X624" s="1">
        <f t="shared" si="18"/>
        <v>0</v>
      </c>
      <c r="Y624" s="1">
        <f t="shared" si="19"/>
        <v>15</v>
      </c>
    </row>
    <row r="625" spans="24:25" x14ac:dyDescent="0.3">
      <c r="X625" s="1">
        <f t="shared" si="18"/>
        <v>0</v>
      </c>
      <c r="Y625" s="1">
        <f t="shared" si="19"/>
        <v>15</v>
      </c>
    </row>
    <row r="626" spans="24:25" x14ac:dyDescent="0.3">
      <c r="X626" s="1">
        <f t="shared" si="18"/>
        <v>0</v>
      </c>
      <c r="Y626" s="1">
        <f t="shared" si="19"/>
        <v>15</v>
      </c>
    </row>
    <row r="627" spans="24:25" x14ac:dyDescent="0.3">
      <c r="X627" s="1">
        <f t="shared" si="18"/>
        <v>0</v>
      </c>
      <c r="Y627" s="1">
        <f t="shared" si="19"/>
        <v>15</v>
      </c>
    </row>
    <row r="628" spans="24:25" x14ac:dyDescent="0.3">
      <c r="X628" s="1">
        <f t="shared" si="18"/>
        <v>0</v>
      </c>
      <c r="Y628" s="1">
        <f t="shared" si="19"/>
        <v>15</v>
      </c>
    </row>
    <row r="629" spans="24:25" x14ac:dyDescent="0.3">
      <c r="X629" s="1">
        <f t="shared" si="18"/>
        <v>0</v>
      </c>
      <c r="Y629" s="1">
        <f t="shared" si="19"/>
        <v>15</v>
      </c>
    </row>
    <row r="630" spans="24:25" x14ac:dyDescent="0.3">
      <c r="X630" s="1">
        <f t="shared" si="18"/>
        <v>0</v>
      </c>
      <c r="Y630" s="1">
        <f t="shared" si="19"/>
        <v>15</v>
      </c>
    </row>
    <row r="631" spans="24:25" x14ac:dyDescent="0.3">
      <c r="X631" s="1">
        <f t="shared" si="18"/>
        <v>0</v>
      </c>
      <c r="Y631" s="1">
        <f t="shared" si="19"/>
        <v>15</v>
      </c>
    </row>
    <row r="632" spans="24:25" x14ac:dyDescent="0.3">
      <c r="X632" s="1">
        <f t="shared" si="18"/>
        <v>0</v>
      </c>
      <c r="Y632" s="1">
        <f t="shared" si="19"/>
        <v>15</v>
      </c>
    </row>
    <row r="633" spans="24:25" x14ac:dyDescent="0.3">
      <c r="X633" s="1">
        <f t="shared" si="18"/>
        <v>0</v>
      </c>
      <c r="Y633" s="1">
        <f t="shared" si="19"/>
        <v>15</v>
      </c>
    </row>
    <row r="634" spans="24:25" x14ac:dyDescent="0.3">
      <c r="X634" s="1">
        <f t="shared" si="18"/>
        <v>0</v>
      </c>
      <c r="Y634" s="1">
        <f t="shared" si="19"/>
        <v>15</v>
      </c>
    </row>
    <row r="635" spans="24:25" x14ac:dyDescent="0.3">
      <c r="X635" s="1">
        <f t="shared" si="18"/>
        <v>0</v>
      </c>
      <c r="Y635" s="1">
        <f t="shared" si="19"/>
        <v>15</v>
      </c>
    </row>
    <row r="636" spans="24:25" x14ac:dyDescent="0.3">
      <c r="X636" s="1">
        <f t="shared" si="18"/>
        <v>0</v>
      </c>
      <c r="Y636" s="1">
        <f t="shared" si="19"/>
        <v>15</v>
      </c>
    </row>
    <row r="637" spans="24:25" x14ac:dyDescent="0.3">
      <c r="X637" s="1">
        <f t="shared" si="18"/>
        <v>0</v>
      </c>
      <c r="Y637" s="1">
        <f t="shared" si="19"/>
        <v>15</v>
      </c>
    </row>
    <row r="638" spans="24:25" x14ac:dyDescent="0.3">
      <c r="X638" s="1">
        <f t="shared" si="18"/>
        <v>0</v>
      </c>
      <c r="Y638" s="1">
        <f t="shared" si="19"/>
        <v>15</v>
      </c>
    </row>
    <row r="639" spans="24:25" x14ac:dyDescent="0.3">
      <c r="X639" s="1">
        <f t="shared" si="18"/>
        <v>0</v>
      </c>
      <c r="Y639" s="1">
        <f t="shared" si="19"/>
        <v>15</v>
      </c>
    </row>
    <row r="640" spans="24:25" x14ac:dyDescent="0.3">
      <c r="X640" s="1">
        <f t="shared" si="18"/>
        <v>0</v>
      </c>
      <c r="Y640" s="1">
        <f t="shared" si="19"/>
        <v>15</v>
      </c>
    </row>
    <row r="641" spans="24:25" x14ac:dyDescent="0.3">
      <c r="X641" s="1">
        <f t="shared" si="18"/>
        <v>0</v>
      </c>
      <c r="Y641" s="1">
        <f t="shared" si="19"/>
        <v>15</v>
      </c>
    </row>
    <row r="642" spans="24:25" x14ac:dyDescent="0.3">
      <c r="X642" s="1">
        <f t="shared" si="18"/>
        <v>0</v>
      </c>
      <c r="Y642" s="1">
        <f t="shared" si="19"/>
        <v>15</v>
      </c>
    </row>
    <row r="643" spans="24:25" x14ac:dyDescent="0.3">
      <c r="X643" s="1">
        <f t="shared" ref="X643:X706" si="20">IFERROR(MATCH(W643,$B:$B,0),0)</f>
        <v>0</v>
      </c>
      <c r="Y643" s="1">
        <f t="shared" ref="Y643:Y706" si="21">IF(X644=0,COUNTA(A:A),X644-1)</f>
        <v>15</v>
      </c>
    </row>
    <row r="644" spans="24:25" x14ac:dyDescent="0.3">
      <c r="X644" s="1">
        <f t="shared" si="20"/>
        <v>0</v>
      </c>
      <c r="Y644" s="1">
        <f t="shared" si="21"/>
        <v>15</v>
      </c>
    </row>
    <row r="645" spans="24:25" x14ac:dyDescent="0.3">
      <c r="X645" s="1">
        <f t="shared" si="20"/>
        <v>0</v>
      </c>
      <c r="Y645" s="1">
        <f t="shared" si="21"/>
        <v>15</v>
      </c>
    </row>
    <row r="646" spans="24:25" x14ac:dyDescent="0.3">
      <c r="X646" s="1">
        <f t="shared" si="20"/>
        <v>0</v>
      </c>
      <c r="Y646" s="1">
        <f t="shared" si="21"/>
        <v>15</v>
      </c>
    </row>
    <row r="647" spans="24:25" x14ac:dyDescent="0.3">
      <c r="X647" s="1">
        <f t="shared" si="20"/>
        <v>0</v>
      </c>
      <c r="Y647" s="1">
        <f t="shared" si="21"/>
        <v>15</v>
      </c>
    </row>
    <row r="648" spans="24:25" x14ac:dyDescent="0.3">
      <c r="X648" s="1">
        <f t="shared" si="20"/>
        <v>0</v>
      </c>
      <c r="Y648" s="1">
        <f t="shared" si="21"/>
        <v>15</v>
      </c>
    </row>
    <row r="649" spans="24:25" x14ac:dyDescent="0.3">
      <c r="X649" s="1">
        <f t="shared" si="20"/>
        <v>0</v>
      </c>
      <c r="Y649" s="1">
        <f t="shared" si="21"/>
        <v>15</v>
      </c>
    </row>
    <row r="650" spans="24:25" x14ac:dyDescent="0.3">
      <c r="X650" s="1">
        <f t="shared" si="20"/>
        <v>0</v>
      </c>
      <c r="Y650" s="1">
        <f t="shared" si="21"/>
        <v>15</v>
      </c>
    </row>
    <row r="651" spans="24:25" x14ac:dyDescent="0.3">
      <c r="X651" s="1">
        <f t="shared" si="20"/>
        <v>0</v>
      </c>
      <c r="Y651" s="1">
        <f t="shared" si="21"/>
        <v>15</v>
      </c>
    </row>
    <row r="652" spans="24:25" x14ac:dyDescent="0.3">
      <c r="X652" s="1">
        <f t="shared" si="20"/>
        <v>0</v>
      </c>
      <c r="Y652" s="1">
        <f t="shared" si="21"/>
        <v>15</v>
      </c>
    </row>
    <row r="653" spans="24:25" x14ac:dyDescent="0.3">
      <c r="X653" s="1">
        <f t="shared" si="20"/>
        <v>0</v>
      </c>
      <c r="Y653" s="1">
        <f t="shared" si="21"/>
        <v>15</v>
      </c>
    </row>
    <row r="654" spans="24:25" x14ac:dyDescent="0.3">
      <c r="X654" s="1">
        <f t="shared" si="20"/>
        <v>0</v>
      </c>
      <c r="Y654" s="1">
        <f t="shared" si="21"/>
        <v>15</v>
      </c>
    </row>
    <row r="655" spans="24:25" x14ac:dyDescent="0.3">
      <c r="X655" s="1">
        <f t="shared" si="20"/>
        <v>0</v>
      </c>
      <c r="Y655" s="1">
        <f t="shared" si="21"/>
        <v>15</v>
      </c>
    </row>
    <row r="656" spans="24:25" x14ac:dyDescent="0.3">
      <c r="X656" s="1">
        <f t="shared" si="20"/>
        <v>0</v>
      </c>
      <c r="Y656" s="1">
        <f t="shared" si="21"/>
        <v>15</v>
      </c>
    </row>
    <row r="657" spans="24:25" x14ac:dyDescent="0.3">
      <c r="X657" s="1">
        <f t="shared" si="20"/>
        <v>0</v>
      </c>
      <c r="Y657" s="1">
        <f t="shared" si="21"/>
        <v>15</v>
      </c>
    </row>
    <row r="658" spans="24:25" x14ac:dyDescent="0.3">
      <c r="X658" s="1">
        <f t="shared" si="20"/>
        <v>0</v>
      </c>
      <c r="Y658" s="1">
        <f t="shared" si="21"/>
        <v>15</v>
      </c>
    </row>
    <row r="659" spans="24:25" x14ac:dyDescent="0.3">
      <c r="X659" s="1">
        <f t="shared" si="20"/>
        <v>0</v>
      </c>
      <c r="Y659" s="1">
        <f t="shared" si="21"/>
        <v>15</v>
      </c>
    </row>
    <row r="660" spans="24:25" x14ac:dyDescent="0.3">
      <c r="X660" s="1">
        <f t="shared" si="20"/>
        <v>0</v>
      </c>
      <c r="Y660" s="1">
        <f t="shared" si="21"/>
        <v>15</v>
      </c>
    </row>
    <row r="661" spans="24:25" x14ac:dyDescent="0.3">
      <c r="X661" s="1">
        <f t="shared" si="20"/>
        <v>0</v>
      </c>
      <c r="Y661" s="1">
        <f t="shared" si="21"/>
        <v>15</v>
      </c>
    </row>
    <row r="662" spans="24:25" x14ac:dyDescent="0.3">
      <c r="X662" s="1">
        <f t="shared" si="20"/>
        <v>0</v>
      </c>
      <c r="Y662" s="1">
        <f t="shared" si="21"/>
        <v>15</v>
      </c>
    </row>
    <row r="663" spans="24:25" x14ac:dyDescent="0.3">
      <c r="X663" s="1">
        <f t="shared" si="20"/>
        <v>0</v>
      </c>
      <c r="Y663" s="1">
        <f t="shared" si="21"/>
        <v>15</v>
      </c>
    </row>
    <row r="664" spans="24:25" x14ac:dyDescent="0.3">
      <c r="X664" s="1">
        <f t="shared" si="20"/>
        <v>0</v>
      </c>
      <c r="Y664" s="1">
        <f t="shared" si="21"/>
        <v>15</v>
      </c>
    </row>
    <row r="665" spans="24:25" x14ac:dyDescent="0.3">
      <c r="X665" s="1">
        <f t="shared" si="20"/>
        <v>0</v>
      </c>
      <c r="Y665" s="1">
        <f t="shared" si="21"/>
        <v>15</v>
      </c>
    </row>
    <row r="666" spans="24:25" x14ac:dyDescent="0.3">
      <c r="X666" s="1">
        <f t="shared" si="20"/>
        <v>0</v>
      </c>
      <c r="Y666" s="1">
        <f t="shared" si="21"/>
        <v>15</v>
      </c>
    </row>
    <row r="667" spans="24:25" x14ac:dyDescent="0.3">
      <c r="X667" s="1">
        <f t="shared" si="20"/>
        <v>0</v>
      </c>
      <c r="Y667" s="1">
        <f t="shared" si="21"/>
        <v>15</v>
      </c>
    </row>
    <row r="668" spans="24:25" x14ac:dyDescent="0.3">
      <c r="X668" s="1">
        <f t="shared" si="20"/>
        <v>0</v>
      </c>
      <c r="Y668" s="1">
        <f t="shared" si="21"/>
        <v>15</v>
      </c>
    </row>
    <row r="669" spans="24:25" x14ac:dyDescent="0.3">
      <c r="X669" s="1">
        <f t="shared" si="20"/>
        <v>0</v>
      </c>
      <c r="Y669" s="1">
        <f t="shared" si="21"/>
        <v>15</v>
      </c>
    </row>
    <row r="670" spans="24:25" x14ac:dyDescent="0.3">
      <c r="X670" s="1">
        <f t="shared" si="20"/>
        <v>0</v>
      </c>
      <c r="Y670" s="1">
        <f t="shared" si="21"/>
        <v>15</v>
      </c>
    </row>
    <row r="671" spans="24:25" x14ac:dyDescent="0.3">
      <c r="X671" s="1">
        <f t="shared" si="20"/>
        <v>0</v>
      </c>
      <c r="Y671" s="1">
        <f t="shared" si="21"/>
        <v>15</v>
      </c>
    </row>
    <row r="672" spans="24:25" x14ac:dyDescent="0.3">
      <c r="X672" s="1">
        <f t="shared" si="20"/>
        <v>0</v>
      </c>
      <c r="Y672" s="1">
        <f t="shared" si="21"/>
        <v>15</v>
      </c>
    </row>
    <row r="673" spans="24:25" x14ac:dyDescent="0.3">
      <c r="X673" s="1">
        <f t="shared" si="20"/>
        <v>0</v>
      </c>
      <c r="Y673" s="1">
        <f t="shared" si="21"/>
        <v>15</v>
      </c>
    </row>
    <row r="674" spans="24:25" x14ac:dyDescent="0.3">
      <c r="X674" s="1">
        <f t="shared" si="20"/>
        <v>0</v>
      </c>
      <c r="Y674" s="1">
        <f t="shared" si="21"/>
        <v>15</v>
      </c>
    </row>
    <row r="675" spans="24:25" x14ac:dyDescent="0.3">
      <c r="X675" s="1">
        <f t="shared" si="20"/>
        <v>0</v>
      </c>
      <c r="Y675" s="1">
        <f t="shared" si="21"/>
        <v>15</v>
      </c>
    </row>
    <row r="676" spans="24:25" x14ac:dyDescent="0.3">
      <c r="X676" s="1">
        <f t="shared" si="20"/>
        <v>0</v>
      </c>
      <c r="Y676" s="1">
        <f t="shared" si="21"/>
        <v>15</v>
      </c>
    </row>
    <row r="677" spans="24:25" x14ac:dyDescent="0.3">
      <c r="X677" s="1">
        <f t="shared" si="20"/>
        <v>0</v>
      </c>
      <c r="Y677" s="1">
        <f t="shared" si="21"/>
        <v>15</v>
      </c>
    </row>
    <row r="678" spans="24:25" x14ac:dyDescent="0.3">
      <c r="X678" s="1">
        <f t="shared" si="20"/>
        <v>0</v>
      </c>
      <c r="Y678" s="1">
        <f t="shared" si="21"/>
        <v>15</v>
      </c>
    </row>
    <row r="679" spans="24:25" x14ac:dyDescent="0.3">
      <c r="X679" s="1">
        <f t="shared" si="20"/>
        <v>0</v>
      </c>
      <c r="Y679" s="1">
        <f t="shared" si="21"/>
        <v>15</v>
      </c>
    </row>
    <row r="680" spans="24:25" x14ac:dyDescent="0.3">
      <c r="X680" s="1">
        <f t="shared" si="20"/>
        <v>0</v>
      </c>
      <c r="Y680" s="1">
        <f t="shared" si="21"/>
        <v>15</v>
      </c>
    </row>
    <row r="681" spans="24:25" x14ac:dyDescent="0.3">
      <c r="X681" s="1">
        <f t="shared" si="20"/>
        <v>0</v>
      </c>
      <c r="Y681" s="1">
        <f t="shared" si="21"/>
        <v>15</v>
      </c>
    </row>
    <row r="682" spans="24:25" x14ac:dyDescent="0.3">
      <c r="X682" s="1">
        <f t="shared" si="20"/>
        <v>0</v>
      </c>
      <c r="Y682" s="1">
        <f t="shared" si="21"/>
        <v>15</v>
      </c>
    </row>
    <row r="683" spans="24:25" x14ac:dyDescent="0.3">
      <c r="X683" s="1">
        <f t="shared" si="20"/>
        <v>0</v>
      </c>
      <c r="Y683" s="1">
        <f t="shared" si="21"/>
        <v>15</v>
      </c>
    </row>
    <row r="684" spans="24:25" x14ac:dyDescent="0.3">
      <c r="X684" s="1">
        <f t="shared" si="20"/>
        <v>0</v>
      </c>
      <c r="Y684" s="1">
        <f t="shared" si="21"/>
        <v>15</v>
      </c>
    </row>
    <row r="685" spans="24:25" x14ac:dyDescent="0.3">
      <c r="X685" s="1">
        <f t="shared" si="20"/>
        <v>0</v>
      </c>
      <c r="Y685" s="1">
        <f t="shared" si="21"/>
        <v>15</v>
      </c>
    </row>
    <row r="686" spans="24:25" x14ac:dyDescent="0.3">
      <c r="X686" s="1">
        <f t="shared" si="20"/>
        <v>0</v>
      </c>
      <c r="Y686" s="1">
        <f t="shared" si="21"/>
        <v>15</v>
      </c>
    </row>
    <row r="687" spans="24:25" x14ac:dyDescent="0.3">
      <c r="X687" s="1">
        <f t="shared" si="20"/>
        <v>0</v>
      </c>
      <c r="Y687" s="1">
        <f t="shared" si="21"/>
        <v>15</v>
      </c>
    </row>
    <row r="688" spans="24:25" x14ac:dyDescent="0.3">
      <c r="X688" s="1">
        <f t="shared" si="20"/>
        <v>0</v>
      </c>
      <c r="Y688" s="1">
        <f t="shared" si="21"/>
        <v>15</v>
      </c>
    </row>
    <row r="689" spans="24:25" x14ac:dyDescent="0.3">
      <c r="X689" s="1">
        <f t="shared" si="20"/>
        <v>0</v>
      </c>
      <c r="Y689" s="1">
        <f t="shared" si="21"/>
        <v>15</v>
      </c>
    </row>
    <row r="690" spans="24:25" x14ac:dyDescent="0.3">
      <c r="X690" s="1">
        <f t="shared" si="20"/>
        <v>0</v>
      </c>
      <c r="Y690" s="1">
        <f t="shared" si="21"/>
        <v>15</v>
      </c>
    </row>
    <row r="691" spans="24:25" x14ac:dyDescent="0.3">
      <c r="X691" s="1">
        <f t="shared" si="20"/>
        <v>0</v>
      </c>
      <c r="Y691" s="1">
        <f t="shared" si="21"/>
        <v>15</v>
      </c>
    </row>
    <row r="692" spans="24:25" x14ac:dyDescent="0.3">
      <c r="X692" s="1">
        <f t="shared" si="20"/>
        <v>0</v>
      </c>
      <c r="Y692" s="1">
        <f t="shared" si="21"/>
        <v>15</v>
      </c>
    </row>
    <row r="693" spans="24:25" x14ac:dyDescent="0.3">
      <c r="X693" s="1">
        <f t="shared" si="20"/>
        <v>0</v>
      </c>
      <c r="Y693" s="1">
        <f t="shared" si="21"/>
        <v>15</v>
      </c>
    </row>
    <row r="694" spans="24:25" x14ac:dyDescent="0.3">
      <c r="X694" s="1">
        <f t="shared" si="20"/>
        <v>0</v>
      </c>
      <c r="Y694" s="1">
        <f t="shared" si="21"/>
        <v>15</v>
      </c>
    </row>
    <row r="695" spans="24:25" x14ac:dyDescent="0.3">
      <c r="X695" s="1">
        <f t="shared" si="20"/>
        <v>0</v>
      </c>
      <c r="Y695" s="1">
        <f t="shared" si="21"/>
        <v>15</v>
      </c>
    </row>
    <row r="696" spans="24:25" x14ac:dyDescent="0.3">
      <c r="X696" s="1">
        <f t="shared" si="20"/>
        <v>0</v>
      </c>
      <c r="Y696" s="1">
        <f t="shared" si="21"/>
        <v>15</v>
      </c>
    </row>
    <row r="697" spans="24:25" x14ac:dyDescent="0.3">
      <c r="X697" s="1">
        <f t="shared" si="20"/>
        <v>0</v>
      </c>
      <c r="Y697" s="1">
        <f t="shared" si="21"/>
        <v>15</v>
      </c>
    </row>
    <row r="698" spans="24:25" x14ac:dyDescent="0.3">
      <c r="X698" s="1">
        <f t="shared" si="20"/>
        <v>0</v>
      </c>
      <c r="Y698" s="1">
        <f t="shared" si="21"/>
        <v>15</v>
      </c>
    </row>
    <row r="699" spans="24:25" x14ac:dyDescent="0.3">
      <c r="X699" s="1">
        <f t="shared" si="20"/>
        <v>0</v>
      </c>
      <c r="Y699" s="1">
        <f t="shared" si="21"/>
        <v>15</v>
      </c>
    </row>
    <row r="700" spans="24:25" x14ac:dyDescent="0.3">
      <c r="X700" s="1">
        <f t="shared" si="20"/>
        <v>0</v>
      </c>
      <c r="Y700" s="1">
        <f t="shared" si="21"/>
        <v>15</v>
      </c>
    </row>
    <row r="701" spans="24:25" x14ac:dyDescent="0.3">
      <c r="X701" s="1">
        <f t="shared" si="20"/>
        <v>0</v>
      </c>
      <c r="Y701" s="1">
        <f t="shared" si="21"/>
        <v>15</v>
      </c>
    </row>
    <row r="702" spans="24:25" x14ac:dyDescent="0.3">
      <c r="X702" s="1">
        <f t="shared" si="20"/>
        <v>0</v>
      </c>
      <c r="Y702" s="1">
        <f t="shared" si="21"/>
        <v>15</v>
      </c>
    </row>
    <row r="703" spans="24:25" x14ac:dyDescent="0.3">
      <c r="X703" s="1">
        <f t="shared" si="20"/>
        <v>0</v>
      </c>
      <c r="Y703" s="1">
        <f t="shared" si="21"/>
        <v>15</v>
      </c>
    </row>
    <row r="704" spans="24:25" x14ac:dyDescent="0.3">
      <c r="X704" s="1">
        <f t="shared" si="20"/>
        <v>0</v>
      </c>
      <c r="Y704" s="1">
        <f t="shared" si="21"/>
        <v>15</v>
      </c>
    </row>
    <row r="705" spans="24:25" x14ac:dyDescent="0.3">
      <c r="X705" s="1">
        <f t="shared" si="20"/>
        <v>0</v>
      </c>
      <c r="Y705" s="1">
        <f t="shared" si="21"/>
        <v>15</v>
      </c>
    </row>
    <row r="706" spans="24:25" x14ac:dyDescent="0.3">
      <c r="X706" s="1">
        <f t="shared" si="20"/>
        <v>0</v>
      </c>
      <c r="Y706" s="1">
        <f t="shared" si="21"/>
        <v>15</v>
      </c>
    </row>
    <row r="707" spans="24:25" x14ac:dyDescent="0.3">
      <c r="X707" s="1">
        <f t="shared" ref="X707:X770" si="22">IFERROR(MATCH(W707,$B:$B,0),0)</f>
        <v>0</v>
      </c>
      <c r="Y707" s="1">
        <f t="shared" ref="Y707:Y770" si="23">IF(X708=0,COUNTA(A:A),X708-1)</f>
        <v>15</v>
      </c>
    </row>
    <row r="708" spans="24:25" x14ac:dyDescent="0.3">
      <c r="X708" s="1">
        <f t="shared" si="22"/>
        <v>0</v>
      </c>
      <c r="Y708" s="1">
        <f t="shared" si="23"/>
        <v>15</v>
      </c>
    </row>
    <row r="709" spans="24:25" x14ac:dyDescent="0.3">
      <c r="X709" s="1">
        <f t="shared" si="22"/>
        <v>0</v>
      </c>
      <c r="Y709" s="1">
        <f t="shared" si="23"/>
        <v>15</v>
      </c>
    </row>
    <row r="710" spans="24:25" x14ac:dyDescent="0.3">
      <c r="X710" s="1">
        <f t="shared" si="22"/>
        <v>0</v>
      </c>
      <c r="Y710" s="1">
        <f t="shared" si="23"/>
        <v>15</v>
      </c>
    </row>
    <row r="711" spans="24:25" x14ac:dyDescent="0.3">
      <c r="X711" s="1">
        <f t="shared" si="22"/>
        <v>0</v>
      </c>
      <c r="Y711" s="1">
        <f t="shared" si="23"/>
        <v>15</v>
      </c>
    </row>
    <row r="712" spans="24:25" x14ac:dyDescent="0.3">
      <c r="X712" s="1">
        <f t="shared" si="22"/>
        <v>0</v>
      </c>
      <c r="Y712" s="1">
        <f t="shared" si="23"/>
        <v>15</v>
      </c>
    </row>
    <row r="713" spans="24:25" x14ac:dyDescent="0.3">
      <c r="X713" s="1">
        <f t="shared" si="22"/>
        <v>0</v>
      </c>
      <c r="Y713" s="1">
        <f t="shared" si="23"/>
        <v>15</v>
      </c>
    </row>
    <row r="714" spans="24:25" x14ac:dyDescent="0.3">
      <c r="X714" s="1">
        <f t="shared" si="22"/>
        <v>0</v>
      </c>
      <c r="Y714" s="1">
        <f t="shared" si="23"/>
        <v>15</v>
      </c>
    </row>
    <row r="715" spans="24:25" x14ac:dyDescent="0.3">
      <c r="X715" s="1">
        <f t="shared" si="22"/>
        <v>0</v>
      </c>
      <c r="Y715" s="1">
        <f t="shared" si="23"/>
        <v>15</v>
      </c>
    </row>
    <row r="716" spans="24:25" x14ac:dyDescent="0.3">
      <c r="X716" s="1">
        <f t="shared" si="22"/>
        <v>0</v>
      </c>
      <c r="Y716" s="1">
        <f t="shared" si="23"/>
        <v>15</v>
      </c>
    </row>
    <row r="717" spans="24:25" x14ac:dyDescent="0.3">
      <c r="X717" s="1">
        <f t="shared" si="22"/>
        <v>0</v>
      </c>
      <c r="Y717" s="1">
        <f t="shared" si="23"/>
        <v>15</v>
      </c>
    </row>
    <row r="718" spans="24:25" x14ac:dyDescent="0.3">
      <c r="X718" s="1">
        <f t="shared" si="22"/>
        <v>0</v>
      </c>
      <c r="Y718" s="1">
        <f t="shared" si="23"/>
        <v>15</v>
      </c>
    </row>
    <row r="719" spans="24:25" x14ac:dyDescent="0.3">
      <c r="X719" s="1">
        <f t="shared" si="22"/>
        <v>0</v>
      </c>
      <c r="Y719" s="1">
        <f t="shared" si="23"/>
        <v>15</v>
      </c>
    </row>
    <row r="720" spans="24:25" x14ac:dyDescent="0.3">
      <c r="X720" s="1">
        <f t="shared" si="22"/>
        <v>0</v>
      </c>
      <c r="Y720" s="1">
        <f t="shared" si="23"/>
        <v>15</v>
      </c>
    </row>
    <row r="721" spans="24:25" x14ac:dyDescent="0.3">
      <c r="X721" s="1">
        <f t="shared" si="22"/>
        <v>0</v>
      </c>
      <c r="Y721" s="1">
        <f t="shared" si="23"/>
        <v>15</v>
      </c>
    </row>
    <row r="722" spans="24:25" x14ac:dyDescent="0.3">
      <c r="X722" s="1">
        <f t="shared" si="22"/>
        <v>0</v>
      </c>
      <c r="Y722" s="1">
        <f t="shared" si="23"/>
        <v>15</v>
      </c>
    </row>
    <row r="723" spans="24:25" x14ac:dyDescent="0.3">
      <c r="X723" s="1">
        <f t="shared" si="22"/>
        <v>0</v>
      </c>
      <c r="Y723" s="1">
        <f t="shared" si="23"/>
        <v>15</v>
      </c>
    </row>
    <row r="724" spans="24:25" x14ac:dyDescent="0.3">
      <c r="X724" s="1">
        <f t="shared" si="22"/>
        <v>0</v>
      </c>
      <c r="Y724" s="1">
        <f t="shared" si="23"/>
        <v>15</v>
      </c>
    </row>
    <row r="725" spans="24:25" x14ac:dyDescent="0.3">
      <c r="X725" s="1">
        <f t="shared" si="22"/>
        <v>0</v>
      </c>
      <c r="Y725" s="1">
        <f t="shared" si="23"/>
        <v>15</v>
      </c>
    </row>
    <row r="726" spans="24:25" x14ac:dyDescent="0.3">
      <c r="X726" s="1">
        <f t="shared" si="22"/>
        <v>0</v>
      </c>
      <c r="Y726" s="1">
        <f t="shared" si="23"/>
        <v>15</v>
      </c>
    </row>
    <row r="727" spans="24:25" x14ac:dyDescent="0.3">
      <c r="X727" s="1">
        <f t="shared" si="22"/>
        <v>0</v>
      </c>
      <c r="Y727" s="1">
        <f t="shared" si="23"/>
        <v>15</v>
      </c>
    </row>
    <row r="728" spans="24:25" x14ac:dyDescent="0.3">
      <c r="X728" s="1">
        <f t="shared" si="22"/>
        <v>0</v>
      </c>
      <c r="Y728" s="1">
        <f t="shared" si="23"/>
        <v>15</v>
      </c>
    </row>
    <row r="729" spans="24:25" x14ac:dyDescent="0.3">
      <c r="X729" s="1">
        <f t="shared" si="22"/>
        <v>0</v>
      </c>
      <c r="Y729" s="1">
        <f t="shared" si="23"/>
        <v>15</v>
      </c>
    </row>
    <row r="730" spans="24:25" x14ac:dyDescent="0.3">
      <c r="X730" s="1">
        <f t="shared" si="22"/>
        <v>0</v>
      </c>
      <c r="Y730" s="1">
        <f t="shared" si="23"/>
        <v>15</v>
      </c>
    </row>
    <row r="731" spans="24:25" x14ac:dyDescent="0.3">
      <c r="X731" s="1">
        <f t="shared" si="22"/>
        <v>0</v>
      </c>
      <c r="Y731" s="1">
        <f t="shared" si="23"/>
        <v>15</v>
      </c>
    </row>
    <row r="732" spans="24:25" x14ac:dyDescent="0.3">
      <c r="X732" s="1">
        <f t="shared" si="22"/>
        <v>0</v>
      </c>
      <c r="Y732" s="1">
        <f t="shared" si="23"/>
        <v>15</v>
      </c>
    </row>
    <row r="733" spans="24:25" x14ac:dyDescent="0.3">
      <c r="X733" s="1">
        <f t="shared" si="22"/>
        <v>0</v>
      </c>
      <c r="Y733" s="1">
        <f t="shared" si="23"/>
        <v>15</v>
      </c>
    </row>
    <row r="734" spans="24:25" x14ac:dyDescent="0.3">
      <c r="X734" s="1">
        <f t="shared" si="22"/>
        <v>0</v>
      </c>
      <c r="Y734" s="1">
        <f t="shared" si="23"/>
        <v>15</v>
      </c>
    </row>
    <row r="735" spans="24:25" x14ac:dyDescent="0.3">
      <c r="X735" s="1">
        <f t="shared" si="22"/>
        <v>0</v>
      </c>
      <c r="Y735" s="1">
        <f t="shared" si="23"/>
        <v>15</v>
      </c>
    </row>
    <row r="736" spans="24:25" x14ac:dyDescent="0.3">
      <c r="X736" s="1">
        <f t="shared" si="22"/>
        <v>0</v>
      </c>
      <c r="Y736" s="1">
        <f t="shared" si="23"/>
        <v>15</v>
      </c>
    </row>
    <row r="737" spans="24:25" x14ac:dyDescent="0.3">
      <c r="X737" s="1">
        <f t="shared" si="22"/>
        <v>0</v>
      </c>
      <c r="Y737" s="1">
        <f t="shared" si="23"/>
        <v>15</v>
      </c>
    </row>
    <row r="738" spans="24:25" x14ac:dyDescent="0.3">
      <c r="X738" s="1">
        <f t="shared" si="22"/>
        <v>0</v>
      </c>
      <c r="Y738" s="1">
        <f t="shared" si="23"/>
        <v>15</v>
      </c>
    </row>
    <row r="739" spans="24:25" x14ac:dyDescent="0.3">
      <c r="X739" s="1">
        <f t="shared" si="22"/>
        <v>0</v>
      </c>
      <c r="Y739" s="1">
        <f t="shared" si="23"/>
        <v>15</v>
      </c>
    </row>
    <row r="740" spans="24:25" x14ac:dyDescent="0.3">
      <c r="X740" s="1">
        <f t="shared" si="22"/>
        <v>0</v>
      </c>
      <c r="Y740" s="1">
        <f t="shared" si="23"/>
        <v>15</v>
      </c>
    </row>
    <row r="741" spans="24:25" x14ac:dyDescent="0.3">
      <c r="X741" s="1">
        <f t="shared" si="22"/>
        <v>0</v>
      </c>
      <c r="Y741" s="1">
        <f t="shared" si="23"/>
        <v>15</v>
      </c>
    </row>
    <row r="742" spans="24:25" x14ac:dyDescent="0.3">
      <c r="X742" s="1">
        <f t="shared" si="22"/>
        <v>0</v>
      </c>
      <c r="Y742" s="1">
        <f t="shared" si="23"/>
        <v>15</v>
      </c>
    </row>
    <row r="743" spans="24:25" x14ac:dyDescent="0.3">
      <c r="X743" s="1">
        <f t="shared" si="22"/>
        <v>0</v>
      </c>
      <c r="Y743" s="1">
        <f t="shared" si="23"/>
        <v>15</v>
      </c>
    </row>
    <row r="744" spans="24:25" x14ac:dyDescent="0.3">
      <c r="X744" s="1">
        <f t="shared" si="22"/>
        <v>0</v>
      </c>
      <c r="Y744" s="1">
        <f t="shared" si="23"/>
        <v>15</v>
      </c>
    </row>
    <row r="745" spans="24:25" x14ac:dyDescent="0.3">
      <c r="X745" s="1">
        <f t="shared" si="22"/>
        <v>0</v>
      </c>
      <c r="Y745" s="1">
        <f t="shared" si="23"/>
        <v>15</v>
      </c>
    </row>
    <row r="746" spans="24:25" x14ac:dyDescent="0.3">
      <c r="X746" s="1">
        <f t="shared" si="22"/>
        <v>0</v>
      </c>
      <c r="Y746" s="1">
        <f t="shared" si="23"/>
        <v>15</v>
      </c>
    </row>
    <row r="747" spans="24:25" x14ac:dyDescent="0.3">
      <c r="X747" s="1">
        <f t="shared" si="22"/>
        <v>0</v>
      </c>
      <c r="Y747" s="1">
        <f t="shared" si="23"/>
        <v>15</v>
      </c>
    </row>
    <row r="748" spans="24:25" x14ac:dyDescent="0.3">
      <c r="X748" s="1">
        <f t="shared" si="22"/>
        <v>0</v>
      </c>
      <c r="Y748" s="1">
        <f t="shared" si="23"/>
        <v>15</v>
      </c>
    </row>
    <row r="749" spans="24:25" x14ac:dyDescent="0.3">
      <c r="X749" s="1">
        <f t="shared" si="22"/>
        <v>0</v>
      </c>
      <c r="Y749" s="1">
        <f t="shared" si="23"/>
        <v>15</v>
      </c>
    </row>
    <row r="750" spans="24:25" x14ac:dyDescent="0.3">
      <c r="X750" s="1">
        <f t="shared" si="22"/>
        <v>0</v>
      </c>
      <c r="Y750" s="1">
        <f t="shared" si="23"/>
        <v>15</v>
      </c>
    </row>
    <row r="751" spans="24:25" x14ac:dyDescent="0.3">
      <c r="X751" s="1">
        <f t="shared" si="22"/>
        <v>0</v>
      </c>
      <c r="Y751" s="1">
        <f t="shared" si="23"/>
        <v>15</v>
      </c>
    </row>
    <row r="752" spans="24:25" x14ac:dyDescent="0.3">
      <c r="X752" s="1">
        <f t="shared" si="22"/>
        <v>0</v>
      </c>
      <c r="Y752" s="1">
        <f t="shared" si="23"/>
        <v>15</v>
      </c>
    </row>
    <row r="753" spans="24:25" x14ac:dyDescent="0.3">
      <c r="X753" s="1">
        <f t="shared" si="22"/>
        <v>0</v>
      </c>
      <c r="Y753" s="1">
        <f t="shared" si="23"/>
        <v>15</v>
      </c>
    </row>
    <row r="754" spans="24:25" x14ac:dyDescent="0.3">
      <c r="X754" s="1">
        <f t="shared" si="22"/>
        <v>0</v>
      </c>
      <c r="Y754" s="1">
        <f t="shared" si="23"/>
        <v>15</v>
      </c>
    </row>
    <row r="755" spans="24:25" x14ac:dyDescent="0.3">
      <c r="X755" s="1">
        <f t="shared" si="22"/>
        <v>0</v>
      </c>
      <c r="Y755" s="1">
        <f t="shared" si="23"/>
        <v>15</v>
      </c>
    </row>
    <row r="756" spans="24:25" x14ac:dyDescent="0.3">
      <c r="X756" s="1">
        <f t="shared" si="22"/>
        <v>0</v>
      </c>
      <c r="Y756" s="1">
        <f t="shared" si="23"/>
        <v>15</v>
      </c>
    </row>
    <row r="757" spans="24:25" x14ac:dyDescent="0.3">
      <c r="X757" s="1">
        <f t="shared" si="22"/>
        <v>0</v>
      </c>
      <c r="Y757" s="1">
        <f t="shared" si="23"/>
        <v>15</v>
      </c>
    </row>
    <row r="758" spans="24:25" x14ac:dyDescent="0.3">
      <c r="X758" s="1">
        <f t="shared" si="22"/>
        <v>0</v>
      </c>
      <c r="Y758" s="1">
        <f t="shared" si="23"/>
        <v>15</v>
      </c>
    </row>
    <row r="759" spans="24:25" x14ac:dyDescent="0.3">
      <c r="X759" s="1">
        <f t="shared" si="22"/>
        <v>0</v>
      </c>
      <c r="Y759" s="1">
        <f t="shared" si="23"/>
        <v>15</v>
      </c>
    </row>
    <row r="760" spans="24:25" x14ac:dyDescent="0.3">
      <c r="X760" s="1">
        <f t="shared" si="22"/>
        <v>0</v>
      </c>
      <c r="Y760" s="1">
        <f t="shared" si="23"/>
        <v>15</v>
      </c>
    </row>
    <row r="761" spans="24:25" x14ac:dyDescent="0.3">
      <c r="X761" s="1">
        <f t="shared" si="22"/>
        <v>0</v>
      </c>
      <c r="Y761" s="1">
        <f t="shared" si="23"/>
        <v>15</v>
      </c>
    </row>
    <row r="762" spans="24:25" x14ac:dyDescent="0.3">
      <c r="X762" s="1">
        <f t="shared" si="22"/>
        <v>0</v>
      </c>
      <c r="Y762" s="1">
        <f t="shared" si="23"/>
        <v>15</v>
      </c>
    </row>
    <row r="763" spans="24:25" x14ac:dyDescent="0.3">
      <c r="X763" s="1">
        <f t="shared" si="22"/>
        <v>0</v>
      </c>
      <c r="Y763" s="1">
        <f t="shared" si="23"/>
        <v>15</v>
      </c>
    </row>
    <row r="764" spans="24:25" x14ac:dyDescent="0.3">
      <c r="X764" s="1">
        <f t="shared" si="22"/>
        <v>0</v>
      </c>
      <c r="Y764" s="1">
        <f t="shared" si="23"/>
        <v>15</v>
      </c>
    </row>
    <row r="765" spans="24:25" x14ac:dyDescent="0.3">
      <c r="X765" s="1">
        <f t="shared" si="22"/>
        <v>0</v>
      </c>
      <c r="Y765" s="1">
        <f t="shared" si="23"/>
        <v>15</v>
      </c>
    </row>
    <row r="766" spans="24:25" x14ac:dyDescent="0.3">
      <c r="X766" s="1">
        <f t="shared" si="22"/>
        <v>0</v>
      </c>
      <c r="Y766" s="1">
        <f t="shared" si="23"/>
        <v>15</v>
      </c>
    </row>
    <row r="767" spans="24:25" x14ac:dyDescent="0.3">
      <c r="X767" s="1">
        <f t="shared" si="22"/>
        <v>0</v>
      </c>
      <c r="Y767" s="1">
        <f t="shared" si="23"/>
        <v>15</v>
      </c>
    </row>
    <row r="768" spans="24:25" x14ac:dyDescent="0.3">
      <c r="X768" s="1">
        <f t="shared" si="22"/>
        <v>0</v>
      </c>
      <c r="Y768" s="1">
        <f t="shared" si="23"/>
        <v>15</v>
      </c>
    </row>
    <row r="769" spans="24:25" x14ac:dyDescent="0.3">
      <c r="X769" s="1">
        <f t="shared" si="22"/>
        <v>0</v>
      </c>
      <c r="Y769" s="1">
        <f t="shared" si="23"/>
        <v>15</v>
      </c>
    </row>
    <row r="770" spans="24:25" x14ac:dyDescent="0.3">
      <c r="X770" s="1">
        <f t="shared" si="22"/>
        <v>0</v>
      </c>
      <c r="Y770" s="1">
        <f t="shared" si="23"/>
        <v>15</v>
      </c>
    </row>
    <row r="771" spans="24:25" x14ac:dyDescent="0.3">
      <c r="X771" s="1">
        <f t="shared" ref="X771:X834" si="24">IFERROR(MATCH(W771,$B:$B,0),0)</f>
        <v>0</v>
      </c>
      <c r="Y771" s="1">
        <f t="shared" ref="Y771:Y834" si="25">IF(X772=0,COUNTA(A:A),X772-1)</f>
        <v>15</v>
      </c>
    </row>
    <row r="772" spans="24:25" x14ac:dyDescent="0.3">
      <c r="X772" s="1">
        <f t="shared" si="24"/>
        <v>0</v>
      </c>
      <c r="Y772" s="1">
        <f t="shared" si="25"/>
        <v>15</v>
      </c>
    </row>
    <row r="773" spans="24:25" x14ac:dyDescent="0.3">
      <c r="X773" s="1">
        <f t="shared" si="24"/>
        <v>0</v>
      </c>
      <c r="Y773" s="1">
        <f t="shared" si="25"/>
        <v>15</v>
      </c>
    </row>
    <row r="774" spans="24:25" x14ac:dyDescent="0.3">
      <c r="X774" s="1">
        <f t="shared" si="24"/>
        <v>0</v>
      </c>
      <c r="Y774" s="1">
        <f t="shared" si="25"/>
        <v>15</v>
      </c>
    </row>
    <row r="775" spans="24:25" x14ac:dyDescent="0.3">
      <c r="X775" s="1">
        <f t="shared" si="24"/>
        <v>0</v>
      </c>
      <c r="Y775" s="1">
        <f t="shared" si="25"/>
        <v>15</v>
      </c>
    </row>
    <row r="776" spans="24:25" x14ac:dyDescent="0.3">
      <c r="X776" s="1">
        <f t="shared" si="24"/>
        <v>0</v>
      </c>
      <c r="Y776" s="1">
        <f t="shared" si="25"/>
        <v>15</v>
      </c>
    </row>
    <row r="777" spans="24:25" x14ac:dyDescent="0.3">
      <c r="X777" s="1">
        <f t="shared" si="24"/>
        <v>0</v>
      </c>
      <c r="Y777" s="1">
        <f t="shared" si="25"/>
        <v>15</v>
      </c>
    </row>
    <row r="778" spans="24:25" x14ac:dyDescent="0.3">
      <c r="X778" s="1">
        <f t="shared" si="24"/>
        <v>0</v>
      </c>
      <c r="Y778" s="1">
        <f t="shared" si="25"/>
        <v>15</v>
      </c>
    </row>
    <row r="779" spans="24:25" x14ac:dyDescent="0.3">
      <c r="X779" s="1">
        <f t="shared" si="24"/>
        <v>0</v>
      </c>
      <c r="Y779" s="1">
        <f t="shared" si="25"/>
        <v>15</v>
      </c>
    </row>
    <row r="780" spans="24:25" x14ac:dyDescent="0.3">
      <c r="X780" s="1">
        <f t="shared" si="24"/>
        <v>0</v>
      </c>
      <c r="Y780" s="1">
        <f t="shared" si="25"/>
        <v>15</v>
      </c>
    </row>
    <row r="781" spans="24:25" x14ac:dyDescent="0.3">
      <c r="X781" s="1">
        <f t="shared" si="24"/>
        <v>0</v>
      </c>
      <c r="Y781" s="1">
        <f t="shared" si="25"/>
        <v>15</v>
      </c>
    </row>
    <row r="782" spans="24:25" x14ac:dyDescent="0.3">
      <c r="X782" s="1">
        <f t="shared" si="24"/>
        <v>0</v>
      </c>
      <c r="Y782" s="1">
        <f t="shared" si="25"/>
        <v>15</v>
      </c>
    </row>
    <row r="783" spans="24:25" x14ac:dyDescent="0.3">
      <c r="X783" s="1">
        <f t="shared" si="24"/>
        <v>0</v>
      </c>
      <c r="Y783" s="1">
        <f t="shared" si="25"/>
        <v>15</v>
      </c>
    </row>
    <row r="784" spans="24:25" x14ac:dyDescent="0.3">
      <c r="X784" s="1">
        <f t="shared" si="24"/>
        <v>0</v>
      </c>
      <c r="Y784" s="1">
        <f t="shared" si="25"/>
        <v>15</v>
      </c>
    </row>
    <row r="785" spans="24:25" x14ac:dyDescent="0.3">
      <c r="X785" s="1">
        <f t="shared" si="24"/>
        <v>0</v>
      </c>
      <c r="Y785" s="1">
        <f t="shared" si="25"/>
        <v>15</v>
      </c>
    </row>
    <row r="786" spans="24:25" x14ac:dyDescent="0.3">
      <c r="X786" s="1">
        <f t="shared" si="24"/>
        <v>0</v>
      </c>
      <c r="Y786" s="1">
        <f t="shared" si="25"/>
        <v>15</v>
      </c>
    </row>
    <row r="787" spans="24:25" x14ac:dyDescent="0.3">
      <c r="X787" s="1">
        <f t="shared" si="24"/>
        <v>0</v>
      </c>
      <c r="Y787" s="1">
        <f t="shared" si="25"/>
        <v>15</v>
      </c>
    </row>
    <row r="788" spans="24:25" x14ac:dyDescent="0.3">
      <c r="X788" s="1">
        <f t="shared" si="24"/>
        <v>0</v>
      </c>
      <c r="Y788" s="1">
        <f t="shared" si="25"/>
        <v>15</v>
      </c>
    </row>
    <row r="789" spans="24:25" x14ac:dyDescent="0.3">
      <c r="X789" s="1">
        <f t="shared" si="24"/>
        <v>0</v>
      </c>
      <c r="Y789" s="1">
        <f t="shared" si="25"/>
        <v>15</v>
      </c>
    </row>
    <row r="790" spans="24:25" x14ac:dyDescent="0.3">
      <c r="X790" s="1">
        <f t="shared" si="24"/>
        <v>0</v>
      </c>
      <c r="Y790" s="1">
        <f t="shared" si="25"/>
        <v>15</v>
      </c>
    </row>
    <row r="791" spans="24:25" x14ac:dyDescent="0.3">
      <c r="X791" s="1">
        <f t="shared" si="24"/>
        <v>0</v>
      </c>
      <c r="Y791" s="1">
        <f t="shared" si="25"/>
        <v>15</v>
      </c>
    </row>
    <row r="792" spans="24:25" x14ac:dyDescent="0.3">
      <c r="X792" s="1">
        <f t="shared" si="24"/>
        <v>0</v>
      </c>
      <c r="Y792" s="1">
        <f t="shared" si="25"/>
        <v>15</v>
      </c>
    </row>
    <row r="793" spans="24:25" x14ac:dyDescent="0.3">
      <c r="X793" s="1">
        <f t="shared" si="24"/>
        <v>0</v>
      </c>
      <c r="Y793" s="1">
        <f t="shared" si="25"/>
        <v>15</v>
      </c>
    </row>
    <row r="794" spans="24:25" x14ac:dyDescent="0.3">
      <c r="X794" s="1">
        <f t="shared" si="24"/>
        <v>0</v>
      </c>
      <c r="Y794" s="1">
        <f t="shared" si="25"/>
        <v>15</v>
      </c>
    </row>
    <row r="795" spans="24:25" x14ac:dyDescent="0.3">
      <c r="X795" s="1">
        <f t="shared" si="24"/>
        <v>0</v>
      </c>
      <c r="Y795" s="1">
        <f t="shared" si="25"/>
        <v>15</v>
      </c>
    </row>
    <row r="796" spans="24:25" x14ac:dyDescent="0.3">
      <c r="X796" s="1">
        <f t="shared" si="24"/>
        <v>0</v>
      </c>
      <c r="Y796" s="1">
        <f t="shared" si="25"/>
        <v>15</v>
      </c>
    </row>
    <row r="797" spans="24:25" x14ac:dyDescent="0.3">
      <c r="X797" s="1">
        <f t="shared" si="24"/>
        <v>0</v>
      </c>
      <c r="Y797" s="1">
        <f t="shared" si="25"/>
        <v>15</v>
      </c>
    </row>
    <row r="798" spans="24:25" x14ac:dyDescent="0.3">
      <c r="X798" s="1">
        <f t="shared" si="24"/>
        <v>0</v>
      </c>
      <c r="Y798" s="1">
        <f t="shared" si="25"/>
        <v>15</v>
      </c>
    </row>
    <row r="799" spans="24:25" x14ac:dyDescent="0.3">
      <c r="X799" s="1">
        <f t="shared" si="24"/>
        <v>0</v>
      </c>
      <c r="Y799" s="1">
        <f t="shared" si="25"/>
        <v>15</v>
      </c>
    </row>
    <row r="800" spans="24:25" x14ac:dyDescent="0.3">
      <c r="X800" s="1">
        <f t="shared" si="24"/>
        <v>0</v>
      </c>
      <c r="Y800" s="1">
        <f t="shared" si="25"/>
        <v>15</v>
      </c>
    </row>
    <row r="801" spans="24:25" x14ac:dyDescent="0.3">
      <c r="X801" s="1">
        <f t="shared" si="24"/>
        <v>0</v>
      </c>
      <c r="Y801" s="1">
        <f t="shared" si="25"/>
        <v>15</v>
      </c>
    </row>
    <row r="802" spans="24:25" x14ac:dyDescent="0.3">
      <c r="X802" s="1">
        <f t="shared" si="24"/>
        <v>0</v>
      </c>
      <c r="Y802" s="1">
        <f t="shared" si="25"/>
        <v>15</v>
      </c>
    </row>
    <row r="803" spans="24:25" x14ac:dyDescent="0.3">
      <c r="X803" s="1">
        <f t="shared" si="24"/>
        <v>0</v>
      </c>
      <c r="Y803" s="1">
        <f t="shared" si="25"/>
        <v>15</v>
      </c>
    </row>
    <row r="804" spans="24:25" x14ac:dyDescent="0.3">
      <c r="X804" s="1">
        <f t="shared" si="24"/>
        <v>0</v>
      </c>
      <c r="Y804" s="1">
        <f t="shared" si="25"/>
        <v>15</v>
      </c>
    </row>
    <row r="805" spans="24:25" x14ac:dyDescent="0.3">
      <c r="X805" s="1">
        <f t="shared" si="24"/>
        <v>0</v>
      </c>
      <c r="Y805" s="1">
        <f t="shared" si="25"/>
        <v>15</v>
      </c>
    </row>
    <row r="806" spans="24:25" x14ac:dyDescent="0.3">
      <c r="X806" s="1">
        <f t="shared" si="24"/>
        <v>0</v>
      </c>
      <c r="Y806" s="1">
        <f t="shared" si="25"/>
        <v>15</v>
      </c>
    </row>
    <row r="807" spans="24:25" x14ac:dyDescent="0.3">
      <c r="X807" s="1">
        <f t="shared" si="24"/>
        <v>0</v>
      </c>
      <c r="Y807" s="1">
        <f t="shared" si="25"/>
        <v>15</v>
      </c>
    </row>
    <row r="808" spans="24:25" x14ac:dyDescent="0.3">
      <c r="X808" s="1">
        <f t="shared" si="24"/>
        <v>0</v>
      </c>
      <c r="Y808" s="1">
        <f t="shared" si="25"/>
        <v>15</v>
      </c>
    </row>
    <row r="809" spans="24:25" x14ac:dyDescent="0.3">
      <c r="X809" s="1">
        <f t="shared" si="24"/>
        <v>0</v>
      </c>
      <c r="Y809" s="1">
        <f t="shared" si="25"/>
        <v>15</v>
      </c>
    </row>
    <row r="810" spans="24:25" x14ac:dyDescent="0.3">
      <c r="X810" s="1">
        <f t="shared" si="24"/>
        <v>0</v>
      </c>
      <c r="Y810" s="1">
        <f t="shared" si="25"/>
        <v>15</v>
      </c>
    </row>
    <row r="811" spans="24:25" x14ac:dyDescent="0.3">
      <c r="X811" s="1">
        <f t="shared" si="24"/>
        <v>0</v>
      </c>
      <c r="Y811" s="1">
        <f t="shared" si="25"/>
        <v>15</v>
      </c>
    </row>
    <row r="812" spans="24:25" x14ac:dyDescent="0.3">
      <c r="X812" s="1">
        <f t="shared" si="24"/>
        <v>0</v>
      </c>
      <c r="Y812" s="1">
        <f t="shared" si="25"/>
        <v>15</v>
      </c>
    </row>
    <row r="813" spans="24:25" x14ac:dyDescent="0.3">
      <c r="X813" s="1">
        <f t="shared" si="24"/>
        <v>0</v>
      </c>
      <c r="Y813" s="1">
        <f t="shared" si="25"/>
        <v>15</v>
      </c>
    </row>
    <row r="814" spans="24:25" x14ac:dyDescent="0.3">
      <c r="X814" s="1">
        <f t="shared" si="24"/>
        <v>0</v>
      </c>
      <c r="Y814" s="1">
        <f t="shared" si="25"/>
        <v>15</v>
      </c>
    </row>
    <row r="815" spans="24:25" x14ac:dyDescent="0.3">
      <c r="X815" s="1">
        <f t="shared" si="24"/>
        <v>0</v>
      </c>
      <c r="Y815" s="1">
        <f t="shared" si="25"/>
        <v>15</v>
      </c>
    </row>
    <row r="816" spans="24:25" x14ac:dyDescent="0.3">
      <c r="X816" s="1">
        <f t="shared" si="24"/>
        <v>0</v>
      </c>
      <c r="Y816" s="1">
        <f t="shared" si="25"/>
        <v>15</v>
      </c>
    </row>
    <row r="817" spans="24:25" x14ac:dyDescent="0.3">
      <c r="X817" s="1">
        <f t="shared" si="24"/>
        <v>0</v>
      </c>
      <c r="Y817" s="1">
        <f t="shared" si="25"/>
        <v>15</v>
      </c>
    </row>
    <row r="818" spans="24:25" x14ac:dyDescent="0.3">
      <c r="X818" s="1">
        <f t="shared" si="24"/>
        <v>0</v>
      </c>
      <c r="Y818" s="1">
        <f t="shared" si="25"/>
        <v>15</v>
      </c>
    </row>
    <row r="819" spans="24:25" x14ac:dyDescent="0.3">
      <c r="X819" s="1">
        <f t="shared" si="24"/>
        <v>0</v>
      </c>
      <c r="Y819" s="1">
        <f t="shared" si="25"/>
        <v>15</v>
      </c>
    </row>
    <row r="820" spans="24:25" x14ac:dyDescent="0.3">
      <c r="X820" s="1">
        <f t="shared" si="24"/>
        <v>0</v>
      </c>
      <c r="Y820" s="1">
        <f t="shared" si="25"/>
        <v>15</v>
      </c>
    </row>
    <row r="821" spans="24:25" x14ac:dyDescent="0.3">
      <c r="X821" s="1">
        <f t="shared" si="24"/>
        <v>0</v>
      </c>
      <c r="Y821" s="1">
        <f t="shared" si="25"/>
        <v>15</v>
      </c>
    </row>
    <row r="822" spans="24:25" x14ac:dyDescent="0.3">
      <c r="X822" s="1">
        <f t="shared" si="24"/>
        <v>0</v>
      </c>
      <c r="Y822" s="1">
        <f t="shared" si="25"/>
        <v>15</v>
      </c>
    </row>
    <row r="823" spans="24:25" x14ac:dyDescent="0.3">
      <c r="X823" s="1">
        <f t="shared" si="24"/>
        <v>0</v>
      </c>
      <c r="Y823" s="1">
        <f t="shared" si="25"/>
        <v>15</v>
      </c>
    </row>
    <row r="824" spans="24:25" x14ac:dyDescent="0.3">
      <c r="X824" s="1">
        <f t="shared" si="24"/>
        <v>0</v>
      </c>
      <c r="Y824" s="1">
        <f t="shared" si="25"/>
        <v>15</v>
      </c>
    </row>
    <row r="825" spans="24:25" x14ac:dyDescent="0.3">
      <c r="X825" s="1">
        <f t="shared" si="24"/>
        <v>0</v>
      </c>
      <c r="Y825" s="1">
        <f t="shared" si="25"/>
        <v>15</v>
      </c>
    </row>
    <row r="826" spans="24:25" x14ac:dyDescent="0.3">
      <c r="X826" s="1">
        <f t="shared" si="24"/>
        <v>0</v>
      </c>
      <c r="Y826" s="1">
        <f t="shared" si="25"/>
        <v>15</v>
      </c>
    </row>
    <row r="827" spans="24:25" x14ac:dyDescent="0.3">
      <c r="X827" s="1">
        <f t="shared" si="24"/>
        <v>0</v>
      </c>
      <c r="Y827" s="1">
        <f t="shared" si="25"/>
        <v>15</v>
      </c>
    </row>
    <row r="828" spans="24:25" x14ac:dyDescent="0.3">
      <c r="X828" s="1">
        <f t="shared" si="24"/>
        <v>0</v>
      </c>
      <c r="Y828" s="1">
        <f t="shared" si="25"/>
        <v>15</v>
      </c>
    </row>
    <row r="829" spans="24:25" x14ac:dyDescent="0.3">
      <c r="X829" s="1">
        <f t="shared" si="24"/>
        <v>0</v>
      </c>
      <c r="Y829" s="1">
        <f t="shared" si="25"/>
        <v>15</v>
      </c>
    </row>
    <row r="830" spans="24:25" x14ac:dyDescent="0.3">
      <c r="X830" s="1">
        <f t="shared" si="24"/>
        <v>0</v>
      </c>
      <c r="Y830" s="1">
        <f t="shared" si="25"/>
        <v>15</v>
      </c>
    </row>
    <row r="831" spans="24:25" x14ac:dyDescent="0.3">
      <c r="X831" s="1">
        <f t="shared" si="24"/>
        <v>0</v>
      </c>
      <c r="Y831" s="1">
        <f t="shared" si="25"/>
        <v>15</v>
      </c>
    </row>
    <row r="832" spans="24:25" x14ac:dyDescent="0.3">
      <c r="X832" s="1">
        <f t="shared" si="24"/>
        <v>0</v>
      </c>
      <c r="Y832" s="1">
        <f t="shared" si="25"/>
        <v>15</v>
      </c>
    </row>
    <row r="833" spans="24:25" x14ac:dyDescent="0.3">
      <c r="X833" s="1">
        <f t="shared" si="24"/>
        <v>0</v>
      </c>
      <c r="Y833" s="1">
        <f t="shared" si="25"/>
        <v>15</v>
      </c>
    </row>
    <row r="834" spans="24:25" x14ac:dyDescent="0.3">
      <c r="X834" s="1">
        <f t="shared" si="24"/>
        <v>0</v>
      </c>
      <c r="Y834" s="1">
        <f t="shared" si="25"/>
        <v>15</v>
      </c>
    </row>
    <row r="835" spans="24:25" x14ac:dyDescent="0.3">
      <c r="X835" s="1">
        <f t="shared" ref="X835:X898" si="26">IFERROR(MATCH(W835,$B:$B,0),0)</f>
        <v>0</v>
      </c>
      <c r="Y835" s="1">
        <f t="shared" ref="Y835:Y898" si="27">IF(X836=0,COUNTA(A:A),X836-1)</f>
        <v>15</v>
      </c>
    </row>
    <row r="836" spans="24:25" x14ac:dyDescent="0.3">
      <c r="X836" s="1">
        <f t="shared" si="26"/>
        <v>0</v>
      </c>
      <c r="Y836" s="1">
        <f t="shared" si="27"/>
        <v>15</v>
      </c>
    </row>
    <row r="837" spans="24:25" x14ac:dyDescent="0.3">
      <c r="X837" s="1">
        <f t="shared" si="26"/>
        <v>0</v>
      </c>
      <c r="Y837" s="1">
        <f t="shared" si="27"/>
        <v>15</v>
      </c>
    </row>
    <row r="838" spans="24:25" x14ac:dyDescent="0.3">
      <c r="X838" s="1">
        <f t="shared" si="26"/>
        <v>0</v>
      </c>
      <c r="Y838" s="1">
        <f t="shared" si="27"/>
        <v>15</v>
      </c>
    </row>
    <row r="839" spans="24:25" x14ac:dyDescent="0.3">
      <c r="X839" s="1">
        <f t="shared" si="26"/>
        <v>0</v>
      </c>
      <c r="Y839" s="1">
        <f t="shared" si="27"/>
        <v>15</v>
      </c>
    </row>
    <row r="840" spans="24:25" x14ac:dyDescent="0.3">
      <c r="X840" s="1">
        <f t="shared" si="26"/>
        <v>0</v>
      </c>
      <c r="Y840" s="1">
        <f t="shared" si="27"/>
        <v>15</v>
      </c>
    </row>
    <row r="841" spans="24:25" x14ac:dyDescent="0.3">
      <c r="X841" s="1">
        <f t="shared" si="26"/>
        <v>0</v>
      </c>
      <c r="Y841" s="1">
        <f t="shared" si="27"/>
        <v>15</v>
      </c>
    </row>
    <row r="842" spans="24:25" x14ac:dyDescent="0.3">
      <c r="X842" s="1">
        <f t="shared" si="26"/>
        <v>0</v>
      </c>
      <c r="Y842" s="1">
        <f t="shared" si="27"/>
        <v>15</v>
      </c>
    </row>
    <row r="843" spans="24:25" x14ac:dyDescent="0.3">
      <c r="X843" s="1">
        <f t="shared" si="26"/>
        <v>0</v>
      </c>
      <c r="Y843" s="1">
        <f t="shared" si="27"/>
        <v>15</v>
      </c>
    </row>
    <row r="844" spans="24:25" x14ac:dyDescent="0.3">
      <c r="X844" s="1">
        <f t="shared" si="26"/>
        <v>0</v>
      </c>
      <c r="Y844" s="1">
        <f t="shared" si="27"/>
        <v>15</v>
      </c>
    </row>
    <row r="845" spans="24:25" x14ac:dyDescent="0.3">
      <c r="X845" s="1">
        <f t="shared" si="26"/>
        <v>0</v>
      </c>
      <c r="Y845" s="1">
        <f t="shared" si="27"/>
        <v>15</v>
      </c>
    </row>
    <row r="846" spans="24:25" x14ac:dyDescent="0.3">
      <c r="X846" s="1">
        <f t="shared" si="26"/>
        <v>0</v>
      </c>
      <c r="Y846" s="1">
        <f t="shared" si="27"/>
        <v>15</v>
      </c>
    </row>
    <row r="847" spans="24:25" x14ac:dyDescent="0.3">
      <c r="X847" s="1">
        <f t="shared" si="26"/>
        <v>0</v>
      </c>
      <c r="Y847" s="1">
        <f t="shared" si="27"/>
        <v>15</v>
      </c>
    </row>
    <row r="848" spans="24:25" x14ac:dyDescent="0.3">
      <c r="X848" s="1">
        <f t="shared" si="26"/>
        <v>0</v>
      </c>
      <c r="Y848" s="1">
        <f t="shared" si="27"/>
        <v>15</v>
      </c>
    </row>
    <row r="849" spans="24:25" x14ac:dyDescent="0.3">
      <c r="X849" s="1">
        <f t="shared" si="26"/>
        <v>0</v>
      </c>
      <c r="Y849" s="1">
        <f t="shared" si="27"/>
        <v>15</v>
      </c>
    </row>
    <row r="850" spans="24:25" x14ac:dyDescent="0.3">
      <c r="X850" s="1">
        <f t="shared" si="26"/>
        <v>0</v>
      </c>
      <c r="Y850" s="1">
        <f t="shared" si="27"/>
        <v>15</v>
      </c>
    </row>
    <row r="851" spans="24:25" x14ac:dyDescent="0.3">
      <c r="X851" s="1">
        <f t="shared" si="26"/>
        <v>0</v>
      </c>
      <c r="Y851" s="1">
        <f t="shared" si="27"/>
        <v>15</v>
      </c>
    </row>
    <row r="852" spans="24:25" x14ac:dyDescent="0.3">
      <c r="X852" s="1">
        <f t="shared" si="26"/>
        <v>0</v>
      </c>
      <c r="Y852" s="1">
        <f t="shared" si="27"/>
        <v>15</v>
      </c>
    </row>
    <row r="853" spans="24:25" x14ac:dyDescent="0.3">
      <c r="X853" s="1">
        <f t="shared" si="26"/>
        <v>0</v>
      </c>
      <c r="Y853" s="1">
        <f t="shared" si="27"/>
        <v>15</v>
      </c>
    </row>
    <row r="854" spans="24:25" x14ac:dyDescent="0.3">
      <c r="X854" s="1">
        <f t="shared" si="26"/>
        <v>0</v>
      </c>
      <c r="Y854" s="1">
        <f t="shared" si="27"/>
        <v>15</v>
      </c>
    </row>
    <row r="855" spans="24:25" x14ac:dyDescent="0.3">
      <c r="X855" s="1">
        <f t="shared" si="26"/>
        <v>0</v>
      </c>
      <c r="Y855" s="1">
        <f t="shared" si="27"/>
        <v>15</v>
      </c>
    </row>
    <row r="856" spans="24:25" x14ac:dyDescent="0.3">
      <c r="X856" s="1">
        <f t="shared" si="26"/>
        <v>0</v>
      </c>
      <c r="Y856" s="1">
        <f t="shared" si="27"/>
        <v>15</v>
      </c>
    </row>
    <row r="857" spans="24:25" x14ac:dyDescent="0.3">
      <c r="X857" s="1">
        <f t="shared" si="26"/>
        <v>0</v>
      </c>
      <c r="Y857" s="1">
        <f t="shared" si="27"/>
        <v>15</v>
      </c>
    </row>
    <row r="858" spans="24:25" x14ac:dyDescent="0.3">
      <c r="X858" s="1">
        <f t="shared" si="26"/>
        <v>0</v>
      </c>
      <c r="Y858" s="1">
        <f t="shared" si="27"/>
        <v>15</v>
      </c>
    </row>
    <row r="859" spans="24:25" x14ac:dyDescent="0.3">
      <c r="X859" s="1">
        <f t="shared" si="26"/>
        <v>0</v>
      </c>
      <c r="Y859" s="1">
        <f t="shared" si="27"/>
        <v>15</v>
      </c>
    </row>
    <row r="860" spans="24:25" x14ac:dyDescent="0.3">
      <c r="X860" s="1">
        <f t="shared" si="26"/>
        <v>0</v>
      </c>
      <c r="Y860" s="1">
        <f t="shared" si="27"/>
        <v>15</v>
      </c>
    </row>
    <row r="861" spans="24:25" x14ac:dyDescent="0.3">
      <c r="X861" s="1">
        <f t="shared" si="26"/>
        <v>0</v>
      </c>
      <c r="Y861" s="1">
        <f t="shared" si="27"/>
        <v>15</v>
      </c>
    </row>
    <row r="862" spans="24:25" x14ac:dyDescent="0.3">
      <c r="X862" s="1">
        <f t="shared" si="26"/>
        <v>0</v>
      </c>
      <c r="Y862" s="1">
        <f t="shared" si="27"/>
        <v>15</v>
      </c>
    </row>
    <row r="863" spans="24:25" x14ac:dyDescent="0.3">
      <c r="X863" s="1">
        <f t="shared" si="26"/>
        <v>0</v>
      </c>
      <c r="Y863" s="1">
        <f t="shared" si="27"/>
        <v>15</v>
      </c>
    </row>
    <row r="864" spans="24:25" x14ac:dyDescent="0.3">
      <c r="X864" s="1">
        <f t="shared" si="26"/>
        <v>0</v>
      </c>
      <c r="Y864" s="1">
        <f t="shared" si="27"/>
        <v>15</v>
      </c>
    </row>
    <row r="865" spans="24:25" x14ac:dyDescent="0.3">
      <c r="X865" s="1">
        <f t="shared" si="26"/>
        <v>0</v>
      </c>
      <c r="Y865" s="1">
        <f t="shared" si="27"/>
        <v>15</v>
      </c>
    </row>
    <row r="866" spans="24:25" x14ac:dyDescent="0.3">
      <c r="X866" s="1">
        <f t="shared" si="26"/>
        <v>0</v>
      </c>
      <c r="Y866" s="1">
        <f t="shared" si="27"/>
        <v>15</v>
      </c>
    </row>
    <row r="867" spans="24:25" x14ac:dyDescent="0.3">
      <c r="X867" s="1">
        <f t="shared" si="26"/>
        <v>0</v>
      </c>
      <c r="Y867" s="1">
        <f t="shared" si="27"/>
        <v>15</v>
      </c>
    </row>
    <row r="868" spans="24:25" x14ac:dyDescent="0.3">
      <c r="X868" s="1">
        <f t="shared" si="26"/>
        <v>0</v>
      </c>
      <c r="Y868" s="1">
        <f t="shared" si="27"/>
        <v>15</v>
      </c>
    </row>
    <row r="869" spans="24:25" x14ac:dyDescent="0.3">
      <c r="X869" s="1">
        <f t="shared" si="26"/>
        <v>0</v>
      </c>
      <c r="Y869" s="1">
        <f t="shared" si="27"/>
        <v>15</v>
      </c>
    </row>
    <row r="870" spans="24:25" x14ac:dyDescent="0.3">
      <c r="X870" s="1">
        <f t="shared" si="26"/>
        <v>0</v>
      </c>
      <c r="Y870" s="1">
        <f t="shared" si="27"/>
        <v>15</v>
      </c>
    </row>
    <row r="871" spans="24:25" x14ac:dyDescent="0.3">
      <c r="X871" s="1">
        <f t="shared" si="26"/>
        <v>0</v>
      </c>
      <c r="Y871" s="1">
        <f t="shared" si="27"/>
        <v>15</v>
      </c>
    </row>
    <row r="872" spans="24:25" x14ac:dyDescent="0.3">
      <c r="X872" s="1">
        <f t="shared" si="26"/>
        <v>0</v>
      </c>
      <c r="Y872" s="1">
        <f t="shared" si="27"/>
        <v>15</v>
      </c>
    </row>
    <row r="873" spans="24:25" x14ac:dyDescent="0.3">
      <c r="X873" s="1">
        <f t="shared" si="26"/>
        <v>0</v>
      </c>
      <c r="Y873" s="1">
        <f t="shared" si="27"/>
        <v>15</v>
      </c>
    </row>
    <row r="874" spans="24:25" x14ac:dyDescent="0.3">
      <c r="X874" s="1">
        <f t="shared" si="26"/>
        <v>0</v>
      </c>
      <c r="Y874" s="1">
        <f t="shared" si="27"/>
        <v>15</v>
      </c>
    </row>
    <row r="875" spans="24:25" x14ac:dyDescent="0.3">
      <c r="X875" s="1">
        <f t="shared" si="26"/>
        <v>0</v>
      </c>
      <c r="Y875" s="1">
        <f t="shared" si="27"/>
        <v>15</v>
      </c>
    </row>
    <row r="876" spans="24:25" x14ac:dyDescent="0.3">
      <c r="X876" s="1">
        <f t="shared" si="26"/>
        <v>0</v>
      </c>
      <c r="Y876" s="1">
        <f t="shared" si="27"/>
        <v>15</v>
      </c>
    </row>
    <row r="877" spans="24:25" x14ac:dyDescent="0.3">
      <c r="X877" s="1">
        <f t="shared" si="26"/>
        <v>0</v>
      </c>
      <c r="Y877" s="1">
        <f t="shared" si="27"/>
        <v>15</v>
      </c>
    </row>
    <row r="878" spans="24:25" x14ac:dyDescent="0.3">
      <c r="X878" s="1">
        <f t="shared" si="26"/>
        <v>0</v>
      </c>
      <c r="Y878" s="1">
        <f t="shared" si="27"/>
        <v>15</v>
      </c>
    </row>
    <row r="879" spans="24:25" x14ac:dyDescent="0.3">
      <c r="X879" s="1">
        <f t="shared" si="26"/>
        <v>0</v>
      </c>
      <c r="Y879" s="1">
        <f t="shared" si="27"/>
        <v>15</v>
      </c>
    </row>
    <row r="880" spans="24:25" x14ac:dyDescent="0.3">
      <c r="X880" s="1">
        <f t="shared" si="26"/>
        <v>0</v>
      </c>
      <c r="Y880" s="1">
        <f t="shared" si="27"/>
        <v>15</v>
      </c>
    </row>
    <row r="881" spans="24:25" x14ac:dyDescent="0.3">
      <c r="X881" s="1">
        <f t="shared" si="26"/>
        <v>0</v>
      </c>
      <c r="Y881" s="1">
        <f t="shared" si="27"/>
        <v>15</v>
      </c>
    </row>
    <row r="882" spans="24:25" x14ac:dyDescent="0.3">
      <c r="X882" s="1">
        <f t="shared" si="26"/>
        <v>0</v>
      </c>
      <c r="Y882" s="1">
        <f t="shared" si="27"/>
        <v>15</v>
      </c>
    </row>
    <row r="883" spans="24:25" x14ac:dyDescent="0.3">
      <c r="X883" s="1">
        <f t="shared" si="26"/>
        <v>0</v>
      </c>
      <c r="Y883" s="1">
        <f t="shared" si="27"/>
        <v>15</v>
      </c>
    </row>
    <row r="884" spans="24:25" x14ac:dyDescent="0.3">
      <c r="X884" s="1">
        <f t="shared" si="26"/>
        <v>0</v>
      </c>
      <c r="Y884" s="1">
        <f t="shared" si="27"/>
        <v>15</v>
      </c>
    </row>
    <row r="885" spans="24:25" x14ac:dyDescent="0.3">
      <c r="X885" s="1">
        <f t="shared" si="26"/>
        <v>0</v>
      </c>
      <c r="Y885" s="1">
        <f t="shared" si="27"/>
        <v>15</v>
      </c>
    </row>
    <row r="886" spans="24:25" x14ac:dyDescent="0.3">
      <c r="X886" s="1">
        <f t="shared" si="26"/>
        <v>0</v>
      </c>
      <c r="Y886" s="1">
        <f t="shared" si="27"/>
        <v>15</v>
      </c>
    </row>
    <row r="887" spans="24:25" x14ac:dyDescent="0.3">
      <c r="X887" s="1">
        <f t="shared" si="26"/>
        <v>0</v>
      </c>
      <c r="Y887" s="1">
        <f t="shared" si="27"/>
        <v>15</v>
      </c>
    </row>
    <row r="888" spans="24:25" x14ac:dyDescent="0.3">
      <c r="X888" s="1">
        <f t="shared" si="26"/>
        <v>0</v>
      </c>
      <c r="Y888" s="1">
        <f t="shared" si="27"/>
        <v>15</v>
      </c>
    </row>
    <row r="889" spans="24:25" x14ac:dyDescent="0.3">
      <c r="X889" s="1">
        <f t="shared" si="26"/>
        <v>0</v>
      </c>
      <c r="Y889" s="1">
        <f t="shared" si="27"/>
        <v>15</v>
      </c>
    </row>
    <row r="890" spans="24:25" x14ac:dyDescent="0.3">
      <c r="X890" s="1">
        <f t="shared" si="26"/>
        <v>0</v>
      </c>
      <c r="Y890" s="1">
        <f t="shared" si="27"/>
        <v>15</v>
      </c>
    </row>
    <row r="891" spans="24:25" x14ac:dyDescent="0.3">
      <c r="X891" s="1">
        <f t="shared" si="26"/>
        <v>0</v>
      </c>
      <c r="Y891" s="1">
        <f t="shared" si="27"/>
        <v>15</v>
      </c>
    </row>
    <row r="892" spans="24:25" x14ac:dyDescent="0.3">
      <c r="X892" s="1">
        <f t="shared" si="26"/>
        <v>0</v>
      </c>
      <c r="Y892" s="1">
        <f t="shared" si="27"/>
        <v>15</v>
      </c>
    </row>
    <row r="893" spans="24:25" x14ac:dyDescent="0.3">
      <c r="X893" s="1">
        <f t="shared" si="26"/>
        <v>0</v>
      </c>
      <c r="Y893" s="1">
        <f t="shared" si="27"/>
        <v>15</v>
      </c>
    </row>
    <row r="894" spans="24:25" x14ac:dyDescent="0.3">
      <c r="X894" s="1">
        <f t="shared" si="26"/>
        <v>0</v>
      </c>
      <c r="Y894" s="1">
        <f t="shared" si="27"/>
        <v>15</v>
      </c>
    </row>
    <row r="895" spans="24:25" x14ac:dyDescent="0.3">
      <c r="X895" s="1">
        <f t="shared" si="26"/>
        <v>0</v>
      </c>
      <c r="Y895" s="1">
        <f t="shared" si="27"/>
        <v>15</v>
      </c>
    </row>
    <row r="896" spans="24:25" x14ac:dyDescent="0.3">
      <c r="X896" s="1">
        <f t="shared" si="26"/>
        <v>0</v>
      </c>
      <c r="Y896" s="1">
        <f t="shared" si="27"/>
        <v>15</v>
      </c>
    </row>
    <row r="897" spans="24:25" x14ac:dyDescent="0.3">
      <c r="X897" s="1">
        <f t="shared" si="26"/>
        <v>0</v>
      </c>
      <c r="Y897" s="1">
        <f t="shared" si="27"/>
        <v>15</v>
      </c>
    </row>
    <row r="898" spans="24:25" x14ac:dyDescent="0.3">
      <c r="X898" s="1">
        <f t="shared" si="26"/>
        <v>0</v>
      </c>
      <c r="Y898" s="1">
        <f t="shared" si="27"/>
        <v>15</v>
      </c>
    </row>
    <row r="899" spans="24:25" x14ac:dyDescent="0.3">
      <c r="X899" s="1">
        <f t="shared" ref="X899:X962" si="28">IFERROR(MATCH(W899,$B:$B,0),0)</f>
        <v>0</v>
      </c>
      <c r="Y899" s="1">
        <f t="shared" ref="Y899:Y962" si="29">IF(X900=0,COUNTA(A:A),X900-1)</f>
        <v>15</v>
      </c>
    </row>
    <row r="900" spans="24:25" x14ac:dyDescent="0.3">
      <c r="X900" s="1">
        <f t="shared" si="28"/>
        <v>0</v>
      </c>
      <c r="Y900" s="1">
        <f t="shared" si="29"/>
        <v>15</v>
      </c>
    </row>
    <row r="901" spans="24:25" x14ac:dyDescent="0.3">
      <c r="X901" s="1">
        <f t="shared" si="28"/>
        <v>0</v>
      </c>
      <c r="Y901" s="1">
        <f t="shared" si="29"/>
        <v>15</v>
      </c>
    </row>
    <row r="902" spans="24:25" x14ac:dyDescent="0.3">
      <c r="X902" s="1">
        <f t="shared" si="28"/>
        <v>0</v>
      </c>
      <c r="Y902" s="1">
        <f t="shared" si="29"/>
        <v>15</v>
      </c>
    </row>
    <row r="903" spans="24:25" x14ac:dyDescent="0.3">
      <c r="X903" s="1">
        <f t="shared" si="28"/>
        <v>0</v>
      </c>
      <c r="Y903" s="1">
        <f t="shared" si="29"/>
        <v>15</v>
      </c>
    </row>
    <row r="904" spans="24:25" x14ac:dyDescent="0.3">
      <c r="X904" s="1">
        <f t="shared" si="28"/>
        <v>0</v>
      </c>
      <c r="Y904" s="1">
        <f t="shared" si="29"/>
        <v>15</v>
      </c>
    </row>
    <row r="905" spans="24:25" x14ac:dyDescent="0.3">
      <c r="X905" s="1">
        <f t="shared" si="28"/>
        <v>0</v>
      </c>
      <c r="Y905" s="1">
        <f t="shared" si="29"/>
        <v>15</v>
      </c>
    </row>
    <row r="906" spans="24:25" x14ac:dyDescent="0.3">
      <c r="X906" s="1">
        <f t="shared" si="28"/>
        <v>0</v>
      </c>
      <c r="Y906" s="1">
        <f t="shared" si="29"/>
        <v>15</v>
      </c>
    </row>
    <row r="907" spans="24:25" x14ac:dyDescent="0.3">
      <c r="X907" s="1">
        <f t="shared" si="28"/>
        <v>0</v>
      </c>
      <c r="Y907" s="1">
        <f t="shared" si="29"/>
        <v>15</v>
      </c>
    </row>
    <row r="908" spans="24:25" x14ac:dyDescent="0.3">
      <c r="X908" s="1">
        <f t="shared" si="28"/>
        <v>0</v>
      </c>
      <c r="Y908" s="1">
        <f t="shared" si="29"/>
        <v>15</v>
      </c>
    </row>
    <row r="909" spans="24:25" x14ac:dyDescent="0.3">
      <c r="X909" s="1">
        <f t="shared" si="28"/>
        <v>0</v>
      </c>
      <c r="Y909" s="1">
        <f t="shared" si="29"/>
        <v>15</v>
      </c>
    </row>
    <row r="910" spans="24:25" x14ac:dyDescent="0.3">
      <c r="X910" s="1">
        <f t="shared" si="28"/>
        <v>0</v>
      </c>
      <c r="Y910" s="1">
        <f t="shared" si="29"/>
        <v>15</v>
      </c>
    </row>
    <row r="911" spans="24:25" x14ac:dyDescent="0.3">
      <c r="X911" s="1">
        <f t="shared" si="28"/>
        <v>0</v>
      </c>
      <c r="Y911" s="1">
        <f t="shared" si="29"/>
        <v>15</v>
      </c>
    </row>
    <row r="912" spans="24:25" x14ac:dyDescent="0.3">
      <c r="X912" s="1">
        <f t="shared" si="28"/>
        <v>0</v>
      </c>
      <c r="Y912" s="1">
        <f t="shared" si="29"/>
        <v>15</v>
      </c>
    </row>
    <row r="913" spans="24:25" x14ac:dyDescent="0.3">
      <c r="X913" s="1">
        <f t="shared" si="28"/>
        <v>0</v>
      </c>
      <c r="Y913" s="1">
        <f t="shared" si="29"/>
        <v>15</v>
      </c>
    </row>
    <row r="914" spans="24:25" x14ac:dyDescent="0.3">
      <c r="X914" s="1">
        <f t="shared" si="28"/>
        <v>0</v>
      </c>
      <c r="Y914" s="1">
        <f t="shared" si="29"/>
        <v>15</v>
      </c>
    </row>
    <row r="915" spans="24:25" x14ac:dyDescent="0.3">
      <c r="X915" s="1">
        <f t="shared" si="28"/>
        <v>0</v>
      </c>
      <c r="Y915" s="1">
        <f t="shared" si="29"/>
        <v>15</v>
      </c>
    </row>
    <row r="916" spans="24:25" x14ac:dyDescent="0.3">
      <c r="X916" s="1">
        <f t="shared" si="28"/>
        <v>0</v>
      </c>
      <c r="Y916" s="1">
        <f t="shared" si="29"/>
        <v>15</v>
      </c>
    </row>
    <row r="917" spans="24:25" x14ac:dyDescent="0.3">
      <c r="X917" s="1">
        <f t="shared" si="28"/>
        <v>0</v>
      </c>
      <c r="Y917" s="1">
        <f t="shared" si="29"/>
        <v>15</v>
      </c>
    </row>
    <row r="918" spans="24:25" x14ac:dyDescent="0.3">
      <c r="X918" s="1">
        <f t="shared" si="28"/>
        <v>0</v>
      </c>
      <c r="Y918" s="1">
        <f t="shared" si="29"/>
        <v>15</v>
      </c>
    </row>
    <row r="919" spans="24:25" x14ac:dyDescent="0.3">
      <c r="X919" s="1">
        <f t="shared" si="28"/>
        <v>0</v>
      </c>
      <c r="Y919" s="1">
        <f t="shared" si="29"/>
        <v>15</v>
      </c>
    </row>
    <row r="920" spans="24:25" x14ac:dyDescent="0.3">
      <c r="X920" s="1">
        <f t="shared" si="28"/>
        <v>0</v>
      </c>
      <c r="Y920" s="1">
        <f t="shared" si="29"/>
        <v>15</v>
      </c>
    </row>
    <row r="921" spans="24:25" x14ac:dyDescent="0.3">
      <c r="X921" s="1">
        <f t="shared" si="28"/>
        <v>0</v>
      </c>
      <c r="Y921" s="1">
        <f t="shared" si="29"/>
        <v>15</v>
      </c>
    </row>
    <row r="922" spans="24:25" x14ac:dyDescent="0.3">
      <c r="X922" s="1">
        <f t="shared" si="28"/>
        <v>0</v>
      </c>
      <c r="Y922" s="1">
        <f t="shared" si="29"/>
        <v>15</v>
      </c>
    </row>
    <row r="923" spans="24:25" x14ac:dyDescent="0.3">
      <c r="X923" s="1">
        <f t="shared" si="28"/>
        <v>0</v>
      </c>
      <c r="Y923" s="1">
        <f t="shared" si="29"/>
        <v>15</v>
      </c>
    </row>
    <row r="924" spans="24:25" x14ac:dyDescent="0.3">
      <c r="X924" s="1">
        <f t="shared" si="28"/>
        <v>0</v>
      </c>
      <c r="Y924" s="1">
        <f t="shared" si="29"/>
        <v>15</v>
      </c>
    </row>
    <row r="925" spans="24:25" x14ac:dyDescent="0.3">
      <c r="X925" s="1">
        <f t="shared" si="28"/>
        <v>0</v>
      </c>
      <c r="Y925" s="1">
        <f t="shared" si="29"/>
        <v>15</v>
      </c>
    </row>
    <row r="926" spans="24:25" x14ac:dyDescent="0.3">
      <c r="X926" s="1">
        <f t="shared" si="28"/>
        <v>0</v>
      </c>
      <c r="Y926" s="1">
        <f t="shared" si="29"/>
        <v>15</v>
      </c>
    </row>
    <row r="927" spans="24:25" x14ac:dyDescent="0.3">
      <c r="X927" s="1">
        <f t="shared" si="28"/>
        <v>0</v>
      </c>
      <c r="Y927" s="1">
        <f t="shared" si="29"/>
        <v>15</v>
      </c>
    </row>
    <row r="928" spans="24:25" x14ac:dyDescent="0.3">
      <c r="X928" s="1">
        <f t="shared" si="28"/>
        <v>0</v>
      </c>
      <c r="Y928" s="1">
        <f t="shared" si="29"/>
        <v>15</v>
      </c>
    </row>
    <row r="929" spans="24:25" x14ac:dyDescent="0.3">
      <c r="X929" s="1">
        <f t="shared" si="28"/>
        <v>0</v>
      </c>
      <c r="Y929" s="1">
        <f t="shared" si="29"/>
        <v>15</v>
      </c>
    </row>
    <row r="930" spans="24:25" x14ac:dyDescent="0.3">
      <c r="X930" s="1">
        <f t="shared" si="28"/>
        <v>0</v>
      </c>
      <c r="Y930" s="1">
        <f t="shared" si="29"/>
        <v>15</v>
      </c>
    </row>
    <row r="931" spans="24:25" x14ac:dyDescent="0.3">
      <c r="X931" s="1">
        <f t="shared" si="28"/>
        <v>0</v>
      </c>
      <c r="Y931" s="1">
        <f t="shared" si="29"/>
        <v>15</v>
      </c>
    </row>
    <row r="932" spans="24:25" x14ac:dyDescent="0.3">
      <c r="X932" s="1">
        <f t="shared" si="28"/>
        <v>0</v>
      </c>
      <c r="Y932" s="1">
        <f t="shared" si="29"/>
        <v>15</v>
      </c>
    </row>
    <row r="933" spans="24:25" x14ac:dyDescent="0.3">
      <c r="X933" s="1">
        <f t="shared" si="28"/>
        <v>0</v>
      </c>
      <c r="Y933" s="1">
        <f t="shared" si="29"/>
        <v>15</v>
      </c>
    </row>
    <row r="934" spans="24:25" x14ac:dyDescent="0.3">
      <c r="X934" s="1">
        <f t="shared" si="28"/>
        <v>0</v>
      </c>
      <c r="Y934" s="1">
        <f t="shared" si="29"/>
        <v>15</v>
      </c>
    </row>
    <row r="935" spans="24:25" x14ac:dyDescent="0.3">
      <c r="X935" s="1">
        <f t="shared" si="28"/>
        <v>0</v>
      </c>
      <c r="Y935" s="1">
        <f t="shared" si="29"/>
        <v>15</v>
      </c>
    </row>
    <row r="936" spans="24:25" x14ac:dyDescent="0.3">
      <c r="X936" s="1">
        <f t="shared" si="28"/>
        <v>0</v>
      </c>
      <c r="Y936" s="1">
        <f t="shared" si="29"/>
        <v>15</v>
      </c>
    </row>
    <row r="937" spans="24:25" x14ac:dyDescent="0.3">
      <c r="X937" s="1">
        <f t="shared" si="28"/>
        <v>0</v>
      </c>
      <c r="Y937" s="1">
        <f t="shared" si="29"/>
        <v>15</v>
      </c>
    </row>
    <row r="938" spans="24:25" x14ac:dyDescent="0.3">
      <c r="X938" s="1">
        <f t="shared" si="28"/>
        <v>0</v>
      </c>
      <c r="Y938" s="1">
        <f t="shared" si="29"/>
        <v>15</v>
      </c>
    </row>
    <row r="939" spans="24:25" x14ac:dyDescent="0.3">
      <c r="X939" s="1">
        <f t="shared" si="28"/>
        <v>0</v>
      </c>
      <c r="Y939" s="1">
        <f t="shared" si="29"/>
        <v>15</v>
      </c>
    </row>
    <row r="940" spans="24:25" x14ac:dyDescent="0.3">
      <c r="X940" s="1">
        <f t="shared" si="28"/>
        <v>0</v>
      </c>
      <c r="Y940" s="1">
        <f t="shared" si="29"/>
        <v>15</v>
      </c>
    </row>
    <row r="941" spans="24:25" x14ac:dyDescent="0.3">
      <c r="X941" s="1">
        <f t="shared" si="28"/>
        <v>0</v>
      </c>
      <c r="Y941" s="1">
        <f t="shared" si="29"/>
        <v>15</v>
      </c>
    </row>
    <row r="942" spans="24:25" x14ac:dyDescent="0.3">
      <c r="X942" s="1">
        <f t="shared" si="28"/>
        <v>0</v>
      </c>
      <c r="Y942" s="1">
        <f t="shared" si="29"/>
        <v>15</v>
      </c>
    </row>
    <row r="943" spans="24:25" x14ac:dyDescent="0.3">
      <c r="X943" s="1">
        <f t="shared" si="28"/>
        <v>0</v>
      </c>
      <c r="Y943" s="1">
        <f t="shared" si="29"/>
        <v>15</v>
      </c>
    </row>
    <row r="944" spans="24:25" x14ac:dyDescent="0.3">
      <c r="X944" s="1">
        <f t="shared" si="28"/>
        <v>0</v>
      </c>
      <c r="Y944" s="1">
        <f t="shared" si="29"/>
        <v>15</v>
      </c>
    </row>
    <row r="945" spans="24:25" x14ac:dyDescent="0.3">
      <c r="X945" s="1">
        <f t="shared" si="28"/>
        <v>0</v>
      </c>
      <c r="Y945" s="1">
        <f t="shared" si="29"/>
        <v>15</v>
      </c>
    </row>
    <row r="946" spans="24:25" x14ac:dyDescent="0.3">
      <c r="X946" s="1">
        <f t="shared" si="28"/>
        <v>0</v>
      </c>
      <c r="Y946" s="1">
        <f t="shared" si="29"/>
        <v>15</v>
      </c>
    </row>
    <row r="947" spans="24:25" x14ac:dyDescent="0.3">
      <c r="X947" s="1">
        <f t="shared" si="28"/>
        <v>0</v>
      </c>
      <c r="Y947" s="1">
        <f t="shared" si="29"/>
        <v>15</v>
      </c>
    </row>
    <row r="948" spans="24:25" x14ac:dyDescent="0.3">
      <c r="X948" s="1">
        <f t="shared" si="28"/>
        <v>0</v>
      </c>
      <c r="Y948" s="1">
        <f t="shared" si="29"/>
        <v>15</v>
      </c>
    </row>
    <row r="949" spans="24:25" x14ac:dyDescent="0.3">
      <c r="X949" s="1">
        <f t="shared" si="28"/>
        <v>0</v>
      </c>
      <c r="Y949" s="1">
        <f t="shared" si="29"/>
        <v>15</v>
      </c>
    </row>
    <row r="950" spans="24:25" x14ac:dyDescent="0.3">
      <c r="X950" s="1">
        <f t="shared" si="28"/>
        <v>0</v>
      </c>
      <c r="Y950" s="1">
        <f t="shared" si="29"/>
        <v>15</v>
      </c>
    </row>
    <row r="951" spans="24:25" x14ac:dyDescent="0.3">
      <c r="X951" s="1">
        <f t="shared" si="28"/>
        <v>0</v>
      </c>
      <c r="Y951" s="1">
        <f t="shared" si="29"/>
        <v>15</v>
      </c>
    </row>
    <row r="952" spans="24:25" x14ac:dyDescent="0.3">
      <c r="X952" s="1">
        <f t="shared" si="28"/>
        <v>0</v>
      </c>
      <c r="Y952" s="1">
        <f t="shared" si="29"/>
        <v>15</v>
      </c>
    </row>
    <row r="953" spans="24:25" x14ac:dyDescent="0.3">
      <c r="X953" s="1">
        <f t="shared" si="28"/>
        <v>0</v>
      </c>
      <c r="Y953" s="1">
        <f t="shared" si="29"/>
        <v>15</v>
      </c>
    </row>
    <row r="954" spans="24:25" x14ac:dyDescent="0.3">
      <c r="X954" s="1">
        <f t="shared" si="28"/>
        <v>0</v>
      </c>
      <c r="Y954" s="1">
        <f t="shared" si="29"/>
        <v>15</v>
      </c>
    </row>
    <row r="955" spans="24:25" x14ac:dyDescent="0.3">
      <c r="X955" s="1">
        <f t="shared" si="28"/>
        <v>0</v>
      </c>
      <c r="Y955" s="1">
        <f t="shared" si="29"/>
        <v>15</v>
      </c>
    </row>
    <row r="956" spans="24:25" x14ac:dyDescent="0.3">
      <c r="X956" s="1">
        <f t="shared" si="28"/>
        <v>0</v>
      </c>
      <c r="Y956" s="1">
        <f t="shared" si="29"/>
        <v>15</v>
      </c>
    </row>
    <row r="957" spans="24:25" x14ac:dyDescent="0.3">
      <c r="X957" s="1">
        <f t="shared" si="28"/>
        <v>0</v>
      </c>
      <c r="Y957" s="1">
        <f t="shared" si="29"/>
        <v>15</v>
      </c>
    </row>
    <row r="958" spans="24:25" x14ac:dyDescent="0.3">
      <c r="X958" s="1">
        <f t="shared" si="28"/>
        <v>0</v>
      </c>
      <c r="Y958" s="1">
        <f t="shared" si="29"/>
        <v>15</v>
      </c>
    </row>
    <row r="959" spans="24:25" x14ac:dyDescent="0.3">
      <c r="X959" s="1">
        <f t="shared" si="28"/>
        <v>0</v>
      </c>
      <c r="Y959" s="1">
        <f t="shared" si="29"/>
        <v>15</v>
      </c>
    </row>
    <row r="960" spans="24:25" x14ac:dyDescent="0.3">
      <c r="X960" s="1">
        <f t="shared" si="28"/>
        <v>0</v>
      </c>
      <c r="Y960" s="1">
        <f t="shared" si="29"/>
        <v>15</v>
      </c>
    </row>
    <row r="961" spans="24:25" x14ac:dyDescent="0.3">
      <c r="X961" s="1">
        <f t="shared" si="28"/>
        <v>0</v>
      </c>
      <c r="Y961" s="1">
        <f t="shared" si="29"/>
        <v>15</v>
      </c>
    </row>
    <row r="962" spans="24:25" x14ac:dyDescent="0.3">
      <c r="X962" s="1">
        <f t="shared" si="28"/>
        <v>0</v>
      </c>
      <c r="Y962" s="1">
        <f t="shared" si="29"/>
        <v>15</v>
      </c>
    </row>
    <row r="963" spans="24:25" x14ac:dyDescent="0.3">
      <c r="X963" s="1">
        <f t="shared" ref="X963:X1026" si="30">IFERROR(MATCH(W963,$B:$B,0),0)</f>
        <v>0</v>
      </c>
      <c r="Y963" s="1">
        <f t="shared" ref="Y963:Y1026" si="31">IF(X964=0,COUNTA(A:A),X964-1)</f>
        <v>15</v>
      </c>
    </row>
    <row r="964" spans="24:25" x14ac:dyDescent="0.3">
      <c r="X964" s="1">
        <f t="shared" si="30"/>
        <v>0</v>
      </c>
      <c r="Y964" s="1">
        <f t="shared" si="31"/>
        <v>15</v>
      </c>
    </row>
    <row r="965" spans="24:25" x14ac:dyDescent="0.3">
      <c r="X965" s="1">
        <f t="shared" si="30"/>
        <v>0</v>
      </c>
      <c r="Y965" s="1">
        <f t="shared" si="31"/>
        <v>15</v>
      </c>
    </row>
    <row r="966" spans="24:25" x14ac:dyDescent="0.3">
      <c r="X966" s="1">
        <f t="shared" si="30"/>
        <v>0</v>
      </c>
      <c r="Y966" s="1">
        <f t="shared" si="31"/>
        <v>15</v>
      </c>
    </row>
    <row r="967" spans="24:25" x14ac:dyDescent="0.3">
      <c r="X967" s="1">
        <f t="shared" si="30"/>
        <v>0</v>
      </c>
      <c r="Y967" s="1">
        <f t="shared" si="31"/>
        <v>15</v>
      </c>
    </row>
    <row r="968" spans="24:25" x14ac:dyDescent="0.3">
      <c r="X968" s="1">
        <f t="shared" si="30"/>
        <v>0</v>
      </c>
      <c r="Y968" s="1">
        <f t="shared" si="31"/>
        <v>15</v>
      </c>
    </row>
    <row r="969" spans="24:25" x14ac:dyDescent="0.3">
      <c r="X969" s="1">
        <f t="shared" si="30"/>
        <v>0</v>
      </c>
      <c r="Y969" s="1">
        <f t="shared" si="31"/>
        <v>15</v>
      </c>
    </row>
    <row r="970" spans="24:25" x14ac:dyDescent="0.3">
      <c r="X970" s="1">
        <f t="shared" si="30"/>
        <v>0</v>
      </c>
      <c r="Y970" s="1">
        <f t="shared" si="31"/>
        <v>15</v>
      </c>
    </row>
    <row r="971" spans="24:25" x14ac:dyDescent="0.3">
      <c r="X971" s="1">
        <f t="shared" si="30"/>
        <v>0</v>
      </c>
      <c r="Y971" s="1">
        <f t="shared" si="31"/>
        <v>15</v>
      </c>
    </row>
    <row r="972" spans="24:25" x14ac:dyDescent="0.3">
      <c r="X972" s="1">
        <f t="shared" si="30"/>
        <v>0</v>
      </c>
      <c r="Y972" s="1">
        <f t="shared" si="31"/>
        <v>15</v>
      </c>
    </row>
    <row r="973" spans="24:25" x14ac:dyDescent="0.3">
      <c r="X973" s="1">
        <f t="shared" si="30"/>
        <v>0</v>
      </c>
      <c r="Y973" s="1">
        <f t="shared" si="31"/>
        <v>15</v>
      </c>
    </row>
    <row r="974" spans="24:25" x14ac:dyDescent="0.3">
      <c r="X974" s="1">
        <f t="shared" si="30"/>
        <v>0</v>
      </c>
      <c r="Y974" s="1">
        <f t="shared" si="31"/>
        <v>15</v>
      </c>
    </row>
    <row r="975" spans="24:25" x14ac:dyDescent="0.3">
      <c r="X975" s="1">
        <f t="shared" si="30"/>
        <v>0</v>
      </c>
      <c r="Y975" s="1">
        <f t="shared" si="31"/>
        <v>15</v>
      </c>
    </row>
    <row r="976" spans="24:25" x14ac:dyDescent="0.3">
      <c r="X976" s="1">
        <f t="shared" si="30"/>
        <v>0</v>
      </c>
      <c r="Y976" s="1">
        <f t="shared" si="31"/>
        <v>15</v>
      </c>
    </row>
    <row r="977" spans="24:25" x14ac:dyDescent="0.3">
      <c r="X977" s="1">
        <f t="shared" si="30"/>
        <v>0</v>
      </c>
      <c r="Y977" s="1">
        <f t="shared" si="31"/>
        <v>15</v>
      </c>
    </row>
    <row r="978" spans="24:25" x14ac:dyDescent="0.3">
      <c r="X978" s="1">
        <f t="shared" si="30"/>
        <v>0</v>
      </c>
      <c r="Y978" s="1">
        <f t="shared" si="31"/>
        <v>15</v>
      </c>
    </row>
    <row r="979" spans="24:25" x14ac:dyDescent="0.3">
      <c r="X979" s="1">
        <f t="shared" si="30"/>
        <v>0</v>
      </c>
      <c r="Y979" s="1">
        <f t="shared" si="31"/>
        <v>15</v>
      </c>
    </row>
    <row r="980" spans="24:25" x14ac:dyDescent="0.3">
      <c r="X980" s="1">
        <f t="shared" si="30"/>
        <v>0</v>
      </c>
      <c r="Y980" s="1">
        <f t="shared" si="31"/>
        <v>15</v>
      </c>
    </row>
    <row r="981" spans="24:25" x14ac:dyDescent="0.3">
      <c r="X981" s="1">
        <f t="shared" si="30"/>
        <v>0</v>
      </c>
      <c r="Y981" s="1">
        <f t="shared" si="31"/>
        <v>15</v>
      </c>
    </row>
    <row r="982" spans="24:25" x14ac:dyDescent="0.3">
      <c r="X982" s="1">
        <f t="shared" si="30"/>
        <v>0</v>
      </c>
      <c r="Y982" s="1">
        <f t="shared" si="31"/>
        <v>15</v>
      </c>
    </row>
    <row r="983" spans="24:25" x14ac:dyDescent="0.3">
      <c r="X983" s="1">
        <f t="shared" si="30"/>
        <v>0</v>
      </c>
      <c r="Y983" s="1">
        <f t="shared" si="31"/>
        <v>15</v>
      </c>
    </row>
    <row r="984" spans="24:25" x14ac:dyDescent="0.3">
      <c r="X984" s="1">
        <f t="shared" si="30"/>
        <v>0</v>
      </c>
      <c r="Y984" s="1">
        <f t="shared" si="31"/>
        <v>15</v>
      </c>
    </row>
    <row r="985" spans="24:25" x14ac:dyDescent="0.3">
      <c r="X985" s="1">
        <f t="shared" si="30"/>
        <v>0</v>
      </c>
      <c r="Y985" s="1">
        <f t="shared" si="31"/>
        <v>15</v>
      </c>
    </row>
    <row r="986" spans="24:25" x14ac:dyDescent="0.3">
      <c r="X986" s="1">
        <f t="shared" si="30"/>
        <v>0</v>
      </c>
      <c r="Y986" s="1">
        <f t="shared" si="31"/>
        <v>15</v>
      </c>
    </row>
    <row r="987" spans="24:25" x14ac:dyDescent="0.3">
      <c r="X987" s="1">
        <f t="shared" si="30"/>
        <v>0</v>
      </c>
      <c r="Y987" s="1">
        <f t="shared" si="31"/>
        <v>15</v>
      </c>
    </row>
    <row r="988" spans="24:25" x14ac:dyDescent="0.3">
      <c r="X988" s="1">
        <f t="shared" si="30"/>
        <v>0</v>
      </c>
      <c r="Y988" s="1">
        <f t="shared" si="31"/>
        <v>15</v>
      </c>
    </row>
    <row r="989" spans="24:25" x14ac:dyDescent="0.3">
      <c r="X989" s="1">
        <f t="shared" si="30"/>
        <v>0</v>
      </c>
      <c r="Y989" s="1">
        <f t="shared" si="31"/>
        <v>15</v>
      </c>
    </row>
    <row r="990" spans="24:25" x14ac:dyDescent="0.3">
      <c r="X990" s="1">
        <f t="shared" si="30"/>
        <v>0</v>
      </c>
      <c r="Y990" s="1">
        <f t="shared" si="31"/>
        <v>15</v>
      </c>
    </row>
    <row r="991" spans="24:25" x14ac:dyDescent="0.3">
      <c r="X991" s="1">
        <f t="shared" si="30"/>
        <v>0</v>
      </c>
      <c r="Y991" s="1">
        <f t="shared" si="31"/>
        <v>15</v>
      </c>
    </row>
    <row r="992" spans="24:25" x14ac:dyDescent="0.3">
      <c r="X992" s="1">
        <f t="shared" si="30"/>
        <v>0</v>
      </c>
      <c r="Y992" s="1">
        <f t="shared" si="31"/>
        <v>15</v>
      </c>
    </row>
    <row r="993" spans="24:25" x14ac:dyDescent="0.3">
      <c r="X993" s="1">
        <f t="shared" si="30"/>
        <v>0</v>
      </c>
      <c r="Y993" s="1">
        <f t="shared" si="31"/>
        <v>15</v>
      </c>
    </row>
    <row r="994" spans="24:25" x14ac:dyDescent="0.3">
      <c r="X994" s="1">
        <f t="shared" si="30"/>
        <v>0</v>
      </c>
      <c r="Y994" s="1">
        <f t="shared" si="31"/>
        <v>15</v>
      </c>
    </row>
    <row r="995" spans="24:25" x14ac:dyDescent="0.3">
      <c r="X995" s="1">
        <f t="shared" si="30"/>
        <v>0</v>
      </c>
      <c r="Y995" s="1">
        <f t="shared" si="31"/>
        <v>15</v>
      </c>
    </row>
    <row r="996" spans="24:25" x14ac:dyDescent="0.3">
      <c r="X996" s="1">
        <f t="shared" si="30"/>
        <v>0</v>
      </c>
      <c r="Y996" s="1">
        <f t="shared" si="31"/>
        <v>15</v>
      </c>
    </row>
    <row r="997" spans="24:25" x14ac:dyDescent="0.3">
      <c r="X997" s="1">
        <f t="shared" si="30"/>
        <v>0</v>
      </c>
      <c r="Y997" s="1">
        <f t="shared" si="31"/>
        <v>15</v>
      </c>
    </row>
    <row r="998" spans="24:25" x14ac:dyDescent="0.3">
      <c r="X998" s="1">
        <f t="shared" si="30"/>
        <v>0</v>
      </c>
      <c r="Y998" s="1">
        <f t="shared" si="31"/>
        <v>15</v>
      </c>
    </row>
    <row r="999" spans="24:25" x14ac:dyDescent="0.3">
      <c r="X999" s="1">
        <f t="shared" si="30"/>
        <v>0</v>
      </c>
      <c r="Y999" s="1">
        <f t="shared" si="31"/>
        <v>15</v>
      </c>
    </row>
    <row r="1000" spans="24:25" x14ac:dyDescent="0.3">
      <c r="X1000" s="1">
        <f t="shared" si="30"/>
        <v>0</v>
      </c>
      <c r="Y1000" s="1">
        <f t="shared" si="31"/>
        <v>15</v>
      </c>
    </row>
    <row r="1001" spans="24:25" x14ac:dyDescent="0.3">
      <c r="X1001" s="1">
        <f t="shared" si="30"/>
        <v>0</v>
      </c>
      <c r="Y1001" s="1">
        <f t="shared" si="31"/>
        <v>15</v>
      </c>
    </row>
    <row r="1002" spans="24:25" x14ac:dyDescent="0.3">
      <c r="X1002" s="1">
        <f t="shared" si="30"/>
        <v>0</v>
      </c>
      <c r="Y1002" s="1">
        <f t="shared" si="31"/>
        <v>15</v>
      </c>
    </row>
    <row r="1003" spans="24:25" x14ac:dyDescent="0.3">
      <c r="X1003" s="1">
        <f t="shared" si="30"/>
        <v>0</v>
      </c>
      <c r="Y1003" s="1">
        <f t="shared" si="31"/>
        <v>15</v>
      </c>
    </row>
    <row r="1004" spans="24:25" x14ac:dyDescent="0.3">
      <c r="X1004" s="1">
        <f t="shared" si="30"/>
        <v>0</v>
      </c>
      <c r="Y1004" s="1">
        <f t="shared" si="31"/>
        <v>15</v>
      </c>
    </row>
    <row r="1005" spans="24:25" x14ac:dyDescent="0.3">
      <c r="X1005" s="1">
        <f t="shared" si="30"/>
        <v>0</v>
      </c>
      <c r="Y1005" s="1">
        <f t="shared" si="31"/>
        <v>15</v>
      </c>
    </row>
    <row r="1006" spans="24:25" x14ac:dyDescent="0.3">
      <c r="X1006" s="1">
        <f t="shared" si="30"/>
        <v>0</v>
      </c>
      <c r="Y1006" s="1">
        <f t="shared" si="31"/>
        <v>15</v>
      </c>
    </row>
    <row r="1007" spans="24:25" x14ac:dyDescent="0.3">
      <c r="X1007" s="1">
        <f t="shared" si="30"/>
        <v>0</v>
      </c>
      <c r="Y1007" s="1">
        <f t="shared" si="31"/>
        <v>15</v>
      </c>
    </row>
    <row r="1008" spans="24:25" x14ac:dyDescent="0.3">
      <c r="X1008" s="1">
        <f t="shared" si="30"/>
        <v>0</v>
      </c>
      <c r="Y1008" s="1">
        <f t="shared" si="31"/>
        <v>15</v>
      </c>
    </row>
    <row r="1009" spans="24:25" x14ac:dyDescent="0.3">
      <c r="X1009" s="1">
        <f t="shared" si="30"/>
        <v>0</v>
      </c>
      <c r="Y1009" s="1">
        <f t="shared" si="31"/>
        <v>15</v>
      </c>
    </row>
    <row r="1010" spans="24:25" x14ac:dyDescent="0.3">
      <c r="X1010" s="1">
        <f t="shared" si="30"/>
        <v>0</v>
      </c>
      <c r="Y1010" s="1">
        <f t="shared" si="31"/>
        <v>15</v>
      </c>
    </row>
    <row r="1011" spans="24:25" x14ac:dyDescent="0.3">
      <c r="X1011" s="1">
        <f t="shared" si="30"/>
        <v>0</v>
      </c>
      <c r="Y1011" s="1">
        <f t="shared" si="31"/>
        <v>15</v>
      </c>
    </row>
    <row r="1012" spans="24:25" x14ac:dyDescent="0.3">
      <c r="X1012" s="1">
        <f t="shared" si="30"/>
        <v>0</v>
      </c>
      <c r="Y1012" s="1">
        <f t="shared" si="31"/>
        <v>15</v>
      </c>
    </row>
    <row r="1013" spans="24:25" x14ac:dyDescent="0.3">
      <c r="X1013" s="1">
        <f t="shared" si="30"/>
        <v>0</v>
      </c>
      <c r="Y1013" s="1">
        <f t="shared" si="31"/>
        <v>15</v>
      </c>
    </row>
    <row r="1014" spans="24:25" x14ac:dyDescent="0.3">
      <c r="X1014" s="1">
        <f t="shared" si="30"/>
        <v>0</v>
      </c>
      <c r="Y1014" s="1">
        <f t="shared" si="31"/>
        <v>15</v>
      </c>
    </row>
    <row r="1015" spans="24:25" x14ac:dyDescent="0.3">
      <c r="X1015" s="1">
        <f t="shared" si="30"/>
        <v>0</v>
      </c>
      <c r="Y1015" s="1">
        <f t="shared" si="31"/>
        <v>15</v>
      </c>
    </row>
    <row r="1016" spans="24:25" x14ac:dyDescent="0.3">
      <c r="X1016" s="1">
        <f t="shared" si="30"/>
        <v>0</v>
      </c>
      <c r="Y1016" s="1">
        <f t="shared" si="31"/>
        <v>15</v>
      </c>
    </row>
    <row r="1017" spans="24:25" x14ac:dyDescent="0.3">
      <c r="X1017" s="1">
        <f t="shared" si="30"/>
        <v>0</v>
      </c>
      <c r="Y1017" s="1">
        <f t="shared" si="31"/>
        <v>15</v>
      </c>
    </row>
    <row r="1018" spans="24:25" x14ac:dyDescent="0.3">
      <c r="X1018" s="1">
        <f t="shared" si="30"/>
        <v>0</v>
      </c>
      <c r="Y1018" s="1">
        <f t="shared" si="31"/>
        <v>15</v>
      </c>
    </row>
    <row r="1019" spans="24:25" x14ac:dyDescent="0.3">
      <c r="X1019" s="1">
        <f t="shared" si="30"/>
        <v>0</v>
      </c>
      <c r="Y1019" s="1">
        <f t="shared" si="31"/>
        <v>15</v>
      </c>
    </row>
    <row r="1020" spans="24:25" x14ac:dyDescent="0.3">
      <c r="X1020" s="1">
        <f t="shared" si="30"/>
        <v>0</v>
      </c>
      <c r="Y1020" s="1">
        <f t="shared" si="31"/>
        <v>15</v>
      </c>
    </row>
    <row r="1021" spans="24:25" x14ac:dyDescent="0.3">
      <c r="X1021" s="1">
        <f t="shared" si="30"/>
        <v>0</v>
      </c>
      <c r="Y1021" s="1">
        <f t="shared" si="31"/>
        <v>15</v>
      </c>
    </row>
    <row r="1022" spans="24:25" x14ac:dyDescent="0.3">
      <c r="X1022" s="1">
        <f t="shared" si="30"/>
        <v>0</v>
      </c>
      <c r="Y1022" s="1">
        <f t="shared" si="31"/>
        <v>15</v>
      </c>
    </row>
    <row r="1023" spans="24:25" x14ac:dyDescent="0.3">
      <c r="X1023" s="1">
        <f t="shared" si="30"/>
        <v>0</v>
      </c>
      <c r="Y1023" s="1">
        <f t="shared" si="31"/>
        <v>15</v>
      </c>
    </row>
    <row r="1024" spans="24:25" x14ac:dyDescent="0.3">
      <c r="X1024" s="1">
        <f t="shared" si="30"/>
        <v>0</v>
      </c>
      <c r="Y1024" s="1">
        <f t="shared" si="31"/>
        <v>15</v>
      </c>
    </row>
    <row r="1025" spans="24:25" x14ac:dyDescent="0.3">
      <c r="X1025" s="1">
        <f t="shared" si="30"/>
        <v>0</v>
      </c>
      <c r="Y1025" s="1">
        <f t="shared" si="31"/>
        <v>15</v>
      </c>
    </row>
    <row r="1026" spans="24:25" x14ac:dyDescent="0.3">
      <c r="X1026" s="1">
        <f t="shared" si="30"/>
        <v>0</v>
      </c>
      <c r="Y1026" s="1">
        <f t="shared" si="31"/>
        <v>15</v>
      </c>
    </row>
    <row r="1027" spans="24:25" x14ac:dyDescent="0.3">
      <c r="X1027" s="1">
        <f t="shared" ref="X1027:X1090" si="32">IFERROR(MATCH(W1027,$B:$B,0),0)</f>
        <v>0</v>
      </c>
      <c r="Y1027" s="1">
        <f t="shared" ref="Y1027:Y1090" si="33">IF(X1028=0,COUNTA(A:A),X1028-1)</f>
        <v>15</v>
      </c>
    </row>
    <row r="1028" spans="24:25" x14ac:dyDescent="0.3">
      <c r="X1028" s="1">
        <f t="shared" si="32"/>
        <v>0</v>
      </c>
      <c r="Y1028" s="1">
        <f t="shared" si="33"/>
        <v>15</v>
      </c>
    </row>
    <row r="1029" spans="24:25" x14ac:dyDescent="0.3">
      <c r="X1029" s="1">
        <f t="shared" si="32"/>
        <v>0</v>
      </c>
      <c r="Y1029" s="1">
        <f t="shared" si="33"/>
        <v>15</v>
      </c>
    </row>
    <row r="1030" spans="24:25" x14ac:dyDescent="0.3">
      <c r="X1030" s="1">
        <f t="shared" si="32"/>
        <v>0</v>
      </c>
      <c r="Y1030" s="1">
        <f t="shared" si="33"/>
        <v>15</v>
      </c>
    </row>
    <row r="1031" spans="24:25" x14ac:dyDescent="0.3">
      <c r="X1031" s="1">
        <f t="shared" si="32"/>
        <v>0</v>
      </c>
      <c r="Y1031" s="1">
        <f t="shared" si="33"/>
        <v>15</v>
      </c>
    </row>
    <row r="1032" spans="24:25" x14ac:dyDescent="0.3">
      <c r="X1032" s="1">
        <f t="shared" si="32"/>
        <v>0</v>
      </c>
      <c r="Y1032" s="1">
        <f t="shared" si="33"/>
        <v>15</v>
      </c>
    </row>
    <row r="1033" spans="24:25" x14ac:dyDescent="0.3">
      <c r="X1033" s="1">
        <f t="shared" si="32"/>
        <v>0</v>
      </c>
      <c r="Y1033" s="1">
        <f t="shared" si="33"/>
        <v>15</v>
      </c>
    </row>
    <row r="1034" spans="24:25" x14ac:dyDescent="0.3">
      <c r="X1034" s="1">
        <f t="shared" si="32"/>
        <v>0</v>
      </c>
      <c r="Y1034" s="1">
        <f t="shared" si="33"/>
        <v>15</v>
      </c>
    </row>
    <row r="1035" spans="24:25" x14ac:dyDescent="0.3">
      <c r="X1035" s="1">
        <f t="shared" si="32"/>
        <v>0</v>
      </c>
      <c r="Y1035" s="1">
        <f t="shared" si="33"/>
        <v>15</v>
      </c>
    </row>
    <row r="1036" spans="24:25" x14ac:dyDescent="0.3">
      <c r="X1036" s="1">
        <f t="shared" si="32"/>
        <v>0</v>
      </c>
      <c r="Y1036" s="1">
        <f t="shared" si="33"/>
        <v>15</v>
      </c>
    </row>
    <row r="1037" spans="24:25" x14ac:dyDescent="0.3">
      <c r="X1037" s="1">
        <f t="shared" si="32"/>
        <v>0</v>
      </c>
      <c r="Y1037" s="1">
        <f t="shared" si="33"/>
        <v>15</v>
      </c>
    </row>
    <row r="1038" spans="24:25" x14ac:dyDescent="0.3">
      <c r="X1038" s="1">
        <f t="shared" si="32"/>
        <v>0</v>
      </c>
      <c r="Y1038" s="1">
        <f t="shared" si="33"/>
        <v>15</v>
      </c>
    </row>
    <row r="1039" spans="24:25" x14ac:dyDescent="0.3">
      <c r="X1039" s="1">
        <f t="shared" si="32"/>
        <v>0</v>
      </c>
      <c r="Y1039" s="1">
        <f t="shared" si="33"/>
        <v>15</v>
      </c>
    </row>
    <row r="1040" spans="24:25" x14ac:dyDescent="0.3">
      <c r="X1040" s="1">
        <f t="shared" si="32"/>
        <v>0</v>
      </c>
      <c r="Y1040" s="1">
        <f t="shared" si="33"/>
        <v>15</v>
      </c>
    </row>
    <row r="1041" spans="24:25" x14ac:dyDescent="0.3">
      <c r="X1041" s="1">
        <f t="shared" si="32"/>
        <v>0</v>
      </c>
      <c r="Y1041" s="1">
        <f t="shared" si="33"/>
        <v>15</v>
      </c>
    </row>
    <row r="1042" spans="24:25" x14ac:dyDescent="0.3">
      <c r="X1042" s="1">
        <f t="shared" si="32"/>
        <v>0</v>
      </c>
      <c r="Y1042" s="1">
        <f t="shared" si="33"/>
        <v>15</v>
      </c>
    </row>
    <row r="1043" spans="24:25" x14ac:dyDescent="0.3">
      <c r="X1043" s="1">
        <f t="shared" si="32"/>
        <v>0</v>
      </c>
      <c r="Y1043" s="1">
        <f t="shared" si="33"/>
        <v>15</v>
      </c>
    </row>
    <row r="1044" spans="24:25" x14ac:dyDescent="0.3">
      <c r="X1044" s="1">
        <f t="shared" si="32"/>
        <v>0</v>
      </c>
      <c r="Y1044" s="1">
        <f t="shared" si="33"/>
        <v>15</v>
      </c>
    </row>
    <row r="1045" spans="24:25" x14ac:dyDescent="0.3">
      <c r="X1045" s="1">
        <f t="shared" si="32"/>
        <v>0</v>
      </c>
      <c r="Y1045" s="1">
        <f t="shared" si="33"/>
        <v>15</v>
      </c>
    </row>
    <row r="1046" spans="24:25" x14ac:dyDescent="0.3">
      <c r="X1046" s="1">
        <f t="shared" si="32"/>
        <v>0</v>
      </c>
      <c r="Y1046" s="1">
        <f t="shared" si="33"/>
        <v>15</v>
      </c>
    </row>
    <row r="1047" spans="24:25" x14ac:dyDescent="0.3">
      <c r="X1047" s="1">
        <f t="shared" si="32"/>
        <v>0</v>
      </c>
      <c r="Y1047" s="1">
        <f t="shared" si="33"/>
        <v>15</v>
      </c>
    </row>
    <row r="1048" spans="24:25" x14ac:dyDescent="0.3">
      <c r="X1048" s="1">
        <f t="shared" si="32"/>
        <v>0</v>
      </c>
      <c r="Y1048" s="1">
        <f t="shared" si="33"/>
        <v>15</v>
      </c>
    </row>
    <row r="1049" spans="24:25" x14ac:dyDescent="0.3">
      <c r="X1049" s="1">
        <f t="shared" si="32"/>
        <v>0</v>
      </c>
      <c r="Y1049" s="1">
        <f t="shared" si="33"/>
        <v>15</v>
      </c>
    </row>
    <row r="1050" spans="24:25" x14ac:dyDescent="0.3">
      <c r="X1050" s="1">
        <f t="shared" si="32"/>
        <v>0</v>
      </c>
      <c r="Y1050" s="1">
        <f t="shared" si="33"/>
        <v>15</v>
      </c>
    </row>
    <row r="1051" spans="24:25" x14ac:dyDescent="0.3">
      <c r="X1051" s="1">
        <f t="shared" si="32"/>
        <v>0</v>
      </c>
      <c r="Y1051" s="1">
        <f t="shared" si="33"/>
        <v>15</v>
      </c>
    </row>
    <row r="1052" spans="24:25" x14ac:dyDescent="0.3">
      <c r="X1052" s="1">
        <f t="shared" si="32"/>
        <v>0</v>
      </c>
      <c r="Y1052" s="1">
        <f t="shared" si="33"/>
        <v>15</v>
      </c>
    </row>
    <row r="1053" spans="24:25" x14ac:dyDescent="0.3">
      <c r="X1053" s="1">
        <f t="shared" si="32"/>
        <v>0</v>
      </c>
      <c r="Y1053" s="1">
        <f t="shared" si="33"/>
        <v>15</v>
      </c>
    </row>
    <row r="1054" spans="24:25" x14ac:dyDescent="0.3">
      <c r="X1054" s="1">
        <f t="shared" si="32"/>
        <v>0</v>
      </c>
      <c r="Y1054" s="1">
        <f t="shared" si="33"/>
        <v>15</v>
      </c>
    </row>
    <row r="1055" spans="24:25" x14ac:dyDescent="0.3">
      <c r="X1055" s="1">
        <f t="shared" si="32"/>
        <v>0</v>
      </c>
      <c r="Y1055" s="1">
        <f t="shared" si="33"/>
        <v>15</v>
      </c>
    </row>
    <row r="1056" spans="24:25" x14ac:dyDescent="0.3">
      <c r="X1056" s="1">
        <f t="shared" si="32"/>
        <v>0</v>
      </c>
      <c r="Y1056" s="1">
        <f t="shared" si="33"/>
        <v>15</v>
      </c>
    </row>
    <row r="1057" spans="24:25" x14ac:dyDescent="0.3">
      <c r="X1057" s="1">
        <f t="shared" si="32"/>
        <v>0</v>
      </c>
      <c r="Y1057" s="1">
        <f t="shared" si="33"/>
        <v>15</v>
      </c>
    </row>
    <row r="1058" spans="24:25" x14ac:dyDescent="0.3">
      <c r="X1058" s="1">
        <f t="shared" si="32"/>
        <v>0</v>
      </c>
      <c r="Y1058" s="1">
        <f t="shared" si="33"/>
        <v>15</v>
      </c>
    </row>
    <row r="1059" spans="24:25" x14ac:dyDescent="0.3">
      <c r="X1059" s="1">
        <f t="shared" si="32"/>
        <v>0</v>
      </c>
      <c r="Y1059" s="1">
        <f t="shared" si="33"/>
        <v>15</v>
      </c>
    </row>
    <row r="1060" spans="24:25" x14ac:dyDescent="0.3">
      <c r="X1060" s="1">
        <f t="shared" si="32"/>
        <v>0</v>
      </c>
      <c r="Y1060" s="1">
        <f t="shared" si="33"/>
        <v>15</v>
      </c>
    </row>
    <row r="1061" spans="24:25" x14ac:dyDescent="0.3">
      <c r="X1061" s="1">
        <f t="shared" si="32"/>
        <v>0</v>
      </c>
      <c r="Y1061" s="1">
        <f t="shared" si="33"/>
        <v>15</v>
      </c>
    </row>
    <row r="1062" spans="24:25" x14ac:dyDescent="0.3">
      <c r="X1062" s="1">
        <f t="shared" si="32"/>
        <v>0</v>
      </c>
      <c r="Y1062" s="1">
        <f t="shared" si="33"/>
        <v>15</v>
      </c>
    </row>
    <row r="1063" spans="24:25" x14ac:dyDescent="0.3">
      <c r="X1063" s="1">
        <f t="shared" si="32"/>
        <v>0</v>
      </c>
      <c r="Y1063" s="1">
        <f t="shared" si="33"/>
        <v>15</v>
      </c>
    </row>
    <row r="1064" spans="24:25" x14ac:dyDescent="0.3">
      <c r="X1064" s="1">
        <f t="shared" si="32"/>
        <v>0</v>
      </c>
      <c r="Y1064" s="1">
        <f t="shared" si="33"/>
        <v>15</v>
      </c>
    </row>
    <row r="1065" spans="24:25" x14ac:dyDescent="0.3">
      <c r="X1065" s="1">
        <f t="shared" si="32"/>
        <v>0</v>
      </c>
      <c r="Y1065" s="1">
        <f t="shared" si="33"/>
        <v>15</v>
      </c>
    </row>
    <row r="1066" spans="24:25" x14ac:dyDescent="0.3">
      <c r="X1066" s="1">
        <f t="shared" si="32"/>
        <v>0</v>
      </c>
      <c r="Y1066" s="1">
        <f t="shared" si="33"/>
        <v>15</v>
      </c>
    </row>
    <row r="1067" spans="24:25" x14ac:dyDescent="0.3">
      <c r="X1067" s="1">
        <f t="shared" si="32"/>
        <v>0</v>
      </c>
      <c r="Y1067" s="1">
        <f t="shared" si="33"/>
        <v>15</v>
      </c>
    </row>
    <row r="1068" spans="24:25" x14ac:dyDescent="0.3">
      <c r="X1068" s="1">
        <f t="shared" si="32"/>
        <v>0</v>
      </c>
      <c r="Y1068" s="1">
        <f t="shared" si="33"/>
        <v>15</v>
      </c>
    </row>
    <row r="1069" spans="24:25" x14ac:dyDescent="0.3">
      <c r="X1069" s="1">
        <f t="shared" si="32"/>
        <v>0</v>
      </c>
      <c r="Y1069" s="1">
        <f t="shared" si="33"/>
        <v>15</v>
      </c>
    </row>
    <row r="1070" spans="24:25" x14ac:dyDescent="0.3">
      <c r="X1070" s="1">
        <f t="shared" si="32"/>
        <v>0</v>
      </c>
      <c r="Y1070" s="1">
        <f t="shared" si="33"/>
        <v>15</v>
      </c>
    </row>
    <row r="1071" spans="24:25" x14ac:dyDescent="0.3">
      <c r="X1071" s="1">
        <f t="shared" si="32"/>
        <v>0</v>
      </c>
      <c r="Y1071" s="1">
        <f t="shared" si="33"/>
        <v>15</v>
      </c>
    </row>
    <row r="1072" spans="24:25" x14ac:dyDescent="0.3">
      <c r="X1072" s="1">
        <f t="shared" si="32"/>
        <v>0</v>
      </c>
      <c r="Y1072" s="1">
        <f t="shared" si="33"/>
        <v>15</v>
      </c>
    </row>
    <row r="1073" spans="24:25" x14ac:dyDescent="0.3">
      <c r="X1073" s="1">
        <f t="shared" si="32"/>
        <v>0</v>
      </c>
      <c r="Y1073" s="1">
        <f t="shared" si="33"/>
        <v>15</v>
      </c>
    </row>
    <row r="1074" spans="24:25" x14ac:dyDescent="0.3">
      <c r="X1074" s="1">
        <f t="shared" si="32"/>
        <v>0</v>
      </c>
      <c r="Y1074" s="1">
        <f t="shared" si="33"/>
        <v>15</v>
      </c>
    </row>
    <row r="1075" spans="24:25" x14ac:dyDescent="0.3">
      <c r="X1075" s="1">
        <f t="shared" si="32"/>
        <v>0</v>
      </c>
      <c r="Y1075" s="1">
        <f t="shared" si="33"/>
        <v>15</v>
      </c>
    </row>
    <row r="1076" spans="24:25" x14ac:dyDescent="0.3">
      <c r="X1076" s="1">
        <f t="shared" si="32"/>
        <v>0</v>
      </c>
      <c r="Y1076" s="1">
        <f t="shared" si="33"/>
        <v>15</v>
      </c>
    </row>
    <row r="1077" spans="24:25" x14ac:dyDescent="0.3">
      <c r="X1077" s="1">
        <f t="shared" si="32"/>
        <v>0</v>
      </c>
      <c r="Y1077" s="1">
        <f t="shared" si="33"/>
        <v>15</v>
      </c>
    </row>
    <row r="1078" spans="24:25" x14ac:dyDescent="0.3">
      <c r="X1078" s="1">
        <f t="shared" si="32"/>
        <v>0</v>
      </c>
      <c r="Y1078" s="1">
        <f t="shared" si="33"/>
        <v>15</v>
      </c>
    </row>
    <row r="1079" spans="24:25" x14ac:dyDescent="0.3">
      <c r="X1079" s="1">
        <f t="shared" si="32"/>
        <v>0</v>
      </c>
      <c r="Y1079" s="1">
        <f t="shared" si="33"/>
        <v>15</v>
      </c>
    </row>
    <row r="1080" spans="24:25" x14ac:dyDescent="0.3">
      <c r="X1080" s="1">
        <f t="shared" si="32"/>
        <v>0</v>
      </c>
      <c r="Y1080" s="1">
        <f t="shared" si="33"/>
        <v>15</v>
      </c>
    </row>
    <row r="1081" spans="24:25" x14ac:dyDescent="0.3">
      <c r="X1081" s="1">
        <f t="shared" si="32"/>
        <v>0</v>
      </c>
      <c r="Y1081" s="1">
        <f t="shared" si="33"/>
        <v>15</v>
      </c>
    </row>
    <row r="1082" spans="24:25" x14ac:dyDescent="0.3">
      <c r="X1082" s="1">
        <f t="shared" si="32"/>
        <v>0</v>
      </c>
      <c r="Y1082" s="1">
        <f t="shared" si="33"/>
        <v>15</v>
      </c>
    </row>
    <row r="1083" spans="24:25" x14ac:dyDescent="0.3">
      <c r="X1083" s="1">
        <f t="shared" si="32"/>
        <v>0</v>
      </c>
      <c r="Y1083" s="1">
        <f t="shared" si="33"/>
        <v>15</v>
      </c>
    </row>
    <row r="1084" spans="24:25" x14ac:dyDescent="0.3">
      <c r="X1084" s="1">
        <f t="shared" si="32"/>
        <v>0</v>
      </c>
      <c r="Y1084" s="1">
        <f t="shared" si="33"/>
        <v>15</v>
      </c>
    </row>
    <row r="1085" spans="24:25" x14ac:dyDescent="0.3">
      <c r="X1085" s="1">
        <f t="shared" si="32"/>
        <v>0</v>
      </c>
      <c r="Y1085" s="1">
        <f t="shared" si="33"/>
        <v>15</v>
      </c>
    </row>
    <row r="1086" spans="24:25" x14ac:dyDescent="0.3">
      <c r="X1086" s="1">
        <f t="shared" si="32"/>
        <v>0</v>
      </c>
      <c r="Y1086" s="1">
        <f t="shared" si="33"/>
        <v>15</v>
      </c>
    </row>
    <row r="1087" spans="24:25" x14ac:dyDescent="0.3">
      <c r="X1087" s="1">
        <f t="shared" si="32"/>
        <v>0</v>
      </c>
      <c r="Y1087" s="1">
        <f t="shared" si="33"/>
        <v>15</v>
      </c>
    </row>
    <row r="1088" spans="24:25" x14ac:dyDescent="0.3">
      <c r="X1088" s="1">
        <f t="shared" si="32"/>
        <v>0</v>
      </c>
      <c r="Y1088" s="1">
        <f t="shared" si="33"/>
        <v>15</v>
      </c>
    </row>
    <row r="1089" spans="24:25" x14ac:dyDescent="0.3">
      <c r="X1089" s="1">
        <f t="shared" si="32"/>
        <v>0</v>
      </c>
      <c r="Y1089" s="1">
        <f t="shared" si="33"/>
        <v>15</v>
      </c>
    </row>
    <row r="1090" spans="24:25" x14ac:dyDescent="0.3">
      <c r="X1090" s="1">
        <f t="shared" si="32"/>
        <v>0</v>
      </c>
      <c r="Y1090" s="1">
        <f t="shared" si="33"/>
        <v>15</v>
      </c>
    </row>
    <row r="1091" spans="24:25" x14ac:dyDescent="0.3">
      <c r="X1091" s="1">
        <f t="shared" ref="X1091:X1154" si="34">IFERROR(MATCH(W1091,$B:$B,0),0)</f>
        <v>0</v>
      </c>
      <c r="Y1091" s="1">
        <f t="shared" ref="Y1091:Y1154" si="35">IF(X1092=0,COUNTA(A:A),X1092-1)</f>
        <v>15</v>
      </c>
    </row>
    <row r="1092" spans="24:25" x14ac:dyDescent="0.3">
      <c r="X1092" s="1">
        <f t="shared" si="34"/>
        <v>0</v>
      </c>
      <c r="Y1092" s="1">
        <f t="shared" si="35"/>
        <v>15</v>
      </c>
    </row>
    <row r="1093" spans="24:25" x14ac:dyDescent="0.3">
      <c r="X1093" s="1">
        <f t="shared" si="34"/>
        <v>0</v>
      </c>
      <c r="Y1093" s="1">
        <f t="shared" si="35"/>
        <v>15</v>
      </c>
    </row>
    <row r="1094" spans="24:25" x14ac:dyDescent="0.3">
      <c r="X1094" s="1">
        <f t="shared" si="34"/>
        <v>0</v>
      </c>
      <c r="Y1094" s="1">
        <f t="shared" si="35"/>
        <v>15</v>
      </c>
    </row>
    <row r="1095" spans="24:25" x14ac:dyDescent="0.3">
      <c r="X1095" s="1">
        <f t="shared" si="34"/>
        <v>0</v>
      </c>
      <c r="Y1095" s="1">
        <f t="shared" si="35"/>
        <v>15</v>
      </c>
    </row>
    <row r="1096" spans="24:25" x14ac:dyDescent="0.3">
      <c r="X1096" s="1">
        <f t="shared" si="34"/>
        <v>0</v>
      </c>
      <c r="Y1096" s="1">
        <f t="shared" si="35"/>
        <v>15</v>
      </c>
    </row>
    <row r="1097" spans="24:25" x14ac:dyDescent="0.3">
      <c r="X1097" s="1">
        <f t="shared" si="34"/>
        <v>0</v>
      </c>
      <c r="Y1097" s="1">
        <f t="shared" si="35"/>
        <v>15</v>
      </c>
    </row>
    <row r="1098" spans="24:25" x14ac:dyDescent="0.3">
      <c r="X1098" s="1">
        <f t="shared" si="34"/>
        <v>0</v>
      </c>
      <c r="Y1098" s="1">
        <f t="shared" si="35"/>
        <v>15</v>
      </c>
    </row>
    <row r="1099" spans="24:25" x14ac:dyDescent="0.3">
      <c r="X1099" s="1">
        <f t="shared" si="34"/>
        <v>0</v>
      </c>
      <c r="Y1099" s="1">
        <f t="shared" si="35"/>
        <v>15</v>
      </c>
    </row>
    <row r="1100" spans="24:25" x14ac:dyDescent="0.3">
      <c r="X1100" s="1">
        <f t="shared" si="34"/>
        <v>0</v>
      </c>
      <c r="Y1100" s="1">
        <f t="shared" si="35"/>
        <v>15</v>
      </c>
    </row>
    <row r="1101" spans="24:25" x14ac:dyDescent="0.3">
      <c r="X1101" s="1">
        <f t="shared" si="34"/>
        <v>0</v>
      </c>
      <c r="Y1101" s="1">
        <f t="shared" si="35"/>
        <v>15</v>
      </c>
    </row>
    <row r="1102" spans="24:25" x14ac:dyDescent="0.3">
      <c r="X1102" s="1">
        <f t="shared" si="34"/>
        <v>0</v>
      </c>
      <c r="Y1102" s="1">
        <f t="shared" si="35"/>
        <v>15</v>
      </c>
    </row>
    <row r="1103" spans="24:25" x14ac:dyDescent="0.3">
      <c r="X1103" s="1">
        <f t="shared" si="34"/>
        <v>0</v>
      </c>
      <c r="Y1103" s="1">
        <f t="shared" si="35"/>
        <v>15</v>
      </c>
    </row>
    <row r="1104" spans="24:25" x14ac:dyDescent="0.3">
      <c r="X1104" s="1">
        <f t="shared" si="34"/>
        <v>0</v>
      </c>
      <c r="Y1104" s="1">
        <f t="shared" si="35"/>
        <v>15</v>
      </c>
    </row>
    <row r="1105" spans="24:25" x14ac:dyDescent="0.3">
      <c r="X1105" s="1">
        <f t="shared" si="34"/>
        <v>0</v>
      </c>
      <c r="Y1105" s="1">
        <f t="shared" si="35"/>
        <v>15</v>
      </c>
    </row>
    <row r="1106" spans="24:25" x14ac:dyDescent="0.3">
      <c r="X1106" s="1">
        <f t="shared" si="34"/>
        <v>0</v>
      </c>
      <c r="Y1106" s="1">
        <f t="shared" si="35"/>
        <v>15</v>
      </c>
    </row>
    <row r="1107" spans="24:25" x14ac:dyDescent="0.3">
      <c r="X1107" s="1">
        <f t="shared" si="34"/>
        <v>0</v>
      </c>
      <c r="Y1107" s="1">
        <f t="shared" si="35"/>
        <v>15</v>
      </c>
    </row>
    <row r="1108" spans="24:25" x14ac:dyDescent="0.3">
      <c r="X1108" s="1">
        <f t="shared" si="34"/>
        <v>0</v>
      </c>
      <c r="Y1108" s="1">
        <f t="shared" si="35"/>
        <v>15</v>
      </c>
    </row>
    <row r="1109" spans="24:25" x14ac:dyDescent="0.3">
      <c r="X1109" s="1">
        <f t="shared" si="34"/>
        <v>0</v>
      </c>
      <c r="Y1109" s="1">
        <f t="shared" si="35"/>
        <v>15</v>
      </c>
    </row>
    <row r="1110" spans="24:25" x14ac:dyDescent="0.3">
      <c r="X1110" s="1">
        <f t="shared" si="34"/>
        <v>0</v>
      </c>
      <c r="Y1110" s="1">
        <f t="shared" si="35"/>
        <v>15</v>
      </c>
    </row>
    <row r="1111" spans="24:25" x14ac:dyDescent="0.3">
      <c r="X1111" s="1">
        <f t="shared" si="34"/>
        <v>0</v>
      </c>
      <c r="Y1111" s="1">
        <f t="shared" si="35"/>
        <v>15</v>
      </c>
    </row>
    <row r="1112" spans="24:25" x14ac:dyDescent="0.3">
      <c r="X1112" s="1">
        <f t="shared" si="34"/>
        <v>0</v>
      </c>
      <c r="Y1112" s="1">
        <f t="shared" si="35"/>
        <v>15</v>
      </c>
    </row>
    <row r="1113" spans="24:25" x14ac:dyDescent="0.3">
      <c r="X1113" s="1">
        <f t="shared" si="34"/>
        <v>0</v>
      </c>
      <c r="Y1113" s="1">
        <f t="shared" si="35"/>
        <v>15</v>
      </c>
    </row>
    <row r="1114" spans="24:25" x14ac:dyDescent="0.3">
      <c r="X1114" s="1">
        <f t="shared" si="34"/>
        <v>0</v>
      </c>
      <c r="Y1114" s="1">
        <f t="shared" si="35"/>
        <v>15</v>
      </c>
    </row>
    <row r="1115" spans="24:25" x14ac:dyDescent="0.3">
      <c r="X1115" s="1">
        <f t="shared" si="34"/>
        <v>0</v>
      </c>
      <c r="Y1115" s="1">
        <f t="shared" si="35"/>
        <v>15</v>
      </c>
    </row>
    <row r="1116" spans="24:25" x14ac:dyDescent="0.3">
      <c r="X1116" s="1">
        <f t="shared" si="34"/>
        <v>0</v>
      </c>
      <c r="Y1116" s="1">
        <f t="shared" si="35"/>
        <v>15</v>
      </c>
    </row>
    <row r="1117" spans="24:25" x14ac:dyDescent="0.3">
      <c r="X1117" s="1">
        <f t="shared" si="34"/>
        <v>0</v>
      </c>
      <c r="Y1117" s="1">
        <f t="shared" si="35"/>
        <v>15</v>
      </c>
    </row>
    <row r="1118" spans="24:25" x14ac:dyDescent="0.3">
      <c r="X1118" s="1">
        <f t="shared" si="34"/>
        <v>0</v>
      </c>
      <c r="Y1118" s="1">
        <f t="shared" si="35"/>
        <v>15</v>
      </c>
    </row>
    <row r="1119" spans="24:25" x14ac:dyDescent="0.3">
      <c r="X1119" s="1">
        <f t="shared" si="34"/>
        <v>0</v>
      </c>
      <c r="Y1119" s="1">
        <f t="shared" si="35"/>
        <v>15</v>
      </c>
    </row>
    <row r="1120" spans="24:25" x14ac:dyDescent="0.3">
      <c r="X1120" s="1">
        <f t="shared" si="34"/>
        <v>0</v>
      </c>
      <c r="Y1120" s="1">
        <f t="shared" si="35"/>
        <v>15</v>
      </c>
    </row>
    <row r="1121" spans="24:25" x14ac:dyDescent="0.3">
      <c r="X1121" s="1">
        <f t="shared" si="34"/>
        <v>0</v>
      </c>
      <c r="Y1121" s="1">
        <f t="shared" si="35"/>
        <v>15</v>
      </c>
    </row>
    <row r="1122" spans="24:25" x14ac:dyDescent="0.3">
      <c r="X1122" s="1">
        <f t="shared" si="34"/>
        <v>0</v>
      </c>
      <c r="Y1122" s="1">
        <f t="shared" si="35"/>
        <v>15</v>
      </c>
    </row>
    <row r="1123" spans="24:25" x14ac:dyDescent="0.3">
      <c r="X1123" s="1">
        <f t="shared" si="34"/>
        <v>0</v>
      </c>
      <c r="Y1123" s="1">
        <f t="shared" si="35"/>
        <v>15</v>
      </c>
    </row>
    <row r="1124" spans="24:25" x14ac:dyDescent="0.3">
      <c r="X1124" s="1">
        <f t="shared" si="34"/>
        <v>0</v>
      </c>
      <c r="Y1124" s="1">
        <f t="shared" si="35"/>
        <v>15</v>
      </c>
    </row>
    <row r="1125" spans="24:25" x14ac:dyDescent="0.3">
      <c r="X1125" s="1">
        <f t="shared" si="34"/>
        <v>0</v>
      </c>
      <c r="Y1125" s="1">
        <f t="shared" si="35"/>
        <v>15</v>
      </c>
    </row>
    <row r="1126" spans="24:25" x14ac:dyDescent="0.3">
      <c r="X1126" s="1">
        <f t="shared" si="34"/>
        <v>0</v>
      </c>
      <c r="Y1126" s="1">
        <f t="shared" si="35"/>
        <v>15</v>
      </c>
    </row>
    <row r="1127" spans="24:25" x14ac:dyDescent="0.3">
      <c r="X1127" s="1">
        <f t="shared" si="34"/>
        <v>0</v>
      </c>
      <c r="Y1127" s="1">
        <f t="shared" si="35"/>
        <v>15</v>
      </c>
    </row>
    <row r="1128" spans="24:25" x14ac:dyDescent="0.3">
      <c r="X1128" s="1">
        <f t="shared" si="34"/>
        <v>0</v>
      </c>
      <c r="Y1128" s="1">
        <f t="shared" si="35"/>
        <v>15</v>
      </c>
    </row>
    <row r="1129" spans="24:25" x14ac:dyDescent="0.3">
      <c r="X1129" s="1">
        <f t="shared" si="34"/>
        <v>0</v>
      </c>
      <c r="Y1129" s="1">
        <f t="shared" si="35"/>
        <v>15</v>
      </c>
    </row>
    <row r="1130" spans="24:25" x14ac:dyDescent="0.3">
      <c r="X1130" s="1">
        <f t="shared" si="34"/>
        <v>0</v>
      </c>
      <c r="Y1130" s="1">
        <f t="shared" si="35"/>
        <v>15</v>
      </c>
    </row>
    <row r="1131" spans="24:25" x14ac:dyDescent="0.3">
      <c r="X1131" s="1">
        <f t="shared" si="34"/>
        <v>0</v>
      </c>
      <c r="Y1131" s="1">
        <f t="shared" si="35"/>
        <v>15</v>
      </c>
    </row>
    <row r="1132" spans="24:25" x14ac:dyDescent="0.3">
      <c r="X1132" s="1">
        <f t="shared" si="34"/>
        <v>0</v>
      </c>
      <c r="Y1132" s="1">
        <f t="shared" si="35"/>
        <v>15</v>
      </c>
    </row>
    <row r="1133" spans="24:25" x14ac:dyDescent="0.3">
      <c r="X1133" s="1">
        <f t="shared" si="34"/>
        <v>0</v>
      </c>
      <c r="Y1133" s="1">
        <f t="shared" si="35"/>
        <v>15</v>
      </c>
    </row>
    <row r="1134" spans="24:25" x14ac:dyDescent="0.3">
      <c r="X1134" s="1">
        <f t="shared" si="34"/>
        <v>0</v>
      </c>
      <c r="Y1134" s="1">
        <f t="shared" si="35"/>
        <v>15</v>
      </c>
    </row>
    <row r="1135" spans="24:25" x14ac:dyDescent="0.3">
      <c r="X1135" s="1">
        <f t="shared" si="34"/>
        <v>0</v>
      </c>
      <c r="Y1135" s="1">
        <f t="shared" si="35"/>
        <v>15</v>
      </c>
    </row>
    <row r="1136" spans="24:25" x14ac:dyDescent="0.3">
      <c r="X1136" s="1">
        <f t="shared" si="34"/>
        <v>0</v>
      </c>
      <c r="Y1136" s="1">
        <f t="shared" si="35"/>
        <v>15</v>
      </c>
    </row>
    <row r="1137" spans="24:25" x14ac:dyDescent="0.3">
      <c r="X1137" s="1">
        <f t="shared" si="34"/>
        <v>0</v>
      </c>
      <c r="Y1137" s="1">
        <f t="shared" si="35"/>
        <v>15</v>
      </c>
    </row>
    <row r="1138" spans="24:25" x14ac:dyDescent="0.3">
      <c r="X1138" s="1">
        <f t="shared" si="34"/>
        <v>0</v>
      </c>
      <c r="Y1138" s="1">
        <f t="shared" si="35"/>
        <v>15</v>
      </c>
    </row>
    <row r="1139" spans="24:25" x14ac:dyDescent="0.3">
      <c r="X1139" s="1">
        <f t="shared" si="34"/>
        <v>0</v>
      </c>
      <c r="Y1139" s="1">
        <f t="shared" si="35"/>
        <v>15</v>
      </c>
    </row>
    <row r="1140" spans="24:25" x14ac:dyDescent="0.3">
      <c r="X1140" s="1">
        <f t="shared" si="34"/>
        <v>0</v>
      </c>
      <c r="Y1140" s="1">
        <f t="shared" si="35"/>
        <v>15</v>
      </c>
    </row>
    <row r="1141" spans="24:25" x14ac:dyDescent="0.3">
      <c r="X1141" s="1">
        <f t="shared" si="34"/>
        <v>0</v>
      </c>
      <c r="Y1141" s="1">
        <f t="shared" si="35"/>
        <v>15</v>
      </c>
    </row>
    <row r="1142" spans="24:25" x14ac:dyDescent="0.3">
      <c r="X1142" s="1">
        <f t="shared" si="34"/>
        <v>0</v>
      </c>
      <c r="Y1142" s="1">
        <f t="shared" si="35"/>
        <v>15</v>
      </c>
    </row>
    <row r="1143" spans="24:25" x14ac:dyDescent="0.3">
      <c r="X1143" s="1">
        <f t="shared" si="34"/>
        <v>0</v>
      </c>
      <c r="Y1143" s="1">
        <f t="shared" si="35"/>
        <v>15</v>
      </c>
    </row>
    <row r="1144" spans="24:25" x14ac:dyDescent="0.3">
      <c r="X1144" s="1">
        <f t="shared" si="34"/>
        <v>0</v>
      </c>
      <c r="Y1144" s="1">
        <f t="shared" si="35"/>
        <v>15</v>
      </c>
    </row>
    <row r="1145" spans="24:25" x14ac:dyDescent="0.3">
      <c r="X1145" s="1">
        <f t="shared" si="34"/>
        <v>0</v>
      </c>
      <c r="Y1145" s="1">
        <f t="shared" si="35"/>
        <v>15</v>
      </c>
    </row>
    <row r="1146" spans="24:25" x14ac:dyDescent="0.3">
      <c r="X1146" s="1">
        <f t="shared" si="34"/>
        <v>0</v>
      </c>
      <c r="Y1146" s="1">
        <f t="shared" si="35"/>
        <v>15</v>
      </c>
    </row>
    <row r="1147" spans="24:25" x14ac:dyDescent="0.3">
      <c r="X1147" s="1">
        <f t="shared" si="34"/>
        <v>0</v>
      </c>
      <c r="Y1147" s="1">
        <f t="shared" si="35"/>
        <v>15</v>
      </c>
    </row>
    <row r="1148" spans="24:25" x14ac:dyDescent="0.3">
      <c r="X1148" s="1">
        <f t="shared" si="34"/>
        <v>0</v>
      </c>
      <c r="Y1148" s="1">
        <f t="shared" si="35"/>
        <v>15</v>
      </c>
    </row>
    <row r="1149" spans="24:25" x14ac:dyDescent="0.3">
      <c r="X1149" s="1">
        <f t="shared" si="34"/>
        <v>0</v>
      </c>
      <c r="Y1149" s="1">
        <f t="shared" si="35"/>
        <v>15</v>
      </c>
    </row>
    <row r="1150" spans="24:25" x14ac:dyDescent="0.3">
      <c r="X1150" s="1">
        <f t="shared" si="34"/>
        <v>0</v>
      </c>
      <c r="Y1150" s="1">
        <f t="shared" si="35"/>
        <v>15</v>
      </c>
    </row>
    <row r="1151" spans="24:25" x14ac:dyDescent="0.3">
      <c r="X1151" s="1">
        <f t="shared" si="34"/>
        <v>0</v>
      </c>
      <c r="Y1151" s="1">
        <f t="shared" si="35"/>
        <v>15</v>
      </c>
    </row>
    <row r="1152" spans="24:25" x14ac:dyDescent="0.3">
      <c r="X1152" s="1">
        <f t="shared" si="34"/>
        <v>0</v>
      </c>
      <c r="Y1152" s="1">
        <f t="shared" si="35"/>
        <v>15</v>
      </c>
    </row>
    <row r="1153" spans="24:25" x14ac:dyDescent="0.3">
      <c r="X1153" s="1">
        <f t="shared" si="34"/>
        <v>0</v>
      </c>
      <c r="Y1153" s="1">
        <f t="shared" si="35"/>
        <v>15</v>
      </c>
    </row>
    <row r="1154" spans="24:25" x14ac:dyDescent="0.3">
      <c r="X1154" s="1">
        <f t="shared" si="34"/>
        <v>0</v>
      </c>
      <c r="Y1154" s="1">
        <f t="shared" si="35"/>
        <v>15</v>
      </c>
    </row>
    <row r="1155" spans="24:25" x14ac:dyDescent="0.3">
      <c r="X1155" s="1">
        <f t="shared" ref="X1155:X1218" si="36">IFERROR(MATCH(W1155,$B:$B,0),0)</f>
        <v>0</v>
      </c>
      <c r="Y1155" s="1">
        <f t="shared" ref="Y1155:Y1218" si="37">IF(X1156=0,COUNTA(A:A),X1156-1)</f>
        <v>15</v>
      </c>
    </row>
    <row r="1156" spans="24:25" x14ac:dyDescent="0.3">
      <c r="X1156" s="1">
        <f t="shared" si="36"/>
        <v>0</v>
      </c>
      <c r="Y1156" s="1">
        <f t="shared" si="37"/>
        <v>15</v>
      </c>
    </row>
    <row r="1157" spans="24:25" x14ac:dyDescent="0.3">
      <c r="X1157" s="1">
        <f t="shared" si="36"/>
        <v>0</v>
      </c>
      <c r="Y1157" s="1">
        <f t="shared" si="37"/>
        <v>15</v>
      </c>
    </row>
    <row r="1158" spans="24:25" x14ac:dyDescent="0.3">
      <c r="X1158" s="1">
        <f t="shared" si="36"/>
        <v>0</v>
      </c>
      <c r="Y1158" s="1">
        <f t="shared" si="37"/>
        <v>15</v>
      </c>
    </row>
    <row r="1159" spans="24:25" x14ac:dyDescent="0.3">
      <c r="X1159" s="1">
        <f t="shared" si="36"/>
        <v>0</v>
      </c>
      <c r="Y1159" s="1">
        <f t="shared" si="37"/>
        <v>15</v>
      </c>
    </row>
    <row r="1160" spans="24:25" x14ac:dyDescent="0.3">
      <c r="X1160" s="1">
        <f t="shared" si="36"/>
        <v>0</v>
      </c>
      <c r="Y1160" s="1">
        <f t="shared" si="37"/>
        <v>15</v>
      </c>
    </row>
    <row r="1161" spans="24:25" x14ac:dyDescent="0.3">
      <c r="X1161" s="1">
        <f t="shared" si="36"/>
        <v>0</v>
      </c>
      <c r="Y1161" s="1">
        <f t="shared" si="37"/>
        <v>15</v>
      </c>
    </row>
    <row r="1162" spans="24:25" x14ac:dyDescent="0.3">
      <c r="X1162" s="1">
        <f t="shared" si="36"/>
        <v>0</v>
      </c>
      <c r="Y1162" s="1">
        <f t="shared" si="37"/>
        <v>15</v>
      </c>
    </row>
    <row r="1163" spans="24:25" x14ac:dyDescent="0.3">
      <c r="X1163" s="1">
        <f t="shared" si="36"/>
        <v>0</v>
      </c>
      <c r="Y1163" s="1">
        <f t="shared" si="37"/>
        <v>15</v>
      </c>
    </row>
    <row r="1164" spans="24:25" x14ac:dyDescent="0.3">
      <c r="X1164" s="1">
        <f t="shared" si="36"/>
        <v>0</v>
      </c>
      <c r="Y1164" s="1">
        <f t="shared" si="37"/>
        <v>15</v>
      </c>
    </row>
    <row r="1165" spans="24:25" x14ac:dyDescent="0.3">
      <c r="X1165" s="1">
        <f t="shared" si="36"/>
        <v>0</v>
      </c>
      <c r="Y1165" s="1">
        <f t="shared" si="37"/>
        <v>15</v>
      </c>
    </row>
    <row r="1166" spans="24:25" x14ac:dyDescent="0.3">
      <c r="X1166" s="1">
        <f t="shared" si="36"/>
        <v>0</v>
      </c>
      <c r="Y1166" s="1">
        <f t="shared" si="37"/>
        <v>15</v>
      </c>
    </row>
    <row r="1167" spans="24:25" x14ac:dyDescent="0.3">
      <c r="X1167" s="1">
        <f t="shared" si="36"/>
        <v>0</v>
      </c>
      <c r="Y1167" s="1">
        <f t="shared" si="37"/>
        <v>15</v>
      </c>
    </row>
    <row r="1168" spans="24:25" x14ac:dyDescent="0.3">
      <c r="X1168" s="1">
        <f t="shared" si="36"/>
        <v>0</v>
      </c>
      <c r="Y1168" s="1">
        <f t="shared" si="37"/>
        <v>15</v>
      </c>
    </row>
    <row r="1169" spans="24:25" x14ac:dyDescent="0.3">
      <c r="X1169" s="1">
        <f t="shared" si="36"/>
        <v>0</v>
      </c>
      <c r="Y1169" s="1">
        <f t="shared" si="37"/>
        <v>15</v>
      </c>
    </row>
    <row r="1170" spans="24:25" x14ac:dyDescent="0.3">
      <c r="X1170" s="1">
        <f t="shared" si="36"/>
        <v>0</v>
      </c>
      <c r="Y1170" s="1">
        <f t="shared" si="37"/>
        <v>15</v>
      </c>
    </row>
    <row r="1171" spans="24:25" x14ac:dyDescent="0.3">
      <c r="X1171" s="1">
        <f t="shared" si="36"/>
        <v>0</v>
      </c>
      <c r="Y1171" s="1">
        <f t="shared" si="37"/>
        <v>15</v>
      </c>
    </row>
    <row r="1172" spans="24:25" x14ac:dyDescent="0.3">
      <c r="X1172" s="1">
        <f t="shared" si="36"/>
        <v>0</v>
      </c>
      <c r="Y1172" s="1">
        <f t="shared" si="37"/>
        <v>15</v>
      </c>
    </row>
    <row r="1173" spans="24:25" x14ac:dyDescent="0.3">
      <c r="X1173" s="1">
        <f t="shared" si="36"/>
        <v>0</v>
      </c>
      <c r="Y1173" s="1">
        <f t="shared" si="37"/>
        <v>15</v>
      </c>
    </row>
    <row r="1174" spans="24:25" x14ac:dyDescent="0.3">
      <c r="X1174" s="1">
        <f t="shared" si="36"/>
        <v>0</v>
      </c>
      <c r="Y1174" s="1">
        <f t="shared" si="37"/>
        <v>15</v>
      </c>
    </row>
    <row r="1175" spans="24:25" x14ac:dyDescent="0.3">
      <c r="X1175" s="1">
        <f t="shared" si="36"/>
        <v>0</v>
      </c>
      <c r="Y1175" s="1">
        <f t="shared" si="37"/>
        <v>15</v>
      </c>
    </row>
    <row r="1176" spans="24:25" x14ac:dyDescent="0.3">
      <c r="X1176" s="1">
        <f t="shared" si="36"/>
        <v>0</v>
      </c>
      <c r="Y1176" s="1">
        <f t="shared" si="37"/>
        <v>15</v>
      </c>
    </row>
    <row r="1177" spans="24:25" x14ac:dyDescent="0.3">
      <c r="X1177" s="1">
        <f t="shared" si="36"/>
        <v>0</v>
      </c>
      <c r="Y1177" s="1">
        <f t="shared" si="37"/>
        <v>15</v>
      </c>
    </row>
    <row r="1178" spans="24:25" x14ac:dyDescent="0.3">
      <c r="X1178" s="1">
        <f t="shared" si="36"/>
        <v>0</v>
      </c>
      <c r="Y1178" s="1">
        <f t="shared" si="37"/>
        <v>15</v>
      </c>
    </row>
    <row r="1179" spans="24:25" x14ac:dyDescent="0.3">
      <c r="X1179" s="1">
        <f t="shared" si="36"/>
        <v>0</v>
      </c>
      <c r="Y1179" s="1">
        <f t="shared" si="37"/>
        <v>15</v>
      </c>
    </row>
    <row r="1180" spans="24:25" x14ac:dyDescent="0.3">
      <c r="X1180" s="1">
        <f t="shared" si="36"/>
        <v>0</v>
      </c>
      <c r="Y1180" s="1">
        <f t="shared" si="37"/>
        <v>15</v>
      </c>
    </row>
    <row r="1181" spans="24:25" x14ac:dyDescent="0.3">
      <c r="X1181" s="1">
        <f t="shared" si="36"/>
        <v>0</v>
      </c>
      <c r="Y1181" s="1">
        <f t="shared" si="37"/>
        <v>15</v>
      </c>
    </row>
    <row r="1182" spans="24:25" x14ac:dyDescent="0.3">
      <c r="X1182" s="1">
        <f t="shared" si="36"/>
        <v>0</v>
      </c>
      <c r="Y1182" s="1">
        <f t="shared" si="37"/>
        <v>15</v>
      </c>
    </row>
    <row r="1183" spans="24:25" x14ac:dyDescent="0.3">
      <c r="X1183" s="1">
        <f t="shared" si="36"/>
        <v>0</v>
      </c>
      <c r="Y1183" s="1">
        <f t="shared" si="37"/>
        <v>15</v>
      </c>
    </row>
    <row r="1184" spans="24:25" x14ac:dyDescent="0.3">
      <c r="X1184" s="1">
        <f t="shared" si="36"/>
        <v>0</v>
      </c>
      <c r="Y1184" s="1">
        <f t="shared" si="37"/>
        <v>15</v>
      </c>
    </row>
    <row r="1185" spans="24:25" x14ac:dyDescent="0.3">
      <c r="X1185" s="1">
        <f t="shared" si="36"/>
        <v>0</v>
      </c>
      <c r="Y1185" s="1">
        <f t="shared" si="37"/>
        <v>15</v>
      </c>
    </row>
    <row r="1186" spans="24:25" x14ac:dyDescent="0.3">
      <c r="X1186" s="1">
        <f t="shared" si="36"/>
        <v>0</v>
      </c>
      <c r="Y1186" s="1">
        <f t="shared" si="37"/>
        <v>15</v>
      </c>
    </row>
    <row r="1187" spans="24:25" x14ac:dyDescent="0.3">
      <c r="X1187" s="1">
        <f t="shared" si="36"/>
        <v>0</v>
      </c>
      <c r="Y1187" s="1">
        <f t="shared" si="37"/>
        <v>15</v>
      </c>
    </row>
    <row r="1188" spans="24:25" x14ac:dyDescent="0.3">
      <c r="X1188" s="1">
        <f t="shared" si="36"/>
        <v>0</v>
      </c>
      <c r="Y1188" s="1">
        <f t="shared" si="37"/>
        <v>15</v>
      </c>
    </row>
    <row r="1189" spans="24:25" x14ac:dyDescent="0.3">
      <c r="X1189" s="1">
        <f t="shared" si="36"/>
        <v>0</v>
      </c>
      <c r="Y1189" s="1">
        <f t="shared" si="37"/>
        <v>15</v>
      </c>
    </row>
    <row r="1190" spans="24:25" x14ac:dyDescent="0.3">
      <c r="X1190" s="1">
        <f t="shared" si="36"/>
        <v>0</v>
      </c>
      <c r="Y1190" s="1">
        <f t="shared" si="37"/>
        <v>15</v>
      </c>
    </row>
    <row r="1191" spans="24:25" x14ac:dyDescent="0.3">
      <c r="X1191" s="1">
        <f t="shared" si="36"/>
        <v>0</v>
      </c>
      <c r="Y1191" s="1">
        <f t="shared" si="37"/>
        <v>15</v>
      </c>
    </row>
    <row r="1192" spans="24:25" x14ac:dyDescent="0.3">
      <c r="X1192" s="1">
        <f t="shared" si="36"/>
        <v>0</v>
      </c>
      <c r="Y1192" s="1">
        <f t="shared" si="37"/>
        <v>15</v>
      </c>
    </row>
    <row r="1193" spans="24:25" x14ac:dyDescent="0.3">
      <c r="X1193" s="1">
        <f t="shared" si="36"/>
        <v>0</v>
      </c>
      <c r="Y1193" s="1">
        <f t="shared" si="37"/>
        <v>15</v>
      </c>
    </row>
    <row r="1194" spans="24:25" x14ac:dyDescent="0.3">
      <c r="X1194" s="1">
        <f t="shared" si="36"/>
        <v>0</v>
      </c>
      <c r="Y1194" s="1">
        <f t="shared" si="37"/>
        <v>15</v>
      </c>
    </row>
    <row r="1195" spans="24:25" x14ac:dyDescent="0.3">
      <c r="X1195" s="1">
        <f t="shared" si="36"/>
        <v>0</v>
      </c>
      <c r="Y1195" s="1">
        <f t="shared" si="37"/>
        <v>15</v>
      </c>
    </row>
    <row r="1196" spans="24:25" x14ac:dyDescent="0.3">
      <c r="X1196" s="1">
        <f t="shared" si="36"/>
        <v>0</v>
      </c>
      <c r="Y1196" s="1">
        <f t="shared" si="37"/>
        <v>15</v>
      </c>
    </row>
    <row r="1197" spans="24:25" x14ac:dyDescent="0.3">
      <c r="X1197" s="1">
        <f t="shared" si="36"/>
        <v>0</v>
      </c>
      <c r="Y1197" s="1">
        <f t="shared" si="37"/>
        <v>15</v>
      </c>
    </row>
    <row r="1198" spans="24:25" x14ac:dyDescent="0.3">
      <c r="X1198" s="1">
        <f t="shared" si="36"/>
        <v>0</v>
      </c>
      <c r="Y1198" s="1">
        <f t="shared" si="37"/>
        <v>15</v>
      </c>
    </row>
    <row r="1199" spans="24:25" x14ac:dyDescent="0.3">
      <c r="X1199" s="1">
        <f t="shared" si="36"/>
        <v>0</v>
      </c>
      <c r="Y1199" s="1">
        <f t="shared" si="37"/>
        <v>15</v>
      </c>
    </row>
    <row r="1200" spans="24:25" x14ac:dyDescent="0.3">
      <c r="X1200" s="1">
        <f t="shared" si="36"/>
        <v>0</v>
      </c>
      <c r="Y1200" s="1">
        <f t="shared" si="37"/>
        <v>15</v>
      </c>
    </row>
    <row r="1201" spans="24:25" x14ac:dyDescent="0.3">
      <c r="X1201" s="1">
        <f t="shared" si="36"/>
        <v>0</v>
      </c>
      <c r="Y1201" s="1">
        <f t="shared" si="37"/>
        <v>15</v>
      </c>
    </row>
    <row r="1202" spans="24:25" x14ac:dyDescent="0.3">
      <c r="X1202" s="1">
        <f t="shared" si="36"/>
        <v>0</v>
      </c>
      <c r="Y1202" s="1">
        <f t="shared" si="37"/>
        <v>15</v>
      </c>
    </row>
    <row r="1203" spans="24:25" x14ac:dyDescent="0.3">
      <c r="X1203" s="1">
        <f t="shared" si="36"/>
        <v>0</v>
      </c>
      <c r="Y1203" s="1">
        <f t="shared" si="37"/>
        <v>15</v>
      </c>
    </row>
    <row r="1204" spans="24:25" x14ac:dyDescent="0.3">
      <c r="X1204" s="1">
        <f t="shared" si="36"/>
        <v>0</v>
      </c>
      <c r="Y1204" s="1">
        <f t="shared" si="37"/>
        <v>15</v>
      </c>
    </row>
    <row r="1205" spans="24:25" x14ac:dyDescent="0.3">
      <c r="X1205" s="1">
        <f t="shared" si="36"/>
        <v>0</v>
      </c>
      <c r="Y1205" s="1">
        <f t="shared" si="37"/>
        <v>15</v>
      </c>
    </row>
    <row r="1206" spans="24:25" x14ac:dyDescent="0.3">
      <c r="X1206" s="1">
        <f t="shared" si="36"/>
        <v>0</v>
      </c>
      <c r="Y1206" s="1">
        <f t="shared" si="37"/>
        <v>15</v>
      </c>
    </row>
    <row r="1207" spans="24:25" x14ac:dyDescent="0.3">
      <c r="X1207" s="1">
        <f t="shared" si="36"/>
        <v>0</v>
      </c>
      <c r="Y1207" s="1">
        <f t="shared" si="37"/>
        <v>15</v>
      </c>
    </row>
    <row r="1208" spans="24:25" x14ac:dyDescent="0.3">
      <c r="X1208" s="1">
        <f t="shared" si="36"/>
        <v>0</v>
      </c>
      <c r="Y1208" s="1">
        <f t="shared" si="37"/>
        <v>15</v>
      </c>
    </row>
    <row r="1209" spans="24:25" x14ac:dyDescent="0.3">
      <c r="X1209" s="1">
        <f t="shared" si="36"/>
        <v>0</v>
      </c>
      <c r="Y1209" s="1">
        <f t="shared" si="37"/>
        <v>15</v>
      </c>
    </row>
    <row r="1210" spans="24:25" x14ac:dyDescent="0.3">
      <c r="X1210" s="1">
        <f t="shared" si="36"/>
        <v>0</v>
      </c>
      <c r="Y1210" s="1">
        <f t="shared" si="37"/>
        <v>15</v>
      </c>
    </row>
    <row r="1211" spans="24:25" x14ac:dyDescent="0.3">
      <c r="X1211" s="1">
        <f t="shared" si="36"/>
        <v>0</v>
      </c>
      <c r="Y1211" s="1">
        <f t="shared" si="37"/>
        <v>15</v>
      </c>
    </row>
    <row r="1212" spans="24:25" x14ac:dyDescent="0.3">
      <c r="X1212" s="1">
        <f t="shared" si="36"/>
        <v>0</v>
      </c>
      <c r="Y1212" s="1">
        <f t="shared" si="37"/>
        <v>15</v>
      </c>
    </row>
    <row r="1213" spans="24:25" x14ac:dyDescent="0.3">
      <c r="X1213" s="1">
        <f t="shared" si="36"/>
        <v>0</v>
      </c>
      <c r="Y1213" s="1">
        <f t="shared" si="37"/>
        <v>15</v>
      </c>
    </row>
    <row r="1214" spans="24:25" x14ac:dyDescent="0.3">
      <c r="X1214" s="1">
        <f t="shared" si="36"/>
        <v>0</v>
      </c>
      <c r="Y1214" s="1">
        <f t="shared" si="37"/>
        <v>15</v>
      </c>
    </row>
    <row r="1215" spans="24:25" x14ac:dyDescent="0.3">
      <c r="X1215" s="1">
        <f t="shared" si="36"/>
        <v>0</v>
      </c>
      <c r="Y1215" s="1">
        <f t="shared" si="37"/>
        <v>15</v>
      </c>
    </row>
    <row r="1216" spans="24:25" x14ac:dyDescent="0.3">
      <c r="X1216" s="1">
        <f t="shared" si="36"/>
        <v>0</v>
      </c>
      <c r="Y1216" s="1">
        <f t="shared" si="37"/>
        <v>15</v>
      </c>
    </row>
    <row r="1217" spans="24:25" x14ac:dyDescent="0.3">
      <c r="X1217" s="1">
        <f t="shared" si="36"/>
        <v>0</v>
      </c>
      <c r="Y1217" s="1">
        <f t="shared" si="37"/>
        <v>15</v>
      </c>
    </row>
    <row r="1218" spans="24:25" x14ac:dyDescent="0.3">
      <c r="X1218" s="1">
        <f t="shared" si="36"/>
        <v>0</v>
      </c>
      <c r="Y1218" s="1">
        <f t="shared" si="37"/>
        <v>15</v>
      </c>
    </row>
    <row r="1219" spans="24:25" x14ac:dyDescent="0.3">
      <c r="X1219" s="1">
        <f t="shared" ref="X1219:X1282" si="38">IFERROR(MATCH(W1219,$B:$B,0),0)</f>
        <v>0</v>
      </c>
      <c r="Y1219" s="1">
        <f t="shared" ref="Y1219:Y1282" si="39">IF(X1220=0,COUNTA(A:A),X1220-1)</f>
        <v>15</v>
      </c>
    </row>
    <row r="1220" spans="24:25" x14ac:dyDescent="0.3">
      <c r="X1220" s="1">
        <f t="shared" si="38"/>
        <v>0</v>
      </c>
      <c r="Y1220" s="1">
        <f t="shared" si="39"/>
        <v>15</v>
      </c>
    </row>
    <row r="1221" spans="24:25" x14ac:dyDescent="0.3">
      <c r="X1221" s="1">
        <f t="shared" si="38"/>
        <v>0</v>
      </c>
      <c r="Y1221" s="1">
        <f t="shared" si="39"/>
        <v>15</v>
      </c>
    </row>
    <row r="1222" spans="24:25" x14ac:dyDescent="0.3">
      <c r="X1222" s="1">
        <f t="shared" si="38"/>
        <v>0</v>
      </c>
      <c r="Y1222" s="1">
        <f t="shared" si="39"/>
        <v>15</v>
      </c>
    </row>
    <row r="1223" spans="24:25" x14ac:dyDescent="0.3">
      <c r="X1223" s="1">
        <f t="shared" si="38"/>
        <v>0</v>
      </c>
      <c r="Y1223" s="1">
        <f t="shared" si="39"/>
        <v>15</v>
      </c>
    </row>
    <row r="1224" spans="24:25" x14ac:dyDescent="0.3">
      <c r="X1224" s="1">
        <f t="shared" si="38"/>
        <v>0</v>
      </c>
      <c r="Y1224" s="1">
        <f t="shared" si="39"/>
        <v>15</v>
      </c>
    </row>
    <row r="1225" spans="24:25" x14ac:dyDescent="0.3">
      <c r="X1225" s="1">
        <f t="shared" si="38"/>
        <v>0</v>
      </c>
      <c r="Y1225" s="1">
        <f t="shared" si="39"/>
        <v>15</v>
      </c>
    </row>
    <row r="1226" spans="24:25" x14ac:dyDescent="0.3">
      <c r="X1226" s="1">
        <f t="shared" si="38"/>
        <v>0</v>
      </c>
      <c r="Y1226" s="1">
        <f t="shared" si="39"/>
        <v>15</v>
      </c>
    </row>
    <row r="1227" spans="24:25" x14ac:dyDescent="0.3">
      <c r="X1227" s="1">
        <f t="shared" si="38"/>
        <v>0</v>
      </c>
      <c r="Y1227" s="1">
        <f t="shared" si="39"/>
        <v>15</v>
      </c>
    </row>
    <row r="1228" spans="24:25" x14ac:dyDescent="0.3">
      <c r="X1228" s="1">
        <f t="shared" si="38"/>
        <v>0</v>
      </c>
      <c r="Y1228" s="1">
        <f t="shared" si="39"/>
        <v>15</v>
      </c>
    </row>
    <row r="1229" spans="24:25" x14ac:dyDescent="0.3">
      <c r="X1229" s="1">
        <f t="shared" si="38"/>
        <v>0</v>
      </c>
      <c r="Y1229" s="1">
        <f t="shared" si="39"/>
        <v>15</v>
      </c>
    </row>
    <row r="1230" spans="24:25" x14ac:dyDescent="0.3">
      <c r="X1230" s="1">
        <f t="shared" si="38"/>
        <v>0</v>
      </c>
      <c r="Y1230" s="1">
        <f t="shared" si="39"/>
        <v>15</v>
      </c>
    </row>
    <row r="1231" spans="24:25" x14ac:dyDescent="0.3">
      <c r="X1231" s="1">
        <f t="shared" si="38"/>
        <v>0</v>
      </c>
      <c r="Y1231" s="1">
        <f t="shared" si="39"/>
        <v>15</v>
      </c>
    </row>
    <row r="1232" spans="24:25" x14ac:dyDescent="0.3">
      <c r="X1232" s="1">
        <f t="shared" si="38"/>
        <v>0</v>
      </c>
      <c r="Y1232" s="1">
        <f t="shared" si="39"/>
        <v>15</v>
      </c>
    </row>
    <row r="1233" spans="24:25" x14ac:dyDescent="0.3">
      <c r="X1233" s="1">
        <f t="shared" si="38"/>
        <v>0</v>
      </c>
      <c r="Y1233" s="1">
        <f t="shared" si="39"/>
        <v>15</v>
      </c>
    </row>
    <row r="1234" spans="24:25" x14ac:dyDescent="0.3">
      <c r="X1234" s="1">
        <f t="shared" si="38"/>
        <v>0</v>
      </c>
      <c r="Y1234" s="1">
        <f t="shared" si="39"/>
        <v>15</v>
      </c>
    </row>
    <row r="1235" spans="24:25" x14ac:dyDescent="0.3">
      <c r="X1235" s="1">
        <f t="shared" si="38"/>
        <v>0</v>
      </c>
      <c r="Y1235" s="1">
        <f t="shared" si="39"/>
        <v>15</v>
      </c>
    </row>
    <row r="1236" spans="24:25" x14ac:dyDescent="0.3">
      <c r="X1236" s="1">
        <f t="shared" si="38"/>
        <v>0</v>
      </c>
      <c r="Y1236" s="1">
        <f t="shared" si="39"/>
        <v>15</v>
      </c>
    </row>
    <row r="1237" spans="24:25" x14ac:dyDescent="0.3">
      <c r="X1237" s="1">
        <f t="shared" si="38"/>
        <v>0</v>
      </c>
      <c r="Y1237" s="1">
        <f t="shared" si="39"/>
        <v>15</v>
      </c>
    </row>
    <row r="1238" spans="24:25" x14ac:dyDescent="0.3">
      <c r="X1238" s="1">
        <f t="shared" si="38"/>
        <v>0</v>
      </c>
      <c r="Y1238" s="1">
        <f t="shared" si="39"/>
        <v>15</v>
      </c>
    </row>
    <row r="1239" spans="24:25" x14ac:dyDescent="0.3">
      <c r="X1239" s="1">
        <f t="shared" si="38"/>
        <v>0</v>
      </c>
      <c r="Y1239" s="1">
        <f t="shared" si="39"/>
        <v>15</v>
      </c>
    </row>
    <row r="1240" spans="24:25" x14ac:dyDescent="0.3">
      <c r="X1240" s="1">
        <f t="shared" si="38"/>
        <v>0</v>
      </c>
      <c r="Y1240" s="1">
        <f t="shared" si="39"/>
        <v>15</v>
      </c>
    </row>
    <row r="1241" spans="24:25" x14ac:dyDescent="0.3">
      <c r="X1241" s="1">
        <f t="shared" si="38"/>
        <v>0</v>
      </c>
      <c r="Y1241" s="1">
        <f t="shared" si="39"/>
        <v>15</v>
      </c>
    </row>
    <row r="1242" spans="24:25" x14ac:dyDescent="0.3">
      <c r="X1242" s="1">
        <f t="shared" si="38"/>
        <v>0</v>
      </c>
      <c r="Y1242" s="1">
        <f t="shared" si="39"/>
        <v>15</v>
      </c>
    </row>
    <row r="1243" spans="24:25" x14ac:dyDescent="0.3">
      <c r="X1243" s="1">
        <f t="shared" si="38"/>
        <v>0</v>
      </c>
      <c r="Y1243" s="1">
        <f t="shared" si="39"/>
        <v>15</v>
      </c>
    </row>
    <row r="1244" spans="24:25" x14ac:dyDescent="0.3">
      <c r="X1244" s="1">
        <f t="shared" si="38"/>
        <v>0</v>
      </c>
      <c r="Y1244" s="1">
        <f t="shared" si="39"/>
        <v>15</v>
      </c>
    </row>
    <row r="1245" spans="24:25" x14ac:dyDescent="0.3">
      <c r="X1245" s="1">
        <f t="shared" si="38"/>
        <v>0</v>
      </c>
      <c r="Y1245" s="1">
        <f t="shared" si="39"/>
        <v>15</v>
      </c>
    </row>
    <row r="1246" spans="24:25" x14ac:dyDescent="0.3">
      <c r="X1246" s="1">
        <f t="shared" si="38"/>
        <v>0</v>
      </c>
      <c r="Y1246" s="1">
        <f t="shared" si="39"/>
        <v>15</v>
      </c>
    </row>
    <row r="1247" spans="24:25" x14ac:dyDescent="0.3">
      <c r="X1247" s="1">
        <f t="shared" si="38"/>
        <v>0</v>
      </c>
      <c r="Y1247" s="1">
        <f t="shared" si="39"/>
        <v>15</v>
      </c>
    </row>
    <row r="1248" spans="24:25" x14ac:dyDescent="0.3">
      <c r="X1248" s="1">
        <f t="shared" si="38"/>
        <v>0</v>
      </c>
      <c r="Y1248" s="1">
        <f t="shared" si="39"/>
        <v>15</v>
      </c>
    </row>
    <row r="1249" spans="24:25" x14ac:dyDescent="0.3">
      <c r="X1249" s="1">
        <f t="shared" si="38"/>
        <v>0</v>
      </c>
      <c r="Y1249" s="1">
        <f t="shared" si="39"/>
        <v>15</v>
      </c>
    </row>
    <row r="1250" spans="24:25" x14ac:dyDescent="0.3">
      <c r="X1250" s="1">
        <f t="shared" si="38"/>
        <v>0</v>
      </c>
      <c r="Y1250" s="1">
        <f t="shared" si="39"/>
        <v>15</v>
      </c>
    </row>
    <row r="1251" spans="24:25" x14ac:dyDescent="0.3">
      <c r="X1251" s="1">
        <f t="shared" si="38"/>
        <v>0</v>
      </c>
      <c r="Y1251" s="1">
        <f t="shared" si="39"/>
        <v>15</v>
      </c>
    </row>
    <row r="1252" spans="24:25" x14ac:dyDescent="0.3">
      <c r="X1252" s="1">
        <f t="shared" si="38"/>
        <v>0</v>
      </c>
      <c r="Y1252" s="1">
        <f t="shared" si="39"/>
        <v>15</v>
      </c>
    </row>
    <row r="1253" spans="24:25" x14ac:dyDescent="0.3">
      <c r="X1253" s="1">
        <f t="shared" si="38"/>
        <v>0</v>
      </c>
      <c r="Y1253" s="1">
        <f t="shared" si="39"/>
        <v>15</v>
      </c>
    </row>
    <row r="1254" spans="24:25" x14ac:dyDescent="0.3">
      <c r="X1254" s="1">
        <f t="shared" si="38"/>
        <v>0</v>
      </c>
      <c r="Y1254" s="1">
        <f t="shared" si="39"/>
        <v>15</v>
      </c>
    </row>
    <row r="1255" spans="24:25" x14ac:dyDescent="0.3">
      <c r="X1255" s="1">
        <f t="shared" si="38"/>
        <v>0</v>
      </c>
      <c r="Y1255" s="1">
        <f t="shared" si="39"/>
        <v>15</v>
      </c>
    </row>
    <row r="1256" spans="24:25" x14ac:dyDescent="0.3">
      <c r="X1256" s="1">
        <f t="shared" si="38"/>
        <v>0</v>
      </c>
      <c r="Y1256" s="1">
        <f t="shared" si="39"/>
        <v>15</v>
      </c>
    </row>
    <row r="1257" spans="24:25" x14ac:dyDescent="0.3">
      <c r="X1257" s="1">
        <f t="shared" si="38"/>
        <v>0</v>
      </c>
      <c r="Y1257" s="1">
        <f t="shared" si="39"/>
        <v>15</v>
      </c>
    </row>
    <row r="1258" spans="24:25" x14ac:dyDescent="0.3">
      <c r="X1258" s="1">
        <f t="shared" si="38"/>
        <v>0</v>
      </c>
      <c r="Y1258" s="1">
        <f t="shared" si="39"/>
        <v>15</v>
      </c>
    </row>
    <row r="1259" spans="24:25" x14ac:dyDescent="0.3">
      <c r="X1259" s="1">
        <f t="shared" si="38"/>
        <v>0</v>
      </c>
      <c r="Y1259" s="1">
        <f t="shared" si="39"/>
        <v>15</v>
      </c>
    </row>
    <row r="1260" spans="24:25" x14ac:dyDescent="0.3">
      <c r="X1260" s="1">
        <f t="shared" si="38"/>
        <v>0</v>
      </c>
      <c r="Y1260" s="1">
        <f t="shared" si="39"/>
        <v>15</v>
      </c>
    </row>
    <row r="1261" spans="24:25" x14ac:dyDescent="0.3">
      <c r="X1261" s="1">
        <f t="shared" si="38"/>
        <v>0</v>
      </c>
      <c r="Y1261" s="1">
        <f t="shared" si="39"/>
        <v>15</v>
      </c>
    </row>
    <row r="1262" spans="24:25" x14ac:dyDescent="0.3">
      <c r="X1262" s="1">
        <f t="shared" si="38"/>
        <v>0</v>
      </c>
      <c r="Y1262" s="1">
        <f t="shared" si="39"/>
        <v>15</v>
      </c>
    </row>
    <row r="1263" spans="24:25" x14ac:dyDescent="0.3">
      <c r="X1263" s="1">
        <f t="shared" si="38"/>
        <v>0</v>
      </c>
      <c r="Y1263" s="1">
        <f t="shared" si="39"/>
        <v>15</v>
      </c>
    </row>
    <row r="1264" spans="24:25" x14ac:dyDescent="0.3">
      <c r="X1264" s="1">
        <f t="shared" si="38"/>
        <v>0</v>
      </c>
      <c r="Y1264" s="1">
        <f t="shared" si="39"/>
        <v>15</v>
      </c>
    </row>
    <row r="1265" spans="24:25" x14ac:dyDescent="0.3">
      <c r="X1265" s="1">
        <f t="shared" si="38"/>
        <v>0</v>
      </c>
      <c r="Y1265" s="1">
        <f t="shared" si="39"/>
        <v>15</v>
      </c>
    </row>
    <row r="1266" spans="24:25" x14ac:dyDescent="0.3">
      <c r="X1266" s="1">
        <f t="shared" si="38"/>
        <v>0</v>
      </c>
      <c r="Y1266" s="1">
        <f t="shared" si="39"/>
        <v>15</v>
      </c>
    </row>
    <row r="1267" spans="24:25" x14ac:dyDescent="0.3">
      <c r="X1267" s="1">
        <f t="shared" si="38"/>
        <v>0</v>
      </c>
      <c r="Y1267" s="1">
        <f t="shared" si="39"/>
        <v>15</v>
      </c>
    </row>
    <row r="1268" spans="24:25" x14ac:dyDescent="0.3">
      <c r="X1268" s="1">
        <f t="shared" si="38"/>
        <v>0</v>
      </c>
      <c r="Y1268" s="1">
        <f t="shared" si="39"/>
        <v>15</v>
      </c>
    </row>
    <row r="1269" spans="24:25" x14ac:dyDescent="0.3">
      <c r="X1269" s="1">
        <f t="shared" si="38"/>
        <v>0</v>
      </c>
      <c r="Y1269" s="1">
        <f t="shared" si="39"/>
        <v>15</v>
      </c>
    </row>
    <row r="1270" spans="24:25" x14ac:dyDescent="0.3">
      <c r="X1270" s="1">
        <f t="shared" si="38"/>
        <v>0</v>
      </c>
      <c r="Y1270" s="1">
        <f t="shared" si="39"/>
        <v>15</v>
      </c>
    </row>
    <row r="1271" spans="24:25" x14ac:dyDescent="0.3">
      <c r="X1271" s="1">
        <f t="shared" si="38"/>
        <v>0</v>
      </c>
      <c r="Y1271" s="1">
        <f t="shared" si="39"/>
        <v>15</v>
      </c>
    </row>
    <row r="1272" spans="24:25" x14ac:dyDescent="0.3">
      <c r="X1272" s="1">
        <f t="shared" si="38"/>
        <v>0</v>
      </c>
      <c r="Y1272" s="1">
        <f t="shared" si="39"/>
        <v>15</v>
      </c>
    </row>
    <row r="1273" spans="24:25" x14ac:dyDescent="0.3">
      <c r="X1273" s="1">
        <f t="shared" si="38"/>
        <v>0</v>
      </c>
      <c r="Y1273" s="1">
        <f t="shared" si="39"/>
        <v>15</v>
      </c>
    </row>
    <row r="1274" spans="24:25" x14ac:dyDescent="0.3">
      <c r="X1274" s="1">
        <f t="shared" si="38"/>
        <v>0</v>
      </c>
      <c r="Y1274" s="1">
        <f t="shared" si="39"/>
        <v>15</v>
      </c>
    </row>
    <row r="1275" spans="24:25" x14ac:dyDescent="0.3">
      <c r="X1275" s="1">
        <f t="shared" si="38"/>
        <v>0</v>
      </c>
      <c r="Y1275" s="1">
        <f t="shared" si="39"/>
        <v>15</v>
      </c>
    </row>
    <row r="1276" spans="24:25" x14ac:dyDescent="0.3">
      <c r="X1276" s="1">
        <f t="shared" si="38"/>
        <v>0</v>
      </c>
      <c r="Y1276" s="1">
        <f t="shared" si="39"/>
        <v>15</v>
      </c>
    </row>
    <row r="1277" spans="24:25" x14ac:dyDescent="0.3">
      <c r="X1277" s="1">
        <f t="shared" si="38"/>
        <v>0</v>
      </c>
      <c r="Y1277" s="1">
        <f t="shared" si="39"/>
        <v>15</v>
      </c>
    </row>
    <row r="1278" spans="24:25" x14ac:dyDescent="0.3">
      <c r="X1278" s="1">
        <f t="shared" si="38"/>
        <v>0</v>
      </c>
      <c r="Y1278" s="1">
        <f t="shared" si="39"/>
        <v>15</v>
      </c>
    </row>
    <row r="1279" spans="24:25" x14ac:dyDescent="0.3">
      <c r="X1279" s="1">
        <f t="shared" si="38"/>
        <v>0</v>
      </c>
      <c r="Y1279" s="1">
        <f t="shared" si="39"/>
        <v>15</v>
      </c>
    </row>
    <row r="1280" spans="24:25" x14ac:dyDescent="0.3">
      <c r="X1280" s="1">
        <f t="shared" si="38"/>
        <v>0</v>
      </c>
      <c r="Y1280" s="1">
        <f t="shared" si="39"/>
        <v>15</v>
      </c>
    </row>
    <row r="1281" spans="24:25" x14ac:dyDescent="0.3">
      <c r="X1281" s="1">
        <f t="shared" si="38"/>
        <v>0</v>
      </c>
      <c r="Y1281" s="1">
        <f t="shared" si="39"/>
        <v>15</v>
      </c>
    </row>
    <row r="1282" spans="24:25" x14ac:dyDescent="0.3">
      <c r="X1282" s="1">
        <f t="shared" si="38"/>
        <v>0</v>
      </c>
      <c r="Y1282" s="1">
        <f t="shared" si="39"/>
        <v>15</v>
      </c>
    </row>
    <row r="1283" spans="24:25" x14ac:dyDescent="0.3">
      <c r="X1283" s="1">
        <f t="shared" ref="X1283:X1346" si="40">IFERROR(MATCH(W1283,$B:$B,0),0)</f>
        <v>0</v>
      </c>
      <c r="Y1283" s="1">
        <f t="shared" ref="Y1283:Y1346" si="41">IF(X1284=0,COUNTA(A:A),X1284-1)</f>
        <v>15</v>
      </c>
    </row>
    <row r="1284" spans="24:25" x14ac:dyDescent="0.3">
      <c r="X1284" s="1">
        <f t="shared" si="40"/>
        <v>0</v>
      </c>
      <c r="Y1284" s="1">
        <f t="shared" si="41"/>
        <v>15</v>
      </c>
    </row>
    <row r="1285" spans="24:25" x14ac:dyDescent="0.3">
      <c r="X1285" s="1">
        <f t="shared" si="40"/>
        <v>0</v>
      </c>
      <c r="Y1285" s="1">
        <f t="shared" si="41"/>
        <v>15</v>
      </c>
    </row>
    <row r="1286" spans="24:25" x14ac:dyDescent="0.3">
      <c r="X1286" s="1">
        <f t="shared" si="40"/>
        <v>0</v>
      </c>
      <c r="Y1286" s="1">
        <f t="shared" si="41"/>
        <v>15</v>
      </c>
    </row>
    <row r="1287" spans="24:25" x14ac:dyDescent="0.3">
      <c r="X1287" s="1">
        <f t="shared" si="40"/>
        <v>0</v>
      </c>
      <c r="Y1287" s="1">
        <f t="shared" si="41"/>
        <v>15</v>
      </c>
    </row>
    <row r="1288" spans="24:25" x14ac:dyDescent="0.3">
      <c r="X1288" s="1">
        <f t="shared" si="40"/>
        <v>0</v>
      </c>
      <c r="Y1288" s="1">
        <f t="shared" si="41"/>
        <v>15</v>
      </c>
    </row>
    <row r="1289" spans="24:25" x14ac:dyDescent="0.3">
      <c r="X1289" s="1">
        <f t="shared" si="40"/>
        <v>0</v>
      </c>
      <c r="Y1289" s="1">
        <f t="shared" si="41"/>
        <v>15</v>
      </c>
    </row>
    <row r="1290" spans="24:25" x14ac:dyDescent="0.3">
      <c r="X1290" s="1">
        <f t="shared" si="40"/>
        <v>0</v>
      </c>
      <c r="Y1290" s="1">
        <f t="shared" si="41"/>
        <v>15</v>
      </c>
    </row>
    <row r="1291" spans="24:25" x14ac:dyDescent="0.3">
      <c r="X1291" s="1">
        <f t="shared" si="40"/>
        <v>0</v>
      </c>
      <c r="Y1291" s="1">
        <f t="shared" si="41"/>
        <v>15</v>
      </c>
    </row>
    <row r="1292" spans="24:25" x14ac:dyDescent="0.3">
      <c r="X1292" s="1">
        <f t="shared" si="40"/>
        <v>0</v>
      </c>
      <c r="Y1292" s="1">
        <f t="shared" si="41"/>
        <v>15</v>
      </c>
    </row>
    <row r="1293" spans="24:25" x14ac:dyDescent="0.3">
      <c r="X1293" s="1">
        <f t="shared" si="40"/>
        <v>0</v>
      </c>
      <c r="Y1293" s="1">
        <f t="shared" si="41"/>
        <v>15</v>
      </c>
    </row>
    <row r="1294" spans="24:25" x14ac:dyDescent="0.3">
      <c r="X1294" s="1">
        <f t="shared" si="40"/>
        <v>0</v>
      </c>
      <c r="Y1294" s="1">
        <f t="shared" si="41"/>
        <v>15</v>
      </c>
    </row>
    <row r="1295" spans="24:25" x14ac:dyDescent="0.3">
      <c r="X1295" s="1">
        <f t="shared" si="40"/>
        <v>0</v>
      </c>
      <c r="Y1295" s="1">
        <f t="shared" si="41"/>
        <v>15</v>
      </c>
    </row>
    <row r="1296" spans="24:25" x14ac:dyDescent="0.3">
      <c r="X1296" s="1">
        <f t="shared" si="40"/>
        <v>0</v>
      </c>
      <c r="Y1296" s="1">
        <f t="shared" si="41"/>
        <v>15</v>
      </c>
    </row>
    <row r="1297" spans="24:25" x14ac:dyDescent="0.3">
      <c r="X1297" s="1">
        <f t="shared" si="40"/>
        <v>0</v>
      </c>
      <c r="Y1297" s="1">
        <f t="shared" si="41"/>
        <v>15</v>
      </c>
    </row>
    <row r="1298" spans="24:25" x14ac:dyDescent="0.3">
      <c r="X1298" s="1">
        <f t="shared" si="40"/>
        <v>0</v>
      </c>
      <c r="Y1298" s="1">
        <f t="shared" si="41"/>
        <v>15</v>
      </c>
    </row>
    <row r="1299" spans="24:25" x14ac:dyDescent="0.3">
      <c r="X1299" s="1">
        <f t="shared" si="40"/>
        <v>0</v>
      </c>
      <c r="Y1299" s="1">
        <f t="shared" si="41"/>
        <v>15</v>
      </c>
    </row>
    <row r="1300" spans="24:25" x14ac:dyDescent="0.3">
      <c r="X1300" s="1">
        <f t="shared" si="40"/>
        <v>0</v>
      </c>
      <c r="Y1300" s="1">
        <f t="shared" si="41"/>
        <v>15</v>
      </c>
    </row>
    <row r="1301" spans="24:25" x14ac:dyDescent="0.3">
      <c r="X1301" s="1">
        <f t="shared" si="40"/>
        <v>0</v>
      </c>
      <c r="Y1301" s="1">
        <f t="shared" si="41"/>
        <v>15</v>
      </c>
    </row>
    <row r="1302" spans="24:25" x14ac:dyDescent="0.3">
      <c r="X1302" s="1">
        <f t="shared" si="40"/>
        <v>0</v>
      </c>
      <c r="Y1302" s="1">
        <f t="shared" si="41"/>
        <v>15</v>
      </c>
    </row>
    <row r="1303" spans="24:25" x14ac:dyDescent="0.3">
      <c r="X1303" s="1">
        <f t="shared" si="40"/>
        <v>0</v>
      </c>
      <c r="Y1303" s="1">
        <f t="shared" si="41"/>
        <v>15</v>
      </c>
    </row>
    <row r="1304" spans="24:25" x14ac:dyDescent="0.3">
      <c r="X1304" s="1">
        <f t="shared" si="40"/>
        <v>0</v>
      </c>
      <c r="Y1304" s="1">
        <f t="shared" si="41"/>
        <v>15</v>
      </c>
    </row>
    <row r="1305" spans="24:25" x14ac:dyDescent="0.3">
      <c r="X1305" s="1">
        <f t="shared" si="40"/>
        <v>0</v>
      </c>
      <c r="Y1305" s="1">
        <f t="shared" si="41"/>
        <v>15</v>
      </c>
    </row>
    <row r="1306" spans="24:25" x14ac:dyDescent="0.3">
      <c r="X1306" s="1">
        <f t="shared" si="40"/>
        <v>0</v>
      </c>
      <c r="Y1306" s="1">
        <f t="shared" si="41"/>
        <v>15</v>
      </c>
    </row>
    <row r="1307" spans="24:25" x14ac:dyDescent="0.3">
      <c r="X1307" s="1">
        <f t="shared" si="40"/>
        <v>0</v>
      </c>
      <c r="Y1307" s="1">
        <f t="shared" si="41"/>
        <v>15</v>
      </c>
    </row>
    <row r="1308" spans="24:25" x14ac:dyDescent="0.3">
      <c r="X1308" s="1">
        <f t="shared" si="40"/>
        <v>0</v>
      </c>
      <c r="Y1308" s="1">
        <f t="shared" si="41"/>
        <v>15</v>
      </c>
    </row>
    <row r="1309" spans="24:25" x14ac:dyDescent="0.3">
      <c r="X1309" s="1">
        <f t="shared" si="40"/>
        <v>0</v>
      </c>
      <c r="Y1309" s="1">
        <f t="shared" si="41"/>
        <v>15</v>
      </c>
    </row>
    <row r="1310" spans="24:25" x14ac:dyDescent="0.3">
      <c r="X1310" s="1">
        <f t="shared" si="40"/>
        <v>0</v>
      </c>
      <c r="Y1310" s="1">
        <f t="shared" si="41"/>
        <v>15</v>
      </c>
    </row>
    <row r="1311" spans="24:25" x14ac:dyDescent="0.3">
      <c r="X1311" s="1">
        <f t="shared" si="40"/>
        <v>0</v>
      </c>
      <c r="Y1311" s="1">
        <f t="shared" si="41"/>
        <v>15</v>
      </c>
    </row>
    <row r="1312" spans="24:25" x14ac:dyDescent="0.3">
      <c r="X1312" s="1">
        <f t="shared" si="40"/>
        <v>0</v>
      </c>
      <c r="Y1312" s="1">
        <f t="shared" si="41"/>
        <v>15</v>
      </c>
    </row>
    <row r="1313" spans="24:25" x14ac:dyDescent="0.3">
      <c r="X1313" s="1">
        <f t="shared" si="40"/>
        <v>0</v>
      </c>
      <c r="Y1313" s="1">
        <f t="shared" si="41"/>
        <v>15</v>
      </c>
    </row>
    <row r="1314" spans="24:25" x14ac:dyDescent="0.3">
      <c r="X1314" s="1">
        <f t="shared" si="40"/>
        <v>0</v>
      </c>
      <c r="Y1314" s="1">
        <f t="shared" si="41"/>
        <v>15</v>
      </c>
    </row>
    <row r="1315" spans="24:25" x14ac:dyDescent="0.3">
      <c r="X1315" s="1">
        <f t="shared" si="40"/>
        <v>0</v>
      </c>
      <c r="Y1315" s="1">
        <f t="shared" si="41"/>
        <v>15</v>
      </c>
    </row>
    <row r="1316" spans="24:25" x14ac:dyDescent="0.3">
      <c r="X1316" s="1">
        <f t="shared" si="40"/>
        <v>0</v>
      </c>
      <c r="Y1316" s="1">
        <f t="shared" si="41"/>
        <v>15</v>
      </c>
    </row>
    <row r="1317" spans="24:25" x14ac:dyDescent="0.3">
      <c r="X1317" s="1">
        <f t="shared" si="40"/>
        <v>0</v>
      </c>
      <c r="Y1317" s="1">
        <f t="shared" si="41"/>
        <v>15</v>
      </c>
    </row>
    <row r="1318" spans="24:25" x14ac:dyDescent="0.3">
      <c r="X1318" s="1">
        <f t="shared" si="40"/>
        <v>0</v>
      </c>
      <c r="Y1318" s="1">
        <f t="shared" si="41"/>
        <v>15</v>
      </c>
    </row>
    <row r="1319" spans="24:25" x14ac:dyDescent="0.3">
      <c r="X1319" s="1">
        <f t="shared" si="40"/>
        <v>0</v>
      </c>
      <c r="Y1319" s="1">
        <f t="shared" si="41"/>
        <v>15</v>
      </c>
    </row>
    <row r="1320" spans="24:25" x14ac:dyDescent="0.3">
      <c r="X1320" s="1">
        <f t="shared" si="40"/>
        <v>0</v>
      </c>
      <c r="Y1320" s="1">
        <f t="shared" si="41"/>
        <v>15</v>
      </c>
    </row>
    <row r="1321" spans="24:25" x14ac:dyDescent="0.3">
      <c r="X1321" s="1">
        <f t="shared" si="40"/>
        <v>0</v>
      </c>
      <c r="Y1321" s="1">
        <f t="shared" si="41"/>
        <v>15</v>
      </c>
    </row>
    <row r="1322" spans="24:25" x14ac:dyDescent="0.3">
      <c r="X1322" s="1">
        <f t="shared" si="40"/>
        <v>0</v>
      </c>
      <c r="Y1322" s="1">
        <f t="shared" si="41"/>
        <v>15</v>
      </c>
    </row>
    <row r="1323" spans="24:25" x14ac:dyDescent="0.3">
      <c r="X1323" s="1">
        <f t="shared" si="40"/>
        <v>0</v>
      </c>
      <c r="Y1323" s="1">
        <f t="shared" si="41"/>
        <v>15</v>
      </c>
    </row>
    <row r="1324" spans="24:25" x14ac:dyDescent="0.3">
      <c r="X1324" s="1">
        <f t="shared" si="40"/>
        <v>0</v>
      </c>
      <c r="Y1324" s="1">
        <f t="shared" si="41"/>
        <v>15</v>
      </c>
    </row>
    <row r="1325" spans="24:25" x14ac:dyDescent="0.3">
      <c r="X1325" s="1">
        <f t="shared" si="40"/>
        <v>0</v>
      </c>
      <c r="Y1325" s="1">
        <f t="shared" si="41"/>
        <v>15</v>
      </c>
    </row>
    <row r="1326" spans="24:25" x14ac:dyDescent="0.3">
      <c r="X1326" s="1">
        <f t="shared" si="40"/>
        <v>0</v>
      </c>
      <c r="Y1326" s="1">
        <f t="shared" si="41"/>
        <v>15</v>
      </c>
    </row>
    <row r="1327" spans="24:25" x14ac:dyDescent="0.3">
      <c r="X1327" s="1">
        <f t="shared" si="40"/>
        <v>0</v>
      </c>
      <c r="Y1327" s="1">
        <f t="shared" si="41"/>
        <v>15</v>
      </c>
    </row>
    <row r="1328" spans="24:25" x14ac:dyDescent="0.3">
      <c r="X1328" s="1">
        <f t="shared" si="40"/>
        <v>0</v>
      </c>
      <c r="Y1328" s="1">
        <f t="shared" si="41"/>
        <v>15</v>
      </c>
    </row>
    <row r="1329" spans="24:25" x14ac:dyDescent="0.3">
      <c r="X1329" s="1">
        <f t="shared" si="40"/>
        <v>0</v>
      </c>
      <c r="Y1329" s="1">
        <f t="shared" si="41"/>
        <v>15</v>
      </c>
    </row>
    <row r="1330" spans="24:25" x14ac:dyDescent="0.3">
      <c r="X1330" s="1">
        <f t="shared" si="40"/>
        <v>0</v>
      </c>
      <c r="Y1330" s="1">
        <f t="shared" si="41"/>
        <v>15</v>
      </c>
    </row>
    <row r="1331" spans="24:25" x14ac:dyDescent="0.3">
      <c r="X1331" s="1">
        <f t="shared" si="40"/>
        <v>0</v>
      </c>
      <c r="Y1331" s="1">
        <f t="shared" si="41"/>
        <v>15</v>
      </c>
    </row>
    <row r="1332" spans="24:25" x14ac:dyDescent="0.3">
      <c r="X1332" s="1">
        <f t="shared" si="40"/>
        <v>0</v>
      </c>
      <c r="Y1332" s="1">
        <f t="shared" si="41"/>
        <v>15</v>
      </c>
    </row>
    <row r="1333" spans="24:25" x14ac:dyDescent="0.3">
      <c r="X1333" s="1">
        <f t="shared" si="40"/>
        <v>0</v>
      </c>
      <c r="Y1333" s="1">
        <f t="shared" si="41"/>
        <v>15</v>
      </c>
    </row>
    <row r="1334" spans="24:25" x14ac:dyDescent="0.3">
      <c r="X1334" s="1">
        <f t="shared" si="40"/>
        <v>0</v>
      </c>
      <c r="Y1334" s="1">
        <f t="shared" si="41"/>
        <v>15</v>
      </c>
    </row>
    <row r="1335" spans="24:25" x14ac:dyDescent="0.3">
      <c r="X1335" s="1">
        <f t="shared" si="40"/>
        <v>0</v>
      </c>
      <c r="Y1335" s="1">
        <f t="shared" si="41"/>
        <v>15</v>
      </c>
    </row>
    <row r="1336" spans="24:25" x14ac:dyDescent="0.3">
      <c r="X1336" s="1">
        <f t="shared" si="40"/>
        <v>0</v>
      </c>
      <c r="Y1336" s="1">
        <f t="shared" si="41"/>
        <v>15</v>
      </c>
    </row>
    <row r="1337" spans="24:25" x14ac:dyDescent="0.3">
      <c r="X1337" s="1">
        <f t="shared" si="40"/>
        <v>0</v>
      </c>
      <c r="Y1337" s="1">
        <f t="shared" si="41"/>
        <v>15</v>
      </c>
    </row>
    <row r="1338" spans="24:25" x14ac:dyDescent="0.3">
      <c r="X1338" s="1">
        <f t="shared" si="40"/>
        <v>0</v>
      </c>
      <c r="Y1338" s="1">
        <f t="shared" si="41"/>
        <v>15</v>
      </c>
    </row>
    <row r="1339" spans="24:25" x14ac:dyDescent="0.3">
      <c r="X1339" s="1">
        <f t="shared" si="40"/>
        <v>0</v>
      </c>
      <c r="Y1339" s="1">
        <f t="shared" si="41"/>
        <v>15</v>
      </c>
    </row>
    <row r="1340" spans="24:25" x14ac:dyDescent="0.3">
      <c r="X1340" s="1">
        <f t="shared" si="40"/>
        <v>0</v>
      </c>
      <c r="Y1340" s="1">
        <f t="shared" si="41"/>
        <v>15</v>
      </c>
    </row>
    <row r="1341" spans="24:25" x14ac:dyDescent="0.3">
      <c r="X1341" s="1">
        <f t="shared" si="40"/>
        <v>0</v>
      </c>
      <c r="Y1341" s="1">
        <f t="shared" si="41"/>
        <v>15</v>
      </c>
    </row>
    <row r="1342" spans="24:25" x14ac:dyDescent="0.3">
      <c r="X1342" s="1">
        <f t="shared" si="40"/>
        <v>0</v>
      </c>
      <c r="Y1342" s="1">
        <f t="shared" si="41"/>
        <v>15</v>
      </c>
    </row>
    <row r="1343" spans="24:25" x14ac:dyDescent="0.3">
      <c r="X1343" s="1">
        <f t="shared" si="40"/>
        <v>0</v>
      </c>
      <c r="Y1343" s="1">
        <f t="shared" si="41"/>
        <v>15</v>
      </c>
    </row>
    <row r="1344" spans="24:25" x14ac:dyDescent="0.3">
      <c r="X1344" s="1">
        <f t="shared" si="40"/>
        <v>0</v>
      </c>
      <c r="Y1344" s="1">
        <f t="shared" si="41"/>
        <v>15</v>
      </c>
    </row>
    <row r="1345" spans="24:25" x14ac:dyDescent="0.3">
      <c r="X1345" s="1">
        <f t="shared" si="40"/>
        <v>0</v>
      </c>
      <c r="Y1345" s="1">
        <f t="shared" si="41"/>
        <v>15</v>
      </c>
    </row>
    <row r="1346" spans="24:25" x14ac:dyDescent="0.3">
      <c r="X1346" s="1">
        <f t="shared" si="40"/>
        <v>0</v>
      </c>
      <c r="Y1346" s="1">
        <f t="shared" si="41"/>
        <v>15</v>
      </c>
    </row>
    <row r="1347" spans="24:25" x14ac:dyDescent="0.3">
      <c r="X1347" s="1">
        <f t="shared" ref="X1347:X1410" si="42">IFERROR(MATCH(W1347,$B:$B,0),0)</f>
        <v>0</v>
      </c>
      <c r="Y1347" s="1">
        <f t="shared" ref="Y1347:Y1410" si="43">IF(X1348=0,COUNTA(A:A),X1348-1)</f>
        <v>15</v>
      </c>
    </row>
    <row r="1348" spans="24:25" x14ac:dyDescent="0.3">
      <c r="X1348" s="1">
        <f t="shared" si="42"/>
        <v>0</v>
      </c>
      <c r="Y1348" s="1">
        <f t="shared" si="43"/>
        <v>15</v>
      </c>
    </row>
    <row r="1349" spans="24:25" x14ac:dyDescent="0.3">
      <c r="X1349" s="1">
        <f t="shared" si="42"/>
        <v>0</v>
      </c>
      <c r="Y1349" s="1">
        <f t="shared" si="43"/>
        <v>15</v>
      </c>
    </row>
    <row r="1350" spans="24:25" x14ac:dyDescent="0.3">
      <c r="X1350" s="1">
        <f t="shared" si="42"/>
        <v>0</v>
      </c>
      <c r="Y1350" s="1">
        <f t="shared" si="43"/>
        <v>15</v>
      </c>
    </row>
    <row r="1351" spans="24:25" x14ac:dyDescent="0.3">
      <c r="X1351" s="1">
        <f t="shared" si="42"/>
        <v>0</v>
      </c>
      <c r="Y1351" s="1">
        <f t="shared" si="43"/>
        <v>15</v>
      </c>
    </row>
    <row r="1352" spans="24:25" x14ac:dyDescent="0.3">
      <c r="X1352" s="1">
        <f t="shared" si="42"/>
        <v>0</v>
      </c>
      <c r="Y1352" s="1">
        <f t="shared" si="43"/>
        <v>15</v>
      </c>
    </row>
    <row r="1353" spans="24:25" x14ac:dyDescent="0.3">
      <c r="X1353" s="1">
        <f t="shared" si="42"/>
        <v>0</v>
      </c>
      <c r="Y1353" s="1">
        <f t="shared" si="43"/>
        <v>15</v>
      </c>
    </row>
    <row r="1354" spans="24:25" x14ac:dyDescent="0.3">
      <c r="X1354" s="1">
        <f t="shared" si="42"/>
        <v>0</v>
      </c>
      <c r="Y1354" s="1">
        <f t="shared" si="43"/>
        <v>15</v>
      </c>
    </row>
    <row r="1355" spans="24:25" x14ac:dyDescent="0.3">
      <c r="X1355" s="1">
        <f t="shared" si="42"/>
        <v>0</v>
      </c>
      <c r="Y1355" s="1">
        <f t="shared" si="43"/>
        <v>15</v>
      </c>
    </row>
    <row r="1356" spans="24:25" x14ac:dyDescent="0.3">
      <c r="X1356" s="1">
        <f t="shared" si="42"/>
        <v>0</v>
      </c>
      <c r="Y1356" s="1">
        <f t="shared" si="43"/>
        <v>15</v>
      </c>
    </row>
    <row r="1357" spans="24:25" x14ac:dyDescent="0.3">
      <c r="X1357" s="1">
        <f t="shared" si="42"/>
        <v>0</v>
      </c>
      <c r="Y1357" s="1">
        <f t="shared" si="43"/>
        <v>15</v>
      </c>
    </row>
    <row r="1358" spans="24:25" x14ac:dyDescent="0.3">
      <c r="X1358" s="1">
        <f t="shared" si="42"/>
        <v>0</v>
      </c>
      <c r="Y1358" s="1">
        <f t="shared" si="43"/>
        <v>15</v>
      </c>
    </row>
    <row r="1359" spans="24:25" x14ac:dyDescent="0.3">
      <c r="X1359" s="1">
        <f t="shared" si="42"/>
        <v>0</v>
      </c>
      <c r="Y1359" s="1">
        <f t="shared" si="43"/>
        <v>15</v>
      </c>
    </row>
    <row r="1360" spans="24:25" x14ac:dyDescent="0.3">
      <c r="X1360" s="1">
        <f t="shared" si="42"/>
        <v>0</v>
      </c>
      <c r="Y1360" s="1">
        <f t="shared" si="43"/>
        <v>15</v>
      </c>
    </row>
    <row r="1361" spans="24:25" x14ac:dyDescent="0.3">
      <c r="X1361" s="1">
        <f t="shared" si="42"/>
        <v>0</v>
      </c>
      <c r="Y1361" s="1">
        <f t="shared" si="43"/>
        <v>15</v>
      </c>
    </row>
    <row r="1362" spans="24:25" x14ac:dyDescent="0.3">
      <c r="X1362" s="1">
        <f t="shared" si="42"/>
        <v>0</v>
      </c>
      <c r="Y1362" s="1">
        <f t="shared" si="43"/>
        <v>15</v>
      </c>
    </row>
    <row r="1363" spans="24:25" x14ac:dyDescent="0.3">
      <c r="X1363" s="1">
        <f t="shared" si="42"/>
        <v>0</v>
      </c>
      <c r="Y1363" s="1">
        <f t="shared" si="43"/>
        <v>15</v>
      </c>
    </row>
    <row r="1364" spans="24:25" x14ac:dyDescent="0.3">
      <c r="X1364" s="1">
        <f t="shared" si="42"/>
        <v>0</v>
      </c>
      <c r="Y1364" s="1">
        <f t="shared" si="43"/>
        <v>15</v>
      </c>
    </row>
    <row r="1365" spans="24:25" x14ac:dyDescent="0.3">
      <c r="X1365" s="1">
        <f t="shared" si="42"/>
        <v>0</v>
      </c>
      <c r="Y1365" s="1">
        <f t="shared" si="43"/>
        <v>15</v>
      </c>
    </row>
    <row r="1366" spans="24:25" x14ac:dyDescent="0.3">
      <c r="X1366" s="1">
        <f t="shared" si="42"/>
        <v>0</v>
      </c>
      <c r="Y1366" s="1">
        <f t="shared" si="43"/>
        <v>15</v>
      </c>
    </row>
    <row r="1367" spans="24:25" x14ac:dyDescent="0.3">
      <c r="X1367" s="1">
        <f t="shared" si="42"/>
        <v>0</v>
      </c>
      <c r="Y1367" s="1">
        <f t="shared" si="43"/>
        <v>15</v>
      </c>
    </row>
    <row r="1368" spans="24:25" x14ac:dyDescent="0.3">
      <c r="X1368" s="1">
        <f t="shared" si="42"/>
        <v>0</v>
      </c>
      <c r="Y1368" s="1">
        <f t="shared" si="43"/>
        <v>15</v>
      </c>
    </row>
    <row r="1369" spans="24:25" x14ac:dyDescent="0.3">
      <c r="X1369" s="1">
        <f t="shared" si="42"/>
        <v>0</v>
      </c>
      <c r="Y1369" s="1">
        <f t="shared" si="43"/>
        <v>15</v>
      </c>
    </row>
    <row r="1370" spans="24:25" x14ac:dyDescent="0.3">
      <c r="X1370" s="1">
        <f t="shared" si="42"/>
        <v>0</v>
      </c>
      <c r="Y1370" s="1">
        <f t="shared" si="43"/>
        <v>15</v>
      </c>
    </row>
    <row r="1371" spans="24:25" x14ac:dyDescent="0.3">
      <c r="X1371" s="1">
        <f t="shared" si="42"/>
        <v>0</v>
      </c>
      <c r="Y1371" s="1">
        <f t="shared" si="43"/>
        <v>15</v>
      </c>
    </row>
    <row r="1372" spans="24:25" x14ac:dyDescent="0.3">
      <c r="X1372" s="1">
        <f t="shared" si="42"/>
        <v>0</v>
      </c>
      <c r="Y1372" s="1">
        <f t="shared" si="43"/>
        <v>15</v>
      </c>
    </row>
    <row r="1373" spans="24:25" x14ac:dyDescent="0.3">
      <c r="X1373" s="1">
        <f t="shared" si="42"/>
        <v>0</v>
      </c>
      <c r="Y1373" s="1">
        <f t="shared" si="43"/>
        <v>15</v>
      </c>
    </row>
    <row r="1374" spans="24:25" x14ac:dyDescent="0.3">
      <c r="X1374" s="1">
        <f t="shared" si="42"/>
        <v>0</v>
      </c>
      <c r="Y1374" s="1">
        <f t="shared" si="43"/>
        <v>15</v>
      </c>
    </row>
    <row r="1375" spans="24:25" x14ac:dyDescent="0.3">
      <c r="X1375" s="1">
        <f t="shared" si="42"/>
        <v>0</v>
      </c>
      <c r="Y1375" s="1">
        <f t="shared" si="43"/>
        <v>15</v>
      </c>
    </row>
    <row r="1376" spans="24:25" x14ac:dyDescent="0.3">
      <c r="X1376" s="1">
        <f t="shared" si="42"/>
        <v>0</v>
      </c>
      <c r="Y1376" s="1">
        <f t="shared" si="43"/>
        <v>15</v>
      </c>
    </row>
    <row r="1377" spans="24:25" x14ac:dyDescent="0.3">
      <c r="X1377" s="1">
        <f t="shared" si="42"/>
        <v>0</v>
      </c>
      <c r="Y1377" s="1">
        <f t="shared" si="43"/>
        <v>15</v>
      </c>
    </row>
    <row r="1378" spans="24:25" x14ac:dyDescent="0.3">
      <c r="X1378" s="1">
        <f t="shared" si="42"/>
        <v>0</v>
      </c>
      <c r="Y1378" s="1">
        <f t="shared" si="43"/>
        <v>15</v>
      </c>
    </row>
    <row r="1379" spans="24:25" x14ac:dyDescent="0.3">
      <c r="X1379" s="1">
        <f t="shared" si="42"/>
        <v>0</v>
      </c>
      <c r="Y1379" s="1">
        <f t="shared" si="43"/>
        <v>15</v>
      </c>
    </row>
    <row r="1380" spans="24:25" x14ac:dyDescent="0.3">
      <c r="X1380" s="1">
        <f t="shared" si="42"/>
        <v>0</v>
      </c>
      <c r="Y1380" s="1">
        <f t="shared" si="43"/>
        <v>15</v>
      </c>
    </row>
    <row r="1381" spans="24:25" x14ac:dyDescent="0.3">
      <c r="X1381" s="1">
        <f t="shared" si="42"/>
        <v>0</v>
      </c>
      <c r="Y1381" s="1">
        <f t="shared" si="43"/>
        <v>15</v>
      </c>
    </row>
    <row r="1382" spans="24:25" x14ac:dyDescent="0.3">
      <c r="X1382" s="1">
        <f t="shared" si="42"/>
        <v>0</v>
      </c>
      <c r="Y1382" s="1">
        <f t="shared" si="43"/>
        <v>15</v>
      </c>
    </row>
    <row r="1383" spans="24:25" x14ac:dyDescent="0.3">
      <c r="X1383" s="1">
        <f t="shared" si="42"/>
        <v>0</v>
      </c>
      <c r="Y1383" s="1">
        <f t="shared" si="43"/>
        <v>15</v>
      </c>
    </row>
    <row r="1384" spans="24:25" x14ac:dyDescent="0.3">
      <c r="X1384" s="1">
        <f t="shared" si="42"/>
        <v>0</v>
      </c>
      <c r="Y1384" s="1">
        <f t="shared" si="43"/>
        <v>15</v>
      </c>
    </row>
    <row r="1385" spans="24:25" x14ac:dyDescent="0.3">
      <c r="X1385" s="1">
        <f t="shared" si="42"/>
        <v>0</v>
      </c>
      <c r="Y1385" s="1">
        <f t="shared" si="43"/>
        <v>15</v>
      </c>
    </row>
    <row r="1386" spans="24:25" x14ac:dyDescent="0.3">
      <c r="X1386" s="1">
        <f t="shared" si="42"/>
        <v>0</v>
      </c>
      <c r="Y1386" s="1">
        <f t="shared" si="43"/>
        <v>15</v>
      </c>
    </row>
    <row r="1387" spans="24:25" x14ac:dyDescent="0.3">
      <c r="X1387" s="1">
        <f t="shared" si="42"/>
        <v>0</v>
      </c>
      <c r="Y1387" s="1">
        <f t="shared" si="43"/>
        <v>15</v>
      </c>
    </row>
    <row r="1388" spans="24:25" x14ac:dyDescent="0.3">
      <c r="X1388" s="1">
        <f t="shared" si="42"/>
        <v>0</v>
      </c>
      <c r="Y1388" s="1">
        <f t="shared" si="43"/>
        <v>15</v>
      </c>
    </row>
    <row r="1389" spans="24:25" x14ac:dyDescent="0.3">
      <c r="X1389" s="1">
        <f t="shared" si="42"/>
        <v>0</v>
      </c>
      <c r="Y1389" s="1">
        <f t="shared" si="43"/>
        <v>15</v>
      </c>
    </row>
    <row r="1390" spans="24:25" x14ac:dyDescent="0.3">
      <c r="X1390" s="1">
        <f t="shared" si="42"/>
        <v>0</v>
      </c>
      <c r="Y1390" s="1">
        <f t="shared" si="43"/>
        <v>15</v>
      </c>
    </row>
    <row r="1391" spans="24:25" x14ac:dyDescent="0.3">
      <c r="X1391" s="1">
        <f t="shared" si="42"/>
        <v>0</v>
      </c>
      <c r="Y1391" s="1">
        <f t="shared" si="43"/>
        <v>15</v>
      </c>
    </row>
    <row r="1392" spans="24:25" x14ac:dyDescent="0.3">
      <c r="X1392" s="1">
        <f t="shared" si="42"/>
        <v>0</v>
      </c>
      <c r="Y1392" s="1">
        <f t="shared" si="43"/>
        <v>15</v>
      </c>
    </row>
    <row r="1393" spans="24:25" x14ac:dyDescent="0.3">
      <c r="X1393" s="1">
        <f t="shared" si="42"/>
        <v>0</v>
      </c>
      <c r="Y1393" s="1">
        <f t="shared" si="43"/>
        <v>15</v>
      </c>
    </row>
    <row r="1394" spans="24:25" x14ac:dyDescent="0.3">
      <c r="X1394" s="1">
        <f t="shared" si="42"/>
        <v>0</v>
      </c>
      <c r="Y1394" s="1">
        <f t="shared" si="43"/>
        <v>15</v>
      </c>
    </row>
    <row r="1395" spans="24:25" x14ac:dyDescent="0.3">
      <c r="X1395" s="1">
        <f t="shared" si="42"/>
        <v>0</v>
      </c>
      <c r="Y1395" s="1">
        <f t="shared" si="43"/>
        <v>15</v>
      </c>
    </row>
    <row r="1396" spans="24:25" x14ac:dyDescent="0.3">
      <c r="X1396" s="1">
        <f t="shared" si="42"/>
        <v>0</v>
      </c>
      <c r="Y1396" s="1">
        <f t="shared" si="43"/>
        <v>15</v>
      </c>
    </row>
    <row r="1397" spans="24:25" x14ac:dyDescent="0.3">
      <c r="X1397" s="1">
        <f t="shared" si="42"/>
        <v>0</v>
      </c>
      <c r="Y1397" s="1">
        <f t="shared" si="43"/>
        <v>15</v>
      </c>
    </row>
    <row r="1398" spans="24:25" x14ac:dyDescent="0.3">
      <c r="X1398" s="1">
        <f t="shared" si="42"/>
        <v>0</v>
      </c>
      <c r="Y1398" s="1">
        <f t="shared" si="43"/>
        <v>15</v>
      </c>
    </row>
    <row r="1399" spans="24:25" x14ac:dyDescent="0.3">
      <c r="X1399" s="1">
        <f t="shared" si="42"/>
        <v>0</v>
      </c>
      <c r="Y1399" s="1">
        <f t="shared" si="43"/>
        <v>15</v>
      </c>
    </row>
    <row r="1400" spans="24:25" x14ac:dyDescent="0.3">
      <c r="X1400" s="1">
        <f t="shared" si="42"/>
        <v>0</v>
      </c>
      <c r="Y1400" s="1">
        <f t="shared" si="43"/>
        <v>15</v>
      </c>
    </row>
    <row r="1401" spans="24:25" x14ac:dyDescent="0.3">
      <c r="X1401" s="1">
        <f t="shared" si="42"/>
        <v>0</v>
      </c>
      <c r="Y1401" s="1">
        <f t="shared" si="43"/>
        <v>15</v>
      </c>
    </row>
    <row r="1402" spans="24:25" x14ac:dyDescent="0.3">
      <c r="X1402" s="1">
        <f t="shared" si="42"/>
        <v>0</v>
      </c>
      <c r="Y1402" s="1">
        <f t="shared" si="43"/>
        <v>15</v>
      </c>
    </row>
    <row r="1403" spans="24:25" x14ac:dyDescent="0.3">
      <c r="X1403" s="1">
        <f t="shared" si="42"/>
        <v>0</v>
      </c>
      <c r="Y1403" s="1">
        <f t="shared" si="43"/>
        <v>15</v>
      </c>
    </row>
    <row r="1404" spans="24:25" x14ac:dyDescent="0.3">
      <c r="X1404" s="1">
        <f t="shared" si="42"/>
        <v>0</v>
      </c>
      <c r="Y1404" s="1">
        <f t="shared" si="43"/>
        <v>15</v>
      </c>
    </row>
    <row r="1405" spans="24:25" x14ac:dyDescent="0.3">
      <c r="X1405" s="1">
        <f t="shared" si="42"/>
        <v>0</v>
      </c>
      <c r="Y1405" s="1">
        <f t="shared" si="43"/>
        <v>15</v>
      </c>
    </row>
    <row r="1406" spans="24:25" x14ac:dyDescent="0.3">
      <c r="X1406" s="1">
        <f t="shared" si="42"/>
        <v>0</v>
      </c>
      <c r="Y1406" s="1">
        <f t="shared" si="43"/>
        <v>15</v>
      </c>
    </row>
    <row r="1407" spans="24:25" x14ac:dyDescent="0.3">
      <c r="X1407" s="1">
        <f t="shared" si="42"/>
        <v>0</v>
      </c>
      <c r="Y1407" s="1">
        <f t="shared" si="43"/>
        <v>15</v>
      </c>
    </row>
    <row r="1408" spans="24:25" x14ac:dyDescent="0.3">
      <c r="X1408" s="1">
        <f t="shared" si="42"/>
        <v>0</v>
      </c>
      <c r="Y1408" s="1">
        <f t="shared" si="43"/>
        <v>15</v>
      </c>
    </row>
    <row r="1409" spans="24:25" x14ac:dyDescent="0.3">
      <c r="X1409" s="1">
        <f t="shared" si="42"/>
        <v>0</v>
      </c>
      <c r="Y1409" s="1">
        <f t="shared" si="43"/>
        <v>15</v>
      </c>
    </row>
    <row r="1410" spans="24:25" x14ac:dyDescent="0.3">
      <c r="X1410" s="1">
        <f t="shared" si="42"/>
        <v>0</v>
      </c>
      <c r="Y1410" s="1">
        <f t="shared" si="43"/>
        <v>15</v>
      </c>
    </row>
    <row r="1411" spans="24:25" x14ac:dyDescent="0.3">
      <c r="X1411" s="1">
        <f t="shared" ref="X1411:X1474" si="44">IFERROR(MATCH(W1411,$B:$B,0),0)</f>
        <v>0</v>
      </c>
      <c r="Y1411" s="1">
        <f t="shared" ref="Y1411:Y1474" si="45">IF(X1412=0,COUNTA(A:A),X1412-1)</f>
        <v>15</v>
      </c>
    </row>
    <row r="1412" spans="24:25" x14ac:dyDescent="0.3">
      <c r="X1412" s="1">
        <f t="shared" si="44"/>
        <v>0</v>
      </c>
      <c r="Y1412" s="1">
        <f t="shared" si="45"/>
        <v>15</v>
      </c>
    </row>
    <row r="1413" spans="24:25" x14ac:dyDescent="0.3">
      <c r="X1413" s="1">
        <f t="shared" si="44"/>
        <v>0</v>
      </c>
      <c r="Y1413" s="1">
        <f t="shared" si="45"/>
        <v>15</v>
      </c>
    </row>
    <row r="1414" spans="24:25" x14ac:dyDescent="0.3">
      <c r="X1414" s="1">
        <f t="shared" si="44"/>
        <v>0</v>
      </c>
      <c r="Y1414" s="1">
        <f t="shared" si="45"/>
        <v>15</v>
      </c>
    </row>
    <row r="1415" spans="24:25" x14ac:dyDescent="0.3">
      <c r="X1415" s="1">
        <f t="shared" si="44"/>
        <v>0</v>
      </c>
      <c r="Y1415" s="1">
        <f t="shared" si="45"/>
        <v>15</v>
      </c>
    </row>
    <row r="1416" spans="24:25" x14ac:dyDescent="0.3">
      <c r="X1416" s="1">
        <f t="shared" si="44"/>
        <v>0</v>
      </c>
      <c r="Y1416" s="1">
        <f t="shared" si="45"/>
        <v>15</v>
      </c>
    </row>
    <row r="1417" spans="24:25" x14ac:dyDescent="0.3">
      <c r="X1417" s="1">
        <f t="shared" si="44"/>
        <v>0</v>
      </c>
      <c r="Y1417" s="1">
        <f t="shared" si="45"/>
        <v>15</v>
      </c>
    </row>
    <row r="1418" spans="24:25" x14ac:dyDescent="0.3">
      <c r="X1418" s="1">
        <f t="shared" si="44"/>
        <v>0</v>
      </c>
      <c r="Y1418" s="1">
        <f t="shared" si="45"/>
        <v>15</v>
      </c>
    </row>
    <row r="1419" spans="24:25" x14ac:dyDescent="0.3">
      <c r="X1419" s="1">
        <f t="shared" si="44"/>
        <v>0</v>
      </c>
      <c r="Y1419" s="1">
        <f t="shared" si="45"/>
        <v>15</v>
      </c>
    </row>
    <row r="1420" spans="24:25" x14ac:dyDescent="0.3">
      <c r="X1420" s="1">
        <f t="shared" si="44"/>
        <v>0</v>
      </c>
      <c r="Y1420" s="1">
        <f t="shared" si="45"/>
        <v>15</v>
      </c>
    </row>
    <row r="1421" spans="24:25" x14ac:dyDescent="0.3">
      <c r="X1421" s="1">
        <f t="shared" si="44"/>
        <v>0</v>
      </c>
      <c r="Y1421" s="1">
        <f t="shared" si="45"/>
        <v>15</v>
      </c>
    </row>
    <row r="1422" spans="24:25" x14ac:dyDescent="0.3">
      <c r="X1422" s="1">
        <f t="shared" si="44"/>
        <v>0</v>
      </c>
      <c r="Y1422" s="1">
        <f t="shared" si="45"/>
        <v>15</v>
      </c>
    </row>
    <row r="1423" spans="24:25" x14ac:dyDescent="0.3">
      <c r="X1423" s="1">
        <f t="shared" si="44"/>
        <v>0</v>
      </c>
      <c r="Y1423" s="1">
        <f t="shared" si="45"/>
        <v>15</v>
      </c>
    </row>
    <row r="1424" spans="24:25" x14ac:dyDescent="0.3">
      <c r="X1424" s="1">
        <f t="shared" si="44"/>
        <v>0</v>
      </c>
      <c r="Y1424" s="1">
        <f t="shared" si="45"/>
        <v>15</v>
      </c>
    </row>
    <row r="1425" spans="24:25" x14ac:dyDescent="0.3">
      <c r="X1425" s="1">
        <f t="shared" si="44"/>
        <v>0</v>
      </c>
      <c r="Y1425" s="1">
        <f t="shared" si="45"/>
        <v>15</v>
      </c>
    </row>
    <row r="1426" spans="24:25" x14ac:dyDescent="0.3">
      <c r="X1426" s="1">
        <f t="shared" si="44"/>
        <v>0</v>
      </c>
      <c r="Y1426" s="1">
        <f t="shared" si="45"/>
        <v>15</v>
      </c>
    </row>
    <row r="1427" spans="24:25" x14ac:dyDescent="0.3">
      <c r="X1427" s="1">
        <f t="shared" si="44"/>
        <v>0</v>
      </c>
      <c r="Y1427" s="1">
        <f t="shared" si="45"/>
        <v>15</v>
      </c>
    </row>
    <row r="1428" spans="24:25" x14ac:dyDescent="0.3">
      <c r="X1428" s="1">
        <f t="shared" si="44"/>
        <v>0</v>
      </c>
      <c r="Y1428" s="1">
        <f t="shared" si="45"/>
        <v>15</v>
      </c>
    </row>
    <row r="1429" spans="24:25" x14ac:dyDescent="0.3">
      <c r="X1429" s="1">
        <f t="shared" si="44"/>
        <v>0</v>
      </c>
      <c r="Y1429" s="1">
        <f t="shared" si="45"/>
        <v>15</v>
      </c>
    </row>
    <row r="1430" spans="24:25" x14ac:dyDescent="0.3">
      <c r="X1430" s="1">
        <f t="shared" si="44"/>
        <v>0</v>
      </c>
      <c r="Y1430" s="1">
        <f t="shared" si="45"/>
        <v>15</v>
      </c>
    </row>
    <row r="1431" spans="24:25" x14ac:dyDescent="0.3">
      <c r="X1431" s="1">
        <f t="shared" si="44"/>
        <v>0</v>
      </c>
      <c r="Y1431" s="1">
        <f t="shared" si="45"/>
        <v>15</v>
      </c>
    </row>
    <row r="1432" spans="24:25" x14ac:dyDescent="0.3">
      <c r="X1432" s="1">
        <f t="shared" si="44"/>
        <v>0</v>
      </c>
      <c r="Y1432" s="1">
        <f t="shared" si="45"/>
        <v>15</v>
      </c>
    </row>
    <row r="1433" spans="24:25" x14ac:dyDescent="0.3">
      <c r="X1433" s="1">
        <f t="shared" si="44"/>
        <v>0</v>
      </c>
      <c r="Y1433" s="1">
        <f t="shared" si="45"/>
        <v>15</v>
      </c>
    </row>
    <row r="1434" spans="24:25" x14ac:dyDescent="0.3">
      <c r="X1434" s="1">
        <f t="shared" si="44"/>
        <v>0</v>
      </c>
      <c r="Y1434" s="1">
        <f t="shared" si="45"/>
        <v>15</v>
      </c>
    </row>
    <row r="1435" spans="24:25" x14ac:dyDescent="0.3">
      <c r="X1435" s="1">
        <f t="shared" si="44"/>
        <v>0</v>
      </c>
      <c r="Y1435" s="1">
        <f t="shared" si="45"/>
        <v>15</v>
      </c>
    </row>
    <row r="1436" spans="24:25" x14ac:dyDescent="0.3">
      <c r="X1436" s="1">
        <f t="shared" si="44"/>
        <v>0</v>
      </c>
      <c r="Y1436" s="1">
        <f t="shared" si="45"/>
        <v>15</v>
      </c>
    </row>
    <row r="1437" spans="24:25" x14ac:dyDescent="0.3">
      <c r="X1437" s="1">
        <f t="shared" si="44"/>
        <v>0</v>
      </c>
      <c r="Y1437" s="1">
        <f t="shared" si="45"/>
        <v>15</v>
      </c>
    </row>
    <row r="1438" spans="24:25" x14ac:dyDescent="0.3">
      <c r="X1438" s="1">
        <f t="shared" si="44"/>
        <v>0</v>
      </c>
      <c r="Y1438" s="1">
        <f t="shared" si="45"/>
        <v>15</v>
      </c>
    </row>
    <row r="1439" spans="24:25" x14ac:dyDescent="0.3">
      <c r="X1439" s="1">
        <f t="shared" si="44"/>
        <v>0</v>
      </c>
      <c r="Y1439" s="1">
        <f t="shared" si="45"/>
        <v>15</v>
      </c>
    </row>
    <row r="1440" spans="24:25" x14ac:dyDescent="0.3">
      <c r="X1440" s="1">
        <f t="shared" si="44"/>
        <v>0</v>
      </c>
      <c r="Y1440" s="1">
        <f t="shared" si="45"/>
        <v>15</v>
      </c>
    </row>
    <row r="1441" spans="24:25" x14ac:dyDescent="0.3">
      <c r="X1441" s="1">
        <f t="shared" si="44"/>
        <v>0</v>
      </c>
      <c r="Y1441" s="1">
        <f t="shared" si="45"/>
        <v>15</v>
      </c>
    </row>
    <row r="1442" spans="24:25" x14ac:dyDescent="0.3">
      <c r="X1442" s="1">
        <f t="shared" si="44"/>
        <v>0</v>
      </c>
      <c r="Y1442" s="1">
        <f t="shared" si="45"/>
        <v>15</v>
      </c>
    </row>
    <row r="1443" spans="24:25" x14ac:dyDescent="0.3">
      <c r="X1443" s="1">
        <f t="shared" si="44"/>
        <v>0</v>
      </c>
      <c r="Y1443" s="1">
        <f t="shared" si="45"/>
        <v>15</v>
      </c>
    </row>
    <row r="1444" spans="24:25" x14ac:dyDescent="0.3">
      <c r="X1444" s="1">
        <f t="shared" si="44"/>
        <v>0</v>
      </c>
      <c r="Y1444" s="1">
        <f t="shared" si="45"/>
        <v>15</v>
      </c>
    </row>
    <row r="1445" spans="24:25" x14ac:dyDescent="0.3">
      <c r="X1445" s="1">
        <f t="shared" si="44"/>
        <v>0</v>
      </c>
      <c r="Y1445" s="1">
        <f t="shared" si="45"/>
        <v>15</v>
      </c>
    </row>
    <row r="1446" spans="24:25" x14ac:dyDescent="0.3">
      <c r="X1446" s="1">
        <f t="shared" si="44"/>
        <v>0</v>
      </c>
      <c r="Y1446" s="1">
        <f t="shared" si="45"/>
        <v>15</v>
      </c>
    </row>
    <row r="1447" spans="24:25" x14ac:dyDescent="0.3">
      <c r="X1447" s="1">
        <f t="shared" si="44"/>
        <v>0</v>
      </c>
      <c r="Y1447" s="1">
        <f t="shared" si="45"/>
        <v>15</v>
      </c>
    </row>
    <row r="1448" spans="24:25" x14ac:dyDescent="0.3">
      <c r="X1448" s="1">
        <f t="shared" si="44"/>
        <v>0</v>
      </c>
      <c r="Y1448" s="1">
        <f t="shared" si="45"/>
        <v>15</v>
      </c>
    </row>
    <row r="1449" spans="24:25" x14ac:dyDescent="0.3">
      <c r="X1449" s="1">
        <f t="shared" si="44"/>
        <v>0</v>
      </c>
      <c r="Y1449" s="1">
        <f t="shared" si="45"/>
        <v>15</v>
      </c>
    </row>
    <row r="1450" spans="24:25" x14ac:dyDescent="0.3">
      <c r="X1450" s="1">
        <f t="shared" si="44"/>
        <v>0</v>
      </c>
      <c r="Y1450" s="1">
        <f t="shared" si="45"/>
        <v>15</v>
      </c>
    </row>
    <row r="1451" spans="24:25" x14ac:dyDescent="0.3">
      <c r="X1451" s="1">
        <f t="shared" si="44"/>
        <v>0</v>
      </c>
      <c r="Y1451" s="1">
        <f t="shared" si="45"/>
        <v>15</v>
      </c>
    </row>
    <row r="1452" spans="24:25" x14ac:dyDescent="0.3">
      <c r="X1452" s="1">
        <f t="shared" si="44"/>
        <v>0</v>
      </c>
      <c r="Y1452" s="1">
        <f t="shared" si="45"/>
        <v>15</v>
      </c>
    </row>
    <row r="1453" spans="24:25" x14ac:dyDescent="0.3">
      <c r="X1453" s="1">
        <f t="shared" si="44"/>
        <v>0</v>
      </c>
      <c r="Y1453" s="1">
        <f t="shared" si="45"/>
        <v>15</v>
      </c>
    </row>
    <row r="1454" spans="24:25" x14ac:dyDescent="0.3">
      <c r="X1454" s="1">
        <f t="shared" si="44"/>
        <v>0</v>
      </c>
      <c r="Y1454" s="1">
        <f t="shared" si="45"/>
        <v>15</v>
      </c>
    </row>
    <row r="1455" spans="24:25" x14ac:dyDescent="0.3">
      <c r="X1455" s="1">
        <f t="shared" si="44"/>
        <v>0</v>
      </c>
      <c r="Y1455" s="1">
        <f t="shared" si="45"/>
        <v>15</v>
      </c>
    </row>
    <row r="1456" spans="24:25" x14ac:dyDescent="0.3">
      <c r="X1456" s="1">
        <f t="shared" si="44"/>
        <v>0</v>
      </c>
      <c r="Y1456" s="1">
        <f t="shared" si="45"/>
        <v>15</v>
      </c>
    </row>
    <row r="1457" spans="24:25" x14ac:dyDescent="0.3">
      <c r="X1457" s="1">
        <f t="shared" si="44"/>
        <v>0</v>
      </c>
      <c r="Y1457" s="1">
        <f t="shared" si="45"/>
        <v>15</v>
      </c>
    </row>
    <row r="1458" spans="24:25" x14ac:dyDescent="0.3">
      <c r="X1458" s="1">
        <f t="shared" si="44"/>
        <v>0</v>
      </c>
      <c r="Y1458" s="1">
        <f t="shared" si="45"/>
        <v>15</v>
      </c>
    </row>
    <row r="1459" spans="24:25" x14ac:dyDescent="0.3">
      <c r="X1459" s="1">
        <f t="shared" si="44"/>
        <v>0</v>
      </c>
      <c r="Y1459" s="1">
        <f t="shared" si="45"/>
        <v>15</v>
      </c>
    </row>
    <row r="1460" spans="24:25" x14ac:dyDescent="0.3">
      <c r="X1460" s="1">
        <f t="shared" si="44"/>
        <v>0</v>
      </c>
      <c r="Y1460" s="1">
        <f t="shared" si="45"/>
        <v>15</v>
      </c>
    </row>
    <row r="1461" spans="24:25" x14ac:dyDescent="0.3">
      <c r="X1461" s="1">
        <f t="shared" si="44"/>
        <v>0</v>
      </c>
      <c r="Y1461" s="1">
        <f t="shared" si="45"/>
        <v>15</v>
      </c>
    </row>
    <row r="1462" spans="24:25" x14ac:dyDescent="0.3">
      <c r="X1462" s="1">
        <f t="shared" si="44"/>
        <v>0</v>
      </c>
      <c r="Y1462" s="1">
        <f t="shared" si="45"/>
        <v>15</v>
      </c>
    </row>
    <row r="1463" spans="24:25" x14ac:dyDescent="0.3">
      <c r="X1463" s="1">
        <f t="shared" si="44"/>
        <v>0</v>
      </c>
      <c r="Y1463" s="1">
        <f t="shared" si="45"/>
        <v>15</v>
      </c>
    </row>
    <row r="1464" spans="24:25" x14ac:dyDescent="0.3">
      <c r="X1464" s="1">
        <f t="shared" si="44"/>
        <v>0</v>
      </c>
      <c r="Y1464" s="1">
        <f t="shared" si="45"/>
        <v>15</v>
      </c>
    </row>
    <row r="1465" spans="24:25" x14ac:dyDescent="0.3">
      <c r="X1465" s="1">
        <f t="shared" si="44"/>
        <v>0</v>
      </c>
      <c r="Y1465" s="1">
        <f t="shared" si="45"/>
        <v>15</v>
      </c>
    </row>
    <row r="1466" spans="24:25" x14ac:dyDescent="0.3">
      <c r="X1466" s="1">
        <f t="shared" si="44"/>
        <v>0</v>
      </c>
      <c r="Y1466" s="1">
        <f t="shared" si="45"/>
        <v>15</v>
      </c>
    </row>
    <row r="1467" spans="24:25" x14ac:dyDescent="0.3">
      <c r="X1467" s="1">
        <f t="shared" si="44"/>
        <v>0</v>
      </c>
      <c r="Y1467" s="1">
        <f t="shared" si="45"/>
        <v>15</v>
      </c>
    </row>
    <row r="1468" spans="24:25" x14ac:dyDescent="0.3">
      <c r="X1468" s="1">
        <f t="shared" si="44"/>
        <v>0</v>
      </c>
      <c r="Y1468" s="1">
        <f t="shared" si="45"/>
        <v>15</v>
      </c>
    </row>
    <row r="1469" spans="24:25" x14ac:dyDescent="0.3">
      <c r="X1469" s="1">
        <f t="shared" si="44"/>
        <v>0</v>
      </c>
      <c r="Y1469" s="1">
        <f t="shared" si="45"/>
        <v>15</v>
      </c>
    </row>
    <row r="1470" spans="24:25" x14ac:dyDescent="0.3">
      <c r="X1470" s="1">
        <f t="shared" si="44"/>
        <v>0</v>
      </c>
      <c r="Y1470" s="1">
        <f t="shared" si="45"/>
        <v>15</v>
      </c>
    </row>
    <row r="1471" spans="24:25" x14ac:dyDescent="0.3">
      <c r="X1471" s="1">
        <f t="shared" si="44"/>
        <v>0</v>
      </c>
      <c r="Y1471" s="1">
        <f t="shared" si="45"/>
        <v>15</v>
      </c>
    </row>
    <row r="1472" spans="24:25" x14ac:dyDescent="0.3">
      <c r="X1472" s="1">
        <f t="shared" si="44"/>
        <v>0</v>
      </c>
      <c r="Y1472" s="1">
        <f t="shared" si="45"/>
        <v>15</v>
      </c>
    </row>
    <row r="1473" spans="24:25" x14ac:dyDescent="0.3">
      <c r="X1473" s="1">
        <f t="shared" si="44"/>
        <v>0</v>
      </c>
      <c r="Y1473" s="1">
        <f t="shared" si="45"/>
        <v>15</v>
      </c>
    </row>
    <row r="1474" spans="24:25" x14ac:dyDescent="0.3">
      <c r="X1474" s="1">
        <f t="shared" si="44"/>
        <v>0</v>
      </c>
      <c r="Y1474" s="1">
        <f t="shared" si="45"/>
        <v>15</v>
      </c>
    </row>
    <row r="1475" spans="24:25" x14ac:dyDescent="0.3">
      <c r="X1475" s="1">
        <f t="shared" ref="X1475:X1538" si="46">IFERROR(MATCH(W1475,$B:$B,0),0)</f>
        <v>0</v>
      </c>
      <c r="Y1475" s="1">
        <f t="shared" ref="Y1475:Y1538" si="47">IF(X1476=0,COUNTA(A:A),X1476-1)</f>
        <v>15</v>
      </c>
    </row>
    <row r="1476" spans="24:25" x14ac:dyDescent="0.3">
      <c r="X1476" s="1">
        <f t="shared" si="46"/>
        <v>0</v>
      </c>
      <c r="Y1476" s="1">
        <f t="shared" si="47"/>
        <v>15</v>
      </c>
    </row>
    <row r="1477" spans="24:25" x14ac:dyDescent="0.3">
      <c r="X1477" s="1">
        <f t="shared" si="46"/>
        <v>0</v>
      </c>
      <c r="Y1477" s="1">
        <f t="shared" si="47"/>
        <v>15</v>
      </c>
    </row>
    <row r="1478" spans="24:25" x14ac:dyDescent="0.3">
      <c r="X1478" s="1">
        <f t="shared" si="46"/>
        <v>0</v>
      </c>
      <c r="Y1478" s="1">
        <f t="shared" si="47"/>
        <v>15</v>
      </c>
    </row>
    <row r="1479" spans="24:25" x14ac:dyDescent="0.3">
      <c r="X1479" s="1">
        <f t="shared" si="46"/>
        <v>0</v>
      </c>
      <c r="Y1479" s="1">
        <f t="shared" si="47"/>
        <v>15</v>
      </c>
    </row>
    <row r="1480" spans="24:25" x14ac:dyDescent="0.3">
      <c r="X1480" s="1">
        <f t="shared" si="46"/>
        <v>0</v>
      </c>
      <c r="Y1480" s="1">
        <f t="shared" si="47"/>
        <v>15</v>
      </c>
    </row>
    <row r="1481" spans="24:25" x14ac:dyDescent="0.3">
      <c r="X1481" s="1">
        <f t="shared" si="46"/>
        <v>0</v>
      </c>
      <c r="Y1481" s="1">
        <f t="shared" si="47"/>
        <v>15</v>
      </c>
    </row>
    <row r="1482" spans="24:25" x14ac:dyDescent="0.3">
      <c r="X1482" s="1">
        <f t="shared" si="46"/>
        <v>0</v>
      </c>
      <c r="Y1482" s="1">
        <f t="shared" si="47"/>
        <v>15</v>
      </c>
    </row>
    <row r="1483" spans="24:25" x14ac:dyDescent="0.3">
      <c r="X1483" s="1">
        <f t="shared" si="46"/>
        <v>0</v>
      </c>
      <c r="Y1483" s="1">
        <f t="shared" si="47"/>
        <v>15</v>
      </c>
    </row>
    <row r="1484" spans="24:25" x14ac:dyDescent="0.3">
      <c r="X1484" s="1">
        <f t="shared" si="46"/>
        <v>0</v>
      </c>
      <c r="Y1484" s="1">
        <f t="shared" si="47"/>
        <v>15</v>
      </c>
    </row>
    <row r="1485" spans="24:25" x14ac:dyDescent="0.3">
      <c r="X1485" s="1">
        <f t="shared" si="46"/>
        <v>0</v>
      </c>
      <c r="Y1485" s="1">
        <f t="shared" si="47"/>
        <v>15</v>
      </c>
    </row>
    <row r="1486" spans="24:25" x14ac:dyDescent="0.3">
      <c r="X1486" s="1">
        <f t="shared" si="46"/>
        <v>0</v>
      </c>
      <c r="Y1486" s="1">
        <f t="shared" si="47"/>
        <v>15</v>
      </c>
    </row>
    <row r="1487" spans="24:25" x14ac:dyDescent="0.3">
      <c r="X1487" s="1">
        <f t="shared" si="46"/>
        <v>0</v>
      </c>
      <c r="Y1487" s="1">
        <f t="shared" si="47"/>
        <v>15</v>
      </c>
    </row>
    <row r="1488" spans="24:25" x14ac:dyDescent="0.3">
      <c r="X1488" s="1">
        <f t="shared" si="46"/>
        <v>0</v>
      </c>
      <c r="Y1488" s="1">
        <f t="shared" si="47"/>
        <v>15</v>
      </c>
    </row>
    <row r="1489" spans="24:25" x14ac:dyDescent="0.3">
      <c r="X1489" s="1">
        <f t="shared" si="46"/>
        <v>0</v>
      </c>
      <c r="Y1489" s="1">
        <f t="shared" si="47"/>
        <v>15</v>
      </c>
    </row>
    <row r="1490" spans="24:25" x14ac:dyDescent="0.3">
      <c r="X1490" s="1">
        <f t="shared" si="46"/>
        <v>0</v>
      </c>
      <c r="Y1490" s="1">
        <f t="shared" si="47"/>
        <v>15</v>
      </c>
    </row>
    <row r="1491" spans="24:25" x14ac:dyDescent="0.3">
      <c r="X1491" s="1">
        <f t="shared" si="46"/>
        <v>0</v>
      </c>
      <c r="Y1491" s="1">
        <f t="shared" si="47"/>
        <v>15</v>
      </c>
    </row>
    <row r="1492" spans="24:25" x14ac:dyDescent="0.3">
      <c r="X1492" s="1">
        <f t="shared" si="46"/>
        <v>0</v>
      </c>
      <c r="Y1492" s="1">
        <f t="shared" si="47"/>
        <v>15</v>
      </c>
    </row>
    <row r="1493" spans="24:25" x14ac:dyDescent="0.3">
      <c r="X1493" s="1">
        <f t="shared" si="46"/>
        <v>0</v>
      </c>
      <c r="Y1493" s="1">
        <f t="shared" si="47"/>
        <v>15</v>
      </c>
    </row>
    <row r="1494" spans="24:25" x14ac:dyDescent="0.3">
      <c r="X1494" s="1">
        <f t="shared" si="46"/>
        <v>0</v>
      </c>
      <c r="Y1494" s="1">
        <f t="shared" si="47"/>
        <v>15</v>
      </c>
    </row>
    <row r="1495" spans="24:25" x14ac:dyDescent="0.3">
      <c r="X1495" s="1">
        <f t="shared" si="46"/>
        <v>0</v>
      </c>
      <c r="Y1495" s="1">
        <f t="shared" si="47"/>
        <v>15</v>
      </c>
    </row>
    <row r="1496" spans="24:25" x14ac:dyDescent="0.3">
      <c r="X1496" s="1">
        <f t="shared" si="46"/>
        <v>0</v>
      </c>
      <c r="Y1496" s="1">
        <f t="shared" si="47"/>
        <v>15</v>
      </c>
    </row>
    <row r="1497" spans="24:25" x14ac:dyDescent="0.3">
      <c r="X1497" s="1">
        <f t="shared" si="46"/>
        <v>0</v>
      </c>
      <c r="Y1497" s="1">
        <f t="shared" si="47"/>
        <v>15</v>
      </c>
    </row>
    <row r="1498" spans="24:25" x14ac:dyDescent="0.3">
      <c r="X1498" s="1">
        <f t="shared" si="46"/>
        <v>0</v>
      </c>
      <c r="Y1498" s="1">
        <f t="shared" si="47"/>
        <v>15</v>
      </c>
    </row>
    <row r="1499" spans="24:25" x14ac:dyDescent="0.3">
      <c r="X1499" s="1">
        <f t="shared" si="46"/>
        <v>0</v>
      </c>
      <c r="Y1499" s="1">
        <f t="shared" si="47"/>
        <v>15</v>
      </c>
    </row>
    <row r="1500" spans="24:25" x14ac:dyDescent="0.3">
      <c r="X1500" s="1">
        <f t="shared" si="46"/>
        <v>0</v>
      </c>
      <c r="Y1500" s="1">
        <f t="shared" si="47"/>
        <v>15</v>
      </c>
    </row>
    <row r="1501" spans="24:25" x14ac:dyDescent="0.3">
      <c r="X1501" s="1">
        <f t="shared" si="46"/>
        <v>0</v>
      </c>
      <c r="Y1501" s="1">
        <f t="shared" si="47"/>
        <v>15</v>
      </c>
    </row>
    <row r="1502" spans="24:25" x14ac:dyDescent="0.3">
      <c r="X1502" s="1">
        <f t="shared" si="46"/>
        <v>0</v>
      </c>
      <c r="Y1502" s="1">
        <f t="shared" si="47"/>
        <v>15</v>
      </c>
    </row>
    <row r="1503" spans="24:25" x14ac:dyDescent="0.3">
      <c r="X1503" s="1">
        <f t="shared" si="46"/>
        <v>0</v>
      </c>
      <c r="Y1503" s="1">
        <f t="shared" si="47"/>
        <v>15</v>
      </c>
    </row>
    <row r="1504" spans="24:25" x14ac:dyDescent="0.3">
      <c r="X1504" s="1">
        <f t="shared" si="46"/>
        <v>0</v>
      </c>
      <c r="Y1504" s="1">
        <f t="shared" si="47"/>
        <v>15</v>
      </c>
    </row>
    <row r="1505" spans="24:25" x14ac:dyDescent="0.3">
      <c r="X1505" s="1">
        <f t="shared" si="46"/>
        <v>0</v>
      </c>
      <c r="Y1505" s="1">
        <f t="shared" si="47"/>
        <v>15</v>
      </c>
    </row>
    <row r="1506" spans="24:25" x14ac:dyDescent="0.3">
      <c r="X1506" s="1">
        <f t="shared" si="46"/>
        <v>0</v>
      </c>
      <c r="Y1506" s="1">
        <f t="shared" si="47"/>
        <v>15</v>
      </c>
    </row>
    <row r="1507" spans="24:25" x14ac:dyDescent="0.3">
      <c r="X1507" s="1">
        <f t="shared" si="46"/>
        <v>0</v>
      </c>
      <c r="Y1507" s="1">
        <f t="shared" si="47"/>
        <v>15</v>
      </c>
    </row>
    <row r="1508" spans="24:25" x14ac:dyDescent="0.3">
      <c r="X1508" s="1">
        <f t="shared" si="46"/>
        <v>0</v>
      </c>
      <c r="Y1508" s="1">
        <f t="shared" si="47"/>
        <v>15</v>
      </c>
    </row>
    <row r="1509" spans="24:25" x14ac:dyDescent="0.3">
      <c r="X1509" s="1">
        <f t="shared" si="46"/>
        <v>0</v>
      </c>
      <c r="Y1509" s="1">
        <f t="shared" si="47"/>
        <v>15</v>
      </c>
    </row>
    <row r="1510" spans="24:25" x14ac:dyDescent="0.3">
      <c r="X1510" s="1">
        <f t="shared" si="46"/>
        <v>0</v>
      </c>
      <c r="Y1510" s="1">
        <f t="shared" si="47"/>
        <v>15</v>
      </c>
    </row>
    <row r="1511" spans="24:25" x14ac:dyDescent="0.3">
      <c r="X1511" s="1">
        <f t="shared" si="46"/>
        <v>0</v>
      </c>
      <c r="Y1511" s="1">
        <f t="shared" si="47"/>
        <v>15</v>
      </c>
    </row>
    <row r="1512" spans="24:25" x14ac:dyDescent="0.3">
      <c r="X1512" s="1">
        <f t="shared" si="46"/>
        <v>0</v>
      </c>
      <c r="Y1512" s="1">
        <f t="shared" si="47"/>
        <v>15</v>
      </c>
    </row>
    <row r="1513" spans="24:25" x14ac:dyDescent="0.3">
      <c r="X1513" s="1">
        <f t="shared" si="46"/>
        <v>0</v>
      </c>
      <c r="Y1513" s="1">
        <f t="shared" si="47"/>
        <v>15</v>
      </c>
    </row>
    <row r="1514" spans="24:25" x14ac:dyDescent="0.3">
      <c r="X1514" s="1">
        <f t="shared" si="46"/>
        <v>0</v>
      </c>
      <c r="Y1514" s="1">
        <f t="shared" si="47"/>
        <v>15</v>
      </c>
    </row>
    <row r="1515" spans="24:25" x14ac:dyDescent="0.3">
      <c r="X1515" s="1">
        <f t="shared" si="46"/>
        <v>0</v>
      </c>
      <c r="Y1515" s="1">
        <f t="shared" si="47"/>
        <v>15</v>
      </c>
    </row>
    <row r="1516" spans="24:25" x14ac:dyDescent="0.3">
      <c r="X1516" s="1">
        <f t="shared" si="46"/>
        <v>0</v>
      </c>
      <c r="Y1516" s="1">
        <f t="shared" si="47"/>
        <v>15</v>
      </c>
    </row>
    <row r="1517" spans="24:25" x14ac:dyDescent="0.3">
      <c r="X1517" s="1">
        <f t="shared" si="46"/>
        <v>0</v>
      </c>
      <c r="Y1517" s="1">
        <f t="shared" si="47"/>
        <v>15</v>
      </c>
    </row>
    <row r="1518" spans="24:25" x14ac:dyDescent="0.3">
      <c r="X1518" s="1">
        <f t="shared" si="46"/>
        <v>0</v>
      </c>
      <c r="Y1518" s="1">
        <f t="shared" si="47"/>
        <v>15</v>
      </c>
    </row>
    <row r="1519" spans="24:25" x14ac:dyDescent="0.3">
      <c r="X1519" s="1">
        <f t="shared" si="46"/>
        <v>0</v>
      </c>
      <c r="Y1519" s="1">
        <f t="shared" si="47"/>
        <v>15</v>
      </c>
    </row>
    <row r="1520" spans="24:25" x14ac:dyDescent="0.3">
      <c r="X1520" s="1">
        <f t="shared" si="46"/>
        <v>0</v>
      </c>
      <c r="Y1520" s="1">
        <f t="shared" si="47"/>
        <v>15</v>
      </c>
    </row>
    <row r="1521" spans="24:25" x14ac:dyDescent="0.3">
      <c r="X1521" s="1">
        <f t="shared" si="46"/>
        <v>0</v>
      </c>
      <c r="Y1521" s="1">
        <f t="shared" si="47"/>
        <v>15</v>
      </c>
    </row>
    <row r="1522" spans="24:25" x14ac:dyDescent="0.3">
      <c r="X1522" s="1">
        <f t="shared" si="46"/>
        <v>0</v>
      </c>
      <c r="Y1522" s="1">
        <f t="shared" si="47"/>
        <v>15</v>
      </c>
    </row>
    <row r="1523" spans="24:25" x14ac:dyDescent="0.3">
      <c r="X1523" s="1">
        <f t="shared" si="46"/>
        <v>0</v>
      </c>
      <c r="Y1523" s="1">
        <f t="shared" si="47"/>
        <v>15</v>
      </c>
    </row>
    <row r="1524" spans="24:25" x14ac:dyDescent="0.3">
      <c r="X1524" s="1">
        <f t="shared" si="46"/>
        <v>0</v>
      </c>
      <c r="Y1524" s="1">
        <f t="shared" si="47"/>
        <v>15</v>
      </c>
    </row>
    <row r="1525" spans="24:25" x14ac:dyDescent="0.3">
      <c r="X1525" s="1">
        <f t="shared" si="46"/>
        <v>0</v>
      </c>
      <c r="Y1525" s="1">
        <f t="shared" si="47"/>
        <v>15</v>
      </c>
    </row>
    <row r="1526" spans="24:25" x14ac:dyDescent="0.3">
      <c r="X1526" s="1">
        <f t="shared" si="46"/>
        <v>0</v>
      </c>
      <c r="Y1526" s="1">
        <f t="shared" si="47"/>
        <v>15</v>
      </c>
    </row>
    <row r="1527" spans="24:25" x14ac:dyDescent="0.3">
      <c r="X1527" s="1">
        <f t="shared" si="46"/>
        <v>0</v>
      </c>
      <c r="Y1527" s="1">
        <f t="shared" si="47"/>
        <v>15</v>
      </c>
    </row>
    <row r="1528" spans="24:25" x14ac:dyDescent="0.3">
      <c r="X1528" s="1">
        <f t="shared" si="46"/>
        <v>0</v>
      </c>
      <c r="Y1528" s="1">
        <f t="shared" si="47"/>
        <v>15</v>
      </c>
    </row>
    <row r="1529" spans="24:25" x14ac:dyDescent="0.3">
      <c r="X1529" s="1">
        <f t="shared" si="46"/>
        <v>0</v>
      </c>
      <c r="Y1529" s="1">
        <f t="shared" si="47"/>
        <v>15</v>
      </c>
    </row>
    <row r="1530" spans="24:25" x14ac:dyDescent="0.3">
      <c r="X1530" s="1">
        <f t="shared" si="46"/>
        <v>0</v>
      </c>
      <c r="Y1530" s="1">
        <f t="shared" si="47"/>
        <v>15</v>
      </c>
    </row>
    <row r="1531" spans="24:25" x14ac:dyDescent="0.3">
      <c r="X1531" s="1">
        <f t="shared" si="46"/>
        <v>0</v>
      </c>
      <c r="Y1531" s="1">
        <f t="shared" si="47"/>
        <v>15</v>
      </c>
    </row>
    <row r="1532" spans="24:25" x14ac:dyDescent="0.3">
      <c r="X1532" s="1">
        <f t="shared" si="46"/>
        <v>0</v>
      </c>
      <c r="Y1532" s="1">
        <f t="shared" si="47"/>
        <v>15</v>
      </c>
    </row>
    <row r="1533" spans="24:25" x14ac:dyDescent="0.3">
      <c r="X1533" s="1">
        <f t="shared" si="46"/>
        <v>0</v>
      </c>
      <c r="Y1533" s="1">
        <f t="shared" si="47"/>
        <v>15</v>
      </c>
    </row>
    <row r="1534" spans="24:25" x14ac:dyDescent="0.3">
      <c r="X1534" s="1">
        <f t="shared" si="46"/>
        <v>0</v>
      </c>
      <c r="Y1534" s="1">
        <f t="shared" si="47"/>
        <v>15</v>
      </c>
    </row>
    <row r="1535" spans="24:25" x14ac:dyDescent="0.3">
      <c r="X1535" s="1">
        <f t="shared" si="46"/>
        <v>0</v>
      </c>
      <c r="Y1535" s="1">
        <f t="shared" si="47"/>
        <v>15</v>
      </c>
    </row>
    <row r="1536" spans="24:25" x14ac:dyDescent="0.3">
      <c r="X1536" s="1">
        <f t="shared" si="46"/>
        <v>0</v>
      </c>
      <c r="Y1536" s="1">
        <f t="shared" si="47"/>
        <v>15</v>
      </c>
    </row>
    <row r="1537" spans="24:25" x14ac:dyDescent="0.3">
      <c r="X1537" s="1">
        <f t="shared" si="46"/>
        <v>0</v>
      </c>
      <c r="Y1537" s="1">
        <f t="shared" si="47"/>
        <v>15</v>
      </c>
    </row>
    <row r="1538" spans="24:25" x14ac:dyDescent="0.3">
      <c r="X1538" s="1">
        <f t="shared" si="46"/>
        <v>0</v>
      </c>
      <c r="Y1538" s="1">
        <f t="shared" si="47"/>
        <v>15</v>
      </c>
    </row>
    <row r="1539" spans="24:25" x14ac:dyDescent="0.3">
      <c r="X1539" s="1">
        <f t="shared" ref="X1539:X1602" si="48">IFERROR(MATCH(W1539,$B:$B,0),0)</f>
        <v>0</v>
      </c>
      <c r="Y1539" s="1">
        <f t="shared" ref="Y1539:Y1602" si="49">IF(X1540=0,COUNTA(A:A),X1540-1)</f>
        <v>15</v>
      </c>
    </row>
    <row r="1540" spans="24:25" x14ac:dyDescent="0.3">
      <c r="X1540" s="1">
        <f t="shared" si="48"/>
        <v>0</v>
      </c>
      <c r="Y1540" s="1">
        <f t="shared" si="49"/>
        <v>15</v>
      </c>
    </row>
    <row r="1541" spans="24:25" x14ac:dyDescent="0.3">
      <c r="X1541" s="1">
        <f t="shared" si="48"/>
        <v>0</v>
      </c>
      <c r="Y1541" s="1">
        <f t="shared" si="49"/>
        <v>15</v>
      </c>
    </row>
    <row r="1542" spans="24:25" x14ac:dyDescent="0.3">
      <c r="X1542" s="1">
        <f t="shared" si="48"/>
        <v>0</v>
      </c>
      <c r="Y1542" s="1">
        <f t="shared" si="49"/>
        <v>15</v>
      </c>
    </row>
    <row r="1543" spans="24:25" x14ac:dyDescent="0.3">
      <c r="X1543" s="1">
        <f t="shared" si="48"/>
        <v>0</v>
      </c>
      <c r="Y1543" s="1">
        <f t="shared" si="49"/>
        <v>15</v>
      </c>
    </row>
    <row r="1544" spans="24:25" x14ac:dyDescent="0.3">
      <c r="X1544" s="1">
        <f t="shared" si="48"/>
        <v>0</v>
      </c>
      <c r="Y1544" s="1">
        <f t="shared" si="49"/>
        <v>15</v>
      </c>
    </row>
    <row r="1545" spans="24:25" x14ac:dyDescent="0.3">
      <c r="X1545" s="1">
        <f t="shared" si="48"/>
        <v>0</v>
      </c>
      <c r="Y1545" s="1">
        <f t="shared" si="49"/>
        <v>15</v>
      </c>
    </row>
    <row r="1546" spans="24:25" x14ac:dyDescent="0.3">
      <c r="X1546" s="1">
        <f t="shared" si="48"/>
        <v>0</v>
      </c>
      <c r="Y1546" s="1">
        <f t="shared" si="49"/>
        <v>15</v>
      </c>
    </row>
    <row r="1547" spans="24:25" x14ac:dyDescent="0.3">
      <c r="X1547" s="1">
        <f t="shared" si="48"/>
        <v>0</v>
      </c>
      <c r="Y1547" s="1">
        <f t="shared" si="49"/>
        <v>15</v>
      </c>
    </row>
    <row r="1548" spans="24:25" x14ac:dyDescent="0.3">
      <c r="X1548" s="1">
        <f t="shared" si="48"/>
        <v>0</v>
      </c>
      <c r="Y1548" s="1">
        <f t="shared" si="49"/>
        <v>15</v>
      </c>
    </row>
    <row r="1549" spans="24:25" x14ac:dyDescent="0.3">
      <c r="X1549" s="1">
        <f t="shared" si="48"/>
        <v>0</v>
      </c>
      <c r="Y1549" s="1">
        <f t="shared" si="49"/>
        <v>15</v>
      </c>
    </row>
    <row r="1550" spans="24:25" x14ac:dyDescent="0.3">
      <c r="X1550" s="1">
        <f t="shared" si="48"/>
        <v>0</v>
      </c>
      <c r="Y1550" s="1">
        <f t="shared" si="49"/>
        <v>15</v>
      </c>
    </row>
    <row r="1551" spans="24:25" x14ac:dyDescent="0.3">
      <c r="X1551" s="1">
        <f t="shared" si="48"/>
        <v>0</v>
      </c>
      <c r="Y1551" s="1">
        <f t="shared" si="49"/>
        <v>15</v>
      </c>
    </row>
    <row r="1552" spans="24:25" x14ac:dyDescent="0.3">
      <c r="X1552" s="1">
        <f t="shared" si="48"/>
        <v>0</v>
      </c>
      <c r="Y1552" s="1">
        <f t="shared" si="49"/>
        <v>15</v>
      </c>
    </row>
    <row r="1553" spans="24:25" x14ac:dyDescent="0.3">
      <c r="X1553" s="1">
        <f t="shared" si="48"/>
        <v>0</v>
      </c>
      <c r="Y1553" s="1">
        <f t="shared" si="49"/>
        <v>15</v>
      </c>
    </row>
    <row r="1554" spans="24:25" x14ac:dyDescent="0.3">
      <c r="X1554" s="1">
        <f t="shared" si="48"/>
        <v>0</v>
      </c>
      <c r="Y1554" s="1">
        <f t="shared" si="49"/>
        <v>15</v>
      </c>
    </row>
    <row r="1555" spans="24:25" x14ac:dyDescent="0.3">
      <c r="X1555" s="1">
        <f t="shared" si="48"/>
        <v>0</v>
      </c>
      <c r="Y1555" s="1">
        <f t="shared" si="49"/>
        <v>15</v>
      </c>
    </row>
    <row r="1556" spans="24:25" x14ac:dyDescent="0.3">
      <c r="X1556" s="1">
        <f t="shared" si="48"/>
        <v>0</v>
      </c>
      <c r="Y1556" s="1">
        <f t="shared" si="49"/>
        <v>15</v>
      </c>
    </row>
    <row r="1557" spans="24:25" x14ac:dyDescent="0.3">
      <c r="X1557" s="1">
        <f t="shared" si="48"/>
        <v>0</v>
      </c>
      <c r="Y1557" s="1">
        <f t="shared" si="49"/>
        <v>15</v>
      </c>
    </row>
    <row r="1558" spans="24:25" x14ac:dyDescent="0.3">
      <c r="X1558" s="1">
        <f t="shared" si="48"/>
        <v>0</v>
      </c>
      <c r="Y1558" s="1">
        <f t="shared" si="49"/>
        <v>15</v>
      </c>
    </row>
    <row r="1559" spans="24:25" x14ac:dyDescent="0.3">
      <c r="X1559" s="1">
        <f t="shared" si="48"/>
        <v>0</v>
      </c>
      <c r="Y1559" s="1">
        <f t="shared" si="49"/>
        <v>15</v>
      </c>
    </row>
    <row r="1560" spans="24:25" x14ac:dyDescent="0.3">
      <c r="X1560" s="1">
        <f t="shared" si="48"/>
        <v>0</v>
      </c>
      <c r="Y1560" s="1">
        <f t="shared" si="49"/>
        <v>15</v>
      </c>
    </row>
    <row r="1561" spans="24:25" x14ac:dyDescent="0.3">
      <c r="X1561" s="1">
        <f t="shared" si="48"/>
        <v>0</v>
      </c>
      <c r="Y1561" s="1">
        <f t="shared" si="49"/>
        <v>15</v>
      </c>
    </row>
    <row r="1562" spans="24:25" x14ac:dyDescent="0.3">
      <c r="X1562" s="1">
        <f t="shared" si="48"/>
        <v>0</v>
      </c>
      <c r="Y1562" s="1">
        <f t="shared" si="49"/>
        <v>15</v>
      </c>
    </row>
    <row r="1563" spans="24:25" x14ac:dyDescent="0.3">
      <c r="X1563" s="1">
        <f t="shared" si="48"/>
        <v>0</v>
      </c>
      <c r="Y1563" s="1">
        <f t="shared" si="49"/>
        <v>15</v>
      </c>
    </row>
    <row r="1564" spans="24:25" x14ac:dyDescent="0.3">
      <c r="X1564" s="1">
        <f t="shared" si="48"/>
        <v>0</v>
      </c>
      <c r="Y1564" s="1">
        <f t="shared" si="49"/>
        <v>15</v>
      </c>
    </row>
    <row r="1565" spans="24:25" x14ac:dyDescent="0.3">
      <c r="X1565" s="1">
        <f t="shared" si="48"/>
        <v>0</v>
      </c>
      <c r="Y1565" s="1">
        <f t="shared" si="49"/>
        <v>15</v>
      </c>
    </row>
    <row r="1566" spans="24:25" x14ac:dyDescent="0.3">
      <c r="X1566" s="1">
        <f t="shared" si="48"/>
        <v>0</v>
      </c>
      <c r="Y1566" s="1">
        <f t="shared" si="49"/>
        <v>15</v>
      </c>
    </row>
    <row r="1567" spans="24:25" x14ac:dyDescent="0.3">
      <c r="X1567" s="1">
        <f t="shared" si="48"/>
        <v>0</v>
      </c>
      <c r="Y1567" s="1">
        <f t="shared" si="49"/>
        <v>15</v>
      </c>
    </row>
    <row r="1568" spans="24:25" x14ac:dyDescent="0.3">
      <c r="X1568" s="1">
        <f t="shared" si="48"/>
        <v>0</v>
      </c>
      <c r="Y1568" s="1">
        <f t="shared" si="49"/>
        <v>15</v>
      </c>
    </row>
    <row r="1569" spans="24:25" x14ac:dyDescent="0.3">
      <c r="X1569" s="1">
        <f t="shared" si="48"/>
        <v>0</v>
      </c>
      <c r="Y1569" s="1">
        <f t="shared" si="49"/>
        <v>15</v>
      </c>
    </row>
    <row r="1570" spans="24:25" x14ac:dyDescent="0.3">
      <c r="X1570" s="1">
        <f t="shared" si="48"/>
        <v>0</v>
      </c>
      <c r="Y1570" s="1">
        <f t="shared" si="49"/>
        <v>15</v>
      </c>
    </row>
    <row r="1571" spans="24:25" x14ac:dyDescent="0.3">
      <c r="X1571" s="1">
        <f t="shared" si="48"/>
        <v>0</v>
      </c>
      <c r="Y1571" s="1">
        <f t="shared" si="49"/>
        <v>15</v>
      </c>
    </row>
    <row r="1572" spans="24:25" x14ac:dyDescent="0.3">
      <c r="X1572" s="1">
        <f t="shared" si="48"/>
        <v>0</v>
      </c>
      <c r="Y1572" s="1">
        <f t="shared" si="49"/>
        <v>15</v>
      </c>
    </row>
    <row r="1573" spans="24:25" x14ac:dyDescent="0.3">
      <c r="X1573" s="1">
        <f t="shared" si="48"/>
        <v>0</v>
      </c>
      <c r="Y1573" s="1">
        <f t="shared" si="49"/>
        <v>15</v>
      </c>
    </row>
    <row r="1574" spans="24:25" x14ac:dyDescent="0.3">
      <c r="X1574" s="1">
        <f t="shared" si="48"/>
        <v>0</v>
      </c>
      <c r="Y1574" s="1">
        <f t="shared" si="49"/>
        <v>15</v>
      </c>
    </row>
    <row r="1575" spans="24:25" x14ac:dyDescent="0.3">
      <c r="X1575" s="1">
        <f t="shared" si="48"/>
        <v>0</v>
      </c>
      <c r="Y1575" s="1">
        <f t="shared" si="49"/>
        <v>15</v>
      </c>
    </row>
    <row r="1576" spans="24:25" x14ac:dyDescent="0.3">
      <c r="X1576" s="1">
        <f t="shared" si="48"/>
        <v>0</v>
      </c>
      <c r="Y1576" s="1">
        <f t="shared" si="49"/>
        <v>15</v>
      </c>
    </row>
    <row r="1577" spans="24:25" x14ac:dyDescent="0.3">
      <c r="X1577" s="1">
        <f t="shared" si="48"/>
        <v>0</v>
      </c>
      <c r="Y1577" s="1">
        <f t="shared" si="49"/>
        <v>15</v>
      </c>
    </row>
    <row r="1578" spans="24:25" x14ac:dyDescent="0.3">
      <c r="X1578" s="1">
        <f t="shared" si="48"/>
        <v>0</v>
      </c>
      <c r="Y1578" s="1">
        <f t="shared" si="49"/>
        <v>15</v>
      </c>
    </row>
    <row r="1579" spans="24:25" x14ac:dyDescent="0.3">
      <c r="X1579" s="1">
        <f t="shared" si="48"/>
        <v>0</v>
      </c>
      <c r="Y1579" s="1">
        <f t="shared" si="49"/>
        <v>15</v>
      </c>
    </row>
    <row r="1580" spans="24:25" x14ac:dyDescent="0.3">
      <c r="X1580" s="1">
        <f t="shared" si="48"/>
        <v>0</v>
      </c>
      <c r="Y1580" s="1">
        <f t="shared" si="49"/>
        <v>15</v>
      </c>
    </row>
    <row r="1581" spans="24:25" x14ac:dyDescent="0.3">
      <c r="X1581" s="1">
        <f t="shared" si="48"/>
        <v>0</v>
      </c>
      <c r="Y1581" s="1">
        <f t="shared" si="49"/>
        <v>15</v>
      </c>
    </row>
    <row r="1582" spans="24:25" x14ac:dyDescent="0.3">
      <c r="X1582" s="1">
        <f t="shared" si="48"/>
        <v>0</v>
      </c>
      <c r="Y1582" s="1">
        <f t="shared" si="49"/>
        <v>15</v>
      </c>
    </row>
    <row r="1583" spans="24:25" x14ac:dyDescent="0.3">
      <c r="X1583" s="1">
        <f t="shared" si="48"/>
        <v>0</v>
      </c>
      <c r="Y1583" s="1">
        <f t="shared" si="49"/>
        <v>15</v>
      </c>
    </row>
    <row r="1584" spans="24:25" x14ac:dyDescent="0.3">
      <c r="X1584" s="1">
        <f t="shared" si="48"/>
        <v>0</v>
      </c>
      <c r="Y1584" s="1">
        <f t="shared" si="49"/>
        <v>15</v>
      </c>
    </row>
    <row r="1585" spans="24:25" x14ac:dyDescent="0.3">
      <c r="X1585" s="1">
        <f t="shared" si="48"/>
        <v>0</v>
      </c>
      <c r="Y1585" s="1">
        <f t="shared" si="49"/>
        <v>15</v>
      </c>
    </row>
    <row r="1586" spans="24:25" x14ac:dyDescent="0.3">
      <c r="X1586" s="1">
        <f t="shared" si="48"/>
        <v>0</v>
      </c>
      <c r="Y1586" s="1">
        <f t="shared" si="49"/>
        <v>15</v>
      </c>
    </row>
    <row r="1587" spans="24:25" x14ac:dyDescent="0.3">
      <c r="X1587" s="1">
        <f t="shared" si="48"/>
        <v>0</v>
      </c>
      <c r="Y1587" s="1">
        <f t="shared" si="49"/>
        <v>15</v>
      </c>
    </row>
    <row r="1588" spans="24:25" x14ac:dyDescent="0.3">
      <c r="X1588" s="1">
        <f t="shared" si="48"/>
        <v>0</v>
      </c>
      <c r="Y1588" s="1">
        <f t="shared" si="49"/>
        <v>15</v>
      </c>
    </row>
    <row r="1589" spans="24:25" x14ac:dyDescent="0.3">
      <c r="X1589" s="1">
        <f t="shared" si="48"/>
        <v>0</v>
      </c>
      <c r="Y1589" s="1">
        <f t="shared" si="49"/>
        <v>15</v>
      </c>
    </row>
    <row r="1590" spans="24:25" x14ac:dyDescent="0.3">
      <c r="X1590" s="1">
        <f t="shared" si="48"/>
        <v>0</v>
      </c>
      <c r="Y1590" s="1">
        <f t="shared" si="49"/>
        <v>15</v>
      </c>
    </row>
    <row r="1591" spans="24:25" x14ac:dyDescent="0.3">
      <c r="X1591" s="1">
        <f t="shared" si="48"/>
        <v>0</v>
      </c>
      <c r="Y1591" s="1">
        <f t="shared" si="49"/>
        <v>15</v>
      </c>
    </row>
    <row r="1592" spans="24:25" x14ac:dyDescent="0.3">
      <c r="X1592" s="1">
        <f t="shared" si="48"/>
        <v>0</v>
      </c>
      <c r="Y1592" s="1">
        <f t="shared" si="49"/>
        <v>15</v>
      </c>
    </row>
    <row r="1593" spans="24:25" x14ac:dyDescent="0.3">
      <c r="X1593" s="1">
        <f t="shared" si="48"/>
        <v>0</v>
      </c>
      <c r="Y1593" s="1">
        <f t="shared" si="49"/>
        <v>15</v>
      </c>
    </row>
    <row r="1594" spans="24:25" x14ac:dyDescent="0.3">
      <c r="X1594" s="1">
        <f t="shared" si="48"/>
        <v>0</v>
      </c>
      <c r="Y1594" s="1">
        <f t="shared" si="49"/>
        <v>15</v>
      </c>
    </row>
    <row r="1595" spans="24:25" x14ac:dyDescent="0.3">
      <c r="X1595" s="1">
        <f t="shared" si="48"/>
        <v>0</v>
      </c>
      <c r="Y1595" s="1">
        <f t="shared" si="49"/>
        <v>15</v>
      </c>
    </row>
    <row r="1596" spans="24:25" x14ac:dyDescent="0.3">
      <c r="X1596" s="1">
        <f t="shared" si="48"/>
        <v>0</v>
      </c>
      <c r="Y1596" s="1">
        <f t="shared" si="49"/>
        <v>15</v>
      </c>
    </row>
    <row r="1597" spans="24:25" x14ac:dyDescent="0.3">
      <c r="X1597" s="1">
        <f t="shared" si="48"/>
        <v>0</v>
      </c>
      <c r="Y1597" s="1">
        <f t="shared" si="49"/>
        <v>15</v>
      </c>
    </row>
    <row r="1598" spans="24:25" x14ac:dyDescent="0.3">
      <c r="X1598" s="1">
        <f t="shared" si="48"/>
        <v>0</v>
      </c>
      <c r="Y1598" s="1">
        <f t="shared" si="49"/>
        <v>15</v>
      </c>
    </row>
    <row r="1599" spans="24:25" x14ac:dyDescent="0.3">
      <c r="X1599" s="1">
        <f t="shared" si="48"/>
        <v>0</v>
      </c>
      <c r="Y1599" s="1">
        <f t="shared" si="49"/>
        <v>15</v>
      </c>
    </row>
    <row r="1600" spans="24:25" x14ac:dyDescent="0.3">
      <c r="X1600" s="1">
        <f t="shared" si="48"/>
        <v>0</v>
      </c>
      <c r="Y1600" s="1">
        <f t="shared" si="49"/>
        <v>15</v>
      </c>
    </row>
    <row r="1601" spans="24:25" x14ac:dyDescent="0.3">
      <c r="X1601" s="1">
        <f t="shared" si="48"/>
        <v>0</v>
      </c>
      <c r="Y1601" s="1">
        <f t="shared" si="49"/>
        <v>15</v>
      </c>
    </row>
    <row r="1602" spans="24:25" x14ac:dyDescent="0.3">
      <c r="X1602" s="1">
        <f t="shared" si="48"/>
        <v>0</v>
      </c>
      <c r="Y1602" s="1">
        <f t="shared" si="49"/>
        <v>15</v>
      </c>
    </row>
    <row r="1603" spans="24:25" x14ac:dyDescent="0.3">
      <c r="X1603" s="1">
        <f t="shared" ref="X1603:X1666" si="50">IFERROR(MATCH(W1603,$B:$B,0),0)</f>
        <v>0</v>
      </c>
      <c r="Y1603" s="1">
        <f t="shared" ref="Y1603:Y1666" si="51">IF(X1604=0,COUNTA(A:A),X1604-1)</f>
        <v>15</v>
      </c>
    </row>
    <row r="1604" spans="24:25" x14ac:dyDescent="0.3">
      <c r="X1604" s="1">
        <f t="shared" si="50"/>
        <v>0</v>
      </c>
      <c r="Y1604" s="1">
        <f t="shared" si="51"/>
        <v>15</v>
      </c>
    </row>
    <row r="1605" spans="24:25" x14ac:dyDescent="0.3">
      <c r="X1605" s="1">
        <f t="shared" si="50"/>
        <v>0</v>
      </c>
      <c r="Y1605" s="1">
        <f t="shared" si="51"/>
        <v>15</v>
      </c>
    </row>
    <row r="1606" spans="24:25" x14ac:dyDescent="0.3">
      <c r="X1606" s="1">
        <f t="shared" si="50"/>
        <v>0</v>
      </c>
      <c r="Y1606" s="1">
        <f t="shared" si="51"/>
        <v>15</v>
      </c>
    </row>
    <row r="1607" spans="24:25" x14ac:dyDescent="0.3">
      <c r="X1607" s="1">
        <f t="shared" si="50"/>
        <v>0</v>
      </c>
      <c r="Y1607" s="1">
        <f t="shared" si="51"/>
        <v>15</v>
      </c>
    </row>
    <row r="1608" spans="24:25" x14ac:dyDescent="0.3">
      <c r="X1608" s="1">
        <f t="shared" si="50"/>
        <v>0</v>
      </c>
      <c r="Y1608" s="1">
        <f t="shared" si="51"/>
        <v>15</v>
      </c>
    </row>
    <row r="1609" spans="24:25" x14ac:dyDescent="0.3">
      <c r="X1609" s="1">
        <f t="shared" si="50"/>
        <v>0</v>
      </c>
      <c r="Y1609" s="1">
        <f t="shared" si="51"/>
        <v>15</v>
      </c>
    </row>
    <row r="1610" spans="24:25" x14ac:dyDescent="0.3">
      <c r="X1610" s="1">
        <f t="shared" si="50"/>
        <v>0</v>
      </c>
      <c r="Y1610" s="1">
        <f t="shared" si="51"/>
        <v>15</v>
      </c>
    </row>
    <row r="1611" spans="24:25" x14ac:dyDescent="0.3">
      <c r="X1611" s="1">
        <f t="shared" si="50"/>
        <v>0</v>
      </c>
      <c r="Y1611" s="1">
        <f t="shared" si="51"/>
        <v>15</v>
      </c>
    </row>
    <row r="1612" spans="24:25" x14ac:dyDescent="0.3">
      <c r="X1612" s="1">
        <f t="shared" si="50"/>
        <v>0</v>
      </c>
      <c r="Y1612" s="1">
        <f t="shared" si="51"/>
        <v>15</v>
      </c>
    </row>
    <row r="1613" spans="24:25" x14ac:dyDescent="0.3">
      <c r="X1613" s="1">
        <f t="shared" si="50"/>
        <v>0</v>
      </c>
      <c r="Y1613" s="1">
        <f t="shared" si="51"/>
        <v>15</v>
      </c>
    </row>
    <row r="1614" spans="24:25" x14ac:dyDescent="0.3">
      <c r="X1614" s="1">
        <f t="shared" si="50"/>
        <v>0</v>
      </c>
      <c r="Y1614" s="1">
        <f t="shared" si="51"/>
        <v>15</v>
      </c>
    </row>
    <row r="1615" spans="24:25" x14ac:dyDescent="0.3">
      <c r="X1615" s="1">
        <f t="shared" si="50"/>
        <v>0</v>
      </c>
      <c r="Y1615" s="1">
        <f t="shared" si="51"/>
        <v>15</v>
      </c>
    </row>
    <row r="1616" spans="24:25" x14ac:dyDescent="0.3">
      <c r="X1616" s="1">
        <f t="shared" si="50"/>
        <v>0</v>
      </c>
      <c r="Y1616" s="1">
        <f t="shared" si="51"/>
        <v>15</v>
      </c>
    </row>
    <row r="1617" spans="24:25" x14ac:dyDescent="0.3">
      <c r="X1617" s="1">
        <f t="shared" si="50"/>
        <v>0</v>
      </c>
      <c r="Y1617" s="1">
        <f t="shared" si="51"/>
        <v>15</v>
      </c>
    </row>
    <row r="1618" spans="24:25" x14ac:dyDescent="0.3">
      <c r="X1618" s="1">
        <f t="shared" si="50"/>
        <v>0</v>
      </c>
      <c r="Y1618" s="1">
        <f t="shared" si="51"/>
        <v>15</v>
      </c>
    </row>
    <row r="1619" spans="24:25" x14ac:dyDescent="0.3">
      <c r="X1619" s="1">
        <f t="shared" si="50"/>
        <v>0</v>
      </c>
      <c r="Y1619" s="1">
        <f t="shared" si="51"/>
        <v>15</v>
      </c>
    </row>
    <row r="1620" spans="24:25" x14ac:dyDescent="0.3">
      <c r="X1620" s="1">
        <f t="shared" si="50"/>
        <v>0</v>
      </c>
      <c r="Y1620" s="1">
        <f t="shared" si="51"/>
        <v>15</v>
      </c>
    </row>
    <row r="1621" spans="24:25" x14ac:dyDescent="0.3">
      <c r="X1621" s="1">
        <f t="shared" si="50"/>
        <v>0</v>
      </c>
      <c r="Y1621" s="1">
        <f t="shared" si="51"/>
        <v>15</v>
      </c>
    </row>
    <row r="1622" spans="24:25" x14ac:dyDescent="0.3">
      <c r="X1622" s="1">
        <f t="shared" si="50"/>
        <v>0</v>
      </c>
      <c r="Y1622" s="1">
        <f t="shared" si="51"/>
        <v>15</v>
      </c>
    </row>
    <row r="1623" spans="24:25" x14ac:dyDescent="0.3">
      <c r="X1623" s="1">
        <f t="shared" si="50"/>
        <v>0</v>
      </c>
      <c r="Y1623" s="1">
        <f t="shared" si="51"/>
        <v>15</v>
      </c>
    </row>
    <row r="1624" spans="24:25" x14ac:dyDescent="0.3">
      <c r="X1624" s="1">
        <f t="shared" si="50"/>
        <v>0</v>
      </c>
      <c r="Y1624" s="1">
        <f t="shared" si="51"/>
        <v>15</v>
      </c>
    </row>
    <row r="1625" spans="24:25" x14ac:dyDescent="0.3">
      <c r="X1625" s="1">
        <f t="shared" si="50"/>
        <v>0</v>
      </c>
      <c r="Y1625" s="1">
        <f t="shared" si="51"/>
        <v>15</v>
      </c>
    </row>
    <row r="1626" spans="24:25" x14ac:dyDescent="0.3">
      <c r="X1626" s="1">
        <f t="shared" si="50"/>
        <v>0</v>
      </c>
      <c r="Y1626" s="1">
        <f t="shared" si="51"/>
        <v>15</v>
      </c>
    </row>
    <row r="1627" spans="24:25" x14ac:dyDescent="0.3">
      <c r="X1627" s="1">
        <f t="shared" si="50"/>
        <v>0</v>
      </c>
      <c r="Y1627" s="1">
        <f t="shared" si="51"/>
        <v>15</v>
      </c>
    </row>
    <row r="1628" spans="24:25" x14ac:dyDescent="0.3">
      <c r="X1628" s="1">
        <f t="shared" si="50"/>
        <v>0</v>
      </c>
      <c r="Y1628" s="1">
        <f t="shared" si="51"/>
        <v>15</v>
      </c>
    </row>
    <row r="1629" spans="24:25" x14ac:dyDescent="0.3">
      <c r="X1629" s="1">
        <f t="shared" si="50"/>
        <v>0</v>
      </c>
      <c r="Y1629" s="1">
        <f t="shared" si="51"/>
        <v>15</v>
      </c>
    </row>
    <row r="1630" spans="24:25" x14ac:dyDescent="0.3">
      <c r="X1630" s="1">
        <f t="shared" si="50"/>
        <v>0</v>
      </c>
      <c r="Y1630" s="1">
        <f t="shared" si="51"/>
        <v>15</v>
      </c>
    </row>
    <row r="1631" spans="24:25" x14ac:dyDescent="0.3">
      <c r="X1631" s="1">
        <f t="shared" si="50"/>
        <v>0</v>
      </c>
      <c r="Y1631" s="1">
        <f t="shared" si="51"/>
        <v>15</v>
      </c>
    </row>
    <row r="1632" spans="24:25" x14ac:dyDescent="0.3">
      <c r="X1632" s="1">
        <f t="shared" si="50"/>
        <v>0</v>
      </c>
      <c r="Y1632" s="1">
        <f t="shared" si="51"/>
        <v>15</v>
      </c>
    </row>
    <row r="1633" spans="24:25" x14ac:dyDescent="0.3">
      <c r="X1633" s="1">
        <f t="shared" si="50"/>
        <v>0</v>
      </c>
      <c r="Y1633" s="1">
        <f t="shared" si="51"/>
        <v>15</v>
      </c>
    </row>
    <row r="1634" spans="24:25" x14ac:dyDescent="0.3">
      <c r="X1634" s="1">
        <f t="shared" si="50"/>
        <v>0</v>
      </c>
      <c r="Y1634" s="1">
        <f t="shared" si="51"/>
        <v>15</v>
      </c>
    </row>
    <row r="1635" spans="24:25" x14ac:dyDescent="0.3">
      <c r="X1635" s="1">
        <f t="shared" si="50"/>
        <v>0</v>
      </c>
      <c r="Y1635" s="1">
        <f t="shared" si="51"/>
        <v>15</v>
      </c>
    </row>
    <row r="1636" spans="24:25" x14ac:dyDescent="0.3">
      <c r="X1636" s="1">
        <f t="shared" si="50"/>
        <v>0</v>
      </c>
      <c r="Y1636" s="1">
        <f t="shared" si="51"/>
        <v>15</v>
      </c>
    </row>
    <row r="1637" spans="24:25" x14ac:dyDescent="0.3">
      <c r="X1637" s="1">
        <f t="shared" si="50"/>
        <v>0</v>
      </c>
      <c r="Y1637" s="1">
        <f t="shared" si="51"/>
        <v>15</v>
      </c>
    </row>
    <row r="1638" spans="24:25" x14ac:dyDescent="0.3">
      <c r="X1638" s="1">
        <f t="shared" si="50"/>
        <v>0</v>
      </c>
      <c r="Y1638" s="1">
        <f t="shared" si="51"/>
        <v>15</v>
      </c>
    </row>
    <row r="1639" spans="24:25" x14ac:dyDescent="0.3">
      <c r="X1639" s="1">
        <f t="shared" si="50"/>
        <v>0</v>
      </c>
      <c r="Y1639" s="1">
        <f t="shared" si="51"/>
        <v>15</v>
      </c>
    </row>
    <row r="1640" spans="24:25" x14ac:dyDescent="0.3">
      <c r="X1640" s="1">
        <f t="shared" si="50"/>
        <v>0</v>
      </c>
      <c r="Y1640" s="1">
        <f t="shared" si="51"/>
        <v>15</v>
      </c>
    </row>
    <row r="1641" spans="24:25" x14ac:dyDescent="0.3">
      <c r="X1641" s="1">
        <f t="shared" si="50"/>
        <v>0</v>
      </c>
      <c r="Y1641" s="1">
        <f t="shared" si="51"/>
        <v>15</v>
      </c>
    </row>
    <row r="1642" spans="24:25" x14ac:dyDescent="0.3">
      <c r="X1642" s="1">
        <f t="shared" si="50"/>
        <v>0</v>
      </c>
      <c r="Y1642" s="1">
        <f t="shared" si="51"/>
        <v>15</v>
      </c>
    </row>
    <row r="1643" spans="24:25" x14ac:dyDescent="0.3">
      <c r="X1643" s="1">
        <f t="shared" si="50"/>
        <v>0</v>
      </c>
      <c r="Y1643" s="1">
        <f t="shared" si="51"/>
        <v>15</v>
      </c>
    </row>
    <row r="1644" spans="24:25" x14ac:dyDescent="0.3">
      <c r="X1644" s="1">
        <f t="shared" si="50"/>
        <v>0</v>
      </c>
      <c r="Y1644" s="1">
        <f t="shared" si="51"/>
        <v>15</v>
      </c>
    </row>
    <row r="1645" spans="24:25" x14ac:dyDescent="0.3">
      <c r="X1645" s="1">
        <f t="shared" si="50"/>
        <v>0</v>
      </c>
      <c r="Y1645" s="1">
        <f t="shared" si="51"/>
        <v>15</v>
      </c>
    </row>
    <row r="1646" spans="24:25" x14ac:dyDescent="0.3">
      <c r="X1646" s="1">
        <f t="shared" si="50"/>
        <v>0</v>
      </c>
      <c r="Y1646" s="1">
        <f t="shared" si="51"/>
        <v>15</v>
      </c>
    </row>
    <row r="1647" spans="24:25" x14ac:dyDescent="0.3">
      <c r="X1647" s="1">
        <f t="shared" si="50"/>
        <v>0</v>
      </c>
      <c r="Y1647" s="1">
        <f t="shared" si="51"/>
        <v>15</v>
      </c>
    </row>
    <row r="1648" spans="24:25" x14ac:dyDescent="0.3">
      <c r="X1648" s="1">
        <f t="shared" si="50"/>
        <v>0</v>
      </c>
      <c r="Y1648" s="1">
        <f t="shared" si="51"/>
        <v>15</v>
      </c>
    </row>
    <row r="1649" spans="24:25" x14ac:dyDescent="0.3">
      <c r="X1649" s="1">
        <f t="shared" si="50"/>
        <v>0</v>
      </c>
      <c r="Y1649" s="1">
        <f t="shared" si="51"/>
        <v>15</v>
      </c>
    </row>
    <row r="1650" spans="24:25" x14ac:dyDescent="0.3">
      <c r="X1650" s="1">
        <f t="shared" si="50"/>
        <v>0</v>
      </c>
      <c r="Y1650" s="1">
        <f t="shared" si="51"/>
        <v>15</v>
      </c>
    </row>
    <row r="1651" spans="24:25" x14ac:dyDescent="0.3">
      <c r="X1651" s="1">
        <f t="shared" si="50"/>
        <v>0</v>
      </c>
      <c r="Y1651" s="1">
        <f t="shared" si="51"/>
        <v>15</v>
      </c>
    </row>
    <row r="1652" spans="24:25" x14ac:dyDescent="0.3">
      <c r="X1652" s="1">
        <f t="shared" si="50"/>
        <v>0</v>
      </c>
      <c r="Y1652" s="1">
        <f t="shared" si="51"/>
        <v>15</v>
      </c>
    </row>
    <row r="1653" spans="24:25" x14ac:dyDescent="0.3">
      <c r="X1653" s="1">
        <f t="shared" si="50"/>
        <v>0</v>
      </c>
      <c r="Y1653" s="1">
        <f t="shared" si="51"/>
        <v>15</v>
      </c>
    </row>
    <row r="1654" spans="24:25" x14ac:dyDescent="0.3">
      <c r="X1654" s="1">
        <f t="shared" si="50"/>
        <v>0</v>
      </c>
      <c r="Y1654" s="1">
        <f t="shared" si="51"/>
        <v>15</v>
      </c>
    </row>
    <row r="1655" spans="24:25" x14ac:dyDescent="0.3">
      <c r="X1655" s="1">
        <f t="shared" si="50"/>
        <v>0</v>
      </c>
      <c r="Y1655" s="1">
        <f t="shared" si="51"/>
        <v>15</v>
      </c>
    </row>
    <row r="1656" spans="24:25" x14ac:dyDescent="0.3">
      <c r="X1656" s="1">
        <f t="shared" si="50"/>
        <v>0</v>
      </c>
      <c r="Y1656" s="1">
        <f t="shared" si="51"/>
        <v>15</v>
      </c>
    </row>
    <row r="1657" spans="24:25" x14ac:dyDescent="0.3">
      <c r="X1657" s="1">
        <f t="shared" si="50"/>
        <v>0</v>
      </c>
      <c r="Y1657" s="1">
        <f t="shared" si="51"/>
        <v>15</v>
      </c>
    </row>
    <row r="1658" spans="24:25" x14ac:dyDescent="0.3">
      <c r="X1658" s="1">
        <f t="shared" si="50"/>
        <v>0</v>
      </c>
      <c r="Y1658" s="1">
        <f t="shared" si="51"/>
        <v>15</v>
      </c>
    </row>
    <row r="1659" spans="24:25" x14ac:dyDescent="0.3">
      <c r="X1659" s="1">
        <f t="shared" si="50"/>
        <v>0</v>
      </c>
      <c r="Y1659" s="1">
        <f t="shared" si="51"/>
        <v>15</v>
      </c>
    </row>
    <row r="1660" spans="24:25" x14ac:dyDescent="0.3">
      <c r="X1660" s="1">
        <f t="shared" si="50"/>
        <v>0</v>
      </c>
      <c r="Y1660" s="1">
        <f t="shared" si="51"/>
        <v>15</v>
      </c>
    </row>
    <row r="1661" spans="24:25" x14ac:dyDescent="0.3">
      <c r="X1661" s="1">
        <f t="shared" si="50"/>
        <v>0</v>
      </c>
      <c r="Y1661" s="1">
        <f t="shared" si="51"/>
        <v>15</v>
      </c>
    </row>
    <row r="1662" spans="24:25" x14ac:dyDescent="0.3">
      <c r="X1662" s="1">
        <f t="shared" si="50"/>
        <v>0</v>
      </c>
      <c r="Y1662" s="1">
        <f t="shared" si="51"/>
        <v>15</v>
      </c>
    </row>
    <row r="1663" spans="24:25" x14ac:dyDescent="0.3">
      <c r="X1663" s="1">
        <f t="shared" si="50"/>
        <v>0</v>
      </c>
      <c r="Y1663" s="1">
        <f t="shared" si="51"/>
        <v>15</v>
      </c>
    </row>
    <row r="1664" spans="24:25" x14ac:dyDescent="0.3">
      <c r="X1664" s="1">
        <f t="shared" si="50"/>
        <v>0</v>
      </c>
      <c r="Y1664" s="1">
        <f t="shared" si="51"/>
        <v>15</v>
      </c>
    </row>
    <row r="1665" spans="24:25" x14ac:dyDescent="0.3">
      <c r="X1665" s="1">
        <f t="shared" si="50"/>
        <v>0</v>
      </c>
      <c r="Y1665" s="1">
        <f t="shared" si="51"/>
        <v>15</v>
      </c>
    </row>
    <row r="1666" spans="24:25" x14ac:dyDescent="0.3">
      <c r="X1666" s="1">
        <f t="shared" si="50"/>
        <v>0</v>
      </c>
      <c r="Y1666" s="1">
        <f t="shared" si="51"/>
        <v>15</v>
      </c>
    </row>
    <row r="1667" spans="24:25" x14ac:dyDescent="0.3">
      <c r="X1667" s="1">
        <f t="shared" ref="X1667:X1730" si="52">IFERROR(MATCH(W1667,$B:$B,0),0)</f>
        <v>0</v>
      </c>
      <c r="Y1667" s="1">
        <f t="shared" ref="Y1667:Y1730" si="53">IF(X1668=0,COUNTA(A:A),X1668-1)</f>
        <v>15</v>
      </c>
    </row>
    <row r="1668" spans="24:25" x14ac:dyDescent="0.3">
      <c r="X1668" s="1">
        <f t="shared" si="52"/>
        <v>0</v>
      </c>
      <c r="Y1668" s="1">
        <f t="shared" si="53"/>
        <v>15</v>
      </c>
    </row>
    <row r="1669" spans="24:25" x14ac:dyDescent="0.3">
      <c r="X1669" s="1">
        <f t="shared" si="52"/>
        <v>0</v>
      </c>
      <c r="Y1669" s="1">
        <f t="shared" si="53"/>
        <v>15</v>
      </c>
    </row>
    <row r="1670" spans="24:25" x14ac:dyDescent="0.3">
      <c r="X1670" s="1">
        <f t="shared" si="52"/>
        <v>0</v>
      </c>
      <c r="Y1670" s="1">
        <f t="shared" si="53"/>
        <v>15</v>
      </c>
    </row>
    <row r="1671" spans="24:25" x14ac:dyDescent="0.3">
      <c r="X1671" s="1">
        <f t="shared" si="52"/>
        <v>0</v>
      </c>
      <c r="Y1671" s="1">
        <f t="shared" si="53"/>
        <v>15</v>
      </c>
    </row>
    <row r="1672" spans="24:25" x14ac:dyDescent="0.3">
      <c r="X1672" s="1">
        <f t="shared" si="52"/>
        <v>0</v>
      </c>
      <c r="Y1672" s="1">
        <f t="shared" si="53"/>
        <v>15</v>
      </c>
    </row>
    <row r="1673" spans="24:25" x14ac:dyDescent="0.3">
      <c r="X1673" s="1">
        <f t="shared" si="52"/>
        <v>0</v>
      </c>
      <c r="Y1673" s="1">
        <f t="shared" si="53"/>
        <v>15</v>
      </c>
    </row>
    <row r="1674" spans="24:25" x14ac:dyDescent="0.3">
      <c r="X1674" s="1">
        <f t="shared" si="52"/>
        <v>0</v>
      </c>
      <c r="Y1674" s="1">
        <f t="shared" si="53"/>
        <v>15</v>
      </c>
    </row>
    <row r="1675" spans="24:25" x14ac:dyDescent="0.3">
      <c r="X1675" s="1">
        <f t="shared" si="52"/>
        <v>0</v>
      </c>
      <c r="Y1675" s="1">
        <f t="shared" si="53"/>
        <v>15</v>
      </c>
    </row>
    <row r="1676" spans="24:25" x14ac:dyDescent="0.3">
      <c r="X1676" s="1">
        <f t="shared" si="52"/>
        <v>0</v>
      </c>
      <c r="Y1676" s="1">
        <f t="shared" si="53"/>
        <v>15</v>
      </c>
    </row>
    <row r="1677" spans="24:25" x14ac:dyDescent="0.3">
      <c r="X1677" s="1">
        <f t="shared" si="52"/>
        <v>0</v>
      </c>
      <c r="Y1677" s="1">
        <f t="shared" si="53"/>
        <v>15</v>
      </c>
    </row>
    <row r="1678" spans="24:25" x14ac:dyDescent="0.3">
      <c r="X1678" s="1">
        <f t="shared" si="52"/>
        <v>0</v>
      </c>
      <c r="Y1678" s="1">
        <f t="shared" si="53"/>
        <v>15</v>
      </c>
    </row>
    <row r="1679" spans="24:25" x14ac:dyDescent="0.3">
      <c r="X1679" s="1">
        <f t="shared" si="52"/>
        <v>0</v>
      </c>
      <c r="Y1679" s="1">
        <f t="shared" si="53"/>
        <v>15</v>
      </c>
    </row>
    <row r="1680" spans="24:25" x14ac:dyDescent="0.3">
      <c r="X1680" s="1">
        <f t="shared" si="52"/>
        <v>0</v>
      </c>
      <c r="Y1680" s="1">
        <f t="shared" si="53"/>
        <v>15</v>
      </c>
    </row>
    <row r="1681" spans="24:25" x14ac:dyDescent="0.3">
      <c r="X1681" s="1">
        <f t="shared" si="52"/>
        <v>0</v>
      </c>
      <c r="Y1681" s="1">
        <f t="shared" si="53"/>
        <v>15</v>
      </c>
    </row>
    <row r="1682" spans="24:25" x14ac:dyDescent="0.3">
      <c r="X1682" s="1">
        <f t="shared" si="52"/>
        <v>0</v>
      </c>
      <c r="Y1682" s="1">
        <f t="shared" si="53"/>
        <v>15</v>
      </c>
    </row>
    <row r="1683" spans="24:25" x14ac:dyDescent="0.3">
      <c r="X1683" s="1">
        <f t="shared" si="52"/>
        <v>0</v>
      </c>
      <c r="Y1683" s="1">
        <f t="shared" si="53"/>
        <v>15</v>
      </c>
    </row>
    <row r="1684" spans="24:25" x14ac:dyDescent="0.3">
      <c r="X1684" s="1">
        <f t="shared" si="52"/>
        <v>0</v>
      </c>
      <c r="Y1684" s="1">
        <f t="shared" si="53"/>
        <v>15</v>
      </c>
    </row>
    <row r="1685" spans="24:25" x14ac:dyDescent="0.3">
      <c r="X1685" s="1">
        <f t="shared" si="52"/>
        <v>0</v>
      </c>
      <c r="Y1685" s="1">
        <f t="shared" si="53"/>
        <v>15</v>
      </c>
    </row>
    <row r="1686" spans="24:25" x14ac:dyDescent="0.3">
      <c r="X1686" s="1">
        <f t="shared" si="52"/>
        <v>0</v>
      </c>
      <c r="Y1686" s="1">
        <f t="shared" si="53"/>
        <v>15</v>
      </c>
    </row>
    <row r="1687" spans="24:25" x14ac:dyDescent="0.3">
      <c r="X1687" s="1">
        <f t="shared" si="52"/>
        <v>0</v>
      </c>
      <c r="Y1687" s="1">
        <f t="shared" si="53"/>
        <v>15</v>
      </c>
    </row>
    <row r="1688" spans="24:25" x14ac:dyDescent="0.3">
      <c r="X1688" s="1">
        <f t="shared" si="52"/>
        <v>0</v>
      </c>
      <c r="Y1688" s="1">
        <f t="shared" si="53"/>
        <v>15</v>
      </c>
    </row>
    <row r="1689" spans="24:25" x14ac:dyDescent="0.3">
      <c r="X1689" s="1">
        <f t="shared" si="52"/>
        <v>0</v>
      </c>
      <c r="Y1689" s="1">
        <f t="shared" si="53"/>
        <v>15</v>
      </c>
    </row>
    <row r="1690" spans="24:25" x14ac:dyDescent="0.3">
      <c r="X1690" s="1">
        <f t="shared" si="52"/>
        <v>0</v>
      </c>
      <c r="Y1690" s="1">
        <f t="shared" si="53"/>
        <v>15</v>
      </c>
    </row>
    <row r="1691" spans="24:25" x14ac:dyDescent="0.3">
      <c r="X1691" s="1">
        <f t="shared" si="52"/>
        <v>0</v>
      </c>
      <c r="Y1691" s="1">
        <f t="shared" si="53"/>
        <v>15</v>
      </c>
    </row>
    <row r="1692" spans="24:25" x14ac:dyDescent="0.3">
      <c r="X1692" s="1">
        <f t="shared" si="52"/>
        <v>0</v>
      </c>
      <c r="Y1692" s="1">
        <f t="shared" si="53"/>
        <v>15</v>
      </c>
    </row>
    <row r="1693" spans="24:25" x14ac:dyDescent="0.3">
      <c r="X1693" s="1">
        <f t="shared" si="52"/>
        <v>0</v>
      </c>
      <c r="Y1693" s="1">
        <f t="shared" si="53"/>
        <v>15</v>
      </c>
    </row>
    <row r="1694" spans="24:25" x14ac:dyDescent="0.3">
      <c r="X1694" s="1">
        <f t="shared" si="52"/>
        <v>0</v>
      </c>
      <c r="Y1694" s="1">
        <f t="shared" si="53"/>
        <v>15</v>
      </c>
    </row>
    <row r="1695" spans="24:25" x14ac:dyDescent="0.3">
      <c r="X1695" s="1">
        <f t="shared" si="52"/>
        <v>0</v>
      </c>
      <c r="Y1695" s="1">
        <f t="shared" si="53"/>
        <v>15</v>
      </c>
    </row>
    <row r="1696" spans="24:25" x14ac:dyDescent="0.3">
      <c r="X1696" s="1">
        <f t="shared" si="52"/>
        <v>0</v>
      </c>
      <c r="Y1696" s="1">
        <f t="shared" si="53"/>
        <v>15</v>
      </c>
    </row>
    <row r="1697" spans="24:25" x14ac:dyDescent="0.3">
      <c r="X1697" s="1">
        <f t="shared" si="52"/>
        <v>0</v>
      </c>
      <c r="Y1697" s="1">
        <f t="shared" si="53"/>
        <v>15</v>
      </c>
    </row>
    <row r="1698" spans="24:25" x14ac:dyDescent="0.3">
      <c r="X1698" s="1">
        <f t="shared" si="52"/>
        <v>0</v>
      </c>
      <c r="Y1698" s="1">
        <f t="shared" si="53"/>
        <v>15</v>
      </c>
    </row>
    <row r="1699" spans="24:25" x14ac:dyDescent="0.3">
      <c r="X1699" s="1">
        <f t="shared" si="52"/>
        <v>0</v>
      </c>
      <c r="Y1699" s="1">
        <f t="shared" si="53"/>
        <v>15</v>
      </c>
    </row>
    <row r="1700" spans="24:25" x14ac:dyDescent="0.3">
      <c r="X1700" s="1">
        <f t="shared" si="52"/>
        <v>0</v>
      </c>
      <c r="Y1700" s="1">
        <f t="shared" si="53"/>
        <v>15</v>
      </c>
    </row>
    <row r="1701" spans="24:25" x14ac:dyDescent="0.3">
      <c r="X1701" s="1">
        <f t="shared" si="52"/>
        <v>0</v>
      </c>
      <c r="Y1701" s="1">
        <f t="shared" si="53"/>
        <v>15</v>
      </c>
    </row>
    <row r="1702" spans="24:25" x14ac:dyDescent="0.3">
      <c r="X1702" s="1">
        <f t="shared" si="52"/>
        <v>0</v>
      </c>
      <c r="Y1702" s="1">
        <f t="shared" si="53"/>
        <v>15</v>
      </c>
    </row>
    <row r="1703" spans="24:25" x14ac:dyDescent="0.3">
      <c r="X1703" s="1">
        <f t="shared" si="52"/>
        <v>0</v>
      </c>
      <c r="Y1703" s="1">
        <f t="shared" si="53"/>
        <v>15</v>
      </c>
    </row>
    <row r="1704" spans="24:25" x14ac:dyDescent="0.3">
      <c r="X1704" s="1">
        <f t="shared" si="52"/>
        <v>0</v>
      </c>
      <c r="Y1704" s="1">
        <f t="shared" si="53"/>
        <v>15</v>
      </c>
    </row>
    <row r="1705" spans="24:25" x14ac:dyDescent="0.3">
      <c r="X1705" s="1">
        <f t="shared" si="52"/>
        <v>0</v>
      </c>
      <c r="Y1705" s="1">
        <f t="shared" si="53"/>
        <v>15</v>
      </c>
    </row>
    <row r="1706" spans="24:25" x14ac:dyDescent="0.3">
      <c r="X1706" s="1">
        <f t="shared" si="52"/>
        <v>0</v>
      </c>
      <c r="Y1706" s="1">
        <f t="shared" si="53"/>
        <v>15</v>
      </c>
    </row>
    <row r="1707" spans="24:25" x14ac:dyDescent="0.3">
      <c r="X1707" s="1">
        <f t="shared" si="52"/>
        <v>0</v>
      </c>
      <c r="Y1707" s="1">
        <f t="shared" si="53"/>
        <v>15</v>
      </c>
    </row>
    <row r="1708" spans="24:25" x14ac:dyDescent="0.3">
      <c r="X1708" s="1">
        <f t="shared" si="52"/>
        <v>0</v>
      </c>
      <c r="Y1708" s="1">
        <f t="shared" si="53"/>
        <v>15</v>
      </c>
    </row>
    <row r="1709" spans="24:25" x14ac:dyDescent="0.3">
      <c r="X1709" s="1">
        <f t="shared" si="52"/>
        <v>0</v>
      </c>
      <c r="Y1709" s="1">
        <f t="shared" si="53"/>
        <v>15</v>
      </c>
    </row>
    <row r="1710" spans="24:25" x14ac:dyDescent="0.3">
      <c r="X1710" s="1">
        <f t="shared" si="52"/>
        <v>0</v>
      </c>
      <c r="Y1710" s="1">
        <f t="shared" si="53"/>
        <v>15</v>
      </c>
    </row>
    <row r="1711" spans="24:25" x14ac:dyDescent="0.3">
      <c r="X1711" s="1">
        <f t="shared" si="52"/>
        <v>0</v>
      </c>
      <c r="Y1711" s="1">
        <f t="shared" si="53"/>
        <v>15</v>
      </c>
    </row>
    <row r="1712" spans="24:25" x14ac:dyDescent="0.3">
      <c r="X1712" s="1">
        <f t="shared" si="52"/>
        <v>0</v>
      </c>
      <c r="Y1712" s="1">
        <f t="shared" si="53"/>
        <v>15</v>
      </c>
    </row>
    <row r="1713" spans="24:25" x14ac:dyDescent="0.3">
      <c r="X1713" s="1">
        <f t="shared" si="52"/>
        <v>0</v>
      </c>
      <c r="Y1713" s="1">
        <f t="shared" si="53"/>
        <v>15</v>
      </c>
    </row>
    <row r="1714" spans="24:25" x14ac:dyDescent="0.3">
      <c r="X1714" s="1">
        <f t="shared" si="52"/>
        <v>0</v>
      </c>
      <c r="Y1714" s="1">
        <f t="shared" si="53"/>
        <v>15</v>
      </c>
    </row>
    <row r="1715" spans="24:25" x14ac:dyDescent="0.3">
      <c r="X1715" s="1">
        <f t="shared" si="52"/>
        <v>0</v>
      </c>
      <c r="Y1715" s="1">
        <f t="shared" si="53"/>
        <v>15</v>
      </c>
    </row>
    <row r="1716" spans="24:25" x14ac:dyDescent="0.3">
      <c r="X1716" s="1">
        <f t="shared" si="52"/>
        <v>0</v>
      </c>
      <c r="Y1716" s="1">
        <f t="shared" si="53"/>
        <v>15</v>
      </c>
    </row>
    <row r="1717" spans="24:25" x14ac:dyDescent="0.3">
      <c r="X1717" s="1">
        <f t="shared" si="52"/>
        <v>0</v>
      </c>
      <c r="Y1717" s="1">
        <f t="shared" si="53"/>
        <v>15</v>
      </c>
    </row>
    <row r="1718" spans="24:25" x14ac:dyDescent="0.3">
      <c r="X1718" s="1">
        <f t="shared" si="52"/>
        <v>0</v>
      </c>
      <c r="Y1718" s="1">
        <f t="shared" si="53"/>
        <v>15</v>
      </c>
    </row>
    <row r="1719" spans="24:25" x14ac:dyDescent="0.3">
      <c r="X1719" s="1">
        <f t="shared" si="52"/>
        <v>0</v>
      </c>
      <c r="Y1719" s="1">
        <f t="shared" si="53"/>
        <v>15</v>
      </c>
    </row>
    <row r="1720" spans="24:25" x14ac:dyDescent="0.3">
      <c r="X1720" s="1">
        <f t="shared" si="52"/>
        <v>0</v>
      </c>
      <c r="Y1720" s="1">
        <f t="shared" si="53"/>
        <v>15</v>
      </c>
    </row>
    <row r="1721" spans="24:25" x14ac:dyDescent="0.3">
      <c r="X1721" s="1">
        <f t="shared" si="52"/>
        <v>0</v>
      </c>
      <c r="Y1721" s="1">
        <f t="shared" si="53"/>
        <v>15</v>
      </c>
    </row>
    <row r="1722" spans="24:25" x14ac:dyDescent="0.3">
      <c r="X1722" s="1">
        <f t="shared" si="52"/>
        <v>0</v>
      </c>
      <c r="Y1722" s="1">
        <f t="shared" si="53"/>
        <v>15</v>
      </c>
    </row>
    <row r="1723" spans="24:25" x14ac:dyDescent="0.3">
      <c r="X1723" s="1">
        <f t="shared" si="52"/>
        <v>0</v>
      </c>
      <c r="Y1723" s="1">
        <f t="shared" si="53"/>
        <v>15</v>
      </c>
    </row>
    <row r="1724" spans="24:25" x14ac:dyDescent="0.3">
      <c r="X1724" s="1">
        <f t="shared" si="52"/>
        <v>0</v>
      </c>
      <c r="Y1724" s="1">
        <f t="shared" si="53"/>
        <v>15</v>
      </c>
    </row>
    <row r="1725" spans="24:25" x14ac:dyDescent="0.3">
      <c r="X1725" s="1">
        <f t="shared" si="52"/>
        <v>0</v>
      </c>
      <c r="Y1725" s="1">
        <f t="shared" si="53"/>
        <v>15</v>
      </c>
    </row>
    <row r="1726" spans="24:25" x14ac:dyDescent="0.3">
      <c r="X1726" s="1">
        <f t="shared" si="52"/>
        <v>0</v>
      </c>
      <c r="Y1726" s="1">
        <f t="shared" si="53"/>
        <v>15</v>
      </c>
    </row>
    <row r="1727" spans="24:25" x14ac:dyDescent="0.3">
      <c r="X1727" s="1">
        <f t="shared" si="52"/>
        <v>0</v>
      </c>
      <c r="Y1727" s="1">
        <f t="shared" si="53"/>
        <v>15</v>
      </c>
    </row>
    <row r="1728" spans="24:25" x14ac:dyDescent="0.3">
      <c r="X1728" s="1">
        <f t="shared" si="52"/>
        <v>0</v>
      </c>
      <c r="Y1728" s="1">
        <f t="shared" si="53"/>
        <v>15</v>
      </c>
    </row>
    <row r="1729" spans="24:25" x14ac:dyDescent="0.3">
      <c r="X1729" s="1">
        <f t="shared" si="52"/>
        <v>0</v>
      </c>
      <c r="Y1729" s="1">
        <f t="shared" si="53"/>
        <v>15</v>
      </c>
    </row>
    <row r="1730" spans="24:25" x14ac:dyDescent="0.3">
      <c r="X1730" s="1">
        <f t="shared" si="52"/>
        <v>0</v>
      </c>
      <c r="Y1730" s="1">
        <f t="shared" si="53"/>
        <v>15</v>
      </c>
    </row>
    <row r="1731" spans="24:25" x14ac:dyDescent="0.3">
      <c r="X1731" s="1">
        <f t="shared" ref="X1731:X1794" si="54">IFERROR(MATCH(W1731,$B:$B,0),0)</f>
        <v>0</v>
      </c>
      <c r="Y1731" s="1">
        <f t="shared" ref="Y1731:Y1794" si="55">IF(X1732=0,COUNTA(A:A),X1732-1)</f>
        <v>15</v>
      </c>
    </row>
    <row r="1732" spans="24:25" x14ac:dyDescent="0.3">
      <c r="X1732" s="1">
        <f t="shared" si="54"/>
        <v>0</v>
      </c>
      <c r="Y1732" s="1">
        <f t="shared" si="55"/>
        <v>15</v>
      </c>
    </row>
    <row r="1733" spans="24:25" x14ac:dyDescent="0.3">
      <c r="X1733" s="1">
        <f t="shared" si="54"/>
        <v>0</v>
      </c>
      <c r="Y1733" s="1">
        <f t="shared" si="55"/>
        <v>15</v>
      </c>
    </row>
    <row r="1734" spans="24:25" x14ac:dyDescent="0.3">
      <c r="X1734" s="1">
        <f t="shared" si="54"/>
        <v>0</v>
      </c>
      <c r="Y1734" s="1">
        <f t="shared" si="55"/>
        <v>15</v>
      </c>
    </row>
    <row r="1735" spans="24:25" x14ac:dyDescent="0.3">
      <c r="X1735" s="1">
        <f t="shared" si="54"/>
        <v>0</v>
      </c>
      <c r="Y1735" s="1">
        <f t="shared" si="55"/>
        <v>15</v>
      </c>
    </row>
    <row r="1736" spans="24:25" x14ac:dyDescent="0.3">
      <c r="X1736" s="1">
        <f t="shared" si="54"/>
        <v>0</v>
      </c>
      <c r="Y1736" s="1">
        <f t="shared" si="55"/>
        <v>15</v>
      </c>
    </row>
    <row r="1737" spans="24:25" x14ac:dyDescent="0.3">
      <c r="X1737" s="1">
        <f t="shared" si="54"/>
        <v>0</v>
      </c>
      <c r="Y1737" s="1">
        <f t="shared" si="55"/>
        <v>15</v>
      </c>
    </row>
    <row r="1738" spans="24:25" x14ac:dyDescent="0.3">
      <c r="X1738" s="1">
        <f t="shared" si="54"/>
        <v>0</v>
      </c>
      <c r="Y1738" s="1">
        <f t="shared" si="55"/>
        <v>15</v>
      </c>
    </row>
    <row r="1739" spans="24:25" x14ac:dyDescent="0.3">
      <c r="X1739" s="1">
        <f t="shared" si="54"/>
        <v>0</v>
      </c>
      <c r="Y1739" s="1">
        <f t="shared" si="55"/>
        <v>15</v>
      </c>
    </row>
    <row r="1740" spans="24:25" x14ac:dyDescent="0.3">
      <c r="X1740" s="1">
        <f t="shared" si="54"/>
        <v>0</v>
      </c>
      <c r="Y1740" s="1">
        <f t="shared" si="55"/>
        <v>15</v>
      </c>
    </row>
    <row r="1741" spans="24:25" x14ac:dyDescent="0.3">
      <c r="X1741" s="1">
        <f t="shared" si="54"/>
        <v>0</v>
      </c>
      <c r="Y1741" s="1">
        <f t="shared" si="55"/>
        <v>15</v>
      </c>
    </row>
    <row r="1742" spans="24:25" x14ac:dyDescent="0.3">
      <c r="X1742" s="1">
        <f t="shared" si="54"/>
        <v>0</v>
      </c>
      <c r="Y1742" s="1">
        <f t="shared" si="55"/>
        <v>15</v>
      </c>
    </row>
    <row r="1743" spans="24:25" x14ac:dyDescent="0.3">
      <c r="X1743" s="1">
        <f t="shared" si="54"/>
        <v>0</v>
      </c>
      <c r="Y1743" s="1">
        <f t="shared" si="55"/>
        <v>15</v>
      </c>
    </row>
    <row r="1744" spans="24:25" x14ac:dyDescent="0.3">
      <c r="X1744" s="1">
        <f t="shared" si="54"/>
        <v>0</v>
      </c>
      <c r="Y1744" s="1">
        <f t="shared" si="55"/>
        <v>15</v>
      </c>
    </row>
    <row r="1745" spans="24:25" x14ac:dyDescent="0.3">
      <c r="X1745" s="1">
        <f t="shared" si="54"/>
        <v>0</v>
      </c>
      <c r="Y1745" s="1">
        <f t="shared" si="55"/>
        <v>15</v>
      </c>
    </row>
    <row r="1746" spans="24:25" x14ac:dyDescent="0.3">
      <c r="X1746" s="1">
        <f t="shared" si="54"/>
        <v>0</v>
      </c>
      <c r="Y1746" s="1">
        <f t="shared" si="55"/>
        <v>15</v>
      </c>
    </row>
    <row r="1747" spans="24:25" x14ac:dyDescent="0.3">
      <c r="X1747" s="1">
        <f t="shared" si="54"/>
        <v>0</v>
      </c>
      <c r="Y1747" s="1">
        <f t="shared" si="55"/>
        <v>15</v>
      </c>
    </row>
    <row r="1748" spans="24:25" x14ac:dyDescent="0.3">
      <c r="X1748" s="1">
        <f t="shared" si="54"/>
        <v>0</v>
      </c>
      <c r="Y1748" s="1">
        <f t="shared" si="55"/>
        <v>15</v>
      </c>
    </row>
    <row r="1749" spans="24:25" x14ac:dyDescent="0.3">
      <c r="X1749" s="1">
        <f t="shared" si="54"/>
        <v>0</v>
      </c>
      <c r="Y1749" s="1">
        <f t="shared" si="55"/>
        <v>15</v>
      </c>
    </row>
    <row r="1750" spans="24:25" x14ac:dyDescent="0.3">
      <c r="X1750" s="1">
        <f t="shared" si="54"/>
        <v>0</v>
      </c>
      <c r="Y1750" s="1">
        <f t="shared" si="55"/>
        <v>15</v>
      </c>
    </row>
    <row r="1751" spans="24:25" x14ac:dyDescent="0.3">
      <c r="X1751" s="1">
        <f t="shared" si="54"/>
        <v>0</v>
      </c>
      <c r="Y1751" s="1">
        <f t="shared" si="55"/>
        <v>15</v>
      </c>
    </row>
    <row r="1752" spans="24:25" x14ac:dyDescent="0.3">
      <c r="X1752" s="1">
        <f t="shared" si="54"/>
        <v>0</v>
      </c>
      <c r="Y1752" s="1">
        <f t="shared" si="55"/>
        <v>15</v>
      </c>
    </row>
    <row r="1753" spans="24:25" x14ac:dyDescent="0.3">
      <c r="X1753" s="1">
        <f t="shared" si="54"/>
        <v>0</v>
      </c>
      <c r="Y1753" s="1">
        <f t="shared" si="55"/>
        <v>15</v>
      </c>
    </row>
    <row r="1754" spans="24:25" x14ac:dyDescent="0.3">
      <c r="X1754" s="1">
        <f t="shared" si="54"/>
        <v>0</v>
      </c>
      <c r="Y1754" s="1">
        <f t="shared" si="55"/>
        <v>15</v>
      </c>
    </row>
    <row r="1755" spans="24:25" x14ac:dyDescent="0.3">
      <c r="X1755" s="1">
        <f t="shared" si="54"/>
        <v>0</v>
      </c>
      <c r="Y1755" s="1">
        <f t="shared" si="55"/>
        <v>15</v>
      </c>
    </row>
    <row r="1756" spans="24:25" x14ac:dyDescent="0.3">
      <c r="X1756" s="1">
        <f t="shared" si="54"/>
        <v>0</v>
      </c>
      <c r="Y1756" s="1">
        <f t="shared" si="55"/>
        <v>15</v>
      </c>
    </row>
    <row r="1757" spans="24:25" x14ac:dyDescent="0.3">
      <c r="X1757" s="1">
        <f t="shared" si="54"/>
        <v>0</v>
      </c>
      <c r="Y1757" s="1">
        <f t="shared" si="55"/>
        <v>15</v>
      </c>
    </row>
    <row r="1758" spans="24:25" x14ac:dyDescent="0.3">
      <c r="X1758" s="1">
        <f t="shared" si="54"/>
        <v>0</v>
      </c>
      <c r="Y1758" s="1">
        <f t="shared" si="55"/>
        <v>15</v>
      </c>
    </row>
    <row r="1759" spans="24:25" x14ac:dyDescent="0.3">
      <c r="X1759" s="1">
        <f t="shared" si="54"/>
        <v>0</v>
      </c>
      <c r="Y1759" s="1">
        <f t="shared" si="55"/>
        <v>15</v>
      </c>
    </row>
    <row r="1760" spans="24:25" x14ac:dyDescent="0.3">
      <c r="X1760" s="1">
        <f t="shared" si="54"/>
        <v>0</v>
      </c>
      <c r="Y1760" s="1">
        <f t="shared" si="55"/>
        <v>15</v>
      </c>
    </row>
    <row r="1761" spans="24:25" x14ac:dyDescent="0.3">
      <c r="X1761" s="1">
        <f t="shared" si="54"/>
        <v>0</v>
      </c>
      <c r="Y1761" s="1">
        <f t="shared" si="55"/>
        <v>15</v>
      </c>
    </row>
    <row r="1762" spans="24:25" x14ac:dyDescent="0.3">
      <c r="X1762" s="1">
        <f t="shared" si="54"/>
        <v>0</v>
      </c>
      <c r="Y1762" s="1">
        <f t="shared" si="55"/>
        <v>15</v>
      </c>
    </row>
    <row r="1763" spans="24:25" x14ac:dyDescent="0.3">
      <c r="X1763" s="1">
        <f t="shared" si="54"/>
        <v>0</v>
      </c>
      <c r="Y1763" s="1">
        <f t="shared" si="55"/>
        <v>15</v>
      </c>
    </row>
    <row r="1764" spans="24:25" x14ac:dyDescent="0.3">
      <c r="X1764" s="1">
        <f t="shared" si="54"/>
        <v>0</v>
      </c>
      <c r="Y1764" s="1">
        <f t="shared" si="55"/>
        <v>15</v>
      </c>
    </row>
    <row r="1765" spans="24:25" x14ac:dyDescent="0.3">
      <c r="X1765" s="1">
        <f t="shared" si="54"/>
        <v>0</v>
      </c>
      <c r="Y1765" s="1">
        <f t="shared" si="55"/>
        <v>15</v>
      </c>
    </row>
    <row r="1766" spans="24:25" x14ac:dyDescent="0.3">
      <c r="X1766" s="1">
        <f t="shared" si="54"/>
        <v>0</v>
      </c>
      <c r="Y1766" s="1">
        <f t="shared" si="55"/>
        <v>15</v>
      </c>
    </row>
    <row r="1767" spans="24:25" x14ac:dyDescent="0.3">
      <c r="X1767" s="1">
        <f t="shared" si="54"/>
        <v>0</v>
      </c>
      <c r="Y1767" s="1">
        <f t="shared" si="55"/>
        <v>15</v>
      </c>
    </row>
    <row r="1768" spans="24:25" x14ac:dyDescent="0.3">
      <c r="X1768" s="1">
        <f t="shared" si="54"/>
        <v>0</v>
      </c>
      <c r="Y1768" s="1">
        <f t="shared" si="55"/>
        <v>15</v>
      </c>
    </row>
    <row r="1769" spans="24:25" x14ac:dyDescent="0.3">
      <c r="X1769" s="1">
        <f t="shared" si="54"/>
        <v>0</v>
      </c>
      <c r="Y1769" s="1">
        <f t="shared" si="55"/>
        <v>15</v>
      </c>
    </row>
    <row r="1770" spans="24:25" x14ac:dyDescent="0.3">
      <c r="X1770" s="1">
        <f t="shared" si="54"/>
        <v>0</v>
      </c>
      <c r="Y1770" s="1">
        <f t="shared" si="55"/>
        <v>15</v>
      </c>
    </row>
    <row r="1771" spans="24:25" x14ac:dyDescent="0.3">
      <c r="X1771" s="1">
        <f t="shared" si="54"/>
        <v>0</v>
      </c>
      <c r="Y1771" s="1">
        <f t="shared" si="55"/>
        <v>15</v>
      </c>
    </row>
    <row r="1772" spans="24:25" x14ac:dyDescent="0.3">
      <c r="X1772" s="1">
        <f t="shared" si="54"/>
        <v>0</v>
      </c>
      <c r="Y1772" s="1">
        <f t="shared" si="55"/>
        <v>15</v>
      </c>
    </row>
    <row r="1773" spans="24:25" x14ac:dyDescent="0.3">
      <c r="X1773" s="1">
        <f t="shared" si="54"/>
        <v>0</v>
      </c>
      <c r="Y1773" s="1">
        <f t="shared" si="55"/>
        <v>15</v>
      </c>
    </row>
    <row r="1774" spans="24:25" x14ac:dyDescent="0.3">
      <c r="X1774" s="1">
        <f t="shared" si="54"/>
        <v>0</v>
      </c>
      <c r="Y1774" s="1">
        <f t="shared" si="55"/>
        <v>15</v>
      </c>
    </row>
    <row r="1775" spans="24:25" x14ac:dyDescent="0.3">
      <c r="X1775" s="1">
        <f t="shared" si="54"/>
        <v>0</v>
      </c>
      <c r="Y1775" s="1">
        <f t="shared" si="55"/>
        <v>15</v>
      </c>
    </row>
    <row r="1776" spans="24:25" x14ac:dyDescent="0.3">
      <c r="X1776" s="1">
        <f t="shared" si="54"/>
        <v>0</v>
      </c>
      <c r="Y1776" s="1">
        <f t="shared" si="55"/>
        <v>15</v>
      </c>
    </row>
    <row r="1777" spans="24:25" x14ac:dyDescent="0.3">
      <c r="X1777" s="1">
        <f t="shared" si="54"/>
        <v>0</v>
      </c>
      <c r="Y1777" s="1">
        <f t="shared" si="55"/>
        <v>15</v>
      </c>
    </row>
    <row r="1778" spans="24:25" x14ac:dyDescent="0.3">
      <c r="X1778" s="1">
        <f t="shared" si="54"/>
        <v>0</v>
      </c>
      <c r="Y1778" s="1">
        <f t="shared" si="55"/>
        <v>15</v>
      </c>
    </row>
    <row r="1779" spans="24:25" x14ac:dyDescent="0.3">
      <c r="X1779" s="1">
        <f t="shared" si="54"/>
        <v>0</v>
      </c>
      <c r="Y1779" s="1">
        <f t="shared" si="55"/>
        <v>15</v>
      </c>
    </row>
    <row r="1780" spans="24:25" x14ac:dyDescent="0.3">
      <c r="X1780" s="1">
        <f t="shared" si="54"/>
        <v>0</v>
      </c>
      <c r="Y1780" s="1">
        <f t="shared" si="55"/>
        <v>15</v>
      </c>
    </row>
    <row r="1781" spans="24:25" x14ac:dyDescent="0.3">
      <c r="X1781" s="1">
        <f t="shared" si="54"/>
        <v>0</v>
      </c>
      <c r="Y1781" s="1">
        <f t="shared" si="55"/>
        <v>15</v>
      </c>
    </row>
    <row r="1782" spans="24:25" x14ac:dyDescent="0.3">
      <c r="X1782" s="1">
        <f t="shared" si="54"/>
        <v>0</v>
      </c>
      <c r="Y1782" s="1">
        <f t="shared" si="55"/>
        <v>15</v>
      </c>
    </row>
    <row r="1783" spans="24:25" x14ac:dyDescent="0.3">
      <c r="X1783" s="1">
        <f t="shared" si="54"/>
        <v>0</v>
      </c>
      <c r="Y1783" s="1">
        <f t="shared" si="55"/>
        <v>15</v>
      </c>
    </row>
    <row r="1784" spans="24:25" x14ac:dyDescent="0.3">
      <c r="X1784" s="1">
        <f t="shared" si="54"/>
        <v>0</v>
      </c>
      <c r="Y1784" s="1">
        <f t="shared" si="55"/>
        <v>15</v>
      </c>
    </row>
    <row r="1785" spans="24:25" x14ac:dyDescent="0.3">
      <c r="X1785" s="1">
        <f t="shared" si="54"/>
        <v>0</v>
      </c>
      <c r="Y1785" s="1">
        <f t="shared" si="55"/>
        <v>15</v>
      </c>
    </row>
    <row r="1786" spans="24:25" x14ac:dyDescent="0.3">
      <c r="X1786" s="1">
        <f t="shared" si="54"/>
        <v>0</v>
      </c>
      <c r="Y1786" s="1">
        <f t="shared" si="55"/>
        <v>15</v>
      </c>
    </row>
    <row r="1787" spans="24:25" x14ac:dyDescent="0.3">
      <c r="X1787" s="1">
        <f t="shared" si="54"/>
        <v>0</v>
      </c>
      <c r="Y1787" s="1">
        <f t="shared" si="55"/>
        <v>15</v>
      </c>
    </row>
    <row r="1788" spans="24:25" x14ac:dyDescent="0.3">
      <c r="X1788" s="1">
        <f t="shared" si="54"/>
        <v>0</v>
      </c>
      <c r="Y1788" s="1">
        <f t="shared" si="55"/>
        <v>15</v>
      </c>
    </row>
    <row r="1789" spans="24:25" x14ac:dyDescent="0.3">
      <c r="X1789" s="1">
        <f t="shared" si="54"/>
        <v>0</v>
      </c>
      <c r="Y1789" s="1">
        <f t="shared" si="55"/>
        <v>15</v>
      </c>
    </row>
    <row r="1790" spans="24:25" x14ac:dyDescent="0.3">
      <c r="X1790" s="1">
        <f t="shared" si="54"/>
        <v>0</v>
      </c>
      <c r="Y1790" s="1">
        <f t="shared" si="55"/>
        <v>15</v>
      </c>
    </row>
    <row r="1791" spans="24:25" x14ac:dyDescent="0.3">
      <c r="X1791" s="1">
        <f t="shared" si="54"/>
        <v>0</v>
      </c>
      <c r="Y1791" s="1">
        <f t="shared" si="55"/>
        <v>15</v>
      </c>
    </row>
    <row r="1792" spans="24:25" x14ac:dyDescent="0.3">
      <c r="X1792" s="1">
        <f t="shared" si="54"/>
        <v>0</v>
      </c>
      <c r="Y1792" s="1">
        <f t="shared" si="55"/>
        <v>15</v>
      </c>
    </row>
    <row r="1793" spans="24:25" x14ac:dyDescent="0.3">
      <c r="X1793" s="1">
        <f t="shared" si="54"/>
        <v>0</v>
      </c>
      <c r="Y1793" s="1">
        <f t="shared" si="55"/>
        <v>15</v>
      </c>
    </row>
    <row r="1794" spans="24:25" x14ac:dyDescent="0.3">
      <c r="X1794" s="1">
        <f t="shared" si="54"/>
        <v>0</v>
      </c>
      <c r="Y1794" s="1">
        <f t="shared" si="55"/>
        <v>15</v>
      </c>
    </row>
    <row r="1795" spans="24:25" x14ac:dyDescent="0.3">
      <c r="X1795" s="1">
        <f t="shared" ref="X1795:X1858" si="56">IFERROR(MATCH(W1795,$B:$B,0),0)</f>
        <v>0</v>
      </c>
      <c r="Y1795" s="1">
        <f t="shared" ref="Y1795:Y1858" si="57">IF(X1796=0,COUNTA(A:A),X1796-1)</f>
        <v>15</v>
      </c>
    </row>
    <row r="1796" spans="24:25" x14ac:dyDescent="0.3">
      <c r="X1796" s="1">
        <f t="shared" si="56"/>
        <v>0</v>
      </c>
      <c r="Y1796" s="1">
        <f t="shared" si="57"/>
        <v>15</v>
      </c>
    </row>
    <row r="1797" spans="24:25" x14ac:dyDescent="0.3">
      <c r="X1797" s="1">
        <f t="shared" si="56"/>
        <v>0</v>
      </c>
      <c r="Y1797" s="1">
        <f t="shared" si="57"/>
        <v>15</v>
      </c>
    </row>
    <row r="1798" spans="24:25" x14ac:dyDescent="0.3">
      <c r="X1798" s="1">
        <f t="shared" si="56"/>
        <v>0</v>
      </c>
      <c r="Y1798" s="1">
        <f t="shared" si="57"/>
        <v>15</v>
      </c>
    </row>
    <row r="1799" spans="24:25" x14ac:dyDescent="0.3">
      <c r="X1799" s="1">
        <f t="shared" si="56"/>
        <v>0</v>
      </c>
      <c r="Y1799" s="1">
        <f t="shared" si="57"/>
        <v>15</v>
      </c>
    </row>
    <row r="1800" spans="24:25" x14ac:dyDescent="0.3">
      <c r="X1800" s="1">
        <f t="shared" si="56"/>
        <v>0</v>
      </c>
      <c r="Y1800" s="1">
        <f t="shared" si="57"/>
        <v>15</v>
      </c>
    </row>
    <row r="1801" spans="24:25" x14ac:dyDescent="0.3">
      <c r="X1801" s="1">
        <f t="shared" si="56"/>
        <v>0</v>
      </c>
      <c r="Y1801" s="1">
        <f t="shared" si="57"/>
        <v>15</v>
      </c>
    </row>
    <row r="1802" spans="24:25" x14ac:dyDescent="0.3">
      <c r="X1802" s="1">
        <f t="shared" si="56"/>
        <v>0</v>
      </c>
      <c r="Y1802" s="1">
        <f t="shared" si="57"/>
        <v>15</v>
      </c>
    </row>
    <row r="1803" spans="24:25" x14ac:dyDescent="0.3">
      <c r="X1803" s="1">
        <f t="shared" si="56"/>
        <v>0</v>
      </c>
      <c r="Y1803" s="1">
        <f t="shared" si="57"/>
        <v>15</v>
      </c>
    </row>
    <row r="1804" spans="24:25" x14ac:dyDescent="0.3">
      <c r="X1804" s="1">
        <f t="shared" si="56"/>
        <v>0</v>
      </c>
      <c r="Y1804" s="1">
        <f t="shared" si="57"/>
        <v>15</v>
      </c>
    </row>
    <row r="1805" spans="24:25" x14ac:dyDescent="0.3">
      <c r="X1805" s="1">
        <f t="shared" si="56"/>
        <v>0</v>
      </c>
      <c r="Y1805" s="1">
        <f t="shared" si="57"/>
        <v>15</v>
      </c>
    </row>
    <row r="1806" spans="24:25" x14ac:dyDescent="0.3">
      <c r="X1806" s="1">
        <f t="shared" si="56"/>
        <v>0</v>
      </c>
      <c r="Y1806" s="1">
        <f t="shared" si="57"/>
        <v>15</v>
      </c>
    </row>
    <row r="1807" spans="24:25" x14ac:dyDescent="0.3">
      <c r="X1807" s="1">
        <f t="shared" si="56"/>
        <v>0</v>
      </c>
      <c r="Y1807" s="1">
        <f t="shared" si="57"/>
        <v>15</v>
      </c>
    </row>
    <row r="1808" spans="24:25" x14ac:dyDescent="0.3">
      <c r="X1808" s="1">
        <f t="shared" si="56"/>
        <v>0</v>
      </c>
      <c r="Y1808" s="1">
        <f t="shared" si="57"/>
        <v>15</v>
      </c>
    </row>
    <row r="1809" spans="24:25" x14ac:dyDescent="0.3">
      <c r="X1809" s="1">
        <f t="shared" si="56"/>
        <v>0</v>
      </c>
      <c r="Y1809" s="1">
        <f t="shared" si="57"/>
        <v>15</v>
      </c>
    </row>
    <row r="1810" spans="24:25" x14ac:dyDescent="0.3">
      <c r="X1810" s="1">
        <f t="shared" si="56"/>
        <v>0</v>
      </c>
      <c r="Y1810" s="1">
        <f t="shared" si="57"/>
        <v>15</v>
      </c>
    </row>
    <row r="1811" spans="24:25" x14ac:dyDescent="0.3">
      <c r="X1811" s="1">
        <f t="shared" si="56"/>
        <v>0</v>
      </c>
      <c r="Y1811" s="1">
        <f t="shared" si="57"/>
        <v>15</v>
      </c>
    </row>
    <row r="1812" spans="24:25" x14ac:dyDescent="0.3">
      <c r="X1812" s="1">
        <f t="shared" si="56"/>
        <v>0</v>
      </c>
      <c r="Y1812" s="1">
        <f t="shared" si="57"/>
        <v>15</v>
      </c>
    </row>
    <row r="1813" spans="24:25" x14ac:dyDescent="0.3">
      <c r="X1813" s="1">
        <f t="shared" si="56"/>
        <v>0</v>
      </c>
      <c r="Y1813" s="1">
        <f t="shared" si="57"/>
        <v>15</v>
      </c>
    </row>
    <row r="1814" spans="24:25" x14ac:dyDescent="0.3">
      <c r="X1814" s="1">
        <f t="shared" si="56"/>
        <v>0</v>
      </c>
      <c r="Y1814" s="1">
        <f t="shared" si="57"/>
        <v>15</v>
      </c>
    </row>
    <row r="1815" spans="24:25" x14ac:dyDescent="0.3">
      <c r="X1815" s="1">
        <f t="shared" si="56"/>
        <v>0</v>
      </c>
      <c r="Y1815" s="1">
        <f t="shared" si="57"/>
        <v>15</v>
      </c>
    </row>
    <row r="1816" spans="24:25" x14ac:dyDescent="0.3">
      <c r="X1816" s="1">
        <f t="shared" si="56"/>
        <v>0</v>
      </c>
      <c r="Y1816" s="1">
        <f t="shared" si="57"/>
        <v>15</v>
      </c>
    </row>
    <row r="1817" spans="24:25" x14ac:dyDescent="0.3">
      <c r="X1817" s="1">
        <f t="shared" si="56"/>
        <v>0</v>
      </c>
      <c r="Y1817" s="1">
        <f t="shared" si="57"/>
        <v>15</v>
      </c>
    </row>
    <row r="1818" spans="24:25" x14ac:dyDescent="0.3">
      <c r="X1818" s="1">
        <f t="shared" si="56"/>
        <v>0</v>
      </c>
      <c r="Y1818" s="1">
        <f t="shared" si="57"/>
        <v>15</v>
      </c>
    </row>
    <row r="1819" spans="24:25" x14ac:dyDescent="0.3">
      <c r="X1819" s="1">
        <f t="shared" si="56"/>
        <v>0</v>
      </c>
      <c r="Y1819" s="1">
        <f t="shared" si="57"/>
        <v>15</v>
      </c>
    </row>
    <row r="1820" spans="24:25" x14ac:dyDescent="0.3">
      <c r="X1820" s="1">
        <f t="shared" si="56"/>
        <v>0</v>
      </c>
      <c r="Y1820" s="1">
        <f t="shared" si="57"/>
        <v>15</v>
      </c>
    </row>
    <row r="1821" spans="24:25" x14ac:dyDescent="0.3">
      <c r="X1821" s="1">
        <f t="shared" si="56"/>
        <v>0</v>
      </c>
      <c r="Y1821" s="1">
        <f t="shared" si="57"/>
        <v>15</v>
      </c>
    </row>
    <row r="1822" spans="24:25" x14ac:dyDescent="0.3">
      <c r="X1822" s="1">
        <f t="shared" si="56"/>
        <v>0</v>
      </c>
      <c r="Y1822" s="1">
        <f t="shared" si="57"/>
        <v>15</v>
      </c>
    </row>
    <row r="1823" spans="24:25" x14ac:dyDescent="0.3">
      <c r="X1823" s="1">
        <f t="shared" si="56"/>
        <v>0</v>
      </c>
      <c r="Y1823" s="1">
        <f t="shared" si="57"/>
        <v>15</v>
      </c>
    </row>
    <row r="1824" spans="24:25" x14ac:dyDescent="0.3">
      <c r="X1824" s="1">
        <f t="shared" si="56"/>
        <v>0</v>
      </c>
      <c r="Y1824" s="1">
        <f t="shared" si="57"/>
        <v>15</v>
      </c>
    </row>
    <row r="1825" spans="24:25" x14ac:dyDescent="0.3">
      <c r="X1825" s="1">
        <f t="shared" si="56"/>
        <v>0</v>
      </c>
      <c r="Y1825" s="1">
        <f t="shared" si="57"/>
        <v>15</v>
      </c>
    </row>
    <row r="1826" spans="24:25" x14ac:dyDescent="0.3">
      <c r="X1826" s="1">
        <f t="shared" si="56"/>
        <v>0</v>
      </c>
      <c r="Y1826" s="1">
        <f t="shared" si="57"/>
        <v>15</v>
      </c>
    </row>
    <row r="1827" spans="24:25" x14ac:dyDescent="0.3">
      <c r="X1827" s="1">
        <f t="shared" si="56"/>
        <v>0</v>
      </c>
      <c r="Y1827" s="1">
        <f t="shared" si="57"/>
        <v>15</v>
      </c>
    </row>
    <row r="1828" spans="24:25" x14ac:dyDescent="0.3">
      <c r="X1828" s="1">
        <f t="shared" si="56"/>
        <v>0</v>
      </c>
      <c r="Y1828" s="1">
        <f t="shared" si="57"/>
        <v>15</v>
      </c>
    </row>
    <row r="1829" spans="24:25" x14ac:dyDescent="0.3">
      <c r="X1829" s="1">
        <f t="shared" si="56"/>
        <v>0</v>
      </c>
      <c r="Y1829" s="1">
        <f t="shared" si="57"/>
        <v>15</v>
      </c>
    </row>
    <row r="1830" spans="24:25" x14ac:dyDescent="0.3">
      <c r="X1830" s="1">
        <f t="shared" si="56"/>
        <v>0</v>
      </c>
      <c r="Y1830" s="1">
        <f t="shared" si="57"/>
        <v>15</v>
      </c>
    </row>
    <row r="1831" spans="24:25" x14ac:dyDescent="0.3">
      <c r="X1831" s="1">
        <f t="shared" si="56"/>
        <v>0</v>
      </c>
      <c r="Y1831" s="1">
        <f t="shared" si="57"/>
        <v>15</v>
      </c>
    </row>
    <row r="1832" spans="24:25" x14ac:dyDescent="0.3">
      <c r="X1832" s="1">
        <f t="shared" si="56"/>
        <v>0</v>
      </c>
      <c r="Y1832" s="1">
        <f t="shared" si="57"/>
        <v>15</v>
      </c>
    </row>
    <row r="1833" spans="24:25" x14ac:dyDescent="0.3">
      <c r="X1833" s="1">
        <f t="shared" si="56"/>
        <v>0</v>
      </c>
      <c r="Y1833" s="1">
        <f t="shared" si="57"/>
        <v>15</v>
      </c>
    </row>
    <row r="1834" spans="24:25" x14ac:dyDescent="0.3">
      <c r="X1834" s="1">
        <f t="shared" si="56"/>
        <v>0</v>
      </c>
      <c r="Y1834" s="1">
        <f t="shared" si="57"/>
        <v>15</v>
      </c>
    </row>
    <row r="1835" spans="24:25" x14ac:dyDescent="0.3">
      <c r="X1835" s="1">
        <f t="shared" si="56"/>
        <v>0</v>
      </c>
      <c r="Y1835" s="1">
        <f t="shared" si="57"/>
        <v>15</v>
      </c>
    </row>
    <row r="1836" spans="24:25" x14ac:dyDescent="0.3">
      <c r="X1836" s="1">
        <f t="shared" si="56"/>
        <v>0</v>
      </c>
      <c r="Y1836" s="1">
        <f t="shared" si="57"/>
        <v>15</v>
      </c>
    </row>
    <row r="1837" spans="24:25" x14ac:dyDescent="0.3">
      <c r="X1837" s="1">
        <f t="shared" si="56"/>
        <v>0</v>
      </c>
      <c r="Y1837" s="1">
        <f t="shared" si="57"/>
        <v>15</v>
      </c>
    </row>
    <row r="1838" spans="24:25" x14ac:dyDescent="0.3">
      <c r="X1838" s="1">
        <f t="shared" si="56"/>
        <v>0</v>
      </c>
      <c r="Y1838" s="1">
        <f t="shared" si="57"/>
        <v>15</v>
      </c>
    </row>
    <row r="1839" spans="24:25" x14ac:dyDescent="0.3">
      <c r="X1839" s="1">
        <f t="shared" si="56"/>
        <v>0</v>
      </c>
      <c r="Y1839" s="1">
        <f t="shared" si="57"/>
        <v>15</v>
      </c>
    </row>
    <row r="1840" spans="24:25" x14ac:dyDescent="0.3">
      <c r="X1840" s="1">
        <f t="shared" si="56"/>
        <v>0</v>
      </c>
      <c r="Y1840" s="1">
        <f t="shared" si="57"/>
        <v>15</v>
      </c>
    </row>
    <row r="1841" spans="24:25" x14ac:dyDescent="0.3">
      <c r="X1841" s="1">
        <f t="shared" si="56"/>
        <v>0</v>
      </c>
      <c r="Y1841" s="1">
        <f t="shared" si="57"/>
        <v>15</v>
      </c>
    </row>
    <row r="1842" spans="24:25" x14ac:dyDescent="0.3">
      <c r="X1842" s="1">
        <f t="shared" si="56"/>
        <v>0</v>
      </c>
      <c r="Y1842" s="1">
        <f t="shared" si="57"/>
        <v>15</v>
      </c>
    </row>
    <row r="1843" spans="24:25" x14ac:dyDescent="0.3">
      <c r="X1843" s="1">
        <f t="shared" si="56"/>
        <v>0</v>
      </c>
      <c r="Y1843" s="1">
        <f t="shared" si="57"/>
        <v>15</v>
      </c>
    </row>
    <row r="1844" spans="24:25" x14ac:dyDescent="0.3">
      <c r="X1844" s="1">
        <f t="shared" si="56"/>
        <v>0</v>
      </c>
      <c r="Y1844" s="1">
        <f t="shared" si="57"/>
        <v>15</v>
      </c>
    </row>
    <row r="1845" spans="24:25" x14ac:dyDescent="0.3">
      <c r="X1845" s="1">
        <f t="shared" si="56"/>
        <v>0</v>
      </c>
      <c r="Y1845" s="1">
        <f t="shared" si="57"/>
        <v>15</v>
      </c>
    </row>
    <row r="1846" spans="24:25" x14ac:dyDescent="0.3">
      <c r="X1846" s="1">
        <f t="shared" si="56"/>
        <v>0</v>
      </c>
      <c r="Y1846" s="1">
        <f t="shared" si="57"/>
        <v>15</v>
      </c>
    </row>
    <row r="1847" spans="24:25" x14ac:dyDescent="0.3">
      <c r="X1847" s="1">
        <f t="shared" si="56"/>
        <v>0</v>
      </c>
      <c r="Y1847" s="1">
        <f t="shared" si="57"/>
        <v>15</v>
      </c>
    </row>
    <row r="1848" spans="24:25" x14ac:dyDescent="0.3">
      <c r="X1848" s="1">
        <f t="shared" si="56"/>
        <v>0</v>
      </c>
      <c r="Y1848" s="1">
        <f t="shared" si="57"/>
        <v>15</v>
      </c>
    </row>
    <row r="1849" spans="24:25" x14ac:dyDescent="0.3">
      <c r="X1849" s="1">
        <f t="shared" si="56"/>
        <v>0</v>
      </c>
      <c r="Y1849" s="1">
        <f t="shared" si="57"/>
        <v>15</v>
      </c>
    </row>
    <row r="1850" spans="24:25" x14ac:dyDescent="0.3">
      <c r="X1850" s="1">
        <f t="shared" si="56"/>
        <v>0</v>
      </c>
      <c r="Y1850" s="1">
        <f t="shared" si="57"/>
        <v>15</v>
      </c>
    </row>
    <row r="1851" spans="24:25" x14ac:dyDescent="0.3">
      <c r="X1851" s="1">
        <f t="shared" si="56"/>
        <v>0</v>
      </c>
      <c r="Y1851" s="1">
        <f t="shared" si="57"/>
        <v>15</v>
      </c>
    </row>
    <row r="1852" spans="24:25" x14ac:dyDescent="0.3">
      <c r="X1852" s="1">
        <f t="shared" si="56"/>
        <v>0</v>
      </c>
      <c r="Y1852" s="1">
        <f t="shared" si="57"/>
        <v>15</v>
      </c>
    </row>
    <row r="1853" spans="24:25" x14ac:dyDescent="0.3">
      <c r="X1853" s="1">
        <f t="shared" si="56"/>
        <v>0</v>
      </c>
      <c r="Y1853" s="1">
        <f t="shared" si="57"/>
        <v>15</v>
      </c>
    </row>
    <row r="1854" spans="24:25" x14ac:dyDescent="0.3">
      <c r="X1854" s="1">
        <f t="shared" si="56"/>
        <v>0</v>
      </c>
      <c r="Y1854" s="1">
        <f t="shared" si="57"/>
        <v>15</v>
      </c>
    </row>
    <row r="1855" spans="24:25" x14ac:dyDescent="0.3">
      <c r="X1855" s="1">
        <f t="shared" si="56"/>
        <v>0</v>
      </c>
      <c r="Y1855" s="1">
        <f t="shared" si="57"/>
        <v>15</v>
      </c>
    </row>
    <row r="1856" spans="24:25" x14ac:dyDescent="0.3">
      <c r="X1856" s="1">
        <f t="shared" si="56"/>
        <v>0</v>
      </c>
      <c r="Y1856" s="1">
        <f t="shared" si="57"/>
        <v>15</v>
      </c>
    </row>
    <row r="1857" spans="24:25" x14ac:dyDescent="0.3">
      <c r="X1857" s="1">
        <f t="shared" si="56"/>
        <v>0</v>
      </c>
      <c r="Y1857" s="1">
        <f t="shared" si="57"/>
        <v>15</v>
      </c>
    </row>
    <row r="1858" spans="24:25" x14ac:dyDescent="0.3">
      <c r="X1858" s="1">
        <f t="shared" si="56"/>
        <v>0</v>
      </c>
      <c r="Y1858" s="1">
        <f t="shared" si="57"/>
        <v>15</v>
      </c>
    </row>
    <row r="1859" spans="24:25" x14ac:dyDescent="0.3">
      <c r="X1859" s="1">
        <f t="shared" ref="X1859:X1922" si="58">IFERROR(MATCH(W1859,$B:$B,0),0)</f>
        <v>0</v>
      </c>
      <c r="Y1859" s="1">
        <f t="shared" ref="Y1859:Y1922" si="59">IF(X1860=0,COUNTA(A:A),X1860-1)</f>
        <v>15</v>
      </c>
    </row>
    <row r="1860" spans="24:25" x14ac:dyDescent="0.3">
      <c r="X1860" s="1">
        <f t="shared" si="58"/>
        <v>0</v>
      </c>
      <c r="Y1860" s="1">
        <f t="shared" si="59"/>
        <v>15</v>
      </c>
    </row>
    <row r="1861" spans="24:25" x14ac:dyDescent="0.3">
      <c r="X1861" s="1">
        <f t="shared" si="58"/>
        <v>0</v>
      </c>
      <c r="Y1861" s="1">
        <f t="shared" si="59"/>
        <v>15</v>
      </c>
    </row>
    <row r="1862" spans="24:25" x14ac:dyDescent="0.3">
      <c r="X1862" s="1">
        <f t="shared" si="58"/>
        <v>0</v>
      </c>
      <c r="Y1862" s="1">
        <f t="shared" si="59"/>
        <v>15</v>
      </c>
    </row>
    <row r="1863" spans="24:25" x14ac:dyDescent="0.3">
      <c r="X1863" s="1">
        <f t="shared" si="58"/>
        <v>0</v>
      </c>
      <c r="Y1863" s="1">
        <f t="shared" si="59"/>
        <v>15</v>
      </c>
    </row>
    <row r="1864" spans="24:25" x14ac:dyDescent="0.3">
      <c r="X1864" s="1">
        <f t="shared" si="58"/>
        <v>0</v>
      </c>
      <c r="Y1864" s="1">
        <f t="shared" si="59"/>
        <v>15</v>
      </c>
    </row>
    <row r="1865" spans="24:25" x14ac:dyDescent="0.3">
      <c r="X1865" s="1">
        <f t="shared" si="58"/>
        <v>0</v>
      </c>
      <c r="Y1865" s="1">
        <f t="shared" si="59"/>
        <v>15</v>
      </c>
    </row>
    <row r="1866" spans="24:25" x14ac:dyDescent="0.3">
      <c r="X1866" s="1">
        <f t="shared" si="58"/>
        <v>0</v>
      </c>
      <c r="Y1866" s="1">
        <f t="shared" si="59"/>
        <v>15</v>
      </c>
    </row>
    <row r="1867" spans="24:25" x14ac:dyDescent="0.3">
      <c r="X1867" s="1">
        <f t="shared" si="58"/>
        <v>0</v>
      </c>
      <c r="Y1867" s="1">
        <f t="shared" si="59"/>
        <v>15</v>
      </c>
    </row>
    <row r="1868" spans="24:25" x14ac:dyDescent="0.3">
      <c r="X1868" s="1">
        <f t="shared" si="58"/>
        <v>0</v>
      </c>
      <c r="Y1868" s="1">
        <f t="shared" si="59"/>
        <v>15</v>
      </c>
    </row>
    <row r="1869" spans="24:25" x14ac:dyDescent="0.3">
      <c r="X1869" s="1">
        <f t="shared" si="58"/>
        <v>0</v>
      </c>
      <c r="Y1869" s="1">
        <f t="shared" si="59"/>
        <v>15</v>
      </c>
    </row>
    <row r="1870" spans="24:25" x14ac:dyDescent="0.3">
      <c r="X1870" s="1">
        <f t="shared" si="58"/>
        <v>0</v>
      </c>
      <c r="Y1870" s="1">
        <f t="shared" si="59"/>
        <v>15</v>
      </c>
    </row>
    <row r="1871" spans="24:25" x14ac:dyDescent="0.3">
      <c r="X1871" s="1">
        <f t="shared" si="58"/>
        <v>0</v>
      </c>
      <c r="Y1871" s="1">
        <f t="shared" si="59"/>
        <v>15</v>
      </c>
    </row>
    <row r="1872" spans="24:25" x14ac:dyDescent="0.3">
      <c r="X1872" s="1">
        <f t="shared" si="58"/>
        <v>0</v>
      </c>
      <c r="Y1872" s="1">
        <f t="shared" si="59"/>
        <v>15</v>
      </c>
    </row>
    <row r="1873" spans="24:25" x14ac:dyDescent="0.3">
      <c r="X1873" s="1">
        <f t="shared" si="58"/>
        <v>0</v>
      </c>
      <c r="Y1873" s="1">
        <f t="shared" si="59"/>
        <v>15</v>
      </c>
    </row>
    <row r="1874" spans="24:25" x14ac:dyDescent="0.3">
      <c r="X1874" s="1">
        <f t="shared" si="58"/>
        <v>0</v>
      </c>
      <c r="Y1874" s="1">
        <f t="shared" si="59"/>
        <v>15</v>
      </c>
    </row>
    <row r="1875" spans="24:25" x14ac:dyDescent="0.3">
      <c r="X1875" s="1">
        <f t="shared" si="58"/>
        <v>0</v>
      </c>
      <c r="Y1875" s="1">
        <f t="shared" si="59"/>
        <v>15</v>
      </c>
    </row>
    <row r="1876" spans="24:25" x14ac:dyDescent="0.3">
      <c r="X1876" s="1">
        <f t="shared" si="58"/>
        <v>0</v>
      </c>
      <c r="Y1876" s="1">
        <f t="shared" si="59"/>
        <v>15</v>
      </c>
    </row>
    <row r="1877" spans="24:25" x14ac:dyDescent="0.3">
      <c r="X1877" s="1">
        <f t="shared" si="58"/>
        <v>0</v>
      </c>
      <c r="Y1877" s="1">
        <f t="shared" si="59"/>
        <v>15</v>
      </c>
    </row>
    <row r="1878" spans="24:25" x14ac:dyDescent="0.3">
      <c r="X1878" s="1">
        <f t="shared" si="58"/>
        <v>0</v>
      </c>
      <c r="Y1878" s="1">
        <f t="shared" si="59"/>
        <v>15</v>
      </c>
    </row>
    <row r="1879" spans="24:25" x14ac:dyDescent="0.3">
      <c r="X1879" s="1">
        <f t="shared" si="58"/>
        <v>0</v>
      </c>
      <c r="Y1879" s="1">
        <f t="shared" si="59"/>
        <v>15</v>
      </c>
    </row>
    <row r="1880" spans="24:25" x14ac:dyDescent="0.3">
      <c r="X1880" s="1">
        <f t="shared" si="58"/>
        <v>0</v>
      </c>
      <c r="Y1880" s="1">
        <f t="shared" si="59"/>
        <v>15</v>
      </c>
    </row>
    <row r="1881" spans="24:25" x14ac:dyDescent="0.3">
      <c r="X1881" s="1">
        <f t="shared" si="58"/>
        <v>0</v>
      </c>
      <c r="Y1881" s="1">
        <f t="shared" si="59"/>
        <v>15</v>
      </c>
    </row>
    <row r="1882" spans="24:25" x14ac:dyDescent="0.3">
      <c r="X1882" s="1">
        <f t="shared" si="58"/>
        <v>0</v>
      </c>
      <c r="Y1882" s="1">
        <f t="shared" si="59"/>
        <v>15</v>
      </c>
    </row>
    <row r="1883" spans="24:25" x14ac:dyDescent="0.3">
      <c r="X1883" s="1">
        <f t="shared" si="58"/>
        <v>0</v>
      </c>
      <c r="Y1883" s="1">
        <f t="shared" si="59"/>
        <v>15</v>
      </c>
    </row>
    <row r="1884" spans="24:25" x14ac:dyDescent="0.3">
      <c r="X1884" s="1">
        <f t="shared" si="58"/>
        <v>0</v>
      </c>
      <c r="Y1884" s="1">
        <f t="shared" si="59"/>
        <v>15</v>
      </c>
    </row>
    <row r="1885" spans="24:25" x14ac:dyDescent="0.3">
      <c r="X1885" s="1">
        <f t="shared" si="58"/>
        <v>0</v>
      </c>
      <c r="Y1885" s="1">
        <f t="shared" si="59"/>
        <v>15</v>
      </c>
    </row>
    <row r="1886" spans="24:25" x14ac:dyDescent="0.3">
      <c r="X1886" s="1">
        <f t="shared" si="58"/>
        <v>0</v>
      </c>
      <c r="Y1886" s="1">
        <f t="shared" si="59"/>
        <v>15</v>
      </c>
    </row>
    <row r="1887" spans="24:25" x14ac:dyDescent="0.3">
      <c r="X1887" s="1">
        <f t="shared" si="58"/>
        <v>0</v>
      </c>
      <c r="Y1887" s="1">
        <f t="shared" si="59"/>
        <v>15</v>
      </c>
    </row>
    <row r="1888" spans="24:25" x14ac:dyDescent="0.3">
      <c r="X1888" s="1">
        <f t="shared" si="58"/>
        <v>0</v>
      </c>
      <c r="Y1888" s="1">
        <f t="shared" si="59"/>
        <v>15</v>
      </c>
    </row>
    <row r="1889" spans="24:25" x14ac:dyDescent="0.3">
      <c r="X1889" s="1">
        <f t="shared" si="58"/>
        <v>0</v>
      </c>
      <c r="Y1889" s="1">
        <f t="shared" si="59"/>
        <v>15</v>
      </c>
    </row>
    <row r="1890" spans="24:25" x14ac:dyDescent="0.3">
      <c r="X1890" s="1">
        <f t="shared" si="58"/>
        <v>0</v>
      </c>
      <c r="Y1890" s="1">
        <f t="shared" si="59"/>
        <v>15</v>
      </c>
    </row>
    <row r="1891" spans="24:25" x14ac:dyDescent="0.3">
      <c r="X1891" s="1">
        <f t="shared" si="58"/>
        <v>0</v>
      </c>
      <c r="Y1891" s="1">
        <f t="shared" si="59"/>
        <v>15</v>
      </c>
    </row>
    <row r="1892" spans="24:25" x14ac:dyDescent="0.3">
      <c r="X1892" s="1">
        <f t="shared" si="58"/>
        <v>0</v>
      </c>
      <c r="Y1892" s="1">
        <f t="shared" si="59"/>
        <v>15</v>
      </c>
    </row>
    <row r="1893" spans="24:25" x14ac:dyDescent="0.3">
      <c r="X1893" s="1">
        <f t="shared" si="58"/>
        <v>0</v>
      </c>
      <c r="Y1893" s="1">
        <f t="shared" si="59"/>
        <v>15</v>
      </c>
    </row>
    <row r="1894" spans="24:25" x14ac:dyDescent="0.3">
      <c r="X1894" s="1">
        <f t="shared" si="58"/>
        <v>0</v>
      </c>
      <c r="Y1894" s="1">
        <f t="shared" si="59"/>
        <v>15</v>
      </c>
    </row>
    <row r="1895" spans="24:25" x14ac:dyDescent="0.3">
      <c r="X1895" s="1">
        <f t="shared" si="58"/>
        <v>0</v>
      </c>
      <c r="Y1895" s="1">
        <f t="shared" si="59"/>
        <v>15</v>
      </c>
    </row>
    <row r="1896" spans="24:25" x14ac:dyDescent="0.3">
      <c r="X1896" s="1">
        <f t="shared" si="58"/>
        <v>0</v>
      </c>
      <c r="Y1896" s="1">
        <f t="shared" si="59"/>
        <v>15</v>
      </c>
    </row>
    <row r="1897" spans="24:25" x14ac:dyDescent="0.3">
      <c r="X1897" s="1">
        <f t="shared" si="58"/>
        <v>0</v>
      </c>
      <c r="Y1897" s="1">
        <f t="shared" si="59"/>
        <v>15</v>
      </c>
    </row>
    <row r="1898" spans="24:25" x14ac:dyDescent="0.3">
      <c r="X1898" s="1">
        <f t="shared" si="58"/>
        <v>0</v>
      </c>
      <c r="Y1898" s="1">
        <f t="shared" si="59"/>
        <v>15</v>
      </c>
    </row>
    <row r="1899" spans="24:25" x14ac:dyDescent="0.3">
      <c r="X1899" s="1">
        <f t="shared" si="58"/>
        <v>0</v>
      </c>
      <c r="Y1899" s="1">
        <f t="shared" si="59"/>
        <v>15</v>
      </c>
    </row>
    <row r="1900" spans="24:25" x14ac:dyDescent="0.3">
      <c r="X1900" s="1">
        <f t="shared" si="58"/>
        <v>0</v>
      </c>
      <c r="Y1900" s="1">
        <f t="shared" si="59"/>
        <v>15</v>
      </c>
    </row>
    <row r="1901" spans="24:25" x14ac:dyDescent="0.3">
      <c r="X1901" s="1">
        <f t="shared" si="58"/>
        <v>0</v>
      </c>
      <c r="Y1901" s="1">
        <f t="shared" si="59"/>
        <v>15</v>
      </c>
    </row>
    <row r="1902" spans="24:25" x14ac:dyDescent="0.3">
      <c r="X1902" s="1">
        <f t="shared" si="58"/>
        <v>0</v>
      </c>
      <c r="Y1902" s="1">
        <f t="shared" si="59"/>
        <v>15</v>
      </c>
    </row>
    <row r="1903" spans="24:25" x14ac:dyDescent="0.3">
      <c r="X1903" s="1">
        <f t="shared" si="58"/>
        <v>0</v>
      </c>
      <c r="Y1903" s="1">
        <f t="shared" si="59"/>
        <v>15</v>
      </c>
    </row>
    <row r="1904" spans="24:25" x14ac:dyDescent="0.3">
      <c r="X1904" s="1">
        <f t="shared" si="58"/>
        <v>0</v>
      </c>
      <c r="Y1904" s="1">
        <f t="shared" si="59"/>
        <v>15</v>
      </c>
    </row>
    <row r="1905" spans="24:25" x14ac:dyDescent="0.3">
      <c r="X1905" s="1">
        <f t="shared" si="58"/>
        <v>0</v>
      </c>
      <c r="Y1905" s="1">
        <f t="shared" si="59"/>
        <v>15</v>
      </c>
    </row>
    <row r="1906" spans="24:25" x14ac:dyDescent="0.3">
      <c r="X1906" s="1">
        <f t="shared" si="58"/>
        <v>0</v>
      </c>
      <c r="Y1906" s="1">
        <f t="shared" si="59"/>
        <v>15</v>
      </c>
    </row>
    <row r="1907" spans="24:25" x14ac:dyDescent="0.3">
      <c r="X1907" s="1">
        <f t="shared" si="58"/>
        <v>0</v>
      </c>
      <c r="Y1907" s="1">
        <f t="shared" si="59"/>
        <v>15</v>
      </c>
    </row>
    <row r="1908" spans="24:25" x14ac:dyDescent="0.3">
      <c r="X1908" s="1">
        <f t="shared" si="58"/>
        <v>0</v>
      </c>
      <c r="Y1908" s="1">
        <f t="shared" si="59"/>
        <v>15</v>
      </c>
    </row>
    <row r="1909" spans="24:25" x14ac:dyDescent="0.3">
      <c r="X1909" s="1">
        <f t="shared" si="58"/>
        <v>0</v>
      </c>
      <c r="Y1909" s="1">
        <f t="shared" si="59"/>
        <v>15</v>
      </c>
    </row>
    <row r="1910" spans="24:25" x14ac:dyDescent="0.3">
      <c r="X1910" s="1">
        <f t="shared" si="58"/>
        <v>0</v>
      </c>
      <c r="Y1910" s="1">
        <f t="shared" si="59"/>
        <v>15</v>
      </c>
    </row>
    <row r="1911" spans="24:25" x14ac:dyDescent="0.3">
      <c r="X1911" s="1">
        <f t="shared" si="58"/>
        <v>0</v>
      </c>
      <c r="Y1911" s="1">
        <f t="shared" si="59"/>
        <v>15</v>
      </c>
    </row>
    <row r="1912" spans="24:25" x14ac:dyDescent="0.3">
      <c r="X1912" s="1">
        <f t="shared" si="58"/>
        <v>0</v>
      </c>
      <c r="Y1912" s="1">
        <f t="shared" si="59"/>
        <v>15</v>
      </c>
    </row>
    <row r="1913" spans="24:25" x14ac:dyDescent="0.3">
      <c r="X1913" s="1">
        <f t="shared" si="58"/>
        <v>0</v>
      </c>
      <c r="Y1913" s="1">
        <f t="shared" si="59"/>
        <v>15</v>
      </c>
    </row>
    <row r="1914" spans="24:25" x14ac:dyDescent="0.3">
      <c r="X1914" s="1">
        <f t="shared" si="58"/>
        <v>0</v>
      </c>
      <c r="Y1914" s="1">
        <f t="shared" si="59"/>
        <v>15</v>
      </c>
    </row>
    <row r="1915" spans="24:25" x14ac:dyDescent="0.3">
      <c r="X1915" s="1">
        <f t="shared" si="58"/>
        <v>0</v>
      </c>
      <c r="Y1915" s="1">
        <f t="shared" si="59"/>
        <v>15</v>
      </c>
    </row>
    <row r="1916" spans="24:25" x14ac:dyDescent="0.3">
      <c r="X1916" s="1">
        <f t="shared" si="58"/>
        <v>0</v>
      </c>
      <c r="Y1916" s="1">
        <f t="shared" si="59"/>
        <v>15</v>
      </c>
    </row>
    <row r="1917" spans="24:25" x14ac:dyDescent="0.3">
      <c r="X1917" s="1">
        <f t="shared" si="58"/>
        <v>0</v>
      </c>
      <c r="Y1917" s="1">
        <f t="shared" si="59"/>
        <v>15</v>
      </c>
    </row>
    <row r="1918" spans="24:25" x14ac:dyDescent="0.3">
      <c r="X1918" s="1">
        <f t="shared" si="58"/>
        <v>0</v>
      </c>
      <c r="Y1918" s="1">
        <f t="shared" si="59"/>
        <v>15</v>
      </c>
    </row>
    <row r="1919" spans="24:25" x14ac:dyDescent="0.3">
      <c r="X1919" s="1">
        <f t="shared" si="58"/>
        <v>0</v>
      </c>
      <c r="Y1919" s="1">
        <f t="shared" si="59"/>
        <v>15</v>
      </c>
    </row>
    <row r="1920" spans="24:25" x14ac:dyDescent="0.3">
      <c r="X1920" s="1">
        <f t="shared" si="58"/>
        <v>0</v>
      </c>
      <c r="Y1920" s="1">
        <f t="shared" si="59"/>
        <v>15</v>
      </c>
    </row>
    <row r="1921" spans="24:25" x14ac:dyDescent="0.3">
      <c r="X1921" s="1">
        <f t="shared" si="58"/>
        <v>0</v>
      </c>
      <c r="Y1921" s="1">
        <f t="shared" si="59"/>
        <v>15</v>
      </c>
    </row>
    <row r="1922" spans="24:25" x14ac:dyDescent="0.3">
      <c r="X1922" s="1">
        <f t="shared" si="58"/>
        <v>0</v>
      </c>
      <c r="Y1922" s="1">
        <f t="shared" si="59"/>
        <v>15</v>
      </c>
    </row>
    <row r="1923" spans="24:25" x14ac:dyDescent="0.3">
      <c r="X1923" s="1">
        <f t="shared" ref="X1923:X1986" si="60">IFERROR(MATCH(W1923,$B:$B,0),0)</f>
        <v>0</v>
      </c>
      <c r="Y1923" s="1">
        <f t="shared" ref="Y1923:Y1986" si="61">IF(X1924=0,COUNTA(A:A),X1924-1)</f>
        <v>15</v>
      </c>
    </row>
    <row r="1924" spans="24:25" x14ac:dyDescent="0.3">
      <c r="X1924" s="1">
        <f t="shared" si="60"/>
        <v>0</v>
      </c>
      <c r="Y1924" s="1">
        <f t="shared" si="61"/>
        <v>15</v>
      </c>
    </row>
    <row r="1925" spans="24:25" x14ac:dyDescent="0.3">
      <c r="X1925" s="1">
        <f t="shared" si="60"/>
        <v>0</v>
      </c>
      <c r="Y1925" s="1">
        <f t="shared" si="61"/>
        <v>15</v>
      </c>
    </row>
    <row r="1926" spans="24:25" x14ac:dyDescent="0.3">
      <c r="X1926" s="1">
        <f t="shared" si="60"/>
        <v>0</v>
      </c>
      <c r="Y1926" s="1">
        <f t="shared" si="61"/>
        <v>15</v>
      </c>
    </row>
    <row r="1927" spans="24:25" x14ac:dyDescent="0.3">
      <c r="X1927" s="1">
        <f t="shared" si="60"/>
        <v>0</v>
      </c>
      <c r="Y1927" s="1">
        <f t="shared" si="61"/>
        <v>15</v>
      </c>
    </row>
    <row r="1928" spans="24:25" x14ac:dyDescent="0.3">
      <c r="X1928" s="1">
        <f t="shared" si="60"/>
        <v>0</v>
      </c>
      <c r="Y1928" s="1">
        <f t="shared" si="61"/>
        <v>15</v>
      </c>
    </row>
    <row r="1929" spans="24:25" x14ac:dyDescent="0.3">
      <c r="X1929" s="1">
        <f t="shared" si="60"/>
        <v>0</v>
      </c>
      <c r="Y1929" s="1">
        <f t="shared" si="61"/>
        <v>15</v>
      </c>
    </row>
    <row r="1930" spans="24:25" x14ac:dyDescent="0.3">
      <c r="X1930" s="1">
        <f t="shared" si="60"/>
        <v>0</v>
      </c>
      <c r="Y1930" s="1">
        <f t="shared" si="61"/>
        <v>15</v>
      </c>
    </row>
    <row r="1931" spans="24:25" x14ac:dyDescent="0.3">
      <c r="X1931" s="1">
        <f t="shared" si="60"/>
        <v>0</v>
      </c>
      <c r="Y1931" s="1">
        <f t="shared" si="61"/>
        <v>15</v>
      </c>
    </row>
    <row r="1932" spans="24:25" x14ac:dyDescent="0.3">
      <c r="X1932" s="1">
        <f t="shared" si="60"/>
        <v>0</v>
      </c>
      <c r="Y1932" s="1">
        <f t="shared" si="61"/>
        <v>15</v>
      </c>
    </row>
    <row r="1933" spans="24:25" x14ac:dyDescent="0.3">
      <c r="X1933" s="1">
        <f t="shared" si="60"/>
        <v>0</v>
      </c>
      <c r="Y1933" s="1">
        <f t="shared" si="61"/>
        <v>15</v>
      </c>
    </row>
    <row r="1934" spans="24:25" x14ac:dyDescent="0.3">
      <c r="X1934" s="1">
        <f t="shared" si="60"/>
        <v>0</v>
      </c>
      <c r="Y1934" s="1">
        <f t="shared" si="61"/>
        <v>15</v>
      </c>
    </row>
    <row r="1935" spans="24:25" x14ac:dyDescent="0.3">
      <c r="X1935" s="1">
        <f t="shared" si="60"/>
        <v>0</v>
      </c>
      <c r="Y1935" s="1">
        <f t="shared" si="61"/>
        <v>15</v>
      </c>
    </row>
    <row r="1936" spans="24:25" x14ac:dyDescent="0.3">
      <c r="X1936" s="1">
        <f t="shared" si="60"/>
        <v>0</v>
      </c>
      <c r="Y1936" s="1">
        <f t="shared" si="61"/>
        <v>15</v>
      </c>
    </row>
    <row r="1937" spans="24:25" x14ac:dyDescent="0.3">
      <c r="X1937" s="1">
        <f t="shared" si="60"/>
        <v>0</v>
      </c>
      <c r="Y1937" s="1">
        <f t="shared" si="61"/>
        <v>15</v>
      </c>
    </row>
    <row r="1938" spans="24:25" x14ac:dyDescent="0.3">
      <c r="X1938" s="1">
        <f t="shared" si="60"/>
        <v>0</v>
      </c>
      <c r="Y1938" s="1">
        <f t="shared" si="61"/>
        <v>15</v>
      </c>
    </row>
    <row r="1939" spans="24:25" x14ac:dyDescent="0.3">
      <c r="X1939" s="1">
        <f t="shared" si="60"/>
        <v>0</v>
      </c>
      <c r="Y1939" s="1">
        <f t="shared" si="61"/>
        <v>15</v>
      </c>
    </row>
    <row r="1940" spans="24:25" x14ac:dyDescent="0.3">
      <c r="X1940" s="1">
        <f t="shared" si="60"/>
        <v>0</v>
      </c>
      <c r="Y1940" s="1">
        <f t="shared" si="61"/>
        <v>15</v>
      </c>
    </row>
    <row r="1941" spans="24:25" x14ac:dyDescent="0.3">
      <c r="X1941" s="1">
        <f t="shared" si="60"/>
        <v>0</v>
      </c>
      <c r="Y1941" s="1">
        <f t="shared" si="61"/>
        <v>15</v>
      </c>
    </row>
    <row r="1942" spans="24:25" x14ac:dyDescent="0.3">
      <c r="X1942" s="1">
        <f t="shared" si="60"/>
        <v>0</v>
      </c>
      <c r="Y1942" s="1">
        <f t="shared" si="61"/>
        <v>15</v>
      </c>
    </row>
    <row r="1943" spans="24:25" x14ac:dyDescent="0.3">
      <c r="X1943" s="1">
        <f t="shared" si="60"/>
        <v>0</v>
      </c>
      <c r="Y1943" s="1">
        <f t="shared" si="61"/>
        <v>15</v>
      </c>
    </row>
    <row r="1944" spans="24:25" x14ac:dyDescent="0.3">
      <c r="X1944" s="1">
        <f t="shared" si="60"/>
        <v>0</v>
      </c>
      <c r="Y1944" s="1">
        <f t="shared" si="61"/>
        <v>15</v>
      </c>
    </row>
    <row r="1945" spans="24:25" x14ac:dyDescent="0.3">
      <c r="X1945" s="1">
        <f t="shared" si="60"/>
        <v>0</v>
      </c>
      <c r="Y1945" s="1">
        <f t="shared" si="61"/>
        <v>15</v>
      </c>
    </row>
    <row r="1946" spans="24:25" x14ac:dyDescent="0.3">
      <c r="X1946" s="1">
        <f t="shared" si="60"/>
        <v>0</v>
      </c>
      <c r="Y1946" s="1">
        <f t="shared" si="61"/>
        <v>15</v>
      </c>
    </row>
    <row r="1947" spans="24:25" x14ac:dyDescent="0.3">
      <c r="X1947" s="1">
        <f t="shared" si="60"/>
        <v>0</v>
      </c>
      <c r="Y1947" s="1">
        <f t="shared" si="61"/>
        <v>15</v>
      </c>
    </row>
    <row r="1948" spans="24:25" x14ac:dyDescent="0.3">
      <c r="X1948" s="1">
        <f t="shared" si="60"/>
        <v>0</v>
      </c>
      <c r="Y1948" s="1">
        <f t="shared" si="61"/>
        <v>15</v>
      </c>
    </row>
    <row r="1949" spans="24:25" x14ac:dyDescent="0.3">
      <c r="X1949" s="1">
        <f t="shared" si="60"/>
        <v>0</v>
      </c>
      <c r="Y1949" s="1">
        <f t="shared" si="61"/>
        <v>15</v>
      </c>
    </row>
    <row r="1950" spans="24:25" x14ac:dyDescent="0.3">
      <c r="X1950" s="1">
        <f t="shared" si="60"/>
        <v>0</v>
      </c>
      <c r="Y1950" s="1">
        <f t="shared" si="61"/>
        <v>15</v>
      </c>
    </row>
    <row r="1951" spans="24:25" x14ac:dyDescent="0.3">
      <c r="X1951" s="1">
        <f t="shared" si="60"/>
        <v>0</v>
      </c>
      <c r="Y1951" s="1">
        <f t="shared" si="61"/>
        <v>15</v>
      </c>
    </row>
    <row r="1952" spans="24:25" x14ac:dyDescent="0.3">
      <c r="X1952" s="1">
        <f t="shared" si="60"/>
        <v>0</v>
      </c>
      <c r="Y1952" s="1">
        <f t="shared" si="61"/>
        <v>15</v>
      </c>
    </row>
    <row r="1953" spans="24:25" x14ac:dyDescent="0.3">
      <c r="X1953" s="1">
        <f t="shared" si="60"/>
        <v>0</v>
      </c>
      <c r="Y1953" s="1">
        <f t="shared" si="61"/>
        <v>15</v>
      </c>
    </row>
    <row r="1954" spans="24:25" x14ac:dyDescent="0.3">
      <c r="X1954" s="1">
        <f t="shared" si="60"/>
        <v>0</v>
      </c>
      <c r="Y1954" s="1">
        <f t="shared" si="61"/>
        <v>15</v>
      </c>
    </row>
    <row r="1955" spans="24:25" x14ac:dyDescent="0.3">
      <c r="X1955" s="1">
        <f t="shared" si="60"/>
        <v>0</v>
      </c>
      <c r="Y1955" s="1">
        <f t="shared" si="61"/>
        <v>15</v>
      </c>
    </row>
    <row r="1956" spans="24:25" x14ac:dyDescent="0.3">
      <c r="X1956" s="1">
        <f t="shared" si="60"/>
        <v>0</v>
      </c>
      <c r="Y1956" s="1">
        <f t="shared" si="61"/>
        <v>15</v>
      </c>
    </row>
    <row r="1957" spans="24:25" x14ac:dyDescent="0.3">
      <c r="X1957" s="1">
        <f t="shared" si="60"/>
        <v>0</v>
      </c>
      <c r="Y1957" s="1">
        <f t="shared" si="61"/>
        <v>15</v>
      </c>
    </row>
    <row r="1958" spans="24:25" x14ac:dyDescent="0.3">
      <c r="X1958" s="1">
        <f t="shared" si="60"/>
        <v>0</v>
      </c>
      <c r="Y1958" s="1">
        <f t="shared" si="61"/>
        <v>15</v>
      </c>
    </row>
    <row r="1959" spans="24:25" x14ac:dyDescent="0.3">
      <c r="X1959" s="1">
        <f t="shared" si="60"/>
        <v>0</v>
      </c>
      <c r="Y1959" s="1">
        <f t="shared" si="61"/>
        <v>15</v>
      </c>
    </row>
    <row r="1960" spans="24:25" x14ac:dyDescent="0.3">
      <c r="X1960" s="1">
        <f t="shared" si="60"/>
        <v>0</v>
      </c>
      <c r="Y1960" s="1">
        <f t="shared" si="61"/>
        <v>15</v>
      </c>
    </row>
    <row r="1961" spans="24:25" x14ac:dyDescent="0.3">
      <c r="X1961" s="1">
        <f t="shared" si="60"/>
        <v>0</v>
      </c>
      <c r="Y1961" s="1">
        <f t="shared" si="61"/>
        <v>15</v>
      </c>
    </row>
    <row r="1962" spans="24:25" x14ac:dyDescent="0.3">
      <c r="X1962" s="1">
        <f t="shared" si="60"/>
        <v>0</v>
      </c>
      <c r="Y1962" s="1">
        <f t="shared" si="61"/>
        <v>15</v>
      </c>
    </row>
    <row r="1963" spans="24:25" x14ac:dyDescent="0.3">
      <c r="X1963" s="1">
        <f t="shared" si="60"/>
        <v>0</v>
      </c>
      <c r="Y1963" s="1">
        <f t="shared" si="61"/>
        <v>15</v>
      </c>
    </row>
    <row r="1964" spans="24:25" x14ac:dyDescent="0.3">
      <c r="X1964" s="1">
        <f t="shared" si="60"/>
        <v>0</v>
      </c>
      <c r="Y1964" s="1">
        <f t="shared" si="61"/>
        <v>15</v>
      </c>
    </row>
    <row r="1965" spans="24:25" x14ac:dyDescent="0.3">
      <c r="X1965" s="1">
        <f t="shared" si="60"/>
        <v>0</v>
      </c>
      <c r="Y1965" s="1">
        <f t="shared" si="61"/>
        <v>15</v>
      </c>
    </row>
    <row r="1966" spans="24:25" x14ac:dyDescent="0.3">
      <c r="X1966" s="1">
        <f t="shared" si="60"/>
        <v>0</v>
      </c>
      <c r="Y1966" s="1">
        <f t="shared" si="61"/>
        <v>15</v>
      </c>
    </row>
    <row r="1967" spans="24:25" x14ac:dyDescent="0.3">
      <c r="X1967" s="1">
        <f t="shared" si="60"/>
        <v>0</v>
      </c>
      <c r="Y1967" s="1">
        <f t="shared" si="61"/>
        <v>15</v>
      </c>
    </row>
    <row r="1968" spans="24:25" x14ac:dyDescent="0.3">
      <c r="X1968" s="1">
        <f t="shared" si="60"/>
        <v>0</v>
      </c>
      <c r="Y1968" s="1">
        <f t="shared" si="61"/>
        <v>15</v>
      </c>
    </row>
    <row r="1969" spans="24:25" x14ac:dyDescent="0.3">
      <c r="X1969" s="1">
        <f t="shared" si="60"/>
        <v>0</v>
      </c>
      <c r="Y1969" s="1">
        <f t="shared" si="61"/>
        <v>15</v>
      </c>
    </row>
    <row r="1970" spans="24:25" x14ac:dyDescent="0.3">
      <c r="X1970" s="1">
        <f t="shared" si="60"/>
        <v>0</v>
      </c>
      <c r="Y1970" s="1">
        <f t="shared" si="61"/>
        <v>15</v>
      </c>
    </row>
    <row r="1971" spans="24:25" x14ac:dyDescent="0.3">
      <c r="X1971" s="1">
        <f t="shared" si="60"/>
        <v>0</v>
      </c>
      <c r="Y1971" s="1">
        <f t="shared" si="61"/>
        <v>15</v>
      </c>
    </row>
    <row r="1972" spans="24:25" x14ac:dyDescent="0.3">
      <c r="X1972" s="1">
        <f t="shared" si="60"/>
        <v>0</v>
      </c>
      <c r="Y1972" s="1">
        <f t="shared" si="61"/>
        <v>15</v>
      </c>
    </row>
    <row r="1973" spans="24:25" x14ac:dyDescent="0.3">
      <c r="X1973" s="1">
        <f t="shared" si="60"/>
        <v>0</v>
      </c>
      <c r="Y1973" s="1">
        <f t="shared" si="61"/>
        <v>15</v>
      </c>
    </row>
    <row r="1974" spans="24:25" x14ac:dyDescent="0.3">
      <c r="X1974" s="1">
        <f t="shared" si="60"/>
        <v>0</v>
      </c>
      <c r="Y1974" s="1">
        <f t="shared" si="61"/>
        <v>15</v>
      </c>
    </row>
    <row r="1975" spans="24:25" x14ac:dyDescent="0.3">
      <c r="X1975" s="1">
        <f t="shared" si="60"/>
        <v>0</v>
      </c>
      <c r="Y1975" s="1">
        <f t="shared" si="61"/>
        <v>15</v>
      </c>
    </row>
    <row r="1976" spans="24:25" x14ac:dyDescent="0.3">
      <c r="X1976" s="1">
        <f t="shared" si="60"/>
        <v>0</v>
      </c>
      <c r="Y1976" s="1">
        <f t="shared" si="61"/>
        <v>15</v>
      </c>
    </row>
    <row r="1977" spans="24:25" x14ac:dyDescent="0.3">
      <c r="X1977" s="1">
        <f t="shared" si="60"/>
        <v>0</v>
      </c>
      <c r="Y1977" s="1">
        <f t="shared" si="61"/>
        <v>15</v>
      </c>
    </row>
    <row r="1978" spans="24:25" x14ac:dyDescent="0.3">
      <c r="X1978" s="1">
        <f t="shared" si="60"/>
        <v>0</v>
      </c>
      <c r="Y1978" s="1">
        <f t="shared" si="61"/>
        <v>15</v>
      </c>
    </row>
    <row r="1979" spans="24:25" x14ac:dyDescent="0.3">
      <c r="X1979" s="1">
        <f t="shared" si="60"/>
        <v>0</v>
      </c>
      <c r="Y1979" s="1">
        <f t="shared" si="61"/>
        <v>15</v>
      </c>
    </row>
    <row r="1980" spans="24:25" x14ac:dyDescent="0.3">
      <c r="X1980" s="1">
        <f t="shared" si="60"/>
        <v>0</v>
      </c>
      <c r="Y1980" s="1">
        <f t="shared" si="61"/>
        <v>15</v>
      </c>
    </row>
    <row r="1981" spans="24:25" x14ac:dyDescent="0.3">
      <c r="X1981" s="1">
        <f t="shared" si="60"/>
        <v>0</v>
      </c>
      <c r="Y1981" s="1">
        <f t="shared" si="61"/>
        <v>15</v>
      </c>
    </row>
    <row r="1982" spans="24:25" x14ac:dyDescent="0.3">
      <c r="X1982" s="1">
        <f t="shared" si="60"/>
        <v>0</v>
      </c>
      <c r="Y1982" s="1">
        <f t="shared" si="61"/>
        <v>15</v>
      </c>
    </row>
    <row r="1983" spans="24:25" x14ac:dyDescent="0.3">
      <c r="X1983" s="1">
        <f t="shared" si="60"/>
        <v>0</v>
      </c>
      <c r="Y1983" s="1">
        <f t="shared" si="61"/>
        <v>15</v>
      </c>
    </row>
    <row r="1984" spans="24:25" x14ac:dyDescent="0.3">
      <c r="X1984" s="1">
        <f t="shared" si="60"/>
        <v>0</v>
      </c>
      <c r="Y1984" s="1">
        <f t="shared" si="61"/>
        <v>15</v>
      </c>
    </row>
    <row r="1985" spans="24:25" x14ac:dyDescent="0.3">
      <c r="X1985" s="1">
        <f t="shared" si="60"/>
        <v>0</v>
      </c>
      <c r="Y1985" s="1">
        <f t="shared" si="61"/>
        <v>15</v>
      </c>
    </row>
    <row r="1986" spans="24:25" x14ac:dyDescent="0.3">
      <c r="X1986" s="1">
        <f t="shared" si="60"/>
        <v>0</v>
      </c>
      <c r="Y1986" s="1">
        <f t="shared" si="61"/>
        <v>15</v>
      </c>
    </row>
    <row r="1987" spans="24:25" x14ac:dyDescent="0.3">
      <c r="X1987" s="1">
        <f t="shared" ref="X1987:X2050" si="62">IFERROR(MATCH(W1987,$B:$B,0),0)</f>
        <v>0</v>
      </c>
      <c r="Y1987" s="1">
        <f t="shared" ref="Y1987:Y2050" si="63">IF(X1988=0,COUNTA(A:A),X1988-1)</f>
        <v>15</v>
      </c>
    </row>
    <row r="1988" spans="24:25" x14ac:dyDescent="0.3">
      <c r="X1988" s="1">
        <f t="shared" si="62"/>
        <v>0</v>
      </c>
      <c r="Y1988" s="1">
        <f t="shared" si="63"/>
        <v>15</v>
      </c>
    </row>
    <row r="1989" spans="24:25" x14ac:dyDescent="0.3">
      <c r="X1989" s="1">
        <f t="shared" si="62"/>
        <v>0</v>
      </c>
      <c r="Y1989" s="1">
        <f t="shared" si="63"/>
        <v>15</v>
      </c>
    </row>
    <row r="1990" spans="24:25" x14ac:dyDescent="0.3">
      <c r="X1990" s="1">
        <f t="shared" si="62"/>
        <v>0</v>
      </c>
      <c r="Y1990" s="1">
        <f t="shared" si="63"/>
        <v>15</v>
      </c>
    </row>
    <row r="1991" spans="24:25" x14ac:dyDescent="0.3">
      <c r="X1991" s="1">
        <f t="shared" si="62"/>
        <v>0</v>
      </c>
      <c r="Y1991" s="1">
        <f t="shared" si="63"/>
        <v>15</v>
      </c>
    </row>
    <row r="1992" spans="24:25" x14ac:dyDescent="0.3">
      <c r="X1992" s="1">
        <f t="shared" si="62"/>
        <v>0</v>
      </c>
      <c r="Y1992" s="1">
        <f t="shared" si="63"/>
        <v>15</v>
      </c>
    </row>
    <row r="1993" spans="24:25" x14ac:dyDescent="0.3">
      <c r="X1993" s="1">
        <f t="shared" si="62"/>
        <v>0</v>
      </c>
      <c r="Y1993" s="1">
        <f t="shared" si="63"/>
        <v>15</v>
      </c>
    </row>
    <row r="1994" spans="24:25" x14ac:dyDescent="0.3">
      <c r="X1994" s="1">
        <f t="shared" si="62"/>
        <v>0</v>
      </c>
      <c r="Y1994" s="1">
        <f t="shared" si="63"/>
        <v>15</v>
      </c>
    </row>
    <row r="1995" spans="24:25" x14ac:dyDescent="0.3">
      <c r="X1995" s="1">
        <f t="shared" si="62"/>
        <v>0</v>
      </c>
      <c r="Y1995" s="1">
        <f t="shared" si="63"/>
        <v>15</v>
      </c>
    </row>
    <row r="1996" spans="24:25" x14ac:dyDescent="0.3">
      <c r="X1996" s="1">
        <f t="shared" si="62"/>
        <v>0</v>
      </c>
      <c r="Y1996" s="1">
        <f t="shared" si="63"/>
        <v>15</v>
      </c>
    </row>
    <row r="1997" spans="24:25" x14ac:dyDescent="0.3">
      <c r="X1997" s="1">
        <f t="shared" si="62"/>
        <v>0</v>
      </c>
      <c r="Y1997" s="1">
        <f t="shared" si="63"/>
        <v>15</v>
      </c>
    </row>
    <row r="1998" spans="24:25" x14ac:dyDescent="0.3">
      <c r="X1998" s="1">
        <f t="shared" si="62"/>
        <v>0</v>
      </c>
      <c r="Y1998" s="1">
        <f t="shared" si="63"/>
        <v>15</v>
      </c>
    </row>
    <row r="1999" spans="24:25" x14ac:dyDescent="0.3">
      <c r="X1999" s="1">
        <f t="shared" si="62"/>
        <v>0</v>
      </c>
      <c r="Y1999" s="1">
        <f t="shared" si="63"/>
        <v>15</v>
      </c>
    </row>
    <row r="2000" spans="24:25" x14ac:dyDescent="0.3">
      <c r="X2000" s="1">
        <f t="shared" si="62"/>
        <v>0</v>
      </c>
      <c r="Y2000" s="1">
        <f t="shared" si="63"/>
        <v>15</v>
      </c>
    </row>
    <row r="2001" spans="24:25" x14ac:dyDescent="0.3">
      <c r="X2001" s="1">
        <f t="shared" si="62"/>
        <v>0</v>
      </c>
      <c r="Y2001" s="1">
        <f t="shared" si="63"/>
        <v>15</v>
      </c>
    </row>
    <row r="2002" spans="24:25" x14ac:dyDescent="0.3">
      <c r="X2002" s="1">
        <f t="shared" si="62"/>
        <v>0</v>
      </c>
      <c r="Y2002" s="1">
        <f t="shared" si="63"/>
        <v>15</v>
      </c>
    </row>
    <row r="2003" spans="24:25" x14ac:dyDescent="0.3">
      <c r="X2003" s="1">
        <f t="shared" si="62"/>
        <v>0</v>
      </c>
      <c r="Y2003" s="1">
        <f t="shared" si="63"/>
        <v>15</v>
      </c>
    </row>
    <row r="2004" spans="24:25" x14ac:dyDescent="0.3">
      <c r="X2004" s="1">
        <f t="shared" si="62"/>
        <v>0</v>
      </c>
      <c r="Y2004" s="1">
        <f t="shared" si="63"/>
        <v>15</v>
      </c>
    </row>
    <row r="2005" spans="24:25" x14ac:dyDescent="0.3">
      <c r="X2005" s="1">
        <f t="shared" si="62"/>
        <v>0</v>
      </c>
      <c r="Y2005" s="1">
        <f t="shared" si="63"/>
        <v>15</v>
      </c>
    </row>
    <row r="2006" spans="24:25" x14ac:dyDescent="0.3">
      <c r="X2006" s="1">
        <f t="shared" si="62"/>
        <v>0</v>
      </c>
      <c r="Y2006" s="1">
        <f t="shared" si="63"/>
        <v>15</v>
      </c>
    </row>
    <row r="2007" spans="24:25" x14ac:dyDescent="0.3">
      <c r="X2007" s="1">
        <f t="shared" si="62"/>
        <v>0</v>
      </c>
      <c r="Y2007" s="1">
        <f t="shared" si="63"/>
        <v>15</v>
      </c>
    </row>
    <row r="2008" spans="24:25" x14ac:dyDescent="0.3">
      <c r="X2008" s="1">
        <f t="shared" si="62"/>
        <v>0</v>
      </c>
      <c r="Y2008" s="1">
        <f t="shared" si="63"/>
        <v>15</v>
      </c>
    </row>
    <row r="2009" spans="24:25" x14ac:dyDescent="0.3">
      <c r="X2009" s="1">
        <f t="shared" si="62"/>
        <v>0</v>
      </c>
      <c r="Y2009" s="1">
        <f t="shared" si="63"/>
        <v>15</v>
      </c>
    </row>
    <row r="2010" spans="24:25" x14ac:dyDescent="0.3">
      <c r="X2010" s="1">
        <f t="shared" si="62"/>
        <v>0</v>
      </c>
      <c r="Y2010" s="1">
        <f t="shared" si="63"/>
        <v>15</v>
      </c>
    </row>
    <row r="2011" spans="24:25" x14ac:dyDescent="0.3">
      <c r="X2011" s="1">
        <f t="shared" si="62"/>
        <v>0</v>
      </c>
      <c r="Y2011" s="1">
        <f t="shared" si="63"/>
        <v>15</v>
      </c>
    </row>
    <row r="2012" spans="24:25" x14ac:dyDescent="0.3">
      <c r="X2012" s="1">
        <f t="shared" si="62"/>
        <v>0</v>
      </c>
      <c r="Y2012" s="1">
        <f t="shared" si="63"/>
        <v>15</v>
      </c>
    </row>
    <row r="2013" spans="24:25" x14ac:dyDescent="0.3">
      <c r="X2013" s="1">
        <f t="shared" si="62"/>
        <v>0</v>
      </c>
      <c r="Y2013" s="1">
        <f t="shared" si="63"/>
        <v>15</v>
      </c>
    </row>
    <row r="2014" spans="24:25" x14ac:dyDescent="0.3">
      <c r="X2014" s="1">
        <f t="shared" si="62"/>
        <v>0</v>
      </c>
      <c r="Y2014" s="1">
        <f t="shared" si="63"/>
        <v>15</v>
      </c>
    </row>
    <row r="2015" spans="24:25" x14ac:dyDescent="0.3">
      <c r="X2015" s="1">
        <f t="shared" si="62"/>
        <v>0</v>
      </c>
      <c r="Y2015" s="1">
        <f t="shared" si="63"/>
        <v>15</v>
      </c>
    </row>
    <row r="2016" spans="24:25" x14ac:dyDescent="0.3">
      <c r="X2016" s="1">
        <f t="shared" si="62"/>
        <v>0</v>
      </c>
      <c r="Y2016" s="1">
        <f t="shared" si="63"/>
        <v>15</v>
      </c>
    </row>
    <row r="2017" spans="24:25" x14ac:dyDescent="0.3">
      <c r="X2017" s="1">
        <f t="shared" si="62"/>
        <v>0</v>
      </c>
      <c r="Y2017" s="1">
        <f t="shared" si="63"/>
        <v>15</v>
      </c>
    </row>
    <row r="2018" spans="24:25" x14ac:dyDescent="0.3">
      <c r="X2018" s="1">
        <f t="shared" si="62"/>
        <v>0</v>
      </c>
      <c r="Y2018" s="1">
        <f t="shared" si="63"/>
        <v>15</v>
      </c>
    </row>
    <row r="2019" spans="24:25" x14ac:dyDescent="0.3">
      <c r="X2019" s="1">
        <f t="shared" si="62"/>
        <v>0</v>
      </c>
      <c r="Y2019" s="1">
        <f t="shared" si="63"/>
        <v>15</v>
      </c>
    </row>
    <row r="2020" spans="24:25" x14ac:dyDescent="0.3">
      <c r="X2020" s="1">
        <f t="shared" si="62"/>
        <v>0</v>
      </c>
      <c r="Y2020" s="1">
        <f t="shared" si="63"/>
        <v>15</v>
      </c>
    </row>
    <row r="2021" spans="24:25" x14ac:dyDescent="0.3">
      <c r="X2021" s="1">
        <f t="shared" si="62"/>
        <v>0</v>
      </c>
      <c r="Y2021" s="1">
        <f t="shared" si="63"/>
        <v>15</v>
      </c>
    </row>
    <row r="2022" spans="24:25" x14ac:dyDescent="0.3">
      <c r="X2022" s="1">
        <f t="shared" si="62"/>
        <v>0</v>
      </c>
      <c r="Y2022" s="1">
        <f t="shared" si="63"/>
        <v>15</v>
      </c>
    </row>
    <row r="2023" spans="24:25" x14ac:dyDescent="0.3">
      <c r="X2023" s="1">
        <f t="shared" si="62"/>
        <v>0</v>
      </c>
      <c r="Y2023" s="1">
        <f t="shared" si="63"/>
        <v>15</v>
      </c>
    </row>
    <row r="2024" spans="24:25" x14ac:dyDescent="0.3">
      <c r="X2024" s="1">
        <f t="shared" si="62"/>
        <v>0</v>
      </c>
      <c r="Y2024" s="1">
        <f t="shared" si="63"/>
        <v>15</v>
      </c>
    </row>
    <row r="2025" spans="24:25" x14ac:dyDescent="0.3">
      <c r="X2025" s="1">
        <f t="shared" si="62"/>
        <v>0</v>
      </c>
      <c r="Y2025" s="1">
        <f t="shared" si="63"/>
        <v>15</v>
      </c>
    </row>
    <row r="2026" spans="24:25" x14ac:dyDescent="0.3">
      <c r="X2026" s="1">
        <f t="shared" si="62"/>
        <v>0</v>
      </c>
      <c r="Y2026" s="1">
        <f t="shared" si="63"/>
        <v>15</v>
      </c>
    </row>
    <row r="2027" spans="24:25" x14ac:dyDescent="0.3">
      <c r="X2027" s="1">
        <f t="shared" si="62"/>
        <v>0</v>
      </c>
      <c r="Y2027" s="1">
        <f t="shared" si="63"/>
        <v>15</v>
      </c>
    </row>
    <row r="2028" spans="24:25" x14ac:dyDescent="0.3">
      <c r="X2028" s="1">
        <f t="shared" si="62"/>
        <v>0</v>
      </c>
      <c r="Y2028" s="1">
        <f t="shared" si="63"/>
        <v>15</v>
      </c>
    </row>
    <row r="2029" spans="24:25" x14ac:dyDescent="0.3">
      <c r="X2029" s="1">
        <f t="shared" si="62"/>
        <v>0</v>
      </c>
      <c r="Y2029" s="1">
        <f t="shared" si="63"/>
        <v>15</v>
      </c>
    </row>
    <row r="2030" spans="24:25" x14ac:dyDescent="0.3">
      <c r="X2030" s="1">
        <f t="shared" si="62"/>
        <v>0</v>
      </c>
      <c r="Y2030" s="1">
        <f t="shared" si="63"/>
        <v>15</v>
      </c>
    </row>
    <row r="2031" spans="24:25" x14ac:dyDescent="0.3">
      <c r="X2031" s="1">
        <f t="shared" si="62"/>
        <v>0</v>
      </c>
      <c r="Y2031" s="1">
        <f t="shared" si="63"/>
        <v>15</v>
      </c>
    </row>
    <row r="2032" spans="24:25" x14ac:dyDescent="0.3">
      <c r="X2032" s="1">
        <f t="shared" si="62"/>
        <v>0</v>
      </c>
      <c r="Y2032" s="1">
        <f t="shared" si="63"/>
        <v>15</v>
      </c>
    </row>
    <row r="2033" spans="24:25" x14ac:dyDescent="0.3">
      <c r="X2033" s="1">
        <f t="shared" si="62"/>
        <v>0</v>
      </c>
      <c r="Y2033" s="1">
        <f t="shared" si="63"/>
        <v>15</v>
      </c>
    </row>
    <row r="2034" spans="24:25" x14ac:dyDescent="0.3">
      <c r="X2034" s="1">
        <f t="shared" si="62"/>
        <v>0</v>
      </c>
      <c r="Y2034" s="1">
        <f t="shared" si="63"/>
        <v>15</v>
      </c>
    </row>
    <row r="2035" spans="24:25" x14ac:dyDescent="0.3">
      <c r="X2035" s="1">
        <f t="shared" si="62"/>
        <v>0</v>
      </c>
      <c r="Y2035" s="1">
        <f t="shared" si="63"/>
        <v>15</v>
      </c>
    </row>
    <row r="2036" spans="24:25" x14ac:dyDescent="0.3">
      <c r="X2036" s="1">
        <f t="shared" si="62"/>
        <v>0</v>
      </c>
      <c r="Y2036" s="1">
        <f t="shared" si="63"/>
        <v>15</v>
      </c>
    </row>
    <row r="2037" spans="24:25" x14ac:dyDescent="0.3">
      <c r="X2037" s="1">
        <f t="shared" si="62"/>
        <v>0</v>
      </c>
      <c r="Y2037" s="1">
        <f t="shared" si="63"/>
        <v>15</v>
      </c>
    </row>
    <row r="2038" spans="24:25" x14ac:dyDescent="0.3">
      <c r="X2038" s="1">
        <f t="shared" si="62"/>
        <v>0</v>
      </c>
      <c r="Y2038" s="1">
        <f t="shared" si="63"/>
        <v>15</v>
      </c>
    </row>
    <row r="2039" spans="24:25" x14ac:dyDescent="0.3">
      <c r="X2039" s="1">
        <f t="shared" si="62"/>
        <v>0</v>
      </c>
      <c r="Y2039" s="1">
        <f t="shared" si="63"/>
        <v>15</v>
      </c>
    </row>
    <row r="2040" spans="24:25" x14ac:dyDescent="0.3">
      <c r="X2040" s="1">
        <f t="shared" si="62"/>
        <v>0</v>
      </c>
      <c r="Y2040" s="1">
        <f t="shared" si="63"/>
        <v>15</v>
      </c>
    </row>
    <row r="2041" spans="24:25" x14ac:dyDescent="0.3">
      <c r="X2041" s="1">
        <f t="shared" si="62"/>
        <v>0</v>
      </c>
      <c r="Y2041" s="1">
        <f t="shared" si="63"/>
        <v>15</v>
      </c>
    </row>
    <row r="2042" spans="24:25" x14ac:dyDescent="0.3">
      <c r="X2042" s="1">
        <f t="shared" si="62"/>
        <v>0</v>
      </c>
      <c r="Y2042" s="1">
        <f t="shared" si="63"/>
        <v>15</v>
      </c>
    </row>
    <row r="2043" spans="24:25" x14ac:dyDescent="0.3">
      <c r="X2043" s="1">
        <f t="shared" si="62"/>
        <v>0</v>
      </c>
      <c r="Y2043" s="1">
        <f t="shared" si="63"/>
        <v>15</v>
      </c>
    </row>
    <row r="2044" spans="24:25" x14ac:dyDescent="0.3">
      <c r="X2044" s="1">
        <f t="shared" si="62"/>
        <v>0</v>
      </c>
      <c r="Y2044" s="1">
        <f t="shared" si="63"/>
        <v>15</v>
      </c>
    </row>
    <row r="2045" spans="24:25" x14ac:dyDescent="0.3">
      <c r="X2045" s="1">
        <f t="shared" si="62"/>
        <v>0</v>
      </c>
      <c r="Y2045" s="1">
        <f t="shared" si="63"/>
        <v>15</v>
      </c>
    </row>
    <row r="2046" spans="24:25" x14ac:dyDescent="0.3">
      <c r="X2046" s="1">
        <f t="shared" si="62"/>
        <v>0</v>
      </c>
      <c r="Y2046" s="1">
        <f t="shared" si="63"/>
        <v>15</v>
      </c>
    </row>
    <row r="2047" spans="24:25" x14ac:dyDescent="0.3">
      <c r="X2047" s="1">
        <f t="shared" si="62"/>
        <v>0</v>
      </c>
      <c r="Y2047" s="1">
        <f t="shared" si="63"/>
        <v>15</v>
      </c>
    </row>
    <row r="2048" spans="24:25" x14ac:dyDescent="0.3">
      <c r="X2048" s="1">
        <f t="shared" si="62"/>
        <v>0</v>
      </c>
      <c r="Y2048" s="1">
        <f t="shared" si="63"/>
        <v>15</v>
      </c>
    </row>
    <row r="2049" spans="24:25" x14ac:dyDescent="0.3">
      <c r="X2049" s="1">
        <f t="shared" si="62"/>
        <v>0</v>
      </c>
      <c r="Y2049" s="1">
        <f t="shared" si="63"/>
        <v>15</v>
      </c>
    </row>
    <row r="2050" spans="24:25" x14ac:dyDescent="0.3">
      <c r="X2050" s="1">
        <f t="shared" si="62"/>
        <v>0</v>
      </c>
      <c r="Y2050" s="1">
        <f t="shared" si="63"/>
        <v>15</v>
      </c>
    </row>
    <row r="2051" spans="24:25" x14ac:dyDescent="0.3">
      <c r="X2051" s="1">
        <f t="shared" ref="X2051:X2114" si="64">IFERROR(MATCH(W2051,$B:$B,0),0)</f>
        <v>0</v>
      </c>
      <c r="Y2051" s="1">
        <f t="shared" ref="Y2051:Y2114" si="65">IF(X2052=0,COUNTA(A:A),X2052-1)</f>
        <v>15</v>
      </c>
    </row>
    <row r="2052" spans="24:25" x14ac:dyDescent="0.3">
      <c r="X2052" s="1">
        <f t="shared" si="64"/>
        <v>0</v>
      </c>
      <c r="Y2052" s="1">
        <f t="shared" si="65"/>
        <v>15</v>
      </c>
    </row>
    <row r="2053" spans="24:25" x14ac:dyDescent="0.3">
      <c r="X2053" s="1">
        <f t="shared" si="64"/>
        <v>0</v>
      </c>
      <c r="Y2053" s="1">
        <f t="shared" si="65"/>
        <v>15</v>
      </c>
    </row>
    <row r="2054" spans="24:25" x14ac:dyDescent="0.3">
      <c r="X2054" s="1">
        <f t="shared" si="64"/>
        <v>0</v>
      </c>
      <c r="Y2054" s="1">
        <f t="shared" si="65"/>
        <v>15</v>
      </c>
    </row>
    <row r="2055" spans="24:25" x14ac:dyDescent="0.3">
      <c r="X2055" s="1">
        <f t="shared" si="64"/>
        <v>0</v>
      </c>
      <c r="Y2055" s="1">
        <f t="shared" si="65"/>
        <v>15</v>
      </c>
    </row>
    <row r="2056" spans="24:25" x14ac:dyDescent="0.3">
      <c r="X2056" s="1">
        <f t="shared" si="64"/>
        <v>0</v>
      </c>
      <c r="Y2056" s="1">
        <f t="shared" si="65"/>
        <v>15</v>
      </c>
    </row>
    <row r="2057" spans="24:25" x14ac:dyDescent="0.3">
      <c r="X2057" s="1">
        <f t="shared" si="64"/>
        <v>0</v>
      </c>
      <c r="Y2057" s="1">
        <f t="shared" si="65"/>
        <v>15</v>
      </c>
    </row>
    <row r="2058" spans="24:25" x14ac:dyDescent="0.3">
      <c r="X2058" s="1">
        <f t="shared" si="64"/>
        <v>0</v>
      </c>
      <c r="Y2058" s="1">
        <f t="shared" si="65"/>
        <v>15</v>
      </c>
    </row>
    <row r="2059" spans="24:25" x14ac:dyDescent="0.3">
      <c r="X2059" s="1">
        <f t="shared" si="64"/>
        <v>0</v>
      </c>
      <c r="Y2059" s="1">
        <f t="shared" si="65"/>
        <v>15</v>
      </c>
    </row>
    <row r="2060" spans="24:25" x14ac:dyDescent="0.3">
      <c r="X2060" s="1">
        <f t="shared" si="64"/>
        <v>0</v>
      </c>
      <c r="Y2060" s="1">
        <f t="shared" si="65"/>
        <v>15</v>
      </c>
    </row>
    <row r="2061" spans="24:25" x14ac:dyDescent="0.3">
      <c r="X2061" s="1">
        <f t="shared" si="64"/>
        <v>0</v>
      </c>
      <c r="Y2061" s="1">
        <f t="shared" si="65"/>
        <v>15</v>
      </c>
    </row>
    <row r="2062" spans="24:25" x14ac:dyDescent="0.3">
      <c r="X2062" s="1">
        <f t="shared" si="64"/>
        <v>0</v>
      </c>
      <c r="Y2062" s="1">
        <f t="shared" si="65"/>
        <v>15</v>
      </c>
    </row>
    <row r="2063" spans="24:25" x14ac:dyDescent="0.3">
      <c r="X2063" s="1">
        <f t="shared" si="64"/>
        <v>0</v>
      </c>
      <c r="Y2063" s="1">
        <f t="shared" si="65"/>
        <v>15</v>
      </c>
    </row>
    <row r="2064" spans="24:25" x14ac:dyDescent="0.3">
      <c r="X2064" s="1">
        <f t="shared" si="64"/>
        <v>0</v>
      </c>
      <c r="Y2064" s="1">
        <f t="shared" si="65"/>
        <v>15</v>
      </c>
    </row>
    <row r="2065" spans="24:25" x14ac:dyDescent="0.3">
      <c r="X2065" s="1">
        <f t="shared" si="64"/>
        <v>0</v>
      </c>
      <c r="Y2065" s="1">
        <f t="shared" si="65"/>
        <v>15</v>
      </c>
    </row>
    <row r="2066" spans="24:25" x14ac:dyDescent="0.3">
      <c r="X2066" s="1">
        <f t="shared" si="64"/>
        <v>0</v>
      </c>
      <c r="Y2066" s="1">
        <f t="shared" si="65"/>
        <v>15</v>
      </c>
    </row>
    <row r="2067" spans="24:25" x14ac:dyDescent="0.3">
      <c r="X2067" s="1">
        <f t="shared" si="64"/>
        <v>0</v>
      </c>
      <c r="Y2067" s="1">
        <f t="shared" si="65"/>
        <v>15</v>
      </c>
    </row>
    <row r="2068" spans="24:25" x14ac:dyDescent="0.3">
      <c r="X2068" s="1">
        <f t="shared" si="64"/>
        <v>0</v>
      </c>
      <c r="Y2068" s="1">
        <f t="shared" si="65"/>
        <v>15</v>
      </c>
    </row>
    <row r="2069" spans="24:25" x14ac:dyDescent="0.3">
      <c r="X2069" s="1">
        <f t="shared" si="64"/>
        <v>0</v>
      </c>
      <c r="Y2069" s="1">
        <f t="shared" si="65"/>
        <v>15</v>
      </c>
    </row>
    <row r="2070" spans="24:25" x14ac:dyDescent="0.3">
      <c r="X2070" s="1">
        <f t="shared" si="64"/>
        <v>0</v>
      </c>
      <c r="Y2070" s="1">
        <f t="shared" si="65"/>
        <v>15</v>
      </c>
    </row>
    <row r="2071" spans="24:25" x14ac:dyDescent="0.3">
      <c r="X2071" s="1">
        <f t="shared" si="64"/>
        <v>0</v>
      </c>
      <c r="Y2071" s="1">
        <f t="shared" si="65"/>
        <v>15</v>
      </c>
    </row>
    <row r="2072" spans="24:25" x14ac:dyDescent="0.3">
      <c r="X2072" s="1">
        <f t="shared" si="64"/>
        <v>0</v>
      </c>
      <c r="Y2072" s="1">
        <f t="shared" si="65"/>
        <v>15</v>
      </c>
    </row>
    <row r="2073" spans="24:25" x14ac:dyDescent="0.3">
      <c r="X2073" s="1">
        <f t="shared" si="64"/>
        <v>0</v>
      </c>
      <c r="Y2073" s="1">
        <f t="shared" si="65"/>
        <v>15</v>
      </c>
    </row>
    <row r="2074" spans="24:25" x14ac:dyDescent="0.3">
      <c r="X2074" s="1">
        <f t="shared" si="64"/>
        <v>0</v>
      </c>
      <c r="Y2074" s="1">
        <f t="shared" si="65"/>
        <v>15</v>
      </c>
    </row>
    <row r="2075" spans="24:25" x14ac:dyDescent="0.3">
      <c r="X2075" s="1">
        <f t="shared" si="64"/>
        <v>0</v>
      </c>
      <c r="Y2075" s="1">
        <f t="shared" si="65"/>
        <v>15</v>
      </c>
    </row>
    <row r="2076" spans="24:25" x14ac:dyDescent="0.3">
      <c r="X2076" s="1">
        <f t="shared" si="64"/>
        <v>0</v>
      </c>
      <c r="Y2076" s="1">
        <f t="shared" si="65"/>
        <v>15</v>
      </c>
    </row>
    <row r="2077" spans="24:25" x14ac:dyDescent="0.3">
      <c r="X2077" s="1">
        <f t="shared" si="64"/>
        <v>0</v>
      </c>
      <c r="Y2077" s="1">
        <f t="shared" si="65"/>
        <v>15</v>
      </c>
    </row>
    <row r="2078" spans="24:25" x14ac:dyDescent="0.3">
      <c r="X2078" s="1">
        <f t="shared" si="64"/>
        <v>0</v>
      </c>
      <c r="Y2078" s="1">
        <f t="shared" si="65"/>
        <v>15</v>
      </c>
    </row>
    <row r="2079" spans="24:25" x14ac:dyDescent="0.3">
      <c r="X2079" s="1">
        <f t="shared" si="64"/>
        <v>0</v>
      </c>
      <c r="Y2079" s="1">
        <f t="shared" si="65"/>
        <v>15</v>
      </c>
    </row>
    <row r="2080" spans="24:25" x14ac:dyDescent="0.3">
      <c r="X2080" s="1">
        <f t="shared" si="64"/>
        <v>0</v>
      </c>
      <c r="Y2080" s="1">
        <f t="shared" si="65"/>
        <v>15</v>
      </c>
    </row>
    <row r="2081" spans="24:25" x14ac:dyDescent="0.3">
      <c r="X2081" s="1">
        <f t="shared" si="64"/>
        <v>0</v>
      </c>
      <c r="Y2081" s="1">
        <f t="shared" si="65"/>
        <v>15</v>
      </c>
    </row>
    <row r="2082" spans="24:25" x14ac:dyDescent="0.3">
      <c r="X2082" s="1">
        <f t="shared" si="64"/>
        <v>0</v>
      </c>
      <c r="Y2082" s="1">
        <f t="shared" si="65"/>
        <v>15</v>
      </c>
    </row>
    <row r="2083" spans="24:25" x14ac:dyDescent="0.3">
      <c r="X2083" s="1">
        <f t="shared" si="64"/>
        <v>0</v>
      </c>
      <c r="Y2083" s="1">
        <f t="shared" si="65"/>
        <v>15</v>
      </c>
    </row>
    <row r="2084" spans="24:25" x14ac:dyDescent="0.3">
      <c r="X2084" s="1">
        <f t="shared" si="64"/>
        <v>0</v>
      </c>
      <c r="Y2084" s="1">
        <f t="shared" si="65"/>
        <v>15</v>
      </c>
    </row>
    <row r="2085" spans="24:25" x14ac:dyDescent="0.3">
      <c r="X2085" s="1">
        <f t="shared" si="64"/>
        <v>0</v>
      </c>
      <c r="Y2085" s="1">
        <f t="shared" si="65"/>
        <v>15</v>
      </c>
    </row>
    <row r="2086" spans="24:25" x14ac:dyDescent="0.3">
      <c r="X2086" s="1">
        <f t="shared" si="64"/>
        <v>0</v>
      </c>
      <c r="Y2086" s="1">
        <f t="shared" si="65"/>
        <v>15</v>
      </c>
    </row>
    <row r="2087" spans="24:25" x14ac:dyDescent="0.3">
      <c r="X2087" s="1">
        <f t="shared" si="64"/>
        <v>0</v>
      </c>
      <c r="Y2087" s="1">
        <f t="shared" si="65"/>
        <v>15</v>
      </c>
    </row>
    <row r="2088" spans="24:25" x14ac:dyDescent="0.3">
      <c r="X2088" s="1">
        <f t="shared" si="64"/>
        <v>0</v>
      </c>
      <c r="Y2088" s="1">
        <f t="shared" si="65"/>
        <v>15</v>
      </c>
    </row>
    <row r="2089" spans="24:25" x14ac:dyDescent="0.3">
      <c r="X2089" s="1">
        <f t="shared" si="64"/>
        <v>0</v>
      </c>
      <c r="Y2089" s="1">
        <f t="shared" si="65"/>
        <v>15</v>
      </c>
    </row>
    <row r="2090" spans="24:25" x14ac:dyDescent="0.3">
      <c r="X2090" s="1">
        <f t="shared" si="64"/>
        <v>0</v>
      </c>
      <c r="Y2090" s="1">
        <f t="shared" si="65"/>
        <v>15</v>
      </c>
    </row>
    <row r="2091" spans="24:25" x14ac:dyDescent="0.3">
      <c r="X2091" s="1">
        <f t="shared" si="64"/>
        <v>0</v>
      </c>
      <c r="Y2091" s="1">
        <f t="shared" si="65"/>
        <v>15</v>
      </c>
    </row>
    <row r="2092" spans="24:25" x14ac:dyDescent="0.3">
      <c r="X2092" s="1">
        <f t="shared" si="64"/>
        <v>0</v>
      </c>
      <c r="Y2092" s="1">
        <f t="shared" si="65"/>
        <v>15</v>
      </c>
    </row>
    <row r="2093" spans="24:25" x14ac:dyDescent="0.3">
      <c r="X2093" s="1">
        <f t="shared" si="64"/>
        <v>0</v>
      </c>
      <c r="Y2093" s="1">
        <f t="shared" si="65"/>
        <v>15</v>
      </c>
    </row>
    <row r="2094" spans="24:25" x14ac:dyDescent="0.3">
      <c r="X2094" s="1">
        <f t="shared" si="64"/>
        <v>0</v>
      </c>
      <c r="Y2094" s="1">
        <f t="shared" si="65"/>
        <v>15</v>
      </c>
    </row>
    <row r="2095" spans="24:25" x14ac:dyDescent="0.3">
      <c r="X2095" s="1">
        <f t="shared" si="64"/>
        <v>0</v>
      </c>
      <c r="Y2095" s="1">
        <f t="shared" si="65"/>
        <v>15</v>
      </c>
    </row>
    <row r="2096" spans="24:25" x14ac:dyDescent="0.3">
      <c r="X2096" s="1">
        <f t="shared" si="64"/>
        <v>0</v>
      </c>
      <c r="Y2096" s="1">
        <f t="shared" si="65"/>
        <v>15</v>
      </c>
    </row>
    <row r="2097" spans="24:25" x14ac:dyDescent="0.3">
      <c r="X2097" s="1">
        <f t="shared" si="64"/>
        <v>0</v>
      </c>
      <c r="Y2097" s="1">
        <f t="shared" si="65"/>
        <v>15</v>
      </c>
    </row>
    <row r="2098" spans="24:25" x14ac:dyDescent="0.3">
      <c r="X2098" s="1">
        <f t="shared" si="64"/>
        <v>0</v>
      </c>
      <c r="Y2098" s="1">
        <f t="shared" si="65"/>
        <v>15</v>
      </c>
    </row>
    <row r="2099" spans="24:25" x14ac:dyDescent="0.3">
      <c r="X2099" s="1">
        <f t="shared" si="64"/>
        <v>0</v>
      </c>
      <c r="Y2099" s="1">
        <f t="shared" si="65"/>
        <v>15</v>
      </c>
    </row>
    <row r="2100" spans="24:25" x14ac:dyDescent="0.3">
      <c r="X2100" s="1">
        <f t="shared" si="64"/>
        <v>0</v>
      </c>
      <c r="Y2100" s="1">
        <f t="shared" si="65"/>
        <v>15</v>
      </c>
    </row>
    <row r="2101" spans="24:25" x14ac:dyDescent="0.3">
      <c r="X2101" s="1">
        <f t="shared" si="64"/>
        <v>0</v>
      </c>
      <c r="Y2101" s="1">
        <f t="shared" si="65"/>
        <v>15</v>
      </c>
    </row>
    <row r="2102" spans="24:25" x14ac:dyDescent="0.3">
      <c r="X2102" s="1">
        <f t="shared" si="64"/>
        <v>0</v>
      </c>
      <c r="Y2102" s="1">
        <f t="shared" si="65"/>
        <v>15</v>
      </c>
    </row>
    <row r="2103" spans="24:25" x14ac:dyDescent="0.3">
      <c r="X2103" s="1">
        <f t="shared" si="64"/>
        <v>0</v>
      </c>
      <c r="Y2103" s="1">
        <f t="shared" si="65"/>
        <v>15</v>
      </c>
    </row>
    <row r="2104" spans="24:25" x14ac:dyDescent="0.3">
      <c r="X2104" s="1">
        <f t="shared" si="64"/>
        <v>0</v>
      </c>
      <c r="Y2104" s="1">
        <f t="shared" si="65"/>
        <v>15</v>
      </c>
    </row>
    <row r="2105" spans="24:25" x14ac:dyDescent="0.3">
      <c r="X2105" s="1">
        <f t="shared" si="64"/>
        <v>0</v>
      </c>
      <c r="Y2105" s="1">
        <f t="shared" si="65"/>
        <v>15</v>
      </c>
    </row>
    <row r="2106" spans="24:25" x14ac:dyDescent="0.3">
      <c r="X2106" s="1">
        <f t="shared" si="64"/>
        <v>0</v>
      </c>
      <c r="Y2106" s="1">
        <f t="shared" si="65"/>
        <v>15</v>
      </c>
    </row>
    <row r="2107" spans="24:25" x14ac:dyDescent="0.3">
      <c r="X2107" s="1">
        <f t="shared" si="64"/>
        <v>0</v>
      </c>
      <c r="Y2107" s="1">
        <f t="shared" si="65"/>
        <v>15</v>
      </c>
    </row>
    <row r="2108" spans="24:25" x14ac:dyDescent="0.3">
      <c r="X2108" s="1">
        <f t="shared" si="64"/>
        <v>0</v>
      </c>
      <c r="Y2108" s="1">
        <f t="shared" si="65"/>
        <v>15</v>
      </c>
    </row>
    <row r="2109" spans="24:25" x14ac:dyDescent="0.3">
      <c r="X2109" s="1">
        <f t="shared" si="64"/>
        <v>0</v>
      </c>
      <c r="Y2109" s="1">
        <f t="shared" si="65"/>
        <v>15</v>
      </c>
    </row>
    <row r="2110" spans="24:25" x14ac:dyDescent="0.3">
      <c r="X2110" s="1">
        <f t="shared" si="64"/>
        <v>0</v>
      </c>
      <c r="Y2110" s="1">
        <f t="shared" si="65"/>
        <v>15</v>
      </c>
    </row>
    <row r="2111" spans="24:25" x14ac:dyDescent="0.3">
      <c r="X2111" s="1">
        <f t="shared" si="64"/>
        <v>0</v>
      </c>
      <c r="Y2111" s="1">
        <f t="shared" si="65"/>
        <v>15</v>
      </c>
    </row>
    <row r="2112" spans="24:25" x14ac:dyDescent="0.3">
      <c r="X2112" s="1">
        <f t="shared" si="64"/>
        <v>0</v>
      </c>
      <c r="Y2112" s="1">
        <f t="shared" si="65"/>
        <v>15</v>
      </c>
    </row>
    <row r="2113" spans="24:25" x14ac:dyDescent="0.3">
      <c r="X2113" s="1">
        <f t="shared" si="64"/>
        <v>0</v>
      </c>
      <c r="Y2113" s="1">
        <f t="shared" si="65"/>
        <v>15</v>
      </c>
    </row>
    <row r="2114" spans="24:25" x14ac:dyDescent="0.3">
      <c r="X2114" s="1">
        <f t="shared" si="64"/>
        <v>0</v>
      </c>
      <c r="Y2114" s="1">
        <f t="shared" si="65"/>
        <v>15</v>
      </c>
    </row>
    <row r="2115" spans="24:25" x14ac:dyDescent="0.3">
      <c r="X2115" s="1">
        <f t="shared" ref="X2115:X2178" si="66">IFERROR(MATCH(W2115,$B:$B,0),0)</f>
        <v>0</v>
      </c>
      <c r="Y2115" s="1">
        <f t="shared" ref="Y2115:Y2178" si="67">IF(X2116=0,COUNTA(A:A),X2116-1)</f>
        <v>15</v>
      </c>
    </row>
    <row r="2116" spans="24:25" x14ac:dyDescent="0.3">
      <c r="X2116" s="1">
        <f t="shared" si="66"/>
        <v>0</v>
      </c>
      <c r="Y2116" s="1">
        <f t="shared" si="67"/>
        <v>15</v>
      </c>
    </row>
    <row r="2117" spans="24:25" x14ac:dyDescent="0.3">
      <c r="X2117" s="1">
        <f t="shared" si="66"/>
        <v>0</v>
      </c>
      <c r="Y2117" s="1">
        <f t="shared" si="67"/>
        <v>15</v>
      </c>
    </row>
    <row r="2118" spans="24:25" x14ac:dyDescent="0.3">
      <c r="X2118" s="1">
        <f t="shared" si="66"/>
        <v>0</v>
      </c>
      <c r="Y2118" s="1">
        <f t="shared" si="67"/>
        <v>15</v>
      </c>
    </row>
    <row r="2119" spans="24:25" x14ac:dyDescent="0.3">
      <c r="X2119" s="1">
        <f t="shared" si="66"/>
        <v>0</v>
      </c>
      <c r="Y2119" s="1">
        <f t="shared" si="67"/>
        <v>15</v>
      </c>
    </row>
    <row r="2120" spans="24:25" x14ac:dyDescent="0.3">
      <c r="X2120" s="1">
        <f t="shared" si="66"/>
        <v>0</v>
      </c>
      <c r="Y2120" s="1">
        <f t="shared" si="67"/>
        <v>15</v>
      </c>
    </row>
    <row r="2121" spans="24:25" x14ac:dyDescent="0.3">
      <c r="X2121" s="1">
        <f t="shared" si="66"/>
        <v>0</v>
      </c>
      <c r="Y2121" s="1">
        <f t="shared" si="67"/>
        <v>15</v>
      </c>
    </row>
    <row r="2122" spans="24:25" x14ac:dyDescent="0.3">
      <c r="X2122" s="1">
        <f t="shared" si="66"/>
        <v>0</v>
      </c>
      <c r="Y2122" s="1">
        <f t="shared" si="67"/>
        <v>15</v>
      </c>
    </row>
    <row r="2123" spans="24:25" x14ac:dyDescent="0.3">
      <c r="X2123" s="1">
        <f t="shared" si="66"/>
        <v>0</v>
      </c>
      <c r="Y2123" s="1">
        <f t="shared" si="67"/>
        <v>15</v>
      </c>
    </row>
    <row r="2124" spans="24:25" x14ac:dyDescent="0.3">
      <c r="X2124" s="1">
        <f t="shared" si="66"/>
        <v>0</v>
      </c>
      <c r="Y2124" s="1">
        <f t="shared" si="67"/>
        <v>15</v>
      </c>
    </row>
    <row r="2125" spans="24:25" x14ac:dyDescent="0.3">
      <c r="X2125" s="1">
        <f t="shared" si="66"/>
        <v>0</v>
      </c>
      <c r="Y2125" s="1">
        <f t="shared" si="67"/>
        <v>15</v>
      </c>
    </row>
    <row r="2126" spans="24:25" x14ac:dyDescent="0.3">
      <c r="X2126" s="1">
        <f t="shared" si="66"/>
        <v>0</v>
      </c>
      <c r="Y2126" s="1">
        <f t="shared" si="67"/>
        <v>15</v>
      </c>
    </row>
    <row r="2127" spans="24:25" x14ac:dyDescent="0.3">
      <c r="X2127" s="1">
        <f t="shared" si="66"/>
        <v>0</v>
      </c>
      <c r="Y2127" s="1">
        <f t="shared" si="67"/>
        <v>15</v>
      </c>
    </row>
    <row r="2128" spans="24:25" x14ac:dyDescent="0.3">
      <c r="X2128" s="1">
        <f t="shared" si="66"/>
        <v>0</v>
      </c>
      <c r="Y2128" s="1">
        <f t="shared" si="67"/>
        <v>15</v>
      </c>
    </row>
    <row r="2129" spans="24:25" x14ac:dyDescent="0.3">
      <c r="X2129" s="1">
        <f t="shared" si="66"/>
        <v>0</v>
      </c>
      <c r="Y2129" s="1">
        <f t="shared" si="67"/>
        <v>15</v>
      </c>
    </row>
    <row r="2130" spans="24:25" x14ac:dyDescent="0.3">
      <c r="X2130" s="1">
        <f t="shared" si="66"/>
        <v>0</v>
      </c>
      <c r="Y2130" s="1">
        <f t="shared" si="67"/>
        <v>15</v>
      </c>
    </row>
    <row r="2131" spans="24:25" x14ac:dyDescent="0.3">
      <c r="X2131" s="1">
        <f t="shared" si="66"/>
        <v>0</v>
      </c>
      <c r="Y2131" s="1">
        <f t="shared" si="67"/>
        <v>15</v>
      </c>
    </row>
    <row r="2132" spans="24:25" x14ac:dyDescent="0.3">
      <c r="X2132" s="1">
        <f t="shared" si="66"/>
        <v>0</v>
      </c>
      <c r="Y2132" s="1">
        <f t="shared" si="67"/>
        <v>15</v>
      </c>
    </row>
    <row r="2133" spans="24:25" x14ac:dyDescent="0.3">
      <c r="X2133" s="1">
        <f t="shared" si="66"/>
        <v>0</v>
      </c>
      <c r="Y2133" s="1">
        <f t="shared" si="67"/>
        <v>15</v>
      </c>
    </row>
    <row r="2134" spans="24:25" x14ac:dyDescent="0.3">
      <c r="X2134" s="1">
        <f t="shared" si="66"/>
        <v>0</v>
      </c>
      <c r="Y2134" s="1">
        <f t="shared" si="67"/>
        <v>15</v>
      </c>
    </row>
    <row r="2135" spans="24:25" x14ac:dyDescent="0.3">
      <c r="X2135" s="1">
        <f t="shared" si="66"/>
        <v>0</v>
      </c>
      <c r="Y2135" s="1">
        <f t="shared" si="67"/>
        <v>15</v>
      </c>
    </row>
    <row r="2136" spans="24:25" x14ac:dyDescent="0.3">
      <c r="X2136" s="1">
        <f t="shared" si="66"/>
        <v>0</v>
      </c>
      <c r="Y2136" s="1">
        <f t="shared" si="67"/>
        <v>15</v>
      </c>
    </row>
    <row r="2137" spans="24:25" x14ac:dyDescent="0.3">
      <c r="X2137" s="1">
        <f t="shared" si="66"/>
        <v>0</v>
      </c>
      <c r="Y2137" s="1">
        <f t="shared" si="67"/>
        <v>15</v>
      </c>
    </row>
    <row r="2138" spans="24:25" x14ac:dyDescent="0.3">
      <c r="X2138" s="1">
        <f t="shared" si="66"/>
        <v>0</v>
      </c>
      <c r="Y2138" s="1">
        <f t="shared" si="67"/>
        <v>15</v>
      </c>
    </row>
    <row r="2139" spans="24:25" x14ac:dyDescent="0.3">
      <c r="X2139" s="1">
        <f t="shared" si="66"/>
        <v>0</v>
      </c>
      <c r="Y2139" s="1">
        <f t="shared" si="67"/>
        <v>15</v>
      </c>
    </row>
    <row r="2140" spans="24:25" x14ac:dyDescent="0.3">
      <c r="X2140" s="1">
        <f t="shared" si="66"/>
        <v>0</v>
      </c>
      <c r="Y2140" s="1">
        <f t="shared" si="67"/>
        <v>15</v>
      </c>
    </row>
    <row r="2141" spans="24:25" x14ac:dyDescent="0.3">
      <c r="X2141" s="1">
        <f t="shared" si="66"/>
        <v>0</v>
      </c>
      <c r="Y2141" s="1">
        <f t="shared" si="67"/>
        <v>15</v>
      </c>
    </row>
    <row r="2142" spans="24:25" x14ac:dyDescent="0.3">
      <c r="X2142" s="1">
        <f t="shared" si="66"/>
        <v>0</v>
      </c>
      <c r="Y2142" s="1">
        <f t="shared" si="67"/>
        <v>15</v>
      </c>
    </row>
    <row r="2143" spans="24:25" x14ac:dyDescent="0.3">
      <c r="X2143" s="1">
        <f t="shared" si="66"/>
        <v>0</v>
      </c>
      <c r="Y2143" s="1">
        <f t="shared" si="67"/>
        <v>15</v>
      </c>
    </row>
    <row r="2144" spans="24:25" x14ac:dyDescent="0.3">
      <c r="X2144" s="1">
        <f t="shared" si="66"/>
        <v>0</v>
      </c>
      <c r="Y2144" s="1">
        <f t="shared" si="67"/>
        <v>15</v>
      </c>
    </row>
    <row r="2145" spans="24:25" x14ac:dyDescent="0.3">
      <c r="X2145" s="1">
        <f t="shared" si="66"/>
        <v>0</v>
      </c>
      <c r="Y2145" s="1">
        <f t="shared" si="67"/>
        <v>15</v>
      </c>
    </row>
    <row r="2146" spans="24:25" x14ac:dyDescent="0.3">
      <c r="X2146" s="1">
        <f t="shared" si="66"/>
        <v>0</v>
      </c>
      <c r="Y2146" s="1">
        <f t="shared" si="67"/>
        <v>15</v>
      </c>
    </row>
    <row r="2147" spans="24:25" x14ac:dyDescent="0.3">
      <c r="X2147" s="1">
        <f t="shared" si="66"/>
        <v>0</v>
      </c>
      <c r="Y2147" s="1">
        <f t="shared" si="67"/>
        <v>15</v>
      </c>
    </row>
    <row r="2148" spans="24:25" x14ac:dyDescent="0.3">
      <c r="X2148" s="1">
        <f t="shared" si="66"/>
        <v>0</v>
      </c>
      <c r="Y2148" s="1">
        <f t="shared" si="67"/>
        <v>15</v>
      </c>
    </row>
    <row r="2149" spans="24:25" x14ac:dyDescent="0.3">
      <c r="X2149" s="1">
        <f t="shared" si="66"/>
        <v>0</v>
      </c>
      <c r="Y2149" s="1">
        <f t="shared" si="67"/>
        <v>15</v>
      </c>
    </row>
    <row r="2150" spans="24:25" x14ac:dyDescent="0.3">
      <c r="X2150" s="1">
        <f t="shared" si="66"/>
        <v>0</v>
      </c>
      <c r="Y2150" s="1">
        <f t="shared" si="67"/>
        <v>15</v>
      </c>
    </row>
    <row r="2151" spans="24:25" x14ac:dyDescent="0.3">
      <c r="X2151" s="1">
        <f t="shared" si="66"/>
        <v>0</v>
      </c>
      <c r="Y2151" s="1">
        <f t="shared" si="67"/>
        <v>15</v>
      </c>
    </row>
    <row r="2152" spans="24:25" x14ac:dyDescent="0.3">
      <c r="X2152" s="1">
        <f t="shared" si="66"/>
        <v>0</v>
      </c>
      <c r="Y2152" s="1">
        <f t="shared" si="67"/>
        <v>15</v>
      </c>
    </row>
    <row r="2153" spans="24:25" x14ac:dyDescent="0.3">
      <c r="X2153" s="1">
        <f t="shared" si="66"/>
        <v>0</v>
      </c>
      <c r="Y2153" s="1">
        <f t="shared" si="67"/>
        <v>15</v>
      </c>
    </row>
    <row r="2154" spans="24:25" x14ac:dyDescent="0.3">
      <c r="X2154" s="1">
        <f t="shared" si="66"/>
        <v>0</v>
      </c>
      <c r="Y2154" s="1">
        <f t="shared" si="67"/>
        <v>15</v>
      </c>
    </row>
    <row r="2155" spans="24:25" x14ac:dyDescent="0.3">
      <c r="X2155" s="1">
        <f t="shared" si="66"/>
        <v>0</v>
      </c>
      <c r="Y2155" s="1">
        <f t="shared" si="67"/>
        <v>15</v>
      </c>
    </row>
    <row r="2156" spans="24:25" x14ac:dyDescent="0.3">
      <c r="X2156" s="1">
        <f t="shared" si="66"/>
        <v>0</v>
      </c>
      <c r="Y2156" s="1">
        <f t="shared" si="67"/>
        <v>15</v>
      </c>
    </row>
    <row r="2157" spans="24:25" x14ac:dyDescent="0.3">
      <c r="X2157" s="1">
        <f t="shared" si="66"/>
        <v>0</v>
      </c>
      <c r="Y2157" s="1">
        <f t="shared" si="67"/>
        <v>15</v>
      </c>
    </row>
    <row r="2158" spans="24:25" x14ac:dyDescent="0.3">
      <c r="X2158" s="1">
        <f t="shared" si="66"/>
        <v>0</v>
      </c>
      <c r="Y2158" s="1">
        <f t="shared" si="67"/>
        <v>15</v>
      </c>
    </row>
    <row r="2159" spans="24:25" x14ac:dyDescent="0.3">
      <c r="X2159" s="1">
        <f t="shared" si="66"/>
        <v>0</v>
      </c>
      <c r="Y2159" s="1">
        <f t="shared" si="67"/>
        <v>15</v>
      </c>
    </row>
    <row r="2160" spans="24:25" x14ac:dyDescent="0.3">
      <c r="X2160" s="1">
        <f t="shared" si="66"/>
        <v>0</v>
      </c>
      <c r="Y2160" s="1">
        <f t="shared" si="67"/>
        <v>15</v>
      </c>
    </row>
    <row r="2161" spans="24:25" x14ac:dyDescent="0.3">
      <c r="X2161" s="1">
        <f t="shared" si="66"/>
        <v>0</v>
      </c>
      <c r="Y2161" s="1">
        <f t="shared" si="67"/>
        <v>15</v>
      </c>
    </row>
    <row r="2162" spans="24:25" x14ac:dyDescent="0.3">
      <c r="X2162" s="1">
        <f t="shared" si="66"/>
        <v>0</v>
      </c>
      <c r="Y2162" s="1">
        <f t="shared" si="67"/>
        <v>15</v>
      </c>
    </row>
    <row r="2163" spans="24:25" x14ac:dyDescent="0.3">
      <c r="X2163" s="1">
        <f t="shared" si="66"/>
        <v>0</v>
      </c>
      <c r="Y2163" s="1">
        <f t="shared" si="67"/>
        <v>15</v>
      </c>
    </row>
    <row r="2164" spans="24:25" x14ac:dyDescent="0.3">
      <c r="X2164" s="1">
        <f t="shared" si="66"/>
        <v>0</v>
      </c>
      <c r="Y2164" s="1">
        <f t="shared" si="67"/>
        <v>15</v>
      </c>
    </row>
    <row r="2165" spans="24:25" x14ac:dyDescent="0.3">
      <c r="X2165" s="1">
        <f t="shared" si="66"/>
        <v>0</v>
      </c>
      <c r="Y2165" s="1">
        <f t="shared" si="67"/>
        <v>15</v>
      </c>
    </row>
    <row r="2166" spans="24:25" x14ac:dyDescent="0.3">
      <c r="X2166" s="1">
        <f t="shared" si="66"/>
        <v>0</v>
      </c>
      <c r="Y2166" s="1">
        <f t="shared" si="67"/>
        <v>15</v>
      </c>
    </row>
    <row r="2167" spans="24:25" x14ac:dyDescent="0.3">
      <c r="X2167" s="1">
        <f t="shared" si="66"/>
        <v>0</v>
      </c>
      <c r="Y2167" s="1">
        <f t="shared" si="67"/>
        <v>15</v>
      </c>
    </row>
    <row r="2168" spans="24:25" x14ac:dyDescent="0.3">
      <c r="X2168" s="1">
        <f t="shared" si="66"/>
        <v>0</v>
      </c>
      <c r="Y2168" s="1">
        <f t="shared" si="67"/>
        <v>15</v>
      </c>
    </row>
    <row r="2169" spans="24:25" x14ac:dyDescent="0.3">
      <c r="X2169" s="1">
        <f t="shared" si="66"/>
        <v>0</v>
      </c>
      <c r="Y2169" s="1">
        <f t="shared" si="67"/>
        <v>15</v>
      </c>
    </row>
    <row r="2170" spans="24:25" x14ac:dyDescent="0.3">
      <c r="X2170" s="1">
        <f t="shared" si="66"/>
        <v>0</v>
      </c>
      <c r="Y2170" s="1">
        <f t="shared" si="67"/>
        <v>15</v>
      </c>
    </row>
    <row r="2171" spans="24:25" x14ac:dyDescent="0.3">
      <c r="X2171" s="1">
        <f t="shared" si="66"/>
        <v>0</v>
      </c>
      <c r="Y2171" s="1">
        <f t="shared" si="67"/>
        <v>15</v>
      </c>
    </row>
    <row r="2172" spans="24:25" x14ac:dyDescent="0.3">
      <c r="X2172" s="1">
        <f t="shared" si="66"/>
        <v>0</v>
      </c>
      <c r="Y2172" s="1">
        <f t="shared" si="67"/>
        <v>15</v>
      </c>
    </row>
    <row r="2173" spans="24:25" x14ac:dyDescent="0.3">
      <c r="X2173" s="1">
        <f t="shared" si="66"/>
        <v>0</v>
      </c>
      <c r="Y2173" s="1">
        <f t="shared" si="67"/>
        <v>15</v>
      </c>
    </row>
    <row r="2174" spans="24:25" x14ac:dyDescent="0.3">
      <c r="X2174" s="1">
        <f t="shared" si="66"/>
        <v>0</v>
      </c>
      <c r="Y2174" s="1">
        <f t="shared" si="67"/>
        <v>15</v>
      </c>
    </row>
    <row r="2175" spans="24:25" x14ac:dyDescent="0.3">
      <c r="X2175" s="1">
        <f t="shared" si="66"/>
        <v>0</v>
      </c>
      <c r="Y2175" s="1">
        <f t="shared" si="67"/>
        <v>15</v>
      </c>
    </row>
    <row r="2176" spans="24:25" x14ac:dyDescent="0.3">
      <c r="X2176" s="1">
        <f t="shared" si="66"/>
        <v>0</v>
      </c>
      <c r="Y2176" s="1">
        <f t="shared" si="67"/>
        <v>15</v>
      </c>
    </row>
    <row r="2177" spans="24:25" x14ac:dyDescent="0.3">
      <c r="X2177" s="1">
        <f t="shared" si="66"/>
        <v>0</v>
      </c>
      <c r="Y2177" s="1">
        <f t="shared" si="67"/>
        <v>15</v>
      </c>
    </row>
    <row r="2178" spans="24:25" x14ac:dyDescent="0.3">
      <c r="X2178" s="1">
        <f t="shared" si="66"/>
        <v>0</v>
      </c>
      <c r="Y2178" s="1">
        <f t="shared" si="67"/>
        <v>15</v>
      </c>
    </row>
    <row r="2179" spans="24:25" x14ac:dyDescent="0.3">
      <c r="X2179" s="1">
        <f t="shared" ref="X2179:X2242" si="68">IFERROR(MATCH(W2179,$B:$B,0),0)</f>
        <v>0</v>
      </c>
      <c r="Y2179" s="1">
        <f t="shared" ref="Y2179:Y2242" si="69">IF(X2180=0,COUNTA(A:A),X2180-1)</f>
        <v>15</v>
      </c>
    </row>
    <row r="2180" spans="24:25" x14ac:dyDescent="0.3">
      <c r="X2180" s="1">
        <f t="shared" si="68"/>
        <v>0</v>
      </c>
      <c r="Y2180" s="1">
        <f t="shared" si="69"/>
        <v>15</v>
      </c>
    </row>
    <row r="2181" spans="24:25" x14ac:dyDescent="0.3">
      <c r="X2181" s="1">
        <f t="shared" si="68"/>
        <v>0</v>
      </c>
      <c r="Y2181" s="1">
        <f t="shared" si="69"/>
        <v>15</v>
      </c>
    </row>
    <row r="2182" spans="24:25" x14ac:dyDescent="0.3">
      <c r="X2182" s="1">
        <f t="shared" si="68"/>
        <v>0</v>
      </c>
      <c r="Y2182" s="1">
        <f t="shared" si="69"/>
        <v>15</v>
      </c>
    </row>
    <row r="2183" spans="24:25" x14ac:dyDescent="0.3">
      <c r="X2183" s="1">
        <f t="shared" si="68"/>
        <v>0</v>
      </c>
      <c r="Y2183" s="1">
        <f t="shared" si="69"/>
        <v>15</v>
      </c>
    </row>
    <row r="2184" spans="24:25" x14ac:dyDescent="0.3">
      <c r="X2184" s="1">
        <f t="shared" si="68"/>
        <v>0</v>
      </c>
      <c r="Y2184" s="1">
        <f t="shared" si="69"/>
        <v>15</v>
      </c>
    </row>
    <row r="2185" spans="24:25" x14ac:dyDescent="0.3">
      <c r="X2185" s="1">
        <f t="shared" si="68"/>
        <v>0</v>
      </c>
      <c r="Y2185" s="1">
        <f t="shared" si="69"/>
        <v>15</v>
      </c>
    </row>
    <row r="2186" spans="24:25" x14ac:dyDescent="0.3">
      <c r="X2186" s="1">
        <f t="shared" si="68"/>
        <v>0</v>
      </c>
      <c r="Y2186" s="1">
        <f t="shared" si="69"/>
        <v>15</v>
      </c>
    </row>
    <row r="2187" spans="24:25" x14ac:dyDescent="0.3">
      <c r="X2187" s="1">
        <f t="shared" si="68"/>
        <v>0</v>
      </c>
      <c r="Y2187" s="1">
        <f t="shared" si="69"/>
        <v>15</v>
      </c>
    </row>
    <row r="2188" spans="24:25" x14ac:dyDescent="0.3">
      <c r="X2188" s="1">
        <f t="shared" si="68"/>
        <v>0</v>
      </c>
      <c r="Y2188" s="1">
        <f t="shared" si="69"/>
        <v>15</v>
      </c>
    </row>
    <row r="2189" spans="24:25" x14ac:dyDescent="0.3">
      <c r="X2189" s="1">
        <f t="shared" si="68"/>
        <v>0</v>
      </c>
      <c r="Y2189" s="1">
        <f t="shared" si="69"/>
        <v>15</v>
      </c>
    </row>
    <row r="2190" spans="24:25" x14ac:dyDescent="0.3">
      <c r="X2190" s="1">
        <f t="shared" si="68"/>
        <v>0</v>
      </c>
      <c r="Y2190" s="1">
        <f t="shared" si="69"/>
        <v>15</v>
      </c>
    </row>
    <row r="2191" spans="24:25" x14ac:dyDescent="0.3">
      <c r="X2191" s="1">
        <f t="shared" si="68"/>
        <v>0</v>
      </c>
      <c r="Y2191" s="1">
        <f t="shared" si="69"/>
        <v>15</v>
      </c>
    </row>
    <row r="2192" spans="24:25" x14ac:dyDescent="0.3">
      <c r="X2192" s="1">
        <f t="shared" si="68"/>
        <v>0</v>
      </c>
      <c r="Y2192" s="1">
        <f t="shared" si="69"/>
        <v>15</v>
      </c>
    </row>
    <row r="2193" spans="24:25" x14ac:dyDescent="0.3">
      <c r="X2193" s="1">
        <f t="shared" si="68"/>
        <v>0</v>
      </c>
      <c r="Y2193" s="1">
        <f t="shared" si="69"/>
        <v>15</v>
      </c>
    </row>
    <row r="2194" spans="24:25" x14ac:dyDescent="0.3">
      <c r="X2194" s="1">
        <f t="shared" si="68"/>
        <v>0</v>
      </c>
      <c r="Y2194" s="1">
        <f t="shared" si="69"/>
        <v>15</v>
      </c>
    </row>
    <row r="2195" spans="24:25" x14ac:dyDescent="0.3">
      <c r="X2195" s="1">
        <f t="shared" si="68"/>
        <v>0</v>
      </c>
      <c r="Y2195" s="1">
        <f t="shared" si="69"/>
        <v>15</v>
      </c>
    </row>
    <row r="2196" spans="24:25" x14ac:dyDescent="0.3">
      <c r="X2196" s="1">
        <f t="shared" si="68"/>
        <v>0</v>
      </c>
      <c r="Y2196" s="1">
        <f t="shared" si="69"/>
        <v>15</v>
      </c>
    </row>
    <row r="2197" spans="24:25" x14ac:dyDescent="0.3">
      <c r="X2197" s="1">
        <f t="shared" si="68"/>
        <v>0</v>
      </c>
      <c r="Y2197" s="1">
        <f t="shared" si="69"/>
        <v>15</v>
      </c>
    </row>
    <row r="2198" spans="24:25" x14ac:dyDescent="0.3">
      <c r="X2198" s="1">
        <f t="shared" si="68"/>
        <v>0</v>
      </c>
      <c r="Y2198" s="1">
        <f t="shared" si="69"/>
        <v>15</v>
      </c>
    </row>
    <row r="2199" spans="24:25" x14ac:dyDescent="0.3">
      <c r="X2199" s="1">
        <f t="shared" si="68"/>
        <v>0</v>
      </c>
      <c r="Y2199" s="1">
        <f t="shared" si="69"/>
        <v>15</v>
      </c>
    </row>
    <row r="2200" spans="24:25" x14ac:dyDescent="0.3">
      <c r="X2200" s="1">
        <f t="shared" si="68"/>
        <v>0</v>
      </c>
      <c r="Y2200" s="1">
        <f t="shared" si="69"/>
        <v>15</v>
      </c>
    </row>
    <row r="2201" spans="24:25" x14ac:dyDescent="0.3">
      <c r="X2201" s="1">
        <f t="shared" si="68"/>
        <v>0</v>
      </c>
      <c r="Y2201" s="1">
        <f t="shared" si="69"/>
        <v>15</v>
      </c>
    </row>
    <row r="2202" spans="24:25" x14ac:dyDescent="0.3">
      <c r="X2202" s="1">
        <f t="shared" si="68"/>
        <v>0</v>
      </c>
      <c r="Y2202" s="1">
        <f t="shared" si="69"/>
        <v>15</v>
      </c>
    </row>
    <row r="2203" spans="24:25" x14ac:dyDescent="0.3">
      <c r="X2203" s="1">
        <f t="shared" si="68"/>
        <v>0</v>
      </c>
      <c r="Y2203" s="1">
        <f t="shared" si="69"/>
        <v>15</v>
      </c>
    </row>
    <row r="2204" spans="24:25" x14ac:dyDescent="0.3">
      <c r="X2204" s="1">
        <f t="shared" si="68"/>
        <v>0</v>
      </c>
      <c r="Y2204" s="1">
        <f t="shared" si="69"/>
        <v>15</v>
      </c>
    </row>
    <row r="2205" spans="24:25" x14ac:dyDescent="0.3">
      <c r="X2205" s="1">
        <f t="shared" si="68"/>
        <v>0</v>
      </c>
      <c r="Y2205" s="1">
        <f t="shared" si="69"/>
        <v>15</v>
      </c>
    </row>
    <row r="2206" spans="24:25" x14ac:dyDescent="0.3">
      <c r="X2206" s="1">
        <f t="shared" si="68"/>
        <v>0</v>
      </c>
      <c r="Y2206" s="1">
        <f t="shared" si="69"/>
        <v>15</v>
      </c>
    </row>
    <row r="2207" spans="24:25" x14ac:dyDescent="0.3">
      <c r="X2207" s="1">
        <f t="shared" si="68"/>
        <v>0</v>
      </c>
      <c r="Y2207" s="1">
        <f t="shared" si="69"/>
        <v>15</v>
      </c>
    </row>
    <row r="2208" spans="24:25" x14ac:dyDescent="0.3">
      <c r="X2208" s="1">
        <f t="shared" si="68"/>
        <v>0</v>
      </c>
      <c r="Y2208" s="1">
        <f t="shared" si="69"/>
        <v>15</v>
      </c>
    </row>
    <row r="2209" spans="24:25" x14ac:dyDescent="0.3">
      <c r="X2209" s="1">
        <f t="shared" si="68"/>
        <v>0</v>
      </c>
      <c r="Y2209" s="1">
        <f t="shared" si="69"/>
        <v>15</v>
      </c>
    </row>
    <row r="2210" spans="24:25" x14ac:dyDescent="0.3">
      <c r="X2210" s="1">
        <f t="shared" si="68"/>
        <v>0</v>
      </c>
      <c r="Y2210" s="1">
        <f t="shared" si="69"/>
        <v>15</v>
      </c>
    </row>
    <row r="2211" spans="24:25" x14ac:dyDescent="0.3">
      <c r="X2211" s="1">
        <f t="shared" si="68"/>
        <v>0</v>
      </c>
      <c r="Y2211" s="1">
        <f t="shared" si="69"/>
        <v>15</v>
      </c>
    </row>
    <row r="2212" spans="24:25" x14ac:dyDescent="0.3">
      <c r="X2212" s="1">
        <f t="shared" si="68"/>
        <v>0</v>
      </c>
      <c r="Y2212" s="1">
        <f t="shared" si="69"/>
        <v>15</v>
      </c>
    </row>
    <row r="2213" spans="24:25" x14ac:dyDescent="0.3">
      <c r="X2213" s="1">
        <f t="shared" si="68"/>
        <v>0</v>
      </c>
      <c r="Y2213" s="1">
        <f t="shared" si="69"/>
        <v>15</v>
      </c>
    </row>
    <row r="2214" spans="24:25" x14ac:dyDescent="0.3">
      <c r="X2214" s="1">
        <f t="shared" si="68"/>
        <v>0</v>
      </c>
      <c r="Y2214" s="1">
        <f t="shared" si="69"/>
        <v>15</v>
      </c>
    </row>
    <row r="2215" spans="24:25" x14ac:dyDescent="0.3">
      <c r="X2215" s="1">
        <f t="shared" si="68"/>
        <v>0</v>
      </c>
      <c r="Y2215" s="1">
        <f t="shared" si="69"/>
        <v>15</v>
      </c>
    </row>
    <row r="2216" spans="24:25" x14ac:dyDescent="0.3">
      <c r="X2216" s="1">
        <f t="shared" si="68"/>
        <v>0</v>
      </c>
      <c r="Y2216" s="1">
        <f t="shared" si="69"/>
        <v>15</v>
      </c>
    </row>
    <row r="2217" spans="24:25" x14ac:dyDescent="0.3">
      <c r="X2217" s="1">
        <f t="shared" si="68"/>
        <v>0</v>
      </c>
      <c r="Y2217" s="1">
        <f t="shared" si="69"/>
        <v>15</v>
      </c>
    </row>
    <row r="2218" spans="24:25" x14ac:dyDescent="0.3">
      <c r="X2218" s="1">
        <f t="shared" si="68"/>
        <v>0</v>
      </c>
      <c r="Y2218" s="1">
        <f t="shared" si="69"/>
        <v>15</v>
      </c>
    </row>
    <row r="2219" spans="24:25" x14ac:dyDescent="0.3">
      <c r="X2219" s="1">
        <f t="shared" si="68"/>
        <v>0</v>
      </c>
      <c r="Y2219" s="1">
        <f t="shared" si="69"/>
        <v>15</v>
      </c>
    </row>
    <row r="2220" spans="24:25" x14ac:dyDescent="0.3">
      <c r="X2220" s="1">
        <f t="shared" si="68"/>
        <v>0</v>
      </c>
      <c r="Y2220" s="1">
        <f t="shared" si="69"/>
        <v>15</v>
      </c>
    </row>
    <row r="2221" spans="24:25" x14ac:dyDescent="0.3">
      <c r="X2221" s="1">
        <f t="shared" si="68"/>
        <v>0</v>
      </c>
      <c r="Y2221" s="1">
        <f t="shared" si="69"/>
        <v>15</v>
      </c>
    </row>
    <row r="2222" spans="24:25" x14ac:dyDescent="0.3">
      <c r="X2222" s="1">
        <f t="shared" si="68"/>
        <v>0</v>
      </c>
      <c r="Y2222" s="1">
        <f t="shared" si="69"/>
        <v>15</v>
      </c>
    </row>
    <row r="2223" spans="24:25" x14ac:dyDescent="0.3">
      <c r="X2223" s="1">
        <f t="shared" si="68"/>
        <v>0</v>
      </c>
      <c r="Y2223" s="1">
        <f t="shared" si="69"/>
        <v>15</v>
      </c>
    </row>
    <row r="2224" spans="24:25" x14ac:dyDescent="0.3">
      <c r="X2224" s="1">
        <f t="shared" si="68"/>
        <v>0</v>
      </c>
      <c r="Y2224" s="1">
        <f t="shared" si="69"/>
        <v>15</v>
      </c>
    </row>
    <row r="2225" spans="24:25" x14ac:dyDescent="0.3">
      <c r="X2225" s="1">
        <f t="shared" si="68"/>
        <v>0</v>
      </c>
      <c r="Y2225" s="1">
        <f t="shared" si="69"/>
        <v>15</v>
      </c>
    </row>
    <row r="2226" spans="24:25" x14ac:dyDescent="0.3">
      <c r="X2226" s="1">
        <f t="shared" si="68"/>
        <v>0</v>
      </c>
      <c r="Y2226" s="1">
        <f t="shared" si="69"/>
        <v>15</v>
      </c>
    </row>
    <row r="2227" spans="24:25" x14ac:dyDescent="0.3">
      <c r="X2227" s="1">
        <f t="shared" si="68"/>
        <v>0</v>
      </c>
      <c r="Y2227" s="1">
        <f t="shared" si="69"/>
        <v>15</v>
      </c>
    </row>
    <row r="2228" spans="24:25" x14ac:dyDescent="0.3">
      <c r="X2228" s="1">
        <f t="shared" si="68"/>
        <v>0</v>
      </c>
      <c r="Y2228" s="1">
        <f t="shared" si="69"/>
        <v>15</v>
      </c>
    </row>
    <row r="2229" spans="24:25" x14ac:dyDescent="0.3">
      <c r="X2229" s="1">
        <f t="shared" si="68"/>
        <v>0</v>
      </c>
      <c r="Y2229" s="1">
        <f t="shared" si="69"/>
        <v>15</v>
      </c>
    </row>
    <row r="2230" spans="24:25" x14ac:dyDescent="0.3">
      <c r="X2230" s="1">
        <f t="shared" si="68"/>
        <v>0</v>
      </c>
      <c r="Y2230" s="1">
        <f t="shared" si="69"/>
        <v>15</v>
      </c>
    </row>
    <row r="2231" spans="24:25" x14ac:dyDescent="0.3">
      <c r="X2231" s="1">
        <f t="shared" si="68"/>
        <v>0</v>
      </c>
      <c r="Y2231" s="1">
        <f t="shared" si="69"/>
        <v>15</v>
      </c>
    </row>
    <row r="2232" spans="24:25" x14ac:dyDescent="0.3">
      <c r="X2232" s="1">
        <f t="shared" si="68"/>
        <v>0</v>
      </c>
      <c r="Y2232" s="1">
        <f t="shared" si="69"/>
        <v>15</v>
      </c>
    </row>
    <row r="2233" spans="24:25" x14ac:dyDescent="0.3">
      <c r="X2233" s="1">
        <f t="shared" si="68"/>
        <v>0</v>
      </c>
      <c r="Y2233" s="1">
        <f t="shared" si="69"/>
        <v>15</v>
      </c>
    </row>
    <row r="2234" spans="24:25" x14ac:dyDescent="0.3">
      <c r="X2234" s="1">
        <f t="shared" si="68"/>
        <v>0</v>
      </c>
      <c r="Y2234" s="1">
        <f t="shared" si="69"/>
        <v>15</v>
      </c>
    </row>
    <row r="2235" spans="24:25" x14ac:dyDescent="0.3">
      <c r="X2235" s="1">
        <f t="shared" si="68"/>
        <v>0</v>
      </c>
      <c r="Y2235" s="1">
        <f t="shared" si="69"/>
        <v>15</v>
      </c>
    </row>
    <row r="2236" spans="24:25" x14ac:dyDescent="0.3">
      <c r="X2236" s="1">
        <f t="shared" si="68"/>
        <v>0</v>
      </c>
      <c r="Y2236" s="1">
        <f t="shared" si="69"/>
        <v>15</v>
      </c>
    </row>
    <row r="2237" spans="24:25" x14ac:dyDescent="0.3">
      <c r="X2237" s="1">
        <f t="shared" si="68"/>
        <v>0</v>
      </c>
      <c r="Y2237" s="1">
        <f t="shared" si="69"/>
        <v>15</v>
      </c>
    </row>
    <row r="2238" spans="24:25" x14ac:dyDescent="0.3">
      <c r="X2238" s="1">
        <f t="shared" si="68"/>
        <v>0</v>
      </c>
      <c r="Y2238" s="1">
        <f t="shared" si="69"/>
        <v>15</v>
      </c>
    </row>
    <row r="2239" spans="24:25" x14ac:dyDescent="0.3">
      <c r="X2239" s="1">
        <f t="shared" si="68"/>
        <v>0</v>
      </c>
      <c r="Y2239" s="1">
        <f t="shared" si="69"/>
        <v>15</v>
      </c>
    </row>
    <row r="2240" spans="24:25" x14ac:dyDescent="0.3">
      <c r="X2240" s="1">
        <f t="shared" si="68"/>
        <v>0</v>
      </c>
      <c r="Y2240" s="1">
        <f t="shared" si="69"/>
        <v>15</v>
      </c>
    </row>
    <row r="2241" spans="24:25" x14ac:dyDescent="0.3">
      <c r="X2241" s="1">
        <f t="shared" si="68"/>
        <v>0</v>
      </c>
      <c r="Y2241" s="1">
        <f t="shared" si="69"/>
        <v>15</v>
      </c>
    </row>
    <row r="2242" spans="24:25" x14ac:dyDescent="0.3">
      <c r="X2242" s="1">
        <f t="shared" si="68"/>
        <v>0</v>
      </c>
      <c r="Y2242" s="1">
        <f t="shared" si="69"/>
        <v>15</v>
      </c>
    </row>
    <row r="2243" spans="24:25" x14ac:dyDescent="0.3">
      <c r="X2243" s="1">
        <f t="shared" ref="X2243:X2306" si="70">IFERROR(MATCH(W2243,$B:$B,0),0)</f>
        <v>0</v>
      </c>
      <c r="Y2243" s="1">
        <f t="shared" ref="Y2243:Y2306" si="71">IF(X2244=0,COUNTA(A:A),X2244-1)</f>
        <v>15</v>
      </c>
    </row>
    <row r="2244" spans="24:25" x14ac:dyDescent="0.3">
      <c r="X2244" s="1">
        <f t="shared" si="70"/>
        <v>0</v>
      </c>
      <c r="Y2244" s="1">
        <f t="shared" si="71"/>
        <v>15</v>
      </c>
    </row>
    <row r="2245" spans="24:25" x14ac:dyDescent="0.3">
      <c r="X2245" s="1">
        <f t="shared" si="70"/>
        <v>0</v>
      </c>
      <c r="Y2245" s="1">
        <f t="shared" si="71"/>
        <v>15</v>
      </c>
    </row>
    <row r="2246" spans="24:25" x14ac:dyDescent="0.3">
      <c r="X2246" s="1">
        <f t="shared" si="70"/>
        <v>0</v>
      </c>
      <c r="Y2246" s="1">
        <f t="shared" si="71"/>
        <v>15</v>
      </c>
    </row>
    <row r="2247" spans="24:25" x14ac:dyDescent="0.3">
      <c r="X2247" s="1">
        <f t="shared" si="70"/>
        <v>0</v>
      </c>
      <c r="Y2247" s="1">
        <f t="shared" si="71"/>
        <v>15</v>
      </c>
    </row>
    <row r="2248" spans="24:25" x14ac:dyDescent="0.3">
      <c r="X2248" s="1">
        <f t="shared" si="70"/>
        <v>0</v>
      </c>
      <c r="Y2248" s="1">
        <f t="shared" si="71"/>
        <v>15</v>
      </c>
    </row>
    <row r="2249" spans="24:25" x14ac:dyDescent="0.3">
      <c r="X2249" s="1">
        <f t="shared" si="70"/>
        <v>0</v>
      </c>
      <c r="Y2249" s="1">
        <f t="shared" si="71"/>
        <v>15</v>
      </c>
    </row>
    <row r="2250" spans="24:25" x14ac:dyDescent="0.3">
      <c r="X2250" s="1">
        <f t="shared" si="70"/>
        <v>0</v>
      </c>
      <c r="Y2250" s="1">
        <f t="shared" si="71"/>
        <v>15</v>
      </c>
    </row>
    <row r="2251" spans="24:25" x14ac:dyDescent="0.3">
      <c r="X2251" s="1">
        <f t="shared" si="70"/>
        <v>0</v>
      </c>
      <c r="Y2251" s="1">
        <f t="shared" si="71"/>
        <v>15</v>
      </c>
    </row>
    <row r="2252" spans="24:25" x14ac:dyDescent="0.3">
      <c r="X2252" s="1">
        <f t="shared" si="70"/>
        <v>0</v>
      </c>
      <c r="Y2252" s="1">
        <f t="shared" si="71"/>
        <v>15</v>
      </c>
    </row>
    <row r="2253" spans="24:25" x14ac:dyDescent="0.3">
      <c r="X2253" s="1">
        <f t="shared" si="70"/>
        <v>0</v>
      </c>
      <c r="Y2253" s="1">
        <f t="shared" si="71"/>
        <v>15</v>
      </c>
    </row>
    <row r="2254" spans="24:25" x14ac:dyDescent="0.3">
      <c r="X2254" s="1">
        <f t="shared" si="70"/>
        <v>0</v>
      </c>
      <c r="Y2254" s="1">
        <f t="shared" si="71"/>
        <v>15</v>
      </c>
    </row>
    <row r="2255" spans="24:25" x14ac:dyDescent="0.3">
      <c r="X2255" s="1">
        <f t="shared" si="70"/>
        <v>0</v>
      </c>
      <c r="Y2255" s="1">
        <f t="shared" si="71"/>
        <v>15</v>
      </c>
    </row>
    <row r="2256" spans="24:25" x14ac:dyDescent="0.3">
      <c r="X2256" s="1">
        <f t="shared" si="70"/>
        <v>0</v>
      </c>
      <c r="Y2256" s="1">
        <f t="shared" si="71"/>
        <v>15</v>
      </c>
    </row>
    <row r="2257" spans="24:25" x14ac:dyDescent="0.3">
      <c r="X2257" s="1">
        <f t="shared" si="70"/>
        <v>0</v>
      </c>
      <c r="Y2257" s="1">
        <f t="shared" si="71"/>
        <v>15</v>
      </c>
    </row>
    <row r="2258" spans="24:25" x14ac:dyDescent="0.3">
      <c r="X2258" s="1">
        <f t="shared" si="70"/>
        <v>0</v>
      </c>
      <c r="Y2258" s="1">
        <f t="shared" si="71"/>
        <v>15</v>
      </c>
    </row>
    <row r="2259" spans="24:25" x14ac:dyDescent="0.3">
      <c r="X2259" s="1">
        <f t="shared" si="70"/>
        <v>0</v>
      </c>
      <c r="Y2259" s="1">
        <f t="shared" si="71"/>
        <v>15</v>
      </c>
    </row>
    <row r="2260" spans="24:25" x14ac:dyDescent="0.3">
      <c r="X2260" s="1">
        <f t="shared" si="70"/>
        <v>0</v>
      </c>
      <c r="Y2260" s="1">
        <f t="shared" si="71"/>
        <v>15</v>
      </c>
    </row>
    <row r="2261" spans="24:25" x14ac:dyDescent="0.3">
      <c r="X2261" s="1">
        <f t="shared" si="70"/>
        <v>0</v>
      </c>
      <c r="Y2261" s="1">
        <f t="shared" si="71"/>
        <v>15</v>
      </c>
    </row>
    <row r="2262" spans="24:25" x14ac:dyDescent="0.3">
      <c r="X2262" s="1">
        <f t="shared" si="70"/>
        <v>0</v>
      </c>
      <c r="Y2262" s="1">
        <f t="shared" si="71"/>
        <v>15</v>
      </c>
    </row>
    <row r="2263" spans="24:25" x14ac:dyDescent="0.3">
      <c r="X2263" s="1">
        <f t="shared" si="70"/>
        <v>0</v>
      </c>
      <c r="Y2263" s="1">
        <f t="shared" si="71"/>
        <v>15</v>
      </c>
    </row>
    <row r="2264" spans="24:25" x14ac:dyDescent="0.3">
      <c r="X2264" s="1">
        <f t="shared" si="70"/>
        <v>0</v>
      </c>
      <c r="Y2264" s="1">
        <f t="shared" si="71"/>
        <v>15</v>
      </c>
    </row>
    <row r="2265" spans="24:25" x14ac:dyDescent="0.3">
      <c r="X2265" s="1">
        <f t="shared" si="70"/>
        <v>0</v>
      </c>
      <c r="Y2265" s="1">
        <f t="shared" si="71"/>
        <v>15</v>
      </c>
    </row>
    <row r="2266" spans="24:25" x14ac:dyDescent="0.3">
      <c r="X2266" s="1">
        <f t="shared" si="70"/>
        <v>0</v>
      </c>
      <c r="Y2266" s="1">
        <f t="shared" si="71"/>
        <v>15</v>
      </c>
    </row>
    <row r="2267" spans="24:25" x14ac:dyDescent="0.3">
      <c r="X2267" s="1">
        <f t="shared" si="70"/>
        <v>0</v>
      </c>
      <c r="Y2267" s="1">
        <f t="shared" si="71"/>
        <v>15</v>
      </c>
    </row>
    <row r="2268" spans="24:25" x14ac:dyDescent="0.3">
      <c r="X2268" s="1">
        <f t="shared" si="70"/>
        <v>0</v>
      </c>
      <c r="Y2268" s="1">
        <f t="shared" si="71"/>
        <v>15</v>
      </c>
    </row>
    <row r="2269" spans="24:25" x14ac:dyDescent="0.3">
      <c r="X2269" s="1">
        <f t="shared" si="70"/>
        <v>0</v>
      </c>
      <c r="Y2269" s="1">
        <f t="shared" si="71"/>
        <v>15</v>
      </c>
    </row>
    <row r="2270" spans="24:25" x14ac:dyDescent="0.3">
      <c r="X2270" s="1">
        <f t="shared" si="70"/>
        <v>0</v>
      </c>
      <c r="Y2270" s="1">
        <f t="shared" si="71"/>
        <v>15</v>
      </c>
    </row>
    <row r="2271" spans="24:25" x14ac:dyDescent="0.3">
      <c r="X2271" s="1">
        <f t="shared" si="70"/>
        <v>0</v>
      </c>
      <c r="Y2271" s="1">
        <f t="shared" si="71"/>
        <v>15</v>
      </c>
    </row>
    <row r="2272" spans="24:25" x14ac:dyDescent="0.3">
      <c r="X2272" s="1">
        <f t="shared" si="70"/>
        <v>0</v>
      </c>
      <c r="Y2272" s="1">
        <f t="shared" si="71"/>
        <v>15</v>
      </c>
    </row>
    <row r="2273" spans="24:25" x14ac:dyDescent="0.3">
      <c r="X2273" s="1">
        <f t="shared" si="70"/>
        <v>0</v>
      </c>
      <c r="Y2273" s="1">
        <f t="shared" si="71"/>
        <v>15</v>
      </c>
    </row>
    <row r="2274" spans="24:25" x14ac:dyDescent="0.3">
      <c r="X2274" s="1">
        <f t="shared" si="70"/>
        <v>0</v>
      </c>
      <c r="Y2274" s="1">
        <f t="shared" si="71"/>
        <v>15</v>
      </c>
    </row>
    <row r="2275" spans="24:25" x14ac:dyDescent="0.3">
      <c r="X2275" s="1">
        <f t="shared" si="70"/>
        <v>0</v>
      </c>
      <c r="Y2275" s="1">
        <f t="shared" si="71"/>
        <v>15</v>
      </c>
    </row>
    <row r="2276" spans="24:25" x14ac:dyDescent="0.3">
      <c r="X2276" s="1">
        <f t="shared" si="70"/>
        <v>0</v>
      </c>
      <c r="Y2276" s="1">
        <f t="shared" si="71"/>
        <v>15</v>
      </c>
    </row>
    <row r="2277" spans="24:25" x14ac:dyDescent="0.3">
      <c r="X2277" s="1">
        <f t="shared" si="70"/>
        <v>0</v>
      </c>
      <c r="Y2277" s="1">
        <f t="shared" si="71"/>
        <v>15</v>
      </c>
    </row>
    <row r="2278" spans="24:25" x14ac:dyDescent="0.3">
      <c r="X2278" s="1">
        <f t="shared" si="70"/>
        <v>0</v>
      </c>
      <c r="Y2278" s="1">
        <f t="shared" si="71"/>
        <v>15</v>
      </c>
    </row>
    <row r="2279" spans="24:25" x14ac:dyDescent="0.3">
      <c r="X2279" s="1">
        <f t="shared" si="70"/>
        <v>0</v>
      </c>
      <c r="Y2279" s="1">
        <f t="shared" si="71"/>
        <v>15</v>
      </c>
    </row>
    <row r="2280" spans="24:25" x14ac:dyDescent="0.3">
      <c r="X2280" s="1">
        <f t="shared" si="70"/>
        <v>0</v>
      </c>
      <c r="Y2280" s="1">
        <f t="shared" si="71"/>
        <v>15</v>
      </c>
    </row>
    <row r="2281" spans="24:25" x14ac:dyDescent="0.3">
      <c r="X2281" s="1">
        <f t="shared" si="70"/>
        <v>0</v>
      </c>
      <c r="Y2281" s="1">
        <f t="shared" si="71"/>
        <v>15</v>
      </c>
    </row>
    <row r="2282" spans="24:25" x14ac:dyDescent="0.3">
      <c r="X2282" s="1">
        <f t="shared" si="70"/>
        <v>0</v>
      </c>
      <c r="Y2282" s="1">
        <f t="shared" si="71"/>
        <v>15</v>
      </c>
    </row>
    <row r="2283" spans="24:25" x14ac:dyDescent="0.3">
      <c r="X2283" s="1">
        <f t="shared" si="70"/>
        <v>0</v>
      </c>
      <c r="Y2283" s="1">
        <f t="shared" si="71"/>
        <v>15</v>
      </c>
    </row>
    <row r="2284" spans="24:25" x14ac:dyDescent="0.3">
      <c r="X2284" s="1">
        <f t="shared" si="70"/>
        <v>0</v>
      </c>
      <c r="Y2284" s="1">
        <f t="shared" si="71"/>
        <v>15</v>
      </c>
    </row>
    <row r="2285" spans="24:25" x14ac:dyDescent="0.3">
      <c r="X2285" s="1">
        <f t="shared" si="70"/>
        <v>0</v>
      </c>
      <c r="Y2285" s="1">
        <f t="shared" si="71"/>
        <v>15</v>
      </c>
    </row>
    <row r="2286" spans="24:25" x14ac:dyDescent="0.3">
      <c r="X2286" s="1">
        <f t="shared" si="70"/>
        <v>0</v>
      </c>
      <c r="Y2286" s="1">
        <f t="shared" si="71"/>
        <v>15</v>
      </c>
    </row>
    <row r="2287" spans="24:25" x14ac:dyDescent="0.3">
      <c r="X2287" s="1">
        <f t="shared" si="70"/>
        <v>0</v>
      </c>
      <c r="Y2287" s="1">
        <f t="shared" si="71"/>
        <v>15</v>
      </c>
    </row>
    <row r="2288" spans="24:25" x14ac:dyDescent="0.3">
      <c r="X2288" s="1">
        <f t="shared" si="70"/>
        <v>0</v>
      </c>
      <c r="Y2288" s="1">
        <f t="shared" si="71"/>
        <v>15</v>
      </c>
    </row>
    <row r="2289" spans="24:25" x14ac:dyDescent="0.3">
      <c r="X2289" s="1">
        <f t="shared" si="70"/>
        <v>0</v>
      </c>
      <c r="Y2289" s="1">
        <f t="shared" si="71"/>
        <v>15</v>
      </c>
    </row>
    <row r="2290" spans="24:25" x14ac:dyDescent="0.3">
      <c r="X2290" s="1">
        <f t="shared" si="70"/>
        <v>0</v>
      </c>
      <c r="Y2290" s="1">
        <f t="shared" si="71"/>
        <v>15</v>
      </c>
    </row>
    <row r="2291" spans="24:25" x14ac:dyDescent="0.3">
      <c r="X2291" s="1">
        <f t="shared" si="70"/>
        <v>0</v>
      </c>
      <c r="Y2291" s="1">
        <f t="shared" si="71"/>
        <v>15</v>
      </c>
    </row>
    <row r="2292" spans="24:25" x14ac:dyDescent="0.3">
      <c r="X2292" s="1">
        <f t="shared" si="70"/>
        <v>0</v>
      </c>
      <c r="Y2292" s="1">
        <f t="shared" si="71"/>
        <v>15</v>
      </c>
    </row>
    <row r="2293" spans="24:25" x14ac:dyDescent="0.3">
      <c r="X2293" s="1">
        <f t="shared" si="70"/>
        <v>0</v>
      </c>
      <c r="Y2293" s="1">
        <f t="shared" si="71"/>
        <v>15</v>
      </c>
    </row>
    <row r="2294" spans="24:25" x14ac:dyDescent="0.3">
      <c r="X2294" s="1">
        <f t="shared" si="70"/>
        <v>0</v>
      </c>
      <c r="Y2294" s="1">
        <f t="shared" si="71"/>
        <v>15</v>
      </c>
    </row>
    <row r="2295" spans="24:25" x14ac:dyDescent="0.3">
      <c r="X2295" s="1">
        <f t="shared" si="70"/>
        <v>0</v>
      </c>
      <c r="Y2295" s="1">
        <f t="shared" si="71"/>
        <v>15</v>
      </c>
    </row>
    <row r="2296" spans="24:25" x14ac:dyDescent="0.3">
      <c r="X2296" s="1">
        <f t="shared" si="70"/>
        <v>0</v>
      </c>
      <c r="Y2296" s="1">
        <f t="shared" si="71"/>
        <v>15</v>
      </c>
    </row>
    <row r="2297" spans="24:25" x14ac:dyDescent="0.3">
      <c r="X2297" s="1">
        <f t="shared" si="70"/>
        <v>0</v>
      </c>
      <c r="Y2297" s="1">
        <f t="shared" si="71"/>
        <v>15</v>
      </c>
    </row>
    <row r="2298" spans="24:25" x14ac:dyDescent="0.3">
      <c r="X2298" s="1">
        <f t="shared" si="70"/>
        <v>0</v>
      </c>
      <c r="Y2298" s="1">
        <f t="shared" si="71"/>
        <v>15</v>
      </c>
    </row>
    <row r="2299" spans="24:25" x14ac:dyDescent="0.3">
      <c r="X2299" s="1">
        <f t="shared" si="70"/>
        <v>0</v>
      </c>
      <c r="Y2299" s="1">
        <f t="shared" si="71"/>
        <v>15</v>
      </c>
    </row>
    <row r="2300" spans="24:25" x14ac:dyDescent="0.3">
      <c r="X2300" s="1">
        <f t="shared" si="70"/>
        <v>0</v>
      </c>
      <c r="Y2300" s="1">
        <f t="shared" si="71"/>
        <v>15</v>
      </c>
    </row>
    <row r="2301" spans="24:25" x14ac:dyDescent="0.3">
      <c r="X2301" s="1">
        <f t="shared" si="70"/>
        <v>0</v>
      </c>
      <c r="Y2301" s="1">
        <f t="shared" si="71"/>
        <v>15</v>
      </c>
    </row>
    <row r="2302" spans="24:25" x14ac:dyDescent="0.3">
      <c r="X2302" s="1">
        <f t="shared" si="70"/>
        <v>0</v>
      </c>
      <c r="Y2302" s="1">
        <f t="shared" si="71"/>
        <v>15</v>
      </c>
    </row>
    <row r="2303" spans="24:25" x14ac:dyDescent="0.3">
      <c r="X2303" s="1">
        <f t="shared" si="70"/>
        <v>0</v>
      </c>
      <c r="Y2303" s="1">
        <f t="shared" si="71"/>
        <v>15</v>
      </c>
    </row>
    <row r="2304" spans="24:25" x14ac:dyDescent="0.3">
      <c r="X2304" s="1">
        <f t="shared" si="70"/>
        <v>0</v>
      </c>
      <c r="Y2304" s="1">
        <f t="shared" si="71"/>
        <v>15</v>
      </c>
    </row>
    <row r="2305" spans="24:25" x14ac:dyDescent="0.3">
      <c r="X2305" s="1">
        <f t="shared" si="70"/>
        <v>0</v>
      </c>
      <c r="Y2305" s="1">
        <f t="shared" si="71"/>
        <v>15</v>
      </c>
    </row>
    <row r="2306" spans="24:25" x14ac:dyDescent="0.3">
      <c r="X2306" s="1">
        <f t="shared" si="70"/>
        <v>0</v>
      </c>
      <c r="Y2306" s="1">
        <f t="shared" si="71"/>
        <v>15</v>
      </c>
    </row>
    <row r="2307" spans="24:25" x14ac:dyDescent="0.3">
      <c r="X2307" s="1">
        <f t="shared" ref="X2307:X2370" si="72">IFERROR(MATCH(W2307,$B:$B,0),0)</f>
        <v>0</v>
      </c>
      <c r="Y2307" s="1">
        <f t="shared" ref="Y2307:Y2370" si="73">IF(X2308=0,COUNTA(A:A),X2308-1)</f>
        <v>15</v>
      </c>
    </row>
    <row r="2308" spans="24:25" x14ac:dyDescent="0.3">
      <c r="X2308" s="1">
        <f t="shared" si="72"/>
        <v>0</v>
      </c>
      <c r="Y2308" s="1">
        <f t="shared" si="73"/>
        <v>15</v>
      </c>
    </row>
    <row r="2309" spans="24:25" x14ac:dyDescent="0.3">
      <c r="X2309" s="1">
        <f t="shared" si="72"/>
        <v>0</v>
      </c>
      <c r="Y2309" s="1">
        <f t="shared" si="73"/>
        <v>15</v>
      </c>
    </row>
    <row r="2310" spans="24:25" x14ac:dyDescent="0.3">
      <c r="X2310" s="1">
        <f t="shared" si="72"/>
        <v>0</v>
      </c>
      <c r="Y2310" s="1">
        <f t="shared" si="73"/>
        <v>15</v>
      </c>
    </row>
    <row r="2311" spans="24:25" x14ac:dyDescent="0.3">
      <c r="X2311" s="1">
        <f t="shared" si="72"/>
        <v>0</v>
      </c>
      <c r="Y2311" s="1">
        <f t="shared" si="73"/>
        <v>15</v>
      </c>
    </row>
    <row r="2312" spans="24:25" x14ac:dyDescent="0.3">
      <c r="X2312" s="1">
        <f t="shared" si="72"/>
        <v>0</v>
      </c>
      <c r="Y2312" s="1">
        <f t="shared" si="73"/>
        <v>15</v>
      </c>
    </row>
    <row r="2313" spans="24:25" x14ac:dyDescent="0.3">
      <c r="X2313" s="1">
        <f t="shared" si="72"/>
        <v>0</v>
      </c>
      <c r="Y2313" s="1">
        <f t="shared" si="73"/>
        <v>15</v>
      </c>
    </row>
    <row r="2314" spans="24:25" x14ac:dyDescent="0.3">
      <c r="X2314" s="1">
        <f t="shared" si="72"/>
        <v>0</v>
      </c>
      <c r="Y2314" s="1">
        <f t="shared" si="73"/>
        <v>15</v>
      </c>
    </row>
    <row r="2315" spans="24:25" x14ac:dyDescent="0.3">
      <c r="X2315" s="1">
        <f t="shared" si="72"/>
        <v>0</v>
      </c>
      <c r="Y2315" s="1">
        <f t="shared" si="73"/>
        <v>15</v>
      </c>
    </row>
    <row r="2316" spans="24:25" x14ac:dyDescent="0.3">
      <c r="X2316" s="1">
        <f t="shared" si="72"/>
        <v>0</v>
      </c>
      <c r="Y2316" s="1">
        <f t="shared" si="73"/>
        <v>15</v>
      </c>
    </row>
    <row r="2317" spans="24:25" x14ac:dyDescent="0.3">
      <c r="X2317" s="1">
        <f t="shared" si="72"/>
        <v>0</v>
      </c>
      <c r="Y2317" s="1">
        <f t="shared" si="73"/>
        <v>15</v>
      </c>
    </row>
    <row r="2318" spans="24:25" x14ac:dyDescent="0.3">
      <c r="X2318" s="1">
        <f t="shared" si="72"/>
        <v>0</v>
      </c>
      <c r="Y2318" s="1">
        <f t="shared" si="73"/>
        <v>15</v>
      </c>
    </row>
    <row r="2319" spans="24:25" x14ac:dyDescent="0.3">
      <c r="X2319" s="1">
        <f t="shared" si="72"/>
        <v>0</v>
      </c>
      <c r="Y2319" s="1">
        <f t="shared" si="73"/>
        <v>15</v>
      </c>
    </row>
    <row r="2320" spans="24:25" x14ac:dyDescent="0.3">
      <c r="X2320" s="1">
        <f t="shared" si="72"/>
        <v>0</v>
      </c>
      <c r="Y2320" s="1">
        <f t="shared" si="73"/>
        <v>15</v>
      </c>
    </row>
    <row r="2321" spans="24:25" x14ac:dyDescent="0.3">
      <c r="X2321" s="1">
        <f t="shared" si="72"/>
        <v>0</v>
      </c>
      <c r="Y2321" s="1">
        <f t="shared" si="73"/>
        <v>15</v>
      </c>
    </row>
    <row r="2322" spans="24:25" x14ac:dyDescent="0.3">
      <c r="X2322" s="1">
        <f t="shared" si="72"/>
        <v>0</v>
      </c>
      <c r="Y2322" s="1">
        <f t="shared" si="73"/>
        <v>15</v>
      </c>
    </row>
    <row r="2323" spans="24:25" x14ac:dyDescent="0.3">
      <c r="X2323" s="1">
        <f t="shared" si="72"/>
        <v>0</v>
      </c>
      <c r="Y2323" s="1">
        <f t="shared" si="73"/>
        <v>15</v>
      </c>
    </row>
    <row r="2324" spans="24:25" x14ac:dyDescent="0.3">
      <c r="X2324" s="1">
        <f t="shared" si="72"/>
        <v>0</v>
      </c>
      <c r="Y2324" s="1">
        <f t="shared" si="73"/>
        <v>15</v>
      </c>
    </row>
    <row r="2325" spans="24:25" x14ac:dyDescent="0.3">
      <c r="X2325" s="1">
        <f t="shared" si="72"/>
        <v>0</v>
      </c>
      <c r="Y2325" s="1">
        <f t="shared" si="73"/>
        <v>15</v>
      </c>
    </row>
    <row r="2326" spans="24:25" x14ac:dyDescent="0.3">
      <c r="X2326" s="1">
        <f t="shared" si="72"/>
        <v>0</v>
      </c>
      <c r="Y2326" s="1">
        <f t="shared" si="73"/>
        <v>15</v>
      </c>
    </row>
    <row r="2327" spans="24:25" x14ac:dyDescent="0.3">
      <c r="X2327" s="1">
        <f t="shared" si="72"/>
        <v>0</v>
      </c>
      <c r="Y2327" s="1">
        <f t="shared" si="73"/>
        <v>15</v>
      </c>
    </row>
    <row r="2328" spans="24:25" x14ac:dyDescent="0.3">
      <c r="X2328" s="1">
        <f t="shared" si="72"/>
        <v>0</v>
      </c>
      <c r="Y2328" s="1">
        <f t="shared" si="73"/>
        <v>15</v>
      </c>
    </row>
    <row r="2329" spans="24:25" x14ac:dyDescent="0.3">
      <c r="X2329" s="1">
        <f t="shared" si="72"/>
        <v>0</v>
      </c>
      <c r="Y2329" s="1">
        <f t="shared" si="73"/>
        <v>15</v>
      </c>
    </row>
    <row r="2330" spans="24:25" x14ac:dyDescent="0.3">
      <c r="X2330" s="1">
        <f t="shared" si="72"/>
        <v>0</v>
      </c>
      <c r="Y2330" s="1">
        <f t="shared" si="73"/>
        <v>15</v>
      </c>
    </row>
    <row r="2331" spans="24:25" x14ac:dyDescent="0.3">
      <c r="X2331" s="1">
        <f t="shared" si="72"/>
        <v>0</v>
      </c>
      <c r="Y2331" s="1">
        <f t="shared" si="73"/>
        <v>15</v>
      </c>
    </row>
    <row r="2332" spans="24:25" x14ac:dyDescent="0.3">
      <c r="X2332" s="1">
        <f t="shared" si="72"/>
        <v>0</v>
      </c>
      <c r="Y2332" s="1">
        <f t="shared" si="73"/>
        <v>15</v>
      </c>
    </row>
    <row r="2333" spans="24:25" x14ac:dyDescent="0.3">
      <c r="X2333" s="1">
        <f t="shared" si="72"/>
        <v>0</v>
      </c>
      <c r="Y2333" s="1">
        <f t="shared" si="73"/>
        <v>15</v>
      </c>
    </row>
    <row r="2334" spans="24:25" x14ac:dyDescent="0.3">
      <c r="X2334" s="1">
        <f t="shared" si="72"/>
        <v>0</v>
      </c>
      <c r="Y2334" s="1">
        <f t="shared" si="73"/>
        <v>15</v>
      </c>
    </row>
    <row r="2335" spans="24:25" x14ac:dyDescent="0.3">
      <c r="X2335" s="1">
        <f t="shared" si="72"/>
        <v>0</v>
      </c>
      <c r="Y2335" s="1">
        <f t="shared" si="73"/>
        <v>15</v>
      </c>
    </row>
    <row r="2336" spans="24:25" x14ac:dyDescent="0.3">
      <c r="X2336" s="1">
        <f t="shared" si="72"/>
        <v>0</v>
      </c>
      <c r="Y2336" s="1">
        <f t="shared" si="73"/>
        <v>15</v>
      </c>
    </row>
    <row r="2337" spans="24:25" x14ac:dyDescent="0.3">
      <c r="X2337" s="1">
        <f t="shared" si="72"/>
        <v>0</v>
      </c>
      <c r="Y2337" s="1">
        <f t="shared" si="73"/>
        <v>15</v>
      </c>
    </row>
    <row r="2338" spans="24:25" x14ac:dyDescent="0.3">
      <c r="X2338" s="1">
        <f t="shared" si="72"/>
        <v>0</v>
      </c>
      <c r="Y2338" s="1">
        <f t="shared" si="73"/>
        <v>15</v>
      </c>
    </row>
    <row r="2339" spans="24:25" x14ac:dyDescent="0.3">
      <c r="X2339" s="1">
        <f t="shared" si="72"/>
        <v>0</v>
      </c>
      <c r="Y2339" s="1">
        <f t="shared" si="73"/>
        <v>15</v>
      </c>
    </row>
    <row r="2340" spans="24:25" x14ac:dyDescent="0.3">
      <c r="X2340" s="1">
        <f t="shared" si="72"/>
        <v>0</v>
      </c>
      <c r="Y2340" s="1">
        <f t="shared" si="73"/>
        <v>15</v>
      </c>
    </row>
    <row r="2341" spans="24:25" x14ac:dyDescent="0.3">
      <c r="X2341" s="1">
        <f t="shared" si="72"/>
        <v>0</v>
      </c>
      <c r="Y2341" s="1">
        <f t="shared" si="73"/>
        <v>15</v>
      </c>
    </row>
    <row r="2342" spans="24:25" x14ac:dyDescent="0.3">
      <c r="X2342" s="1">
        <f t="shared" si="72"/>
        <v>0</v>
      </c>
      <c r="Y2342" s="1">
        <f t="shared" si="73"/>
        <v>15</v>
      </c>
    </row>
    <row r="2343" spans="24:25" x14ac:dyDescent="0.3">
      <c r="X2343" s="1">
        <f t="shared" si="72"/>
        <v>0</v>
      </c>
      <c r="Y2343" s="1">
        <f t="shared" si="73"/>
        <v>15</v>
      </c>
    </row>
    <row r="2344" spans="24:25" x14ac:dyDescent="0.3">
      <c r="X2344" s="1">
        <f t="shared" si="72"/>
        <v>0</v>
      </c>
      <c r="Y2344" s="1">
        <f t="shared" si="73"/>
        <v>15</v>
      </c>
    </row>
    <row r="2345" spans="24:25" x14ac:dyDescent="0.3">
      <c r="X2345" s="1">
        <f t="shared" si="72"/>
        <v>0</v>
      </c>
      <c r="Y2345" s="1">
        <f t="shared" si="73"/>
        <v>15</v>
      </c>
    </row>
    <row r="2346" spans="24:25" x14ac:dyDescent="0.3">
      <c r="X2346" s="1">
        <f t="shared" si="72"/>
        <v>0</v>
      </c>
      <c r="Y2346" s="1">
        <f t="shared" si="73"/>
        <v>15</v>
      </c>
    </row>
    <row r="2347" spans="24:25" x14ac:dyDescent="0.3">
      <c r="X2347" s="1">
        <f t="shared" si="72"/>
        <v>0</v>
      </c>
      <c r="Y2347" s="1">
        <f t="shared" si="73"/>
        <v>15</v>
      </c>
    </row>
    <row r="2348" spans="24:25" x14ac:dyDescent="0.3">
      <c r="X2348" s="1">
        <f t="shared" si="72"/>
        <v>0</v>
      </c>
      <c r="Y2348" s="1">
        <f t="shared" si="73"/>
        <v>15</v>
      </c>
    </row>
    <row r="2349" spans="24:25" x14ac:dyDescent="0.3">
      <c r="X2349" s="1">
        <f t="shared" si="72"/>
        <v>0</v>
      </c>
      <c r="Y2349" s="1">
        <f t="shared" si="73"/>
        <v>15</v>
      </c>
    </row>
    <row r="2350" spans="24:25" x14ac:dyDescent="0.3">
      <c r="X2350" s="1">
        <f t="shared" si="72"/>
        <v>0</v>
      </c>
      <c r="Y2350" s="1">
        <f t="shared" si="73"/>
        <v>15</v>
      </c>
    </row>
    <row r="2351" spans="24:25" x14ac:dyDescent="0.3">
      <c r="X2351" s="1">
        <f t="shared" si="72"/>
        <v>0</v>
      </c>
      <c r="Y2351" s="1">
        <f t="shared" si="73"/>
        <v>15</v>
      </c>
    </row>
    <row r="2352" spans="24:25" x14ac:dyDescent="0.3">
      <c r="X2352" s="1">
        <f t="shared" si="72"/>
        <v>0</v>
      </c>
      <c r="Y2352" s="1">
        <f t="shared" si="73"/>
        <v>15</v>
      </c>
    </row>
    <row r="2353" spans="24:25" x14ac:dyDescent="0.3">
      <c r="X2353" s="1">
        <f t="shared" si="72"/>
        <v>0</v>
      </c>
      <c r="Y2353" s="1">
        <f t="shared" si="73"/>
        <v>15</v>
      </c>
    </row>
    <row r="2354" spans="24:25" x14ac:dyDescent="0.3">
      <c r="X2354" s="1">
        <f t="shared" si="72"/>
        <v>0</v>
      </c>
      <c r="Y2354" s="1">
        <f t="shared" si="73"/>
        <v>15</v>
      </c>
    </row>
    <row r="2355" spans="24:25" x14ac:dyDescent="0.3">
      <c r="X2355" s="1">
        <f t="shared" si="72"/>
        <v>0</v>
      </c>
      <c r="Y2355" s="1">
        <f t="shared" si="73"/>
        <v>15</v>
      </c>
    </row>
    <row r="2356" spans="24:25" x14ac:dyDescent="0.3">
      <c r="X2356" s="1">
        <f t="shared" si="72"/>
        <v>0</v>
      </c>
      <c r="Y2356" s="1">
        <f t="shared" si="73"/>
        <v>15</v>
      </c>
    </row>
    <row r="2357" spans="24:25" x14ac:dyDescent="0.3">
      <c r="X2357" s="1">
        <f t="shared" si="72"/>
        <v>0</v>
      </c>
      <c r="Y2357" s="1">
        <f t="shared" si="73"/>
        <v>15</v>
      </c>
    </row>
    <row r="2358" spans="24:25" x14ac:dyDescent="0.3">
      <c r="X2358" s="1">
        <f t="shared" si="72"/>
        <v>0</v>
      </c>
      <c r="Y2358" s="1">
        <f t="shared" si="73"/>
        <v>15</v>
      </c>
    </row>
    <row r="2359" spans="24:25" x14ac:dyDescent="0.3">
      <c r="X2359" s="1">
        <f t="shared" si="72"/>
        <v>0</v>
      </c>
      <c r="Y2359" s="1">
        <f t="shared" si="73"/>
        <v>15</v>
      </c>
    </row>
    <row r="2360" spans="24:25" x14ac:dyDescent="0.3">
      <c r="X2360" s="1">
        <f t="shared" si="72"/>
        <v>0</v>
      </c>
      <c r="Y2360" s="1">
        <f t="shared" si="73"/>
        <v>15</v>
      </c>
    </row>
    <row r="2361" spans="24:25" x14ac:dyDescent="0.3">
      <c r="X2361" s="1">
        <f t="shared" si="72"/>
        <v>0</v>
      </c>
      <c r="Y2361" s="1">
        <f t="shared" si="73"/>
        <v>15</v>
      </c>
    </row>
    <row r="2362" spans="24:25" x14ac:dyDescent="0.3">
      <c r="X2362" s="1">
        <f t="shared" si="72"/>
        <v>0</v>
      </c>
      <c r="Y2362" s="1">
        <f t="shared" si="73"/>
        <v>15</v>
      </c>
    </row>
    <row r="2363" spans="24:25" x14ac:dyDescent="0.3">
      <c r="X2363" s="1">
        <f t="shared" si="72"/>
        <v>0</v>
      </c>
      <c r="Y2363" s="1">
        <f t="shared" si="73"/>
        <v>15</v>
      </c>
    </row>
    <row r="2364" spans="24:25" x14ac:dyDescent="0.3">
      <c r="X2364" s="1">
        <f t="shared" si="72"/>
        <v>0</v>
      </c>
      <c r="Y2364" s="1">
        <f t="shared" si="73"/>
        <v>15</v>
      </c>
    </row>
    <row r="2365" spans="24:25" x14ac:dyDescent="0.3">
      <c r="X2365" s="1">
        <f t="shared" si="72"/>
        <v>0</v>
      </c>
      <c r="Y2365" s="1">
        <f t="shared" si="73"/>
        <v>15</v>
      </c>
    </row>
    <row r="2366" spans="24:25" x14ac:dyDescent="0.3">
      <c r="X2366" s="1">
        <f t="shared" si="72"/>
        <v>0</v>
      </c>
      <c r="Y2366" s="1">
        <f t="shared" si="73"/>
        <v>15</v>
      </c>
    </row>
    <row r="2367" spans="24:25" x14ac:dyDescent="0.3">
      <c r="X2367" s="1">
        <f t="shared" si="72"/>
        <v>0</v>
      </c>
      <c r="Y2367" s="1">
        <f t="shared" si="73"/>
        <v>15</v>
      </c>
    </row>
    <row r="2368" spans="24:25" x14ac:dyDescent="0.3">
      <c r="X2368" s="1">
        <f t="shared" si="72"/>
        <v>0</v>
      </c>
      <c r="Y2368" s="1">
        <f t="shared" si="73"/>
        <v>15</v>
      </c>
    </row>
    <row r="2369" spans="24:25" x14ac:dyDescent="0.3">
      <c r="X2369" s="1">
        <f t="shared" si="72"/>
        <v>0</v>
      </c>
      <c r="Y2369" s="1">
        <f t="shared" si="73"/>
        <v>15</v>
      </c>
    </row>
    <row r="2370" spans="24:25" x14ac:dyDescent="0.3">
      <c r="X2370" s="1">
        <f t="shared" si="72"/>
        <v>0</v>
      </c>
      <c r="Y2370" s="1">
        <f t="shared" si="73"/>
        <v>15</v>
      </c>
    </row>
    <row r="2371" spans="24:25" x14ac:dyDescent="0.3">
      <c r="X2371" s="1">
        <f t="shared" ref="X2371:X2434" si="74">IFERROR(MATCH(W2371,$B:$B,0),0)</f>
        <v>0</v>
      </c>
      <c r="Y2371" s="1">
        <f t="shared" ref="Y2371:Y2434" si="75">IF(X2372=0,COUNTA(A:A),X2372-1)</f>
        <v>15</v>
      </c>
    </row>
    <row r="2372" spans="24:25" x14ac:dyDescent="0.3">
      <c r="X2372" s="1">
        <f t="shared" si="74"/>
        <v>0</v>
      </c>
      <c r="Y2372" s="1">
        <f t="shared" si="75"/>
        <v>15</v>
      </c>
    </row>
    <row r="2373" spans="24:25" x14ac:dyDescent="0.3">
      <c r="X2373" s="1">
        <f t="shared" si="74"/>
        <v>0</v>
      </c>
      <c r="Y2373" s="1">
        <f t="shared" si="75"/>
        <v>15</v>
      </c>
    </row>
    <row r="2374" spans="24:25" x14ac:dyDescent="0.3">
      <c r="X2374" s="1">
        <f t="shared" si="74"/>
        <v>0</v>
      </c>
      <c r="Y2374" s="1">
        <f t="shared" si="75"/>
        <v>15</v>
      </c>
    </row>
    <row r="2375" spans="24:25" x14ac:dyDescent="0.3">
      <c r="X2375" s="1">
        <f t="shared" si="74"/>
        <v>0</v>
      </c>
      <c r="Y2375" s="1">
        <f t="shared" si="75"/>
        <v>15</v>
      </c>
    </row>
    <row r="2376" spans="24:25" x14ac:dyDescent="0.3">
      <c r="X2376" s="1">
        <f t="shared" si="74"/>
        <v>0</v>
      </c>
      <c r="Y2376" s="1">
        <f t="shared" si="75"/>
        <v>15</v>
      </c>
    </row>
    <row r="2377" spans="24:25" x14ac:dyDescent="0.3">
      <c r="X2377" s="1">
        <f t="shared" si="74"/>
        <v>0</v>
      </c>
      <c r="Y2377" s="1">
        <f t="shared" si="75"/>
        <v>15</v>
      </c>
    </row>
    <row r="2378" spans="24:25" x14ac:dyDescent="0.3">
      <c r="X2378" s="1">
        <f t="shared" si="74"/>
        <v>0</v>
      </c>
      <c r="Y2378" s="1">
        <f t="shared" si="75"/>
        <v>15</v>
      </c>
    </row>
    <row r="2379" spans="24:25" x14ac:dyDescent="0.3">
      <c r="X2379" s="1">
        <f t="shared" si="74"/>
        <v>0</v>
      </c>
      <c r="Y2379" s="1">
        <f t="shared" si="75"/>
        <v>15</v>
      </c>
    </row>
    <row r="2380" spans="24:25" x14ac:dyDescent="0.3">
      <c r="X2380" s="1">
        <f t="shared" si="74"/>
        <v>0</v>
      </c>
      <c r="Y2380" s="1">
        <f t="shared" si="75"/>
        <v>15</v>
      </c>
    </row>
    <row r="2381" spans="24:25" x14ac:dyDescent="0.3">
      <c r="X2381" s="1">
        <f t="shared" si="74"/>
        <v>0</v>
      </c>
      <c r="Y2381" s="1">
        <f t="shared" si="75"/>
        <v>15</v>
      </c>
    </row>
    <row r="2382" spans="24:25" x14ac:dyDescent="0.3">
      <c r="X2382" s="1">
        <f t="shared" si="74"/>
        <v>0</v>
      </c>
      <c r="Y2382" s="1">
        <f t="shared" si="75"/>
        <v>15</v>
      </c>
    </row>
    <row r="2383" spans="24:25" x14ac:dyDescent="0.3">
      <c r="X2383" s="1">
        <f t="shared" si="74"/>
        <v>0</v>
      </c>
      <c r="Y2383" s="1">
        <f t="shared" si="75"/>
        <v>15</v>
      </c>
    </row>
    <row r="2384" spans="24:25" x14ac:dyDescent="0.3">
      <c r="X2384" s="1">
        <f t="shared" si="74"/>
        <v>0</v>
      </c>
      <c r="Y2384" s="1">
        <f t="shared" si="75"/>
        <v>15</v>
      </c>
    </row>
    <row r="2385" spans="24:25" x14ac:dyDescent="0.3">
      <c r="X2385" s="1">
        <f t="shared" si="74"/>
        <v>0</v>
      </c>
      <c r="Y2385" s="1">
        <f t="shared" si="75"/>
        <v>15</v>
      </c>
    </row>
    <row r="2386" spans="24:25" x14ac:dyDescent="0.3">
      <c r="X2386" s="1">
        <f t="shared" si="74"/>
        <v>0</v>
      </c>
      <c r="Y2386" s="1">
        <f t="shared" si="75"/>
        <v>15</v>
      </c>
    </row>
    <row r="2387" spans="24:25" x14ac:dyDescent="0.3">
      <c r="X2387" s="1">
        <f t="shared" si="74"/>
        <v>0</v>
      </c>
      <c r="Y2387" s="1">
        <f t="shared" si="75"/>
        <v>15</v>
      </c>
    </row>
    <row r="2388" spans="24:25" x14ac:dyDescent="0.3">
      <c r="X2388" s="1">
        <f t="shared" si="74"/>
        <v>0</v>
      </c>
      <c r="Y2388" s="1">
        <f t="shared" si="75"/>
        <v>15</v>
      </c>
    </row>
    <row r="2389" spans="24:25" x14ac:dyDescent="0.3">
      <c r="X2389" s="1">
        <f t="shared" si="74"/>
        <v>0</v>
      </c>
      <c r="Y2389" s="1">
        <f t="shared" si="75"/>
        <v>15</v>
      </c>
    </row>
    <row r="2390" spans="24:25" x14ac:dyDescent="0.3">
      <c r="X2390" s="1">
        <f t="shared" si="74"/>
        <v>0</v>
      </c>
      <c r="Y2390" s="1">
        <f t="shared" si="75"/>
        <v>15</v>
      </c>
    </row>
    <row r="2391" spans="24:25" x14ac:dyDescent="0.3">
      <c r="X2391" s="1">
        <f t="shared" si="74"/>
        <v>0</v>
      </c>
      <c r="Y2391" s="1">
        <f t="shared" si="75"/>
        <v>15</v>
      </c>
    </row>
    <row r="2392" spans="24:25" x14ac:dyDescent="0.3">
      <c r="X2392" s="1">
        <f t="shared" si="74"/>
        <v>0</v>
      </c>
      <c r="Y2392" s="1">
        <f t="shared" si="75"/>
        <v>15</v>
      </c>
    </row>
    <row r="2393" spans="24:25" x14ac:dyDescent="0.3">
      <c r="X2393" s="1">
        <f t="shared" si="74"/>
        <v>0</v>
      </c>
      <c r="Y2393" s="1">
        <f t="shared" si="75"/>
        <v>15</v>
      </c>
    </row>
    <row r="2394" spans="24:25" x14ac:dyDescent="0.3">
      <c r="X2394" s="1">
        <f t="shared" si="74"/>
        <v>0</v>
      </c>
      <c r="Y2394" s="1">
        <f t="shared" si="75"/>
        <v>15</v>
      </c>
    </row>
    <row r="2395" spans="24:25" x14ac:dyDescent="0.3">
      <c r="X2395" s="1">
        <f t="shared" si="74"/>
        <v>0</v>
      </c>
      <c r="Y2395" s="1">
        <f t="shared" si="75"/>
        <v>15</v>
      </c>
    </row>
    <row r="2396" spans="24:25" x14ac:dyDescent="0.3">
      <c r="X2396" s="1">
        <f t="shared" si="74"/>
        <v>0</v>
      </c>
      <c r="Y2396" s="1">
        <f t="shared" si="75"/>
        <v>15</v>
      </c>
    </row>
    <row r="2397" spans="24:25" x14ac:dyDescent="0.3">
      <c r="X2397" s="1">
        <f t="shared" si="74"/>
        <v>0</v>
      </c>
      <c r="Y2397" s="1">
        <f t="shared" si="75"/>
        <v>15</v>
      </c>
    </row>
    <row r="2398" spans="24:25" x14ac:dyDescent="0.3">
      <c r="X2398" s="1">
        <f t="shared" si="74"/>
        <v>0</v>
      </c>
      <c r="Y2398" s="1">
        <f t="shared" si="75"/>
        <v>15</v>
      </c>
    </row>
    <row r="2399" spans="24:25" x14ac:dyDescent="0.3">
      <c r="X2399" s="1">
        <f t="shared" si="74"/>
        <v>0</v>
      </c>
      <c r="Y2399" s="1">
        <f t="shared" si="75"/>
        <v>15</v>
      </c>
    </row>
    <row r="2400" spans="24:25" x14ac:dyDescent="0.3">
      <c r="X2400" s="1">
        <f t="shared" si="74"/>
        <v>0</v>
      </c>
      <c r="Y2400" s="1">
        <f t="shared" si="75"/>
        <v>15</v>
      </c>
    </row>
    <row r="2401" spans="24:25" x14ac:dyDescent="0.3">
      <c r="X2401" s="1">
        <f t="shared" si="74"/>
        <v>0</v>
      </c>
      <c r="Y2401" s="1">
        <f t="shared" si="75"/>
        <v>15</v>
      </c>
    </row>
    <row r="2402" spans="24:25" x14ac:dyDescent="0.3">
      <c r="X2402" s="1">
        <f t="shared" si="74"/>
        <v>0</v>
      </c>
      <c r="Y2402" s="1">
        <f t="shared" si="75"/>
        <v>15</v>
      </c>
    </row>
    <row r="2403" spans="24:25" x14ac:dyDescent="0.3">
      <c r="X2403" s="1">
        <f t="shared" si="74"/>
        <v>0</v>
      </c>
      <c r="Y2403" s="1">
        <f t="shared" si="75"/>
        <v>15</v>
      </c>
    </row>
    <row r="2404" spans="24:25" x14ac:dyDescent="0.3">
      <c r="X2404" s="1">
        <f t="shared" si="74"/>
        <v>0</v>
      </c>
      <c r="Y2404" s="1">
        <f t="shared" si="75"/>
        <v>15</v>
      </c>
    </row>
    <row r="2405" spans="24:25" x14ac:dyDescent="0.3">
      <c r="X2405" s="1">
        <f t="shared" si="74"/>
        <v>0</v>
      </c>
      <c r="Y2405" s="1">
        <f t="shared" si="75"/>
        <v>15</v>
      </c>
    </row>
    <row r="2406" spans="24:25" x14ac:dyDescent="0.3">
      <c r="X2406" s="1">
        <f t="shared" si="74"/>
        <v>0</v>
      </c>
      <c r="Y2406" s="1">
        <f t="shared" si="75"/>
        <v>15</v>
      </c>
    </row>
    <row r="2407" spans="24:25" x14ac:dyDescent="0.3">
      <c r="X2407" s="1">
        <f t="shared" si="74"/>
        <v>0</v>
      </c>
      <c r="Y2407" s="1">
        <f t="shared" si="75"/>
        <v>15</v>
      </c>
    </row>
    <row r="2408" spans="24:25" x14ac:dyDescent="0.3">
      <c r="X2408" s="1">
        <f t="shared" si="74"/>
        <v>0</v>
      </c>
      <c r="Y2408" s="1">
        <f t="shared" si="75"/>
        <v>15</v>
      </c>
    </row>
    <row r="2409" spans="24:25" x14ac:dyDescent="0.3">
      <c r="X2409" s="1">
        <f t="shared" si="74"/>
        <v>0</v>
      </c>
      <c r="Y2409" s="1">
        <f t="shared" si="75"/>
        <v>15</v>
      </c>
    </row>
    <row r="2410" spans="24:25" x14ac:dyDescent="0.3">
      <c r="X2410" s="1">
        <f t="shared" si="74"/>
        <v>0</v>
      </c>
      <c r="Y2410" s="1">
        <f t="shared" si="75"/>
        <v>15</v>
      </c>
    </row>
    <row r="2411" spans="24:25" x14ac:dyDescent="0.3">
      <c r="X2411" s="1">
        <f t="shared" si="74"/>
        <v>0</v>
      </c>
      <c r="Y2411" s="1">
        <f t="shared" si="75"/>
        <v>15</v>
      </c>
    </row>
    <row r="2412" spans="24:25" x14ac:dyDescent="0.3">
      <c r="X2412" s="1">
        <f t="shared" si="74"/>
        <v>0</v>
      </c>
      <c r="Y2412" s="1">
        <f t="shared" si="75"/>
        <v>15</v>
      </c>
    </row>
    <row r="2413" spans="24:25" x14ac:dyDescent="0.3">
      <c r="X2413" s="1">
        <f t="shared" si="74"/>
        <v>0</v>
      </c>
      <c r="Y2413" s="1">
        <f t="shared" si="75"/>
        <v>15</v>
      </c>
    </row>
    <row r="2414" spans="24:25" x14ac:dyDescent="0.3">
      <c r="X2414" s="1">
        <f t="shared" si="74"/>
        <v>0</v>
      </c>
      <c r="Y2414" s="1">
        <f t="shared" si="75"/>
        <v>15</v>
      </c>
    </row>
    <row r="2415" spans="24:25" x14ac:dyDescent="0.3">
      <c r="X2415" s="1">
        <f t="shared" si="74"/>
        <v>0</v>
      </c>
      <c r="Y2415" s="1">
        <f t="shared" si="75"/>
        <v>15</v>
      </c>
    </row>
    <row r="2416" spans="24:25" x14ac:dyDescent="0.3">
      <c r="X2416" s="1">
        <f t="shared" si="74"/>
        <v>0</v>
      </c>
      <c r="Y2416" s="1">
        <f t="shared" si="75"/>
        <v>15</v>
      </c>
    </row>
    <row r="2417" spans="24:25" x14ac:dyDescent="0.3">
      <c r="X2417" s="1">
        <f t="shared" si="74"/>
        <v>0</v>
      </c>
      <c r="Y2417" s="1">
        <f t="shared" si="75"/>
        <v>15</v>
      </c>
    </row>
    <row r="2418" spans="24:25" x14ac:dyDescent="0.3">
      <c r="X2418" s="1">
        <f t="shared" si="74"/>
        <v>0</v>
      </c>
      <c r="Y2418" s="1">
        <f t="shared" si="75"/>
        <v>15</v>
      </c>
    </row>
    <row r="2419" spans="24:25" x14ac:dyDescent="0.3">
      <c r="X2419" s="1">
        <f t="shared" si="74"/>
        <v>0</v>
      </c>
      <c r="Y2419" s="1">
        <f t="shared" si="75"/>
        <v>15</v>
      </c>
    </row>
    <row r="2420" spans="24:25" x14ac:dyDescent="0.3">
      <c r="X2420" s="1">
        <f t="shared" si="74"/>
        <v>0</v>
      </c>
      <c r="Y2420" s="1">
        <f t="shared" si="75"/>
        <v>15</v>
      </c>
    </row>
    <row r="2421" spans="24:25" x14ac:dyDescent="0.3">
      <c r="X2421" s="1">
        <f t="shared" si="74"/>
        <v>0</v>
      </c>
      <c r="Y2421" s="1">
        <f t="shared" si="75"/>
        <v>15</v>
      </c>
    </row>
    <row r="2422" spans="24:25" x14ac:dyDescent="0.3">
      <c r="X2422" s="1">
        <f t="shared" si="74"/>
        <v>0</v>
      </c>
      <c r="Y2422" s="1">
        <f t="shared" si="75"/>
        <v>15</v>
      </c>
    </row>
    <row r="2423" spans="24:25" x14ac:dyDescent="0.3">
      <c r="X2423" s="1">
        <f t="shared" si="74"/>
        <v>0</v>
      </c>
      <c r="Y2423" s="1">
        <f t="shared" si="75"/>
        <v>15</v>
      </c>
    </row>
    <row r="2424" spans="24:25" x14ac:dyDescent="0.3">
      <c r="X2424" s="1">
        <f t="shared" si="74"/>
        <v>0</v>
      </c>
      <c r="Y2424" s="1">
        <f t="shared" si="75"/>
        <v>15</v>
      </c>
    </row>
    <row r="2425" spans="24:25" x14ac:dyDescent="0.3">
      <c r="X2425" s="1">
        <f t="shared" si="74"/>
        <v>0</v>
      </c>
      <c r="Y2425" s="1">
        <f t="shared" si="75"/>
        <v>15</v>
      </c>
    </row>
    <row r="2426" spans="24:25" x14ac:dyDescent="0.3">
      <c r="X2426" s="1">
        <f t="shared" si="74"/>
        <v>0</v>
      </c>
      <c r="Y2426" s="1">
        <f t="shared" si="75"/>
        <v>15</v>
      </c>
    </row>
    <row r="2427" spans="24:25" x14ac:dyDescent="0.3">
      <c r="X2427" s="1">
        <f t="shared" si="74"/>
        <v>0</v>
      </c>
      <c r="Y2427" s="1">
        <f t="shared" si="75"/>
        <v>15</v>
      </c>
    </row>
    <row r="2428" spans="24:25" x14ac:dyDescent="0.3">
      <c r="X2428" s="1">
        <f t="shared" si="74"/>
        <v>0</v>
      </c>
      <c r="Y2428" s="1">
        <f t="shared" si="75"/>
        <v>15</v>
      </c>
    </row>
    <row r="2429" spans="24:25" x14ac:dyDescent="0.3">
      <c r="X2429" s="1">
        <f t="shared" si="74"/>
        <v>0</v>
      </c>
      <c r="Y2429" s="1">
        <f t="shared" si="75"/>
        <v>15</v>
      </c>
    </row>
    <row r="2430" spans="24:25" x14ac:dyDescent="0.3">
      <c r="X2430" s="1">
        <f t="shared" si="74"/>
        <v>0</v>
      </c>
      <c r="Y2430" s="1">
        <f t="shared" si="75"/>
        <v>15</v>
      </c>
    </row>
    <row r="2431" spans="24:25" x14ac:dyDescent="0.3">
      <c r="X2431" s="1">
        <f t="shared" si="74"/>
        <v>0</v>
      </c>
      <c r="Y2431" s="1">
        <f t="shared" si="75"/>
        <v>15</v>
      </c>
    </row>
    <row r="2432" spans="24:25" x14ac:dyDescent="0.3">
      <c r="X2432" s="1">
        <f t="shared" si="74"/>
        <v>0</v>
      </c>
      <c r="Y2432" s="1">
        <f t="shared" si="75"/>
        <v>15</v>
      </c>
    </row>
    <row r="2433" spans="24:25" x14ac:dyDescent="0.3">
      <c r="X2433" s="1">
        <f t="shared" si="74"/>
        <v>0</v>
      </c>
      <c r="Y2433" s="1">
        <f t="shared" si="75"/>
        <v>15</v>
      </c>
    </row>
    <row r="2434" spans="24:25" x14ac:dyDescent="0.3">
      <c r="X2434" s="1">
        <f t="shared" si="74"/>
        <v>0</v>
      </c>
      <c r="Y2434" s="1">
        <f t="shared" si="75"/>
        <v>15</v>
      </c>
    </row>
    <row r="2435" spans="24:25" x14ac:dyDescent="0.3">
      <c r="X2435" s="1">
        <f t="shared" ref="X2435:X2498" si="76">IFERROR(MATCH(W2435,$B:$B,0),0)</f>
        <v>0</v>
      </c>
      <c r="Y2435" s="1">
        <f t="shared" ref="Y2435:Y2498" si="77">IF(X2436=0,COUNTA(A:A),X2436-1)</f>
        <v>15</v>
      </c>
    </row>
    <row r="2436" spans="24:25" x14ac:dyDescent="0.3">
      <c r="X2436" s="1">
        <f t="shared" si="76"/>
        <v>0</v>
      </c>
      <c r="Y2436" s="1">
        <f t="shared" si="77"/>
        <v>15</v>
      </c>
    </row>
    <row r="2437" spans="24:25" x14ac:dyDescent="0.3">
      <c r="X2437" s="1">
        <f t="shared" si="76"/>
        <v>0</v>
      </c>
      <c r="Y2437" s="1">
        <f t="shared" si="77"/>
        <v>15</v>
      </c>
    </row>
    <row r="2438" spans="24:25" x14ac:dyDescent="0.3">
      <c r="X2438" s="1">
        <f t="shared" si="76"/>
        <v>0</v>
      </c>
      <c r="Y2438" s="1">
        <f t="shared" si="77"/>
        <v>15</v>
      </c>
    </row>
    <row r="2439" spans="24:25" x14ac:dyDescent="0.3">
      <c r="X2439" s="1">
        <f t="shared" si="76"/>
        <v>0</v>
      </c>
      <c r="Y2439" s="1">
        <f t="shared" si="77"/>
        <v>15</v>
      </c>
    </row>
    <row r="2440" spans="24:25" x14ac:dyDescent="0.3">
      <c r="X2440" s="1">
        <f t="shared" si="76"/>
        <v>0</v>
      </c>
      <c r="Y2440" s="1">
        <f t="shared" si="77"/>
        <v>15</v>
      </c>
    </row>
    <row r="2441" spans="24:25" x14ac:dyDescent="0.3">
      <c r="X2441" s="1">
        <f t="shared" si="76"/>
        <v>0</v>
      </c>
      <c r="Y2441" s="1">
        <f t="shared" si="77"/>
        <v>15</v>
      </c>
    </row>
    <row r="2442" spans="24:25" x14ac:dyDescent="0.3">
      <c r="X2442" s="1">
        <f t="shared" si="76"/>
        <v>0</v>
      </c>
      <c r="Y2442" s="1">
        <f t="shared" si="77"/>
        <v>15</v>
      </c>
    </row>
    <row r="2443" spans="24:25" x14ac:dyDescent="0.3">
      <c r="X2443" s="1">
        <f t="shared" si="76"/>
        <v>0</v>
      </c>
      <c r="Y2443" s="1">
        <f t="shared" si="77"/>
        <v>15</v>
      </c>
    </row>
    <row r="2444" spans="24:25" x14ac:dyDescent="0.3">
      <c r="X2444" s="1">
        <f t="shared" si="76"/>
        <v>0</v>
      </c>
      <c r="Y2444" s="1">
        <f t="shared" si="77"/>
        <v>15</v>
      </c>
    </row>
    <row r="2445" spans="24:25" x14ac:dyDescent="0.3">
      <c r="X2445" s="1">
        <f t="shared" si="76"/>
        <v>0</v>
      </c>
      <c r="Y2445" s="1">
        <f t="shared" si="77"/>
        <v>15</v>
      </c>
    </row>
    <row r="2446" spans="24:25" x14ac:dyDescent="0.3">
      <c r="X2446" s="1">
        <f t="shared" si="76"/>
        <v>0</v>
      </c>
      <c r="Y2446" s="1">
        <f t="shared" si="77"/>
        <v>15</v>
      </c>
    </row>
    <row r="2447" spans="24:25" x14ac:dyDescent="0.3">
      <c r="X2447" s="1">
        <f t="shared" si="76"/>
        <v>0</v>
      </c>
      <c r="Y2447" s="1">
        <f t="shared" si="77"/>
        <v>15</v>
      </c>
    </row>
    <row r="2448" spans="24:25" x14ac:dyDescent="0.3">
      <c r="X2448" s="1">
        <f t="shared" si="76"/>
        <v>0</v>
      </c>
      <c r="Y2448" s="1">
        <f t="shared" si="77"/>
        <v>15</v>
      </c>
    </row>
    <row r="2449" spans="24:25" x14ac:dyDescent="0.3">
      <c r="X2449" s="1">
        <f t="shared" si="76"/>
        <v>0</v>
      </c>
      <c r="Y2449" s="1">
        <f t="shared" si="77"/>
        <v>15</v>
      </c>
    </row>
    <row r="2450" spans="24:25" x14ac:dyDescent="0.3">
      <c r="X2450" s="1">
        <f t="shared" si="76"/>
        <v>0</v>
      </c>
      <c r="Y2450" s="1">
        <f t="shared" si="77"/>
        <v>15</v>
      </c>
    </row>
    <row r="2451" spans="24:25" x14ac:dyDescent="0.3">
      <c r="X2451" s="1">
        <f t="shared" si="76"/>
        <v>0</v>
      </c>
      <c r="Y2451" s="1">
        <f t="shared" si="77"/>
        <v>15</v>
      </c>
    </row>
    <row r="2452" spans="24:25" x14ac:dyDescent="0.3">
      <c r="X2452" s="1">
        <f t="shared" si="76"/>
        <v>0</v>
      </c>
      <c r="Y2452" s="1">
        <f t="shared" si="77"/>
        <v>15</v>
      </c>
    </row>
    <row r="2453" spans="24:25" x14ac:dyDescent="0.3">
      <c r="X2453" s="1">
        <f t="shared" si="76"/>
        <v>0</v>
      </c>
      <c r="Y2453" s="1">
        <f t="shared" si="77"/>
        <v>15</v>
      </c>
    </row>
    <row r="2454" spans="24:25" x14ac:dyDescent="0.3">
      <c r="X2454" s="1">
        <f t="shared" si="76"/>
        <v>0</v>
      </c>
      <c r="Y2454" s="1">
        <f t="shared" si="77"/>
        <v>15</v>
      </c>
    </row>
    <row r="2455" spans="24:25" x14ac:dyDescent="0.3">
      <c r="X2455" s="1">
        <f t="shared" si="76"/>
        <v>0</v>
      </c>
      <c r="Y2455" s="1">
        <f t="shared" si="77"/>
        <v>15</v>
      </c>
    </row>
    <row r="2456" spans="24:25" x14ac:dyDescent="0.3">
      <c r="X2456" s="1">
        <f t="shared" si="76"/>
        <v>0</v>
      </c>
      <c r="Y2456" s="1">
        <f t="shared" si="77"/>
        <v>15</v>
      </c>
    </row>
    <row r="2457" spans="24:25" x14ac:dyDescent="0.3">
      <c r="X2457" s="1">
        <f t="shared" si="76"/>
        <v>0</v>
      </c>
      <c r="Y2457" s="1">
        <f t="shared" si="77"/>
        <v>15</v>
      </c>
    </row>
    <row r="2458" spans="24:25" x14ac:dyDescent="0.3">
      <c r="X2458" s="1">
        <f t="shared" si="76"/>
        <v>0</v>
      </c>
      <c r="Y2458" s="1">
        <f t="shared" si="77"/>
        <v>15</v>
      </c>
    </row>
    <row r="2459" spans="24:25" x14ac:dyDescent="0.3">
      <c r="X2459" s="1">
        <f t="shared" si="76"/>
        <v>0</v>
      </c>
      <c r="Y2459" s="1">
        <f t="shared" si="77"/>
        <v>15</v>
      </c>
    </row>
    <row r="2460" spans="24:25" x14ac:dyDescent="0.3">
      <c r="X2460" s="1">
        <f t="shared" si="76"/>
        <v>0</v>
      </c>
      <c r="Y2460" s="1">
        <f t="shared" si="77"/>
        <v>15</v>
      </c>
    </row>
    <row r="2461" spans="24:25" x14ac:dyDescent="0.3">
      <c r="X2461" s="1">
        <f t="shared" si="76"/>
        <v>0</v>
      </c>
      <c r="Y2461" s="1">
        <f t="shared" si="77"/>
        <v>15</v>
      </c>
    </row>
    <row r="2462" spans="24:25" x14ac:dyDescent="0.3">
      <c r="X2462" s="1">
        <f t="shared" si="76"/>
        <v>0</v>
      </c>
      <c r="Y2462" s="1">
        <f t="shared" si="77"/>
        <v>15</v>
      </c>
    </row>
    <row r="2463" spans="24:25" x14ac:dyDescent="0.3">
      <c r="X2463" s="1">
        <f t="shared" si="76"/>
        <v>0</v>
      </c>
      <c r="Y2463" s="1">
        <f t="shared" si="77"/>
        <v>15</v>
      </c>
    </row>
    <row r="2464" spans="24:25" x14ac:dyDescent="0.3">
      <c r="X2464" s="1">
        <f t="shared" si="76"/>
        <v>0</v>
      </c>
      <c r="Y2464" s="1">
        <f t="shared" si="77"/>
        <v>15</v>
      </c>
    </row>
    <row r="2465" spans="24:25" x14ac:dyDescent="0.3">
      <c r="X2465" s="1">
        <f t="shared" si="76"/>
        <v>0</v>
      </c>
      <c r="Y2465" s="1">
        <f t="shared" si="77"/>
        <v>15</v>
      </c>
    </row>
    <row r="2466" spans="24:25" x14ac:dyDescent="0.3">
      <c r="X2466" s="1">
        <f t="shared" si="76"/>
        <v>0</v>
      </c>
      <c r="Y2466" s="1">
        <f t="shared" si="77"/>
        <v>15</v>
      </c>
    </row>
    <row r="2467" spans="24:25" x14ac:dyDescent="0.3">
      <c r="X2467" s="1">
        <f t="shared" si="76"/>
        <v>0</v>
      </c>
      <c r="Y2467" s="1">
        <f t="shared" si="77"/>
        <v>15</v>
      </c>
    </row>
    <row r="2468" spans="24:25" x14ac:dyDescent="0.3">
      <c r="X2468" s="1">
        <f t="shared" si="76"/>
        <v>0</v>
      </c>
      <c r="Y2468" s="1">
        <f t="shared" si="77"/>
        <v>15</v>
      </c>
    </row>
    <row r="2469" spans="24:25" x14ac:dyDescent="0.3">
      <c r="X2469" s="1">
        <f t="shared" si="76"/>
        <v>0</v>
      </c>
      <c r="Y2469" s="1">
        <f t="shared" si="77"/>
        <v>15</v>
      </c>
    </row>
    <row r="2470" spans="24:25" x14ac:dyDescent="0.3">
      <c r="X2470" s="1">
        <f t="shared" si="76"/>
        <v>0</v>
      </c>
      <c r="Y2470" s="1">
        <f t="shared" si="77"/>
        <v>15</v>
      </c>
    </row>
    <row r="2471" spans="24:25" x14ac:dyDescent="0.3">
      <c r="X2471" s="1">
        <f t="shared" si="76"/>
        <v>0</v>
      </c>
      <c r="Y2471" s="1">
        <f t="shared" si="77"/>
        <v>15</v>
      </c>
    </row>
    <row r="2472" spans="24:25" x14ac:dyDescent="0.3">
      <c r="X2472" s="1">
        <f t="shared" si="76"/>
        <v>0</v>
      </c>
      <c r="Y2472" s="1">
        <f t="shared" si="77"/>
        <v>15</v>
      </c>
    </row>
    <row r="2473" spans="24:25" x14ac:dyDescent="0.3">
      <c r="X2473" s="1">
        <f t="shared" si="76"/>
        <v>0</v>
      </c>
      <c r="Y2473" s="1">
        <f t="shared" si="77"/>
        <v>15</v>
      </c>
    </row>
    <row r="2474" spans="24:25" x14ac:dyDescent="0.3">
      <c r="X2474" s="1">
        <f t="shared" si="76"/>
        <v>0</v>
      </c>
      <c r="Y2474" s="1">
        <f t="shared" si="77"/>
        <v>15</v>
      </c>
    </row>
    <row r="2475" spans="24:25" x14ac:dyDescent="0.3">
      <c r="X2475" s="1">
        <f t="shared" si="76"/>
        <v>0</v>
      </c>
      <c r="Y2475" s="1">
        <f t="shared" si="77"/>
        <v>15</v>
      </c>
    </row>
    <row r="2476" spans="24:25" x14ac:dyDescent="0.3">
      <c r="X2476" s="1">
        <f t="shared" si="76"/>
        <v>0</v>
      </c>
      <c r="Y2476" s="1">
        <f t="shared" si="77"/>
        <v>15</v>
      </c>
    </row>
    <row r="2477" spans="24:25" x14ac:dyDescent="0.3">
      <c r="X2477" s="1">
        <f t="shared" si="76"/>
        <v>0</v>
      </c>
      <c r="Y2477" s="1">
        <f t="shared" si="77"/>
        <v>15</v>
      </c>
    </row>
    <row r="2478" spans="24:25" x14ac:dyDescent="0.3">
      <c r="X2478" s="1">
        <f t="shared" si="76"/>
        <v>0</v>
      </c>
      <c r="Y2478" s="1">
        <f t="shared" si="77"/>
        <v>15</v>
      </c>
    </row>
    <row r="2479" spans="24:25" x14ac:dyDescent="0.3">
      <c r="X2479" s="1">
        <f t="shared" si="76"/>
        <v>0</v>
      </c>
      <c r="Y2479" s="1">
        <f t="shared" si="77"/>
        <v>15</v>
      </c>
    </row>
    <row r="2480" spans="24:25" x14ac:dyDescent="0.3">
      <c r="X2480" s="1">
        <f t="shared" si="76"/>
        <v>0</v>
      </c>
      <c r="Y2480" s="1">
        <f t="shared" si="77"/>
        <v>15</v>
      </c>
    </row>
    <row r="2481" spans="24:25" x14ac:dyDescent="0.3">
      <c r="X2481" s="1">
        <f t="shared" si="76"/>
        <v>0</v>
      </c>
      <c r="Y2481" s="1">
        <f t="shared" si="77"/>
        <v>15</v>
      </c>
    </row>
    <row r="2482" spans="24:25" x14ac:dyDescent="0.3">
      <c r="X2482" s="1">
        <f t="shared" si="76"/>
        <v>0</v>
      </c>
      <c r="Y2482" s="1">
        <f t="shared" si="77"/>
        <v>15</v>
      </c>
    </row>
    <row r="2483" spans="24:25" x14ac:dyDescent="0.3">
      <c r="X2483" s="1">
        <f t="shared" si="76"/>
        <v>0</v>
      </c>
      <c r="Y2483" s="1">
        <f t="shared" si="77"/>
        <v>15</v>
      </c>
    </row>
    <row r="2484" spans="24:25" x14ac:dyDescent="0.3">
      <c r="X2484" s="1">
        <f t="shared" si="76"/>
        <v>0</v>
      </c>
      <c r="Y2484" s="1">
        <f t="shared" si="77"/>
        <v>15</v>
      </c>
    </row>
    <row r="2485" spans="24:25" x14ac:dyDescent="0.3">
      <c r="X2485" s="1">
        <f t="shared" si="76"/>
        <v>0</v>
      </c>
      <c r="Y2485" s="1">
        <f t="shared" si="77"/>
        <v>15</v>
      </c>
    </row>
    <row r="2486" spans="24:25" x14ac:dyDescent="0.3">
      <c r="X2486" s="1">
        <f t="shared" si="76"/>
        <v>0</v>
      </c>
      <c r="Y2486" s="1">
        <f t="shared" si="77"/>
        <v>15</v>
      </c>
    </row>
    <row r="2487" spans="24:25" x14ac:dyDescent="0.3">
      <c r="X2487" s="1">
        <f t="shared" si="76"/>
        <v>0</v>
      </c>
      <c r="Y2487" s="1">
        <f t="shared" si="77"/>
        <v>15</v>
      </c>
    </row>
    <row r="2488" spans="24:25" x14ac:dyDescent="0.3">
      <c r="X2488" s="1">
        <f t="shared" si="76"/>
        <v>0</v>
      </c>
      <c r="Y2488" s="1">
        <f t="shared" si="77"/>
        <v>15</v>
      </c>
    </row>
    <row r="2489" spans="24:25" x14ac:dyDescent="0.3">
      <c r="X2489" s="1">
        <f t="shared" si="76"/>
        <v>0</v>
      </c>
      <c r="Y2489" s="1">
        <f t="shared" si="77"/>
        <v>15</v>
      </c>
    </row>
    <row r="2490" spans="24:25" x14ac:dyDescent="0.3">
      <c r="X2490" s="1">
        <f t="shared" si="76"/>
        <v>0</v>
      </c>
      <c r="Y2490" s="1">
        <f t="shared" si="77"/>
        <v>15</v>
      </c>
    </row>
    <row r="2491" spans="24:25" x14ac:dyDescent="0.3">
      <c r="X2491" s="1">
        <f t="shared" si="76"/>
        <v>0</v>
      </c>
      <c r="Y2491" s="1">
        <f t="shared" si="77"/>
        <v>15</v>
      </c>
    </row>
    <row r="2492" spans="24:25" x14ac:dyDescent="0.3">
      <c r="X2492" s="1">
        <f t="shared" si="76"/>
        <v>0</v>
      </c>
      <c r="Y2492" s="1">
        <f t="shared" si="77"/>
        <v>15</v>
      </c>
    </row>
    <row r="2493" spans="24:25" x14ac:dyDescent="0.3">
      <c r="X2493" s="1">
        <f t="shared" si="76"/>
        <v>0</v>
      </c>
      <c r="Y2493" s="1">
        <f t="shared" si="77"/>
        <v>15</v>
      </c>
    </row>
    <row r="2494" spans="24:25" x14ac:dyDescent="0.3">
      <c r="X2494" s="1">
        <f t="shared" si="76"/>
        <v>0</v>
      </c>
      <c r="Y2494" s="1">
        <f t="shared" si="77"/>
        <v>15</v>
      </c>
    </row>
    <row r="2495" spans="24:25" x14ac:dyDescent="0.3">
      <c r="X2495" s="1">
        <f t="shared" si="76"/>
        <v>0</v>
      </c>
      <c r="Y2495" s="1">
        <f t="shared" si="77"/>
        <v>15</v>
      </c>
    </row>
    <row r="2496" spans="24:25" x14ac:dyDescent="0.3">
      <c r="X2496" s="1">
        <f t="shared" si="76"/>
        <v>0</v>
      </c>
      <c r="Y2496" s="1">
        <f t="shared" si="77"/>
        <v>15</v>
      </c>
    </row>
    <row r="2497" spans="24:25" x14ac:dyDescent="0.3">
      <c r="X2497" s="1">
        <f t="shared" si="76"/>
        <v>0</v>
      </c>
      <c r="Y2497" s="1">
        <f t="shared" si="77"/>
        <v>15</v>
      </c>
    </row>
    <row r="2498" spans="24:25" x14ac:dyDescent="0.3">
      <c r="X2498" s="1">
        <f t="shared" si="76"/>
        <v>0</v>
      </c>
      <c r="Y2498" s="1">
        <f t="shared" si="77"/>
        <v>15</v>
      </c>
    </row>
    <row r="2499" spans="24:25" x14ac:dyDescent="0.3">
      <c r="X2499" s="1">
        <f t="shared" ref="X2499:X2562" si="78">IFERROR(MATCH(W2499,$B:$B,0),0)</f>
        <v>0</v>
      </c>
      <c r="Y2499" s="1">
        <f t="shared" ref="Y2499:Y2562" si="79">IF(X2500=0,COUNTA(A:A),X2500-1)</f>
        <v>15</v>
      </c>
    </row>
    <row r="2500" spans="24:25" x14ac:dyDescent="0.3">
      <c r="X2500" s="1">
        <f t="shared" si="78"/>
        <v>0</v>
      </c>
      <c r="Y2500" s="1">
        <f t="shared" si="79"/>
        <v>15</v>
      </c>
    </row>
    <row r="2501" spans="24:25" x14ac:dyDescent="0.3">
      <c r="X2501" s="1">
        <f t="shared" si="78"/>
        <v>0</v>
      </c>
      <c r="Y2501" s="1">
        <f t="shared" si="79"/>
        <v>15</v>
      </c>
    </row>
    <row r="2502" spans="24:25" x14ac:dyDescent="0.3">
      <c r="X2502" s="1">
        <f t="shared" si="78"/>
        <v>0</v>
      </c>
      <c r="Y2502" s="1">
        <f t="shared" si="79"/>
        <v>15</v>
      </c>
    </row>
    <row r="2503" spans="24:25" x14ac:dyDescent="0.3">
      <c r="X2503" s="1">
        <f t="shared" si="78"/>
        <v>0</v>
      </c>
      <c r="Y2503" s="1">
        <f t="shared" si="79"/>
        <v>15</v>
      </c>
    </row>
    <row r="2504" spans="24:25" x14ac:dyDescent="0.3">
      <c r="X2504" s="1">
        <f t="shared" si="78"/>
        <v>0</v>
      </c>
      <c r="Y2504" s="1">
        <f t="shared" si="79"/>
        <v>15</v>
      </c>
    </row>
    <row r="2505" spans="24:25" x14ac:dyDescent="0.3">
      <c r="X2505" s="1">
        <f t="shared" si="78"/>
        <v>0</v>
      </c>
      <c r="Y2505" s="1">
        <f t="shared" si="79"/>
        <v>15</v>
      </c>
    </row>
    <row r="2506" spans="24:25" x14ac:dyDescent="0.3">
      <c r="X2506" s="1">
        <f t="shared" si="78"/>
        <v>0</v>
      </c>
      <c r="Y2506" s="1">
        <f t="shared" si="79"/>
        <v>15</v>
      </c>
    </row>
    <row r="2507" spans="24:25" x14ac:dyDescent="0.3">
      <c r="X2507" s="1">
        <f t="shared" si="78"/>
        <v>0</v>
      </c>
      <c r="Y2507" s="1">
        <f t="shared" si="79"/>
        <v>15</v>
      </c>
    </row>
    <row r="2508" spans="24:25" x14ac:dyDescent="0.3">
      <c r="X2508" s="1">
        <f t="shared" si="78"/>
        <v>0</v>
      </c>
      <c r="Y2508" s="1">
        <f t="shared" si="79"/>
        <v>15</v>
      </c>
    </row>
    <row r="2509" spans="24:25" x14ac:dyDescent="0.3">
      <c r="X2509" s="1">
        <f t="shared" si="78"/>
        <v>0</v>
      </c>
      <c r="Y2509" s="1">
        <f t="shared" si="79"/>
        <v>15</v>
      </c>
    </row>
    <row r="2510" spans="24:25" x14ac:dyDescent="0.3">
      <c r="X2510" s="1">
        <f t="shared" si="78"/>
        <v>0</v>
      </c>
      <c r="Y2510" s="1">
        <f t="shared" si="79"/>
        <v>15</v>
      </c>
    </row>
    <row r="2511" spans="24:25" x14ac:dyDescent="0.3">
      <c r="X2511" s="1">
        <f t="shared" si="78"/>
        <v>0</v>
      </c>
      <c r="Y2511" s="1">
        <f t="shared" si="79"/>
        <v>15</v>
      </c>
    </row>
    <row r="2512" spans="24:25" x14ac:dyDescent="0.3">
      <c r="X2512" s="1">
        <f t="shared" si="78"/>
        <v>0</v>
      </c>
      <c r="Y2512" s="1">
        <f t="shared" si="79"/>
        <v>15</v>
      </c>
    </row>
    <row r="2513" spans="24:25" x14ac:dyDescent="0.3">
      <c r="X2513" s="1">
        <f t="shared" si="78"/>
        <v>0</v>
      </c>
      <c r="Y2513" s="1">
        <f t="shared" si="79"/>
        <v>15</v>
      </c>
    </row>
    <row r="2514" spans="24:25" x14ac:dyDescent="0.3">
      <c r="X2514" s="1">
        <f t="shared" si="78"/>
        <v>0</v>
      </c>
      <c r="Y2514" s="1">
        <f t="shared" si="79"/>
        <v>15</v>
      </c>
    </row>
    <row r="2515" spans="24:25" x14ac:dyDescent="0.3">
      <c r="X2515" s="1">
        <f t="shared" si="78"/>
        <v>0</v>
      </c>
      <c r="Y2515" s="1">
        <f t="shared" si="79"/>
        <v>15</v>
      </c>
    </row>
    <row r="2516" spans="24:25" x14ac:dyDescent="0.3">
      <c r="X2516" s="1">
        <f t="shared" si="78"/>
        <v>0</v>
      </c>
      <c r="Y2516" s="1">
        <f t="shared" si="79"/>
        <v>15</v>
      </c>
    </row>
    <row r="2517" spans="24:25" x14ac:dyDescent="0.3">
      <c r="X2517" s="1">
        <f t="shared" si="78"/>
        <v>0</v>
      </c>
      <c r="Y2517" s="1">
        <f t="shared" si="79"/>
        <v>15</v>
      </c>
    </row>
    <row r="2518" spans="24:25" x14ac:dyDescent="0.3">
      <c r="X2518" s="1">
        <f t="shared" si="78"/>
        <v>0</v>
      </c>
      <c r="Y2518" s="1">
        <f t="shared" si="79"/>
        <v>15</v>
      </c>
    </row>
    <row r="2519" spans="24:25" x14ac:dyDescent="0.3">
      <c r="X2519" s="1">
        <f t="shared" si="78"/>
        <v>0</v>
      </c>
      <c r="Y2519" s="1">
        <f t="shared" si="79"/>
        <v>15</v>
      </c>
    </row>
    <row r="2520" spans="24:25" x14ac:dyDescent="0.3">
      <c r="X2520" s="1">
        <f t="shared" si="78"/>
        <v>0</v>
      </c>
      <c r="Y2520" s="1">
        <f t="shared" si="79"/>
        <v>15</v>
      </c>
    </row>
    <row r="2521" spans="24:25" x14ac:dyDescent="0.3">
      <c r="X2521" s="1">
        <f t="shared" si="78"/>
        <v>0</v>
      </c>
      <c r="Y2521" s="1">
        <f t="shared" si="79"/>
        <v>15</v>
      </c>
    </row>
    <row r="2522" spans="24:25" x14ac:dyDescent="0.3">
      <c r="X2522" s="1">
        <f t="shared" si="78"/>
        <v>0</v>
      </c>
      <c r="Y2522" s="1">
        <f t="shared" si="79"/>
        <v>15</v>
      </c>
    </row>
    <row r="2523" spans="24:25" x14ac:dyDescent="0.3">
      <c r="X2523" s="1">
        <f t="shared" si="78"/>
        <v>0</v>
      </c>
      <c r="Y2523" s="1">
        <f t="shared" si="79"/>
        <v>15</v>
      </c>
    </row>
    <row r="2524" spans="24:25" x14ac:dyDescent="0.3">
      <c r="X2524" s="1">
        <f t="shared" si="78"/>
        <v>0</v>
      </c>
      <c r="Y2524" s="1">
        <f t="shared" si="79"/>
        <v>15</v>
      </c>
    </row>
    <row r="2525" spans="24:25" x14ac:dyDescent="0.3">
      <c r="X2525" s="1">
        <f t="shared" si="78"/>
        <v>0</v>
      </c>
      <c r="Y2525" s="1">
        <f t="shared" si="79"/>
        <v>15</v>
      </c>
    </row>
    <row r="2526" spans="24:25" x14ac:dyDescent="0.3">
      <c r="X2526" s="1">
        <f t="shared" si="78"/>
        <v>0</v>
      </c>
      <c r="Y2526" s="1">
        <f t="shared" si="79"/>
        <v>15</v>
      </c>
    </row>
    <row r="2527" spans="24:25" x14ac:dyDescent="0.3">
      <c r="X2527" s="1">
        <f t="shared" si="78"/>
        <v>0</v>
      </c>
      <c r="Y2527" s="1">
        <f t="shared" si="79"/>
        <v>15</v>
      </c>
    </row>
    <row r="2528" spans="24:25" x14ac:dyDescent="0.3">
      <c r="X2528" s="1">
        <f t="shared" si="78"/>
        <v>0</v>
      </c>
      <c r="Y2528" s="1">
        <f t="shared" si="79"/>
        <v>15</v>
      </c>
    </row>
    <row r="2529" spans="24:25" x14ac:dyDescent="0.3">
      <c r="X2529" s="1">
        <f t="shared" si="78"/>
        <v>0</v>
      </c>
      <c r="Y2529" s="1">
        <f t="shared" si="79"/>
        <v>15</v>
      </c>
    </row>
    <row r="2530" spans="24:25" x14ac:dyDescent="0.3">
      <c r="X2530" s="1">
        <f t="shared" si="78"/>
        <v>0</v>
      </c>
      <c r="Y2530" s="1">
        <f t="shared" si="79"/>
        <v>15</v>
      </c>
    </row>
    <row r="2531" spans="24:25" x14ac:dyDescent="0.3">
      <c r="X2531" s="1">
        <f t="shared" si="78"/>
        <v>0</v>
      </c>
      <c r="Y2531" s="1">
        <f t="shared" si="79"/>
        <v>15</v>
      </c>
    </row>
    <row r="2532" spans="24:25" x14ac:dyDescent="0.3">
      <c r="X2532" s="1">
        <f t="shared" si="78"/>
        <v>0</v>
      </c>
      <c r="Y2532" s="1">
        <f t="shared" si="79"/>
        <v>15</v>
      </c>
    </row>
    <row r="2533" spans="24:25" x14ac:dyDescent="0.3">
      <c r="X2533" s="1">
        <f t="shared" si="78"/>
        <v>0</v>
      </c>
      <c r="Y2533" s="1">
        <f t="shared" si="79"/>
        <v>15</v>
      </c>
    </row>
    <row r="2534" spans="24:25" x14ac:dyDescent="0.3">
      <c r="X2534" s="1">
        <f t="shared" si="78"/>
        <v>0</v>
      </c>
      <c r="Y2534" s="1">
        <f t="shared" si="79"/>
        <v>15</v>
      </c>
    </row>
    <row r="2535" spans="24:25" x14ac:dyDescent="0.3">
      <c r="X2535" s="1">
        <f t="shared" si="78"/>
        <v>0</v>
      </c>
      <c r="Y2535" s="1">
        <f t="shared" si="79"/>
        <v>15</v>
      </c>
    </row>
    <row r="2536" spans="24:25" x14ac:dyDescent="0.3">
      <c r="X2536" s="1">
        <f t="shared" si="78"/>
        <v>0</v>
      </c>
      <c r="Y2536" s="1">
        <f t="shared" si="79"/>
        <v>15</v>
      </c>
    </row>
    <row r="2537" spans="24:25" x14ac:dyDescent="0.3">
      <c r="X2537" s="1">
        <f t="shared" si="78"/>
        <v>0</v>
      </c>
      <c r="Y2537" s="1">
        <f t="shared" si="79"/>
        <v>15</v>
      </c>
    </row>
    <row r="2538" spans="24:25" x14ac:dyDescent="0.3">
      <c r="X2538" s="1">
        <f t="shared" si="78"/>
        <v>0</v>
      </c>
      <c r="Y2538" s="1">
        <f t="shared" si="79"/>
        <v>15</v>
      </c>
    </row>
    <row r="2539" spans="24:25" x14ac:dyDescent="0.3">
      <c r="X2539" s="1">
        <f t="shared" si="78"/>
        <v>0</v>
      </c>
      <c r="Y2539" s="1">
        <f t="shared" si="79"/>
        <v>15</v>
      </c>
    </row>
    <row r="2540" spans="24:25" x14ac:dyDescent="0.3">
      <c r="X2540" s="1">
        <f t="shared" si="78"/>
        <v>0</v>
      </c>
      <c r="Y2540" s="1">
        <f t="shared" si="79"/>
        <v>15</v>
      </c>
    </row>
    <row r="2541" spans="24:25" x14ac:dyDescent="0.3">
      <c r="X2541" s="1">
        <f t="shared" si="78"/>
        <v>0</v>
      </c>
      <c r="Y2541" s="1">
        <f t="shared" si="79"/>
        <v>15</v>
      </c>
    </row>
    <row r="2542" spans="24:25" x14ac:dyDescent="0.3">
      <c r="X2542" s="1">
        <f t="shared" si="78"/>
        <v>0</v>
      </c>
      <c r="Y2542" s="1">
        <f t="shared" si="79"/>
        <v>15</v>
      </c>
    </row>
    <row r="2543" spans="24:25" x14ac:dyDescent="0.3">
      <c r="X2543" s="1">
        <f t="shared" si="78"/>
        <v>0</v>
      </c>
      <c r="Y2543" s="1">
        <f t="shared" si="79"/>
        <v>15</v>
      </c>
    </row>
    <row r="2544" spans="24:25" x14ac:dyDescent="0.3">
      <c r="X2544" s="1">
        <f t="shared" si="78"/>
        <v>0</v>
      </c>
      <c r="Y2544" s="1">
        <f t="shared" si="79"/>
        <v>15</v>
      </c>
    </row>
    <row r="2545" spans="24:25" x14ac:dyDescent="0.3">
      <c r="X2545" s="1">
        <f t="shared" si="78"/>
        <v>0</v>
      </c>
      <c r="Y2545" s="1">
        <f t="shared" si="79"/>
        <v>15</v>
      </c>
    </row>
    <row r="2546" spans="24:25" x14ac:dyDescent="0.3">
      <c r="X2546" s="1">
        <f t="shared" si="78"/>
        <v>0</v>
      </c>
      <c r="Y2546" s="1">
        <f t="shared" si="79"/>
        <v>15</v>
      </c>
    </row>
    <row r="2547" spans="24:25" x14ac:dyDescent="0.3">
      <c r="X2547" s="1">
        <f t="shared" si="78"/>
        <v>0</v>
      </c>
      <c r="Y2547" s="1">
        <f t="shared" si="79"/>
        <v>15</v>
      </c>
    </row>
    <row r="2548" spans="24:25" x14ac:dyDescent="0.3">
      <c r="X2548" s="1">
        <f t="shared" si="78"/>
        <v>0</v>
      </c>
      <c r="Y2548" s="1">
        <f t="shared" si="79"/>
        <v>15</v>
      </c>
    </row>
    <row r="2549" spans="24:25" x14ac:dyDescent="0.3">
      <c r="X2549" s="1">
        <f t="shared" si="78"/>
        <v>0</v>
      </c>
      <c r="Y2549" s="1">
        <f t="shared" si="79"/>
        <v>15</v>
      </c>
    </row>
    <row r="2550" spans="24:25" x14ac:dyDescent="0.3">
      <c r="X2550" s="1">
        <f t="shared" si="78"/>
        <v>0</v>
      </c>
      <c r="Y2550" s="1">
        <f t="shared" si="79"/>
        <v>15</v>
      </c>
    </row>
    <row r="2551" spans="24:25" x14ac:dyDescent="0.3">
      <c r="X2551" s="1">
        <f t="shared" si="78"/>
        <v>0</v>
      </c>
      <c r="Y2551" s="1">
        <f t="shared" si="79"/>
        <v>15</v>
      </c>
    </row>
    <row r="2552" spans="24:25" x14ac:dyDescent="0.3">
      <c r="X2552" s="1">
        <f t="shared" si="78"/>
        <v>0</v>
      </c>
      <c r="Y2552" s="1">
        <f t="shared" si="79"/>
        <v>15</v>
      </c>
    </row>
    <row r="2553" spans="24:25" x14ac:dyDescent="0.3">
      <c r="X2553" s="1">
        <f t="shared" si="78"/>
        <v>0</v>
      </c>
      <c r="Y2553" s="1">
        <f t="shared" si="79"/>
        <v>15</v>
      </c>
    </row>
    <row r="2554" spans="24:25" x14ac:dyDescent="0.3">
      <c r="X2554" s="1">
        <f t="shared" si="78"/>
        <v>0</v>
      </c>
      <c r="Y2554" s="1">
        <f t="shared" si="79"/>
        <v>15</v>
      </c>
    </row>
    <row r="2555" spans="24:25" x14ac:dyDescent="0.3">
      <c r="X2555" s="1">
        <f t="shared" si="78"/>
        <v>0</v>
      </c>
      <c r="Y2555" s="1">
        <f t="shared" si="79"/>
        <v>15</v>
      </c>
    </row>
    <row r="2556" spans="24:25" x14ac:dyDescent="0.3">
      <c r="X2556" s="1">
        <f t="shared" si="78"/>
        <v>0</v>
      </c>
      <c r="Y2556" s="1">
        <f t="shared" si="79"/>
        <v>15</v>
      </c>
    </row>
    <row r="2557" spans="24:25" x14ac:dyDescent="0.3">
      <c r="X2557" s="1">
        <f t="shared" si="78"/>
        <v>0</v>
      </c>
      <c r="Y2557" s="1">
        <f t="shared" si="79"/>
        <v>15</v>
      </c>
    </row>
    <row r="2558" spans="24:25" x14ac:dyDescent="0.3">
      <c r="X2558" s="1">
        <f t="shared" si="78"/>
        <v>0</v>
      </c>
      <c r="Y2558" s="1">
        <f t="shared" si="79"/>
        <v>15</v>
      </c>
    </row>
    <row r="2559" spans="24:25" x14ac:dyDescent="0.3">
      <c r="X2559" s="1">
        <f t="shared" si="78"/>
        <v>0</v>
      </c>
      <c r="Y2559" s="1">
        <f t="shared" si="79"/>
        <v>15</v>
      </c>
    </row>
    <row r="2560" spans="24:25" x14ac:dyDescent="0.3">
      <c r="X2560" s="1">
        <f t="shared" si="78"/>
        <v>0</v>
      </c>
      <c r="Y2560" s="1">
        <f t="shared" si="79"/>
        <v>15</v>
      </c>
    </row>
    <row r="2561" spans="24:25" x14ac:dyDescent="0.3">
      <c r="X2561" s="1">
        <f t="shared" si="78"/>
        <v>0</v>
      </c>
      <c r="Y2561" s="1">
        <f t="shared" si="79"/>
        <v>15</v>
      </c>
    </row>
    <row r="2562" spans="24:25" x14ac:dyDescent="0.3">
      <c r="X2562" s="1">
        <f t="shared" si="78"/>
        <v>0</v>
      </c>
      <c r="Y2562" s="1">
        <f t="shared" si="79"/>
        <v>15</v>
      </c>
    </row>
    <row r="2563" spans="24:25" x14ac:dyDescent="0.3">
      <c r="X2563" s="1">
        <f t="shared" ref="X2563:X2626" si="80">IFERROR(MATCH(W2563,$B:$B,0),0)</f>
        <v>0</v>
      </c>
      <c r="Y2563" s="1">
        <f t="shared" ref="Y2563:Y2626" si="81">IF(X2564=0,COUNTA(A:A),X2564-1)</f>
        <v>15</v>
      </c>
    </row>
    <row r="2564" spans="24:25" x14ac:dyDescent="0.3">
      <c r="X2564" s="1">
        <f t="shared" si="80"/>
        <v>0</v>
      </c>
      <c r="Y2564" s="1">
        <f t="shared" si="81"/>
        <v>15</v>
      </c>
    </row>
    <row r="2565" spans="24:25" x14ac:dyDescent="0.3">
      <c r="X2565" s="1">
        <f t="shared" si="80"/>
        <v>0</v>
      </c>
      <c r="Y2565" s="1">
        <f t="shared" si="81"/>
        <v>15</v>
      </c>
    </row>
    <row r="2566" spans="24:25" x14ac:dyDescent="0.3">
      <c r="X2566" s="1">
        <f t="shared" si="80"/>
        <v>0</v>
      </c>
      <c r="Y2566" s="1">
        <f t="shared" si="81"/>
        <v>15</v>
      </c>
    </row>
    <row r="2567" spans="24:25" x14ac:dyDescent="0.3">
      <c r="X2567" s="1">
        <f t="shared" si="80"/>
        <v>0</v>
      </c>
      <c r="Y2567" s="1">
        <f t="shared" si="81"/>
        <v>15</v>
      </c>
    </row>
    <row r="2568" spans="24:25" x14ac:dyDescent="0.3">
      <c r="X2568" s="1">
        <f t="shared" si="80"/>
        <v>0</v>
      </c>
      <c r="Y2568" s="1">
        <f t="shared" si="81"/>
        <v>15</v>
      </c>
    </row>
    <row r="2569" spans="24:25" x14ac:dyDescent="0.3">
      <c r="X2569" s="1">
        <f t="shared" si="80"/>
        <v>0</v>
      </c>
      <c r="Y2569" s="1">
        <f t="shared" si="81"/>
        <v>15</v>
      </c>
    </row>
    <row r="2570" spans="24:25" x14ac:dyDescent="0.3">
      <c r="X2570" s="1">
        <f t="shared" si="80"/>
        <v>0</v>
      </c>
      <c r="Y2570" s="1">
        <f t="shared" si="81"/>
        <v>15</v>
      </c>
    </row>
    <row r="2571" spans="24:25" x14ac:dyDescent="0.3">
      <c r="X2571" s="1">
        <f t="shared" si="80"/>
        <v>0</v>
      </c>
      <c r="Y2571" s="1">
        <f t="shared" si="81"/>
        <v>15</v>
      </c>
    </row>
    <row r="2572" spans="24:25" x14ac:dyDescent="0.3">
      <c r="X2572" s="1">
        <f t="shared" si="80"/>
        <v>0</v>
      </c>
      <c r="Y2572" s="1">
        <f t="shared" si="81"/>
        <v>15</v>
      </c>
    </row>
    <row r="2573" spans="24:25" x14ac:dyDescent="0.3">
      <c r="X2573" s="1">
        <f t="shared" si="80"/>
        <v>0</v>
      </c>
      <c r="Y2573" s="1">
        <f t="shared" si="81"/>
        <v>15</v>
      </c>
    </row>
    <row r="2574" spans="24:25" x14ac:dyDescent="0.3">
      <c r="X2574" s="1">
        <f t="shared" si="80"/>
        <v>0</v>
      </c>
      <c r="Y2574" s="1">
        <f t="shared" si="81"/>
        <v>15</v>
      </c>
    </row>
    <row r="2575" spans="24:25" x14ac:dyDescent="0.3">
      <c r="X2575" s="1">
        <f t="shared" si="80"/>
        <v>0</v>
      </c>
      <c r="Y2575" s="1">
        <f t="shared" si="81"/>
        <v>15</v>
      </c>
    </row>
    <row r="2576" spans="24:25" x14ac:dyDescent="0.3">
      <c r="X2576" s="1">
        <f t="shared" si="80"/>
        <v>0</v>
      </c>
      <c r="Y2576" s="1">
        <f t="shared" si="81"/>
        <v>15</v>
      </c>
    </row>
    <row r="2577" spans="24:25" x14ac:dyDescent="0.3">
      <c r="X2577" s="1">
        <f t="shared" si="80"/>
        <v>0</v>
      </c>
      <c r="Y2577" s="1">
        <f t="shared" si="81"/>
        <v>15</v>
      </c>
    </row>
    <row r="2578" spans="24:25" x14ac:dyDescent="0.3">
      <c r="X2578" s="1">
        <f t="shared" si="80"/>
        <v>0</v>
      </c>
      <c r="Y2578" s="1">
        <f t="shared" si="81"/>
        <v>15</v>
      </c>
    </row>
    <row r="2579" spans="24:25" x14ac:dyDescent="0.3">
      <c r="X2579" s="1">
        <f t="shared" si="80"/>
        <v>0</v>
      </c>
      <c r="Y2579" s="1">
        <f t="shared" si="81"/>
        <v>15</v>
      </c>
    </row>
    <row r="2580" spans="24:25" x14ac:dyDescent="0.3">
      <c r="X2580" s="1">
        <f t="shared" si="80"/>
        <v>0</v>
      </c>
      <c r="Y2580" s="1">
        <f t="shared" si="81"/>
        <v>15</v>
      </c>
    </row>
    <row r="2581" spans="24:25" x14ac:dyDescent="0.3">
      <c r="X2581" s="1">
        <f t="shared" si="80"/>
        <v>0</v>
      </c>
      <c r="Y2581" s="1">
        <f t="shared" si="81"/>
        <v>15</v>
      </c>
    </row>
    <row r="2582" spans="24:25" x14ac:dyDescent="0.3">
      <c r="X2582" s="1">
        <f t="shared" si="80"/>
        <v>0</v>
      </c>
      <c r="Y2582" s="1">
        <f t="shared" si="81"/>
        <v>15</v>
      </c>
    </row>
    <row r="2583" spans="24:25" x14ac:dyDescent="0.3">
      <c r="X2583" s="1">
        <f t="shared" si="80"/>
        <v>0</v>
      </c>
      <c r="Y2583" s="1">
        <f t="shared" si="81"/>
        <v>15</v>
      </c>
    </row>
    <row r="2584" spans="24:25" x14ac:dyDescent="0.3">
      <c r="X2584" s="1">
        <f t="shared" si="80"/>
        <v>0</v>
      </c>
      <c r="Y2584" s="1">
        <f t="shared" si="81"/>
        <v>15</v>
      </c>
    </row>
    <row r="2585" spans="24:25" x14ac:dyDescent="0.3">
      <c r="X2585" s="1">
        <f t="shared" si="80"/>
        <v>0</v>
      </c>
      <c r="Y2585" s="1">
        <f t="shared" si="81"/>
        <v>15</v>
      </c>
    </row>
    <row r="2586" spans="24:25" x14ac:dyDescent="0.3">
      <c r="X2586" s="1">
        <f t="shared" si="80"/>
        <v>0</v>
      </c>
      <c r="Y2586" s="1">
        <f t="shared" si="81"/>
        <v>15</v>
      </c>
    </row>
    <row r="2587" spans="24:25" x14ac:dyDescent="0.3">
      <c r="X2587" s="1">
        <f t="shared" si="80"/>
        <v>0</v>
      </c>
      <c r="Y2587" s="1">
        <f t="shared" si="81"/>
        <v>15</v>
      </c>
    </row>
    <row r="2588" spans="24:25" x14ac:dyDescent="0.3">
      <c r="X2588" s="1">
        <f t="shared" si="80"/>
        <v>0</v>
      </c>
      <c r="Y2588" s="1">
        <f t="shared" si="81"/>
        <v>15</v>
      </c>
    </row>
    <row r="2589" spans="24:25" x14ac:dyDescent="0.3">
      <c r="X2589" s="1">
        <f t="shared" si="80"/>
        <v>0</v>
      </c>
      <c r="Y2589" s="1">
        <f t="shared" si="81"/>
        <v>15</v>
      </c>
    </row>
    <row r="2590" spans="24:25" x14ac:dyDescent="0.3">
      <c r="X2590" s="1">
        <f t="shared" si="80"/>
        <v>0</v>
      </c>
      <c r="Y2590" s="1">
        <f t="shared" si="81"/>
        <v>15</v>
      </c>
    </row>
    <row r="2591" spans="24:25" x14ac:dyDescent="0.3">
      <c r="X2591" s="1">
        <f t="shared" si="80"/>
        <v>0</v>
      </c>
      <c r="Y2591" s="1">
        <f t="shared" si="81"/>
        <v>15</v>
      </c>
    </row>
    <row r="2592" spans="24:25" x14ac:dyDescent="0.3">
      <c r="X2592" s="1">
        <f t="shared" si="80"/>
        <v>0</v>
      </c>
      <c r="Y2592" s="1">
        <f t="shared" si="81"/>
        <v>15</v>
      </c>
    </row>
    <row r="2593" spans="24:25" x14ac:dyDescent="0.3">
      <c r="X2593" s="1">
        <f t="shared" si="80"/>
        <v>0</v>
      </c>
      <c r="Y2593" s="1">
        <f t="shared" si="81"/>
        <v>15</v>
      </c>
    </row>
    <row r="2594" spans="24:25" x14ac:dyDescent="0.3">
      <c r="X2594" s="1">
        <f t="shared" si="80"/>
        <v>0</v>
      </c>
      <c r="Y2594" s="1">
        <f t="shared" si="81"/>
        <v>15</v>
      </c>
    </row>
    <row r="2595" spans="24:25" x14ac:dyDescent="0.3">
      <c r="X2595" s="1">
        <f t="shared" si="80"/>
        <v>0</v>
      </c>
      <c r="Y2595" s="1">
        <f t="shared" si="81"/>
        <v>15</v>
      </c>
    </row>
    <row r="2596" spans="24:25" x14ac:dyDescent="0.3">
      <c r="X2596" s="1">
        <f t="shared" si="80"/>
        <v>0</v>
      </c>
      <c r="Y2596" s="1">
        <f t="shared" si="81"/>
        <v>15</v>
      </c>
    </row>
    <row r="2597" spans="24:25" x14ac:dyDescent="0.3">
      <c r="X2597" s="1">
        <f t="shared" si="80"/>
        <v>0</v>
      </c>
      <c r="Y2597" s="1">
        <f t="shared" si="81"/>
        <v>15</v>
      </c>
    </row>
    <row r="2598" spans="24:25" x14ac:dyDescent="0.3">
      <c r="X2598" s="1">
        <f t="shared" si="80"/>
        <v>0</v>
      </c>
      <c r="Y2598" s="1">
        <f t="shared" si="81"/>
        <v>15</v>
      </c>
    </row>
    <row r="2599" spans="24:25" x14ac:dyDescent="0.3">
      <c r="X2599" s="1">
        <f t="shared" si="80"/>
        <v>0</v>
      </c>
      <c r="Y2599" s="1">
        <f t="shared" si="81"/>
        <v>15</v>
      </c>
    </row>
    <row r="2600" spans="24:25" x14ac:dyDescent="0.3">
      <c r="X2600" s="1">
        <f t="shared" si="80"/>
        <v>0</v>
      </c>
      <c r="Y2600" s="1">
        <f t="shared" si="81"/>
        <v>15</v>
      </c>
    </row>
    <row r="2601" spans="24:25" x14ac:dyDescent="0.3">
      <c r="X2601" s="1">
        <f t="shared" si="80"/>
        <v>0</v>
      </c>
      <c r="Y2601" s="1">
        <f t="shared" si="81"/>
        <v>15</v>
      </c>
    </row>
    <row r="2602" spans="24:25" x14ac:dyDescent="0.3">
      <c r="X2602" s="1">
        <f t="shared" si="80"/>
        <v>0</v>
      </c>
      <c r="Y2602" s="1">
        <f t="shared" si="81"/>
        <v>15</v>
      </c>
    </row>
    <row r="2603" spans="24:25" x14ac:dyDescent="0.3">
      <c r="X2603" s="1">
        <f t="shared" si="80"/>
        <v>0</v>
      </c>
      <c r="Y2603" s="1">
        <f t="shared" si="81"/>
        <v>15</v>
      </c>
    </row>
    <row r="2604" spans="24:25" x14ac:dyDescent="0.3">
      <c r="X2604" s="1">
        <f t="shared" si="80"/>
        <v>0</v>
      </c>
      <c r="Y2604" s="1">
        <f t="shared" si="81"/>
        <v>15</v>
      </c>
    </row>
    <row r="2605" spans="24:25" x14ac:dyDescent="0.3">
      <c r="X2605" s="1">
        <f t="shared" si="80"/>
        <v>0</v>
      </c>
      <c r="Y2605" s="1">
        <f t="shared" si="81"/>
        <v>15</v>
      </c>
    </row>
    <row r="2606" spans="24:25" x14ac:dyDescent="0.3">
      <c r="X2606" s="1">
        <f t="shared" si="80"/>
        <v>0</v>
      </c>
      <c r="Y2606" s="1">
        <f t="shared" si="81"/>
        <v>15</v>
      </c>
    </row>
    <row r="2607" spans="24:25" x14ac:dyDescent="0.3">
      <c r="X2607" s="1">
        <f t="shared" si="80"/>
        <v>0</v>
      </c>
      <c r="Y2607" s="1">
        <f t="shared" si="81"/>
        <v>15</v>
      </c>
    </row>
    <row r="2608" spans="24:25" x14ac:dyDescent="0.3">
      <c r="X2608" s="1">
        <f t="shared" si="80"/>
        <v>0</v>
      </c>
      <c r="Y2608" s="1">
        <f t="shared" si="81"/>
        <v>15</v>
      </c>
    </row>
    <row r="2609" spans="24:25" x14ac:dyDescent="0.3">
      <c r="X2609" s="1">
        <f t="shared" si="80"/>
        <v>0</v>
      </c>
      <c r="Y2609" s="1">
        <f t="shared" si="81"/>
        <v>15</v>
      </c>
    </row>
    <row r="2610" spans="24:25" x14ac:dyDescent="0.3">
      <c r="X2610" s="1">
        <f t="shared" si="80"/>
        <v>0</v>
      </c>
      <c r="Y2610" s="1">
        <f t="shared" si="81"/>
        <v>15</v>
      </c>
    </row>
    <row r="2611" spans="24:25" x14ac:dyDescent="0.3">
      <c r="X2611" s="1">
        <f t="shared" si="80"/>
        <v>0</v>
      </c>
      <c r="Y2611" s="1">
        <f t="shared" si="81"/>
        <v>15</v>
      </c>
    </row>
    <row r="2612" spans="24:25" x14ac:dyDescent="0.3">
      <c r="X2612" s="1">
        <f t="shared" si="80"/>
        <v>0</v>
      </c>
      <c r="Y2612" s="1">
        <f t="shared" si="81"/>
        <v>15</v>
      </c>
    </row>
    <row r="2613" spans="24:25" x14ac:dyDescent="0.3">
      <c r="X2613" s="1">
        <f t="shared" si="80"/>
        <v>0</v>
      </c>
      <c r="Y2613" s="1">
        <f t="shared" si="81"/>
        <v>15</v>
      </c>
    </row>
    <row r="2614" spans="24:25" x14ac:dyDescent="0.3">
      <c r="X2614" s="1">
        <f t="shared" si="80"/>
        <v>0</v>
      </c>
      <c r="Y2614" s="1">
        <f t="shared" si="81"/>
        <v>15</v>
      </c>
    </row>
    <row r="2615" spans="24:25" x14ac:dyDescent="0.3">
      <c r="X2615" s="1">
        <f t="shared" si="80"/>
        <v>0</v>
      </c>
      <c r="Y2615" s="1">
        <f t="shared" si="81"/>
        <v>15</v>
      </c>
    </row>
    <row r="2616" spans="24:25" x14ac:dyDescent="0.3">
      <c r="X2616" s="1">
        <f t="shared" si="80"/>
        <v>0</v>
      </c>
      <c r="Y2616" s="1">
        <f t="shared" si="81"/>
        <v>15</v>
      </c>
    </row>
    <row r="2617" spans="24:25" x14ac:dyDescent="0.3">
      <c r="X2617" s="1">
        <f t="shared" si="80"/>
        <v>0</v>
      </c>
      <c r="Y2617" s="1">
        <f t="shared" si="81"/>
        <v>15</v>
      </c>
    </row>
    <row r="2618" spans="24:25" x14ac:dyDescent="0.3">
      <c r="X2618" s="1">
        <f t="shared" si="80"/>
        <v>0</v>
      </c>
      <c r="Y2618" s="1">
        <f t="shared" si="81"/>
        <v>15</v>
      </c>
    </row>
    <row r="2619" spans="24:25" x14ac:dyDescent="0.3">
      <c r="X2619" s="1">
        <f t="shared" si="80"/>
        <v>0</v>
      </c>
      <c r="Y2619" s="1">
        <f t="shared" si="81"/>
        <v>15</v>
      </c>
    </row>
    <row r="2620" spans="24:25" x14ac:dyDescent="0.3">
      <c r="X2620" s="1">
        <f t="shared" si="80"/>
        <v>0</v>
      </c>
      <c r="Y2620" s="1">
        <f t="shared" si="81"/>
        <v>15</v>
      </c>
    </row>
    <row r="2621" spans="24:25" x14ac:dyDescent="0.3">
      <c r="X2621" s="1">
        <f t="shared" si="80"/>
        <v>0</v>
      </c>
      <c r="Y2621" s="1">
        <f t="shared" si="81"/>
        <v>15</v>
      </c>
    </row>
    <row r="2622" spans="24:25" x14ac:dyDescent="0.3">
      <c r="X2622" s="1">
        <f t="shared" si="80"/>
        <v>0</v>
      </c>
      <c r="Y2622" s="1">
        <f t="shared" si="81"/>
        <v>15</v>
      </c>
    </row>
    <row r="2623" spans="24:25" x14ac:dyDescent="0.3">
      <c r="X2623" s="1">
        <f t="shared" si="80"/>
        <v>0</v>
      </c>
      <c r="Y2623" s="1">
        <f t="shared" si="81"/>
        <v>15</v>
      </c>
    </row>
    <row r="2624" spans="24:25" x14ac:dyDescent="0.3">
      <c r="X2624" s="1">
        <f t="shared" si="80"/>
        <v>0</v>
      </c>
      <c r="Y2624" s="1">
        <f t="shared" si="81"/>
        <v>15</v>
      </c>
    </row>
    <row r="2625" spans="24:25" x14ac:dyDescent="0.3">
      <c r="X2625" s="1">
        <f t="shared" si="80"/>
        <v>0</v>
      </c>
      <c r="Y2625" s="1">
        <f t="shared" si="81"/>
        <v>15</v>
      </c>
    </row>
    <row r="2626" spans="24:25" x14ac:dyDescent="0.3">
      <c r="X2626" s="1">
        <f t="shared" si="80"/>
        <v>0</v>
      </c>
      <c r="Y2626" s="1">
        <f t="shared" si="81"/>
        <v>15</v>
      </c>
    </row>
    <row r="2627" spans="24:25" x14ac:dyDescent="0.3">
      <c r="X2627" s="1">
        <f t="shared" ref="X2627:X2690" si="82">IFERROR(MATCH(W2627,$B:$B,0),0)</f>
        <v>0</v>
      </c>
      <c r="Y2627" s="1">
        <f t="shared" ref="Y2627:Y2690" si="83">IF(X2628=0,COUNTA(A:A),X2628-1)</f>
        <v>15</v>
      </c>
    </row>
    <row r="2628" spans="24:25" x14ac:dyDescent="0.3">
      <c r="X2628" s="1">
        <f t="shared" si="82"/>
        <v>0</v>
      </c>
      <c r="Y2628" s="1">
        <f t="shared" si="83"/>
        <v>15</v>
      </c>
    </row>
    <row r="2629" spans="24:25" x14ac:dyDescent="0.3">
      <c r="X2629" s="1">
        <f t="shared" si="82"/>
        <v>0</v>
      </c>
      <c r="Y2629" s="1">
        <f t="shared" si="83"/>
        <v>15</v>
      </c>
    </row>
    <row r="2630" spans="24:25" x14ac:dyDescent="0.3">
      <c r="X2630" s="1">
        <f t="shared" si="82"/>
        <v>0</v>
      </c>
      <c r="Y2630" s="1">
        <f t="shared" si="83"/>
        <v>15</v>
      </c>
    </row>
    <row r="2631" spans="24:25" x14ac:dyDescent="0.3">
      <c r="X2631" s="1">
        <f t="shared" si="82"/>
        <v>0</v>
      </c>
      <c r="Y2631" s="1">
        <f t="shared" si="83"/>
        <v>15</v>
      </c>
    </row>
    <row r="2632" spans="24:25" x14ac:dyDescent="0.3">
      <c r="X2632" s="1">
        <f t="shared" si="82"/>
        <v>0</v>
      </c>
      <c r="Y2632" s="1">
        <f t="shared" si="83"/>
        <v>15</v>
      </c>
    </row>
    <row r="2633" spans="24:25" x14ac:dyDescent="0.3">
      <c r="X2633" s="1">
        <f t="shared" si="82"/>
        <v>0</v>
      </c>
      <c r="Y2633" s="1">
        <f t="shared" si="83"/>
        <v>15</v>
      </c>
    </row>
    <row r="2634" spans="24:25" x14ac:dyDescent="0.3">
      <c r="X2634" s="1">
        <f t="shared" si="82"/>
        <v>0</v>
      </c>
      <c r="Y2634" s="1">
        <f t="shared" si="83"/>
        <v>15</v>
      </c>
    </row>
    <row r="2635" spans="24:25" x14ac:dyDescent="0.3">
      <c r="X2635" s="1">
        <f t="shared" si="82"/>
        <v>0</v>
      </c>
      <c r="Y2635" s="1">
        <f t="shared" si="83"/>
        <v>15</v>
      </c>
    </row>
    <row r="2636" spans="24:25" x14ac:dyDescent="0.3">
      <c r="X2636" s="1">
        <f t="shared" si="82"/>
        <v>0</v>
      </c>
      <c r="Y2636" s="1">
        <f t="shared" si="83"/>
        <v>15</v>
      </c>
    </row>
    <row r="2637" spans="24:25" x14ac:dyDescent="0.3">
      <c r="X2637" s="1">
        <f t="shared" si="82"/>
        <v>0</v>
      </c>
      <c r="Y2637" s="1">
        <f t="shared" si="83"/>
        <v>15</v>
      </c>
    </row>
    <row r="2638" spans="24:25" x14ac:dyDescent="0.3">
      <c r="X2638" s="1">
        <f t="shared" si="82"/>
        <v>0</v>
      </c>
      <c r="Y2638" s="1">
        <f t="shared" si="83"/>
        <v>15</v>
      </c>
    </row>
    <row r="2639" spans="24:25" x14ac:dyDescent="0.3">
      <c r="X2639" s="1">
        <f t="shared" si="82"/>
        <v>0</v>
      </c>
      <c r="Y2639" s="1">
        <f t="shared" si="83"/>
        <v>15</v>
      </c>
    </row>
    <row r="2640" spans="24:25" x14ac:dyDescent="0.3">
      <c r="X2640" s="1">
        <f t="shared" si="82"/>
        <v>0</v>
      </c>
      <c r="Y2640" s="1">
        <f t="shared" si="83"/>
        <v>15</v>
      </c>
    </row>
    <row r="2641" spans="24:25" x14ac:dyDescent="0.3">
      <c r="X2641" s="1">
        <f t="shared" si="82"/>
        <v>0</v>
      </c>
      <c r="Y2641" s="1">
        <f t="shared" si="83"/>
        <v>15</v>
      </c>
    </row>
    <row r="2642" spans="24:25" x14ac:dyDescent="0.3">
      <c r="X2642" s="1">
        <f t="shared" si="82"/>
        <v>0</v>
      </c>
      <c r="Y2642" s="1">
        <f t="shared" si="83"/>
        <v>15</v>
      </c>
    </row>
    <row r="2643" spans="24:25" x14ac:dyDescent="0.3">
      <c r="X2643" s="1">
        <f t="shared" si="82"/>
        <v>0</v>
      </c>
      <c r="Y2643" s="1">
        <f t="shared" si="83"/>
        <v>15</v>
      </c>
    </row>
    <row r="2644" spans="24:25" x14ac:dyDescent="0.3">
      <c r="X2644" s="1">
        <f t="shared" si="82"/>
        <v>0</v>
      </c>
      <c r="Y2644" s="1">
        <f t="shared" si="83"/>
        <v>15</v>
      </c>
    </row>
    <row r="2645" spans="24:25" x14ac:dyDescent="0.3">
      <c r="X2645" s="1">
        <f t="shared" si="82"/>
        <v>0</v>
      </c>
      <c r="Y2645" s="1">
        <f t="shared" si="83"/>
        <v>15</v>
      </c>
    </row>
    <row r="2646" spans="24:25" x14ac:dyDescent="0.3">
      <c r="X2646" s="1">
        <f t="shared" si="82"/>
        <v>0</v>
      </c>
      <c r="Y2646" s="1">
        <f t="shared" si="83"/>
        <v>15</v>
      </c>
    </row>
    <row r="2647" spans="24:25" x14ac:dyDescent="0.3">
      <c r="X2647" s="1">
        <f t="shared" si="82"/>
        <v>0</v>
      </c>
      <c r="Y2647" s="1">
        <f t="shared" si="83"/>
        <v>15</v>
      </c>
    </row>
    <row r="2648" spans="24:25" x14ac:dyDescent="0.3">
      <c r="X2648" s="1">
        <f t="shared" si="82"/>
        <v>0</v>
      </c>
      <c r="Y2648" s="1">
        <f t="shared" si="83"/>
        <v>15</v>
      </c>
    </row>
    <row r="2649" spans="24:25" x14ac:dyDescent="0.3">
      <c r="X2649" s="1">
        <f t="shared" si="82"/>
        <v>0</v>
      </c>
      <c r="Y2649" s="1">
        <f t="shared" si="83"/>
        <v>15</v>
      </c>
    </row>
    <row r="2650" spans="24:25" x14ac:dyDescent="0.3">
      <c r="X2650" s="1">
        <f t="shared" si="82"/>
        <v>0</v>
      </c>
      <c r="Y2650" s="1">
        <f t="shared" si="83"/>
        <v>15</v>
      </c>
    </row>
    <row r="2651" spans="24:25" x14ac:dyDescent="0.3">
      <c r="X2651" s="1">
        <f t="shared" si="82"/>
        <v>0</v>
      </c>
      <c r="Y2651" s="1">
        <f t="shared" si="83"/>
        <v>15</v>
      </c>
    </row>
    <row r="2652" spans="24:25" x14ac:dyDescent="0.3">
      <c r="X2652" s="1">
        <f t="shared" si="82"/>
        <v>0</v>
      </c>
      <c r="Y2652" s="1">
        <f t="shared" si="83"/>
        <v>15</v>
      </c>
    </row>
    <row r="2653" spans="24:25" x14ac:dyDescent="0.3">
      <c r="X2653" s="1">
        <f t="shared" si="82"/>
        <v>0</v>
      </c>
      <c r="Y2653" s="1">
        <f t="shared" si="83"/>
        <v>15</v>
      </c>
    </row>
    <row r="2654" spans="24:25" x14ac:dyDescent="0.3">
      <c r="X2654" s="1">
        <f t="shared" si="82"/>
        <v>0</v>
      </c>
      <c r="Y2654" s="1">
        <f t="shared" si="83"/>
        <v>15</v>
      </c>
    </row>
    <row r="2655" spans="24:25" x14ac:dyDescent="0.3">
      <c r="X2655" s="1">
        <f t="shared" si="82"/>
        <v>0</v>
      </c>
      <c r="Y2655" s="1">
        <f t="shared" si="83"/>
        <v>15</v>
      </c>
    </row>
    <row r="2656" spans="24:25" x14ac:dyDescent="0.3">
      <c r="X2656" s="1">
        <f t="shared" si="82"/>
        <v>0</v>
      </c>
      <c r="Y2656" s="1">
        <f t="shared" si="83"/>
        <v>15</v>
      </c>
    </row>
    <row r="2657" spans="24:25" x14ac:dyDescent="0.3">
      <c r="X2657" s="1">
        <f t="shared" si="82"/>
        <v>0</v>
      </c>
      <c r="Y2657" s="1">
        <f t="shared" si="83"/>
        <v>15</v>
      </c>
    </row>
    <row r="2658" spans="24:25" x14ac:dyDescent="0.3">
      <c r="X2658" s="1">
        <f t="shared" si="82"/>
        <v>0</v>
      </c>
      <c r="Y2658" s="1">
        <f t="shared" si="83"/>
        <v>15</v>
      </c>
    </row>
    <row r="2659" spans="24:25" x14ac:dyDescent="0.3">
      <c r="X2659" s="1">
        <f t="shared" si="82"/>
        <v>0</v>
      </c>
      <c r="Y2659" s="1">
        <f t="shared" si="83"/>
        <v>15</v>
      </c>
    </row>
    <row r="2660" spans="24:25" x14ac:dyDescent="0.3">
      <c r="X2660" s="1">
        <f t="shared" si="82"/>
        <v>0</v>
      </c>
      <c r="Y2660" s="1">
        <f t="shared" si="83"/>
        <v>15</v>
      </c>
    </row>
    <row r="2661" spans="24:25" x14ac:dyDescent="0.3">
      <c r="X2661" s="1">
        <f t="shared" si="82"/>
        <v>0</v>
      </c>
      <c r="Y2661" s="1">
        <f t="shared" si="83"/>
        <v>15</v>
      </c>
    </row>
    <row r="2662" spans="24:25" x14ac:dyDescent="0.3">
      <c r="X2662" s="1">
        <f t="shared" si="82"/>
        <v>0</v>
      </c>
      <c r="Y2662" s="1">
        <f t="shared" si="83"/>
        <v>15</v>
      </c>
    </row>
    <row r="2663" spans="24:25" x14ac:dyDescent="0.3">
      <c r="X2663" s="1">
        <f t="shared" si="82"/>
        <v>0</v>
      </c>
      <c r="Y2663" s="1">
        <f t="shared" si="83"/>
        <v>15</v>
      </c>
    </row>
    <row r="2664" spans="24:25" x14ac:dyDescent="0.3">
      <c r="X2664" s="1">
        <f t="shared" si="82"/>
        <v>0</v>
      </c>
      <c r="Y2664" s="1">
        <f t="shared" si="83"/>
        <v>15</v>
      </c>
    </row>
    <row r="2665" spans="24:25" x14ac:dyDescent="0.3">
      <c r="X2665" s="1">
        <f t="shared" si="82"/>
        <v>0</v>
      </c>
      <c r="Y2665" s="1">
        <f t="shared" si="83"/>
        <v>15</v>
      </c>
    </row>
    <row r="2666" spans="24:25" x14ac:dyDescent="0.3">
      <c r="X2666" s="1">
        <f t="shared" si="82"/>
        <v>0</v>
      </c>
      <c r="Y2666" s="1">
        <f t="shared" si="83"/>
        <v>15</v>
      </c>
    </row>
    <row r="2667" spans="24:25" x14ac:dyDescent="0.3">
      <c r="X2667" s="1">
        <f t="shared" si="82"/>
        <v>0</v>
      </c>
      <c r="Y2667" s="1">
        <f t="shared" si="83"/>
        <v>15</v>
      </c>
    </row>
    <row r="2668" spans="24:25" x14ac:dyDescent="0.3">
      <c r="X2668" s="1">
        <f t="shared" si="82"/>
        <v>0</v>
      </c>
      <c r="Y2668" s="1">
        <f t="shared" si="83"/>
        <v>15</v>
      </c>
    </row>
    <row r="2669" spans="24:25" x14ac:dyDescent="0.3">
      <c r="X2669" s="1">
        <f t="shared" si="82"/>
        <v>0</v>
      </c>
      <c r="Y2669" s="1">
        <f t="shared" si="83"/>
        <v>15</v>
      </c>
    </row>
    <row r="2670" spans="24:25" x14ac:dyDescent="0.3">
      <c r="X2670" s="1">
        <f t="shared" si="82"/>
        <v>0</v>
      </c>
      <c r="Y2670" s="1">
        <f t="shared" si="83"/>
        <v>15</v>
      </c>
    </row>
    <row r="2671" spans="24:25" x14ac:dyDescent="0.3">
      <c r="X2671" s="1">
        <f t="shared" si="82"/>
        <v>0</v>
      </c>
      <c r="Y2671" s="1">
        <f t="shared" si="83"/>
        <v>15</v>
      </c>
    </row>
    <row r="2672" spans="24:25" x14ac:dyDescent="0.3">
      <c r="X2672" s="1">
        <f t="shared" si="82"/>
        <v>0</v>
      </c>
      <c r="Y2672" s="1">
        <f t="shared" si="83"/>
        <v>15</v>
      </c>
    </row>
    <row r="2673" spans="24:25" x14ac:dyDescent="0.3">
      <c r="X2673" s="1">
        <f t="shared" si="82"/>
        <v>0</v>
      </c>
      <c r="Y2673" s="1">
        <f t="shared" si="83"/>
        <v>15</v>
      </c>
    </row>
    <row r="2674" spans="24:25" x14ac:dyDescent="0.3">
      <c r="X2674" s="1">
        <f t="shared" si="82"/>
        <v>0</v>
      </c>
      <c r="Y2674" s="1">
        <f t="shared" si="83"/>
        <v>15</v>
      </c>
    </row>
    <row r="2675" spans="24:25" x14ac:dyDescent="0.3">
      <c r="X2675" s="1">
        <f t="shared" si="82"/>
        <v>0</v>
      </c>
      <c r="Y2675" s="1">
        <f t="shared" si="83"/>
        <v>15</v>
      </c>
    </row>
    <row r="2676" spans="24:25" x14ac:dyDescent="0.3">
      <c r="X2676" s="1">
        <f t="shared" si="82"/>
        <v>0</v>
      </c>
      <c r="Y2676" s="1">
        <f t="shared" si="83"/>
        <v>15</v>
      </c>
    </row>
    <row r="2677" spans="24:25" x14ac:dyDescent="0.3">
      <c r="X2677" s="1">
        <f t="shared" si="82"/>
        <v>0</v>
      </c>
      <c r="Y2677" s="1">
        <f t="shared" si="83"/>
        <v>15</v>
      </c>
    </row>
    <row r="2678" spans="24:25" x14ac:dyDescent="0.3">
      <c r="X2678" s="1">
        <f t="shared" si="82"/>
        <v>0</v>
      </c>
      <c r="Y2678" s="1">
        <f t="shared" si="83"/>
        <v>15</v>
      </c>
    </row>
    <row r="2679" spans="24:25" x14ac:dyDescent="0.3">
      <c r="X2679" s="1">
        <f t="shared" si="82"/>
        <v>0</v>
      </c>
      <c r="Y2679" s="1">
        <f t="shared" si="83"/>
        <v>15</v>
      </c>
    </row>
    <row r="2680" spans="24:25" x14ac:dyDescent="0.3">
      <c r="X2680" s="1">
        <f t="shared" si="82"/>
        <v>0</v>
      </c>
      <c r="Y2680" s="1">
        <f t="shared" si="83"/>
        <v>15</v>
      </c>
    </row>
    <row r="2681" spans="24:25" x14ac:dyDescent="0.3">
      <c r="X2681" s="1">
        <f t="shared" si="82"/>
        <v>0</v>
      </c>
      <c r="Y2681" s="1">
        <f t="shared" si="83"/>
        <v>15</v>
      </c>
    </row>
    <row r="2682" spans="24:25" x14ac:dyDescent="0.3">
      <c r="X2682" s="1">
        <f t="shared" si="82"/>
        <v>0</v>
      </c>
      <c r="Y2682" s="1">
        <f t="shared" si="83"/>
        <v>15</v>
      </c>
    </row>
    <row r="2683" spans="24:25" x14ac:dyDescent="0.3">
      <c r="X2683" s="1">
        <f t="shared" si="82"/>
        <v>0</v>
      </c>
      <c r="Y2683" s="1">
        <f t="shared" si="83"/>
        <v>15</v>
      </c>
    </row>
    <row r="2684" spans="24:25" x14ac:dyDescent="0.3">
      <c r="X2684" s="1">
        <f t="shared" si="82"/>
        <v>0</v>
      </c>
      <c r="Y2684" s="1">
        <f t="shared" si="83"/>
        <v>15</v>
      </c>
    </row>
    <row r="2685" spans="24:25" x14ac:dyDescent="0.3">
      <c r="X2685" s="1">
        <f t="shared" si="82"/>
        <v>0</v>
      </c>
      <c r="Y2685" s="1">
        <f t="shared" si="83"/>
        <v>15</v>
      </c>
    </row>
    <row r="2686" spans="24:25" x14ac:dyDescent="0.3">
      <c r="X2686" s="1">
        <f t="shared" si="82"/>
        <v>0</v>
      </c>
      <c r="Y2686" s="1">
        <f t="shared" si="83"/>
        <v>15</v>
      </c>
    </row>
    <row r="2687" spans="24:25" x14ac:dyDescent="0.3">
      <c r="X2687" s="1">
        <f t="shared" si="82"/>
        <v>0</v>
      </c>
      <c r="Y2687" s="1">
        <f t="shared" si="83"/>
        <v>15</v>
      </c>
    </row>
    <row r="2688" spans="24:25" x14ac:dyDescent="0.3">
      <c r="X2688" s="1">
        <f t="shared" si="82"/>
        <v>0</v>
      </c>
      <c r="Y2688" s="1">
        <f t="shared" si="83"/>
        <v>15</v>
      </c>
    </row>
    <row r="2689" spans="24:25" x14ac:dyDescent="0.3">
      <c r="X2689" s="1">
        <f t="shared" si="82"/>
        <v>0</v>
      </c>
      <c r="Y2689" s="1">
        <f t="shared" si="83"/>
        <v>15</v>
      </c>
    </row>
    <row r="2690" spans="24:25" x14ac:dyDescent="0.3">
      <c r="X2690" s="1">
        <f t="shared" si="82"/>
        <v>0</v>
      </c>
      <c r="Y2690" s="1">
        <f t="shared" si="83"/>
        <v>15</v>
      </c>
    </row>
    <row r="2691" spans="24:25" x14ac:dyDescent="0.3">
      <c r="X2691" s="1">
        <f t="shared" ref="X2691:X2754" si="84">IFERROR(MATCH(W2691,$B:$B,0),0)</f>
        <v>0</v>
      </c>
      <c r="Y2691" s="1">
        <f t="shared" ref="Y2691:Y2754" si="85">IF(X2692=0,COUNTA(A:A),X2692-1)</f>
        <v>15</v>
      </c>
    </row>
    <row r="2692" spans="24:25" x14ac:dyDescent="0.3">
      <c r="X2692" s="1">
        <f t="shared" si="84"/>
        <v>0</v>
      </c>
      <c r="Y2692" s="1">
        <f t="shared" si="85"/>
        <v>15</v>
      </c>
    </row>
    <row r="2693" spans="24:25" x14ac:dyDescent="0.3">
      <c r="X2693" s="1">
        <f t="shared" si="84"/>
        <v>0</v>
      </c>
      <c r="Y2693" s="1">
        <f t="shared" si="85"/>
        <v>15</v>
      </c>
    </row>
    <row r="2694" spans="24:25" x14ac:dyDescent="0.3">
      <c r="X2694" s="1">
        <f t="shared" si="84"/>
        <v>0</v>
      </c>
      <c r="Y2694" s="1">
        <f t="shared" si="85"/>
        <v>15</v>
      </c>
    </row>
    <row r="2695" spans="24:25" x14ac:dyDescent="0.3">
      <c r="X2695" s="1">
        <f t="shared" si="84"/>
        <v>0</v>
      </c>
      <c r="Y2695" s="1">
        <f t="shared" si="85"/>
        <v>15</v>
      </c>
    </row>
    <row r="2696" spans="24:25" x14ac:dyDescent="0.3">
      <c r="X2696" s="1">
        <f t="shared" si="84"/>
        <v>0</v>
      </c>
      <c r="Y2696" s="1">
        <f t="shared" si="85"/>
        <v>15</v>
      </c>
    </row>
    <row r="2697" spans="24:25" x14ac:dyDescent="0.3">
      <c r="X2697" s="1">
        <f t="shared" si="84"/>
        <v>0</v>
      </c>
      <c r="Y2697" s="1">
        <f t="shared" si="85"/>
        <v>15</v>
      </c>
    </row>
    <row r="2698" spans="24:25" x14ac:dyDescent="0.3">
      <c r="X2698" s="1">
        <f t="shared" si="84"/>
        <v>0</v>
      </c>
      <c r="Y2698" s="1">
        <f t="shared" si="85"/>
        <v>15</v>
      </c>
    </row>
    <row r="2699" spans="24:25" x14ac:dyDescent="0.3">
      <c r="X2699" s="1">
        <f t="shared" si="84"/>
        <v>0</v>
      </c>
      <c r="Y2699" s="1">
        <f t="shared" si="85"/>
        <v>15</v>
      </c>
    </row>
    <row r="2700" spans="24:25" x14ac:dyDescent="0.3">
      <c r="X2700" s="1">
        <f t="shared" si="84"/>
        <v>0</v>
      </c>
      <c r="Y2700" s="1">
        <f t="shared" si="85"/>
        <v>15</v>
      </c>
    </row>
    <row r="2701" spans="24:25" x14ac:dyDescent="0.3">
      <c r="X2701" s="1">
        <f t="shared" si="84"/>
        <v>0</v>
      </c>
      <c r="Y2701" s="1">
        <f t="shared" si="85"/>
        <v>15</v>
      </c>
    </row>
    <row r="2702" spans="24:25" x14ac:dyDescent="0.3">
      <c r="X2702" s="1">
        <f t="shared" si="84"/>
        <v>0</v>
      </c>
      <c r="Y2702" s="1">
        <f t="shared" si="85"/>
        <v>15</v>
      </c>
    </row>
    <row r="2703" spans="24:25" x14ac:dyDescent="0.3">
      <c r="X2703" s="1">
        <f t="shared" si="84"/>
        <v>0</v>
      </c>
      <c r="Y2703" s="1">
        <f t="shared" si="85"/>
        <v>15</v>
      </c>
    </row>
    <row r="2704" spans="24:25" x14ac:dyDescent="0.3">
      <c r="X2704" s="1">
        <f t="shared" si="84"/>
        <v>0</v>
      </c>
      <c r="Y2704" s="1">
        <f t="shared" si="85"/>
        <v>15</v>
      </c>
    </row>
    <row r="2705" spans="24:25" x14ac:dyDescent="0.3">
      <c r="X2705" s="1">
        <f t="shared" si="84"/>
        <v>0</v>
      </c>
      <c r="Y2705" s="1">
        <f t="shared" si="85"/>
        <v>15</v>
      </c>
    </row>
    <row r="2706" spans="24:25" x14ac:dyDescent="0.3">
      <c r="X2706" s="1">
        <f t="shared" si="84"/>
        <v>0</v>
      </c>
      <c r="Y2706" s="1">
        <f t="shared" si="85"/>
        <v>15</v>
      </c>
    </row>
    <row r="2707" spans="24:25" x14ac:dyDescent="0.3">
      <c r="X2707" s="1">
        <f t="shared" si="84"/>
        <v>0</v>
      </c>
      <c r="Y2707" s="1">
        <f t="shared" si="85"/>
        <v>15</v>
      </c>
    </row>
    <row r="2708" spans="24:25" x14ac:dyDescent="0.3">
      <c r="X2708" s="1">
        <f t="shared" si="84"/>
        <v>0</v>
      </c>
      <c r="Y2708" s="1">
        <f t="shared" si="85"/>
        <v>15</v>
      </c>
    </row>
    <row r="2709" spans="24:25" x14ac:dyDescent="0.3">
      <c r="X2709" s="1">
        <f t="shared" si="84"/>
        <v>0</v>
      </c>
      <c r="Y2709" s="1">
        <f t="shared" si="85"/>
        <v>15</v>
      </c>
    </row>
    <row r="2710" spans="24:25" x14ac:dyDescent="0.3">
      <c r="X2710" s="1">
        <f t="shared" si="84"/>
        <v>0</v>
      </c>
      <c r="Y2710" s="1">
        <f t="shared" si="85"/>
        <v>15</v>
      </c>
    </row>
    <row r="2711" spans="24:25" x14ac:dyDescent="0.3">
      <c r="X2711" s="1">
        <f t="shared" si="84"/>
        <v>0</v>
      </c>
      <c r="Y2711" s="1">
        <f t="shared" si="85"/>
        <v>15</v>
      </c>
    </row>
    <row r="2712" spans="24:25" x14ac:dyDescent="0.3">
      <c r="X2712" s="1">
        <f t="shared" si="84"/>
        <v>0</v>
      </c>
      <c r="Y2712" s="1">
        <f t="shared" si="85"/>
        <v>15</v>
      </c>
    </row>
    <row r="2713" spans="24:25" x14ac:dyDescent="0.3">
      <c r="X2713" s="1">
        <f t="shared" si="84"/>
        <v>0</v>
      </c>
      <c r="Y2713" s="1">
        <f t="shared" si="85"/>
        <v>15</v>
      </c>
    </row>
    <row r="2714" spans="24:25" x14ac:dyDescent="0.3">
      <c r="X2714" s="1">
        <f t="shared" si="84"/>
        <v>0</v>
      </c>
      <c r="Y2714" s="1">
        <f t="shared" si="85"/>
        <v>15</v>
      </c>
    </row>
    <row r="2715" spans="24:25" x14ac:dyDescent="0.3">
      <c r="X2715" s="1">
        <f t="shared" si="84"/>
        <v>0</v>
      </c>
      <c r="Y2715" s="1">
        <f t="shared" si="85"/>
        <v>15</v>
      </c>
    </row>
    <row r="2716" spans="24:25" x14ac:dyDescent="0.3">
      <c r="X2716" s="1">
        <f t="shared" si="84"/>
        <v>0</v>
      </c>
      <c r="Y2716" s="1">
        <f t="shared" si="85"/>
        <v>15</v>
      </c>
    </row>
    <row r="2717" spans="24:25" x14ac:dyDescent="0.3">
      <c r="X2717" s="1">
        <f t="shared" si="84"/>
        <v>0</v>
      </c>
      <c r="Y2717" s="1">
        <f t="shared" si="85"/>
        <v>15</v>
      </c>
    </row>
    <row r="2718" spans="24:25" x14ac:dyDescent="0.3">
      <c r="X2718" s="1">
        <f t="shared" si="84"/>
        <v>0</v>
      </c>
      <c r="Y2718" s="1">
        <f t="shared" si="85"/>
        <v>15</v>
      </c>
    </row>
    <row r="2719" spans="24:25" x14ac:dyDescent="0.3">
      <c r="X2719" s="1">
        <f t="shared" si="84"/>
        <v>0</v>
      </c>
      <c r="Y2719" s="1">
        <f t="shared" si="85"/>
        <v>15</v>
      </c>
    </row>
    <row r="2720" spans="24:25" x14ac:dyDescent="0.3">
      <c r="X2720" s="1">
        <f t="shared" si="84"/>
        <v>0</v>
      </c>
      <c r="Y2720" s="1">
        <f t="shared" si="85"/>
        <v>15</v>
      </c>
    </row>
    <row r="2721" spans="24:25" x14ac:dyDescent="0.3">
      <c r="X2721" s="1">
        <f t="shared" si="84"/>
        <v>0</v>
      </c>
      <c r="Y2721" s="1">
        <f t="shared" si="85"/>
        <v>15</v>
      </c>
    </row>
    <row r="2722" spans="24:25" x14ac:dyDescent="0.3">
      <c r="X2722" s="1">
        <f t="shared" si="84"/>
        <v>0</v>
      </c>
      <c r="Y2722" s="1">
        <f t="shared" si="85"/>
        <v>15</v>
      </c>
    </row>
    <row r="2723" spans="24:25" x14ac:dyDescent="0.3">
      <c r="X2723" s="1">
        <f t="shared" si="84"/>
        <v>0</v>
      </c>
      <c r="Y2723" s="1">
        <f t="shared" si="85"/>
        <v>15</v>
      </c>
    </row>
    <row r="2724" spans="24:25" x14ac:dyDescent="0.3">
      <c r="X2724" s="1">
        <f t="shared" si="84"/>
        <v>0</v>
      </c>
      <c r="Y2724" s="1">
        <f t="shared" si="85"/>
        <v>15</v>
      </c>
    </row>
    <row r="2725" spans="24:25" x14ac:dyDescent="0.3">
      <c r="X2725" s="1">
        <f t="shared" si="84"/>
        <v>0</v>
      </c>
      <c r="Y2725" s="1">
        <f t="shared" si="85"/>
        <v>15</v>
      </c>
    </row>
    <row r="2726" spans="24:25" x14ac:dyDescent="0.3">
      <c r="X2726" s="1">
        <f t="shared" si="84"/>
        <v>0</v>
      </c>
      <c r="Y2726" s="1">
        <f t="shared" si="85"/>
        <v>15</v>
      </c>
    </row>
    <row r="2727" spans="24:25" x14ac:dyDescent="0.3">
      <c r="X2727" s="1">
        <f t="shared" si="84"/>
        <v>0</v>
      </c>
      <c r="Y2727" s="1">
        <f t="shared" si="85"/>
        <v>15</v>
      </c>
    </row>
    <row r="2728" spans="24:25" x14ac:dyDescent="0.3">
      <c r="X2728" s="1">
        <f t="shared" si="84"/>
        <v>0</v>
      </c>
      <c r="Y2728" s="1">
        <f t="shared" si="85"/>
        <v>15</v>
      </c>
    </row>
    <row r="2729" spans="24:25" x14ac:dyDescent="0.3">
      <c r="X2729" s="1">
        <f t="shared" si="84"/>
        <v>0</v>
      </c>
      <c r="Y2729" s="1">
        <f t="shared" si="85"/>
        <v>15</v>
      </c>
    </row>
    <row r="2730" spans="24:25" x14ac:dyDescent="0.3">
      <c r="X2730" s="1">
        <f t="shared" si="84"/>
        <v>0</v>
      </c>
      <c r="Y2730" s="1">
        <f t="shared" si="85"/>
        <v>15</v>
      </c>
    </row>
    <row r="2731" spans="24:25" x14ac:dyDescent="0.3">
      <c r="X2731" s="1">
        <f t="shared" si="84"/>
        <v>0</v>
      </c>
      <c r="Y2731" s="1">
        <f t="shared" si="85"/>
        <v>15</v>
      </c>
    </row>
    <row r="2732" spans="24:25" x14ac:dyDescent="0.3">
      <c r="X2732" s="1">
        <f t="shared" si="84"/>
        <v>0</v>
      </c>
      <c r="Y2732" s="1">
        <f t="shared" si="85"/>
        <v>15</v>
      </c>
    </row>
    <row r="2733" spans="24:25" x14ac:dyDescent="0.3">
      <c r="X2733" s="1">
        <f t="shared" si="84"/>
        <v>0</v>
      </c>
      <c r="Y2733" s="1">
        <f t="shared" si="85"/>
        <v>15</v>
      </c>
    </row>
    <row r="2734" spans="24:25" x14ac:dyDescent="0.3">
      <c r="X2734" s="1">
        <f t="shared" si="84"/>
        <v>0</v>
      </c>
      <c r="Y2734" s="1">
        <f t="shared" si="85"/>
        <v>15</v>
      </c>
    </row>
    <row r="2735" spans="24:25" x14ac:dyDescent="0.3">
      <c r="X2735" s="1">
        <f t="shared" si="84"/>
        <v>0</v>
      </c>
      <c r="Y2735" s="1">
        <f t="shared" si="85"/>
        <v>15</v>
      </c>
    </row>
    <row r="2736" spans="24:25" x14ac:dyDescent="0.3">
      <c r="X2736" s="1">
        <f t="shared" si="84"/>
        <v>0</v>
      </c>
      <c r="Y2736" s="1">
        <f t="shared" si="85"/>
        <v>15</v>
      </c>
    </row>
    <row r="2737" spans="24:25" x14ac:dyDescent="0.3">
      <c r="X2737" s="1">
        <f t="shared" si="84"/>
        <v>0</v>
      </c>
      <c r="Y2737" s="1">
        <f t="shared" si="85"/>
        <v>15</v>
      </c>
    </row>
    <row r="2738" spans="24:25" x14ac:dyDescent="0.3">
      <c r="X2738" s="1">
        <f t="shared" si="84"/>
        <v>0</v>
      </c>
      <c r="Y2738" s="1">
        <f t="shared" si="85"/>
        <v>15</v>
      </c>
    </row>
    <row r="2739" spans="24:25" x14ac:dyDescent="0.3">
      <c r="X2739" s="1">
        <f t="shared" si="84"/>
        <v>0</v>
      </c>
      <c r="Y2739" s="1">
        <f t="shared" si="85"/>
        <v>15</v>
      </c>
    </row>
    <row r="2740" spans="24:25" x14ac:dyDescent="0.3">
      <c r="X2740" s="1">
        <f t="shared" si="84"/>
        <v>0</v>
      </c>
      <c r="Y2740" s="1">
        <f t="shared" si="85"/>
        <v>15</v>
      </c>
    </row>
    <row r="2741" spans="24:25" x14ac:dyDescent="0.3">
      <c r="X2741" s="1">
        <f t="shared" si="84"/>
        <v>0</v>
      </c>
      <c r="Y2741" s="1">
        <f t="shared" si="85"/>
        <v>15</v>
      </c>
    </row>
    <row r="2742" spans="24:25" x14ac:dyDescent="0.3">
      <c r="X2742" s="1">
        <f t="shared" si="84"/>
        <v>0</v>
      </c>
      <c r="Y2742" s="1">
        <f t="shared" si="85"/>
        <v>15</v>
      </c>
    </row>
    <row r="2743" spans="24:25" x14ac:dyDescent="0.3">
      <c r="X2743" s="1">
        <f t="shared" si="84"/>
        <v>0</v>
      </c>
      <c r="Y2743" s="1">
        <f t="shared" si="85"/>
        <v>15</v>
      </c>
    </row>
    <row r="2744" spans="24:25" x14ac:dyDescent="0.3">
      <c r="X2744" s="1">
        <f t="shared" si="84"/>
        <v>0</v>
      </c>
      <c r="Y2744" s="1">
        <f t="shared" si="85"/>
        <v>15</v>
      </c>
    </row>
    <row r="2745" spans="24:25" x14ac:dyDescent="0.3">
      <c r="X2745" s="1">
        <f t="shared" si="84"/>
        <v>0</v>
      </c>
      <c r="Y2745" s="1">
        <f t="shared" si="85"/>
        <v>15</v>
      </c>
    </row>
    <row r="2746" spans="24:25" x14ac:dyDescent="0.3">
      <c r="X2746" s="1">
        <f t="shared" si="84"/>
        <v>0</v>
      </c>
      <c r="Y2746" s="1">
        <f t="shared" si="85"/>
        <v>15</v>
      </c>
    </row>
    <row r="2747" spans="24:25" x14ac:dyDescent="0.3">
      <c r="X2747" s="1">
        <f t="shared" si="84"/>
        <v>0</v>
      </c>
      <c r="Y2747" s="1">
        <f t="shared" si="85"/>
        <v>15</v>
      </c>
    </row>
    <row r="2748" spans="24:25" x14ac:dyDescent="0.3">
      <c r="X2748" s="1">
        <f t="shared" si="84"/>
        <v>0</v>
      </c>
      <c r="Y2748" s="1">
        <f t="shared" si="85"/>
        <v>15</v>
      </c>
    </row>
    <row r="2749" spans="24:25" x14ac:dyDescent="0.3">
      <c r="X2749" s="1">
        <f t="shared" si="84"/>
        <v>0</v>
      </c>
      <c r="Y2749" s="1">
        <f t="shared" si="85"/>
        <v>15</v>
      </c>
    </row>
    <row r="2750" spans="24:25" x14ac:dyDescent="0.3">
      <c r="X2750" s="1">
        <f t="shared" si="84"/>
        <v>0</v>
      </c>
      <c r="Y2750" s="1">
        <f t="shared" si="85"/>
        <v>15</v>
      </c>
    </row>
    <row r="2751" spans="24:25" x14ac:dyDescent="0.3">
      <c r="X2751" s="1">
        <f t="shared" si="84"/>
        <v>0</v>
      </c>
      <c r="Y2751" s="1">
        <f t="shared" si="85"/>
        <v>15</v>
      </c>
    </row>
    <row r="2752" spans="24:25" x14ac:dyDescent="0.3">
      <c r="X2752" s="1">
        <f t="shared" si="84"/>
        <v>0</v>
      </c>
      <c r="Y2752" s="1">
        <f t="shared" si="85"/>
        <v>15</v>
      </c>
    </row>
    <row r="2753" spans="24:25" x14ac:dyDescent="0.3">
      <c r="X2753" s="1">
        <f t="shared" si="84"/>
        <v>0</v>
      </c>
      <c r="Y2753" s="1">
        <f t="shared" si="85"/>
        <v>15</v>
      </c>
    </row>
    <row r="2754" spans="24:25" x14ac:dyDescent="0.3">
      <c r="X2754" s="1">
        <f t="shared" si="84"/>
        <v>0</v>
      </c>
      <c r="Y2754" s="1">
        <f t="shared" si="85"/>
        <v>15</v>
      </c>
    </row>
    <row r="2755" spans="24:25" x14ac:dyDescent="0.3">
      <c r="X2755" s="1">
        <f t="shared" ref="X2755:X2818" si="86">IFERROR(MATCH(W2755,$B:$B,0),0)</f>
        <v>0</v>
      </c>
      <c r="Y2755" s="1">
        <f t="shared" ref="Y2755:Y2818" si="87">IF(X2756=0,COUNTA(A:A),X2756-1)</f>
        <v>15</v>
      </c>
    </row>
    <row r="2756" spans="24:25" x14ac:dyDescent="0.3">
      <c r="X2756" s="1">
        <f t="shared" si="86"/>
        <v>0</v>
      </c>
      <c r="Y2756" s="1">
        <f t="shared" si="87"/>
        <v>15</v>
      </c>
    </row>
    <row r="2757" spans="24:25" x14ac:dyDescent="0.3">
      <c r="X2757" s="1">
        <f t="shared" si="86"/>
        <v>0</v>
      </c>
      <c r="Y2757" s="1">
        <f t="shared" si="87"/>
        <v>15</v>
      </c>
    </row>
    <row r="2758" spans="24:25" x14ac:dyDescent="0.3">
      <c r="X2758" s="1">
        <f t="shared" si="86"/>
        <v>0</v>
      </c>
      <c r="Y2758" s="1">
        <f t="shared" si="87"/>
        <v>15</v>
      </c>
    </row>
    <row r="2759" spans="24:25" x14ac:dyDescent="0.3">
      <c r="X2759" s="1">
        <f t="shared" si="86"/>
        <v>0</v>
      </c>
      <c r="Y2759" s="1">
        <f t="shared" si="87"/>
        <v>15</v>
      </c>
    </row>
    <row r="2760" spans="24:25" x14ac:dyDescent="0.3">
      <c r="X2760" s="1">
        <f t="shared" si="86"/>
        <v>0</v>
      </c>
      <c r="Y2760" s="1">
        <f t="shared" si="87"/>
        <v>15</v>
      </c>
    </row>
    <row r="2761" spans="24:25" x14ac:dyDescent="0.3">
      <c r="X2761" s="1">
        <f t="shared" si="86"/>
        <v>0</v>
      </c>
      <c r="Y2761" s="1">
        <f t="shared" si="87"/>
        <v>15</v>
      </c>
    </row>
    <row r="2762" spans="24:25" x14ac:dyDescent="0.3">
      <c r="X2762" s="1">
        <f t="shared" si="86"/>
        <v>0</v>
      </c>
      <c r="Y2762" s="1">
        <f t="shared" si="87"/>
        <v>15</v>
      </c>
    </row>
    <row r="2763" spans="24:25" x14ac:dyDescent="0.3">
      <c r="X2763" s="1">
        <f t="shared" si="86"/>
        <v>0</v>
      </c>
      <c r="Y2763" s="1">
        <f t="shared" si="87"/>
        <v>15</v>
      </c>
    </row>
    <row r="2764" spans="24:25" x14ac:dyDescent="0.3">
      <c r="X2764" s="1">
        <f t="shared" si="86"/>
        <v>0</v>
      </c>
      <c r="Y2764" s="1">
        <f t="shared" si="87"/>
        <v>15</v>
      </c>
    </row>
    <row r="2765" spans="24:25" x14ac:dyDescent="0.3">
      <c r="X2765" s="1">
        <f t="shared" si="86"/>
        <v>0</v>
      </c>
      <c r="Y2765" s="1">
        <f t="shared" si="87"/>
        <v>15</v>
      </c>
    </row>
    <row r="2766" spans="24:25" x14ac:dyDescent="0.3">
      <c r="X2766" s="1">
        <f t="shared" si="86"/>
        <v>0</v>
      </c>
      <c r="Y2766" s="1">
        <f t="shared" si="87"/>
        <v>15</v>
      </c>
    </row>
    <row r="2767" spans="24:25" x14ac:dyDescent="0.3">
      <c r="X2767" s="1">
        <f t="shared" si="86"/>
        <v>0</v>
      </c>
      <c r="Y2767" s="1">
        <f t="shared" si="87"/>
        <v>15</v>
      </c>
    </row>
    <row r="2768" spans="24:25" x14ac:dyDescent="0.3">
      <c r="X2768" s="1">
        <f t="shared" si="86"/>
        <v>0</v>
      </c>
      <c r="Y2768" s="1">
        <f t="shared" si="87"/>
        <v>15</v>
      </c>
    </row>
    <row r="2769" spans="24:25" x14ac:dyDescent="0.3">
      <c r="X2769" s="1">
        <f t="shared" si="86"/>
        <v>0</v>
      </c>
      <c r="Y2769" s="1">
        <f t="shared" si="87"/>
        <v>15</v>
      </c>
    </row>
    <row r="2770" spans="24:25" x14ac:dyDescent="0.3">
      <c r="X2770" s="1">
        <f t="shared" si="86"/>
        <v>0</v>
      </c>
      <c r="Y2770" s="1">
        <f t="shared" si="87"/>
        <v>15</v>
      </c>
    </row>
    <row r="2771" spans="24:25" x14ac:dyDescent="0.3">
      <c r="X2771" s="1">
        <f t="shared" si="86"/>
        <v>0</v>
      </c>
      <c r="Y2771" s="1">
        <f t="shared" si="87"/>
        <v>15</v>
      </c>
    </row>
    <row r="2772" spans="24:25" x14ac:dyDescent="0.3">
      <c r="X2772" s="1">
        <f t="shared" si="86"/>
        <v>0</v>
      </c>
      <c r="Y2772" s="1">
        <f t="shared" si="87"/>
        <v>15</v>
      </c>
    </row>
    <row r="2773" spans="24:25" x14ac:dyDescent="0.3">
      <c r="X2773" s="1">
        <f t="shared" si="86"/>
        <v>0</v>
      </c>
      <c r="Y2773" s="1">
        <f t="shared" si="87"/>
        <v>15</v>
      </c>
    </row>
    <row r="2774" spans="24:25" x14ac:dyDescent="0.3">
      <c r="X2774" s="1">
        <f t="shared" si="86"/>
        <v>0</v>
      </c>
      <c r="Y2774" s="1">
        <f t="shared" si="87"/>
        <v>15</v>
      </c>
    </row>
    <row r="2775" spans="24:25" x14ac:dyDescent="0.3">
      <c r="X2775" s="1">
        <f t="shared" si="86"/>
        <v>0</v>
      </c>
      <c r="Y2775" s="1">
        <f t="shared" si="87"/>
        <v>15</v>
      </c>
    </row>
    <row r="2776" spans="24:25" x14ac:dyDescent="0.3">
      <c r="X2776" s="1">
        <f t="shared" si="86"/>
        <v>0</v>
      </c>
      <c r="Y2776" s="1">
        <f t="shared" si="87"/>
        <v>15</v>
      </c>
    </row>
    <row r="2777" spans="24:25" x14ac:dyDescent="0.3">
      <c r="X2777" s="1">
        <f t="shared" si="86"/>
        <v>0</v>
      </c>
      <c r="Y2777" s="1">
        <f t="shared" si="87"/>
        <v>15</v>
      </c>
    </row>
    <row r="2778" spans="24:25" x14ac:dyDescent="0.3">
      <c r="X2778" s="1">
        <f t="shared" si="86"/>
        <v>0</v>
      </c>
      <c r="Y2778" s="1">
        <f t="shared" si="87"/>
        <v>15</v>
      </c>
    </row>
    <row r="2779" spans="24:25" x14ac:dyDescent="0.3">
      <c r="X2779" s="1">
        <f t="shared" si="86"/>
        <v>0</v>
      </c>
      <c r="Y2779" s="1">
        <f t="shared" si="87"/>
        <v>15</v>
      </c>
    </row>
    <row r="2780" spans="24:25" x14ac:dyDescent="0.3">
      <c r="X2780" s="1">
        <f t="shared" si="86"/>
        <v>0</v>
      </c>
      <c r="Y2780" s="1">
        <f t="shared" si="87"/>
        <v>15</v>
      </c>
    </row>
    <row r="2781" spans="24:25" x14ac:dyDescent="0.3">
      <c r="X2781" s="1">
        <f t="shared" si="86"/>
        <v>0</v>
      </c>
      <c r="Y2781" s="1">
        <f t="shared" si="87"/>
        <v>15</v>
      </c>
    </row>
    <row r="2782" spans="24:25" x14ac:dyDescent="0.3">
      <c r="X2782" s="1">
        <f t="shared" si="86"/>
        <v>0</v>
      </c>
      <c r="Y2782" s="1">
        <f t="shared" si="87"/>
        <v>15</v>
      </c>
    </row>
    <row r="2783" spans="24:25" x14ac:dyDescent="0.3">
      <c r="X2783" s="1">
        <f t="shared" si="86"/>
        <v>0</v>
      </c>
      <c r="Y2783" s="1">
        <f t="shared" si="87"/>
        <v>15</v>
      </c>
    </row>
    <row r="2784" spans="24:25" x14ac:dyDescent="0.3">
      <c r="X2784" s="1">
        <f t="shared" si="86"/>
        <v>0</v>
      </c>
      <c r="Y2784" s="1">
        <f t="shared" si="87"/>
        <v>15</v>
      </c>
    </row>
    <row r="2785" spans="24:25" x14ac:dyDescent="0.3">
      <c r="X2785" s="1">
        <f t="shared" si="86"/>
        <v>0</v>
      </c>
      <c r="Y2785" s="1">
        <f t="shared" si="87"/>
        <v>15</v>
      </c>
    </row>
    <row r="2786" spans="24:25" x14ac:dyDescent="0.3">
      <c r="X2786" s="1">
        <f t="shared" si="86"/>
        <v>0</v>
      </c>
      <c r="Y2786" s="1">
        <f t="shared" si="87"/>
        <v>15</v>
      </c>
    </row>
    <row r="2787" spans="24:25" x14ac:dyDescent="0.3">
      <c r="X2787" s="1">
        <f t="shared" si="86"/>
        <v>0</v>
      </c>
      <c r="Y2787" s="1">
        <f t="shared" si="87"/>
        <v>15</v>
      </c>
    </row>
    <row r="2788" spans="24:25" x14ac:dyDescent="0.3">
      <c r="X2788" s="1">
        <f t="shared" si="86"/>
        <v>0</v>
      </c>
      <c r="Y2788" s="1">
        <f t="shared" si="87"/>
        <v>15</v>
      </c>
    </row>
    <row r="2789" spans="24:25" x14ac:dyDescent="0.3">
      <c r="X2789" s="1">
        <f t="shared" si="86"/>
        <v>0</v>
      </c>
      <c r="Y2789" s="1">
        <f t="shared" si="87"/>
        <v>15</v>
      </c>
    </row>
    <row r="2790" spans="24:25" x14ac:dyDescent="0.3">
      <c r="X2790" s="1">
        <f t="shared" si="86"/>
        <v>0</v>
      </c>
      <c r="Y2790" s="1">
        <f t="shared" si="87"/>
        <v>15</v>
      </c>
    </row>
    <row r="2791" spans="24:25" x14ac:dyDescent="0.3">
      <c r="X2791" s="1">
        <f t="shared" si="86"/>
        <v>0</v>
      </c>
      <c r="Y2791" s="1">
        <f t="shared" si="87"/>
        <v>15</v>
      </c>
    </row>
    <row r="2792" spans="24:25" x14ac:dyDescent="0.3">
      <c r="X2792" s="1">
        <f t="shared" si="86"/>
        <v>0</v>
      </c>
      <c r="Y2792" s="1">
        <f t="shared" si="87"/>
        <v>15</v>
      </c>
    </row>
    <row r="2793" spans="24:25" x14ac:dyDescent="0.3">
      <c r="X2793" s="1">
        <f t="shared" si="86"/>
        <v>0</v>
      </c>
      <c r="Y2793" s="1">
        <f t="shared" si="87"/>
        <v>15</v>
      </c>
    </row>
    <row r="2794" spans="24:25" x14ac:dyDescent="0.3">
      <c r="X2794" s="1">
        <f t="shared" si="86"/>
        <v>0</v>
      </c>
      <c r="Y2794" s="1">
        <f t="shared" si="87"/>
        <v>15</v>
      </c>
    </row>
    <row r="2795" spans="24:25" x14ac:dyDescent="0.3">
      <c r="X2795" s="1">
        <f t="shared" si="86"/>
        <v>0</v>
      </c>
      <c r="Y2795" s="1">
        <f t="shared" si="87"/>
        <v>15</v>
      </c>
    </row>
    <row r="2796" spans="24:25" x14ac:dyDescent="0.3">
      <c r="X2796" s="1">
        <f t="shared" si="86"/>
        <v>0</v>
      </c>
      <c r="Y2796" s="1">
        <f t="shared" si="87"/>
        <v>15</v>
      </c>
    </row>
    <row r="2797" spans="24:25" x14ac:dyDescent="0.3">
      <c r="X2797" s="1">
        <f t="shared" si="86"/>
        <v>0</v>
      </c>
      <c r="Y2797" s="1">
        <f t="shared" si="87"/>
        <v>15</v>
      </c>
    </row>
    <row r="2798" spans="24:25" x14ac:dyDescent="0.3">
      <c r="X2798" s="1">
        <f t="shared" si="86"/>
        <v>0</v>
      </c>
      <c r="Y2798" s="1">
        <f t="shared" si="87"/>
        <v>15</v>
      </c>
    </row>
    <row r="2799" spans="24:25" x14ac:dyDescent="0.3">
      <c r="X2799" s="1">
        <f t="shared" si="86"/>
        <v>0</v>
      </c>
      <c r="Y2799" s="1">
        <f t="shared" si="87"/>
        <v>15</v>
      </c>
    </row>
    <row r="2800" spans="24:25" x14ac:dyDescent="0.3">
      <c r="X2800" s="1">
        <f t="shared" si="86"/>
        <v>0</v>
      </c>
      <c r="Y2800" s="1">
        <f t="shared" si="87"/>
        <v>15</v>
      </c>
    </row>
    <row r="2801" spans="24:25" x14ac:dyDescent="0.3">
      <c r="X2801" s="1">
        <f t="shared" si="86"/>
        <v>0</v>
      </c>
      <c r="Y2801" s="1">
        <f t="shared" si="87"/>
        <v>15</v>
      </c>
    </row>
    <row r="2802" spans="24:25" x14ac:dyDescent="0.3">
      <c r="X2802" s="1">
        <f t="shared" si="86"/>
        <v>0</v>
      </c>
      <c r="Y2802" s="1">
        <f t="shared" si="87"/>
        <v>15</v>
      </c>
    </row>
    <row r="2803" spans="24:25" x14ac:dyDescent="0.3">
      <c r="X2803" s="1">
        <f t="shared" si="86"/>
        <v>0</v>
      </c>
      <c r="Y2803" s="1">
        <f t="shared" si="87"/>
        <v>15</v>
      </c>
    </row>
    <row r="2804" spans="24:25" x14ac:dyDescent="0.3">
      <c r="X2804" s="1">
        <f t="shared" si="86"/>
        <v>0</v>
      </c>
      <c r="Y2804" s="1">
        <f t="shared" si="87"/>
        <v>15</v>
      </c>
    </row>
    <row r="2805" spans="24:25" x14ac:dyDescent="0.3">
      <c r="X2805" s="1">
        <f t="shared" si="86"/>
        <v>0</v>
      </c>
      <c r="Y2805" s="1">
        <f t="shared" si="87"/>
        <v>15</v>
      </c>
    </row>
    <row r="2806" spans="24:25" x14ac:dyDescent="0.3">
      <c r="X2806" s="1">
        <f t="shared" si="86"/>
        <v>0</v>
      </c>
      <c r="Y2806" s="1">
        <f t="shared" si="87"/>
        <v>15</v>
      </c>
    </row>
    <row r="2807" spans="24:25" x14ac:dyDescent="0.3">
      <c r="X2807" s="1">
        <f t="shared" si="86"/>
        <v>0</v>
      </c>
      <c r="Y2807" s="1">
        <f t="shared" si="87"/>
        <v>15</v>
      </c>
    </row>
    <row r="2808" spans="24:25" x14ac:dyDescent="0.3">
      <c r="X2808" s="1">
        <f t="shared" si="86"/>
        <v>0</v>
      </c>
      <c r="Y2808" s="1">
        <f t="shared" si="87"/>
        <v>15</v>
      </c>
    </row>
    <row r="2809" spans="24:25" x14ac:dyDescent="0.3">
      <c r="X2809" s="1">
        <f t="shared" si="86"/>
        <v>0</v>
      </c>
      <c r="Y2809" s="1">
        <f t="shared" si="87"/>
        <v>15</v>
      </c>
    </row>
    <row r="2810" spans="24:25" x14ac:dyDescent="0.3">
      <c r="X2810" s="1">
        <f t="shared" si="86"/>
        <v>0</v>
      </c>
      <c r="Y2810" s="1">
        <f t="shared" si="87"/>
        <v>15</v>
      </c>
    </row>
    <row r="2811" spans="24:25" x14ac:dyDescent="0.3">
      <c r="X2811" s="1">
        <f t="shared" si="86"/>
        <v>0</v>
      </c>
      <c r="Y2811" s="1">
        <f t="shared" si="87"/>
        <v>15</v>
      </c>
    </row>
    <row r="2812" spans="24:25" x14ac:dyDescent="0.3">
      <c r="X2812" s="1">
        <f t="shared" si="86"/>
        <v>0</v>
      </c>
      <c r="Y2812" s="1">
        <f t="shared" si="87"/>
        <v>15</v>
      </c>
    </row>
    <row r="2813" spans="24:25" x14ac:dyDescent="0.3">
      <c r="X2813" s="1">
        <f t="shared" si="86"/>
        <v>0</v>
      </c>
      <c r="Y2813" s="1">
        <f t="shared" si="87"/>
        <v>15</v>
      </c>
    </row>
    <row r="2814" spans="24:25" x14ac:dyDescent="0.3">
      <c r="X2814" s="1">
        <f t="shared" si="86"/>
        <v>0</v>
      </c>
      <c r="Y2814" s="1">
        <f t="shared" si="87"/>
        <v>15</v>
      </c>
    </row>
    <row r="2815" spans="24:25" x14ac:dyDescent="0.3">
      <c r="X2815" s="1">
        <f t="shared" si="86"/>
        <v>0</v>
      </c>
      <c r="Y2815" s="1">
        <f t="shared" si="87"/>
        <v>15</v>
      </c>
    </row>
    <row r="2816" spans="24:25" x14ac:dyDescent="0.3">
      <c r="X2816" s="1">
        <f t="shared" si="86"/>
        <v>0</v>
      </c>
      <c r="Y2816" s="1">
        <f t="shared" si="87"/>
        <v>15</v>
      </c>
    </row>
    <row r="2817" spans="24:25" x14ac:dyDescent="0.3">
      <c r="X2817" s="1">
        <f t="shared" si="86"/>
        <v>0</v>
      </c>
      <c r="Y2817" s="1">
        <f t="shared" si="87"/>
        <v>15</v>
      </c>
    </row>
    <row r="2818" spans="24:25" x14ac:dyDescent="0.3">
      <c r="X2818" s="1">
        <f t="shared" si="86"/>
        <v>0</v>
      </c>
      <c r="Y2818" s="1">
        <f t="shared" si="87"/>
        <v>15</v>
      </c>
    </row>
    <row r="2819" spans="24:25" x14ac:dyDescent="0.3">
      <c r="X2819" s="1">
        <f t="shared" ref="X2819:X2882" si="88">IFERROR(MATCH(W2819,$B:$B,0),0)</f>
        <v>0</v>
      </c>
      <c r="Y2819" s="1">
        <f t="shared" ref="Y2819:Y2882" si="89">IF(X2820=0,COUNTA(A:A),X2820-1)</f>
        <v>15</v>
      </c>
    </row>
    <row r="2820" spans="24:25" x14ac:dyDescent="0.3">
      <c r="X2820" s="1">
        <f t="shared" si="88"/>
        <v>0</v>
      </c>
      <c r="Y2820" s="1">
        <f t="shared" si="89"/>
        <v>15</v>
      </c>
    </row>
    <row r="2821" spans="24:25" x14ac:dyDescent="0.3">
      <c r="X2821" s="1">
        <f t="shared" si="88"/>
        <v>0</v>
      </c>
      <c r="Y2821" s="1">
        <f t="shared" si="89"/>
        <v>15</v>
      </c>
    </row>
    <row r="2822" spans="24:25" x14ac:dyDescent="0.3">
      <c r="X2822" s="1">
        <f t="shared" si="88"/>
        <v>0</v>
      </c>
      <c r="Y2822" s="1">
        <f t="shared" si="89"/>
        <v>15</v>
      </c>
    </row>
    <row r="2823" spans="24:25" x14ac:dyDescent="0.3">
      <c r="X2823" s="1">
        <f t="shared" si="88"/>
        <v>0</v>
      </c>
      <c r="Y2823" s="1">
        <f t="shared" si="89"/>
        <v>15</v>
      </c>
    </row>
    <row r="2824" spans="24:25" x14ac:dyDescent="0.3">
      <c r="X2824" s="1">
        <f t="shared" si="88"/>
        <v>0</v>
      </c>
      <c r="Y2824" s="1">
        <f t="shared" si="89"/>
        <v>15</v>
      </c>
    </row>
    <row r="2825" spans="24:25" x14ac:dyDescent="0.3">
      <c r="X2825" s="1">
        <f t="shared" si="88"/>
        <v>0</v>
      </c>
      <c r="Y2825" s="1">
        <f t="shared" si="89"/>
        <v>15</v>
      </c>
    </row>
    <row r="2826" spans="24:25" x14ac:dyDescent="0.3">
      <c r="X2826" s="1">
        <f t="shared" si="88"/>
        <v>0</v>
      </c>
      <c r="Y2826" s="1">
        <f t="shared" si="89"/>
        <v>15</v>
      </c>
    </row>
    <row r="2827" spans="24:25" x14ac:dyDescent="0.3">
      <c r="X2827" s="1">
        <f t="shared" si="88"/>
        <v>0</v>
      </c>
      <c r="Y2827" s="1">
        <f t="shared" si="89"/>
        <v>15</v>
      </c>
    </row>
    <row r="2828" spans="24:25" x14ac:dyDescent="0.3">
      <c r="X2828" s="1">
        <f t="shared" si="88"/>
        <v>0</v>
      </c>
      <c r="Y2828" s="1">
        <f t="shared" si="89"/>
        <v>15</v>
      </c>
    </row>
    <row r="2829" spans="24:25" x14ac:dyDescent="0.3">
      <c r="X2829" s="1">
        <f t="shared" si="88"/>
        <v>0</v>
      </c>
      <c r="Y2829" s="1">
        <f t="shared" si="89"/>
        <v>15</v>
      </c>
    </row>
    <row r="2830" spans="24:25" x14ac:dyDescent="0.3">
      <c r="X2830" s="1">
        <f t="shared" si="88"/>
        <v>0</v>
      </c>
      <c r="Y2830" s="1">
        <f t="shared" si="89"/>
        <v>15</v>
      </c>
    </row>
    <row r="2831" spans="24:25" x14ac:dyDescent="0.3">
      <c r="X2831" s="1">
        <f t="shared" si="88"/>
        <v>0</v>
      </c>
      <c r="Y2831" s="1">
        <f t="shared" si="89"/>
        <v>15</v>
      </c>
    </row>
    <row r="2832" spans="24:25" x14ac:dyDescent="0.3">
      <c r="X2832" s="1">
        <f t="shared" si="88"/>
        <v>0</v>
      </c>
      <c r="Y2832" s="1">
        <f t="shared" si="89"/>
        <v>15</v>
      </c>
    </row>
    <row r="2833" spans="24:25" x14ac:dyDescent="0.3">
      <c r="X2833" s="1">
        <f t="shared" si="88"/>
        <v>0</v>
      </c>
      <c r="Y2833" s="1">
        <f t="shared" si="89"/>
        <v>15</v>
      </c>
    </row>
    <row r="2834" spans="24:25" x14ac:dyDescent="0.3">
      <c r="X2834" s="1">
        <f t="shared" si="88"/>
        <v>0</v>
      </c>
      <c r="Y2834" s="1">
        <f t="shared" si="89"/>
        <v>15</v>
      </c>
    </row>
    <row r="2835" spans="24:25" x14ac:dyDescent="0.3">
      <c r="X2835" s="1">
        <f t="shared" si="88"/>
        <v>0</v>
      </c>
      <c r="Y2835" s="1">
        <f t="shared" si="89"/>
        <v>15</v>
      </c>
    </row>
    <row r="2836" spans="24:25" x14ac:dyDescent="0.3">
      <c r="X2836" s="1">
        <f t="shared" si="88"/>
        <v>0</v>
      </c>
      <c r="Y2836" s="1">
        <f t="shared" si="89"/>
        <v>15</v>
      </c>
    </row>
    <row r="2837" spans="24:25" x14ac:dyDescent="0.3">
      <c r="X2837" s="1">
        <f t="shared" si="88"/>
        <v>0</v>
      </c>
      <c r="Y2837" s="1">
        <f t="shared" si="89"/>
        <v>15</v>
      </c>
    </row>
    <row r="2838" spans="24:25" x14ac:dyDescent="0.3">
      <c r="X2838" s="1">
        <f t="shared" si="88"/>
        <v>0</v>
      </c>
      <c r="Y2838" s="1">
        <f t="shared" si="89"/>
        <v>15</v>
      </c>
    </row>
    <row r="2839" spans="24:25" x14ac:dyDescent="0.3">
      <c r="X2839" s="1">
        <f t="shared" si="88"/>
        <v>0</v>
      </c>
      <c r="Y2839" s="1">
        <f t="shared" si="89"/>
        <v>15</v>
      </c>
    </row>
    <row r="2840" spans="24:25" x14ac:dyDescent="0.3">
      <c r="X2840" s="1">
        <f t="shared" si="88"/>
        <v>0</v>
      </c>
      <c r="Y2840" s="1">
        <f t="shared" si="89"/>
        <v>15</v>
      </c>
    </row>
    <row r="2841" spans="24:25" x14ac:dyDescent="0.3">
      <c r="X2841" s="1">
        <f t="shared" si="88"/>
        <v>0</v>
      </c>
      <c r="Y2841" s="1">
        <f t="shared" si="89"/>
        <v>15</v>
      </c>
    </row>
    <row r="2842" spans="24:25" x14ac:dyDescent="0.3">
      <c r="X2842" s="1">
        <f t="shared" si="88"/>
        <v>0</v>
      </c>
      <c r="Y2842" s="1">
        <f t="shared" si="89"/>
        <v>15</v>
      </c>
    </row>
    <row r="2843" spans="24:25" x14ac:dyDescent="0.3">
      <c r="X2843" s="1">
        <f t="shared" si="88"/>
        <v>0</v>
      </c>
      <c r="Y2843" s="1">
        <f t="shared" si="89"/>
        <v>15</v>
      </c>
    </row>
    <row r="2844" spans="24:25" x14ac:dyDescent="0.3">
      <c r="X2844" s="1">
        <f t="shared" si="88"/>
        <v>0</v>
      </c>
      <c r="Y2844" s="1">
        <f t="shared" si="89"/>
        <v>15</v>
      </c>
    </row>
    <row r="2845" spans="24:25" x14ac:dyDescent="0.3">
      <c r="X2845" s="1">
        <f t="shared" si="88"/>
        <v>0</v>
      </c>
      <c r="Y2845" s="1">
        <f t="shared" si="89"/>
        <v>15</v>
      </c>
    </row>
    <row r="2846" spans="24:25" x14ac:dyDescent="0.3">
      <c r="X2846" s="1">
        <f t="shared" si="88"/>
        <v>0</v>
      </c>
      <c r="Y2846" s="1">
        <f t="shared" si="89"/>
        <v>15</v>
      </c>
    </row>
    <row r="2847" spans="24:25" x14ac:dyDescent="0.3">
      <c r="X2847" s="1">
        <f t="shared" si="88"/>
        <v>0</v>
      </c>
      <c r="Y2847" s="1">
        <f t="shared" si="89"/>
        <v>15</v>
      </c>
    </row>
    <row r="2848" spans="24:25" x14ac:dyDescent="0.3">
      <c r="X2848" s="1">
        <f t="shared" si="88"/>
        <v>0</v>
      </c>
      <c r="Y2848" s="1">
        <f t="shared" si="89"/>
        <v>15</v>
      </c>
    </row>
    <row r="2849" spans="24:25" x14ac:dyDescent="0.3">
      <c r="X2849" s="1">
        <f t="shared" si="88"/>
        <v>0</v>
      </c>
      <c r="Y2849" s="1">
        <f t="shared" si="89"/>
        <v>15</v>
      </c>
    </row>
    <row r="2850" spans="24:25" x14ac:dyDescent="0.3">
      <c r="X2850" s="1">
        <f t="shared" si="88"/>
        <v>0</v>
      </c>
      <c r="Y2850" s="1">
        <f t="shared" si="89"/>
        <v>15</v>
      </c>
    </row>
    <row r="2851" spans="24:25" x14ac:dyDescent="0.3">
      <c r="X2851" s="1">
        <f t="shared" si="88"/>
        <v>0</v>
      </c>
      <c r="Y2851" s="1">
        <f t="shared" si="89"/>
        <v>15</v>
      </c>
    </row>
    <row r="2852" spans="24:25" x14ac:dyDescent="0.3">
      <c r="X2852" s="1">
        <f t="shared" si="88"/>
        <v>0</v>
      </c>
      <c r="Y2852" s="1">
        <f t="shared" si="89"/>
        <v>15</v>
      </c>
    </row>
    <row r="2853" spans="24:25" x14ac:dyDescent="0.3">
      <c r="X2853" s="1">
        <f t="shared" si="88"/>
        <v>0</v>
      </c>
      <c r="Y2853" s="1">
        <f t="shared" si="89"/>
        <v>15</v>
      </c>
    </row>
    <row r="2854" spans="24:25" x14ac:dyDescent="0.3">
      <c r="X2854" s="1">
        <f t="shared" si="88"/>
        <v>0</v>
      </c>
      <c r="Y2854" s="1">
        <f t="shared" si="89"/>
        <v>15</v>
      </c>
    </row>
    <row r="2855" spans="24:25" x14ac:dyDescent="0.3">
      <c r="X2855" s="1">
        <f t="shared" si="88"/>
        <v>0</v>
      </c>
      <c r="Y2855" s="1">
        <f t="shared" si="89"/>
        <v>15</v>
      </c>
    </row>
    <row r="2856" spans="24:25" x14ac:dyDescent="0.3">
      <c r="X2856" s="1">
        <f t="shared" si="88"/>
        <v>0</v>
      </c>
      <c r="Y2856" s="1">
        <f t="shared" si="89"/>
        <v>15</v>
      </c>
    </row>
    <row r="2857" spans="24:25" x14ac:dyDescent="0.3">
      <c r="X2857" s="1">
        <f t="shared" si="88"/>
        <v>0</v>
      </c>
      <c r="Y2857" s="1">
        <f t="shared" si="89"/>
        <v>15</v>
      </c>
    </row>
    <row r="2858" spans="24:25" x14ac:dyDescent="0.3">
      <c r="X2858" s="1">
        <f t="shared" si="88"/>
        <v>0</v>
      </c>
      <c r="Y2858" s="1">
        <f t="shared" si="89"/>
        <v>15</v>
      </c>
    </row>
    <row r="2859" spans="24:25" x14ac:dyDescent="0.3">
      <c r="X2859" s="1">
        <f t="shared" si="88"/>
        <v>0</v>
      </c>
      <c r="Y2859" s="1">
        <f t="shared" si="89"/>
        <v>15</v>
      </c>
    </row>
    <row r="2860" spans="24:25" x14ac:dyDescent="0.3">
      <c r="X2860" s="1">
        <f t="shared" si="88"/>
        <v>0</v>
      </c>
      <c r="Y2860" s="1">
        <f t="shared" si="89"/>
        <v>15</v>
      </c>
    </row>
    <row r="2861" spans="24:25" x14ac:dyDescent="0.3">
      <c r="X2861" s="1">
        <f t="shared" si="88"/>
        <v>0</v>
      </c>
      <c r="Y2861" s="1">
        <f t="shared" si="89"/>
        <v>15</v>
      </c>
    </row>
    <row r="2862" spans="24:25" x14ac:dyDescent="0.3">
      <c r="X2862" s="1">
        <f t="shared" si="88"/>
        <v>0</v>
      </c>
      <c r="Y2862" s="1">
        <f t="shared" si="89"/>
        <v>15</v>
      </c>
    </row>
    <row r="2863" spans="24:25" x14ac:dyDescent="0.3">
      <c r="X2863" s="1">
        <f t="shared" si="88"/>
        <v>0</v>
      </c>
      <c r="Y2863" s="1">
        <f t="shared" si="89"/>
        <v>15</v>
      </c>
    </row>
    <row r="2864" spans="24:25" x14ac:dyDescent="0.3">
      <c r="X2864" s="1">
        <f t="shared" si="88"/>
        <v>0</v>
      </c>
      <c r="Y2864" s="1">
        <f t="shared" si="89"/>
        <v>15</v>
      </c>
    </row>
    <row r="2865" spans="24:25" x14ac:dyDescent="0.3">
      <c r="X2865" s="1">
        <f t="shared" si="88"/>
        <v>0</v>
      </c>
      <c r="Y2865" s="1">
        <f t="shared" si="89"/>
        <v>15</v>
      </c>
    </row>
    <row r="2866" spans="24:25" x14ac:dyDescent="0.3">
      <c r="X2866" s="1">
        <f t="shared" si="88"/>
        <v>0</v>
      </c>
      <c r="Y2866" s="1">
        <f t="shared" si="89"/>
        <v>15</v>
      </c>
    </row>
    <row r="2867" spans="24:25" x14ac:dyDescent="0.3">
      <c r="X2867" s="1">
        <f t="shared" si="88"/>
        <v>0</v>
      </c>
      <c r="Y2867" s="1">
        <f t="shared" si="89"/>
        <v>15</v>
      </c>
    </row>
    <row r="2868" spans="24:25" x14ac:dyDescent="0.3">
      <c r="X2868" s="1">
        <f t="shared" si="88"/>
        <v>0</v>
      </c>
      <c r="Y2868" s="1">
        <f t="shared" si="89"/>
        <v>15</v>
      </c>
    </row>
    <row r="2869" spans="24:25" x14ac:dyDescent="0.3">
      <c r="X2869" s="1">
        <f t="shared" si="88"/>
        <v>0</v>
      </c>
      <c r="Y2869" s="1">
        <f t="shared" si="89"/>
        <v>15</v>
      </c>
    </row>
    <row r="2870" spans="24:25" x14ac:dyDescent="0.3">
      <c r="X2870" s="1">
        <f t="shared" si="88"/>
        <v>0</v>
      </c>
      <c r="Y2870" s="1">
        <f t="shared" si="89"/>
        <v>15</v>
      </c>
    </row>
    <row r="2871" spans="24:25" x14ac:dyDescent="0.3">
      <c r="X2871" s="1">
        <f t="shared" si="88"/>
        <v>0</v>
      </c>
      <c r="Y2871" s="1">
        <f t="shared" si="89"/>
        <v>15</v>
      </c>
    </row>
    <row r="2872" spans="24:25" x14ac:dyDescent="0.3">
      <c r="X2872" s="1">
        <f t="shared" si="88"/>
        <v>0</v>
      </c>
      <c r="Y2872" s="1">
        <f t="shared" si="89"/>
        <v>15</v>
      </c>
    </row>
    <row r="2873" spans="24:25" x14ac:dyDescent="0.3">
      <c r="X2873" s="1">
        <f t="shared" si="88"/>
        <v>0</v>
      </c>
      <c r="Y2873" s="1">
        <f t="shared" si="89"/>
        <v>15</v>
      </c>
    </row>
    <row r="2874" spans="24:25" x14ac:dyDescent="0.3">
      <c r="X2874" s="1">
        <f t="shared" si="88"/>
        <v>0</v>
      </c>
      <c r="Y2874" s="1">
        <f t="shared" si="89"/>
        <v>15</v>
      </c>
    </row>
    <row r="2875" spans="24:25" x14ac:dyDescent="0.3">
      <c r="X2875" s="1">
        <f t="shared" si="88"/>
        <v>0</v>
      </c>
      <c r="Y2875" s="1">
        <f t="shared" si="89"/>
        <v>15</v>
      </c>
    </row>
    <row r="2876" spans="24:25" x14ac:dyDescent="0.3">
      <c r="X2876" s="1">
        <f t="shared" si="88"/>
        <v>0</v>
      </c>
      <c r="Y2876" s="1">
        <f t="shared" si="89"/>
        <v>15</v>
      </c>
    </row>
    <row r="2877" spans="24:25" x14ac:dyDescent="0.3">
      <c r="X2877" s="1">
        <f t="shared" si="88"/>
        <v>0</v>
      </c>
      <c r="Y2877" s="1">
        <f t="shared" si="89"/>
        <v>15</v>
      </c>
    </row>
    <row r="2878" spans="24:25" x14ac:dyDescent="0.3">
      <c r="X2878" s="1">
        <f t="shared" si="88"/>
        <v>0</v>
      </c>
      <c r="Y2878" s="1">
        <f t="shared" si="89"/>
        <v>15</v>
      </c>
    </row>
    <row r="2879" spans="24:25" x14ac:dyDescent="0.3">
      <c r="X2879" s="1">
        <f t="shared" si="88"/>
        <v>0</v>
      </c>
      <c r="Y2879" s="1">
        <f t="shared" si="89"/>
        <v>15</v>
      </c>
    </row>
    <row r="2880" spans="24:25" x14ac:dyDescent="0.3">
      <c r="X2880" s="1">
        <f t="shared" si="88"/>
        <v>0</v>
      </c>
      <c r="Y2880" s="1">
        <f t="shared" si="89"/>
        <v>15</v>
      </c>
    </row>
    <row r="2881" spans="24:25" x14ac:dyDescent="0.3">
      <c r="X2881" s="1">
        <f t="shared" si="88"/>
        <v>0</v>
      </c>
      <c r="Y2881" s="1">
        <f t="shared" si="89"/>
        <v>15</v>
      </c>
    </row>
    <row r="2882" spans="24:25" x14ac:dyDescent="0.3">
      <c r="X2882" s="1">
        <f t="shared" si="88"/>
        <v>0</v>
      </c>
      <c r="Y2882" s="1">
        <f t="shared" si="89"/>
        <v>15</v>
      </c>
    </row>
    <row r="2883" spans="24:25" x14ac:dyDescent="0.3">
      <c r="X2883" s="1">
        <f t="shared" ref="X2883:X2946" si="90">IFERROR(MATCH(W2883,$B:$B,0),0)</f>
        <v>0</v>
      </c>
      <c r="Y2883" s="1">
        <f t="shared" ref="Y2883:Y2946" si="91">IF(X2884=0,COUNTA(A:A),X2884-1)</f>
        <v>15</v>
      </c>
    </row>
    <row r="2884" spans="24:25" x14ac:dyDescent="0.3">
      <c r="X2884" s="1">
        <f t="shared" si="90"/>
        <v>0</v>
      </c>
      <c r="Y2884" s="1">
        <f t="shared" si="91"/>
        <v>15</v>
      </c>
    </row>
    <row r="2885" spans="24:25" x14ac:dyDescent="0.3">
      <c r="X2885" s="1">
        <f t="shared" si="90"/>
        <v>0</v>
      </c>
      <c r="Y2885" s="1">
        <f t="shared" si="91"/>
        <v>15</v>
      </c>
    </row>
    <row r="2886" spans="24:25" x14ac:dyDescent="0.3">
      <c r="X2886" s="1">
        <f t="shared" si="90"/>
        <v>0</v>
      </c>
      <c r="Y2886" s="1">
        <f t="shared" si="91"/>
        <v>15</v>
      </c>
    </row>
    <row r="2887" spans="24:25" x14ac:dyDescent="0.3">
      <c r="X2887" s="1">
        <f t="shared" si="90"/>
        <v>0</v>
      </c>
      <c r="Y2887" s="1">
        <f t="shared" si="91"/>
        <v>15</v>
      </c>
    </row>
    <row r="2888" spans="24:25" x14ac:dyDescent="0.3">
      <c r="X2888" s="1">
        <f t="shared" si="90"/>
        <v>0</v>
      </c>
      <c r="Y2888" s="1">
        <f t="shared" si="91"/>
        <v>15</v>
      </c>
    </row>
    <row r="2889" spans="24:25" x14ac:dyDescent="0.3">
      <c r="X2889" s="1">
        <f t="shared" si="90"/>
        <v>0</v>
      </c>
      <c r="Y2889" s="1">
        <f t="shared" si="91"/>
        <v>15</v>
      </c>
    </row>
    <row r="2890" spans="24:25" x14ac:dyDescent="0.3">
      <c r="X2890" s="1">
        <f t="shared" si="90"/>
        <v>0</v>
      </c>
      <c r="Y2890" s="1">
        <f t="shared" si="91"/>
        <v>15</v>
      </c>
    </row>
    <row r="2891" spans="24:25" x14ac:dyDescent="0.3">
      <c r="X2891" s="1">
        <f t="shared" si="90"/>
        <v>0</v>
      </c>
      <c r="Y2891" s="1">
        <f t="shared" si="91"/>
        <v>15</v>
      </c>
    </row>
    <row r="2892" spans="24:25" x14ac:dyDescent="0.3">
      <c r="X2892" s="1">
        <f t="shared" si="90"/>
        <v>0</v>
      </c>
      <c r="Y2892" s="1">
        <f t="shared" si="91"/>
        <v>15</v>
      </c>
    </row>
    <row r="2893" spans="24:25" x14ac:dyDescent="0.3">
      <c r="X2893" s="1">
        <f t="shared" si="90"/>
        <v>0</v>
      </c>
      <c r="Y2893" s="1">
        <f t="shared" si="91"/>
        <v>15</v>
      </c>
    </row>
    <row r="2894" spans="24:25" x14ac:dyDescent="0.3">
      <c r="X2894" s="1">
        <f t="shared" si="90"/>
        <v>0</v>
      </c>
      <c r="Y2894" s="1">
        <f t="shared" si="91"/>
        <v>15</v>
      </c>
    </row>
    <row r="2895" spans="24:25" x14ac:dyDescent="0.3">
      <c r="X2895" s="1">
        <f t="shared" si="90"/>
        <v>0</v>
      </c>
      <c r="Y2895" s="1">
        <f t="shared" si="91"/>
        <v>15</v>
      </c>
    </row>
    <row r="2896" spans="24:25" x14ac:dyDescent="0.3">
      <c r="X2896" s="1">
        <f t="shared" si="90"/>
        <v>0</v>
      </c>
      <c r="Y2896" s="1">
        <f t="shared" si="91"/>
        <v>15</v>
      </c>
    </row>
    <row r="2897" spans="24:25" x14ac:dyDescent="0.3">
      <c r="X2897" s="1">
        <f t="shared" si="90"/>
        <v>0</v>
      </c>
      <c r="Y2897" s="1">
        <f t="shared" si="91"/>
        <v>15</v>
      </c>
    </row>
    <row r="2898" spans="24:25" x14ac:dyDescent="0.3">
      <c r="X2898" s="1">
        <f t="shared" si="90"/>
        <v>0</v>
      </c>
      <c r="Y2898" s="1">
        <f t="shared" si="91"/>
        <v>15</v>
      </c>
    </row>
    <row r="2899" spans="24:25" x14ac:dyDescent="0.3">
      <c r="X2899" s="1">
        <f t="shared" si="90"/>
        <v>0</v>
      </c>
      <c r="Y2899" s="1">
        <f t="shared" si="91"/>
        <v>15</v>
      </c>
    </row>
    <row r="2900" spans="24:25" x14ac:dyDescent="0.3">
      <c r="X2900" s="1">
        <f t="shared" si="90"/>
        <v>0</v>
      </c>
      <c r="Y2900" s="1">
        <f t="shared" si="91"/>
        <v>15</v>
      </c>
    </row>
    <row r="2901" spans="24:25" x14ac:dyDescent="0.3">
      <c r="X2901" s="1">
        <f t="shared" si="90"/>
        <v>0</v>
      </c>
      <c r="Y2901" s="1">
        <f t="shared" si="91"/>
        <v>15</v>
      </c>
    </row>
    <row r="2902" spans="24:25" x14ac:dyDescent="0.3">
      <c r="X2902" s="1">
        <f t="shared" si="90"/>
        <v>0</v>
      </c>
      <c r="Y2902" s="1">
        <f t="shared" si="91"/>
        <v>15</v>
      </c>
    </row>
    <row r="2903" spans="24:25" x14ac:dyDescent="0.3">
      <c r="X2903" s="1">
        <f t="shared" si="90"/>
        <v>0</v>
      </c>
      <c r="Y2903" s="1">
        <f t="shared" si="91"/>
        <v>15</v>
      </c>
    </row>
    <row r="2904" spans="24:25" x14ac:dyDescent="0.3">
      <c r="X2904" s="1">
        <f t="shared" si="90"/>
        <v>0</v>
      </c>
      <c r="Y2904" s="1">
        <f t="shared" si="91"/>
        <v>15</v>
      </c>
    </row>
    <row r="2905" spans="24:25" x14ac:dyDescent="0.3">
      <c r="X2905" s="1">
        <f t="shared" si="90"/>
        <v>0</v>
      </c>
      <c r="Y2905" s="1">
        <f t="shared" si="91"/>
        <v>15</v>
      </c>
    </row>
    <row r="2906" spans="24:25" x14ac:dyDescent="0.3">
      <c r="X2906" s="1">
        <f t="shared" si="90"/>
        <v>0</v>
      </c>
      <c r="Y2906" s="1">
        <f t="shared" si="91"/>
        <v>15</v>
      </c>
    </row>
    <row r="2907" spans="24:25" x14ac:dyDescent="0.3">
      <c r="X2907" s="1">
        <f t="shared" si="90"/>
        <v>0</v>
      </c>
      <c r="Y2907" s="1">
        <f t="shared" si="91"/>
        <v>15</v>
      </c>
    </row>
    <row r="2908" spans="24:25" x14ac:dyDescent="0.3">
      <c r="X2908" s="1">
        <f t="shared" si="90"/>
        <v>0</v>
      </c>
      <c r="Y2908" s="1">
        <f t="shared" si="91"/>
        <v>15</v>
      </c>
    </row>
    <row r="2909" spans="24:25" x14ac:dyDescent="0.3">
      <c r="X2909" s="1">
        <f t="shared" si="90"/>
        <v>0</v>
      </c>
      <c r="Y2909" s="1">
        <f t="shared" si="91"/>
        <v>15</v>
      </c>
    </row>
    <row r="2910" spans="24:25" x14ac:dyDescent="0.3">
      <c r="X2910" s="1">
        <f t="shared" si="90"/>
        <v>0</v>
      </c>
      <c r="Y2910" s="1">
        <f t="shared" si="91"/>
        <v>15</v>
      </c>
    </row>
    <row r="2911" spans="24:25" x14ac:dyDescent="0.3">
      <c r="X2911" s="1">
        <f t="shared" si="90"/>
        <v>0</v>
      </c>
      <c r="Y2911" s="1">
        <f t="shared" si="91"/>
        <v>15</v>
      </c>
    </row>
    <row r="2912" spans="24:25" x14ac:dyDescent="0.3">
      <c r="X2912" s="1">
        <f t="shared" si="90"/>
        <v>0</v>
      </c>
      <c r="Y2912" s="1">
        <f t="shared" si="91"/>
        <v>15</v>
      </c>
    </row>
    <row r="2913" spans="24:25" x14ac:dyDescent="0.3">
      <c r="X2913" s="1">
        <f t="shared" si="90"/>
        <v>0</v>
      </c>
      <c r="Y2913" s="1">
        <f t="shared" si="91"/>
        <v>15</v>
      </c>
    </row>
    <row r="2914" spans="24:25" x14ac:dyDescent="0.3">
      <c r="X2914" s="1">
        <f t="shared" si="90"/>
        <v>0</v>
      </c>
      <c r="Y2914" s="1">
        <f t="shared" si="91"/>
        <v>15</v>
      </c>
    </row>
    <row r="2915" spans="24:25" x14ac:dyDescent="0.3">
      <c r="X2915" s="1">
        <f t="shared" si="90"/>
        <v>0</v>
      </c>
      <c r="Y2915" s="1">
        <f t="shared" si="91"/>
        <v>15</v>
      </c>
    </row>
    <row r="2916" spans="24:25" x14ac:dyDescent="0.3">
      <c r="X2916" s="1">
        <f t="shared" si="90"/>
        <v>0</v>
      </c>
      <c r="Y2916" s="1">
        <f t="shared" si="91"/>
        <v>15</v>
      </c>
    </row>
    <row r="2917" spans="24:25" x14ac:dyDescent="0.3">
      <c r="X2917" s="1">
        <f t="shared" si="90"/>
        <v>0</v>
      </c>
      <c r="Y2917" s="1">
        <f t="shared" si="91"/>
        <v>15</v>
      </c>
    </row>
    <row r="2918" spans="24:25" x14ac:dyDescent="0.3">
      <c r="X2918" s="1">
        <f t="shared" si="90"/>
        <v>0</v>
      </c>
      <c r="Y2918" s="1">
        <f t="shared" si="91"/>
        <v>15</v>
      </c>
    </row>
    <row r="2919" spans="24:25" x14ac:dyDescent="0.3">
      <c r="X2919" s="1">
        <f t="shared" si="90"/>
        <v>0</v>
      </c>
      <c r="Y2919" s="1">
        <f t="shared" si="91"/>
        <v>15</v>
      </c>
    </row>
    <row r="2920" spans="24:25" x14ac:dyDescent="0.3">
      <c r="X2920" s="1">
        <f t="shared" si="90"/>
        <v>0</v>
      </c>
      <c r="Y2920" s="1">
        <f t="shared" si="91"/>
        <v>15</v>
      </c>
    </row>
    <row r="2921" spans="24:25" x14ac:dyDescent="0.3">
      <c r="X2921" s="1">
        <f t="shared" si="90"/>
        <v>0</v>
      </c>
      <c r="Y2921" s="1">
        <f t="shared" si="91"/>
        <v>15</v>
      </c>
    </row>
    <row r="2922" spans="24:25" x14ac:dyDescent="0.3">
      <c r="X2922" s="1">
        <f t="shared" si="90"/>
        <v>0</v>
      </c>
      <c r="Y2922" s="1">
        <f t="shared" si="91"/>
        <v>15</v>
      </c>
    </row>
    <row r="2923" spans="24:25" x14ac:dyDescent="0.3">
      <c r="X2923" s="1">
        <f t="shared" si="90"/>
        <v>0</v>
      </c>
      <c r="Y2923" s="1">
        <f t="shared" si="91"/>
        <v>15</v>
      </c>
    </row>
    <row r="2924" spans="24:25" x14ac:dyDescent="0.3">
      <c r="X2924" s="1">
        <f t="shared" si="90"/>
        <v>0</v>
      </c>
      <c r="Y2924" s="1">
        <f t="shared" si="91"/>
        <v>15</v>
      </c>
    </row>
    <row r="2925" spans="24:25" x14ac:dyDescent="0.3">
      <c r="X2925" s="1">
        <f t="shared" si="90"/>
        <v>0</v>
      </c>
      <c r="Y2925" s="1">
        <f t="shared" si="91"/>
        <v>15</v>
      </c>
    </row>
    <row r="2926" spans="24:25" x14ac:dyDescent="0.3">
      <c r="X2926" s="1">
        <f t="shared" si="90"/>
        <v>0</v>
      </c>
      <c r="Y2926" s="1">
        <f t="shared" si="91"/>
        <v>15</v>
      </c>
    </row>
    <row r="2927" spans="24:25" x14ac:dyDescent="0.3">
      <c r="X2927" s="1">
        <f t="shared" si="90"/>
        <v>0</v>
      </c>
      <c r="Y2927" s="1">
        <f t="shared" si="91"/>
        <v>15</v>
      </c>
    </row>
    <row r="2928" spans="24:25" x14ac:dyDescent="0.3">
      <c r="X2928" s="1">
        <f t="shared" si="90"/>
        <v>0</v>
      </c>
      <c r="Y2928" s="1">
        <f t="shared" si="91"/>
        <v>15</v>
      </c>
    </row>
    <row r="2929" spans="24:25" x14ac:dyDescent="0.3">
      <c r="X2929" s="1">
        <f t="shared" si="90"/>
        <v>0</v>
      </c>
      <c r="Y2929" s="1">
        <f t="shared" si="91"/>
        <v>15</v>
      </c>
    </row>
    <row r="2930" spans="24:25" x14ac:dyDescent="0.3">
      <c r="X2930" s="1">
        <f t="shared" si="90"/>
        <v>0</v>
      </c>
      <c r="Y2930" s="1">
        <f t="shared" si="91"/>
        <v>15</v>
      </c>
    </row>
    <row r="2931" spans="24:25" x14ac:dyDescent="0.3">
      <c r="X2931" s="1">
        <f t="shared" si="90"/>
        <v>0</v>
      </c>
      <c r="Y2931" s="1">
        <f t="shared" si="91"/>
        <v>15</v>
      </c>
    </row>
    <row r="2932" spans="24:25" x14ac:dyDescent="0.3">
      <c r="X2932" s="1">
        <f t="shared" si="90"/>
        <v>0</v>
      </c>
      <c r="Y2932" s="1">
        <f t="shared" si="91"/>
        <v>15</v>
      </c>
    </row>
    <row r="2933" spans="24:25" x14ac:dyDescent="0.3">
      <c r="X2933" s="1">
        <f t="shared" si="90"/>
        <v>0</v>
      </c>
      <c r="Y2933" s="1">
        <f t="shared" si="91"/>
        <v>15</v>
      </c>
    </row>
    <row r="2934" spans="24:25" x14ac:dyDescent="0.3">
      <c r="X2934" s="1">
        <f t="shared" si="90"/>
        <v>0</v>
      </c>
      <c r="Y2934" s="1">
        <f t="shared" si="91"/>
        <v>15</v>
      </c>
    </row>
    <row r="2935" spans="24:25" x14ac:dyDescent="0.3">
      <c r="X2935" s="1">
        <f t="shared" si="90"/>
        <v>0</v>
      </c>
      <c r="Y2935" s="1">
        <f t="shared" si="91"/>
        <v>15</v>
      </c>
    </row>
    <row r="2936" spans="24:25" x14ac:dyDescent="0.3">
      <c r="X2936" s="1">
        <f t="shared" si="90"/>
        <v>0</v>
      </c>
      <c r="Y2936" s="1">
        <f t="shared" si="91"/>
        <v>15</v>
      </c>
    </row>
    <row r="2937" spans="24:25" x14ac:dyDescent="0.3">
      <c r="X2937" s="1">
        <f t="shared" si="90"/>
        <v>0</v>
      </c>
      <c r="Y2937" s="1">
        <f t="shared" si="91"/>
        <v>15</v>
      </c>
    </row>
    <row r="2938" spans="24:25" x14ac:dyDescent="0.3">
      <c r="X2938" s="1">
        <f t="shared" si="90"/>
        <v>0</v>
      </c>
      <c r="Y2938" s="1">
        <f t="shared" si="91"/>
        <v>15</v>
      </c>
    </row>
    <row r="2939" spans="24:25" x14ac:dyDescent="0.3">
      <c r="X2939" s="1">
        <f t="shared" si="90"/>
        <v>0</v>
      </c>
      <c r="Y2939" s="1">
        <f t="shared" si="91"/>
        <v>15</v>
      </c>
    </row>
    <row r="2940" spans="24:25" x14ac:dyDescent="0.3">
      <c r="X2940" s="1">
        <f t="shared" si="90"/>
        <v>0</v>
      </c>
      <c r="Y2940" s="1">
        <f t="shared" si="91"/>
        <v>15</v>
      </c>
    </row>
    <row r="2941" spans="24:25" x14ac:dyDescent="0.3">
      <c r="X2941" s="1">
        <f t="shared" si="90"/>
        <v>0</v>
      </c>
      <c r="Y2941" s="1">
        <f t="shared" si="91"/>
        <v>15</v>
      </c>
    </row>
    <row r="2942" spans="24:25" x14ac:dyDescent="0.3">
      <c r="X2942" s="1">
        <f t="shared" si="90"/>
        <v>0</v>
      </c>
      <c r="Y2942" s="1">
        <f t="shared" si="91"/>
        <v>15</v>
      </c>
    </row>
    <row r="2943" spans="24:25" x14ac:dyDescent="0.3">
      <c r="X2943" s="1">
        <f t="shared" si="90"/>
        <v>0</v>
      </c>
      <c r="Y2943" s="1">
        <f t="shared" si="91"/>
        <v>15</v>
      </c>
    </row>
    <row r="2944" spans="24:25" x14ac:dyDescent="0.3">
      <c r="X2944" s="1">
        <f t="shared" si="90"/>
        <v>0</v>
      </c>
      <c r="Y2944" s="1">
        <f t="shared" si="91"/>
        <v>15</v>
      </c>
    </row>
    <row r="2945" spans="24:25" x14ac:dyDescent="0.3">
      <c r="X2945" s="1">
        <f t="shared" si="90"/>
        <v>0</v>
      </c>
      <c r="Y2945" s="1">
        <f t="shared" si="91"/>
        <v>15</v>
      </c>
    </row>
    <row r="2946" spans="24:25" x14ac:dyDescent="0.3">
      <c r="X2946" s="1">
        <f t="shared" si="90"/>
        <v>0</v>
      </c>
      <c r="Y2946" s="1">
        <f t="shared" si="91"/>
        <v>15</v>
      </c>
    </row>
    <row r="2947" spans="24:25" x14ac:dyDescent="0.3">
      <c r="X2947" s="1">
        <f t="shared" ref="X2947:X3010" si="92">IFERROR(MATCH(W2947,$B:$B,0),0)</f>
        <v>0</v>
      </c>
      <c r="Y2947" s="1">
        <f t="shared" ref="Y2947:Y3010" si="93">IF(X2948=0,COUNTA(A:A),X2948-1)</f>
        <v>15</v>
      </c>
    </row>
    <row r="2948" spans="24:25" x14ac:dyDescent="0.3">
      <c r="X2948" s="1">
        <f t="shared" si="92"/>
        <v>0</v>
      </c>
      <c r="Y2948" s="1">
        <f t="shared" si="93"/>
        <v>15</v>
      </c>
    </row>
    <row r="2949" spans="24:25" x14ac:dyDescent="0.3">
      <c r="X2949" s="1">
        <f t="shared" si="92"/>
        <v>0</v>
      </c>
      <c r="Y2949" s="1">
        <f t="shared" si="93"/>
        <v>15</v>
      </c>
    </row>
    <row r="2950" spans="24:25" x14ac:dyDescent="0.3">
      <c r="X2950" s="1">
        <f t="shared" si="92"/>
        <v>0</v>
      </c>
      <c r="Y2950" s="1">
        <f t="shared" si="93"/>
        <v>15</v>
      </c>
    </row>
    <row r="2951" spans="24:25" x14ac:dyDescent="0.3">
      <c r="X2951" s="1">
        <f t="shared" si="92"/>
        <v>0</v>
      </c>
      <c r="Y2951" s="1">
        <f t="shared" si="93"/>
        <v>15</v>
      </c>
    </row>
    <row r="2952" spans="24:25" x14ac:dyDescent="0.3">
      <c r="X2952" s="1">
        <f t="shared" si="92"/>
        <v>0</v>
      </c>
      <c r="Y2952" s="1">
        <f t="shared" si="93"/>
        <v>15</v>
      </c>
    </row>
    <row r="2953" spans="24:25" x14ac:dyDescent="0.3">
      <c r="X2953" s="1">
        <f t="shared" si="92"/>
        <v>0</v>
      </c>
      <c r="Y2953" s="1">
        <f t="shared" si="93"/>
        <v>15</v>
      </c>
    </row>
    <row r="2954" spans="24:25" x14ac:dyDescent="0.3">
      <c r="X2954" s="1">
        <f t="shared" si="92"/>
        <v>0</v>
      </c>
      <c r="Y2954" s="1">
        <f t="shared" si="93"/>
        <v>15</v>
      </c>
    </row>
    <row r="2955" spans="24:25" x14ac:dyDescent="0.3">
      <c r="X2955" s="1">
        <f t="shared" si="92"/>
        <v>0</v>
      </c>
      <c r="Y2955" s="1">
        <f t="shared" si="93"/>
        <v>15</v>
      </c>
    </row>
    <row r="2956" spans="24:25" x14ac:dyDescent="0.3">
      <c r="X2956" s="1">
        <f t="shared" si="92"/>
        <v>0</v>
      </c>
      <c r="Y2956" s="1">
        <f t="shared" si="93"/>
        <v>15</v>
      </c>
    </row>
    <row r="2957" spans="24:25" x14ac:dyDescent="0.3">
      <c r="X2957" s="1">
        <f t="shared" si="92"/>
        <v>0</v>
      </c>
      <c r="Y2957" s="1">
        <f t="shared" si="93"/>
        <v>15</v>
      </c>
    </row>
    <row r="2958" spans="24:25" x14ac:dyDescent="0.3">
      <c r="X2958" s="1">
        <f t="shared" si="92"/>
        <v>0</v>
      </c>
      <c r="Y2958" s="1">
        <f t="shared" si="93"/>
        <v>15</v>
      </c>
    </row>
    <row r="2959" spans="24:25" x14ac:dyDescent="0.3">
      <c r="X2959" s="1">
        <f t="shared" si="92"/>
        <v>0</v>
      </c>
      <c r="Y2959" s="1">
        <f t="shared" si="93"/>
        <v>15</v>
      </c>
    </row>
    <row r="2960" spans="24:25" x14ac:dyDescent="0.3">
      <c r="X2960" s="1">
        <f t="shared" si="92"/>
        <v>0</v>
      </c>
      <c r="Y2960" s="1">
        <f t="shared" si="93"/>
        <v>15</v>
      </c>
    </row>
    <row r="2961" spans="24:25" x14ac:dyDescent="0.3">
      <c r="X2961" s="1">
        <f t="shared" si="92"/>
        <v>0</v>
      </c>
      <c r="Y2961" s="1">
        <f t="shared" si="93"/>
        <v>15</v>
      </c>
    </row>
    <row r="2962" spans="24:25" x14ac:dyDescent="0.3">
      <c r="X2962" s="1">
        <f t="shared" si="92"/>
        <v>0</v>
      </c>
      <c r="Y2962" s="1">
        <f t="shared" si="93"/>
        <v>15</v>
      </c>
    </row>
    <row r="2963" spans="24:25" x14ac:dyDescent="0.3">
      <c r="X2963" s="1">
        <f t="shared" si="92"/>
        <v>0</v>
      </c>
      <c r="Y2963" s="1">
        <f t="shared" si="93"/>
        <v>15</v>
      </c>
    </row>
    <row r="2964" spans="24:25" x14ac:dyDescent="0.3">
      <c r="X2964" s="1">
        <f t="shared" si="92"/>
        <v>0</v>
      </c>
      <c r="Y2964" s="1">
        <f t="shared" si="93"/>
        <v>15</v>
      </c>
    </row>
    <row r="2965" spans="24:25" x14ac:dyDescent="0.3">
      <c r="X2965" s="1">
        <f t="shared" si="92"/>
        <v>0</v>
      </c>
      <c r="Y2965" s="1">
        <f t="shared" si="93"/>
        <v>15</v>
      </c>
    </row>
    <row r="2966" spans="24:25" x14ac:dyDescent="0.3">
      <c r="X2966" s="1">
        <f t="shared" si="92"/>
        <v>0</v>
      </c>
      <c r="Y2966" s="1">
        <f t="shared" si="93"/>
        <v>15</v>
      </c>
    </row>
    <row r="2967" spans="24:25" x14ac:dyDescent="0.3">
      <c r="X2967" s="1">
        <f t="shared" si="92"/>
        <v>0</v>
      </c>
      <c r="Y2967" s="1">
        <f t="shared" si="93"/>
        <v>15</v>
      </c>
    </row>
    <row r="2968" spans="24:25" x14ac:dyDescent="0.3">
      <c r="X2968" s="1">
        <f t="shared" si="92"/>
        <v>0</v>
      </c>
      <c r="Y2968" s="1">
        <f t="shared" si="93"/>
        <v>15</v>
      </c>
    </row>
    <row r="2969" spans="24:25" x14ac:dyDescent="0.3">
      <c r="X2969" s="1">
        <f t="shared" si="92"/>
        <v>0</v>
      </c>
      <c r="Y2969" s="1">
        <f t="shared" si="93"/>
        <v>15</v>
      </c>
    </row>
    <row r="2970" spans="24:25" x14ac:dyDescent="0.3">
      <c r="X2970" s="1">
        <f t="shared" si="92"/>
        <v>0</v>
      </c>
      <c r="Y2970" s="1">
        <f t="shared" si="93"/>
        <v>15</v>
      </c>
    </row>
    <row r="2971" spans="24:25" x14ac:dyDescent="0.3">
      <c r="X2971" s="1">
        <f t="shared" si="92"/>
        <v>0</v>
      </c>
      <c r="Y2971" s="1">
        <f t="shared" si="93"/>
        <v>15</v>
      </c>
    </row>
    <row r="2972" spans="24:25" x14ac:dyDescent="0.3">
      <c r="X2972" s="1">
        <f t="shared" si="92"/>
        <v>0</v>
      </c>
      <c r="Y2972" s="1">
        <f t="shared" si="93"/>
        <v>15</v>
      </c>
    </row>
    <row r="2973" spans="24:25" x14ac:dyDescent="0.3">
      <c r="X2973" s="1">
        <f t="shared" si="92"/>
        <v>0</v>
      </c>
      <c r="Y2973" s="1">
        <f t="shared" si="93"/>
        <v>15</v>
      </c>
    </row>
    <row r="2974" spans="24:25" x14ac:dyDescent="0.3">
      <c r="X2974" s="1">
        <f t="shared" si="92"/>
        <v>0</v>
      </c>
      <c r="Y2974" s="1">
        <f t="shared" si="93"/>
        <v>15</v>
      </c>
    </row>
    <row r="2975" spans="24:25" x14ac:dyDescent="0.3">
      <c r="X2975" s="1">
        <f t="shared" si="92"/>
        <v>0</v>
      </c>
      <c r="Y2975" s="1">
        <f t="shared" si="93"/>
        <v>15</v>
      </c>
    </row>
    <row r="2976" spans="24:25" x14ac:dyDescent="0.3">
      <c r="X2976" s="1">
        <f t="shared" si="92"/>
        <v>0</v>
      </c>
      <c r="Y2976" s="1">
        <f t="shared" si="93"/>
        <v>15</v>
      </c>
    </row>
    <row r="2977" spans="24:25" x14ac:dyDescent="0.3">
      <c r="X2977" s="1">
        <f t="shared" si="92"/>
        <v>0</v>
      </c>
      <c r="Y2977" s="1">
        <f t="shared" si="93"/>
        <v>15</v>
      </c>
    </row>
    <row r="2978" spans="24:25" x14ac:dyDescent="0.3">
      <c r="X2978" s="1">
        <f t="shared" si="92"/>
        <v>0</v>
      </c>
      <c r="Y2978" s="1">
        <f t="shared" si="93"/>
        <v>15</v>
      </c>
    </row>
    <row r="2979" spans="24:25" x14ac:dyDescent="0.3">
      <c r="X2979" s="1">
        <f t="shared" si="92"/>
        <v>0</v>
      </c>
      <c r="Y2979" s="1">
        <f t="shared" si="93"/>
        <v>15</v>
      </c>
    </row>
    <row r="2980" spans="24:25" x14ac:dyDescent="0.3">
      <c r="X2980" s="1">
        <f t="shared" si="92"/>
        <v>0</v>
      </c>
      <c r="Y2980" s="1">
        <f t="shared" si="93"/>
        <v>15</v>
      </c>
    </row>
    <row r="2981" spans="24:25" x14ac:dyDescent="0.3">
      <c r="X2981" s="1">
        <f t="shared" si="92"/>
        <v>0</v>
      </c>
      <c r="Y2981" s="1">
        <f t="shared" si="93"/>
        <v>15</v>
      </c>
    </row>
    <row r="2982" spans="24:25" x14ac:dyDescent="0.3">
      <c r="X2982" s="1">
        <f t="shared" si="92"/>
        <v>0</v>
      </c>
      <c r="Y2982" s="1">
        <f t="shared" si="93"/>
        <v>15</v>
      </c>
    </row>
    <row r="2983" spans="24:25" x14ac:dyDescent="0.3">
      <c r="X2983" s="1">
        <f t="shared" si="92"/>
        <v>0</v>
      </c>
      <c r="Y2983" s="1">
        <f t="shared" si="93"/>
        <v>15</v>
      </c>
    </row>
    <row r="2984" spans="24:25" x14ac:dyDescent="0.3">
      <c r="X2984" s="1">
        <f t="shared" si="92"/>
        <v>0</v>
      </c>
      <c r="Y2984" s="1">
        <f t="shared" si="93"/>
        <v>15</v>
      </c>
    </row>
    <row r="2985" spans="24:25" x14ac:dyDescent="0.3">
      <c r="X2985" s="1">
        <f t="shared" si="92"/>
        <v>0</v>
      </c>
      <c r="Y2985" s="1">
        <f t="shared" si="93"/>
        <v>15</v>
      </c>
    </row>
    <row r="2986" spans="24:25" x14ac:dyDescent="0.3">
      <c r="X2986" s="1">
        <f t="shared" si="92"/>
        <v>0</v>
      </c>
      <c r="Y2986" s="1">
        <f t="shared" si="93"/>
        <v>15</v>
      </c>
    </row>
    <row r="2987" spans="24:25" x14ac:dyDescent="0.3">
      <c r="X2987" s="1">
        <f t="shared" si="92"/>
        <v>0</v>
      </c>
      <c r="Y2987" s="1">
        <f t="shared" si="93"/>
        <v>15</v>
      </c>
    </row>
    <row r="2988" spans="24:25" x14ac:dyDescent="0.3">
      <c r="X2988" s="1">
        <f t="shared" si="92"/>
        <v>0</v>
      </c>
      <c r="Y2988" s="1">
        <f t="shared" si="93"/>
        <v>15</v>
      </c>
    </row>
    <row r="2989" spans="24:25" x14ac:dyDescent="0.3">
      <c r="X2989" s="1">
        <f t="shared" si="92"/>
        <v>0</v>
      </c>
      <c r="Y2989" s="1">
        <f t="shared" si="93"/>
        <v>15</v>
      </c>
    </row>
    <row r="2990" spans="24:25" x14ac:dyDescent="0.3">
      <c r="X2990" s="1">
        <f t="shared" si="92"/>
        <v>0</v>
      </c>
      <c r="Y2990" s="1">
        <f t="shared" si="93"/>
        <v>15</v>
      </c>
    </row>
    <row r="2991" spans="24:25" x14ac:dyDescent="0.3">
      <c r="X2991" s="1">
        <f t="shared" si="92"/>
        <v>0</v>
      </c>
      <c r="Y2991" s="1">
        <f t="shared" si="93"/>
        <v>15</v>
      </c>
    </row>
    <row r="2992" spans="24:25" x14ac:dyDescent="0.3">
      <c r="X2992" s="1">
        <f t="shared" si="92"/>
        <v>0</v>
      </c>
      <c r="Y2992" s="1">
        <f t="shared" si="93"/>
        <v>15</v>
      </c>
    </row>
    <row r="2993" spans="24:25" x14ac:dyDescent="0.3">
      <c r="X2993" s="1">
        <f t="shared" si="92"/>
        <v>0</v>
      </c>
      <c r="Y2993" s="1">
        <f t="shared" si="93"/>
        <v>15</v>
      </c>
    </row>
    <row r="2994" spans="24:25" x14ac:dyDescent="0.3">
      <c r="X2994" s="1">
        <f t="shared" si="92"/>
        <v>0</v>
      </c>
      <c r="Y2994" s="1">
        <f t="shared" si="93"/>
        <v>15</v>
      </c>
    </row>
    <row r="2995" spans="24:25" x14ac:dyDescent="0.3">
      <c r="X2995" s="1">
        <f t="shared" si="92"/>
        <v>0</v>
      </c>
      <c r="Y2995" s="1">
        <f t="shared" si="93"/>
        <v>15</v>
      </c>
    </row>
    <row r="2996" spans="24:25" x14ac:dyDescent="0.3">
      <c r="X2996" s="1">
        <f t="shared" si="92"/>
        <v>0</v>
      </c>
      <c r="Y2996" s="1">
        <f t="shared" si="93"/>
        <v>15</v>
      </c>
    </row>
    <row r="2997" spans="24:25" x14ac:dyDescent="0.3">
      <c r="X2997" s="1">
        <f t="shared" si="92"/>
        <v>0</v>
      </c>
      <c r="Y2997" s="1">
        <f t="shared" si="93"/>
        <v>15</v>
      </c>
    </row>
    <row r="2998" spans="24:25" x14ac:dyDescent="0.3">
      <c r="X2998" s="1">
        <f t="shared" si="92"/>
        <v>0</v>
      </c>
      <c r="Y2998" s="1">
        <f t="shared" si="93"/>
        <v>15</v>
      </c>
    </row>
    <row r="2999" spans="24:25" x14ac:dyDescent="0.3">
      <c r="X2999" s="1">
        <f t="shared" si="92"/>
        <v>0</v>
      </c>
      <c r="Y2999" s="1">
        <f t="shared" si="93"/>
        <v>15</v>
      </c>
    </row>
    <row r="3000" spans="24:25" x14ac:dyDescent="0.3">
      <c r="X3000" s="1">
        <f t="shared" si="92"/>
        <v>0</v>
      </c>
      <c r="Y3000" s="1">
        <f t="shared" si="93"/>
        <v>15</v>
      </c>
    </row>
    <row r="3001" spans="24:25" x14ac:dyDescent="0.3">
      <c r="X3001" s="1">
        <f t="shared" si="92"/>
        <v>0</v>
      </c>
      <c r="Y3001" s="1">
        <f t="shared" si="93"/>
        <v>15</v>
      </c>
    </row>
    <row r="3002" spans="24:25" x14ac:dyDescent="0.3">
      <c r="X3002" s="1">
        <f t="shared" si="92"/>
        <v>0</v>
      </c>
      <c r="Y3002" s="1">
        <f t="shared" si="93"/>
        <v>15</v>
      </c>
    </row>
    <row r="3003" spans="24:25" x14ac:dyDescent="0.3">
      <c r="X3003" s="1">
        <f t="shared" si="92"/>
        <v>0</v>
      </c>
      <c r="Y3003" s="1">
        <f t="shared" si="93"/>
        <v>15</v>
      </c>
    </row>
    <row r="3004" spans="24:25" x14ac:dyDescent="0.3">
      <c r="X3004" s="1">
        <f t="shared" si="92"/>
        <v>0</v>
      </c>
      <c r="Y3004" s="1">
        <f t="shared" si="93"/>
        <v>15</v>
      </c>
    </row>
    <row r="3005" spans="24:25" x14ac:dyDescent="0.3">
      <c r="X3005" s="1">
        <f t="shared" si="92"/>
        <v>0</v>
      </c>
      <c r="Y3005" s="1">
        <f t="shared" si="93"/>
        <v>15</v>
      </c>
    </row>
    <row r="3006" spans="24:25" x14ac:dyDescent="0.3">
      <c r="X3006" s="1">
        <f t="shared" si="92"/>
        <v>0</v>
      </c>
      <c r="Y3006" s="1">
        <f t="shared" si="93"/>
        <v>15</v>
      </c>
    </row>
    <row r="3007" spans="24:25" x14ac:dyDescent="0.3">
      <c r="X3007" s="1">
        <f t="shared" si="92"/>
        <v>0</v>
      </c>
      <c r="Y3007" s="1">
        <f t="shared" si="93"/>
        <v>15</v>
      </c>
    </row>
    <row r="3008" spans="24:25" x14ac:dyDescent="0.3">
      <c r="X3008" s="1">
        <f t="shared" si="92"/>
        <v>0</v>
      </c>
      <c r="Y3008" s="1">
        <f t="shared" si="93"/>
        <v>15</v>
      </c>
    </row>
    <row r="3009" spans="24:25" x14ac:dyDescent="0.3">
      <c r="X3009" s="1">
        <f t="shared" si="92"/>
        <v>0</v>
      </c>
      <c r="Y3009" s="1">
        <f t="shared" si="93"/>
        <v>15</v>
      </c>
    </row>
    <row r="3010" spans="24:25" x14ac:dyDescent="0.3">
      <c r="X3010" s="1">
        <f t="shared" si="92"/>
        <v>0</v>
      </c>
      <c r="Y3010" s="1">
        <f t="shared" si="93"/>
        <v>15</v>
      </c>
    </row>
    <row r="3011" spans="24:25" x14ac:dyDescent="0.3">
      <c r="X3011" s="1">
        <f t="shared" ref="X3011:X3074" si="94">IFERROR(MATCH(W3011,$B:$B,0),0)</f>
        <v>0</v>
      </c>
      <c r="Y3011" s="1">
        <f t="shared" ref="Y3011:Y3074" si="95">IF(X3012=0,COUNTA(A:A),X3012-1)</f>
        <v>15</v>
      </c>
    </row>
    <row r="3012" spans="24:25" x14ac:dyDescent="0.3">
      <c r="X3012" s="1">
        <f t="shared" si="94"/>
        <v>0</v>
      </c>
      <c r="Y3012" s="1">
        <f t="shared" si="95"/>
        <v>15</v>
      </c>
    </row>
    <row r="3013" spans="24:25" x14ac:dyDescent="0.3">
      <c r="X3013" s="1">
        <f t="shared" si="94"/>
        <v>0</v>
      </c>
      <c r="Y3013" s="1">
        <f t="shared" si="95"/>
        <v>15</v>
      </c>
    </row>
    <row r="3014" spans="24:25" x14ac:dyDescent="0.3">
      <c r="X3014" s="1">
        <f t="shared" si="94"/>
        <v>0</v>
      </c>
      <c r="Y3014" s="1">
        <f t="shared" si="95"/>
        <v>15</v>
      </c>
    </row>
    <row r="3015" spans="24:25" x14ac:dyDescent="0.3">
      <c r="X3015" s="1">
        <f t="shared" si="94"/>
        <v>0</v>
      </c>
      <c r="Y3015" s="1">
        <f t="shared" si="95"/>
        <v>15</v>
      </c>
    </row>
    <row r="3016" spans="24:25" x14ac:dyDescent="0.3">
      <c r="X3016" s="1">
        <f t="shared" si="94"/>
        <v>0</v>
      </c>
      <c r="Y3016" s="1">
        <f t="shared" si="95"/>
        <v>15</v>
      </c>
    </row>
    <row r="3017" spans="24:25" x14ac:dyDescent="0.3">
      <c r="X3017" s="1">
        <f t="shared" si="94"/>
        <v>0</v>
      </c>
      <c r="Y3017" s="1">
        <f t="shared" si="95"/>
        <v>15</v>
      </c>
    </row>
    <row r="3018" spans="24:25" x14ac:dyDescent="0.3">
      <c r="X3018" s="1">
        <f t="shared" si="94"/>
        <v>0</v>
      </c>
      <c r="Y3018" s="1">
        <f t="shared" si="95"/>
        <v>15</v>
      </c>
    </row>
    <row r="3019" spans="24:25" x14ac:dyDescent="0.3">
      <c r="X3019" s="1">
        <f t="shared" si="94"/>
        <v>0</v>
      </c>
      <c r="Y3019" s="1">
        <f t="shared" si="95"/>
        <v>15</v>
      </c>
    </row>
    <row r="3020" spans="24:25" x14ac:dyDescent="0.3">
      <c r="X3020" s="1">
        <f t="shared" si="94"/>
        <v>0</v>
      </c>
      <c r="Y3020" s="1">
        <f t="shared" si="95"/>
        <v>15</v>
      </c>
    </row>
    <row r="3021" spans="24:25" x14ac:dyDescent="0.3">
      <c r="X3021" s="1">
        <f t="shared" si="94"/>
        <v>0</v>
      </c>
      <c r="Y3021" s="1">
        <f t="shared" si="95"/>
        <v>15</v>
      </c>
    </row>
    <row r="3022" spans="24:25" x14ac:dyDescent="0.3">
      <c r="X3022" s="1">
        <f t="shared" si="94"/>
        <v>0</v>
      </c>
      <c r="Y3022" s="1">
        <f t="shared" si="95"/>
        <v>15</v>
      </c>
    </row>
    <row r="3023" spans="24:25" x14ac:dyDescent="0.3">
      <c r="X3023" s="1">
        <f t="shared" si="94"/>
        <v>0</v>
      </c>
      <c r="Y3023" s="1">
        <f t="shared" si="95"/>
        <v>15</v>
      </c>
    </row>
    <row r="3024" spans="24:25" x14ac:dyDescent="0.3">
      <c r="X3024" s="1">
        <f t="shared" si="94"/>
        <v>0</v>
      </c>
      <c r="Y3024" s="1">
        <f t="shared" si="95"/>
        <v>15</v>
      </c>
    </row>
    <row r="3025" spans="24:25" x14ac:dyDescent="0.3">
      <c r="X3025" s="1">
        <f t="shared" si="94"/>
        <v>0</v>
      </c>
      <c r="Y3025" s="1">
        <f t="shared" si="95"/>
        <v>15</v>
      </c>
    </row>
    <row r="3026" spans="24:25" x14ac:dyDescent="0.3">
      <c r="X3026" s="1">
        <f t="shared" si="94"/>
        <v>0</v>
      </c>
      <c r="Y3026" s="1">
        <f t="shared" si="95"/>
        <v>15</v>
      </c>
    </row>
    <row r="3027" spans="24:25" x14ac:dyDescent="0.3">
      <c r="X3027" s="1">
        <f t="shared" si="94"/>
        <v>0</v>
      </c>
      <c r="Y3027" s="1">
        <f t="shared" si="95"/>
        <v>15</v>
      </c>
    </row>
    <row r="3028" spans="24:25" x14ac:dyDescent="0.3">
      <c r="X3028" s="1">
        <f t="shared" si="94"/>
        <v>0</v>
      </c>
      <c r="Y3028" s="1">
        <f t="shared" si="95"/>
        <v>15</v>
      </c>
    </row>
    <row r="3029" spans="24:25" x14ac:dyDescent="0.3">
      <c r="X3029" s="1">
        <f t="shared" si="94"/>
        <v>0</v>
      </c>
      <c r="Y3029" s="1">
        <f t="shared" si="95"/>
        <v>15</v>
      </c>
    </row>
    <row r="3030" spans="24:25" x14ac:dyDescent="0.3">
      <c r="X3030" s="1">
        <f t="shared" si="94"/>
        <v>0</v>
      </c>
      <c r="Y3030" s="1">
        <f t="shared" si="95"/>
        <v>15</v>
      </c>
    </row>
    <row r="3031" spans="24:25" x14ac:dyDescent="0.3">
      <c r="X3031" s="1">
        <f t="shared" si="94"/>
        <v>0</v>
      </c>
      <c r="Y3031" s="1">
        <f t="shared" si="95"/>
        <v>15</v>
      </c>
    </row>
    <row r="3032" spans="24:25" x14ac:dyDescent="0.3">
      <c r="X3032" s="1">
        <f t="shared" si="94"/>
        <v>0</v>
      </c>
      <c r="Y3032" s="1">
        <f t="shared" si="95"/>
        <v>15</v>
      </c>
    </row>
    <row r="3033" spans="24:25" x14ac:dyDescent="0.3">
      <c r="X3033" s="1">
        <f t="shared" si="94"/>
        <v>0</v>
      </c>
      <c r="Y3033" s="1">
        <f t="shared" si="95"/>
        <v>15</v>
      </c>
    </row>
    <row r="3034" spans="24:25" x14ac:dyDescent="0.3">
      <c r="X3034" s="1">
        <f t="shared" si="94"/>
        <v>0</v>
      </c>
      <c r="Y3034" s="1">
        <f t="shared" si="95"/>
        <v>15</v>
      </c>
    </row>
    <row r="3035" spans="24:25" x14ac:dyDescent="0.3">
      <c r="X3035" s="1">
        <f t="shared" si="94"/>
        <v>0</v>
      </c>
      <c r="Y3035" s="1">
        <f t="shared" si="95"/>
        <v>15</v>
      </c>
    </row>
    <row r="3036" spans="24:25" x14ac:dyDescent="0.3">
      <c r="X3036" s="1">
        <f t="shared" si="94"/>
        <v>0</v>
      </c>
      <c r="Y3036" s="1">
        <f t="shared" si="95"/>
        <v>15</v>
      </c>
    </row>
    <row r="3037" spans="24:25" x14ac:dyDescent="0.3">
      <c r="X3037" s="1">
        <f t="shared" si="94"/>
        <v>0</v>
      </c>
      <c r="Y3037" s="1">
        <f t="shared" si="95"/>
        <v>15</v>
      </c>
    </row>
    <row r="3038" spans="24:25" x14ac:dyDescent="0.3">
      <c r="X3038" s="1">
        <f t="shared" si="94"/>
        <v>0</v>
      </c>
      <c r="Y3038" s="1">
        <f t="shared" si="95"/>
        <v>15</v>
      </c>
    </row>
    <row r="3039" spans="24:25" x14ac:dyDescent="0.3">
      <c r="X3039" s="1">
        <f t="shared" si="94"/>
        <v>0</v>
      </c>
      <c r="Y3039" s="1">
        <f t="shared" si="95"/>
        <v>15</v>
      </c>
    </row>
    <row r="3040" spans="24:25" x14ac:dyDescent="0.3">
      <c r="X3040" s="1">
        <f t="shared" si="94"/>
        <v>0</v>
      </c>
      <c r="Y3040" s="1">
        <f t="shared" si="95"/>
        <v>15</v>
      </c>
    </row>
    <row r="3041" spans="24:25" x14ac:dyDescent="0.3">
      <c r="X3041" s="1">
        <f t="shared" si="94"/>
        <v>0</v>
      </c>
      <c r="Y3041" s="1">
        <f t="shared" si="95"/>
        <v>15</v>
      </c>
    </row>
    <row r="3042" spans="24:25" x14ac:dyDescent="0.3">
      <c r="X3042" s="1">
        <f t="shared" si="94"/>
        <v>0</v>
      </c>
      <c r="Y3042" s="1">
        <f t="shared" si="95"/>
        <v>15</v>
      </c>
    </row>
    <row r="3043" spans="24:25" x14ac:dyDescent="0.3">
      <c r="X3043" s="1">
        <f t="shared" si="94"/>
        <v>0</v>
      </c>
      <c r="Y3043" s="1">
        <f t="shared" si="95"/>
        <v>15</v>
      </c>
    </row>
    <row r="3044" spans="24:25" x14ac:dyDescent="0.3">
      <c r="X3044" s="1">
        <f t="shared" si="94"/>
        <v>0</v>
      </c>
      <c r="Y3044" s="1">
        <f t="shared" si="95"/>
        <v>15</v>
      </c>
    </row>
    <row r="3045" spans="24:25" x14ac:dyDescent="0.3">
      <c r="X3045" s="1">
        <f t="shared" si="94"/>
        <v>0</v>
      </c>
      <c r="Y3045" s="1">
        <f t="shared" si="95"/>
        <v>15</v>
      </c>
    </row>
    <row r="3046" spans="24:25" x14ac:dyDescent="0.3">
      <c r="X3046" s="1">
        <f t="shared" si="94"/>
        <v>0</v>
      </c>
      <c r="Y3046" s="1">
        <f t="shared" si="95"/>
        <v>15</v>
      </c>
    </row>
    <row r="3047" spans="24:25" x14ac:dyDescent="0.3">
      <c r="X3047" s="1">
        <f t="shared" si="94"/>
        <v>0</v>
      </c>
      <c r="Y3047" s="1">
        <f t="shared" si="95"/>
        <v>15</v>
      </c>
    </row>
    <row r="3048" spans="24:25" x14ac:dyDescent="0.3">
      <c r="X3048" s="1">
        <f t="shared" si="94"/>
        <v>0</v>
      </c>
      <c r="Y3048" s="1">
        <f t="shared" si="95"/>
        <v>15</v>
      </c>
    </row>
    <row r="3049" spans="24:25" x14ac:dyDescent="0.3">
      <c r="X3049" s="1">
        <f t="shared" si="94"/>
        <v>0</v>
      </c>
      <c r="Y3049" s="1">
        <f t="shared" si="95"/>
        <v>15</v>
      </c>
    </row>
    <row r="3050" spans="24:25" x14ac:dyDescent="0.3">
      <c r="X3050" s="1">
        <f t="shared" si="94"/>
        <v>0</v>
      </c>
      <c r="Y3050" s="1">
        <f t="shared" si="95"/>
        <v>15</v>
      </c>
    </row>
    <row r="3051" spans="24:25" x14ac:dyDescent="0.3">
      <c r="X3051" s="1">
        <f t="shared" si="94"/>
        <v>0</v>
      </c>
      <c r="Y3051" s="1">
        <f t="shared" si="95"/>
        <v>15</v>
      </c>
    </row>
    <row r="3052" spans="24:25" x14ac:dyDescent="0.3">
      <c r="X3052" s="1">
        <f t="shared" si="94"/>
        <v>0</v>
      </c>
      <c r="Y3052" s="1">
        <f t="shared" si="95"/>
        <v>15</v>
      </c>
    </row>
    <row r="3053" spans="24:25" x14ac:dyDescent="0.3">
      <c r="X3053" s="1">
        <f t="shared" si="94"/>
        <v>0</v>
      </c>
      <c r="Y3053" s="1">
        <f t="shared" si="95"/>
        <v>15</v>
      </c>
    </row>
    <row r="3054" spans="24:25" x14ac:dyDescent="0.3">
      <c r="X3054" s="1">
        <f t="shared" si="94"/>
        <v>0</v>
      </c>
      <c r="Y3054" s="1">
        <f t="shared" si="95"/>
        <v>15</v>
      </c>
    </row>
    <row r="3055" spans="24:25" x14ac:dyDescent="0.3">
      <c r="X3055" s="1">
        <f t="shared" si="94"/>
        <v>0</v>
      </c>
      <c r="Y3055" s="1">
        <f t="shared" si="95"/>
        <v>15</v>
      </c>
    </row>
    <row r="3056" spans="24:25" x14ac:dyDescent="0.3">
      <c r="X3056" s="1">
        <f t="shared" si="94"/>
        <v>0</v>
      </c>
      <c r="Y3056" s="1">
        <f t="shared" si="95"/>
        <v>15</v>
      </c>
    </row>
    <row r="3057" spans="24:25" x14ac:dyDescent="0.3">
      <c r="X3057" s="1">
        <f t="shared" si="94"/>
        <v>0</v>
      </c>
      <c r="Y3057" s="1">
        <f t="shared" si="95"/>
        <v>15</v>
      </c>
    </row>
    <row r="3058" spans="24:25" x14ac:dyDescent="0.3">
      <c r="X3058" s="1">
        <f t="shared" si="94"/>
        <v>0</v>
      </c>
      <c r="Y3058" s="1">
        <f t="shared" si="95"/>
        <v>15</v>
      </c>
    </row>
    <row r="3059" spans="24:25" x14ac:dyDescent="0.3">
      <c r="X3059" s="1">
        <f t="shared" si="94"/>
        <v>0</v>
      </c>
      <c r="Y3059" s="1">
        <f t="shared" si="95"/>
        <v>15</v>
      </c>
    </row>
    <row r="3060" spans="24:25" x14ac:dyDescent="0.3">
      <c r="X3060" s="1">
        <f t="shared" si="94"/>
        <v>0</v>
      </c>
      <c r="Y3060" s="1">
        <f t="shared" si="95"/>
        <v>15</v>
      </c>
    </row>
    <row r="3061" spans="24:25" x14ac:dyDescent="0.3">
      <c r="X3061" s="1">
        <f t="shared" si="94"/>
        <v>0</v>
      </c>
      <c r="Y3061" s="1">
        <f t="shared" si="95"/>
        <v>15</v>
      </c>
    </row>
    <row r="3062" spans="24:25" x14ac:dyDescent="0.3">
      <c r="X3062" s="1">
        <f t="shared" si="94"/>
        <v>0</v>
      </c>
      <c r="Y3062" s="1">
        <f t="shared" si="95"/>
        <v>15</v>
      </c>
    </row>
    <row r="3063" spans="24:25" x14ac:dyDescent="0.3">
      <c r="X3063" s="1">
        <f t="shared" si="94"/>
        <v>0</v>
      </c>
      <c r="Y3063" s="1">
        <f t="shared" si="95"/>
        <v>15</v>
      </c>
    </row>
    <row r="3064" spans="24:25" x14ac:dyDescent="0.3">
      <c r="X3064" s="1">
        <f t="shared" si="94"/>
        <v>0</v>
      </c>
      <c r="Y3064" s="1">
        <f t="shared" si="95"/>
        <v>15</v>
      </c>
    </row>
    <row r="3065" spans="24:25" x14ac:dyDescent="0.3">
      <c r="X3065" s="1">
        <f t="shared" si="94"/>
        <v>0</v>
      </c>
      <c r="Y3065" s="1">
        <f t="shared" si="95"/>
        <v>15</v>
      </c>
    </row>
    <row r="3066" spans="24:25" x14ac:dyDescent="0.3">
      <c r="X3066" s="1">
        <f t="shared" si="94"/>
        <v>0</v>
      </c>
      <c r="Y3066" s="1">
        <f t="shared" si="95"/>
        <v>15</v>
      </c>
    </row>
    <row r="3067" spans="24:25" x14ac:dyDescent="0.3">
      <c r="X3067" s="1">
        <f t="shared" si="94"/>
        <v>0</v>
      </c>
      <c r="Y3067" s="1">
        <f t="shared" si="95"/>
        <v>15</v>
      </c>
    </row>
    <row r="3068" spans="24:25" x14ac:dyDescent="0.3">
      <c r="X3068" s="1">
        <f t="shared" si="94"/>
        <v>0</v>
      </c>
      <c r="Y3068" s="1">
        <f t="shared" si="95"/>
        <v>15</v>
      </c>
    </row>
    <row r="3069" spans="24:25" x14ac:dyDescent="0.3">
      <c r="X3069" s="1">
        <f t="shared" si="94"/>
        <v>0</v>
      </c>
      <c r="Y3069" s="1">
        <f t="shared" si="95"/>
        <v>15</v>
      </c>
    </row>
    <row r="3070" spans="24:25" x14ac:dyDescent="0.3">
      <c r="X3070" s="1">
        <f t="shared" si="94"/>
        <v>0</v>
      </c>
      <c r="Y3070" s="1">
        <f t="shared" si="95"/>
        <v>15</v>
      </c>
    </row>
    <row r="3071" spans="24:25" x14ac:dyDescent="0.3">
      <c r="X3071" s="1">
        <f t="shared" si="94"/>
        <v>0</v>
      </c>
      <c r="Y3071" s="1">
        <f t="shared" si="95"/>
        <v>15</v>
      </c>
    </row>
    <row r="3072" spans="24:25" x14ac:dyDescent="0.3">
      <c r="X3072" s="1">
        <f t="shared" si="94"/>
        <v>0</v>
      </c>
      <c r="Y3072" s="1">
        <f t="shared" si="95"/>
        <v>15</v>
      </c>
    </row>
    <row r="3073" spans="24:25" x14ac:dyDescent="0.3">
      <c r="X3073" s="1">
        <f t="shared" si="94"/>
        <v>0</v>
      </c>
      <c r="Y3073" s="1">
        <f t="shared" si="95"/>
        <v>15</v>
      </c>
    </row>
    <row r="3074" spans="24:25" x14ac:dyDescent="0.3">
      <c r="X3074" s="1">
        <f t="shared" si="94"/>
        <v>0</v>
      </c>
      <c r="Y3074" s="1">
        <f t="shared" si="95"/>
        <v>15</v>
      </c>
    </row>
    <row r="3075" spans="24:25" x14ac:dyDescent="0.3">
      <c r="X3075" s="1">
        <f t="shared" ref="X3075:X3138" si="96">IFERROR(MATCH(W3075,$B:$B,0),0)</f>
        <v>0</v>
      </c>
      <c r="Y3075" s="1">
        <f t="shared" ref="Y3075:Y3138" si="97">IF(X3076=0,COUNTA(A:A),X3076-1)</f>
        <v>15</v>
      </c>
    </row>
    <row r="3076" spans="24:25" x14ac:dyDescent="0.3">
      <c r="X3076" s="1">
        <f t="shared" si="96"/>
        <v>0</v>
      </c>
      <c r="Y3076" s="1">
        <f t="shared" si="97"/>
        <v>15</v>
      </c>
    </row>
    <row r="3077" spans="24:25" x14ac:dyDescent="0.3">
      <c r="X3077" s="1">
        <f t="shared" si="96"/>
        <v>0</v>
      </c>
      <c r="Y3077" s="1">
        <f t="shared" si="97"/>
        <v>15</v>
      </c>
    </row>
    <row r="3078" spans="24:25" x14ac:dyDescent="0.3">
      <c r="X3078" s="1">
        <f t="shared" si="96"/>
        <v>0</v>
      </c>
      <c r="Y3078" s="1">
        <f t="shared" si="97"/>
        <v>15</v>
      </c>
    </row>
    <row r="3079" spans="24:25" x14ac:dyDescent="0.3">
      <c r="X3079" s="1">
        <f t="shared" si="96"/>
        <v>0</v>
      </c>
      <c r="Y3079" s="1">
        <f t="shared" si="97"/>
        <v>15</v>
      </c>
    </row>
    <row r="3080" spans="24:25" x14ac:dyDescent="0.3">
      <c r="X3080" s="1">
        <f t="shared" si="96"/>
        <v>0</v>
      </c>
      <c r="Y3080" s="1">
        <f t="shared" si="97"/>
        <v>15</v>
      </c>
    </row>
    <row r="3081" spans="24:25" x14ac:dyDescent="0.3">
      <c r="X3081" s="1">
        <f t="shared" si="96"/>
        <v>0</v>
      </c>
      <c r="Y3081" s="1">
        <f t="shared" si="97"/>
        <v>15</v>
      </c>
    </row>
    <row r="3082" spans="24:25" x14ac:dyDescent="0.3">
      <c r="X3082" s="1">
        <f t="shared" si="96"/>
        <v>0</v>
      </c>
      <c r="Y3082" s="1">
        <f t="shared" si="97"/>
        <v>15</v>
      </c>
    </row>
    <row r="3083" spans="24:25" x14ac:dyDescent="0.3">
      <c r="X3083" s="1">
        <f t="shared" si="96"/>
        <v>0</v>
      </c>
      <c r="Y3083" s="1">
        <f t="shared" si="97"/>
        <v>15</v>
      </c>
    </row>
    <row r="3084" spans="24:25" x14ac:dyDescent="0.3">
      <c r="X3084" s="1">
        <f t="shared" si="96"/>
        <v>0</v>
      </c>
      <c r="Y3084" s="1">
        <f t="shared" si="97"/>
        <v>15</v>
      </c>
    </row>
    <row r="3085" spans="24:25" x14ac:dyDescent="0.3">
      <c r="X3085" s="1">
        <f t="shared" si="96"/>
        <v>0</v>
      </c>
      <c r="Y3085" s="1">
        <f t="shared" si="97"/>
        <v>15</v>
      </c>
    </row>
    <row r="3086" spans="24:25" x14ac:dyDescent="0.3">
      <c r="X3086" s="1">
        <f t="shared" si="96"/>
        <v>0</v>
      </c>
      <c r="Y3086" s="1">
        <f t="shared" si="97"/>
        <v>15</v>
      </c>
    </row>
    <row r="3087" spans="24:25" x14ac:dyDescent="0.3">
      <c r="X3087" s="1">
        <f t="shared" si="96"/>
        <v>0</v>
      </c>
      <c r="Y3087" s="1">
        <f t="shared" si="97"/>
        <v>15</v>
      </c>
    </row>
    <row r="3088" spans="24:25" x14ac:dyDescent="0.3">
      <c r="X3088" s="1">
        <f t="shared" si="96"/>
        <v>0</v>
      </c>
      <c r="Y3088" s="1">
        <f t="shared" si="97"/>
        <v>15</v>
      </c>
    </row>
    <row r="3089" spans="24:25" x14ac:dyDescent="0.3">
      <c r="X3089" s="1">
        <f t="shared" si="96"/>
        <v>0</v>
      </c>
      <c r="Y3089" s="1">
        <f t="shared" si="97"/>
        <v>15</v>
      </c>
    </row>
    <row r="3090" spans="24:25" x14ac:dyDescent="0.3">
      <c r="X3090" s="1">
        <f t="shared" si="96"/>
        <v>0</v>
      </c>
      <c r="Y3090" s="1">
        <f t="shared" si="97"/>
        <v>15</v>
      </c>
    </row>
    <row r="3091" spans="24:25" x14ac:dyDescent="0.3">
      <c r="X3091" s="1">
        <f t="shared" si="96"/>
        <v>0</v>
      </c>
      <c r="Y3091" s="1">
        <f t="shared" si="97"/>
        <v>15</v>
      </c>
    </row>
    <row r="3092" spans="24:25" x14ac:dyDescent="0.3">
      <c r="X3092" s="1">
        <f t="shared" si="96"/>
        <v>0</v>
      </c>
      <c r="Y3092" s="1">
        <f t="shared" si="97"/>
        <v>15</v>
      </c>
    </row>
    <row r="3093" spans="24:25" x14ac:dyDescent="0.3">
      <c r="X3093" s="1">
        <f t="shared" si="96"/>
        <v>0</v>
      </c>
      <c r="Y3093" s="1">
        <f t="shared" si="97"/>
        <v>15</v>
      </c>
    </row>
    <row r="3094" spans="24:25" x14ac:dyDescent="0.3">
      <c r="X3094" s="1">
        <f t="shared" si="96"/>
        <v>0</v>
      </c>
      <c r="Y3094" s="1">
        <f t="shared" si="97"/>
        <v>15</v>
      </c>
    </row>
    <row r="3095" spans="24:25" x14ac:dyDescent="0.3">
      <c r="X3095" s="1">
        <f t="shared" si="96"/>
        <v>0</v>
      </c>
      <c r="Y3095" s="1">
        <f t="shared" si="97"/>
        <v>15</v>
      </c>
    </row>
    <row r="3096" spans="24:25" x14ac:dyDescent="0.3">
      <c r="X3096" s="1">
        <f t="shared" si="96"/>
        <v>0</v>
      </c>
      <c r="Y3096" s="1">
        <f t="shared" si="97"/>
        <v>15</v>
      </c>
    </row>
    <row r="3097" spans="24:25" x14ac:dyDescent="0.3">
      <c r="X3097" s="1">
        <f t="shared" si="96"/>
        <v>0</v>
      </c>
      <c r="Y3097" s="1">
        <f t="shared" si="97"/>
        <v>15</v>
      </c>
    </row>
    <row r="3098" spans="24:25" x14ac:dyDescent="0.3">
      <c r="X3098" s="1">
        <f t="shared" si="96"/>
        <v>0</v>
      </c>
      <c r="Y3098" s="1">
        <f t="shared" si="97"/>
        <v>15</v>
      </c>
    </row>
    <row r="3099" spans="24:25" x14ac:dyDescent="0.3">
      <c r="X3099" s="1">
        <f t="shared" si="96"/>
        <v>0</v>
      </c>
      <c r="Y3099" s="1">
        <f t="shared" si="97"/>
        <v>15</v>
      </c>
    </row>
    <row r="3100" spans="24:25" x14ac:dyDescent="0.3">
      <c r="X3100" s="1">
        <f t="shared" si="96"/>
        <v>0</v>
      </c>
      <c r="Y3100" s="1">
        <f t="shared" si="97"/>
        <v>15</v>
      </c>
    </row>
    <row r="3101" spans="24:25" x14ac:dyDescent="0.3">
      <c r="X3101" s="1">
        <f t="shared" si="96"/>
        <v>0</v>
      </c>
      <c r="Y3101" s="1">
        <f t="shared" si="97"/>
        <v>15</v>
      </c>
    </row>
    <row r="3102" spans="24:25" x14ac:dyDescent="0.3">
      <c r="X3102" s="1">
        <f t="shared" si="96"/>
        <v>0</v>
      </c>
      <c r="Y3102" s="1">
        <f t="shared" si="97"/>
        <v>15</v>
      </c>
    </row>
    <row r="3103" spans="24:25" x14ac:dyDescent="0.3">
      <c r="X3103" s="1">
        <f t="shared" si="96"/>
        <v>0</v>
      </c>
      <c r="Y3103" s="1">
        <f t="shared" si="97"/>
        <v>15</v>
      </c>
    </row>
    <row r="3104" spans="24:25" x14ac:dyDescent="0.3">
      <c r="X3104" s="1">
        <f t="shared" si="96"/>
        <v>0</v>
      </c>
      <c r="Y3104" s="1">
        <f t="shared" si="97"/>
        <v>15</v>
      </c>
    </row>
    <row r="3105" spans="24:25" x14ac:dyDescent="0.3">
      <c r="X3105" s="1">
        <f t="shared" si="96"/>
        <v>0</v>
      </c>
      <c r="Y3105" s="1">
        <f t="shared" si="97"/>
        <v>15</v>
      </c>
    </row>
    <row r="3106" spans="24:25" x14ac:dyDescent="0.3">
      <c r="X3106" s="1">
        <f t="shared" si="96"/>
        <v>0</v>
      </c>
      <c r="Y3106" s="1">
        <f t="shared" si="97"/>
        <v>15</v>
      </c>
    </row>
    <row r="3107" spans="24:25" x14ac:dyDescent="0.3">
      <c r="X3107" s="1">
        <f t="shared" si="96"/>
        <v>0</v>
      </c>
      <c r="Y3107" s="1">
        <f t="shared" si="97"/>
        <v>15</v>
      </c>
    </row>
    <row r="3108" spans="24:25" x14ac:dyDescent="0.3">
      <c r="X3108" s="1">
        <f t="shared" si="96"/>
        <v>0</v>
      </c>
      <c r="Y3108" s="1">
        <f t="shared" si="97"/>
        <v>15</v>
      </c>
    </row>
    <row r="3109" spans="24:25" x14ac:dyDescent="0.3">
      <c r="X3109" s="1">
        <f t="shared" si="96"/>
        <v>0</v>
      </c>
      <c r="Y3109" s="1">
        <f t="shared" si="97"/>
        <v>15</v>
      </c>
    </row>
    <row r="3110" spans="24:25" x14ac:dyDescent="0.3">
      <c r="X3110" s="1">
        <f t="shared" si="96"/>
        <v>0</v>
      </c>
      <c r="Y3110" s="1">
        <f t="shared" si="97"/>
        <v>15</v>
      </c>
    </row>
    <row r="3111" spans="24:25" x14ac:dyDescent="0.3">
      <c r="X3111" s="1">
        <f t="shared" si="96"/>
        <v>0</v>
      </c>
      <c r="Y3111" s="1">
        <f t="shared" si="97"/>
        <v>15</v>
      </c>
    </row>
    <row r="3112" spans="24:25" x14ac:dyDescent="0.3">
      <c r="X3112" s="1">
        <f t="shared" si="96"/>
        <v>0</v>
      </c>
      <c r="Y3112" s="1">
        <f t="shared" si="97"/>
        <v>15</v>
      </c>
    </row>
    <row r="3113" spans="24:25" x14ac:dyDescent="0.3">
      <c r="X3113" s="1">
        <f t="shared" si="96"/>
        <v>0</v>
      </c>
      <c r="Y3113" s="1">
        <f t="shared" si="97"/>
        <v>15</v>
      </c>
    </row>
    <row r="3114" spans="24:25" x14ac:dyDescent="0.3">
      <c r="X3114" s="1">
        <f t="shared" si="96"/>
        <v>0</v>
      </c>
      <c r="Y3114" s="1">
        <f t="shared" si="97"/>
        <v>15</v>
      </c>
    </row>
    <row r="3115" spans="24:25" x14ac:dyDescent="0.3">
      <c r="X3115" s="1">
        <f t="shared" si="96"/>
        <v>0</v>
      </c>
      <c r="Y3115" s="1">
        <f t="shared" si="97"/>
        <v>15</v>
      </c>
    </row>
    <row r="3116" spans="24:25" x14ac:dyDescent="0.3">
      <c r="X3116" s="1">
        <f t="shared" si="96"/>
        <v>0</v>
      </c>
      <c r="Y3116" s="1">
        <f t="shared" si="97"/>
        <v>15</v>
      </c>
    </row>
    <row r="3117" spans="24:25" x14ac:dyDescent="0.3">
      <c r="X3117" s="1">
        <f t="shared" si="96"/>
        <v>0</v>
      </c>
      <c r="Y3117" s="1">
        <f t="shared" si="97"/>
        <v>15</v>
      </c>
    </row>
    <row r="3118" spans="24:25" x14ac:dyDescent="0.3">
      <c r="X3118" s="1">
        <f t="shared" si="96"/>
        <v>0</v>
      </c>
      <c r="Y3118" s="1">
        <f t="shared" si="97"/>
        <v>15</v>
      </c>
    </row>
    <row r="3119" spans="24:25" x14ac:dyDescent="0.3">
      <c r="X3119" s="1">
        <f t="shared" si="96"/>
        <v>0</v>
      </c>
      <c r="Y3119" s="1">
        <f t="shared" si="97"/>
        <v>15</v>
      </c>
    </row>
    <row r="3120" spans="24:25" x14ac:dyDescent="0.3">
      <c r="X3120" s="1">
        <f t="shared" si="96"/>
        <v>0</v>
      </c>
      <c r="Y3120" s="1">
        <f t="shared" si="97"/>
        <v>15</v>
      </c>
    </row>
    <row r="3121" spans="24:25" x14ac:dyDescent="0.3">
      <c r="X3121" s="1">
        <f t="shared" si="96"/>
        <v>0</v>
      </c>
      <c r="Y3121" s="1">
        <f t="shared" si="97"/>
        <v>15</v>
      </c>
    </row>
    <row r="3122" spans="24:25" x14ac:dyDescent="0.3">
      <c r="X3122" s="1">
        <f t="shared" si="96"/>
        <v>0</v>
      </c>
      <c r="Y3122" s="1">
        <f t="shared" si="97"/>
        <v>15</v>
      </c>
    </row>
    <row r="3123" spans="24:25" x14ac:dyDescent="0.3">
      <c r="X3123" s="1">
        <f t="shared" si="96"/>
        <v>0</v>
      </c>
      <c r="Y3123" s="1">
        <f t="shared" si="97"/>
        <v>15</v>
      </c>
    </row>
    <row r="3124" spans="24:25" x14ac:dyDescent="0.3">
      <c r="X3124" s="1">
        <f t="shared" si="96"/>
        <v>0</v>
      </c>
      <c r="Y3124" s="1">
        <f t="shared" si="97"/>
        <v>15</v>
      </c>
    </row>
    <row r="3125" spans="24:25" x14ac:dyDescent="0.3">
      <c r="X3125" s="1">
        <f t="shared" si="96"/>
        <v>0</v>
      </c>
      <c r="Y3125" s="1">
        <f t="shared" si="97"/>
        <v>15</v>
      </c>
    </row>
    <row r="3126" spans="24:25" x14ac:dyDescent="0.3">
      <c r="X3126" s="1">
        <f t="shared" si="96"/>
        <v>0</v>
      </c>
      <c r="Y3126" s="1">
        <f t="shared" si="97"/>
        <v>15</v>
      </c>
    </row>
    <row r="3127" spans="24:25" x14ac:dyDescent="0.3">
      <c r="X3127" s="1">
        <f t="shared" si="96"/>
        <v>0</v>
      </c>
      <c r="Y3127" s="1">
        <f t="shared" si="97"/>
        <v>15</v>
      </c>
    </row>
    <row r="3128" spans="24:25" x14ac:dyDescent="0.3">
      <c r="X3128" s="1">
        <f t="shared" si="96"/>
        <v>0</v>
      </c>
      <c r="Y3128" s="1">
        <f t="shared" si="97"/>
        <v>15</v>
      </c>
    </row>
    <row r="3129" spans="24:25" x14ac:dyDescent="0.3">
      <c r="X3129" s="1">
        <f t="shared" si="96"/>
        <v>0</v>
      </c>
      <c r="Y3129" s="1">
        <f t="shared" si="97"/>
        <v>15</v>
      </c>
    </row>
    <row r="3130" spans="24:25" x14ac:dyDescent="0.3">
      <c r="X3130" s="1">
        <f t="shared" si="96"/>
        <v>0</v>
      </c>
      <c r="Y3130" s="1">
        <f t="shared" si="97"/>
        <v>15</v>
      </c>
    </row>
    <row r="3131" spans="24:25" x14ac:dyDescent="0.3">
      <c r="X3131" s="1">
        <f t="shared" si="96"/>
        <v>0</v>
      </c>
      <c r="Y3131" s="1">
        <f t="shared" si="97"/>
        <v>15</v>
      </c>
    </row>
    <row r="3132" spans="24:25" x14ac:dyDescent="0.3">
      <c r="X3132" s="1">
        <f t="shared" si="96"/>
        <v>0</v>
      </c>
      <c r="Y3132" s="1">
        <f t="shared" si="97"/>
        <v>15</v>
      </c>
    </row>
    <row r="3133" spans="24:25" x14ac:dyDescent="0.3">
      <c r="X3133" s="1">
        <f t="shared" si="96"/>
        <v>0</v>
      </c>
      <c r="Y3133" s="1">
        <f t="shared" si="97"/>
        <v>15</v>
      </c>
    </row>
    <row r="3134" spans="24:25" x14ac:dyDescent="0.3">
      <c r="X3134" s="1">
        <f t="shared" si="96"/>
        <v>0</v>
      </c>
      <c r="Y3134" s="1">
        <f t="shared" si="97"/>
        <v>15</v>
      </c>
    </row>
    <row r="3135" spans="24:25" x14ac:dyDescent="0.3">
      <c r="X3135" s="1">
        <f t="shared" si="96"/>
        <v>0</v>
      </c>
      <c r="Y3135" s="1">
        <f t="shared" si="97"/>
        <v>15</v>
      </c>
    </row>
    <row r="3136" spans="24:25" x14ac:dyDescent="0.3">
      <c r="X3136" s="1">
        <f t="shared" si="96"/>
        <v>0</v>
      </c>
      <c r="Y3136" s="1">
        <f t="shared" si="97"/>
        <v>15</v>
      </c>
    </row>
    <row r="3137" spans="24:25" x14ac:dyDescent="0.3">
      <c r="X3137" s="1">
        <f t="shared" si="96"/>
        <v>0</v>
      </c>
      <c r="Y3137" s="1">
        <f t="shared" si="97"/>
        <v>15</v>
      </c>
    </row>
    <row r="3138" spans="24:25" x14ac:dyDescent="0.3">
      <c r="X3138" s="1">
        <f t="shared" si="96"/>
        <v>0</v>
      </c>
      <c r="Y3138" s="1">
        <f t="shared" si="97"/>
        <v>15</v>
      </c>
    </row>
    <row r="3139" spans="24:25" x14ac:dyDescent="0.3">
      <c r="X3139" s="1">
        <f t="shared" ref="X3139:X3202" si="98">IFERROR(MATCH(W3139,$B:$B,0),0)</f>
        <v>0</v>
      </c>
      <c r="Y3139" s="1">
        <f t="shared" ref="Y3139:Y3202" si="99">IF(X3140=0,COUNTA(A:A),X3140-1)</f>
        <v>15</v>
      </c>
    </row>
    <row r="3140" spans="24:25" x14ac:dyDescent="0.3">
      <c r="X3140" s="1">
        <f t="shared" si="98"/>
        <v>0</v>
      </c>
      <c r="Y3140" s="1">
        <f t="shared" si="99"/>
        <v>15</v>
      </c>
    </row>
    <row r="3141" spans="24:25" x14ac:dyDescent="0.3">
      <c r="X3141" s="1">
        <f t="shared" si="98"/>
        <v>0</v>
      </c>
      <c r="Y3141" s="1">
        <f t="shared" si="99"/>
        <v>15</v>
      </c>
    </row>
    <row r="3142" spans="24:25" x14ac:dyDescent="0.3">
      <c r="X3142" s="1">
        <f t="shared" si="98"/>
        <v>0</v>
      </c>
      <c r="Y3142" s="1">
        <f t="shared" si="99"/>
        <v>15</v>
      </c>
    </row>
    <row r="3143" spans="24:25" x14ac:dyDescent="0.3">
      <c r="X3143" s="1">
        <f t="shared" si="98"/>
        <v>0</v>
      </c>
      <c r="Y3143" s="1">
        <f t="shared" si="99"/>
        <v>15</v>
      </c>
    </row>
    <row r="3144" spans="24:25" x14ac:dyDescent="0.3">
      <c r="X3144" s="1">
        <f t="shared" si="98"/>
        <v>0</v>
      </c>
      <c r="Y3144" s="1">
        <f t="shared" si="99"/>
        <v>15</v>
      </c>
    </row>
    <row r="3145" spans="24:25" x14ac:dyDescent="0.3">
      <c r="X3145" s="1">
        <f t="shared" si="98"/>
        <v>0</v>
      </c>
      <c r="Y3145" s="1">
        <f t="shared" si="99"/>
        <v>15</v>
      </c>
    </row>
    <row r="3146" spans="24:25" x14ac:dyDescent="0.3">
      <c r="X3146" s="1">
        <f t="shared" si="98"/>
        <v>0</v>
      </c>
      <c r="Y3146" s="1">
        <f t="shared" si="99"/>
        <v>15</v>
      </c>
    </row>
    <row r="3147" spans="24:25" x14ac:dyDescent="0.3">
      <c r="X3147" s="1">
        <f t="shared" si="98"/>
        <v>0</v>
      </c>
      <c r="Y3147" s="1">
        <f t="shared" si="99"/>
        <v>15</v>
      </c>
    </row>
    <row r="3148" spans="24:25" x14ac:dyDescent="0.3">
      <c r="X3148" s="1">
        <f t="shared" si="98"/>
        <v>0</v>
      </c>
      <c r="Y3148" s="1">
        <f t="shared" si="99"/>
        <v>15</v>
      </c>
    </row>
    <row r="3149" spans="24:25" x14ac:dyDescent="0.3">
      <c r="X3149" s="1">
        <f t="shared" si="98"/>
        <v>0</v>
      </c>
      <c r="Y3149" s="1">
        <f t="shared" si="99"/>
        <v>15</v>
      </c>
    </row>
    <row r="3150" spans="24:25" x14ac:dyDescent="0.3">
      <c r="X3150" s="1">
        <f t="shared" si="98"/>
        <v>0</v>
      </c>
      <c r="Y3150" s="1">
        <f t="shared" si="99"/>
        <v>15</v>
      </c>
    </row>
    <row r="3151" spans="24:25" x14ac:dyDescent="0.3">
      <c r="X3151" s="1">
        <f t="shared" si="98"/>
        <v>0</v>
      </c>
      <c r="Y3151" s="1">
        <f t="shared" si="99"/>
        <v>15</v>
      </c>
    </row>
    <row r="3152" spans="24:25" x14ac:dyDescent="0.3">
      <c r="X3152" s="1">
        <f t="shared" si="98"/>
        <v>0</v>
      </c>
      <c r="Y3152" s="1">
        <f t="shared" si="99"/>
        <v>15</v>
      </c>
    </row>
    <row r="3153" spans="24:25" x14ac:dyDescent="0.3">
      <c r="X3153" s="1">
        <f t="shared" si="98"/>
        <v>0</v>
      </c>
      <c r="Y3153" s="1">
        <f t="shared" si="99"/>
        <v>15</v>
      </c>
    </row>
    <row r="3154" spans="24:25" x14ac:dyDescent="0.3">
      <c r="X3154" s="1">
        <f t="shared" si="98"/>
        <v>0</v>
      </c>
      <c r="Y3154" s="1">
        <f t="shared" si="99"/>
        <v>15</v>
      </c>
    </row>
    <row r="3155" spans="24:25" x14ac:dyDescent="0.3">
      <c r="X3155" s="1">
        <f t="shared" si="98"/>
        <v>0</v>
      </c>
      <c r="Y3155" s="1">
        <f t="shared" si="99"/>
        <v>15</v>
      </c>
    </row>
    <row r="3156" spans="24:25" x14ac:dyDescent="0.3">
      <c r="X3156" s="1">
        <f t="shared" si="98"/>
        <v>0</v>
      </c>
      <c r="Y3156" s="1">
        <f t="shared" si="99"/>
        <v>15</v>
      </c>
    </row>
    <row r="3157" spans="24:25" x14ac:dyDescent="0.3">
      <c r="X3157" s="1">
        <f t="shared" si="98"/>
        <v>0</v>
      </c>
      <c r="Y3157" s="1">
        <f t="shared" si="99"/>
        <v>15</v>
      </c>
    </row>
    <row r="3158" spans="24:25" x14ac:dyDescent="0.3">
      <c r="X3158" s="1">
        <f t="shared" si="98"/>
        <v>0</v>
      </c>
      <c r="Y3158" s="1">
        <f t="shared" si="99"/>
        <v>15</v>
      </c>
    </row>
    <row r="3159" spans="24:25" x14ac:dyDescent="0.3">
      <c r="X3159" s="1">
        <f t="shared" si="98"/>
        <v>0</v>
      </c>
      <c r="Y3159" s="1">
        <f t="shared" si="99"/>
        <v>15</v>
      </c>
    </row>
    <row r="3160" spans="24:25" x14ac:dyDescent="0.3">
      <c r="X3160" s="1">
        <f t="shared" si="98"/>
        <v>0</v>
      </c>
      <c r="Y3160" s="1">
        <f t="shared" si="99"/>
        <v>15</v>
      </c>
    </row>
    <row r="3161" spans="24:25" x14ac:dyDescent="0.3">
      <c r="X3161" s="1">
        <f t="shared" si="98"/>
        <v>0</v>
      </c>
      <c r="Y3161" s="1">
        <f t="shared" si="99"/>
        <v>15</v>
      </c>
    </row>
    <row r="3162" spans="24:25" x14ac:dyDescent="0.3">
      <c r="X3162" s="1">
        <f t="shared" si="98"/>
        <v>0</v>
      </c>
      <c r="Y3162" s="1">
        <f t="shared" si="99"/>
        <v>15</v>
      </c>
    </row>
    <row r="3163" spans="24:25" x14ac:dyDescent="0.3">
      <c r="X3163" s="1">
        <f t="shared" si="98"/>
        <v>0</v>
      </c>
      <c r="Y3163" s="1">
        <f t="shared" si="99"/>
        <v>15</v>
      </c>
    </row>
    <row r="3164" spans="24:25" x14ac:dyDescent="0.3">
      <c r="X3164" s="1">
        <f t="shared" si="98"/>
        <v>0</v>
      </c>
      <c r="Y3164" s="1">
        <f t="shared" si="99"/>
        <v>15</v>
      </c>
    </row>
    <row r="3165" spans="24:25" x14ac:dyDescent="0.3">
      <c r="X3165" s="1">
        <f t="shared" si="98"/>
        <v>0</v>
      </c>
      <c r="Y3165" s="1">
        <f t="shared" si="99"/>
        <v>15</v>
      </c>
    </row>
    <row r="3166" spans="24:25" x14ac:dyDescent="0.3">
      <c r="X3166" s="1">
        <f t="shared" si="98"/>
        <v>0</v>
      </c>
      <c r="Y3166" s="1">
        <f t="shared" si="99"/>
        <v>15</v>
      </c>
    </row>
    <row r="3167" spans="24:25" x14ac:dyDescent="0.3">
      <c r="X3167" s="1">
        <f t="shared" si="98"/>
        <v>0</v>
      </c>
      <c r="Y3167" s="1">
        <f t="shared" si="99"/>
        <v>15</v>
      </c>
    </row>
    <row r="3168" spans="24:25" x14ac:dyDescent="0.3">
      <c r="X3168" s="1">
        <f t="shared" si="98"/>
        <v>0</v>
      </c>
      <c r="Y3168" s="1">
        <f t="shared" si="99"/>
        <v>15</v>
      </c>
    </row>
    <row r="3169" spans="24:25" x14ac:dyDescent="0.3">
      <c r="X3169" s="1">
        <f t="shared" si="98"/>
        <v>0</v>
      </c>
      <c r="Y3169" s="1">
        <f t="shared" si="99"/>
        <v>15</v>
      </c>
    </row>
    <row r="3170" spans="24:25" x14ac:dyDescent="0.3">
      <c r="X3170" s="1">
        <f t="shared" si="98"/>
        <v>0</v>
      </c>
      <c r="Y3170" s="1">
        <f t="shared" si="99"/>
        <v>15</v>
      </c>
    </row>
    <row r="3171" spans="24:25" x14ac:dyDescent="0.3">
      <c r="X3171" s="1">
        <f t="shared" si="98"/>
        <v>0</v>
      </c>
      <c r="Y3171" s="1">
        <f t="shared" si="99"/>
        <v>15</v>
      </c>
    </row>
    <row r="3172" spans="24:25" x14ac:dyDescent="0.3">
      <c r="X3172" s="1">
        <f t="shared" si="98"/>
        <v>0</v>
      </c>
      <c r="Y3172" s="1">
        <f t="shared" si="99"/>
        <v>15</v>
      </c>
    </row>
    <row r="3173" spans="24:25" x14ac:dyDescent="0.3">
      <c r="X3173" s="1">
        <f t="shared" si="98"/>
        <v>0</v>
      </c>
      <c r="Y3173" s="1">
        <f t="shared" si="99"/>
        <v>15</v>
      </c>
    </row>
    <row r="3174" spans="24:25" x14ac:dyDescent="0.3">
      <c r="X3174" s="1">
        <f t="shared" si="98"/>
        <v>0</v>
      </c>
      <c r="Y3174" s="1">
        <f t="shared" si="99"/>
        <v>15</v>
      </c>
    </row>
    <row r="3175" spans="24:25" x14ac:dyDescent="0.3">
      <c r="X3175" s="1">
        <f t="shared" si="98"/>
        <v>0</v>
      </c>
      <c r="Y3175" s="1">
        <f t="shared" si="99"/>
        <v>15</v>
      </c>
    </row>
    <row r="3176" spans="24:25" x14ac:dyDescent="0.3">
      <c r="X3176" s="1">
        <f t="shared" si="98"/>
        <v>0</v>
      </c>
      <c r="Y3176" s="1">
        <f t="shared" si="99"/>
        <v>15</v>
      </c>
    </row>
    <row r="3177" spans="24:25" x14ac:dyDescent="0.3">
      <c r="X3177" s="1">
        <f t="shared" si="98"/>
        <v>0</v>
      </c>
      <c r="Y3177" s="1">
        <f t="shared" si="99"/>
        <v>15</v>
      </c>
    </row>
    <row r="3178" spans="24:25" x14ac:dyDescent="0.3">
      <c r="X3178" s="1">
        <f t="shared" si="98"/>
        <v>0</v>
      </c>
      <c r="Y3178" s="1">
        <f t="shared" si="99"/>
        <v>15</v>
      </c>
    </row>
    <row r="3179" spans="24:25" x14ac:dyDescent="0.3">
      <c r="X3179" s="1">
        <f t="shared" si="98"/>
        <v>0</v>
      </c>
      <c r="Y3179" s="1">
        <f t="shared" si="99"/>
        <v>15</v>
      </c>
    </row>
    <row r="3180" spans="24:25" x14ac:dyDescent="0.3">
      <c r="X3180" s="1">
        <f t="shared" si="98"/>
        <v>0</v>
      </c>
      <c r="Y3180" s="1">
        <f t="shared" si="99"/>
        <v>15</v>
      </c>
    </row>
    <row r="3181" spans="24:25" x14ac:dyDescent="0.3">
      <c r="X3181" s="1">
        <f t="shared" si="98"/>
        <v>0</v>
      </c>
      <c r="Y3181" s="1">
        <f t="shared" si="99"/>
        <v>15</v>
      </c>
    </row>
    <row r="3182" spans="24:25" x14ac:dyDescent="0.3">
      <c r="X3182" s="1">
        <f t="shared" si="98"/>
        <v>0</v>
      </c>
      <c r="Y3182" s="1">
        <f t="shared" si="99"/>
        <v>15</v>
      </c>
    </row>
    <row r="3183" spans="24:25" x14ac:dyDescent="0.3">
      <c r="X3183" s="1">
        <f t="shared" si="98"/>
        <v>0</v>
      </c>
      <c r="Y3183" s="1">
        <f t="shared" si="99"/>
        <v>15</v>
      </c>
    </row>
    <row r="3184" spans="24:25" x14ac:dyDescent="0.3">
      <c r="X3184" s="1">
        <f t="shared" si="98"/>
        <v>0</v>
      </c>
      <c r="Y3184" s="1">
        <f t="shared" si="99"/>
        <v>15</v>
      </c>
    </row>
    <row r="3185" spans="24:25" x14ac:dyDescent="0.3">
      <c r="X3185" s="1">
        <f t="shared" si="98"/>
        <v>0</v>
      </c>
      <c r="Y3185" s="1">
        <f t="shared" si="99"/>
        <v>15</v>
      </c>
    </row>
    <row r="3186" spans="24:25" x14ac:dyDescent="0.3">
      <c r="X3186" s="1">
        <f t="shared" si="98"/>
        <v>0</v>
      </c>
      <c r="Y3186" s="1">
        <f t="shared" si="99"/>
        <v>15</v>
      </c>
    </row>
    <row r="3187" spans="24:25" x14ac:dyDescent="0.3">
      <c r="X3187" s="1">
        <f t="shared" si="98"/>
        <v>0</v>
      </c>
      <c r="Y3187" s="1">
        <f t="shared" si="99"/>
        <v>15</v>
      </c>
    </row>
    <row r="3188" spans="24:25" x14ac:dyDescent="0.3">
      <c r="X3188" s="1">
        <f t="shared" si="98"/>
        <v>0</v>
      </c>
      <c r="Y3188" s="1">
        <f t="shared" si="99"/>
        <v>15</v>
      </c>
    </row>
    <row r="3189" spans="24:25" x14ac:dyDescent="0.3">
      <c r="X3189" s="1">
        <f t="shared" si="98"/>
        <v>0</v>
      </c>
      <c r="Y3189" s="1">
        <f t="shared" si="99"/>
        <v>15</v>
      </c>
    </row>
    <row r="3190" spans="24:25" x14ac:dyDescent="0.3">
      <c r="X3190" s="1">
        <f t="shared" si="98"/>
        <v>0</v>
      </c>
      <c r="Y3190" s="1">
        <f t="shared" si="99"/>
        <v>15</v>
      </c>
    </row>
    <row r="3191" spans="24:25" x14ac:dyDescent="0.3">
      <c r="X3191" s="1">
        <f t="shared" si="98"/>
        <v>0</v>
      </c>
      <c r="Y3191" s="1">
        <f t="shared" si="99"/>
        <v>15</v>
      </c>
    </row>
    <row r="3192" spans="24:25" x14ac:dyDescent="0.3">
      <c r="X3192" s="1">
        <f t="shared" si="98"/>
        <v>0</v>
      </c>
      <c r="Y3192" s="1">
        <f t="shared" si="99"/>
        <v>15</v>
      </c>
    </row>
    <row r="3193" spans="24:25" x14ac:dyDescent="0.3">
      <c r="X3193" s="1">
        <f t="shared" si="98"/>
        <v>0</v>
      </c>
      <c r="Y3193" s="1">
        <f t="shared" si="99"/>
        <v>15</v>
      </c>
    </row>
    <row r="3194" spans="24:25" x14ac:dyDescent="0.3">
      <c r="X3194" s="1">
        <f t="shared" si="98"/>
        <v>0</v>
      </c>
      <c r="Y3194" s="1">
        <f t="shared" si="99"/>
        <v>15</v>
      </c>
    </row>
    <row r="3195" spans="24:25" x14ac:dyDescent="0.3">
      <c r="X3195" s="1">
        <f t="shared" si="98"/>
        <v>0</v>
      </c>
      <c r="Y3195" s="1">
        <f t="shared" si="99"/>
        <v>15</v>
      </c>
    </row>
    <row r="3196" spans="24:25" x14ac:dyDescent="0.3">
      <c r="X3196" s="1">
        <f t="shared" si="98"/>
        <v>0</v>
      </c>
      <c r="Y3196" s="1">
        <f t="shared" si="99"/>
        <v>15</v>
      </c>
    </row>
    <row r="3197" spans="24:25" x14ac:dyDescent="0.3">
      <c r="X3197" s="1">
        <f t="shared" si="98"/>
        <v>0</v>
      </c>
      <c r="Y3197" s="1">
        <f t="shared" si="99"/>
        <v>15</v>
      </c>
    </row>
    <row r="3198" spans="24:25" x14ac:dyDescent="0.3">
      <c r="X3198" s="1">
        <f t="shared" si="98"/>
        <v>0</v>
      </c>
      <c r="Y3198" s="1">
        <f t="shared" si="99"/>
        <v>15</v>
      </c>
    </row>
    <row r="3199" spans="24:25" x14ac:dyDescent="0.3">
      <c r="X3199" s="1">
        <f t="shared" si="98"/>
        <v>0</v>
      </c>
      <c r="Y3199" s="1">
        <f t="shared" si="99"/>
        <v>15</v>
      </c>
    </row>
    <row r="3200" spans="24:25" x14ac:dyDescent="0.3">
      <c r="X3200" s="1">
        <f t="shared" si="98"/>
        <v>0</v>
      </c>
      <c r="Y3200" s="1">
        <f t="shared" si="99"/>
        <v>15</v>
      </c>
    </row>
    <row r="3201" spans="24:25" x14ac:dyDescent="0.3">
      <c r="X3201" s="1">
        <f t="shared" si="98"/>
        <v>0</v>
      </c>
      <c r="Y3201" s="1">
        <f t="shared" si="99"/>
        <v>15</v>
      </c>
    </row>
    <row r="3202" spans="24:25" x14ac:dyDescent="0.3">
      <c r="X3202" s="1">
        <f t="shared" si="98"/>
        <v>0</v>
      </c>
      <c r="Y3202" s="1">
        <f t="shared" si="99"/>
        <v>15</v>
      </c>
    </row>
    <row r="3203" spans="24:25" x14ac:dyDescent="0.3">
      <c r="X3203" s="1">
        <f t="shared" ref="X3203:X3266" si="100">IFERROR(MATCH(W3203,$B:$B,0),0)</f>
        <v>0</v>
      </c>
      <c r="Y3203" s="1">
        <f t="shared" ref="Y3203:Y3266" si="101">IF(X3204=0,COUNTA(A:A),X3204-1)</f>
        <v>15</v>
      </c>
    </row>
    <row r="3204" spans="24:25" x14ac:dyDescent="0.3">
      <c r="X3204" s="1">
        <f t="shared" si="100"/>
        <v>0</v>
      </c>
      <c r="Y3204" s="1">
        <f t="shared" si="101"/>
        <v>15</v>
      </c>
    </row>
    <row r="3205" spans="24:25" x14ac:dyDescent="0.3">
      <c r="X3205" s="1">
        <f t="shared" si="100"/>
        <v>0</v>
      </c>
      <c r="Y3205" s="1">
        <f t="shared" si="101"/>
        <v>15</v>
      </c>
    </row>
    <row r="3206" spans="24:25" x14ac:dyDescent="0.3">
      <c r="X3206" s="1">
        <f t="shared" si="100"/>
        <v>0</v>
      </c>
      <c r="Y3206" s="1">
        <f t="shared" si="101"/>
        <v>15</v>
      </c>
    </row>
    <row r="3207" spans="24:25" x14ac:dyDescent="0.3">
      <c r="X3207" s="1">
        <f t="shared" si="100"/>
        <v>0</v>
      </c>
      <c r="Y3207" s="1">
        <f t="shared" si="101"/>
        <v>15</v>
      </c>
    </row>
    <row r="3208" spans="24:25" x14ac:dyDescent="0.3">
      <c r="X3208" s="1">
        <f t="shared" si="100"/>
        <v>0</v>
      </c>
      <c r="Y3208" s="1">
        <f t="shared" si="101"/>
        <v>15</v>
      </c>
    </row>
    <row r="3209" spans="24:25" x14ac:dyDescent="0.3">
      <c r="X3209" s="1">
        <f t="shared" si="100"/>
        <v>0</v>
      </c>
      <c r="Y3209" s="1">
        <f t="shared" si="101"/>
        <v>15</v>
      </c>
    </row>
    <row r="3210" spans="24:25" x14ac:dyDescent="0.3">
      <c r="X3210" s="1">
        <f t="shared" si="100"/>
        <v>0</v>
      </c>
      <c r="Y3210" s="1">
        <f t="shared" si="101"/>
        <v>15</v>
      </c>
    </row>
    <row r="3211" spans="24:25" x14ac:dyDescent="0.3">
      <c r="X3211" s="1">
        <f t="shared" si="100"/>
        <v>0</v>
      </c>
      <c r="Y3211" s="1">
        <f t="shared" si="101"/>
        <v>15</v>
      </c>
    </row>
    <row r="3212" spans="24:25" x14ac:dyDescent="0.3">
      <c r="X3212" s="1">
        <f t="shared" si="100"/>
        <v>0</v>
      </c>
      <c r="Y3212" s="1">
        <f t="shared" si="101"/>
        <v>15</v>
      </c>
    </row>
    <row r="3213" spans="24:25" x14ac:dyDescent="0.3">
      <c r="X3213" s="1">
        <f t="shared" si="100"/>
        <v>0</v>
      </c>
      <c r="Y3213" s="1">
        <f t="shared" si="101"/>
        <v>15</v>
      </c>
    </row>
    <row r="3214" spans="24:25" x14ac:dyDescent="0.3">
      <c r="X3214" s="1">
        <f t="shared" si="100"/>
        <v>0</v>
      </c>
      <c r="Y3214" s="1">
        <f t="shared" si="101"/>
        <v>15</v>
      </c>
    </row>
    <row r="3215" spans="24:25" x14ac:dyDescent="0.3">
      <c r="X3215" s="1">
        <f t="shared" si="100"/>
        <v>0</v>
      </c>
      <c r="Y3215" s="1">
        <f t="shared" si="101"/>
        <v>15</v>
      </c>
    </row>
    <row r="3216" spans="24:25" x14ac:dyDescent="0.3">
      <c r="X3216" s="1">
        <f t="shared" si="100"/>
        <v>0</v>
      </c>
      <c r="Y3216" s="1">
        <f t="shared" si="101"/>
        <v>15</v>
      </c>
    </row>
    <row r="3217" spans="24:25" x14ac:dyDescent="0.3">
      <c r="X3217" s="1">
        <f t="shared" si="100"/>
        <v>0</v>
      </c>
      <c r="Y3217" s="1">
        <f t="shared" si="101"/>
        <v>15</v>
      </c>
    </row>
    <row r="3218" spans="24:25" x14ac:dyDescent="0.3">
      <c r="X3218" s="1">
        <f t="shared" si="100"/>
        <v>0</v>
      </c>
      <c r="Y3218" s="1">
        <f t="shared" si="101"/>
        <v>15</v>
      </c>
    </row>
    <row r="3219" spans="24:25" x14ac:dyDescent="0.3">
      <c r="X3219" s="1">
        <f t="shared" si="100"/>
        <v>0</v>
      </c>
      <c r="Y3219" s="1">
        <f t="shared" si="101"/>
        <v>15</v>
      </c>
    </row>
    <row r="3220" spans="24:25" x14ac:dyDescent="0.3">
      <c r="X3220" s="1">
        <f t="shared" si="100"/>
        <v>0</v>
      </c>
      <c r="Y3220" s="1">
        <f t="shared" si="101"/>
        <v>15</v>
      </c>
    </row>
    <row r="3221" spans="24:25" x14ac:dyDescent="0.3">
      <c r="X3221" s="1">
        <f t="shared" si="100"/>
        <v>0</v>
      </c>
      <c r="Y3221" s="1">
        <f t="shared" si="101"/>
        <v>15</v>
      </c>
    </row>
    <row r="3222" spans="24:25" x14ac:dyDescent="0.3">
      <c r="X3222" s="1">
        <f t="shared" si="100"/>
        <v>0</v>
      </c>
      <c r="Y3222" s="1">
        <f t="shared" si="101"/>
        <v>15</v>
      </c>
    </row>
    <row r="3223" spans="24:25" x14ac:dyDescent="0.3">
      <c r="X3223" s="1">
        <f t="shared" si="100"/>
        <v>0</v>
      </c>
      <c r="Y3223" s="1">
        <f t="shared" si="101"/>
        <v>15</v>
      </c>
    </row>
    <row r="3224" spans="24:25" x14ac:dyDescent="0.3">
      <c r="X3224" s="1">
        <f t="shared" si="100"/>
        <v>0</v>
      </c>
      <c r="Y3224" s="1">
        <f t="shared" si="101"/>
        <v>15</v>
      </c>
    </row>
    <row r="3225" spans="24:25" x14ac:dyDescent="0.3">
      <c r="X3225" s="1">
        <f t="shared" si="100"/>
        <v>0</v>
      </c>
      <c r="Y3225" s="1">
        <f t="shared" si="101"/>
        <v>15</v>
      </c>
    </row>
    <row r="3226" spans="24:25" x14ac:dyDescent="0.3">
      <c r="X3226" s="1">
        <f t="shared" si="100"/>
        <v>0</v>
      </c>
      <c r="Y3226" s="1">
        <f t="shared" si="101"/>
        <v>15</v>
      </c>
    </row>
    <row r="3227" spans="24:25" x14ac:dyDescent="0.3">
      <c r="X3227" s="1">
        <f t="shared" si="100"/>
        <v>0</v>
      </c>
      <c r="Y3227" s="1">
        <f t="shared" si="101"/>
        <v>15</v>
      </c>
    </row>
    <row r="3228" spans="24:25" x14ac:dyDescent="0.3">
      <c r="X3228" s="1">
        <f t="shared" si="100"/>
        <v>0</v>
      </c>
      <c r="Y3228" s="1">
        <f t="shared" si="101"/>
        <v>15</v>
      </c>
    </row>
    <row r="3229" spans="24:25" x14ac:dyDescent="0.3">
      <c r="X3229" s="1">
        <f t="shared" si="100"/>
        <v>0</v>
      </c>
      <c r="Y3229" s="1">
        <f t="shared" si="101"/>
        <v>15</v>
      </c>
    </row>
    <row r="3230" spans="24:25" x14ac:dyDescent="0.3">
      <c r="X3230" s="1">
        <f t="shared" si="100"/>
        <v>0</v>
      </c>
      <c r="Y3230" s="1">
        <f t="shared" si="101"/>
        <v>15</v>
      </c>
    </row>
    <row r="3231" spans="24:25" x14ac:dyDescent="0.3">
      <c r="X3231" s="1">
        <f t="shared" si="100"/>
        <v>0</v>
      </c>
      <c r="Y3231" s="1">
        <f t="shared" si="101"/>
        <v>15</v>
      </c>
    </row>
    <row r="3232" spans="24:25" x14ac:dyDescent="0.3">
      <c r="X3232" s="1">
        <f t="shared" si="100"/>
        <v>0</v>
      </c>
      <c r="Y3232" s="1">
        <f t="shared" si="101"/>
        <v>15</v>
      </c>
    </row>
    <row r="3233" spans="24:25" x14ac:dyDescent="0.3">
      <c r="X3233" s="1">
        <f t="shared" si="100"/>
        <v>0</v>
      </c>
      <c r="Y3233" s="1">
        <f t="shared" si="101"/>
        <v>15</v>
      </c>
    </row>
    <row r="3234" spans="24:25" x14ac:dyDescent="0.3">
      <c r="X3234" s="1">
        <f t="shared" si="100"/>
        <v>0</v>
      </c>
      <c r="Y3234" s="1">
        <f t="shared" si="101"/>
        <v>15</v>
      </c>
    </row>
    <row r="3235" spans="24:25" x14ac:dyDescent="0.3">
      <c r="X3235" s="1">
        <f t="shared" si="100"/>
        <v>0</v>
      </c>
      <c r="Y3235" s="1">
        <f t="shared" si="101"/>
        <v>15</v>
      </c>
    </row>
    <row r="3236" spans="24:25" x14ac:dyDescent="0.3">
      <c r="X3236" s="1">
        <f t="shared" si="100"/>
        <v>0</v>
      </c>
      <c r="Y3236" s="1">
        <f t="shared" si="101"/>
        <v>15</v>
      </c>
    </row>
    <row r="3237" spans="24:25" x14ac:dyDescent="0.3">
      <c r="X3237" s="1">
        <f t="shared" si="100"/>
        <v>0</v>
      </c>
      <c r="Y3237" s="1">
        <f t="shared" si="101"/>
        <v>15</v>
      </c>
    </row>
    <row r="3238" spans="24:25" x14ac:dyDescent="0.3">
      <c r="X3238" s="1">
        <f t="shared" si="100"/>
        <v>0</v>
      </c>
      <c r="Y3238" s="1">
        <f t="shared" si="101"/>
        <v>15</v>
      </c>
    </row>
    <row r="3239" spans="24:25" x14ac:dyDescent="0.3">
      <c r="X3239" s="1">
        <f t="shared" si="100"/>
        <v>0</v>
      </c>
      <c r="Y3239" s="1">
        <f t="shared" si="101"/>
        <v>15</v>
      </c>
    </row>
    <row r="3240" spans="24:25" x14ac:dyDescent="0.3">
      <c r="X3240" s="1">
        <f t="shared" si="100"/>
        <v>0</v>
      </c>
      <c r="Y3240" s="1">
        <f t="shared" si="101"/>
        <v>15</v>
      </c>
    </row>
    <row r="3241" spans="24:25" x14ac:dyDescent="0.3">
      <c r="X3241" s="1">
        <f t="shared" si="100"/>
        <v>0</v>
      </c>
      <c r="Y3241" s="1">
        <f t="shared" si="101"/>
        <v>15</v>
      </c>
    </row>
    <row r="3242" spans="24:25" x14ac:dyDescent="0.3">
      <c r="X3242" s="1">
        <f t="shared" si="100"/>
        <v>0</v>
      </c>
      <c r="Y3242" s="1">
        <f t="shared" si="101"/>
        <v>15</v>
      </c>
    </row>
    <row r="3243" spans="24:25" x14ac:dyDescent="0.3">
      <c r="X3243" s="1">
        <f t="shared" si="100"/>
        <v>0</v>
      </c>
      <c r="Y3243" s="1">
        <f t="shared" si="101"/>
        <v>15</v>
      </c>
    </row>
    <row r="3244" spans="24:25" x14ac:dyDescent="0.3">
      <c r="X3244" s="1">
        <f t="shared" si="100"/>
        <v>0</v>
      </c>
      <c r="Y3244" s="1">
        <f t="shared" si="101"/>
        <v>15</v>
      </c>
    </row>
    <row r="3245" spans="24:25" x14ac:dyDescent="0.3">
      <c r="X3245" s="1">
        <f t="shared" si="100"/>
        <v>0</v>
      </c>
      <c r="Y3245" s="1">
        <f t="shared" si="101"/>
        <v>15</v>
      </c>
    </row>
    <row r="3246" spans="24:25" x14ac:dyDescent="0.3">
      <c r="X3246" s="1">
        <f t="shared" si="100"/>
        <v>0</v>
      </c>
      <c r="Y3246" s="1">
        <f t="shared" si="101"/>
        <v>15</v>
      </c>
    </row>
    <row r="3247" spans="24:25" x14ac:dyDescent="0.3">
      <c r="X3247" s="1">
        <f t="shared" si="100"/>
        <v>0</v>
      </c>
      <c r="Y3247" s="1">
        <f t="shared" si="101"/>
        <v>15</v>
      </c>
    </row>
    <row r="3248" spans="24:25" x14ac:dyDescent="0.3">
      <c r="X3248" s="1">
        <f t="shared" si="100"/>
        <v>0</v>
      </c>
      <c r="Y3248" s="1">
        <f t="shared" si="101"/>
        <v>15</v>
      </c>
    </row>
    <row r="3249" spans="24:25" x14ac:dyDescent="0.3">
      <c r="X3249" s="1">
        <f t="shared" si="100"/>
        <v>0</v>
      </c>
      <c r="Y3249" s="1">
        <f t="shared" si="101"/>
        <v>15</v>
      </c>
    </row>
    <row r="3250" spans="24:25" x14ac:dyDescent="0.3">
      <c r="X3250" s="1">
        <f t="shared" si="100"/>
        <v>0</v>
      </c>
      <c r="Y3250" s="1">
        <f t="shared" si="101"/>
        <v>15</v>
      </c>
    </row>
    <row r="3251" spans="24:25" x14ac:dyDescent="0.3">
      <c r="X3251" s="1">
        <f t="shared" si="100"/>
        <v>0</v>
      </c>
      <c r="Y3251" s="1">
        <f t="shared" si="101"/>
        <v>15</v>
      </c>
    </row>
    <row r="3252" spans="24:25" x14ac:dyDescent="0.3">
      <c r="X3252" s="1">
        <f t="shared" si="100"/>
        <v>0</v>
      </c>
      <c r="Y3252" s="1">
        <f t="shared" si="101"/>
        <v>15</v>
      </c>
    </row>
    <row r="3253" spans="24:25" x14ac:dyDescent="0.3">
      <c r="X3253" s="1">
        <f t="shared" si="100"/>
        <v>0</v>
      </c>
      <c r="Y3253" s="1">
        <f t="shared" si="101"/>
        <v>15</v>
      </c>
    </row>
    <row r="3254" spans="24:25" x14ac:dyDescent="0.3">
      <c r="X3254" s="1">
        <f t="shared" si="100"/>
        <v>0</v>
      </c>
      <c r="Y3254" s="1">
        <f t="shared" si="101"/>
        <v>15</v>
      </c>
    </row>
    <row r="3255" spans="24:25" x14ac:dyDescent="0.3">
      <c r="X3255" s="1">
        <f t="shared" si="100"/>
        <v>0</v>
      </c>
      <c r="Y3255" s="1">
        <f t="shared" si="101"/>
        <v>15</v>
      </c>
    </row>
    <row r="3256" spans="24:25" x14ac:dyDescent="0.3">
      <c r="X3256" s="1">
        <f t="shared" si="100"/>
        <v>0</v>
      </c>
      <c r="Y3256" s="1">
        <f t="shared" si="101"/>
        <v>15</v>
      </c>
    </row>
    <row r="3257" spans="24:25" x14ac:dyDescent="0.3">
      <c r="X3257" s="1">
        <f t="shared" si="100"/>
        <v>0</v>
      </c>
      <c r="Y3257" s="1">
        <f t="shared" si="101"/>
        <v>15</v>
      </c>
    </row>
    <row r="3258" spans="24:25" x14ac:dyDescent="0.3">
      <c r="X3258" s="1">
        <f t="shared" si="100"/>
        <v>0</v>
      </c>
      <c r="Y3258" s="1">
        <f t="shared" si="101"/>
        <v>15</v>
      </c>
    </row>
    <row r="3259" spans="24:25" x14ac:dyDescent="0.3">
      <c r="X3259" s="1">
        <f t="shared" si="100"/>
        <v>0</v>
      </c>
      <c r="Y3259" s="1">
        <f t="shared" si="101"/>
        <v>15</v>
      </c>
    </row>
    <row r="3260" spans="24:25" x14ac:dyDescent="0.3">
      <c r="X3260" s="1">
        <f t="shared" si="100"/>
        <v>0</v>
      </c>
      <c r="Y3260" s="1">
        <f t="shared" si="101"/>
        <v>15</v>
      </c>
    </row>
    <row r="3261" spans="24:25" x14ac:dyDescent="0.3">
      <c r="X3261" s="1">
        <f t="shared" si="100"/>
        <v>0</v>
      </c>
      <c r="Y3261" s="1">
        <f t="shared" si="101"/>
        <v>15</v>
      </c>
    </row>
    <row r="3262" spans="24:25" x14ac:dyDescent="0.3">
      <c r="X3262" s="1">
        <f t="shared" si="100"/>
        <v>0</v>
      </c>
      <c r="Y3262" s="1">
        <f t="shared" si="101"/>
        <v>15</v>
      </c>
    </row>
    <row r="3263" spans="24:25" x14ac:dyDescent="0.3">
      <c r="X3263" s="1">
        <f t="shared" si="100"/>
        <v>0</v>
      </c>
      <c r="Y3263" s="1">
        <f t="shared" si="101"/>
        <v>15</v>
      </c>
    </row>
    <row r="3264" spans="24:25" x14ac:dyDescent="0.3">
      <c r="X3264" s="1">
        <f t="shared" si="100"/>
        <v>0</v>
      </c>
      <c r="Y3264" s="1">
        <f t="shared" si="101"/>
        <v>15</v>
      </c>
    </row>
    <row r="3265" spans="24:25" x14ac:dyDescent="0.3">
      <c r="X3265" s="1">
        <f t="shared" si="100"/>
        <v>0</v>
      </c>
      <c r="Y3265" s="1">
        <f t="shared" si="101"/>
        <v>15</v>
      </c>
    </row>
    <row r="3266" spans="24:25" x14ac:dyDescent="0.3">
      <c r="X3266" s="1">
        <f t="shared" si="100"/>
        <v>0</v>
      </c>
      <c r="Y3266" s="1">
        <f t="shared" si="101"/>
        <v>15</v>
      </c>
    </row>
    <row r="3267" spans="24:25" x14ac:dyDescent="0.3">
      <c r="X3267" s="1">
        <f t="shared" ref="X3267:X3330" si="102">IFERROR(MATCH(W3267,$B:$B,0),0)</f>
        <v>0</v>
      </c>
      <c r="Y3267" s="1">
        <f t="shared" ref="Y3267:Y3330" si="103">IF(X3268=0,COUNTA(A:A),X3268-1)</f>
        <v>15</v>
      </c>
    </row>
    <row r="3268" spans="24:25" x14ac:dyDescent="0.3">
      <c r="X3268" s="1">
        <f t="shared" si="102"/>
        <v>0</v>
      </c>
      <c r="Y3268" s="1">
        <f t="shared" si="103"/>
        <v>15</v>
      </c>
    </row>
    <row r="3269" spans="24:25" x14ac:dyDescent="0.3">
      <c r="X3269" s="1">
        <f t="shared" si="102"/>
        <v>0</v>
      </c>
      <c r="Y3269" s="1">
        <f t="shared" si="103"/>
        <v>15</v>
      </c>
    </row>
    <row r="3270" spans="24:25" x14ac:dyDescent="0.3">
      <c r="X3270" s="1">
        <f t="shared" si="102"/>
        <v>0</v>
      </c>
      <c r="Y3270" s="1">
        <f t="shared" si="103"/>
        <v>15</v>
      </c>
    </row>
    <row r="3271" spans="24:25" x14ac:dyDescent="0.3">
      <c r="X3271" s="1">
        <f t="shared" si="102"/>
        <v>0</v>
      </c>
      <c r="Y3271" s="1">
        <f t="shared" si="103"/>
        <v>15</v>
      </c>
    </row>
    <row r="3272" spans="24:25" x14ac:dyDescent="0.3">
      <c r="X3272" s="1">
        <f t="shared" si="102"/>
        <v>0</v>
      </c>
      <c r="Y3272" s="1">
        <f t="shared" si="103"/>
        <v>15</v>
      </c>
    </row>
    <row r="3273" spans="24:25" x14ac:dyDescent="0.3">
      <c r="X3273" s="1">
        <f t="shared" si="102"/>
        <v>0</v>
      </c>
      <c r="Y3273" s="1">
        <f t="shared" si="103"/>
        <v>15</v>
      </c>
    </row>
    <row r="3274" spans="24:25" x14ac:dyDescent="0.3">
      <c r="X3274" s="1">
        <f t="shared" si="102"/>
        <v>0</v>
      </c>
      <c r="Y3274" s="1">
        <f t="shared" si="103"/>
        <v>15</v>
      </c>
    </row>
    <row r="3275" spans="24:25" x14ac:dyDescent="0.3">
      <c r="X3275" s="1">
        <f t="shared" si="102"/>
        <v>0</v>
      </c>
      <c r="Y3275" s="1">
        <f t="shared" si="103"/>
        <v>15</v>
      </c>
    </row>
    <row r="3276" spans="24:25" x14ac:dyDescent="0.3">
      <c r="X3276" s="1">
        <f t="shared" si="102"/>
        <v>0</v>
      </c>
      <c r="Y3276" s="1">
        <f t="shared" si="103"/>
        <v>15</v>
      </c>
    </row>
    <row r="3277" spans="24:25" x14ac:dyDescent="0.3">
      <c r="X3277" s="1">
        <f t="shared" si="102"/>
        <v>0</v>
      </c>
      <c r="Y3277" s="1">
        <f t="shared" si="103"/>
        <v>15</v>
      </c>
    </row>
    <row r="3278" spans="24:25" x14ac:dyDescent="0.3">
      <c r="X3278" s="1">
        <f t="shared" si="102"/>
        <v>0</v>
      </c>
      <c r="Y3278" s="1">
        <f t="shared" si="103"/>
        <v>15</v>
      </c>
    </row>
    <row r="3279" spans="24:25" x14ac:dyDescent="0.3">
      <c r="X3279" s="1">
        <f t="shared" si="102"/>
        <v>0</v>
      </c>
      <c r="Y3279" s="1">
        <f t="shared" si="103"/>
        <v>15</v>
      </c>
    </row>
    <row r="3280" spans="24:25" x14ac:dyDescent="0.3">
      <c r="X3280" s="1">
        <f t="shared" si="102"/>
        <v>0</v>
      </c>
      <c r="Y3280" s="1">
        <f t="shared" si="103"/>
        <v>15</v>
      </c>
    </row>
    <row r="3281" spans="24:25" x14ac:dyDescent="0.3">
      <c r="X3281" s="1">
        <f t="shared" si="102"/>
        <v>0</v>
      </c>
      <c r="Y3281" s="1">
        <f t="shared" si="103"/>
        <v>15</v>
      </c>
    </row>
    <row r="3282" spans="24:25" x14ac:dyDescent="0.3">
      <c r="X3282" s="1">
        <f t="shared" si="102"/>
        <v>0</v>
      </c>
      <c r="Y3282" s="1">
        <f t="shared" si="103"/>
        <v>15</v>
      </c>
    </row>
    <row r="3283" spans="24:25" x14ac:dyDescent="0.3">
      <c r="X3283" s="1">
        <f t="shared" si="102"/>
        <v>0</v>
      </c>
      <c r="Y3283" s="1">
        <f t="shared" si="103"/>
        <v>15</v>
      </c>
    </row>
    <row r="3284" spans="24:25" x14ac:dyDescent="0.3">
      <c r="X3284" s="1">
        <f t="shared" si="102"/>
        <v>0</v>
      </c>
      <c r="Y3284" s="1">
        <f t="shared" si="103"/>
        <v>15</v>
      </c>
    </row>
    <row r="3285" spans="24:25" x14ac:dyDescent="0.3">
      <c r="X3285" s="1">
        <f t="shared" si="102"/>
        <v>0</v>
      </c>
      <c r="Y3285" s="1">
        <f t="shared" si="103"/>
        <v>15</v>
      </c>
    </row>
    <row r="3286" spans="24:25" x14ac:dyDescent="0.3">
      <c r="X3286" s="1">
        <f t="shared" si="102"/>
        <v>0</v>
      </c>
      <c r="Y3286" s="1">
        <f t="shared" si="103"/>
        <v>15</v>
      </c>
    </row>
    <row r="3287" spans="24:25" x14ac:dyDescent="0.3">
      <c r="X3287" s="1">
        <f t="shared" si="102"/>
        <v>0</v>
      </c>
      <c r="Y3287" s="1">
        <f t="shared" si="103"/>
        <v>15</v>
      </c>
    </row>
    <row r="3288" spans="24:25" x14ac:dyDescent="0.3">
      <c r="X3288" s="1">
        <f t="shared" si="102"/>
        <v>0</v>
      </c>
      <c r="Y3288" s="1">
        <f t="shared" si="103"/>
        <v>15</v>
      </c>
    </row>
    <row r="3289" spans="24:25" x14ac:dyDescent="0.3">
      <c r="X3289" s="1">
        <f t="shared" si="102"/>
        <v>0</v>
      </c>
      <c r="Y3289" s="1">
        <f t="shared" si="103"/>
        <v>15</v>
      </c>
    </row>
    <row r="3290" spans="24:25" x14ac:dyDescent="0.3">
      <c r="X3290" s="1">
        <f t="shared" si="102"/>
        <v>0</v>
      </c>
      <c r="Y3290" s="1">
        <f t="shared" si="103"/>
        <v>15</v>
      </c>
    </row>
    <row r="3291" spans="24:25" x14ac:dyDescent="0.3">
      <c r="X3291" s="1">
        <f t="shared" si="102"/>
        <v>0</v>
      </c>
      <c r="Y3291" s="1">
        <f t="shared" si="103"/>
        <v>15</v>
      </c>
    </row>
    <row r="3292" spans="24:25" x14ac:dyDescent="0.3">
      <c r="X3292" s="1">
        <f t="shared" si="102"/>
        <v>0</v>
      </c>
      <c r="Y3292" s="1">
        <f t="shared" si="103"/>
        <v>15</v>
      </c>
    </row>
    <row r="3293" spans="24:25" x14ac:dyDescent="0.3">
      <c r="X3293" s="1">
        <f t="shared" si="102"/>
        <v>0</v>
      </c>
      <c r="Y3293" s="1">
        <f t="shared" si="103"/>
        <v>15</v>
      </c>
    </row>
    <row r="3294" spans="24:25" x14ac:dyDescent="0.3">
      <c r="X3294" s="1">
        <f t="shared" si="102"/>
        <v>0</v>
      </c>
      <c r="Y3294" s="1">
        <f t="shared" si="103"/>
        <v>15</v>
      </c>
    </row>
    <row r="3295" spans="24:25" x14ac:dyDescent="0.3">
      <c r="X3295" s="1">
        <f t="shared" si="102"/>
        <v>0</v>
      </c>
      <c r="Y3295" s="1">
        <f t="shared" si="103"/>
        <v>15</v>
      </c>
    </row>
    <row r="3296" spans="24:25" x14ac:dyDescent="0.3">
      <c r="X3296" s="1">
        <f t="shared" si="102"/>
        <v>0</v>
      </c>
      <c r="Y3296" s="1">
        <f t="shared" si="103"/>
        <v>15</v>
      </c>
    </row>
    <row r="3297" spans="24:25" x14ac:dyDescent="0.3">
      <c r="X3297" s="1">
        <f t="shared" si="102"/>
        <v>0</v>
      </c>
      <c r="Y3297" s="1">
        <f t="shared" si="103"/>
        <v>15</v>
      </c>
    </row>
    <row r="3298" spans="24:25" x14ac:dyDescent="0.3">
      <c r="X3298" s="1">
        <f t="shared" si="102"/>
        <v>0</v>
      </c>
      <c r="Y3298" s="1">
        <f t="shared" si="103"/>
        <v>15</v>
      </c>
    </row>
    <row r="3299" spans="24:25" x14ac:dyDescent="0.3">
      <c r="X3299" s="1">
        <f t="shared" si="102"/>
        <v>0</v>
      </c>
      <c r="Y3299" s="1">
        <f t="shared" si="103"/>
        <v>15</v>
      </c>
    </row>
    <row r="3300" spans="24:25" x14ac:dyDescent="0.3">
      <c r="X3300" s="1">
        <f t="shared" si="102"/>
        <v>0</v>
      </c>
      <c r="Y3300" s="1">
        <f t="shared" si="103"/>
        <v>15</v>
      </c>
    </row>
    <row r="3301" spans="24:25" x14ac:dyDescent="0.3">
      <c r="X3301" s="1">
        <f t="shared" si="102"/>
        <v>0</v>
      </c>
      <c r="Y3301" s="1">
        <f t="shared" si="103"/>
        <v>15</v>
      </c>
    </row>
    <row r="3302" spans="24:25" x14ac:dyDescent="0.3">
      <c r="X3302" s="1">
        <f t="shared" si="102"/>
        <v>0</v>
      </c>
      <c r="Y3302" s="1">
        <f t="shared" si="103"/>
        <v>15</v>
      </c>
    </row>
    <row r="3303" spans="24:25" x14ac:dyDescent="0.3">
      <c r="X3303" s="1">
        <f t="shared" si="102"/>
        <v>0</v>
      </c>
      <c r="Y3303" s="1">
        <f t="shared" si="103"/>
        <v>15</v>
      </c>
    </row>
    <row r="3304" spans="24:25" x14ac:dyDescent="0.3">
      <c r="X3304" s="1">
        <f t="shared" si="102"/>
        <v>0</v>
      </c>
      <c r="Y3304" s="1">
        <f t="shared" si="103"/>
        <v>15</v>
      </c>
    </row>
    <row r="3305" spans="24:25" x14ac:dyDescent="0.3">
      <c r="X3305" s="1">
        <f t="shared" si="102"/>
        <v>0</v>
      </c>
      <c r="Y3305" s="1">
        <f t="shared" si="103"/>
        <v>15</v>
      </c>
    </row>
    <row r="3306" spans="24:25" x14ac:dyDescent="0.3">
      <c r="X3306" s="1">
        <f t="shared" si="102"/>
        <v>0</v>
      </c>
      <c r="Y3306" s="1">
        <f t="shared" si="103"/>
        <v>15</v>
      </c>
    </row>
    <row r="3307" spans="24:25" x14ac:dyDescent="0.3">
      <c r="X3307" s="1">
        <f t="shared" si="102"/>
        <v>0</v>
      </c>
      <c r="Y3307" s="1">
        <f t="shared" si="103"/>
        <v>15</v>
      </c>
    </row>
    <row r="3308" spans="24:25" x14ac:dyDescent="0.3">
      <c r="X3308" s="1">
        <f t="shared" si="102"/>
        <v>0</v>
      </c>
      <c r="Y3308" s="1">
        <f t="shared" si="103"/>
        <v>15</v>
      </c>
    </row>
    <row r="3309" spans="24:25" x14ac:dyDescent="0.3">
      <c r="X3309" s="1">
        <f t="shared" si="102"/>
        <v>0</v>
      </c>
      <c r="Y3309" s="1">
        <f t="shared" si="103"/>
        <v>15</v>
      </c>
    </row>
    <row r="3310" spans="24:25" x14ac:dyDescent="0.3">
      <c r="X3310" s="1">
        <f t="shared" si="102"/>
        <v>0</v>
      </c>
      <c r="Y3310" s="1">
        <f t="shared" si="103"/>
        <v>15</v>
      </c>
    </row>
    <row r="3311" spans="24:25" x14ac:dyDescent="0.3">
      <c r="X3311" s="1">
        <f t="shared" si="102"/>
        <v>0</v>
      </c>
      <c r="Y3311" s="1">
        <f t="shared" si="103"/>
        <v>15</v>
      </c>
    </row>
    <row r="3312" spans="24:25" x14ac:dyDescent="0.3">
      <c r="X3312" s="1">
        <f t="shared" si="102"/>
        <v>0</v>
      </c>
      <c r="Y3312" s="1">
        <f t="shared" si="103"/>
        <v>15</v>
      </c>
    </row>
    <row r="3313" spans="24:25" x14ac:dyDescent="0.3">
      <c r="X3313" s="1">
        <f t="shared" si="102"/>
        <v>0</v>
      </c>
      <c r="Y3313" s="1">
        <f t="shared" si="103"/>
        <v>15</v>
      </c>
    </row>
    <row r="3314" spans="24:25" x14ac:dyDescent="0.3">
      <c r="X3314" s="1">
        <f t="shared" si="102"/>
        <v>0</v>
      </c>
      <c r="Y3314" s="1">
        <f t="shared" si="103"/>
        <v>15</v>
      </c>
    </row>
    <row r="3315" spans="24:25" x14ac:dyDescent="0.3">
      <c r="X3315" s="1">
        <f t="shared" si="102"/>
        <v>0</v>
      </c>
      <c r="Y3315" s="1">
        <f t="shared" si="103"/>
        <v>15</v>
      </c>
    </row>
    <row r="3316" spans="24:25" x14ac:dyDescent="0.3">
      <c r="X3316" s="1">
        <f t="shared" si="102"/>
        <v>0</v>
      </c>
      <c r="Y3316" s="1">
        <f t="shared" si="103"/>
        <v>15</v>
      </c>
    </row>
    <row r="3317" spans="24:25" x14ac:dyDescent="0.3">
      <c r="X3317" s="1">
        <f t="shared" si="102"/>
        <v>0</v>
      </c>
      <c r="Y3317" s="1">
        <f t="shared" si="103"/>
        <v>15</v>
      </c>
    </row>
    <row r="3318" spans="24:25" x14ac:dyDescent="0.3">
      <c r="X3318" s="1">
        <f t="shared" si="102"/>
        <v>0</v>
      </c>
      <c r="Y3318" s="1">
        <f t="shared" si="103"/>
        <v>15</v>
      </c>
    </row>
    <row r="3319" spans="24:25" x14ac:dyDescent="0.3">
      <c r="X3319" s="1">
        <f t="shared" si="102"/>
        <v>0</v>
      </c>
      <c r="Y3319" s="1">
        <f t="shared" si="103"/>
        <v>15</v>
      </c>
    </row>
    <row r="3320" spans="24:25" x14ac:dyDescent="0.3">
      <c r="X3320" s="1">
        <f t="shared" si="102"/>
        <v>0</v>
      </c>
      <c r="Y3320" s="1">
        <f t="shared" si="103"/>
        <v>15</v>
      </c>
    </row>
    <row r="3321" spans="24:25" x14ac:dyDescent="0.3">
      <c r="X3321" s="1">
        <f t="shared" si="102"/>
        <v>0</v>
      </c>
      <c r="Y3321" s="1">
        <f t="shared" si="103"/>
        <v>15</v>
      </c>
    </row>
    <row r="3322" spans="24:25" x14ac:dyDescent="0.3">
      <c r="X3322" s="1">
        <f t="shared" si="102"/>
        <v>0</v>
      </c>
      <c r="Y3322" s="1">
        <f t="shared" si="103"/>
        <v>15</v>
      </c>
    </row>
    <row r="3323" spans="24:25" x14ac:dyDescent="0.3">
      <c r="X3323" s="1">
        <f t="shared" si="102"/>
        <v>0</v>
      </c>
      <c r="Y3323" s="1">
        <f t="shared" si="103"/>
        <v>15</v>
      </c>
    </row>
    <row r="3324" spans="24:25" x14ac:dyDescent="0.3">
      <c r="X3324" s="1">
        <f t="shared" si="102"/>
        <v>0</v>
      </c>
      <c r="Y3324" s="1">
        <f t="shared" si="103"/>
        <v>15</v>
      </c>
    </row>
    <row r="3325" spans="24:25" x14ac:dyDescent="0.3">
      <c r="X3325" s="1">
        <f t="shared" si="102"/>
        <v>0</v>
      </c>
      <c r="Y3325" s="1">
        <f t="shared" si="103"/>
        <v>15</v>
      </c>
    </row>
    <row r="3326" spans="24:25" x14ac:dyDescent="0.3">
      <c r="X3326" s="1">
        <f t="shared" si="102"/>
        <v>0</v>
      </c>
      <c r="Y3326" s="1">
        <f t="shared" si="103"/>
        <v>15</v>
      </c>
    </row>
    <row r="3327" spans="24:25" x14ac:dyDescent="0.3">
      <c r="X3327" s="1">
        <f t="shared" si="102"/>
        <v>0</v>
      </c>
      <c r="Y3327" s="1">
        <f t="shared" si="103"/>
        <v>15</v>
      </c>
    </row>
    <row r="3328" spans="24:25" x14ac:dyDescent="0.3">
      <c r="X3328" s="1">
        <f t="shared" si="102"/>
        <v>0</v>
      </c>
      <c r="Y3328" s="1">
        <f t="shared" si="103"/>
        <v>15</v>
      </c>
    </row>
    <row r="3329" spans="24:25" x14ac:dyDescent="0.3">
      <c r="X3329" s="1">
        <f t="shared" si="102"/>
        <v>0</v>
      </c>
      <c r="Y3329" s="1">
        <f t="shared" si="103"/>
        <v>15</v>
      </c>
    </row>
    <row r="3330" spans="24:25" x14ac:dyDescent="0.3">
      <c r="X3330" s="1">
        <f t="shared" si="102"/>
        <v>0</v>
      </c>
      <c r="Y3330" s="1">
        <f t="shared" si="103"/>
        <v>15</v>
      </c>
    </row>
    <row r="3331" spans="24:25" x14ac:dyDescent="0.3">
      <c r="X3331" s="1">
        <f t="shared" ref="X3331:X3394" si="104">IFERROR(MATCH(W3331,$B:$B,0),0)</f>
        <v>0</v>
      </c>
      <c r="Y3331" s="1">
        <f t="shared" ref="Y3331:Y3394" si="105">IF(X3332=0,COUNTA(A:A),X3332-1)</f>
        <v>15</v>
      </c>
    </row>
    <row r="3332" spans="24:25" x14ac:dyDescent="0.3">
      <c r="X3332" s="1">
        <f t="shared" si="104"/>
        <v>0</v>
      </c>
      <c r="Y3332" s="1">
        <f t="shared" si="105"/>
        <v>15</v>
      </c>
    </row>
    <row r="3333" spans="24:25" x14ac:dyDescent="0.3">
      <c r="X3333" s="1">
        <f t="shared" si="104"/>
        <v>0</v>
      </c>
      <c r="Y3333" s="1">
        <f t="shared" si="105"/>
        <v>15</v>
      </c>
    </row>
    <row r="3334" spans="24:25" x14ac:dyDescent="0.3">
      <c r="X3334" s="1">
        <f t="shared" si="104"/>
        <v>0</v>
      </c>
      <c r="Y3334" s="1">
        <f t="shared" si="105"/>
        <v>15</v>
      </c>
    </row>
    <row r="3335" spans="24:25" x14ac:dyDescent="0.3">
      <c r="X3335" s="1">
        <f t="shared" si="104"/>
        <v>0</v>
      </c>
      <c r="Y3335" s="1">
        <f t="shared" si="105"/>
        <v>15</v>
      </c>
    </row>
    <row r="3336" spans="24:25" x14ac:dyDescent="0.3">
      <c r="X3336" s="1">
        <f t="shared" si="104"/>
        <v>0</v>
      </c>
      <c r="Y3336" s="1">
        <f t="shared" si="105"/>
        <v>15</v>
      </c>
    </row>
    <row r="3337" spans="24:25" x14ac:dyDescent="0.3">
      <c r="X3337" s="1">
        <f t="shared" si="104"/>
        <v>0</v>
      </c>
      <c r="Y3337" s="1">
        <f t="shared" si="105"/>
        <v>15</v>
      </c>
    </row>
    <row r="3338" spans="24:25" x14ac:dyDescent="0.3">
      <c r="X3338" s="1">
        <f t="shared" si="104"/>
        <v>0</v>
      </c>
      <c r="Y3338" s="1">
        <f t="shared" si="105"/>
        <v>15</v>
      </c>
    </row>
    <row r="3339" spans="24:25" x14ac:dyDescent="0.3">
      <c r="X3339" s="1">
        <f t="shared" si="104"/>
        <v>0</v>
      </c>
      <c r="Y3339" s="1">
        <f t="shared" si="105"/>
        <v>15</v>
      </c>
    </row>
    <row r="3340" spans="24:25" x14ac:dyDescent="0.3">
      <c r="X3340" s="1">
        <f t="shared" si="104"/>
        <v>0</v>
      </c>
      <c r="Y3340" s="1">
        <f t="shared" si="105"/>
        <v>15</v>
      </c>
    </row>
    <row r="3341" spans="24:25" x14ac:dyDescent="0.3">
      <c r="X3341" s="1">
        <f t="shared" si="104"/>
        <v>0</v>
      </c>
      <c r="Y3341" s="1">
        <f t="shared" si="105"/>
        <v>15</v>
      </c>
    </row>
    <row r="3342" spans="24:25" x14ac:dyDescent="0.3">
      <c r="X3342" s="1">
        <f t="shared" si="104"/>
        <v>0</v>
      </c>
      <c r="Y3342" s="1">
        <f t="shared" si="105"/>
        <v>15</v>
      </c>
    </row>
    <row r="3343" spans="24:25" x14ac:dyDescent="0.3">
      <c r="X3343" s="1">
        <f t="shared" si="104"/>
        <v>0</v>
      </c>
      <c r="Y3343" s="1">
        <f t="shared" si="105"/>
        <v>15</v>
      </c>
    </row>
    <row r="3344" spans="24:25" x14ac:dyDescent="0.3">
      <c r="X3344" s="1">
        <f t="shared" si="104"/>
        <v>0</v>
      </c>
      <c r="Y3344" s="1">
        <f t="shared" si="105"/>
        <v>15</v>
      </c>
    </row>
    <row r="3345" spans="24:25" x14ac:dyDescent="0.3">
      <c r="X3345" s="1">
        <f t="shared" si="104"/>
        <v>0</v>
      </c>
      <c r="Y3345" s="1">
        <f t="shared" si="105"/>
        <v>15</v>
      </c>
    </row>
    <row r="3346" spans="24:25" x14ac:dyDescent="0.3">
      <c r="X3346" s="1">
        <f t="shared" si="104"/>
        <v>0</v>
      </c>
      <c r="Y3346" s="1">
        <f t="shared" si="105"/>
        <v>15</v>
      </c>
    </row>
    <row r="3347" spans="24:25" x14ac:dyDescent="0.3">
      <c r="X3347" s="1">
        <f t="shared" si="104"/>
        <v>0</v>
      </c>
      <c r="Y3347" s="1">
        <f t="shared" si="105"/>
        <v>15</v>
      </c>
    </row>
    <row r="3348" spans="24:25" x14ac:dyDescent="0.3">
      <c r="X3348" s="1">
        <f t="shared" si="104"/>
        <v>0</v>
      </c>
      <c r="Y3348" s="1">
        <f t="shared" si="105"/>
        <v>15</v>
      </c>
    </row>
    <row r="3349" spans="24:25" x14ac:dyDescent="0.3">
      <c r="X3349" s="1">
        <f t="shared" si="104"/>
        <v>0</v>
      </c>
      <c r="Y3349" s="1">
        <f t="shared" si="105"/>
        <v>15</v>
      </c>
    </row>
    <row r="3350" spans="24:25" x14ac:dyDescent="0.3">
      <c r="X3350" s="1">
        <f t="shared" si="104"/>
        <v>0</v>
      </c>
      <c r="Y3350" s="1">
        <f t="shared" si="105"/>
        <v>15</v>
      </c>
    </row>
    <row r="3351" spans="24:25" x14ac:dyDescent="0.3">
      <c r="X3351" s="1">
        <f t="shared" si="104"/>
        <v>0</v>
      </c>
      <c r="Y3351" s="1">
        <f t="shared" si="105"/>
        <v>15</v>
      </c>
    </row>
    <row r="3352" spans="24:25" x14ac:dyDescent="0.3">
      <c r="X3352" s="1">
        <f t="shared" si="104"/>
        <v>0</v>
      </c>
      <c r="Y3352" s="1">
        <f t="shared" si="105"/>
        <v>15</v>
      </c>
    </row>
    <row r="3353" spans="24:25" x14ac:dyDescent="0.3">
      <c r="X3353" s="1">
        <f t="shared" si="104"/>
        <v>0</v>
      </c>
      <c r="Y3353" s="1">
        <f t="shared" si="105"/>
        <v>15</v>
      </c>
    </row>
    <row r="3354" spans="24:25" x14ac:dyDescent="0.3">
      <c r="X3354" s="1">
        <f t="shared" si="104"/>
        <v>0</v>
      </c>
      <c r="Y3354" s="1">
        <f t="shared" si="105"/>
        <v>15</v>
      </c>
    </row>
    <row r="3355" spans="24:25" x14ac:dyDescent="0.3">
      <c r="X3355" s="1">
        <f t="shared" si="104"/>
        <v>0</v>
      </c>
      <c r="Y3355" s="1">
        <f t="shared" si="105"/>
        <v>15</v>
      </c>
    </row>
    <row r="3356" spans="24:25" x14ac:dyDescent="0.3">
      <c r="X3356" s="1">
        <f t="shared" si="104"/>
        <v>0</v>
      </c>
      <c r="Y3356" s="1">
        <f t="shared" si="105"/>
        <v>15</v>
      </c>
    </row>
    <row r="3357" spans="24:25" x14ac:dyDescent="0.3">
      <c r="X3357" s="1">
        <f t="shared" si="104"/>
        <v>0</v>
      </c>
      <c r="Y3357" s="1">
        <f t="shared" si="105"/>
        <v>15</v>
      </c>
    </row>
    <row r="3358" spans="24:25" x14ac:dyDescent="0.3">
      <c r="X3358" s="1">
        <f t="shared" si="104"/>
        <v>0</v>
      </c>
      <c r="Y3358" s="1">
        <f t="shared" si="105"/>
        <v>15</v>
      </c>
    </row>
    <row r="3359" spans="24:25" x14ac:dyDescent="0.3">
      <c r="X3359" s="1">
        <f t="shared" si="104"/>
        <v>0</v>
      </c>
      <c r="Y3359" s="1">
        <f t="shared" si="105"/>
        <v>15</v>
      </c>
    </row>
    <row r="3360" spans="24:25" x14ac:dyDescent="0.3">
      <c r="X3360" s="1">
        <f t="shared" si="104"/>
        <v>0</v>
      </c>
      <c r="Y3360" s="1">
        <f t="shared" si="105"/>
        <v>15</v>
      </c>
    </row>
    <row r="3361" spans="24:25" x14ac:dyDescent="0.3">
      <c r="X3361" s="1">
        <f t="shared" si="104"/>
        <v>0</v>
      </c>
      <c r="Y3361" s="1">
        <f t="shared" si="105"/>
        <v>15</v>
      </c>
    </row>
    <row r="3362" spans="24:25" x14ac:dyDescent="0.3">
      <c r="X3362" s="1">
        <f t="shared" si="104"/>
        <v>0</v>
      </c>
      <c r="Y3362" s="1">
        <f t="shared" si="105"/>
        <v>15</v>
      </c>
    </row>
    <row r="3363" spans="24:25" x14ac:dyDescent="0.3">
      <c r="X3363" s="1">
        <f t="shared" si="104"/>
        <v>0</v>
      </c>
      <c r="Y3363" s="1">
        <f t="shared" si="105"/>
        <v>15</v>
      </c>
    </row>
    <row r="3364" spans="24:25" x14ac:dyDescent="0.3">
      <c r="X3364" s="1">
        <f t="shared" si="104"/>
        <v>0</v>
      </c>
      <c r="Y3364" s="1">
        <f t="shared" si="105"/>
        <v>15</v>
      </c>
    </row>
    <row r="3365" spans="24:25" x14ac:dyDescent="0.3">
      <c r="X3365" s="1">
        <f t="shared" si="104"/>
        <v>0</v>
      </c>
      <c r="Y3365" s="1">
        <f t="shared" si="105"/>
        <v>15</v>
      </c>
    </row>
    <row r="3366" spans="24:25" x14ac:dyDescent="0.3">
      <c r="X3366" s="1">
        <f t="shared" si="104"/>
        <v>0</v>
      </c>
      <c r="Y3366" s="1">
        <f t="shared" si="105"/>
        <v>15</v>
      </c>
    </row>
    <row r="3367" spans="24:25" x14ac:dyDescent="0.3">
      <c r="X3367" s="1">
        <f t="shared" si="104"/>
        <v>0</v>
      </c>
      <c r="Y3367" s="1">
        <f t="shared" si="105"/>
        <v>15</v>
      </c>
    </row>
    <row r="3368" spans="24:25" x14ac:dyDescent="0.3">
      <c r="X3368" s="1">
        <f t="shared" si="104"/>
        <v>0</v>
      </c>
      <c r="Y3368" s="1">
        <f t="shared" si="105"/>
        <v>15</v>
      </c>
    </row>
    <row r="3369" spans="24:25" x14ac:dyDescent="0.3">
      <c r="X3369" s="1">
        <f t="shared" si="104"/>
        <v>0</v>
      </c>
      <c r="Y3369" s="1">
        <f t="shared" si="105"/>
        <v>15</v>
      </c>
    </row>
    <row r="3370" spans="24:25" x14ac:dyDescent="0.3">
      <c r="X3370" s="1">
        <f t="shared" si="104"/>
        <v>0</v>
      </c>
      <c r="Y3370" s="1">
        <f t="shared" si="105"/>
        <v>15</v>
      </c>
    </row>
    <row r="3371" spans="24:25" x14ac:dyDescent="0.3">
      <c r="X3371" s="1">
        <f t="shared" si="104"/>
        <v>0</v>
      </c>
      <c r="Y3371" s="1">
        <f t="shared" si="105"/>
        <v>15</v>
      </c>
    </row>
    <row r="3372" spans="24:25" x14ac:dyDescent="0.3">
      <c r="X3372" s="1">
        <f t="shared" si="104"/>
        <v>0</v>
      </c>
      <c r="Y3372" s="1">
        <f t="shared" si="105"/>
        <v>15</v>
      </c>
    </row>
    <row r="3373" spans="24:25" x14ac:dyDescent="0.3">
      <c r="X3373" s="1">
        <f t="shared" si="104"/>
        <v>0</v>
      </c>
      <c r="Y3373" s="1">
        <f t="shared" si="105"/>
        <v>15</v>
      </c>
    </row>
    <row r="3374" spans="24:25" x14ac:dyDescent="0.3">
      <c r="X3374" s="1">
        <f t="shared" si="104"/>
        <v>0</v>
      </c>
      <c r="Y3374" s="1">
        <f t="shared" si="105"/>
        <v>15</v>
      </c>
    </row>
    <row r="3375" spans="24:25" x14ac:dyDescent="0.3">
      <c r="X3375" s="1">
        <f t="shared" si="104"/>
        <v>0</v>
      </c>
      <c r="Y3375" s="1">
        <f t="shared" si="105"/>
        <v>15</v>
      </c>
    </row>
    <row r="3376" spans="24:25" x14ac:dyDescent="0.3">
      <c r="X3376" s="1">
        <f t="shared" si="104"/>
        <v>0</v>
      </c>
      <c r="Y3376" s="1">
        <f t="shared" si="105"/>
        <v>15</v>
      </c>
    </row>
    <row r="3377" spans="24:25" x14ac:dyDescent="0.3">
      <c r="X3377" s="1">
        <f t="shared" si="104"/>
        <v>0</v>
      </c>
      <c r="Y3377" s="1">
        <f t="shared" si="105"/>
        <v>15</v>
      </c>
    </row>
    <row r="3378" spans="24:25" x14ac:dyDescent="0.3">
      <c r="X3378" s="1">
        <f t="shared" si="104"/>
        <v>0</v>
      </c>
      <c r="Y3378" s="1">
        <f t="shared" si="105"/>
        <v>15</v>
      </c>
    </row>
    <row r="3379" spans="24:25" x14ac:dyDescent="0.3">
      <c r="X3379" s="1">
        <f t="shared" si="104"/>
        <v>0</v>
      </c>
      <c r="Y3379" s="1">
        <f t="shared" si="105"/>
        <v>15</v>
      </c>
    </row>
    <row r="3380" spans="24:25" x14ac:dyDescent="0.3">
      <c r="X3380" s="1">
        <f t="shared" si="104"/>
        <v>0</v>
      </c>
      <c r="Y3380" s="1">
        <f t="shared" si="105"/>
        <v>15</v>
      </c>
    </row>
    <row r="3381" spans="24:25" x14ac:dyDescent="0.3">
      <c r="X3381" s="1">
        <f t="shared" si="104"/>
        <v>0</v>
      </c>
      <c r="Y3381" s="1">
        <f t="shared" si="105"/>
        <v>15</v>
      </c>
    </row>
    <row r="3382" spans="24:25" x14ac:dyDescent="0.3">
      <c r="X3382" s="1">
        <f t="shared" si="104"/>
        <v>0</v>
      </c>
      <c r="Y3382" s="1">
        <f t="shared" si="105"/>
        <v>15</v>
      </c>
    </row>
    <row r="3383" spans="24:25" x14ac:dyDescent="0.3">
      <c r="X3383" s="1">
        <f t="shared" si="104"/>
        <v>0</v>
      </c>
      <c r="Y3383" s="1">
        <f t="shared" si="105"/>
        <v>15</v>
      </c>
    </row>
    <row r="3384" spans="24:25" x14ac:dyDescent="0.3">
      <c r="X3384" s="1">
        <f t="shared" si="104"/>
        <v>0</v>
      </c>
      <c r="Y3384" s="1">
        <f t="shared" si="105"/>
        <v>15</v>
      </c>
    </row>
    <row r="3385" spans="24:25" x14ac:dyDescent="0.3">
      <c r="X3385" s="1">
        <f t="shared" si="104"/>
        <v>0</v>
      </c>
      <c r="Y3385" s="1">
        <f t="shared" si="105"/>
        <v>15</v>
      </c>
    </row>
    <row r="3386" spans="24:25" x14ac:dyDescent="0.3">
      <c r="X3386" s="1">
        <f t="shared" si="104"/>
        <v>0</v>
      </c>
      <c r="Y3386" s="1">
        <f t="shared" si="105"/>
        <v>15</v>
      </c>
    </row>
    <row r="3387" spans="24:25" x14ac:dyDescent="0.3">
      <c r="X3387" s="1">
        <f t="shared" si="104"/>
        <v>0</v>
      </c>
      <c r="Y3387" s="1">
        <f t="shared" si="105"/>
        <v>15</v>
      </c>
    </row>
    <row r="3388" spans="24:25" x14ac:dyDescent="0.3">
      <c r="X3388" s="1">
        <f t="shared" si="104"/>
        <v>0</v>
      </c>
      <c r="Y3388" s="1">
        <f t="shared" si="105"/>
        <v>15</v>
      </c>
    </row>
    <row r="3389" spans="24:25" x14ac:dyDescent="0.3">
      <c r="X3389" s="1">
        <f t="shared" si="104"/>
        <v>0</v>
      </c>
      <c r="Y3389" s="1">
        <f t="shared" si="105"/>
        <v>15</v>
      </c>
    </row>
    <row r="3390" spans="24:25" x14ac:dyDescent="0.3">
      <c r="X3390" s="1">
        <f t="shared" si="104"/>
        <v>0</v>
      </c>
      <c r="Y3390" s="1">
        <f t="shared" si="105"/>
        <v>15</v>
      </c>
    </row>
    <row r="3391" spans="24:25" x14ac:dyDescent="0.3">
      <c r="X3391" s="1">
        <f t="shared" si="104"/>
        <v>0</v>
      </c>
      <c r="Y3391" s="1">
        <f t="shared" si="105"/>
        <v>15</v>
      </c>
    </row>
    <row r="3392" spans="24:25" x14ac:dyDescent="0.3">
      <c r="X3392" s="1">
        <f t="shared" si="104"/>
        <v>0</v>
      </c>
      <c r="Y3392" s="1">
        <f t="shared" si="105"/>
        <v>15</v>
      </c>
    </row>
    <row r="3393" spans="24:25" x14ac:dyDescent="0.3">
      <c r="X3393" s="1">
        <f t="shared" si="104"/>
        <v>0</v>
      </c>
      <c r="Y3393" s="1">
        <f t="shared" si="105"/>
        <v>15</v>
      </c>
    </row>
    <row r="3394" spans="24:25" x14ac:dyDescent="0.3">
      <c r="X3394" s="1">
        <f t="shared" si="104"/>
        <v>0</v>
      </c>
      <c r="Y3394" s="1">
        <f t="shared" si="105"/>
        <v>15</v>
      </c>
    </row>
    <row r="3395" spans="24:25" x14ac:dyDescent="0.3">
      <c r="X3395" s="1">
        <f t="shared" ref="X3395:X3458" si="106">IFERROR(MATCH(W3395,$B:$B,0),0)</f>
        <v>0</v>
      </c>
      <c r="Y3395" s="1">
        <f t="shared" ref="Y3395:Y3458" si="107">IF(X3396=0,COUNTA(A:A),X3396-1)</f>
        <v>15</v>
      </c>
    </row>
    <row r="3396" spans="24:25" x14ac:dyDescent="0.3">
      <c r="X3396" s="1">
        <f t="shared" si="106"/>
        <v>0</v>
      </c>
      <c r="Y3396" s="1">
        <f t="shared" si="107"/>
        <v>15</v>
      </c>
    </row>
    <row r="3397" spans="24:25" x14ac:dyDescent="0.3">
      <c r="X3397" s="1">
        <f t="shared" si="106"/>
        <v>0</v>
      </c>
      <c r="Y3397" s="1">
        <f t="shared" si="107"/>
        <v>15</v>
      </c>
    </row>
    <row r="3398" spans="24:25" x14ac:dyDescent="0.3">
      <c r="X3398" s="1">
        <f t="shared" si="106"/>
        <v>0</v>
      </c>
      <c r="Y3398" s="1">
        <f t="shared" si="107"/>
        <v>15</v>
      </c>
    </row>
    <row r="3399" spans="24:25" x14ac:dyDescent="0.3">
      <c r="X3399" s="1">
        <f t="shared" si="106"/>
        <v>0</v>
      </c>
      <c r="Y3399" s="1">
        <f t="shared" si="107"/>
        <v>15</v>
      </c>
    </row>
    <row r="3400" spans="24:25" x14ac:dyDescent="0.3">
      <c r="X3400" s="1">
        <f t="shared" si="106"/>
        <v>0</v>
      </c>
      <c r="Y3400" s="1">
        <f t="shared" si="107"/>
        <v>15</v>
      </c>
    </row>
    <row r="3401" spans="24:25" x14ac:dyDescent="0.3">
      <c r="X3401" s="1">
        <f t="shared" si="106"/>
        <v>0</v>
      </c>
      <c r="Y3401" s="1">
        <f t="shared" si="107"/>
        <v>15</v>
      </c>
    </row>
    <row r="3402" spans="24:25" x14ac:dyDescent="0.3">
      <c r="X3402" s="1">
        <f t="shared" si="106"/>
        <v>0</v>
      </c>
      <c r="Y3402" s="1">
        <f t="shared" si="107"/>
        <v>15</v>
      </c>
    </row>
    <row r="3403" spans="24:25" x14ac:dyDescent="0.3">
      <c r="X3403" s="1">
        <f t="shared" si="106"/>
        <v>0</v>
      </c>
      <c r="Y3403" s="1">
        <f t="shared" si="107"/>
        <v>15</v>
      </c>
    </row>
    <row r="3404" spans="24:25" x14ac:dyDescent="0.3">
      <c r="X3404" s="1">
        <f t="shared" si="106"/>
        <v>0</v>
      </c>
      <c r="Y3404" s="1">
        <f t="shared" si="107"/>
        <v>15</v>
      </c>
    </row>
    <row r="3405" spans="24:25" x14ac:dyDescent="0.3">
      <c r="X3405" s="1">
        <f t="shared" si="106"/>
        <v>0</v>
      </c>
      <c r="Y3405" s="1">
        <f t="shared" si="107"/>
        <v>15</v>
      </c>
    </row>
    <row r="3406" spans="24:25" x14ac:dyDescent="0.3">
      <c r="X3406" s="1">
        <f t="shared" si="106"/>
        <v>0</v>
      </c>
      <c r="Y3406" s="1">
        <f t="shared" si="107"/>
        <v>15</v>
      </c>
    </row>
    <row r="3407" spans="24:25" x14ac:dyDescent="0.3">
      <c r="X3407" s="1">
        <f t="shared" si="106"/>
        <v>0</v>
      </c>
      <c r="Y3407" s="1">
        <f t="shared" si="107"/>
        <v>15</v>
      </c>
    </row>
    <row r="3408" spans="24:25" x14ac:dyDescent="0.3">
      <c r="X3408" s="1">
        <f t="shared" si="106"/>
        <v>0</v>
      </c>
      <c r="Y3408" s="1">
        <f t="shared" si="107"/>
        <v>15</v>
      </c>
    </row>
    <row r="3409" spans="24:25" x14ac:dyDescent="0.3">
      <c r="X3409" s="1">
        <f t="shared" si="106"/>
        <v>0</v>
      </c>
      <c r="Y3409" s="1">
        <f t="shared" si="107"/>
        <v>15</v>
      </c>
    </row>
    <row r="3410" spans="24:25" x14ac:dyDescent="0.3">
      <c r="X3410" s="1">
        <f t="shared" si="106"/>
        <v>0</v>
      </c>
      <c r="Y3410" s="1">
        <f t="shared" si="107"/>
        <v>15</v>
      </c>
    </row>
    <row r="3411" spans="24:25" x14ac:dyDescent="0.3">
      <c r="X3411" s="1">
        <f t="shared" si="106"/>
        <v>0</v>
      </c>
      <c r="Y3411" s="1">
        <f t="shared" si="107"/>
        <v>15</v>
      </c>
    </row>
    <row r="3412" spans="24:25" x14ac:dyDescent="0.3">
      <c r="X3412" s="1">
        <f t="shared" si="106"/>
        <v>0</v>
      </c>
      <c r="Y3412" s="1">
        <f t="shared" si="107"/>
        <v>15</v>
      </c>
    </row>
    <row r="3413" spans="24:25" x14ac:dyDescent="0.3">
      <c r="X3413" s="1">
        <f t="shared" si="106"/>
        <v>0</v>
      </c>
      <c r="Y3413" s="1">
        <f t="shared" si="107"/>
        <v>15</v>
      </c>
    </row>
    <row r="3414" spans="24:25" x14ac:dyDescent="0.3">
      <c r="X3414" s="1">
        <f t="shared" si="106"/>
        <v>0</v>
      </c>
      <c r="Y3414" s="1">
        <f t="shared" si="107"/>
        <v>15</v>
      </c>
    </row>
    <row r="3415" spans="24:25" x14ac:dyDescent="0.3">
      <c r="X3415" s="1">
        <f t="shared" si="106"/>
        <v>0</v>
      </c>
      <c r="Y3415" s="1">
        <f t="shared" si="107"/>
        <v>15</v>
      </c>
    </row>
    <row r="3416" spans="24:25" x14ac:dyDescent="0.3">
      <c r="X3416" s="1">
        <f t="shared" si="106"/>
        <v>0</v>
      </c>
      <c r="Y3416" s="1">
        <f t="shared" si="107"/>
        <v>15</v>
      </c>
    </row>
    <row r="3417" spans="24:25" x14ac:dyDescent="0.3">
      <c r="X3417" s="1">
        <f t="shared" si="106"/>
        <v>0</v>
      </c>
      <c r="Y3417" s="1">
        <f t="shared" si="107"/>
        <v>15</v>
      </c>
    </row>
    <row r="3418" spans="24:25" x14ac:dyDescent="0.3">
      <c r="X3418" s="1">
        <f t="shared" si="106"/>
        <v>0</v>
      </c>
      <c r="Y3418" s="1">
        <f t="shared" si="107"/>
        <v>15</v>
      </c>
    </row>
    <row r="3419" spans="24:25" x14ac:dyDescent="0.3">
      <c r="X3419" s="1">
        <f t="shared" si="106"/>
        <v>0</v>
      </c>
      <c r="Y3419" s="1">
        <f t="shared" si="107"/>
        <v>15</v>
      </c>
    </row>
    <row r="3420" spans="24:25" x14ac:dyDescent="0.3">
      <c r="X3420" s="1">
        <f t="shared" si="106"/>
        <v>0</v>
      </c>
      <c r="Y3420" s="1">
        <f t="shared" si="107"/>
        <v>15</v>
      </c>
    </row>
    <row r="3421" spans="24:25" x14ac:dyDescent="0.3">
      <c r="X3421" s="1">
        <f t="shared" si="106"/>
        <v>0</v>
      </c>
      <c r="Y3421" s="1">
        <f t="shared" si="107"/>
        <v>15</v>
      </c>
    </row>
    <row r="3422" spans="24:25" x14ac:dyDescent="0.3">
      <c r="X3422" s="1">
        <f t="shared" si="106"/>
        <v>0</v>
      </c>
      <c r="Y3422" s="1">
        <f t="shared" si="107"/>
        <v>15</v>
      </c>
    </row>
    <row r="3423" spans="24:25" x14ac:dyDescent="0.3">
      <c r="X3423" s="1">
        <f t="shared" si="106"/>
        <v>0</v>
      </c>
      <c r="Y3423" s="1">
        <f t="shared" si="107"/>
        <v>15</v>
      </c>
    </row>
    <row r="3424" spans="24:25" x14ac:dyDescent="0.3">
      <c r="X3424" s="1">
        <f t="shared" si="106"/>
        <v>0</v>
      </c>
      <c r="Y3424" s="1">
        <f t="shared" si="107"/>
        <v>15</v>
      </c>
    </row>
    <row r="3425" spans="24:25" x14ac:dyDescent="0.3">
      <c r="X3425" s="1">
        <f t="shared" si="106"/>
        <v>0</v>
      </c>
      <c r="Y3425" s="1">
        <f t="shared" si="107"/>
        <v>15</v>
      </c>
    </row>
    <row r="3426" spans="24:25" x14ac:dyDescent="0.3">
      <c r="X3426" s="1">
        <f t="shared" si="106"/>
        <v>0</v>
      </c>
      <c r="Y3426" s="1">
        <f t="shared" si="107"/>
        <v>15</v>
      </c>
    </row>
    <row r="3427" spans="24:25" x14ac:dyDescent="0.3">
      <c r="X3427" s="1">
        <f t="shared" si="106"/>
        <v>0</v>
      </c>
      <c r="Y3427" s="1">
        <f t="shared" si="107"/>
        <v>15</v>
      </c>
    </row>
    <row r="3428" spans="24:25" x14ac:dyDescent="0.3">
      <c r="X3428" s="1">
        <f t="shared" si="106"/>
        <v>0</v>
      </c>
      <c r="Y3428" s="1">
        <f t="shared" si="107"/>
        <v>15</v>
      </c>
    </row>
    <row r="3429" spans="24:25" x14ac:dyDescent="0.3">
      <c r="X3429" s="1">
        <f t="shared" si="106"/>
        <v>0</v>
      </c>
      <c r="Y3429" s="1">
        <f t="shared" si="107"/>
        <v>15</v>
      </c>
    </row>
    <row r="3430" spans="24:25" x14ac:dyDescent="0.3">
      <c r="X3430" s="1">
        <f t="shared" si="106"/>
        <v>0</v>
      </c>
      <c r="Y3430" s="1">
        <f t="shared" si="107"/>
        <v>15</v>
      </c>
    </row>
    <row r="3431" spans="24:25" x14ac:dyDescent="0.3">
      <c r="X3431" s="1">
        <f t="shared" si="106"/>
        <v>0</v>
      </c>
      <c r="Y3431" s="1">
        <f t="shared" si="107"/>
        <v>15</v>
      </c>
    </row>
    <row r="3432" spans="24:25" x14ac:dyDescent="0.3">
      <c r="X3432" s="1">
        <f t="shared" si="106"/>
        <v>0</v>
      </c>
      <c r="Y3432" s="1">
        <f t="shared" si="107"/>
        <v>15</v>
      </c>
    </row>
    <row r="3433" spans="24:25" x14ac:dyDescent="0.3">
      <c r="X3433" s="1">
        <f t="shared" si="106"/>
        <v>0</v>
      </c>
      <c r="Y3433" s="1">
        <f t="shared" si="107"/>
        <v>15</v>
      </c>
    </row>
    <row r="3434" spans="24:25" x14ac:dyDescent="0.3">
      <c r="X3434" s="1">
        <f t="shared" si="106"/>
        <v>0</v>
      </c>
      <c r="Y3434" s="1">
        <f t="shared" si="107"/>
        <v>15</v>
      </c>
    </row>
    <row r="3435" spans="24:25" x14ac:dyDescent="0.3">
      <c r="X3435" s="1">
        <f t="shared" si="106"/>
        <v>0</v>
      </c>
      <c r="Y3435" s="1">
        <f t="shared" si="107"/>
        <v>15</v>
      </c>
    </row>
    <row r="3436" spans="24:25" x14ac:dyDescent="0.3">
      <c r="X3436" s="1">
        <f t="shared" si="106"/>
        <v>0</v>
      </c>
      <c r="Y3436" s="1">
        <f t="shared" si="107"/>
        <v>15</v>
      </c>
    </row>
    <row r="3437" spans="24:25" x14ac:dyDescent="0.3">
      <c r="X3437" s="1">
        <f t="shared" si="106"/>
        <v>0</v>
      </c>
      <c r="Y3437" s="1">
        <f t="shared" si="107"/>
        <v>15</v>
      </c>
    </row>
    <row r="3438" spans="24:25" x14ac:dyDescent="0.3">
      <c r="X3438" s="1">
        <f t="shared" si="106"/>
        <v>0</v>
      </c>
      <c r="Y3438" s="1">
        <f t="shared" si="107"/>
        <v>15</v>
      </c>
    </row>
    <row r="3439" spans="24:25" x14ac:dyDescent="0.3">
      <c r="X3439" s="1">
        <f t="shared" si="106"/>
        <v>0</v>
      </c>
      <c r="Y3439" s="1">
        <f t="shared" si="107"/>
        <v>15</v>
      </c>
    </row>
    <row r="3440" spans="24:25" x14ac:dyDescent="0.3">
      <c r="X3440" s="1">
        <f t="shared" si="106"/>
        <v>0</v>
      </c>
      <c r="Y3440" s="1">
        <f t="shared" si="107"/>
        <v>15</v>
      </c>
    </row>
    <row r="3441" spans="24:25" x14ac:dyDescent="0.3">
      <c r="X3441" s="1">
        <f t="shared" si="106"/>
        <v>0</v>
      </c>
      <c r="Y3441" s="1">
        <f t="shared" si="107"/>
        <v>15</v>
      </c>
    </row>
    <row r="3442" spans="24:25" x14ac:dyDescent="0.3">
      <c r="X3442" s="1">
        <f t="shared" si="106"/>
        <v>0</v>
      </c>
      <c r="Y3442" s="1">
        <f t="shared" si="107"/>
        <v>15</v>
      </c>
    </row>
    <row r="3443" spans="24:25" x14ac:dyDescent="0.3">
      <c r="X3443" s="1">
        <f t="shared" si="106"/>
        <v>0</v>
      </c>
      <c r="Y3443" s="1">
        <f t="shared" si="107"/>
        <v>15</v>
      </c>
    </row>
    <row r="3444" spans="24:25" x14ac:dyDescent="0.3">
      <c r="X3444" s="1">
        <f t="shared" si="106"/>
        <v>0</v>
      </c>
      <c r="Y3444" s="1">
        <f t="shared" si="107"/>
        <v>15</v>
      </c>
    </row>
    <row r="3445" spans="24:25" x14ac:dyDescent="0.3">
      <c r="X3445" s="1">
        <f t="shared" si="106"/>
        <v>0</v>
      </c>
      <c r="Y3445" s="1">
        <f t="shared" si="107"/>
        <v>15</v>
      </c>
    </row>
    <row r="3446" spans="24:25" x14ac:dyDescent="0.3">
      <c r="X3446" s="1">
        <f t="shared" si="106"/>
        <v>0</v>
      </c>
      <c r="Y3446" s="1">
        <f t="shared" si="107"/>
        <v>15</v>
      </c>
    </row>
    <row r="3447" spans="24:25" x14ac:dyDescent="0.3">
      <c r="X3447" s="1">
        <f t="shared" si="106"/>
        <v>0</v>
      </c>
      <c r="Y3447" s="1">
        <f t="shared" si="107"/>
        <v>15</v>
      </c>
    </row>
    <row r="3448" spans="24:25" x14ac:dyDescent="0.3">
      <c r="X3448" s="1">
        <f t="shared" si="106"/>
        <v>0</v>
      </c>
      <c r="Y3448" s="1">
        <f t="shared" si="107"/>
        <v>15</v>
      </c>
    </row>
    <row r="3449" spans="24:25" x14ac:dyDescent="0.3">
      <c r="X3449" s="1">
        <f t="shared" si="106"/>
        <v>0</v>
      </c>
      <c r="Y3449" s="1">
        <f t="shared" si="107"/>
        <v>15</v>
      </c>
    </row>
    <row r="3450" spans="24:25" x14ac:dyDescent="0.3">
      <c r="X3450" s="1">
        <f t="shared" si="106"/>
        <v>0</v>
      </c>
      <c r="Y3450" s="1">
        <f t="shared" si="107"/>
        <v>15</v>
      </c>
    </row>
    <row r="3451" spans="24:25" x14ac:dyDescent="0.3">
      <c r="X3451" s="1">
        <f t="shared" si="106"/>
        <v>0</v>
      </c>
      <c r="Y3451" s="1">
        <f t="shared" si="107"/>
        <v>15</v>
      </c>
    </row>
    <row r="3452" spans="24:25" x14ac:dyDescent="0.3">
      <c r="X3452" s="1">
        <f t="shared" si="106"/>
        <v>0</v>
      </c>
      <c r="Y3452" s="1">
        <f t="shared" si="107"/>
        <v>15</v>
      </c>
    </row>
    <row r="3453" spans="24:25" x14ac:dyDescent="0.3">
      <c r="X3453" s="1">
        <f t="shared" si="106"/>
        <v>0</v>
      </c>
      <c r="Y3453" s="1">
        <f t="shared" si="107"/>
        <v>15</v>
      </c>
    </row>
    <row r="3454" spans="24:25" x14ac:dyDescent="0.3">
      <c r="X3454" s="1">
        <f t="shared" si="106"/>
        <v>0</v>
      </c>
      <c r="Y3454" s="1">
        <f t="shared" si="107"/>
        <v>15</v>
      </c>
    </row>
    <row r="3455" spans="24:25" x14ac:dyDescent="0.3">
      <c r="X3455" s="1">
        <f t="shared" si="106"/>
        <v>0</v>
      </c>
      <c r="Y3455" s="1">
        <f t="shared" si="107"/>
        <v>15</v>
      </c>
    </row>
    <row r="3456" spans="24:25" x14ac:dyDescent="0.3">
      <c r="X3456" s="1">
        <f t="shared" si="106"/>
        <v>0</v>
      </c>
      <c r="Y3456" s="1">
        <f t="shared" si="107"/>
        <v>15</v>
      </c>
    </row>
    <row r="3457" spans="24:25" x14ac:dyDescent="0.3">
      <c r="X3457" s="1">
        <f t="shared" si="106"/>
        <v>0</v>
      </c>
      <c r="Y3457" s="1">
        <f t="shared" si="107"/>
        <v>15</v>
      </c>
    </row>
    <row r="3458" spans="24:25" x14ac:dyDescent="0.3">
      <c r="X3458" s="1">
        <f t="shared" si="106"/>
        <v>0</v>
      </c>
      <c r="Y3458" s="1">
        <f t="shared" si="107"/>
        <v>15</v>
      </c>
    </row>
    <row r="3459" spans="24:25" x14ac:dyDescent="0.3">
      <c r="X3459" s="1">
        <f t="shared" ref="X3459:X3522" si="108">IFERROR(MATCH(W3459,$B:$B,0),0)</f>
        <v>0</v>
      </c>
      <c r="Y3459" s="1">
        <f t="shared" ref="Y3459:Y3522" si="109">IF(X3460=0,COUNTA(A:A),X3460-1)</f>
        <v>15</v>
      </c>
    </row>
    <row r="3460" spans="24:25" x14ac:dyDescent="0.3">
      <c r="X3460" s="1">
        <f t="shared" si="108"/>
        <v>0</v>
      </c>
      <c r="Y3460" s="1">
        <f t="shared" si="109"/>
        <v>15</v>
      </c>
    </row>
    <row r="3461" spans="24:25" x14ac:dyDescent="0.3">
      <c r="X3461" s="1">
        <f t="shared" si="108"/>
        <v>0</v>
      </c>
      <c r="Y3461" s="1">
        <f t="shared" si="109"/>
        <v>15</v>
      </c>
    </row>
    <row r="3462" spans="24:25" x14ac:dyDescent="0.3">
      <c r="X3462" s="1">
        <f t="shared" si="108"/>
        <v>0</v>
      </c>
      <c r="Y3462" s="1">
        <f t="shared" si="109"/>
        <v>15</v>
      </c>
    </row>
    <row r="3463" spans="24:25" x14ac:dyDescent="0.3">
      <c r="X3463" s="1">
        <f t="shared" si="108"/>
        <v>0</v>
      </c>
      <c r="Y3463" s="1">
        <f t="shared" si="109"/>
        <v>15</v>
      </c>
    </row>
    <row r="3464" spans="24:25" x14ac:dyDescent="0.3">
      <c r="X3464" s="1">
        <f t="shared" si="108"/>
        <v>0</v>
      </c>
      <c r="Y3464" s="1">
        <f t="shared" si="109"/>
        <v>15</v>
      </c>
    </row>
    <row r="3465" spans="24:25" x14ac:dyDescent="0.3">
      <c r="X3465" s="1">
        <f t="shared" si="108"/>
        <v>0</v>
      </c>
      <c r="Y3465" s="1">
        <f t="shared" si="109"/>
        <v>15</v>
      </c>
    </row>
    <row r="3466" spans="24:25" x14ac:dyDescent="0.3">
      <c r="X3466" s="1">
        <f t="shared" si="108"/>
        <v>0</v>
      </c>
      <c r="Y3466" s="1">
        <f t="shared" si="109"/>
        <v>15</v>
      </c>
    </row>
    <row r="3467" spans="24:25" x14ac:dyDescent="0.3">
      <c r="X3467" s="1">
        <f t="shared" si="108"/>
        <v>0</v>
      </c>
      <c r="Y3467" s="1">
        <f t="shared" si="109"/>
        <v>15</v>
      </c>
    </row>
    <row r="3468" spans="24:25" x14ac:dyDescent="0.3">
      <c r="X3468" s="1">
        <f t="shared" si="108"/>
        <v>0</v>
      </c>
      <c r="Y3468" s="1">
        <f t="shared" si="109"/>
        <v>15</v>
      </c>
    </row>
    <row r="3469" spans="24:25" x14ac:dyDescent="0.3">
      <c r="X3469" s="1">
        <f t="shared" si="108"/>
        <v>0</v>
      </c>
      <c r="Y3469" s="1">
        <f t="shared" si="109"/>
        <v>15</v>
      </c>
    </row>
    <row r="3470" spans="24:25" x14ac:dyDescent="0.3">
      <c r="X3470" s="1">
        <f t="shared" si="108"/>
        <v>0</v>
      </c>
      <c r="Y3470" s="1">
        <f t="shared" si="109"/>
        <v>15</v>
      </c>
    </row>
    <row r="3471" spans="24:25" x14ac:dyDescent="0.3">
      <c r="X3471" s="1">
        <f t="shared" si="108"/>
        <v>0</v>
      </c>
      <c r="Y3471" s="1">
        <f t="shared" si="109"/>
        <v>15</v>
      </c>
    </row>
    <row r="3472" spans="24:25" x14ac:dyDescent="0.3">
      <c r="X3472" s="1">
        <f t="shared" si="108"/>
        <v>0</v>
      </c>
      <c r="Y3472" s="1">
        <f t="shared" si="109"/>
        <v>15</v>
      </c>
    </row>
    <row r="3473" spans="24:25" x14ac:dyDescent="0.3">
      <c r="X3473" s="1">
        <f t="shared" si="108"/>
        <v>0</v>
      </c>
      <c r="Y3473" s="1">
        <f t="shared" si="109"/>
        <v>15</v>
      </c>
    </row>
    <row r="3474" spans="24:25" x14ac:dyDescent="0.3">
      <c r="X3474" s="1">
        <f t="shared" si="108"/>
        <v>0</v>
      </c>
      <c r="Y3474" s="1">
        <f t="shared" si="109"/>
        <v>15</v>
      </c>
    </row>
    <row r="3475" spans="24:25" x14ac:dyDescent="0.3">
      <c r="X3475" s="1">
        <f t="shared" si="108"/>
        <v>0</v>
      </c>
      <c r="Y3475" s="1">
        <f t="shared" si="109"/>
        <v>15</v>
      </c>
    </row>
    <row r="3476" spans="24:25" x14ac:dyDescent="0.3">
      <c r="X3476" s="1">
        <f t="shared" si="108"/>
        <v>0</v>
      </c>
      <c r="Y3476" s="1">
        <f t="shared" si="109"/>
        <v>15</v>
      </c>
    </row>
    <row r="3477" spans="24:25" x14ac:dyDescent="0.3">
      <c r="X3477" s="1">
        <f t="shared" si="108"/>
        <v>0</v>
      </c>
      <c r="Y3477" s="1">
        <f t="shared" si="109"/>
        <v>15</v>
      </c>
    </row>
    <row r="3478" spans="24:25" x14ac:dyDescent="0.3">
      <c r="X3478" s="1">
        <f t="shared" si="108"/>
        <v>0</v>
      </c>
      <c r="Y3478" s="1">
        <f t="shared" si="109"/>
        <v>15</v>
      </c>
    </row>
    <row r="3479" spans="24:25" x14ac:dyDescent="0.3">
      <c r="X3479" s="1">
        <f t="shared" si="108"/>
        <v>0</v>
      </c>
      <c r="Y3479" s="1">
        <f t="shared" si="109"/>
        <v>15</v>
      </c>
    </row>
    <row r="3480" spans="24:25" x14ac:dyDescent="0.3">
      <c r="X3480" s="1">
        <f t="shared" si="108"/>
        <v>0</v>
      </c>
      <c r="Y3480" s="1">
        <f t="shared" si="109"/>
        <v>15</v>
      </c>
    </row>
    <row r="3481" spans="24:25" x14ac:dyDescent="0.3">
      <c r="X3481" s="1">
        <f t="shared" si="108"/>
        <v>0</v>
      </c>
      <c r="Y3481" s="1">
        <f t="shared" si="109"/>
        <v>15</v>
      </c>
    </row>
    <row r="3482" spans="24:25" x14ac:dyDescent="0.3">
      <c r="X3482" s="1">
        <f t="shared" si="108"/>
        <v>0</v>
      </c>
      <c r="Y3482" s="1">
        <f t="shared" si="109"/>
        <v>15</v>
      </c>
    </row>
    <row r="3483" spans="24:25" x14ac:dyDescent="0.3">
      <c r="X3483" s="1">
        <f t="shared" si="108"/>
        <v>0</v>
      </c>
      <c r="Y3483" s="1">
        <f t="shared" si="109"/>
        <v>15</v>
      </c>
    </row>
    <row r="3484" spans="24:25" x14ac:dyDescent="0.3">
      <c r="X3484" s="1">
        <f t="shared" si="108"/>
        <v>0</v>
      </c>
      <c r="Y3484" s="1">
        <f t="shared" si="109"/>
        <v>15</v>
      </c>
    </row>
    <row r="3485" spans="24:25" x14ac:dyDescent="0.3">
      <c r="X3485" s="1">
        <f t="shared" si="108"/>
        <v>0</v>
      </c>
      <c r="Y3485" s="1">
        <f t="shared" si="109"/>
        <v>15</v>
      </c>
    </row>
    <row r="3486" spans="24:25" x14ac:dyDescent="0.3">
      <c r="X3486" s="1">
        <f t="shared" si="108"/>
        <v>0</v>
      </c>
      <c r="Y3486" s="1">
        <f t="shared" si="109"/>
        <v>15</v>
      </c>
    </row>
    <row r="3487" spans="24:25" x14ac:dyDescent="0.3">
      <c r="X3487" s="1">
        <f t="shared" si="108"/>
        <v>0</v>
      </c>
      <c r="Y3487" s="1">
        <f t="shared" si="109"/>
        <v>15</v>
      </c>
    </row>
    <row r="3488" spans="24:25" x14ac:dyDescent="0.3">
      <c r="X3488" s="1">
        <f t="shared" si="108"/>
        <v>0</v>
      </c>
      <c r="Y3488" s="1">
        <f t="shared" si="109"/>
        <v>15</v>
      </c>
    </row>
    <row r="3489" spans="24:25" x14ac:dyDescent="0.3">
      <c r="X3489" s="1">
        <f t="shared" si="108"/>
        <v>0</v>
      </c>
      <c r="Y3489" s="1">
        <f t="shared" si="109"/>
        <v>15</v>
      </c>
    </row>
    <row r="3490" spans="24:25" x14ac:dyDescent="0.3">
      <c r="X3490" s="1">
        <f t="shared" si="108"/>
        <v>0</v>
      </c>
      <c r="Y3490" s="1">
        <f t="shared" si="109"/>
        <v>15</v>
      </c>
    </row>
    <row r="3491" spans="24:25" x14ac:dyDescent="0.3">
      <c r="X3491" s="1">
        <f t="shared" si="108"/>
        <v>0</v>
      </c>
      <c r="Y3491" s="1">
        <f t="shared" si="109"/>
        <v>15</v>
      </c>
    </row>
    <row r="3492" spans="24:25" x14ac:dyDescent="0.3">
      <c r="X3492" s="1">
        <f t="shared" si="108"/>
        <v>0</v>
      </c>
      <c r="Y3492" s="1">
        <f t="shared" si="109"/>
        <v>15</v>
      </c>
    </row>
    <row r="3493" spans="24:25" x14ac:dyDescent="0.3">
      <c r="X3493" s="1">
        <f t="shared" si="108"/>
        <v>0</v>
      </c>
      <c r="Y3493" s="1">
        <f t="shared" si="109"/>
        <v>15</v>
      </c>
    </row>
    <row r="3494" spans="24:25" x14ac:dyDescent="0.3">
      <c r="X3494" s="1">
        <f t="shared" si="108"/>
        <v>0</v>
      </c>
      <c r="Y3494" s="1">
        <f t="shared" si="109"/>
        <v>15</v>
      </c>
    </row>
    <row r="3495" spans="24:25" x14ac:dyDescent="0.3">
      <c r="X3495" s="1">
        <f t="shared" si="108"/>
        <v>0</v>
      </c>
      <c r="Y3495" s="1">
        <f t="shared" si="109"/>
        <v>15</v>
      </c>
    </row>
    <row r="3496" spans="24:25" x14ac:dyDescent="0.3">
      <c r="X3496" s="1">
        <f t="shared" si="108"/>
        <v>0</v>
      </c>
      <c r="Y3496" s="1">
        <f t="shared" si="109"/>
        <v>15</v>
      </c>
    </row>
    <row r="3497" spans="24:25" x14ac:dyDescent="0.3">
      <c r="X3497" s="1">
        <f t="shared" si="108"/>
        <v>0</v>
      </c>
      <c r="Y3497" s="1">
        <f t="shared" si="109"/>
        <v>15</v>
      </c>
    </row>
    <row r="3498" spans="24:25" x14ac:dyDescent="0.3">
      <c r="X3498" s="1">
        <f t="shared" si="108"/>
        <v>0</v>
      </c>
      <c r="Y3498" s="1">
        <f t="shared" si="109"/>
        <v>15</v>
      </c>
    </row>
    <row r="3499" spans="24:25" x14ac:dyDescent="0.3">
      <c r="X3499" s="1">
        <f t="shared" si="108"/>
        <v>0</v>
      </c>
      <c r="Y3499" s="1">
        <f t="shared" si="109"/>
        <v>15</v>
      </c>
    </row>
    <row r="3500" spans="24:25" x14ac:dyDescent="0.3">
      <c r="X3500" s="1">
        <f t="shared" si="108"/>
        <v>0</v>
      </c>
      <c r="Y3500" s="1">
        <f t="shared" si="109"/>
        <v>15</v>
      </c>
    </row>
    <row r="3501" spans="24:25" x14ac:dyDescent="0.3">
      <c r="X3501" s="1">
        <f t="shared" si="108"/>
        <v>0</v>
      </c>
      <c r="Y3501" s="1">
        <f t="shared" si="109"/>
        <v>15</v>
      </c>
    </row>
    <row r="3502" spans="24:25" x14ac:dyDescent="0.3">
      <c r="X3502" s="1">
        <f t="shared" si="108"/>
        <v>0</v>
      </c>
      <c r="Y3502" s="1">
        <f t="shared" si="109"/>
        <v>15</v>
      </c>
    </row>
    <row r="3503" spans="24:25" x14ac:dyDescent="0.3">
      <c r="X3503" s="1">
        <f t="shared" si="108"/>
        <v>0</v>
      </c>
      <c r="Y3503" s="1">
        <f t="shared" si="109"/>
        <v>15</v>
      </c>
    </row>
    <row r="3504" spans="24:25" x14ac:dyDescent="0.3">
      <c r="X3504" s="1">
        <f t="shared" si="108"/>
        <v>0</v>
      </c>
      <c r="Y3504" s="1">
        <f t="shared" si="109"/>
        <v>15</v>
      </c>
    </row>
    <row r="3505" spans="24:25" x14ac:dyDescent="0.3">
      <c r="X3505" s="1">
        <f t="shared" si="108"/>
        <v>0</v>
      </c>
      <c r="Y3505" s="1">
        <f t="shared" si="109"/>
        <v>15</v>
      </c>
    </row>
    <row r="3506" spans="24:25" x14ac:dyDescent="0.3">
      <c r="X3506" s="1">
        <f t="shared" si="108"/>
        <v>0</v>
      </c>
      <c r="Y3506" s="1">
        <f t="shared" si="109"/>
        <v>15</v>
      </c>
    </row>
    <row r="3507" spans="24:25" x14ac:dyDescent="0.3">
      <c r="X3507" s="1">
        <f t="shared" si="108"/>
        <v>0</v>
      </c>
      <c r="Y3507" s="1">
        <f t="shared" si="109"/>
        <v>15</v>
      </c>
    </row>
    <row r="3508" spans="24:25" x14ac:dyDescent="0.3">
      <c r="X3508" s="1">
        <f t="shared" si="108"/>
        <v>0</v>
      </c>
      <c r="Y3508" s="1">
        <f t="shared" si="109"/>
        <v>15</v>
      </c>
    </row>
    <row r="3509" spans="24:25" x14ac:dyDescent="0.3">
      <c r="X3509" s="1">
        <f t="shared" si="108"/>
        <v>0</v>
      </c>
      <c r="Y3509" s="1">
        <f t="shared" si="109"/>
        <v>15</v>
      </c>
    </row>
    <row r="3510" spans="24:25" x14ac:dyDescent="0.3">
      <c r="X3510" s="1">
        <f t="shared" si="108"/>
        <v>0</v>
      </c>
      <c r="Y3510" s="1">
        <f t="shared" si="109"/>
        <v>15</v>
      </c>
    </row>
    <row r="3511" spans="24:25" x14ac:dyDescent="0.3">
      <c r="X3511" s="1">
        <f t="shared" si="108"/>
        <v>0</v>
      </c>
      <c r="Y3511" s="1">
        <f t="shared" si="109"/>
        <v>15</v>
      </c>
    </row>
    <row r="3512" spans="24:25" x14ac:dyDescent="0.3">
      <c r="X3512" s="1">
        <f t="shared" si="108"/>
        <v>0</v>
      </c>
      <c r="Y3512" s="1">
        <f t="shared" si="109"/>
        <v>15</v>
      </c>
    </row>
    <row r="3513" spans="24:25" x14ac:dyDescent="0.3">
      <c r="X3513" s="1">
        <f t="shared" si="108"/>
        <v>0</v>
      </c>
      <c r="Y3513" s="1">
        <f t="shared" si="109"/>
        <v>15</v>
      </c>
    </row>
    <row r="3514" spans="24:25" x14ac:dyDescent="0.3">
      <c r="X3514" s="1">
        <f t="shared" si="108"/>
        <v>0</v>
      </c>
      <c r="Y3514" s="1">
        <f t="shared" si="109"/>
        <v>15</v>
      </c>
    </row>
    <row r="3515" spans="24:25" x14ac:dyDescent="0.3">
      <c r="X3515" s="1">
        <f t="shared" si="108"/>
        <v>0</v>
      </c>
      <c r="Y3515" s="1">
        <f t="shared" si="109"/>
        <v>15</v>
      </c>
    </row>
    <row r="3516" spans="24:25" x14ac:dyDescent="0.3">
      <c r="X3516" s="1">
        <f t="shared" si="108"/>
        <v>0</v>
      </c>
      <c r="Y3516" s="1">
        <f t="shared" si="109"/>
        <v>15</v>
      </c>
    </row>
    <row r="3517" spans="24:25" x14ac:dyDescent="0.3">
      <c r="X3517" s="1">
        <f t="shared" si="108"/>
        <v>0</v>
      </c>
      <c r="Y3517" s="1">
        <f t="shared" si="109"/>
        <v>15</v>
      </c>
    </row>
    <row r="3518" spans="24:25" x14ac:dyDescent="0.3">
      <c r="X3518" s="1">
        <f t="shared" si="108"/>
        <v>0</v>
      </c>
      <c r="Y3518" s="1">
        <f t="shared" si="109"/>
        <v>15</v>
      </c>
    </row>
    <row r="3519" spans="24:25" x14ac:dyDescent="0.3">
      <c r="X3519" s="1">
        <f t="shared" si="108"/>
        <v>0</v>
      </c>
      <c r="Y3519" s="1">
        <f t="shared" si="109"/>
        <v>15</v>
      </c>
    </row>
    <row r="3520" spans="24:25" x14ac:dyDescent="0.3">
      <c r="X3520" s="1">
        <f t="shared" si="108"/>
        <v>0</v>
      </c>
      <c r="Y3520" s="1">
        <f t="shared" si="109"/>
        <v>15</v>
      </c>
    </row>
    <row r="3521" spans="24:25" x14ac:dyDescent="0.3">
      <c r="X3521" s="1">
        <f t="shared" si="108"/>
        <v>0</v>
      </c>
      <c r="Y3521" s="1">
        <f t="shared" si="109"/>
        <v>15</v>
      </c>
    </row>
    <row r="3522" spans="24:25" x14ac:dyDescent="0.3">
      <c r="X3522" s="1">
        <f t="shared" si="108"/>
        <v>0</v>
      </c>
      <c r="Y3522" s="1">
        <f t="shared" si="109"/>
        <v>15</v>
      </c>
    </row>
    <row r="3523" spans="24:25" x14ac:dyDescent="0.3">
      <c r="X3523" s="1">
        <f t="shared" ref="X3523:X3586" si="110">IFERROR(MATCH(W3523,$B:$B,0),0)</f>
        <v>0</v>
      </c>
      <c r="Y3523" s="1">
        <f t="shared" ref="Y3523:Y3586" si="111">IF(X3524=0,COUNTA(A:A),X3524-1)</f>
        <v>15</v>
      </c>
    </row>
    <row r="3524" spans="24:25" x14ac:dyDescent="0.3">
      <c r="X3524" s="1">
        <f t="shared" si="110"/>
        <v>0</v>
      </c>
      <c r="Y3524" s="1">
        <f t="shared" si="111"/>
        <v>15</v>
      </c>
    </row>
    <row r="3525" spans="24:25" x14ac:dyDescent="0.3">
      <c r="X3525" s="1">
        <f t="shared" si="110"/>
        <v>0</v>
      </c>
      <c r="Y3525" s="1">
        <f t="shared" si="111"/>
        <v>15</v>
      </c>
    </row>
    <row r="3526" spans="24:25" x14ac:dyDescent="0.3">
      <c r="X3526" s="1">
        <f t="shared" si="110"/>
        <v>0</v>
      </c>
      <c r="Y3526" s="1">
        <f t="shared" si="111"/>
        <v>15</v>
      </c>
    </row>
    <row r="3527" spans="24:25" x14ac:dyDescent="0.3">
      <c r="X3527" s="1">
        <f t="shared" si="110"/>
        <v>0</v>
      </c>
      <c r="Y3527" s="1">
        <f t="shared" si="111"/>
        <v>15</v>
      </c>
    </row>
    <row r="3528" spans="24:25" x14ac:dyDescent="0.3">
      <c r="X3528" s="1">
        <f t="shared" si="110"/>
        <v>0</v>
      </c>
      <c r="Y3528" s="1">
        <f t="shared" si="111"/>
        <v>15</v>
      </c>
    </row>
    <row r="3529" spans="24:25" x14ac:dyDescent="0.3">
      <c r="X3529" s="1">
        <f t="shared" si="110"/>
        <v>0</v>
      </c>
      <c r="Y3529" s="1">
        <f t="shared" si="111"/>
        <v>15</v>
      </c>
    </row>
    <row r="3530" spans="24:25" x14ac:dyDescent="0.3">
      <c r="X3530" s="1">
        <f t="shared" si="110"/>
        <v>0</v>
      </c>
      <c r="Y3530" s="1">
        <f t="shared" si="111"/>
        <v>15</v>
      </c>
    </row>
    <row r="3531" spans="24:25" x14ac:dyDescent="0.3">
      <c r="X3531" s="1">
        <f t="shared" si="110"/>
        <v>0</v>
      </c>
      <c r="Y3531" s="1">
        <f t="shared" si="111"/>
        <v>15</v>
      </c>
    </row>
    <row r="3532" spans="24:25" x14ac:dyDescent="0.3">
      <c r="X3532" s="1">
        <f t="shared" si="110"/>
        <v>0</v>
      </c>
      <c r="Y3532" s="1">
        <f t="shared" si="111"/>
        <v>15</v>
      </c>
    </row>
    <row r="3533" spans="24:25" x14ac:dyDescent="0.3">
      <c r="X3533" s="1">
        <f t="shared" si="110"/>
        <v>0</v>
      </c>
      <c r="Y3533" s="1">
        <f t="shared" si="111"/>
        <v>15</v>
      </c>
    </row>
    <row r="3534" spans="24:25" x14ac:dyDescent="0.3">
      <c r="X3534" s="1">
        <f t="shared" si="110"/>
        <v>0</v>
      </c>
      <c r="Y3534" s="1">
        <f t="shared" si="111"/>
        <v>15</v>
      </c>
    </row>
    <row r="3535" spans="24:25" x14ac:dyDescent="0.3">
      <c r="X3535" s="1">
        <f t="shared" si="110"/>
        <v>0</v>
      </c>
      <c r="Y3535" s="1">
        <f t="shared" si="111"/>
        <v>15</v>
      </c>
    </row>
    <row r="3536" spans="24:25" x14ac:dyDescent="0.3">
      <c r="X3536" s="1">
        <f t="shared" si="110"/>
        <v>0</v>
      </c>
      <c r="Y3536" s="1">
        <f t="shared" si="111"/>
        <v>15</v>
      </c>
    </row>
    <row r="3537" spans="24:25" x14ac:dyDescent="0.3">
      <c r="X3537" s="1">
        <f t="shared" si="110"/>
        <v>0</v>
      </c>
      <c r="Y3537" s="1">
        <f t="shared" si="111"/>
        <v>15</v>
      </c>
    </row>
    <row r="3538" spans="24:25" x14ac:dyDescent="0.3">
      <c r="X3538" s="1">
        <f t="shared" si="110"/>
        <v>0</v>
      </c>
      <c r="Y3538" s="1">
        <f t="shared" si="111"/>
        <v>15</v>
      </c>
    </row>
    <row r="3539" spans="24:25" x14ac:dyDescent="0.3">
      <c r="X3539" s="1">
        <f t="shared" si="110"/>
        <v>0</v>
      </c>
      <c r="Y3539" s="1">
        <f t="shared" si="111"/>
        <v>15</v>
      </c>
    </row>
    <row r="3540" spans="24:25" x14ac:dyDescent="0.3">
      <c r="X3540" s="1">
        <f t="shared" si="110"/>
        <v>0</v>
      </c>
      <c r="Y3540" s="1">
        <f t="shared" si="111"/>
        <v>15</v>
      </c>
    </row>
    <row r="3541" spans="24:25" x14ac:dyDescent="0.3">
      <c r="X3541" s="1">
        <f t="shared" si="110"/>
        <v>0</v>
      </c>
      <c r="Y3541" s="1">
        <f t="shared" si="111"/>
        <v>15</v>
      </c>
    </row>
    <row r="3542" spans="24:25" x14ac:dyDescent="0.3">
      <c r="X3542" s="1">
        <f t="shared" si="110"/>
        <v>0</v>
      </c>
      <c r="Y3542" s="1">
        <f t="shared" si="111"/>
        <v>15</v>
      </c>
    </row>
    <row r="3543" spans="24:25" x14ac:dyDescent="0.3">
      <c r="X3543" s="1">
        <f t="shared" si="110"/>
        <v>0</v>
      </c>
      <c r="Y3543" s="1">
        <f t="shared" si="111"/>
        <v>15</v>
      </c>
    </row>
    <row r="3544" spans="24:25" x14ac:dyDescent="0.3">
      <c r="X3544" s="1">
        <f t="shared" si="110"/>
        <v>0</v>
      </c>
      <c r="Y3544" s="1">
        <f t="shared" si="111"/>
        <v>15</v>
      </c>
    </row>
    <row r="3545" spans="24:25" x14ac:dyDescent="0.3">
      <c r="X3545" s="1">
        <f t="shared" si="110"/>
        <v>0</v>
      </c>
      <c r="Y3545" s="1">
        <f t="shared" si="111"/>
        <v>15</v>
      </c>
    </row>
    <row r="3546" spans="24:25" x14ac:dyDescent="0.3">
      <c r="X3546" s="1">
        <f t="shared" si="110"/>
        <v>0</v>
      </c>
      <c r="Y3546" s="1">
        <f t="shared" si="111"/>
        <v>15</v>
      </c>
    </row>
    <row r="3547" spans="24:25" x14ac:dyDescent="0.3">
      <c r="X3547" s="1">
        <f t="shared" si="110"/>
        <v>0</v>
      </c>
      <c r="Y3547" s="1">
        <f t="shared" si="111"/>
        <v>15</v>
      </c>
    </row>
    <row r="3548" spans="24:25" x14ac:dyDescent="0.3">
      <c r="X3548" s="1">
        <f t="shared" si="110"/>
        <v>0</v>
      </c>
      <c r="Y3548" s="1">
        <f t="shared" si="111"/>
        <v>15</v>
      </c>
    </row>
    <row r="3549" spans="24:25" x14ac:dyDescent="0.3">
      <c r="X3549" s="1">
        <f t="shared" si="110"/>
        <v>0</v>
      </c>
      <c r="Y3549" s="1">
        <f t="shared" si="111"/>
        <v>15</v>
      </c>
    </row>
    <row r="3550" spans="24:25" x14ac:dyDescent="0.3">
      <c r="X3550" s="1">
        <f t="shared" si="110"/>
        <v>0</v>
      </c>
      <c r="Y3550" s="1">
        <f t="shared" si="111"/>
        <v>15</v>
      </c>
    </row>
    <row r="3551" spans="24:25" x14ac:dyDescent="0.3">
      <c r="X3551" s="1">
        <f t="shared" si="110"/>
        <v>0</v>
      </c>
      <c r="Y3551" s="1">
        <f t="shared" si="111"/>
        <v>15</v>
      </c>
    </row>
    <row r="3552" spans="24:25" x14ac:dyDescent="0.3">
      <c r="X3552" s="1">
        <f t="shared" si="110"/>
        <v>0</v>
      </c>
      <c r="Y3552" s="1">
        <f t="shared" si="111"/>
        <v>15</v>
      </c>
    </row>
    <row r="3553" spans="24:25" x14ac:dyDescent="0.3">
      <c r="X3553" s="1">
        <f t="shared" si="110"/>
        <v>0</v>
      </c>
      <c r="Y3553" s="1">
        <f t="shared" si="111"/>
        <v>15</v>
      </c>
    </row>
    <row r="3554" spans="24:25" x14ac:dyDescent="0.3">
      <c r="X3554" s="1">
        <f t="shared" si="110"/>
        <v>0</v>
      </c>
      <c r="Y3554" s="1">
        <f t="shared" si="111"/>
        <v>15</v>
      </c>
    </row>
    <row r="3555" spans="24:25" x14ac:dyDescent="0.3">
      <c r="X3555" s="1">
        <f t="shared" si="110"/>
        <v>0</v>
      </c>
      <c r="Y3555" s="1">
        <f t="shared" si="111"/>
        <v>15</v>
      </c>
    </row>
    <row r="3556" spans="24:25" x14ac:dyDescent="0.3">
      <c r="X3556" s="1">
        <f t="shared" si="110"/>
        <v>0</v>
      </c>
      <c r="Y3556" s="1">
        <f t="shared" si="111"/>
        <v>15</v>
      </c>
    </row>
    <row r="3557" spans="24:25" x14ac:dyDescent="0.3">
      <c r="X3557" s="1">
        <f t="shared" si="110"/>
        <v>0</v>
      </c>
      <c r="Y3557" s="1">
        <f t="shared" si="111"/>
        <v>15</v>
      </c>
    </row>
    <row r="3558" spans="24:25" x14ac:dyDescent="0.3">
      <c r="X3558" s="1">
        <f t="shared" si="110"/>
        <v>0</v>
      </c>
      <c r="Y3558" s="1">
        <f t="shared" si="111"/>
        <v>15</v>
      </c>
    </row>
    <row r="3559" spans="24:25" x14ac:dyDescent="0.3">
      <c r="X3559" s="1">
        <f t="shared" si="110"/>
        <v>0</v>
      </c>
      <c r="Y3559" s="1">
        <f t="shared" si="111"/>
        <v>15</v>
      </c>
    </row>
    <row r="3560" spans="24:25" x14ac:dyDescent="0.3">
      <c r="X3560" s="1">
        <f t="shared" si="110"/>
        <v>0</v>
      </c>
      <c r="Y3560" s="1">
        <f t="shared" si="111"/>
        <v>15</v>
      </c>
    </row>
    <row r="3561" spans="24:25" x14ac:dyDescent="0.3">
      <c r="X3561" s="1">
        <f t="shared" si="110"/>
        <v>0</v>
      </c>
      <c r="Y3561" s="1">
        <f t="shared" si="111"/>
        <v>15</v>
      </c>
    </row>
    <row r="3562" spans="24:25" x14ac:dyDescent="0.3">
      <c r="X3562" s="1">
        <f t="shared" si="110"/>
        <v>0</v>
      </c>
      <c r="Y3562" s="1">
        <f t="shared" si="111"/>
        <v>15</v>
      </c>
    </row>
    <row r="3563" spans="24:25" x14ac:dyDescent="0.3">
      <c r="X3563" s="1">
        <f t="shared" si="110"/>
        <v>0</v>
      </c>
      <c r="Y3563" s="1">
        <f t="shared" si="111"/>
        <v>15</v>
      </c>
    </row>
    <row r="3564" spans="24:25" x14ac:dyDescent="0.3">
      <c r="X3564" s="1">
        <f t="shared" si="110"/>
        <v>0</v>
      </c>
      <c r="Y3564" s="1">
        <f t="shared" si="111"/>
        <v>15</v>
      </c>
    </row>
    <row r="3565" spans="24:25" x14ac:dyDescent="0.3">
      <c r="X3565" s="1">
        <f t="shared" si="110"/>
        <v>0</v>
      </c>
      <c r="Y3565" s="1">
        <f t="shared" si="111"/>
        <v>15</v>
      </c>
    </row>
    <row r="3566" spans="24:25" x14ac:dyDescent="0.3">
      <c r="X3566" s="1">
        <f t="shared" si="110"/>
        <v>0</v>
      </c>
      <c r="Y3566" s="1">
        <f t="shared" si="111"/>
        <v>15</v>
      </c>
    </row>
    <row r="3567" spans="24:25" x14ac:dyDescent="0.3">
      <c r="X3567" s="1">
        <f t="shared" si="110"/>
        <v>0</v>
      </c>
      <c r="Y3567" s="1">
        <f t="shared" si="111"/>
        <v>15</v>
      </c>
    </row>
    <row r="3568" spans="24:25" x14ac:dyDescent="0.3">
      <c r="X3568" s="1">
        <f t="shared" si="110"/>
        <v>0</v>
      </c>
      <c r="Y3568" s="1">
        <f t="shared" si="111"/>
        <v>15</v>
      </c>
    </row>
    <row r="3569" spans="24:25" x14ac:dyDescent="0.3">
      <c r="X3569" s="1">
        <f t="shared" si="110"/>
        <v>0</v>
      </c>
      <c r="Y3569" s="1">
        <f t="shared" si="111"/>
        <v>15</v>
      </c>
    </row>
    <row r="3570" spans="24:25" x14ac:dyDescent="0.3">
      <c r="X3570" s="1">
        <f t="shared" si="110"/>
        <v>0</v>
      </c>
      <c r="Y3570" s="1">
        <f t="shared" si="111"/>
        <v>15</v>
      </c>
    </row>
    <row r="3571" spans="24:25" x14ac:dyDescent="0.3">
      <c r="X3571" s="1">
        <f t="shared" si="110"/>
        <v>0</v>
      </c>
      <c r="Y3571" s="1">
        <f t="shared" si="111"/>
        <v>15</v>
      </c>
    </row>
    <row r="3572" spans="24:25" x14ac:dyDescent="0.3">
      <c r="X3572" s="1">
        <f t="shared" si="110"/>
        <v>0</v>
      </c>
      <c r="Y3572" s="1">
        <f t="shared" si="111"/>
        <v>15</v>
      </c>
    </row>
    <row r="3573" spans="24:25" x14ac:dyDescent="0.3">
      <c r="X3573" s="1">
        <f t="shared" si="110"/>
        <v>0</v>
      </c>
      <c r="Y3573" s="1">
        <f t="shared" si="111"/>
        <v>15</v>
      </c>
    </row>
    <row r="3574" spans="24:25" x14ac:dyDescent="0.3">
      <c r="X3574" s="1">
        <f t="shared" si="110"/>
        <v>0</v>
      </c>
      <c r="Y3574" s="1">
        <f t="shared" si="111"/>
        <v>15</v>
      </c>
    </row>
    <row r="3575" spans="24:25" x14ac:dyDescent="0.3">
      <c r="X3575" s="1">
        <f t="shared" si="110"/>
        <v>0</v>
      </c>
      <c r="Y3575" s="1">
        <f t="shared" si="111"/>
        <v>15</v>
      </c>
    </row>
    <row r="3576" spans="24:25" x14ac:dyDescent="0.3">
      <c r="X3576" s="1">
        <f t="shared" si="110"/>
        <v>0</v>
      </c>
      <c r="Y3576" s="1">
        <f t="shared" si="111"/>
        <v>15</v>
      </c>
    </row>
    <row r="3577" spans="24:25" x14ac:dyDescent="0.3">
      <c r="X3577" s="1">
        <f t="shared" si="110"/>
        <v>0</v>
      </c>
      <c r="Y3577" s="1">
        <f t="shared" si="111"/>
        <v>15</v>
      </c>
    </row>
    <row r="3578" spans="24:25" x14ac:dyDescent="0.3">
      <c r="X3578" s="1">
        <f t="shared" si="110"/>
        <v>0</v>
      </c>
      <c r="Y3578" s="1">
        <f t="shared" si="111"/>
        <v>15</v>
      </c>
    </row>
    <row r="3579" spans="24:25" x14ac:dyDescent="0.3">
      <c r="X3579" s="1">
        <f t="shared" si="110"/>
        <v>0</v>
      </c>
      <c r="Y3579" s="1">
        <f t="shared" si="111"/>
        <v>15</v>
      </c>
    </row>
    <row r="3580" spans="24:25" x14ac:dyDescent="0.3">
      <c r="X3580" s="1">
        <f t="shared" si="110"/>
        <v>0</v>
      </c>
      <c r="Y3580" s="1">
        <f t="shared" si="111"/>
        <v>15</v>
      </c>
    </row>
    <row r="3581" spans="24:25" x14ac:dyDescent="0.3">
      <c r="X3581" s="1">
        <f t="shared" si="110"/>
        <v>0</v>
      </c>
      <c r="Y3581" s="1">
        <f t="shared" si="111"/>
        <v>15</v>
      </c>
    </row>
    <row r="3582" spans="24:25" x14ac:dyDescent="0.3">
      <c r="X3582" s="1">
        <f t="shared" si="110"/>
        <v>0</v>
      </c>
      <c r="Y3582" s="1">
        <f t="shared" si="111"/>
        <v>15</v>
      </c>
    </row>
    <row r="3583" spans="24:25" x14ac:dyDescent="0.3">
      <c r="X3583" s="1">
        <f t="shared" si="110"/>
        <v>0</v>
      </c>
      <c r="Y3583" s="1">
        <f t="shared" si="111"/>
        <v>15</v>
      </c>
    </row>
    <row r="3584" spans="24:25" x14ac:dyDescent="0.3">
      <c r="X3584" s="1">
        <f t="shared" si="110"/>
        <v>0</v>
      </c>
      <c r="Y3584" s="1">
        <f t="shared" si="111"/>
        <v>15</v>
      </c>
    </row>
    <row r="3585" spans="24:25" x14ac:dyDescent="0.3">
      <c r="X3585" s="1">
        <f t="shared" si="110"/>
        <v>0</v>
      </c>
      <c r="Y3585" s="1">
        <f t="shared" si="111"/>
        <v>15</v>
      </c>
    </row>
    <row r="3586" spans="24:25" x14ac:dyDescent="0.3">
      <c r="X3586" s="1">
        <f t="shared" si="110"/>
        <v>0</v>
      </c>
      <c r="Y3586" s="1">
        <f t="shared" si="111"/>
        <v>15</v>
      </c>
    </row>
    <row r="3587" spans="24:25" x14ac:dyDescent="0.3">
      <c r="X3587" s="1">
        <f t="shared" ref="X3587:X3650" si="112">IFERROR(MATCH(W3587,$B:$B,0),0)</f>
        <v>0</v>
      </c>
      <c r="Y3587" s="1">
        <f t="shared" ref="Y3587:Y3650" si="113">IF(X3588=0,COUNTA(A:A),X3588-1)</f>
        <v>15</v>
      </c>
    </row>
    <row r="3588" spans="24:25" x14ac:dyDescent="0.3">
      <c r="X3588" s="1">
        <f t="shared" si="112"/>
        <v>0</v>
      </c>
      <c r="Y3588" s="1">
        <f t="shared" si="113"/>
        <v>15</v>
      </c>
    </row>
    <row r="3589" spans="24:25" x14ac:dyDescent="0.3">
      <c r="X3589" s="1">
        <f t="shared" si="112"/>
        <v>0</v>
      </c>
      <c r="Y3589" s="1">
        <f t="shared" si="113"/>
        <v>15</v>
      </c>
    </row>
    <row r="3590" spans="24:25" x14ac:dyDescent="0.3">
      <c r="X3590" s="1">
        <f t="shared" si="112"/>
        <v>0</v>
      </c>
      <c r="Y3590" s="1">
        <f t="shared" si="113"/>
        <v>15</v>
      </c>
    </row>
    <row r="3591" spans="24:25" x14ac:dyDescent="0.3">
      <c r="X3591" s="1">
        <f t="shared" si="112"/>
        <v>0</v>
      </c>
      <c r="Y3591" s="1">
        <f t="shared" si="113"/>
        <v>15</v>
      </c>
    </row>
    <row r="3592" spans="24:25" x14ac:dyDescent="0.3">
      <c r="X3592" s="1">
        <f t="shared" si="112"/>
        <v>0</v>
      </c>
      <c r="Y3592" s="1">
        <f t="shared" si="113"/>
        <v>15</v>
      </c>
    </row>
    <row r="3593" spans="24:25" x14ac:dyDescent="0.3">
      <c r="X3593" s="1">
        <f t="shared" si="112"/>
        <v>0</v>
      </c>
      <c r="Y3593" s="1">
        <f t="shared" si="113"/>
        <v>15</v>
      </c>
    </row>
    <row r="3594" spans="24:25" x14ac:dyDescent="0.3">
      <c r="X3594" s="1">
        <f t="shared" si="112"/>
        <v>0</v>
      </c>
      <c r="Y3594" s="1">
        <f t="shared" si="113"/>
        <v>15</v>
      </c>
    </row>
    <row r="3595" spans="24:25" x14ac:dyDescent="0.3">
      <c r="X3595" s="1">
        <f t="shared" si="112"/>
        <v>0</v>
      </c>
      <c r="Y3595" s="1">
        <f t="shared" si="113"/>
        <v>15</v>
      </c>
    </row>
    <row r="3596" spans="24:25" x14ac:dyDescent="0.3">
      <c r="X3596" s="1">
        <f t="shared" si="112"/>
        <v>0</v>
      </c>
      <c r="Y3596" s="1">
        <f t="shared" si="113"/>
        <v>15</v>
      </c>
    </row>
    <row r="3597" spans="24:25" x14ac:dyDescent="0.3">
      <c r="X3597" s="1">
        <f t="shared" si="112"/>
        <v>0</v>
      </c>
      <c r="Y3597" s="1">
        <f t="shared" si="113"/>
        <v>15</v>
      </c>
    </row>
    <row r="3598" spans="24:25" x14ac:dyDescent="0.3">
      <c r="X3598" s="1">
        <f t="shared" si="112"/>
        <v>0</v>
      </c>
      <c r="Y3598" s="1">
        <f t="shared" si="113"/>
        <v>15</v>
      </c>
    </row>
    <row r="3599" spans="24:25" x14ac:dyDescent="0.3">
      <c r="X3599" s="1">
        <f t="shared" si="112"/>
        <v>0</v>
      </c>
      <c r="Y3599" s="1">
        <f t="shared" si="113"/>
        <v>15</v>
      </c>
    </row>
    <row r="3600" spans="24:25" x14ac:dyDescent="0.3">
      <c r="X3600" s="1">
        <f t="shared" si="112"/>
        <v>0</v>
      </c>
      <c r="Y3600" s="1">
        <f t="shared" si="113"/>
        <v>15</v>
      </c>
    </row>
    <row r="3601" spans="24:25" x14ac:dyDescent="0.3">
      <c r="X3601" s="1">
        <f t="shared" si="112"/>
        <v>0</v>
      </c>
      <c r="Y3601" s="1">
        <f t="shared" si="113"/>
        <v>15</v>
      </c>
    </row>
    <row r="3602" spans="24:25" x14ac:dyDescent="0.3">
      <c r="X3602" s="1">
        <f t="shared" si="112"/>
        <v>0</v>
      </c>
      <c r="Y3602" s="1">
        <f t="shared" si="113"/>
        <v>15</v>
      </c>
    </row>
    <row r="3603" spans="24:25" x14ac:dyDescent="0.3">
      <c r="X3603" s="1">
        <f t="shared" si="112"/>
        <v>0</v>
      </c>
      <c r="Y3603" s="1">
        <f t="shared" si="113"/>
        <v>15</v>
      </c>
    </row>
    <row r="3604" spans="24:25" x14ac:dyDescent="0.3">
      <c r="X3604" s="1">
        <f t="shared" si="112"/>
        <v>0</v>
      </c>
      <c r="Y3604" s="1">
        <f t="shared" si="113"/>
        <v>15</v>
      </c>
    </row>
    <row r="3605" spans="24:25" x14ac:dyDescent="0.3">
      <c r="X3605" s="1">
        <f t="shared" si="112"/>
        <v>0</v>
      </c>
      <c r="Y3605" s="1">
        <f t="shared" si="113"/>
        <v>15</v>
      </c>
    </row>
    <row r="3606" spans="24:25" x14ac:dyDescent="0.3">
      <c r="X3606" s="1">
        <f t="shared" si="112"/>
        <v>0</v>
      </c>
      <c r="Y3606" s="1">
        <f t="shared" si="113"/>
        <v>15</v>
      </c>
    </row>
    <row r="3607" spans="24:25" x14ac:dyDescent="0.3">
      <c r="X3607" s="1">
        <f t="shared" si="112"/>
        <v>0</v>
      </c>
      <c r="Y3607" s="1">
        <f t="shared" si="113"/>
        <v>15</v>
      </c>
    </row>
    <row r="3608" spans="24:25" x14ac:dyDescent="0.3">
      <c r="X3608" s="1">
        <f t="shared" si="112"/>
        <v>0</v>
      </c>
      <c r="Y3608" s="1">
        <f t="shared" si="113"/>
        <v>15</v>
      </c>
    </row>
    <row r="3609" spans="24:25" x14ac:dyDescent="0.3">
      <c r="X3609" s="1">
        <f t="shared" si="112"/>
        <v>0</v>
      </c>
      <c r="Y3609" s="1">
        <f t="shared" si="113"/>
        <v>15</v>
      </c>
    </row>
    <row r="3610" spans="24:25" x14ac:dyDescent="0.3">
      <c r="X3610" s="1">
        <f t="shared" si="112"/>
        <v>0</v>
      </c>
      <c r="Y3610" s="1">
        <f t="shared" si="113"/>
        <v>15</v>
      </c>
    </row>
    <row r="3611" spans="24:25" x14ac:dyDescent="0.3">
      <c r="X3611" s="1">
        <f t="shared" si="112"/>
        <v>0</v>
      </c>
      <c r="Y3611" s="1">
        <f t="shared" si="113"/>
        <v>15</v>
      </c>
    </row>
    <row r="3612" spans="24:25" x14ac:dyDescent="0.3">
      <c r="X3612" s="1">
        <f t="shared" si="112"/>
        <v>0</v>
      </c>
      <c r="Y3612" s="1">
        <f t="shared" si="113"/>
        <v>15</v>
      </c>
    </row>
    <row r="3613" spans="24:25" x14ac:dyDescent="0.3">
      <c r="X3613" s="1">
        <f t="shared" si="112"/>
        <v>0</v>
      </c>
      <c r="Y3613" s="1">
        <f t="shared" si="113"/>
        <v>15</v>
      </c>
    </row>
    <row r="3614" spans="24:25" x14ac:dyDescent="0.3">
      <c r="X3614" s="1">
        <f t="shared" si="112"/>
        <v>0</v>
      </c>
      <c r="Y3614" s="1">
        <f t="shared" si="113"/>
        <v>15</v>
      </c>
    </row>
    <row r="3615" spans="24:25" x14ac:dyDescent="0.3">
      <c r="X3615" s="1">
        <f t="shared" si="112"/>
        <v>0</v>
      </c>
      <c r="Y3615" s="1">
        <f t="shared" si="113"/>
        <v>15</v>
      </c>
    </row>
    <row r="3616" spans="24:25" x14ac:dyDescent="0.3">
      <c r="X3616" s="1">
        <f t="shared" si="112"/>
        <v>0</v>
      </c>
      <c r="Y3616" s="1">
        <f t="shared" si="113"/>
        <v>15</v>
      </c>
    </row>
    <row r="3617" spans="24:25" x14ac:dyDescent="0.3">
      <c r="X3617" s="1">
        <f t="shared" si="112"/>
        <v>0</v>
      </c>
      <c r="Y3617" s="1">
        <f t="shared" si="113"/>
        <v>15</v>
      </c>
    </row>
    <row r="3618" spans="24:25" x14ac:dyDescent="0.3">
      <c r="X3618" s="1">
        <f t="shared" si="112"/>
        <v>0</v>
      </c>
      <c r="Y3618" s="1">
        <f t="shared" si="113"/>
        <v>15</v>
      </c>
    </row>
    <row r="3619" spans="24:25" x14ac:dyDescent="0.3">
      <c r="X3619" s="1">
        <f t="shared" si="112"/>
        <v>0</v>
      </c>
      <c r="Y3619" s="1">
        <f t="shared" si="113"/>
        <v>15</v>
      </c>
    </row>
    <row r="3620" spans="24:25" x14ac:dyDescent="0.3">
      <c r="X3620" s="1">
        <f t="shared" si="112"/>
        <v>0</v>
      </c>
      <c r="Y3620" s="1">
        <f t="shared" si="113"/>
        <v>15</v>
      </c>
    </row>
    <row r="3621" spans="24:25" x14ac:dyDescent="0.3">
      <c r="X3621" s="1">
        <f t="shared" si="112"/>
        <v>0</v>
      </c>
      <c r="Y3621" s="1">
        <f t="shared" si="113"/>
        <v>15</v>
      </c>
    </row>
    <row r="3622" spans="24:25" x14ac:dyDescent="0.3">
      <c r="X3622" s="1">
        <f t="shared" si="112"/>
        <v>0</v>
      </c>
      <c r="Y3622" s="1">
        <f t="shared" si="113"/>
        <v>15</v>
      </c>
    </row>
    <row r="3623" spans="24:25" x14ac:dyDescent="0.3">
      <c r="X3623" s="1">
        <f t="shared" si="112"/>
        <v>0</v>
      </c>
      <c r="Y3623" s="1">
        <f t="shared" si="113"/>
        <v>15</v>
      </c>
    </row>
    <row r="3624" spans="24:25" x14ac:dyDescent="0.3">
      <c r="X3624" s="1">
        <f t="shared" si="112"/>
        <v>0</v>
      </c>
      <c r="Y3624" s="1">
        <f t="shared" si="113"/>
        <v>15</v>
      </c>
    </row>
    <row r="3625" spans="24:25" x14ac:dyDescent="0.3">
      <c r="X3625" s="1">
        <f t="shared" si="112"/>
        <v>0</v>
      </c>
      <c r="Y3625" s="1">
        <f t="shared" si="113"/>
        <v>15</v>
      </c>
    </row>
    <row r="3626" spans="24:25" x14ac:dyDescent="0.3">
      <c r="X3626" s="1">
        <f t="shared" si="112"/>
        <v>0</v>
      </c>
      <c r="Y3626" s="1">
        <f t="shared" si="113"/>
        <v>15</v>
      </c>
    </row>
    <row r="3627" spans="24:25" x14ac:dyDescent="0.3">
      <c r="X3627" s="1">
        <f t="shared" si="112"/>
        <v>0</v>
      </c>
      <c r="Y3627" s="1">
        <f t="shared" si="113"/>
        <v>15</v>
      </c>
    </row>
    <row r="3628" spans="24:25" x14ac:dyDescent="0.3">
      <c r="X3628" s="1">
        <f t="shared" si="112"/>
        <v>0</v>
      </c>
      <c r="Y3628" s="1">
        <f t="shared" si="113"/>
        <v>15</v>
      </c>
    </row>
    <row r="3629" spans="24:25" x14ac:dyDescent="0.3">
      <c r="X3629" s="1">
        <f t="shared" si="112"/>
        <v>0</v>
      </c>
      <c r="Y3629" s="1">
        <f t="shared" si="113"/>
        <v>15</v>
      </c>
    </row>
    <row r="3630" spans="24:25" x14ac:dyDescent="0.3">
      <c r="X3630" s="1">
        <f t="shared" si="112"/>
        <v>0</v>
      </c>
      <c r="Y3630" s="1">
        <f t="shared" si="113"/>
        <v>15</v>
      </c>
    </row>
    <row r="3631" spans="24:25" x14ac:dyDescent="0.3">
      <c r="X3631" s="1">
        <f t="shared" si="112"/>
        <v>0</v>
      </c>
      <c r="Y3631" s="1">
        <f t="shared" si="113"/>
        <v>15</v>
      </c>
    </row>
    <row r="3632" spans="24:25" x14ac:dyDescent="0.3">
      <c r="X3632" s="1">
        <f t="shared" si="112"/>
        <v>0</v>
      </c>
      <c r="Y3632" s="1">
        <f t="shared" si="113"/>
        <v>15</v>
      </c>
    </row>
    <row r="3633" spans="24:25" x14ac:dyDescent="0.3">
      <c r="X3633" s="1">
        <f t="shared" si="112"/>
        <v>0</v>
      </c>
      <c r="Y3633" s="1">
        <f t="shared" si="113"/>
        <v>15</v>
      </c>
    </row>
    <row r="3634" spans="24:25" x14ac:dyDescent="0.3">
      <c r="X3634" s="1">
        <f t="shared" si="112"/>
        <v>0</v>
      </c>
      <c r="Y3634" s="1">
        <f t="shared" si="113"/>
        <v>15</v>
      </c>
    </row>
    <row r="3635" spans="24:25" x14ac:dyDescent="0.3">
      <c r="X3635" s="1">
        <f t="shared" si="112"/>
        <v>0</v>
      </c>
      <c r="Y3635" s="1">
        <f t="shared" si="113"/>
        <v>15</v>
      </c>
    </row>
    <row r="3636" spans="24:25" x14ac:dyDescent="0.3">
      <c r="X3636" s="1">
        <f t="shared" si="112"/>
        <v>0</v>
      </c>
      <c r="Y3636" s="1">
        <f t="shared" si="113"/>
        <v>15</v>
      </c>
    </row>
    <row r="3637" spans="24:25" x14ac:dyDescent="0.3">
      <c r="X3637" s="1">
        <f t="shared" si="112"/>
        <v>0</v>
      </c>
      <c r="Y3637" s="1">
        <f t="shared" si="113"/>
        <v>15</v>
      </c>
    </row>
    <row r="3638" spans="24:25" x14ac:dyDescent="0.3">
      <c r="X3638" s="1">
        <f t="shared" si="112"/>
        <v>0</v>
      </c>
      <c r="Y3638" s="1">
        <f t="shared" si="113"/>
        <v>15</v>
      </c>
    </row>
    <row r="3639" spans="24:25" x14ac:dyDescent="0.3">
      <c r="X3639" s="1">
        <f t="shared" si="112"/>
        <v>0</v>
      </c>
      <c r="Y3639" s="1">
        <f t="shared" si="113"/>
        <v>15</v>
      </c>
    </row>
    <row r="3640" spans="24:25" x14ac:dyDescent="0.3">
      <c r="X3640" s="1">
        <f t="shared" si="112"/>
        <v>0</v>
      </c>
      <c r="Y3640" s="1">
        <f t="shared" si="113"/>
        <v>15</v>
      </c>
    </row>
    <row r="3641" spans="24:25" x14ac:dyDescent="0.3">
      <c r="X3641" s="1">
        <f t="shared" si="112"/>
        <v>0</v>
      </c>
      <c r="Y3641" s="1">
        <f t="shared" si="113"/>
        <v>15</v>
      </c>
    </row>
    <row r="3642" spans="24:25" x14ac:dyDescent="0.3">
      <c r="X3642" s="1">
        <f t="shared" si="112"/>
        <v>0</v>
      </c>
      <c r="Y3642" s="1">
        <f t="shared" si="113"/>
        <v>15</v>
      </c>
    </row>
    <row r="3643" spans="24:25" x14ac:dyDescent="0.3">
      <c r="X3643" s="1">
        <f t="shared" si="112"/>
        <v>0</v>
      </c>
      <c r="Y3643" s="1">
        <f t="shared" si="113"/>
        <v>15</v>
      </c>
    </row>
    <row r="3644" spans="24:25" x14ac:dyDescent="0.3">
      <c r="X3644" s="1">
        <f t="shared" si="112"/>
        <v>0</v>
      </c>
      <c r="Y3644" s="1">
        <f t="shared" si="113"/>
        <v>15</v>
      </c>
    </row>
    <row r="3645" spans="24:25" x14ac:dyDescent="0.3">
      <c r="X3645" s="1">
        <f t="shared" si="112"/>
        <v>0</v>
      </c>
      <c r="Y3645" s="1">
        <f t="shared" si="113"/>
        <v>15</v>
      </c>
    </row>
    <row r="3646" spans="24:25" x14ac:dyDescent="0.3">
      <c r="X3646" s="1">
        <f t="shared" si="112"/>
        <v>0</v>
      </c>
      <c r="Y3646" s="1">
        <f t="shared" si="113"/>
        <v>15</v>
      </c>
    </row>
    <row r="3647" spans="24:25" x14ac:dyDescent="0.3">
      <c r="X3647" s="1">
        <f t="shared" si="112"/>
        <v>0</v>
      </c>
      <c r="Y3647" s="1">
        <f t="shared" si="113"/>
        <v>15</v>
      </c>
    </row>
    <row r="3648" spans="24:25" x14ac:dyDescent="0.3">
      <c r="X3648" s="1">
        <f t="shared" si="112"/>
        <v>0</v>
      </c>
      <c r="Y3648" s="1">
        <f t="shared" si="113"/>
        <v>15</v>
      </c>
    </row>
    <row r="3649" spans="24:25" x14ac:dyDescent="0.3">
      <c r="X3649" s="1">
        <f t="shared" si="112"/>
        <v>0</v>
      </c>
      <c r="Y3649" s="1">
        <f t="shared" si="113"/>
        <v>15</v>
      </c>
    </row>
    <row r="3650" spans="24:25" x14ac:dyDescent="0.3">
      <c r="X3650" s="1">
        <f t="shared" si="112"/>
        <v>0</v>
      </c>
      <c r="Y3650" s="1">
        <f t="shared" si="113"/>
        <v>15</v>
      </c>
    </row>
    <row r="3651" spans="24:25" x14ac:dyDescent="0.3">
      <c r="X3651" s="1">
        <f t="shared" ref="X3651:X3714" si="114">IFERROR(MATCH(W3651,$B:$B,0),0)</f>
        <v>0</v>
      </c>
      <c r="Y3651" s="1">
        <f t="shared" ref="Y3651:Y3714" si="115">IF(X3652=0,COUNTA(A:A),X3652-1)</f>
        <v>15</v>
      </c>
    </row>
    <row r="3652" spans="24:25" x14ac:dyDescent="0.3">
      <c r="X3652" s="1">
        <f t="shared" si="114"/>
        <v>0</v>
      </c>
      <c r="Y3652" s="1">
        <f t="shared" si="115"/>
        <v>15</v>
      </c>
    </row>
    <row r="3653" spans="24:25" x14ac:dyDescent="0.3">
      <c r="X3653" s="1">
        <f t="shared" si="114"/>
        <v>0</v>
      </c>
      <c r="Y3653" s="1">
        <f t="shared" si="115"/>
        <v>15</v>
      </c>
    </row>
    <row r="3654" spans="24:25" x14ac:dyDescent="0.3">
      <c r="X3654" s="1">
        <f t="shared" si="114"/>
        <v>0</v>
      </c>
      <c r="Y3654" s="1">
        <f t="shared" si="115"/>
        <v>15</v>
      </c>
    </row>
    <row r="3655" spans="24:25" x14ac:dyDescent="0.3">
      <c r="X3655" s="1">
        <f t="shared" si="114"/>
        <v>0</v>
      </c>
      <c r="Y3655" s="1">
        <f t="shared" si="115"/>
        <v>15</v>
      </c>
    </row>
    <row r="3656" spans="24:25" x14ac:dyDescent="0.3">
      <c r="X3656" s="1">
        <f t="shared" si="114"/>
        <v>0</v>
      </c>
      <c r="Y3656" s="1">
        <f t="shared" si="115"/>
        <v>15</v>
      </c>
    </row>
    <row r="3657" spans="24:25" x14ac:dyDescent="0.3">
      <c r="X3657" s="1">
        <f t="shared" si="114"/>
        <v>0</v>
      </c>
      <c r="Y3657" s="1">
        <f t="shared" si="115"/>
        <v>15</v>
      </c>
    </row>
    <row r="3658" spans="24:25" x14ac:dyDescent="0.3">
      <c r="X3658" s="1">
        <f t="shared" si="114"/>
        <v>0</v>
      </c>
      <c r="Y3658" s="1">
        <f t="shared" si="115"/>
        <v>15</v>
      </c>
    </row>
    <row r="3659" spans="24:25" x14ac:dyDescent="0.3">
      <c r="X3659" s="1">
        <f t="shared" si="114"/>
        <v>0</v>
      </c>
      <c r="Y3659" s="1">
        <f t="shared" si="115"/>
        <v>15</v>
      </c>
    </row>
    <row r="3660" spans="24:25" x14ac:dyDescent="0.3">
      <c r="X3660" s="1">
        <f t="shared" si="114"/>
        <v>0</v>
      </c>
      <c r="Y3660" s="1">
        <f t="shared" si="115"/>
        <v>15</v>
      </c>
    </row>
    <row r="3661" spans="24:25" x14ac:dyDescent="0.3">
      <c r="X3661" s="1">
        <f t="shared" si="114"/>
        <v>0</v>
      </c>
      <c r="Y3661" s="1">
        <f t="shared" si="115"/>
        <v>15</v>
      </c>
    </row>
    <row r="3662" spans="24:25" x14ac:dyDescent="0.3">
      <c r="X3662" s="1">
        <f t="shared" si="114"/>
        <v>0</v>
      </c>
      <c r="Y3662" s="1">
        <f t="shared" si="115"/>
        <v>15</v>
      </c>
    </row>
    <row r="3663" spans="24:25" x14ac:dyDescent="0.3">
      <c r="X3663" s="1">
        <f t="shared" si="114"/>
        <v>0</v>
      </c>
      <c r="Y3663" s="1">
        <f t="shared" si="115"/>
        <v>15</v>
      </c>
    </row>
    <row r="3664" spans="24:25" x14ac:dyDescent="0.3">
      <c r="X3664" s="1">
        <f t="shared" si="114"/>
        <v>0</v>
      </c>
      <c r="Y3664" s="1">
        <f t="shared" si="115"/>
        <v>15</v>
      </c>
    </row>
    <row r="3665" spans="24:25" x14ac:dyDescent="0.3">
      <c r="X3665" s="1">
        <f t="shared" si="114"/>
        <v>0</v>
      </c>
      <c r="Y3665" s="1">
        <f t="shared" si="115"/>
        <v>15</v>
      </c>
    </row>
    <row r="3666" spans="24:25" x14ac:dyDescent="0.3">
      <c r="X3666" s="1">
        <f t="shared" si="114"/>
        <v>0</v>
      </c>
      <c r="Y3666" s="1">
        <f t="shared" si="115"/>
        <v>15</v>
      </c>
    </row>
    <row r="3667" spans="24:25" x14ac:dyDescent="0.3">
      <c r="X3667" s="1">
        <f t="shared" si="114"/>
        <v>0</v>
      </c>
      <c r="Y3667" s="1">
        <f t="shared" si="115"/>
        <v>15</v>
      </c>
    </row>
    <row r="3668" spans="24:25" x14ac:dyDescent="0.3">
      <c r="X3668" s="1">
        <f t="shared" si="114"/>
        <v>0</v>
      </c>
      <c r="Y3668" s="1">
        <f t="shared" si="115"/>
        <v>15</v>
      </c>
    </row>
    <row r="3669" spans="24:25" x14ac:dyDescent="0.3">
      <c r="X3669" s="1">
        <f t="shared" si="114"/>
        <v>0</v>
      </c>
      <c r="Y3669" s="1">
        <f t="shared" si="115"/>
        <v>15</v>
      </c>
    </row>
    <row r="3670" spans="24:25" x14ac:dyDescent="0.3">
      <c r="X3670" s="1">
        <f t="shared" si="114"/>
        <v>0</v>
      </c>
      <c r="Y3670" s="1">
        <f t="shared" si="115"/>
        <v>15</v>
      </c>
    </row>
    <row r="3671" spans="24:25" x14ac:dyDescent="0.3">
      <c r="X3671" s="1">
        <f t="shared" si="114"/>
        <v>0</v>
      </c>
      <c r="Y3671" s="1">
        <f t="shared" si="115"/>
        <v>15</v>
      </c>
    </row>
    <row r="3672" spans="24:25" x14ac:dyDescent="0.3">
      <c r="X3672" s="1">
        <f t="shared" si="114"/>
        <v>0</v>
      </c>
      <c r="Y3672" s="1">
        <f t="shared" si="115"/>
        <v>15</v>
      </c>
    </row>
    <row r="3673" spans="24:25" x14ac:dyDescent="0.3">
      <c r="X3673" s="1">
        <f t="shared" si="114"/>
        <v>0</v>
      </c>
      <c r="Y3673" s="1">
        <f t="shared" si="115"/>
        <v>15</v>
      </c>
    </row>
    <row r="3674" spans="24:25" x14ac:dyDescent="0.3">
      <c r="X3674" s="1">
        <f t="shared" si="114"/>
        <v>0</v>
      </c>
      <c r="Y3674" s="1">
        <f t="shared" si="115"/>
        <v>15</v>
      </c>
    </row>
    <row r="3675" spans="24:25" x14ac:dyDescent="0.3">
      <c r="X3675" s="1">
        <f t="shared" si="114"/>
        <v>0</v>
      </c>
      <c r="Y3675" s="1">
        <f t="shared" si="115"/>
        <v>15</v>
      </c>
    </row>
    <row r="3676" spans="24:25" x14ac:dyDescent="0.3">
      <c r="X3676" s="1">
        <f t="shared" si="114"/>
        <v>0</v>
      </c>
      <c r="Y3676" s="1">
        <f t="shared" si="115"/>
        <v>15</v>
      </c>
    </row>
    <row r="3677" spans="24:25" x14ac:dyDescent="0.3">
      <c r="X3677" s="1">
        <f t="shared" si="114"/>
        <v>0</v>
      </c>
      <c r="Y3677" s="1">
        <f t="shared" si="115"/>
        <v>15</v>
      </c>
    </row>
    <row r="3678" spans="24:25" x14ac:dyDescent="0.3">
      <c r="X3678" s="1">
        <f t="shared" si="114"/>
        <v>0</v>
      </c>
      <c r="Y3678" s="1">
        <f t="shared" si="115"/>
        <v>15</v>
      </c>
    </row>
    <row r="3679" spans="24:25" x14ac:dyDescent="0.3">
      <c r="X3679" s="1">
        <f t="shared" si="114"/>
        <v>0</v>
      </c>
      <c r="Y3679" s="1">
        <f t="shared" si="115"/>
        <v>15</v>
      </c>
    </row>
    <row r="3680" spans="24:25" x14ac:dyDescent="0.3">
      <c r="X3680" s="1">
        <f t="shared" si="114"/>
        <v>0</v>
      </c>
      <c r="Y3680" s="1">
        <f t="shared" si="115"/>
        <v>15</v>
      </c>
    </row>
    <row r="3681" spans="24:25" x14ac:dyDescent="0.3">
      <c r="X3681" s="1">
        <f t="shared" si="114"/>
        <v>0</v>
      </c>
      <c r="Y3681" s="1">
        <f t="shared" si="115"/>
        <v>15</v>
      </c>
    </row>
    <row r="3682" spans="24:25" x14ac:dyDescent="0.3">
      <c r="X3682" s="1">
        <f t="shared" si="114"/>
        <v>0</v>
      </c>
      <c r="Y3682" s="1">
        <f t="shared" si="115"/>
        <v>15</v>
      </c>
    </row>
    <row r="3683" spans="24:25" x14ac:dyDescent="0.3">
      <c r="X3683" s="1">
        <f t="shared" si="114"/>
        <v>0</v>
      </c>
      <c r="Y3683" s="1">
        <f t="shared" si="115"/>
        <v>15</v>
      </c>
    </row>
    <row r="3684" spans="24:25" x14ac:dyDescent="0.3">
      <c r="X3684" s="1">
        <f t="shared" si="114"/>
        <v>0</v>
      </c>
      <c r="Y3684" s="1">
        <f t="shared" si="115"/>
        <v>15</v>
      </c>
    </row>
    <row r="3685" spans="24:25" x14ac:dyDescent="0.3">
      <c r="X3685" s="1">
        <f t="shared" si="114"/>
        <v>0</v>
      </c>
      <c r="Y3685" s="1">
        <f t="shared" si="115"/>
        <v>15</v>
      </c>
    </row>
    <row r="3686" spans="24:25" x14ac:dyDescent="0.3">
      <c r="X3686" s="1">
        <f t="shared" si="114"/>
        <v>0</v>
      </c>
      <c r="Y3686" s="1">
        <f t="shared" si="115"/>
        <v>15</v>
      </c>
    </row>
    <row r="3687" spans="24:25" x14ac:dyDescent="0.3">
      <c r="X3687" s="1">
        <f t="shared" si="114"/>
        <v>0</v>
      </c>
      <c r="Y3687" s="1">
        <f t="shared" si="115"/>
        <v>15</v>
      </c>
    </row>
    <row r="3688" spans="24:25" x14ac:dyDescent="0.3">
      <c r="X3688" s="1">
        <f t="shared" si="114"/>
        <v>0</v>
      </c>
      <c r="Y3688" s="1">
        <f t="shared" si="115"/>
        <v>15</v>
      </c>
    </row>
    <row r="3689" spans="24:25" x14ac:dyDescent="0.3">
      <c r="X3689" s="1">
        <f t="shared" si="114"/>
        <v>0</v>
      </c>
      <c r="Y3689" s="1">
        <f t="shared" si="115"/>
        <v>15</v>
      </c>
    </row>
    <row r="3690" spans="24:25" x14ac:dyDescent="0.3">
      <c r="X3690" s="1">
        <f t="shared" si="114"/>
        <v>0</v>
      </c>
      <c r="Y3690" s="1">
        <f t="shared" si="115"/>
        <v>15</v>
      </c>
    </row>
    <row r="3691" spans="24:25" x14ac:dyDescent="0.3">
      <c r="X3691" s="1">
        <f t="shared" si="114"/>
        <v>0</v>
      </c>
      <c r="Y3691" s="1">
        <f t="shared" si="115"/>
        <v>15</v>
      </c>
    </row>
    <row r="3692" spans="24:25" x14ac:dyDescent="0.3">
      <c r="X3692" s="1">
        <f t="shared" si="114"/>
        <v>0</v>
      </c>
      <c r="Y3692" s="1">
        <f t="shared" si="115"/>
        <v>15</v>
      </c>
    </row>
    <row r="3693" spans="24:25" x14ac:dyDescent="0.3">
      <c r="X3693" s="1">
        <f t="shared" si="114"/>
        <v>0</v>
      </c>
      <c r="Y3693" s="1">
        <f t="shared" si="115"/>
        <v>15</v>
      </c>
    </row>
    <row r="3694" spans="24:25" x14ac:dyDescent="0.3">
      <c r="X3694" s="1">
        <f t="shared" si="114"/>
        <v>0</v>
      </c>
      <c r="Y3694" s="1">
        <f t="shared" si="115"/>
        <v>15</v>
      </c>
    </row>
    <row r="3695" spans="24:25" x14ac:dyDescent="0.3">
      <c r="X3695" s="1">
        <f t="shared" si="114"/>
        <v>0</v>
      </c>
      <c r="Y3695" s="1">
        <f t="shared" si="115"/>
        <v>15</v>
      </c>
    </row>
    <row r="3696" spans="24:25" x14ac:dyDescent="0.3">
      <c r="X3696" s="1">
        <f t="shared" si="114"/>
        <v>0</v>
      </c>
      <c r="Y3696" s="1">
        <f t="shared" si="115"/>
        <v>15</v>
      </c>
    </row>
    <row r="3697" spans="24:25" x14ac:dyDescent="0.3">
      <c r="X3697" s="1">
        <f t="shared" si="114"/>
        <v>0</v>
      </c>
      <c r="Y3697" s="1">
        <f t="shared" si="115"/>
        <v>15</v>
      </c>
    </row>
    <row r="3698" spans="24:25" x14ac:dyDescent="0.3">
      <c r="X3698" s="1">
        <f t="shared" si="114"/>
        <v>0</v>
      </c>
      <c r="Y3698" s="1">
        <f t="shared" si="115"/>
        <v>15</v>
      </c>
    </row>
    <row r="3699" spans="24:25" x14ac:dyDescent="0.3">
      <c r="X3699" s="1">
        <f t="shared" si="114"/>
        <v>0</v>
      </c>
      <c r="Y3699" s="1">
        <f t="shared" si="115"/>
        <v>15</v>
      </c>
    </row>
    <row r="3700" spans="24:25" x14ac:dyDescent="0.3">
      <c r="X3700" s="1">
        <f t="shared" si="114"/>
        <v>0</v>
      </c>
      <c r="Y3700" s="1">
        <f t="shared" si="115"/>
        <v>15</v>
      </c>
    </row>
    <row r="3701" spans="24:25" x14ac:dyDescent="0.3">
      <c r="X3701" s="1">
        <f t="shared" si="114"/>
        <v>0</v>
      </c>
      <c r="Y3701" s="1">
        <f t="shared" si="115"/>
        <v>15</v>
      </c>
    </row>
    <row r="3702" spans="24:25" x14ac:dyDescent="0.3">
      <c r="X3702" s="1">
        <f t="shared" si="114"/>
        <v>0</v>
      </c>
      <c r="Y3702" s="1">
        <f t="shared" si="115"/>
        <v>15</v>
      </c>
    </row>
    <row r="3703" spans="24:25" x14ac:dyDescent="0.3">
      <c r="X3703" s="1">
        <f t="shared" si="114"/>
        <v>0</v>
      </c>
      <c r="Y3703" s="1">
        <f t="shared" si="115"/>
        <v>15</v>
      </c>
    </row>
    <row r="3704" spans="24:25" x14ac:dyDescent="0.3">
      <c r="X3704" s="1">
        <f t="shared" si="114"/>
        <v>0</v>
      </c>
      <c r="Y3704" s="1">
        <f t="shared" si="115"/>
        <v>15</v>
      </c>
    </row>
    <row r="3705" spans="24:25" x14ac:dyDescent="0.3">
      <c r="X3705" s="1">
        <f t="shared" si="114"/>
        <v>0</v>
      </c>
      <c r="Y3705" s="1">
        <f t="shared" si="115"/>
        <v>15</v>
      </c>
    </row>
    <row r="3706" spans="24:25" x14ac:dyDescent="0.3">
      <c r="X3706" s="1">
        <f t="shared" si="114"/>
        <v>0</v>
      </c>
      <c r="Y3706" s="1">
        <f t="shared" si="115"/>
        <v>15</v>
      </c>
    </row>
    <row r="3707" spans="24:25" x14ac:dyDescent="0.3">
      <c r="X3707" s="1">
        <f t="shared" si="114"/>
        <v>0</v>
      </c>
      <c r="Y3707" s="1">
        <f t="shared" si="115"/>
        <v>15</v>
      </c>
    </row>
    <row r="3708" spans="24:25" x14ac:dyDescent="0.3">
      <c r="X3708" s="1">
        <f t="shared" si="114"/>
        <v>0</v>
      </c>
      <c r="Y3708" s="1">
        <f t="shared" si="115"/>
        <v>15</v>
      </c>
    </row>
    <row r="3709" spans="24:25" x14ac:dyDescent="0.3">
      <c r="X3709" s="1">
        <f t="shared" si="114"/>
        <v>0</v>
      </c>
      <c r="Y3709" s="1">
        <f t="shared" si="115"/>
        <v>15</v>
      </c>
    </row>
    <row r="3710" spans="24:25" x14ac:dyDescent="0.3">
      <c r="X3710" s="1">
        <f t="shared" si="114"/>
        <v>0</v>
      </c>
      <c r="Y3710" s="1">
        <f t="shared" si="115"/>
        <v>15</v>
      </c>
    </row>
    <row r="3711" spans="24:25" x14ac:dyDescent="0.3">
      <c r="X3711" s="1">
        <f t="shared" si="114"/>
        <v>0</v>
      </c>
      <c r="Y3711" s="1">
        <f t="shared" si="115"/>
        <v>15</v>
      </c>
    </row>
    <row r="3712" spans="24:25" x14ac:dyDescent="0.3">
      <c r="X3712" s="1">
        <f t="shared" si="114"/>
        <v>0</v>
      </c>
      <c r="Y3712" s="1">
        <f t="shared" si="115"/>
        <v>15</v>
      </c>
    </row>
    <row r="3713" spans="24:25" x14ac:dyDescent="0.3">
      <c r="X3713" s="1">
        <f t="shared" si="114"/>
        <v>0</v>
      </c>
      <c r="Y3713" s="1">
        <f t="shared" si="115"/>
        <v>15</v>
      </c>
    </row>
    <row r="3714" spans="24:25" x14ac:dyDescent="0.3">
      <c r="X3714" s="1">
        <f t="shared" si="114"/>
        <v>0</v>
      </c>
      <c r="Y3714" s="1">
        <f t="shared" si="115"/>
        <v>15</v>
      </c>
    </row>
    <row r="3715" spans="24:25" x14ac:dyDescent="0.3">
      <c r="X3715" s="1">
        <f t="shared" ref="X3715:X3778" si="116">IFERROR(MATCH(W3715,$B:$B,0),0)</f>
        <v>0</v>
      </c>
      <c r="Y3715" s="1">
        <f t="shared" ref="Y3715:Y3778" si="117">IF(X3716=0,COUNTA(A:A),X3716-1)</f>
        <v>15</v>
      </c>
    </row>
    <row r="3716" spans="24:25" x14ac:dyDescent="0.3">
      <c r="X3716" s="1">
        <f t="shared" si="116"/>
        <v>0</v>
      </c>
      <c r="Y3716" s="1">
        <f t="shared" si="117"/>
        <v>15</v>
      </c>
    </row>
    <row r="3717" spans="24:25" x14ac:dyDescent="0.3">
      <c r="X3717" s="1">
        <f t="shared" si="116"/>
        <v>0</v>
      </c>
      <c r="Y3717" s="1">
        <f t="shared" si="117"/>
        <v>15</v>
      </c>
    </row>
    <row r="3718" spans="24:25" x14ac:dyDescent="0.3">
      <c r="X3718" s="1">
        <f t="shared" si="116"/>
        <v>0</v>
      </c>
      <c r="Y3718" s="1">
        <f t="shared" si="117"/>
        <v>15</v>
      </c>
    </row>
    <row r="3719" spans="24:25" x14ac:dyDescent="0.3">
      <c r="X3719" s="1">
        <f t="shared" si="116"/>
        <v>0</v>
      </c>
      <c r="Y3719" s="1">
        <f t="shared" si="117"/>
        <v>15</v>
      </c>
    </row>
    <row r="3720" spans="24:25" x14ac:dyDescent="0.3">
      <c r="X3720" s="1">
        <f t="shared" si="116"/>
        <v>0</v>
      </c>
      <c r="Y3720" s="1">
        <f t="shared" si="117"/>
        <v>15</v>
      </c>
    </row>
    <row r="3721" spans="24:25" x14ac:dyDescent="0.3">
      <c r="X3721" s="1">
        <f t="shared" si="116"/>
        <v>0</v>
      </c>
      <c r="Y3721" s="1">
        <f t="shared" si="117"/>
        <v>15</v>
      </c>
    </row>
    <row r="3722" spans="24:25" x14ac:dyDescent="0.3">
      <c r="X3722" s="1">
        <f t="shared" si="116"/>
        <v>0</v>
      </c>
      <c r="Y3722" s="1">
        <f t="shared" si="117"/>
        <v>15</v>
      </c>
    </row>
    <row r="3723" spans="24:25" x14ac:dyDescent="0.3">
      <c r="X3723" s="1">
        <f t="shared" si="116"/>
        <v>0</v>
      </c>
      <c r="Y3723" s="1">
        <f t="shared" si="117"/>
        <v>15</v>
      </c>
    </row>
    <row r="3724" spans="24:25" x14ac:dyDescent="0.3">
      <c r="X3724" s="1">
        <f t="shared" si="116"/>
        <v>0</v>
      </c>
      <c r="Y3724" s="1">
        <f t="shared" si="117"/>
        <v>15</v>
      </c>
    </row>
    <row r="3725" spans="24:25" x14ac:dyDescent="0.3">
      <c r="X3725" s="1">
        <f t="shared" si="116"/>
        <v>0</v>
      </c>
      <c r="Y3725" s="1">
        <f t="shared" si="117"/>
        <v>15</v>
      </c>
    </row>
    <row r="3726" spans="24:25" x14ac:dyDescent="0.3">
      <c r="X3726" s="1">
        <f t="shared" si="116"/>
        <v>0</v>
      </c>
      <c r="Y3726" s="1">
        <f t="shared" si="117"/>
        <v>15</v>
      </c>
    </row>
    <row r="3727" spans="24:25" x14ac:dyDescent="0.3">
      <c r="X3727" s="1">
        <f t="shared" si="116"/>
        <v>0</v>
      </c>
      <c r="Y3727" s="1">
        <f t="shared" si="117"/>
        <v>15</v>
      </c>
    </row>
    <row r="3728" spans="24:25" x14ac:dyDescent="0.3">
      <c r="X3728" s="1">
        <f t="shared" si="116"/>
        <v>0</v>
      </c>
      <c r="Y3728" s="1">
        <f t="shared" si="117"/>
        <v>15</v>
      </c>
    </row>
    <row r="3729" spans="24:25" x14ac:dyDescent="0.3">
      <c r="X3729" s="1">
        <f t="shared" si="116"/>
        <v>0</v>
      </c>
      <c r="Y3729" s="1">
        <f t="shared" si="117"/>
        <v>15</v>
      </c>
    </row>
    <row r="3730" spans="24:25" x14ac:dyDescent="0.3">
      <c r="X3730" s="1">
        <f t="shared" si="116"/>
        <v>0</v>
      </c>
      <c r="Y3730" s="1">
        <f t="shared" si="117"/>
        <v>15</v>
      </c>
    </row>
    <row r="3731" spans="24:25" x14ac:dyDescent="0.3">
      <c r="X3731" s="1">
        <f t="shared" si="116"/>
        <v>0</v>
      </c>
      <c r="Y3731" s="1">
        <f t="shared" si="117"/>
        <v>15</v>
      </c>
    </row>
    <row r="3732" spans="24:25" x14ac:dyDescent="0.3">
      <c r="X3732" s="1">
        <f t="shared" si="116"/>
        <v>0</v>
      </c>
      <c r="Y3732" s="1">
        <f t="shared" si="117"/>
        <v>15</v>
      </c>
    </row>
    <row r="3733" spans="24:25" x14ac:dyDescent="0.3">
      <c r="X3733" s="1">
        <f t="shared" si="116"/>
        <v>0</v>
      </c>
      <c r="Y3733" s="1">
        <f t="shared" si="117"/>
        <v>15</v>
      </c>
    </row>
    <row r="3734" spans="24:25" x14ac:dyDescent="0.3">
      <c r="X3734" s="1">
        <f t="shared" si="116"/>
        <v>0</v>
      </c>
      <c r="Y3734" s="1">
        <f t="shared" si="117"/>
        <v>15</v>
      </c>
    </row>
    <row r="3735" spans="24:25" x14ac:dyDescent="0.3">
      <c r="X3735" s="1">
        <f t="shared" si="116"/>
        <v>0</v>
      </c>
      <c r="Y3735" s="1">
        <f t="shared" si="117"/>
        <v>15</v>
      </c>
    </row>
    <row r="3736" spans="24:25" x14ac:dyDescent="0.3">
      <c r="X3736" s="1">
        <f t="shared" si="116"/>
        <v>0</v>
      </c>
      <c r="Y3736" s="1">
        <f t="shared" si="117"/>
        <v>15</v>
      </c>
    </row>
    <row r="3737" spans="24:25" x14ac:dyDescent="0.3">
      <c r="X3737" s="1">
        <f t="shared" si="116"/>
        <v>0</v>
      </c>
      <c r="Y3737" s="1">
        <f t="shared" si="117"/>
        <v>15</v>
      </c>
    </row>
    <row r="3738" spans="24:25" x14ac:dyDescent="0.3">
      <c r="X3738" s="1">
        <f t="shared" si="116"/>
        <v>0</v>
      </c>
      <c r="Y3738" s="1">
        <f t="shared" si="117"/>
        <v>15</v>
      </c>
    </row>
    <row r="3739" spans="24:25" x14ac:dyDescent="0.3">
      <c r="X3739" s="1">
        <f t="shared" si="116"/>
        <v>0</v>
      </c>
      <c r="Y3739" s="1">
        <f t="shared" si="117"/>
        <v>15</v>
      </c>
    </row>
    <row r="3740" spans="24:25" x14ac:dyDescent="0.3">
      <c r="X3740" s="1">
        <f t="shared" si="116"/>
        <v>0</v>
      </c>
      <c r="Y3740" s="1">
        <f t="shared" si="117"/>
        <v>15</v>
      </c>
    </row>
    <row r="3741" spans="24:25" x14ac:dyDescent="0.3">
      <c r="X3741" s="1">
        <f t="shared" si="116"/>
        <v>0</v>
      </c>
      <c r="Y3741" s="1">
        <f t="shared" si="117"/>
        <v>15</v>
      </c>
    </row>
    <row r="3742" spans="24:25" x14ac:dyDescent="0.3">
      <c r="X3742" s="1">
        <f t="shared" si="116"/>
        <v>0</v>
      </c>
      <c r="Y3742" s="1">
        <f t="shared" si="117"/>
        <v>15</v>
      </c>
    </row>
    <row r="3743" spans="24:25" x14ac:dyDescent="0.3">
      <c r="X3743" s="1">
        <f t="shared" si="116"/>
        <v>0</v>
      </c>
      <c r="Y3743" s="1">
        <f t="shared" si="117"/>
        <v>15</v>
      </c>
    </row>
    <row r="3744" spans="24:25" x14ac:dyDescent="0.3">
      <c r="X3744" s="1">
        <f t="shared" si="116"/>
        <v>0</v>
      </c>
      <c r="Y3744" s="1">
        <f t="shared" si="117"/>
        <v>15</v>
      </c>
    </row>
    <row r="3745" spans="24:25" x14ac:dyDescent="0.3">
      <c r="X3745" s="1">
        <f t="shared" si="116"/>
        <v>0</v>
      </c>
      <c r="Y3745" s="1">
        <f t="shared" si="117"/>
        <v>15</v>
      </c>
    </row>
    <row r="3746" spans="24:25" x14ac:dyDescent="0.3">
      <c r="X3746" s="1">
        <f t="shared" si="116"/>
        <v>0</v>
      </c>
      <c r="Y3746" s="1">
        <f t="shared" si="117"/>
        <v>15</v>
      </c>
    </row>
    <row r="3747" spans="24:25" x14ac:dyDescent="0.3">
      <c r="X3747" s="1">
        <f t="shared" si="116"/>
        <v>0</v>
      </c>
      <c r="Y3747" s="1">
        <f t="shared" si="117"/>
        <v>15</v>
      </c>
    </row>
    <row r="3748" spans="24:25" x14ac:dyDescent="0.3">
      <c r="X3748" s="1">
        <f t="shared" si="116"/>
        <v>0</v>
      </c>
      <c r="Y3748" s="1">
        <f t="shared" si="117"/>
        <v>15</v>
      </c>
    </row>
    <row r="3749" spans="24:25" x14ac:dyDescent="0.3">
      <c r="X3749" s="1">
        <f t="shared" si="116"/>
        <v>0</v>
      </c>
      <c r="Y3749" s="1">
        <f t="shared" si="117"/>
        <v>15</v>
      </c>
    </row>
    <row r="3750" spans="24:25" x14ac:dyDescent="0.3">
      <c r="X3750" s="1">
        <f t="shared" si="116"/>
        <v>0</v>
      </c>
      <c r="Y3750" s="1">
        <f t="shared" si="117"/>
        <v>15</v>
      </c>
    </row>
    <row r="3751" spans="24:25" x14ac:dyDescent="0.3">
      <c r="X3751" s="1">
        <f t="shared" si="116"/>
        <v>0</v>
      </c>
      <c r="Y3751" s="1">
        <f t="shared" si="117"/>
        <v>15</v>
      </c>
    </row>
    <row r="3752" spans="24:25" x14ac:dyDescent="0.3">
      <c r="X3752" s="1">
        <f t="shared" si="116"/>
        <v>0</v>
      </c>
      <c r="Y3752" s="1">
        <f t="shared" si="117"/>
        <v>15</v>
      </c>
    </row>
    <row r="3753" spans="24:25" x14ac:dyDescent="0.3">
      <c r="X3753" s="1">
        <f t="shared" si="116"/>
        <v>0</v>
      </c>
      <c r="Y3753" s="1">
        <f t="shared" si="117"/>
        <v>15</v>
      </c>
    </row>
    <row r="3754" spans="24:25" x14ac:dyDescent="0.3">
      <c r="X3754" s="1">
        <f t="shared" si="116"/>
        <v>0</v>
      </c>
      <c r="Y3754" s="1">
        <f t="shared" si="117"/>
        <v>15</v>
      </c>
    </row>
    <row r="3755" spans="24:25" x14ac:dyDescent="0.3">
      <c r="X3755" s="1">
        <f t="shared" si="116"/>
        <v>0</v>
      </c>
      <c r="Y3755" s="1">
        <f t="shared" si="117"/>
        <v>15</v>
      </c>
    </row>
    <row r="3756" spans="24:25" x14ac:dyDescent="0.3">
      <c r="X3756" s="1">
        <f t="shared" si="116"/>
        <v>0</v>
      </c>
      <c r="Y3756" s="1">
        <f t="shared" si="117"/>
        <v>15</v>
      </c>
    </row>
    <row r="3757" spans="24:25" x14ac:dyDescent="0.3">
      <c r="X3757" s="1">
        <f t="shared" si="116"/>
        <v>0</v>
      </c>
      <c r="Y3757" s="1">
        <f t="shared" si="117"/>
        <v>15</v>
      </c>
    </row>
    <row r="3758" spans="24:25" x14ac:dyDescent="0.3">
      <c r="X3758" s="1">
        <f t="shared" si="116"/>
        <v>0</v>
      </c>
      <c r="Y3758" s="1">
        <f t="shared" si="117"/>
        <v>15</v>
      </c>
    </row>
    <row r="3759" spans="24:25" x14ac:dyDescent="0.3">
      <c r="X3759" s="1">
        <f t="shared" si="116"/>
        <v>0</v>
      </c>
      <c r="Y3759" s="1">
        <f t="shared" si="117"/>
        <v>15</v>
      </c>
    </row>
    <row r="3760" spans="24:25" x14ac:dyDescent="0.3">
      <c r="X3760" s="1">
        <f t="shared" si="116"/>
        <v>0</v>
      </c>
      <c r="Y3760" s="1">
        <f t="shared" si="117"/>
        <v>15</v>
      </c>
    </row>
    <row r="3761" spans="24:25" x14ac:dyDescent="0.3">
      <c r="X3761" s="1">
        <f t="shared" si="116"/>
        <v>0</v>
      </c>
      <c r="Y3761" s="1">
        <f t="shared" si="117"/>
        <v>15</v>
      </c>
    </row>
    <row r="3762" spans="24:25" x14ac:dyDescent="0.3">
      <c r="X3762" s="1">
        <f t="shared" si="116"/>
        <v>0</v>
      </c>
      <c r="Y3762" s="1">
        <f t="shared" si="117"/>
        <v>15</v>
      </c>
    </row>
    <row r="3763" spans="24:25" x14ac:dyDescent="0.3">
      <c r="X3763" s="1">
        <f t="shared" si="116"/>
        <v>0</v>
      </c>
      <c r="Y3763" s="1">
        <f t="shared" si="117"/>
        <v>15</v>
      </c>
    </row>
    <row r="3764" spans="24:25" x14ac:dyDescent="0.3">
      <c r="X3764" s="1">
        <f t="shared" si="116"/>
        <v>0</v>
      </c>
      <c r="Y3764" s="1">
        <f t="shared" si="117"/>
        <v>15</v>
      </c>
    </row>
    <row r="3765" spans="24:25" x14ac:dyDescent="0.3">
      <c r="X3765" s="1">
        <f t="shared" si="116"/>
        <v>0</v>
      </c>
      <c r="Y3765" s="1">
        <f t="shared" si="117"/>
        <v>15</v>
      </c>
    </row>
    <row r="3766" spans="24:25" x14ac:dyDescent="0.3">
      <c r="X3766" s="1">
        <f t="shared" si="116"/>
        <v>0</v>
      </c>
      <c r="Y3766" s="1">
        <f t="shared" si="117"/>
        <v>15</v>
      </c>
    </row>
    <row r="3767" spans="24:25" x14ac:dyDescent="0.3">
      <c r="X3767" s="1">
        <f t="shared" si="116"/>
        <v>0</v>
      </c>
      <c r="Y3767" s="1">
        <f t="shared" si="117"/>
        <v>15</v>
      </c>
    </row>
    <row r="3768" spans="24:25" x14ac:dyDescent="0.3">
      <c r="X3768" s="1">
        <f t="shared" si="116"/>
        <v>0</v>
      </c>
      <c r="Y3768" s="1">
        <f t="shared" si="117"/>
        <v>15</v>
      </c>
    </row>
    <row r="3769" spans="24:25" x14ac:dyDescent="0.3">
      <c r="X3769" s="1">
        <f t="shared" si="116"/>
        <v>0</v>
      </c>
      <c r="Y3769" s="1">
        <f t="shared" si="117"/>
        <v>15</v>
      </c>
    </row>
    <row r="3770" spans="24:25" x14ac:dyDescent="0.3">
      <c r="X3770" s="1">
        <f t="shared" si="116"/>
        <v>0</v>
      </c>
      <c r="Y3770" s="1">
        <f t="shared" si="117"/>
        <v>15</v>
      </c>
    </row>
    <row r="3771" spans="24:25" x14ac:dyDescent="0.3">
      <c r="X3771" s="1">
        <f t="shared" si="116"/>
        <v>0</v>
      </c>
      <c r="Y3771" s="1">
        <f t="shared" si="117"/>
        <v>15</v>
      </c>
    </row>
    <row r="3772" spans="24:25" x14ac:dyDescent="0.3">
      <c r="X3772" s="1">
        <f t="shared" si="116"/>
        <v>0</v>
      </c>
      <c r="Y3772" s="1">
        <f t="shared" si="117"/>
        <v>15</v>
      </c>
    </row>
    <row r="3773" spans="24:25" x14ac:dyDescent="0.3">
      <c r="X3773" s="1">
        <f t="shared" si="116"/>
        <v>0</v>
      </c>
      <c r="Y3773" s="1">
        <f t="shared" si="117"/>
        <v>15</v>
      </c>
    </row>
    <row r="3774" spans="24:25" x14ac:dyDescent="0.3">
      <c r="X3774" s="1">
        <f t="shared" si="116"/>
        <v>0</v>
      </c>
      <c r="Y3774" s="1">
        <f t="shared" si="117"/>
        <v>15</v>
      </c>
    </row>
    <row r="3775" spans="24:25" x14ac:dyDescent="0.3">
      <c r="X3775" s="1">
        <f t="shared" si="116"/>
        <v>0</v>
      </c>
      <c r="Y3775" s="1">
        <f t="shared" si="117"/>
        <v>15</v>
      </c>
    </row>
    <row r="3776" spans="24:25" x14ac:dyDescent="0.3">
      <c r="X3776" s="1">
        <f t="shared" si="116"/>
        <v>0</v>
      </c>
      <c r="Y3776" s="1">
        <f t="shared" si="117"/>
        <v>15</v>
      </c>
    </row>
    <row r="3777" spans="24:25" x14ac:dyDescent="0.3">
      <c r="X3777" s="1">
        <f t="shared" si="116"/>
        <v>0</v>
      </c>
      <c r="Y3777" s="1">
        <f t="shared" si="117"/>
        <v>15</v>
      </c>
    </row>
    <row r="3778" spans="24:25" x14ac:dyDescent="0.3">
      <c r="X3778" s="1">
        <f t="shared" si="116"/>
        <v>0</v>
      </c>
      <c r="Y3778" s="1">
        <f t="shared" si="117"/>
        <v>15</v>
      </c>
    </row>
    <row r="3779" spans="24:25" x14ac:dyDescent="0.3">
      <c r="X3779" s="1">
        <f t="shared" ref="X3779:X3842" si="118">IFERROR(MATCH(W3779,$B:$B,0),0)</f>
        <v>0</v>
      </c>
      <c r="Y3779" s="1">
        <f t="shared" ref="Y3779:Y3842" si="119">IF(X3780=0,COUNTA(A:A),X3780-1)</f>
        <v>15</v>
      </c>
    </row>
    <row r="3780" spans="24:25" x14ac:dyDescent="0.3">
      <c r="X3780" s="1">
        <f t="shared" si="118"/>
        <v>0</v>
      </c>
      <c r="Y3780" s="1">
        <f t="shared" si="119"/>
        <v>15</v>
      </c>
    </row>
    <row r="3781" spans="24:25" x14ac:dyDescent="0.3">
      <c r="X3781" s="1">
        <f t="shared" si="118"/>
        <v>0</v>
      </c>
      <c r="Y3781" s="1">
        <f t="shared" si="119"/>
        <v>15</v>
      </c>
    </row>
    <row r="3782" spans="24:25" x14ac:dyDescent="0.3">
      <c r="X3782" s="1">
        <f t="shared" si="118"/>
        <v>0</v>
      </c>
      <c r="Y3782" s="1">
        <f t="shared" si="119"/>
        <v>15</v>
      </c>
    </row>
    <row r="3783" spans="24:25" x14ac:dyDescent="0.3">
      <c r="X3783" s="1">
        <f t="shared" si="118"/>
        <v>0</v>
      </c>
      <c r="Y3783" s="1">
        <f t="shared" si="119"/>
        <v>15</v>
      </c>
    </row>
    <row r="3784" spans="24:25" x14ac:dyDescent="0.3">
      <c r="X3784" s="1">
        <f t="shared" si="118"/>
        <v>0</v>
      </c>
      <c r="Y3784" s="1">
        <f t="shared" si="119"/>
        <v>15</v>
      </c>
    </row>
    <row r="3785" spans="24:25" x14ac:dyDescent="0.3">
      <c r="X3785" s="1">
        <f t="shared" si="118"/>
        <v>0</v>
      </c>
      <c r="Y3785" s="1">
        <f t="shared" si="119"/>
        <v>15</v>
      </c>
    </row>
    <row r="3786" spans="24:25" x14ac:dyDescent="0.3">
      <c r="X3786" s="1">
        <f t="shared" si="118"/>
        <v>0</v>
      </c>
      <c r="Y3786" s="1">
        <f t="shared" si="119"/>
        <v>15</v>
      </c>
    </row>
    <row r="3787" spans="24:25" x14ac:dyDescent="0.3">
      <c r="X3787" s="1">
        <f t="shared" si="118"/>
        <v>0</v>
      </c>
      <c r="Y3787" s="1">
        <f t="shared" si="119"/>
        <v>15</v>
      </c>
    </row>
    <row r="3788" spans="24:25" x14ac:dyDescent="0.3">
      <c r="X3788" s="1">
        <f t="shared" si="118"/>
        <v>0</v>
      </c>
      <c r="Y3788" s="1">
        <f t="shared" si="119"/>
        <v>15</v>
      </c>
    </row>
    <row r="3789" spans="24:25" x14ac:dyDescent="0.3">
      <c r="X3789" s="1">
        <f t="shared" si="118"/>
        <v>0</v>
      </c>
      <c r="Y3789" s="1">
        <f t="shared" si="119"/>
        <v>15</v>
      </c>
    </row>
    <row r="3790" spans="24:25" x14ac:dyDescent="0.3">
      <c r="X3790" s="1">
        <f t="shared" si="118"/>
        <v>0</v>
      </c>
      <c r="Y3790" s="1">
        <f t="shared" si="119"/>
        <v>15</v>
      </c>
    </row>
    <row r="3791" spans="24:25" x14ac:dyDescent="0.3">
      <c r="X3791" s="1">
        <f t="shared" si="118"/>
        <v>0</v>
      </c>
      <c r="Y3791" s="1">
        <f t="shared" si="119"/>
        <v>15</v>
      </c>
    </row>
    <row r="3792" spans="24:25" x14ac:dyDescent="0.3">
      <c r="X3792" s="1">
        <f t="shared" si="118"/>
        <v>0</v>
      </c>
      <c r="Y3792" s="1">
        <f t="shared" si="119"/>
        <v>15</v>
      </c>
    </row>
    <row r="3793" spans="24:25" x14ac:dyDescent="0.3">
      <c r="X3793" s="1">
        <f t="shared" si="118"/>
        <v>0</v>
      </c>
      <c r="Y3793" s="1">
        <f t="shared" si="119"/>
        <v>15</v>
      </c>
    </row>
    <row r="3794" spans="24:25" x14ac:dyDescent="0.3">
      <c r="X3794" s="1">
        <f t="shared" si="118"/>
        <v>0</v>
      </c>
      <c r="Y3794" s="1">
        <f t="shared" si="119"/>
        <v>15</v>
      </c>
    </row>
    <row r="3795" spans="24:25" x14ac:dyDescent="0.3">
      <c r="X3795" s="1">
        <f t="shared" si="118"/>
        <v>0</v>
      </c>
      <c r="Y3795" s="1">
        <f t="shared" si="119"/>
        <v>15</v>
      </c>
    </row>
    <row r="3796" spans="24:25" x14ac:dyDescent="0.3">
      <c r="X3796" s="1">
        <f t="shared" si="118"/>
        <v>0</v>
      </c>
      <c r="Y3796" s="1">
        <f t="shared" si="119"/>
        <v>15</v>
      </c>
    </row>
    <row r="3797" spans="24:25" x14ac:dyDescent="0.3">
      <c r="X3797" s="1">
        <f t="shared" si="118"/>
        <v>0</v>
      </c>
      <c r="Y3797" s="1">
        <f t="shared" si="119"/>
        <v>15</v>
      </c>
    </row>
    <row r="3798" spans="24:25" x14ac:dyDescent="0.3">
      <c r="X3798" s="1">
        <f t="shared" si="118"/>
        <v>0</v>
      </c>
      <c r="Y3798" s="1">
        <f t="shared" si="119"/>
        <v>15</v>
      </c>
    </row>
    <row r="3799" spans="24:25" x14ac:dyDescent="0.3">
      <c r="X3799" s="1">
        <f t="shared" si="118"/>
        <v>0</v>
      </c>
      <c r="Y3799" s="1">
        <f t="shared" si="119"/>
        <v>15</v>
      </c>
    </row>
    <row r="3800" spans="24:25" x14ac:dyDescent="0.3">
      <c r="X3800" s="1">
        <f t="shared" si="118"/>
        <v>0</v>
      </c>
      <c r="Y3800" s="1">
        <f t="shared" si="119"/>
        <v>15</v>
      </c>
    </row>
    <row r="3801" spans="24:25" x14ac:dyDescent="0.3">
      <c r="X3801" s="1">
        <f t="shared" si="118"/>
        <v>0</v>
      </c>
      <c r="Y3801" s="1">
        <f t="shared" si="119"/>
        <v>15</v>
      </c>
    </row>
    <row r="3802" spans="24:25" x14ac:dyDescent="0.3">
      <c r="X3802" s="1">
        <f t="shared" si="118"/>
        <v>0</v>
      </c>
      <c r="Y3802" s="1">
        <f t="shared" si="119"/>
        <v>15</v>
      </c>
    </row>
    <row r="3803" spans="24:25" x14ac:dyDescent="0.3">
      <c r="X3803" s="1">
        <f t="shared" si="118"/>
        <v>0</v>
      </c>
      <c r="Y3803" s="1">
        <f t="shared" si="119"/>
        <v>15</v>
      </c>
    </row>
    <row r="3804" spans="24:25" x14ac:dyDescent="0.3">
      <c r="X3804" s="1">
        <f t="shared" si="118"/>
        <v>0</v>
      </c>
      <c r="Y3804" s="1">
        <f t="shared" si="119"/>
        <v>15</v>
      </c>
    </row>
    <row r="3805" spans="24:25" x14ac:dyDescent="0.3">
      <c r="X3805" s="1">
        <f t="shared" si="118"/>
        <v>0</v>
      </c>
      <c r="Y3805" s="1">
        <f t="shared" si="119"/>
        <v>15</v>
      </c>
    </row>
    <row r="3806" spans="24:25" x14ac:dyDescent="0.3">
      <c r="X3806" s="1">
        <f t="shared" si="118"/>
        <v>0</v>
      </c>
      <c r="Y3806" s="1">
        <f t="shared" si="119"/>
        <v>15</v>
      </c>
    </row>
    <row r="3807" spans="24:25" x14ac:dyDescent="0.3">
      <c r="X3807" s="1">
        <f t="shared" si="118"/>
        <v>0</v>
      </c>
      <c r="Y3807" s="1">
        <f t="shared" si="119"/>
        <v>15</v>
      </c>
    </row>
    <row r="3808" spans="24:25" x14ac:dyDescent="0.3">
      <c r="X3808" s="1">
        <f t="shared" si="118"/>
        <v>0</v>
      </c>
      <c r="Y3808" s="1">
        <f t="shared" si="119"/>
        <v>15</v>
      </c>
    </row>
    <row r="3809" spans="24:25" x14ac:dyDescent="0.3">
      <c r="X3809" s="1">
        <f t="shared" si="118"/>
        <v>0</v>
      </c>
      <c r="Y3809" s="1">
        <f t="shared" si="119"/>
        <v>15</v>
      </c>
    </row>
    <row r="3810" spans="24:25" x14ac:dyDescent="0.3">
      <c r="X3810" s="1">
        <f t="shared" si="118"/>
        <v>0</v>
      </c>
      <c r="Y3810" s="1">
        <f t="shared" si="119"/>
        <v>15</v>
      </c>
    </row>
    <row r="3811" spans="24:25" x14ac:dyDescent="0.3">
      <c r="X3811" s="1">
        <f t="shared" si="118"/>
        <v>0</v>
      </c>
      <c r="Y3811" s="1">
        <f t="shared" si="119"/>
        <v>15</v>
      </c>
    </row>
    <row r="3812" spans="24:25" x14ac:dyDescent="0.3">
      <c r="X3812" s="1">
        <f t="shared" si="118"/>
        <v>0</v>
      </c>
      <c r="Y3812" s="1">
        <f t="shared" si="119"/>
        <v>15</v>
      </c>
    </row>
    <row r="3813" spans="24:25" x14ac:dyDescent="0.3">
      <c r="X3813" s="1">
        <f t="shared" si="118"/>
        <v>0</v>
      </c>
      <c r="Y3813" s="1">
        <f t="shared" si="119"/>
        <v>15</v>
      </c>
    </row>
    <row r="3814" spans="24:25" x14ac:dyDescent="0.3">
      <c r="X3814" s="1">
        <f t="shared" si="118"/>
        <v>0</v>
      </c>
      <c r="Y3814" s="1">
        <f t="shared" si="119"/>
        <v>15</v>
      </c>
    </row>
    <row r="3815" spans="24:25" x14ac:dyDescent="0.3">
      <c r="X3815" s="1">
        <f t="shared" si="118"/>
        <v>0</v>
      </c>
      <c r="Y3815" s="1">
        <f t="shared" si="119"/>
        <v>15</v>
      </c>
    </row>
    <row r="3816" spans="24:25" x14ac:dyDescent="0.3">
      <c r="X3816" s="1">
        <f t="shared" si="118"/>
        <v>0</v>
      </c>
      <c r="Y3816" s="1">
        <f t="shared" si="119"/>
        <v>15</v>
      </c>
    </row>
    <row r="3817" spans="24:25" x14ac:dyDescent="0.3">
      <c r="X3817" s="1">
        <f t="shared" si="118"/>
        <v>0</v>
      </c>
      <c r="Y3817" s="1">
        <f t="shared" si="119"/>
        <v>15</v>
      </c>
    </row>
    <row r="3818" spans="24:25" x14ac:dyDescent="0.3">
      <c r="X3818" s="1">
        <f t="shared" si="118"/>
        <v>0</v>
      </c>
      <c r="Y3818" s="1">
        <f t="shared" si="119"/>
        <v>15</v>
      </c>
    </row>
    <row r="3819" spans="24:25" x14ac:dyDescent="0.3">
      <c r="X3819" s="1">
        <f t="shared" si="118"/>
        <v>0</v>
      </c>
      <c r="Y3819" s="1">
        <f t="shared" si="119"/>
        <v>15</v>
      </c>
    </row>
    <row r="3820" spans="24:25" x14ac:dyDescent="0.3">
      <c r="X3820" s="1">
        <f t="shared" si="118"/>
        <v>0</v>
      </c>
      <c r="Y3820" s="1">
        <f t="shared" si="119"/>
        <v>15</v>
      </c>
    </row>
    <row r="3821" spans="24:25" x14ac:dyDescent="0.3">
      <c r="X3821" s="1">
        <f t="shared" si="118"/>
        <v>0</v>
      </c>
      <c r="Y3821" s="1">
        <f t="shared" si="119"/>
        <v>15</v>
      </c>
    </row>
    <row r="3822" spans="24:25" x14ac:dyDescent="0.3">
      <c r="X3822" s="1">
        <f t="shared" si="118"/>
        <v>0</v>
      </c>
      <c r="Y3822" s="1">
        <f t="shared" si="119"/>
        <v>15</v>
      </c>
    </row>
    <row r="3823" spans="24:25" x14ac:dyDescent="0.3">
      <c r="X3823" s="1">
        <f t="shared" si="118"/>
        <v>0</v>
      </c>
      <c r="Y3823" s="1">
        <f t="shared" si="119"/>
        <v>15</v>
      </c>
    </row>
    <row r="3824" spans="24:25" x14ac:dyDescent="0.3">
      <c r="X3824" s="1">
        <f t="shared" si="118"/>
        <v>0</v>
      </c>
      <c r="Y3824" s="1">
        <f t="shared" si="119"/>
        <v>15</v>
      </c>
    </row>
    <row r="3825" spans="24:25" x14ac:dyDescent="0.3">
      <c r="X3825" s="1">
        <f t="shared" si="118"/>
        <v>0</v>
      </c>
      <c r="Y3825" s="1">
        <f t="shared" si="119"/>
        <v>15</v>
      </c>
    </row>
    <row r="3826" spans="24:25" x14ac:dyDescent="0.3">
      <c r="X3826" s="1">
        <f t="shared" si="118"/>
        <v>0</v>
      </c>
      <c r="Y3826" s="1">
        <f t="shared" si="119"/>
        <v>15</v>
      </c>
    </row>
    <row r="3827" spans="24:25" x14ac:dyDescent="0.3">
      <c r="X3827" s="1">
        <f t="shared" si="118"/>
        <v>0</v>
      </c>
      <c r="Y3827" s="1">
        <f t="shared" si="119"/>
        <v>15</v>
      </c>
    </row>
    <row r="3828" spans="24:25" x14ac:dyDescent="0.3">
      <c r="X3828" s="1">
        <f t="shared" si="118"/>
        <v>0</v>
      </c>
      <c r="Y3828" s="1">
        <f t="shared" si="119"/>
        <v>15</v>
      </c>
    </row>
    <row r="3829" spans="24:25" x14ac:dyDescent="0.3">
      <c r="X3829" s="1">
        <f t="shared" si="118"/>
        <v>0</v>
      </c>
      <c r="Y3829" s="1">
        <f t="shared" si="119"/>
        <v>15</v>
      </c>
    </row>
    <row r="3830" spans="24:25" x14ac:dyDescent="0.3">
      <c r="X3830" s="1">
        <f t="shared" si="118"/>
        <v>0</v>
      </c>
      <c r="Y3830" s="1">
        <f t="shared" si="119"/>
        <v>15</v>
      </c>
    </row>
    <row r="3831" spans="24:25" x14ac:dyDescent="0.3">
      <c r="X3831" s="1">
        <f t="shared" si="118"/>
        <v>0</v>
      </c>
      <c r="Y3831" s="1">
        <f t="shared" si="119"/>
        <v>15</v>
      </c>
    </row>
    <row r="3832" spans="24:25" x14ac:dyDescent="0.3">
      <c r="X3832" s="1">
        <f t="shared" si="118"/>
        <v>0</v>
      </c>
      <c r="Y3832" s="1">
        <f t="shared" si="119"/>
        <v>15</v>
      </c>
    </row>
    <row r="3833" spans="24:25" x14ac:dyDescent="0.3">
      <c r="X3833" s="1">
        <f t="shared" si="118"/>
        <v>0</v>
      </c>
      <c r="Y3833" s="1">
        <f t="shared" si="119"/>
        <v>15</v>
      </c>
    </row>
    <row r="3834" spans="24:25" x14ac:dyDescent="0.3">
      <c r="X3834" s="1">
        <f t="shared" si="118"/>
        <v>0</v>
      </c>
      <c r="Y3834" s="1">
        <f t="shared" si="119"/>
        <v>15</v>
      </c>
    </row>
    <row r="3835" spans="24:25" x14ac:dyDescent="0.3">
      <c r="X3835" s="1">
        <f t="shared" si="118"/>
        <v>0</v>
      </c>
      <c r="Y3835" s="1">
        <f t="shared" si="119"/>
        <v>15</v>
      </c>
    </row>
    <row r="3836" spans="24:25" x14ac:dyDescent="0.3">
      <c r="X3836" s="1">
        <f t="shared" si="118"/>
        <v>0</v>
      </c>
      <c r="Y3836" s="1">
        <f t="shared" si="119"/>
        <v>15</v>
      </c>
    </row>
    <row r="3837" spans="24:25" x14ac:dyDescent="0.3">
      <c r="X3837" s="1">
        <f t="shared" si="118"/>
        <v>0</v>
      </c>
      <c r="Y3837" s="1">
        <f t="shared" si="119"/>
        <v>15</v>
      </c>
    </row>
    <row r="3838" spans="24:25" x14ac:dyDescent="0.3">
      <c r="X3838" s="1">
        <f t="shared" si="118"/>
        <v>0</v>
      </c>
      <c r="Y3838" s="1">
        <f t="shared" si="119"/>
        <v>15</v>
      </c>
    </row>
    <row r="3839" spans="24:25" x14ac:dyDescent="0.3">
      <c r="X3839" s="1">
        <f t="shared" si="118"/>
        <v>0</v>
      </c>
      <c r="Y3839" s="1">
        <f t="shared" si="119"/>
        <v>15</v>
      </c>
    </row>
    <row r="3840" spans="24:25" x14ac:dyDescent="0.3">
      <c r="X3840" s="1">
        <f t="shared" si="118"/>
        <v>0</v>
      </c>
      <c r="Y3840" s="1">
        <f t="shared" si="119"/>
        <v>15</v>
      </c>
    </row>
    <row r="3841" spans="24:25" x14ac:dyDescent="0.3">
      <c r="X3841" s="1">
        <f t="shared" si="118"/>
        <v>0</v>
      </c>
      <c r="Y3841" s="1">
        <f t="shared" si="119"/>
        <v>15</v>
      </c>
    </row>
    <row r="3842" spans="24:25" x14ac:dyDescent="0.3">
      <c r="X3842" s="1">
        <f t="shared" si="118"/>
        <v>0</v>
      </c>
      <c r="Y3842" s="1">
        <f t="shared" si="119"/>
        <v>15</v>
      </c>
    </row>
    <row r="3843" spans="24:25" x14ac:dyDescent="0.3">
      <c r="X3843" s="1">
        <f t="shared" ref="X3843:X3906" si="120">IFERROR(MATCH(W3843,$B:$B,0),0)</f>
        <v>0</v>
      </c>
      <c r="Y3843" s="1">
        <f t="shared" ref="Y3843:Y3906" si="121">IF(X3844=0,COUNTA(A:A),X3844-1)</f>
        <v>15</v>
      </c>
    </row>
    <row r="3844" spans="24:25" x14ac:dyDescent="0.3">
      <c r="X3844" s="1">
        <f t="shared" si="120"/>
        <v>0</v>
      </c>
      <c r="Y3844" s="1">
        <f t="shared" si="121"/>
        <v>15</v>
      </c>
    </row>
    <row r="3845" spans="24:25" x14ac:dyDescent="0.3">
      <c r="X3845" s="1">
        <f t="shared" si="120"/>
        <v>0</v>
      </c>
      <c r="Y3845" s="1">
        <f t="shared" si="121"/>
        <v>15</v>
      </c>
    </row>
    <row r="3846" spans="24:25" x14ac:dyDescent="0.3">
      <c r="X3846" s="1">
        <f t="shared" si="120"/>
        <v>0</v>
      </c>
      <c r="Y3846" s="1">
        <f t="shared" si="121"/>
        <v>15</v>
      </c>
    </row>
    <row r="3847" spans="24:25" x14ac:dyDescent="0.3">
      <c r="X3847" s="1">
        <f t="shared" si="120"/>
        <v>0</v>
      </c>
      <c r="Y3847" s="1">
        <f t="shared" si="121"/>
        <v>15</v>
      </c>
    </row>
    <row r="3848" spans="24:25" x14ac:dyDescent="0.3">
      <c r="X3848" s="1">
        <f t="shared" si="120"/>
        <v>0</v>
      </c>
      <c r="Y3848" s="1">
        <f t="shared" si="121"/>
        <v>15</v>
      </c>
    </row>
    <row r="3849" spans="24:25" x14ac:dyDescent="0.3">
      <c r="X3849" s="1">
        <f t="shared" si="120"/>
        <v>0</v>
      </c>
      <c r="Y3849" s="1">
        <f t="shared" si="121"/>
        <v>15</v>
      </c>
    </row>
    <row r="3850" spans="24:25" x14ac:dyDescent="0.3">
      <c r="X3850" s="1">
        <f t="shared" si="120"/>
        <v>0</v>
      </c>
      <c r="Y3850" s="1">
        <f t="shared" si="121"/>
        <v>15</v>
      </c>
    </row>
    <row r="3851" spans="24:25" x14ac:dyDescent="0.3">
      <c r="X3851" s="1">
        <f t="shared" si="120"/>
        <v>0</v>
      </c>
      <c r="Y3851" s="1">
        <f t="shared" si="121"/>
        <v>15</v>
      </c>
    </row>
    <row r="3852" spans="24:25" x14ac:dyDescent="0.3">
      <c r="X3852" s="1">
        <f t="shared" si="120"/>
        <v>0</v>
      </c>
      <c r="Y3852" s="1">
        <f t="shared" si="121"/>
        <v>15</v>
      </c>
    </row>
    <row r="3853" spans="24:25" x14ac:dyDescent="0.3">
      <c r="X3853" s="1">
        <f t="shared" si="120"/>
        <v>0</v>
      </c>
      <c r="Y3853" s="1">
        <f t="shared" si="121"/>
        <v>15</v>
      </c>
    </row>
    <row r="3854" spans="24:25" x14ac:dyDescent="0.3">
      <c r="X3854" s="1">
        <f t="shared" si="120"/>
        <v>0</v>
      </c>
      <c r="Y3854" s="1">
        <f t="shared" si="121"/>
        <v>15</v>
      </c>
    </row>
    <row r="3855" spans="24:25" x14ac:dyDescent="0.3">
      <c r="X3855" s="1">
        <f t="shared" si="120"/>
        <v>0</v>
      </c>
      <c r="Y3855" s="1">
        <f t="shared" si="121"/>
        <v>15</v>
      </c>
    </row>
    <row r="3856" spans="24:25" x14ac:dyDescent="0.3">
      <c r="X3856" s="1">
        <f t="shared" si="120"/>
        <v>0</v>
      </c>
      <c r="Y3856" s="1">
        <f t="shared" si="121"/>
        <v>15</v>
      </c>
    </row>
    <row r="3857" spans="24:25" x14ac:dyDescent="0.3">
      <c r="X3857" s="1">
        <f t="shared" si="120"/>
        <v>0</v>
      </c>
      <c r="Y3857" s="1">
        <f t="shared" si="121"/>
        <v>15</v>
      </c>
    </row>
    <row r="3858" spans="24:25" x14ac:dyDescent="0.3">
      <c r="X3858" s="1">
        <f t="shared" si="120"/>
        <v>0</v>
      </c>
      <c r="Y3858" s="1">
        <f t="shared" si="121"/>
        <v>15</v>
      </c>
    </row>
    <row r="3859" spans="24:25" x14ac:dyDescent="0.3">
      <c r="X3859" s="1">
        <f t="shared" si="120"/>
        <v>0</v>
      </c>
      <c r="Y3859" s="1">
        <f t="shared" si="121"/>
        <v>15</v>
      </c>
    </row>
    <row r="3860" spans="24:25" x14ac:dyDescent="0.3">
      <c r="X3860" s="1">
        <f t="shared" si="120"/>
        <v>0</v>
      </c>
      <c r="Y3860" s="1">
        <f t="shared" si="121"/>
        <v>15</v>
      </c>
    </row>
    <row r="3861" spans="24:25" x14ac:dyDescent="0.3">
      <c r="X3861" s="1">
        <f t="shared" si="120"/>
        <v>0</v>
      </c>
      <c r="Y3861" s="1">
        <f t="shared" si="121"/>
        <v>15</v>
      </c>
    </row>
    <row r="3862" spans="24:25" x14ac:dyDescent="0.3">
      <c r="X3862" s="1">
        <f t="shared" si="120"/>
        <v>0</v>
      </c>
      <c r="Y3862" s="1">
        <f t="shared" si="121"/>
        <v>15</v>
      </c>
    </row>
    <row r="3863" spans="24:25" x14ac:dyDescent="0.3">
      <c r="X3863" s="1">
        <f t="shared" si="120"/>
        <v>0</v>
      </c>
      <c r="Y3863" s="1">
        <f t="shared" si="121"/>
        <v>15</v>
      </c>
    </row>
    <row r="3864" spans="24:25" x14ac:dyDescent="0.3">
      <c r="X3864" s="1">
        <f t="shared" si="120"/>
        <v>0</v>
      </c>
      <c r="Y3864" s="1">
        <f t="shared" si="121"/>
        <v>15</v>
      </c>
    </row>
    <row r="3865" spans="24:25" x14ac:dyDescent="0.3">
      <c r="X3865" s="1">
        <f t="shared" si="120"/>
        <v>0</v>
      </c>
      <c r="Y3865" s="1">
        <f t="shared" si="121"/>
        <v>15</v>
      </c>
    </row>
    <row r="3866" spans="24:25" x14ac:dyDescent="0.3">
      <c r="X3866" s="1">
        <f t="shared" si="120"/>
        <v>0</v>
      </c>
      <c r="Y3866" s="1">
        <f t="shared" si="121"/>
        <v>15</v>
      </c>
    </row>
    <row r="3867" spans="24:25" x14ac:dyDescent="0.3">
      <c r="X3867" s="1">
        <f t="shared" si="120"/>
        <v>0</v>
      </c>
      <c r="Y3867" s="1">
        <f t="shared" si="121"/>
        <v>15</v>
      </c>
    </row>
    <row r="3868" spans="24:25" x14ac:dyDescent="0.3">
      <c r="X3868" s="1">
        <f t="shared" si="120"/>
        <v>0</v>
      </c>
      <c r="Y3868" s="1">
        <f t="shared" si="121"/>
        <v>15</v>
      </c>
    </row>
    <row r="3869" spans="24:25" x14ac:dyDescent="0.3">
      <c r="X3869" s="1">
        <f t="shared" si="120"/>
        <v>0</v>
      </c>
      <c r="Y3869" s="1">
        <f t="shared" si="121"/>
        <v>15</v>
      </c>
    </row>
    <row r="3870" spans="24:25" x14ac:dyDescent="0.3">
      <c r="X3870" s="1">
        <f t="shared" si="120"/>
        <v>0</v>
      </c>
      <c r="Y3870" s="1">
        <f t="shared" si="121"/>
        <v>15</v>
      </c>
    </row>
    <row r="3871" spans="24:25" x14ac:dyDescent="0.3">
      <c r="X3871" s="1">
        <f t="shared" si="120"/>
        <v>0</v>
      </c>
      <c r="Y3871" s="1">
        <f t="shared" si="121"/>
        <v>15</v>
      </c>
    </row>
    <row r="3872" spans="24:25" x14ac:dyDescent="0.3">
      <c r="X3872" s="1">
        <f t="shared" si="120"/>
        <v>0</v>
      </c>
      <c r="Y3872" s="1">
        <f t="shared" si="121"/>
        <v>15</v>
      </c>
    </row>
    <row r="3873" spans="24:25" x14ac:dyDescent="0.3">
      <c r="X3873" s="1">
        <f t="shared" si="120"/>
        <v>0</v>
      </c>
      <c r="Y3873" s="1">
        <f t="shared" si="121"/>
        <v>15</v>
      </c>
    </row>
    <row r="3874" spans="24:25" x14ac:dyDescent="0.3">
      <c r="X3874" s="1">
        <f t="shared" si="120"/>
        <v>0</v>
      </c>
      <c r="Y3874" s="1">
        <f t="shared" si="121"/>
        <v>15</v>
      </c>
    </row>
    <row r="3875" spans="24:25" x14ac:dyDescent="0.3">
      <c r="X3875" s="1">
        <f t="shared" si="120"/>
        <v>0</v>
      </c>
      <c r="Y3875" s="1">
        <f t="shared" si="121"/>
        <v>15</v>
      </c>
    </row>
    <row r="3876" spans="24:25" x14ac:dyDescent="0.3">
      <c r="X3876" s="1">
        <f t="shared" si="120"/>
        <v>0</v>
      </c>
      <c r="Y3876" s="1">
        <f t="shared" si="121"/>
        <v>15</v>
      </c>
    </row>
    <row r="3877" spans="24:25" x14ac:dyDescent="0.3">
      <c r="X3877" s="1">
        <f t="shared" si="120"/>
        <v>0</v>
      </c>
      <c r="Y3877" s="1">
        <f t="shared" si="121"/>
        <v>15</v>
      </c>
    </row>
    <row r="3878" spans="24:25" x14ac:dyDescent="0.3">
      <c r="X3878" s="1">
        <f t="shared" si="120"/>
        <v>0</v>
      </c>
      <c r="Y3878" s="1">
        <f t="shared" si="121"/>
        <v>15</v>
      </c>
    </row>
    <row r="3879" spans="24:25" x14ac:dyDescent="0.3">
      <c r="X3879" s="1">
        <f t="shared" si="120"/>
        <v>0</v>
      </c>
      <c r="Y3879" s="1">
        <f t="shared" si="121"/>
        <v>15</v>
      </c>
    </row>
    <row r="3880" spans="24:25" x14ac:dyDescent="0.3">
      <c r="X3880" s="1">
        <f t="shared" si="120"/>
        <v>0</v>
      </c>
      <c r="Y3880" s="1">
        <f t="shared" si="121"/>
        <v>15</v>
      </c>
    </row>
    <row r="3881" spans="24:25" x14ac:dyDescent="0.3">
      <c r="X3881" s="1">
        <f t="shared" si="120"/>
        <v>0</v>
      </c>
      <c r="Y3881" s="1">
        <f t="shared" si="121"/>
        <v>15</v>
      </c>
    </row>
    <row r="3882" spans="24:25" x14ac:dyDescent="0.3">
      <c r="X3882" s="1">
        <f t="shared" si="120"/>
        <v>0</v>
      </c>
      <c r="Y3882" s="1">
        <f t="shared" si="121"/>
        <v>15</v>
      </c>
    </row>
    <row r="3883" spans="24:25" x14ac:dyDescent="0.3">
      <c r="X3883" s="1">
        <f t="shared" si="120"/>
        <v>0</v>
      </c>
      <c r="Y3883" s="1">
        <f t="shared" si="121"/>
        <v>15</v>
      </c>
    </row>
    <row r="3884" spans="24:25" x14ac:dyDescent="0.3">
      <c r="X3884" s="1">
        <f t="shared" si="120"/>
        <v>0</v>
      </c>
      <c r="Y3884" s="1">
        <f t="shared" si="121"/>
        <v>15</v>
      </c>
    </row>
    <row r="3885" spans="24:25" x14ac:dyDescent="0.3">
      <c r="X3885" s="1">
        <f t="shared" si="120"/>
        <v>0</v>
      </c>
      <c r="Y3885" s="1">
        <f t="shared" si="121"/>
        <v>15</v>
      </c>
    </row>
    <row r="3886" spans="24:25" x14ac:dyDescent="0.3">
      <c r="X3886" s="1">
        <f t="shared" si="120"/>
        <v>0</v>
      </c>
      <c r="Y3886" s="1">
        <f t="shared" si="121"/>
        <v>15</v>
      </c>
    </row>
    <row r="3887" spans="24:25" x14ac:dyDescent="0.3">
      <c r="X3887" s="1">
        <f t="shared" si="120"/>
        <v>0</v>
      </c>
      <c r="Y3887" s="1">
        <f t="shared" si="121"/>
        <v>15</v>
      </c>
    </row>
    <row r="3888" spans="24:25" x14ac:dyDescent="0.3">
      <c r="X3888" s="1">
        <f t="shared" si="120"/>
        <v>0</v>
      </c>
      <c r="Y3888" s="1">
        <f t="shared" si="121"/>
        <v>15</v>
      </c>
    </row>
    <row r="3889" spans="24:25" x14ac:dyDescent="0.3">
      <c r="X3889" s="1">
        <f t="shared" si="120"/>
        <v>0</v>
      </c>
      <c r="Y3889" s="1">
        <f t="shared" si="121"/>
        <v>15</v>
      </c>
    </row>
    <row r="3890" spans="24:25" x14ac:dyDescent="0.3">
      <c r="X3890" s="1">
        <f t="shared" si="120"/>
        <v>0</v>
      </c>
      <c r="Y3890" s="1">
        <f t="shared" si="121"/>
        <v>15</v>
      </c>
    </row>
    <row r="3891" spans="24:25" x14ac:dyDescent="0.3">
      <c r="X3891" s="1">
        <f t="shared" si="120"/>
        <v>0</v>
      </c>
      <c r="Y3891" s="1">
        <f t="shared" si="121"/>
        <v>15</v>
      </c>
    </row>
    <row r="3892" spans="24:25" x14ac:dyDescent="0.3">
      <c r="X3892" s="1">
        <f t="shared" si="120"/>
        <v>0</v>
      </c>
      <c r="Y3892" s="1">
        <f t="shared" si="121"/>
        <v>15</v>
      </c>
    </row>
    <row r="3893" spans="24:25" x14ac:dyDescent="0.3">
      <c r="X3893" s="1">
        <f t="shared" si="120"/>
        <v>0</v>
      </c>
      <c r="Y3893" s="1">
        <f t="shared" si="121"/>
        <v>15</v>
      </c>
    </row>
    <row r="3894" spans="24:25" x14ac:dyDescent="0.3">
      <c r="X3894" s="1">
        <f t="shared" si="120"/>
        <v>0</v>
      </c>
      <c r="Y3894" s="1">
        <f t="shared" si="121"/>
        <v>15</v>
      </c>
    </row>
    <row r="3895" spans="24:25" x14ac:dyDescent="0.3">
      <c r="X3895" s="1">
        <f t="shared" si="120"/>
        <v>0</v>
      </c>
      <c r="Y3895" s="1">
        <f t="shared" si="121"/>
        <v>15</v>
      </c>
    </row>
    <row r="3896" spans="24:25" x14ac:dyDescent="0.3">
      <c r="X3896" s="1">
        <f t="shared" si="120"/>
        <v>0</v>
      </c>
      <c r="Y3896" s="1">
        <f t="shared" si="121"/>
        <v>15</v>
      </c>
    </row>
    <row r="3897" spans="24:25" x14ac:dyDescent="0.3">
      <c r="X3897" s="1">
        <f t="shared" si="120"/>
        <v>0</v>
      </c>
      <c r="Y3897" s="1">
        <f t="shared" si="121"/>
        <v>15</v>
      </c>
    </row>
    <row r="3898" spans="24:25" x14ac:dyDescent="0.3">
      <c r="X3898" s="1">
        <f t="shared" si="120"/>
        <v>0</v>
      </c>
      <c r="Y3898" s="1">
        <f t="shared" si="121"/>
        <v>15</v>
      </c>
    </row>
    <row r="3899" spans="24:25" x14ac:dyDescent="0.3">
      <c r="X3899" s="1">
        <f t="shared" si="120"/>
        <v>0</v>
      </c>
      <c r="Y3899" s="1">
        <f t="shared" si="121"/>
        <v>15</v>
      </c>
    </row>
    <row r="3900" spans="24:25" x14ac:dyDescent="0.3">
      <c r="X3900" s="1">
        <f t="shared" si="120"/>
        <v>0</v>
      </c>
      <c r="Y3900" s="1">
        <f t="shared" si="121"/>
        <v>15</v>
      </c>
    </row>
    <row r="3901" spans="24:25" x14ac:dyDescent="0.3">
      <c r="X3901" s="1">
        <f t="shared" si="120"/>
        <v>0</v>
      </c>
      <c r="Y3901" s="1">
        <f t="shared" si="121"/>
        <v>15</v>
      </c>
    </row>
    <row r="3902" spans="24:25" x14ac:dyDescent="0.3">
      <c r="X3902" s="1">
        <f t="shared" si="120"/>
        <v>0</v>
      </c>
      <c r="Y3902" s="1">
        <f t="shared" si="121"/>
        <v>15</v>
      </c>
    </row>
    <row r="3903" spans="24:25" x14ac:dyDescent="0.3">
      <c r="X3903" s="1">
        <f t="shared" si="120"/>
        <v>0</v>
      </c>
      <c r="Y3903" s="1">
        <f t="shared" si="121"/>
        <v>15</v>
      </c>
    </row>
    <row r="3904" spans="24:25" x14ac:dyDescent="0.3">
      <c r="X3904" s="1">
        <f t="shared" si="120"/>
        <v>0</v>
      </c>
      <c r="Y3904" s="1">
        <f t="shared" si="121"/>
        <v>15</v>
      </c>
    </row>
    <row r="3905" spans="24:25" x14ac:dyDescent="0.3">
      <c r="X3905" s="1">
        <f t="shared" si="120"/>
        <v>0</v>
      </c>
      <c r="Y3905" s="1">
        <f t="shared" si="121"/>
        <v>15</v>
      </c>
    </row>
    <row r="3906" spans="24:25" x14ac:dyDescent="0.3">
      <c r="X3906" s="1">
        <f t="shared" si="120"/>
        <v>0</v>
      </c>
      <c r="Y3906" s="1">
        <f t="shared" si="121"/>
        <v>15</v>
      </c>
    </row>
    <row r="3907" spans="24:25" x14ac:dyDescent="0.3">
      <c r="X3907" s="1">
        <f t="shared" ref="X3907:X3970" si="122">IFERROR(MATCH(W3907,$B:$B,0),0)</f>
        <v>0</v>
      </c>
      <c r="Y3907" s="1">
        <f t="shared" ref="Y3907:Y3970" si="123">IF(X3908=0,COUNTA(A:A),X3908-1)</f>
        <v>15</v>
      </c>
    </row>
    <row r="3908" spans="24:25" x14ac:dyDescent="0.3">
      <c r="X3908" s="1">
        <f t="shared" si="122"/>
        <v>0</v>
      </c>
      <c r="Y3908" s="1">
        <f t="shared" si="123"/>
        <v>15</v>
      </c>
    </row>
    <row r="3909" spans="24:25" x14ac:dyDescent="0.3">
      <c r="X3909" s="1">
        <f t="shared" si="122"/>
        <v>0</v>
      </c>
      <c r="Y3909" s="1">
        <f t="shared" si="123"/>
        <v>15</v>
      </c>
    </row>
    <row r="3910" spans="24:25" x14ac:dyDescent="0.3">
      <c r="X3910" s="1">
        <f t="shared" si="122"/>
        <v>0</v>
      </c>
      <c r="Y3910" s="1">
        <f t="shared" si="123"/>
        <v>15</v>
      </c>
    </row>
    <row r="3911" spans="24:25" x14ac:dyDescent="0.3">
      <c r="X3911" s="1">
        <f t="shared" si="122"/>
        <v>0</v>
      </c>
      <c r="Y3911" s="1">
        <f t="shared" si="123"/>
        <v>15</v>
      </c>
    </row>
    <row r="3912" spans="24:25" x14ac:dyDescent="0.3">
      <c r="X3912" s="1">
        <f t="shared" si="122"/>
        <v>0</v>
      </c>
      <c r="Y3912" s="1">
        <f t="shared" si="123"/>
        <v>15</v>
      </c>
    </row>
    <row r="3913" spans="24:25" x14ac:dyDescent="0.3">
      <c r="X3913" s="1">
        <f t="shared" si="122"/>
        <v>0</v>
      </c>
      <c r="Y3913" s="1">
        <f t="shared" si="123"/>
        <v>15</v>
      </c>
    </row>
    <row r="3914" spans="24:25" x14ac:dyDescent="0.3">
      <c r="X3914" s="1">
        <f t="shared" si="122"/>
        <v>0</v>
      </c>
      <c r="Y3914" s="1">
        <f t="shared" si="123"/>
        <v>15</v>
      </c>
    </row>
    <row r="3915" spans="24:25" x14ac:dyDescent="0.3">
      <c r="X3915" s="1">
        <f t="shared" si="122"/>
        <v>0</v>
      </c>
      <c r="Y3915" s="1">
        <f t="shared" si="123"/>
        <v>15</v>
      </c>
    </row>
    <row r="3916" spans="24:25" x14ac:dyDescent="0.3">
      <c r="X3916" s="1">
        <f t="shared" si="122"/>
        <v>0</v>
      </c>
      <c r="Y3916" s="1">
        <f t="shared" si="123"/>
        <v>15</v>
      </c>
    </row>
    <row r="3917" spans="24:25" x14ac:dyDescent="0.3">
      <c r="X3917" s="1">
        <f t="shared" si="122"/>
        <v>0</v>
      </c>
      <c r="Y3917" s="1">
        <f t="shared" si="123"/>
        <v>15</v>
      </c>
    </row>
    <row r="3918" spans="24:25" x14ac:dyDescent="0.3">
      <c r="X3918" s="1">
        <f t="shared" si="122"/>
        <v>0</v>
      </c>
      <c r="Y3918" s="1">
        <f t="shared" si="123"/>
        <v>15</v>
      </c>
    </row>
    <row r="3919" spans="24:25" x14ac:dyDescent="0.3">
      <c r="X3919" s="1">
        <f t="shared" si="122"/>
        <v>0</v>
      </c>
      <c r="Y3919" s="1">
        <f t="shared" si="123"/>
        <v>15</v>
      </c>
    </row>
    <row r="3920" spans="24:25" x14ac:dyDescent="0.3">
      <c r="X3920" s="1">
        <f t="shared" si="122"/>
        <v>0</v>
      </c>
      <c r="Y3920" s="1">
        <f t="shared" si="123"/>
        <v>15</v>
      </c>
    </row>
    <row r="3921" spans="24:25" x14ac:dyDescent="0.3">
      <c r="X3921" s="1">
        <f t="shared" si="122"/>
        <v>0</v>
      </c>
      <c r="Y3921" s="1">
        <f t="shared" si="123"/>
        <v>15</v>
      </c>
    </row>
    <row r="3922" spans="24:25" x14ac:dyDescent="0.3">
      <c r="X3922" s="1">
        <f t="shared" si="122"/>
        <v>0</v>
      </c>
      <c r="Y3922" s="1">
        <f t="shared" si="123"/>
        <v>15</v>
      </c>
    </row>
    <row r="3923" spans="24:25" x14ac:dyDescent="0.3">
      <c r="X3923" s="1">
        <f t="shared" si="122"/>
        <v>0</v>
      </c>
      <c r="Y3923" s="1">
        <f t="shared" si="123"/>
        <v>15</v>
      </c>
    </row>
    <row r="3924" spans="24:25" x14ac:dyDescent="0.3">
      <c r="X3924" s="1">
        <f t="shared" si="122"/>
        <v>0</v>
      </c>
      <c r="Y3924" s="1">
        <f t="shared" si="123"/>
        <v>15</v>
      </c>
    </row>
    <row r="3925" spans="24:25" x14ac:dyDescent="0.3">
      <c r="X3925" s="1">
        <f t="shared" si="122"/>
        <v>0</v>
      </c>
      <c r="Y3925" s="1">
        <f t="shared" si="123"/>
        <v>15</v>
      </c>
    </row>
    <row r="3926" spans="24:25" x14ac:dyDescent="0.3">
      <c r="X3926" s="1">
        <f t="shared" si="122"/>
        <v>0</v>
      </c>
      <c r="Y3926" s="1">
        <f t="shared" si="123"/>
        <v>15</v>
      </c>
    </row>
    <row r="3927" spans="24:25" x14ac:dyDescent="0.3">
      <c r="X3927" s="1">
        <f t="shared" si="122"/>
        <v>0</v>
      </c>
      <c r="Y3927" s="1">
        <f t="shared" si="123"/>
        <v>15</v>
      </c>
    </row>
    <row r="3928" spans="24:25" x14ac:dyDescent="0.3">
      <c r="X3928" s="1">
        <f t="shared" si="122"/>
        <v>0</v>
      </c>
      <c r="Y3928" s="1">
        <f t="shared" si="123"/>
        <v>15</v>
      </c>
    </row>
    <row r="3929" spans="24:25" x14ac:dyDescent="0.3">
      <c r="X3929" s="1">
        <f t="shared" si="122"/>
        <v>0</v>
      </c>
      <c r="Y3929" s="1">
        <f t="shared" si="123"/>
        <v>15</v>
      </c>
    </row>
    <row r="3930" spans="24:25" x14ac:dyDescent="0.3">
      <c r="X3930" s="1">
        <f t="shared" si="122"/>
        <v>0</v>
      </c>
      <c r="Y3930" s="1">
        <f t="shared" si="123"/>
        <v>15</v>
      </c>
    </row>
    <row r="3931" spans="24:25" x14ac:dyDescent="0.3">
      <c r="X3931" s="1">
        <f t="shared" si="122"/>
        <v>0</v>
      </c>
      <c r="Y3931" s="1">
        <f t="shared" si="123"/>
        <v>15</v>
      </c>
    </row>
    <row r="3932" spans="24:25" x14ac:dyDescent="0.3">
      <c r="X3932" s="1">
        <f t="shared" si="122"/>
        <v>0</v>
      </c>
      <c r="Y3932" s="1">
        <f t="shared" si="123"/>
        <v>15</v>
      </c>
    </row>
    <row r="3933" spans="24:25" x14ac:dyDescent="0.3">
      <c r="X3933" s="1">
        <f t="shared" si="122"/>
        <v>0</v>
      </c>
      <c r="Y3933" s="1">
        <f t="shared" si="123"/>
        <v>15</v>
      </c>
    </row>
    <row r="3934" spans="24:25" x14ac:dyDescent="0.3">
      <c r="X3934" s="1">
        <f t="shared" si="122"/>
        <v>0</v>
      </c>
      <c r="Y3934" s="1">
        <f t="shared" si="123"/>
        <v>15</v>
      </c>
    </row>
    <row r="3935" spans="24:25" x14ac:dyDescent="0.3">
      <c r="X3935" s="1">
        <f t="shared" si="122"/>
        <v>0</v>
      </c>
      <c r="Y3935" s="1">
        <f t="shared" si="123"/>
        <v>15</v>
      </c>
    </row>
    <row r="3936" spans="24:25" x14ac:dyDescent="0.3">
      <c r="X3936" s="1">
        <f t="shared" si="122"/>
        <v>0</v>
      </c>
      <c r="Y3936" s="1">
        <f t="shared" si="123"/>
        <v>15</v>
      </c>
    </row>
    <row r="3937" spans="24:25" x14ac:dyDescent="0.3">
      <c r="X3937" s="1">
        <f t="shared" si="122"/>
        <v>0</v>
      </c>
      <c r="Y3937" s="1">
        <f t="shared" si="123"/>
        <v>15</v>
      </c>
    </row>
    <row r="3938" spans="24:25" x14ac:dyDescent="0.3">
      <c r="X3938" s="1">
        <f t="shared" si="122"/>
        <v>0</v>
      </c>
      <c r="Y3938" s="1">
        <f t="shared" si="123"/>
        <v>15</v>
      </c>
    </row>
    <row r="3939" spans="24:25" x14ac:dyDescent="0.3">
      <c r="X3939" s="1">
        <f t="shared" si="122"/>
        <v>0</v>
      </c>
      <c r="Y3939" s="1">
        <f t="shared" si="123"/>
        <v>15</v>
      </c>
    </row>
    <row r="3940" spans="24:25" x14ac:dyDescent="0.3">
      <c r="X3940" s="1">
        <f t="shared" si="122"/>
        <v>0</v>
      </c>
      <c r="Y3940" s="1">
        <f t="shared" si="123"/>
        <v>15</v>
      </c>
    </row>
    <row r="3941" spans="24:25" x14ac:dyDescent="0.3">
      <c r="X3941" s="1">
        <f t="shared" si="122"/>
        <v>0</v>
      </c>
      <c r="Y3941" s="1">
        <f t="shared" si="123"/>
        <v>15</v>
      </c>
    </row>
    <row r="3942" spans="24:25" x14ac:dyDescent="0.3">
      <c r="X3942" s="1">
        <f t="shared" si="122"/>
        <v>0</v>
      </c>
      <c r="Y3942" s="1">
        <f t="shared" si="123"/>
        <v>15</v>
      </c>
    </row>
    <row r="3943" spans="24:25" x14ac:dyDescent="0.3">
      <c r="X3943" s="1">
        <f t="shared" si="122"/>
        <v>0</v>
      </c>
      <c r="Y3943" s="1">
        <f t="shared" si="123"/>
        <v>15</v>
      </c>
    </row>
    <row r="3944" spans="24:25" x14ac:dyDescent="0.3">
      <c r="X3944" s="1">
        <f t="shared" si="122"/>
        <v>0</v>
      </c>
      <c r="Y3944" s="1">
        <f t="shared" si="123"/>
        <v>15</v>
      </c>
    </row>
    <row r="3945" spans="24:25" x14ac:dyDescent="0.3">
      <c r="X3945" s="1">
        <f t="shared" si="122"/>
        <v>0</v>
      </c>
      <c r="Y3945" s="1">
        <f t="shared" si="123"/>
        <v>15</v>
      </c>
    </row>
    <row r="3946" spans="24:25" x14ac:dyDescent="0.3">
      <c r="X3946" s="1">
        <f t="shared" si="122"/>
        <v>0</v>
      </c>
      <c r="Y3946" s="1">
        <f t="shared" si="123"/>
        <v>15</v>
      </c>
    </row>
    <row r="3947" spans="24:25" x14ac:dyDescent="0.3">
      <c r="X3947" s="1">
        <f t="shared" si="122"/>
        <v>0</v>
      </c>
      <c r="Y3947" s="1">
        <f t="shared" si="123"/>
        <v>15</v>
      </c>
    </row>
    <row r="3948" spans="24:25" x14ac:dyDescent="0.3">
      <c r="X3948" s="1">
        <f t="shared" si="122"/>
        <v>0</v>
      </c>
      <c r="Y3948" s="1">
        <f t="shared" si="123"/>
        <v>15</v>
      </c>
    </row>
    <row r="3949" spans="24:25" x14ac:dyDescent="0.3">
      <c r="X3949" s="1">
        <f t="shared" si="122"/>
        <v>0</v>
      </c>
      <c r="Y3949" s="1">
        <f t="shared" si="123"/>
        <v>15</v>
      </c>
    </row>
    <row r="3950" spans="24:25" x14ac:dyDescent="0.3">
      <c r="X3950" s="1">
        <f t="shared" si="122"/>
        <v>0</v>
      </c>
      <c r="Y3950" s="1">
        <f t="shared" si="123"/>
        <v>15</v>
      </c>
    </row>
    <row r="3951" spans="24:25" x14ac:dyDescent="0.3">
      <c r="X3951" s="1">
        <f t="shared" si="122"/>
        <v>0</v>
      </c>
      <c r="Y3951" s="1">
        <f t="shared" si="123"/>
        <v>15</v>
      </c>
    </row>
    <row r="3952" spans="24:25" x14ac:dyDescent="0.3">
      <c r="X3952" s="1">
        <f t="shared" si="122"/>
        <v>0</v>
      </c>
      <c r="Y3952" s="1">
        <f t="shared" si="123"/>
        <v>15</v>
      </c>
    </row>
    <row r="3953" spans="24:25" x14ac:dyDescent="0.3">
      <c r="X3953" s="1">
        <f t="shared" si="122"/>
        <v>0</v>
      </c>
      <c r="Y3953" s="1">
        <f t="shared" si="123"/>
        <v>15</v>
      </c>
    </row>
    <row r="3954" spans="24:25" x14ac:dyDescent="0.3">
      <c r="X3954" s="1">
        <f t="shared" si="122"/>
        <v>0</v>
      </c>
      <c r="Y3954" s="1">
        <f t="shared" si="123"/>
        <v>15</v>
      </c>
    </row>
    <row r="3955" spans="24:25" x14ac:dyDescent="0.3">
      <c r="X3955" s="1">
        <f t="shared" si="122"/>
        <v>0</v>
      </c>
      <c r="Y3955" s="1">
        <f t="shared" si="123"/>
        <v>15</v>
      </c>
    </row>
    <row r="3956" spans="24:25" x14ac:dyDescent="0.3">
      <c r="X3956" s="1">
        <f t="shared" si="122"/>
        <v>0</v>
      </c>
      <c r="Y3956" s="1">
        <f t="shared" si="123"/>
        <v>15</v>
      </c>
    </row>
    <row r="3957" spans="24:25" x14ac:dyDescent="0.3">
      <c r="X3957" s="1">
        <f t="shared" si="122"/>
        <v>0</v>
      </c>
      <c r="Y3957" s="1">
        <f t="shared" si="123"/>
        <v>15</v>
      </c>
    </row>
    <row r="3958" spans="24:25" x14ac:dyDescent="0.3">
      <c r="X3958" s="1">
        <f t="shared" si="122"/>
        <v>0</v>
      </c>
      <c r="Y3958" s="1">
        <f t="shared" si="123"/>
        <v>15</v>
      </c>
    </row>
    <row r="3959" spans="24:25" x14ac:dyDescent="0.3">
      <c r="X3959" s="1">
        <f t="shared" si="122"/>
        <v>0</v>
      </c>
      <c r="Y3959" s="1">
        <f t="shared" si="123"/>
        <v>15</v>
      </c>
    </row>
    <row r="3960" spans="24:25" x14ac:dyDescent="0.3">
      <c r="X3960" s="1">
        <f t="shared" si="122"/>
        <v>0</v>
      </c>
      <c r="Y3960" s="1">
        <f t="shared" si="123"/>
        <v>15</v>
      </c>
    </row>
    <row r="3961" spans="24:25" x14ac:dyDescent="0.3">
      <c r="X3961" s="1">
        <f t="shared" si="122"/>
        <v>0</v>
      </c>
      <c r="Y3961" s="1">
        <f t="shared" si="123"/>
        <v>15</v>
      </c>
    </row>
    <row r="3962" spans="24:25" x14ac:dyDescent="0.3">
      <c r="X3962" s="1">
        <f t="shared" si="122"/>
        <v>0</v>
      </c>
      <c r="Y3962" s="1">
        <f t="shared" si="123"/>
        <v>15</v>
      </c>
    </row>
    <row r="3963" spans="24:25" x14ac:dyDescent="0.3">
      <c r="X3963" s="1">
        <f t="shared" si="122"/>
        <v>0</v>
      </c>
      <c r="Y3963" s="1">
        <f t="shared" si="123"/>
        <v>15</v>
      </c>
    </row>
    <row r="3964" spans="24:25" x14ac:dyDescent="0.3">
      <c r="X3964" s="1">
        <f t="shared" si="122"/>
        <v>0</v>
      </c>
      <c r="Y3964" s="1">
        <f t="shared" si="123"/>
        <v>15</v>
      </c>
    </row>
    <row r="3965" spans="24:25" x14ac:dyDescent="0.3">
      <c r="X3965" s="1">
        <f t="shared" si="122"/>
        <v>0</v>
      </c>
      <c r="Y3965" s="1">
        <f t="shared" si="123"/>
        <v>15</v>
      </c>
    </row>
    <row r="3966" spans="24:25" x14ac:dyDescent="0.3">
      <c r="X3966" s="1">
        <f t="shared" si="122"/>
        <v>0</v>
      </c>
      <c r="Y3966" s="1">
        <f t="shared" si="123"/>
        <v>15</v>
      </c>
    </row>
    <row r="3967" spans="24:25" x14ac:dyDescent="0.3">
      <c r="X3967" s="1">
        <f t="shared" si="122"/>
        <v>0</v>
      </c>
      <c r="Y3967" s="1">
        <f t="shared" si="123"/>
        <v>15</v>
      </c>
    </row>
    <row r="3968" spans="24:25" x14ac:dyDescent="0.3">
      <c r="X3968" s="1">
        <f t="shared" si="122"/>
        <v>0</v>
      </c>
      <c r="Y3968" s="1">
        <f t="shared" si="123"/>
        <v>15</v>
      </c>
    </row>
    <row r="3969" spans="24:25" x14ac:dyDescent="0.3">
      <c r="X3969" s="1">
        <f t="shared" si="122"/>
        <v>0</v>
      </c>
      <c r="Y3969" s="1">
        <f t="shared" si="123"/>
        <v>15</v>
      </c>
    </row>
    <row r="3970" spans="24:25" x14ac:dyDescent="0.3">
      <c r="X3970" s="1">
        <f t="shared" si="122"/>
        <v>0</v>
      </c>
      <c r="Y3970" s="1">
        <f t="shared" si="123"/>
        <v>15</v>
      </c>
    </row>
    <row r="3971" spans="24:25" x14ac:dyDescent="0.3">
      <c r="X3971" s="1">
        <f t="shared" ref="X3971:X4034" si="124">IFERROR(MATCH(W3971,$B:$B,0),0)</f>
        <v>0</v>
      </c>
      <c r="Y3971" s="1">
        <f t="shared" ref="Y3971:Y4034" si="125">IF(X3972=0,COUNTA(A:A),X3972-1)</f>
        <v>15</v>
      </c>
    </row>
    <row r="3972" spans="24:25" x14ac:dyDescent="0.3">
      <c r="X3972" s="1">
        <f t="shared" si="124"/>
        <v>0</v>
      </c>
      <c r="Y3972" s="1">
        <f t="shared" si="125"/>
        <v>15</v>
      </c>
    </row>
    <row r="3973" spans="24:25" x14ac:dyDescent="0.3">
      <c r="X3973" s="1">
        <f t="shared" si="124"/>
        <v>0</v>
      </c>
      <c r="Y3973" s="1">
        <f t="shared" si="125"/>
        <v>15</v>
      </c>
    </row>
    <row r="3974" spans="24:25" x14ac:dyDescent="0.3">
      <c r="X3974" s="1">
        <f t="shared" si="124"/>
        <v>0</v>
      </c>
      <c r="Y3974" s="1">
        <f t="shared" si="125"/>
        <v>15</v>
      </c>
    </row>
    <row r="3975" spans="24:25" x14ac:dyDescent="0.3">
      <c r="X3975" s="1">
        <f t="shared" si="124"/>
        <v>0</v>
      </c>
      <c r="Y3975" s="1">
        <f t="shared" si="125"/>
        <v>15</v>
      </c>
    </row>
    <row r="3976" spans="24:25" x14ac:dyDescent="0.3">
      <c r="X3976" s="1">
        <f t="shared" si="124"/>
        <v>0</v>
      </c>
      <c r="Y3976" s="1">
        <f t="shared" si="125"/>
        <v>15</v>
      </c>
    </row>
    <row r="3977" spans="24:25" x14ac:dyDescent="0.3">
      <c r="X3977" s="1">
        <f t="shared" si="124"/>
        <v>0</v>
      </c>
      <c r="Y3977" s="1">
        <f t="shared" si="125"/>
        <v>15</v>
      </c>
    </row>
    <row r="3978" spans="24:25" x14ac:dyDescent="0.3">
      <c r="X3978" s="1">
        <f t="shared" si="124"/>
        <v>0</v>
      </c>
      <c r="Y3978" s="1">
        <f t="shared" si="125"/>
        <v>15</v>
      </c>
    </row>
    <row r="3979" spans="24:25" x14ac:dyDescent="0.3">
      <c r="X3979" s="1">
        <f t="shared" si="124"/>
        <v>0</v>
      </c>
      <c r="Y3979" s="1">
        <f t="shared" si="125"/>
        <v>15</v>
      </c>
    </row>
    <row r="3980" spans="24:25" x14ac:dyDescent="0.3">
      <c r="X3980" s="1">
        <f t="shared" si="124"/>
        <v>0</v>
      </c>
      <c r="Y3980" s="1">
        <f t="shared" si="125"/>
        <v>15</v>
      </c>
    </row>
    <row r="3981" spans="24:25" x14ac:dyDescent="0.3">
      <c r="X3981" s="1">
        <f t="shared" si="124"/>
        <v>0</v>
      </c>
      <c r="Y3981" s="1">
        <f t="shared" si="125"/>
        <v>15</v>
      </c>
    </row>
    <row r="3982" spans="24:25" x14ac:dyDescent="0.3">
      <c r="X3982" s="1">
        <f t="shared" si="124"/>
        <v>0</v>
      </c>
      <c r="Y3982" s="1">
        <f t="shared" si="125"/>
        <v>15</v>
      </c>
    </row>
    <row r="3983" spans="24:25" x14ac:dyDescent="0.3">
      <c r="X3983" s="1">
        <f t="shared" si="124"/>
        <v>0</v>
      </c>
      <c r="Y3983" s="1">
        <f t="shared" si="125"/>
        <v>15</v>
      </c>
    </row>
    <row r="3984" spans="24:25" x14ac:dyDescent="0.3">
      <c r="X3984" s="1">
        <f t="shared" si="124"/>
        <v>0</v>
      </c>
      <c r="Y3984" s="1">
        <f t="shared" si="125"/>
        <v>15</v>
      </c>
    </row>
    <row r="3985" spans="24:25" x14ac:dyDescent="0.3">
      <c r="X3985" s="1">
        <f t="shared" si="124"/>
        <v>0</v>
      </c>
      <c r="Y3985" s="1">
        <f t="shared" si="125"/>
        <v>15</v>
      </c>
    </row>
    <row r="3986" spans="24:25" x14ac:dyDescent="0.3">
      <c r="X3986" s="1">
        <f t="shared" si="124"/>
        <v>0</v>
      </c>
      <c r="Y3986" s="1">
        <f t="shared" si="125"/>
        <v>15</v>
      </c>
    </row>
    <row r="3987" spans="24:25" x14ac:dyDescent="0.3">
      <c r="X3987" s="1">
        <f t="shared" si="124"/>
        <v>0</v>
      </c>
      <c r="Y3987" s="1">
        <f t="shared" si="125"/>
        <v>15</v>
      </c>
    </row>
    <row r="3988" spans="24:25" x14ac:dyDescent="0.3">
      <c r="X3988" s="1">
        <f t="shared" si="124"/>
        <v>0</v>
      </c>
      <c r="Y3988" s="1">
        <f t="shared" si="125"/>
        <v>15</v>
      </c>
    </row>
    <row r="3989" spans="24:25" x14ac:dyDescent="0.3">
      <c r="X3989" s="1">
        <f t="shared" si="124"/>
        <v>0</v>
      </c>
      <c r="Y3989" s="1">
        <f t="shared" si="125"/>
        <v>15</v>
      </c>
    </row>
    <row r="3990" spans="24:25" x14ac:dyDescent="0.3">
      <c r="X3990" s="1">
        <f t="shared" si="124"/>
        <v>0</v>
      </c>
      <c r="Y3990" s="1">
        <f t="shared" si="125"/>
        <v>15</v>
      </c>
    </row>
    <row r="3991" spans="24:25" x14ac:dyDescent="0.3">
      <c r="X3991" s="1">
        <f t="shared" si="124"/>
        <v>0</v>
      </c>
      <c r="Y3991" s="1">
        <f t="shared" si="125"/>
        <v>15</v>
      </c>
    </row>
    <row r="3992" spans="24:25" x14ac:dyDescent="0.3">
      <c r="X3992" s="1">
        <f t="shared" si="124"/>
        <v>0</v>
      </c>
      <c r="Y3992" s="1">
        <f t="shared" si="125"/>
        <v>15</v>
      </c>
    </row>
    <row r="3993" spans="24:25" x14ac:dyDescent="0.3">
      <c r="X3993" s="1">
        <f t="shared" si="124"/>
        <v>0</v>
      </c>
      <c r="Y3993" s="1">
        <f t="shared" si="125"/>
        <v>15</v>
      </c>
    </row>
    <row r="3994" spans="24:25" x14ac:dyDescent="0.3">
      <c r="X3994" s="1">
        <f t="shared" si="124"/>
        <v>0</v>
      </c>
      <c r="Y3994" s="1">
        <f t="shared" si="125"/>
        <v>15</v>
      </c>
    </row>
    <row r="3995" spans="24:25" x14ac:dyDescent="0.3">
      <c r="X3995" s="1">
        <f t="shared" si="124"/>
        <v>0</v>
      </c>
      <c r="Y3995" s="1">
        <f t="shared" si="125"/>
        <v>15</v>
      </c>
    </row>
    <row r="3996" spans="24:25" x14ac:dyDescent="0.3">
      <c r="X3996" s="1">
        <f t="shared" si="124"/>
        <v>0</v>
      </c>
      <c r="Y3996" s="1">
        <f t="shared" si="125"/>
        <v>15</v>
      </c>
    </row>
    <row r="3997" spans="24:25" x14ac:dyDescent="0.3">
      <c r="X3997" s="1">
        <f t="shared" si="124"/>
        <v>0</v>
      </c>
      <c r="Y3997" s="1">
        <f t="shared" si="125"/>
        <v>15</v>
      </c>
    </row>
    <row r="3998" spans="24:25" x14ac:dyDescent="0.3">
      <c r="X3998" s="1">
        <f t="shared" si="124"/>
        <v>0</v>
      </c>
      <c r="Y3998" s="1">
        <f t="shared" si="125"/>
        <v>15</v>
      </c>
    </row>
    <row r="3999" spans="24:25" x14ac:dyDescent="0.3">
      <c r="X3999" s="1">
        <f t="shared" si="124"/>
        <v>0</v>
      </c>
      <c r="Y3999" s="1">
        <f t="shared" si="125"/>
        <v>15</v>
      </c>
    </row>
    <row r="4000" spans="24:25" x14ac:dyDescent="0.3">
      <c r="X4000" s="1">
        <f t="shared" si="124"/>
        <v>0</v>
      </c>
      <c r="Y4000" s="1">
        <f t="shared" si="125"/>
        <v>15</v>
      </c>
    </row>
    <row r="4001" spans="24:25" x14ac:dyDescent="0.3">
      <c r="X4001" s="1">
        <f t="shared" si="124"/>
        <v>0</v>
      </c>
      <c r="Y4001" s="1">
        <f t="shared" si="125"/>
        <v>15</v>
      </c>
    </row>
    <row r="4002" spans="24:25" x14ac:dyDescent="0.3">
      <c r="X4002" s="1">
        <f t="shared" si="124"/>
        <v>0</v>
      </c>
      <c r="Y4002" s="1">
        <f t="shared" si="125"/>
        <v>15</v>
      </c>
    </row>
    <row r="4003" spans="24:25" x14ac:dyDescent="0.3">
      <c r="X4003" s="1">
        <f t="shared" si="124"/>
        <v>0</v>
      </c>
      <c r="Y4003" s="1">
        <f t="shared" si="125"/>
        <v>15</v>
      </c>
    </row>
    <row r="4004" spans="24:25" x14ac:dyDescent="0.3">
      <c r="X4004" s="1">
        <f t="shared" si="124"/>
        <v>0</v>
      </c>
      <c r="Y4004" s="1">
        <f t="shared" si="125"/>
        <v>15</v>
      </c>
    </row>
    <row r="4005" spans="24:25" x14ac:dyDescent="0.3">
      <c r="X4005" s="1">
        <f t="shared" si="124"/>
        <v>0</v>
      </c>
      <c r="Y4005" s="1">
        <f t="shared" si="125"/>
        <v>15</v>
      </c>
    </row>
    <row r="4006" spans="24:25" x14ac:dyDescent="0.3">
      <c r="X4006" s="1">
        <f t="shared" si="124"/>
        <v>0</v>
      </c>
      <c r="Y4006" s="1">
        <f t="shared" si="125"/>
        <v>15</v>
      </c>
    </row>
    <row r="4007" spans="24:25" x14ac:dyDescent="0.3">
      <c r="X4007" s="1">
        <f t="shared" si="124"/>
        <v>0</v>
      </c>
      <c r="Y4007" s="1">
        <f t="shared" si="125"/>
        <v>15</v>
      </c>
    </row>
    <row r="4008" spans="24:25" x14ac:dyDescent="0.3">
      <c r="X4008" s="1">
        <f t="shared" si="124"/>
        <v>0</v>
      </c>
      <c r="Y4008" s="1">
        <f t="shared" si="125"/>
        <v>15</v>
      </c>
    </row>
    <row r="4009" spans="24:25" x14ac:dyDescent="0.3">
      <c r="X4009" s="1">
        <f t="shared" si="124"/>
        <v>0</v>
      </c>
      <c r="Y4009" s="1">
        <f t="shared" si="125"/>
        <v>15</v>
      </c>
    </row>
    <row r="4010" spans="24:25" x14ac:dyDescent="0.3">
      <c r="X4010" s="1">
        <f t="shared" si="124"/>
        <v>0</v>
      </c>
      <c r="Y4010" s="1">
        <f t="shared" si="125"/>
        <v>15</v>
      </c>
    </row>
    <row r="4011" spans="24:25" x14ac:dyDescent="0.3">
      <c r="X4011" s="1">
        <f t="shared" si="124"/>
        <v>0</v>
      </c>
      <c r="Y4011" s="1">
        <f t="shared" si="125"/>
        <v>15</v>
      </c>
    </row>
    <row r="4012" spans="24:25" x14ac:dyDescent="0.3">
      <c r="X4012" s="1">
        <f t="shared" si="124"/>
        <v>0</v>
      </c>
      <c r="Y4012" s="1">
        <f t="shared" si="125"/>
        <v>15</v>
      </c>
    </row>
    <row r="4013" spans="24:25" x14ac:dyDescent="0.3">
      <c r="X4013" s="1">
        <f t="shared" si="124"/>
        <v>0</v>
      </c>
      <c r="Y4013" s="1">
        <f t="shared" si="125"/>
        <v>15</v>
      </c>
    </row>
    <row r="4014" spans="24:25" x14ac:dyDescent="0.3">
      <c r="X4014" s="1">
        <f t="shared" si="124"/>
        <v>0</v>
      </c>
      <c r="Y4014" s="1">
        <f t="shared" si="125"/>
        <v>15</v>
      </c>
    </row>
    <row r="4015" spans="24:25" x14ac:dyDescent="0.3">
      <c r="X4015" s="1">
        <f t="shared" si="124"/>
        <v>0</v>
      </c>
      <c r="Y4015" s="1">
        <f t="shared" si="125"/>
        <v>15</v>
      </c>
    </row>
    <row r="4016" spans="24:25" x14ac:dyDescent="0.3">
      <c r="X4016" s="1">
        <f t="shared" si="124"/>
        <v>0</v>
      </c>
      <c r="Y4016" s="1">
        <f t="shared" si="125"/>
        <v>15</v>
      </c>
    </row>
    <row r="4017" spans="24:25" x14ac:dyDescent="0.3">
      <c r="X4017" s="1">
        <f t="shared" si="124"/>
        <v>0</v>
      </c>
      <c r="Y4017" s="1">
        <f t="shared" si="125"/>
        <v>15</v>
      </c>
    </row>
    <row r="4018" spans="24:25" x14ac:dyDescent="0.3">
      <c r="X4018" s="1">
        <f t="shared" si="124"/>
        <v>0</v>
      </c>
      <c r="Y4018" s="1">
        <f t="shared" si="125"/>
        <v>15</v>
      </c>
    </row>
    <row r="4019" spans="24:25" x14ac:dyDescent="0.3">
      <c r="X4019" s="1">
        <f t="shared" si="124"/>
        <v>0</v>
      </c>
      <c r="Y4019" s="1">
        <f t="shared" si="125"/>
        <v>15</v>
      </c>
    </row>
    <row r="4020" spans="24:25" x14ac:dyDescent="0.3">
      <c r="X4020" s="1">
        <f t="shared" si="124"/>
        <v>0</v>
      </c>
      <c r="Y4020" s="1">
        <f t="shared" si="125"/>
        <v>15</v>
      </c>
    </row>
    <row r="4021" spans="24:25" x14ac:dyDescent="0.3">
      <c r="X4021" s="1">
        <f t="shared" si="124"/>
        <v>0</v>
      </c>
      <c r="Y4021" s="1">
        <f t="shared" si="125"/>
        <v>15</v>
      </c>
    </row>
    <row r="4022" spans="24:25" x14ac:dyDescent="0.3">
      <c r="X4022" s="1">
        <f t="shared" si="124"/>
        <v>0</v>
      </c>
      <c r="Y4022" s="1">
        <f t="shared" si="125"/>
        <v>15</v>
      </c>
    </row>
    <row r="4023" spans="24:25" x14ac:dyDescent="0.3">
      <c r="X4023" s="1">
        <f t="shared" si="124"/>
        <v>0</v>
      </c>
      <c r="Y4023" s="1">
        <f t="shared" si="125"/>
        <v>15</v>
      </c>
    </row>
    <row r="4024" spans="24:25" x14ac:dyDescent="0.3">
      <c r="X4024" s="1">
        <f t="shared" si="124"/>
        <v>0</v>
      </c>
      <c r="Y4024" s="1">
        <f t="shared" si="125"/>
        <v>15</v>
      </c>
    </row>
    <row r="4025" spans="24:25" x14ac:dyDescent="0.3">
      <c r="X4025" s="1">
        <f t="shared" si="124"/>
        <v>0</v>
      </c>
      <c r="Y4025" s="1">
        <f t="shared" si="125"/>
        <v>15</v>
      </c>
    </row>
    <row r="4026" spans="24:25" x14ac:dyDescent="0.3">
      <c r="X4026" s="1">
        <f t="shared" si="124"/>
        <v>0</v>
      </c>
      <c r="Y4026" s="1">
        <f t="shared" si="125"/>
        <v>15</v>
      </c>
    </row>
    <row r="4027" spans="24:25" x14ac:dyDescent="0.3">
      <c r="X4027" s="1">
        <f t="shared" si="124"/>
        <v>0</v>
      </c>
      <c r="Y4027" s="1">
        <f t="shared" si="125"/>
        <v>15</v>
      </c>
    </row>
    <row r="4028" spans="24:25" x14ac:dyDescent="0.3">
      <c r="X4028" s="1">
        <f t="shared" si="124"/>
        <v>0</v>
      </c>
      <c r="Y4028" s="1">
        <f t="shared" si="125"/>
        <v>15</v>
      </c>
    </row>
    <row r="4029" spans="24:25" x14ac:dyDescent="0.3">
      <c r="X4029" s="1">
        <f t="shared" si="124"/>
        <v>0</v>
      </c>
      <c r="Y4029" s="1">
        <f t="shared" si="125"/>
        <v>15</v>
      </c>
    </row>
    <row r="4030" spans="24:25" x14ac:dyDescent="0.3">
      <c r="X4030" s="1">
        <f t="shared" si="124"/>
        <v>0</v>
      </c>
      <c r="Y4030" s="1">
        <f t="shared" si="125"/>
        <v>15</v>
      </c>
    </row>
    <row r="4031" spans="24:25" x14ac:dyDescent="0.3">
      <c r="X4031" s="1">
        <f t="shared" si="124"/>
        <v>0</v>
      </c>
      <c r="Y4031" s="1">
        <f t="shared" si="125"/>
        <v>15</v>
      </c>
    </row>
    <row r="4032" spans="24:25" x14ac:dyDescent="0.3">
      <c r="X4032" s="1">
        <f t="shared" si="124"/>
        <v>0</v>
      </c>
      <c r="Y4032" s="1">
        <f t="shared" si="125"/>
        <v>15</v>
      </c>
    </row>
    <row r="4033" spans="24:25" x14ac:dyDescent="0.3">
      <c r="X4033" s="1">
        <f t="shared" si="124"/>
        <v>0</v>
      </c>
      <c r="Y4033" s="1">
        <f t="shared" si="125"/>
        <v>15</v>
      </c>
    </row>
    <row r="4034" spans="24:25" x14ac:dyDescent="0.3">
      <c r="X4034" s="1">
        <f t="shared" si="124"/>
        <v>0</v>
      </c>
      <c r="Y4034" s="1">
        <f t="shared" si="125"/>
        <v>15</v>
      </c>
    </row>
    <row r="4035" spans="24:25" x14ac:dyDescent="0.3">
      <c r="X4035" s="1">
        <f t="shared" ref="X4035:X4098" si="126">IFERROR(MATCH(W4035,$B:$B,0),0)</f>
        <v>0</v>
      </c>
      <c r="Y4035" s="1">
        <f t="shared" ref="Y4035:Y4098" si="127">IF(X4036=0,COUNTA(A:A),X4036-1)</f>
        <v>15</v>
      </c>
    </row>
    <row r="4036" spans="24:25" x14ac:dyDescent="0.3">
      <c r="X4036" s="1">
        <f t="shared" si="126"/>
        <v>0</v>
      </c>
      <c r="Y4036" s="1">
        <f t="shared" si="127"/>
        <v>15</v>
      </c>
    </row>
    <row r="4037" spans="24:25" x14ac:dyDescent="0.3">
      <c r="X4037" s="1">
        <f t="shared" si="126"/>
        <v>0</v>
      </c>
      <c r="Y4037" s="1">
        <f t="shared" si="127"/>
        <v>15</v>
      </c>
    </row>
    <row r="4038" spans="24:25" x14ac:dyDescent="0.3">
      <c r="X4038" s="1">
        <f t="shared" si="126"/>
        <v>0</v>
      </c>
      <c r="Y4038" s="1">
        <f t="shared" si="127"/>
        <v>15</v>
      </c>
    </row>
    <row r="4039" spans="24:25" x14ac:dyDescent="0.3">
      <c r="X4039" s="1">
        <f t="shared" si="126"/>
        <v>0</v>
      </c>
      <c r="Y4039" s="1">
        <f t="shared" si="127"/>
        <v>15</v>
      </c>
    </row>
    <row r="4040" spans="24:25" x14ac:dyDescent="0.3">
      <c r="X4040" s="1">
        <f t="shared" si="126"/>
        <v>0</v>
      </c>
      <c r="Y4040" s="1">
        <f t="shared" si="127"/>
        <v>15</v>
      </c>
    </row>
    <row r="4041" spans="24:25" x14ac:dyDescent="0.3">
      <c r="X4041" s="1">
        <f t="shared" si="126"/>
        <v>0</v>
      </c>
      <c r="Y4041" s="1">
        <f t="shared" si="127"/>
        <v>15</v>
      </c>
    </row>
    <row r="4042" spans="24:25" x14ac:dyDescent="0.3">
      <c r="X4042" s="1">
        <f t="shared" si="126"/>
        <v>0</v>
      </c>
      <c r="Y4042" s="1">
        <f t="shared" si="127"/>
        <v>15</v>
      </c>
    </row>
    <row r="4043" spans="24:25" x14ac:dyDescent="0.3">
      <c r="X4043" s="1">
        <f t="shared" si="126"/>
        <v>0</v>
      </c>
      <c r="Y4043" s="1">
        <f t="shared" si="127"/>
        <v>15</v>
      </c>
    </row>
    <row r="4044" spans="24:25" x14ac:dyDescent="0.3">
      <c r="X4044" s="1">
        <f t="shared" si="126"/>
        <v>0</v>
      </c>
      <c r="Y4044" s="1">
        <f t="shared" si="127"/>
        <v>15</v>
      </c>
    </row>
    <row r="4045" spans="24:25" x14ac:dyDescent="0.3">
      <c r="X4045" s="1">
        <f t="shared" si="126"/>
        <v>0</v>
      </c>
      <c r="Y4045" s="1">
        <f t="shared" si="127"/>
        <v>15</v>
      </c>
    </row>
    <row r="4046" spans="24:25" x14ac:dyDescent="0.3">
      <c r="X4046" s="1">
        <f t="shared" si="126"/>
        <v>0</v>
      </c>
      <c r="Y4046" s="1">
        <f t="shared" si="127"/>
        <v>15</v>
      </c>
    </row>
    <row r="4047" spans="24:25" x14ac:dyDescent="0.3">
      <c r="X4047" s="1">
        <f t="shared" si="126"/>
        <v>0</v>
      </c>
      <c r="Y4047" s="1">
        <f t="shared" si="127"/>
        <v>15</v>
      </c>
    </row>
    <row r="4048" spans="24:25" x14ac:dyDescent="0.3">
      <c r="X4048" s="1">
        <f t="shared" si="126"/>
        <v>0</v>
      </c>
      <c r="Y4048" s="1">
        <f t="shared" si="127"/>
        <v>15</v>
      </c>
    </row>
    <row r="4049" spans="24:25" x14ac:dyDescent="0.3">
      <c r="X4049" s="1">
        <f t="shared" si="126"/>
        <v>0</v>
      </c>
      <c r="Y4049" s="1">
        <f t="shared" si="127"/>
        <v>15</v>
      </c>
    </row>
    <row r="4050" spans="24:25" x14ac:dyDescent="0.3">
      <c r="X4050" s="1">
        <f t="shared" si="126"/>
        <v>0</v>
      </c>
      <c r="Y4050" s="1">
        <f t="shared" si="127"/>
        <v>15</v>
      </c>
    </row>
    <row r="4051" spans="24:25" x14ac:dyDescent="0.3">
      <c r="X4051" s="1">
        <f t="shared" si="126"/>
        <v>0</v>
      </c>
      <c r="Y4051" s="1">
        <f t="shared" si="127"/>
        <v>15</v>
      </c>
    </row>
    <row r="4052" spans="24:25" x14ac:dyDescent="0.3">
      <c r="X4052" s="1">
        <f t="shared" si="126"/>
        <v>0</v>
      </c>
      <c r="Y4052" s="1">
        <f t="shared" si="127"/>
        <v>15</v>
      </c>
    </row>
    <row r="4053" spans="24:25" x14ac:dyDescent="0.3">
      <c r="X4053" s="1">
        <f t="shared" si="126"/>
        <v>0</v>
      </c>
      <c r="Y4053" s="1">
        <f t="shared" si="127"/>
        <v>15</v>
      </c>
    </row>
    <row r="4054" spans="24:25" x14ac:dyDescent="0.3">
      <c r="X4054" s="1">
        <f t="shared" si="126"/>
        <v>0</v>
      </c>
      <c r="Y4054" s="1">
        <f t="shared" si="127"/>
        <v>15</v>
      </c>
    </row>
    <row r="4055" spans="24:25" x14ac:dyDescent="0.3">
      <c r="X4055" s="1">
        <f t="shared" si="126"/>
        <v>0</v>
      </c>
      <c r="Y4055" s="1">
        <f t="shared" si="127"/>
        <v>15</v>
      </c>
    </row>
    <row r="4056" spans="24:25" x14ac:dyDescent="0.3">
      <c r="X4056" s="1">
        <f t="shared" si="126"/>
        <v>0</v>
      </c>
      <c r="Y4056" s="1">
        <f t="shared" si="127"/>
        <v>15</v>
      </c>
    </row>
    <row r="4057" spans="24:25" x14ac:dyDescent="0.3">
      <c r="X4057" s="1">
        <f t="shared" si="126"/>
        <v>0</v>
      </c>
      <c r="Y4057" s="1">
        <f t="shared" si="127"/>
        <v>15</v>
      </c>
    </row>
    <row r="4058" spans="24:25" x14ac:dyDescent="0.3">
      <c r="X4058" s="1">
        <f t="shared" si="126"/>
        <v>0</v>
      </c>
      <c r="Y4058" s="1">
        <f t="shared" si="127"/>
        <v>15</v>
      </c>
    </row>
    <row r="4059" spans="24:25" x14ac:dyDescent="0.3">
      <c r="X4059" s="1">
        <f t="shared" si="126"/>
        <v>0</v>
      </c>
      <c r="Y4059" s="1">
        <f t="shared" si="127"/>
        <v>15</v>
      </c>
    </row>
    <row r="4060" spans="24:25" x14ac:dyDescent="0.3">
      <c r="X4060" s="1">
        <f t="shared" si="126"/>
        <v>0</v>
      </c>
      <c r="Y4060" s="1">
        <f t="shared" si="127"/>
        <v>15</v>
      </c>
    </row>
    <row r="4061" spans="24:25" x14ac:dyDescent="0.3">
      <c r="X4061" s="1">
        <f t="shared" si="126"/>
        <v>0</v>
      </c>
      <c r="Y4061" s="1">
        <f t="shared" si="127"/>
        <v>15</v>
      </c>
    </row>
    <row r="4062" spans="24:25" x14ac:dyDescent="0.3">
      <c r="X4062" s="1">
        <f t="shared" si="126"/>
        <v>0</v>
      </c>
      <c r="Y4062" s="1">
        <f t="shared" si="127"/>
        <v>15</v>
      </c>
    </row>
    <row r="4063" spans="24:25" x14ac:dyDescent="0.3">
      <c r="X4063" s="1">
        <f t="shared" si="126"/>
        <v>0</v>
      </c>
      <c r="Y4063" s="1">
        <f t="shared" si="127"/>
        <v>15</v>
      </c>
    </row>
    <row r="4064" spans="24:25" x14ac:dyDescent="0.3">
      <c r="X4064" s="1">
        <f t="shared" si="126"/>
        <v>0</v>
      </c>
      <c r="Y4064" s="1">
        <f t="shared" si="127"/>
        <v>15</v>
      </c>
    </row>
    <row r="4065" spans="24:25" x14ac:dyDescent="0.3">
      <c r="X4065" s="1">
        <f t="shared" si="126"/>
        <v>0</v>
      </c>
      <c r="Y4065" s="1">
        <f t="shared" si="127"/>
        <v>15</v>
      </c>
    </row>
    <row r="4066" spans="24:25" x14ac:dyDescent="0.3">
      <c r="X4066" s="1">
        <f t="shared" si="126"/>
        <v>0</v>
      </c>
      <c r="Y4066" s="1">
        <f t="shared" si="127"/>
        <v>15</v>
      </c>
    </row>
    <row r="4067" spans="24:25" x14ac:dyDescent="0.3">
      <c r="X4067" s="1">
        <f t="shared" si="126"/>
        <v>0</v>
      </c>
      <c r="Y4067" s="1">
        <f t="shared" si="127"/>
        <v>15</v>
      </c>
    </row>
    <row r="4068" spans="24:25" x14ac:dyDescent="0.3">
      <c r="X4068" s="1">
        <f t="shared" si="126"/>
        <v>0</v>
      </c>
      <c r="Y4068" s="1">
        <f t="shared" si="127"/>
        <v>15</v>
      </c>
    </row>
    <row r="4069" spans="24:25" x14ac:dyDescent="0.3">
      <c r="X4069" s="1">
        <f t="shared" si="126"/>
        <v>0</v>
      </c>
      <c r="Y4069" s="1">
        <f t="shared" si="127"/>
        <v>15</v>
      </c>
    </row>
    <row r="4070" spans="24:25" x14ac:dyDescent="0.3">
      <c r="X4070" s="1">
        <f t="shared" si="126"/>
        <v>0</v>
      </c>
      <c r="Y4070" s="1">
        <f t="shared" si="127"/>
        <v>15</v>
      </c>
    </row>
    <row r="4071" spans="24:25" x14ac:dyDescent="0.3">
      <c r="X4071" s="1">
        <f t="shared" si="126"/>
        <v>0</v>
      </c>
      <c r="Y4071" s="1">
        <f t="shared" si="127"/>
        <v>15</v>
      </c>
    </row>
    <row r="4072" spans="24:25" x14ac:dyDescent="0.3">
      <c r="X4072" s="1">
        <f t="shared" si="126"/>
        <v>0</v>
      </c>
      <c r="Y4072" s="1">
        <f t="shared" si="127"/>
        <v>15</v>
      </c>
    </row>
    <row r="4073" spans="24:25" x14ac:dyDescent="0.3">
      <c r="X4073" s="1">
        <f t="shared" si="126"/>
        <v>0</v>
      </c>
      <c r="Y4073" s="1">
        <f t="shared" si="127"/>
        <v>15</v>
      </c>
    </row>
    <row r="4074" spans="24:25" x14ac:dyDescent="0.3">
      <c r="X4074" s="1">
        <f t="shared" si="126"/>
        <v>0</v>
      </c>
      <c r="Y4074" s="1">
        <f t="shared" si="127"/>
        <v>15</v>
      </c>
    </row>
    <row r="4075" spans="24:25" x14ac:dyDescent="0.3">
      <c r="X4075" s="1">
        <f t="shared" si="126"/>
        <v>0</v>
      </c>
      <c r="Y4075" s="1">
        <f t="shared" si="127"/>
        <v>15</v>
      </c>
    </row>
    <row r="4076" spans="24:25" x14ac:dyDescent="0.3">
      <c r="X4076" s="1">
        <f t="shared" si="126"/>
        <v>0</v>
      </c>
      <c r="Y4076" s="1">
        <f t="shared" si="127"/>
        <v>15</v>
      </c>
    </row>
    <row r="4077" spans="24:25" x14ac:dyDescent="0.3">
      <c r="X4077" s="1">
        <f t="shared" si="126"/>
        <v>0</v>
      </c>
      <c r="Y4077" s="1">
        <f t="shared" si="127"/>
        <v>15</v>
      </c>
    </row>
    <row r="4078" spans="24:25" x14ac:dyDescent="0.3">
      <c r="X4078" s="1">
        <f t="shared" si="126"/>
        <v>0</v>
      </c>
      <c r="Y4078" s="1">
        <f t="shared" si="127"/>
        <v>15</v>
      </c>
    </row>
    <row r="4079" spans="24:25" x14ac:dyDescent="0.3">
      <c r="X4079" s="1">
        <f t="shared" si="126"/>
        <v>0</v>
      </c>
      <c r="Y4079" s="1">
        <f t="shared" si="127"/>
        <v>15</v>
      </c>
    </row>
    <row r="4080" spans="24:25" x14ac:dyDescent="0.3">
      <c r="X4080" s="1">
        <f t="shared" si="126"/>
        <v>0</v>
      </c>
      <c r="Y4080" s="1">
        <f t="shared" si="127"/>
        <v>15</v>
      </c>
    </row>
    <row r="4081" spans="24:25" x14ac:dyDescent="0.3">
      <c r="X4081" s="1">
        <f t="shared" si="126"/>
        <v>0</v>
      </c>
      <c r="Y4081" s="1">
        <f t="shared" si="127"/>
        <v>15</v>
      </c>
    </row>
    <row r="4082" spans="24:25" x14ac:dyDescent="0.3">
      <c r="X4082" s="1">
        <f t="shared" si="126"/>
        <v>0</v>
      </c>
      <c r="Y4082" s="1">
        <f t="shared" si="127"/>
        <v>15</v>
      </c>
    </row>
    <row r="4083" spans="24:25" x14ac:dyDescent="0.3">
      <c r="X4083" s="1">
        <f t="shared" si="126"/>
        <v>0</v>
      </c>
      <c r="Y4083" s="1">
        <f t="shared" si="127"/>
        <v>15</v>
      </c>
    </row>
    <row r="4084" spans="24:25" x14ac:dyDescent="0.3">
      <c r="X4084" s="1">
        <f t="shared" si="126"/>
        <v>0</v>
      </c>
      <c r="Y4084" s="1">
        <f t="shared" si="127"/>
        <v>15</v>
      </c>
    </row>
    <row r="4085" spans="24:25" x14ac:dyDescent="0.3">
      <c r="X4085" s="1">
        <f t="shared" si="126"/>
        <v>0</v>
      </c>
      <c r="Y4085" s="1">
        <f t="shared" si="127"/>
        <v>15</v>
      </c>
    </row>
    <row r="4086" spans="24:25" x14ac:dyDescent="0.3">
      <c r="X4086" s="1">
        <f t="shared" si="126"/>
        <v>0</v>
      </c>
      <c r="Y4086" s="1">
        <f t="shared" si="127"/>
        <v>15</v>
      </c>
    </row>
    <row r="4087" spans="24:25" x14ac:dyDescent="0.3">
      <c r="X4087" s="1">
        <f t="shared" si="126"/>
        <v>0</v>
      </c>
      <c r="Y4087" s="1">
        <f t="shared" si="127"/>
        <v>15</v>
      </c>
    </row>
    <row r="4088" spans="24:25" x14ac:dyDescent="0.3">
      <c r="X4088" s="1">
        <f t="shared" si="126"/>
        <v>0</v>
      </c>
      <c r="Y4088" s="1">
        <f t="shared" si="127"/>
        <v>15</v>
      </c>
    </row>
    <row r="4089" spans="24:25" x14ac:dyDescent="0.3">
      <c r="X4089" s="1">
        <f t="shared" si="126"/>
        <v>0</v>
      </c>
      <c r="Y4089" s="1">
        <f t="shared" si="127"/>
        <v>15</v>
      </c>
    </row>
    <row r="4090" spans="24:25" x14ac:dyDescent="0.3">
      <c r="X4090" s="1">
        <f t="shared" si="126"/>
        <v>0</v>
      </c>
      <c r="Y4090" s="1">
        <f t="shared" si="127"/>
        <v>15</v>
      </c>
    </row>
    <row r="4091" spans="24:25" x14ac:dyDescent="0.3">
      <c r="X4091" s="1">
        <f t="shared" si="126"/>
        <v>0</v>
      </c>
      <c r="Y4091" s="1">
        <f t="shared" si="127"/>
        <v>15</v>
      </c>
    </row>
    <row r="4092" spans="24:25" x14ac:dyDescent="0.3">
      <c r="X4092" s="1">
        <f t="shared" si="126"/>
        <v>0</v>
      </c>
      <c r="Y4092" s="1">
        <f t="shared" si="127"/>
        <v>15</v>
      </c>
    </row>
    <row r="4093" spans="24:25" x14ac:dyDescent="0.3">
      <c r="X4093" s="1">
        <f t="shared" si="126"/>
        <v>0</v>
      </c>
      <c r="Y4093" s="1">
        <f t="shared" si="127"/>
        <v>15</v>
      </c>
    </row>
    <row r="4094" spans="24:25" x14ac:dyDescent="0.3">
      <c r="X4094" s="1">
        <f t="shared" si="126"/>
        <v>0</v>
      </c>
      <c r="Y4094" s="1">
        <f t="shared" si="127"/>
        <v>15</v>
      </c>
    </row>
    <row r="4095" spans="24:25" x14ac:dyDescent="0.3">
      <c r="X4095" s="1">
        <f t="shared" si="126"/>
        <v>0</v>
      </c>
      <c r="Y4095" s="1">
        <f t="shared" si="127"/>
        <v>15</v>
      </c>
    </row>
    <row r="4096" spans="24:25" x14ac:dyDescent="0.3">
      <c r="X4096" s="1">
        <f t="shared" si="126"/>
        <v>0</v>
      </c>
      <c r="Y4096" s="1">
        <f t="shared" si="127"/>
        <v>15</v>
      </c>
    </row>
    <row r="4097" spans="24:25" x14ac:dyDescent="0.3">
      <c r="X4097" s="1">
        <f t="shared" si="126"/>
        <v>0</v>
      </c>
      <c r="Y4097" s="1">
        <f t="shared" si="127"/>
        <v>15</v>
      </c>
    </row>
    <row r="4098" spans="24:25" x14ac:dyDescent="0.3">
      <c r="X4098" s="1">
        <f t="shared" si="126"/>
        <v>0</v>
      </c>
      <c r="Y4098" s="1">
        <f t="shared" si="127"/>
        <v>15</v>
      </c>
    </row>
    <row r="4099" spans="24:25" x14ac:dyDescent="0.3">
      <c r="X4099" s="1">
        <f t="shared" ref="X4099:X4162" si="128">IFERROR(MATCH(W4099,$B:$B,0),0)</f>
        <v>0</v>
      </c>
      <c r="Y4099" s="1">
        <f t="shared" ref="Y4099:Y4162" si="129">IF(X4100=0,COUNTA(A:A),X4100-1)</f>
        <v>15</v>
      </c>
    </row>
    <row r="4100" spans="24:25" x14ac:dyDescent="0.3">
      <c r="X4100" s="1">
        <f t="shared" si="128"/>
        <v>0</v>
      </c>
      <c r="Y4100" s="1">
        <f t="shared" si="129"/>
        <v>15</v>
      </c>
    </row>
    <row r="4101" spans="24:25" x14ac:dyDescent="0.3">
      <c r="X4101" s="1">
        <f t="shared" si="128"/>
        <v>0</v>
      </c>
      <c r="Y4101" s="1">
        <f t="shared" si="129"/>
        <v>15</v>
      </c>
    </row>
    <row r="4102" spans="24:25" x14ac:dyDescent="0.3">
      <c r="X4102" s="1">
        <f t="shared" si="128"/>
        <v>0</v>
      </c>
      <c r="Y4102" s="1">
        <f t="shared" si="129"/>
        <v>15</v>
      </c>
    </row>
    <row r="4103" spans="24:25" x14ac:dyDescent="0.3">
      <c r="X4103" s="1">
        <f t="shared" si="128"/>
        <v>0</v>
      </c>
      <c r="Y4103" s="1">
        <f t="shared" si="129"/>
        <v>15</v>
      </c>
    </row>
    <row r="4104" spans="24:25" x14ac:dyDescent="0.3">
      <c r="X4104" s="1">
        <f t="shared" si="128"/>
        <v>0</v>
      </c>
      <c r="Y4104" s="1">
        <f t="shared" si="129"/>
        <v>15</v>
      </c>
    </row>
    <row r="4105" spans="24:25" x14ac:dyDescent="0.3">
      <c r="X4105" s="1">
        <f t="shared" si="128"/>
        <v>0</v>
      </c>
      <c r="Y4105" s="1">
        <f t="shared" si="129"/>
        <v>15</v>
      </c>
    </row>
    <row r="4106" spans="24:25" x14ac:dyDescent="0.3">
      <c r="X4106" s="1">
        <f t="shared" si="128"/>
        <v>0</v>
      </c>
      <c r="Y4106" s="1">
        <f t="shared" si="129"/>
        <v>15</v>
      </c>
    </row>
    <row r="4107" spans="24:25" x14ac:dyDescent="0.3">
      <c r="X4107" s="1">
        <f t="shared" si="128"/>
        <v>0</v>
      </c>
      <c r="Y4107" s="1">
        <f t="shared" si="129"/>
        <v>15</v>
      </c>
    </row>
    <row r="4108" spans="24:25" x14ac:dyDescent="0.3">
      <c r="X4108" s="1">
        <f t="shared" si="128"/>
        <v>0</v>
      </c>
      <c r="Y4108" s="1">
        <f t="shared" si="129"/>
        <v>15</v>
      </c>
    </row>
    <row r="4109" spans="24:25" x14ac:dyDescent="0.3">
      <c r="X4109" s="1">
        <f t="shared" si="128"/>
        <v>0</v>
      </c>
      <c r="Y4109" s="1">
        <f t="shared" si="129"/>
        <v>15</v>
      </c>
    </row>
    <row r="4110" spans="24:25" x14ac:dyDescent="0.3">
      <c r="X4110" s="1">
        <f t="shared" si="128"/>
        <v>0</v>
      </c>
      <c r="Y4110" s="1">
        <f t="shared" si="129"/>
        <v>15</v>
      </c>
    </row>
    <row r="4111" spans="24:25" x14ac:dyDescent="0.3">
      <c r="X4111" s="1">
        <f t="shared" si="128"/>
        <v>0</v>
      </c>
      <c r="Y4111" s="1">
        <f t="shared" si="129"/>
        <v>15</v>
      </c>
    </row>
    <row r="4112" spans="24:25" x14ac:dyDescent="0.3">
      <c r="X4112" s="1">
        <f t="shared" si="128"/>
        <v>0</v>
      </c>
      <c r="Y4112" s="1">
        <f t="shared" si="129"/>
        <v>15</v>
      </c>
    </row>
    <row r="4113" spans="24:25" x14ac:dyDescent="0.3">
      <c r="X4113" s="1">
        <f t="shared" si="128"/>
        <v>0</v>
      </c>
      <c r="Y4113" s="1">
        <f t="shared" si="129"/>
        <v>15</v>
      </c>
    </row>
    <row r="4114" spans="24:25" x14ac:dyDescent="0.3">
      <c r="X4114" s="1">
        <f t="shared" si="128"/>
        <v>0</v>
      </c>
      <c r="Y4114" s="1">
        <f t="shared" si="129"/>
        <v>15</v>
      </c>
    </row>
    <row r="4115" spans="24:25" x14ac:dyDescent="0.3">
      <c r="X4115" s="1">
        <f t="shared" si="128"/>
        <v>0</v>
      </c>
      <c r="Y4115" s="1">
        <f t="shared" si="129"/>
        <v>15</v>
      </c>
    </row>
    <row r="4116" spans="24:25" x14ac:dyDescent="0.3">
      <c r="X4116" s="1">
        <f t="shared" si="128"/>
        <v>0</v>
      </c>
      <c r="Y4116" s="1">
        <f t="shared" si="129"/>
        <v>15</v>
      </c>
    </row>
    <row r="4117" spans="24:25" x14ac:dyDescent="0.3">
      <c r="X4117" s="1">
        <f t="shared" si="128"/>
        <v>0</v>
      </c>
      <c r="Y4117" s="1">
        <f t="shared" si="129"/>
        <v>15</v>
      </c>
    </row>
    <row r="4118" spans="24:25" x14ac:dyDescent="0.3">
      <c r="X4118" s="1">
        <f t="shared" si="128"/>
        <v>0</v>
      </c>
      <c r="Y4118" s="1">
        <f t="shared" si="129"/>
        <v>15</v>
      </c>
    </row>
    <row r="4119" spans="24:25" x14ac:dyDescent="0.3">
      <c r="X4119" s="1">
        <f t="shared" si="128"/>
        <v>0</v>
      </c>
      <c r="Y4119" s="1">
        <f t="shared" si="129"/>
        <v>15</v>
      </c>
    </row>
    <row r="4120" spans="24:25" x14ac:dyDescent="0.3">
      <c r="X4120" s="1">
        <f t="shared" si="128"/>
        <v>0</v>
      </c>
      <c r="Y4120" s="1">
        <f t="shared" si="129"/>
        <v>15</v>
      </c>
    </row>
    <row r="4121" spans="24:25" x14ac:dyDescent="0.3">
      <c r="X4121" s="1">
        <f t="shared" si="128"/>
        <v>0</v>
      </c>
      <c r="Y4121" s="1">
        <f t="shared" si="129"/>
        <v>15</v>
      </c>
    </row>
    <row r="4122" spans="24:25" x14ac:dyDescent="0.3">
      <c r="X4122" s="1">
        <f t="shared" si="128"/>
        <v>0</v>
      </c>
      <c r="Y4122" s="1">
        <f t="shared" si="129"/>
        <v>15</v>
      </c>
    </row>
    <row r="4123" spans="24:25" x14ac:dyDescent="0.3">
      <c r="X4123" s="1">
        <f t="shared" si="128"/>
        <v>0</v>
      </c>
      <c r="Y4123" s="1">
        <f t="shared" si="129"/>
        <v>15</v>
      </c>
    </row>
    <row r="4124" spans="24:25" x14ac:dyDescent="0.3">
      <c r="X4124" s="1">
        <f t="shared" si="128"/>
        <v>0</v>
      </c>
      <c r="Y4124" s="1">
        <f t="shared" si="129"/>
        <v>15</v>
      </c>
    </row>
    <row r="4125" spans="24:25" x14ac:dyDescent="0.3">
      <c r="X4125" s="1">
        <f t="shared" si="128"/>
        <v>0</v>
      </c>
      <c r="Y4125" s="1">
        <f t="shared" si="129"/>
        <v>15</v>
      </c>
    </row>
    <row r="4126" spans="24:25" x14ac:dyDescent="0.3">
      <c r="X4126" s="1">
        <f t="shared" si="128"/>
        <v>0</v>
      </c>
      <c r="Y4126" s="1">
        <f t="shared" si="129"/>
        <v>15</v>
      </c>
    </row>
    <row r="4127" spans="24:25" x14ac:dyDescent="0.3">
      <c r="X4127" s="1">
        <f t="shared" si="128"/>
        <v>0</v>
      </c>
      <c r="Y4127" s="1">
        <f t="shared" si="129"/>
        <v>15</v>
      </c>
    </row>
    <row r="4128" spans="24:25" x14ac:dyDescent="0.3">
      <c r="X4128" s="1">
        <f t="shared" si="128"/>
        <v>0</v>
      </c>
      <c r="Y4128" s="1">
        <f t="shared" si="129"/>
        <v>15</v>
      </c>
    </row>
    <row r="4129" spans="24:25" x14ac:dyDescent="0.3">
      <c r="X4129" s="1">
        <f t="shared" si="128"/>
        <v>0</v>
      </c>
      <c r="Y4129" s="1">
        <f t="shared" si="129"/>
        <v>15</v>
      </c>
    </row>
    <row r="4130" spans="24:25" x14ac:dyDescent="0.3">
      <c r="X4130" s="1">
        <f t="shared" si="128"/>
        <v>0</v>
      </c>
      <c r="Y4130" s="1">
        <f t="shared" si="129"/>
        <v>15</v>
      </c>
    </row>
    <row r="4131" spans="24:25" x14ac:dyDescent="0.3">
      <c r="X4131" s="1">
        <f t="shared" si="128"/>
        <v>0</v>
      </c>
      <c r="Y4131" s="1">
        <f t="shared" si="129"/>
        <v>15</v>
      </c>
    </row>
    <row r="4132" spans="24:25" x14ac:dyDescent="0.3">
      <c r="X4132" s="1">
        <f t="shared" si="128"/>
        <v>0</v>
      </c>
      <c r="Y4132" s="1">
        <f t="shared" si="129"/>
        <v>15</v>
      </c>
    </row>
    <row r="4133" spans="24:25" x14ac:dyDescent="0.3">
      <c r="X4133" s="1">
        <f t="shared" si="128"/>
        <v>0</v>
      </c>
      <c r="Y4133" s="1">
        <f t="shared" si="129"/>
        <v>15</v>
      </c>
    </row>
    <row r="4134" spans="24:25" x14ac:dyDescent="0.3">
      <c r="X4134" s="1">
        <f t="shared" si="128"/>
        <v>0</v>
      </c>
      <c r="Y4134" s="1">
        <f t="shared" si="129"/>
        <v>15</v>
      </c>
    </row>
    <row r="4135" spans="24:25" x14ac:dyDescent="0.3">
      <c r="X4135" s="1">
        <f t="shared" si="128"/>
        <v>0</v>
      </c>
      <c r="Y4135" s="1">
        <f t="shared" si="129"/>
        <v>15</v>
      </c>
    </row>
    <row r="4136" spans="24:25" x14ac:dyDescent="0.3">
      <c r="X4136" s="1">
        <f t="shared" si="128"/>
        <v>0</v>
      </c>
      <c r="Y4136" s="1">
        <f t="shared" si="129"/>
        <v>15</v>
      </c>
    </row>
    <row r="4137" spans="24:25" x14ac:dyDescent="0.3">
      <c r="X4137" s="1">
        <f t="shared" si="128"/>
        <v>0</v>
      </c>
      <c r="Y4137" s="1">
        <f t="shared" si="129"/>
        <v>15</v>
      </c>
    </row>
    <row r="4138" spans="24:25" x14ac:dyDescent="0.3">
      <c r="X4138" s="1">
        <f t="shared" si="128"/>
        <v>0</v>
      </c>
      <c r="Y4138" s="1">
        <f t="shared" si="129"/>
        <v>15</v>
      </c>
    </row>
    <row r="4139" spans="24:25" x14ac:dyDescent="0.3">
      <c r="X4139" s="1">
        <f t="shared" si="128"/>
        <v>0</v>
      </c>
      <c r="Y4139" s="1">
        <f t="shared" si="129"/>
        <v>15</v>
      </c>
    </row>
    <row r="4140" spans="24:25" x14ac:dyDescent="0.3">
      <c r="X4140" s="1">
        <f t="shared" si="128"/>
        <v>0</v>
      </c>
      <c r="Y4140" s="1">
        <f t="shared" si="129"/>
        <v>15</v>
      </c>
    </row>
    <row r="4141" spans="24:25" x14ac:dyDescent="0.3">
      <c r="X4141" s="1">
        <f t="shared" si="128"/>
        <v>0</v>
      </c>
      <c r="Y4141" s="1">
        <f t="shared" si="129"/>
        <v>15</v>
      </c>
    </row>
    <row r="4142" spans="24:25" x14ac:dyDescent="0.3">
      <c r="X4142" s="1">
        <f t="shared" si="128"/>
        <v>0</v>
      </c>
      <c r="Y4142" s="1">
        <f t="shared" si="129"/>
        <v>15</v>
      </c>
    </row>
    <row r="4143" spans="24:25" x14ac:dyDescent="0.3">
      <c r="X4143" s="1">
        <f t="shared" si="128"/>
        <v>0</v>
      </c>
      <c r="Y4143" s="1">
        <f t="shared" si="129"/>
        <v>15</v>
      </c>
    </row>
    <row r="4144" spans="24:25" x14ac:dyDescent="0.3">
      <c r="X4144" s="1">
        <f t="shared" si="128"/>
        <v>0</v>
      </c>
      <c r="Y4144" s="1">
        <f t="shared" si="129"/>
        <v>15</v>
      </c>
    </row>
    <row r="4145" spans="24:25" x14ac:dyDescent="0.3">
      <c r="X4145" s="1">
        <f t="shared" si="128"/>
        <v>0</v>
      </c>
      <c r="Y4145" s="1">
        <f t="shared" si="129"/>
        <v>15</v>
      </c>
    </row>
    <row r="4146" spans="24:25" x14ac:dyDescent="0.3">
      <c r="X4146" s="1">
        <f t="shared" si="128"/>
        <v>0</v>
      </c>
      <c r="Y4146" s="1">
        <f t="shared" si="129"/>
        <v>15</v>
      </c>
    </row>
    <row r="4147" spans="24:25" x14ac:dyDescent="0.3">
      <c r="X4147" s="1">
        <f t="shared" si="128"/>
        <v>0</v>
      </c>
      <c r="Y4147" s="1">
        <f t="shared" si="129"/>
        <v>15</v>
      </c>
    </row>
    <row r="4148" spans="24:25" x14ac:dyDescent="0.3">
      <c r="X4148" s="1">
        <f t="shared" si="128"/>
        <v>0</v>
      </c>
      <c r="Y4148" s="1">
        <f t="shared" si="129"/>
        <v>15</v>
      </c>
    </row>
    <row r="4149" spans="24:25" x14ac:dyDescent="0.3">
      <c r="X4149" s="1">
        <f t="shared" si="128"/>
        <v>0</v>
      </c>
      <c r="Y4149" s="1">
        <f t="shared" si="129"/>
        <v>15</v>
      </c>
    </row>
    <row r="4150" spans="24:25" x14ac:dyDescent="0.3">
      <c r="X4150" s="1">
        <f t="shared" si="128"/>
        <v>0</v>
      </c>
      <c r="Y4150" s="1">
        <f t="shared" si="129"/>
        <v>15</v>
      </c>
    </row>
    <row r="4151" spans="24:25" x14ac:dyDescent="0.3">
      <c r="X4151" s="1">
        <f t="shared" si="128"/>
        <v>0</v>
      </c>
      <c r="Y4151" s="1">
        <f t="shared" si="129"/>
        <v>15</v>
      </c>
    </row>
    <row r="4152" spans="24:25" x14ac:dyDescent="0.3">
      <c r="X4152" s="1">
        <f t="shared" si="128"/>
        <v>0</v>
      </c>
      <c r="Y4152" s="1">
        <f t="shared" si="129"/>
        <v>15</v>
      </c>
    </row>
    <row r="4153" spans="24:25" x14ac:dyDescent="0.3">
      <c r="X4153" s="1">
        <f t="shared" si="128"/>
        <v>0</v>
      </c>
      <c r="Y4153" s="1">
        <f t="shared" si="129"/>
        <v>15</v>
      </c>
    </row>
    <row r="4154" spans="24:25" x14ac:dyDescent="0.3">
      <c r="X4154" s="1">
        <f t="shared" si="128"/>
        <v>0</v>
      </c>
      <c r="Y4154" s="1">
        <f t="shared" si="129"/>
        <v>15</v>
      </c>
    </row>
    <row r="4155" spans="24:25" x14ac:dyDescent="0.3">
      <c r="X4155" s="1">
        <f t="shared" si="128"/>
        <v>0</v>
      </c>
      <c r="Y4155" s="1">
        <f t="shared" si="129"/>
        <v>15</v>
      </c>
    </row>
    <row r="4156" spans="24:25" x14ac:dyDescent="0.3">
      <c r="X4156" s="1">
        <f t="shared" si="128"/>
        <v>0</v>
      </c>
      <c r="Y4156" s="1">
        <f t="shared" si="129"/>
        <v>15</v>
      </c>
    </row>
    <row r="4157" spans="24:25" x14ac:dyDescent="0.3">
      <c r="X4157" s="1">
        <f t="shared" si="128"/>
        <v>0</v>
      </c>
      <c r="Y4157" s="1">
        <f t="shared" si="129"/>
        <v>15</v>
      </c>
    </row>
    <row r="4158" spans="24:25" x14ac:dyDescent="0.3">
      <c r="X4158" s="1">
        <f t="shared" si="128"/>
        <v>0</v>
      </c>
      <c r="Y4158" s="1">
        <f t="shared" si="129"/>
        <v>15</v>
      </c>
    </row>
    <row r="4159" spans="24:25" x14ac:dyDescent="0.3">
      <c r="X4159" s="1">
        <f t="shared" si="128"/>
        <v>0</v>
      </c>
      <c r="Y4159" s="1">
        <f t="shared" si="129"/>
        <v>15</v>
      </c>
    </row>
    <row r="4160" spans="24:25" x14ac:dyDescent="0.3">
      <c r="X4160" s="1">
        <f t="shared" si="128"/>
        <v>0</v>
      </c>
      <c r="Y4160" s="1">
        <f t="shared" si="129"/>
        <v>15</v>
      </c>
    </row>
    <row r="4161" spans="24:25" x14ac:dyDescent="0.3">
      <c r="X4161" s="1">
        <f t="shared" si="128"/>
        <v>0</v>
      </c>
      <c r="Y4161" s="1">
        <f t="shared" si="129"/>
        <v>15</v>
      </c>
    </row>
    <row r="4162" spans="24:25" x14ac:dyDescent="0.3">
      <c r="X4162" s="1">
        <f t="shared" si="128"/>
        <v>0</v>
      </c>
      <c r="Y4162" s="1">
        <f t="shared" si="129"/>
        <v>15</v>
      </c>
    </row>
    <row r="4163" spans="24:25" x14ac:dyDescent="0.3">
      <c r="X4163" s="1">
        <f t="shared" ref="X4163:X4226" si="130">IFERROR(MATCH(W4163,$B:$B,0),0)</f>
        <v>0</v>
      </c>
      <c r="Y4163" s="1">
        <f t="shared" ref="Y4163:Y4226" si="131">IF(X4164=0,COUNTA(A:A),X4164-1)</f>
        <v>15</v>
      </c>
    </row>
    <row r="4164" spans="24:25" x14ac:dyDescent="0.3">
      <c r="X4164" s="1">
        <f t="shared" si="130"/>
        <v>0</v>
      </c>
      <c r="Y4164" s="1">
        <f t="shared" si="131"/>
        <v>15</v>
      </c>
    </row>
    <row r="4165" spans="24:25" x14ac:dyDescent="0.3">
      <c r="X4165" s="1">
        <f t="shared" si="130"/>
        <v>0</v>
      </c>
      <c r="Y4165" s="1">
        <f t="shared" si="131"/>
        <v>15</v>
      </c>
    </row>
    <row r="4166" spans="24:25" x14ac:dyDescent="0.3">
      <c r="X4166" s="1">
        <f t="shared" si="130"/>
        <v>0</v>
      </c>
      <c r="Y4166" s="1">
        <f t="shared" si="131"/>
        <v>15</v>
      </c>
    </row>
    <row r="4167" spans="24:25" x14ac:dyDescent="0.3">
      <c r="X4167" s="1">
        <f t="shared" si="130"/>
        <v>0</v>
      </c>
      <c r="Y4167" s="1">
        <f t="shared" si="131"/>
        <v>15</v>
      </c>
    </row>
    <row r="4168" spans="24:25" x14ac:dyDescent="0.3">
      <c r="X4168" s="1">
        <f t="shared" si="130"/>
        <v>0</v>
      </c>
      <c r="Y4168" s="1">
        <f t="shared" si="131"/>
        <v>15</v>
      </c>
    </row>
    <row r="4169" spans="24:25" x14ac:dyDescent="0.3">
      <c r="X4169" s="1">
        <f t="shared" si="130"/>
        <v>0</v>
      </c>
      <c r="Y4169" s="1">
        <f t="shared" si="131"/>
        <v>15</v>
      </c>
    </row>
    <row r="4170" spans="24:25" x14ac:dyDescent="0.3">
      <c r="X4170" s="1">
        <f t="shared" si="130"/>
        <v>0</v>
      </c>
      <c r="Y4170" s="1">
        <f t="shared" si="131"/>
        <v>15</v>
      </c>
    </row>
    <row r="4171" spans="24:25" x14ac:dyDescent="0.3">
      <c r="X4171" s="1">
        <f t="shared" si="130"/>
        <v>0</v>
      </c>
      <c r="Y4171" s="1">
        <f t="shared" si="131"/>
        <v>15</v>
      </c>
    </row>
    <row r="4172" spans="24:25" x14ac:dyDescent="0.3">
      <c r="X4172" s="1">
        <f t="shared" si="130"/>
        <v>0</v>
      </c>
      <c r="Y4172" s="1">
        <f t="shared" si="131"/>
        <v>15</v>
      </c>
    </row>
    <row r="4173" spans="24:25" x14ac:dyDescent="0.3">
      <c r="X4173" s="1">
        <f t="shared" si="130"/>
        <v>0</v>
      </c>
      <c r="Y4173" s="1">
        <f t="shared" si="131"/>
        <v>15</v>
      </c>
    </row>
    <row r="4174" spans="24:25" x14ac:dyDescent="0.3">
      <c r="X4174" s="1">
        <f t="shared" si="130"/>
        <v>0</v>
      </c>
      <c r="Y4174" s="1">
        <f t="shared" si="131"/>
        <v>15</v>
      </c>
    </row>
    <row r="4175" spans="24:25" x14ac:dyDescent="0.3">
      <c r="X4175" s="1">
        <f t="shared" si="130"/>
        <v>0</v>
      </c>
      <c r="Y4175" s="1">
        <f t="shared" si="131"/>
        <v>15</v>
      </c>
    </row>
    <row r="4176" spans="24:25" x14ac:dyDescent="0.3">
      <c r="X4176" s="1">
        <f t="shared" si="130"/>
        <v>0</v>
      </c>
      <c r="Y4176" s="1">
        <f t="shared" si="131"/>
        <v>15</v>
      </c>
    </row>
    <row r="4177" spans="24:25" x14ac:dyDescent="0.3">
      <c r="X4177" s="1">
        <f t="shared" si="130"/>
        <v>0</v>
      </c>
      <c r="Y4177" s="1">
        <f t="shared" si="131"/>
        <v>15</v>
      </c>
    </row>
    <row r="4178" spans="24:25" x14ac:dyDescent="0.3">
      <c r="X4178" s="1">
        <f t="shared" si="130"/>
        <v>0</v>
      </c>
      <c r="Y4178" s="1">
        <f t="shared" si="131"/>
        <v>15</v>
      </c>
    </row>
    <row r="4179" spans="24:25" x14ac:dyDescent="0.3">
      <c r="X4179" s="1">
        <f t="shared" si="130"/>
        <v>0</v>
      </c>
      <c r="Y4179" s="1">
        <f t="shared" si="131"/>
        <v>15</v>
      </c>
    </row>
    <row r="4180" spans="24:25" x14ac:dyDescent="0.3">
      <c r="X4180" s="1">
        <f t="shared" si="130"/>
        <v>0</v>
      </c>
      <c r="Y4180" s="1">
        <f t="shared" si="131"/>
        <v>15</v>
      </c>
    </row>
    <row r="4181" spans="24:25" x14ac:dyDescent="0.3">
      <c r="X4181" s="1">
        <f t="shared" si="130"/>
        <v>0</v>
      </c>
      <c r="Y4181" s="1">
        <f t="shared" si="131"/>
        <v>15</v>
      </c>
    </row>
    <row r="4182" spans="24:25" x14ac:dyDescent="0.3">
      <c r="X4182" s="1">
        <f t="shared" si="130"/>
        <v>0</v>
      </c>
      <c r="Y4182" s="1">
        <f t="shared" si="131"/>
        <v>15</v>
      </c>
    </row>
    <row r="4183" spans="24:25" x14ac:dyDescent="0.3">
      <c r="X4183" s="1">
        <f t="shared" si="130"/>
        <v>0</v>
      </c>
      <c r="Y4183" s="1">
        <f t="shared" si="131"/>
        <v>15</v>
      </c>
    </row>
    <row r="4184" spans="24:25" x14ac:dyDescent="0.3">
      <c r="X4184" s="1">
        <f t="shared" si="130"/>
        <v>0</v>
      </c>
      <c r="Y4184" s="1">
        <f t="shared" si="131"/>
        <v>15</v>
      </c>
    </row>
    <row r="4185" spans="24:25" x14ac:dyDescent="0.3">
      <c r="X4185" s="1">
        <f t="shared" si="130"/>
        <v>0</v>
      </c>
      <c r="Y4185" s="1">
        <f t="shared" si="131"/>
        <v>15</v>
      </c>
    </row>
    <row r="4186" spans="24:25" x14ac:dyDescent="0.3">
      <c r="X4186" s="1">
        <f t="shared" si="130"/>
        <v>0</v>
      </c>
      <c r="Y4186" s="1">
        <f t="shared" si="131"/>
        <v>15</v>
      </c>
    </row>
    <row r="4187" spans="24:25" x14ac:dyDescent="0.3">
      <c r="X4187" s="1">
        <f t="shared" si="130"/>
        <v>0</v>
      </c>
      <c r="Y4187" s="1">
        <f t="shared" si="131"/>
        <v>15</v>
      </c>
    </row>
    <row r="4188" spans="24:25" x14ac:dyDescent="0.3">
      <c r="X4188" s="1">
        <f t="shared" si="130"/>
        <v>0</v>
      </c>
      <c r="Y4188" s="1">
        <f t="shared" si="131"/>
        <v>15</v>
      </c>
    </row>
    <row r="4189" spans="24:25" x14ac:dyDescent="0.3">
      <c r="X4189" s="1">
        <f t="shared" si="130"/>
        <v>0</v>
      </c>
      <c r="Y4189" s="1">
        <f t="shared" si="131"/>
        <v>15</v>
      </c>
    </row>
    <row r="4190" spans="24:25" x14ac:dyDescent="0.3">
      <c r="X4190" s="1">
        <f t="shared" si="130"/>
        <v>0</v>
      </c>
      <c r="Y4190" s="1">
        <f t="shared" si="131"/>
        <v>15</v>
      </c>
    </row>
    <row r="4191" spans="24:25" x14ac:dyDescent="0.3">
      <c r="X4191" s="1">
        <f t="shared" si="130"/>
        <v>0</v>
      </c>
      <c r="Y4191" s="1">
        <f t="shared" si="131"/>
        <v>15</v>
      </c>
    </row>
    <row r="4192" spans="24:25" x14ac:dyDescent="0.3">
      <c r="X4192" s="1">
        <f t="shared" si="130"/>
        <v>0</v>
      </c>
      <c r="Y4192" s="1">
        <f t="shared" si="131"/>
        <v>15</v>
      </c>
    </row>
    <row r="4193" spans="24:25" x14ac:dyDescent="0.3">
      <c r="X4193" s="1">
        <f t="shared" si="130"/>
        <v>0</v>
      </c>
      <c r="Y4193" s="1">
        <f t="shared" si="131"/>
        <v>15</v>
      </c>
    </row>
    <row r="4194" spans="24:25" x14ac:dyDescent="0.3">
      <c r="X4194" s="1">
        <f t="shared" si="130"/>
        <v>0</v>
      </c>
      <c r="Y4194" s="1">
        <f t="shared" si="131"/>
        <v>15</v>
      </c>
    </row>
    <row r="4195" spans="24:25" x14ac:dyDescent="0.3">
      <c r="X4195" s="1">
        <f t="shared" si="130"/>
        <v>0</v>
      </c>
      <c r="Y4195" s="1">
        <f t="shared" si="131"/>
        <v>15</v>
      </c>
    </row>
    <row r="4196" spans="24:25" x14ac:dyDescent="0.3">
      <c r="X4196" s="1">
        <f t="shared" si="130"/>
        <v>0</v>
      </c>
      <c r="Y4196" s="1">
        <f t="shared" si="131"/>
        <v>15</v>
      </c>
    </row>
    <row r="4197" spans="24:25" x14ac:dyDescent="0.3">
      <c r="X4197" s="1">
        <f t="shared" si="130"/>
        <v>0</v>
      </c>
      <c r="Y4197" s="1">
        <f t="shared" si="131"/>
        <v>15</v>
      </c>
    </row>
    <row r="4198" spans="24:25" x14ac:dyDescent="0.3">
      <c r="X4198" s="1">
        <f t="shared" si="130"/>
        <v>0</v>
      </c>
      <c r="Y4198" s="1">
        <f t="shared" si="131"/>
        <v>15</v>
      </c>
    </row>
    <row r="4199" spans="24:25" x14ac:dyDescent="0.3">
      <c r="X4199" s="1">
        <f t="shared" si="130"/>
        <v>0</v>
      </c>
      <c r="Y4199" s="1">
        <f t="shared" si="131"/>
        <v>15</v>
      </c>
    </row>
    <row r="4200" spans="24:25" x14ac:dyDescent="0.3">
      <c r="X4200" s="1">
        <f t="shared" si="130"/>
        <v>0</v>
      </c>
      <c r="Y4200" s="1">
        <f t="shared" si="131"/>
        <v>15</v>
      </c>
    </row>
    <row r="4201" spans="24:25" x14ac:dyDescent="0.3">
      <c r="X4201" s="1">
        <f t="shared" si="130"/>
        <v>0</v>
      </c>
      <c r="Y4201" s="1">
        <f t="shared" si="131"/>
        <v>15</v>
      </c>
    </row>
    <row r="4202" spans="24:25" x14ac:dyDescent="0.3">
      <c r="X4202" s="1">
        <f t="shared" si="130"/>
        <v>0</v>
      </c>
      <c r="Y4202" s="1">
        <f t="shared" si="131"/>
        <v>15</v>
      </c>
    </row>
    <row r="4203" spans="24:25" x14ac:dyDescent="0.3">
      <c r="X4203" s="1">
        <f t="shared" si="130"/>
        <v>0</v>
      </c>
      <c r="Y4203" s="1">
        <f t="shared" si="131"/>
        <v>15</v>
      </c>
    </row>
    <row r="4204" spans="24:25" x14ac:dyDescent="0.3">
      <c r="X4204" s="1">
        <f t="shared" si="130"/>
        <v>0</v>
      </c>
      <c r="Y4204" s="1">
        <f t="shared" si="131"/>
        <v>15</v>
      </c>
    </row>
    <row r="4205" spans="24:25" x14ac:dyDescent="0.3">
      <c r="X4205" s="1">
        <f t="shared" si="130"/>
        <v>0</v>
      </c>
      <c r="Y4205" s="1">
        <f t="shared" si="131"/>
        <v>15</v>
      </c>
    </row>
    <row r="4206" spans="24:25" x14ac:dyDescent="0.3">
      <c r="X4206" s="1">
        <f t="shared" si="130"/>
        <v>0</v>
      </c>
      <c r="Y4206" s="1">
        <f t="shared" si="131"/>
        <v>15</v>
      </c>
    </row>
    <row r="4207" spans="24:25" x14ac:dyDescent="0.3">
      <c r="X4207" s="1">
        <f t="shared" si="130"/>
        <v>0</v>
      </c>
      <c r="Y4207" s="1">
        <f t="shared" si="131"/>
        <v>15</v>
      </c>
    </row>
    <row r="4208" spans="24:25" x14ac:dyDescent="0.3">
      <c r="X4208" s="1">
        <f t="shared" si="130"/>
        <v>0</v>
      </c>
      <c r="Y4208" s="1">
        <f t="shared" si="131"/>
        <v>15</v>
      </c>
    </row>
    <row r="4209" spans="24:25" x14ac:dyDescent="0.3">
      <c r="X4209" s="1">
        <f t="shared" si="130"/>
        <v>0</v>
      </c>
      <c r="Y4209" s="1">
        <f t="shared" si="131"/>
        <v>15</v>
      </c>
    </row>
    <row r="4210" spans="24:25" x14ac:dyDescent="0.3">
      <c r="X4210" s="1">
        <f t="shared" si="130"/>
        <v>0</v>
      </c>
      <c r="Y4210" s="1">
        <f t="shared" si="131"/>
        <v>15</v>
      </c>
    </row>
    <row r="4211" spans="24:25" x14ac:dyDescent="0.3">
      <c r="X4211" s="1">
        <f t="shared" si="130"/>
        <v>0</v>
      </c>
      <c r="Y4211" s="1">
        <f t="shared" si="131"/>
        <v>15</v>
      </c>
    </row>
    <row r="4212" spans="24:25" x14ac:dyDescent="0.3">
      <c r="X4212" s="1">
        <f t="shared" si="130"/>
        <v>0</v>
      </c>
      <c r="Y4212" s="1">
        <f t="shared" si="131"/>
        <v>15</v>
      </c>
    </row>
    <row r="4213" spans="24:25" x14ac:dyDescent="0.3">
      <c r="X4213" s="1">
        <f t="shared" si="130"/>
        <v>0</v>
      </c>
      <c r="Y4213" s="1">
        <f t="shared" si="131"/>
        <v>15</v>
      </c>
    </row>
    <row r="4214" spans="24:25" x14ac:dyDescent="0.3">
      <c r="X4214" s="1">
        <f t="shared" si="130"/>
        <v>0</v>
      </c>
      <c r="Y4214" s="1">
        <f t="shared" si="131"/>
        <v>15</v>
      </c>
    </row>
    <row r="4215" spans="24:25" x14ac:dyDescent="0.3">
      <c r="X4215" s="1">
        <f t="shared" si="130"/>
        <v>0</v>
      </c>
      <c r="Y4215" s="1">
        <f t="shared" si="131"/>
        <v>15</v>
      </c>
    </row>
    <row r="4216" spans="24:25" x14ac:dyDescent="0.3">
      <c r="X4216" s="1">
        <f t="shared" si="130"/>
        <v>0</v>
      </c>
      <c r="Y4216" s="1">
        <f t="shared" si="131"/>
        <v>15</v>
      </c>
    </row>
    <row r="4217" spans="24:25" x14ac:dyDescent="0.3">
      <c r="X4217" s="1">
        <f t="shared" si="130"/>
        <v>0</v>
      </c>
      <c r="Y4217" s="1">
        <f t="shared" si="131"/>
        <v>15</v>
      </c>
    </row>
    <row r="4218" spans="24:25" x14ac:dyDescent="0.3">
      <c r="X4218" s="1">
        <f t="shared" si="130"/>
        <v>0</v>
      </c>
      <c r="Y4218" s="1">
        <f t="shared" si="131"/>
        <v>15</v>
      </c>
    </row>
    <row r="4219" spans="24:25" x14ac:dyDescent="0.3">
      <c r="X4219" s="1">
        <f t="shared" si="130"/>
        <v>0</v>
      </c>
      <c r="Y4219" s="1">
        <f t="shared" si="131"/>
        <v>15</v>
      </c>
    </row>
    <row r="4220" spans="24:25" x14ac:dyDescent="0.3">
      <c r="X4220" s="1">
        <f t="shared" si="130"/>
        <v>0</v>
      </c>
      <c r="Y4220" s="1">
        <f t="shared" si="131"/>
        <v>15</v>
      </c>
    </row>
    <row r="4221" spans="24:25" x14ac:dyDescent="0.3">
      <c r="X4221" s="1">
        <f t="shared" si="130"/>
        <v>0</v>
      </c>
      <c r="Y4221" s="1">
        <f t="shared" si="131"/>
        <v>15</v>
      </c>
    </row>
    <row r="4222" spans="24:25" x14ac:dyDescent="0.3">
      <c r="X4222" s="1">
        <f t="shared" si="130"/>
        <v>0</v>
      </c>
      <c r="Y4222" s="1">
        <f t="shared" si="131"/>
        <v>15</v>
      </c>
    </row>
    <row r="4223" spans="24:25" x14ac:dyDescent="0.3">
      <c r="X4223" s="1">
        <f t="shared" si="130"/>
        <v>0</v>
      </c>
      <c r="Y4223" s="1">
        <f t="shared" si="131"/>
        <v>15</v>
      </c>
    </row>
    <row r="4224" spans="24:25" x14ac:dyDescent="0.3">
      <c r="X4224" s="1">
        <f t="shared" si="130"/>
        <v>0</v>
      </c>
      <c r="Y4224" s="1">
        <f t="shared" si="131"/>
        <v>15</v>
      </c>
    </row>
    <row r="4225" spans="24:25" x14ac:dyDescent="0.3">
      <c r="X4225" s="1">
        <f t="shared" si="130"/>
        <v>0</v>
      </c>
      <c r="Y4225" s="1">
        <f t="shared" si="131"/>
        <v>15</v>
      </c>
    </row>
    <row r="4226" spans="24:25" x14ac:dyDescent="0.3">
      <c r="X4226" s="1">
        <f t="shared" si="130"/>
        <v>0</v>
      </c>
      <c r="Y4226" s="1">
        <f t="shared" si="131"/>
        <v>15</v>
      </c>
    </row>
    <row r="4227" spans="24:25" x14ac:dyDescent="0.3">
      <c r="X4227" s="1">
        <f t="shared" ref="X4227:X4290" si="132">IFERROR(MATCH(W4227,$B:$B,0),0)</f>
        <v>0</v>
      </c>
      <c r="Y4227" s="1">
        <f t="shared" ref="Y4227:Y4290" si="133">IF(X4228=0,COUNTA(A:A),X4228-1)</f>
        <v>15</v>
      </c>
    </row>
    <row r="4228" spans="24:25" x14ac:dyDescent="0.3">
      <c r="X4228" s="1">
        <f t="shared" si="132"/>
        <v>0</v>
      </c>
      <c r="Y4228" s="1">
        <f t="shared" si="133"/>
        <v>15</v>
      </c>
    </row>
    <row r="4229" spans="24:25" x14ac:dyDescent="0.3">
      <c r="X4229" s="1">
        <f t="shared" si="132"/>
        <v>0</v>
      </c>
      <c r="Y4229" s="1">
        <f t="shared" si="133"/>
        <v>15</v>
      </c>
    </row>
    <row r="4230" spans="24:25" x14ac:dyDescent="0.3">
      <c r="X4230" s="1">
        <f t="shared" si="132"/>
        <v>0</v>
      </c>
      <c r="Y4230" s="1">
        <f t="shared" si="133"/>
        <v>15</v>
      </c>
    </row>
    <row r="4231" spans="24:25" x14ac:dyDescent="0.3">
      <c r="X4231" s="1">
        <f t="shared" si="132"/>
        <v>0</v>
      </c>
      <c r="Y4231" s="1">
        <f t="shared" si="133"/>
        <v>15</v>
      </c>
    </row>
    <row r="4232" spans="24:25" x14ac:dyDescent="0.3">
      <c r="X4232" s="1">
        <f t="shared" si="132"/>
        <v>0</v>
      </c>
      <c r="Y4232" s="1">
        <f t="shared" si="133"/>
        <v>15</v>
      </c>
    </row>
    <row r="4233" spans="24:25" x14ac:dyDescent="0.3">
      <c r="X4233" s="1">
        <f t="shared" si="132"/>
        <v>0</v>
      </c>
      <c r="Y4233" s="1">
        <f t="shared" si="133"/>
        <v>15</v>
      </c>
    </row>
    <row r="4234" spans="24:25" x14ac:dyDescent="0.3">
      <c r="X4234" s="1">
        <f t="shared" si="132"/>
        <v>0</v>
      </c>
      <c r="Y4234" s="1">
        <f t="shared" si="133"/>
        <v>15</v>
      </c>
    </row>
    <row r="4235" spans="24:25" x14ac:dyDescent="0.3">
      <c r="X4235" s="1">
        <f t="shared" si="132"/>
        <v>0</v>
      </c>
      <c r="Y4235" s="1">
        <f t="shared" si="133"/>
        <v>15</v>
      </c>
    </row>
    <row r="4236" spans="24:25" x14ac:dyDescent="0.3">
      <c r="X4236" s="1">
        <f t="shared" si="132"/>
        <v>0</v>
      </c>
      <c r="Y4236" s="1">
        <f t="shared" si="133"/>
        <v>15</v>
      </c>
    </row>
    <row r="4237" spans="24:25" x14ac:dyDescent="0.3">
      <c r="X4237" s="1">
        <f t="shared" si="132"/>
        <v>0</v>
      </c>
      <c r="Y4237" s="1">
        <f t="shared" si="133"/>
        <v>15</v>
      </c>
    </row>
    <row r="4238" spans="24:25" x14ac:dyDescent="0.3">
      <c r="X4238" s="1">
        <f t="shared" si="132"/>
        <v>0</v>
      </c>
      <c r="Y4238" s="1">
        <f t="shared" si="133"/>
        <v>15</v>
      </c>
    </row>
    <row r="4239" spans="24:25" x14ac:dyDescent="0.3">
      <c r="X4239" s="1">
        <f t="shared" si="132"/>
        <v>0</v>
      </c>
      <c r="Y4239" s="1">
        <f t="shared" si="133"/>
        <v>15</v>
      </c>
    </row>
    <row r="4240" spans="24:25" x14ac:dyDescent="0.3">
      <c r="X4240" s="1">
        <f t="shared" si="132"/>
        <v>0</v>
      </c>
      <c r="Y4240" s="1">
        <f t="shared" si="133"/>
        <v>15</v>
      </c>
    </row>
    <row r="4241" spans="24:25" x14ac:dyDescent="0.3">
      <c r="X4241" s="1">
        <f t="shared" si="132"/>
        <v>0</v>
      </c>
      <c r="Y4241" s="1">
        <f t="shared" si="133"/>
        <v>15</v>
      </c>
    </row>
    <row r="4242" spans="24:25" x14ac:dyDescent="0.3">
      <c r="X4242" s="1">
        <f t="shared" si="132"/>
        <v>0</v>
      </c>
      <c r="Y4242" s="1">
        <f t="shared" si="133"/>
        <v>15</v>
      </c>
    </row>
    <row r="4243" spans="24:25" x14ac:dyDescent="0.3">
      <c r="X4243" s="1">
        <f t="shared" si="132"/>
        <v>0</v>
      </c>
      <c r="Y4243" s="1">
        <f t="shared" si="133"/>
        <v>15</v>
      </c>
    </row>
    <row r="4244" spans="24:25" x14ac:dyDescent="0.3">
      <c r="X4244" s="1">
        <f t="shared" si="132"/>
        <v>0</v>
      </c>
      <c r="Y4244" s="1">
        <f t="shared" si="133"/>
        <v>15</v>
      </c>
    </row>
    <row r="4245" spans="24:25" x14ac:dyDescent="0.3">
      <c r="X4245" s="1">
        <f t="shared" si="132"/>
        <v>0</v>
      </c>
      <c r="Y4245" s="1">
        <f t="shared" si="133"/>
        <v>15</v>
      </c>
    </row>
    <row r="4246" spans="24:25" x14ac:dyDescent="0.3">
      <c r="X4246" s="1">
        <f t="shared" si="132"/>
        <v>0</v>
      </c>
      <c r="Y4246" s="1">
        <f t="shared" si="133"/>
        <v>15</v>
      </c>
    </row>
    <row r="4247" spans="24:25" x14ac:dyDescent="0.3">
      <c r="X4247" s="1">
        <f t="shared" si="132"/>
        <v>0</v>
      </c>
      <c r="Y4247" s="1">
        <f t="shared" si="133"/>
        <v>15</v>
      </c>
    </row>
    <row r="4248" spans="24:25" x14ac:dyDescent="0.3">
      <c r="X4248" s="1">
        <f t="shared" si="132"/>
        <v>0</v>
      </c>
      <c r="Y4248" s="1">
        <f t="shared" si="133"/>
        <v>15</v>
      </c>
    </row>
    <row r="4249" spans="24:25" x14ac:dyDescent="0.3">
      <c r="X4249" s="1">
        <f t="shared" si="132"/>
        <v>0</v>
      </c>
      <c r="Y4249" s="1">
        <f t="shared" si="133"/>
        <v>15</v>
      </c>
    </row>
    <row r="4250" spans="24:25" x14ac:dyDescent="0.3">
      <c r="X4250" s="1">
        <f t="shared" si="132"/>
        <v>0</v>
      </c>
      <c r="Y4250" s="1">
        <f t="shared" si="133"/>
        <v>15</v>
      </c>
    </row>
    <row r="4251" spans="24:25" x14ac:dyDescent="0.3">
      <c r="X4251" s="1">
        <f t="shared" si="132"/>
        <v>0</v>
      </c>
      <c r="Y4251" s="1">
        <f t="shared" si="133"/>
        <v>15</v>
      </c>
    </row>
    <row r="4252" spans="24:25" x14ac:dyDescent="0.3">
      <c r="X4252" s="1">
        <f t="shared" si="132"/>
        <v>0</v>
      </c>
      <c r="Y4252" s="1">
        <f t="shared" si="133"/>
        <v>15</v>
      </c>
    </row>
    <row r="4253" spans="24:25" x14ac:dyDescent="0.3">
      <c r="X4253" s="1">
        <f t="shared" si="132"/>
        <v>0</v>
      </c>
      <c r="Y4253" s="1">
        <f t="shared" si="133"/>
        <v>15</v>
      </c>
    </row>
    <row r="4254" spans="24:25" x14ac:dyDescent="0.3">
      <c r="X4254" s="1">
        <f t="shared" si="132"/>
        <v>0</v>
      </c>
      <c r="Y4254" s="1">
        <f t="shared" si="133"/>
        <v>15</v>
      </c>
    </row>
    <row r="4255" spans="24:25" x14ac:dyDescent="0.3">
      <c r="X4255" s="1">
        <f t="shared" si="132"/>
        <v>0</v>
      </c>
      <c r="Y4255" s="1">
        <f t="shared" si="133"/>
        <v>15</v>
      </c>
    </row>
    <row r="4256" spans="24:25" x14ac:dyDescent="0.3">
      <c r="X4256" s="1">
        <f t="shared" si="132"/>
        <v>0</v>
      </c>
      <c r="Y4256" s="1">
        <f t="shared" si="133"/>
        <v>15</v>
      </c>
    </row>
    <row r="4257" spans="24:25" x14ac:dyDescent="0.3">
      <c r="X4257" s="1">
        <f t="shared" si="132"/>
        <v>0</v>
      </c>
      <c r="Y4257" s="1">
        <f t="shared" si="133"/>
        <v>15</v>
      </c>
    </row>
    <row r="4258" spans="24:25" x14ac:dyDescent="0.3">
      <c r="X4258" s="1">
        <f t="shared" si="132"/>
        <v>0</v>
      </c>
      <c r="Y4258" s="1">
        <f t="shared" si="133"/>
        <v>15</v>
      </c>
    </row>
    <row r="4259" spans="24:25" x14ac:dyDescent="0.3">
      <c r="X4259" s="1">
        <f t="shared" si="132"/>
        <v>0</v>
      </c>
      <c r="Y4259" s="1">
        <f t="shared" si="133"/>
        <v>15</v>
      </c>
    </row>
    <row r="4260" spans="24:25" x14ac:dyDescent="0.3">
      <c r="X4260" s="1">
        <f t="shared" si="132"/>
        <v>0</v>
      </c>
      <c r="Y4260" s="1">
        <f t="shared" si="133"/>
        <v>15</v>
      </c>
    </row>
    <row r="4261" spans="24:25" x14ac:dyDescent="0.3">
      <c r="X4261" s="1">
        <f t="shared" si="132"/>
        <v>0</v>
      </c>
      <c r="Y4261" s="1">
        <f t="shared" si="133"/>
        <v>15</v>
      </c>
    </row>
    <row r="4262" spans="24:25" x14ac:dyDescent="0.3">
      <c r="X4262" s="1">
        <f t="shared" si="132"/>
        <v>0</v>
      </c>
      <c r="Y4262" s="1">
        <f t="shared" si="133"/>
        <v>15</v>
      </c>
    </row>
    <row r="4263" spans="24:25" x14ac:dyDescent="0.3">
      <c r="X4263" s="1">
        <f t="shared" si="132"/>
        <v>0</v>
      </c>
      <c r="Y4263" s="1">
        <f t="shared" si="133"/>
        <v>15</v>
      </c>
    </row>
    <row r="4264" spans="24:25" x14ac:dyDescent="0.3">
      <c r="X4264" s="1">
        <f t="shared" si="132"/>
        <v>0</v>
      </c>
      <c r="Y4264" s="1">
        <f t="shared" si="133"/>
        <v>15</v>
      </c>
    </row>
    <row r="4265" spans="24:25" x14ac:dyDescent="0.3">
      <c r="X4265" s="1">
        <f t="shared" si="132"/>
        <v>0</v>
      </c>
      <c r="Y4265" s="1">
        <f t="shared" si="133"/>
        <v>15</v>
      </c>
    </row>
    <row r="4266" spans="24:25" x14ac:dyDescent="0.3">
      <c r="X4266" s="1">
        <f t="shared" si="132"/>
        <v>0</v>
      </c>
      <c r="Y4266" s="1">
        <f t="shared" si="133"/>
        <v>15</v>
      </c>
    </row>
    <row r="4267" spans="24:25" x14ac:dyDescent="0.3">
      <c r="X4267" s="1">
        <f t="shared" si="132"/>
        <v>0</v>
      </c>
      <c r="Y4267" s="1">
        <f t="shared" si="133"/>
        <v>15</v>
      </c>
    </row>
    <row r="4268" spans="24:25" x14ac:dyDescent="0.3">
      <c r="X4268" s="1">
        <f t="shared" si="132"/>
        <v>0</v>
      </c>
      <c r="Y4268" s="1">
        <f t="shared" si="133"/>
        <v>15</v>
      </c>
    </row>
    <row r="4269" spans="24:25" x14ac:dyDescent="0.3">
      <c r="X4269" s="1">
        <f t="shared" si="132"/>
        <v>0</v>
      </c>
      <c r="Y4269" s="1">
        <f t="shared" si="133"/>
        <v>15</v>
      </c>
    </row>
    <row r="4270" spans="24:25" x14ac:dyDescent="0.3">
      <c r="X4270" s="1">
        <f t="shared" si="132"/>
        <v>0</v>
      </c>
      <c r="Y4270" s="1">
        <f t="shared" si="133"/>
        <v>15</v>
      </c>
    </row>
    <row r="4271" spans="24:25" x14ac:dyDescent="0.3">
      <c r="X4271" s="1">
        <f t="shared" si="132"/>
        <v>0</v>
      </c>
      <c r="Y4271" s="1">
        <f t="shared" si="133"/>
        <v>15</v>
      </c>
    </row>
    <row r="4272" spans="24:25" x14ac:dyDescent="0.3">
      <c r="X4272" s="1">
        <f t="shared" si="132"/>
        <v>0</v>
      </c>
      <c r="Y4272" s="1">
        <f t="shared" si="133"/>
        <v>15</v>
      </c>
    </row>
    <row r="4273" spans="24:25" x14ac:dyDescent="0.3">
      <c r="X4273" s="1">
        <f t="shared" si="132"/>
        <v>0</v>
      </c>
      <c r="Y4273" s="1">
        <f t="shared" si="133"/>
        <v>15</v>
      </c>
    </row>
    <row r="4274" spans="24:25" x14ac:dyDescent="0.3">
      <c r="X4274" s="1">
        <f t="shared" si="132"/>
        <v>0</v>
      </c>
      <c r="Y4274" s="1">
        <f t="shared" si="133"/>
        <v>15</v>
      </c>
    </row>
    <row r="4275" spans="24:25" x14ac:dyDescent="0.3">
      <c r="X4275" s="1">
        <f t="shared" si="132"/>
        <v>0</v>
      </c>
      <c r="Y4275" s="1">
        <f t="shared" si="133"/>
        <v>15</v>
      </c>
    </row>
    <row r="4276" spans="24:25" x14ac:dyDescent="0.3">
      <c r="X4276" s="1">
        <f t="shared" si="132"/>
        <v>0</v>
      </c>
      <c r="Y4276" s="1">
        <f t="shared" si="133"/>
        <v>15</v>
      </c>
    </row>
    <row r="4277" spans="24:25" x14ac:dyDescent="0.3">
      <c r="X4277" s="1">
        <f t="shared" si="132"/>
        <v>0</v>
      </c>
      <c r="Y4277" s="1">
        <f t="shared" si="133"/>
        <v>15</v>
      </c>
    </row>
    <row r="4278" spans="24:25" x14ac:dyDescent="0.3">
      <c r="X4278" s="1">
        <f t="shared" si="132"/>
        <v>0</v>
      </c>
      <c r="Y4278" s="1">
        <f t="shared" si="133"/>
        <v>15</v>
      </c>
    </row>
    <row r="4279" spans="24:25" x14ac:dyDescent="0.3">
      <c r="X4279" s="1">
        <f t="shared" si="132"/>
        <v>0</v>
      </c>
      <c r="Y4279" s="1">
        <f t="shared" si="133"/>
        <v>15</v>
      </c>
    </row>
    <row r="4280" spans="24:25" x14ac:dyDescent="0.3">
      <c r="X4280" s="1">
        <f t="shared" si="132"/>
        <v>0</v>
      </c>
      <c r="Y4280" s="1">
        <f t="shared" si="133"/>
        <v>15</v>
      </c>
    </row>
    <row r="4281" spans="24:25" x14ac:dyDescent="0.3">
      <c r="X4281" s="1">
        <f t="shared" si="132"/>
        <v>0</v>
      </c>
      <c r="Y4281" s="1">
        <f t="shared" si="133"/>
        <v>15</v>
      </c>
    </row>
    <row r="4282" spans="24:25" x14ac:dyDescent="0.3">
      <c r="X4282" s="1">
        <f t="shared" si="132"/>
        <v>0</v>
      </c>
      <c r="Y4282" s="1">
        <f t="shared" si="133"/>
        <v>15</v>
      </c>
    </row>
    <row r="4283" spans="24:25" x14ac:dyDescent="0.3">
      <c r="X4283" s="1">
        <f t="shared" si="132"/>
        <v>0</v>
      </c>
      <c r="Y4283" s="1">
        <f t="shared" si="133"/>
        <v>15</v>
      </c>
    </row>
    <row r="4284" spans="24:25" x14ac:dyDescent="0.3">
      <c r="X4284" s="1">
        <f t="shared" si="132"/>
        <v>0</v>
      </c>
      <c r="Y4284" s="1">
        <f t="shared" si="133"/>
        <v>15</v>
      </c>
    </row>
    <row r="4285" spans="24:25" x14ac:dyDescent="0.3">
      <c r="X4285" s="1">
        <f t="shared" si="132"/>
        <v>0</v>
      </c>
      <c r="Y4285" s="1">
        <f t="shared" si="133"/>
        <v>15</v>
      </c>
    </row>
    <row r="4286" spans="24:25" x14ac:dyDescent="0.3">
      <c r="X4286" s="1">
        <f t="shared" si="132"/>
        <v>0</v>
      </c>
      <c r="Y4286" s="1">
        <f t="shared" si="133"/>
        <v>15</v>
      </c>
    </row>
    <row r="4287" spans="24:25" x14ac:dyDescent="0.3">
      <c r="X4287" s="1">
        <f t="shared" si="132"/>
        <v>0</v>
      </c>
      <c r="Y4287" s="1">
        <f t="shared" si="133"/>
        <v>15</v>
      </c>
    </row>
    <row r="4288" spans="24:25" x14ac:dyDescent="0.3">
      <c r="X4288" s="1">
        <f t="shared" si="132"/>
        <v>0</v>
      </c>
      <c r="Y4288" s="1">
        <f t="shared" si="133"/>
        <v>15</v>
      </c>
    </row>
    <row r="4289" spans="24:25" x14ac:dyDescent="0.3">
      <c r="X4289" s="1">
        <f t="shared" si="132"/>
        <v>0</v>
      </c>
      <c r="Y4289" s="1">
        <f t="shared" si="133"/>
        <v>15</v>
      </c>
    </row>
    <row r="4290" spans="24:25" x14ac:dyDescent="0.3">
      <c r="X4290" s="1">
        <f t="shared" si="132"/>
        <v>0</v>
      </c>
      <c r="Y4290" s="1">
        <f t="shared" si="133"/>
        <v>15</v>
      </c>
    </row>
    <row r="4291" spans="24:25" x14ac:dyDescent="0.3">
      <c r="X4291" s="1">
        <f t="shared" ref="X4291:X4354" si="134">IFERROR(MATCH(W4291,$B:$B,0),0)</f>
        <v>0</v>
      </c>
      <c r="Y4291" s="1">
        <f t="shared" ref="Y4291:Y4354" si="135">IF(X4292=0,COUNTA(A:A),X4292-1)</f>
        <v>15</v>
      </c>
    </row>
    <row r="4292" spans="24:25" x14ac:dyDescent="0.3">
      <c r="X4292" s="1">
        <f t="shared" si="134"/>
        <v>0</v>
      </c>
      <c r="Y4292" s="1">
        <f t="shared" si="135"/>
        <v>15</v>
      </c>
    </row>
    <row r="4293" spans="24:25" x14ac:dyDescent="0.3">
      <c r="X4293" s="1">
        <f t="shared" si="134"/>
        <v>0</v>
      </c>
      <c r="Y4293" s="1">
        <f t="shared" si="135"/>
        <v>15</v>
      </c>
    </row>
    <row r="4294" spans="24:25" x14ac:dyDescent="0.3">
      <c r="X4294" s="1">
        <f t="shared" si="134"/>
        <v>0</v>
      </c>
      <c r="Y4294" s="1">
        <f t="shared" si="135"/>
        <v>15</v>
      </c>
    </row>
    <row r="4295" spans="24:25" x14ac:dyDescent="0.3">
      <c r="X4295" s="1">
        <f t="shared" si="134"/>
        <v>0</v>
      </c>
      <c r="Y4295" s="1">
        <f t="shared" si="135"/>
        <v>15</v>
      </c>
    </row>
    <row r="4296" spans="24:25" x14ac:dyDescent="0.3">
      <c r="X4296" s="1">
        <f t="shared" si="134"/>
        <v>0</v>
      </c>
      <c r="Y4296" s="1">
        <f t="shared" si="135"/>
        <v>15</v>
      </c>
    </row>
    <row r="4297" spans="24:25" x14ac:dyDescent="0.3">
      <c r="X4297" s="1">
        <f t="shared" si="134"/>
        <v>0</v>
      </c>
      <c r="Y4297" s="1">
        <f t="shared" si="135"/>
        <v>15</v>
      </c>
    </row>
    <row r="4298" spans="24:25" x14ac:dyDescent="0.3">
      <c r="X4298" s="1">
        <f t="shared" si="134"/>
        <v>0</v>
      </c>
      <c r="Y4298" s="1">
        <f t="shared" si="135"/>
        <v>15</v>
      </c>
    </row>
    <row r="4299" spans="24:25" x14ac:dyDescent="0.3">
      <c r="X4299" s="1">
        <f t="shared" si="134"/>
        <v>0</v>
      </c>
      <c r="Y4299" s="1">
        <f t="shared" si="135"/>
        <v>15</v>
      </c>
    </row>
    <row r="4300" spans="24:25" x14ac:dyDescent="0.3">
      <c r="X4300" s="1">
        <f t="shared" si="134"/>
        <v>0</v>
      </c>
      <c r="Y4300" s="1">
        <f t="shared" si="135"/>
        <v>15</v>
      </c>
    </row>
    <row r="4301" spans="24:25" x14ac:dyDescent="0.3">
      <c r="X4301" s="1">
        <f t="shared" si="134"/>
        <v>0</v>
      </c>
      <c r="Y4301" s="1">
        <f t="shared" si="135"/>
        <v>15</v>
      </c>
    </row>
    <row r="4302" spans="24:25" x14ac:dyDescent="0.3">
      <c r="X4302" s="1">
        <f t="shared" si="134"/>
        <v>0</v>
      </c>
      <c r="Y4302" s="1">
        <f t="shared" si="135"/>
        <v>15</v>
      </c>
    </row>
    <row r="4303" spans="24:25" x14ac:dyDescent="0.3">
      <c r="X4303" s="1">
        <f t="shared" si="134"/>
        <v>0</v>
      </c>
      <c r="Y4303" s="1">
        <f t="shared" si="135"/>
        <v>15</v>
      </c>
    </row>
    <row r="4304" spans="24:25" x14ac:dyDescent="0.3">
      <c r="X4304" s="1">
        <f t="shared" si="134"/>
        <v>0</v>
      </c>
      <c r="Y4304" s="1">
        <f t="shared" si="135"/>
        <v>15</v>
      </c>
    </row>
    <row r="4305" spans="24:25" x14ac:dyDescent="0.3">
      <c r="X4305" s="1">
        <f t="shared" si="134"/>
        <v>0</v>
      </c>
      <c r="Y4305" s="1">
        <f t="shared" si="135"/>
        <v>15</v>
      </c>
    </row>
    <row r="4306" spans="24:25" x14ac:dyDescent="0.3">
      <c r="X4306" s="1">
        <f t="shared" si="134"/>
        <v>0</v>
      </c>
      <c r="Y4306" s="1">
        <f t="shared" si="135"/>
        <v>15</v>
      </c>
    </row>
    <row r="4307" spans="24:25" x14ac:dyDescent="0.3">
      <c r="X4307" s="1">
        <f t="shared" si="134"/>
        <v>0</v>
      </c>
      <c r="Y4307" s="1">
        <f t="shared" si="135"/>
        <v>15</v>
      </c>
    </row>
    <row r="4308" spans="24:25" x14ac:dyDescent="0.3">
      <c r="X4308" s="1">
        <f t="shared" si="134"/>
        <v>0</v>
      </c>
      <c r="Y4308" s="1">
        <f t="shared" si="135"/>
        <v>15</v>
      </c>
    </row>
    <row r="4309" spans="24:25" x14ac:dyDescent="0.3">
      <c r="X4309" s="1">
        <f t="shared" si="134"/>
        <v>0</v>
      </c>
      <c r="Y4309" s="1">
        <f t="shared" si="135"/>
        <v>15</v>
      </c>
    </row>
    <row r="4310" spans="24:25" x14ac:dyDescent="0.3">
      <c r="X4310" s="1">
        <f t="shared" si="134"/>
        <v>0</v>
      </c>
      <c r="Y4310" s="1">
        <f t="shared" si="135"/>
        <v>15</v>
      </c>
    </row>
    <row r="4311" spans="24:25" x14ac:dyDescent="0.3">
      <c r="X4311" s="1">
        <f t="shared" si="134"/>
        <v>0</v>
      </c>
      <c r="Y4311" s="1">
        <f t="shared" si="135"/>
        <v>15</v>
      </c>
    </row>
    <row r="4312" spans="24:25" x14ac:dyDescent="0.3">
      <c r="X4312" s="1">
        <f t="shared" si="134"/>
        <v>0</v>
      </c>
      <c r="Y4312" s="1">
        <f t="shared" si="135"/>
        <v>15</v>
      </c>
    </row>
    <row r="4313" spans="24:25" x14ac:dyDescent="0.3">
      <c r="X4313" s="1">
        <f t="shared" si="134"/>
        <v>0</v>
      </c>
      <c r="Y4313" s="1">
        <f t="shared" si="135"/>
        <v>15</v>
      </c>
    </row>
    <row r="4314" spans="24:25" x14ac:dyDescent="0.3">
      <c r="X4314" s="1">
        <f t="shared" si="134"/>
        <v>0</v>
      </c>
      <c r="Y4314" s="1">
        <f t="shared" si="135"/>
        <v>15</v>
      </c>
    </row>
    <row r="4315" spans="24:25" x14ac:dyDescent="0.3">
      <c r="X4315" s="1">
        <f t="shared" si="134"/>
        <v>0</v>
      </c>
      <c r="Y4315" s="1">
        <f t="shared" si="135"/>
        <v>15</v>
      </c>
    </row>
    <row r="4316" spans="24:25" x14ac:dyDescent="0.3">
      <c r="X4316" s="1">
        <f t="shared" si="134"/>
        <v>0</v>
      </c>
      <c r="Y4316" s="1">
        <f t="shared" si="135"/>
        <v>15</v>
      </c>
    </row>
    <row r="4317" spans="24:25" x14ac:dyDescent="0.3">
      <c r="X4317" s="1">
        <f t="shared" si="134"/>
        <v>0</v>
      </c>
      <c r="Y4317" s="1">
        <f t="shared" si="135"/>
        <v>15</v>
      </c>
    </row>
    <row r="4318" spans="24:25" x14ac:dyDescent="0.3">
      <c r="X4318" s="1">
        <f t="shared" si="134"/>
        <v>0</v>
      </c>
      <c r="Y4318" s="1">
        <f t="shared" si="135"/>
        <v>15</v>
      </c>
    </row>
    <row r="4319" spans="24:25" x14ac:dyDescent="0.3">
      <c r="X4319" s="1">
        <f t="shared" si="134"/>
        <v>0</v>
      </c>
      <c r="Y4319" s="1">
        <f t="shared" si="135"/>
        <v>15</v>
      </c>
    </row>
    <row r="4320" spans="24:25" x14ac:dyDescent="0.3">
      <c r="X4320" s="1">
        <f t="shared" si="134"/>
        <v>0</v>
      </c>
      <c r="Y4320" s="1">
        <f t="shared" si="135"/>
        <v>15</v>
      </c>
    </row>
    <row r="4321" spans="24:25" x14ac:dyDescent="0.3">
      <c r="X4321" s="1">
        <f t="shared" si="134"/>
        <v>0</v>
      </c>
      <c r="Y4321" s="1">
        <f t="shared" si="135"/>
        <v>15</v>
      </c>
    </row>
    <row r="4322" spans="24:25" x14ac:dyDescent="0.3">
      <c r="X4322" s="1">
        <f t="shared" si="134"/>
        <v>0</v>
      </c>
      <c r="Y4322" s="1">
        <f t="shared" si="135"/>
        <v>15</v>
      </c>
    </row>
    <row r="4323" spans="24:25" x14ac:dyDescent="0.3">
      <c r="X4323" s="1">
        <f t="shared" si="134"/>
        <v>0</v>
      </c>
      <c r="Y4323" s="1">
        <f t="shared" si="135"/>
        <v>15</v>
      </c>
    </row>
    <row r="4324" spans="24:25" x14ac:dyDescent="0.3">
      <c r="X4324" s="1">
        <f t="shared" si="134"/>
        <v>0</v>
      </c>
      <c r="Y4324" s="1">
        <f t="shared" si="135"/>
        <v>15</v>
      </c>
    </row>
    <row r="4325" spans="24:25" x14ac:dyDescent="0.3">
      <c r="X4325" s="1">
        <f t="shared" si="134"/>
        <v>0</v>
      </c>
      <c r="Y4325" s="1">
        <f t="shared" si="135"/>
        <v>15</v>
      </c>
    </row>
    <row r="4326" spans="24:25" x14ac:dyDescent="0.3">
      <c r="X4326" s="1">
        <f t="shared" si="134"/>
        <v>0</v>
      </c>
      <c r="Y4326" s="1">
        <f t="shared" si="135"/>
        <v>15</v>
      </c>
    </row>
    <row r="4327" spans="24:25" x14ac:dyDescent="0.3">
      <c r="X4327" s="1">
        <f t="shared" si="134"/>
        <v>0</v>
      </c>
      <c r="Y4327" s="1">
        <f t="shared" si="135"/>
        <v>15</v>
      </c>
    </row>
    <row r="4328" spans="24:25" x14ac:dyDescent="0.3">
      <c r="X4328" s="1">
        <f t="shared" si="134"/>
        <v>0</v>
      </c>
      <c r="Y4328" s="1">
        <f t="shared" si="135"/>
        <v>15</v>
      </c>
    </row>
    <row r="4329" spans="24:25" x14ac:dyDescent="0.3">
      <c r="X4329" s="1">
        <f t="shared" si="134"/>
        <v>0</v>
      </c>
      <c r="Y4329" s="1">
        <f t="shared" si="135"/>
        <v>15</v>
      </c>
    </row>
    <row r="4330" spans="24:25" x14ac:dyDescent="0.3">
      <c r="X4330" s="1">
        <f t="shared" si="134"/>
        <v>0</v>
      </c>
      <c r="Y4330" s="1">
        <f t="shared" si="135"/>
        <v>15</v>
      </c>
    </row>
    <row r="4331" spans="24:25" x14ac:dyDescent="0.3">
      <c r="X4331" s="1">
        <f t="shared" si="134"/>
        <v>0</v>
      </c>
      <c r="Y4331" s="1">
        <f t="shared" si="135"/>
        <v>15</v>
      </c>
    </row>
    <row r="4332" spans="24:25" x14ac:dyDescent="0.3">
      <c r="X4332" s="1">
        <f t="shared" si="134"/>
        <v>0</v>
      </c>
      <c r="Y4332" s="1">
        <f t="shared" si="135"/>
        <v>15</v>
      </c>
    </row>
    <row r="4333" spans="24:25" x14ac:dyDescent="0.3">
      <c r="X4333" s="1">
        <f t="shared" si="134"/>
        <v>0</v>
      </c>
      <c r="Y4333" s="1">
        <f t="shared" si="135"/>
        <v>15</v>
      </c>
    </row>
    <row r="4334" spans="24:25" x14ac:dyDescent="0.3">
      <c r="X4334" s="1">
        <f t="shared" si="134"/>
        <v>0</v>
      </c>
      <c r="Y4334" s="1">
        <f t="shared" si="135"/>
        <v>15</v>
      </c>
    </row>
    <row r="4335" spans="24:25" x14ac:dyDescent="0.3">
      <c r="X4335" s="1">
        <f t="shared" si="134"/>
        <v>0</v>
      </c>
      <c r="Y4335" s="1">
        <f t="shared" si="135"/>
        <v>15</v>
      </c>
    </row>
    <row r="4336" spans="24:25" x14ac:dyDescent="0.3">
      <c r="X4336" s="1">
        <f t="shared" si="134"/>
        <v>0</v>
      </c>
      <c r="Y4336" s="1">
        <f t="shared" si="135"/>
        <v>15</v>
      </c>
    </row>
    <row r="4337" spans="24:25" x14ac:dyDescent="0.3">
      <c r="X4337" s="1">
        <f t="shared" si="134"/>
        <v>0</v>
      </c>
      <c r="Y4337" s="1">
        <f t="shared" si="135"/>
        <v>15</v>
      </c>
    </row>
    <row r="4338" spans="24:25" x14ac:dyDescent="0.3">
      <c r="X4338" s="1">
        <f t="shared" si="134"/>
        <v>0</v>
      </c>
      <c r="Y4338" s="1">
        <f t="shared" si="135"/>
        <v>15</v>
      </c>
    </row>
    <row r="4339" spans="24:25" x14ac:dyDescent="0.3">
      <c r="X4339" s="1">
        <f t="shared" si="134"/>
        <v>0</v>
      </c>
      <c r="Y4339" s="1">
        <f t="shared" si="135"/>
        <v>15</v>
      </c>
    </row>
    <row r="4340" spans="24:25" x14ac:dyDescent="0.3">
      <c r="X4340" s="1">
        <f t="shared" si="134"/>
        <v>0</v>
      </c>
      <c r="Y4340" s="1">
        <f t="shared" si="135"/>
        <v>15</v>
      </c>
    </row>
    <row r="4341" spans="24:25" x14ac:dyDescent="0.3">
      <c r="X4341" s="1">
        <f t="shared" si="134"/>
        <v>0</v>
      </c>
      <c r="Y4341" s="1">
        <f t="shared" si="135"/>
        <v>15</v>
      </c>
    </row>
    <row r="4342" spans="24:25" x14ac:dyDescent="0.3">
      <c r="X4342" s="1">
        <f t="shared" si="134"/>
        <v>0</v>
      </c>
      <c r="Y4342" s="1">
        <f t="shared" si="135"/>
        <v>15</v>
      </c>
    </row>
    <row r="4343" spans="24:25" x14ac:dyDescent="0.3">
      <c r="X4343" s="1">
        <f t="shared" si="134"/>
        <v>0</v>
      </c>
      <c r="Y4343" s="1">
        <f t="shared" si="135"/>
        <v>15</v>
      </c>
    </row>
    <row r="4344" spans="24:25" x14ac:dyDescent="0.3">
      <c r="X4344" s="1">
        <f t="shared" si="134"/>
        <v>0</v>
      </c>
      <c r="Y4344" s="1">
        <f t="shared" si="135"/>
        <v>15</v>
      </c>
    </row>
    <row r="4345" spans="24:25" x14ac:dyDescent="0.3">
      <c r="X4345" s="1">
        <f t="shared" si="134"/>
        <v>0</v>
      </c>
      <c r="Y4345" s="1">
        <f t="shared" si="135"/>
        <v>15</v>
      </c>
    </row>
    <row r="4346" spans="24:25" x14ac:dyDescent="0.3">
      <c r="X4346" s="1">
        <f t="shared" si="134"/>
        <v>0</v>
      </c>
      <c r="Y4346" s="1">
        <f t="shared" si="135"/>
        <v>15</v>
      </c>
    </row>
    <row r="4347" spans="24:25" x14ac:dyDescent="0.3">
      <c r="X4347" s="1">
        <f t="shared" si="134"/>
        <v>0</v>
      </c>
      <c r="Y4347" s="1">
        <f t="shared" si="135"/>
        <v>15</v>
      </c>
    </row>
    <row r="4348" spans="24:25" x14ac:dyDescent="0.3">
      <c r="X4348" s="1">
        <f t="shared" si="134"/>
        <v>0</v>
      </c>
      <c r="Y4348" s="1">
        <f t="shared" si="135"/>
        <v>15</v>
      </c>
    </row>
    <row r="4349" spans="24:25" x14ac:dyDescent="0.3">
      <c r="X4349" s="1">
        <f t="shared" si="134"/>
        <v>0</v>
      </c>
      <c r="Y4349" s="1">
        <f t="shared" si="135"/>
        <v>15</v>
      </c>
    </row>
    <row r="4350" spans="24:25" x14ac:dyDescent="0.3">
      <c r="X4350" s="1">
        <f t="shared" si="134"/>
        <v>0</v>
      </c>
      <c r="Y4350" s="1">
        <f t="shared" si="135"/>
        <v>15</v>
      </c>
    </row>
    <row r="4351" spans="24:25" x14ac:dyDescent="0.3">
      <c r="X4351" s="1">
        <f t="shared" si="134"/>
        <v>0</v>
      </c>
      <c r="Y4351" s="1">
        <f t="shared" si="135"/>
        <v>15</v>
      </c>
    </row>
    <row r="4352" spans="24:25" x14ac:dyDescent="0.3">
      <c r="X4352" s="1">
        <f t="shared" si="134"/>
        <v>0</v>
      </c>
      <c r="Y4352" s="1">
        <f t="shared" si="135"/>
        <v>15</v>
      </c>
    </row>
    <row r="4353" spans="24:25" x14ac:dyDescent="0.3">
      <c r="X4353" s="1">
        <f t="shared" si="134"/>
        <v>0</v>
      </c>
      <c r="Y4353" s="1">
        <f t="shared" si="135"/>
        <v>15</v>
      </c>
    </row>
    <row r="4354" spans="24:25" x14ac:dyDescent="0.3">
      <c r="X4354" s="1">
        <f t="shared" si="134"/>
        <v>0</v>
      </c>
      <c r="Y4354" s="1">
        <f t="shared" si="135"/>
        <v>15</v>
      </c>
    </row>
    <row r="4355" spans="24:25" x14ac:dyDescent="0.3">
      <c r="X4355" s="1">
        <f t="shared" ref="X4355:X4418" si="136">IFERROR(MATCH(W4355,$B:$B,0),0)</f>
        <v>0</v>
      </c>
      <c r="Y4355" s="1">
        <f t="shared" ref="Y4355:Y4418" si="137">IF(X4356=0,COUNTA(A:A),X4356-1)</f>
        <v>15</v>
      </c>
    </row>
    <row r="4356" spans="24:25" x14ac:dyDescent="0.3">
      <c r="X4356" s="1">
        <f t="shared" si="136"/>
        <v>0</v>
      </c>
      <c r="Y4356" s="1">
        <f t="shared" si="137"/>
        <v>15</v>
      </c>
    </row>
    <row r="4357" spans="24:25" x14ac:dyDescent="0.3">
      <c r="X4357" s="1">
        <f t="shared" si="136"/>
        <v>0</v>
      </c>
      <c r="Y4357" s="1">
        <f t="shared" si="137"/>
        <v>15</v>
      </c>
    </row>
    <row r="4358" spans="24:25" x14ac:dyDescent="0.3">
      <c r="X4358" s="1">
        <f t="shared" si="136"/>
        <v>0</v>
      </c>
      <c r="Y4358" s="1">
        <f t="shared" si="137"/>
        <v>15</v>
      </c>
    </row>
    <row r="4359" spans="24:25" x14ac:dyDescent="0.3">
      <c r="X4359" s="1">
        <f t="shared" si="136"/>
        <v>0</v>
      </c>
      <c r="Y4359" s="1">
        <f t="shared" si="137"/>
        <v>15</v>
      </c>
    </row>
    <row r="4360" spans="24:25" x14ac:dyDescent="0.3">
      <c r="X4360" s="1">
        <f t="shared" si="136"/>
        <v>0</v>
      </c>
      <c r="Y4360" s="1">
        <f t="shared" si="137"/>
        <v>15</v>
      </c>
    </row>
    <row r="4361" spans="24:25" x14ac:dyDescent="0.3">
      <c r="X4361" s="1">
        <f t="shared" si="136"/>
        <v>0</v>
      </c>
      <c r="Y4361" s="1">
        <f t="shared" si="137"/>
        <v>15</v>
      </c>
    </row>
    <row r="4362" spans="24:25" x14ac:dyDescent="0.3">
      <c r="X4362" s="1">
        <f t="shared" si="136"/>
        <v>0</v>
      </c>
      <c r="Y4362" s="1">
        <f t="shared" si="137"/>
        <v>15</v>
      </c>
    </row>
    <row r="4363" spans="24:25" x14ac:dyDescent="0.3">
      <c r="X4363" s="1">
        <f t="shared" si="136"/>
        <v>0</v>
      </c>
      <c r="Y4363" s="1">
        <f t="shared" si="137"/>
        <v>15</v>
      </c>
    </row>
    <row r="4364" spans="24:25" x14ac:dyDescent="0.3">
      <c r="X4364" s="1">
        <f t="shared" si="136"/>
        <v>0</v>
      </c>
      <c r="Y4364" s="1">
        <f t="shared" si="137"/>
        <v>15</v>
      </c>
    </row>
    <row r="4365" spans="24:25" x14ac:dyDescent="0.3">
      <c r="X4365" s="1">
        <f t="shared" si="136"/>
        <v>0</v>
      </c>
      <c r="Y4365" s="1">
        <f t="shared" si="137"/>
        <v>15</v>
      </c>
    </row>
    <row r="4366" spans="24:25" x14ac:dyDescent="0.3">
      <c r="X4366" s="1">
        <f t="shared" si="136"/>
        <v>0</v>
      </c>
      <c r="Y4366" s="1">
        <f t="shared" si="137"/>
        <v>15</v>
      </c>
    </row>
    <row r="4367" spans="24:25" x14ac:dyDescent="0.3">
      <c r="X4367" s="1">
        <f t="shared" si="136"/>
        <v>0</v>
      </c>
      <c r="Y4367" s="1">
        <f t="shared" si="137"/>
        <v>15</v>
      </c>
    </row>
    <row r="4368" spans="24:25" x14ac:dyDescent="0.3">
      <c r="X4368" s="1">
        <f t="shared" si="136"/>
        <v>0</v>
      </c>
      <c r="Y4368" s="1">
        <f t="shared" si="137"/>
        <v>15</v>
      </c>
    </row>
    <row r="4369" spans="24:25" x14ac:dyDescent="0.3">
      <c r="X4369" s="1">
        <f t="shared" si="136"/>
        <v>0</v>
      </c>
      <c r="Y4369" s="1">
        <f t="shared" si="137"/>
        <v>15</v>
      </c>
    </row>
    <row r="4370" spans="24:25" x14ac:dyDescent="0.3">
      <c r="X4370" s="1">
        <f t="shared" si="136"/>
        <v>0</v>
      </c>
      <c r="Y4370" s="1">
        <f t="shared" si="137"/>
        <v>15</v>
      </c>
    </row>
    <row r="4371" spans="24:25" x14ac:dyDescent="0.3">
      <c r="X4371" s="1">
        <f t="shared" si="136"/>
        <v>0</v>
      </c>
      <c r="Y4371" s="1">
        <f t="shared" si="137"/>
        <v>15</v>
      </c>
    </row>
    <row r="4372" spans="24:25" x14ac:dyDescent="0.3">
      <c r="X4372" s="1">
        <f t="shared" si="136"/>
        <v>0</v>
      </c>
      <c r="Y4372" s="1">
        <f t="shared" si="137"/>
        <v>15</v>
      </c>
    </row>
    <row r="4373" spans="24:25" x14ac:dyDescent="0.3">
      <c r="X4373" s="1">
        <f t="shared" si="136"/>
        <v>0</v>
      </c>
      <c r="Y4373" s="1">
        <f t="shared" si="137"/>
        <v>15</v>
      </c>
    </row>
    <row r="4374" spans="24:25" x14ac:dyDescent="0.3">
      <c r="X4374" s="1">
        <f t="shared" si="136"/>
        <v>0</v>
      </c>
      <c r="Y4374" s="1">
        <f t="shared" si="137"/>
        <v>15</v>
      </c>
    </row>
    <row r="4375" spans="24:25" x14ac:dyDescent="0.3">
      <c r="X4375" s="1">
        <f t="shared" si="136"/>
        <v>0</v>
      </c>
      <c r="Y4375" s="1">
        <f t="shared" si="137"/>
        <v>15</v>
      </c>
    </row>
    <row r="4376" spans="24:25" x14ac:dyDescent="0.3">
      <c r="X4376" s="1">
        <f t="shared" si="136"/>
        <v>0</v>
      </c>
      <c r="Y4376" s="1">
        <f t="shared" si="137"/>
        <v>15</v>
      </c>
    </row>
    <row r="4377" spans="24:25" x14ac:dyDescent="0.3">
      <c r="X4377" s="1">
        <f t="shared" si="136"/>
        <v>0</v>
      </c>
      <c r="Y4377" s="1">
        <f t="shared" si="137"/>
        <v>15</v>
      </c>
    </row>
    <row r="4378" spans="24:25" x14ac:dyDescent="0.3">
      <c r="X4378" s="1">
        <f t="shared" si="136"/>
        <v>0</v>
      </c>
      <c r="Y4378" s="1">
        <f t="shared" si="137"/>
        <v>15</v>
      </c>
    </row>
    <row r="4379" spans="24:25" x14ac:dyDescent="0.3">
      <c r="X4379" s="1">
        <f t="shared" si="136"/>
        <v>0</v>
      </c>
      <c r="Y4379" s="1">
        <f t="shared" si="137"/>
        <v>15</v>
      </c>
    </row>
    <row r="4380" spans="24:25" x14ac:dyDescent="0.3">
      <c r="X4380" s="1">
        <f t="shared" si="136"/>
        <v>0</v>
      </c>
      <c r="Y4380" s="1">
        <f t="shared" si="137"/>
        <v>15</v>
      </c>
    </row>
    <row r="4381" spans="24:25" x14ac:dyDescent="0.3">
      <c r="X4381" s="1">
        <f t="shared" si="136"/>
        <v>0</v>
      </c>
      <c r="Y4381" s="1">
        <f t="shared" si="137"/>
        <v>15</v>
      </c>
    </row>
    <row r="4382" spans="24:25" x14ac:dyDescent="0.3">
      <c r="X4382" s="1">
        <f t="shared" si="136"/>
        <v>0</v>
      </c>
      <c r="Y4382" s="1">
        <f t="shared" si="137"/>
        <v>15</v>
      </c>
    </row>
    <row r="4383" spans="24:25" x14ac:dyDescent="0.3">
      <c r="X4383" s="1">
        <f t="shared" si="136"/>
        <v>0</v>
      </c>
      <c r="Y4383" s="1">
        <f t="shared" si="137"/>
        <v>15</v>
      </c>
    </row>
    <row r="4384" spans="24:25" x14ac:dyDescent="0.3">
      <c r="X4384" s="1">
        <f t="shared" si="136"/>
        <v>0</v>
      </c>
      <c r="Y4384" s="1">
        <f t="shared" si="137"/>
        <v>15</v>
      </c>
    </row>
    <row r="4385" spans="24:25" x14ac:dyDescent="0.3">
      <c r="X4385" s="1">
        <f t="shared" si="136"/>
        <v>0</v>
      </c>
      <c r="Y4385" s="1">
        <f t="shared" si="137"/>
        <v>15</v>
      </c>
    </row>
    <row r="4386" spans="24:25" x14ac:dyDescent="0.3">
      <c r="X4386" s="1">
        <f t="shared" si="136"/>
        <v>0</v>
      </c>
      <c r="Y4386" s="1">
        <f t="shared" si="137"/>
        <v>15</v>
      </c>
    </row>
    <row r="4387" spans="24:25" x14ac:dyDescent="0.3">
      <c r="X4387" s="1">
        <f t="shared" si="136"/>
        <v>0</v>
      </c>
      <c r="Y4387" s="1">
        <f t="shared" si="137"/>
        <v>15</v>
      </c>
    </row>
    <row r="4388" spans="24:25" x14ac:dyDescent="0.3">
      <c r="X4388" s="1">
        <f t="shared" si="136"/>
        <v>0</v>
      </c>
      <c r="Y4388" s="1">
        <f t="shared" si="137"/>
        <v>15</v>
      </c>
    </row>
    <row r="4389" spans="24:25" x14ac:dyDescent="0.3">
      <c r="X4389" s="1">
        <f t="shared" si="136"/>
        <v>0</v>
      </c>
      <c r="Y4389" s="1">
        <f t="shared" si="137"/>
        <v>15</v>
      </c>
    </row>
    <row r="4390" spans="24:25" x14ac:dyDescent="0.3">
      <c r="X4390" s="1">
        <f t="shared" si="136"/>
        <v>0</v>
      </c>
      <c r="Y4390" s="1">
        <f t="shared" si="137"/>
        <v>15</v>
      </c>
    </row>
    <row r="4391" spans="24:25" x14ac:dyDescent="0.3">
      <c r="X4391" s="1">
        <f t="shared" si="136"/>
        <v>0</v>
      </c>
      <c r="Y4391" s="1">
        <f t="shared" si="137"/>
        <v>15</v>
      </c>
    </row>
    <row r="4392" spans="24:25" x14ac:dyDescent="0.3">
      <c r="X4392" s="1">
        <f t="shared" si="136"/>
        <v>0</v>
      </c>
      <c r="Y4392" s="1">
        <f t="shared" si="137"/>
        <v>15</v>
      </c>
    </row>
    <row r="4393" spans="24:25" x14ac:dyDescent="0.3">
      <c r="X4393" s="1">
        <f t="shared" si="136"/>
        <v>0</v>
      </c>
      <c r="Y4393" s="1">
        <f t="shared" si="137"/>
        <v>15</v>
      </c>
    </row>
    <row r="4394" spans="24:25" x14ac:dyDescent="0.3">
      <c r="X4394" s="1">
        <f t="shared" si="136"/>
        <v>0</v>
      </c>
      <c r="Y4394" s="1">
        <f t="shared" si="137"/>
        <v>15</v>
      </c>
    </row>
    <row r="4395" spans="24:25" x14ac:dyDescent="0.3">
      <c r="X4395" s="1">
        <f t="shared" si="136"/>
        <v>0</v>
      </c>
      <c r="Y4395" s="1">
        <f t="shared" si="137"/>
        <v>15</v>
      </c>
    </row>
    <row r="4396" spans="24:25" x14ac:dyDescent="0.3">
      <c r="X4396" s="1">
        <f t="shared" si="136"/>
        <v>0</v>
      </c>
      <c r="Y4396" s="1">
        <f t="shared" si="137"/>
        <v>15</v>
      </c>
    </row>
    <row r="4397" spans="24:25" x14ac:dyDescent="0.3">
      <c r="X4397" s="1">
        <f t="shared" si="136"/>
        <v>0</v>
      </c>
      <c r="Y4397" s="1">
        <f t="shared" si="137"/>
        <v>15</v>
      </c>
    </row>
    <row r="4398" spans="24:25" x14ac:dyDescent="0.3">
      <c r="X4398" s="1">
        <f t="shared" si="136"/>
        <v>0</v>
      </c>
      <c r="Y4398" s="1">
        <f t="shared" si="137"/>
        <v>15</v>
      </c>
    </row>
    <row r="4399" spans="24:25" x14ac:dyDescent="0.3">
      <c r="X4399" s="1">
        <f t="shared" si="136"/>
        <v>0</v>
      </c>
      <c r="Y4399" s="1">
        <f t="shared" si="137"/>
        <v>15</v>
      </c>
    </row>
    <row r="4400" spans="24:25" x14ac:dyDescent="0.3">
      <c r="X4400" s="1">
        <f t="shared" si="136"/>
        <v>0</v>
      </c>
      <c r="Y4400" s="1">
        <f t="shared" si="137"/>
        <v>15</v>
      </c>
    </row>
    <row r="4401" spans="24:25" x14ac:dyDescent="0.3">
      <c r="X4401" s="1">
        <f t="shared" si="136"/>
        <v>0</v>
      </c>
      <c r="Y4401" s="1">
        <f t="shared" si="137"/>
        <v>15</v>
      </c>
    </row>
    <row r="4402" spans="24:25" x14ac:dyDescent="0.3">
      <c r="X4402" s="1">
        <f t="shared" si="136"/>
        <v>0</v>
      </c>
      <c r="Y4402" s="1">
        <f t="shared" si="137"/>
        <v>15</v>
      </c>
    </row>
    <row r="4403" spans="24:25" x14ac:dyDescent="0.3">
      <c r="X4403" s="1">
        <f t="shared" si="136"/>
        <v>0</v>
      </c>
      <c r="Y4403" s="1">
        <f t="shared" si="137"/>
        <v>15</v>
      </c>
    </row>
    <row r="4404" spans="24:25" x14ac:dyDescent="0.3">
      <c r="X4404" s="1">
        <f t="shared" si="136"/>
        <v>0</v>
      </c>
      <c r="Y4404" s="1">
        <f t="shared" si="137"/>
        <v>15</v>
      </c>
    </row>
    <row r="4405" spans="24:25" x14ac:dyDescent="0.3">
      <c r="X4405" s="1">
        <f t="shared" si="136"/>
        <v>0</v>
      </c>
      <c r="Y4405" s="1">
        <f t="shared" si="137"/>
        <v>15</v>
      </c>
    </row>
    <row r="4406" spans="24:25" x14ac:dyDescent="0.3">
      <c r="X4406" s="1">
        <f t="shared" si="136"/>
        <v>0</v>
      </c>
      <c r="Y4406" s="1">
        <f t="shared" si="137"/>
        <v>15</v>
      </c>
    </row>
    <row r="4407" spans="24:25" x14ac:dyDescent="0.3">
      <c r="X4407" s="1">
        <f t="shared" si="136"/>
        <v>0</v>
      </c>
      <c r="Y4407" s="1">
        <f t="shared" si="137"/>
        <v>15</v>
      </c>
    </row>
    <row r="4408" spans="24:25" x14ac:dyDescent="0.3">
      <c r="X4408" s="1">
        <f t="shared" si="136"/>
        <v>0</v>
      </c>
      <c r="Y4408" s="1">
        <f t="shared" si="137"/>
        <v>15</v>
      </c>
    </row>
    <row r="4409" spans="24:25" x14ac:dyDescent="0.3">
      <c r="X4409" s="1">
        <f t="shared" si="136"/>
        <v>0</v>
      </c>
      <c r="Y4409" s="1">
        <f t="shared" si="137"/>
        <v>15</v>
      </c>
    </row>
    <row r="4410" spans="24:25" x14ac:dyDescent="0.3">
      <c r="X4410" s="1">
        <f t="shared" si="136"/>
        <v>0</v>
      </c>
      <c r="Y4410" s="1">
        <f t="shared" si="137"/>
        <v>15</v>
      </c>
    </row>
    <row r="4411" spans="24:25" x14ac:dyDescent="0.3">
      <c r="X4411" s="1">
        <f t="shared" si="136"/>
        <v>0</v>
      </c>
      <c r="Y4411" s="1">
        <f t="shared" si="137"/>
        <v>15</v>
      </c>
    </row>
    <row r="4412" spans="24:25" x14ac:dyDescent="0.3">
      <c r="X4412" s="1">
        <f t="shared" si="136"/>
        <v>0</v>
      </c>
      <c r="Y4412" s="1">
        <f t="shared" si="137"/>
        <v>15</v>
      </c>
    </row>
    <row r="4413" spans="24:25" x14ac:dyDescent="0.3">
      <c r="X4413" s="1">
        <f t="shared" si="136"/>
        <v>0</v>
      </c>
      <c r="Y4413" s="1">
        <f t="shared" si="137"/>
        <v>15</v>
      </c>
    </row>
    <row r="4414" spans="24:25" x14ac:dyDescent="0.3">
      <c r="X4414" s="1">
        <f t="shared" si="136"/>
        <v>0</v>
      </c>
      <c r="Y4414" s="1">
        <f t="shared" si="137"/>
        <v>15</v>
      </c>
    </row>
    <row r="4415" spans="24:25" x14ac:dyDescent="0.3">
      <c r="X4415" s="1">
        <f t="shared" si="136"/>
        <v>0</v>
      </c>
      <c r="Y4415" s="1">
        <f t="shared" si="137"/>
        <v>15</v>
      </c>
    </row>
    <row r="4416" spans="24:25" x14ac:dyDescent="0.3">
      <c r="X4416" s="1">
        <f t="shared" si="136"/>
        <v>0</v>
      </c>
      <c r="Y4416" s="1">
        <f t="shared" si="137"/>
        <v>15</v>
      </c>
    </row>
    <row r="4417" spans="24:25" x14ac:dyDescent="0.3">
      <c r="X4417" s="1">
        <f t="shared" si="136"/>
        <v>0</v>
      </c>
      <c r="Y4417" s="1">
        <f t="shared" si="137"/>
        <v>15</v>
      </c>
    </row>
    <row r="4418" spans="24:25" x14ac:dyDescent="0.3">
      <c r="X4418" s="1">
        <f t="shared" si="136"/>
        <v>0</v>
      </c>
      <c r="Y4418" s="1">
        <f t="shared" si="137"/>
        <v>15</v>
      </c>
    </row>
    <row r="4419" spans="24:25" x14ac:dyDescent="0.3">
      <c r="X4419" s="1">
        <f t="shared" ref="X4419:X4482" si="138">IFERROR(MATCH(W4419,$B:$B,0),0)</f>
        <v>0</v>
      </c>
      <c r="Y4419" s="1">
        <f t="shared" ref="Y4419:Y4482" si="139">IF(X4420=0,COUNTA(A:A),X4420-1)</f>
        <v>15</v>
      </c>
    </row>
    <row r="4420" spans="24:25" x14ac:dyDescent="0.3">
      <c r="X4420" s="1">
        <f t="shared" si="138"/>
        <v>0</v>
      </c>
      <c r="Y4420" s="1">
        <f t="shared" si="139"/>
        <v>15</v>
      </c>
    </row>
    <row r="4421" spans="24:25" x14ac:dyDescent="0.3">
      <c r="X4421" s="1">
        <f t="shared" si="138"/>
        <v>0</v>
      </c>
      <c r="Y4421" s="1">
        <f t="shared" si="139"/>
        <v>15</v>
      </c>
    </row>
    <row r="4422" spans="24:25" x14ac:dyDescent="0.3">
      <c r="X4422" s="1">
        <f t="shared" si="138"/>
        <v>0</v>
      </c>
      <c r="Y4422" s="1">
        <f t="shared" si="139"/>
        <v>15</v>
      </c>
    </row>
    <row r="4423" spans="24:25" x14ac:dyDescent="0.3">
      <c r="X4423" s="1">
        <f t="shared" si="138"/>
        <v>0</v>
      </c>
      <c r="Y4423" s="1">
        <f t="shared" si="139"/>
        <v>15</v>
      </c>
    </row>
    <row r="4424" spans="24:25" x14ac:dyDescent="0.3">
      <c r="X4424" s="1">
        <f t="shared" si="138"/>
        <v>0</v>
      </c>
      <c r="Y4424" s="1">
        <f t="shared" si="139"/>
        <v>15</v>
      </c>
    </row>
    <row r="4425" spans="24:25" x14ac:dyDescent="0.3">
      <c r="X4425" s="1">
        <f t="shared" si="138"/>
        <v>0</v>
      </c>
      <c r="Y4425" s="1">
        <f t="shared" si="139"/>
        <v>15</v>
      </c>
    </row>
    <row r="4426" spans="24:25" x14ac:dyDescent="0.3">
      <c r="X4426" s="1">
        <f t="shared" si="138"/>
        <v>0</v>
      </c>
      <c r="Y4426" s="1">
        <f t="shared" si="139"/>
        <v>15</v>
      </c>
    </row>
    <row r="4427" spans="24:25" x14ac:dyDescent="0.3">
      <c r="X4427" s="1">
        <f t="shared" si="138"/>
        <v>0</v>
      </c>
      <c r="Y4427" s="1">
        <f t="shared" si="139"/>
        <v>15</v>
      </c>
    </row>
    <row r="4428" spans="24:25" x14ac:dyDescent="0.3">
      <c r="X4428" s="1">
        <f t="shared" si="138"/>
        <v>0</v>
      </c>
      <c r="Y4428" s="1">
        <f t="shared" si="139"/>
        <v>15</v>
      </c>
    </row>
    <row r="4429" spans="24:25" x14ac:dyDescent="0.3">
      <c r="X4429" s="1">
        <f t="shared" si="138"/>
        <v>0</v>
      </c>
      <c r="Y4429" s="1">
        <f t="shared" si="139"/>
        <v>15</v>
      </c>
    </row>
    <row r="4430" spans="24:25" x14ac:dyDescent="0.3">
      <c r="X4430" s="1">
        <f t="shared" si="138"/>
        <v>0</v>
      </c>
      <c r="Y4430" s="1">
        <f t="shared" si="139"/>
        <v>15</v>
      </c>
    </row>
    <row r="4431" spans="24:25" x14ac:dyDescent="0.3">
      <c r="X4431" s="1">
        <f t="shared" si="138"/>
        <v>0</v>
      </c>
      <c r="Y4431" s="1">
        <f t="shared" si="139"/>
        <v>15</v>
      </c>
    </row>
    <row r="4432" spans="24:25" x14ac:dyDescent="0.3">
      <c r="X4432" s="1">
        <f t="shared" si="138"/>
        <v>0</v>
      </c>
      <c r="Y4432" s="1">
        <f t="shared" si="139"/>
        <v>15</v>
      </c>
    </row>
    <row r="4433" spans="24:25" x14ac:dyDescent="0.3">
      <c r="X4433" s="1">
        <f t="shared" si="138"/>
        <v>0</v>
      </c>
      <c r="Y4433" s="1">
        <f t="shared" si="139"/>
        <v>15</v>
      </c>
    </row>
    <row r="4434" spans="24:25" x14ac:dyDescent="0.3">
      <c r="X4434" s="1">
        <f t="shared" si="138"/>
        <v>0</v>
      </c>
      <c r="Y4434" s="1">
        <f t="shared" si="139"/>
        <v>15</v>
      </c>
    </row>
    <row r="4435" spans="24:25" x14ac:dyDescent="0.3">
      <c r="X4435" s="1">
        <f t="shared" si="138"/>
        <v>0</v>
      </c>
      <c r="Y4435" s="1">
        <f t="shared" si="139"/>
        <v>15</v>
      </c>
    </row>
    <row r="4436" spans="24:25" x14ac:dyDescent="0.3">
      <c r="X4436" s="1">
        <f t="shared" si="138"/>
        <v>0</v>
      </c>
      <c r="Y4436" s="1">
        <f t="shared" si="139"/>
        <v>15</v>
      </c>
    </row>
    <row r="4437" spans="24:25" x14ac:dyDescent="0.3">
      <c r="X4437" s="1">
        <f t="shared" si="138"/>
        <v>0</v>
      </c>
      <c r="Y4437" s="1">
        <f t="shared" si="139"/>
        <v>15</v>
      </c>
    </row>
    <row r="4438" spans="24:25" x14ac:dyDescent="0.3">
      <c r="X4438" s="1">
        <f t="shared" si="138"/>
        <v>0</v>
      </c>
      <c r="Y4438" s="1">
        <f t="shared" si="139"/>
        <v>15</v>
      </c>
    </row>
    <row r="4439" spans="24:25" x14ac:dyDescent="0.3">
      <c r="X4439" s="1">
        <f t="shared" si="138"/>
        <v>0</v>
      </c>
      <c r="Y4439" s="1">
        <f t="shared" si="139"/>
        <v>15</v>
      </c>
    </row>
    <row r="4440" spans="24:25" x14ac:dyDescent="0.3">
      <c r="X4440" s="1">
        <f t="shared" si="138"/>
        <v>0</v>
      </c>
      <c r="Y4440" s="1">
        <f t="shared" si="139"/>
        <v>15</v>
      </c>
    </row>
    <row r="4441" spans="24:25" x14ac:dyDescent="0.3">
      <c r="X4441" s="1">
        <f t="shared" si="138"/>
        <v>0</v>
      </c>
      <c r="Y4441" s="1">
        <f t="shared" si="139"/>
        <v>15</v>
      </c>
    </row>
    <row r="4442" spans="24:25" x14ac:dyDescent="0.3">
      <c r="X4442" s="1">
        <f t="shared" si="138"/>
        <v>0</v>
      </c>
      <c r="Y4442" s="1">
        <f t="shared" si="139"/>
        <v>15</v>
      </c>
    </row>
    <row r="4443" spans="24:25" x14ac:dyDescent="0.3">
      <c r="X4443" s="1">
        <f t="shared" si="138"/>
        <v>0</v>
      </c>
      <c r="Y4443" s="1">
        <f t="shared" si="139"/>
        <v>15</v>
      </c>
    </row>
    <row r="4444" spans="24:25" x14ac:dyDescent="0.3">
      <c r="X4444" s="1">
        <f t="shared" si="138"/>
        <v>0</v>
      </c>
      <c r="Y4444" s="1">
        <f t="shared" si="139"/>
        <v>15</v>
      </c>
    </row>
    <row r="4445" spans="24:25" x14ac:dyDescent="0.3">
      <c r="X4445" s="1">
        <f t="shared" si="138"/>
        <v>0</v>
      </c>
      <c r="Y4445" s="1">
        <f t="shared" si="139"/>
        <v>15</v>
      </c>
    </row>
    <row r="4446" spans="24:25" x14ac:dyDescent="0.3">
      <c r="X4446" s="1">
        <f t="shared" si="138"/>
        <v>0</v>
      </c>
      <c r="Y4446" s="1">
        <f t="shared" si="139"/>
        <v>15</v>
      </c>
    </row>
    <row r="4447" spans="24:25" x14ac:dyDescent="0.3">
      <c r="X4447" s="1">
        <f t="shared" si="138"/>
        <v>0</v>
      </c>
      <c r="Y4447" s="1">
        <f t="shared" si="139"/>
        <v>15</v>
      </c>
    </row>
    <row r="4448" spans="24:25" x14ac:dyDescent="0.3">
      <c r="X4448" s="1">
        <f t="shared" si="138"/>
        <v>0</v>
      </c>
      <c r="Y4448" s="1">
        <f t="shared" si="139"/>
        <v>15</v>
      </c>
    </row>
    <row r="4449" spans="24:25" x14ac:dyDescent="0.3">
      <c r="X4449" s="1">
        <f t="shared" si="138"/>
        <v>0</v>
      </c>
      <c r="Y4449" s="1">
        <f t="shared" si="139"/>
        <v>15</v>
      </c>
    </row>
    <row r="4450" spans="24:25" x14ac:dyDescent="0.3">
      <c r="X4450" s="1">
        <f t="shared" si="138"/>
        <v>0</v>
      </c>
      <c r="Y4450" s="1">
        <f t="shared" si="139"/>
        <v>15</v>
      </c>
    </row>
    <row r="4451" spans="24:25" x14ac:dyDescent="0.3">
      <c r="X4451" s="1">
        <f t="shared" si="138"/>
        <v>0</v>
      </c>
      <c r="Y4451" s="1">
        <f t="shared" si="139"/>
        <v>15</v>
      </c>
    </row>
    <row r="4452" spans="24:25" x14ac:dyDescent="0.3">
      <c r="X4452" s="1">
        <f t="shared" si="138"/>
        <v>0</v>
      </c>
      <c r="Y4452" s="1">
        <f t="shared" si="139"/>
        <v>15</v>
      </c>
    </row>
    <row r="4453" spans="24:25" x14ac:dyDescent="0.3">
      <c r="X4453" s="1">
        <f t="shared" si="138"/>
        <v>0</v>
      </c>
      <c r="Y4453" s="1">
        <f t="shared" si="139"/>
        <v>15</v>
      </c>
    </row>
    <row r="4454" spans="24:25" x14ac:dyDescent="0.3">
      <c r="X4454" s="1">
        <f t="shared" si="138"/>
        <v>0</v>
      </c>
      <c r="Y4454" s="1">
        <f t="shared" si="139"/>
        <v>15</v>
      </c>
    </row>
    <row r="4455" spans="24:25" x14ac:dyDescent="0.3">
      <c r="X4455" s="1">
        <f t="shared" si="138"/>
        <v>0</v>
      </c>
      <c r="Y4455" s="1">
        <f t="shared" si="139"/>
        <v>15</v>
      </c>
    </row>
    <row r="4456" spans="24:25" x14ac:dyDescent="0.3">
      <c r="X4456" s="1">
        <f t="shared" si="138"/>
        <v>0</v>
      </c>
      <c r="Y4456" s="1">
        <f t="shared" si="139"/>
        <v>15</v>
      </c>
    </row>
    <row r="4457" spans="24:25" x14ac:dyDescent="0.3">
      <c r="X4457" s="1">
        <f t="shared" si="138"/>
        <v>0</v>
      </c>
      <c r="Y4457" s="1">
        <f t="shared" si="139"/>
        <v>15</v>
      </c>
    </row>
    <row r="4458" spans="24:25" x14ac:dyDescent="0.3">
      <c r="X4458" s="1">
        <f t="shared" si="138"/>
        <v>0</v>
      </c>
      <c r="Y4458" s="1">
        <f t="shared" si="139"/>
        <v>15</v>
      </c>
    </row>
    <row r="4459" spans="24:25" x14ac:dyDescent="0.3">
      <c r="X4459" s="1">
        <f t="shared" si="138"/>
        <v>0</v>
      </c>
      <c r="Y4459" s="1">
        <f t="shared" si="139"/>
        <v>15</v>
      </c>
    </row>
    <row r="4460" spans="24:25" x14ac:dyDescent="0.3">
      <c r="X4460" s="1">
        <f t="shared" si="138"/>
        <v>0</v>
      </c>
      <c r="Y4460" s="1">
        <f t="shared" si="139"/>
        <v>15</v>
      </c>
    </row>
    <row r="4461" spans="24:25" x14ac:dyDescent="0.3">
      <c r="X4461" s="1">
        <f t="shared" si="138"/>
        <v>0</v>
      </c>
      <c r="Y4461" s="1">
        <f t="shared" si="139"/>
        <v>15</v>
      </c>
    </row>
    <row r="4462" spans="24:25" x14ac:dyDescent="0.3">
      <c r="X4462" s="1">
        <f t="shared" si="138"/>
        <v>0</v>
      </c>
      <c r="Y4462" s="1">
        <f t="shared" si="139"/>
        <v>15</v>
      </c>
    </row>
    <row r="4463" spans="24:25" x14ac:dyDescent="0.3">
      <c r="X4463" s="1">
        <f t="shared" si="138"/>
        <v>0</v>
      </c>
      <c r="Y4463" s="1">
        <f t="shared" si="139"/>
        <v>15</v>
      </c>
    </row>
    <row r="4464" spans="24:25" x14ac:dyDescent="0.3">
      <c r="X4464" s="1">
        <f t="shared" si="138"/>
        <v>0</v>
      </c>
      <c r="Y4464" s="1">
        <f t="shared" si="139"/>
        <v>15</v>
      </c>
    </row>
    <row r="4465" spans="24:25" x14ac:dyDescent="0.3">
      <c r="X4465" s="1">
        <f t="shared" si="138"/>
        <v>0</v>
      </c>
      <c r="Y4465" s="1">
        <f t="shared" si="139"/>
        <v>15</v>
      </c>
    </row>
    <row r="4466" spans="24:25" x14ac:dyDescent="0.3">
      <c r="X4466" s="1">
        <f t="shared" si="138"/>
        <v>0</v>
      </c>
      <c r="Y4466" s="1">
        <f t="shared" si="139"/>
        <v>15</v>
      </c>
    </row>
    <row r="4467" spans="24:25" x14ac:dyDescent="0.3">
      <c r="X4467" s="1">
        <f t="shared" si="138"/>
        <v>0</v>
      </c>
      <c r="Y4467" s="1">
        <f t="shared" si="139"/>
        <v>15</v>
      </c>
    </row>
    <row r="4468" spans="24:25" x14ac:dyDescent="0.3">
      <c r="X4468" s="1">
        <f t="shared" si="138"/>
        <v>0</v>
      </c>
      <c r="Y4468" s="1">
        <f t="shared" si="139"/>
        <v>15</v>
      </c>
    </row>
    <row r="4469" spans="24:25" x14ac:dyDescent="0.3">
      <c r="X4469" s="1">
        <f t="shared" si="138"/>
        <v>0</v>
      </c>
      <c r="Y4469" s="1">
        <f t="shared" si="139"/>
        <v>15</v>
      </c>
    </row>
    <row r="4470" spans="24:25" x14ac:dyDescent="0.3">
      <c r="X4470" s="1">
        <f t="shared" si="138"/>
        <v>0</v>
      </c>
      <c r="Y4470" s="1">
        <f t="shared" si="139"/>
        <v>15</v>
      </c>
    </row>
    <row r="4471" spans="24:25" x14ac:dyDescent="0.3">
      <c r="X4471" s="1">
        <f t="shared" si="138"/>
        <v>0</v>
      </c>
      <c r="Y4471" s="1">
        <f t="shared" si="139"/>
        <v>15</v>
      </c>
    </row>
    <row r="4472" spans="24:25" x14ac:dyDescent="0.3">
      <c r="X4472" s="1">
        <f t="shared" si="138"/>
        <v>0</v>
      </c>
      <c r="Y4472" s="1">
        <f t="shared" si="139"/>
        <v>15</v>
      </c>
    </row>
    <row r="4473" spans="24:25" x14ac:dyDescent="0.3">
      <c r="X4473" s="1">
        <f t="shared" si="138"/>
        <v>0</v>
      </c>
      <c r="Y4473" s="1">
        <f t="shared" si="139"/>
        <v>15</v>
      </c>
    </row>
    <row r="4474" spans="24:25" x14ac:dyDescent="0.3">
      <c r="X4474" s="1">
        <f t="shared" si="138"/>
        <v>0</v>
      </c>
      <c r="Y4474" s="1">
        <f t="shared" si="139"/>
        <v>15</v>
      </c>
    </row>
    <row r="4475" spans="24:25" x14ac:dyDescent="0.3">
      <c r="X4475" s="1">
        <f t="shared" si="138"/>
        <v>0</v>
      </c>
      <c r="Y4475" s="1">
        <f t="shared" si="139"/>
        <v>15</v>
      </c>
    </row>
    <row r="4476" spans="24:25" x14ac:dyDescent="0.3">
      <c r="X4476" s="1">
        <f t="shared" si="138"/>
        <v>0</v>
      </c>
      <c r="Y4476" s="1">
        <f t="shared" si="139"/>
        <v>15</v>
      </c>
    </row>
    <row r="4477" spans="24:25" x14ac:dyDescent="0.3">
      <c r="X4477" s="1">
        <f t="shared" si="138"/>
        <v>0</v>
      </c>
      <c r="Y4477" s="1">
        <f t="shared" si="139"/>
        <v>15</v>
      </c>
    </row>
    <row r="4478" spans="24:25" x14ac:dyDescent="0.3">
      <c r="X4478" s="1">
        <f t="shared" si="138"/>
        <v>0</v>
      </c>
      <c r="Y4478" s="1">
        <f t="shared" si="139"/>
        <v>15</v>
      </c>
    </row>
    <row r="4479" spans="24:25" x14ac:dyDescent="0.3">
      <c r="X4479" s="1">
        <f t="shared" si="138"/>
        <v>0</v>
      </c>
      <c r="Y4479" s="1">
        <f t="shared" si="139"/>
        <v>15</v>
      </c>
    </row>
    <row r="4480" spans="24:25" x14ac:dyDescent="0.3">
      <c r="X4480" s="1">
        <f t="shared" si="138"/>
        <v>0</v>
      </c>
      <c r="Y4480" s="1">
        <f t="shared" si="139"/>
        <v>15</v>
      </c>
    </row>
    <row r="4481" spans="24:25" x14ac:dyDescent="0.3">
      <c r="X4481" s="1">
        <f t="shared" si="138"/>
        <v>0</v>
      </c>
      <c r="Y4481" s="1">
        <f t="shared" si="139"/>
        <v>15</v>
      </c>
    </row>
    <row r="4482" spans="24:25" x14ac:dyDescent="0.3">
      <c r="X4482" s="1">
        <f t="shared" si="138"/>
        <v>0</v>
      </c>
      <c r="Y4482" s="1">
        <f t="shared" si="139"/>
        <v>15</v>
      </c>
    </row>
    <row r="4483" spans="24:25" x14ac:dyDescent="0.3">
      <c r="X4483" s="1">
        <f t="shared" ref="X4483:X4546" si="140">IFERROR(MATCH(W4483,$B:$B,0),0)</f>
        <v>0</v>
      </c>
      <c r="Y4483" s="1">
        <f t="shared" ref="Y4483:Y4546" si="141">IF(X4484=0,COUNTA(A:A),X4484-1)</f>
        <v>15</v>
      </c>
    </row>
    <row r="4484" spans="24:25" x14ac:dyDescent="0.3">
      <c r="X4484" s="1">
        <f t="shared" si="140"/>
        <v>0</v>
      </c>
      <c r="Y4484" s="1">
        <f t="shared" si="141"/>
        <v>15</v>
      </c>
    </row>
    <row r="4485" spans="24:25" x14ac:dyDescent="0.3">
      <c r="X4485" s="1">
        <f t="shared" si="140"/>
        <v>0</v>
      </c>
      <c r="Y4485" s="1">
        <f t="shared" si="141"/>
        <v>15</v>
      </c>
    </row>
    <row r="4486" spans="24:25" x14ac:dyDescent="0.3">
      <c r="X4486" s="1">
        <f t="shared" si="140"/>
        <v>0</v>
      </c>
      <c r="Y4486" s="1">
        <f t="shared" si="141"/>
        <v>15</v>
      </c>
    </row>
    <row r="4487" spans="24:25" x14ac:dyDescent="0.3">
      <c r="X4487" s="1">
        <f t="shared" si="140"/>
        <v>0</v>
      </c>
      <c r="Y4487" s="1">
        <f t="shared" si="141"/>
        <v>15</v>
      </c>
    </row>
    <row r="4488" spans="24:25" x14ac:dyDescent="0.3">
      <c r="X4488" s="1">
        <f t="shared" si="140"/>
        <v>0</v>
      </c>
      <c r="Y4488" s="1">
        <f t="shared" si="141"/>
        <v>15</v>
      </c>
    </row>
    <row r="4489" spans="24:25" x14ac:dyDescent="0.3">
      <c r="X4489" s="1">
        <f t="shared" si="140"/>
        <v>0</v>
      </c>
      <c r="Y4489" s="1">
        <f t="shared" si="141"/>
        <v>15</v>
      </c>
    </row>
    <row r="4490" spans="24:25" x14ac:dyDescent="0.3">
      <c r="X4490" s="1">
        <f t="shared" si="140"/>
        <v>0</v>
      </c>
      <c r="Y4490" s="1">
        <f t="shared" si="141"/>
        <v>15</v>
      </c>
    </row>
    <row r="4491" spans="24:25" x14ac:dyDescent="0.3">
      <c r="X4491" s="1">
        <f t="shared" si="140"/>
        <v>0</v>
      </c>
      <c r="Y4491" s="1">
        <f t="shared" si="141"/>
        <v>15</v>
      </c>
    </row>
    <row r="4492" spans="24:25" x14ac:dyDescent="0.3">
      <c r="X4492" s="1">
        <f t="shared" si="140"/>
        <v>0</v>
      </c>
      <c r="Y4492" s="1">
        <f t="shared" si="141"/>
        <v>15</v>
      </c>
    </row>
    <row r="4493" spans="24:25" x14ac:dyDescent="0.3">
      <c r="X4493" s="1">
        <f t="shared" si="140"/>
        <v>0</v>
      </c>
      <c r="Y4493" s="1">
        <f t="shared" si="141"/>
        <v>15</v>
      </c>
    </row>
    <row r="4494" spans="24:25" x14ac:dyDescent="0.3">
      <c r="X4494" s="1">
        <f t="shared" si="140"/>
        <v>0</v>
      </c>
      <c r="Y4494" s="1">
        <f t="shared" si="141"/>
        <v>15</v>
      </c>
    </row>
    <row r="4495" spans="24:25" x14ac:dyDescent="0.3">
      <c r="X4495" s="1">
        <f t="shared" si="140"/>
        <v>0</v>
      </c>
      <c r="Y4495" s="1">
        <f t="shared" si="141"/>
        <v>15</v>
      </c>
    </row>
    <row r="4496" spans="24:25" x14ac:dyDescent="0.3">
      <c r="X4496" s="1">
        <f t="shared" si="140"/>
        <v>0</v>
      </c>
      <c r="Y4496" s="1">
        <f t="shared" si="141"/>
        <v>15</v>
      </c>
    </row>
    <row r="4497" spans="24:25" x14ac:dyDescent="0.3">
      <c r="X4497" s="1">
        <f t="shared" si="140"/>
        <v>0</v>
      </c>
      <c r="Y4497" s="1">
        <f t="shared" si="141"/>
        <v>15</v>
      </c>
    </row>
    <row r="4498" spans="24:25" x14ac:dyDescent="0.3">
      <c r="X4498" s="1">
        <f t="shared" si="140"/>
        <v>0</v>
      </c>
      <c r="Y4498" s="1">
        <f t="shared" si="141"/>
        <v>15</v>
      </c>
    </row>
    <row r="4499" spans="24:25" x14ac:dyDescent="0.3">
      <c r="X4499" s="1">
        <f t="shared" si="140"/>
        <v>0</v>
      </c>
      <c r="Y4499" s="1">
        <f t="shared" si="141"/>
        <v>15</v>
      </c>
    </row>
    <row r="4500" spans="24:25" x14ac:dyDescent="0.3">
      <c r="X4500" s="1">
        <f t="shared" si="140"/>
        <v>0</v>
      </c>
      <c r="Y4500" s="1">
        <f t="shared" si="141"/>
        <v>15</v>
      </c>
    </row>
    <row r="4501" spans="24:25" x14ac:dyDescent="0.3">
      <c r="X4501" s="1">
        <f t="shared" si="140"/>
        <v>0</v>
      </c>
      <c r="Y4501" s="1">
        <f t="shared" si="141"/>
        <v>15</v>
      </c>
    </row>
    <row r="4502" spans="24:25" x14ac:dyDescent="0.3">
      <c r="X4502" s="1">
        <f t="shared" si="140"/>
        <v>0</v>
      </c>
      <c r="Y4502" s="1">
        <f t="shared" si="141"/>
        <v>15</v>
      </c>
    </row>
    <row r="4503" spans="24:25" x14ac:dyDescent="0.3">
      <c r="X4503" s="1">
        <f t="shared" si="140"/>
        <v>0</v>
      </c>
      <c r="Y4503" s="1">
        <f t="shared" si="141"/>
        <v>15</v>
      </c>
    </row>
    <row r="4504" spans="24:25" x14ac:dyDescent="0.3">
      <c r="X4504" s="1">
        <f t="shared" si="140"/>
        <v>0</v>
      </c>
      <c r="Y4504" s="1">
        <f t="shared" si="141"/>
        <v>15</v>
      </c>
    </row>
    <row r="4505" spans="24:25" x14ac:dyDescent="0.3">
      <c r="X4505" s="1">
        <f t="shared" si="140"/>
        <v>0</v>
      </c>
      <c r="Y4505" s="1">
        <f t="shared" si="141"/>
        <v>15</v>
      </c>
    </row>
    <row r="4506" spans="24:25" x14ac:dyDescent="0.3">
      <c r="X4506" s="1">
        <f t="shared" si="140"/>
        <v>0</v>
      </c>
      <c r="Y4506" s="1">
        <f t="shared" si="141"/>
        <v>15</v>
      </c>
    </row>
    <row r="4507" spans="24:25" x14ac:dyDescent="0.3">
      <c r="X4507" s="1">
        <f t="shared" si="140"/>
        <v>0</v>
      </c>
      <c r="Y4507" s="1">
        <f t="shared" si="141"/>
        <v>15</v>
      </c>
    </row>
    <row r="4508" spans="24:25" x14ac:dyDescent="0.3">
      <c r="X4508" s="1">
        <f t="shared" si="140"/>
        <v>0</v>
      </c>
      <c r="Y4508" s="1">
        <f t="shared" si="141"/>
        <v>15</v>
      </c>
    </row>
    <row r="4509" spans="24:25" x14ac:dyDescent="0.3">
      <c r="X4509" s="1">
        <f t="shared" si="140"/>
        <v>0</v>
      </c>
      <c r="Y4509" s="1">
        <f t="shared" si="141"/>
        <v>15</v>
      </c>
    </row>
    <row r="4510" spans="24:25" x14ac:dyDescent="0.3">
      <c r="X4510" s="1">
        <f t="shared" si="140"/>
        <v>0</v>
      </c>
      <c r="Y4510" s="1">
        <f t="shared" si="141"/>
        <v>15</v>
      </c>
    </row>
    <row r="4511" spans="24:25" x14ac:dyDescent="0.3">
      <c r="X4511" s="1">
        <f t="shared" si="140"/>
        <v>0</v>
      </c>
      <c r="Y4511" s="1">
        <f t="shared" si="141"/>
        <v>15</v>
      </c>
    </row>
    <row r="4512" spans="24:25" x14ac:dyDescent="0.3">
      <c r="X4512" s="1">
        <f t="shared" si="140"/>
        <v>0</v>
      </c>
      <c r="Y4512" s="1">
        <f t="shared" si="141"/>
        <v>15</v>
      </c>
    </row>
    <row r="4513" spans="24:25" x14ac:dyDescent="0.3">
      <c r="X4513" s="1">
        <f t="shared" si="140"/>
        <v>0</v>
      </c>
      <c r="Y4513" s="1">
        <f t="shared" si="141"/>
        <v>15</v>
      </c>
    </row>
    <row r="4514" spans="24:25" x14ac:dyDescent="0.3">
      <c r="X4514" s="1">
        <f t="shared" si="140"/>
        <v>0</v>
      </c>
      <c r="Y4514" s="1">
        <f t="shared" si="141"/>
        <v>15</v>
      </c>
    </row>
    <row r="4515" spans="24:25" x14ac:dyDescent="0.3">
      <c r="X4515" s="1">
        <f t="shared" si="140"/>
        <v>0</v>
      </c>
      <c r="Y4515" s="1">
        <f t="shared" si="141"/>
        <v>15</v>
      </c>
    </row>
    <row r="4516" spans="24:25" x14ac:dyDescent="0.3">
      <c r="X4516" s="1">
        <f t="shared" si="140"/>
        <v>0</v>
      </c>
      <c r="Y4516" s="1">
        <f t="shared" si="141"/>
        <v>15</v>
      </c>
    </row>
    <row r="4517" spans="24:25" x14ac:dyDescent="0.3">
      <c r="X4517" s="1">
        <f t="shared" si="140"/>
        <v>0</v>
      </c>
      <c r="Y4517" s="1">
        <f t="shared" si="141"/>
        <v>15</v>
      </c>
    </row>
    <row r="4518" spans="24:25" x14ac:dyDescent="0.3">
      <c r="X4518" s="1">
        <f t="shared" si="140"/>
        <v>0</v>
      </c>
      <c r="Y4518" s="1">
        <f t="shared" si="141"/>
        <v>15</v>
      </c>
    </row>
    <row r="4519" spans="24:25" x14ac:dyDescent="0.3">
      <c r="X4519" s="1">
        <f t="shared" si="140"/>
        <v>0</v>
      </c>
      <c r="Y4519" s="1">
        <f t="shared" si="141"/>
        <v>15</v>
      </c>
    </row>
    <row r="4520" spans="24:25" x14ac:dyDescent="0.3">
      <c r="X4520" s="1">
        <f t="shared" si="140"/>
        <v>0</v>
      </c>
      <c r="Y4520" s="1">
        <f t="shared" si="141"/>
        <v>15</v>
      </c>
    </row>
    <row r="4521" spans="24:25" x14ac:dyDescent="0.3">
      <c r="X4521" s="1">
        <f t="shared" si="140"/>
        <v>0</v>
      </c>
      <c r="Y4521" s="1">
        <f t="shared" si="141"/>
        <v>15</v>
      </c>
    </row>
    <row r="4522" spans="24:25" x14ac:dyDescent="0.3">
      <c r="X4522" s="1">
        <f t="shared" si="140"/>
        <v>0</v>
      </c>
      <c r="Y4522" s="1">
        <f t="shared" si="141"/>
        <v>15</v>
      </c>
    </row>
    <row r="4523" spans="24:25" x14ac:dyDescent="0.3">
      <c r="X4523" s="1">
        <f t="shared" si="140"/>
        <v>0</v>
      </c>
      <c r="Y4523" s="1">
        <f t="shared" si="141"/>
        <v>15</v>
      </c>
    </row>
    <row r="4524" spans="24:25" x14ac:dyDescent="0.3">
      <c r="X4524" s="1">
        <f t="shared" si="140"/>
        <v>0</v>
      </c>
      <c r="Y4524" s="1">
        <f t="shared" si="141"/>
        <v>15</v>
      </c>
    </row>
    <row r="4525" spans="24:25" x14ac:dyDescent="0.3">
      <c r="X4525" s="1">
        <f t="shared" si="140"/>
        <v>0</v>
      </c>
      <c r="Y4525" s="1">
        <f t="shared" si="141"/>
        <v>15</v>
      </c>
    </row>
    <row r="4526" spans="24:25" x14ac:dyDescent="0.3">
      <c r="X4526" s="1">
        <f t="shared" si="140"/>
        <v>0</v>
      </c>
      <c r="Y4526" s="1">
        <f t="shared" si="141"/>
        <v>15</v>
      </c>
    </row>
    <row r="4527" spans="24:25" x14ac:dyDescent="0.3">
      <c r="X4527" s="1">
        <f t="shared" si="140"/>
        <v>0</v>
      </c>
      <c r="Y4527" s="1">
        <f t="shared" si="141"/>
        <v>15</v>
      </c>
    </row>
    <row r="4528" spans="24:25" x14ac:dyDescent="0.3">
      <c r="X4528" s="1">
        <f t="shared" si="140"/>
        <v>0</v>
      </c>
      <c r="Y4528" s="1">
        <f t="shared" si="141"/>
        <v>15</v>
      </c>
    </row>
    <row r="4529" spans="24:25" x14ac:dyDescent="0.3">
      <c r="X4529" s="1">
        <f t="shared" si="140"/>
        <v>0</v>
      </c>
      <c r="Y4529" s="1">
        <f t="shared" si="141"/>
        <v>15</v>
      </c>
    </row>
    <row r="4530" spans="24:25" x14ac:dyDescent="0.3">
      <c r="X4530" s="1">
        <f t="shared" si="140"/>
        <v>0</v>
      </c>
      <c r="Y4530" s="1">
        <f t="shared" si="141"/>
        <v>15</v>
      </c>
    </row>
    <row r="4531" spans="24:25" x14ac:dyDescent="0.3">
      <c r="X4531" s="1">
        <f t="shared" si="140"/>
        <v>0</v>
      </c>
      <c r="Y4531" s="1">
        <f t="shared" si="141"/>
        <v>15</v>
      </c>
    </row>
    <row r="4532" spans="24:25" x14ac:dyDescent="0.3">
      <c r="X4532" s="1">
        <f t="shared" si="140"/>
        <v>0</v>
      </c>
      <c r="Y4532" s="1">
        <f t="shared" si="141"/>
        <v>15</v>
      </c>
    </row>
    <row r="4533" spans="24:25" x14ac:dyDescent="0.3">
      <c r="X4533" s="1">
        <f t="shared" si="140"/>
        <v>0</v>
      </c>
      <c r="Y4533" s="1">
        <f t="shared" si="141"/>
        <v>15</v>
      </c>
    </row>
    <row r="4534" spans="24:25" x14ac:dyDescent="0.3">
      <c r="X4534" s="1">
        <f t="shared" si="140"/>
        <v>0</v>
      </c>
      <c r="Y4534" s="1">
        <f t="shared" si="141"/>
        <v>15</v>
      </c>
    </row>
    <row r="4535" spans="24:25" x14ac:dyDescent="0.3">
      <c r="X4535" s="1">
        <f t="shared" si="140"/>
        <v>0</v>
      </c>
      <c r="Y4535" s="1">
        <f t="shared" si="141"/>
        <v>15</v>
      </c>
    </row>
    <row r="4536" spans="24:25" x14ac:dyDescent="0.3">
      <c r="X4536" s="1">
        <f t="shared" si="140"/>
        <v>0</v>
      </c>
      <c r="Y4536" s="1">
        <f t="shared" si="141"/>
        <v>15</v>
      </c>
    </row>
    <row r="4537" spans="24:25" x14ac:dyDescent="0.3">
      <c r="X4537" s="1">
        <f t="shared" si="140"/>
        <v>0</v>
      </c>
      <c r="Y4537" s="1">
        <f t="shared" si="141"/>
        <v>15</v>
      </c>
    </row>
    <row r="4538" spans="24:25" x14ac:dyDescent="0.3">
      <c r="X4538" s="1">
        <f t="shared" si="140"/>
        <v>0</v>
      </c>
      <c r="Y4538" s="1">
        <f t="shared" si="141"/>
        <v>15</v>
      </c>
    </row>
    <row r="4539" spans="24:25" x14ac:dyDescent="0.3">
      <c r="X4539" s="1">
        <f t="shared" si="140"/>
        <v>0</v>
      </c>
      <c r="Y4539" s="1">
        <f t="shared" si="141"/>
        <v>15</v>
      </c>
    </row>
    <row r="4540" spans="24:25" x14ac:dyDescent="0.3">
      <c r="X4540" s="1">
        <f t="shared" si="140"/>
        <v>0</v>
      </c>
      <c r="Y4540" s="1">
        <f t="shared" si="141"/>
        <v>15</v>
      </c>
    </row>
    <row r="4541" spans="24:25" x14ac:dyDescent="0.3">
      <c r="X4541" s="1">
        <f t="shared" si="140"/>
        <v>0</v>
      </c>
      <c r="Y4541" s="1">
        <f t="shared" si="141"/>
        <v>15</v>
      </c>
    </row>
    <row r="4542" spans="24:25" x14ac:dyDescent="0.3">
      <c r="X4542" s="1">
        <f t="shared" si="140"/>
        <v>0</v>
      </c>
      <c r="Y4542" s="1">
        <f t="shared" si="141"/>
        <v>15</v>
      </c>
    </row>
    <row r="4543" spans="24:25" x14ac:dyDescent="0.3">
      <c r="X4543" s="1">
        <f t="shared" si="140"/>
        <v>0</v>
      </c>
      <c r="Y4543" s="1">
        <f t="shared" si="141"/>
        <v>15</v>
      </c>
    </row>
    <row r="4544" spans="24:25" x14ac:dyDescent="0.3">
      <c r="X4544" s="1">
        <f t="shared" si="140"/>
        <v>0</v>
      </c>
      <c r="Y4544" s="1">
        <f t="shared" si="141"/>
        <v>15</v>
      </c>
    </row>
    <row r="4545" spans="24:25" x14ac:dyDescent="0.3">
      <c r="X4545" s="1">
        <f t="shared" si="140"/>
        <v>0</v>
      </c>
      <c r="Y4545" s="1">
        <f t="shared" si="141"/>
        <v>15</v>
      </c>
    </row>
    <row r="4546" spans="24:25" x14ac:dyDescent="0.3">
      <c r="X4546" s="1">
        <f t="shared" si="140"/>
        <v>0</v>
      </c>
      <c r="Y4546" s="1">
        <f t="shared" si="141"/>
        <v>15</v>
      </c>
    </row>
    <row r="4547" spans="24:25" x14ac:dyDescent="0.3">
      <c r="X4547" s="1">
        <f t="shared" ref="X4547:X4610" si="142">IFERROR(MATCH(W4547,$B:$B,0),0)</f>
        <v>0</v>
      </c>
      <c r="Y4547" s="1">
        <f t="shared" ref="Y4547:Y4610" si="143">IF(X4548=0,COUNTA(A:A),X4548-1)</f>
        <v>15</v>
      </c>
    </row>
    <row r="4548" spans="24:25" x14ac:dyDescent="0.3">
      <c r="X4548" s="1">
        <f t="shared" si="142"/>
        <v>0</v>
      </c>
      <c r="Y4548" s="1">
        <f t="shared" si="143"/>
        <v>15</v>
      </c>
    </row>
    <row r="4549" spans="24:25" x14ac:dyDescent="0.3">
      <c r="X4549" s="1">
        <f t="shared" si="142"/>
        <v>0</v>
      </c>
      <c r="Y4549" s="1">
        <f t="shared" si="143"/>
        <v>15</v>
      </c>
    </row>
    <row r="4550" spans="24:25" x14ac:dyDescent="0.3">
      <c r="X4550" s="1">
        <f t="shared" si="142"/>
        <v>0</v>
      </c>
      <c r="Y4550" s="1">
        <f t="shared" si="143"/>
        <v>15</v>
      </c>
    </row>
    <row r="4551" spans="24:25" x14ac:dyDescent="0.3">
      <c r="X4551" s="1">
        <f t="shared" si="142"/>
        <v>0</v>
      </c>
      <c r="Y4551" s="1">
        <f t="shared" si="143"/>
        <v>15</v>
      </c>
    </row>
    <row r="4552" spans="24:25" x14ac:dyDescent="0.3">
      <c r="X4552" s="1">
        <f t="shared" si="142"/>
        <v>0</v>
      </c>
      <c r="Y4552" s="1">
        <f t="shared" si="143"/>
        <v>15</v>
      </c>
    </row>
    <row r="4553" spans="24:25" x14ac:dyDescent="0.3">
      <c r="X4553" s="1">
        <f t="shared" si="142"/>
        <v>0</v>
      </c>
      <c r="Y4553" s="1">
        <f t="shared" si="143"/>
        <v>15</v>
      </c>
    </row>
    <row r="4554" spans="24:25" x14ac:dyDescent="0.3">
      <c r="X4554" s="1">
        <f t="shared" si="142"/>
        <v>0</v>
      </c>
      <c r="Y4554" s="1">
        <f t="shared" si="143"/>
        <v>15</v>
      </c>
    </row>
    <row r="4555" spans="24:25" x14ac:dyDescent="0.3">
      <c r="X4555" s="1">
        <f t="shared" si="142"/>
        <v>0</v>
      </c>
      <c r="Y4555" s="1">
        <f t="shared" si="143"/>
        <v>15</v>
      </c>
    </row>
    <row r="4556" spans="24:25" x14ac:dyDescent="0.3">
      <c r="X4556" s="1">
        <f t="shared" si="142"/>
        <v>0</v>
      </c>
      <c r="Y4556" s="1">
        <f t="shared" si="143"/>
        <v>15</v>
      </c>
    </row>
    <row r="4557" spans="24:25" x14ac:dyDescent="0.3">
      <c r="X4557" s="1">
        <f t="shared" si="142"/>
        <v>0</v>
      </c>
      <c r="Y4557" s="1">
        <f t="shared" si="143"/>
        <v>15</v>
      </c>
    </row>
    <row r="4558" spans="24:25" x14ac:dyDescent="0.3">
      <c r="X4558" s="1">
        <f t="shared" si="142"/>
        <v>0</v>
      </c>
      <c r="Y4558" s="1">
        <f t="shared" si="143"/>
        <v>15</v>
      </c>
    </row>
    <row r="4559" spans="24:25" x14ac:dyDescent="0.3">
      <c r="X4559" s="1">
        <f t="shared" si="142"/>
        <v>0</v>
      </c>
      <c r="Y4559" s="1">
        <f t="shared" si="143"/>
        <v>15</v>
      </c>
    </row>
    <row r="4560" spans="24:25" x14ac:dyDescent="0.3">
      <c r="X4560" s="1">
        <f t="shared" si="142"/>
        <v>0</v>
      </c>
      <c r="Y4560" s="1">
        <f t="shared" si="143"/>
        <v>15</v>
      </c>
    </row>
    <row r="4561" spans="24:25" x14ac:dyDescent="0.3">
      <c r="X4561" s="1">
        <f t="shared" si="142"/>
        <v>0</v>
      </c>
      <c r="Y4561" s="1">
        <f t="shared" si="143"/>
        <v>15</v>
      </c>
    </row>
    <row r="4562" spans="24:25" x14ac:dyDescent="0.3">
      <c r="X4562" s="1">
        <f t="shared" si="142"/>
        <v>0</v>
      </c>
      <c r="Y4562" s="1">
        <f t="shared" si="143"/>
        <v>15</v>
      </c>
    </row>
    <row r="4563" spans="24:25" x14ac:dyDescent="0.3">
      <c r="X4563" s="1">
        <f t="shared" si="142"/>
        <v>0</v>
      </c>
      <c r="Y4563" s="1">
        <f t="shared" si="143"/>
        <v>15</v>
      </c>
    </row>
    <row r="4564" spans="24:25" x14ac:dyDescent="0.3">
      <c r="X4564" s="1">
        <f t="shared" si="142"/>
        <v>0</v>
      </c>
      <c r="Y4564" s="1">
        <f t="shared" si="143"/>
        <v>15</v>
      </c>
    </row>
    <row r="4565" spans="24:25" x14ac:dyDescent="0.3">
      <c r="X4565" s="1">
        <f t="shared" si="142"/>
        <v>0</v>
      </c>
      <c r="Y4565" s="1">
        <f t="shared" si="143"/>
        <v>15</v>
      </c>
    </row>
    <row r="4566" spans="24:25" x14ac:dyDescent="0.3">
      <c r="X4566" s="1">
        <f t="shared" si="142"/>
        <v>0</v>
      </c>
      <c r="Y4566" s="1">
        <f t="shared" si="143"/>
        <v>15</v>
      </c>
    </row>
    <row r="4567" spans="24:25" x14ac:dyDescent="0.3">
      <c r="X4567" s="1">
        <f t="shared" si="142"/>
        <v>0</v>
      </c>
      <c r="Y4567" s="1">
        <f t="shared" si="143"/>
        <v>15</v>
      </c>
    </row>
    <row r="4568" spans="24:25" x14ac:dyDescent="0.3">
      <c r="X4568" s="1">
        <f t="shared" si="142"/>
        <v>0</v>
      </c>
      <c r="Y4568" s="1">
        <f t="shared" si="143"/>
        <v>15</v>
      </c>
    </row>
    <row r="4569" spans="24:25" x14ac:dyDescent="0.3">
      <c r="X4569" s="1">
        <f t="shared" si="142"/>
        <v>0</v>
      </c>
      <c r="Y4569" s="1">
        <f t="shared" si="143"/>
        <v>15</v>
      </c>
    </row>
    <row r="4570" spans="24:25" x14ac:dyDescent="0.3">
      <c r="X4570" s="1">
        <f t="shared" si="142"/>
        <v>0</v>
      </c>
      <c r="Y4570" s="1">
        <f t="shared" si="143"/>
        <v>15</v>
      </c>
    </row>
    <row r="4571" spans="24:25" x14ac:dyDescent="0.3">
      <c r="X4571" s="1">
        <f t="shared" si="142"/>
        <v>0</v>
      </c>
      <c r="Y4571" s="1">
        <f t="shared" si="143"/>
        <v>15</v>
      </c>
    </row>
    <row r="4572" spans="24:25" x14ac:dyDescent="0.3">
      <c r="X4572" s="1">
        <f t="shared" si="142"/>
        <v>0</v>
      </c>
      <c r="Y4572" s="1">
        <f t="shared" si="143"/>
        <v>15</v>
      </c>
    </row>
    <row r="4573" spans="24:25" x14ac:dyDescent="0.3">
      <c r="X4573" s="1">
        <f t="shared" si="142"/>
        <v>0</v>
      </c>
      <c r="Y4573" s="1">
        <f t="shared" si="143"/>
        <v>15</v>
      </c>
    </row>
    <row r="4574" spans="24:25" x14ac:dyDescent="0.3">
      <c r="X4574" s="1">
        <f t="shared" si="142"/>
        <v>0</v>
      </c>
      <c r="Y4574" s="1">
        <f t="shared" si="143"/>
        <v>15</v>
      </c>
    </row>
    <row r="4575" spans="24:25" x14ac:dyDescent="0.3">
      <c r="X4575" s="1">
        <f t="shared" si="142"/>
        <v>0</v>
      </c>
      <c r="Y4575" s="1">
        <f t="shared" si="143"/>
        <v>15</v>
      </c>
    </row>
    <row r="4576" spans="24:25" x14ac:dyDescent="0.3">
      <c r="X4576" s="1">
        <f t="shared" si="142"/>
        <v>0</v>
      </c>
      <c r="Y4576" s="1">
        <f t="shared" si="143"/>
        <v>15</v>
      </c>
    </row>
    <row r="4577" spans="24:25" x14ac:dyDescent="0.3">
      <c r="X4577" s="1">
        <f t="shared" si="142"/>
        <v>0</v>
      </c>
      <c r="Y4577" s="1">
        <f t="shared" si="143"/>
        <v>15</v>
      </c>
    </row>
    <row r="4578" spans="24:25" x14ac:dyDescent="0.3">
      <c r="X4578" s="1">
        <f t="shared" si="142"/>
        <v>0</v>
      </c>
      <c r="Y4578" s="1">
        <f t="shared" si="143"/>
        <v>15</v>
      </c>
    </row>
    <row r="4579" spans="24:25" x14ac:dyDescent="0.3">
      <c r="X4579" s="1">
        <f t="shared" si="142"/>
        <v>0</v>
      </c>
      <c r="Y4579" s="1">
        <f t="shared" si="143"/>
        <v>15</v>
      </c>
    </row>
    <row r="4580" spans="24:25" x14ac:dyDescent="0.3">
      <c r="X4580" s="1">
        <f t="shared" si="142"/>
        <v>0</v>
      </c>
      <c r="Y4580" s="1">
        <f t="shared" si="143"/>
        <v>15</v>
      </c>
    </row>
    <row r="4581" spans="24:25" x14ac:dyDescent="0.3">
      <c r="X4581" s="1">
        <f t="shared" si="142"/>
        <v>0</v>
      </c>
      <c r="Y4581" s="1">
        <f t="shared" si="143"/>
        <v>15</v>
      </c>
    </row>
    <row r="4582" spans="24:25" x14ac:dyDescent="0.3">
      <c r="X4582" s="1">
        <f t="shared" si="142"/>
        <v>0</v>
      </c>
      <c r="Y4582" s="1">
        <f t="shared" si="143"/>
        <v>15</v>
      </c>
    </row>
    <row r="4583" spans="24:25" x14ac:dyDescent="0.3">
      <c r="X4583" s="1">
        <f t="shared" si="142"/>
        <v>0</v>
      </c>
      <c r="Y4583" s="1">
        <f t="shared" si="143"/>
        <v>15</v>
      </c>
    </row>
    <row r="4584" spans="24:25" x14ac:dyDescent="0.3">
      <c r="X4584" s="1">
        <f t="shared" si="142"/>
        <v>0</v>
      </c>
      <c r="Y4584" s="1">
        <f t="shared" si="143"/>
        <v>15</v>
      </c>
    </row>
    <row r="4585" spans="24:25" x14ac:dyDescent="0.3">
      <c r="X4585" s="1">
        <f t="shared" si="142"/>
        <v>0</v>
      </c>
      <c r="Y4585" s="1">
        <f t="shared" si="143"/>
        <v>15</v>
      </c>
    </row>
    <row r="4586" spans="24:25" x14ac:dyDescent="0.3">
      <c r="X4586" s="1">
        <f t="shared" si="142"/>
        <v>0</v>
      </c>
      <c r="Y4586" s="1">
        <f t="shared" si="143"/>
        <v>15</v>
      </c>
    </row>
    <row r="4587" spans="24:25" x14ac:dyDescent="0.3">
      <c r="X4587" s="1">
        <f t="shared" si="142"/>
        <v>0</v>
      </c>
      <c r="Y4587" s="1">
        <f t="shared" si="143"/>
        <v>15</v>
      </c>
    </row>
    <row r="4588" spans="24:25" x14ac:dyDescent="0.3">
      <c r="X4588" s="1">
        <f t="shared" si="142"/>
        <v>0</v>
      </c>
      <c r="Y4588" s="1">
        <f t="shared" si="143"/>
        <v>15</v>
      </c>
    </row>
    <row r="4589" spans="24:25" x14ac:dyDescent="0.3">
      <c r="X4589" s="1">
        <f t="shared" si="142"/>
        <v>0</v>
      </c>
      <c r="Y4589" s="1">
        <f t="shared" si="143"/>
        <v>15</v>
      </c>
    </row>
    <row r="4590" spans="24:25" x14ac:dyDescent="0.3">
      <c r="X4590" s="1">
        <f t="shared" si="142"/>
        <v>0</v>
      </c>
      <c r="Y4590" s="1">
        <f t="shared" si="143"/>
        <v>15</v>
      </c>
    </row>
    <row r="4591" spans="24:25" x14ac:dyDescent="0.3">
      <c r="X4591" s="1">
        <f t="shared" si="142"/>
        <v>0</v>
      </c>
      <c r="Y4591" s="1">
        <f t="shared" si="143"/>
        <v>15</v>
      </c>
    </row>
    <row r="4592" spans="24:25" x14ac:dyDescent="0.3">
      <c r="X4592" s="1">
        <f t="shared" si="142"/>
        <v>0</v>
      </c>
      <c r="Y4592" s="1">
        <f t="shared" si="143"/>
        <v>15</v>
      </c>
    </row>
    <row r="4593" spans="24:25" x14ac:dyDescent="0.3">
      <c r="X4593" s="1">
        <f t="shared" si="142"/>
        <v>0</v>
      </c>
      <c r="Y4593" s="1">
        <f t="shared" si="143"/>
        <v>15</v>
      </c>
    </row>
    <row r="4594" spans="24:25" x14ac:dyDescent="0.3">
      <c r="X4594" s="1">
        <f t="shared" si="142"/>
        <v>0</v>
      </c>
      <c r="Y4594" s="1">
        <f t="shared" si="143"/>
        <v>15</v>
      </c>
    </row>
    <row r="4595" spans="24:25" x14ac:dyDescent="0.3">
      <c r="X4595" s="1">
        <f t="shared" si="142"/>
        <v>0</v>
      </c>
      <c r="Y4595" s="1">
        <f t="shared" si="143"/>
        <v>15</v>
      </c>
    </row>
    <row r="4596" spans="24:25" x14ac:dyDescent="0.3">
      <c r="X4596" s="1">
        <f t="shared" si="142"/>
        <v>0</v>
      </c>
      <c r="Y4596" s="1">
        <f t="shared" si="143"/>
        <v>15</v>
      </c>
    </row>
    <row r="4597" spans="24:25" x14ac:dyDescent="0.3">
      <c r="X4597" s="1">
        <f t="shared" si="142"/>
        <v>0</v>
      </c>
      <c r="Y4597" s="1">
        <f t="shared" si="143"/>
        <v>15</v>
      </c>
    </row>
    <row r="4598" spans="24:25" x14ac:dyDescent="0.3">
      <c r="X4598" s="1">
        <f t="shared" si="142"/>
        <v>0</v>
      </c>
      <c r="Y4598" s="1">
        <f t="shared" si="143"/>
        <v>15</v>
      </c>
    </row>
    <row r="4599" spans="24:25" x14ac:dyDescent="0.3">
      <c r="X4599" s="1">
        <f t="shared" si="142"/>
        <v>0</v>
      </c>
      <c r="Y4599" s="1">
        <f t="shared" si="143"/>
        <v>15</v>
      </c>
    </row>
    <row r="4600" spans="24:25" x14ac:dyDescent="0.3">
      <c r="X4600" s="1">
        <f t="shared" si="142"/>
        <v>0</v>
      </c>
      <c r="Y4600" s="1">
        <f t="shared" si="143"/>
        <v>15</v>
      </c>
    </row>
    <row r="4601" spans="24:25" x14ac:dyDescent="0.3">
      <c r="X4601" s="1">
        <f t="shared" si="142"/>
        <v>0</v>
      </c>
      <c r="Y4601" s="1">
        <f t="shared" si="143"/>
        <v>15</v>
      </c>
    </row>
    <row r="4602" spans="24:25" x14ac:dyDescent="0.3">
      <c r="X4602" s="1">
        <f t="shared" si="142"/>
        <v>0</v>
      </c>
      <c r="Y4602" s="1">
        <f t="shared" si="143"/>
        <v>15</v>
      </c>
    </row>
    <row r="4603" spans="24:25" x14ac:dyDescent="0.3">
      <c r="X4603" s="1">
        <f t="shared" si="142"/>
        <v>0</v>
      </c>
      <c r="Y4603" s="1">
        <f t="shared" si="143"/>
        <v>15</v>
      </c>
    </row>
    <row r="4604" spans="24:25" x14ac:dyDescent="0.3">
      <c r="X4604" s="1">
        <f t="shared" si="142"/>
        <v>0</v>
      </c>
      <c r="Y4604" s="1">
        <f t="shared" si="143"/>
        <v>15</v>
      </c>
    </row>
    <row r="4605" spans="24:25" x14ac:dyDescent="0.3">
      <c r="X4605" s="1">
        <f t="shared" si="142"/>
        <v>0</v>
      </c>
      <c r="Y4605" s="1">
        <f t="shared" si="143"/>
        <v>15</v>
      </c>
    </row>
    <row r="4606" spans="24:25" x14ac:dyDescent="0.3">
      <c r="X4606" s="1">
        <f t="shared" si="142"/>
        <v>0</v>
      </c>
      <c r="Y4606" s="1">
        <f t="shared" si="143"/>
        <v>15</v>
      </c>
    </row>
    <row r="4607" spans="24:25" x14ac:dyDescent="0.3">
      <c r="X4607" s="1">
        <f t="shared" si="142"/>
        <v>0</v>
      </c>
      <c r="Y4607" s="1">
        <f t="shared" si="143"/>
        <v>15</v>
      </c>
    </row>
    <row r="4608" spans="24:25" x14ac:dyDescent="0.3">
      <c r="X4608" s="1">
        <f t="shared" si="142"/>
        <v>0</v>
      </c>
      <c r="Y4608" s="1">
        <f t="shared" si="143"/>
        <v>15</v>
      </c>
    </row>
    <row r="4609" spans="24:25" x14ac:dyDescent="0.3">
      <c r="X4609" s="1">
        <f t="shared" si="142"/>
        <v>0</v>
      </c>
      <c r="Y4609" s="1">
        <f t="shared" si="143"/>
        <v>15</v>
      </c>
    </row>
    <row r="4610" spans="24:25" x14ac:dyDescent="0.3">
      <c r="X4610" s="1">
        <f t="shared" si="142"/>
        <v>0</v>
      </c>
      <c r="Y4610" s="1">
        <f t="shared" si="143"/>
        <v>15</v>
      </c>
    </row>
    <row r="4611" spans="24:25" x14ac:dyDescent="0.3">
      <c r="X4611" s="1">
        <f t="shared" ref="X4611:X4674" si="144">IFERROR(MATCH(W4611,$B:$B,0),0)</f>
        <v>0</v>
      </c>
      <c r="Y4611" s="1">
        <f t="shared" ref="Y4611:Y4674" si="145">IF(X4612=0,COUNTA(A:A),X4612-1)</f>
        <v>15</v>
      </c>
    </row>
    <row r="4612" spans="24:25" x14ac:dyDescent="0.3">
      <c r="X4612" s="1">
        <f t="shared" si="144"/>
        <v>0</v>
      </c>
      <c r="Y4612" s="1">
        <f t="shared" si="145"/>
        <v>15</v>
      </c>
    </row>
    <row r="4613" spans="24:25" x14ac:dyDescent="0.3">
      <c r="X4613" s="1">
        <f t="shared" si="144"/>
        <v>0</v>
      </c>
      <c r="Y4613" s="1">
        <f t="shared" si="145"/>
        <v>15</v>
      </c>
    </row>
    <row r="4614" spans="24:25" x14ac:dyDescent="0.3">
      <c r="X4614" s="1">
        <f t="shared" si="144"/>
        <v>0</v>
      </c>
      <c r="Y4614" s="1">
        <f t="shared" si="145"/>
        <v>15</v>
      </c>
    </row>
    <row r="4615" spans="24:25" x14ac:dyDescent="0.3">
      <c r="X4615" s="1">
        <f t="shared" si="144"/>
        <v>0</v>
      </c>
      <c r="Y4615" s="1">
        <f t="shared" si="145"/>
        <v>15</v>
      </c>
    </row>
    <row r="4616" spans="24:25" x14ac:dyDescent="0.3">
      <c r="X4616" s="1">
        <f t="shared" si="144"/>
        <v>0</v>
      </c>
      <c r="Y4616" s="1">
        <f t="shared" si="145"/>
        <v>15</v>
      </c>
    </row>
    <row r="4617" spans="24:25" x14ac:dyDescent="0.3">
      <c r="X4617" s="1">
        <f t="shared" si="144"/>
        <v>0</v>
      </c>
      <c r="Y4617" s="1">
        <f t="shared" si="145"/>
        <v>15</v>
      </c>
    </row>
    <row r="4618" spans="24:25" x14ac:dyDescent="0.3">
      <c r="X4618" s="1">
        <f t="shared" si="144"/>
        <v>0</v>
      </c>
      <c r="Y4618" s="1">
        <f t="shared" si="145"/>
        <v>15</v>
      </c>
    </row>
    <row r="4619" spans="24:25" x14ac:dyDescent="0.3">
      <c r="X4619" s="1">
        <f t="shared" si="144"/>
        <v>0</v>
      </c>
      <c r="Y4619" s="1">
        <f t="shared" si="145"/>
        <v>15</v>
      </c>
    </row>
    <row r="4620" spans="24:25" x14ac:dyDescent="0.3">
      <c r="X4620" s="1">
        <f t="shared" si="144"/>
        <v>0</v>
      </c>
      <c r="Y4620" s="1">
        <f t="shared" si="145"/>
        <v>15</v>
      </c>
    </row>
    <row r="4621" spans="24:25" x14ac:dyDescent="0.3">
      <c r="X4621" s="1">
        <f t="shared" si="144"/>
        <v>0</v>
      </c>
      <c r="Y4621" s="1">
        <f t="shared" si="145"/>
        <v>15</v>
      </c>
    </row>
    <row r="4622" spans="24:25" x14ac:dyDescent="0.3">
      <c r="X4622" s="1">
        <f t="shared" si="144"/>
        <v>0</v>
      </c>
      <c r="Y4622" s="1">
        <f t="shared" si="145"/>
        <v>15</v>
      </c>
    </row>
    <row r="4623" spans="24:25" x14ac:dyDescent="0.3">
      <c r="X4623" s="1">
        <f t="shared" si="144"/>
        <v>0</v>
      </c>
      <c r="Y4623" s="1">
        <f t="shared" si="145"/>
        <v>15</v>
      </c>
    </row>
    <row r="4624" spans="24:25" x14ac:dyDescent="0.3">
      <c r="X4624" s="1">
        <f t="shared" si="144"/>
        <v>0</v>
      </c>
      <c r="Y4624" s="1">
        <f t="shared" si="145"/>
        <v>15</v>
      </c>
    </row>
    <row r="4625" spans="24:25" x14ac:dyDescent="0.3">
      <c r="X4625" s="1">
        <f t="shared" si="144"/>
        <v>0</v>
      </c>
      <c r="Y4625" s="1">
        <f t="shared" si="145"/>
        <v>15</v>
      </c>
    </row>
    <row r="4626" spans="24:25" x14ac:dyDescent="0.3">
      <c r="X4626" s="1">
        <f t="shared" si="144"/>
        <v>0</v>
      </c>
      <c r="Y4626" s="1">
        <f t="shared" si="145"/>
        <v>15</v>
      </c>
    </row>
    <row r="4627" spans="24:25" x14ac:dyDescent="0.3">
      <c r="X4627" s="1">
        <f t="shared" si="144"/>
        <v>0</v>
      </c>
      <c r="Y4627" s="1">
        <f t="shared" si="145"/>
        <v>15</v>
      </c>
    </row>
    <row r="4628" spans="24:25" x14ac:dyDescent="0.3">
      <c r="X4628" s="1">
        <f t="shared" si="144"/>
        <v>0</v>
      </c>
      <c r="Y4628" s="1">
        <f t="shared" si="145"/>
        <v>15</v>
      </c>
    </row>
    <row r="4629" spans="24:25" x14ac:dyDescent="0.3">
      <c r="X4629" s="1">
        <f t="shared" si="144"/>
        <v>0</v>
      </c>
      <c r="Y4629" s="1">
        <f t="shared" si="145"/>
        <v>15</v>
      </c>
    </row>
    <row r="4630" spans="24:25" x14ac:dyDescent="0.3">
      <c r="X4630" s="1">
        <f t="shared" si="144"/>
        <v>0</v>
      </c>
      <c r="Y4630" s="1">
        <f t="shared" si="145"/>
        <v>15</v>
      </c>
    </row>
    <row r="4631" spans="24:25" x14ac:dyDescent="0.3">
      <c r="X4631" s="1">
        <f t="shared" si="144"/>
        <v>0</v>
      </c>
      <c r="Y4631" s="1">
        <f t="shared" si="145"/>
        <v>15</v>
      </c>
    </row>
    <row r="4632" spans="24:25" x14ac:dyDescent="0.3">
      <c r="X4632" s="1">
        <f t="shared" si="144"/>
        <v>0</v>
      </c>
      <c r="Y4632" s="1">
        <f t="shared" si="145"/>
        <v>15</v>
      </c>
    </row>
    <row r="4633" spans="24:25" x14ac:dyDescent="0.3">
      <c r="X4633" s="1">
        <f t="shared" si="144"/>
        <v>0</v>
      </c>
      <c r="Y4633" s="1">
        <f t="shared" si="145"/>
        <v>15</v>
      </c>
    </row>
    <row r="4634" spans="24:25" x14ac:dyDescent="0.3">
      <c r="X4634" s="1">
        <f t="shared" si="144"/>
        <v>0</v>
      </c>
      <c r="Y4634" s="1">
        <f t="shared" si="145"/>
        <v>15</v>
      </c>
    </row>
    <row r="4635" spans="24:25" x14ac:dyDescent="0.3">
      <c r="X4635" s="1">
        <f t="shared" si="144"/>
        <v>0</v>
      </c>
      <c r="Y4635" s="1">
        <f t="shared" si="145"/>
        <v>15</v>
      </c>
    </row>
    <row r="4636" spans="24:25" x14ac:dyDescent="0.3">
      <c r="X4636" s="1">
        <f t="shared" si="144"/>
        <v>0</v>
      </c>
      <c r="Y4636" s="1">
        <f t="shared" si="145"/>
        <v>15</v>
      </c>
    </row>
    <row r="4637" spans="24:25" x14ac:dyDescent="0.3">
      <c r="X4637" s="1">
        <f t="shared" si="144"/>
        <v>0</v>
      </c>
      <c r="Y4637" s="1">
        <f t="shared" si="145"/>
        <v>15</v>
      </c>
    </row>
    <row r="4638" spans="24:25" x14ac:dyDescent="0.3">
      <c r="X4638" s="1">
        <f t="shared" si="144"/>
        <v>0</v>
      </c>
      <c r="Y4638" s="1">
        <f t="shared" si="145"/>
        <v>15</v>
      </c>
    </row>
    <row r="4639" spans="24:25" x14ac:dyDescent="0.3">
      <c r="X4639" s="1">
        <f t="shared" si="144"/>
        <v>0</v>
      </c>
      <c r="Y4639" s="1">
        <f t="shared" si="145"/>
        <v>15</v>
      </c>
    </row>
    <row r="4640" spans="24:25" x14ac:dyDescent="0.3">
      <c r="X4640" s="1">
        <f t="shared" si="144"/>
        <v>0</v>
      </c>
      <c r="Y4640" s="1">
        <f t="shared" si="145"/>
        <v>15</v>
      </c>
    </row>
    <row r="4641" spans="24:25" x14ac:dyDescent="0.3">
      <c r="X4641" s="1">
        <f t="shared" si="144"/>
        <v>0</v>
      </c>
      <c r="Y4641" s="1">
        <f t="shared" si="145"/>
        <v>15</v>
      </c>
    </row>
    <row r="4642" spans="24:25" x14ac:dyDescent="0.3">
      <c r="X4642" s="1">
        <f t="shared" si="144"/>
        <v>0</v>
      </c>
      <c r="Y4642" s="1">
        <f t="shared" si="145"/>
        <v>15</v>
      </c>
    </row>
    <row r="4643" spans="24:25" x14ac:dyDescent="0.3">
      <c r="X4643" s="1">
        <f t="shared" si="144"/>
        <v>0</v>
      </c>
      <c r="Y4643" s="1">
        <f t="shared" si="145"/>
        <v>15</v>
      </c>
    </row>
    <row r="4644" spans="24:25" x14ac:dyDescent="0.3">
      <c r="X4644" s="1">
        <f t="shared" si="144"/>
        <v>0</v>
      </c>
      <c r="Y4644" s="1">
        <f t="shared" si="145"/>
        <v>15</v>
      </c>
    </row>
    <row r="4645" spans="24:25" x14ac:dyDescent="0.3">
      <c r="X4645" s="1">
        <f t="shared" si="144"/>
        <v>0</v>
      </c>
      <c r="Y4645" s="1">
        <f t="shared" si="145"/>
        <v>15</v>
      </c>
    </row>
    <row r="4646" spans="24:25" x14ac:dyDescent="0.3">
      <c r="X4646" s="1">
        <f t="shared" si="144"/>
        <v>0</v>
      </c>
      <c r="Y4646" s="1">
        <f t="shared" si="145"/>
        <v>15</v>
      </c>
    </row>
    <row r="4647" spans="24:25" x14ac:dyDescent="0.3">
      <c r="X4647" s="1">
        <f t="shared" si="144"/>
        <v>0</v>
      </c>
      <c r="Y4647" s="1">
        <f t="shared" si="145"/>
        <v>15</v>
      </c>
    </row>
    <row r="4648" spans="24:25" x14ac:dyDescent="0.3">
      <c r="X4648" s="1">
        <f t="shared" si="144"/>
        <v>0</v>
      </c>
      <c r="Y4648" s="1">
        <f t="shared" si="145"/>
        <v>15</v>
      </c>
    </row>
    <row r="4649" spans="24:25" x14ac:dyDescent="0.3">
      <c r="X4649" s="1">
        <f t="shared" si="144"/>
        <v>0</v>
      </c>
      <c r="Y4649" s="1">
        <f t="shared" si="145"/>
        <v>15</v>
      </c>
    </row>
    <row r="4650" spans="24:25" x14ac:dyDescent="0.3">
      <c r="X4650" s="1">
        <f t="shared" si="144"/>
        <v>0</v>
      </c>
      <c r="Y4650" s="1">
        <f t="shared" si="145"/>
        <v>15</v>
      </c>
    </row>
    <row r="4651" spans="24:25" x14ac:dyDescent="0.3">
      <c r="X4651" s="1">
        <f t="shared" si="144"/>
        <v>0</v>
      </c>
      <c r="Y4651" s="1">
        <f t="shared" si="145"/>
        <v>15</v>
      </c>
    </row>
    <row r="4652" spans="24:25" x14ac:dyDescent="0.3">
      <c r="X4652" s="1">
        <f t="shared" si="144"/>
        <v>0</v>
      </c>
      <c r="Y4652" s="1">
        <f t="shared" si="145"/>
        <v>15</v>
      </c>
    </row>
    <row r="4653" spans="24:25" x14ac:dyDescent="0.3">
      <c r="X4653" s="1">
        <f t="shared" si="144"/>
        <v>0</v>
      </c>
      <c r="Y4653" s="1">
        <f t="shared" si="145"/>
        <v>15</v>
      </c>
    </row>
    <row r="4654" spans="24:25" x14ac:dyDescent="0.3">
      <c r="X4654" s="1">
        <f t="shared" si="144"/>
        <v>0</v>
      </c>
      <c r="Y4654" s="1">
        <f t="shared" si="145"/>
        <v>15</v>
      </c>
    </row>
    <row r="4655" spans="24:25" x14ac:dyDescent="0.3">
      <c r="X4655" s="1">
        <f t="shared" si="144"/>
        <v>0</v>
      </c>
      <c r="Y4655" s="1">
        <f t="shared" si="145"/>
        <v>15</v>
      </c>
    </row>
    <row r="4656" spans="24:25" x14ac:dyDescent="0.3">
      <c r="X4656" s="1">
        <f t="shared" si="144"/>
        <v>0</v>
      </c>
      <c r="Y4656" s="1">
        <f t="shared" si="145"/>
        <v>15</v>
      </c>
    </row>
    <row r="4657" spans="24:25" x14ac:dyDescent="0.3">
      <c r="X4657" s="1">
        <f t="shared" si="144"/>
        <v>0</v>
      </c>
      <c r="Y4657" s="1">
        <f t="shared" si="145"/>
        <v>15</v>
      </c>
    </row>
    <row r="4658" spans="24:25" x14ac:dyDescent="0.3">
      <c r="X4658" s="1">
        <f t="shared" si="144"/>
        <v>0</v>
      </c>
      <c r="Y4658" s="1">
        <f t="shared" si="145"/>
        <v>15</v>
      </c>
    </row>
    <row r="4659" spans="24:25" x14ac:dyDescent="0.3">
      <c r="X4659" s="1">
        <f t="shared" si="144"/>
        <v>0</v>
      </c>
      <c r="Y4659" s="1">
        <f t="shared" si="145"/>
        <v>15</v>
      </c>
    </row>
    <row r="4660" spans="24:25" x14ac:dyDescent="0.3">
      <c r="X4660" s="1">
        <f t="shared" si="144"/>
        <v>0</v>
      </c>
      <c r="Y4660" s="1">
        <f t="shared" si="145"/>
        <v>15</v>
      </c>
    </row>
    <row r="4661" spans="24:25" x14ac:dyDescent="0.3">
      <c r="X4661" s="1">
        <f t="shared" si="144"/>
        <v>0</v>
      </c>
      <c r="Y4661" s="1">
        <f t="shared" si="145"/>
        <v>15</v>
      </c>
    </row>
    <row r="4662" spans="24:25" x14ac:dyDescent="0.3">
      <c r="X4662" s="1">
        <f t="shared" si="144"/>
        <v>0</v>
      </c>
      <c r="Y4662" s="1">
        <f t="shared" si="145"/>
        <v>15</v>
      </c>
    </row>
    <row r="4663" spans="24:25" x14ac:dyDescent="0.3">
      <c r="X4663" s="1">
        <f t="shared" si="144"/>
        <v>0</v>
      </c>
      <c r="Y4663" s="1">
        <f t="shared" si="145"/>
        <v>15</v>
      </c>
    </row>
    <row r="4664" spans="24:25" x14ac:dyDescent="0.3">
      <c r="X4664" s="1">
        <f t="shared" si="144"/>
        <v>0</v>
      </c>
      <c r="Y4664" s="1">
        <f t="shared" si="145"/>
        <v>15</v>
      </c>
    </row>
    <row r="4665" spans="24:25" x14ac:dyDescent="0.3">
      <c r="X4665" s="1">
        <f t="shared" si="144"/>
        <v>0</v>
      </c>
      <c r="Y4665" s="1">
        <f t="shared" si="145"/>
        <v>15</v>
      </c>
    </row>
    <row r="4666" spans="24:25" x14ac:dyDescent="0.3">
      <c r="X4666" s="1">
        <f t="shared" si="144"/>
        <v>0</v>
      </c>
      <c r="Y4666" s="1">
        <f t="shared" si="145"/>
        <v>15</v>
      </c>
    </row>
    <row r="4667" spans="24:25" x14ac:dyDescent="0.3">
      <c r="X4667" s="1">
        <f t="shared" si="144"/>
        <v>0</v>
      </c>
      <c r="Y4667" s="1">
        <f t="shared" si="145"/>
        <v>15</v>
      </c>
    </row>
    <row r="4668" spans="24:25" x14ac:dyDescent="0.3">
      <c r="X4668" s="1">
        <f t="shared" si="144"/>
        <v>0</v>
      </c>
      <c r="Y4668" s="1">
        <f t="shared" si="145"/>
        <v>15</v>
      </c>
    </row>
    <row r="4669" spans="24:25" x14ac:dyDescent="0.3">
      <c r="X4669" s="1">
        <f t="shared" si="144"/>
        <v>0</v>
      </c>
      <c r="Y4669" s="1">
        <f t="shared" si="145"/>
        <v>15</v>
      </c>
    </row>
    <row r="4670" spans="24:25" x14ac:dyDescent="0.3">
      <c r="X4670" s="1">
        <f t="shared" si="144"/>
        <v>0</v>
      </c>
      <c r="Y4670" s="1">
        <f t="shared" si="145"/>
        <v>15</v>
      </c>
    </row>
    <row r="4671" spans="24:25" x14ac:dyDescent="0.3">
      <c r="X4671" s="1">
        <f t="shared" si="144"/>
        <v>0</v>
      </c>
      <c r="Y4671" s="1">
        <f t="shared" si="145"/>
        <v>15</v>
      </c>
    </row>
    <row r="4672" spans="24:25" x14ac:dyDescent="0.3">
      <c r="X4672" s="1">
        <f t="shared" si="144"/>
        <v>0</v>
      </c>
      <c r="Y4672" s="1">
        <f t="shared" si="145"/>
        <v>15</v>
      </c>
    </row>
    <row r="4673" spans="24:25" x14ac:dyDescent="0.3">
      <c r="X4673" s="1">
        <f t="shared" si="144"/>
        <v>0</v>
      </c>
      <c r="Y4673" s="1">
        <f t="shared" si="145"/>
        <v>15</v>
      </c>
    </row>
    <row r="4674" spans="24:25" x14ac:dyDescent="0.3">
      <c r="X4674" s="1">
        <f t="shared" si="144"/>
        <v>0</v>
      </c>
      <c r="Y4674" s="1">
        <f t="shared" si="145"/>
        <v>15</v>
      </c>
    </row>
    <row r="4675" spans="24:25" x14ac:dyDescent="0.3">
      <c r="X4675" s="1">
        <f t="shared" ref="X4675:X4738" si="146">IFERROR(MATCH(W4675,$B:$B,0),0)</f>
        <v>0</v>
      </c>
      <c r="Y4675" s="1">
        <f t="shared" ref="Y4675:Y4738" si="147">IF(X4676=0,COUNTA(A:A),X4676-1)</f>
        <v>15</v>
      </c>
    </row>
    <row r="4676" spans="24:25" x14ac:dyDescent="0.3">
      <c r="X4676" s="1">
        <f t="shared" si="146"/>
        <v>0</v>
      </c>
      <c r="Y4676" s="1">
        <f t="shared" si="147"/>
        <v>15</v>
      </c>
    </row>
    <row r="4677" spans="24:25" x14ac:dyDescent="0.3">
      <c r="X4677" s="1">
        <f t="shared" si="146"/>
        <v>0</v>
      </c>
      <c r="Y4677" s="1">
        <f t="shared" si="147"/>
        <v>15</v>
      </c>
    </row>
    <row r="4678" spans="24:25" x14ac:dyDescent="0.3">
      <c r="X4678" s="1">
        <f t="shared" si="146"/>
        <v>0</v>
      </c>
      <c r="Y4678" s="1">
        <f t="shared" si="147"/>
        <v>15</v>
      </c>
    </row>
    <row r="4679" spans="24:25" x14ac:dyDescent="0.3">
      <c r="X4679" s="1">
        <f t="shared" si="146"/>
        <v>0</v>
      </c>
      <c r="Y4679" s="1">
        <f t="shared" si="147"/>
        <v>15</v>
      </c>
    </row>
    <row r="4680" spans="24:25" x14ac:dyDescent="0.3">
      <c r="X4680" s="1">
        <f t="shared" si="146"/>
        <v>0</v>
      </c>
      <c r="Y4680" s="1">
        <f t="shared" si="147"/>
        <v>15</v>
      </c>
    </row>
    <row r="4681" spans="24:25" x14ac:dyDescent="0.3">
      <c r="X4681" s="1">
        <f t="shared" si="146"/>
        <v>0</v>
      </c>
      <c r="Y4681" s="1">
        <f t="shared" si="147"/>
        <v>15</v>
      </c>
    </row>
    <row r="4682" spans="24:25" x14ac:dyDescent="0.3">
      <c r="X4682" s="1">
        <f t="shared" si="146"/>
        <v>0</v>
      </c>
      <c r="Y4682" s="1">
        <f t="shared" si="147"/>
        <v>15</v>
      </c>
    </row>
    <row r="4683" spans="24:25" x14ac:dyDescent="0.3">
      <c r="X4683" s="1">
        <f t="shared" si="146"/>
        <v>0</v>
      </c>
      <c r="Y4683" s="1">
        <f t="shared" si="147"/>
        <v>15</v>
      </c>
    </row>
    <row r="4684" spans="24:25" x14ac:dyDescent="0.3">
      <c r="X4684" s="1">
        <f t="shared" si="146"/>
        <v>0</v>
      </c>
      <c r="Y4684" s="1">
        <f t="shared" si="147"/>
        <v>15</v>
      </c>
    </row>
    <row r="4685" spans="24:25" x14ac:dyDescent="0.3">
      <c r="X4685" s="1">
        <f t="shared" si="146"/>
        <v>0</v>
      </c>
      <c r="Y4685" s="1">
        <f t="shared" si="147"/>
        <v>15</v>
      </c>
    </row>
    <row r="4686" spans="24:25" x14ac:dyDescent="0.3">
      <c r="X4686" s="1">
        <f t="shared" si="146"/>
        <v>0</v>
      </c>
      <c r="Y4686" s="1">
        <f t="shared" si="147"/>
        <v>15</v>
      </c>
    </row>
    <row r="4687" spans="24:25" x14ac:dyDescent="0.3">
      <c r="X4687" s="1">
        <f t="shared" si="146"/>
        <v>0</v>
      </c>
      <c r="Y4687" s="1">
        <f t="shared" si="147"/>
        <v>15</v>
      </c>
    </row>
    <row r="4688" spans="24:25" x14ac:dyDescent="0.3">
      <c r="X4688" s="1">
        <f t="shared" si="146"/>
        <v>0</v>
      </c>
      <c r="Y4688" s="1">
        <f t="shared" si="147"/>
        <v>15</v>
      </c>
    </row>
    <row r="4689" spans="24:25" x14ac:dyDescent="0.3">
      <c r="X4689" s="1">
        <f t="shared" si="146"/>
        <v>0</v>
      </c>
      <c r="Y4689" s="1">
        <f t="shared" si="147"/>
        <v>15</v>
      </c>
    </row>
    <row r="4690" spans="24:25" x14ac:dyDescent="0.3">
      <c r="X4690" s="1">
        <f t="shared" si="146"/>
        <v>0</v>
      </c>
      <c r="Y4690" s="1">
        <f t="shared" si="147"/>
        <v>15</v>
      </c>
    </row>
    <row r="4691" spans="24:25" x14ac:dyDescent="0.3">
      <c r="X4691" s="1">
        <f t="shared" si="146"/>
        <v>0</v>
      </c>
      <c r="Y4691" s="1">
        <f t="shared" si="147"/>
        <v>15</v>
      </c>
    </row>
    <row r="4692" spans="24:25" x14ac:dyDescent="0.3">
      <c r="X4692" s="1">
        <f t="shared" si="146"/>
        <v>0</v>
      </c>
      <c r="Y4692" s="1">
        <f t="shared" si="147"/>
        <v>15</v>
      </c>
    </row>
    <row r="4693" spans="24:25" x14ac:dyDescent="0.3">
      <c r="X4693" s="1">
        <f t="shared" si="146"/>
        <v>0</v>
      </c>
      <c r="Y4693" s="1">
        <f t="shared" si="147"/>
        <v>15</v>
      </c>
    </row>
    <row r="4694" spans="24:25" x14ac:dyDescent="0.3">
      <c r="X4694" s="1">
        <f t="shared" si="146"/>
        <v>0</v>
      </c>
      <c r="Y4694" s="1">
        <f t="shared" si="147"/>
        <v>15</v>
      </c>
    </row>
    <row r="4695" spans="24:25" x14ac:dyDescent="0.3">
      <c r="X4695" s="1">
        <f t="shared" si="146"/>
        <v>0</v>
      </c>
      <c r="Y4695" s="1">
        <f t="shared" si="147"/>
        <v>15</v>
      </c>
    </row>
    <row r="4696" spans="24:25" x14ac:dyDescent="0.3">
      <c r="X4696" s="1">
        <f t="shared" si="146"/>
        <v>0</v>
      </c>
      <c r="Y4696" s="1">
        <f t="shared" si="147"/>
        <v>15</v>
      </c>
    </row>
    <row r="4697" spans="24:25" x14ac:dyDescent="0.3">
      <c r="X4697" s="1">
        <f t="shared" si="146"/>
        <v>0</v>
      </c>
      <c r="Y4697" s="1">
        <f t="shared" si="147"/>
        <v>15</v>
      </c>
    </row>
    <row r="4698" spans="24:25" x14ac:dyDescent="0.3">
      <c r="X4698" s="1">
        <f t="shared" si="146"/>
        <v>0</v>
      </c>
      <c r="Y4698" s="1">
        <f t="shared" si="147"/>
        <v>15</v>
      </c>
    </row>
    <row r="4699" spans="24:25" x14ac:dyDescent="0.3">
      <c r="X4699" s="1">
        <f t="shared" si="146"/>
        <v>0</v>
      </c>
      <c r="Y4699" s="1">
        <f t="shared" si="147"/>
        <v>15</v>
      </c>
    </row>
    <row r="4700" spans="24:25" x14ac:dyDescent="0.3">
      <c r="X4700" s="1">
        <f t="shared" si="146"/>
        <v>0</v>
      </c>
      <c r="Y4700" s="1">
        <f t="shared" si="147"/>
        <v>15</v>
      </c>
    </row>
    <row r="4701" spans="24:25" x14ac:dyDescent="0.3">
      <c r="X4701" s="1">
        <f t="shared" si="146"/>
        <v>0</v>
      </c>
      <c r="Y4701" s="1">
        <f t="shared" si="147"/>
        <v>15</v>
      </c>
    </row>
    <row r="4702" spans="24:25" x14ac:dyDescent="0.3">
      <c r="X4702" s="1">
        <f t="shared" si="146"/>
        <v>0</v>
      </c>
      <c r="Y4702" s="1">
        <f t="shared" si="147"/>
        <v>15</v>
      </c>
    </row>
    <row r="4703" spans="24:25" x14ac:dyDescent="0.3">
      <c r="X4703" s="1">
        <f t="shared" si="146"/>
        <v>0</v>
      </c>
      <c r="Y4703" s="1">
        <f t="shared" si="147"/>
        <v>15</v>
      </c>
    </row>
    <row r="4704" spans="24:25" x14ac:dyDescent="0.3">
      <c r="X4704" s="1">
        <f t="shared" si="146"/>
        <v>0</v>
      </c>
      <c r="Y4704" s="1">
        <f t="shared" si="147"/>
        <v>15</v>
      </c>
    </row>
    <row r="4705" spans="24:25" x14ac:dyDescent="0.3">
      <c r="X4705" s="1">
        <f t="shared" si="146"/>
        <v>0</v>
      </c>
      <c r="Y4705" s="1">
        <f t="shared" si="147"/>
        <v>15</v>
      </c>
    </row>
    <row r="4706" spans="24:25" x14ac:dyDescent="0.3">
      <c r="X4706" s="1">
        <f t="shared" si="146"/>
        <v>0</v>
      </c>
      <c r="Y4706" s="1">
        <f t="shared" si="147"/>
        <v>15</v>
      </c>
    </row>
    <row r="4707" spans="24:25" x14ac:dyDescent="0.3">
      <c r="X4707" s="1">
        <f t="shared" si="146"/>
        <v>0</v>
      </c>
      <c r="Y4707" s="1">
        <f t="shared" si="147"/>
        <v>15</v>
      </c>
    </row>
    <row r="4708" spans="24:25" x14ac:dyDescent="0.3">
      <c r="X4708" s="1">
        <f t="shared" si="146"/>
        <v>0</v>
      </c>
      <c r="Y4708" s="1">
        <f t="shared" si="147"/>
        <v>15</v>
      </c>
    </row>
    <row r="4709" spans="24:25" x14ac:dyDescent="0.3">
      <c r="X4709" s="1">
        <f t="shared" si="146"/>
        <v>0</v>
      </c>
      <c r="Y4709" s="1">
        <f t="shared" si="147"/>
        <v>15</v>
      </c>
    </row>
    <row r="4710" spans="24:25" x14ac:dyDescent="0.3">
      <c r="X4710" s="1">
        <f t="shared" si="146"/>
        <v>0</v>
      </c>
      <c r="Y4710" s="1">
        <f t="shared" si="147"/>
        <v>15</v>
      </c>
    </row>
    <row r="4711" spans="24:25" x14ac:dyDescent="0.3">
      <c r="X4711" s="1">
        <f t="shared" si="146"/>
        <v>0</v>
      </c>
      <c r="Y4711" s="1">
        <f t="shared" si="147"/>
        <v>15</v>
      </c>
    </row>
    <row r="4712" spans="24:25" x14ac:dyDescent="0.3">
      <c r="X4712" s="1">
        <f t="shared" si="146"/>
        <v>0</v>
      </c>
      <c r="Y4712" s="1">
        <f t="shared" si="147"/>
        <v>15</v>
      </c>
    </row>
    <row r="4713" spans="24:25" x14ac:dyDescent="0.3">
      <c r="X4713" s="1">
        <f t="shared" si="146"/>
        <v>0</v>
      </c>
      <c r="Y4713" s="1">
        <f t="shared" si="147"/>
        <v>15</v>
      </c>
    </row>
    <row r="4714" spans="24:25" x14ac:dyDescent="0.3">
      <c r="X4714" s="1">
        <f t="shared" si="146"/>
        <v>0</v>
      </c>
      <c r="Y4714" s="1">
        <f t="shared" si="147"/>
        <v>15</v>
      </c>
    </row>
    <row r="4715" spans="24:25" x14ac:dyDescent="0.3">
      <c r="X4715" s="1">
        <f t="shared" si="146"/>
        <v>0</v>
      </c>
      <c r="Y4715" s="1">
        <f t="shared" si="147"/>
        <v>15</v>
      </c>
    </row>
    <row r="4716" spans="24:25" x14ac:dyDescent="0.3">
      <c r="X4716" s="1">
        <f t="shared" si="146"/>
        <v>0</v>
      </c>
      <c r="Y4716" s="1">
        <f t="shared" si="147"/>
        <v>15</v>
      </c>
    </row>
    <row r="4717" spans="24:25" x14ac:dyDescent="0.3">
      <c r="X4717" s="1">
        <f t="shared" si="146"/>
        <v>0</v>
      </c>
      <c r="Y4717" s="1">
        <f t="shared" si="147"/>
        <v>15</v>
      </c>
    </row>
    <row r="4718" spans="24:25" x14ac:dyDescent="0.3">
      <c r="X4718" s="1">
        <f t="shared" si="146"/>
        <v>0</v>
      </c>
      <c r="Y4718" s="1">
        <f t="shared" si="147"/>
        <v>15</v>
      </c>
    </row>
    <row r="4719" spans="24:25" x14ac:dyDescent="0.3">
      <c r="X4719" s="1">
        <f t="shared" si="146"/>
        <v>0</v>
      </c>
      <c r="Y4719" s="1">
        <f t="shared" si="147"/>
        <v>15</v>
      </c>
    </row>
    <row r="4720" spans="24:25" x14ac:dyDescent="0.3">
      <c r="X4720" s="1">
        <f t="shared" si="146"/>
        <v>0</v>
      </c>
      <c r="Y4720" s="1">
        <f t="shared" si="147"/>
        <v>15</v>
      </c>
    </row>
    <row r="4721" spans="24:25" x14ac:dyDescent="0.3">
      <c r="X4721" s="1">
        <f t="shared" si="146"/>
        <v>0</v>
      </c>
      <c r="Y4721" s="1">
        <f t="shared" si="147"/>
        <v>15</v>
      </c>
    </row>
    <row r="4722" spans="24:25" x14ac:dyDescent="0.3">
      <c r="X4722" s="1">
        <f t="shared" si="146"/>
        <v>0</v>
      </c>
      <c r="Y4722" s="1">
        <f t="shared" si="147"/>
        <v>15</v>
      </c>
    </row>
    <row r="4723" spans="24:25" x14ac:dyDescent="0.3">
      <c r="X4723" s="1">
        <f t="shared" si="146"/>
        <v>0</v>
      </c>
      <c r="Y4723" s="1">
        <f t="shared" si="147"/>
        <v>15</v>
      </c>
    </row>
    <row r="4724" spans="24:25" x14ac:dyDescent="0.3">
      <c r="X4724" s="1">
        <f t="shared" si="146"/>
        <v>0</v>
      </c>
      <c r="Y4724" s="1">
        <f t="shared" si="147"/>
        <v>15</v>
      </c>
    </row>
    <row r="4725" spans="24:25" x14ac:dyDescent="0.3">
      <c r="X4725" s="1">
        <f t="shared" si="146"/>
        <v>0</v>
      </c>
      <c r="Y4725" s="1">
        <f t="shared" si="147"/>
        <v>15</v>
      </c>
    </row>
    <row r="4726" spans="24:25" x14ac:dyDescent="0.3">
      <c r="X4726" s="1">
        <f t="shared" si="146"/>
        <v>0</v>
      </c>
      <c r="Y4726" s="1">
        <f t="shared" si="147"/>
        <v>15</v>
      </c>
    </row>
    <row r="4727" spans="24:25" x14ac:dyDescent="0.3">
      <c r="X4727" s="1">
        <f t="shared" si="146"/>
        <v>0</v>
      </c>
      <c r="Y4727" s="1">
        <f t="shared" si="147"/>
        <v>15</v>
      </c>
    </row>
    <row r="4728" spans="24:25" x14ac:dyDescent="0.3">
      <c r="X4728" s="1">
        <f t="shared" si="146"/>
        <v>0</v>
      </c>
      <c r="Y4728" s="1">
        <f t="shared" si="147"/>
        <v>15</v>
      </c>
    </row>
    <row r="4729" spans="24:25" x14ac:dyDescent="0.3">
      <c r="X4729" s="1">
        <f t="shared" si="146"/>
        <v>0</v>
      </c>
      <c r="Y4729" s="1">
        <f t="shared" si="147"/>
        <v>15</v>
      </c>
    </row>
    <row r="4730" spans="24:25" x14ac:dyDescent="0.3">
      <c r="X4730" s="1">
        <f t="shared" si="146"/>
        <v>0</v>
      </c>
      <c r="Y4730" s="1">
        <f t="shared" si="147"/>
        <v>15</v>
      </c>
    </row>
    <row r="4731" spans="24:25" x14ac:dyDescent="0.3">
      <c r="X4731" s="1">
        <f t="shared" si="146"/>
        <v>0</v>
      </c>
      <c r="Y4731" s="1">
        <f t="shared" si="147"/>
        <v>15</v>
      </c>
    </row>
    <row r="4732" spans="24:25" x14ac:dyDescent="0.3">
      <c r="X4732" s="1">
        <f t="shared" si="146"/>
        <v>0</v>
      </c>
      <c r="Y4732" s="1">
        <f t="shared" si="147"/>
        <v>15</v>
      </c>
    </row>
    <row r="4733" spans="24:25" x14ac:dyDescent="0.3">
      <c r="X4733" s="1">
        <f t="shared" si="146"/>
        <v>0</v>
      </c>
      <c r="Y4733" s="1">
        <f t="shared" si="147"/>
        <v>15</v>
      </c>
    </row>
    <row r="4734" spans="24:25" x14ac:dyDescent="0.3">
      <c r="X4734" s="1">
        <f t="shared" si="146"/>
        <v>0</v>
      </c>
      <c r="Y4734" s="1">
        <f t="shared" si="147"/>
        <v>15</v>
      </c>
    </row>
    <row r="4735" spans="24:25" x14ac:dyDescent="0.3">
      <c r="X4735" s="1">
        <f t="shared" si="146"/>
        <v>0</v>
      </c>
      <c r="Y4735" s="1">
        <f t="shared" si="147"/>
        <v>15</v>
      </c>
    </row>
    <row r="4736" spans="24:25" x14ac:dyDescent="0.3">
      <c r="X4736" s="1">
        <f t="shared" si="146"/>
        <v>0</v>
      </c>
      <c r="Y4736" s="1">
        <f t="shared" si="147"/>
        <v>15</v>
      </c>
    </row>
    <row r="4737" spans="24:25" x14ac:dyDescent="0.3">
      <c r="X4737" s="1">
        <f t="shared" si="146"/>
        <v>0</v>
      </c>
      <c r="Y4737" s="1">
        <f t="shared" si="147"/>
        <v>15</v>
      </c>
    </row>
    <row r="4738" spans="24:25" x14ac:dyDescent="0.3">
      <c r="X4738" s="1">
        <f t="shared" si="146"/>
        <v>0</v>
      </c>
      <c r="Y4738" s="1">
        <f t="shared" si="147"/>
        <v>15</v>
      </c>
    </row>
    <row r="4739" spans="24:25" x14ac:dyDescent="0.3">
      <c r="X4739" s="1">
        <f t="shared" ref="X4739:X4802" si="148">IFERROR(MATCH(W4739,$B:$B,0),0)</f>
        <v>0</v>
      </c>
      <c r="Y4739" s="1">
        <f t="shared" ref="Y4739:Y4802" si="149">IF(X4740=0,COUNTA(A:A),X4740-1)</f>
        <v>15</v>
      </c>
    </row>
    <row r="4740" spans="24:25" x14ac:dyDescent="0.3">
      <c r="X4740" s="1">
        <f t="shared" si="148"/>
        <v>0</v>
      </c>
      <c r="Y4740" s="1">
        <f t="shared" si="149"/>
        <v>15</v>
      </c>
    </row>
    <row r="4741" spans="24:25" x14ac:dyDescent="0.3">
      <c r="X4741" s="1">
        <f t="shared" si="148"/>
        <v>0</v>
      </c>
      <c r="Y4741" s="1">
        <f t="shared" si="149"/>
        <v>15</v>
      </c>
    </row>
    <row r="4742" spans="24:25" x14ac:dyDescent="0.3">
      <c r="X4742" s="1">
        <f t="shared" si="148"/>
        <v>0</v>
      </c>
      <c r="Y4742" s="1">
        <f t="shared" si="149"/>
        <v>15</v>
      </c>
    </row>
    <row r="4743" spans="24:25" x14ac:dyDescent="0.3">
      <c r="X4743" s="1">
        <f t="shared" si="148"/>
        <v>0</v>
      </c>
      <c r="Y4743" s="1">
        <f t="shared" si="149"/>
        <v>15</v>
      </c>
    </row>
    <row r="4744" spans="24:25" x14ac:dyDescent="0.3">
      <c r="X4744" s="1">
        <f t="shared" si="148"/>
        <v>0</v>
      </c>
      <c r="Y4744" s="1">
        <f t="shared" si="149"/>
        <v>15</v>
      </c>
    </row>
    <row r="4745" spans="24:25" x14ac:dyDescent="0.3">
      <c r="X4745" s="1">
        <f t="shared" si="148"/>
        <v>0</v>
      </c>
      <c r="Y4745" s="1">
        <f t="shared" si="149"/>
        <v>15</v>
      </c>
    </row>
    <row r="4746" spans="24:25" x14ac:dyDescent="0.3">
      <c r="X4746" s="1">
        <f t="shared" si="148"/>
        <v>0</v>
      </c>
      <c r="Y4746" s="1">
        <f t="shared" si="149"/>
        <v>15</v>
      </c>
    </row>
    <row r="4747" spans="24:25" x14ac:dyDescent="0.3">
      <c r="X4747" s="1">
        <f t="shared" si="148"/>
        <v>0</v>
      </c>
      <c r="Y4747" s="1">
        <f t="shared" si="149"/>
        <v>15</v>
      </c>
    </row>
    <row r="4748" spans="24:25" x14ac:dyDescent="0.3">
      <c r="X4748" s="1">
        <f t="shared" si="148"/>
        <v>0</v>
      </c>
      <c r="Y4748" s="1">
        <f t="shared" si="149"/>
        <v>15</v>
      </c>
    </row>
    <row r="4749" spans="24:25" x14ac:dyDescent="0.3">
      <c r="X4749" s="1">
        <f t="shared" si="148"/>
        <v>0</v>
      </c>
      <c r="Y4749" s="1">
        <f t="shared" si="149"/>
        <v>15</v>
      </c>
    </row>
    <row r="4750" spans="24:25" x14ac:dyDescent="0.3">
      <c r="X4750" s="1">
        <f t="shared" si="148"/>
        <v>0</v>
      </c>
      <c r="Y4750" s="1">
        <f t="shared" si="149"/>
        <v>15</v>
      </c>
    </row>
    <row r="4751" spans="24:25" x14ac:dyDescent="0.3">
      <c r="X4751" s="1">
        <f t="shared" si="148"/>
        <v>0</v>
      </c>
      <c r="Y4751" s="1">
        <f t="shared" si="149"/>
        <v>15</v>
      </c>
    </row>
    <row r="4752" spans="24:25" x14ac:dyDescent="0.3">
      <c r="X4752" s="1">
        <f t="shared" si="148"/>
        <v>0</v>
      </c>
      <c r="Y4752" s="1">
        <f t="shared" si="149"/>
        <v>15</v>
      </c>
    </row>
    <row r="4753" spans="24:25" x14ac:dyDescent="0.3">
      <c r="X4753" s="1">
        <f t="shared" si="148"/>
        <v>0</v>
      </c>
      <c r="Y4753" s="1">
        <f t="shared" si="149"/>
        <v>15</v>
      </c>
    </row>
    <row r="4754" spans="24:25" x14ac:dyDescent="0.3">
      <c r="X4754" s="1">
        <f t="shared" si="148"/>
        <v>0</v>
      </c>
      <c r="Y4754" s="1">
        <f t="shared" si="149"/>
        <v>15</v>
      </c>
    </row>
    <row r="4755" spans="24:25" x14ac:dyDescent="0.3">
      <c r="X4755" s="1">
        <f t="shared" si="148"/>
        <v>0</v>
      </c>
      <c r="Y4755" s="1">
        <f t="shared" si="149"/>
        <v>15</v>
      </c>
    </row>
    <row r="4756" spans="24:25" x14ac:dyDescent="0.3">
      <c r="X4756" s="1">
        <f t="shared" si="148"/>
        <v>0</v>
      </c>
      <c r="Y4756" s="1">
        <f t="shared" si="149"/>
        <v>15</v>
      </c>
    </row>
    <row r="4757" spans="24:25" x14ac:dyDescent="0.3">
      <c r="X4757" s="1">
        <f t="shared" si="148"/>
        <v>0</v>
      </c>
      <c r="Y4757" s="1">
        <f t="shared" si="149"/>
        <v>15</v>
      </c>
    </row>
    <row r="4758" spans="24:25" x14ac:dyDescent="0.3">
      <c r="X4758" s="1">
        <f t="shared" si="148"/>
        <v>0</v>
      </c>
      <c r="Y4758" s="1">
        <f t="shared" si="149"/>
        <v>15</v>
      </c>
    </row>
    <row r="4759" spans="24:25" x14ac:dyDescent="0.3">
      <c r="X4759" s="1">
        <f t="shared" si="148"/>
        <v>0</v>
      </c>
      <c r="Y4759" s="1">
        <f t="shared" si="149"/>
        <v>15</v>
      </c>
    </row>
    <row r="4760" spans="24:25" x14ac:dyDescent="0.3">
      <c r="X4760" s="1">
        <f t="shared" si="148"/>
        <v>0</v>
      </c>
      <c r="Y4760" s="1">
        <f t="shared" si="149"/>
        <v>15</v>
      </c>
    </row>
    <row r="4761" spans="24:25" x14ac:dyDescent="0.3">
      <c r="X4761" s="1">
        <f t="shared" si="148"/>
        <v>0</v>
      </c>
      <c r="Y4761" s="1">
        <f t="shared" si="149"/>
        <v>15</v>
      </c>
    </row>
    <row r="4762" spans="24:25" x14ac:dyDescent="0.3">
      <c r="X4762" s="1">
        <f t="shared" si="148"/>
        <v>0</v>
      </c>
      <c r="Y4762" s="1">
        <f t="shared" si="149"/>
        <v>15</v>
      </c>
    </row>
    <row r="4763" spans="24:25" x14ac:dyDescent="0.3">
      <c r="X4763" s="1">
        <f t="shared" si="148"/>
        <v>0</v>
      </c>
      <c r="Y4763" s="1">
        <f t="shared" si="149"/>
        <v>15</v>
      </c>
    </row>
    <row r="4764" spans="24:25" x14ac:dyDescent="0.3">
      <c r="X4764" s="1">
        <f t="shared" si="148"/>
        <v>0</v>
      </c>
      <c r="Y4764" s="1">
        <f t="shared" si="149"/>
        <v>15</v>
      </c>
    </row>
    <row r="4765" spans="24:25" x14ac:dyDescent="0.3">
      <c r="X4765" s="1">
        <f t="shared" si="148"/>
        <v>0</v>
      </c>
      <c r="Y4765" s="1">
        <f t="shared" si="149"/>
        <v>15</v>
      </c>
    </row>
    <row r="4766" spans="24:25" x14ac:dyDescent="0.3">
      <c r="X4766" s="1">
        <f t="shared" si="148"/>
        <v>0</v>
      </c>
      <c r="Y4766" s="1">
        <f t="shared" si="149"/>
        <v>15</v>
      </c>
    </row>
    <row r="4767" spans="24:25" x14ac:dyDescent="0.3">
      <c r="X4767" s="1">
        <f t="shared" si="148"/>
        <v>0</v>
      </c>
      <c r="Y4767" s="1">
        <f t="shared" si="149"/>
        <v>15</v>
      </c>
    </row>
    <row r="4768" spans="24:25" x14ac:dyDescent="0.3">
      <c r="X4768" s="1">
        <f t="shared" si="148"/>
        <v>0</v>
      </c>
      <c r="Y4768" s="1">
        <f t="shared" si="149"/>
        <v>15</v>
      </c>
    </row>
    <row r="4769" spans="24:25" x14ac:dyDescent="0.3">
      <c r="X4769" s="1">
        <f t="shared" si="148"/>
        <v>0</v>
      </c>
      <c r="Y4769" s="1">
        <f t="shared" si="149"/>
        <v>15</v>
      </c>
    </row>
    <row r="4770" spans="24:25" x14ac:dyDescent="0.3">
      <c r="X4770" s="1">
        <f t="shared" si="148"/>
        <v>0</v>
      </c>
      <c r="Y4770" s="1">
        <f t="shared" si="149"/>
        <v>15</v>
      </c>
    </row>
    <row r="4771" spans="24:25" x14ac:dyDescent="0.3">
      <c r="X4771" s="1">
        <f t="shared" si="148"/>
        <v>0</v>
      </c>
      <c r="Y4771" s="1">
        <f t="shared" si="149"/>
        <v>15</v>
      </c>
    </row>
    <row r="4772" spans="24:25" x14ac:dyDescent="0.3">
      <c r="X4772" s="1">
        <f t="shared" si="148"/>
        <v>0</v>
      </c>
      <c r="Y4772" s="1">
        <f t="shared" si="149"/>
        <v>15</v>
      </c>
    </row>
    <row r="4773" spans="24:25" x14ac:dyDescent="0.3">
      <c r="X4773" s="1">
        <f t="shared" si="148"/>
        <v>0</v>
      </c>
      <c r="Y4773" s="1">
        <f t="shared" si="149"/>
        <v>15</v>
      </c>
    </row>
    <row r="4774" spans="24:25" x14ac:dyDescent="0.3">
      <c r="X4774" s="1">
        <f t="shared" si="148"/>
        <v>0</v>
      </c>
      <c r="Y4774" s="1">
        <f t="shared" si="149"/>
        <v>15</v>
      </c>
    </row>
    <row r="4775" spans="24:25" x14ac:dyDescent="0.3">
      <c r="X4775" s="1">
        <f t="shared" si="148"/>
        <v>0</v>
      </c>
      <c r="Y4775" s="1">
        <f t="shared" si="149"/>
        <v>15</v>
      </c>
    </row>
    <row r="4776" spans="24:25" x14ac:dyDescent="0.3">
      <c r="X4776" s="1">
        <f t="shared" si="148"/>
        <v>0</v>
      </c>
      <c r="Y4776" s="1">
        <f t="shared" si="149"/>
        <v>15</v>
      </c>
    </row>
    <row r="4777" spans="24:25" x14ac:dyDescent="0.3">
      <c r="X4777" s="1">
        <f t="shared" si="148"/>
        <v>0</v>
      </c>
      <c r="Y4777" s="1">
        <f t="shared" si="149"/>
        <v>15</v>
      </c>
    </row>
    <row r="4778" spans="24:25" x14ac:dyDescent="0.3">
      <c r="X4778" s="1">
        <f t="shared" si="148"/>
        <v>0</v>
      </c>
      <c r="Y4778" s="1">
        <f t="shared" si="149"/>
        <v>15</v>
      </c>
    </row>
    <row r="4779" spans="24:25" x14ac:dyDescent="0.3">
      <c r="X4779" s="1">
        <f t="shared" si="148"/>
        <v>0</v>
      </c>
      <c r="Y4779" s="1">
        <f t="shared" si="149"/>
        <v>15</v>
      </c>
    </row>
    <row r="4780" spans="24:25" x14ac:dyDescent="0.3">
      <c r="X4780" s="1">
        <f t="shared" si="148"/>
        <v>0</v>
      </c>
      <c r="Y4780" s="1">
        <f t="shared" si="149"/>
        <v>15</v>
      </c>
    </row>
    <row r="4781" spans="24:25" x14ac:dyDescent="0.3">
      <c r="X4781" s="1">
        <f t="shared" si="148"/>
        <v>0</v>
      </c>
      <c r="Y4781" s="1">
        <f t="shared" si="149"/>
        <v>15</v>
      </c>
    </row>
    <row r="4782" spans="24:25" x14ac:dyDescent="0.3">
      <c r="X4782" s="1">
        <f t="shared" si="148"/>
        <v>0</v>
      </c>
      <c r="Y4782" s="1">
        <f t="shared" si="149"/>
        <v>15</v>
      </c>
    </row>
    <row r="4783" spans="24:25" x14ac:dyDescent="0.3">
      <c r="X4783" s="1">
        <f t="shared" si="148"/>
        <v>0</v>
      </c>
      <c r="Y4783" s="1">
        <f t="shared" si="149"/>
        <v>15</v>
      </c>
    </row>
    <row r="4784" spans="24:25" x14ac:dyDescent="0.3">
      <c r="X4784" s="1">
        <f t="shared" si="148"/>
        <v>0</v>
      </c>
      <c r="Y4784" s="1">
        <f t="shared" si="149"/>
        <v>15</v>
      </c>
    </row>
    <row r="4785" spans="24:25" x14ac:dyDescent="0.3">
      <c r="X4785" s="1">
        <f t="shared" si="148"/>
        <v>0</v>
      </c>
      <c r="Y4785" s="1">
        <f t="shared" si="149"/>
        <v>15</v>
      </c>
    </row>
    <row r="4786" spans="24:25" x14ac:dyDescent="0.3">
      <c r="X4786" s="1">
        <f t="shared" si="148"/>
        <v>0</v>
      </c>
      <c r="Y4786" s="1">
        <f t="shared" si="149"/>
        <v>15</v>
      </c>
    </row>
    <row r="4787" spans="24:25" x14ac:dyDescent="0.3">
      <c r="X4787" s="1">
        <f t="shared" si="148"/>
        <v>0</v>
      </c>
      <c r="Y4787" s="1">
        <f t="shared" si="149"/>
        <v>15</v>
      </c>
    </row>
    <row r="4788" spans="24:25" x14ac:dyDescent="0.3">
      <c r="X4788" s="1">
        <f t="shared" si="148"/>
        <v>0</v>
      </c>
      <c r="Y4788" s="1">
        <f t="shared" si="149"/>
        <v>15</v>
      </c>
    </row>
    <row r="4789" spans="24:25" x14ac:dyDescent="0.3">
      <c r="X4789" s="1">
        <f t="shared" si="148"/>
        <v>0</v>
      </c>
      <c r="Y4789" s="1">
        <f t="shared" si="149"/>
        <v>15</v>
      </c>
    </row>
    <row r="4790" spans="24:25" x14ac:dyDescent="0.3">
      <c r="X4790" s="1">
        <f t="shared" si="148"/>
        <v>0</v>
      </c>
      <c r="Y4790" s="1">
        <f t="shared" si="149"/>
        <v>15</v>
      </c>
    </row>
    <row r="4791" spans="24:25" x14ac:dyDescent="0.3">
      <c r="X4791" s="1">
        <f t="shared" si="148"/>
        <v>0</v>
      </c>
      <c r="Y4791" s="1">
        <f t="shared" si="149"/>
        <v>15</v>
      </c>
    </row>
    <row r="4792" spans="24:25" x14ac:dyDescent="0.3">
      <c r="X4792" s="1">
        <f t="shared" si="148"/>
        <v>0</v>
      </c>
      <c r="Y4792" s="1">
        <f t="shared" si="149"/>
        <v>15</v>
      </c>
    </row>
    <row r="4793" spans="24:25" x14ac:dyDescent="0.3">
      <c r="X4793" s="1">
        <f t="shared" si="148"/>
        <v>0</v>
      </c>
      <c r="Y4793" s="1">
        <f t="shared" si="149"/>
        <v>15</v>
      </c>
    </row>
    <row r="4794" spans="24:25" x14ac:dyDescent="0.3">
      <c r="X4794" s="1">
        <f t="shared" si="148"/>
        <v>0</v>
      </c>
      <c r="Y4794" s="1">
        <f t="shared" si="149"/>
        <v>15</v>
      </c>
    </row>
    <row r="4795" spans="24:25" x14ac:dyDescent="0.3">
      <c r="X4795" s="1">
        <f t="shared" si="148"/>
        <v>0</v>
      </c>
      <c r="Y4795" s="1">
        <f t="shared" si="149"/>
        <v>15</v>
      </c>
    </row>
    <row r="4796" spans="24:25" x14ac:dyDescent="0.3">
      <c r="X4796" s="1">
        <f t="shared" si="148"/>
        <v>0</v>
      </c>
      <c r="Y4796" s="1">
        <f t="shared" si="149"/>
        <v>15</v>
      </c>
    </row>
    <row r="4797" spans="24:25" x14ac:dyDescent="0.3">
      <c r="X4797" s="1">
        <f t="shared" si="148"/>
        <v>0</v>
      </c>
      <c r="Y4797" s="1">
        <f t="shared" si="149"/>
        <v>15</v>
      </c>
    </row>
    <row r="4798" spans="24:25" x14ac:dyDescent="0.3">
      <c r="X4798" s="1">
        <f t="shared" si="148"/>
        <v>0</v>
      </c>
      <c r="Y4798" s="1">
        <f t="shared" si="149"/>
        <v>15</v>
      </c>
    </row>
    <row r="4799" spans="24:25" x14ac:dyDescent="0.3">
      <c r="X4799" s="1">
        <f t="shared" si="148"/>
        <v>0</v>
      </c>
      <c r="Y4799" s="1">
        <f t="shared" si="149"/>
        <v>15</v>
      </c>
    </row>
    <row r="4800" spans="24:25" x14ac:dyDescent="0.3">
      <c r="X4800" s="1">
        <f t="shared" si="148"/>
        <v>0</v>
      </c>
      <c r="Y4800" s="1">
        <f t="shared" si="149"/>
        <v>15</v>
      </c>
    </row>
    <row r="4801" spans="24:25" x14ac:dyDescent="0.3">
      <c r="X4801" s="1">
        <f t="shared" si="148"/>
        <v>0</v>
      </c>
      <c r="Y4801" s="1">
        <f t="shared" si="149"/>
        <v>15</v>
      </c>
    </row>
    <row r="4802" spans="24:25" x14ac:dyDescent="0.3">
      <c r="X4802" s="1">
        <f t="shared" si="148"/>
        <v>0</v>
      </c>
      <c r="Y4802" s="1">
        <f t="shared" si="149"/>
        <v>15</v>
      </c>
    </row>
    <row r="4803" spans="24:25" x14ac:dyDescent="0.3">
      <c r="X4803" s="1">
        <f t="shared" ref="X4803:X4866" si="150">IFERROR(MATCH(W4803,$B:$B,0),0)</f>
        <v>0</v>
      </c>
      <c r="Y4803" s="1">
        <f t="shared" ref="Y4803:Y4866" si="151">IF(X4804=0,COUNTA(A:A),X4804-1)</f>
        <v>15</v>
      </c>
    </row>
    <row r="4804" spans="24:25" x14ac:dyDescent="0.3">
      <c r="X4804" s="1">
        <f t="shared" si="150"/>
        <v>0</v>
      </c>
      <c r="Y4804" s="1">
        <f t="shared" si="151"/>
        <v>15</v>
      </c>
    </row>
    <row r="4805" spans="24:25" x14ac:dyDescent="0.3">
      <c r="X4805" s="1">
        <f t="shared" si="150"/>
        <v>0</v>
      </c>
      <c r="Y4805" s="1">
        <f t="shared" si="151"/>
        <v>15</v>
      </c>
    </row>
    <row r="4806" spans="24:25" x14ac:dyDescent="0.3">
      <c r="X4806" s="1">
        <f t="shared" si="150"/>
        <v>0</v>
      </c>
      <c r="Y4806" s="1">
        <f t="shared" si="151"/>
        <v>15</v>
      </c>
    </row>
    <row r="4807" spans="24:25" x14ac:dyDescent="0.3">
      <c r="X4807" s="1">
        <f t="shared" si="150"/>
        <v>0</v>
      </c>
      <c r="Y4807" s="1">
        <f t="shared" si="151"/>
        <v>15</v>
      </c>
    </row>
    <row r="4808" spans="24:25" x14ac:dyDescent="0.3">
      <c r="X4808" s="1">
        <f t="shared" si="150"/>
        <v>0</v>
      </c>
      <c r="Y4808" s="1">
        <f t="shared" si="151"/>
        <v>15</v>
      </c>
    </row>
    <row r="4809" spans="24:25" x14ac:dyDescent="0.3">
      <c r="X4809" s="1">
        <f t="shared" si="150"/>
        <v>0</v>
      </c>
      <c r="Y4809" s="1">
        <f t="shared" si="151"/>
        <v>15</v>
      </c>
    </row>
    <row r="4810" spans="24:25" x14ac:dyDescent="0.3">
      <c r="X4810" s="1">
        <f t="shared" si="150"/>
        <v>0</v>
      </c>
      <c r="Y4810" s="1">
        <f t="shared" si="151"/>
        <v>15</v>
      </c>
    </row>
    <row r="4811" spans="24:25" x14ac:dyDescent="0.3">
      <c r="X4811" s="1">
        <f t="shared" si="150"/>
        <v>0</v>
      </c>
      <c r="Y4811" s="1">
        <f t="shared" si="151"/>
        <v>15</v>
      </c>
    </row>
    <row r="4812" spans="24:25" x14ac:dyDescent="0.3">
      <c r="X4812" s="1">
        <f t="shared" si="150"/>
        <v>0</v>
      </c>
      <c r="Y4812" s="1">
        <f t="shared" si="151"/>
        <v>15</v>
      </c>
    </row>
    <row r="4813" spans="24:25" x14ac:dyDescent="0.3">
      <c r="X4813" s="1">
        <f t="shared" si="150"/>
        <v>0</v>
      </c>
      <c r="Y4813" s="1">
        <f t="shared" si="151"/>
        <v>15</v>
      </c>
    </row>
    <row r="4814" spans="24:25" x14ac:dyDescent="0.3">
      <c r="X4814" s="1">
        <f t="shared" si="150"/>
        <v>0</v>
      </c>
      <c r="Y4814" s="1">
        <f t="shared" si="151"/>
        <v>15</v>
      </c>
    </row>
    <row r="4815" spans="24:25" x14ac:dyDescent="0.3">
      <c r="X4815" s="1">
        <f t="shared" si="150"/>
        <v>0</v>
      </c>
      <c r="Y4815" s="1">
        <f t="shared" si="151"/>
        <v>15</v>
      </c>
    </row>
    <row r="4816" spans="24:25" x14ac:dyDescent="0.3">
      <c r="X4816" s="1">
        <f t="shared" si="150"/>
        <v>0</v>
      </c>
      <c r="Y4816" s="1">
        <f t="shared" si="151"/>
        <v>15</v>
      </c>
    </row>
    <row r="4817" spans="24:25" x14ac:dyDescent="0.3">
      <c r="X4817" s="1">
        <f t="shared" si="150"/>
        <v>0</v>
      </c>
      <c r="Y4817" s="1">
        <f t="shared" si="151"/>
        <v>15</v>
      </c>
    </row>
    <row r="4818" spans="24:25" x14ac:dyDescent="0.3">
      <c r="X4818" s="1">
        <f t="shared" si="150"/>
        <v>0</v>
      </c>
      <c r="Y4818" s="1">
        <f t="shared" si="151"/>
        <v>15</v>
      </c>
    </row>
    <row r="4819" spans="24:25" x14ac:dyDescent="0.3">
      <c r="X4819" s="1">
        <f t="shared" si="150"/>
        <v>0</v>
      </c>
      <c r="Y4819" s="1">
        <f t="shared" si="151"/>
        <v>15</v>
      </c>
    </row>
    <row r="4820" spans="24:25" x14ac:dyDescent="0.3">
      <c r="X4820" s="1">
        <f t="shared" si="150"/>
        <v>0</v>
      </c>
      <c r="Y4820" s="1">
        <f t="shared" si="151"/>
        <v>15</v>
      </c>
    </row>
    <row r="4821" spans="24:25" x14ac:dyDescent="0.3">
      <c r="X4821" s="1">
        <f t="shared" si="150"/>
        <v>0</v>
      </c>
      <c r="Y4821" s="1">
        <f t="shared" si="151"/>
        <v>15</v>
      </c>
    </row>
    <row r="4822" spans="24:25" x14ac:dyDescent="0.3">
      <c r="X4822" s="1">
        <f t="shared" si="150"/>
        <v>0</v>
      </c>
      <c r="Y4822" s="1">
        <f t="shared" si="151"/>
        <v>15</v>
      </c>
    </row>
    <row r="4823" spans="24:25" x14ac:dyDescent="0.3">
      <c r="X4823" s="1">
        <f t="shared" si="150"/>
        <v>0</v>
      </c>
      <c r="Y4823" s="1">
        <f t="shared" si="151"/>
        <v>15</v>
      </c>
    </row>
    <row r="4824" spans="24:25" x14ac:dyDescent="0.3">
      <c r="X4824" s="1">
        <f t="shared" si="150"/>
        <v>0</v>
      </c>
      <c r="Y4824" s="1">
        <f t="shared" si="151"/>
        <v>15</v>
      </c>
    </row>
    <row r="4825" spans="24:25" x14ac:dyDescent="0.3">
      <c r="X4825" s="1">
        <f t="shared" si="150"/>
        <v>0</v>
      </c>
      <c r="Y4825" s="1">
        <f t="shared" si="151"/>
        <v>15</v>
      </c>
    </row>
    <row r="4826" spans="24:25" x14ac:dyDescent="0.3">
      <c r="X4826" s="1">
        <f t="shared" si="150"/>
        <v>0</v>
      </c>
      <c r="Y4826" s="1">
        <f t="shared" si="151"/>
        <v>15</v>
      </c>
    </row>
    <row r="4827" spans="24:25" x14ac:dyDescent="0.3">
      <c r="X4827" s="1">
        <f t="shared" si="150"/>
        <v>0</v>
      </c>
      <c r="Y4827" s="1">
        <f t="shared" si="151"/>
        <v>15</v>
      </c>
    </row>
    <row r="4828" spans="24:25" x14ac:dyDescent="0.3">
      <c r="X4828" s="1">
        <f t="shared" si="150"/>
        <v>0</v>
      </c>
      <c r="Y4828" s="1">
        <f t="shared" si="151"/>
        <v>15</v>
      </c>
    </row>
    <row r="4829" spans="24:25" x14ac:dyDescent="0.3">
      <c r="X4829" s="1">
        <f t="shared" si="150"/>
        <v>0</v>
      </c>
      <c r="Y4829" s="1">
        <f t="shared" si="151"/>
        <v>15</v>
      </c>
    </row>
    <row r="4830" spans="24:25" x14ac:dyDescent="0.3">
      <c r="X4830" s="1">
        <f t="shared" si="150"/>
        <v>0</v>
      </c>
      <c r="Y4830" s="1">
        <f t="shared" si="151"/>
        <v>15</v>
      </c>
    </row>
    <row r="4831" spans="24:25" x14ac:dyDescent="0.3">
      <c r="X4831" s="1">
        <f t="shared" si="150"/>
        <v>0</v>
      </c>
      <c r="Y4831" s="1">
        <f t="shared" si="151"/>
        <v>15</v>
      </c>
    </row>
    <row r="4832" spans="24:25" x14ac:dyDescent="0.3">
      <c r="X4832" s="1">
        <f t="shared" si="150"/>
        <v>0</v>
      </c>
      <c r="Y4832" s="1">
        <f t="shared" si="151"/>
        <v>15</v>
      </c>
    </row>
    <row r="4833" spans="24:25" x14ac:dyDescent="0.3">
      <c r="X4833" s="1">
        <f t="shared" si="150"/>
        <v>0</v>
      </c>
      <c r="Y4833" s="1">
        <f t="shared" si="151"/>
        <v>15</v>
      </c>
    </row>
    <row r="4834" spans="24:25" x14ac:dyDescent="0.3">
      <c r="X4834" s="1">
        <f t="shared" si="150"/>
        <v>0</v>
      </c>
      <c r="Y4834" s="1">
        <f t="shared" si="151"/>
        <v>15</v>
      </c>
    </row>
    <row r="4835" spans="24:25" x14ac:dyDescent="0.3">
      <c r="X4835" s="1">
        <f t="shared" si="150"/>
        <v>0</v>
      </c>
      <c r="Y4835" s="1">
        <f t="shared" si="151"/>
        <v>15</v>
      </c>
    </row>
    <row r="4836" spans="24:25" x14ac:dyDescent="0.3">
      <c r="X4836" s="1">
        <f t="shared" si="150"/>
        <v>0</v>
      </c>
      <c r="Y4836" s="1">
        <f t="shared" si="151"/>
        <v>15</v>
      </c>
    </row>
    <row r="4837" spans="24:25" x14ac:dyDescent="0.3">
      <c r="X4837" s="1">
        <f t="shared" si="150"/>
        <v>0</v>
      </c>
      <c r="Y4837" s="1">
        <f t="shared" si="151"/>
        <v>15</v>
      </c>
    </row>
    <row r="4838" spans="24:25" x14ac:dyDescent="0.3">
      <c r="X4838" s="1">
        <f t="shared" si="150"/>
        <v>0</v>
      </c>
      <c r="Y4838" s="1">
        <f t="shared" si="151"/>
        <v>15</v>
      </c>
    </row>
    <row r="4839" spans="24:25" x14ac:dyDescent="0.3">
      <c r="X4839" s="1">
        <f t="shared" si="150"/>
        <v>0</v>
      </c>
      <c r="Y4839" s="1">
        <f t="shared" si="151"/>
        <v>15</v>
      </c>
    </row>
    <row r="4840" spans="24:25" x14ac:dyDescent="0.3">
      <c r="X4840" s="1">
        <f t="shared" si="150"/>
        <v>0</v>
      </c>
      <c r="Y4840" s="1">
        <f t="shared" si="151"/>
        <v>15</v>
      </c>
    </row>
    <row r="4841" spans="24:25" x14ac:dyDescent="0.3">
      <c r="X4841" s="1">
        <f t="shared" si="150"/>
        <v>0</v>
      </c>
      <c r="Y4841" s="1">
        <f t="shared" si="151"/>
        <v>15</v>
      </c>
    </row>
    <row r="4842" spans="24:25" x14ac:dyDescent="0.3">
      <c r="X4842" s="1">
        <f t="shared" si="150"/>
        <v>0</v>
      </c>
      <c r="Y4842" s="1">
        <f t="shared" si="151"/>
        <v>15</v>
      </c>
    </row>
    <row r="4843" spans="24:25" x14ac:dyDescent="0.3">
      <c r="X4843" s="1">
        <f t="shared" si="150"/>
        <v>0</v>
      </c>
      <c r="Y4843" s="1">
        <f t="shared" si="151"/>
        <v>15</v>
      </c>
    </row>
    <row r="4844" spans="24:25" x14ac:dyDescent="0.3">
      <c r="X4844" s="1">
        <f t="shared" si="150"/>
        <v>0</v>
      </c>
      <c r="Y4844" s="1">
        <f t="shared" si="151"/>
        <v>15</v>
      </c>
    </row>
    <row r="4845" spans="24:25" x14ac:dyDescent="0.3">
      <c r="X4845" s="1">
        <f t="shared" si="150"/>
        <v>0</v>
      </c>
      <c r="Y4845" s="1">
        <f t="shared" si="151"/>
        <v>15</v>
      </c>
    </row>
    <row r="4846" spans="24:25" x14ac:dyDescent="0.3">
      <c r="X4846" s="1">
        <f t="shared" si="150"/>
        <v>0</v>
      </c>
      <c r="Y4846" s="1">
        <f t="shared" si="151"/>
        <v>15</v>
      </c>
    </row>
    <row r="4847" spans="24:25" x14ac:dyDescent="0.3">
      <c r="X4847" s="1">
        <f t="shared" si="150"/>
        <v>0</v>
      </c>
      <c r="Y4847" s="1">
        <f t="shared" si="151"/>
        <v>15</v>
      </c>
    </row>
    <row r="4848" spans="24:25" x14ac:dyDescent="0.3">
      <c r="X4848" s="1">
        <f t="shared" si="150"/>
        <v>0</v>
      </c>
      <c r="Y4848" s="1">
        <f t="shared" si="151"/>
        <v>15</v>
      </c>
    </row>
    <row r="4849" spans="24:25" x14ac:dyDescent="0.3">
      <c r="X4849" s="1">
        <f t="shared" si="150"/>
        <v>0</v>
      </c>
      <c r="Y4849" s="1">
        <f t="shared" si="151"/>
        <v>15</v>
      </c>
    </row>
    <row r="4850" spans="24:25" x14ac:dyDescent="0.3">
      <c r="X4850" s="1">
        <f t="shared" si="150"/>
        <v>0</v>
      </c>
      <c r="Y4850" s="1">
        <f t="shared" si="151"/>
        <v>15</v>
      </c>
    </row>
    <row r="4851" spans="24:25" x14ac:dyDescent="0.3">
      <c r="X4851" s="1">
        <f t="shared" si="150"/>
        <v>0</v>
      </c>
      <c r="Y4851" s="1">
        <f t="shared" si="151"/>
        <v>15</v>
      </c>
    </row>
    <row r="4852" spans="24:25" x14ac:dyDescent="0.3">
      <c r="X4852" s="1">
        <f t="shared" si="150"/>
        <v>0</v>
      </c>
      <c r="Y4852" s="1">
        <f t="shared" si="151"/>
        <v>15</v>
      </c>
    </row>
    <row r="4853" spans="24:25" x14ac:dyDescent="0.3">
      <c r="X4853" s="1">
        <f t="shared" si="150"/>
        <v>0</v>
      </c>
      <c r="Y4853" s="1">
        <f t="shared" si="151"/>
        <v>15</v>
      </c>
    </row>
    <row r="4854" spans="24:25" x14ac:dyDescent="0.3">
      <c r="X4854" s="1">
        <f t="shared" si="150"/>
        <v>0</v>
      </c>
      <c r="Y4854" s="1">
        <f t="shared" si="151"/>
        <v>15</v>
      </c>
    </row>
    <row r="4855" spans="24:25" x14ac:dyDescent="0.3">
      <c r="X4855" s="1">
        <f t="shared" si="150"/>
        <v>0</v>
      </c>
      <c r="Y4855" s="1">
        <f t="shared" si="151"/>
        <v>15</v>
      </c>
    </row>
    <row r="4856" spans="24:25" x14ac:dyDescent="0.3">
      <c r="X4856" s="1">
        <f t="shared" si="150"/>
        <v>0</v>
      </c>
      <c r="Y4856" s="1">
        <f t="shared" si="151"/>
        <v>15</v>
      </c>
    </row>
    <row r="4857" spans="24:25" x14ac:dyDescent="0.3">
      <c r="X4857" s="1">
        <f t="shared" si="150"/>
        <v>0</v>
      </c>
      <c r="Y4857" s="1">
        <f t="shared" si="151"/>
        <v>15</v>
      </c>
    </row>
    <row r="4858" spans="24:25" x14ac:dyDescent="0.3">
      <c r="X4858" s="1">
        <f t="shared" si="150"/>
        <v>0</v>
      </c>
      <c r="Y4858" s="1">
        <f t="shared" si="151"/>
        <v>15</v>
      </c>
    </row>
    <row r="4859" spans="24:25" x14ac:dyDescent="0.3">
      <c r="X4859" s="1">
        <f t="shared" si="150"/>
        <v>0</v>
      </c>
      <c r="Y4859" s="1">
        <f t="shared" si="151"/>
        <v>15</v>
      </c>
    </row>
    <row r="4860" spans="24:25" x14ac:dyDescent="0.3">
      <c r="X4860" s="1">
        <f t="shared" si="150"/>
        <v>0</v>
      </c>
      <c r="Y4860" s="1">
        <f t="shared" si="151"/>
        <v>15</v>
      </c>
    </row>
    <row r="4861" spans="24:25" x14ac:dyDescent="0.3">
      <c r="X4861" s="1">
        <f t="shared" si="150"/>
        <v>0</v>
      </c>
      <c r="Y4861" s="1">
        <f t="shared" si="151"/>
        <v>15</v>
      </c>
    </row>
    <row r="4862" spans="24:25" x14ac:dyDescent="0.3">
      <c r="X4862" s="1">
        <f t="shared" si="150"/>
        <v>0</v>
      </c>
      <c r="Y4862" s="1">
        <f t="shared" si="151"/>
        <v>15</v>
      </c>
    </row>
    <row r="4863" spans="24:25" x14ac:dyDescent="0.3">
      <c r="X4863" s="1">
        <f t="shared" si="150"/>
        <v>0</v>
      </c>
      <c r="Y4863" s="1">
        <f t="shared" si="151"/>
        <v>15</v>
      </c>
    </row>
    <row r="4864" spans="24:25" x14ac:dyDescent="0.3">
      <c r="X4864" s="1">
        <f t="shared" si="150"/>
        <v>0</v>
      </c>
      <c r="Y4864" s="1">
        <f t="shared" si="151"/>
        <v>15</v>
      </c>
    </row>
    <row r="4865" spans="24:25" x14ac:dyDescent="0.3">
      <c r="X4865" s="1">
        <f t="shared" si="150"/>
        <v>0</v>
      </c>
      <c r="Y4865" s="1">
        <f t="shared" si="151"/>
        <v>15</v>
      </c>
    </row>
    <row r="4866" spans="24:25" x14ac:dyDescent="0.3">
      <c r="X4866" s="1">
        <f t="shared" si="150"/>
        <v>0</v>
      </c>
      <c r="Y4866" s="1">
        <f t="shared" si="151"/>
        <v>15</v>
      </c>
    </row>
    <row r="4867" spans="24:25" x14ac:dyDescent="0.3">
      <c r="X4867" s="1">
        <f t="shared" ref="X4867:X4930" si="152">IFERROR(MATCH(W4867,$B:$B,0),0)</f>
        <v>0</v>
      </c>
      <c r="Y4867" s="1">
        <f t="shared" ref="Y4867:Y4930" si="153">IF(X4868=0,COUNTA(A:A),X4868-1)</f>
        <v>15</v>
      </c>
    </row>
    <row r="4868" spans="24:25" x14ac:dyDescent="0.3">
      <c r="X4868" s="1">
        <f t="shared" si="152"/>
        <v>0</v>
      </c>
      <c r="Y4868" s="1">
        <f t="shared" si="153"/>
        <v>15</v>
      </c>
    </row>
    <row r="4869" spans="24:25" x14ac:dyDescent="0.3">
      <c r="X4869" s="1">
        <f t="shared" si="152"/>
        <v>0</v>
      </c>
      <c r="Y4869" s="1">
        <f t="shared" si="153"/>
        <v>15</v>
      </c>
    </row>
    <row r="4870" spans="24:25" x14ac:dyDescent="0.3">
      <c r="X4870" s="1">
        <f t="shared" si="152"/>
        <v>0</v>
      </c>
      <c r="Y4870" s="1">
        <f t="shared" si="153"/>
        <v>15</v>
      </c>
    </row>
    <row r="4871" spans="24:25" x14ac:dyDescent="0.3">
      <c r="X4871" s="1">
        <f t="shared" si="152"/>
        <v>0</v>
      </c>
      <c r="Y4871" s="1">
        <f t="shared" si="153"/>
        <v>15</v>
      </c>
    </row>
    <row r="4872" spans="24:25" x14ac:dyDescent="0.3">
      <c r="X4872" s="1">
        <f t="shared" si="152"/>
        <v>0</v>
      </c>
      <c r="Y4872" s="1">
        <f t="shared" si="153"/>
        <v>15</v>
      </c>
    </row>
    <row r="4873" spans="24:25" x14ac:dyDescent="0.3">
      <c r="X4873" s="1">
        <f t="shared" si="152"/>
        <v>0</v>
      </c>
      <c r="Y4873" s="1">
        <f t="shared" si="153"/>
        <v>15</v>
      </c>
    </row>
    <row r="4874" spans="24:25" x14ac:dyDescent="0.3">
      <c r="X4874" s="1">
        <f t="shared" si="152"/>
        <v>0</v>
      </c>
      <c r="Y4874" s="1">
        <f t="shared" si="153"/>
        <v>15</v>
      </c>
    </row>
    <row r="4875" spans="24:25" x14ac:dyDescent="0.3">
      <c r="X4875" s="1">
        <f t="shared" si="152"/>
        <v>0</v>
      </c>
      <c r="Y4875" s="1">
        <f t="shared" si="153"/>
        <v>15</v>
      </c>
    </row>
    <row r="4876" spans="24:25" x14ac:dyDescent="0.3">
      <c r="X4876" s="1">
        <f t="shared" si="152"/>
        <v>0</v>
      </c>
      <c r="Y4876" s="1">
        <f t="shared" si="153"/>
        <v>15</v>
      </c>
    </row>
    <row r="4877" spans="24:25" x14ac:dyDescent="0.3">
      <c r="X4877" s="1">
        <f t="shared" si="152"/>
        <v>0</v>
      </c>
      <c r="Y4877" s="1">
        <f t="shared" si="153"/>
        <v>15</v>
      </c>
    </row>
    <row r="4878" spans="24:25" x14ac:dyDescent="0.3">
      <c r="X4878" s="1">
        <f t="shared" si="152"/>
        <v>0</v>
      </c>
      <c r="Y4878" s="1">
        <f t="shared" si="153"/>
        <v>15</v>
      </c>
    </row>
    <row r="4879" spans="24:25" x14ac:dyDescent="0.3">
      <c r="X4879" s="1">
        <f t="shared" si="152"/>
        <v>0</v>
      </c>
      <c r="Y4879" s="1">
        <f t="shared" si="153"/>
        <v>15</v>
      </c>
    </row>
    <row r="4880" spans="24:25" x14ac:dyDescent="0.3">
      <c r="X4880" s="1">
        <f t="shared" si="152"/>
        <v>0</v>
      </c>
      <c r="Y4880" s="1">
        <f t="shared" si="153"/>
        <v>15</v>
      </c>
    </row>
    <row r="4881" spans="24:25" x14ac:dyDescent="0.3">
      <c r="X4881" s="1">
        <f t="shared" si="152"/>
        <v>0</v>
      </c>
      <c r="Y4881" s="1">
        <f t="shared" si="153"/>
        <v>15</v>
      </c>
    </row>
    <row r="4882" spans="24:25" x14ac:dyDescent="0.3">
      <c r="X4882" s="1">
        <f t="shared" si="152"/>
        <v>0</v>
      </c>
      <c r="Y4882" s="1">
        <f t="shared" si="153"/>
        <v>15</v>
      </c>
    </row>
    <row r="4883" spans="24:25" x14ac:dyDescent="0.3">
      <c r="X4883" s="1">
        <f t="shared" si="152"/>
        <v>0</v>
      </c>
      <c r="Y4883" s="1">
        <f t="shared" si="153"/>
        <v>15</v>
      </c>
    </row>
    <row r="4884" spans="24:25" x14ac:dyDescent="0.3">
      <c r="X4884" s="1">
        <f t="shared" si="152"/>
        <v>0</v>
      </c>
      <c r="Y4884" s="1">
        <f t="shared" si="153"/>
        <v>15</v>
      </c>
    </row>
    <row r="4885" spans="24:25" x14ac:dyDescent="0.3">
      <c r="X4885" s="1">
        <f t="shared" si="152"/>
        <v>0</v>
      </c>
      <c r="Y4885" s="1">
        <f t="shared" si="153"/>
        <v>15</v>
      </c>
    </row>
    <row r="4886" spans="24:25" x14ac:dyDescent="0.3">
      <c r="X4886" s="1">
        <f t="shared" si="152"/>
        <v>0</v>
      </c>
      <c r="Y4886" s="1">
        <f t="shared" si="153"/>
        <v>15</v>
      </c>
    </row>
    <row r="4887" spans="24:25" x14ac:dyDescent="0.3">
      <c r="X4887" s="1">
        <f t="shared" si="152"/>
        <v>0</v>
      </c>
      <c r="Y4887" s="1">
        <f t="shared" si="153"/>
        <v>15</v>
      </c>
    </row>
    <row r="4888" spans="24:25" x14ac:dyDescent="0.3">
      <c r="X4888" s="1">
        <f t="shared" si="152"/>
        <v>0</v>
      </c>
      <c r="Y4888" s="1">
        <f t="shared" si="153"/>
        <v>15</v>
      </c>
    </row>
    <row r="4889" spans="24:25" x14ac:dyDescent="0.3">
      <c r="X4889" s="1">
        <f t="shared" si="152"/>
        <v>0</v>
      </c>
      <c r="Y4889" s="1">
        <f t="shared" si="153"/>
        <v>15</v>
      </c>
    </row>
    <row r="4890" spans="24:25" x14ac:dyDescent="0.3">
      <c r="X4890" s="1">
        <f t="shared" si="152"/>
        <v>0</v>
      </c>
      <c r="Y4890" s="1">
        <f t="shared" si="153"/>
        <v>15</v>
      </c>
    </row>
    <row r="4891" spans="24:25" x14ac:dyDescent="0.3">
      <c r="X4891" s="1">
        <f t="shared" si="152"/>
        <v>0</v>
      </c>
      <c r="Y4891" s="1">
        <f t="shared" si="153"/>
        <v>15</v>
      </c>
    </row>
    <row r="4892" spans="24:25" x14ac:dyDescent="0.3">
      <c r="X4892" s="1">
        <f t="shared" si="152"/>
        <v>0</v>
      </c>
      <c r="Y4892" s="1">
        <f t="shared" si="153"/>
        <v>15</v>
      </c>
    </row>
    <row r="4893" spans="24:25" x14ac:dyDescent="0.3">
      <c r="X4893" s="1">
        <f t="shared" si="152"/>
        <v>0</v>
      </c>
      <c r="Y4893" s="1">
        <f t="shared" si="153"/>
        <v>15</v>
      </c>
    </row>
    <row r="4894" spans="24:25" x14ac:dyDescent="0.3">
      <c r="X4894" s="1">
        <f t="shared" si="152"/>
        <v>0</v>
      </c>
      <c r="Y4894" s="1">
        <f t="shared" si="153"/>
        <v>15</v>
      </c>
    </row>
    <row r="4895" spans="24:25" x14ac:dyDescent="0.3">
      <c r="X4895" s="1">
        <f t="shared" si="152"/>
        <v>0</v>
      </c>
      <c r="Y4895" s="1">
        <f t="shared" si="153"/>
        <v>15</v>
      </c>
    </row>
    <row r="4896" spans="24:25" x14ac:dyDescent="0.3">
      <c r="X4896" s="1">
        <f t="shared" si="152"/>
        <v>0</v>
      </c>
      <c r="Y4896" s="1">
        <f t="shared" si="153"/>
        <v>15</v>
      </c>
    </row>
    <row r="4897" spans="24:25" x14ac:dyDescent="0.3">
      <c r="X4897" s="1">
        <f t="shared" si="152"/>
        <v>0</v>
      </c>
      <c r="Y4897" s="1">
        <f t="shared" si="153"/>
        <v>15</v>
      </c>
    </row>
    <row r="4898" spans="24:25" x14ac:dyDescent="0.3">
      <c r="X4898" s="1">
        <f t="shared" si="152"/>
        <v>0</v>
      </c>
      <c r="Y4898" s="1">
        <f t="shared" si="153"/>
        <v>15</v>
      </c>
    </row>
    <row r="4899" spans="24:25" x14ac:dyDescent="0.3">
      <c r="X4899" s="1">
        <f t="shared" si="152"/>
        <v>0</v>
      </c>
      <c r="Y4899" s="1">
        <f t="shared" si="153"/>
        <v>15</v>
      </c>
    </row>
    <row r="4900" spans="24:25" x14ac:dyDescent="0.3">
      <c r="X4900" s="1">
        <f t="shared" si="152"/>
        <v>0</v>
      </c>
      <c r="Y4900" s="1">
        <f t="shared" si="153"/>
        <v>15</v>
      </c>
    </row>
    <row r="4901" spans="24:25" x14ac:dyDescent="0.3">
      <c r="X4901" s="1">
        <f t="shared" si="152"/>
        <v>0</v>
      </c>
      <c r="Y4901" s="1">
        <f t="shared" si="153"/>
        <v>15</v>
      </c>
    </row>
    <row r="4902" spans="24:25" x14ac:dyDescent="0.3">
      <c r="X4902" s="1">
        <f t="shared" si="152"/>
        <v>0</v>
      </c>
      <c r="Y4902" s="1">
        <f t="shared" si="153"/>
        <v>15</v>
      </c>
    </row>
    <row r="4903" spans="24:25" x14ac:dyDescent="0.3">
      <c r="X4903" s="1">
        <f t="shared" si="152"/>
        <v>0</v>
      </c>
      <c r="Y4903" s="1">
        <f t="shared" si="153"/>
        <v>15</v>
      </c>
    </row>
    <row r="4904" spans="24:25" x14ac:dyDescent="0.3">
      <c r="X4904" s="1">
        <f t="shared" si="152"/>
        <v>0</v>
      </c>
      <c r="Y4904" s="1">
        <f t="shared" si="153"/>
        <v>15</v>
      </c>
    </row>
    <row r="4905" spans="24:25" x14ac:dyDescent="0.3">
      <c r="X4905" s="1">
        <f t="shared" si="152"/>
        <v>0</v>
      </c>
      <c r="Y4905" s="1">
        <f t="shared" si="153"/>
        <v>15</v>
      </c>
    </row>
    <row r="4906" spans="24:25" x14ac:dyDescent="0.3">
      <c r="X4906" s="1">
        <f t="shared" si="152"/>
        <v>0</v>
      </c>
      <c r="Y4906" s="1">
        <f t="shared" si="153"/>
        <v>15</v>
      </c>
    </row>
    <row r="4907" spans="24:25" x14ac:dyDescent="0.3">
      <c r="X4907" s="1">
        <f t="shared" si="152"/>
        <v>0</v>
      </c>
      <c r="Y4907" s="1">
        <f t="shared" si="153"/>
        <v>15</v>
      </c>
    </row>
    <row r="4908" spans="24:25" x14ac:dyDescent="0.3">
      <c r="X4908" s="1">
        <f t="shared" si="152"/>
        <v>0</v>
      </c>
      <c r="Y4908" s="1">
        <f t="shared" si="153"/>
        <v>15</v>
      </c>
    </row>
    <row r="4909" spans="24:25" x14ac:dyDescent="0.3">
      <c r="X4909" s="1">
        <f t="shared" si="152"/>
        <v>0</v>
      </c>
      <c r="Y4909" s="1">
        <f t="shared" si="153"/>
        <v>15</v>
      </c>
    </row>
    <row r="4910" spans="24:25" x14ac:dyDescent="0.3">
      <c r="X4910" s="1">
        <f t="shared" si="152"/>
        <v>0</v>
      </c>
      <c r="Y4910" s="1">
        <f t="shared" si="153"/>
        <v>15</v>
      </c>
    </row>
    <row r="4911" spans="24:25" x14ac:dyDescent="0.3">
      <c r="X4911" s="1">
        <f t="shared" si="152"/>
        <v>0</v>
      </c>
      <c r="Y4911" s="1">
        <f t="shared" si="153"/>
        <v>15</v>
      </c>
    </row>
    <row r="4912" spans="24:25" x14ac:dyDescent="0.3">
      <c r="X4912" s="1">
        <f t="shared" si="152"/>
        <v>0</v>
      </c>
      <c r="Y4912" s="1">
        <f t="shared" si="153"/>
        <v>15</v>
      </c>
    </row>
    <row r="4913" spans="24:25" x14ac:dyDescent="0.3">
      <c r="X4913" s="1">
        <f t="shared" si="152"/>
        <v>0</v>
      </c>
      <c r="Y4913" s="1">
        <f t="shared" si="153"/>
        <v>15</v>
      </c>
    </row>
    <row r="4914" spans="24:25" x14ac:dyDescent="0.3">
      <c r="X4914" s="1">
        <f t="shared" si="152"/>
        <v>0</v>
      </c>
      <c r="Y4914" s="1">
        <f t="shared" si="153"/>
        <v>15</v>
      </c>
    </row>
    <row r="4915" spans="24:25" x14ac:dyDescent="0.3">
      <c r="X4915" s="1">
        <f t="shared" si="152"/>
        <v>0</v>
      </c>
      <c r="Y4915" s="1">
        <f t="shared" si="153"/>
        <v>15</v>
      </c>
    </row>
    <row r="4916" spans="24:25" x14ac:dyDescent="0.3">
      <c r="X4916" s="1">
        <f t="shared" si="152"/>
        <v>0</v>
      </c>
      <c r="Y4916" s="1">
        <f t="shared" si="153"/>
        <v>15</v>
      </c>
    </row>
    <row r="4917" spans="24:25" x14ac:dyDescent="0.3">
      <c r="X4917" s="1">
        <f t="shared" si="152"/>
        <v>0</v>
      </c>
      <c r="Y4917" s="1">
        <f t="shared" si="153"/>
        <v>15</v>
      </c>
    </row>
    <row r="4918" spans="24:25" x14ac:dyDescent="0.3">
      <c r="X4918" s="1">
        <f t="shared" si="152"/>
        <v>0</v>
      </c>
      <c r="Y4918" s="1">
        <f t="shared" si="153"/>
        <v>15</v>
      </c>
    </row>
    <row r="4919" spans="24:25" x14ac:dyDescent="0.3">
      <c r="X4919" s="1">
        <f t="shared" si="152"/>
        <v>0</v>
      </c>
      <c r="Y4919" s="1">
        <f t="shared" si="153"/>
        <v>15</v>
      </c>
    </row>
    <row r="4920" spans="24:25" x14ac:dyDescent="0.3">
      <c r="X4920" s="1">
        <f t="shared" si="152"/>
        <v>0</v>
      </c>
      <c r="Y4920" s="1">
        <f t="shared" si="153"/>
        <v>15</v>
      </c>
    </row>
    <row r="4921" spans="24:25" x14ac:dyDescent="0.3">
      <c r="X4921" s="1">
        <f t="shared" si="152"/>
        <v>0</v>
      </c>
      <c r="Y4921" s="1">
        <f t="shared" si="153"/>
        <v>15</v>
      </c>
    </row>
    <row r="4922" spans="24:25" x14ac:dyDescent="0.3">
      <c r="X4922" s="1">
        <f t="shared" si="152"/>
        <v>0</v>
      </c>
      <c r="Y4922" s="1">
        <f t="shared" si="153"/>
        <v>15</v>
      </c>
    </row>
    <row r="4923" spans="24:25" x14ac:dyDescent="0.3">
      <c r="X4923" s="1">
        <f t="shared" si="152"/>
        <v>0</v>
      </c>
      <c r="Y4923" s="1">
        <f t="shared" si="153"/>
        <v>15</v>
      </c>
    </row>
    <row r="4924" spans="24:25" x14ac:dyDescent="0.3">
      <c r="X4924" s="1">
        <f t="shared" si="152"/>
        <v>0</v>
      </c>
      <c r="Y4924" s="1">
        <f t="shared" si="153"/>
        <v>15</v>
      </c>
    </row>
    <row r="4925" spans="24:25" x14ac:dyDescent="0.3">
      <c r="X4925" s="1">
        <f t="shared" si="152"/>
        <v>0</v>
      </c>
      <c r="Y4925" s="1">
        <f t="shared" si="153"/>
        <v>15</v>
      </c>
    </row>
    <row r="4926" spans="24:25" x14ac:dyDescent="0.3">
      <c r="X4926" s="1">
        <f t="shared" si="152"/>
        <v>0</v>
      </c>
      <c r="Y4926" s="1">
        <f t="shared" si="153"/>
        <v>15</v>
      </c>
    </row>
    <row r="4927" spans="24:25" x14ac:dyDescent="0.3">
      <c r="X4927" s="1">
        <f t="shared" si="152"/>
        <v>0</v>
      </c>
      <c r="Y4927" s="1">
        <f t="shared" si="153"/>
        <v>15</v>
      </c>
    </row>
    <row r="4928" spans="24:25" x14ac:dyDescent="0.3">
      <c r="X4928" s="1">
        <f t="shared" si="152"/>
        <v>0</v>
      </c>
      <c r="Y4928" s="1">
        <f t="shared" si="153"/>
        <v>15</v>
      </c>
    </row>
    <row r="4929" spans="24:25" x14ac:dyDescent="0.3">
      <c r="X4929" s="1">
        <f t="shared" si="152"/>
        <v>0</v>
      </c>
      <c r="Y4929" s="1">
        <f t="shared" si="153"/>
        <v>15</v>
      </c>
    </row>
    <row r="4930" spans="24:25" x14ac:dyDescent="0.3">
      <c r="X4930" s="1">
        <f t="shared" si="152"/>
        <v>0</v>
      </c>
      <c r="Y4930" s="1">
        <f t="shared" si="153"/>
        <v>15</v>
      </c>
    </row>
    <row r="4931" spans="24:25" x14ac:dyDescent="0.3">
      <c r="X4931" s="1">
        <f t="shared" ref="X4931:X4994" si="154">IFERROR(MATCH(W4931,$B:$B,0),0)</f>
        <v>0</v>
      </c>
      <c r="Y4931" s="1">
        <f t="shared" ref="Y4931:Y4994" si="155">IF(X4932=0,COUNTA(A:A),X4932-1)</f>
        <v>15</v>
      </c>
    </row>
    <row r="4932" spans="24:25" x14ac:dyDescent="0.3">
      <c r="X4932" s="1">
        <f t="shared" si="154"/>
        <v>0</v>
      </c>
      <c r="Y4932" s="1">
        <f t="shared" si="155"/>
        <v>15</v>
      </c>
    </row>
    <row r="4933" spans="24:25" x14ac:dyDescent="0.3">
      <c r="X4933" s="1">
        <f t="shared" si="154"/>
        <v>0</v>
      </c>
      <c r="Y4933" s="1">
        <f t="shared" si="155"/>
        <v>15</v>
      </c>
    </row>
    <row r="4934" spans="24:25" x14ac:dyDescent="0.3">
      <c r="X4934" s="1">
        <f t="shared" si="154"/>
        <v>0</v>
      </c>
      <c r="Y4934" s="1">
        <f t="shared" si="155"/>
        <v>15</v>
      </c>
    </row>
    <row r="4935" spans="24:25" x14ac:dyDescent="0.3">
      <c r="X4935" s="1">
        <f t="shared" si="154"/>
        <v>0</v>
      </c>
      <c r="Y4935" s="1">
        <f t="shared" si="155"/>
        <v>15</v>
      </c>
    </row>
    <row r="4936" spans="24:25" x14ac:dyDescent="0.3">
      <c r="X4936" s="1">
        <f t="shared" si="154"/>
        <v>0</v>
      </c>
      <c r="Y4936" s="1">
        <f t="shared" si="155"/>
        <v>15</v>
      </c>
    </row>
    <row r="4937" spans="24:25" x14ac:dyDescent="0.3">
      <c r="X4937" s="1">
        <f t="shared" si="154"/>
        <v>0</v>
      </c>
      <c r="Y4937" s="1">
        <f t="shared" si="155"/>
        <v>15</v>
      </c>
    </row>
    <row r="4938" spans="24:25" x14ac:dyDescent="0.3">
      <c r="X4938" s="1">
        <f t="shared" si="154"/>
        <v>0</v>
      </c>
      <c r="Y4938" s="1">
        <f t="shared" si="155"/>
        <v>15</v>
      </c>
    </row>
    <row r="4939" spans="24:25" x14ac:dyDescent="0.3">
      <c r="X4939" s="1">
        <f t="shared" si="154"/>
        <v>0</v>
      </c>
      <c r="Y4939" s="1">
        <f t="shared" si="155"/>
        <v>15</v>
      </c>
    </row>
    <row r="4940" spans="24:25" x14ac:dyDescent="0.3">
      <c r="X4940" s="1">
        <f t="shared" si="154"/>
        <v>0</v>
      </c>
      <c r="Y4940" s="1">
        <f t="shared" si="155"/>
        <v>15</v>
      </c>
    </row>
    <row r="4941" spans="24:25" x14ac:dyDescent="0.3">
      <c r="X4941" s="1">
        <f t="shared" si="154"/>
        <v>0</v>
      </c>
      <c r="Y4941" s="1">
        <f t="shared" si="155"/>
        <v>15</v>
      </c>
    </row>
    <row r="4942" spans="24:25" x14ac:dyDescent="0.3">
      <c r="X4942" s="1">
        <f t="shared" si="154"/>
        <v>0</v>
      </c>
      <c r="Y4942" s="1">
        <f t="shared" si="155"/>
        <v>15</v>
      </c>
    </row>
    <row r="4943" spans="24:25" x14ac:dyDescent="0.3">
      <c r="X4943" s="1">
        <f t="shared" si="154"/>
        <v>0</v>
      </c>
      <c r="Y4943" s="1">
        <f t="shared" si="155"/>
        <v>15</v>
      </c>
    </row>
    <row r="4944" spans="24:25" x14ac:dyDescent="0.3">
      <c r="X4944" s="1">
        <f t="shared" si="154"/>
        <v>0</v>
      </c>
      <c r="Y4944" s="1">
        <f t="shared" si="155"/>
        <v>15</v>
      </c>
    </row>
    <row r="4945" spans="24:25" x14ac:dyDescent="0.3">
      <c r="X4945" s="1">
        <f t="shared" si="154"/>
        <v>0</v>
      </c>
      <c r="Y4945" s="1">
        <f t="shared" si="155"/>
        <v>15</v>
      </c>
    </row>
    <row r="4946" spans="24:25" x14ac:dyDescent="0.3">
      <c r="X4946" s="1">
        <f t="shared" si="154"/>
        <v>0</v>
      </c>
      <c r="Y4946" s="1">
        <f t="shared" si="155"/>
        <v>15</v>
      </c>
    </row>
    <row r="4947" spans="24:25" x14ac:dyDescent="0.3">
      <c r="X4947" s="1">
        <f t="shared" si="154"/>
        <v>0</v>
      </c>
      <c r="Y4947" s="1">
        <f t="shared" si="155"/>
        <v>15</v>
      </c>
    </row>
    <row r="4948" spans="24:25" x14ac:dyDescent="0.3">
      <c r="X4948" s="1">
        <f t="shared" si="154"/>
        <v>0</v>
      </c>
      <c r="Y4948" s="1">
        <f t="shared" si="155"/>
        <v>15</v>
      </c>
    </row>
    <row r="4949" spans="24:25" x14ac:dyDescent="0.3">
      <c r="X4949" s="1">
        <f t="shared" si="154"/>
        <v>0</v>
      </c>
      <c r="Y4949" s="1">
        <f t="shared" si="155"/>
        <v>15</v>
      </c>
    </row>
    <row r="4950" spans="24:25" x14ac:dyDescent="0.3">
      <c r="X4950" s="1">
        <f t="shared" si="154"/>
        <v>0</v>
      </c>
      <c r="Y4950" s="1">
        <f t="shared" si="155"/>
        <v>15</v>
      </c>
    </row>
    <row r="4951" spans="24:25" x14ac:dyDescent="0.3">
      <c r="X4951" s="1">
        <f t="shared" si="154"/>
        <v>0</v>
      </c>
      <c r="Y4951" s="1">
        <f t="shared" si="155"/>
        <v>15</v>
      </c>
    </row>
    <row r="4952" spans="24:25" x14ac:dyDescent="0.3">
      <c r="X4952" s="1">
        <f t="shared" si="154"/>
        <v>0</v>
      </c>
      <c r="Y4952" s="1">
        <f t="shared" si="155"/>
        <v>15</v>
      </c>
    </row>
    <row r="4953" spans="24:25" x14ac:dyDescent="0.3">
      <c r="X4953" s="1">
        <f t="shared" si="154"/>
        <v>0</v>
      </c>
      <c r="Y4953" s="1">
        <f t="shared" si="155"/>
        <v>15</v>
      </c>
    </row>
    <row r="4954" spans="24:25" x14ac:dyDescent="0.3">
      <c r="X4954" s="1">
        <f t="shared" si="154"/>
        <v>0</v>
      </c>
      <c r="Y4954" s="1">
        <f t="shared" si="155"/>
        <v>15</v>
      </c>
    </row>
    <row r="4955" spans="24:25" x14ac:dyDescent="0.3">
      <c r="X4955" s="1">
        <f t="shared" si="154"/>
        <v>0</v>
      </c>
      <c r="Y4955" s="1">
        <f t="shared" si="155"/>
        <v>15</v>
      </c>
    </row>
    <row r="4956" spans="24:25" x14ac:dyDescent="0.3">
      <c r="X4956" s="1">
        <f t="shared" si="154"/>
        <v>0</v>
      </c>
      <c r="Y4956" s="1">
        <f t="shared" si="155"/>
        <v>15</v>
      </c>
    </row>
    <row r="4957" spans="24:25" x14ac:dyDescent="0.3">
      <c r="X4957" s="1">
        <f t="shared" si="154"/>
        <v>0</v>
      </c>
      <c r="Y4957" s="1">
        <f t="shared" si="155"/>
        <v>15</v>
      </c>
    </row>
    <row r="4958" spans="24:25" x14ac:dyDescent="0.3">
      <c r="X4958" s="1">
        <f t="shared" si="154"/>
        <v>0</v>
      </c>
      <c r="Y4958" s="1">
        <f t="shared" si="155"/>
        <v>15</v>
      </c>
    </row>
    <row r="4959" spans="24:25" x14ac:dyDescent="0.3">
      <c r="X4959" s="1">
        <f t="shared" si="154"/>
        <v>0</v>
      </c>
      <c r="Y4959" s="1">
        <f t="shared" si="155"/>
        <v>15</v>
      </c>
    </row>
    <row r="4960" spans="24:25" x14ac:dyDescent="0.3">
      <c r="X4960" s="1">
        <f t="shared" si="154"/>
        <v>0</v>
      </c>
      <c r="Y4960" s="1">
        <f t="shared" si="155"/>
        <v>15</v>
      </c>
    </row>
    <row r="4961" spans="24:25" x14ac:dyDescent="0.3">
      <c r="X4961" s="1">
        <f t="shared" si="154"/>
        <v>0</v>
      </c>
      <c r="Y4961" s="1">
        <f t="shared" si="155"/>
        <v>15</v>
      </c>
    </row>
    <row r="4962" spans="24:25" x14ac:dyDescent="0.3">
      <c r="X4962" s="1">
        <f t="shared" si="154"/>
        <v>0</v>
      </c>
      <c r="Y4962" s="1">
        <f t="shared" si="155"/>
        <v>15</v>
      </c>
    </row>
    <row r="4963" spans="24:25" x14ac:dyDescent="0.3">
      <c r="X4963" s="1">
        <f t="shared" si="154"/>
        <v>0</v>
      </c>
      <c r="Y4963" s="1">
        <f t="shared" si="155"/>
        <v>15</v>
      </c>
    </row>
    <row r="4964" spans="24:25" x14ac:dyDescent="0.3">
      <c r="X4964" s="1">
        <f t="shared" si="154"/>
        <v>0</v>
      </c>
      <c r="Y4964" s="1">
        <f t="shared" si="155"/>
        <v>15</v>
      </c>
    </row>
    <row r="4965" spans="24:25" x14ac:dyDescent="0.3">
      <c r="X4965" s="1">
        <f t="shared" si="154"/>
        <v>0</v>
      </c>
      <c r="Y4965" s="1">
        <f t="shared" si="155"/>
        <v>15</v>
      </c>
    </row>
    <row r="4966" spans="24:25" x14ac:dyDescent="0.3">
      <c r="X4966" s="1">
        <f t="shared" si="154"/>
        <v>0</v>
      </c>
      <c r="Y4966" s="1">
        <f t="shared" si="155"/>
        <v>15</v>
      </c>
    </row>
    <row r="4967" spans="24:25" x14ac:dyDescent="0.3">
      <c r="X4967" s="1">
        <f t="shared" si="154"/>
        <v>0</v>
      </c>
      <c r="Y4967" s="1">
        <f t="shared" si="155"/>
        <v>15</v>
      </c>
    </row>
    <row r="4968" spans="24:25" x14ac:dyDescent="0.3">
      <c r="X4968" s="1">
        <f t="shared" si="154"/>
        <v>0</v>
      </c>
      <c r="Y4968" s="1">
        <f t="shared" si="155"/>
        <v>15</v>
      </c>
    </row>
    <row r="4969" spans="24:25" x14ac:dyDescent="0.3">
      <c r="X4969" s="1">
        <f t="shared" si="154"/>
        <v>0</v>
      </c>
      <c r="Y4969" s="1">
        <f t="shared" si="155"/>
        <v>15</v>
      </c>
    </row>
    <row r="4970" spans="24:25" x14ac:dyDescent="0.3">
      <c r="X4970" s="1">
        <f t="shared" si="154"/>
        <v>0</v>
      </c>
      <c r="Y4970" s="1">
        <f t="shared" si="155"/>
        <v>15</v>
      </c>
    </row>
    <row r="4971" spans="24:25" x14ac:dyDescent="0.3">
      <c r="X4971" s="1">
        <f t="shared" si="154"/>
        <v>0</v>
      </c>
      <c r="Y4971" s="1">
        <f t="shared" si="155"/>
        <v>15</v>
      </c>
    </row>
    <row r="4972" spans="24:25" x14ac:dyDescent="0.3">
      <c r="X4972" s="1">
        <f t="shared" si="154"/>
        <v>0</v>
      </c>
      <c r="Y4972" s="1">
        <f t="shared" si="155"/>
        <v>15</v>
      </c>
    </row>
    <row r="4973" spans="24:25" x14ac:dyDescent="0.3">
      <c r="X4973" s="1">
        <f t="shared" si="154"/>
        <v>0</v>
      </c>
      <c r="Y4973" s="1">
        <f t="shared" si="155"/>
        <v>15</v>
      </c>
    </row>
    <row r="4974" spans="24:25" x14ac:dyDescent="0.3">
      <c r="X4974" s="1">
        <f t="shared" si="154"/>
        <v>0</v>
      </c>
      <c r="Y4974" s="1">
        <f t="shared" si="155"/>
        <v>15</v>
      </c>
    </row>
    <row r="4975" spans="24:25" x14ac:dyDescent="0.3">
      <c r="X4975" s="1">
        <f t="shared" si="154"/>
        <v>0</v>
      </c>
      <c r="Y4975" s="1">
        <f t="shared" si="155"/>
        <v>15</v>
      </c>
    </row>
    <row r="4976" spans="24:25" x14ac:dyDescent="0.3">
      <c r="X4976" s="1">
        <f t="shared" si="154"/>
        <v>0</v>
      </c>
      <c r="Y4976" s="1">
        <f t="shared" si="155"/>
        <v>15</v>
      </c>
    </row>
    <row r="4977" spans="24:25" x14ac:dyDescent="0.3">
      <c r="X4977" s="1">
        <f t="shared" si="154"/>
        <v>0</v>
      </c>
      <c r="Y4977" s="1">
        <f t="shared" si="155"/>
        <v>15</v>
      </c>
    </row>
    <row r="4978" spans="24:25" x14ac:dyDescent="0.3">
      <c r="X4978" s="1">
        <f t="shared" si="154"/>
        <v>0</v>
      </c>
      <c r="Y4978" s="1">
        <f t="shared" si="155"/>
        <v>15</v>
      </c>
    </row>
    <row r="4979" spans="24:25" x14ac:dyDescent="0.3">
      <c r="X4979" s="1">
        <f t="shared" si="154"/>
        <v>0</v>
      </c>
      <c r="Y4979" s="1">
        <f t="shared" si="155"/>
        <v>15</v>
      </c>
    </row>
    <row r="4980" spans="24:25" x14ac:dyDescent="0.3">
      <c r="X4980" s="1">
        <f t="shared" si="154"/>
        <v>0</v>
      </c>
      <c r="Y4980" s="1">
        <f t="shared" si="155"/>
        <v>15</v>
      </c>
    </row>
    <row r="4981" spans="24:25" x14ac:dyDescent="0.3">
      <c r="X4981" s="1">
        <f t="shared" si="154"/>
        <v>0</v>
      </c>
      <c r="Y4981" s="1">
        <f t="shared" si="155"/>
        <v>15</v>
      </c>
    </row>
    <row r="4982" spans="24:25" x14ac:dyDescent="0.3">
      <c r="X4982" s="1">
        <f t="shared" si="154"/>
        <v>0</v>
      </c>
      <c r="Y4982" s="1">
        <f t="shared" si="155"/>
        <v>15</v>
      </c>
    </row>
    <row r="4983" spans="24:25" x14ac:dyDescent="0.3">
      <c r="X4983" s="1">
        <f t="shared" si="154"/>
        <v>0</v>
      </c>
      <c r="Y4983" s="1">
        <f t="shared" si="155"/>
        <v>15</v>
      </c>
    </row>
    <row r="4984" spans="24:25" x14ac:dyDescent="0.3">
      <c r="X4984" s="1">
        <f t="shared" si="154"/>
        <v>0</v>
      </c>
      <c r="Y4984" s="1">
        <f t="shared" si="155"/>
        <v>15</v>
      </c>
    </row>
    <row r="4985" spans="24:25" x14ac:dyDescent="0.3">
      <c r="X4985" s="1">
        <f t="shared" si="154"/>
        <v>0</v>
      </c>
      <c r="Y4985" s="1">
        <f t="shared" si="155"/>
        <v>15</v>
      </c>
    </row>
    <row r="4986" spans="24:25" x14ac:dyDescent="0.3">
      <c r="X4986" s="1">
        <f t="shared" si="154"/>
        <v>0</v>
      </c>
      <c r="Y4986" s="1">
        <f t="shared" si="155"/>
        <v>15</v>
      </c>
    </row>
    <row r="4987" spans="24:25" x14ac:dyDescent="0.3">
      <c r="X4987" s="1">
        <f t="shared" si="154"/>
        <v>0</v>
      </c>
      <c r="Y4987" s="1">
        <f t="shared" si="155"/>
        <v>15</v>
      </c>
    </row>
    <row r="4988" spans="24:25" x14ac:dyDescent="0.3">
      <c r="X4988" s="1">
        <f t="shared" si="154"/>
        <v>0</v>
      </c>
      <c r="Y4988" s="1">
        <f t="shared" si="155"/>
        <v>15</v>
      </c>
    </row>
    <row r="4989" spans="24:25" x14ac:dyDescent="0.3">
      <c r="X4989" s="1">
        <f t="shared" si="154"/>
        <v>0</v>
      </c>
      <c r="Y4989" s="1">
        <f t="shared" si="155"/>
        <v>15</v>
      </c>
    </row>
    <row r="4990" spans="24:25" x14ac:dyDescent="0.3">
      <c r="X4990" s="1">
        <f t="shared" si="154"/>
        <v>0</v>
      </c>
      <c r="Y4990" s="1">
        <f t="shared" si="155"/>
        <v>15</v>
      </c>
    </row>
    <row r="4991" spans="24:25" x14ac:dyDescent="0.3">
      <c r="X4991" s="1">
        <f t="shared" si="154"/>
        <v>0</v>
      </c>
      <c r="Y4991" s="1">
        <f t="shared" si="155"/>
        <v>15</v>
      </c>
    </row>
    <row r="4992" spans="24:25" x14ac:dyDescent="0.3">
      <c r="X4992" s="1">
        <f t="shared" si="154"/>
        <v>0</v>
      </c>
      <c r="Y4992" s="1">
        <f t="shared" si="155"/>
        <v>15</v>
      </c>
    </row>
    <row r="4993" spans="24:25" x14ac:dyDescent="0.3">
      <c r="X4993" s="1">
        <f t="shared" si="154"/>
        <v>0</v>
      </c>
      <c r="Y4993" s="1">
        <f t="shared" si="155"/>
        <v>15</v>
      </c>
    </row>
    <row r="4994" spans="24:25" x14ac:dyDescent="0.3">
      <c r="X4994" s="1">
        <f t="shared" si="154"/>
        <v>0</v>
      </c>
      <c r="Y4994" s="1">
        <f t="shared" si="155"/>
        <v>15</v>
      </c>
    </row>
    <row r="4995" spans="24:25" x14ac:dyDescent="0.3">
      <c r="X4995" s="1">
        <f t="shared" ref="X4995:X5058" si="156">IFERROR(MATCH(W4995,$B:$B,0),0)</f>
        <v>0</v>
      </c>
      <c r="Y4995" s="1">
        <f t="shared" ref="Y4995:Y5058" si="157">IF(X4996=0,COUNTA(A:A),X4996-1)</f>
        <v>15</v>
      </c>
    </row>
    <row r="4996" spans="24:25" x14ac:dyDescent="0.3">
      <c r="X4996" s="1">
        <f t="shared" si="156"/>
        <v>0</v>
      </c>
      <c r="Y4996" s="1">
        <f t="shared" si="157"/>
        <v>15</v>
      </c>
    </row>
    <row r="4997" spans="24:25" x14ac:dyDescent="0.3">
      <c r="X4997" s="1">
        <f t="shared" si="156"/>
        <v>0</v>
      </c>
      <c r="Y4997" s="1">
        <f t="shared" si="157"/>
        <v>15</v>
      </c>
    </row>
    <row r="4998" spans="24:25" x14ac:dyDescent="0.3">
      <c r="X4998" s="1">
        <f t="shared" si="156"/>
        <v>0</v>
      </c>
      <c r="Y4998" s="1">
        <f t="shared" si="157"/>
        <v>15</v>
      </c>
    </row>
    <row r="4999" spans="24:25" x14ac:dyDescent="0.3">
      <c r="X4999" s="1">
        <f t="shared" si="156"/>
        <v>0</v>
      </c>
      <c r="Y4999" s="1">
        <f t="shared" si="157"/>
        <v>15</v>
      </c>
    </row>
    <row r="5000" spans="24:25" x14ac:dyDescent="0.3">
      <c r="X5000" s="1">
        <f t="shared" si="156"/>
        <v>0</v>
      </c>
      <c r="Y5000" s="1">
        <f t="shared" si="157"/>
        <v>15</v>
      </c>
    </row>
    <row r="5001" spans="24:25" x14ac:dyDescent="0.3">
      <c r="X5001" s="1">
        <f t="shared" si="156"/>
        <v>0</v>
      </c>
      <c r="Y5001" s="1">
        <f t="shared" si="157"/>
        <v>15</v>
      </c>
    </row>
    <row r="5002" spans="24:25" x14ac:dyDescent="0.3">
      <c r="X5002" s="1">
        <f t="shared" si="156"/>
        <v>0</v>
      </c>
      <c r="Y5002" s="1">
        <f t="shared" si="157"/>
        <v>15</v>
      </c>
    </row>
    <row r="5003" spans="24:25" x14ac:dyDescent="0.3">
      <c r="X5003" s="1">
        <f t="shared" si="156"/>
        <v>0</v>
      </c>
      <c r="Y5003" s="1">
        <f t="shared" si="157"/>
        <v>15</v>
      </c>
    </row>
    <row r="5004" spans="24:25" x14ac:dyDescent="0.3">
      <c r="X5004" s="1">
        <f t="shared" si="156"/>
        <v>0</v>
      </c>
      <c r="Y5004" s="1">
        <f t="shared" si="157"/>
        <v>15</v>
      </c>
    </row>
    <row r="5005" spans="24:25" x14ac:dyDescent="0.3">
      <c r="X5005" s="1">
        <f t="shared" si="156"/>
        <v>0</v>
      </c>
      <c r="Y5005" s="1">
        <f t="shared" si="157"/>
        <v>15</v>
      </c>
    </row>
    <row r="5006" spans="24:25" x14ac:dyDescent="0.3">
      <c r="X5006" s="1">
        <f t="shared" si="156"/>
        <v>0</v>
      </c>
      <c r="Y5006" s="1">
        <f t="shared" si="157"/>
        <v>15</v>
      </c>
    </row>
    <row r="5007" spans="24:25" x14ac:dyDescent="0.3">
      <c r="X5007" s="1">
        <f t="shared" si="156"/>
        <v>0</v>
      </c>
      <c r="Y5007" s="1">
        <f t="shared" si="157"/>
        <v>15</v>
      </c>
    </row>
    <row r="5008" spans="24:25" x14ac:dyDescent="0.3">
      <c r="X5008" s="1">
        <f t="shared" si="156"/>
        <v>0</v>
      </c>
      <c r="Y5008" s="1">
        <f t="shared" si="157"/>
        <v>15</v>
      </c>
    </row>
    <row r="5009" spans="24:25" x14ac:dyDescent="0.3">
      <c r="X5009" s="1">
        <f t="shared" si="156"/>
        <v>0</v>
      </c>
      <c r="Y5009" s="1">
        <f t="shared" si="157"/>
        <v>15</v>
      </c>
    </row>
    <row r="5010" spans="24:25" x14ac:dyDescent="0.3">
      <c r="X5010" s="1">
        <f t="shared" si="156"/>
        <v>0</v>
      </c>
      <c r="Y5010" s="1">
        <f t="shared" si="157"/>
        <v>15</v>
      </c>
    </row>
    <row r="5011" spans="24:25" x14ac:dyDescent="0.3">
      <c r="X5011" s="1">
        <f t="shared" si="156"/>
        <v>0</v>
      </c>
      <c r="Y5011" s="1">
        <f t="shared" si="157"/>
        <v>15</v>
      </c>
    </row>
    <row r="5012" spans="24:25" x14ac:dyDescent="0.3">
      <c r="X5012" s="1">
        <f t="shared" si="156"/>
        <v>0</v>
      </c>
      <c r="Y5012" s="1">
        <f t="shared" si="157"/>
        <v>15</v>
      </c>
    </row>
    <row r="5013" spans="24:25" x14ac:dyDescent="0.3">
      <c r="X5013" s="1">
        <f t="shared" si="156"/>
        <v>0</v>
      </c>
      <c r="Y5013" s="1">
        <f t="shared" si="157"/>
        <v>15</v>
      </c>
    </row>
    <row r="5014" spans="24:25" x14ac:dyDescent="0.3">
      <c r="X5014" s="1">
        <f t="shared" si="156"/>
        <v>0</v>
      </c>
      <c r="Y5014" s="1">
        <f t="shared" si="157"/>
        <v>15</v>
      </c>
    </row>
    <row r="5015" spans="24:25" x14ac:dyDescent="0.3">
      <c r="X5015" s="1">
        <f t="shared" si="156"/>
        <v>0</v>
      </c>
      <c r="Y5015" s="1">
        <f t="shared" si="157"/>
        <v>15</v>
      </c>
    </row>
    <row r="5016" spans="24:25" x14ac:dyDescent="0.3">
      <c r="X5016" s="1">
        <f t="shared" si="156"/>
        <v>0</v>
      </c>
      <c r="Y5016" s="1">
        <f t="shared" si="157"/>
        <v>15</v>
      </c>
    </row>
    <row r="5017" spans="24:25" x14ac:dyDescent="0.3">
      <c r="X5017" s="1">
        <f t="shared" si="156"/>
        <v>0</v>
      </c>
      <c r="Y5017" s="1">
        <f t="shared" si="157"/>
        <v>15</v>
      </c>
    </row>
    <row r="5018" spans="24:25" x14ac:dyDescent="0.3">
      <c r="X5018" s="1">
        <f t="shared" si="156"/>
        <v>0</v>
      </c>
      <c r="Y5018" s="1">
        <f t="shared" si="157"/>
        <v>15</v>
      </c>
    </row>
    <row r="5019" spans="24:25" x14ac:dyDescent="0.3">
      <c r="X5019" s="1">
        <f t="shared" si="156"/>
        <v>0</v>
      </c>
      <c r="Y5019" s="1">
        <f t="shared" si="157"/>
        <v>15</v>
      </c>
    </row>
    <row r="5020" spans="24:25" x14ac:dyDescent="0.3">
      <c r="X5020" s="1">
        <f t="shared" si="156"/>
        <v>0</v>
      </c>
      <c r="Y5020" s="1">
        <f t="shared" si="157"/>
        <v>15</v>
      </c>
    </row>
    <row r="5021" spans="24:25" x14ac:dyDescent="0.3">
      <c r="X5021" s="1">
        <f t="shared" si="156"/>
        <v>0</v>
      </c>
      <c r="Y5021" s="1">
        <f t="shared" si="157"/>
        <v>15</v>
      </c>
    </row>
    <row r="5022" spans="24:25" x14ac:dyDescent="0.3">
      <c r="X5022" s="1">
        <f t="shared" si="156"/>
        <v>0</v>
      </c>
      <c r="Y5022" s="1">
        <f t="shared" si="157"/>
        <v>15</v>
      </c>
    </row>
    <row r="5023" spans="24:25" x14ac:dyDescent="0.3">
      <c r="X5023" s="1">
        <f t="shared" si="156"/>
        <v>0</v>
      </c>
      <c r="Y5023" s="1">
        <f t="shared" si="157"/>
        <v>15</v>
      </c>
    </row>
    <row r="5024" spans="24:25" x14ac:dyDescent="0.3">
      <c r="X5024" s="1">
        <f t="shared" si="156"/>
        <v>0</v>
      </c>
      <c r="Y5024" s="1">
        <f t="shared" si="157"/>
        <v>15</v>
      </c>
    </row>
    <row r="5025" spans="24:25" x14ac:dyDescent="0.3">
      <c r="X5025" s="1">
        <f t="shared" si="156"/>
        <v>0</v>
      </c>
      <c r="Y5025" s="1">
        <f t="shared" si="157"/>
        <v>15</v>
      </c>
    </row>
    <row r="5026" spans="24:25" x14ac:dyDescent="0.3">
      <c r="X5026" s="1">
        <f t="shared" si="156"/>
        <v>0</v>
      </c>
      <c r="Y5026" s="1">
        <f t="shared" si="157"/>
        <v>15</v>
      </c>
    </row>
    <row r="5027" spans="24:25" x14ac:dyDescent="0.3">
      <c r="X5027" s="1">
        <f t="shared" si="156"/>
        <v>0</v>
      </c>
      <c r="Y5027" s="1">
        <f t="shared" si="157"/>
        <v>15</v>
      </c>
    </row>
    <row r="5028" spans="24:25" x14ac:dyDescent="0.3">
      <c r="X5028" s="1">
        <f t="shared" si="156"/>
        <v>0</v>
      </c>
      <c r="Y5028" s="1">
        <f t="shared" si="157"/>
        <v>15</v>
      </c>
    </row>
    <row r="5029" spans="24:25" x14ac:dyDescent="0.3">
      <c r="X5029" s="1">
        <f t="shared" si="156"/>
        <v>0</v>
      </c>
      <c r="Y5029" s="1">
        <f t="shared" si="157"/>
        <v>15</v>
      </c>
    </row>
    <row r="5030" spans="24:25" x14ac:dyDescent="0.3">
      <c r="X5030" s="1">
        <f t="shared" si="156"/>
        <v>0</v>
      </c>
      <c r="Y5030" s="1">
        <f t="shared" si="157"/>
        <v>15</v>
      </c>
    </row>
    <row r="5031" spans="24:25" x14ac:dyDescent="0.3">
      <c r="X5031" s="1">
        <f t="shared" si="156"/>
        <v>0</v>
      </c>
      <c r="Y5031" s="1">
        <f t="shared" si="157"/>
        <v>15</v>
      </c>
    </row>
    <row r="5032" spans="24:25" x14ac:dyDescent="0.3">
      <c r="X5032" s="1">
        <f t="shared" si="156"/>
        <v>0</v>
      </c>
      <c r="Y5032" s="1">
        <f t="shared" si="157"/>
        <v>15</v>
      </c>
    </row>
    <row r="5033" spans="24:25" x14ac:dyDescent="0.3">
      <c r="X5033" s="1">
        <f t="shared" si="156"/>
        <v>0</v>
      </c>
      <c r="Y5033" s="1">
        <f t="shared" si="157"/>
        <v>15</v>
      </c>
    </row>
    <row r="5034" spans="24:25" x14ac:dyDescent="0.3">
      <c r="X5034" s="1">
        <f t="shared" si="156"/>
        <v>0</v>
      </c>
      <c r="Y5034" s="1">
        <f t="shared" si="157"/>
        <v>15</v>
      </c>
    </row>
    <row r="5035" spans="24:25" x14ac:dyDescent="0.3">
      <c r="X5035" s="1">
        <f t="shared" si="156"/>
        <v>0</v>
      </c>
      <c r="Y5035" s="1">
        <f t="shared" si="157"/>
        <v>15</v>
      </c>
    </row>
    <row r="5036" spans="24:25" x14ac:dyDescent="0.3">
      <c r="X5036" s="1">
        <f t="shared" si="156"/>
        <v>0</v>
      </c>
      <c r="Y5036" s="1">
        <f t="shared" si="157"/>
        <v>15</v>
      </c>
    </row>
    <row r="5037" spans="24:25" x14ac:dyDescent="0.3">
      <c r="X5037" s="1">
        <f t="shared" si="156"/>
        <v>0</v>
      </c>
      <c r="Y5037" s="1">
        <f t="shared" si="157"/>
        <v>15</v>
      </c>
    </row>
    <row r="5038" spans="24:25" x14ac:dyDescent="0.3">
      <c r="X5038" s="1">
        <f t="shared" si="156"/>
        <v>0</v>
      </c>
      <c r="Y5038" s="1">
        <f t="shared" si="157"/>
        <v>15</v>
      </c>
    </row>
    <row r="5039" spans="24:25" x14ac:dyDescent="0.3">
      <c r="X5039" s="1">
        <f t="shared" si="156"/>
        <v>0</v>
      </c>
      <c r="Y5039" s="1">
        <f t="shared" si="157"/>
        <v>15</v>
      </c>
    </row>
    <row r="5040" spans="24:25" x14ac:dyDescent="0.3">
      <c r="X5040" s="1">
        <f t="shared" si="156"/>
        <v>0</v>
      </c>
      <c r="Y5040" s="1">
        <f t="shared" si="157"/>
        <v>15</v>
      </c>
    </row>
    <row r="5041" spans="24:25" x14ac:dyDescent="0.3">
      <c r="X5041" s="1">
        <f t="shared" si="156"/>
        <v>0</v>
      </c>
      <c r="Y5041" s="1">
        <f t="shared" si="157"/>
        <v>15</v>
      </c>
    </row>
    <row r="5042" spans="24:25" x14ac:dyDescent="0.3">
      <c r="X5042" s="1">
        <f t="shared" si="156"/>
        <v>0</v>
      </c>
      <c r="Y5042" s="1">
        <f t="shared" si="157"/>
        <v>15</v>
      </c>
    </row>
    <row r="5043" spans="24:25" x14ac:dyDescent="0.3">
      <c r="X5043" s="1">
        <f t="shared" si="156"/>
        <v>0</v>
      </c>
      <c r="Y5043" s="1">
        <f t="shared" si="157"/>
        <v>15</v>
      </c>
    </row>
    <row r="5044" spans="24:25" x14ac:dyDescent="0.3">
      <c r="X5044" s="1">
        <f t="shared" si="156"/>
        <v>0</v>
      </c>
      <c r="Y5044" s="1">
        <f t="shared" si="157"/>
        <v>15</v>
      </c>
    </row>
    <row r="5045" spans="24:25" x14ac:dyDescent="0.3">
      <c r="X5045" s="1">
        <f t="shared" si="156"/>
        <v>0</v>
      </c>
      <c r="Y5045" s="1">
        <f t="shared" si="157"/>
        <v>15</v>
      </c>
    </row>
    <row r="5046" spans="24:25" x14ac:dyDescent="0.3">
      <c r="X5046" s="1">
        <f t="shared" si="156"/>
        <v>0</v>
      </c>
      <c r="Y5046" s="1">
        <f t="shared" si="157"/>
        <v>15</v>
      </c>
    </row>
    <row r="5047" spans="24:25" x14ac:dyDescent="0.3">
      <c r="X5047" s="1">
        <f t="shared" si="156"/>
        <v>0</v>
      </c>
      <c r="Y5047" s="1">
        <f t="shared" si="157"/>
        <v>15</v>
      </c>
    </row>
    <row r="5048" spans="24:25" x14ac:dyDescent="0.3">
      <c r="X5048" s="1">
        <f t="shared" si="156"/>
        <v>0</v>
      </c>
      <c r="Y5048" s="1">
        <f t="shared" si="157"/>
        <v>15</v>
      </c>
    </row>
    <row r="5049" spans="24:25" x14ac:dyDescent="0.3">
      <c r="X5049" s="1">
        <f t="shared" si="156"/>
        <v>0</v>
      </c>
      <c r="Y5049" s="1">
        <f t="shared" si="157"/>
        <v>15</v>
      </c>
    </row>
    <row r="5050" spans="24:25" x14ac:dyDescent="0.3">
      <c r="X5050" s="1">
        <f t="shared" si="156"/>
        <v>0</v>
      </c>
      <c r="Y5050" s="1">
        <f t="shared" si="157"/>
        <v>15</v>
      </c>
    </row>
    <row r="5051" spans="24:25" x14ac:dyDescent="0.3">
      <c r="X5051" s="1">
        <f t="shared" si="156"/>
        <v>0</v>
      </c>
      <c r="Y5051" s="1">
        <f t="shared" si="157"/>
        <v>15</v>
      </c>
    </row>
    <row r="5052" spans="24:25" x14ac:dyDescent="0.3">
      <c r="X5052" s="1">
        <f t="shared" si="156"/>
        <v>0</v>
      </c>
      <c r="Y5052" s="1">
        <f t="shared" si="157"/>
        <v>15</v>
      </c>
    </row>
    <row r="5053" spans="24:25" x14ac:dyDescent="0.3">
      <c r="X5053" s="1">
        <f t="shared" si="156"/>
        <v>0</v>
      </c>
      <c r="Y5053" s="1">
        <f t="shared" si="157"/>
        <v>15</v>
      </c>
    </row>
    <row r="5054" spans="24:25" x14ac:dyDescent="0.3">
      <c r="X5054" s="1">
        <f t="shared" si="156"/>
        <v>0</v>
      </c>
      <c r="Y5054" s="1">
        <f t="shared" si="157"/>
        <v>15</v>
      </c>
    </row>
    <row r="5055" spans="24:25" x14ac:dyDescent="0.3">
      <c r="X5055" s="1">
        <f t="shared" si="156"/>
        <v>0</v>
      </c>
      <c r="Y5055" s="1">
        <f t="shared" si="157"/>
        <v>15</v>
      </c>
    </row>
    <row r="5056" spans="24:25" x14ac:dyDescent="0.3">
      <c r="X5056" s="1">
        <f t="shared" si="156"/>
        <v>0</v>
      </c>
      <c r="Y5056" s="1">
        <f t="shared" si="157"/>
        <v>15</v>
      </c>
    </row>
    <row r="5057" spans="24:25" x14ac:dyDescent="0.3">
      <c r="X5057" s="1">
        <f t="shared" si="156"/>
        <v>0</v>
      </c>
      <c r="Y5057" s="1">
        <f t="shared" si="157"/>
        <v>15</v>
      </c>
    </row>
    <row r="5058" spans="24:25" x14ac:dyDescent="0.3">
      <c r="X5058" s="1">
        <f t="shared" si="156"/>
        <v>0</v>
      </c>
      <c r="Y5058" s="1">
        <f t="shared" si="157"/>
        <v>15</v>
      </c>
    </row>
    <row r="5059" spans="24:25" x14ac:dyDescent="0.3">
      <c r="X5059" s="1">
        <f t="shared" ref="X5059:X5122" si="158">IFERROR(MATCH(W5059,$B:$B,0),0)</f>
        <v>0</v>
      </c>
      <c r="Y5059" s="1">
        <f t="shared" ref="Y5059:Y5122" si="159">IF(X5060=0,COUNTA(A:A),X5060-1)</f>
        <v>15</v>
      </c>
    </row>
    <row r="5060" spans="24:25" x14ac:dyDescent="0.3">
      <c r="X5060" s="1">
        <f t="shared" si="158"/>
        <v>0</v>
      </c>
      <c r="Y5060" s="1">
        <f t="shared" si="159"/>
        <v>15</v>
      </c>
    </row>
    <row r="5061" spans="24:25" x14ac:dyDescent="0.3">
      <c r="X5061" s="1">
        <f t="shared" si="158"/>
        <v>0</v>
      </c>
      <c r="Y5061" s="1">
        <f t="shared" si="159"/>
        <v>15</v>
      </c>
    </row>
    <row r="5062" spans="24:25" x14ac:dyDescent="0.3">
      <c r="X5062" s="1">
        <f t="shared" si="158"/>
        <v>0</v>
      </c>
      <c r="Y5062" s="1">
        <f t="shared" si="159"/>
        <v>15</v>
      </c>
    </row>
    <row r="5063" spans="24:25" x14ac:dyDescent="0.3">
      <c r="X5063" s="1">
        <f t="shared" si="158"/>
        <v>0</v>
      </c>
      <c r="Y5063" s="1">
        <f t="shared" si="159"/>
        <v>15</v>
      </c>
    </row>
    <row r="5064" spans="24:25" x14ac:dyDescent="0.3">
      <c r="X5064" s="1">
        <f t="shared" si="158"/>
        <v>0</v>
      </c>
      <c r="Y5064" s="1">
        <f t="shared" si="159"/>
        <v>15</v>
      </c>
    </row>
    <row r="5065" spans="24:25" x14ac:dyDescent="0.3">
      <c r="X5065" s="1">
        <f t="shared" si="158"/>
        <v>0</v>
      </c>
      <c r="Y5065" s="1">
        <f t="shared" si="159"/>
        <v>15</v>
      </c>
    </row>
    <row r="5066" spans="24:25" x14ac:dyDescent="0.3">
      <c r="X5066" s="1">
        <f t="shared" si="158"/>
        <v>0</v>
      </c>
      <c r="Y5066" s="1">
        <f t="shared" si="159"/>
        <v>15</v>
      </c>
    </row>
    <row r="5067" spans="24:25" x14ac:dyDescent="0.3">
      <c r="X5067" s="1">
        <f t="shared" si="158"/>
        <v>0</v>
      </c>
      <c r="Y5067" s="1">
        <f t="shared" si="159"/>
        <v>15</v>
      </c>
    </row>
    <row r="5068" spans="24:25" x14ac:dyDescent="0.3">
      <c r="X5068" s="1">
        <f t="shared" si="158"/>
        <v>0</v>
      </c>
      <c r="Y5068" s="1">
        <f t="shared" si="159"/>
        <v>15</v>
      </c>
    </row>
    <row r="5069" spans="24:25" x14ac:dyDescent="0.3">
      <c r="X5069" s="1">
        <f t="shared" si="158"/>
        <v>0</v>
      </c>
      <c r="Y5069" s="1">
        <f t="shared" si="159"/>
        <v>15</v>
      </c>
    </row>
    <row r="5070" spans="24:25" x14ac:dyDescent="0.3">
      <c r="X5070" s="1">
        <f t="shared" si="158"/>
        <v>0</v>
      </c>
      <c r="Y5070" s="1">
        <f t="shared" si="159"/>
        <v>15</v>
      </c>
    </row>
    <row r="5071" spans="24:25" x14ac:dyDescent="0.3">
      <c r="X5071" s="1">
        <f t="shared" si="158"/>
        <v>0</v>
      </c>
      <c r="Y5071" s="1">
        <f t="shared" si="159"/>
        <v>15</v>
      </c>
    </row>
    <row r="5072" spans="24:25" x14ac:dyDescent="0.3">
      <c r="X5072" s="1">
        <f t="shared" si="158"/>
        <v>0</v>
      </c>
      <c r="Y5072" s="1">
        <f t="shared" si="159"/>
        <v>15</v>
      </c>
    </row>
    <row r="5073" spans="24:25" x14ac:dyDescent="0.3">
      <c r="X5073" s="1">
        <f t="shared" si="158"/>
        <v>0</v>
      </c>
      <c r="Y5073" s="1">
        <f t="shared" si="159"/>
        <v>15</v>
      </c>
    </row>
    <row r="5074" spans="24:25" x14ac:dyDescent="0.3">
      <c r="X5074" s="1">
        <f t="shared" si="158"/>
        <v>0</v>
      </c>
      <c r="Y5074" s="1">
        <f t="shared" si="159"/>
        <v>15</v>
      </c>
    </row>
    <row r="5075" spans="24:25" x14ac:dyDescent="0.3">
      <c r="X5075" s="1">
        <f t="shared" si="158"/>
        <v>0</v>
      </c>
      <c r="Y5075" s="1">
        <f t="shared" si="159"/>
        <v>15</v>
      </c>
    </row>
    <row r="5076" spans="24:25" x14ac:dyDescent="0.3">
      <c r="X5076" s="1">
        <f t="shared" si="158"/>
        <v>0</v>
      </c>
      <c r="Y5076" s="1">
        <f t="shared" si="159"/>
        <v>15</v>
      </c>
    </row>
    <row r="5077" spans="24:25" x14ac:dyDescent="0.3">
      <c r="X5077" s="1">
        <f t="shared" si="158"/>
        <v>0</v>
      </c>
      <c r="Y5077" s="1">
        <f t="shared" si="159"/>
        <v>15</v>
      </c>
    </row>
    <row r="5078" spans="24:25" x14ac:dyDescent="0.3">
      <c r="X5078" s="1">
        <f t="shared" si="158"/>
        <v>0</v>
      </c>
      <c r="Y5078" s="1">
        <f t="shared" si="159"/>
        <v>15</v>
      </c>
    </row>
    <row r="5079" spans="24:25" x14ac:dyDescent="0.3">
      <c r="X5079" s="1">
        <f t="shared" si="158"/>
        <v>0</v>
      </c>
      <c r="Y5079" s="1">
        <f t="shared" si="159"/>
        <v>15</v>
      </c>
    </row>
    <row r="5080" spans="24:25" x14ac:dyDescent="0.3">
      <c r="X5080" s="1">
        <f t="shared" si="158"/>
        <v>0</v>
      </c>
      <c r="Y5080" s="1">
        <f t="shared" si="159"/>
        <v>15</v>
      </c>
    </row>
    <row r="5081" spans="24:25" x14ac:dyDescent="0.3">
      <c r="X5081" s="1">
        <f t="shared" si="158"/>
        <v>0</v>
      </c>
      <c r="Y5081" s="1">
        <f t="shared" si="159"/>
        <v>15</v>
      </c>
    </row>
    <row r="5082" spans="24:25" x14ac:dyDescent="0.3">
      <c r="X5082" s="1">
        <f t="shared" si="158"/>
        <v>0</v>
      </c>
      <c r="Y5082" s="1">
        <f t="shared" si="159"/>
        <v>15</v>
      </c>
    </row>
    <row r="5083" spans="24:25" x14ac:dyDescent="0.3">
      <c r="X5083" s="1">
        <f t="shared" si="158"/>
        <v>0</v>
      </c>
      <c r="Y5083" s="1">
        <f t="shared" si="159"/>
        <v>15</v>
      </c>
    </row>
    <row r="5084" spans="24:25" x14ac:dyDescent="0.3">
      <c r="X5084" s="1">
        <f t="shared" si="158"/>
        <v>0</v>
      </c>
      <c r="Y5084" s="1">
        <f t="shared" si="159"/>
        <v>15</v>
      </c>
    </row>
    <row r="5085" spans="24:25" x14ac:dyDescent="0.3">
      <c r="X5085" s="1">
        <f t="shared" si="158"/>
        <v>0</v>
      </c>
      <c r="Y5085" s="1">
        <f t="shared" si="159"/>
        <v>15</v>
      </c>
    </row>
    <row r="5086" spans="24:25" x14ac:dyDescent="0.3">
      <c r="X5086" s="1">
        <f t="shared" si="158"/>
        <v>0</v>
      </c>
      <c r="Y5086" s="1">
        <f t="shared" si="159"/>
        <v>15</v>
      </c>
    </row>
    <row r="5087" spans="24:25" x14ac:dyDescent="0.3">
      <c r="X5087" s="1">
        <f t="shared" si="158"/>
        <v>0</v>
      </c>
      <c r="Y5087" s="1">
        <f t="shared" si="159"/>
        <v>15</v>
      </c>
    </row>
    <row r="5088" spans="24:25" x14ac:dyDescent="0.3">
      <c r="X5088" s="1">
        <f t="shared" si="158"/>
        <v>0</v>
      </c>
      <c r="Y5088" s="1">
        <f t="shared" si="159"/>
        <v>15</v>
      </c>
    </row>
    <row r="5089" spans="24:25" x14ac:dyDescent="0.3">
      <c r="X5089" s="1">
        <f t="shared" si="158"/>
        <v>0</v>
      </c>
      <c r="Y5089" s="1">
        <f t="shared" si="159"/>
        <v>15</v>
      </c>
    </row>
    <row r="5090" spans="24:25" x14ac:dyDescent="0.3">
      <c r="X5090" s="1">
        <f t="shared" si="158"/>
        <v>0</v>
      </c>
      <c r="Y5090" s="1">
        <f t="shared" si="159"/>
        <v>15</v>
      </c>
    </row>
    <row r="5091" spans="24:25" x14ac:dyDescent="0.3">
      <c r="X5091" s="1">
        <f t="shared" si="158"/>
        <v>0</v>
      </c>
      <c r="Y5091" s="1">
        <f t="shared" si="159"/>
        <v>15</v>
      </c>
    </row>
    <row r="5092" spans="24:25" x14ac:dyDescent="0.3">
      <c r="X5092" s="1">
        <f t="shared" si="158"/>
        <v>0</v>
      </c>
      <c r="Y5092" s="1">
        <f t="shared" si="159"/>
        <v>15</v>
      </c>
    </row>
    <row r="5093" spans="24:25" x14ac:dyDescent="0.3">
      <c r="X5093" s="1">
        <f t="shared" si="158"/>
        <v>0</v>
      </c>
      <c r="Y5093" s="1">
        <f t="shared" si="159"/>
        <v>15</v>
      </c>
    </row>
    <row r="5094" spans="24:25" x14ac:dyDescent="0.3">
      <c r="X5094" s="1">
        <f t="shared" si="158"/>
        <v>0</v>
      </c>
      <c r="Y5094" s="1">
        <f t="shared" si="159"/>
        <v>15</v>
      </c>
    </row>
    <row r="5095" spans="24:25" x14ac:dyDescent="0.3">
      <c r="X5095" s="1">
        <f t="shared" si="158"/>
        <v>0</v>
      </c>
      <c r="Y5095" s="1">
        <f t="shared" si="159"/>
        <v>15</v>
      </c>
    </row>
    <row r="5096" spans="24:25" x14ac:dyDescent="0.3">
      <c r="X5096" s="1">
        <f t="shared" si="158"/>
        <v>0</v>
      </c>
      <c r="Y5096" s="1">
        <f t="shared" si="159"/>
        <v>15</v>
      </c>
    </row>
    <row r="5097" spans="24:25" x14ac:dyDescent="0.3">
      <c r="X5097" s="1">
        <f t="shared" si="158"/>
        <v>0</v>
      </c>
      <c r="Y5097" s="1">
        <f t="shared" si="159"/>
        <v>15</v>
      </c>
    </row>
    <row r="5098" spans="24:25" x14ac:dyDescent="0.3">
      <c r="X5098" s="1">
        <f t="shared" si="158"/>
        <v>0</v>
      </c>
      <c r="Y5098" s="1">
        <f t="shared" si="159"/>
        <v>15</v>
      </c>
    </row>
    <row r="5099" spans="24:25" x14ac:dyDescent="0.3">
      <c r="X5099" s="1">
        <f t="shared" si="158"/>
        <v>0</v>
      </c>
      <c r="Y5099" s="1">
        <f t="shared" si="159"/>
        <v>15</v>
      </c>
    </row>
    <row r="5100" spans="24:25" x14ac:dyDescent="0.3">
      <c r="X5100" s="1">
        <f t="shared" si="158"/>
        <v>0</v>
      </c>
      <c r="Y5100" s="1">
        <f t="shared" si="159"/>
        <v>15</v>
      </c>
    </row>
    <row r="5101" spans="24:25" x14ac:dyDescent="0.3">
      <c r="X5101" s="1">
        <f t="shared" si="158"/>
        <v>0</v>
      </c>
      <c r="Y5101" s="1">
        <f t="shared" si="159"/>
        <v>15</v>
      </c>
    </row>
    <row r="5102" spans="24:25" x14ac:dyDescent="0.3">
      <c r="X5102" s="1">
        <f t="shared" si="158"/>
        <v>0</v>
      </c>
      <c r="Y5102" s="1">
        <f t="shared" si="159"/>
        <v>15</v>
      </c>
    </row>
    <row r="5103" spans="24:25" x14ac:dyDescent="0.3">
      <c r="X5103" s="1">
        <f t="shared" si="158"/>
        <v>0</v>
      </c>
      <c r="Y5103" s="1">
        <f t="shared" si="159"/>
        <v>15</v>
      </c>
    </row>
    <row r="5104" spans="24:25" x14ac:dyDescent="0.3">
      <c r="X5104" s="1">
        <f t="shared" si="158"/>
        <v>0</v>
      </c>
      <c r="Y5104" s="1">
        <f t="shared" si="159"/>
        <v>15</v>
      </c>
    </row>
    <row r="5105" spans="24:25" x14ac:dyDescent="0.3">
      <c r="X5105" s="1">
        <f t="shared" si="158"/>
        <v>0</v>
      </c>
      <c r="Y5105" s="1">
        <f t="shared" si="159"/>
        <v>15</v>
      </c>
    </row>
    <row r="5106" spans="24:25" x14ac:dyDescent="0.3">
      <c r="X5106" s="1">
        <f t="shared" si="158"/>
        <v>0</v>
      </c>
      <c r="Y5106" s="1">
        <f t="shared" si="159"/>
        <v>15</v>
      </c>
    </row>
    <row r="5107" spans="24:25" x14ac:dyDescent="0.3">
      <c r="X5107" s="1">
        <f t="shared" si="158"/>
        <v>0</v>
      </c>
      <c r="Y5107" s="1">
        <f t="shared" si="159"/>
        <v>15</v>
      </c>
    </row>
    <row r="5108" spans="24:25" x14ac:dyDescent="0.3">
      <c r="X5108" s="1">
        <f t="shared" si="158"/>
        <v>0</v>
      </c>
      <c r="Y5108" s="1">
        <f t="shared" si="159"/>
        <v>15</v>
      </c>
    </row>
    <row r="5109" spans="24:25" x14ac:dyDescent="0.3">
      <c r="X5109" s="1">
        <f t="shared" si="158"/>
        <v>0</v>
      </c>
      <c r="Y5109" s="1">
        <f t="shared" si="159"/>
        <v>15</v>
      </c>
    </row>
    <row r="5110" spans="24:25" x14ac:dyDescent="0.3">
      <c r="X5110" s="1">
        <f t="shared" si="158"/>
        <v>0</v>
      </c>
      <c r="Y5110" s="1">
        <f t="shared" si="159"/>
        <v>15</v>
      </c>
    </row>
    <row r="5111" spans="24:25" x14ac:dyDescent="0.3">
      <c r="X5111" s="1">
        <f t="shared" si="158"/>
        <v>0</v>
      </c>
      <c r="Y5111" s="1">
        <f t="shared" si="159"/>
        <v>15</v>
      </c>
    </row>
    <row r="5112" spans="24:25" x14ac:dyDescent="0.3">
      <c r="X5112" s="1">
        <f t="shared" si="158"/>
        <v>0</v>
      </c>
      <c r="Y5112" s="1">
        <f t="shared" si="159"/>
        <v>15</v>
      </c>
    </row>
    <row r="5113" spans="24:25" x14ac:dyDescent="0.3">
      <c r="X5113" s="1">
        <f t="shared" si="158"/>
        <v>0</v>
      </c>
      <c r="Y5113" s="1">
        <f t="shared" si="159"/>
        <v>15</v>
      </c>
    </row>
    <row r="5114" spans="24:25" x14ac:dyDescent="0.3">
      <c r="X5114" s="1">
        <f t="shared" si="158"/>
        <v>0</v>
      </c>
      <c r="Y5114" s="1">
        <f t="shared" si="159"/>
        <v>15</v>
      </c>
    </row>
    <row r="5115" spans="24:25" x14ac:dyDescent="0.3">
      <c r="X5115" s="1">
        <f t="shared" si="158"/>
        <v>0</v>
      </c>
      <c r="Y5115" s="1">
        <f t="shared" si="159"/>
        <v>15</v>
      </c>
    </row>
    <row r="5116" spans="24:25" x14ac:dyDescent="0.3">
      <c r="X5116" s="1">
        <f t="shared" si="158"/>
        <v>0</v>
      </c>
      <c r="Y5116" s="1">
        <f t="shared" si="159"/>
        <v>15</v>
      </c>
    </row>
    <row r="5117" spans="24:25" x14ac:dyDescent="0.3">
      <c r="X5117" s="1">
        <f t="shared" si="158"/>
        <v>0</v>
      </c>
      <c r="Y5117" s="1">
        <f t="shared" si="159"/>
        <v>15</v>
      </c>
    </row>
    <row r="5118" spans="24:25" x14ac:dyDescent="0.3">
      <c r="X5118" s="1">
        <f t="shared" si="158"/>
        <v>0</v>
      </c>
      <c r="Y5118" s="1">
        <f t="shared" si="159"/>
        <v>15</v>
      </c>
    </row>
    <row r="5119" spans="24:25" x14ac:dyDescent="0.3">
      <c r="X5119" s="1">
        <f t="shared" si="158"/>
        <v>0</v>
      </c>
      <c r="Y5119" s="1">
        <f t="shared" si="159"/>
        <v>15</v>
      </c>
    </row>
    <row r="5120" spans="24:25" x14ac:dyDescent="0.3">
      <c r="X5120" s="1">
        <f t="shared" si="158"/>
        <v>0</v>
      </c>
      <c r="Y5120" s="1">
        <f t="shared" si="159"/>
        <v>15</v>
      </c>
    </row>
    <row r="5121" spans="24:25" x14ac:dyDescent="0.3">
      <c r="X5121" s="1">
        <f t="shared" si="158"/>
        <v>0</v>
      </c>
      <c r="Y5121" s="1">
        <f t="shared" si="159"/>
        <v>15</v>
      </c>
    </row>
    <row r="5122" spans="24:25" x14ac:dyDescent="0.3">
      <c r="X5122" s="1">
        <f t="shared" si="158"/>
        <v>0</v>
      </c>
      <c r="Y5122" s="1">
        <f t="shared" si="159"/>
        <v>15</v>
      </c>
    </row>
    <row r="5123" spans="24:25" x14ac:dyDescent="0.3">
      <c r="X5123" s="1">
        <f t="shared" ref="X5123:X5186" si="160">IFERROR(MATCH(W5123,$B:$B,0),0)</f>
        <v>0</v>
      </c>
      <c r="Y5123" s="1">
        <f t="shared" ref="Y5123:Y5186" si="161">IF(X5124=0,COUNTA(A:A),X5124-1)</f>
        <v>15</v>
      </c>
    </row>
    <row r="5124" spans="24:25" x14ac:dyDescent="0.3">
      <c r="X5124" s="1">
        <f t="shared" si="160"/>
        <v>0</v>
      </c>
      <c r="Y5124" s="1">
        <f t="shared" si="161"/>
        <v>15</v>
      </c>
    </row>
    <row r="5125" spans="24:25" x14ac:dyDescent="0.3">
      <c r="X5125" s="1">
        <f t="shared" si="160"/>
        <v>0</v>
      </c>
      <c r="Y5125" s="1">
        <f t="shared" si="161"/>
        <v>15</v>
      </c>
    </row>
    <row r="5126" spans="24:25" x14ac:dyDescent="0.3">
      <c r="X5126" s="1">
        <f t="shared" si="160"/>
        <v>0</v>
      </c>
      <c r="Y5126" s="1">
        <f t="shared" si="161"/>
        <v>15</v>
      </c>
    </row>
    <row r="5127" spans="24:25" x14ac:dyDescent="0.3">
      <c r="X5127" s="1">
        <f t="shared" si="160"/>
        <v>0</v>
      </c>
      <c r="Y5127" s="1">
        <f t="shared" si="161"/>
        <v>15</v>
      </c>
    </row>
    <row r="5128" spans="24:25" x14ac:dyDescent="0.3">
      <c r="X5128" s="1">
        <f t="shared" si="160"/>
        <v>0</v>
      </c>
      <c r="Y5128" s="1">
        <f t="shared" si="161"/>
        <v>15</v>
      </c>
    </row>
    <row r="5129" spans="24:25" x14ac:dyDescent="0.3">
      <c r="X5129" s="1">
        <f t="shared" si="160"/>
        <v>0</v>
      </c>
      <c r="Y5129" s="1">
        <f t="shared" si="161"/>
        <v>15</v>
      </c>
    </row>
    <row r="5130" spans="24:25" x14ac:dyDescent="0.3">
      <c r="X5130" s="1">
        <f t="shared" si="160"/>
        <v>0</v>
      </c>
      <c r="Y5130" s="1">
        <f t="shared" si="161"/>
        <v>15</v>
      </c>
    </row>
    <row r="5131" spans="24:25" x14ac:dyDescent="0.3">
      <c r="X5131" s="1">
        <f t="shared" si="160"/>
        <v>0</v>
      </c>
      <c r="Y5131" s="1">
        <f t="shared" si="161"/>
        <v>15</v>
      </c>
    </row>
    <row r="5132" spans="24:25" x14ac:dyDescent="0.3">
      <c r="X5132" s="1">
        <f t="shared" si="160"/>
        <v>0</v>
      </c>
      <c r="Y5132" s="1">
        <f t="shared" si="161"/>
        <v>15</v>
      </c>
    </row>
    <row r="5133" spans="24:25" x14ac:dyDescent="0.3">
      <c r="X5133" s="1">
        <f t="shared" si="160"/>
        <v>0</v>
      </c>
      <c r="Y5133" s="1">
        <f t="shared" si="161"/>
        <v>15</v>
      </c>
    </row>
    <row r="5134" spans="24:25" x14ac:dyDescent="0.3">
      <c r="X5134" s="1">
        <f t="shared" si="160"/>
        <v>0</v>
      </c>
      <c r="Y5134" s="1">
        <f t="shared" si="161"/>
        <v>15</v>
      </c>
    </row>
    <row r="5135" spans="24:25" x14ac:dyDescent="0.3">
      <c r="X5135" s="1">
        <f t="shared" si="160"/>
        <v>0</v>
      </c>
      <c r="Y5135" s="1">
        <f t="shared" si="161"/>
        <v>15</v>
      </c>
    </row>
    <row r="5136" spans="24:25" x14ac:dyDescent="0.3">
      <c r="X5136" s="1">
        <f t="shared" si="160"/>
        <v>0</v>
      </c>
      <c r="Y5136" s="1">
        <f t="shared" si="161"/>
        <v>15</v>
      </c>
    </row>
    <row r="5137" spans="24:25" x14ac:dyDescent="0.3">
      <c r="X5137" s="1">
        <f t="shared" si="160"/>
        <v>0</v>
      </c>
      <c r="Y5137" s="1">
        <f t="shared" si="161"/>
        <v>15</v>
      </c>
    </row>
    <row r="5138" spans="24:25" x14ac:dyDescent="0.3">
      <c r="X5138" s="1">
        <f t="shared" si="160"/>
        <v>0</v>
      </c>
      <c r="Y5138" s="1">
        <f t="shared" si="161"/>
        <v>15</v>
      </c>
    </row>
    <row r="5139" spans="24:25" x14ac:dyDescent="0.3">
      <c r="X5139" s="1">
        <f t="shared" si="160"/>
        <v>0</v>
      </c>
      <c r="Y5139" s="1">
        <f t="shared" si="161"/>
        <v>15</v>
      </c>
    </row>
    <row r="5140" spans="24:25" x14ac:dyDescent="0.3">
      <c r="X5140" s="1">
        <f t="shared" si="160"/>
        <v>0</v>
      </c>
      <c r="Y5140" s="1">
        <f t="shared" si="161"/>
        <v>15</v>
      </c>
    </row>
    <row r="5141" spans="24:25" x14ac:dyDescent="0.3">
      <c r="X5141" s="1">
        <f t="shared" si="160"/>
        <v>0</v>
      </c>
      <c r="Y5141" s="1">
        <f t="shared" si="161"/>
        <v>15</v>
      </c>
    </row>
    <row r="5142" spans="24:25" x14ac:dyDescent="0.3">
      <c r="X5142" s="1">
        <f t="shared" si="160"/>
        <v>0</v>
      </c>
      <c r="Y5142" s="1">
        <f t="shared" si="161"/>
        <v>15</v>
      </c>
    </row>
    <row r="5143" spans="24:25" x14ac:dyDescent="0.3">
      <c r="X5143" s="1">
        <f t="shared" si="160"/>
        <v>0</v>
      </c>
      <c r="Y5143" s="1">
        <f t="shared" si="161"/>
        <v>15</v>
      </c>
    </row>
    <row r="5144" spans="24:25" x14ac:dyDescent="0.3">
      <c r="X5144" s="1">
        <f t="shared" si="160"/>
        <v>0</v>
      </c>
      <c r="Y5144" s="1">
        <f t="shared" si="161"/>
        <v>15</v>
      </c>
    </row>
    <row r="5145" spans="24:25" x14ac:dyDescent="0.3">
      <c r="X5145" s="1">
        <f t="shared" si="160"/>
        <v>0</v>
      </c>
      <c r="Y5145" s="1">
        <f t="shared" si="161"/>
        <v>15</v>
      </c>
    </row>
    <row r="5146" spans="24:25" x14ac:dyDescent="0.3">
      <c r="X5146" s="1">
        <f t="shared" si="160"/>
        <v>0</v>
      </c>
      <c r="Y5146" s="1">
        <f t="shared" si="161"/>
        <v>15</v>
      </c>
    </row>
    <row r="5147" spans="24:25" x14ac:dyDescent="0.3">
      <c r="X5147" s="1">
        <f t="shared" si="160"/>
        <v>0</v>
      </c>
      <c r="Y5147" s="1">
        <f t="shared" si="161"/>
        <v>15</v>
      </c>
    </row>
    <row r="5148" spans="24:25" x14ac:dyDescent="0.3">
      <c r="X5148" s="1">
        <f t="shared" si="160"/>
        <v>0</v>
      </c>
      <c r="Y5148" s="1">
        <f t="shared" si="161"/>
        <v>15</v>
      </c>
    </row>
    <row r="5149" spans="24:25" x14ac:dyDescent="0.3">
      <c r="X5149" s="1">
        <f t="shared" si="160"/>
        <v>0</v>
      </c>
      <c r="Y5149" s="1">
        <f t="shared" si="161"/>
        <v>15</v>
      </c>
    </row>
    <row r="5150" spans="24:25" x14ac:dyDescent="0.3">
      <c r="X5150" s="1">
        <f t="shared" si="160"/>
        <v>0</v>
      </c>
      <c r="Y5150" s="1">
        <f t="shared" si="161"/>
        <v>15</v>
      </c>
    </row>
    <row r="5151" spans="24:25" x14ac:dyDescent="0.3">
      <c r="X5151" s="1">
        <f t="shared" si="160"/>
        <v>0</v>
      </c>
      <c r="Y5151" s="1">
        <f t="shared" si="161"/>
        <v>15</v>
      </c>
    </row>
    <row r="5152" spans="24:25" x14ac:dyDescent="0.3">
      <c r="X5152" s="1">
        <f t="shared" si="160"/>
        <v>0</v>
      </c>
      <c r="Y5152" s="1">
        <f t="shared" si="161"/>
        <v>15</v>
      </c>
    </row>
    <row r="5153" spans="24:25" x14ac:dyDescent="0.3">
      <c r="X5153" s="1">
        <f t="shared" si="160"/>
        <v>0</v>
      </c>
      <c r="Y5153" s="1">
        <f t="shared" si="161"/>
        <v>15</v>
      </c>
    </row>
    <row r="5154" spans="24:25" x14ac:dyDescent="0.3">
      <c r="X5154" s="1">
        <f t="shared" si="160"/>
        <v>0</v>
      </c>
      <c r="Y5154" s="1">
        <f t="shared" si="161"/>
        <v>15</v>
      </c>
    </row>
    <row r="5155" spans="24:25" x14ac:dyDescent="0.3">
      <c r="X5155" s="1">
        <f t="shared" si="160"/>
        <v>0</v>
      </c>
      <c r="Y5155" s="1">
        <f t="shared" si="161"/>
        <v>15</v>
      </c>
    </row>
    <row r="5156" spans="24:25" x14ac:dyDescent="0.3">
      <c r="X5156" s="1">
        <f t="shared" si="160"/>
        <v>0</v>
      </c>
      <c r="Y5156" s="1">
        <f t="shared" si="161"/>
        <v>15</v>
      </c>
    </row>
    <row r="5157" spans="24:25" x14ac:dyDescent="0.3">
      <c r="X5157" s="1">
        <f t="shared" si="160"/>
        <v>0</v>
      </c>
      <c r="Y5157" s="1">
        <f t="shared" si="161"/>
        <v>15</v>
      </c>
    </row>
    <row r="5158" spans="24:25" x14ac:dyDescent="0.3">
      <c r="X5158" s="1">
        <f t="shared" si="160"/>
        <v>0</v>
      </c>
      <c r="Y5158" s="1">
        <f t="shared" si="161"/>
        <v>15</v>
      </c>
    </row>
    <row r="5159" spans="24:25" x14ac:dyDescent="0.3">
      <c r="X5159" s="1">
        <f t="shared" si="160"/>
        <v>0</v>
      </c>
      <c r="Y5159" s="1">
        <f t="shared" si="161"/>
        <v>15</v>
      </c>
    </row>
    <row r="5160" spans="24:25" x14ac:dyDescent="0.3">
      <c r="X5160" s="1">
        <f t="shared" si="160"/>
        <v>0</v>
      </c>
      <c r="Y5160" s="1">
        <f t="shared" si="161"/>
        <v>15</v>
      </c>
    </row>
    <row r="5161" spans="24:25" x14ac:dyDescent="0.3">
      <c r="X5161" s="1">
        <f t="shared" si="160"/>
        <v>0</v>
      </c>
      <c r="Y5161" s="1">
        <f t="shared" si="161"/>
        <v>15</v>
      </c>
    </row>
    <row r="5162" spans="24:25" x14ac:dyDescent="0.3">
      <c r="X5162" s="1">
        <f t="shared" si="160"/>
        <v>0</v>
      </c>
      <c r="Y5162" s="1">
        <f t="shared" si="161"/>
        <v>15</v>
      </c>
    </row>
    <row r="5163" spans="24:25" x14ac:dyDescent="0.3">
      <c r="X5163" s="1">
        <f t="shared" si="160"/>
        <v>0</v>
      </c>
      <c r="Y5163" s="1">
        <f t="shared" si="161"/>
        <v>15</v>
      </c>
    </row>
    <row r="5164" spans="24:25" x14ac:dyDescent="0.3">
      <c r="X5164" s="1">
        <f t="shared" si="160"/>
        <v>0</v>
      </c>
      <c r="Y5164" s="1">
        <f t="shared" si="161"/>
        <v>15</v>
      </c>
    </row>
    <row r="5165" spans="24:25" x14ac:dyDescent="0.3">
      <c r="X5165" s="1">
        <f t="shared" si="160"/>
        <v>0</v>
      </c>
      <c r="Y5165" s="1">
        <f t="shared" si="161"/>
        <v>15</v>
      </c>
    </row>
    <row r="5166" spans="24:25" x14ac:dyDescent="0.3">
      <c r="X5166" s="1">
        <f t="shared" si="160"/>
        <v>0</v>
      </c>
      <c r="Y5166" s="1">
        <f t="shared" si="161"/>
        <v>15</v>
      </c>
    </row>
    <row r="5167" spans="24:25" x14ac:dyDescent="0.3">
      <c r="X5167" s="1">
        <f t="shared" si="160"/>
        <v>0</v>
      </c>
      <c r="Y5167" s="1">
        <f t="shared" si="161"/>
        <v>15</v>
      </c>
    </row>
    <row r="5168" spans="24:25" x14ac:dyDescent="0.3">
      <c r="X5168" s="1">
        <f t="shared" si="160"/>
        <v>0</v>
      </c>
      <c r="Y5168" s="1">
        <f t="shared" si="161"/>
        <v>15</v>
      </c>
    </row>
    <row r="5169" spans="24:25" x14ac:dyDescent="0.3">
      <c r="X5169" s="1">
        <f t="shared" si="160"/>
        <v>0</v>
      </c>
      <c r="Y5169" s="1">
        <f t="shared" si="161"/>
        <v>15</v>
      </c>
    </row>
    <row r="5170" spans="24:25" x14ac:dyDescent="0.3">
      <c r="X5170" s="1">
        <f t="shared" si="160"/>
        <v>0</v>
      </c>
      <c r="Y5170" s="1">
        <f t="shared" si="161"/>
        <v>15</v>
      </c>
    </row>
    <row r="5171" spans="24:25" x14ac:dyDescent="0.3">
      <c r="X5171" s="1">
        <f t="shared" si="160"/>
        <v>0</v>
      </c>
      <c r="Y5171" s="1">
        <f t="shared" si="161"/>
        <v>15</v>
      </c>
    </row>
    <row r="5172" spans="24:25" x14ac:dyDescent="0.3">
      <c r="X5172" s="1">
        <f t="shared" si="160"/>
        <v>0</v>
      </c>
      <c r="Y5172" s="1">
        <f t="shared" si="161"/>
        <v>15</v>
      </c>
    </row>
    <row r="5173" spans="24:25" x14ac:dyDescent="0.3">
      <c r="X5173" s="1">
        <f t="shared" si="160"/>
        <v>0</v>
      </c>
      <c r="Y5173" s="1">
        <f t="shared" si="161"/>
        <v>15</v>
      </c>
    </row>
    <row r="5174" spans="24:25" x14ac:dyDescent="0.3">
      <c r="X5174" s="1">
        <f t="shared" si="160"/>
        <v>0</v>
      </c>
      <c r="Y5174" s="1">
        <f t="shared" si="161"/>
        <v>15</v>
      </c>
    </row>
    <row r="5175" spans="24:25" x14ac:dyDescent="0.3">
      <c r="X5175" s="1">
        <f t="shared" si="160"/>
        <v>0</v>
      </c>
      <c r="Y5175" s="1">
        <f t="shared" si="161"/>
        <v>15</v>
      </c>
    </row>
    <row r="5176" spans="24:25" x14ac:dyDescent="0.3">
      <c r="X5176" s="1">
        <f t="shared" si="160"/>
        <v>0</v>
      </c>
      <c r="Y5176" s="1">
        <f t="shared" si="161"/>
        <v>15</v>
      </c>
    </row>
    <row r="5177" spans="24:25" x14ac:dyDescent="0.3">
      <c r="X5177" s="1">
        <f t="shared" si="160"/>
        <v>0</v>
      </c>
      <c r="Y5177" s="1">
        <f t="shared" si="161"/>
        <v>15</v>
      </c>
    </row>
    <row r="5178" spans="24:25" x14ac:dyDescent="0.3">
      <c r="X5178" s="1">
        <f t="shared" si="160"/>
        <v>0</v>
      </c>
      <c r="Y5178" s="1">
        <f t="shared" si="161"/>
        <v>15</v>
      </c>
    </row>
    <row r="5179" spans="24:25" x14ac:dyDescent="0.3">
      <c r="X5179" s="1">
        <f t="shared" si="160"/>
        <v>0</v>
      </c>
      <c r="Y5179" s="1">
        <f t="shared" si="161"/>
        <v>15</v>
      </c>
    </row>
    <row r="5180" spans="24:25" x14ac:dyDescent="0.3">
      <c r="X5180" s="1">
        <f t="shared" si="160"/>
        <v>0</v>
      </c>
      <c r="Y5180" s="1">
        <f t="shared" si="161"/>
        <v>15</v>
      </c>
    </row>
    <row r="5181" spans="24:25" x14ac:dyDescent="0.3">
      <c r="X5181" s="1">
        <f t="shared" si="160"/>
        <v>0</v>
      </c>
      <c r="Y5181" s="1">
        <f t="shared" si="161"/>
        <v>15</v>
      </c>
    </row>
    <row r="5182" spans="24:25" x14ac:dyDescent="0.3">
      <c r="X5182" s="1">
        <f t="shared" si="160"/>
        <v>0</v>
      </c>
      <c r="Y5182" s="1">
        <f t="shared" si="161"/>
        <v>15</v>
      </c>
    </row>
    <row r="5183" spans="24:25" x14ac:dyDescent="0.3">
      <c r="X5183" s="1">
        <f t="shared" si="160"/>
        <v>0</v>
      </c>
      <c r="Y5183" s="1">
        <f t="shared" si="161"/>
        <v>15</v>
      </c>
    </row>
    <row r="5184" spans="24:25" x14ac:dyDescent="0.3">
      <c r="X5184" s="1">
        <f t="shared" si="160"/>
        <v>0</v>
      </c>
      <c r="Y5184" s="1">
        <f t="shared" si="161"/>
        <v>15</v>
      </c>
    </row>
    <row r="5185" spans="24:25" x14ac:dyDescent="0.3">
      <c r="X5185" s="1">
        <f t="shared" si="160"/>
        <v>0</v>
      </c>
      <c r="Y5185" s="1">
        <f t="shared" si="161"/>
        <v>15</v>
      </c>
    </row>
    <row r="5186" spans="24:25" x14ac:dyDescent="0.3">
      <c r="X5186" s="1">
        <f t="shared" si="160"/>
        <v>0</v>
      </c>
      <c r="Y5186" s="1">
        <f t="shared" si="161"/>
        <v>15</v>
      </c>
    </row>
    <row r="5187" spans="24:25" x14ac:dyDescent="0.3">
      <c r="X5187" s="1">
        <f t="shared" ref="X5187:X5250" si="162">IFERROR(MATCH(W5187,$B:$B,0),0)</f>
        <v>0</v>
      </c>
      <c r="Y5187" s="1">
        <f t="shared" ref="Y5187:Y5250" si="163">IF(X5188=0,COUNTA(A:A),X5188-1)</f>
        <v>15</v>
      </c>
    </row>
    <row r="5188" spans="24:25" x14ac:dyDescent="0.3">
      <c r="X5188" s="1">
        <f t="shared" si="162"/>
        <v>0</v>
      </c>
      <c r="Y5188" s="1">
        <f t="shared" si="163"/>
        <v>15</v>
      </c>
    </row>
    <row r="5189" spans="24:25" x14ac:dyDescent="0.3">
      <c r="X5189" s="1">
        <f t="shared" si="162"/>
        <v>0</v>
      </c>
      <c r="Y5189" s="1">
        <f t="shared" si="163"/>
        <v>15</v>
      </c>
    </row>
    <row r="5190" spans="24:25" x14ac:dyDescent="0.3">
      <c r="X5190" s="1">
        <f t="shared" si="162"/>
        <v>0</v>
      </c>
      <c r="Y5190" s="1">
        <f t="shared" si="163"/>
        <v>15</v>
      </c>
    </row>
    <row r="5191" spans="24:25" x14ac:dyDescent="0.3">
      <c r="X5191" s="1">
        <f t="shared" si="162"/>
        <v>0</v>
      </c>
      <c r="Y5191" s="1">
        <f t="shared" si="163"/>
        <v>15</v>
      </c>
    </row>
    <row r="5192" spans="24:25" x14ac:dyDescent="0.3">
      <c r="X5192" s="1">
        <f t="shared" si="162"/>
        <v>0</v>
      </c>
      <c r="Y5192" s="1">
        <f t="shared" si="163"/>
        <v>15</v>
      </c>
    </row>
    <row r="5193" spans="24:25" x14ac:dyDescent="0.3">
      <c r="X5193" s="1">
        <f t="shared" si="162"/>
        <v>0</v>
      </c>
      <c r="Y5193" s="1">
        <f t="shared" si="163"/>
        <v>15</v>
      </c>
    </row>
    <row r="5194" spans="24:25" x14ac:dyDescent="0.3">
      <c r="X5194" s="1">
        <f t="shared" si="162"/>
        <v>0</v>
      </c>
      <c r="Y5194" s="1">
        <f t="shared" si="163"/>
        <v>15</v>
      </c>
    </row>
    <row r="5195" spans="24:25" x14ac:dyDescent="0.3">
      <c r="X5195" s="1">
        <f t="shared" si="162"/>
        <v>0</v>
      </c>
      <c r="Y5195" s="1">
        <f t="shared" si="163"/>
        <v>15</v>
      </c>
    </row>
    <row r="5196" spans="24:25" x14ac:dyDescent="0.3">
      <c r="X5196" s="1">
        <f t="shared" si="162"/>
        <v>0</v>
      </c>
      <c r="Y5196" s="1">
        <f t="shared" si="163"/>
        <v>15</v>
      </c>
    </row>
    <row r="5197" spans="24:25" x14ac:dyDescent="0.3">
      <c r="X5197" s="1">
        <f t="shared" si="162"/>
        <v>0</v>
      </c>
      <c r="Y5197" s="1">
        <f t="shared" si="163"/>
        <v>15</v>
      </c>
    </row>
    <row r="5198" spans="24:25" x14ac:dyDescent="0.3">
      <c r="X5198" s="1">
        <f t="shared" si="162"/>
        <v>0</v>
      </c>
      <c r="Y5198" s="1">
        <f t="shared" si="163"/>
        <v>15</v>
      </c>
    </row>
    <row r="5199" spans="24:25" x14ac:dyDescent="0.3">
      <c r="X5199" s="1">
        <f t="shared" si="162"/>
        <v>0</v>
      </c>
      <c r="Y5199" s="1">
        <f t="shared" si="163"/>
        <v>15</v>
      </c>
    </row>
    <row r="5200" spans="24:25" x14ac:dyDescent="0.3">
      <c r="X5200" s="1">
        <f t="shared" si="162"/>
        <v>0</v>
      </c>
      <c r="Y5200" s="1">
        <f t="shared" si="163"/>
        <v>15</v>
      </c>
    </row>
    <row r="5201" spans="24:25" x14ac:dyDescent="0.3">
      <c r="X5201" s="1">
        <f t="shared" si="162"/>
        <v>0</v>
      </c>
      <c r="Y5201" s="1">
        <f t="shared" si="163"/>
        <v>15</v>
      </c>
    </row>
    <row r="5202" spans="24:25" x14ac:dyDescent="0.3">
      <c r="X5202" s="1">
        <f t="shared" si="162"/>
        <v>0</v>
      </c>
      <c r="Y5202" s="1">
        <f t="shared" si="163"/>
        <v>15</v>
      </c>
    </row>
    <row r="5203" spans="24:25" x14ac:dyDescent="0.3">
      <c r="X5203" s="1">
        <f t="shared" si="162"/>
        <v>0</v>
      </c>
      <c r="Y5203" s="1">
        <f t="shared" si="163"/>
        <v>15</v>
      </c>
    </row>
    <row r="5204" spans="24:25" x14ac:dyDescent="0.3">
      <c r="X5204" s="1">
        <f t="shared" si="162"/>
        <v>0</v>
      </c>
      <c r="Y5204" s="1">
        <f t="shared" si="163"/>
        <v>15</v>
      </c>
    </row>
    <row r="5205" spans="24:25" x14ac:dyDescent="0.3">
      <c r="X5205" s="1">
        <f t="shared" si="162"/>
        <v>0</v>
      </c>
      <c r="Y5205" s="1">
        <f t="shared" si="163"/>
        <v>15</v>
      </c>
    </row>
    <row r="5206" spans="24:25" x14ac:dyDescent="0.3">
      <c r="X5206" s="1">
        <f t="shared" si="162"/>
        <v>0</v>
      </c>
      <c r="Y5206" s="1">
        <f t="shared" si="163"/>
        <v>15</v>
      </c>
    </row>
    <row r="5207" spans="24:25" x14ac:dyDescent="0.3">
      <c r="X5207" s="1">
        <f t="shared" si="162"/>
        <v>0</v>
      </c>
      <c r="Y5207" s="1">
        <f t="shared" si="163"/>
        <v>15</v>
      </c>
    </row>
    <row r="5208" spans="24:25" x14ac:dyDescent="0.3">
      <c r="X5208" s="1">
        <f t="shared" si="162"/>
        <v>0</v>
      </c>
      <c r="Y5208" s="1">
        <f t="shared" si="163"/>
        <v>15</v>
      </c>
    </row>
    <row r="5209" spans="24:25" x14ac:dyDescent="0.3">
      <c r="X5209" s="1">
        <f t="shared" si="162"/>
        <v>0</v>
      </c>
      <c r="Y5209" s="1">
        <f t="shared" si="163"/>
        <v>15</v>
      </c>
    </row>
    <row r="5210" spans="24:25" x14ac:dyDescent="0.3">
      <c r="X5210" s="1">
        <f t="shared" si="162"/>
        <v>0</v>
      </c>
      <c r="Y5210" s="1">
        <f t="shared" si="163"/>
        <v>15</v>
      </c>
    </row>
    <row r="5211" spans="24:25" x14ac:dyDescent="0.3">
      <c r="X5211" s="1">
        <f t="shared" si="162"/>
        <v>0</v>
      </c>
      <c r="Y5211" s="1">
        <f t="shared" si="163"/>
        <v>15</v>
      </c>
    </row>
    <row r="5212" spans="24:25" x14ac:dyDescent="0.3">
      <c r="X5212" s="1">
        <f t="shared" si="162"/>
        <v>0</v>
      </c>
      <c r="Y5212" s="1">
        <f t="shared" si="163"/>
        <v>15</v>
      </c>
    </row>
    <row r="5213" spans="24:25" x14ac:dyDescent="0.3">
      <c r="X5213" s="1">
        <f t="shared" si="162"/>
        <v>0</v>
      </c>
      <c r="Y5213" s="1">
        <f t="shared" si="163"/>
        <v>15</v>
      </c>
    </row>
    <row r="5214" spans="24:25" x14ac:dyDescent="0.3">
      <c r="X5214" s="1">
        <f t="shared" si="162"/>
        <v>0</v>
      </c>
      <c r="Y5214" s="1">
        <f t="shared" si="163"/>
        <v>15</v>
      </c>
    </row>
    <row r="5215" spans="24:25" x14ac:dyDescent="0.3">
      <c r="X5215" s="1">
        <f t="shared" si="162"/>
        <v>0</v>
      </c>
      <c r="Y5215" s="1">
        <f t="shared" si="163"/>
        <v>15</v>
      </c>
    </row>
    <row r="5216" spans="24:25" x14ac:dyDescent="0.3">
      <c r="X5216" s="1">
        <f t="shared" si="162"/>
        <v>0</v>
      </c>
      <c r="Y5216" s="1">
        <f t="shared" si="163"/>
        <v>15</v>
      </c>
    </row>
    <row r="5217" spans="24:25" x14ac:dyDescent="0.3">
      <c r="X5217" s="1">
        <f t="shared" si="162"/>
        <v>0</v>
      </c>
      <c r="Y5217" s="1">
        <f t="shared" si="163"/>
        <v>15</v>
      </c>
    </row>
    <row r="5218" spans="24:25" x14ac:dyDescent="0.3">
      <c r="X5218" s="1">
        <f t="shared" si="162"/>
        <v>0</v>
      </c>
      <c r="Y5218" s="1">
        <f t="shared" si="163"/>
        <v>15</v>
      </c>
    </row>
    <row r="5219" spans="24:25" x14ac:dyDescent="0.3">
      <c r="X5219" s="1">
        <f t="shared" si="162"/>
        <v>0</v>
      </c>
      <c r="Y5219" s="1">
        <f t="shared" si="163"/>
        <v>15</v>
      </c>
    </row>
    <row r="5220" spans="24:25" x14ac:dyDescent="0.3">
      <c r="X5220" s="1">
        <f t="shared" si="162"/>
        <v>0</v>
      </c>
      <c r="Y5220" s="1">
        <f t="shared" si="163"/>
        <v>15</v>
      </c>
    </row>
    <row r="5221" spans="24:25" x14ac:dyDescent="0.3">
      <c r="X5221" s="1">
        <f t="shared" si="162"/>
        <v>0</v>
      </c>
      <c r="Y5221" s="1">
        <f t="shared" si="163"/>
        <v>15</v>
      </c>
    </row>
    <row r="5222" spans="24:25" x14ac:dyDescent="0.3">
      <c r="X5222" s="1">
        <f t="shared" si="162"/>
        <v>0</v>
      </c>
      <c r="Y5222" s="1">
        <f t="shared" si="163"/>
        <v>15</v>
      </c>
    </row>
    <row r="5223" spans="24:25" x14ac:dyDescent="0.3">
      <c r="X5223" s="1">
        <f t="shared" si="162"/>
        <v>0</v>
      </c>
      <c r="Y5223" s="1">
        <f t="shared" si="163"/>
        <v>15</v>
      </c>
    </row>
    <row r="5224" spans="24:25" x14ac:dyDescent="0.3">
      <c r="X5224" s="1">
        <f t="shared" si="162"/>
        <v>0</v>
      </c>
      <c r="Y5224" s="1">
        <f t="shared" si="163"/>
        <v>15</v>
      </c>
    </row>
    <row r="5225" spans="24:25" x14ac:dyDescent="0.3">
      <c r="X5225" s="1">
        <f t="shared" si="162"/>
        <v>0</v>
      </c>
      <c r="Y5225" s="1">
        <f t="shared" si="163"/>
        <v>15</v>
      </c>
    </row>
    <row r="5226" spans="24:25" x14ac:dyDescent="0.3">
      <c r="X5226" s="1">
        <f t="shared" si="162"/>
        <v>0</v>
      </c>
      <c r="Y5226" s="1">
        <f t="shared" si="163"/>
        <v>15</v>
      </c>
    </row>
    <row r="5227" spans="24:25" x14ac:dyDescent="0.3">
      <c r="X5227" s="1">
        <f t="shared" si="162"/>
        <v>0</v>
      </c>
      <c r="Y5227" s="1">
        <f t="shared" si="163"/>
        <v>15</v>
      </c>
    </row>
    <row r="5228" spans="24:25" x14ac:dyDescent="0.3">
      <c r="X5228" s="1">
        <f t="shared" si="162"/>
        <v>0</v>
      </c>
      <c r="Y5228" s="1">
        <f t="shared" si="163"/>
        <v>15</v>
      </c>
    </row>
    <row r="5229" spans="24:25" x14ac:dyDescent="0.3">
      <c r="X5229" s="1">
        <f t="shared" si="162"/>
        <v>0</v>
      </c>
      <c r="Y5229" s="1">
        <f t="shared" si="163"/>
        <v>15</v>
      </c>
    </row>
    <row r="5230" spans="24:25" x14ac:dyDescent="0.3">
      <c r="X5230" s="1">
        <f t="shared" si="162"/>
        <v>0</v>
      </c>
      <c r="Y5230" s="1">
        <f t="shared" si="163"/>
        <v>15</v>
      </c>
    </row>
    <row r="5231" spans="24:25" x14ac:dyDescent="0.3">
      <c r="X5231" s="1">
        <f t="shared" si="162"/>
        <v>0</v>
      </c>
      <c r="Y5231" s="1">
        <f t="shared" si="163"/>
        <v>15</v>
      </c>
    </row>
    <row r="5232" spans="24:25" x14ac:dyDescent="0.3">
      <c r="X5232" s="1">
        <f t="shared" si="162"/>
        <v>0</v>
      </c>
      <c r="Y5232" s="1">
        <f t="shared" si="163"/>
        <v>15</v>
      </c>
    </row>
    <row r="5233" spans="24:25" x14ac:dyDescent="0.3">
      <c r="X5233" s="1">
        <f t="shared" si="162"/>
        <v>0</v>
      </c>
      <c r="Y5233" s="1">
        <f t="shared" si="163"/>
        <v>15</v>
      </c>
    </row>
    <row r="5234" spans="24:25" x14ac:dyDescent="0.3">
      <c r="X5234" s="1">
        <f t="shared" si="162"/>
        <v>0</v>
      </c>
      <c r="Y5234" s="1">
        <f t="shared" si="163"/>
        <v>15</v>
      </c>
    </row>
    <row r="5235" spans="24:25" x14ac:dyDescent="0.3">
      <c r="X5235" s="1">
        <f t="shared" si="162"/>
        <v>0</v>
      </c>
      <c r="Y5235" s="1">
        <f t="shared" si="163"/>
        <v>15</v>
      </c>
    </row>
    <row r="5236" spans="24:25" x14ac:dyDescent="0.3">
      <c r="X5236" s="1">
        <f t="shared" si="162"/>
        <v>0</v>
      </c>
      <c r="Y5236" s="1">
        <f t="shared" si="163"/>
        <v>15</v>
      </c>
    </row>
    <row r="5237" spans="24:25" x14ac:dyDescent="0.3">
      <c r="X5237" s="1">
        <f t="shared" si="162"/>
        <v>0</v>
      </c>
      <c r="Y5237" s="1">
        <f t="shared" si="163"/>
        <v>15</v>
      </c>
    </row>
    <row r="5238" spans="24:25" x14ac:dyDescent="0.3">
      <c r="X5238" s="1">
        <f t="shared" si="162"/>
        <v>0</v>
      </c>
      <c r="Y5238" s="1">
        <f t="shared" si="163"/>
        <v>15</v>
      </c>
    </row>
    <row r="5239" spans="24:25" x14ac:dyDescent="0.3">
      <c r="X5239" s="1">
        <f t="shared" si="162"/>
        <v>0</v>
      </c>
      <c r="Y5239" s="1">
        <f t="shared" si="163"/>
        <v>15</v>
      </c>
    </row>
    <row r="5240" spans="24:25" x14ac:dyDescent="0.3">
      <c r="X5240" s="1">
        <f t="shared" si="162"/>
        <v>0</v>
      </c>
      <c r="Y5240" s="1">
        <f t="shared" si="163"/>
        <v>15</v>
      </c>
    </row>
    <row r="5241" spans="24:25" x14ac:dyDescent="0.3">
      <c r="X5241" s="1">
        <f t="shared" si="162"/>
        <v>0</v>
      </c>
      <c r="Y5241" s="1">
        <f t="shared" si="163"/>
        <v>15</v>
      </c>
    </row>
    <row r="5242" spans="24:25" x14ac:dyDescent="0.3">
      <c r="X5242" s="1">
        <f t="shared" si="162"/>
        <v>0</v>
      </c>
      <c r="Y5242" s="1">
        <f t="shared" si="163"/>
        <v>15</v>
      </c>
    </row>
    <row r="5243" spans="24:25" x14ac:dyDescent="0.3">
      <c r="X5243" s="1">
        <f t="shared" si="162"/>
        <v>0</v>
      </c>
      <c r="Y5243" s="1">
        <f t="shared" si="163"/>
        <v>15</v>
      </c>
    </row>
    <row r="5244" spans="24:25" x14ac:dyDescent="0.3">
      <c r="X5244" s="1">
        <f t="shared" si="162"/>
        <v>0</v>
      </c>
      <c r="Y5244" s="1">
        <f t="shared" si="163"/>
        <v>15</v>
      </c>
    </row>
    <row r="5245" spans="24:25" x14ac:dyDescent="0.3">
      <c r="X5245" s="1">
        <f t="shared" si="162"/>
        <v>0</v>
      </c>
      <c r="Y5245" s="1">
        <f t="shared" si="163"/>
        <v>15</v>
      </c>
    </row>
    <row r="5246" spans="24:25" x14ac:dyDescent="0.3">
      <c r="X5246" s="1">
        <f t="shared" si="162"/>
        <v>0</v>
      </c>
      <c r="Y5246" s="1">
        <f t="shared" si="163"/>
        <v>15</v>
      </c>
    </row>
    <row r="5247" spans="24:25" x14ac:dyDescent="0.3">
      <c r="X5247" s="1">
        <f t="shared" si="162"/>
        <v>0</v>
      </c>
      <c r="Y5247" s="1">
        <f t="shared" si="163"/>
        <v>15</v>
      </c>
    </row>
    <row r="5248" spans="24:25" x14ac:dyDescent="0.3">
      <c r="X5248" s="1">
        <f t="shared" si="162"/>
        <v>0</v>
      </c>
      <c r="Y5248" s="1">
        <f t="shared" si="163"/>
        <v>15</v>
      </c>
    </row>
    <row r="5249" spans="24:25" x14ac:dyDescent="0.3">
      <c r="X5249" s="1">
        <f t="shared" si="162"/>
        <v>0</v>
      </c>
      <c r="Y5249" s="1">
        <f t="shared" si="163"/>
        <v>15</v>
      </c>
    </row>
    <row r="5250" spans="24:25" x14ac:dyDescent="0.3">
      <c r="X5250" s="1">
        <f t="shared" si="162"/>
        <v>0</v>
      </c>
      <c r="Y5250" s="1">
        <f t="shared" si="163"/>
        <v>15</v>
      </c>
    </row>
    <row r="5251" spans="24:25" x14ac:dyDescent="0.3">
      <c r="X5251" s="1">
        <f t="shared" ref="X5251:X5314" si="164">IFERROR(MATCH(W5251,$B:$B,0),0)</f>
        <v>0</v>
      </c>
      <c r="Y5251" s="1">
        <f t="shared" ref="Y5251:Y5314" si="165">IF(X5252=0,COUNTA(A:A),X5252-1)</f>
        <v>15</v>
      </c>
    </row>
    <row r="5252" spans="24:25" x14ac:dyDescent="0.3">
      <c r="X5252" s="1">
        <f t="shared" si="164"/>
        <v>0</v>
      </c>
      <c r="Y5252" s="1">
        <f t="shared" si="165"/>
        <v>15</v>
      </c>
    </row>
    <row r="5253" spans="24:25" x14ac:dyDescent="0.3">
      <c r="X5253" s="1">
        <f t="shared" si="164"/>
        <v>0</v>
      </c>
      <c r="Y5253" s="1">
        <f t="shared" si="165"/>
        <v>15</v>
      </c>
    </row>
    <row r="5254" spans="24:25" x14ac:dyDescent="0.3">
      <c r="X5254" s="1">
        <f t="shared" si="164"/>
        <v>0</v>
      </c>
      <c r="Y5254" s="1">
        <f t="shared" si="165"/>
        <v>15</v>
      </c>
    </row>
    <row r="5255" spans="24:25" x14ac:dyDescent="0.3">
      <c r="X5255" s="1">
        <f t="shared" si="164"/>
        <v>0</v>
      </c>
      <c r="Y5255" s="1">
        <f t="shared" si="165"/>
        <v>15</v>
      </c>
    </row>
    <row r="5256" spans="24:25" x14ac:dyDescent="0.3">
      <c r="X5256" s="1">
        <f t="shared" si="164"/>
        <v>0</v>
      </c>
      <c r="Y5256" s="1">
        <f t="shared" si="165"/>
        <v>15</v>
      </c>
    </row>
    <row r="5257" spans="24:25" x14ac:dyDescent="0.3">
      <c r="X5257" s="1">
        <f t="shared" si="164"/>
        <v>0</v>
      </c>
      <c r="Y5257" s="1">
        <f t="shared" si="165"/>
        <v>15</v>
      </c>
    </row>
    <row r="5258" spans="24:25" x14ac:dyDescent="0.3">
      <c r="X5258" s="1">
        <f t="shared" si="164"/>
        <v>0</v>
      </c>
      <c r="Y5258" s="1">
        <f t="shared" si="165"/>
        <v>15</v>
      </c>
    </row>
    <row r="5259" spans="24:25" x14ac:dyDescent="0.3">
      <c r="X5259" s="1">
        <f t="shared" si="164"/>
        <v>0</v>
      </c>
      <c r="Y5259" s="1">
        <f t="shared" si="165"/>
        <v>15</v>
      </c>
    </row>
    <row r="5260" spans="24:25" x14ac:dyDescent="0.3">
      <c r="X5260" s="1">
        <f t="shared" si="164"/>
        <v>0</v>
      </c>
      <c r="Y5260" s="1">
        <f t="shared" si="165"/>
        <v>15</v>
      </c>
    </row>
    <row r="5261" spans="24:25" x14ac:dyDescent="0.3">
      <c r="X5261" s="1">
        <f t="shared" si="164"/>
        <v>0</v>
      </c>
      <c r="Y5261" s="1">
        <f t="shared" si="165"/>
        <v>15</v>
      </c>
    </row>
    <row r="5262" spans="24:25" x14ac:dyDescent="0.3">
      <c r="X5262" s="1">
        <f t="shared" si="164"/>
        <v>0</v>
      </c>
      <c r="Y5262" s="1">
        <f t="shared" si="165"/>
        <v>15</v>
      </c>
    </row>
    <row r="5263" spans="24:25" x14ac:dyDescent="0.3">
      <c r="X5263" s="1">
        <f t="shared" si="164"/>
        <v>0</v>
      </c>
      <c r="Y5263" s="1">
        <f t="shared" si="165"/>
        <v>15</v>
      </c>
    </row>
    <row r="5264" spans="24:25" x14ac:dyDescent="0.3">
      <c r="X5264" s="1">
        <f t="shared" si="164"/>
        <v>0</v>
      </c>
      <c r="Y5264" s="1">
        <f t="shared" si="165"/>
        <v>15</v>
      </c>
    </row>
    <row r="5265" spans="24:25" x14ac:dyDescent="0.3">
      <c r="X5265" s="1">
        <f t="shared" si="164"/>
        <v>0</v>
      </c>
      <c r="Y5265" s="1">
        <f t="shared" si="165"/>
        <v>15</v>
      </c>
    </row>
    <row r="5266" spans="24:25" x14ac:dyDescent="0.3">
      <c r="X5266" s="1">
        <f t="shared" si="164"/>
        <v>0</v>
      </c>
      <c r="Y5266" s="1">
        <f t="shared" si="165"/>
        <v>15</v>
      </c>
    </row>
    <row r="5267" spans="24:25" x14ac:dyDescent="0.3">
      <c r="X5267" s="1">
        <f t="shared" si="164"/>
        <v>0</v>
      </c>
      <c r="Y5267" s="1">
        <f t="shared" si="165"/>
        <v>15</v>
      </c>
    </row>
    <row r="5268" spans="24:25" x14ac:dyDescent="0.3">
      <c r="X5268" s="1">
        <f t="shared" si="164"/>
        <v>0</v>
      </c>
      <c r="Y5268" s="1">
        <f t="shared" si="165"/>
        <v>15</v>
      </c>
    </row>
    <row r="5269" spans="24:25" x14ac:dyDescent="0.3">
      <c r="X5269" s="1">
        <f t="shared" si="164"/>
        <v>0</v>
      </c>
      <c r="Y5269" s="1">
        <f t="shared" si="165"/>
        <v>15</v>
      </c>
    </row>
    <row r="5270" spans="24:25" x14ac:dyDescent="0.3">
      <c r="X5270" s="1">
        <f t="shared" si="164"/>
        <v>0</v>
      </c>
      <c r="Y5270" s="1">
        <f t="shared" si="165"/>
        <v>15</v>
      </c>
    </row>
    <row r="5271" spans="24:25" x14ac:dyDescent="0.3">
      <c r="X5271" s="1">
        <f t="shared" si="164"/>
        <v>0</v>
      </c>
      <c r="Y5271" s="1">
        <f t="shared" si="165"/>
        <v>15</v>
      </c>
    </row>
    <row r="5272" spans="24:25" x14ac:dyDescent="0.3">
      <c r="X5272" s="1">
        <f t="shared" si="164"/>
        <v>0</v>
      </c>
      <c r="Y5272" s="1">
        <f t="shared" si="165"/>
        <v>15</v>
      </c>
    </row>
    <row r="5273" spans="24:25" x14ac:dyDescent="0.3">
      <c r="X5273" s="1">
        <f t="shared" si="164"/>
        <v>0</v>
      </c>
      <c r="Y5273" s="1">
        <f t="shared" si="165"/>
        <v>15</v>
      </c>
    </row>
    <row r="5274" spans="24:25" x14ac:dyDescent="0.3">
      <c r="X5274" s="1">
        <f t="shared" si="164"/>
        <v>0</v>
      </c>
      <c r="Y5274" s="1">
        <f t="shared" si="165"/>
        <v>15</v>
      </c>
    </row>
    <row r="5275" spans="24:25" x14ac:dyDescent="0.3">
      <c r="X5275" s="1">
        <f t="shared" si="164"/>
        <v>0</v>
      </c>
      <c r="Y5275" s="1">
        <f t="shared" si="165"/>
        <v>15</v>
      </c>
    </row>
    <row r="5276" spans="24:25" x14ac:dyDescent="0.3">
      <c r="X5276" s="1">
        <f t="shared" si="164"/>
        <v>0</v>
      </c>
      <c r="Y5276" s="1">
        <f t="shared" si="165"/>
        <v>15</v>
      </c>
    </row>
    <row r="5277" spans="24:25" x14ac:dyDescent="0.3">
      <c r="X5277" s="1">
        <f t="shared" si="164"/>
        <v>0</v>
      </c>
      <c r="Y5277" s="1">
        <f t="shared" si="165"/>
        <v>15</v>
      </c>
    </row>
    <row r="5278" spans="24:25" x14ac:dyDescent="0.3">
      <c r="X5278" s="1">
        <f t="shared" si="164"/>
        <v>0</v>
      </c>
      <c r="Y5278" s="1">
        <f t="shared" si="165"/>
        <v>15</v>
      </c>
    </row>
    <row r="5279" spans="24:25" x14ac:dyDescent="0.3">
      <c r="X5279" s="1">
        <f t="shared" si="164"/>
        <v>0</v>
      </c>
      <c r="Y5279" s="1">
        <f t="shared" si="165"/>
        <v>15</v>
      </c>
    </row>
    <row r="5280" spans="24:25" x14ac:dyDescent="0.3">
      <c r="X5280" s="1">
        <f t="shared" si="164"/>
        <v>0</v>
      </c>
      <c r="Y5280" s="1">
        <f t="shared" si="165"/>
        <v>15</v>
      </c>
    </row>
    <row r="5281" spans="24:25" x14ac:dyDescent="0.3">
      <c r="X5281" s="1">
        <f t="shared" si="164"/>
        <v>0</v>
      </c>
      <c r="Y5281" s="1">
        <f t="shared" si="165"/>
        <v>15</v>
      </c>
    </row>
    <row r="5282" spans="24:25" x14ac:dyDescent="0.3">
      <c r="X5282" s="1">
        <f t="shared" si="164"/>
        <v>0</v>
      </c>
      <c r="Y5282" s="1">
        <f t="shared" si="165"/>
        <v>15</v>
      </c>
    </row>
    <row r="5283" spans="24:25" x14ac:dyDescent="0.3">
      <c r="X5283" s="1">
        <f t="shared" si="164"/>
        <v>0</v>
      </c>
      <c r="Y5283" s="1">
        <f t="shared" si="165"/>
        <v>15</v>
      </c>
    </row>
    <row r="5284" spans="24:25" x14ac:dyDescent="0.3">
      <c r="X5284" s="1">
        <f t="shared" si="164"/>
        <v>0</v>
      </c>
      <c r="Y5284" s="1">
        <f t="shared" si="165"/>
        <v>15</v>
      </c>
    </row>
    <row r="5285" spans="24:25" x14ac:dyDescent="0.3">
      <c r="X5285" s="1">
        <f t="shared" si="164"/>
        <v>0</v>
      </c>
      <c r="Y5285" s="1">
        <f t="shared" si="165"/>
        <v>15</v>
      </c>
    </row>
    <row r="5286" spans="24:25" x14ac:dyDescent="0.3">
      <c r="X5286" s="1">
        <f t="shared" si="164"/>
        <v>0</v>
      </c>
      <c r="Y5286" s="1">
        <f t="shared" si="165"/>
        <v>15</v>
      </c>
    </row>
    <row r="5287" spans="24:25" x14ac:dyDescent="0.3">
      <c r="X5287" s="1">
        <f t="shared" si="164"/>
        <v>0</v>
      </c>
      <c r="Y5287" s="1">
        <f t="shared" si="165"/>
        <v>15</v>
      </c>
    </row>
    <row r="5288" spans="24:25" x14ac:dyDescent="0.3">
      <c r="X5288" s="1">
        <f t="shared" si="164"/>
        <v>0</v>
      </c>
      <c r="Y5288" s="1">
        <f t="shared" si="165"/>
        <v>15</v>
      </c>
    </row>
    <row r="5289" spans="24:25" x14ac:dyDescent="0.3">
      <c r="X5289" s="1">
        <f t="shared" si="164"/>
        <v>0</v>
      </c>
      <c r="Y5289" s="1">
        <f t="shared" si="165"/>
        <v>15</v>
      </c>
    </row>
    <row r="5290" spans="24:25" x14ac:dyDescent="0.3">
      <c r="X5290" s="1">
        <f t="shared" si="164"/>
        <v>0</v>
      </c>
      <c r="Y5290" s="1">
        <f t="shared" si="165"/>
        <v>15</v>
      </c>
    </row>
    <row r="5291" spans="24:25" x14ac:dyDescent="0.3">
      <c r="X5291" s="1">
        <f t="shared" si="164"/>
        <v>0</v>
      </c>
      <c r="Y5291" s="1">
        <f t="shared" si="165"/>
        <v>15</v>
      </c>
    </row>
    <row r="5292" spans="24:25" x14ac:dyDescent="0.3">
      <c r="X5292" s="1">
        <f t="shared" si="164"/>
        <v>0</v>
      </c>
      <c r="Y5292" s="1">
        <f t="shared" si="165"/>
        <v>15</v>
      </c>
    </row>
    <row r="5293" spans="24:25" x14ac:dyDescent="0.3">
      <c r="X5293" s="1">
        <f t="shared" si="164"/>
        <v>0</v>
      </c>
      <c r="Y5293" s="1">
        <f t="shared" si="165"/>
        <v>15</v>
      </c>
    </row>
    <row r="5294" spans="24:25" x14ac:dyDescent="0.3">
      <c r="X5294" s="1">
        <f t="shared" si="164"/>
        <v>0</v>
      </c>
      <c r="Y5294" s="1">
        <f t="shared" si="165"/>
        <v>15</v>
      </c>
    </row>
    <row r="5295" spans="24:25" x14ac:dyDescent="0.3">
      <c r="X5295" s="1">
        <f t="shared" si="164"/>
        <v>0</v>
      </c>
      <c r="Y5295" s="1">
        <f t="shared" si="165"/>
        <v>15</v>
      </c>
    </row>
    <row r="5296" spans="24:25" x14ac:dyDescent="0.3">
      <c r="X5296" s="1">
        <f t="shared" si="164"/>
        <v>0</v>
      </c>
      <c r="Y5296" s="1">
        <f t="shared" si="165"/>
        <v>15</v>
      </c>
    </row>
    <row r="5297" spans="24:25" x14ac:dyDescent="0.3">
      <c r="X5297" s="1">
        <f t="shared" si="164"/>
        <v>0</v>
      </c>
      <c r="Y5297" s="1">
        <f t="shared" si="165"/>
        <v>15</v>
      </c>
    </row>
    <row r="5298" spans="24:25" x14ac:dyDescent="0.3">
      <c r="X5298" s="1">
        <f t="shared" si="164"/>
        <v>0</v>
      </c>
      <c r="Y5298" s="1">
        <f t="shared" si="165"/>
        <v>15</v>
      </c>
    </row>
    <row r="5299" spans="24:25" x14ac:dyDescent="0.3">
      <c r="X5299" s="1">
        <f t="shared" si="164"/>
        <v>0</v>
      </c>
      <c r="Y5299" s="1">
        <f t="shared" si="165"/>
        <v>15</v>
      </c>
    </row>
    <row r="5300" spans="24:25" x14ac:dyDescent="0.3">
      <c r="X5300" s="1">
        <f t="shared" si="164"/>
        <v>0</v>
      </c>
      <c r="Y5300" s="1">
        <f t="shared" si="165"/>
        <v>15</v>
      </c>
    </row>
    <row r="5301" spans="24:25" x14ac:dyDescent="0.3">
      <c r="X5301" s="1">
        <f t="shared" si="164"/>
        <v>0</v>
      </c>
      <c r="Y5301" s="1">
        <f t="shared" si="165"/>
        <v>15</v>
      </c>
    </row>
    <row r="5302" spans="24:25" x14ac:dyDescent="0.3">
      <c r="X5302" s="1">
        <f t="shared" si="164"/>
        <v>0</v>
      </c>
      <c r="Y5302" s="1">
        <f t="shared" si="165"/>
        <v>15</v>
      </c>
    </row>
    <row r="5303" spans="24:25" x14ac:dyDescent="0.3">
      <c r="X5303" s="1">
        <f t="shared" si="164"/>
        <v>0</v>
      </c>
      <c r="Y5303" s="1">
        <f t="shared" si="165"/>
        <v>15</v>
      </c>
    </row>
    <row r="5304" spans="24:25" x14ac:dyDescent="0.3">
      <c r="X5304" s="1">
        <f t="shared" si="164"/>
        <v>0</v>
      </c>
      <c r="Y5304" s="1">
        <f t="shared" si="165"/>
        <v>15</v>
      </c>
    </row>
    <row r="5305" spans="24:25" x14ac:dyDescent="0.3">
      <c r="X5305" s="1">
        <f t="shared" si="164"/>
        <v>0</v>
      </c>
      <c r="Y5305" s="1">
        <f t="shared" si="165"/>
        <v>15</v>
      </c>
    </row>
    <row r="5306" spans="24:25" x14ac:dyDescent="0.3">
      <c r="X5306" s="1">
        <f t="shared" si="164"/>
        <v>0</v>
      </c>
      <c r="Y5306" s="1">
        <f t="shared" si="165"/>
        <v>15</v>
      </c>
    </row>
    <row r="5307" spans="24:25" x14ac:dyDescent="0.3">
      <c r="X5307" s="1">
        <f t="shared" si="164"/>
        <v>0</v>
      </c>
      <c r="Y5307" s="1">
        <f t="shared" si="165"/>
        <v>15</v>
      </c>
    </row>
    <row r="5308" spans="24:25" x14ac:dyDescent="0.3">
      <c r="X5308" s="1">
        <f t="shared" si="164"/>
        <v>0</v>
      </c>
      <c r="Y5308" s="1">
        <f t="shared" si="165"/>
        <v>15</v>
      </c>
    </row>
    <row r="5309" spans="24:25" x14ac:dyDescent="0.3">
      <c r="X5309" s="1">
        <f t="shared" si="164"/>
        <v>0</v>
      </c>
      <c r="Y5309" s="1">
        <f t="shared" si="165"/>
        <v>15</v>
      </c>
    </row>
    <row r="5310" spans="24:25" x14ac:dyDescent="0.3">
      <c r="X5310" s="1">
        <f t="shared" si="164"/>
        <v>0</v>
      </c>
      <c r="Y5310" s="1">
        <f t="shared" si="165"/>
        <v>15</v>
      </c>
    </row>
    <row r="5311" spans="24:25" x14ac:dyDescent="0.3">
      <c r="X5311" s="1">
        <f t="shared" si="164"/>
        <v>0</v>
      </c>
      <c r="Y5311" s="1">
        <f t="shared" si="165"/>
        <v>15</v>
      </c>
    </row>
    <row r="5312" spans="24:25" x14ac:dyDescent="0.3">
      <c r="X5312" s="1">
        <f t="shared" si="164"/>
        <v>0</v>
      </c>
      <c r="Y5312" s="1">
        <f t="shared" si="165"/>
        <v>15</v>
      </c>
    </row>
    <row r="5313" spans="24:25" x14ac:dyDescent="0.3">
      <c r="X5313" s="1">
        <f t="shared" si="164"/>
        <v>0</v>
      </c>
      <c r="Y5313" s="1">
        <f t="shared" si="165"/>
        <v>15</v>
      </c>
    </row>
    <row r="5314" spans="24:25" x14ac:dyDescent="0.3">
      <c r="X5314" s="1">
        <f t="shared" si="164"/>
        <v>0</v>
      </c>
      <c r="Y5314" s="1">
        <f t="shared" si="165"/>
        <v>15</v>
      </c>
    </row>
    <row r="5315" spans="24:25" x14ac:dyDescent="0.3">
      <c r="X5315" s="1">
        <f t="shared" ref="X5315:X5378" si="166">IFERROR(MATCH(W5315,$B:$B,0),0)</f>
        <v>0</v>
      </c>
      <c r="Y5315" s="1">
        <f t="shared" ref="Y5315:Y5378" si="167">IF(X5316=0,COUNTA(A:A),X5316-1)</f>
        <v>15</v>
      </c>
    </row>
    <row r="5316" spans="24:25" x14ac:dyDescent="0.3">
      <c r="X5316" s="1">
        <f t="shared" si="166"/>
        <v>0</v>
      </c>
      <c r="Y5316" s="1">
        <f t="shared" si="167"/>
        <v>15</v>
      </c>
    </row>
    <row r="5317" spans="24:25" x14ac:dyDescent="0.3">
      <c r="X5317" s="1">
        <f t="shared" si="166"/>
        <v>0</v>
      </c>
      <c r="Y5317" s="1">
        <f t="shared" si="167"/>
        <v>15</v>
      </c>
    </row>
    <row r="5318" spans="24:25" x14ac:dyDescent="0.3">
      <c r="X5318" s="1">
        <f t="shared" si="166"/>
        <v>0</v>
      </c>
      <c r="Y5318" s="1">
        <f t="shared" si="167"/>
        <v>15</v>
      </c>
    </row>
    <row r="5319" spans="24:25" x14ac:dyDescent="0.3">
      <c r="X5319" s="1">
        <f t="shared" si="166"/>
        <v>0</v>
      </c>
      <c r="Y5319" s="1">
        <f t="shared" si="167"/>
        <v>15</v>
      </c>
    </row>
    <row r="5320" spans="24:25" x14ac:dyDescent="0.3">
      <c r="X5320" s="1">
        <f t="shared" si="166"/>
        <v>0</v>
      </c>
      <c r="Y5320" s="1">
        <f t="shared" si="167"/>
        <v>15</v>
      </c>
    </row>
    <row r="5321" spans="24:25" x14ac:dyDescent="0.3">
      <c r="X5321" s="1">
        <f t="shared" si="166"/>
        <v>0</v>
      </c>
      <c r="Y5321" s="1">
        <f t="shared" si="167"/>
        <v>15</v>
      </c>
    </row>
    <row r="5322" spans="24:25" x14ac:dyDescent="0.3">
      <c r="X5322" s="1">
        <f t="shared" si="166"/>
        <v>0</v>
      </c>
      <c r="Y5322" s="1">
        <f t="shared" si="167"/>
        <v>15</v>
      </c>
    </row>
    <row r="5323" spans="24:25" x14ac:dyDescent="0.3">
      <c r="X5323" s="1">
        <f t="shared" si="166"/>
        <v>0</v>
      </c>
      <c r="Y5323" s="1">
        <f t="shared" si="167"/>
        <v>15</v>
      </c>
    </row>
    <row r="5324" spans="24:25" x14ac:dyDescent="0.3">
      <c r="X5324" s="1">
        <f t="shared" si="166"/>
        <v>0</v>
      </c>
      <c r="Y5324" s="1">
        <f t="shared" si="167"/>
        <v>15</v>
      </c>
    </row>
    <row r="5325" spans="24:25" x14ac:dyDescent="0.3">
      <c r="X5325" s="1">
        <f t="shared" si="166"/>
        <v>0</v>
      </c>
      <c r="Y5325" s="1">
        <f t="shared" si="167"/>
        <v>15</v>
      </c>
    </row>
    <row r="5326" spans="24:25" x14ac:dyDescent="0.3">
      <c r="X5326" s="1">
        <f t="shared" si="166"/>
        <v>0</v>
      </c>
      <c r="Y5326" s="1">
        <f t="shared" si="167"/>
        <v>15</v>
      </c>
    </row>
    <row r="5327" spans="24:25" x14ac:dyDescent="0.3">
      <c r="X5327" s="1">
        <f t="shared" si="166"/>
        <v>0</v>
      </c>
      <c r="Y5327" s="1">
        <f t="shared" si="167"/>
        <v>15</v>
      </c>
    </row>
    <row r="5328" spans="24:25" x14ac:dyDescent="0.3">
      <c r="X5328" s="1">
        <f t="shared" si="166"/>
        <v>0</v>
      </c>
      <c r="Y5328" s="1">
        <f t="shared" si="167"/>
        <v>15</v>
      </c>
    </row>
    <row r="5329" spans="24:25" x14ac:dyDescent="0.3">
      <c r="X5329" s="1">
        <f t="shared" si="166"/>
        <v>0</v>
      </c>
      <c r="Y5329" s="1">
        <f t="shared" si="167"/>
        <v>15</v>
      </c>
    </row>
    <row r="5330" spans="24:25" x14ac:dyDescent="0.3">
      <c r="X5330" s="1">
        <f t="shared" si="166"/>
        <v>0</v>
      </c>
      <c r="Y5330" s="1">
        <f t="shared" si="167"/>
        <v>15</v>
      </c>
    </row>
    <row r="5331" spans="24:25" x14ac:dyDescent="0.3">
      <c r="X5331" s="1">
        <f t="shared" si="166"/>
        <v>0</v>
      </c>
      <c r="Y5331" s="1">
        <f t="shared" si="167"/>
        <v>15</v>
      </c>
    </row>
    <row r="5332" spans="24:25" x14ac:dyDescent="0.3">
      <c r="X5332" s="1">
        <f t="shared" si="166"/>
        <v>0</v>
      </c>
      <c r="Y5332" s="1">
        <f t="shared" si="167"/>
        <v>15</v>
      </c>
    </row>
    <row r="5333" spans="24:25" x14ac:dyDescent="0.3">
      <c r="X5333" s="1">
        <f t="shared" si="166"/>
        <v>0</v>
      </c>
      <c r="Y5333" s="1">
        <f t="shared" si="167"/>
        <v>15</v>
      </c>
    </row>
    <row r="5334" spans="24:25" x14ac:dyDescent="0.3">
      <c r="X5334" s="1">
        <f t="shared" si="166"/>
        <v>0</v>
      </c>
      <c r="Y5334" s="1">
        <f t="shared" si="167"/>
        <v>15</v>
      </c>
    </row>
    <row r="5335" spans="24:25" x14ac:dyDescent="0.3">
      <c r="X5335" s="1">
        <f t="shared" si="166"/>
        <v>0</v>
      </c>
      <c r="Y5335" s="1">
        <f t="shared" si="167"/>
        <v>15</v>
      </c>
    </row>
    <row r="5336" spans="24:25" x14ac:dyDescent="0.3">
      <c r="X5336" s="1">
        <f t="shared" si="166"/>
        <v>0</v>
      </c>
      <c r="Y5336" s="1">
        <f t="shared" si="167"/>
        <v>15</v>
      </c>
    </row>
    <row r="5337" spans="24:25" x14ac:dyDescent="0.3">
      <c r="X5337" s="1">
        <f t="shared" si="166"/>
        <v>0</v>
      </c>
      <c r="Y5337" s="1">
        <f t="shared" si="167"/>
        <v>15</v>
      </c>
    </row>
    <row r="5338" spans="24:25" x14ac:dyDescent="0.3">
      <c r="X5338" s="1">
        <f t="shared" si="166"/>
        <v>0</v>
      </c>
      <c r="Y5338" s="1">
        <f t="shared" si="167"/>
        <v>15</v>
      </c>
    </row>
    <row r="5339" spans="24:25" x14ac:dyDescent="0.3">
      <c r="X5339" s="1">
        <f t="shared" si="166"/>
        <v>0</v>
      </c>
      <c r="Y5339" s="1">
        <f t="shared" si="167"/>
        <v>15</v>
      </c>
    </row>
    <row r="5340" spans="24:25" x14ac:dyDescent="0.3">
      <c r="X5340" s="1">
        <f t="shared" si="166"/>
        <v>0</v>
      </c>
      <c r="Y5340" s="1">
        <f t="shared" si="167"/>
        <v>15</v>
      </c>
    </row>
    <row r="5341" spans="24:25" x14ac:dyDescent="0.3">
      <c r="X5341" s="1">
        <f t="shared" si="166"/>
        <v>0</v>
      </c>
      <c r="Y5341" s="1">
        <f t="shared" si="167"/>
        <v>15</v>
      </c>
    </row>
    <row r="5342" spans="24:25" x14ac:dyDescent="0.3">
      <c r="X5342" s="1">
        <f t="shared" si="166"/>
        <v>0</v>
      </c>
      <c r="Y5342" s="1">
        <f t="shared" si="167"/>
        <v>15</v>
      </c>
    </row>
    <row r="5343" spans="24:25" x14ac:dyDescent="0.3">
      <c r="X5343" s="1">
        <f t="shared" si="166"/>
        <v>0</v>
      </c>
      <c r="Y5343" s="1">
        <f t="shared" si="167"/>
        <v>15</v>
      </c>
    </row>
    <row r="5344" spans="24:25" x14ac:dyDescent="0.3">
      <c r="X5344" s="1">
        <f t="shared" si="166"/>
        <v>0</v>
      </c>
      <c r="Y5344" s="1">
        <f t="shared" si="167"/>
        <v>15</v>
      </c>
    </row>
    <row r="5345" spans="24:25" x14ac:dyDescent="0.3">
      <c r="X5345" s="1">
        <f t="shared" si="166"/>
        <v>0</v>
      </c>
      <c r="Y5345" s="1">
        <f t="shared" si="167"/>
        <v>15</v>
      </c>
    </row>
    <row r="5346" spans="24:25" x14ac:dyDescent="0.3">
      <c r="X5346" s="1">
        <f t="shared" si="166"/>
        <v>0</v>
      </c>
      <c r="Y5346" s="1">
        <f t="shared" si="167"/>
        <v>15</v>
      </c>
    </row>
    <row r="5347" spans="24:25" x14ac:dyDescent="0.3">
      <c r="X5347" s="1">
        <f t="shared" si="166"/>
        <v>0</v>
      </c>
      <c r="Y5347" s="1">
        <f t="shared" si="167"/>
        <v>15</v>
      </c>
    </row>
    <row r="5348" spans="24:25" x14ac:dyDescent="0.3">
      <c r="X5348" s="1">
        <f t="shared" si="166"/>
        <v>0</v>
      </c>
      <c r="Y5348" s="1">
        <f t="shared" si="167"/>
        <v>15</v>
      </c>
    </row>
    <row r="5349" spans="24:25" x14ac:dyDescent="0.3">
      <c r="X5349" s="1">
        <f t="shared" si="166"/>
        <v>0</v>
      </c>
      <c r="Y5349" s="1">
        <f t="shared" si="167"/>
        <v>15</v>
      </c>
    </row>
    <row r="5350" spans="24:25" x14ac:dyDescent="0.3">
      <c r="X5350" s="1">
        <f t="shared" si="166"/>
        <v>0</v>
      </c>
      <c r="Y5350" s="1">
        <f t="shared" si="167"/>
        <v>15</v>
      </c>
    </row>
    <row r="5351" spans="24:25" x14ac:dyDescent="0.3">
      <c r="X5351" s="1">
        <f t="shared" si="166"/>
        <v>0</v>
      </c>
      <c r="Y5351" s="1">
        <f t="shared" si="167"/>
        <v>15</v>
      </c>
    </row>
    <row r="5352" spans="24:25" x14ac:dyDescent="0.3">
      <c r="X5352" s="1">
        <f t="shared" si="166"/>
        <v>0</v>
      </c>
      <c r="Y5352" s="1">
        <f t="shared" si="167"/>
        <v>15</v>
      </c>
    </row>
    <row r="5353" spans="24:25" x14ac:dyDescent="0.3">
      <c r="X5353" s="1">
        <f t="shared" si="166"/>
        <v>0</v>
      </c>
      <c r="Y5353" s="1">
        <f t="shared" si="167"/>
        <v>15</v>
      </c>
    </row>
    <row r="5354" spans="24:25" x14ac:dyDescent="0.3">
      <c r="X5354" s="1">
        <f t="shared" si="166"/>
        <v>0</v>
      </c>
      <c r="Y5354" s="1">
        <f t="shared" si="167"/>
        <v>15</v>
      </c>
    </row>
    <row r="5355" spans="24:25" x14ac:dyDescent="0.3">
      <c r="X5355" s="1">
        <f t="shared" si="166"/>
        <v>0</v>
      </c>
      <c r="Y5355" s="1">
        <f t="shared" si="167"/>
        <v>15</v>
      </c>
    </row>
    <row r="5356" spans="24:25" x14ac:dyDescent="0.3">
      <c r="X5356" s="1">
        <f t="shared" si="166"/>
        <v>0</v>
      </c>
      <c r="Y5356" s="1">
        <f t="shared" si="167"/>
        <v>15</v>
      </c>
    </row>
    <row r="5357" spans="24:25" x14ac:dyDescent="0.3">
      <c r="X5357" s="1">
        <f t="shared" si="166"/>
        <v>0</v>
      </c>
      <c r="Y5357" s="1">
        <f t="shared" si="167"/>
        <v>15</v>
      </c>
    </row>
    <row r="5358" spans="24:25" x14ac:dyDescent="0.3">
      <c r="X5358" s="1">
        <f t="shared" si="166"/>
        <v>0</v>
      </c>
      <c r="Y5358" s="1">
        <f t="shared" si="167"/>
        <v>15</v>
      </c>
    </row>
    <row r="5359" spans="24:25" x14ac:dyDescent="0.3">
      <c r="X5359" s="1">
        <f t="shared" si="166"/>
        <v>0</v>
      </c>
      <c r="Y5359" s="1">
        <f t="shared" si="167"/>
        <v>15</v>
      </c>
    </row>
    <row r="5360" spans="24:25" x14ac:dyDescent="0.3">
      <c r="X5360" s="1">
        <f t="shared" si="166"/>
        <v>0</v>
      </c>
      <c r="Y5360" s="1">
        <f t="shared" si="167"/>
        <v>15</v>
      </c>
    </row>
    <row r="5361" spans="24:25" x14ac:dyDescent="0.3">
      <c r="X5361" s="1">
        <f t="shared" si="166"/>
        <v>0</v>
      </c>
      <c r="Y5361" s="1">
        <f t="shared" si="167"/>
        <v>15</v>
      </c>
    </row>
    <row r="5362" spans="24:25" x14ac:dyDescent="0.3">
      <c r="X5362" s="1">
        <f t="shared" si="166"/>
        <v>0</v>
      </c>
      <c r="Y5362" s="1">
        <f t="shared" si="167"/>
        <v>15</v>
      </c>
    </row>
    <row r="5363" spans="24:25" x14ac:dyDescent="0.3">
      <c r="X5363" s="1">
        <f t="shared" si="166"/>
        <v>0</v>
      </c>
      <c r="Y5363" s="1">
        <f t="shared" si="167"/>
        <v>15</v>
      </c>
    </row>
    <row r="5364" spans="24:25" x14ac:dyDescent="0.3">
      <c r="X5364" s="1">
        <f t="shared" si="166"/>
        <v>0</v>
      </c>
      <c r="Y5364" s="1">
        <f t="shared" si="167"/>
        <v>15</v>
      </c>
    </row>
    <row r="5365" spans="24:25" x14ac:dyDescent="0.3">
      <c r="X5365" s="1">
        <f t="shared" si="166"/>
        <v>0</v>
      </c>
      <c r="Y5365" s="1">
        <f t="shared" si="167"/>
        <v>15</v>
      </c>
    </row>
    <row r="5366" spans="24:25" x14ac:dyDescent="0.3">
      <c r="X5366" s="1">
        <f t="shared" si="166"/>
        <v>0</v>
      </c>
      <c r="Y5366" s="1">
        <f t="shared" si="167"/>
        <v>15</v>
      </c>
    </row>
    <row r="5367" spans="24:25" x14ac:dyDescent="0.3">
      <c r="X5367" s="1">
        <f t="shared" si="166"/>
        <v>0</v>
      </c>
      <c r="Y5367" s="1">
        <f t="shared" si="167"/>
        <v>15</v>
      </c>
    </row>
    <row r="5368" spans="24:25" x14ac:dyDescent="0.3">
      <c r="X5368" s="1">
        <f t="shared" si="166"/>
        <v>0</v>
      </c>
      <c r="Y5368" s="1">
        <f t="shared" si="167"/>
        <v>15</v>
      </c>
    </row>
    <row r="5369" spans="24:25" x14ac:dyDescent="0.3">
      <c r="X5369" s="1">
        <f t="shared" si="166"/>
        <v>0</v>
      </c>
      <c r="Y5369" s="1">
        <f t="shared" si="167"/>
        <v>15</v>
      </c>
    </row>
    <row r="5370" spans="24:25" x14ac:dyDescent="0.3">
      <c r="X5370" s="1">
        <f t="shared" si="166"/>
        <v>0</v>
      </c>
      <c r="Y5370" s="1">
        <f t="shared" si="167"/>
        <v>15</v>
      </c>
    </row>
    <row r="5371" spans="24:25" x14ac:dyDescent="0.3">
      <c r="X5371" s="1">
        <f t="shared" si="166"/>
        <v>0</v>
      </c>
      <c r="Y5371" s="1">
        <f t="shared" si="167"/>
        <v>15</v>
      </c>
    </row>
    <row r="5372" spans="24:25" x14ac:dyDescent="0.3">
      <c r="X5372" s="1">
        <f t="shared" si="166"/>
        <v>0</v>
      </c>
      <c r="Y5372" s="1">
        <f t="shared" si="167"/>
        <v>15</v>
      </c>
    </row>
    <row r="5373" spans="24:25" x14ac:dyDescent="0.3">
      <c r="X5373" s="1">
        <f t="shared" si="166"/>
        <v>0</v>
      </c>
      <c r="Y5373" s="1">
        <f t="shared" si="167"/>
        <v>15</v>
      </c>
    </row>
    <row r="5374" spans="24:25" x14ac:dyDescent="0.3">
      <c r="X5374" s="1">
        <f t="shared" si="166"/>
        <v>0</v>
      </c>
      <c r="Y5374" s="1">
        <f t="shared" si="167"/>
        <v>15</v>
      </c>
    </row>
    <row r="5375" spans="24:25" x14ac:dyDescent="0.3">
      <c r="X5375" s="1">
        <f t="shared" si="166"/>
        <v>0</v>
      </c>
      <c r="Y5375" s="1">
        <f t="shared" si="167"/>
        <v>15</v>
      </c>
    </row>
    <row r="5376" spans="24:25" x14ac:dyDescent="0.3">
      <c r="X5376" s="1">
        <f t="shared" si="166"/>
        <v>0</v>
      </c>
      <c r="Y5376" s="1">
        <f t="shared" si="167"/>
        <v>15</v>
      </c>
    </row>
    <row r="5377" spans="24:25" x14ac:dyDescent="0.3">
      <c r="X5377" s="1">
        <f t="shared" si="166"/>
        <v>0</v>
      </c>
      <c r="Y5377" s="1">
        <f t="shared" si="167"/>
        <v>15</v>
      </c>
    </row>
    <row r="5378" spans="24:25" x14ac:dyDescent="0.3">
      <c r="X5378" s="1">
        <f t="shared" si="166"/>
        <v>0</v>
      </c>
      <c r="Y5378" s="1">
        <f t="shared" si="167"/>
        <v>15</v>
      </c>
    </row>
    <row r="5379" spans="24:25" x14ac:dyDescent="0.3">
      <c r="X5379" s="1">
        <f t="shared" ref="X5379:X5442" si="168">IFERROR(MATCH(W5379,$B:$B,0),0)</f>
        <v>0</v>
      </c>
      <c r="Y5379" s="1">
        <f t="shared" ref="Y5379:Y5442" si="169">IF(X5380=0,COUNTA(A:A),X5380-1)</f>
        <v>15</v>
      </c>
    </row>
    <row r="5380" spans="24:25" x14ac:dyDescent="0.3">
      <c r="X5380" s="1">
        <f t="shared" si="168"/>
        <v>0</v>
      </c>
      <c r="Y5380" s="1">
        <f t="shared" si="169"/>
        <v>15</v>
      </c>
    </row>
    <row r="5381" spans="24:25" x14ac:dyDescent="0.3">
      <c r="X5381" s="1">
        <f t="shared" si="168"/>
        <v>0</v>
      </c>
      <c r="Y5381" s="1">
        <f t="shared" si="169"/>
        <v>15</v>
      </c>
    </row>
    <row r="5382" spans="24:25" x14ac:dyDescent="0.3">
      <c r="X5382" s="1">
        <f t="shared" si="168"/>
        <v>0</v>
      </c>
      <c r="Y5382" s="1">
        <f t="shared" si="169"/>
        <v>15</v>
      </c>
    </row>
    <row r="5383" spans="24:25" x14ac:dyDescent="0.3">
      <c r="X5383" s="1">
        <f t="shared" si="168"/>
        <v>0</v>
      </c>
      <c r="Y5383" s="1">
        <f t="shared" si="169"/>
        <v>15</v>
      </c>
    </row>
    <row r="5384" spans="24:25" x14ac:dyDescent="0.3">
      <c r="X5384" s="1">
        <f t="shared" si="168"/>
        <v>0</v>
      </c>
      <c r="Y5384" s="1">
        <f t="shared" si="169"/>
        <v>15</v>
      </c>
    </row>
    <row r="5385" spans="24:25" x14ac:dyDescent="0.3">
      <c r="X5385" s="1">
        <f t="shared" si="168"/>
        <v>0</v>
      </c>
      <c r="Y5385" s="1">
        <f t="shared" si="169"/>
        <v>15</v>
      </c>
    </row>
    <row r="5386" spans="24:25" x14ac:dyDescent="0.3">
      <c r="X5386" s="1">
        <f t="shared" si="168"/>
        <v>0</v>
      </c>
      <c r="Y5386" s="1">
        <f t="shared" si="169"/>
        <v>15</v>
      </c>
    </row>
    <row r="5387" spans="24:25" x14ac:dyDescent="0.3">
      <c r="X5387" s="1">
        <f t="shared" si="168"/>
        <v>0</v>
      </c>
      <c r="Y5387" s="1">
        <f t="shared" si="169"/>
        <v>15</v>
      </c>
    </row>
    <row r="5388" spans="24:25" x14ac:dyDescent="0.3">
      <c r="X5388" s="1">
        <f t="shared" si="168"/>
        <v>0</v>
      </c>
      <c r="Y5388" s="1">
        <f t="shared" si="169"/>
        <v>15</v>
      </c>
    </row>
    <row r="5389" spans="24:25" x14ac:dyDescent="0.3">
      <c r="X5389" s="1">
        <f t="shared" si="168"/>
        <v>0</v>
      </c>
      <c r="Y5389" s="1">
        <f t="shared" si="169"/>
        <v>15</v>
      </c>
    </row>
    <row r="5390" spans="24:25" x14ac:dyDescent="0.3">
      <c r="X5390" s="1">
        <f t="shared" si="168"/>
        <v>0</v>
      </c>
      <c r="Y5390" s="1">
        <f t="shared" si="169"/>
        <v>15</v>
      </c>
    </row>
    <row r="5391" spans="24:25" x14ac:dyDescent="0.3">
      <c r="X5391" s="1">
        <f t="shared" si="168"/>
        <v>0</v>
      </c>
      <c r="Y5391" s="1">
        <f t="shared" si="169"/>
        <v>15</v>
      </c>
    </row>
    <row r="5392" spans="24:25" x14ac:dyDescent="0.3">
      <c r="X5392" s="1">
        <f t="shared" si="168"/>
        <v>0</v>
      </c>
      <c r="Y5392" s="1">
        <f t="shared" si="169"/>
        <v>15</v>
      </c>
    </row>
    <row r="5393" spans="24:25" x14ac:dyDescent="0.3">
      <c r="X5393" s="1">
        <f t="shared" si="168"/>
        <v>0</v>
      </c>
      <c r="Y5393" s="1">
        <f t="shared" si="169"/>
        <v>15</v>
      </c>
    </row>
    <row r="5394" spans="24:25" x14ac:dyDescent="0.3">
      <c r="X5394" s="1">
        <f t="shared" si="168"/>
        <v>0</v>
      </c>
      <c r="Y5394" s="1">
        <f t="shared" si="169"/>
        <v>15</v>
      </c>
    </row>
    <row r="5395" spans="24:25" x14ac:dyDescent="0.3">
      <c r="X5395" s="1">
        <f t="shared" si="168"/>
        <v>0</v>
      </c>
      <c r="Y5395" s="1">
        <f t="shared" si="169"/>
        <v>15</v>
      </c>
    </row>
    <row r="5396" spans="24:25" x14ac:dyDescent="0.3">
      <c r="X5396" s="1">
        <f t="shared" si="168"/>
        <v>0</v>
      </c>
      <c r="Y5396" s="1">
        <f t="shared" si="169"/>
        <v>15</v>
      </c>
    </row>
    <row r="5397" spans="24:25" x14ac:dyDescent="0.3">
      <c r="X5397" s="1">
        <f t="shared" si="168"/>
        <v>0</v>
      </c>
      <c r="Y5397" s="1">
        <f t="shared" si="169"/>
        <v>15</v>
      </c>
    </row>
    <row r="5398" spans="24:25" x14ac:dyDescent="0.3">
      <c r="X5398" s="1">
        <f t="shared" si="168"/>
        <v>0</v>
      </c>
      <c r="Y5398" s="1">
        <f t="shared" si="169"/>
        <v>15</v>
      </c>
    </row>
    <row r="5399" spans="24:25" x14ac:dyDescent="0.3">
      <c r="X5399" s="1">
        <f t="shared" si="168"/>
        <v>0</v>
      </c>
      <c r="Y5399" s="1">
        <f t="shared" si="169"/>
        <v>15</v>
      </c>
    </row>
    <row r="5400" spans="24:25" x14ac:dyDescent="0.3">
      <c r="X5400" s="1">
        <f t="shared" si="168"/>
        <v>0</v>
      </c>
      <c r="Y5400" s="1">
        <f t="shared" si="169"/>
        <v>15</v>
      </c>
    </row>
    <row r="5401" spans="24:25" x14ac:dyDescent="0.3">
      <c r="X5401" s="1">
        <f t="shared" si="168"/>
        <v>0</v>
      </c>
      <c r="Y5401" s="1">
        <f t="shared" si="169"/>
        <v>15</v>
      </c>
    </row>
    <row r="5402" spans="24:25" x14ac:dyDescent="0.3">
      <c r="X5402" s="1">
        <f t="shared" si="168"/>
        <v>0</v>
      </c>
      <c r="Y5402" s="1">
        <f t="shared" si="169"/>
        <v>15</v>
      </c>
    </row>
    <row r="5403" spans="24:25" x14ac:dyDescent="0.3">
      <c r="X5403" s="1">
        <f t="shared" si="168"/>
        <v>0</v>
      </c>
      <c r="Y5403" s="1">
        <f t="shared" si="169"/>
        <v>15</v>
      </c>
    </row>
    <row r="5404" spans="24:25" x14ac:dyDescent="0.3">
      <c r="X5404" s="1">
        <f t="shared" si="168"/>
        <v>0</v>
      </c>
      <c r="Y5404" s="1">
        <f t="shared" si="169"/>
        <v>15</v>
      </c>
    </row>
    <row r="5405" spans="24:25" x14ac:dyDescent="0.3">
      <c r="X5405" s="1">
        <f t="shared" si="168"/>
        <v>0</v>
      </c>
      <c r="Y5405" s="1">
        <f t="shared" si="169"/>
        <v>15</v>
      </c>
    </row>
    <row r="5406" spans="24:25" x14ac:dyDescent="0.3">
      <c r="X5406" s="1">
        <f t="shared" si="168"/>
        <v>0</v>
      </c>
      <c r="Y5406" s="1">
        <f t="shared" si="169"/>
        <v>15</v>
      </c>
    </row>
    <row r="5407" spans="24:25" x14ac:dyDescent="0.3">
      <c r="X5407" s="1">
        <f t="shared" si="168"/>
        <v>0</v>
      </c>
      <c r="Y5407" s="1">
        <f t="shared" si="169"/>
        <v>15</v>
      </c>
    </row>
    <row r="5408" spans="24:25" x14ac:dyDescent="0.3">
      <c r="X5408" s="1">
        <f t="shared" si="168"/>
        <v>0</v>
      </c>
      <c r="Y5408" s="1">
        <f t="shared" si="169"/>
        <v>15</v>
      </c>
    </row>
    <row r="5409" spans="24:25" x14ac:dyDescent="0.3">
      <c r="X5409" s="1">
        <f t="shared" si="168"/>
        <v>0</v>
      </c>
      <c r="Y5409" s="1">
        <f t="shared" si="169"/>
        <v>15</v>
      </c>
    </row>
    <row r="5410" spans="24:25" x14ac:dyDescent="0.3">
      <c r="X5410" s="1">
        <f t="shared" si="168"/>
        <v>0</v>
      </c>
      <c r="Y5410" s="1">
        <f t="shared" si="169"/>
        <v>15</v>
      </c>
    </row>
    <row r="5411" spans="24:25" x14ac:dyDescent="0.3">
      <c r="X5411" s="1">
        <f t="shared" si="168"/>
        <v>0</v>
      </c>
      <c r="Y5411" s="1">
        <f t="shared" si="169"/>
        <v>15</v>
      </c>
    </row>
    <row r="5412" spans="24:25" x14ac:dyDescent="0.3">
      <c r="X5412" s="1">
        <f t="shared" si="168"/>
        <v>0</v>
      </c>
      <c r="Y5412" s="1">
        <f t="shared" si="169"/>
        <v>15</v>
      </c>
    </row>
    <row r="5413" spans="24:25" x14ac:dyDescent="0.3">
      <c r="X5413" s="1">
        <f t="shared" si="168"/>
        <v>0</v>
      </c>
      <c r="Y5413" s="1">
        <f t="shared" si="169"/>
        <v>15</v>
      </c>
    </row>
    <row r="5414" spans="24:25" x14ac:dyDescent="0.3">
      <c r="X5414" s="1">
        <f t="shared" si="168"/>
        <v>0</v>
      </c>
      <c r="Y5414" s="1">
        <f t="shared" si="169"/>
        <v>15</v>
      </c>
    </row>
    <row r="5415" spans="24:25" x14ac:dyDescent="0.3">
      <c r="X5415" s="1">
        <f t="shared" si="168"/>
        <v>0</v>
      </c>
      <c r="Y5415" s="1">
        <f t="shared" si="169"/>
        <v>15</v>
      </c>
    </row>
    <row r="5416" spans="24:25" x14ac:dyDescent="0.3">
      <c r="X5416" s="1">
        <f t="shared" si="168"/>
        <v>0</v>
      </c>
      <c r="Y5416" s="1">
        <f t="shared" si="169"/>
        <v>15</v>
      </c>
    </row>
    <row r="5417" spans="24:25" x14ac:dyDescent="0.3">
      <c r="X5417" s="1">
        <f t="shared" si="168"/>
        <v>0</v>
      </c>
      <c r="Y5417" s="1">
        <f t="shared" si="169"/>
        <v>15</v>
      </c>
    </row>
    <row r="5418" spans="24:25" x14ac:dyDescent="0.3">
      <c r="X5418" s="1">
        <f t="shared" si="168"/>
        <v>0</v>
      </c>
      <c r="Y5418" s="1">
        <f t="shared" si="169"/>
        <v>15</v>
      </c>
    </row>
    <row r="5419" spans="24:25" x14ac:dyDescent="0.3">
      <c r="X5419" s="1">
        <f t="shared" si="168"/>
        <v>0</v>
      </c>
      <c r="Y5419" s="1">
        <f t="shared" si="169"/>
        <v>15</v>
      </c>
    </row>
    <row r="5420" spans="24:25" x14ac:dyDescent="0.3">
      <c r="X5420" s="1">
        <f t="shared" si="168"/>
        <v>0</v>
      </c>
      <c r="Y5420" s="1">
        <f t="shared" si="169"/>
        <v>15</v>
      </c>
    </row>
    <row r="5421" spans="24:25" x14ac:dyDescent="0.3">
      <c r="X5421" s="1">
        <f t="shared" si="168"/>
        <v>0</v>
      </c>
      <c r="Y5421" s="1">
        <f t="shared" si="169"/>
        <v>15</v>
      </c>
    </row>
    <row r="5422" spans="24:25" x14ac:dyDescent="0.3">
      <c r="X5422" s="1">
        <f t="shared" si="168"/>
        <v>0</v>
      </c>
      <c r="Y5422" s="1">
        <f t="shared" si="169"/>
        <v>15</v>
      </c>
    </row>
    <row r="5423" spans="24:25" x14ac:dyDescent="0.3">
      <c r="X5423" s="1">
        <f t="shared" si="168"/>
        <v>0</v>
      </c>
      <c r="Y5423" s="1">
        <f t="shared" si="169"/>
        <v>15</v>
      </c>
    </row>
    <row r="5424" spans="24:25" x14ac:dyDescent="0.3">
      <c r="X5424" s="1">
        <f t="shared" si="168"/>
        <v>0</v>
      </c>
      <c r="Y5424" s="1">
        <f t="shared" si="169"/>
        <v>15</v>
      </c>
    </row>
    <row r="5425" spans="24:25" x14ac:dyDescent="0.3">
      <c r="X5425" s="1">
        <f t="shared" si="168"/>
        <v>0</v>
      </c>
      <c r="Y5425" s="1">
        <f t="shared" si="169"/>
        <v>15</v>
      </c>
    </row>
    <row r="5426" spans="24:25" x14ac:dyDescent="0.3">
      <c r="X5426" s="1">
        <f t="shared" si="168"/>
        <v>0</v>
      </c>
      <c r="Y5426" s="1">
        <f t="shared" si="169"/>
        <v>15</v>
      </c>
    </row>
    <row r="5427" spans="24:25" x14ac:dyDescent="0.3">
      <c r="X5427" s="1">
        <f t="shared" si="168"/>
        <v>0</v>
      </c>
      <c r="Y5427" s="1">
        <f t="shared" si="169"/>
        <v>15</v>
      </c>
    </row>
    <row r="5428" spans="24:25" x14ac:dyDescent="0.3">
      <c r="X5428" s="1">
        <f t="shared" si="168"/>
        <v>0</v>
      </c>
      <c r="Y5428" s="1">
        <f t="shared" si="169"/>
        <v>15</v>
      </c>
    </row>
    <row r="5429" spans="24:25" x14ac:dyDescent="0.3">
      <c r="X5429" s="1">
        <f t="shared" si="168"/>
        <v>0</v>
      </c>
      <c r="Y5429" s="1">
        <f t="shared" si="169"/>
        <v>15</v>
      </c>
    </row>
    <row r="5430" spans="24:25" x14ac:dyDescent="0.3">
      <c r="X5430" s="1">
        <f t="shared" si="168"/>
        <v>0</v>
      </c>
      <c r="Y5430" s="1">
        <f t="shared" si="169"/>
        <v>15</v>
      </c>
    </row>
    <row r="5431" spans="24:25" x14ac:dyDescent="0.3">
      <c r="X5431" s="1">
        <f t="shared" si="168"/>
        <v>0</v>
      </c>
      <c r="Y5431" s="1">
        <f t="shared" si="169"/>
        <v>15</v>
      </c>
    </row>
    <row r="5432" spans="24:25" x14ac:dyDescent="0.3">
      <c r="X5432" s="1">
        <f t="shared" si="168"/>
        <v>0</v>
      </c>
      <c r="Y5432" s="1">
        <f t="shared" si="169"/>
        <v>15</v>
      </c>
    </row>
    <row r="5433" spans="24:25" x14ac:dyDescent="0.3">
      <c r="X5433" s="1">
        <f t="shared" si="168"/>
        <v>0</v>
      </c>
      <c r="Y5433" s="1">
        <f t="shared" si="169"/>
        <v>15</v>
      </c>
    </row>
    <row r="5434" spans="24:25" x14ac:dyDescent="0.3">
      <c r="X5434" s="1">
        <f t="shared" si="168"/>
        <v>0</v>
      </c>
      <c r="Y5434" s="1">
        <f t="shared" si="169"/>
        <v>15</v>
      </c>
    </row>
    <row r="5435" spans="24:25" x14ac:dyDescent="0.3">
      <c r="X5435" s="1">
        <f t="shared" si="168"/>
        <v>0</v>
      </c>
      <c r="Y5435" s="1">
        <f t="shared" si="169"/>
        <v>15</v>
      </c>
    </row>
    <row r="5436" spans="24:25" x14ac:dyDescent="0.3">
      <c r="X5436" s="1">
        <f t="shared" si="168"/>
        <v>0</v>
      </c>
      <c r="Y5436" s="1">
        <f t="shared" si="169"/>
        <v>15</v>
      </c>
    </row>
    <row r="5437" spans="24:25" x14ac:dyDescent="0.3">
      <c r="X5437" s="1">
        <f t="shared" si="168"/>
        <v>0</v>
      </c>
      <c r="Y5437" s="1">
        <f t="shared" si="169"/>
        <v>15</v>
      </c>
    </row>
    <row r="5438" spans="24:25" x14ac:dyDescent="0.3">
      <c r="X5438" s="1">
        <f t="shared" si="168"/>
        <v>0</v>
      </c>
      <c r="Y5438" s="1">
        <f t="shared" si="169"/>
        <v>15</v>
      </c>
    </row>
    <row r="5439" spans="24:25" x14ac:dyDescent="0.3">
      <c r="X5439" s="1">
        <f t="shared" si="168"/>
        <v>0</v>
      </c>
      <c r="Y5439" s="1">
        <f t="shared" si="169"/>
        <v>15</v>
      </c>
    </row>
    <row r="5440" spans="24:25" x14ac:dyDescent="0.3">
      <c r="X5440" s="1">
        <f t="shared" si="168"/>
        <v>0</v>
      </c>
      <c r="Y5440" s="1">
        <f t="shared" si="169"/>
        <v>15</v>
      </c>
    </row>
    <row r="5441" spans="24:25" x14ac:dyDescent="0.3">
      <c r="X5441" s="1">
        <f t="shared" si="168"/>
        <v>0</v>
      </c>
      <c r="Y5441" s="1">
        <f t="shared" si="169"/>
        <v>15</v>
      </c>
    </row>
    <row r="5442" spans="24:25" x14ac:dyDescent="0.3">
      <c r="X5442" s="1">
        <f t="shared" si="168"/>
        <v>0</v>
      </c>
      <c r="Y5442" s="1">
        <f t="shared" si="169"/>
        <v>15</v>
      </c>
    </row>
    <row r="5443" spans="24:25" x14ac:dyDescent="0.3">
      <c r="X5443" s="1">
        <f t="shared" ref="X5443:X5506" si="170">IFERROR(MATCH(W5443,$B:$B,0),0)</f>
        <v>0</v>
      </c>
      <c r="Y5443" s="1">
        <f t="shared" ref="Y5443:Y5506" si="171">IF(X5444=0,COUNTA(A:A),X5444-1)</f>
        <v>15</v>
      </c>
    </row>
    <row r="5444" spans="24:25" x14ac:dyDescent="0.3">
      <c r="X5444" s="1">
        <f t="shared" si="170"/>
        <v>0</v>
      </c>
      <c r="Y5444" s="1">
        <f t="shared" si="171"/>
        <v>15</v>
      </c>
    </row>
    <row r="5445" spans="24:25" x14ac:dyDescent="0.3">
      <c r="X5445" s="1">
        <f t="shared" si="170"/>
        <v>0</v>
      </c>
      <c r="Y5445" s="1">
        <f t="shared" si="171"/>
        <v>15</v>
      </c>
    </row>
    <row r="5446" spans="24:25" x14ac:dyDescent="0.3">
      <c r="X5446" s="1">
        <f t="shared" si="170"/>
        <v>0</v>
      </c>
      <c r="Y5446" s="1">
        <f t="shared" si="171"/>
        <v>15</v>
      </c>
    </row>
    <row r="5447" spans="24:25" x14ac:dyDescent="0.3">
      <c r="X5447" s="1">
        <f t="shared" si="170"/>
        <v>0</v>
      </c>
      <c r="Y5447" s="1">
        <f t="shared" si="171"/>
        <v>15</v>
      </c>
    </row>
    <row r="5448" spans="24:25" x14ac:dyDescent="0.3">
      <c r="X5448" s="1">
        <f t="shared" si="170"/>
        <v>0</v>
      </c>
      <c r="Y5448" s="1">
        <f t="shared" si="171"/>
        <v>15</v>
      </c>
    </row>
    <row r="5449" spans="24:25" x14ac:dyDescent="0.3">
      <c r="X5449" s="1">
        <f t="shared" si="170"/>
        <v>0</v>
      </c>
      <c r="Y5449" s="1">
        <f t="shared" si="171"/>
        <v>15</v>
      </c>
    </row>
    <row r="5450" spans="24:25" x14ac:dyDescent="0.3">
      <c r="X5450" s="1">
        <f t="shared" si="170"/>
        <v>0</v>
      </c>
      <c r="Y5450" s="1">
        <f t="shared" si="171"/>
        <v>15</v>
      </c>
    </row>
    <row r="5451" spans="24:25" x14ac:dyDescent="0.3">
      <c r="X5451" s="1">
        <f t="shared" si="170"/>
        <v>0</v>
      </c>
      <c r="Y5451" s="1">
        <f t="shared" si="171"/>
        <v>15</v>
      </c>
    </row>
    <row r="5452" spans="24:25" x14ac:dyDescent="0.3">
      <c r="X5452" s="1">
        <f t="shared" si="170"/>
        <v>0</v>
      </c>
      <c r="Y5452" s="1">
        <f t="shared" si="171"/>
        <v>15</v>
      </c>
    </row>
    <row r="5453" spans="24:25" x14ac:dyDescent="0.3">
      <c r="X5453" s="1">
        <f t="shared" si="170"/>
        <v>0</v>
      </c>
      <c r="Y5453" s="1">
        <f t="shared" si="171"/>
        <v>15</v>
      </c>
    </row>
    <row r="5454" spans="24:25" x14ac:dyDescent="0.3">
      <c r="X5454" s="1">
        <f t="shared" si="170"/>
        <v>0</v>
      </c>
      <c r="Y5454" s="1">
        <f t="shared" si="171"/>
        <v>15</v>
      </c>
    </row>
    <row r="5455" spans="24:25" x14ac:dyDescent="0.3">
      <c r="X5455" s="1">
        <f t="shared" si="170"/>
        <v>0</v>
      </c>
      <c r="Y5455" s="1">
        <f t="shared" si="171"/>
        <v>15</v>
      </c>
    </row>
    <row r="5456" spans="24:25" x14ac:dyDescent="0.3">
      <c r="X5456" s="1">
        <f t="shared" si="170"/>
        <v>0</v>
      </c>
      <c r="Y5456" s="1">
        <f t="shared" si="171"/>
        <v>15</v>
      </c>
    </row>
    <row r="5457" spans="24:25" x14ac:dyDescent="0.3">
      <c r="X5457" s="1">
        <f t="shared" si="170"/>
        <v>0</v>
      </c>
      <c r="Y5457" s="1">
        <f t="shared" si="171"/>
        <v>15</v>
      </c>
    </row>
    <row r="5458" spans="24:25" x14ac:dyDescent="0.3">
      <c r="X5458" s="1">
        <f t="shared" si="170"/>
        <v>0</v>
      </c>
      <c r="Y5458" s="1">
        <f t="shared" si="171"/>
        <v>15</v>
      </c>
    </row>
    <row r="5459" spans="24:25" x14ac:dyDescent="0.3">
      <c r="X5459" s="1">
        <f t="shared" si="170"/>
        <v>0</v>
      </c>
      <c r="Y5459" s="1">
        <f t="shared" si="171"/>
        <v>15</v>
      </c>
    </row>
    <row r="5460" spans="24:25" x14ac:dyDescent="0.3">
      <c r="X5460" s="1">
        <f t="shared" si="170"/>
        <v>0</v>
      </c>
      <c r="Y5460" s="1">
        <f t="shared" si="171"/>
        <v>15</v>
      </c>
    </row>
    <row r="5461" spans="24:25" x14ac:dyDescent="0.3">
      <c r="X5461" s="1">
        <f t="shared" si="170"/>
        <v>0</v>
      </c>
      <c r="Y5461" s="1">
        <f t="shared" si="171"/>
        <v>15</v>
      </c>
    </row>
    <row r="5462" spans="24:25" x14ac:dyDescent="0.3">
      <c r="X5462" s="1">
        <f t="shared" si="170"/>
        <v>0</v>
      </c>
      <c r="Y5462" s="1">
        <f t="shared" si="171"/>
        <v>15</v>
      </c>
    </row>
    <row r="5463" spans="24:25" x14ac:dyDescent="0.3">
      <c r="X5463" s="1">
        <f t="shared" si="170"/>
        <v>0</v>
      </c>
      <c r="Y5463" s="1">
        <f t="shared" si="171"/>
        <v>15</v>
      </c>
    </row>
    <row r="5464" spans="24:25" x14ac:dyDescent="0.3">
      <c r="X5464" s="1">
        <f t="shared" si="170"/>
        <v>0</v>
      </c>
      <c r="Y5464" s="1">
        <f t="shared" si="171"/>
        <v>15</v>
      </c>
    </row>
    <row r="5465" spans="24:25" x14ac:dyDescent="0.3">
      <c r="X5465" s="1">
        <f t="shared" si="170"/>
        <v>0</v>
      </c>
      <c r="Y5465" s="1">
        <f t="shared" si="171"/>
        <v>15</v>
      </c>
    </row>
    <row r="5466" spans="24:25" x14ac:dyDescent="0.3">
      <c r="X5466" s="1">
        <f t="shared" si="170"/>
        <v>0</v>
      </c>
      <c r="Y5466" s="1">
        <f t="shared" si="171"/>
        <v>15</v>
      </c>
    </row>
    <row r="5467" spans="24:25" x14ac:dyDescent="0.3">
      <c r="X5467" s="1">
        <f t="shared" si="170"/>
        <v>0</v>
      </c>
      <c r="Y5467" s="1">
        <f t="shared" si="171"/>
        <v>15</v>
      </c>
    </row>
    <row r="5468" spans="24:25" x14ac:dyDescent="0.3">
      <c r="X5468" s="1">
        <f t="shared" si="170"/>
        <v>0</v>
      </c>
      <c r="Y5468" s="1">
        <f t="shared" si="171"/>
        <v>15</v>
      </c>
    </row>
    <row r="5469" spans="24:25" x14ac:dyDescent="0.3">
      <c r="X5469" s="1">
        <f t="shared" si="170"/>
        <v>0</v>
      </c>
      <c r="Y5469" s="1">
        <f t="shared" si="171"/>
        <v>15</v>
      </c>
    </row>
    <row r="5470" spans="24:25" x14ac:dyDescent="0.3">
      <c r="X5470" s="1">
        <f t="shared" si="170"/>
        <v>0</v>
      </c>
      <c r="Y5470" s="1">
        <f t="shared" si="171"/>
        <v>15</v>
      </c>
    </row>
    <row r="5471" spans="24:25" x14ac:dyDescent="0.3">
      <c r="X5471" s="1">
        <f t="shared" si="170"/>
        <v>0</v>
      </c>
      <c r="Y5471" s="1">
        <f t="shared" si="171"/>
        <v>15</v>
      </c>
    </row>
    <row r="5472" spans="24:25" x14ac:dyDescent="0.3">
      <c r="X5472" s="1">
        <f t="shared" si="170"/>
        <v>0</v>
      </c>
      <c r="Y5472" s="1">
        <f t="shared" si="171"/>
        <v>15</v>
      </c>
    </row>
    <row r="5473" spans="24:25" x14ac:dyDescent="0.3">
      <c r="X5473" s="1">
        <f t="shared" si="170"/>
        <v>0</v>
      </c>
      <c r="Y5473" s="1">
        <f t="shared" si="171"/>
        <v>15</v>
      </c>
    </row>
    <row r="5474" spans="24:25" x14ac:dyDescent="0.3">
      <c r="X5474" s="1">
        <f t="shared" si="170"/>
        <v>0</v>
      </c>
      <c r="Y5474" s="1">
        <f t="shared" si="171"/>
        <v>15</v>
      </c>
    </row>
    <row r="5475" spans="24:25" x14ac:dyDescent="0.3">
      <c r="X5475" s="1">
        <f t="shared" si="170"/>
        <v>0</v>
      </c>
      <c r="Y5475" s="1">
        <f t="shared" si="171"/>
        <v>15</v>
      </c>
    </row>
    <row r="5476" spans="24:25" x14ac:dyDescent="0.3">
      <c r="X5476" s="1">
        <f t="shared" si="170"/>
        <v>0</v>
      </c>
      <c r="Y5476" s="1">
        <f t="shared" si="171"/>
        <v>15</v>
      </c>
    </row>
    <row r="5477" spans="24:25" x14ac:dyDescent="0.3">
      <c r="X5477" s="1">
        <f t="shared" si="170"/>
        <v>0</v>
      </c>
      <c r="Y5477" s="1">
        <f t="shared" si="171"/>
        <v>15</v>
      </c>
    </row>
    <row r="5478" spans="24:25" x14ac:dyDescent="0.3">
      <c r="X5478" s="1">
        <f t="shared" si="170"/>
        <v>0</v>
      </c>
      <c r="Y5478" s="1">
        <f t="shared" si="171"/>
        <v>15</v>
      </c>
    </row>
    <row r="5479" spans="24:25" x14ac:dyDescent="0.3">
      <c r="X5479" s="1">
        <f t="shared" si="170"/>
        <v>0</v>
      </c>
      <c r="Y5479" s="1">
        <f t="shared" si="171"/>
        <v>15</v>
      </c>
    </row>
    <row r="5480" spans="24:25" x14ac:dyDescent="0.3">
      <c r="X5480" s="1">
        <f t="shared" si="170"/>
        <v>0</v>
      </c>
      <c r="Y5480" s="1">
        <f t="shared" si="171"/>
        <v>15</v>
      </c>
    </row>
    <row r="5481" spans="24:25" x14ac:dyDescent="0.3">
      <c r="X5481" s="1">
        <f t="shared" si="170"/>
        <v>0</v>
      </c>
      <c r="Y5481" s="1">
        <f t="shared" si="171"/>
        <v>15</v>
      </c>
    </row>
    <row r="5482" spans="24:25" x14ac:dyDescent="0.3">
      <c r="X5482" s="1">
        <f t="shared" si="170"/>
        <v>0</v>
      </c>
      <c r="Y5482" s="1">
        <f t="shared" si="171"/>
        <v>15</v>
      </c>
    </row>
    <row r="5483" spans="24:25" x14ac:dyDescent="0.3">
      <c r="X5483" s="1">
        <f t="shared" si="170"/>
        <v>0</v>
      </c>
      <c r="Y5483" s="1">
        <f t="shared" si="171"/>
        <v>15</v>
      </c>
    </row>
    <row r="5484" spans="24:25" x14ac:dyDescent="0.3">
      <c r="X5484" s="1">
        <f t="shared" si="170"/>
        <v>0</v>
      </c>
      <c r="Y5484" s="1">
        <f t="shared" si="171"/>
        <v>15</v>
      </c>
    </row>
    <row r="5485" spans="24:25" x14ac:dyDescent="0.3">
      <c r="X5485" s="1">
        <f t="shared" si="170"/>
        <v>0</v>
      </c>
      <c r="Y5485" s="1">
        <f t="shared" si="171"/>
        <v>15</v>
      </c>
    </row>
    <row r="5486" spans="24:25" x14ac:dyDescent="0.3">
      <c r="X5486" s="1">
        <f t="shared" si="170"/>
        <v>0</v>
      </c>
      <c r="Y5486" s="1">
        <f t="shared" si="171"/>
        <v>15</v>
      </c>
    </row>
    <row r="5487" spans="24:25" x14ac:dyDescent="0.3">
      <c r="X5487" s="1">
        <f t="shared" si="170"/>
        <v>0</v>
      </c>
      <c r="Y5487" s="1">
        <f t="shared" si="171"/>
        <v>15</v>
      </c>
    </row>
    <row r="5488" spans="24:25" x14ac:dyDescent="0.3">
      <c r="X5488" s="1">
        <f t="shared" si="170"/>
        <v>0</v>
      </c>
      <c r="Y5488" s="1">
        <f t="shared" si="171"/>
        <v>15</v>
      </c>
    </row>
    <row r="5489" spans="24:25" x14ac:dyDescent="0.3">
      <c r="X5489" s="1">
        <f t="shared" si="170"/>
        <v>0</v>
      </c>
      <c r="Y5489" s="1">
        <f t="shared" si="171"/>
        <v>15</v>
      </c>
    </row>
    <row r="5490" spans="24:25" x14ac:dyDescent="0.3">
      <c r="X5490" s="1">
        <f t="shared" si="170"/>
        <v>0</v>
      </c>
      <c r="Y5490" s="1">
        <f t="shared" si="171"/>
        <v>15</v>
      </c>
    </row>
    <row r="5491" spans="24:25" x14ac:dyDescent="0.3">
      <c r="X5491" s="1">
        <f t="shared" si="170"/>
        <v>0</v>
      </c>
      <c r="Y5491" s="1">
        <f t="shared" si="171"/>
        <v>15</v>
      </c>
    </row>
    <row r="5492" spans="24:25" x14ac:dyDescent="0.3">
      <c r="X5492" s="1">
        <f t="shared" si="170"/>
        <v>0</v>
      </c>
      <c r="Y5492" s="1">
        <f t="shared" si="171"/>
        <v>15</v>
      </c>
    </row>
    <row r="5493" spans="24:25" x14ac:dyDescent="0.3">
      <c r="X5493" s="1">
        <f t="shared" si="170"/>
        <v>0</v>
      </c>
      <c r="Y5493" s="1">
        <f t="shared" si="171"/>
        <v>15</v>
      </c>
    </row>
    <row r="5494" spans="24:25" x14ac:dyDescent="0.3">
      <c r="X5494" s="1">
        <f t="shared" si="170"/>
        <v>0</v>
      </c>
      <c r="Y5494" s="1">
        <f t="shared" si="171"/>
        <v>15</v>
      </c>
    </row>
    <row r="5495" spans="24:25" x14ac:dyDescent="0.3">
      <c r="X5495" s="1">
        <f t="shared" si="170"/>
        <v>0</v>
      </c>
      <c r="Y5495" s="1">
        <f t="shared" si="171"/>
        <v>15</v>
      </c>
    </row>
    <row r="5496" spans="24:25" x14ac:dyDescent="0.3">
      <c r="X5496" s="1">
        <f t="shared" si="170"/>
        <v>0</v>
      </c>
      <c r="Y5496" s="1">
        <f t="shared" si="171"/>
        <v>15</v>
      </c>
    </row>
    <row r="5497" spans="24:25" x14ac:dyDescent="0.3">
      <c r="X5497" s="1">
        <f t="shared" si="170"/>
        <v>0</v>
      </c>
      <c r="Y5497" s="1">
        <f t="shared" si="171"/>
        <v>15</v>
      </c>
    </row>
    <row r="5498" spans="24:25" x14ac:dyDescent="0.3">
      <c r="X5498" s="1">
        <f t="shared" si="170"/>
        <v>0</v>
      </c>
      <c r="Y5498" s="1">
        <f t="shared" si="171"/>
        <v>15</v>
      </c>
    </row>
    <row r="5499" spans="24:25" x14ac:dyDescent="0.3">
      <c r="X5499" s="1">
        <f t="shared" si="170"/>
        <v>0</v>
      </c>
      <c r="Y5499" s="1">
        <f t="shared" si="171"/>
        <v>15</v>
      </c>
    </row>
    <row r="5500" spans="24:25" x14ac:dyDescent="0.3">
      <c r="X5500" s="1">
        <f t="shared" si="170"/>
        <v>0</v>
      </c>
      <c r="Y5500" s="1">
        <f t="shared" si="171"/>
        <v>15</v>
      </c>
    </row>
    <row r="5501" spans="24:25" x14ac:dyDescent="0.3">
      <c r="X5501" s="1">
        <f t="shared" si="170"/>
        <v>0</v>
      </c>
      <c r="Y5501" s="1">
        <f t="shared" si="171"/>
        <v>15</v>
      </c>
    </row>
    <row r="5502" spans="24:25" x14ac:dyDescent="0.3">
      <c r="X5502" s="1">
        <f t="shared" si="170"/>
        <v>0</v>
      </c>
      <c r="Y5502" s="1">
        <f t="shared" si="171"/>
        <v>15</v>
      </c>
    </row>
    <row r="5503" spans="24:25" x14ac:dyDescent="0.3">
      <c r="X5503" s="1">
        <f t="shared" si="170"/>
        <v>0</v>
      </c>
      <c r="Y5503" s="1">
        <f t="shared" si="171"/>
        <v>15</v>
      </c>
    </row>
    <row r="5504" spans="24:25" x14ac:dyDescent="0.3">
      <c r="X5504" s="1">
        <f t="shared" si="170"/>
        <v>0</v>
      </c>
      <c r="Y5504" s="1">
        <f t="shared" si="171"/>
        <v>15</v>
      </c>
    </row>
    <row r="5505" spans="24:25" x14ac:dyDescent="0.3">
      <c r="X5505" s="1">
        <f t="shared" si="170"/>
        <v>0</v>
      </c>
      <c r="Y5505" s="1">
        <f t="shared" si="171"/>
        <v>15</v>
      </c>
    </row>
    <row r="5506" spans="24:25" x14ac:dyDescent="0.3">
      <c r="X5506" s="1">
        <f t="shared" si="170"/>
        <v>0</v>
      </c>
      <c r="Y5506" s="1">
        <f t="shared" si="171"/>
        <v>15</v>
      </c>
    </row>
    <row r="5507" spans="24:25" x14ac:dyDescent="0.3">
      <c r="X5507" s="1">
        <f t="shared" ref="X5507:X5570" si="172">IFERROR(MATCH(W5507,$B:$B,0),0)</f>
        <v>0</v>
      </c>
      <c r="Y5507" s="1">
        <f t="shared" ref="Y5507:Y5570" si="173">IF(X5508=0,COUNTA(A:A),X5508-1)</f>
        <v>15</v>
      </c>
    </row>
    <row r="5508" spans="24:25" x14ac:dyDescent="0.3">
      <c r="X5508" s="1">
        <f t="shared" si="172"/>
        <v>0</v>
      </c>
      <c r="Y5508" s="1">
        <f t="shared" si="173"/>
        <v>15</v>
      </c>
    </row>
    <row r="5509" spans="24:25" x14ac:dyDescent="0.3">
      <c r="X5509" s="1">
        <f t="shared" si="172"/>
        <v>0</v>
      </c>
      <c r="Y5509" s="1">
        <f t="shared" si="173"/>
        <v>15</v>
      </c>
    </row>
    <row r="5510" spans="24:25" x14ac:dyDescent="0.3">
      <c r="X5510" s="1">
        <f t="shared" si="172"/>
        <v>0</v>
      </c>
      <c r="Y5510" s="1">
        <f t="shared" si="173"/>
        <v>15</v>
      </c>
    </row>
    <row r="5511" spans="24:25" x14ac:dyDescent="0.3">
      <c r="X5511" s="1">
        <f t="shared" si="172"/>
        <v>0</v>
      </c>
      <c r="Y5511" s="1">
        <f t="shared" si="173"/>
        <v>15</v>
      </c>
    </row>
    <row r="5512" spans="24:25" x14ac:dyDescent="0.3">
      <c r="X5512" s="1">
        <f t="shared" si="172"/>
        <v>0</v>
      </c>
      <c r="Y5512" s="1">
        <f t="shared" si="173"/>
        <v>15</v>
      </c>
    </row>
    <row r="5513" spans="24:25" x14ac:dyDescent="0.3">
      <c r="X5513" s="1">
        <f t="shared" si="172"/>
        <v>0</v>
      </c>
      <c r="Y5513" s="1">
        <f t="shared" si="173"/>
        <v>15</v>
      </c>
    </row>
    <row r="5514" spans="24:25" x14ac:dyDescent="0.3">
      <c r="X5514" s="1">
        <f t="shared" si="172"/>
        <v>0</v>
      </c>
      <c r="Y5514" s="1">
        <f t="shared" si="173"/>
        <v>15</v>
      </c>
    </row>
    <row r="5515" spans="24:25" x14ac:dyDescent="0.3">
      <c r="X5515" s="1">
        <f t="shared" si="172"/>
        <v>0</v>
      </c>
      <c r="Y5515" s="1">
        <f t="shared" si="173"/>
        <v>15</v>
      </c>
    </row>
    <row r="5516" spans="24:25" x14ac:dyDescent="0.3">
      <c r="X5516" s="1">
        <f t="shared" si="172"/>
        <v>0</v>
      </c>
      <c r="Y5516" s="1">
        <f t="shared" si="173"/>
        <v>15</v>
      </c>
    </row>
    <row r="5517" spans="24:25" x14ac:dyDescent="0.3">
      <c r="X5517" s="1">
        <f t="shared" si="172"/>
        <v>0</v>
      </c>
      <c r="Y5517" s="1">
        <f t="shared" si="173"/>
        <v>15</v>
      </c>
    </row>
    <row r="5518" spans="24:25" x14ac:dyDescent="0.3">
      <c r="X5518" s="1">
        <f t="shared" si="172"/>
        <v>0</v>
      </c>
      <c r="Y5518" s="1">
        <f t="shared" si="173"/>
        <v>15</v>
      </c>
    </row>
    <row r="5519" spans="24:25" x14ac:dyDescent="0.3">
      <c r="X5519" s="1">
        <f t="shared" si="172"/>
        <v>0</v>
      </c>
      <c r="Y5519" s="1">
        <f t="shared" si="173"/>
        <v>15</v>
      </c>
    </row>
    <row r="5520" spans="24:25" x14ac:dyDescent="0.3">
      <c r="X5520" s="1">
        <f t="shared" si="172"/>
        <v>0</v>
      </c>
      <c r="Y5520" s="1">
        <f t="shared" si="173"/>
        <v>15</v>
      </c>
    </row>
    <row r="5521" spans="24:25" x14ac:dyDescent="0.3">
      <c r="X5521" s="1">
        <f t="shared" si="172"/>
        <v>0</v>
      </c>
      <c r="Y5521" s="1">
        <f t="shared" si="173"/>
        <v>15</v>
      </c>
    </row>
    <row r="5522" spans="24:25" x14ac:dyDescent="0.3">
      <c r="X5522" s="1">
        <f t="shared" si="172"/>
        <v>0</v>
      </c>
      <c r="Y5522" s="1">
        <f t="shared" si="173"/>
        <v>15</v>
      </c>
    </row>
    <row r="5523" spans="24:25" x14ac:dyDescent="0.3">
      <c r="X5523" s="1">
        <f t="shared" si="172"/>
        <v>0</v>
      </c>
      <c r="Y5523" s="1">
        <f t="shared" si="173"/>
        <v>15</v>
      </c>
    </row>
    <row r="5524" spans="24:25" x14ac:dyDescent="0.3">
      <c r="X5524" s="1">
        <f t="shared" si="172"/>
        <v>0</v>
      </c>
      <c r="Y5524" s="1">
        <f t="shared" si="173"/>
        <v>15</v>
      </c>
    </row>
    <row r="5525" spans="24:25" x14ac:dyDescent="0.3">
      <c r="X5525" s="1">
        <f t="shared" si="172"/>
        <v>0</v>
      </c>
      <c r="Y5525" s="1">
        <f t="shared" si="173"/>
        <v>15</v>
      </c>
    </row>
    <row r="5526" spans="24:25" x14ac:dyDescent="0.3">
      <c r="X5526" s="1">
        <f t="shared" si="172"/>
        <v>0</v>
      </c>
      <c r="Y5526" s="1">
        <f t="shared" si="173"/>
        <v>15</v>
      </c>
    </row>
    <row r="5527" spans="24:25" x14ac:dyDescent="0.3">
      <c r="X5527" s="1">
        <f t="shared" si="172"/>
        <v>0</v>
      </c>
      <c r="Y5527" s="1">
        <f t="shared" si="173"/>
        <v>15</v>
      </c>
    </row>
    <row r="5528" spans="24:25" x14ac:dyDescent="0.3">
      <c r="X5528" s="1">
        <f t="shared" si="172"/>
        <v>0</v>
      </c>
      <c r="Y5528" s="1">
        <f t="shared" si="173"/>
        <v>15</v>
      </c>
    </row>
    <row r="5529" spans="24:25" x14ac:dyDescent="0.3">
      <c r="X5529" s="1">
        <f t="shared" si="172"/>
        <v>0</v>
      </c>
      <c r="Y5529" s="1">
        <f t="shared" si="173"/>
        <v>15</v>
      </c>
    </row>
    <row r="5530" spans="24:25" x14ac:dyDescent="0.3">
      <c r="X5530" s="1">
        <f t="shared" si="172"/>
        <v>0</v>
      </c>
      <c r="Y5530" s="1">
        <f t="shared" si="173"/>
        <v>15</v>
      </c>
    </row>
    <row r="5531" spans="24:25" x14ac:dyDescent="0.3">
      <c r="X5531" s="1">
        <f t="shared" si="172"/>
        <v>0</v>
      </c>
      <c r="Y5531" s="1">
        <f t="shared" si="173"/>
        <v>15</v>
      </c>
    </row>
    <row r="5532" spans="24:25" x14ac:dyDescent="0.3">
      <c r="X5532" s="1">
        <f t="shared" si="172"/>
        <v>0</v>
      </c>
      <c r="Y5532" s="1">
        <f t="shared" si="173"/>
        <v>15</v>
      </c>
    </row>
    <row r="5533" spans="24:25" x14ac:dyDescent="0.3">
      <c r="X5533" s="1">
        <f t="shared" si="172"/>
        <v>0</v>
      </c>
      <c r="Y5533" s="1">
        <f t="shared" si="173"/>
        <v>15</v>
      </c>
    </row>
    <row r="5534" spans="24:25" x14ac:dyDescent="0.3">
      <c r="X5534" s="1">
        <f t="shared" si="172"/>
        <v>0</v>
      </c>
      <c r="Y5534" s="1">
        <f t="shared" si="173"/>
        <v>15</v>
      </c>
    </row>
    <row r="5535" spans="24:25" x14ac:dyDescent="0.3">
      <c r="X5535" s="1">
        <f t="shared" si="172"/>
        <v>0</v>
      </c>
      <c r="Y5535" s="1">
        <f t="shared" si="173"/>
        <v>15</v>
      </c>
    </row>
    <row r="5536" spans="24:25" x14ac:dyDescent="0.3">
      <c r="X5536" s="1">
        <f t="shared" si="172"/>
        <v>0</v>
      </c>
      <c r="Y5536" s="1">
        <f t="shared" si="173"/>
        <v>15</v>
      </c>
    </row>
    <row r="5537" spans="24:25" x14ac:dyDescent="0.3">
      <c r="X5537" s="1">
        <f t="shared" si="172"/>
        <v>0</v>
      </c>
      <c r="Y5537" s="1">
        <f t="shared" si="173"/>
        <v>15</v>
      </c>
    </row>
    <row r="5538" spans="24:25" x14ac:dyDescent="0.3">
      <c r="X5538" s="1">
        <f t="shared" si="172"/>
        <v>0</v>
      </c>
      <c r="Y5538" s="1">
        <f t="shared" si="173"/>
        <v>15</v>
      </c>
    </row>
    <row r="5539" spans="24:25" x14ac:dyDescent="0.3">
      <c r="X5539" s="1">
        <f t="shared" si="172"/>
        <v>0</v>
      </c>
      <c r="Y5539" s="1">
        <f t="shared" si="173"/>
        <v>15</v>
      </c>
    </row>
    <row r="5540" spans="24:25" x14ac:dyDescent="0.3">
      <c r="X5540" s="1">
        <f t="shared" si="172"/>
        <v>0</v>
      </c>
      <c r="Y5540" s="1">
        <f t="shared" si="173"/>
        <v>15</v>
      </c>
    </row>
    <row r="5541" spans="24:25" x14ac:dyDescent="0.3">
      <c r="X5541" s="1">
        <f t="shared" si="172"/>
        <v>0</v>
      </c>
      <c r="Y5541" s="1">
        <f t="shared" si="173"/>
        <v>15</v>
      </c>
    </row>
    <row r="5542" spans="24:25" x14ac:dyDescent="0.3">
      <c r="X5542" s="1">
        <f t="shared" si="172"/>
        <v>0</v>
      </c>
      <c r="Y5542" s="1">
        <f t="shared" si="173"/>
        <v>15</v>
      </c>
    </row>
    <row r="5543" spans="24:25" x14ac:dyDescent="0.3">
      <c r="X5543" s="1">
        <f t="shared" si="172"/>
        <v>0</v>
      </c>
      <c r="Y5543" s="1">
        <f t="shared" si="173"/>
        <v>15</v>
      </c>
    </row>
    <row r="5544" spans="24:25" x14ac:dyDescent="0.3">
      <c r="X5544" s="1">
        <f t="shared" si="172"/>
        <v>0</v>
      </c>
      <c r="Y5544" s="1">
        <f t="shared" si="173"/>
        <v>15</v>
      </c>
    </row>
    <row r="5545" spans="24:25" x14ac:dyDescent="0.3">
      <c r="X5545" s="1">
        <f t="shared" si="172"/>
        <v>0</v>
      </c>
      <c r="Y5545" s="1">
        <f t="shared" si="173"/>
        <v>15</v>
      </c>
    </row>
    <row r="5546" spans="24:25" x14ac:dyDescent="0.3">
      <c r="X5546" s="1">
        <f t="shared" si="172"/>
        <v>0</v>
      </c>
      <c r="Y5546" s="1">
        <f t="shared" si="173"/>
        <v>15</v>
      </c>
    </row>
    <row r="5547" spans="24:25" x14ac:dyDescent="0.3">
      <c r="X5547" s="1">
        <f t="shared" si="172"/>
        <v>0</v>
      </c>
      <c r="Y5547" s="1">
        <f t="shared" si="173"/>
        <v>15</v>
      </c>
    </row>
    <row r="5548" spans="24:25" x14ac:dyDescent="0.3">
      <c r="X5548" s="1">
        <f t="shared" si="172"/>
        <v>0</v>
      </c>
      <c r="Y5548" s="1">
        <f t="shared" si="173"/>
        <v>15</v>
      </c>
    </row>
    <row r="5549" spans="24:25" x14ac:dyDescent="0.3">
      <c r="X5549" s="1">
        <f t="shared" si="172"/>
        <v>0</v>
      </c>
      <c r="Y5549" s="1">
        <f t="shared" si="173"/>
        <v>15</v>
      </c>
    </row>
    <row r="5550" spans="24:25" x14ac:dyDescent="0.3">
      <c r="X5550" s="1">
        <f t="shared" si="172"/>
        <v>0</v>
      </c>
      <c r="Y5550" s="1">
        <f t="shared" si="173"/>
        <v>15</v>
      </c>
    </row>
    <row r="5551" spans="24:25" x14ac:dyDescent="0.3">
      <c r="X5551" s="1">
        <f t="shared" si="172"/>
        <v>0</v>
      </c>
      <c r="Y5551" s="1">
        <f t="shared" si="173"/>
        <v>15</v>
      </c>
    </row>
    <row r="5552" spans="24:25" x14ac:dyDescent="0.3">
      <c r="X5552" s="1">
        <f t="shared" si="172"/>
        <v>0</v>
      </c>
      <c r="Y5552" s="1">
        <f t="shared" si="173"/>
        <v>15</v>
      </c>
    </row>
    <row r="5553" spans="24:25" x14ac:dyDescent="0.3">
      <c r="X5553" s="1">
        <f t="shared" si="172"/>
        <v>0</v>
      </c>
      <c r="Y5553" s="1">
        <f t="shared" si="173"/>
        <v>15</v>
      </c>
    </row>
    <row r="5554" spans="24:25" x14ac:dyDescent="0.3">
      <c r="X5554" s="1">
        <f t="shared" si="172"/>
        <v>0</v>
      </c>
      <c r="Y5554" s="1">
        <f t="shared" si="173"/>
        <v>15</v>
      </c>
    </row>
    <row r="5555" spans="24:25" x14ac:dyDescent="0.3">
      <c r="X5555" s="1">
        <f t="shared" si="172"/>
        <v>0</v>
      </c>
      <c r="Y5555" s="1">
        <f t="shared" si="173"/>
        <v>15</v>
      </c>
    </row>
    <row r="5556" spans="24:25" x14ac:dyDescent="0.3">
      <c r="X5556" s="1">
        <f t="shared" si="172"/>
        <v>0</v>
      </c>
      <c r="Y5556" s="1">
        <f t="shared" si="173"/>
        <v>15</v>
      </c>
    </row>
    <row r="5557" spans="24:25" x14ac:dyDescent="0.3">
      <c r="X5557" s="1">
        <f t="shared" si="172"/>
        <v>0</v>
      </c>
      <c r="Y5557" s="1">
        <f t="shared" si="173"/>
        <v>15</v>
      </c>
    </row>
    <row r="5558" spans="24:25" x14ac:dyDescent="0.3">
      <c r="X5558" s="1">
        <f t="shared" si="172"/>
        <v>0</v>
      </c>
      <c r="Y5558" s="1">
        <f t="shared" si="173"/>
        <v>15</v>
      </c>
    </row>
    <row r="5559" spans="24:25" x14ac:dyDescent="0.3">
      <c r="X5559" s="1">
        <f t="shared" si="172"/>
        <v>0</v>
      </c>
      <c r="Y5559" s="1">
        <f t="shared" si="173"/>
        <v>15</v>
      </c>
    </row>
    <row r="5560" spans="24:25" x14ac:dyDescent="0.3">
      <c r="X5560" s="1">
        <f t="shared" si="172"/>
        <v>0</v>
      </c>
      <c r="Y5560" s="1">
        <f t="shared" si="173"/>
        <v>15</v>
      </c>
    </row>
    <row r="5561" spans="24:25" x14ac:dyDescent="0.3">
      <c r="X5561" s="1">
        <f t="shared" si="172"/>
        <v>0</v>
      </c>
      <c r="Y5561" s="1">
        <f t="shared" si="173"/>
        <v>15</v>
      </c>
    </row>
    <row r="5562" spans="24:25" x14ac:dyDescent="0.3">
      <c r="X5562" s="1">
        <f t="shared" si="172"/>
        <v>0</v>
      </c>
      <c r="Y5562" s="1">
        <f t="shared" si="173"/>
        <v>15</v>
      </c>
    </row>
    <row r="5563" spans="24:25" x14ac:dyDescent="0.3">
      <c r="X5563" s="1">
        <f t="shared" si="172"/>
        <v>0</v>
      </c>
      <c r="Y5563" s="1">
        <f t="shared" si="173"/>
        <v>15</v>
      </c>
    </row>
    <row r="5564" spans="24:25" x14ac:dyDescent="0.3">
      <c r="X5564" s="1">
        <f t="shared" si="172"/>
        <v>0</v>
      </c>
      <c r="Y5564" s="1">
        <f t="shared" si="173"/>
        <v>15</v>
      </c>
    </row>
    <row r="5565" spans="24:25" x14ac:dyDescent="0.3">
      <c r="X5565" s="1">
        <f t="shared" si="172"/>
        <v>0</v>
      </c>
      <c r="Y5565" s="1">
        <f t="shared" si="173"/>
        <v>15</v>
      </c>
    </row>
    <row r="5566" spans="24:25" x14ac:dyDescent="0.3">
      <c r="X5566" s="1">
        <f t="shared" si="172"/>
        <v>0</v>
      </c>
      <c r="Y5566" s="1">
        <f t="shared" si="173"/>
        <v>15</v>
      </c>
    </row>
    <row r="5567" spans="24:25" x14ac:dyDescent="0.3">
      <c r="X5567" s="1">
        <f t="shared" si="172"/>
        <v>0</v>
      </c>
      <c r="Y5567" s="1">
        <f t="shared" si="173"/>
        <v>15</v>
      </c>
    </row>
    <row r="5568" spans="24:25" x14ac:dyDescent="0.3">
      <c r="X5568" s="1">
        <f t="shared" si="172"/>
        <v>0</v>
      </c>
      <c r="Y5568" s="1">
        <f t="shared" si="173"/>
        <v>15</v>
      </c>
    </row>
    <row r="5569" spans="24:25" x14ac:dyDescent="0.3">
      <c r="X5569" s="1">
        <f t="shared" si="172"/>
        <v>0</v>
      </c>
      <c r="Y5569" s="1">
        <f t="shared" si="173"/>
        <v>15</v>
      </c>
    </row>
    <row r="5570" spans="24:25" x14ac:dyDescent="0.3">
      <c r="X5570" s="1">
        <f t="shared" si="172"/>
        <v>0</v>
      </c>
      <c r="Y5570" s="1">
        <f t="shared" si="173"/>
        <v>15</v>
      </c>
    </row>
    <row r="5571" spans="24:25" x14ac:dyDescent="0.3">
      <c r="X5571" s="1">
        <f t="shared" ref="X5571:X5634" si="174">IFERROR(MATCH(W5571,$B:$B,0),0)</f>
        <v>0</v>
      </c>
      <c r="Y5571" s="1">
        <f t="shared" ref="Y5571:Y5634" si="175">IF(X5572=0,COUNTA(A:A),X5572-1)</f>
        <v>15</v>
      </c>
    </row>
    <row r="5572" spans="24:25" x14ac:dyDescent="0.3">
      <c r="X5572" s="1">
        <f t="shared" si="174"/>
        <v>0</v>
      </c>
      <c r="Y5572" s="1">
        <f t="shared" si="175"/>
        <v>15</v>
      </c>
    </row>
    <row r="5573" spans="24:25" x14ac:dyDescent="0.3">
      <c r="X5573" s="1">
        <f t="shared" si="174"/>
        <v>0</v>
      </c>
      <c r="Y5573" s="1">
        <f t="shared" si="175"/>
        <v>15</v>
      </c>
    </row>
    <row r="5574" spans="24:25" x14ac:dyDescent="0.3">
      <c r="X5574" s="1">
        <f t="shared" si="174"/>
        <v>0</v>
      </c>
      <c r="Y5574" s="1">
        <f t="shared" si="175"/>
        <v>15</v>
      </c>
    </row>
    <row r="5575" spans="24:25" x14ac:dyDescent="0.3">
      <c r="X5575" s="1">
        <f t="shared" si="174"/>
        <v>0</v>
      </c>
      <c r="Y5575" s="1">
        <f t="shared" si="175"/>
        <v>15</v>
      </c>
    </row>
    <row r="5576" spans="24:25" x14ac:dyDescent="0.3">
      <c r="X5576" s="1">
        <f t="shared" si="174"/>
        <v>0</v>
      </c>
      <c r="Y5576" s="1">
        <f t="shared" si="175"/>
        <v>15</v>
      </c>
    </row>
    <row r="5577" spans="24:25" x14ac:dyDescent="0.3">
      <c r="X5577" s="1">
        <f t="shared" si="174"/>
        <v>0</v>
      </c>
      <c r="Y5577" s="1">
        <f t="shared" si="175"/>
        <v>15</v>
      </c>
    </row>
    <row r="5578" spans="24:25" x14ac:dyDescent="0.3">
      <c r="X5578" s="1">
        <f t="shared" si="174"/>
        <v>0</v>
      </c>
      <c r="Y5578" s="1">
        <f t="shared" si="175"/>
        <v>15</v>
      </c>
    </row>
    <row r="5579" spans="24:25" x14ac:dyDescent="0.3">
      <c r="X5579" s="1">
        <f t="shared" si="174"/>
        <v>0</v>
      </c>
      <c r="Y5579" s="1">
        <f t="shared" si="175"/>
        <v>15</v>
      </c>
    </row>
    <row r="5580" spans="24:25" x14ac:dyDescent="0.3">
      <c r="X5580" s="1">
        <f t="shared" si="174"/>
        <v>0</v>
      </c>
      <c r="Y5580" s="1">
        <f t="shared" si="175"/>
        <v>15</v>
      </c>
    </row>
    <row r="5581" spans="24:25" x14ac:dyDescent="0.3">
      <c r="X5581" s="1">
        <f t="shared" si="174"/>
        <v>0</v>
      </c>
      <c r="Y5581" s="1">
        <f t="shared" si="175"/>
        <v>15</v>
      </c>
    </row>
    <row r="5582" spans="24:25" x14ac:dyDescent="0.3">
      <c r="X5582" s="1">
        <f t="shared" si="174"/>
        <v>0</v>
      </c>
      <c r="Y5582" s="1">
        <f t="shared" si="175"/>
        <v>15</v>
      </c>
    </row>
    <row r="5583" spans="24:25" x14ac:dyDescent="0.3">
      <c r="X5583" s="1">
        <f t="shared" si="174"/>
        <v>0</v>
      </c>
      <c r="Y5583" s="1">
        <f t="shared" si="175"/>
        <v>15</v>
      </c>
    </row>
    <row r="5584" spans="24:25" x14ac:dyDescent="0.3">
      <c r="X5584" s="1">
        <f t="shared" si="174"/>
        <v>0</v>
      </c>
      <c r="Y5584" s="1">
        <f t="shared" si="175"/>
        <v>15</v>
      </c>
    </row>
    <row r="5585" spans="24:25" x14ac:dyDescent="0.3">
      <c r="X5585" s="1">
        <f t="shared" si="174"/>
        <v>0</v>
      </c>
      <c r="Y5585" s="1">
        <f t="shared" si="175"/>
        <v>15</v>
      </c>
    </row>
    <row r="5586" spans="24:25" x14ac:dyDescent="0.3">
      <c r="X5586" s="1">
        <f t="shared" si="174"/>
        <v>0</v>
      </c>
      <c r="Y5586" s="1">
        <f t="shared" si="175"/>
        <v>15</v>
      </c>
    </row>
    <row r="5587" spans="24:25" x14ac:dyDescent="0.3">
      <c r="X5587" s="1">
        <f t="shared" si="174"/>
        <v>0</v>
      </c>
      <c r="Y5587" s="1">
        <f t="shared" si="175"/>
        <v>15</v>
      </c>
    </row>
    <row r="5588" spans="24:25" x14ac:dyDescent="0.3">
      <c r="X5588" s="1">
        <f t="shared" si="174"/>
        <v>0</v>
      </c>
      <c r="Y5588" s="1">
        <f t="shared" si="175"/>
        <v>15</v>
      </c>
    </row>
    <row r="5589" spans="24:25" x14ac:dyDescent="0.3">
      <c r="X5589" s="1">
        <f t="shared" si="174"/>
        <v>0</v>
      </c>
      <c r="Y5589" s="1">
        <f t="shared" si="175"/>
        <v>15</v>
      </c>
    </row>
    <row r="5590" spans="24:25" x14ac:dyDescent="0.3">
      <c r="X5590" s="1">
        <f t="shared" si="174"/>
        <v>0</v>
      </c>
      <c r="Y5590" s="1">
        <f t="shared" si="175"/>
        <v>15</v>
      </c>
    </row>
    <row r="5591" spans="24:25" x14ac:dyDescent="0.3">
      <c r="X5591" s="1">
        <f t="shared" si="174"/>
        <v>0</v>
      </c>
      <c r="Y5591" s="1">
        <f t="shared" si="175"/>
        <v>15</v>
      </c>
    </row>
    <row r="5592" spans="24:25" x14ac:dyDescent="0.3">
      <c r="X5592" s="1">
        <f t="shared" si="174"/>
        <v>0</v>
      </c>
      <c r="Y5592" s="1">
        <f t="shared" si="175"/>
        <v>15</v>
      </c>
    </row>
    <row r="5593" spans="24:25" x14ac:dyDescent="0.3">
      <c r="X5593" s="1">
        <f t="shared" si="174"/>
        <v>0</v>
      </c>
      <c r="Y5593" s="1">
        <f t="shared" si="175"/>
        <v>15</v>
      </c>
    </row>
    <row r="5594" spans="24:25" x14ac:dyDescent="0.3">
      <c r="X5594" s="1">
        <f t="shared" si="174"/>
        <v>0</v>
      </c>
      <c r="Y5594" s="1">
        <f t="shared" si="175"/>
        <v>15</v>
      </c>
    </row>
    <row r="5595" spans="24:25" x14ac:dyDescent="0.3">
      <c r="X5595" s="1">
        <f t="shared" si="174"/>
        <v>0</v>
      </c>
      <c r="Y5595" s="1">
        <f t="shared" si="175"/>
        <v>15</v>
      </c>
    </row>
    <row r="5596" spans="24:25" x14ac:dyDescent="0.3">
      <c r="X5596" s="1">
        <f t="shared" si="174"/>
        <v>0</v>
      </c>
      <c r="Y5596" s="1">
        <f t="shared" si="175"/>
        <v>15</v>
      </c>
    </row>
    <row r="5597" spans="24:25" x14ac:dyDescent="0.3">
      <c r="X5597" s="1">
        <f t="shared" si="174"/>
        <v>0</v>
      </c>
      <c r="Y5597" s="1">
        <f t="shared" si="175"/>
        <v>15</v>
      </c>
    </row>
    <row r="5598" spans="24:25" x14ac:dyDescent="0.3">
      <c r="X5598" s="1">
        <f t="shared" si="174"/>
        <v>0</v>
      </c>
      <c r="Y5598" s="1">
        <f t="shared" si="175"/>
        <v>15</v>
      </c>
    </row>
    <row r="5599" spans="24:25" x14ac:dyDescent="0.3">
      <c r="X5599" s="1">
        <f t="shared" si="174"/>
        <v>0</v>
      </c>
      <c r="Y5599" s="1">
        <f t="shared" si="175"/>
        <v>15</v>
      </c>
    </row>
    <row r="5600" spans="24:25" x14ac:dyDescent="0.3">
      <c r="X5600" s="1">
        <f t="shared" si="174"/>
        <v>0</v>
      </c>
      <c r="Y5600" s="1">
        <f t="shared" si="175"/>
        <v>15</v>
      </c>
    </row>
    <row r="5601" spans="24:25" x14ac:dyDescent="0.3">
      <c r="X5601" s="1">
        <f t="shared" si="174"/>
        <v>0</v>
      </c>
      <c r="Y5601" s="1">
        <f t="shared" si="175"/>
        <v>15</v>
      </c>
    </row>
    <row r="5602" spans="24:25" x14ac:dyDescent="0.3">
      <c r="X5602" s="1">
        <f t="shared" si="174"/>
        <v>0</v>
      </c>
      <c r="Y5602" s="1">
        <f t="shared" si="175"/>
        <v>15</v>
      </c>
    </row>
    <row r="5603" spans="24:25" x14ac:dyDescent="0.3">
      <c r="X5603" s="1">
        <f t="shared" si="174"/>
        <v>0</v>
      </c>
      <c r="Y5603" s="1">
        <f t="shared" si="175"/>
        <v>15</v>
      </c>
    </row>
    <row r="5604" spans="24:25" x14ac:dyDescent="0.3">
      <c r="X5604" s="1">
        <f t="shared" si="174"/>
        <v>0</v>
      </c>
      <c r="Y5604" s="1">
        <f t="shared" si="175"/>
        <v>15</v>
      </c>
    </row>
    <row r="5605" spans="24:25" x14ac:dyDescent="0.3">
      <c r="X5605" s="1">
        <f t="shared" si="174"/>
        <v>0</v>
      </c>
      <c r="Y5605" s="1">
        <f t="shared" si="175"/>
        <v>15</v>
      </c>
    </row>
    <row r="5606" spans="24:25" x14ac:dyDescent="0.3">
      <c r="X5606" s="1">
        <f t="shared" si="174"/>
        <v>0</v>
      </c>
      <c r="Y5606" s="1">
        <f t="shared" si="175"/>
        <v>15</v>
      </c>
    </row>
    <row r="5607" spans="24:25" x14ac:dyDescent="0.3">
      <c r="X5607" s="1">
        <f t="shared" si="174"/>
        <v>0</v>
      </c>
      <c r="Y5607" s="1">
        <f t="shared" si="175"/>
        <v>15</v>
      </c>
    </row>
    <row r="5608" spans="24:25" x14ac:dyDescent="0.3">
      <c r="X5608" s="1">
        <f t="shared" si="174"/>
        <v>0</v>
      </c>
      <c r="Y5608" s="1">
        <f t="shared" si="175"/>
        <v>15</v>
      </c>
    </row>
    <row r="5609" spans="24:25" x14ac:dyDescent="0.3">
      <c r="X5609" s="1">
        <f t="shared" si="174"/>
        <v>0</v>
      </c>
      <c r="Y5609" s="1">
        <f t="shared" si="175"/>
        <v>15</v>
      </c>
    </row>
    <row r="5610" spans="24:25" x14ac:dyDescent="0.3">
      <c r="X5610" s="1">
        <f t="shared" si="174"/>
        <v>0</v>
      </c>
      <c r="Y5610" s="1">
        <f t="shared" si="175"/>
        <v>15</v>
      </c>
    </row>
    <row r="5611" spans="24:25" x14ac:dyDescent="0.3">
      <c r="X5611" s="1">
        <f t="shared" si="174"/>
        <v>0</v>
      </c>
      <c r="Y5611" s="1">
        <f t="shared" si="175"/>
        <v>15</v>
      </c>
    </row>
    <row r="5612" spans="24:25" x14ac:dyDescent="0.3">
      <c r="X5612" s="1">
        <f t="shared" si="174"/>
        <v>0</v>
      </c>
      <c r="Y5612" s="1">
        <f t="shared" si="175"/>
        <v>15</v>
      </c>
    </row>
    <row r="5613" spans="24:25" x14ac:dyDescent="0.3">
      <c r="X5613" s="1">
        <f t="shared" si="174"/>
        <v>0</v>
      </c>
      <c r="Y5613" s="1">
        <f t="shared" si="175"/>
        <v>15</v>
      </c>
    </row>
    <row r="5614" spans="24:25" x14ac:dyDescent="0.3">
      <c r="X5614" s="1">
        <f t="shared" si="174"/>
        <v>0</v>
      </c>
      <c r="Y5614" s="1">
        <f t="shared" si="175"/>
        <v>15</v>
      </c>
    </row>
    <row r="5615" spans="24:25" x14ac:dyDescent="0.3">
      <c r="X5615" s="1">
        <f t="shared" si="174"/>
        <v>0</v>
      </c>
      <c r="Y5615" s="1">
        <f t="shared" si="175"/>
        <v>15</v>
      </c>
    </row>
    <row r="5616" spans="24:25" x14ac:dyDescent="0.3">
      <c r="X5616" s="1">
        <f t="shared" si="174"/>
        <v>0</v>
      </c>
      <c r="Y5616" s="1">
        <f t="shared" si="175"/>
        <v>15</v>
      </c>
    </row>
    <row r="5617" spans="24:25" x14ac:dyDescent="0.3">
      <c r="X5617" s="1">
        <f t="shared" si="174"/>
        <v>0</v>
      </c>
      <c r="Y5617" s="1">
        <f t="shared" si="175"/>
        <v>15</v>
      </c>
    </row>
    <row r="5618" spans="24:25" x14ac:dyDescent="0.3">
      <c r="X5618" s="1">
        <f t="shared" si="174"/>
        <v>0</v>
      </c>
      <c r="Y5618" s="1">
        <f t="shared" si="175"/>
        <v>15</v>
      </c>
    </row>
    <row r="5619" spans="24:25" x14ac:dyDescent="0.3">
      <c r="X5619" s="1">
        <f t="shared" si="174"/>
        <v>0</v>
      </c>
      <c r="Y5619" s="1">
        <f t="shared" si="175"/>
        <v>15</v>
      </c>
    </row>
    <row r="5620" spans="24:25" x14ac:dyDescent="0.3">
      <c r="X5620" s="1">
        <f t="shared" si="174"/>
        <v>0</v>
      </c>
      <c r="Y5620" s="1">
        <f t="shared" si="175"/>
        <v>15</v>
      </c>
    </row>
    <row r="5621" spans="24:25" x14ac:dyDescent="0.3">
      <c r="X5621" s="1">
        <f t="shared" si="174"/>
        <v>0</v>
      </c>
      <c r="Y5621" s="1">
        <f t="shared" si="175"/>
        <v>15</v>
      </c>
    </row>
    <row r="5622" spans="24:25" x14ac:dyDescent="0.3">
      <c r="X5622" s="1">
        <f t="shared" si="174"/>
        <v>0</v>
      </c>
      <c r="Y5622" s="1">
        <f t="shared" si="175"/>
        <v>15</v>
      </c>
    </row>
    <row r="5623" spans="24:25" x14ac:dyDescent="0.3">
      <c r="X5623" s="1">
        <f t="shared" si="174"/>
        <v>0</v>
      </c>
      <c r="Y5623" s="1">
        <f t="shared" si="175"/>
        <v>15</v>
      </c>
    </row>
    <row r="5624" spans="24:25" x14ac:dyDescent="0.3">
      <c r="X5624" s="1">
        <f t="shared" si="174"/>
        <v>0</v>
      </c>
      <c r="Y5624" s="1">
        <f t="shared" si="175"/>
        <v>15</v>
      </c>
    </row>
    <row r="5625" spans="24:25" x14ac:dyDescent="0.3">
      <c r="X5625" s="1">
        <f t="shared" si="174"/>
        <v>0</v>
      </c>
      <c r="Y5625" s="1">
        <f t="shared" si="175"/>
        <v>15</v>
      </c>
    </row>
    <row r="5626" spans="24:25" x14ac:dyDescent="0.3">
      <c r="X5626" s="1">
        <f t="shared" si="174"/>
        <v>0</v>
      </c>
      <c r="Y5626" s="1">
        <f t="shared" si="175"/>
        <v>15</v>
      </c>
    </row>
    <row r="5627" spans="24:25" x14ac:dyDescent="0.3">
      <c r="X5627" s="1">
        <f t="shared" si="174"/>
        <v>0</v>
      </c>
      <c r="Y5627" s="1">
        <f t="shared" si="175"/>
        <v>15</v>
      </c>
    </row>
    <row r="5628" spans="24:25" x14ac:dyDescent="0.3">
      <c r="X5628" s="1">
        <f t="shared" si="174"/>
        <v>0</v>
      </c>
      <c r="Y5628" s="1">
        <f t="shared" si="175"/>
        <v>15</v>
      </c>
    </row>
    <row r="5629" spans="24:25" x14ac:dyDescent="0.3">
      <c r="X5629" s="1">
        <f t="shared" si="174"/>
        <v>0</v>
      </c>
      <c r="Y5629" s="1">
        <f t="shared" si="175"/>
        <v>15</v>
      </c>
    </row>
    <row r="5630" spans="24:25" x14ac:dyDescent="0.3">
      <c r="X5630" s="1">
        <f t="shared" si="174"/>
        <v>0</v>
      </c>
      <c r="Y5630" s="1">
        <f t="shared" si="175"/>
        <v>15</v>
      </c>
    </row>
    <row r="5631" spans="24:25" x14ac:dyDescent="0.3">
      <c r="X5631" s="1">
        <f t="shared" si="174"/>
        <v>0</v>
      </c>
      <c r="Y5631" s="1">
        <f t="shared" si="175"/>
        <v>15</v>
      </c>
    </row>
    <row r="5632" spans="24:25" x14ac:dyDescent="0.3">
      <c r="X5632" s="1">
        <f t="shared" si="174"/>
        <v>0</v>
      </c>
      <c r="Y5632" s="1">
        <f t="shared" si="175"/>
        <v>15</v>
      </c>
    </row>
    <row r="5633" spans="24:25" x14ac:dyDescent="0.3">
      <c r="X5633" s="1">
        <f t="shared" si="174"/>
        <v>0</v>
      </c>
      <c r="Y5633" s="1">
        <f t="shared" si="175"/>
        <v>15</v>
      </c>
    </row>
    <row r="5634" spans="24:25" x14ac:dyDescent="0.3">
      <c r="X5634" s="1">
        <f t="shared" si="174"/>
        <v>0</v>
      </c>
      <c r="Y5634" s="1">
        <f t="shared" si="175"/>
        <v>15</v>
      </c>
    </row>
    <row r="5635" spans="24:25" x14ac:dyDescent="0.3">
      <c r="X5635" s="1">
        <f t="shared" ref="X5635:X5698" si="176">IFERROR(MATCH(W5635,$B:$B,0),0)</f>
        <v>0</v>
      </c>
      <c r="Y5635" s="1">
        <f t="shared" ref="Y5635:Y5698" si="177">IF(X5636=0,COUNTA(A:A),X5636-1)</f>
        <v>15</v>
      </c>
    </row>
    <row r="5636" spans="24:25" x14ac:dyDescent="0.3">
      <c r="X5636" s="1">
        <f t="shared" si="176"/>
        <v>0</v>
      </c>
      <c r="Y5636" s="1">
        <f t="shared" si="177"/>
        <v>15</v>
      </c>
    </row>
    <row r="5637" spans="24:25" x14ac:dyDescent="0.3">
      <c r="X5637" s="1">
        <f t="shared" si="176"/>
        <v>0</v>
      </c>
      <c r="Y5637" s="1">
        <f t="shared" si="177"/>
        <v>15</v>
      </c>
    </row>
    <row r="5638" spans="24:25" x14ac:dyDescent="0.3">
      <c r="X5638" s="1">
        <f t="shared" si="176"/>
        <v>0</v>
      </c>
      <c r="Y5638" s="1">
        <f t="shared" si="177"/>
        <v>15</v>
      </c>
    </row>
    <row r="5639" spans="24:25" x14ac:dyDescent="0.3">
      <c r="X5639" s="1">
        <f t="shared" si="176"/>
        <v>0</v>
      </c>
      <c r="Y5639" s="1">
        <f t="shared" si="177"/>
        <v>15</v>
      </c>
    </row>
    <row r="5640" spans="24:25" x14ac:dyDescent="0.3">
      <c r="X5640" s="1">
        <f t="shared" si="176"/>
        <v>0</v>
      </c>
      <c r="Y5640" s="1">
        <f t="shared" si="177"/>
        <v>15</v>
      </c>
    </row>
    <row r="5641" spans="24:25" x14ac:dyDescent="0.3">
      <c r="X5641" s="1">
        <f t="shared" si="176"/>
        <v>0</v>
      </c>
      <c r="Y5641" s="1">
        <f t="shared" si="177"/>
        <v>15</v>
      </c>
    </row>
    <row r="5642" spans="24:25" x14ac:dyDescent="0.3">
      <c r="X5642" s="1">
        <f t="shared" si="176"/>
        <v>0</v>
      </c>
      <c r="Y5642" s="1">
        <f t="shared" si="177"/>
        <v>15</v>
      </c>
    </row>
    <row r="5643" spans="24:25" x14ac:dyDescent="0.3">
      <c r="X5643" s="1">
        <f t="shared" si="176"/>
        <v>0</v>
      </c>
      <c r="Y5643" s="1">
        <f t="shared" si="177"/>
        <v>15</v>
      </c>
    </row>
    <row r="5644" spans="24:25" x14ac:dyDescent="0.3">
      <c r="X5644" s="1">
        <f t="shared" si="176"/>
        <v>0</v>
      </c>
      <c r="Y5644" s="1">
        <f t="shared" si="177"/>
        <v>15</v>
      </c>
    </row>
    <row r="5645" spans="24:25" x14ac:dyDescent="0.3">
      <c r="X5645" s="1">
        <f t="shared" si="176"/>
        <v>0</v>
      </c>
      <c r="Y5645" s="1">
        <f t="shared" si="177"/>
        <v>15</v>
      </c>
    </row>
    <row r="5646" spans="24:25" x14ac:dyDescent="0.3">
      <c r="X5646" s="1">
        <f t="shared" si="176"/>
        <v>0</v>
      </c>
      <c r="Y5646" s="1">
        <f t="shared" si="177"/>
        <v>15</v>
      </c>
    </row>
    <row r="5647" spans="24:25" x14ac:dyDescent="0.3">
      <c r="X5647" s="1">
        <f t="shared" si="176"/>
        <v>0</v>
      </c>
      <c r="Y5647" s="1">
        <f t="shared" si="177"/>
        <v>15</v>
      </c>
    </row>
    <row r="5648" spans="24:25" x14ac:dyDescent="0.3">
      <c r="X5648" s="1">
        <f t="shared" si="176"/>
        <v>0</v>
      </c>
      <c r="Y5648" s="1">
        <f t="shared" si="177"/>
        <v>15</v>
      </c>
    </row>
    <row r="5649" spans="24:25" x14ac:dyDescent="0.3">
      <c r="X5649" s="1">
        <f t="shared" si="176"/>
        <v>0</v>
      </c>
      <c r="Y5649" s="1">
        <f t="shared" si="177"/>
        <v>15</v>
      </c>
    </row>
    <row r="5650" spans="24:25" x14ac:dyDescent="0.3">
      <c r="X5650" s="1">
        <f t="shared" si="176"/>
        <v>0</v>
      </c>
      <c r="Y5650" s="1">
        <f t="shared" si="177"/>
        <v>15</v>
      </c>
    </row>
    <row r="5651" spans="24:25" x14ac:dyDescent="0.3">
      <c r="X5651" s="1">
        <f t="shared" si="176"/>
        <v>0</v>
      </c>
      <c r="Y5651" s="1">
        <f t="shared" si="177"/>
        <v>15</v>
      </c>
    </row>
    <row r="5652" spans="24:25" x14ac:dyDescent="0.3">
      <c r="X5652" s="1">
        <f t="shared" si="176"/>
        <v>0</v>
      </c>
      <c r="Y5652" s="1">
        <f t="shared" si="177"/>
        <v>15</v>
      </c>
    </row>
    <row r="5653" spans="24:25" x14ac:dyDescent="0.3">
      <c r="X5653" s="1">
        <f t="shared" si="176"/>
        <v>0</v>
      </c>
      <c r="Y5653" s="1">
        <f t="shared" si="177"/>
        <v>15</v>
      </c>
    </row>
    <row r="5654" spans="24:25" x14ac:dyDescent="0.3">
      <c r="X5654" s="1">
        <f t="shared" si="176"/>
        <v>0</v>
      </c>
      <c r="Y5654" s="1">
        <f t="shared" si="177"/>
        <v>15</v>
      </c>
    </row>
    <row r="5655" spans="24:25" x14ac:dyDescent="0.3">
      <c r="X5655" s="1">
        <f t="shared" si="176"/>
        <v>0</v>
      </c>
      <c r="Y5655" s="1">
        <f t="shared" si="177"/>
        <v>15</v>
      </c>
    </row>
    <row r="5656" spans="24:25" x14ac:dyDescent="0.3">
      <c r="X5656" s="1">
        <f t="shared" si="176"/>
        <v>0</v>
      </c>
      <c r="Y5656" s="1">
        <f t="shared" si="177"/>
        <v>15</v>
      </c>
    </row>
    <row r="5657" spans="24:25" x14ac:dyDescent="0.3">
      <c r="X5657" s="1">
        <f t="shared" si="176"/>
        <v>0</v>
      </c>
      <c r="Y5657" s="1">
        <f t="shared" si="177"/>
        <v>15</v>
      </c>
    </row>
    <row r="5658" spans="24:25" x14ac:dyDescent="0.3">
      <c r="X5658" s="1">
        <f t="shared" si="176"/>
        <v>0</v>
      </c>
      <c r="Y5658" s="1">
        <f t="shared" si="177"/>
        <v>15</v>
      </c>
    </row>
    <row r="5659" spans="24:25" x14ac:dyDescent="0.3">
      <c r="X5659" s="1">
        <f t="shared" si="176"/>
        <v>0</v>
      </c>
      <c r="Y5659" s="1">
        <f t="shared" si="177"/>
        <v>15</v>
      </c>
    </row>
    <row r="5660" spans="24:25" x14ac:dyDescent="0.3">
      <c r="X5660" s="1">
        <f t="shared" si="176"/>
        <v>0</v>
      </c>
      <c r="Y5660" s="1">
        <f t="shared" si="177"/>
        <v>15</v>
      </c>
    </row>
    <row r="5661" spans="24:25" x14ac:dyDescent="0.3">
      <c r="X5661" s="1">
        <f t="shared" si="176"/>
        <v>0</v>
      </c>
      <c r="Y5661" s="1">
        <f t="shared" si="177"/>
        <v>15</v>
      </c>
    </row>
    <row r="5662" spans="24:25" x14ac:dyDescent="0.3">
      <c r="X5662" s="1">
        <f t="shared" si="176"/>
        <v>0</v>
      </c>
      <c r="Y5662" s="1">
        <f t="shared" si="177"/>
        <v>15</v>
      </c>
    </row>
    <row r="5663" spans="24:25" x14ac:dyDescent="0.3">
      <c r="X5663" s="1">
        <f t="shared" si="176"/>
        <v>0</v>
      </c>
      <c r="Y5663" s="1">
        <f t="shared" si="177"/>
        <v>15</v>
      </c>
    </row>
    <row r="5664" spans="24:25" x14ac:dyDescent="0.3">
      <c r="X5664" s="1">
        <f t="shared" si="176"/>
        <v>0</v>
      </c>
      <c r="Y5664" s="1">
        <f t="shared" si="177"/>
        <v>15</v>
      </c>
    </row>
    <row r="5665" spans="24:25" x14ac:dyDescent="0.3">
      <c r="X5665" s="1">
        <f t="shared" si="176"/>
        <v>0</v>
      </c>
      <c r="Y5665" s="1">
        <f t="shared" si="177"/>
        <v>15</v>
      </c>
    </row>
    <row r="5666" spans="24:25" x14ac:dyDescent="0.3">
      <c r="X5666" s="1">
        <f t="shared" si="176"/>
        <v>0</v>
      </c>
      <c r="Y5666" s="1">
        <f t="shared" si="177"/>
        <v>15</v>
      </c>
    </row>
    <row r="5667" spans="24:25" x14ac:dyDescent="0.3">
      <c r="X5667" s="1">
        <f t="shared" si="176"/>
        <v>0</v>
      </c>
      <c r="Y5667" s="1">
        <f t="shared" si="177"/>
        <v>15</v>
      </c>
    </row>
    <row r="5668" spans="24:25" x14ac:dyDescent="0.3">
      <c r="X5668" s="1">
        <f t="shared" si="176"/>
        <v>0</v>
      </c>
      <c r="Y5668" s="1">
        <f t="shared" si="177"/>
        <v>15</v>
      </c>
    </row>
    <row r="5669" spans="24:25" x14ac:dyDescent="0.3">
      <c r="X5669" s="1">
        <f t="shared" si="176"/>
        <v>0</v>
      </c>
      <c r="Y5669" s="1">
        <f t="shared" si="177"/>
        <v>15</v>
      </c>
    </row>
    <row r="5670" spans="24:25" x14ac:dyDescent="0.3">
      <c r="X5670" s="1">
        <f t="shared" si="176"/>
        <v>0</v>
      </c>
      <c r="Y5670" s="1">
        <f t="shared" si="177"/>
        <v>15</v>
      </c>
    </row>
    <row r="5671" spans="24:25" x14ac:dyDescent="0.3">
      <c r="X5671" s="1">
        <f t="shared" si="176"/>
        <v>0</v>
      </c>
      <c r="Y5671" s="1">
        <f t="shared" si="177"/>
        <v>15</v>
      </c>
    </row>
    <row r="5672" spans="24:25" x14ac:dyDescent="0.3">
      <c r="X5672" s="1">
        <f t="shared" si="176"/>
        <v>0</v>
      </c>
      <c r="Y5672" s="1">
        <f t="shared" si="177"/>
        <v>15</v>
      </c>
    </row>
    <row r="5673" spans="24:25" x14ac:dyDescent="0.3">
      <c r="X5673" s="1">
        <f t="shared" si="176"/>
        <v>0</v>
      </c>
      <c r="Y5673" s="1">
        <f t="shared" si="177"/>
        <v>15</v>
      </c>
    </row>
    <row r="5674" spans="24:25" x14ac:dyDescent="0.3">
      <c r="X5674" s="1">
        <f t="shared" si="176"/>
        <v>0</v>
      </c>
      <c r="Y5674" s="1">
        <f t="shared" si="177"/>
        <v>15</v>
      </c>
    </row>
    <row r="5675" spans="24:25" x14ac:dyDescent="0.3">
      <c r="X5675" s="1">
        <f t="shared" si="176"/>
        <v>0</v>
      </c>
      <c r="Y5675" s="1">
        <f t="shared" si="177"/>
        <v>15</v>
      </c>
    </row>
    <row r="5676" spans="24:25" x14ac:dyDescent="0.3">
      <c r="X5676" s="1">
        <f t="shared" si="176"/>
        <v>0</v>
      </c>
      <c r="Y5676" s="1">
        <f t="shared" si="177"/>
        <v>15</v>
      </c>
    </row>
    <row r="5677" spans="24:25" x14ac:dyDescent="0.3">
      <c r="X5677" s="1">
        <f t="shared" si="176"/>
        <v>0</v>
      </c>
      <c r="Y5677" s="1">
        <f t="shared" si="177"/>
        <v>15</v>
      </c>
    </row>
    <row r="5678" spans="24:25" x14ac:dyDescent="0.3">
      <c r="X5678" s="1">
        <f t="shared" si="176"/>
        <v>0</v>
      </c>
      <c r="Y5678" s="1">
        <f t="shared" si="177"/>
        <v>15</v>
      </c>
    </row>
    <row r="5679" spans="24:25" x14ac:dyDescent="0.3">
      <c r="X5679" s="1">
        <f t="shared" si="176"/>
        <v>0</v>
      </c>
      <c r="Y5679" s="1">
        <f t="shared" si="177"/>
        <v>15</v>
      </c>
    </row>
    <row r="5680" spans="24:25" x14ac:dyDescent="0.3">
      <c r="X5680" s="1">
        <f t="shared" si="176"/>
        <v>0</v>
      </c>
      <c r="Y5680" s="1">
        <f t="shared" si="177"/>
        <v>15</v>
      </c>
    </row>
    <row r="5681" spans="24:25" x14ac:dyDescent="0.3">
      <c r="X5681" s="1">
        <f t="shared" si="176"/>
        <v>0</v>
      </c>
      <c r="Y5681" s="1">
        <f t="shared" si="177"/>
        <v>15</v>
      </c>
    </row>
    <row r="5682" spans="24:25" x14ac:dyDescent="0.3">
      <c r="X5682" s="1">
        <f t="shared" si="176"/>
        <v>0</v>
      </c>
      <c r="Y5682" s="1">
        <f t="shared" si="177"/>
        <v>15</v>
      </c>
    </row>
    <row r="5683" spans="24:25" x14ac:dyDescent="0.3">
      <c r="X5683" s="1">
        <f t="shared" si="176"/>
        <v>0</v>
      </c>
      <c r="Y5683" s="1">
        <f t="shared" si="177"/>
        <v>15</v>
      </c>
    </row>
    <row r="5684" spans="24:25" x14ac:dyDescent="0.3">
      <c r="X5684" s="1">
        <f t="shared" si="176"/>
        <v>0</v>
      </c>
      <c r="Y5684" s="1">
        <f t="shared" si="177"/>
        <v>15</v>
      </c>
    </row>
    <row r="5685" spans="24:25" x14ac:dyDescent="0.3">
      <c r="X5685" s="1">
        <f t="shared" si="176"/>
        <v>0</v>
      </c>
      <c r="Y5685" s="1">
        <f t="shared" si="177"/>
        <v>15</v>
      </c>
    </row>
    <row r="5686" spans="24:25" x14ac:dyDescent="0.3">
      <c r="X5686" s="1">
        <f t="shared" si="176"/>
        <v>0</v>
      </c>
      <c r="Y5686" s="1">
        <f t="shared" si="177"/>
        <v>15</v>
      </c>
    </row>
    <row r="5687" spans="24:25" x14ac:dyDescent="0.3">
      <c r="X5687" s="1">
        <f t="shared" si="176"/>
        <v>0</v>
      </c>
      <c r="Y5687" s="1">
        <f t="shared" si="177"/>
        <v>15</v>
      </c>
    </row>
    <row r="5688" spans="24:25" x14ac:dyDescent="0.3">
      <c r="X5688" s="1">
        <f t="shared" si="176"/>
        <v>0</v>
      </c>
      <c r="Y5688" s="1">
        <f t="shared" si="177"/>
        <v>15</v>
      </c>
    </row>
    <row r="5689" spans="24:25" x14ac:dyDescent="0.3">
      <c r="X5689" s="1">
        <f t="shared" si="176"/>
        <v>0</v>
      </c>
      <c r="Y5689" s="1">
        <f t="shared" si="177"/>
        <v>15</v>
      </c>
    </row>
    <row r="5690" spans="24:25" x14ac:dyDescent="0.3">
      <c r="X5690" s="1">
        <f t="shared" si="176"/>
        <v>0</v>
      </c>
      <c r="Y5690" s="1">
        <f t="shared" si="177"/>
        <v>15</v>
      </c>
    </row>
    <row r="5691" spans="24:25" x14ac:dyDescent="0.3">
      <c r="X5691" s="1">
        <f t="shared" si="176"/>
        <v>0</v>
      </c>
      <c r="Y5691" s="1">
        <f t="shared" si="177"/>
        <v>15</v>
      </c>
    </row>
    <row r="5692" spans="24:25" x14ac:dyDescent="0.3">
      <c r="X5692" s="1">
        <f t="shared" si="176"/>
        <v>0</v>
      </c>
      <c r="Y5692" s="1">
        <f t="shared" si="177"/>
        <v>15</v>
      </c>
    </row>
    <row r="5693" spans="24:25" x14ac:dyDescent="0.3">
      <c r="X5693" s="1">
        <f t="shared" si="176"/>
        <v>0</v>
      </c>
      <c r="Y5693" s="1">
        <f t="shared" si="177"/>
        <v>15</v>
      </c>
    </row>
    <row r="5694" spans="24:25" x14ac:dyDescent="0.3">
      <c r="X5694" s="1">
        <f t="shared" si="176"/>
        <v>0</v>
      </c>
      <c r="Y5694" s="1">
        <f t="shared" si="177"/>
        <v>15</v>
      </c>
    </row>
    <row r="5695" spans="24:25" x14ac:dyDescent="0.3">
      <c r="X5695" s="1">
        <f t="shared" si="176"/>
        <v>0</v>
      </c>
      <c r="Y5695" s="1">
        <f t="shared" si="177"/>
        <v>15</v>
      </c>
    </row>
    <row r="5696" spans="24:25" x14ac:dyDescent="0.3">
      <c r="X5696" s="1">
        <f t="shared" si="176"/>
        <v>0</v>
      </c>
      <c r="Y5696" s="1">
        <f t="shared" si="177"/>
        <v>15</v>
      </c>
    </row>
    <row r="5697" spans="24:25" x14ac:dyDescent="0.3">
      <c r="X5697" s="1">
        <f t="shared" si="176"/>
        <v>0</v>
      </c>
      <c r="Y5697" s="1">
        <f t="shared" si="177"/>
        <v>15</v>
      </c>
    </row>
    <row r="5698" spans="24:25" x14ac:dyDescent="0.3">
      <c r="X5698" s="1">
        <f t="shared" si="176"/>
        <v>0</v>
      </c>
      <c r="Y5698" s="1">
        <f t="shared" si="177"/>
        <v>15</v>
      </c>
    </row>
    <row r="5699" spans="24:25" x14ac:dyDescent="0.3">
      <c r="X5699" s="1">
        <f t="shared" ref="X5699:X5762" si="178">IFERROR(MATCH(W5699,$B:$B,0),0)</f>
        <v>0</v>
      </c>
      <c r="Y5699" s="1">
        <f t="shared" ref="Y5699:Y5762" si="179">IF(X5700=0,COUNTA(A:A),X5700-1)</f>
        <v>15</v>
      </c>
    </row>
    <row r="5700" spans="24:25" x14ac:dyDescent="0.3">
      <c r="X5700" s="1">
        <f t="shared" si="178"/>
        <v>0</v>
      </c>
      <c r="Y5700" s="1">
        <f t="shared" si="179"/>
        <v>15</v>
      </c>
    </row>
    <row r="5701" spans="24:25" x14ac:dyDescent="0.3">
      <c r="X5701" s="1">
        <f t="shared" si="178"/>
        <v>0</v>
      </c>
      <c r="Y5701" s="1">
        <f t="shared" si="179"/>
        <v>15</v>
      </c>
    </row>
    <row r="5702" spans="24:25" x14ac:dyDescent="0.3">
      <c r="X5702" s="1">
        <f t="shared" si="178"/>
        <v>0</v>
      </c>
      <c r="Y5702" s="1">
        <f t="shared" si="179"/>
        <v>15</v>
      </c>
    </row>
    <row r="5703" spans="24:25" x14ac:dyDescent="0.3">
      <c r="X5703" s="1">
        <f t="shared" si="178"/>
        <v>0</v>
      </c>
      <c r="Y5703" s="1">
        <f t="shared" si="179"/>
        <v>15</v>
      </c>
    </row>
    <row r="5704" spans="24:25" x14ac:dyDescent="0.3">
      <c r="X5704" s="1">
        <f t="shared" si="178"/>
        <v>0</v>
      </c>
      <c r="Y5704" s="1">
        <f t="shared" si="179"/>
        <v>15</v>
      </c>
    </row>
    <row r="5705" spans="24:25" x14ac:dyDescent="0.3">
      <c r="X5705" s="1">
        <f t="shared" si="178"/>
        <v>0</v>
      </c>
      <c r="Y5705" s="1">
        <f t="shared" si="179"/>
        <v>15</v>
      </c>
    </row>
    <row r="5706" spans="24:25" x14ac:dyDescent="0.3">
      <c r="X5706" s="1">
        <f t="shared" si="178"/>
        <v>0</v>
      </c>
      <c r="Y5706" s="1">
        <f t="shared" si="179"/>
        <v>15</v>
      </c>
    </row>
    <row r="5707" spans="24:25" x14ac:dyDescent="0.3">
      <c r="X5707" s="1">
        <f t="shared" si="178"/>
        <v>0</v>
      </c>
      <c r="Y5707" s="1">
        <f t="shared" si="179"/>
        <v>15</v>
      </c>
    </row>
    <row r="5708" spans="24:25" x14ac:dyDescent="0.3">
      <c r="X5708" s="1">
        <f t="shared" si="178"/>
        <v>0</v>
      </c>
      <c r="Y5708" s="1">
        <f t="shared" si="179"/>
        <v>15</v>
      </c>
    </row>
    <row r="5709" spans="24:25" x14ac:dyDescent="0.3">
      <c r="X5709" s="1">
        <f t="shared" si="178"/>
        <v>0</v>
      </c>
      <c r="Y5709" s="1">
        <f t="shared" si="179"/>
        <v>15</v>
      </c>
    </row>
    <row r="5710" spans="24:25" x14ac:dyDescent="0.3">
      <c r="X5710" s="1">
        <f t="shared" si="178"/>
        <v>0</v>
      </c>
      <c r="Y5710" s="1">
        <f t="shared" si="179"/>
        <v>15</v>
      </c>
    </row>
    <row r="5711" spans="24:25" x14ac:dyDescent="0.3">
      <c r="X5711" s="1">
        <f t="shared" si="178"/>
        <v>0</v>
      </c>
      <c r="Y5711" s="1">
        <f t="shared" si="179"/>
        <v>15</v>
      </c>
    </row>
    <row r="5712" spans="24:25" x14ac:dyDescent="0.3">
      <c r="X5712" s="1">
        <f t="shared" si="178"/>
        <v>0</v>
      </c>
      <c r="Y5712" s="1">
        <f t="shared" si="179"/>
        <v>15</v>
      </c>
    </row>
    <row r="5713" spans="24:25" x14ac:dyDescent="0.3">
      <c r="X5713" s="1">
        <f t="shared" si="178"/>
        <v>0</v>
      </c>
      <c r="Y5713" s="1">
        <f t="shared" si="179"/>
        <v>15</v>
      </c>
    </row>
    <row r="5714" spans="24:25" x14ac:dyDescent="0.3">
      <c r="X5714" s="1">
        <f t="shared" si="178"/>
        <v>0</v>
      </c>
      <c r="Y5714" s="1">
        <f t="shared" si="179"/>
        <v>15</v>
      </c>
    </row>
    <row r="5715" spans="24:25" x14ac:dyDescent="0.3">
      <c r="X5715" s="1">
        <f t="shared" si="178"/>
        <v>0</v>
      </c>
      <c r="Y5715" s="1">
        <f t="shared" si="179"/>
        <v>15</v>
      </c>
    </row>
    <row r="5716" spans="24:25" x14ac:dyDescent="0.3">
      <c r="X5716" s="1">
        <f t="shared" si="178"/>
        <v>0</v>
      </c>
      <c r="Y5716" s="1">
        <f t="shared" si="179"/>
        <v>15</v>
      </c>
    </row>
    <row r="5717" spans="24:25" x14ac:dyDescent="0.3">
      <c r="X5717" s="1">
        <f t="shared" si="178"/>
        <v>0</v>
      </c>
      <c r="Y5717" s="1">
        <f t="shared" si="179"/>
        <v>15</v>
      </c>
    </row>
    <row r="5718" spans="24:25" x14ac:dyDescent="0.3">
      <c r="X5718" s="1">
        <f t="shared" si="178"/>
        <v>0</v>
      </c>
      <c r="Y5718" s="1">
        <f t="shared" si="179"/>
        <v>15</v>
      </c>
    </row>
    <row r="5719" spans="24:25" x14ac:dyDescent="0.3">
      <c r="X5719" s="1">
        <f t="shared" si="178"/>
        <v>0</v>
      </c>
      <c r="Y5719" s="1">
        <f t="shared" si="179"/>
        <v>15</v>
      </c>
    </row>
    <row r="5720" spans="24:25" x14ac:dyDescent="0.3">
      <c r="X5720" s="1">
        <f t="shared" si="178"/>
        <v>0</v>
      </c>
      <c r="Y5720" s="1">
        <f t="shared" si="179"/>
        <v>15</v>
      </c>
    </row>
    <row r="5721" spans="24:25" x14ac:dyDescent="0.3">
      <c r="X5721" s="1">
        <f t="shared" si="178"/>
        <v>0</v>
      </c>
      <c r="Y5721" s="1">
        <f t="shared" si="179"/>
        <v>15</v>
      </c>
    </row>
    <row r="5722" spans="24:25" x14ac:dyDescent="0.3">
      <c r="X5722" s="1">
        <f t="shared" si="178"/>
        <v>0</v>
      </c>
      <c r="Y5722" s="1">
        <f t="shared" si="179"/>
        <v>15</v>
      </c>
    </row>
    <row r="5723" spans="24:25" x14ac:dyDescent="0.3">
      <c r="X5723" s="1">
        <f t="shared" si="178"/>
        <v>0</v>
      </c>
      <c r="Y5723" s="1">
        <f t="shared" si="179"/>
        <v>15</v>
      </c>
    </row>
    <row r="5724" spans="24:25" x14ac:dyDescent="0.3">
      <c r="X5724" s="1">
        <f t="shared" si="178"/>
        <v>0</v>
      </c>
      <c r="Y5724" s="1">
        <f t="shared" si="179"/>
        <v>15</v>
      </c>
    </row>
    <row r="5725" spans="24:25" x14ac:dyDescent="0.3">
      <c r="X5725" s="1">
        <f t="shared" si="178"/>
        <v>0</v>
      </c>
      <c r="Y5725" s="1">
        <f t="shared" si="179"/>
        <v>15</v>
      </c>
    </row>
    <row r="5726" spans="24:25" x14ac:dyDescent="0.3">
      <c r="X5726" s="1">
        <f t="shared" si="178"/>
        <v>0</v>
      </c>
      <c r="Y5726" s="1">
        <f t="shared" si="179"/>
        <v>15</v>
      </c>
    </row>
    <row r="5727" spans="24:25" x14ac:dyDescent="0.3">
      <c r="X5727" s="1">
        <f t="shared" si="178"/>
        <v>0</v>
      </c>
      <c r="Y5727" s="1">
        <f t="shared" si="179"/>
        <v>15</v>
      </c>
    </row>
    <row r="5728" spans="24:25" x14ac:dyDescent="0.3">
      <c r="X5728" s="1">
        <f t="shared" si="178"/>
        <v>0</v>
      </c>
      <c r="Y5728" s="1">
        <f t="shared" si="179"/>
        <v>15</v>
      </c>
    </row>
    <row r="5729" spans="24:25" x14ac:dyDescent="0.3">
      <c r="X5729" s="1">
        <f t="shared" si="178"/>
        <v>0</v>
      </c>
      <c r="Y5729" s="1">
        <f t="shared" si="179"/>
        <v>15</v>
      </c>
    </row>
    <row r="5730" spans="24:25" x14ac:dyDescent="0.3">
      <c r="X5730" s="1">
        <f t="shared" si="178"/>
        <v>0</v>
      </c>
      <c r="Y5730" s="1">
        <f t="shared" si="179"/>
        <v>15</v>
      </c>
    </row>
    <row r="5731" spans="24:25" x14ac:dyDescent="0.3">
      <c r="X5731" s="1">
        <f t="shared" si="178"/>
        <v>0</v>
      </c>
      <c r="Y5731" s="1">
        <f t="shared" si="179"/>
        <v>15</v>
      </c>
    </row>
    <row r="5732" spans="24:25" x14ac:dyDescent="0.3">
      <c r="X5732" s="1">
        <f t="shared" si="178"/>
        <v>0</v>
      </c>
      <c r="Y5732" s="1">
        <f t="shared" si="179"/>
        <v>15</v>
      </c>
    </row>
    <row r="5733" spans="24:25" x14ac:dyDescent="0.3">
      <c r="X5733" s="1">
        <f t="shared" si="178"/>
        <v>0</v>
      </c>
      <c r="Y5733" s="1">
        <f t="shared" si="179"/>
        <v>15</v>
      </c>
    </row>
    <row r="5734" spans="24:25" x14ac:dyDescent="0.3">
      <c r="X5734" s="1">
        <f t="shared" si="178"/>
        <v>0</v>
      </c>
      <c r="Y5734" s="1">
        <f t="shared" si="179"/>
        <v>15</v>
      </c>
    </row>
    <row r="5735" spans="24:25" x14ac:dyDescent="0.3">
      <c r="X5735" s="1">
        <f t="shared" si="178"/>
        <v>0</v>
      </c>
      <c r="Y5735" s="1">
        <f t="shared" si="179"/>
        <v>15</v>
      </c>
    </row>
    <row r="5736" spans="24:25" x14ac:dyDescent="0.3">
      <c r="X5736" s="1">
        <f t="shared" si="178"/>
        <v>0</v>
      </c>
      <c r="Y5736" s="1">
        <f t="shared" si="179"/>
        <v>15</v>
      </c>
    </row>
    <row r="5737" spans="24:25" x14ac:dyDescent="0.3">
      <c r="X5737" s="1">
        <f t="shared" si="178"/>
        <v>0</v>
      </c>
      <c r="Y5737" s="1">
        <f t="shared" si="179"/>
        <v>15</v>
      </c>
    </row>
    <row r="5738" spans="24:25" x14ac:dyDescent="0.3">
      <c r="X5738" s="1">
        <f t="shared" si="178"/>
        <v>0</v>
      </c>
      <c r="Y5738" s="1">
        <f t="shared" si="179"/>
        <v>15</v>
      </c>
    </row>
    <row r="5739" spans="24:25" x14ac:dyDescent="0.3">
      <c r="X5739" s="1">
        <f t="shared" si="178"/>
        <v>0</v>
      </c>
      <c r="Y5739" s="1">
        <f t="shared" si="179"/>
        <v>15</v>
      </c>
    </row>
    <row r="5740" spans="24:25" x14ac:dyDescent="0.3">
      <c r="X5740" s="1">
        <f t="shared" si="178"/>
        <v>0</v>
      </c>
      <c r="Y5740" s="1">
        <f t="shared" si="179"/>
        <v>15</v>
      </c>
    </row>
    <row r="5741" spans="24:25" x14ac:dyDescent="0.3">
      <c r="X5741" s="1">
        <f t="shared" si="178"/>
        <v>0</v>
      </c>
      <c r="Y5741" s="1">
        <f t="shared" si="179"/>
        <v>15</v>
      </c>
    </row>
    <row r="5742" spans="24:25" x14ac:dyDescent="0.3">
      <c r="X5742" s="1">
        <f t="shared" si="178"/>
        <v>0</v>
      </c>
      <c r="Y5742" s="1">
        <f t="shared" si="179"/>
        <v>15</v>
      </c>
    </row>
    <row r="5743" spans="24:25" x14ac:dyDescent="0.3">
      <c r="X5743" s="1">
        <f t="shared" si="178"/>
        <v>0</v>
      </c>
      <c r="Y5743" s="1">
        <f t="shared" si="179"/>
        <v>15</v>
      </c>
    </row>
    <row r="5744" spans="24:25" x14ac:dyDescent="0.3">
      <c r="X5744" s="1">
        <f t="shared" si="178"/>
        <v>0</v>
      </c>
      <c r="Y5744" s="1">
        <f t="shared" si="179"/>
        <v>15</v>
      </c>
    </row>
    <row r="5745" spans="24:25" x14ac:dyDescent="0.3">
      <c r="X5745" s="1">
        <f t="shared" si="178"/>
        <v>0</v>
      </c>
      <c r="Y5745" s="1">
        <f t="shared" si="179"/>
        <v>15</v>
      </c>
    </row>
    <row r="5746" spans="24:25" x14ac:dyDescent="0.3">
      <c r="X5746" s="1">
        <f t="shared" si="178"/>
        <v>0</v>
      </c>
      <c r="Y5746" s="1">
        <f t="shared" si="179"/>
        <v>15</v>
      </c>
    </row>
    <row r="5747" spans="24:25" x14ac:dyDescent="0.3">
      <c r="X5747" s="1">
        <f t="shared" si="178"/>
        <v>0</v>
      </c>
      <c r="Y5747" s="1">
        <f t="shared" si="179"/>
        <v>15</v>
      </c>
    </row>
    <row r="5748" spans="24:25" x14ac:dyDescent="0.3">
      <c r="X5748" s="1">
        <f t="shared" si="178"/>
        <v>0</v>
      </c>
      <c r="Y5748" s="1">
        <f t="shared" si="179"/>
        <v>15</v>
      </c>
    </row>
    <row r="5749" spans="24:25" x14ac:dyDescent="0.3">
      <c r="X5749" s="1">
        <f t="shared" si="178"/>
        <v>0</v>
      </c>
      <c r="Y5749" s="1">
        <f t="shared" si="179"/>
        <v>15</v>
      </c>
    </row>
    <row r="5750" spans="24:25" x14ac:dyDescent="0.3">
      <c r="X5750" s="1">
        <f t="shared" si="178"/>
        <v>0</v>
      </c>
      <c r="Y5750" s="1">
        <f t="shared" si="179"/>
        <v>15</v>
      </c>
    </row>
    <row r="5751" spans="24:25" x14ac:dyDescent="0.3">
      <c r="X5751" s="1">
        <f t="shared" si="178"/>
        <v>0</v>
      </c>
      <c r="Y5751" s="1">
        <f t="shared" si="179"/>
        <v>15</v>
      </c>
    </row>
    <row r="5752" spans="24:25" x14ac:dyDescent="0.3">
      <c r="X5752" s="1">
        <f t="shared" si="178"/>
        <v>0</v>
      </c>
      <c r="Y5752" s="1">
        <f t="shared" si="179"/>
        <v>15</v>
      </c>
    </row>
    <row r="5753" spans="24:25" x14ac:dyDescent="0.3">
      <c r="X5753" s="1">
        <f t="shared" si="178"/>
        <v>0</v>
      </c>
      <c r="Y5753" s="1">
        <f t="shared" si="179"/>
        <v>15</v>
      </c>
    </row>
    <row r="5754" spans="24:25" x14ac:dyDescent="0.3">
      <c r="X5754" s="1">
        <f t="shared" si="178"/>
        <v>0</v>
      </c>
      <c r="Y5754" s="1">
        <f t="shared" si="179"/>
        <v>15</v>
      </c>
    </row>
    <row r="5755" spans="24:25" x14ac:dyDescent="0.3">
      <c r="X5755" s="1">
        <f t="shared" si="178"/>
        <v>0</v>
      </c>
      <c r="Y5755" s="1">
        <f t="shared" si="179"/>
        <v>15</v>
      </c>
    </row>
    <row r="5756" spans="24:25" x14ac:dyDescent="0.3">
      <c r="X5756" s="1">
        <f t="shared" si="178"/>
        <v>0</v>
      </c>
      <c r="Y5756" s="1">
        <f t="shared" si="179"/>
        <v>15</v>
      </c>
    </row>
    <row r="5757" spans="24:25" x14ac:dyDescent="0.3">
      <c r="X5757" s="1">
        <f t="shared" si="178"/>
        <v>0</v>
      </c>
      <c r="Y5757" s="1">
        <f t="shared" si="179"/>
        <v>15</v>
      </c>
    </row>
    <row r="5758" spans="24:25" x14ac:dyDescent="0.3">
      <c r="X5758" s="1">
        <f t="shared" si="178"/>
        <v>0</v>
      </c>
      <c r="Y5758" s="1">
        <f t="shared" si="179"/>
        <v>15</v>
      </c>
    </row>
    <row r="5759" spans="24:25" x14ac:dyDescent="0.3">
      <c r="X5759" s="1">
        <f t="shared" si="178"/>
        <v>0</v>
      </c>
      <c r="Y5759" s="1">
        <f t="shared" si="179"/>
        <v>15</v>
      </c>
    </row>
    <row r="5760" spans="24:25" x14ac:dyDescent="0.3">
      <c r="X5760" s="1">
        <f t="shared" si="178"/>
        <v>0</v>
      </c>
      <c r="Y5760" s="1">
        <f t="shared" si="179"/>
        <v>15</v>
      </c>
    </row>
    <row r="5761" spans="24:25" x14ac:dyDescent="0.3">
      <c r="X5761" s="1">
        <f t="shared" si="178"/>
        <v>0</v>
      </c>
      <c r="Y5761" s="1">
        <f t="shared" si="179"/>
        <v>15</v>
      </c>
    </row>
    <row r="5762" spans="24:25" x14ac:dyDescent="0.3">
      <c r="X5762" s="1">
        <f t="shared" si="178"/>
        <v>0</v>
      </c>
      <c r="Y5762" s="1">
        <f t="shared" si="179"/>
        <v>15</v>
      </c>
    </row>
    <row r="5763" spans="24:25" x14ac:dyDescent="0.3">
      <c r="X5763" s="1">
        <f t="shared" ref="X5763:X5826" si="180">IFERROR(MATCH(W5763,$B:$B,0),0)</f>
        <v>0</v>
      </c>
      <c r="Y5763" s="1">
        <f t="shared" ref="Y5763:Y5826" si="181">IF(X5764=0,COUNTA(A:A),X5764-1)</f>
        <v>15</v>
      </c>
    </row>
    <row r="5764" spans="24:25" x14ac:dyDescent="0.3">
      <c r="X5764" s="1">
        <f t="shared" si="180"/>
        <v>0</v>
      </c>
      <c r="Y5764" s="1">
        <f t="shared" si="181"/>
        <v>15</v>
      </c>
    </row>
    <row r="5765" spans="24:25" x14ac:dyDescent="0.3">
      <c r="X5765" s="1">
        <f t="shared" si="180"/>
        <v>0</v>
      </c>
      <c r="Y5765" s="1">
        <f t="shared" si="181"/>
        <v>15</v>
      </c>
    </row>
    <row r="5766" spans="24:25" x14ac:dyDescent="0.3">
      <c r="X5766" s="1">
        <f t="shared" si="180"/>
        <v>0</v>
      </c>
      <c r="Y5766" s="1">
        <f t="shared" si="181"/>
        <v>15</v>
      </c>
    </row>
    <row r="5767" spans="24:25" x14ac:dyDescent="0.3">
      <c r="X5767" s="1">
        <f t="shared" si="180"/>
        <v>0</v>
      </c>
      <c r="Y5767" s="1">
        <f t="shared" si="181"/>
        <v>15</v>
      </c>
    </row>
    <row r="5768" spans="24:25" x14ac:dyDescent="0.3">
      <c r="X5768" s="1">
        <f t="shared" si="180"/>
        <v>0</v>
      </c>
      <c r="Y5768" s="1">
        <f t="shared" si="181"/>
        <v>15</v>
      </c>
    </row>
    <row r="5769" spans="24:25" x14ac:dyDescent="0.3">
      <c r="X5769" s="1">
        <f t="shared" si="180"/>
        <v>0</v>
      </c>
      <c r="Y5769" s="1">
        <f t="shared" si="181"/>
        <v>15</v>
      </c>
    </row>
    <row r="5770" spans="24:25" x14ac:dyDescent="0.3">
      <c r="X5770" s="1">
        <f t="shared" si="180"/>
        <v>0</v>
      </c>
      <c r="Y5770" s="1">
        <f t="shared" si="181"/>
        <v>15</v>
      </c>
    </row>
    <row r="5771" spans="24:25" x14ac:dyDescent="0.3">
      <c r="X5771" s="1">
        <f t="shared" si="180"/>
        <v>0</v>
      </c>
      <c r="Y5771" s="1">
        <f t="shared" si="181"/>
        <v>15</v>
      </c>
    </row>
    <row r="5772" spans="24:25" x14ac:dyDescent="0.3">
      <c r="X5772" s="1">
        <f t="shared" si="180"/>
        <v>0</v>
      </c>
      <c r="Y5772" s="1">
        <f t="shared" si="181"/>
        <v>15</v>
      </c>
    </row>
    <row r="5773" spans="24:25" x14ac:dyDescent="0.3">
      <c r="X5773" s="1">
        <f t="shared" si="180"/>
        <v>0</v>
      </c>
      <c r="Y5773" s="1">
        <f t="shared" si="181"/>
        <v>15</v>
      </c>
    </row>
    <row r="5774" spans="24:25" x14ac:dyDescent="0.3">
      <c r="X5774" s="1">
        <f t="shared" si="180"/>
        <v>0</v>
      </c>
      <c r="Y5774" s="1">
        <f t="shared" si="181"/>
        <v>15</v>
      </c>
    </row>
    <row r="5775" spans="24:25" x14ac:dyDescent="0.3">
      <c r="X5775" s="1">
        <f t="shared" si="180"/>
        <v>0</v>
      </c>
      <c r="Y5775" s="1">
        <f t="shared" si="181"/>
        <v>15</v>
      </c>
    </row>
    <row r="5776" spans="24:25" x14ac:dyDescent="0.3">
      <c r="X5776" s="1">
        <f t="shared" si="180"/>
        <v>0</v>
      </c>
      <c r="Y5776" s="1">
        <f t="shared" si="181"/>
        <v>15</v>
      </c>
    </row>
    <row r="5777" spans="24:25" x14ac:dyDescent="0.3">
      <c r="X5777" s="1">
        <f t="shared" si="180"/>
        <v>0</v>
      </c>
      <c r="Y5777" s="1">
        <f t="shared" si="181"/>
        <v>15</v>
      </c>
    </row>
    <row r="5778" spans="24:25" x14ac:dyDescent="0.3">
      <c r="X5778" s="1">
        <f t="shared" si="180"/>
        <v>0</v>
      </c>
      <c r="Y5778" s="1">
        <f t="shared" si="181"/>
        <v>15</v>
      </c>
    </row>
    <row r="5779" spans="24:25" x14ac:dyDescent="0.3">
      <c r="X5779" s="1">
        <f t="shared" si="180"/>
        <v>0</v>
      </c>
      <c r="Y5779" s="1">
        <f t="shared" si="181"/>
        <v>15</v>
      </c>
    </row>
    <row r="5780" spans="24:25" x14ac:dyDescent="0.3">
      <c r="X5780" s="1">
        <f t="shared" si="180"/>
        <v>0</v>
      </c>
      <c r="Y5780" s="1">
        <f t="shared" si="181"/>
        <v>15</v>
      </c>
    </row>
    <row r="5781" spans="24:25" x14ac:dyDescent="0.3">
      <c r="X5781" s="1">
        <f t="shared" si="180"/>
        <v>0</v>
      </c>
      <c r="Y5781" s="1">
        <f t="shared" si="181"/>
        <v>15</v>
      </c>
    </row>
    <row r="5782" spans="24:25" x14ac:dyDescent="0.3">
      <c r="X5782" s="1">
        <f t="shared" si="180"/>
        <v>0</v>
      </c>
      <c r="Y5782" s="1">
        <f t="shared" si="181"/>
        <v>15</v>
      </c>
    </row>
    <row r="5783" spans="24:25" x14ac:dyDescent="0.3">
      <c r="X5783" s="1">
        <f t="shared" si="180"/>
        <v>0</v>
      </c>
      <c r="Y5783" s="1">
        <f t="shared" si="181"/>
        <v>15</v>
      </c>
    </row>
    <row r="5784" spans="24:25" x14ac:dyDescent="0.3">
      <c r="X5784" s="1">
        <f t="shared" si="180"/>
        <v>0</v>
      </c>
      <c r="Y5784" s="1">
        <f t="shared" si="181"/>
        <v>15</v>
      </c>
    </row>
    <row r="5785" spans="24:25" x14ac:dyDescent="0.3">
      <c r="X5785" s="1">
        <f t="shared" si="180"/>
        <v>0</v>
      </c>
      <c r="Y5785" s="1">
        <f t="shared" si="181"/>
        <v>15</v>
      </c>
    </row>
    <row r="5786" spans="24:25" x14ac:dyDescent="0.3">
      <c r="X5786" s="1">
        <f t="shared" si="180"/>
        <v>0</v>
      </c>
      <c r="Y5786" s="1">
        <f t="shared" si="181"/>
        <v>15</v>
      </c>
    </row>
    <row r="5787" spans="24:25" x14ac:dyDescent="0.3">
      <c r="X5787" s="1">
        <f t="shared" si="180"/>
        <v>0</v>
      </c>
      <c r="Y5787" s="1">
        <f t="shared" si="181"/>
        <v>15</v>
      </c>
    </row>
    <row r="5788" spans="24:25" x14ac:dyDescent="0.3">
      <c r="X5788" s="1">
        <f t="shared" si="180"/>
        <v>0</v>
      </c>
      <c r="Y5788" s="1">
        <f t="shared" si="181"/>
        <v>15</v>
      </c>
    </row>
    <row r="5789" spans="24:25" x14ac:dyDescent="0.3">
      <c r="X5789" s="1">
        <f t="shared" si="180"/>
        <v>0</v>
      </c>
      <c r="Y5789" s="1">
        <f t="shared" si="181"/>
        <v>15</v>
      </c>
    </row>
    <row r="5790" spans="24:25" x14ac:dyDescent="0.3">
      <c r="X5790" s="1">
        <f t="shared" si="180"/>
        <v>0</v>
      </c>
      <c r="Y5790" s="1">
        <f t="shared" si="181"/>
        <v>15</v>
      </c>
    </row>
    <row r="5791" spans="24:25" x14ac:dyDescent="0.3">
      <c r="X5791" s="1">
        <f t="shared" si="180"/>
        <v>0</v>
      </c>
      <c r="Y5791" s="1">
        <f t="shared" si="181"/>
        <v>15</v>
      </c>
    </row>
    <row r="5792" spans="24:25" x14ac:dyDescent="0.3">
      <c r="X5792" s="1">
        <f t="shared" si="180"/>
        <v>0</v>
      </c>
      <c r="Y5792" s="1">
        <f t="shared" si="181"/>
        <v>15</v>
      </c>
    </row>
    <row r="5793" spans="24:25" x14ac:dyDescent="0.3">
      <c r="X5793" s="1">
        <f t="shared" si="180"/>
        <v>0</v>
      </c>
      <c r="Y5793" s="1">
        <f t="shared" si="181"/>
        <v>15</v>
      </c>
    </row>
    <row r="5794" spans="24:25" x14ac:dyDescent="0.3">
      <c r="X5794" s="1">
        <f t="shared" si="180"/>
        <v>0</v>
      </c>
      <c r="Y5794" s="1">
        <f t="shared" si="181"/>
        <v>15</v>
      </c>
    </row>
    <row r="5795" spans="24:25" x14ac:dyDescent="0.3">
      <c r="X5795" s="1">
        <f t="shared" si="180"/>
        <v>0</v>
      </c>
      <c r="Y5795" s="1">
        <f t="shared" si="181"/>
        <v>15</v>
      </c>
    </row>
    <row r="5796" spans="24:25" x14ac:dyDescent="0.3">
      <c r="X5796" s="1">
        <f t="shared" si="180"/>
        <v>0</v>
      </c>
      <c r="Y5796" s="1">
        <f t="shared" si="181"/>
        <v>15</v>
      </c>
    </row>
    <row r="5797" spans="24:25" x14ac:dyDescent="0.3">
      <c r="X5797" s="1">
        <f t="shared" si="180"/>
        <v>0</v>
      </c>
      <c r="Y5797" s="1">
        <f t="shared" si="181"/>
        <v>15</v>
      </c>
    </row>
    <row r="5798" spans="24:25" x14ac:dyDescent="0.3">
      <c r="X5798" s="1">
        <f t="shared" si="180"/>
        <v>0</v>
      </c>
      <c r="Y5798" s="1">
        <f t="shared" si="181"/>
        <v>15</v>
      </c>
    </row>
    <row r="5799" spans="24:25" x14ac:dyDescent="0.3">
      <c r="X5799" s="1">
        <f t="shared" si="180"/>
        <v>0</v>
      </c>
      <c r="Y5799" s="1">
        <f t="shared" si="181"/>
        <v>15</v>
      </c>
    </row>
    <row r="5800" spans="24:25" x14ac:dyDescent="0.3">
      <c r="X5800" s="1">
        <f t="shared" si="180"/>
        <v>0</v>
      </c>
      <c r="Y5800" s="1">
        <f t="shared" si="181"/>
        <v>15</v>
      </c>
    </row>
    <row r="5801" spans="24:25" x14ac:dyDescent="0.3">
      <c r="X5801" s="1">
        <f t="shared" si="180"/>
        <v>0</v>
      </c>
      <c r="Y5801" s="1">
        <f t="shared" si="181"/>
        <v>15</v>
      </c>
    </row>
    <row r="5802" spans="24:25" x14ac:dyDescent="0.3">
      <c r="X5802" s="1">
        <f t="shared" si="180"/>
        <v>0</v>
      </c>
      <c r="Y5802" s="1">
        <f t="shared" si="181"/>
        <v>15</v>
      </c>
    </row>
    <row r="5803" spans="24:25" x14ac:dyDescent="0.3">
      <c r="X5803" s="1">
        <f t="shared" si="180"/>
        <v>0</v>
      </c>
      <c r="Y5803" s="1">
        <f t="shared" si="181"/>
        <v>15</v>
      </c>
    </row>
    <row r="5804" spans="24:25" x14ac:dyDescent="0.3">
      <c r="X5804" s="1">
        <f t="shared" si="180"/>
        <v>0</v>
      </c>
      <c r="Y5804" s="1">
        <f t="shared" si="181"/>
        <v>15</v>
      </c>
    </row>
    <row r="5805" spans="24:25" x14ac:dyDescent="0.3">
      <c r="X5805" s="1">
        <f t="shared" si="180"/>
        <v>0</v>
      </c>
      <c r="Y5805" s="1">
        <f t="shared" si="181"/>
        <v>15</v>
      </c>
    </row>
    <row r="5806" spans="24:25" x14ac:dyDescent="0.3">
      <c r="X5806" s="1">
        <f t="shared" si="180"/>
        <v>0</v>
      </c>
      <c r="Y5806" s="1">
        <f t="shared" si="181"/>
        <v>15</v>
      </c>
    </row>
    <row r="5807" spans="24:25" x14ac:dyDescent="0.3">
      <c r="X5807" s="1">
        <f t="shared" si="180"/>
        <v>0</v>
      </c>
      <c r="Y5807" s="1">
        <f t="shared" si="181"/>
        <v>15</v>
      </c>
    </row>
    <row r="5808" spans="24:25" x14ac:dyDescent="0.3">
      <c r="X5808" s="1">
        <f t="shared" si="180"/>
        <v>0</v>
      </c>
      <c r="Y5808" s="1">
        <f t="shared" si="181"/>
        <v>15</v>
      </c>
    </row>
    <row r="5809" spans="24:25" x14ac:dyDescent="0.3">
      <c r="X5809" s="1">
        <f t="shared" si="180"/>
        <v>0</v>
      </c>
      <c r="Y5809" s="1">
        <f t="shared" si="181"/>
        <v>15</v>
      </c>
    </row>
    <row r="5810" spans="24:25" x14ac:dyDescent="0.3">
      <c r="X5810" s="1">
        <f t="shared" si="180"/>
        <v>0</v>
      </c>
      <c r="Y5810" s="1">
        <f t="shared" si="181"/>
        <v>15</v>
      </c>
    </row>
    <row r="5811" spans="24:25" x14ac:dyDescent="0.3">
      <c r="X5811" s="1">
        <f t="shared" si="180"/>
        <v>0</v>
      </c>
      <c r="Y5811" s="1">
        <f t="shared" si="181"/>
        <v>15</v>
      </c>
    </row>
    <row r="5812" spans="24:25" x14ac:dyDescent="0.3">
      <c r="X5812" s="1">
        <f t="shared" si="180"/>
        <v>0</v>
      </c>
      <c r="Y5812" s="1">
        <f t="shared" si="181"/>
        <v>15</v>
      </c>
    </row>
    <row r="5813" spans="24:25" x14ac:dyDescent="0.3">
      <c r="X5813" s="1">
        <f t="shared" si="180"/>
        <v>0</v>
      </c>
      <c r="Y5813" s="1">
        <f t="shared" si="181"/>
        <v>15</v>
      </c>
    </row>
    <row r="5814" spans="24:25" x14ac:dyDescent="0.3">
      <c r="X5814" s="1">
        <f t="shared" si="180"/>
        <v>0</v>
      </c>
      <c r="Y5814" s="1">
        <f t="shared" si="181"/>
        <v>15</v>
      </c>
    </row>
    <row r="5815" spans="24:25" x14ac:dyDescent="0.3">
      <c r="X5815" s="1">
        <f t="shared" si="180"/>
        <v>0</v>
      </c>
      <c r="Y5815" s="1">
        <f t="shared" si="181"/>
        <v>15</v>
      </c>
    </row>
    <row r="5816" spans="24:25" x14ac:dyDescent="0.3">
      <c r="X5816" s="1">
        <f t="shared" si="180"/>
        <v>0</v>
      </c>
      <c r="Y5816" s="1">
        <f t="shared" si="181"/>
        <v>15</v>
      </c>
    </row>
    <row r="5817" spans="24:25" x14ac:dyDescent="0.3">
      <c r="X5817" s="1">
        <f t="shared" si="180"/>
        <v>0</v>
      </c>
      <c r="Y5817" s="1">
        <f t="shared" si="181"/>
        <v>15</v>
      </c>
    </row>
    <row r="5818" spans="24:25" x14ac:dyDescent="0.3">
      <c r="X5818" s="1">
        <f t="shared" si="180"/>
        <v>0</v>
      </c>
      <c r="Y5818" s="1">
        <f t="shared" si="181"/>
        <v>15</v>
      </c>
    </row>
    <row r="5819" spans="24:25" x14ac:dyDescent="0.3">
      <c r="X5819" s="1">
        <f t="shared" si="180"/>
        <v>0</v>
      </c>
      <c r="Y5819" s="1">
        <f t="shared" si="181"/>
        <v>15</v>
      </c>
    </row>
    <row r="5820" spans="24:25" x14ac:dyDescent="0.3">
      <c r="X5820" s="1">
        <f t="shared" si="180"/>
        <v>0</v>
      </c>
      <c r="Y5820" s="1">
        <f t="shared" si="181"/>
        <v>15</v>
      </c>
    </row>
    <row r="5821" spans="24:25" x14ac:dyDescent="0.3">
      <c r="X5821" s="1">
        <f t="shared" si="180"/>
        <v>0</v>
      </c>
      <c r="Y5821" s="1">
        <f t="shared" si="181"/>
        <v>15</v>
      </c>
    </row>
    <row r="5822" spans="24:25" x14ac:dyDescent="0.3">
      <c r="X5822" s="1">
        <f t="shared" si="180"/>
        <v>0</v>
      </c>
      <c r="Y5822" s="1">
        <f t="shared" si="181"/>
        <v>15</v>
      </c>
    </row>
    <row r="5823" spans="24:25" x14ac:dyDescent="0.3">
      <c r="X5823" s="1">
        <f t="shared" si="180"/>
        <v>0</v>
      </c>
      <c r="Y5823" s="1">
        <f t="shared" si="181"/>
        <v>15</v>
      </c>
    </row>
    <row r="5824" spans="24:25" x14ac:dyDescent="0.3">
      <c r="X5824" s="1">
        <f t="shared" si="180"/>
        <v>0</v>
      </c>
      <c r="Y5824" s="1">
        <f t="shared" si="181"/>
        <v>15</v>
      </c>
    </row>
    <row r="5825" spans="24:25" x14ac:dyDescent="0.3">
      <c r="X5825" s="1">
        <f t="shared" si="180"/>
        <v>0</v>
      </c>
      <c r="Y5825" s="1">
        <f t="shared" si="181"/>
        <v>15</v>
      </c>
    </row>
    <row r="5826" spans="24:25" x14ac:dyDescent="0.3">
      <c r="X5826" s="1">
        <f t="shared" si="180"/>
        <v>0</v>
      </c>
      <c r="Y5826" s="1">
        <f t="shared" si="181"/>
        <v>15</v>
      </c>
    </row>
    <row r="5827" spans="24:25" x14ac:dyDescent="0.3">
      <c r="X5827" s="1">
        <f t="shared" ref="X5827:X5890" si="182">IFERROR(MATCH(W5827,$B:$B,0),0)</f>
        <v>0</v>
      </c>
      <c r="Y5827" s="1">
        <f t="shared" ref="Y5827:Y5890" si="183">IF(X5828=0,COUNTA(A:A),X5828-1)</f>
        <v>15</v>
      </c>
    </row>
    <row r="5828" spans="24:25" x14ac:dyDescent="0.3">
      <c r="X5828" s="1">
        <f t="shared" si="182"/>
        <v>0</v>
      </c>
      <c r="Y5828" s="1">
        <f t="shared" si="183"/>
        <v>15</v>
      </c>
    </row>
    <row r="5829" spans="24:25" x14ac:dyDescent="0.3">
      <c r="X5829" s="1">
        <f t="shared" si="182"/>
        <v>0</v>
      </c>
      <c r="Y5829" s="1">
        <f t="shared" si="183"/>
        <v>15</v>
      </c>
    </row>
    <row r="5830" spans="24:25" x14ac:dyDescent="0.3">
      <c r="X5830" s="1">
        <f t="shared" si="182"/>
        <v>0</v>
      </c>
      <c r="Y5830" s="1">
        <f t="shared" si="183"/>
        <v>15</v>
      </c>
    </row>
    <row r="5831" spans="24:25" x14ac:dyDescent="0.3">
      <c r="X5831" s="1">
        <f t="shared" si="182"/>
        <v>0</v>
      </c>
      <c r="Y5831" s="1">
        <f t="shared" si="183"/>
        <v>15</v>
      </c>
    </row>
    <row r="5832" spans="24:25" x14ac:dyDescent="0.3">
      <c r="X5832" s="1">
        <f t="shared" si="182"/>
        <v>0</v>
      </c>
      <c r="Y5832" s="1">
        <f t="shared" si="183"/>
        <v>15</v>
      </c>
    </row>
    <row r="5833" spans="24:25" x14ac:dyDescent="0.3">
      <c r="X5833" s="1">
        <f t="shared" si="182"/>
        <v>0</v>
      </c>
      <c r="Y5833" s="1">
        <f t="shared" si="183"/>
        <v>15</v>
      </c>
    </row>
    <row r="5834" spans="24:25" x14ac:dyDescent="0.3">
      <c r="X5834" s="1">
        <f t="shared" si="182"/>
        <v>0</v>
      </c>
      <c r="Y5834" s="1">
        <f t="shared" si="183"/>
        <v>15</v>
      </c>
    </row>
    <row r="5835" spans="24:25" x14ac:dyDescent="0.3">
      <c r="X5835" s="1">
        <f t="shared" si="182"/>
        <v>0</v>
      </c>
      <c r="Y5835" s="1">
        <f t="shared" si="183"/>
        <v>15</v>
      </c>
    </row>
    <row r="5836" spans="24:25" x14ac:dyDescent="0.3">
      <c r="X5836" s="1">
        <f t="shared" si="182"/>
        <v>0</v>
      </c>
      <c r="Y5836" s="1">
        <f t="shared" si="183"/>
        <v>15</v>
      </c>
    </row>
    <row r="5837" spans="24:25" x14ac:dyDescent="0.3">
      <c r="X5837" s="1">
        <f t="shared" si="182"/>
        <v>0</v>
      </c>
      <c r="Y5837" s="1">
        <f t="shared" si="183"/>
        <v>15</v>
      </c>
    </row>
    <row r="5838" spans="24:25" x14ac:dyDescent="0.3">
      <c r="X5838" s="1">
        <f t="shared" si="182"/>
        <v>0</v>
      </c>
      <c r="Y5838" s="1">
        <f t="shared" si="183"/>
        <v>15</v>
      </c>
    </row>
    <row r="5839" spans="24:25" x14ac:dyDescent="0.3">
      <c r="X5839" s="1">
        <f t="shared" si="182"/>
        <v>0</v>
      </c>
      <c r="Y5839" s="1">
        <f t="shared" si="183"/>
        <v>15</v>
      </c>
    </row>
    <row r="5840" spans="24:25" x14ac:dyDescent="0.3">
      <c r="X5840" s="1">
        <f t="shared" si="182"/>
        <v>0</v>
      </c>
      <c r="Y5840" s="1">
        <f t="shared" si="183"/>
        <v>15</v>
      </c>
    </row>
    <row r="5841" spans="24:25" x14ac:dyDescent="0.3">
      <c r="X5841" s="1">
        <f t="shared" si="182"/>
        <v>0</v>
      </c>
      <c r="Y5841" s="1">
        <f t="shared" si="183"/>
        <v>15</v>
      </c>
    </row>
    <row r="5842" spans="24:25" x14ac:dyDescent="0.3">
      <c r="X5842" s="1">
        <f t="shared" si="182"/>
        <v>0</v>
      </c>
      <c r="Y5842" s="1">
        <f t="shared" si="183"/>
        <v>15</v>
      </c>
    </row>
    <row r="5843" spans="24:25" x14ac:dyDescent="0.3">
      <c r="X5843" s="1">
        <f t="shared" si="182"/>
        <v>0</v>
      </c>
      <c r="Y5843" s="1">
        <f t="shared" si="183"/>
        <v>15</v>
      </c>
    </row>
    <row r="5844" spans="24:25" x14ac:dyDescent="0.3">
      <c r="X5844" s="1">
        <f t="shared" si="182"/>
        <v>0</v>
      </c>
      <c r="Y5844" s="1">
        <f t="shared" si="183"/>
        <v>15</v>
      </c>
    </row>
    <row r="5845" spans="24:25" x14ac:dyDescent="0.3">
      <c r="X5845" s="1">
        <f t="shared" si="182"/>
        <v>0</v>
      </c>
      <c r="Y5845" s="1">
        <f t="shared" si="183"/>
        <v>15</v>
      </c>
    </row>
    <row r="5846" spans="24:25" x14ac:dyDescent="0.3">
      <c r="X5846" s="1">
        <f t="shared" si="182"/>
        <v>0</v>
      </c>
      <c r="Y5846" s="1">
        <f t="shared" si="183"/>
        <v>15</v>
      </c>
    </row>
    <row r="5847" spans="24:25" x14ac:dyDescent="0.3">
      <c r="X5847" s="1">
        <f t="shared" si="182"/>
        <v>0</v>
      </c>
      <c r="Y5847" s="1">
        <f t="shared" si="183"/>
        <v>15</v>
      </c>
    </row>
    <row r="5848" spans="24:25" x14ac:dyDescent="0.3">
      <c r="X5848" s="1">
        <f t="shared" si="182"/>
        <v>0</v>
      </c>
      <c r="Y5848" s="1">
        <f t="shared" si="183"/>
        <v>15</v>
      </c>
    </row>
    <row r="5849" spans="24:25" x14ac:dyDescent="0.3">
      <c r="X5849" s="1">
        <f t="shared" si="182"/>
        <v>0</v>
      </c>
      <c r="Y5849" s="1">
        <f t="shared" si="183"/>
        <v>15</v>
      </c>
    </row>
    <row r="5850" spans="24:25" x14ac:dyDescent="0.3">
      <c r="X5850" s="1">
        <f t="shared" si="182"/>
        <v>0</v>
      </c>
      <c r="Y5850" s="1">
        <f t="shared" si="183"/>
        <v>15</v>
      </c>
    </row>
    <row r="5851" spans="24:25" x14ac:dyDescent="0.3">
      <c r="X5851" s="1">
        <f t="shared" si="182"/>
        <v>0</v>
      </c>
      <c r="Y5851" s="1">
        <f t="shared" si="183"/>
        <v>15</v>
      </c>
    </row>
    <row r="5852" spans="24:25" x14ac:dyDescent="0.3">
      <c r="X5852" s="1">
        <f t="shared" si="182"/>
        <v>0</v>
      </c>
      <c r="Y5852" s="1">
        <f t="shared" si="183"/>
        <v>15</v>
      </c>
    </row>
    <row r="5853" spans="24:25" x14ac:dyDescent="0.3">
      <c r="X5853" s="1">
        <f t="shared" si="182"/>
        <v>0</v>
      </c>
      <c r="Y5853" s="1">
        <f t="shared" si="183"/>
        <v>15</v>
      </c>
    </row>
    <row r="5854" spans="24:25" x14ac:dyDescent="0.3">
      <c r="X5854" s="1">
        <f t="shared" si="182"/>
        <v>0</v>
      </c>
      <c r="Y5854" s="1">
        <f t="shared" si="183"/>
        <v>15</v>
      </c>
    </row>
    <row r="5855" spans="24:25" x14ac:dyDescent="0.3">
      <c r="X5855" s="1">
        <f t="shared" si="182"/>
        <v>0</v>
      </c>
      <c r="Y5855" s="1">
        <f t="shared" si="183"/>
        <v>15</v>
      </c>
    </row>
    <row r="5856" spans="24:25" x14ac:dyDescent="0.3">
      <c r="X5856" s="1">
        <f t="shared" si="182"/>
        <v>0</v>
      </c>
      <c r="Y5856" s="1">
        <f t="shared" si="183"/>
        <v>15</v>
      </c>
    </row>
    <row r="5857" spans="24:25" x14ac:dyDescent="0.3">
      <c r="X5857" s="1">
        <f t="shared" si="182"/>
        <v>0</v>
      </c>
      <c r="Y5857" s="1">
        <f t="shared" si="183"/>
        <v>15</v>
      </c>
    </row>
    <row r="5858" spans="24:25" x14ac:dyDescent="0.3">
      <c r="X5858" s="1">
        <f t="shared" si="182"/>
        <v>0</v>
      </c>
      <c r="Y5858" s="1">
        <f t="shared" si="183"/>
        <v>15</v>
      </c>
    </row>
    <row r="5859" spans="24:25" x14ac:dyDescent="0.3">
      <c r="X5859" s="1">
        <f t="shared" si="182"/>
        <v>0</v>
      </c>
      <c r="Y5859" s="1">
        <f t="shared" si="183"/>
        <v>15</v>
      </c>
    </row>
    <row r="5860" spans="24:25" x14ac:dyDescent="0.3">
      <c r="X5860" s="1">
        <f t="shared" si="182"/>
        <v>0</v>
      </c>
      <c r="Y5860" s="1">
        <f t="shared" si="183"/>
        <v>15</v>
      </c>
    </row>
    <row r="5861" spans="24:25" x14ac:dyDescent="0.3">
      <c r="X5861" s="1">
        <f t="shared" si="182"/>
        <v>0</v>
      </c>
      <c r="Y5861" s="1">
        <f t="shared" si="183"/>
        <v>15</v>
      </c>
    </row>
    <row r="5862" spans="24:25" x14ac:dyDescent="0.3">
      <c r="X5862" s="1">
        <f t="shared" si="182"/>
        <v>0</v>
      </c>
      <c r="Y5862" s="1">
        <f t="shared" si="183"/>
        <v>15</v>
      </c>
    </row>
    <row r="5863" spans="24:25" x14ac:dyDescent="0.3">
      <c r="X5863" s="1">
        <f t="shared" si="182"/>
        <v>0</v>
      </c>
      <c r="Y5863" s="1">
        <f t="shared" si="183"/>
        <v>15</v>
      </c>
    </row>
    <row r="5864" spans="24:25" x14ac:dyDescent="0.3">
      <c r="X5864" s="1">
        <f t="shared" si="182"/>
        <v>0</v>
      </c>
      <c r="Y5864" s="1">
        <f t="shared" si="183"/>
        <v>15</v>
      </c>
    </row>
    <row r="5865" spans="24:25" x14ac:dyDescent="0.3">
      <c r="X5865" s="1">
        <f t="shared" si="182"/>
        <v>0</v>
      </c>
      <c r="Y5865" s="1">
        <f t="shared" si="183"/>
        <v>15</v>
      </c>
    </row>
    <row r="5866" spans="24:25" x14ac:dyDescent="0.3">
      <c r="X5866" s="1">
        <f t="shared" si="182"/>
        <v>0</v>
      </c>
      <c r="Y5866" s="1">
        <f t="shared" si="183"/>
        <v>15</v>
      </c>
    </row>
    <row r="5867" spans="24:25" x14ac:dyDescent="0.3">
      <c r="X5867" s="1">
        <f t="shared" si="182"/>
        <v>0</v>
      </c>
      <c r="Y5867" s="1">
        <f t="shared" si="183"/>
        <v>15</v>
      </c>
    </row>
    <row r="5868" spans="24:25" x14ac:dyDescent="0.3">
      <c r="X5868" s="1">
        <f t="shared" si="182"/>
        <v>0</v>
      </c>
      <c r="Y5868" s="1">
        <f t="shared" si="183"/>
        <v>15</v>
      </c>
    </row>
    <row r="5869" spans="24:25" x14ac:dyDescent="0.3">
      <c r="X5869" s="1">
        <f t="shared" si="182"/>
        <v>0</v>
      </c>
      <c r="Y5869" s="1">
        <f t="shared" si="183"/>
        <v>15</v>
      </c>
    </row>
    <row r="5870" spans="24:25" x14ac:dyDescent="0.3">
      <c r="X5870" s="1">
        <f t="shared" si="182"/>
        <v>0</v>
      </c>
      <c r="Y5870" s="1">
        <f t="shared" si="183"/>
        <v>15</v>
      </c>
    </row>
    <row r="5871" spans="24:25" x14ac:dyDescent="0.3">
      <c r="X5871" s="1">
        <f t="shared" si="182"/>
        <v>0</v>
      </c>
      <c r="Y5871" s="1">
        <f t="shared" si="183"/>
        <v>15</v>
      </c>
    </row>
    <row r="5872" spans="24:25" x14ac:dyDescent="0.3">
      <c r="X5872" s="1">
        <f t="shared" si="182"/>
        <v>0</v>
      </c>
      <c r="Y5872" s="1">
        <f t="shared" si="183"/>
        <v>15</v>
      </c>
    </row>
    <row r="5873" spans="24:25" x14ac:dyDescent="0.3">
      <c r="X5873" s="1">
        <f t="shared" si="182"/>
        <v>0</v>
      </c>
      <c r="Y5873" s="1">
        <f t="shared" si="183"/>
        <v>15</v>
      </c>
    </row>
    <row r="5874" spans="24:25" x14ac:dyDescent="0.3">
      <c r="X5874" s="1">
        <f t="shared" si="182"/>
        <v>0</v>
      </c>
      <c r="Y5874" s="1">
        <f t="shared" si="183"/>
        <v>15</v>
      </c>
    </row>
    <row r="5875" spans="24:25" x14ac:dyDescent="0.3">
      <c r="X5875" s="1">
        <f t="shared" si="182"/>
        <v>0</v>
      </c>
      <c r="Y5875" s="1">
        <f t="shared" si="183"/>
        <v>15</v>
      </c>
    </row>
    <row r="5876" spans="24:25" x14ac:dyDescent="0.3">
      <c r="X5876" s="1">
        <f t="shared" si="182"/>
        <v>0</v>
      </c>
      <c r="Y5876" s="1">
        <f t="shared" si="183"/>
        <v>15</v>
      </c>
    </row>
    <row r="5877" spans="24:25" x14ac:dyDescent="0.3">
      <c r="X5877" s="1">
        <f t="shared" si="182"/>
        <v>0</v>
      </c>
      <c r="Y5877" s="1">
        <f t="shared" si="183"/>
        <v>15</v>
      </c>
    </row>
    <row r="5878" spans="24:25" x14ac:dyDescent="0.3">
      <c r="X5878" s="1">
        <f t="shared" si="182"/>
        <v>0</v>
      </c>
      <c r="Y5878" s="1">
        <f t="shared" si="183"/>
        <v>15</v>
      </c>
    </row>
    <row r="5879" spans="24:25" x14ac:dyDescent="0.3">
      <c r="X5879" s="1">
        <f t="shared" si="182"/>
        <v>0</v>
      </c>
      <c r="Y5879" s="1">
        <f t="shared" si="183"/>
        <v>15</v>
      </c>
    </row>
    <row r="5880" spans="24:25" x14ac:dyDescent="0.3">
      <c r="X5880" s="1">
        <f t="shared" si="182"/>
        <v>0</v>
      </c>
      <c r="Y5880" s="1">
        <f t="shared" si="183"/>
        <v>15</v>
      </c>
    </row>
    <row r="5881" spans="24:25" x14ac:dyDescent="0.3">
      <c r="X5881" s="1">
        <f t="shared" si="182"/>
        <v>0</v>
      </c>
      <c r="Y5881" s="1">
        <f t="shared" si="183"/>
        <v>15</v>
      </c>
    </row>
    <row r="5882" spans="24:25" x14ac:dyDescent="0.3">
      <c r="X5882" s="1">
        <f t="shared" si="182"/>
        <v>0</v>
      </c>
      <c r="Y5882" s="1">
        <f t="shared" si="183"/>
        <v>15</v>
      </c>
    </row>
    <row r="5883" spans="24:25" x14ac:dyDescent="0.3">
      <c r="X5883" s="1">
        <f t="shared" si="182"/>
        <v>0</v>
      </c>
      <c r="Y5883" s="1">
        <f t="shared" si="183"/>
        <v>15</v>
      </c>
    </row>
    <row r="5884" spans="24:25" x14ac:dyDescent="0.3">
      <c r="X5884" s="1">
        <f t="shared" si="182"/>
        <v>0</v>
      </c>
      <c r="Y5884" s="1">
        <f t="shared" si="183"/>
        <v>15</v>
      </c>
    </row>
    <row r="5885" spans="24:25" x14ac:dyDescent="0.3">
      <c r="X5885" s="1">
        <f t="shared" si="182"/>
        <v>0</v>
      </c>
      <c r="Y5885" s="1">
        <f t="shared" si="183"/>
        <v>15</v>
      </c>
    </row>
    <row r="5886" spans="24:25" x14ac:dyDescent="0.3">
      <c r="X5886" s="1">
        <f t="shared" si="182"/>
        <v>0</v>
      </c>
      <c r="Y5886" s="1">
        <f t="shared" si="183"/>
        <v>15</v>
      </c>
    </row>
    <row r="5887" spans="24:25" x14ac:dyDescent="0.3">
      <c r="X5887" s="1">
        <f t="shared" si="182"/>
        <v>0</v>
      </c>
      <c r="Y5887" s="1">
        <f t="shared" si="183"/>
        <v>15</v>
      </c>
    </row>
    <row r="5888" spans="24:25" x14ac:dyDescent="0.3">
      <c r="X5888" s="1">
        <f t="shared" si="182"/>
        <v>0</v>
      </c>
      <c r="Y5888" s="1">
        <f t="shared" si="183"/>
        <v>15</v>
      </c>
    </row>
    <row r="5889" spans="24:25" x14ac:dyDescent="0.3">
      <c r="X5889" s="1">
        <f t="shared" si="182"/>
        <v>0</v>
      </c>
      <c r="Y5889" s="1">
        <f t="shared" si="183"/>
        <v>15</v>
      </c>
    </row>
    <row r="5890" spans="24:25" x14ac:dyDescent="0.3">
      <c r="X5890" s="1">
        <f t="shared" si="182"/>
        <v>0</v>
      </c>
      <c r="Y5890" s="1">
        <f t="shared" si="183"/>
        <v>15</v>
      </c>
    </row>
    <row r="5891" spans="24:25" x14ac:dyDescent="0.3">
      <c r="X5891" s="1">
        <f t="shared" ref="X5891:X5954" si="184">IFERROR(MATCH(W5891,$B:$B,0),0)</f>
        <v>0</v>
      </c>
      <c r="Y5891" s="1">
        <f t="shared" ref="Y5891:Y5954" si="185">IF(X5892=0,COUNTA(A:A),X5892-1)</f>
        <v>15</v>
      </c>
    </row>
    <row r="5892" spans="24:25" x14ac:dyDescent="0.3">
      <c r="X5892" s="1">
        <f t="shared" si="184"/>
        <v>0</v>
      </c>
      <c r="Y5892" s="1">
        <f t="shared" si="185"/>
        <v>15</v>
      </c>
    </row>
    <row r="5893" spans="24:25" x14ac:dyDescent="0.3">
      <c r="X5893" s="1">
        <f t="shared" si="184"/>
        <v>0</v>
      </c>
      <c r="Y5893" s="1">
        <f t="shared" si="185"/>
        <v>15</v>
      </c>
    </row>
    <row r="5894" spans="24:25" x14ac:dyDescent="0.3">
      <c r="X5894" s="1">
        <f t="shared" si="184"/>
        <v>0</v>
      </c>
      <c r="Y5894" s="1">
        <f t="shared" si="185"/>
        <v>15</v>
      </c>
    </row>
    <row r="5895" spans="24:25" x14ac:dyDescent="0.3">
      <c r="X5895" s="1">
        <f t="shared" si="184"/>
        <v>0</v>
      </c>
      <c r="Y5895" s="1">
        <f t="shared" si="185"/>
        <v>15</v>
      </c>
    </row>
    <row r="5896" spans="24:25" x14ac:dyDescent="0.3">
      <c r="X5896" s="1">
        <f t="shared" si="184"/>
        <v>0</v>
      </c>
      <c r="Y5896" s="1">
        <f t="shared" si="185"/>
        <v>15</v>
      </c>
    </row>
    <row r="5897" spans="24:25" x14ac:dyDescent="0.3">
      <c r="X5897" s="1">
        <f t="shared" si="184"/>
        <v>0</v>
      </c>
      <c r="Y5897" s="1">
        <f t="shared" si="185"/>
        <v>15</v>
      </c>
    </row>
    <row r="5898" spans="24:25" x14ac:dyDescent="0.3">
      <c r="X5898" s="1">
        <f t="shared" si="184"/>
        <v>0</v>
      </c>
      <c r="Y5898" s="1">
        <f t="shared" si="185"/>
        <v>15</v>
      </c>
    </row>
    <row r="5899" spans="24:25" x14ac:dyDescent="0.3">
      <c r="X5899" s="1">
        <f t="shared" si="184"/>
        <v>0</v>
      </c>
      <c r="Y5899" s="1">
        <f t="shared" si="185"/>
        <v>15</v>
      </c>
    </row>
    <row r="5900" spans="24:25" x14ac:dyDescent="0.3">
      <c r="X5900" s="1">
        <f t="shared" si="184"/>
        <v>0</v>
      </c>
      <c r="Y5900" s="1">
        <f t="shared" si="185"/>
        <v>15</v>
      </c>
    </row>
    <row r="5901" spans="24:25" x14ac:dyDescent="0.3">
      <c r="X5901" s="1">
        <f t="shared" si="184"/>
        <v>0</v>
      </c>
      <c r="Y5901" s="1">
        <f t="shared" si="185"/>
        <v>15</v>
      </c>
    </row>
    <row r="5902" spans="24:25" x14ac:dyDescent="0.3">
      <c r="X5902" s="1">
        <f t="shared" si="184"/>
        <v>0</v>
      </c>
      <c r="Y5902" s="1">
        <f t="shared" si="185"/>
        <v>15</v>
      </c>
    </row>
    <row r="5903" spans="24:25" x14ac:dyDescent="0.3">
      <c r="X5903" s="1">
        <f t="shared" si="184"/>
        <v>0</v>
      </c>
      <c r="Y5903" s="1">
        <f t="shared" si="185"/>
        <v>15</v>
      </c>
    </row>
    <row r="5904" spans="24:25" x14ac:dyDescent="0.3">
      <c r="X5904" s="1">
        <f t="shared" si="184"/>
        <v>0</v>
      </c>
      <c r="Y5904" s="1">
        <f t="shared" si="185"/>
        <v>15</v>
      </c>
    </row>
    <row r="5905" spans="24:25" x14ac:dyDescent="0.3">
      <c r="X5905" s="1">
        <f t="shared" si="184"/>
        <v>0</v>
      </c>
      <c r="Y5905" s="1">
        <f t="shared" si="185"/>
        <v>15</v>
      </c>
    </row>
    <row r="5906" spans="24:25" x14ac:dyDescent="0.3">
      <c r="X5906" s="1">
        <f t="shared" si="184"/>
        <v>0</v>
      </c>
      <c r="Y5906" s="1">
        <f t="shared" si="185"/>
        <v>15</v>
      </c>
    </row>
    <row r="5907" spans="24:25" x14ac:dyDescent="0.3">
      <c r="X5907" s="1">
        <f t="shared" si="184"/>
        <v>0</v>
      </c>
      <c r="Y5907" s="1">
        <f t="shared" si="185"/>
        <v>15</v>
      </c>
    </row>
    <row r="5908" spans="24:25" x14ac:dyDescent="0.3">
      <c r="X5908" s="1">
        <f t="shared" si="184"/>
        <v>0</v>
      </c>
      <c r="Y5908" s="1">
        <f t="shared" si="185"/>
        <v>15</v>
      </c>
    </row>
    <row r="5909" spans="24:25" x14ac:dyDescent="0.3">
      <c r="X5909" s="1">
        <f t="shared" si="184"/>
        <v>0</v>
      </c>
      <c r="Y5909" s="1">
        <f t="shared" si="185"/>
        <v>15</v>
      </c>
    </row>
    <row r="5910" spans="24:25" x14ac:dyDescent="0.3">
      <c r="X5910" s="1">
        <f t="shared" si="184"/>
        <v>0</v>
      </c>
      <c r="Y5910" s="1">
        <f t="shared" si="185"/>
        <v>15</v>
      </c>
    </row>
    <row r="5911" spans="24:25" x14ac:dyDescent="0.3">
      <c r="X5911" s="1">
        <f t="shared" si="184"/>
        <v>0</v>
      </c>
      <c r="Y5911" s="1">
        <f t="shared" si="185"/>
        <v>15</v>
      </c>
    </row>
    <row r="5912" spans="24:25" x14ac:dyDescent="0.3">
      <c r="X5912" s="1">
        <f t="shared" si="184"/>
        <v>0</v>
      </c>
      <c r="Y5912" s="1">
        <f t="shared" si="185"/>
        <v>15</v>
      </c>
    </row>
    <row r="5913" spans="24:25" x14ac:dyDescent="0.3">
      <c r="X5913" s="1">
        <f t="shared" si="184"/>
        <v>0</v>
      </c>
      <c r="Y5913" s="1">
        <f t="shared" si="185"/>
        <v>15</v>
      </c>
    </row>
    <row r="5914" spans="24:25" x14ac:dyDescent="0.3">
      <c r="X5914" s="1">
        <f t="shared" si="184"/>
        <v>0</v>
      </c>
      <c r="Y5914" s="1">
        <f t="shared" si="185"/>
        <v>15</v>
      </c>
    </row>
    <row r="5915" spans="24:25" x14ac:dyDescent="0.3">
      <c r="X5915" s="1">
        <f t="shared" si="184"/>
        <v>0</v>
      </c>
      <c r="Y5915" s="1">
        <f t="shared" si="185"/>
        <v>15</v>
      </c>
    </row>
    <row r="5916" spans="24:25" x14ac:dyDescent="0.3">
      <c r="X5916" s="1">
        <f t="shared" si="184"/>
        <v>0</v>
      </c>
      <c r="Y5916" s="1">
        <f t="shared" si="185"/>
        <v>15</v>
      </c>
    </row>
    <row r="5917" spans="24:25" x14ac:dyDescent="0.3">
      <c r="X5917" s="1">
        <f t="shared" si="184"/>
        <v>0</v>
      </c>
      <c r="Y5917" s="1">
        <f t="shared" si="185"/>
        <v>15</v>
      </c>
    </row>
    <row r="5918" spans="24:25" x14ac:dyDescent="0.3">
      <c r="X5918" s="1">
        <f t="shared" si="184"/>
        <v>0</v>
      </c>
      <c r="Y5918" s="1">
        <f t="shared" si="185"/>
        <v>15</v>
      </c>
    </row>
    <row r="5919" spans="24:25" x14ac:dyDescent="0.3">
      <c r="X5919" s="1">
        <f t="shared" si="184"/>
        <v>0</v>
      </c>
      <c r="Y5919" s="1">
        <f t="shared" si="185"/>
        <v>15</v>
      </c>
    </row>
    <row r="5920" spans="24:25" x14ac:dyDescent="0.3">
      <c r="X5920" s="1">
        <f t="shared" si="184"/>
        <v>0</v>
      </c>
      <c r="Y5920" s="1">
        <f t="shared" si="185"/>
        <v>15</v>
      </c>
    </row>
    <row r="5921" spans="24:25" x14ac:dyDescent="0.3">
      <c r="X5921" s="1">
        <f t="shared" si="184"/>
        <v>0</v>
      </c>
      <c r="Y5921" s="1">
        <f t="shared" si="185"/>
        <v>15</v>
      </c>
    </row>
    <row r="5922" spans="24:25" x14ac:dyDescent="0.3">
      <c r="X5922" s="1">
        <f t="shared" si="184"/>
        <v>0</v>
      </c>
      <c r="Y5922" s="1">
        <f t="shared" si="185"/>
        <v>15</v>
      </c>
    </row>
    <row r="5923" spans="24:25" x14ac:dyDescent="0.3">
      <c r="X5923" s="1">
        <f t="shared" si="184"/>
        <v>0</v>
      </c>
      <c r="Y5923" s="1">
        <f t="shared" si="185"/>
        <v>15</v>
      </c>
    </row>
    <row r="5924" spans="24:25" x14ac:dyDescent="0.3">
      <c r="X5924" s="1">
        <f t="shared" si="184"/>
        <v>0</v>
      </c>
      <c r="Y5924" s="1">
        <f t="shared" si="185"/>
        <v>15</v>
      </c>
    </row>
    <row r="5925" spans="24:25" x14ac:dyDescent="0.3">
      <c r="X5925" s="1">
        <f t="shared" si="184"/>
        <v>0</v>
      </c>
      <c r="Y5925" s="1">
        <f t="shared" si="185"/>
        <v>15</v>
      </c>
    </row>
    <row r="5926" spans="24:25" x14ac:dyDescent="0.3">
      <c r="X5926" s="1">
        <f t="shared" si="184"/>
        <v>0</v>
      </c>
      <c r="Y5926" s="1">
        <f t="shared" si="185"/>
        <v>15</v>
      </c>
    </row>
    <row r="5927" spans="24:25" x14ac:dyDescent="0.3">
      <c r="X5927" s="1">
        <f t="shared" si="184"/>
        <v>0</v>
      </c>
      <c r="Y5927" s="1">
        <f t="shared" si="185"/>
        <v>15</v>
      </c>
    </row>
    <row r="5928" spans="24:25" x14ac:dyDescent="0.3">
      <c r="X5928" s="1">
        <f t="shared" si="184"/>
        <v>0</v>
      </c>
      <c r="Y5928" s="1">
        <f t="shared" si="185"/>
        <v>15</v>
      </c>
    </row>
    <row r="5929" spans="24:25" x14ac:dyDescent="0.3">
      <c r="X5929" s="1">
        <f t="shared" si="184"/>
        <v>0</v>
      </c>
      <c r="Y5929" s="1">
        <f t="shared" si="185"/>
        <v>15</v>
      </c>
    </row>
    <row r="5930" spans="24:25" x14ac:dyDescent="0.3">
      <c r="X5930" s="1">
        <f t="shared" si="184"/>
        <v>0</v>
      </c>
      <c r="Y5930" s="1">
        <f t="shared" si="185"/>
        <v>15</v>
      </c>
    </row>
    <row r="5931" spans="24:25" x14ac:dyDescent="0.3">
      <c r="X5931" s="1">
        <f t="shared" si="184"/>
        <v>0</v>
      </c>
      <c r="Y5931" s="1">
        <f t="shared" si="185"/>
        <v>15</v>
      </c>
    </row>
    <row r="5932" spans="24:25" x14ac:dyDescent="0.3">
      <c r="X5932" s="1">
        <f t="shared" si="184"/>
        <v>0</v>
      </c>
      <c r="Y5932" s="1">
        <f t="shared" si="185"/>
        <v>15</v>
      </c>
    </row>
    <row r="5933" spans="24:25" x14ac:dyDescent="0.3">
      <c r="X5933" s="1">
        <f t="shared" si="184"/>
        <v>0</v>
      </c>
      <c r="Y5933" s="1">
        <f t="shared" si="185"/>
        <v>15</v>
      </c>
    </row>
    <row r="5934" spans="24:25" x14ac:dyDescent="0.3">
      <c r="X5934" s="1">
        <f t="shared" si="184"/>
        <v>0</v>
      </c>
      <c r="Y5934" s="1">
        <f t="shared" si="185"/>
        <v>15</v>
      </c>
    </row>
    <row r="5935" spans="24:25" x14ac:dyDescent="0.3">
      <c r="X5935" s="1">
        <f t="shared" si="184"/>
        <v>0</v>
      </c>
      <c r="Y5935" s="1">
        <f t="shared" si="185"/>
        <v>15</v>
      </c>
    </row>
    <row r="5936" spans="24:25" x14ac:dyDescent="0.3">
      <c r="X5936" s="1">
        <f t="shared" si="184"/>
        <v>0</v>
      </c>
      <c r="Y5936" s="1">
        <f t="shared" si="185"/>
        <v>15</v>
      </c>
    </row>
    <row r="5937" spans="24:25" x14ac:dyDescent="0.3">
      <c r="X5937" s="1">
        <f t="shared" si="184"/>
        <v>0</v>
      </c>
      <c r="Y5937" s="1">
        <f t="shared" si="185"/>
        <v>15</v>
      </c>
    </row>
    <row r="5938" spans="24:25" x14ac:dyDescent="0.3">
      <c r="X5938" s="1">
        <f t="shared" si="184"/>
        <v>0</v>
      </c>
      <c r="Y5938" s="1">
        <f t="shared" si="185"/>
        <v>15</v>
      </c>
    </row>
    <row r="5939" spans="24:25" x14ac:dyDescent="0.3">
      <c r="X5939" s="1">
        <f t="shared" si="184"/>
        <v>0</v>
      </c>
      <c r="Y5939" s="1">
        <f t="shared" si="185"/>
        <v>15</v>
      </c>
    </row>
    <row r="5940" spans="24:25" x14ac:dyDescent="0.3">
      <c r="X5940" s="1">
        <f t="shared" si="184"/>
        <v>0</v>
      </c>
      <c r="Y5940" s="1">
        <f t="shared" si="185"/>
        <v>15</v>
      </c>
    </row>
    <row r="5941" spans="24:25" x14ac:dyDescent="0.3">
      <c r="X5941" s="1">
        <f t="shared" si="184"/>
        <v>0</v>
      </c>
      <c r="Y5941" s="1">
        <f t="shared" si="185"/>
        <v>15</v>
      </c>
    </row>
    <row r="5942" spans="24:25" x14ac:dyDescent="0.3">
      <c r="X5942" s="1">
        <f t="shared" si="184"/>
        <v>0</v>
      </c>
      <c r="Y5942" s="1">
        <f t="shared" si="185"/>
        <v>15</v>
      </c>
    </row>
    <row r="5943" spans="24:25" x14ac:dyDescent="0.3">
      <c r="X5943" s="1">
        <f t="shared" si="184"/>
        <v>0</v>
      </c>
      <c r="Y5943" s="1">
        <f t="shared" si="185"/>
        <v>15</v>
      </c>
    </row>
    <row r="5944" spans="24:25" x14ac:dyDescent="0.3">
      <c r="X5944" s="1">
        <f t="shared" si="184"/>
        <v>0</v>
      </c>
      <c r="Y5944" s="1">
        <f t="shared" si="185"/>
        <v>15</v>
      </c>
    </row>
    <row r="5945" spans="24:25" x14ac:dyDescent="0.3">
      <c r="X5945" s="1">
        <f t="shared" si="184"/>
        <v>0</v>
      </c>
      <c r="Y5945" s="1">
        <f t="shared" si="185"/>
        <v>15</v>
      </c>
    </row>
    <row r="5946" spans="24:25" x14ac:dyDescent="0.3">
      <c r="X5946" s="1">
        <f t="shared" si="184"/>
        <v>0</v>
      </c>
      <c r="Y5946" s="1">
        <f t="shared" si="185"/>
        <v>15</v>
      </c>
    </row>
    <row r="5947" spans="24:25" x14ac:dyDescent="0.3">
      <c r="X5947" s="1">
        <f t="shared" si="184"/>
        <v>0</v>
      </c>
      <c r="Y5947" s="1">
        <f t="shared" si="185"/>
        <v>15</v>
      </c>
    </row>
    <row r="5948" spans="24:25" x14ac:dyDescent="0.3">
      <c r="X5948" s="1">
        <f t="shared" si="184"/>
        <v>0</v>
      </c>
      <c r="Y5948" s="1">
        <f t="shared" si="185"/>
        <v>15</v>
      </c>
    </row>
    <row r="5949" spans="24:25" x14ac:dyDescent="0.3">
      <c r="X5949" s="1">
        <f t="shared" si="184"/>
        <v>0</v>
      </c>
      <c r="Y5949" s="1">
        <f t="shared" si="185"/>
        <v>15</v>
      </c>
    </row>
    <row r="5950" spans="24:25" x14ac:dyDescent="0.3">
      <c r="X5950" s="1">
        <f t="shared" si="184"/>
        <v>0</v>
      </c>
      <c r="Y5950" s="1">
        <f t="shared" si="185"/>
        <v>15</v>
      </c>
    </row>
    <row r="5951" spans="24:25" x14ac:dyDescent="0.3">
      <c r="X5951" s="1">
        <f t="shared" si="184"/>
        <v>0</v>
      </c>
      <c r="Y5951" s="1">
        <f t="shared" si="185"/>
        <v>15</v>
      </c>
    </row>
    <row r="5952" spans="24:25" x14ac:dyDescent="0.3">
      <c r="X5952" s="1">
        <f t="shared" si="184"/>
        <v>0</v>
      </c>
      <c r="Y5952" s="1">
        <f t="shared" si="185"/>
        <v>15</v>
      </c>
    </row>
    <row r="5953" spans="24:25" x14ac:dyDescent="0.3">
      <c r="X5953" s="1">
        <f t="shared" si="184"/>
        <v>0</v>
      </c>
      <c r="Y5953" s="1">
        <f t="shared" si="185"/>
        <v>15</v>
      </c>
    </row>
    <row r="5954" spans="24:25" x14ac:dyDescent="0.3">
      <c r="X5954" s="1">
        <f t="shared" si="184"/>
        <v>0</v>
      </c>
      <c r="Y5954" s="1">
        <f t="shared" si="185"/>
        <v>15</v>
      </c>
    </row>
    <row r="5955" spans="24:25" x14ac:dyDescent="0.3">
      <c r="X5955" s="1">
        <f t="shared" ref="X5955:X6018" si="186">IFERROR(MATCH(W5955,$B:$B,0),0)</f>
        <v>0</v>
      </c>
      <c r="Y5955" s="1">
        <f t="shared" ref="Y5955:Y6018" si="187">IF(X5956=0,COUNTA(A:A),X5956-1)</f>
        <v>15</v>
      </c>
    </row>
    <row r="5956" spans="24:25" x14ac:dyDescent="0.3">
      <c r="X5956" s="1">
        <f t="shared" si="186"/>
        <v>0</v>
      </c>
      <c r="Y5956" s="1">
        <f t="shared" si="187"/>
        <v>15</v>
      </c>
    </row>
    <row r="5957" spans="24:25" x14ac:dyDescent="0.3">
      <c r="X5957" s="1">
        <f t="shared" si="186"/>
        <v>0</v>
      </c>
      <c r="Y5957" s="1">
        <f t="shared" si="187"/>
        <v>15</v>
      </c>
    </row>
    <row r="5958" spans="24:25" x14ac:dyDescent="0.3">
      <c r="X5958" s="1">
        <f t="shared" si="186"/>
        <v>0</v>
      </c>
      <c r="Y5958" s="1">
        <f t="shared" si="187"/>
        <v>15</v>
      </c>
    </row>
    <row r="5959" spans="24:25" x14ac:dyDescent="0.3">
      <c r="X5959" s="1">
        <f t="shared" si="186"/>
        <v>0</v>
      </c>
      <c r="Y5959" s="1">
        <f t="shared" si="187"/>
        <v>15</v>
      </c>
    </row>
    <row r="5960" spans="24:25" x14ac:dyDescent="0.3">
      <c r="X5960" s="1">
        <f t="shared" si="186"/>
        <v>0</v>
      </c>
      <c r="Y5960" s="1">
        <f t="shared" si="187"/>
        <v>15</v>
      </c>
    </row>
    <row r="5961" spans="24:25" x14ac:dyDescent="0.3">
      <c r="X5961" s="1">
        <f t="shared" si="186"/>
        <v>0</v>
      </c>
      <c r="Y5961" s="1">
        <f t="shared" si="187"/>
        <v>15</v>
      </c>
    </row>
    <row r="5962" spans="24:25" x14ac:dyDescent="0.3">
      <c r="X5962" s="1">
        <f t="shared" si="186"/>
        <v>0</v>
      </c>
      <c r="Y5962" s="1">
        <f t="shared" si="187"/>
        <v>15</v>
      </c>
    </row>
    <row r="5963" spans="24:25" x14ac:dyDescent="0.3">
      <c r="X5963" s="1">
        <f t="shared" si="186"/>
        <v>0</v>
      </c>
      <c r="Y5963" s="1">
        <f t="shared" si="187"/>
        <v>15</v>
      </c>
    </row>
    <row r="5964" spans="24:25" x14ac:dyDescent="0.3">
      <c r="X5964" s="1">
        <f t="shared" si="186"/>
        <v>0</v>
      </c>
      <c r="Y5964" s="1">
        <f t="shared" si="187"/>
        <v>15</v>
      </c>
    </row>
    <row r="5965" spans="24:25" x14ac:dyDescent="0.3">
      <c r="X5965" s="1">
        <f t="shared" si="186"/>
        <v>0</v>
      </c>
      <c r="Y5965" s="1">
        <f t="shared" si="187"/>
        <v>15</v>
      </c>
    </row>
    <row r="5966" spans="24:25" x14ac:dyDescent="0.3">
      <c r="X5966" s="1">
        <f t="shared" si="186"/>
        <v>0</v>
      </c>
      <c r="Y5966" s="1">
        <f t="shared" si="187"/>
        <v>15</v>
      </c>
    </row>
    <row r="5967" spans="24:25" x14ac:dyDescent="0.3">
      <c r="X5967" s="1">
        <f t="shared" si="186"/>
        <v>0</v>
      </c>
      <c r="Y5967" s="1">
        <f t="shared" si="187"/>
        <v>15</v>
      </c>
    </row>
    <row r="5968" spans="24:25" x14ac:dyDescent="0.3">
      <c r="X5968" s="1">
        <f t="shared" si="186"/>
        <v>0</v>
      </c>
      <c r="Y5968" s="1">
        <f t="shared" si="187"/>
        <v>15</v>
      </c>
    </row>
    <row r="5969" spans="24:25" x14ac:dyDescent="0.3">
      <c r="X5969" s="1">
        <f t="shared" si="186"/>
        <v>0</v>
      </c>
      <c r="Y5969" s="1">
        <f t="shared" si="187"/>
        <v>15</v>
      </c>
    </row>
    <row r="5970" spans="24:25" x14ac:dyDescent="0.3">
      <c r="X5970" s="1">
        <f t="shared" si="186"/>
        <v>0</v>
      </c>
      <c r="Y5970" s="1">
        <f t="shared" si="187"/>
        <v>15</v>
      </c>
    </row>
    <row r="5971" spans="24:25" x14ac:dyDescent="0.3">
      <c r="X5971" s="1">
        <f t="shared" si="186"/>
        <v>0</v>
      </c>
      <c r="Y5971" s="1">
        <f t="shared" si="187"/>
        <v>15</v>
      </c>
    </row>
    <row r="5972" spans="24:25" x14ac:dyDescent="0.3">
      <c r="X5972" s="1">
        <f t="shared" si="186"/>
        <v>0</v>
      </c>
      <c r="Y5972" s="1">
        <f t="shared" si="187"/>
        <v>15</v>
      </c>
    </row>
    <row r="5973" spans="24:25" x14ac:dyDescent="0.3">
      <c r="X5973" s="1">
        <f t="shared" si="186"/>
        <v>0</v>
      </c>
      <c r="Y5973" s="1">
        <f t="shared" si="187"/>
        <v>15</v>
      </c>
    </row>
    <row r="5974" spans="24:25" x14ac:dyDescent="0.3">
      <c r="X5974" s="1">
        <f t="shared" si="186"/>
        <v>0</v>
      </c>
      <c r="Y5974" s="1">
        <f t="shared" si="187"/>
        <v>15</v>
      </c>
    </row>
    <row r="5975" spans="24:25" x14ac:dyDescent="0.3">
      <c r="X5975" s="1">
        <f t="shared" si="186"/>
        <v>0</v>
      </c>
      <c r="Y5975" s="1">
        <f t="shared" si="187"/>
        <v>15</v>
      </c>
    </row>
    <row r="5976" spans="24:25" x14ac:dyDescent="0.3">
      <c r="X5976" s="1">
        <f t="shared" si="186"/>
        <v>0</v>
      </c>
      <c r="Y5976" s="1">
        <f t="shared" si="187"/>
        <v>15</v>
      </c>
    </row>
    <row r="5977" spans="24:25" x14ac:dyDescent="0.3">
      <c r="X5977" s="1">
        <f t="shared" si="186"/>
        <v>0</v>
      </c>
      <c r="Y5977" s="1">
        <f t="shared" si="187"/>
        <v>15</v>
      </c>
    </row>
    <row r="5978" spans="24:25" x14ac:dyDescent="0.3">
      <c r="X5978" s="1">
        <f t="shared" si="186"/>
        <v>0</v>
      </c>
      <c r="Y5978" s="1">
        <f t="shared" si="187"/>
        <v>15</v>
      </c>
    </row>
    <row r="5979" spans="24:25" x14ac:dyDescent="0.3">
      <c r="X5979" s="1">
        <f t="shared" si="186"/>
        <v>0</v>
      </c>
      <c r="Y5979" s="1">
        <f t="shared" si="187"/>
        <v>15</v>
      </c>
    </row>
    <row r="5980" spans="24:25" x14ac:dyDescent="0.3">
      <c r="X5980" s="1">
        <f t="shared" si="186"/>
        <v>0</v>
      </c>
      <c r="Y5980" s="1">
        <f t="shared" si="187"/>
        <v>15</v>
      </c>
    </row>
    <row r="5981" spans="24:25" x14ac:dyDescent="0.3">
      <c r="X5981" s="1">
        <f t="shared" si="186"/>
        <v>0</v>
      </c>
      <c r="Y5981" s="1">
        <f t="shared" si="187"/>
        <v>15</v>
      </c>
    </row>
    <row r="5982" spans="24:25" x14ac:dyDescent="0.3">
      <c r="X5982" s="1">
        <f t="shared" si="186"/>
        <v>0</v>
      </c>
      <c r="Y5982" s="1">
        <f t="shared" si="187"/>
        <v>15</v>
      </c>
    </row>
    <row r="5983" spans="24:25" x14ac:dyDescent="0.3">
      <c r="X5983" s="1">
        <f t="shared" si="186"/>
        <v>0</v>
      </c>
      <c r="Y5983" s="1">
        <f t="shared" si="187"/>
        <v>15</v>
      </c>
    </row>
    <row r="5984" spans="24:25" x14ac:dyDescent="0.3">
      <c r="X5984" s="1">
        <f t="shared" si="186"/>
        <v>0</v>
      </c>
      <c r="Y5984" s="1">
        <f t="shared" si="187"/>
        <v>15</v>
      </c>
    </row>
    <row r="5985" spans="24:25" x14ac:dyDescent="0.3">
      <c r="X5985" s="1">
        <f t="shared" si="186"/>
        <v>0</v>
      </c>
      <c r="Y5985" s="1">
        <f t="shared" si="187"/>
        <v>15</v>
      </c>
    </row>
    <row r="5986" spans="24:25" x14ac:dyDescent="0.3">
      <c r="X5986" s="1">
        <f t="shared" si="186"/>
        <v>0</v>
      </c>
      <c r="Y5986" s="1">
        <f t="shared" si="187"/>
        <v>15</v>
      </c>
    </row>
    <row r="5987" spans="24:25" x14ac:dyDescent="0.3">
      <c r="X5987" s="1">
        <f t="shared" si="186"/>
        <v>0</v>
      </c>
      <c r="Y5987" s="1">
        <f t="shared" si="187"/>
        <v>15</v>
      </c>
    </row>
    <row r="5988" spans="24:25" x14ac:dyDescent="0.3">
      <c r="X5988" s="1">
        <f t="shared" si="186"/>
        <v>0</v>
      </c>
      <c r="Y5988" s="1">
        <f t="shared" si="187"/>
        <v>15</v>
      </c>
    </row>
    <row r="5989" spans="24:25" x14ac:dyDescent="0.3">
      <c r="X5989" s="1">
        <f t="shared" si="186"/>
        <v>0</v>
      </c>
      <c r="Y5989" s="1">
        <f t="shared" si="187"/>
        <v>15</v>
      </c>
    </row>
    <row r="5990" spans="24:25" x14ac:dyDescent="0.3">
      <c r="X5990" s="1">
        <f t="shared" si="186"/>
        <v>0</v>
      </c>
      <c r="Y5990" s="1">
        <f t="shared" si="187"/>
        <v>15</v>
      </c>
    </row>
    <row r="5991" spans="24:25" x14ac:dyDescent="0.3">
      <c r="X5991" s="1">
        <f t="shared" si="186"/>
        <v>0</v>
      </c>
      <c r="Y5991" s="1">
        <f t="shared" si="187"/>
        <v>15</v>
      </c>
    </row>
    <row r="5992" spans="24:25" x14ac:dyDescent="0.3">
      <c r="X5992" s="1">
        <f t="shared" si="186"/>
        <v>0</v>
      </c>
      <c r="Y5992" s="1">
        <f t="shared" si="187"/>
        <v>15</v>
      </c>
    </row>
    <row r="5993" spans="24:25" x14ac:dyDescent="0.3">
      <c r="X5993" s="1">
        <f t="shared" si="186"/>
        <v>0</v>
      </c>
      <c r="Y5993" s="1">
        <f t="shared" si="187"/>
        <v>15</v>
      </c>
    </row>
    <row r="5994" spans="24:25" x14ac:dyDescent="0.3">
      <c r="X5994" s="1">
        <f t="shared" si="186"/>
        <v>0</v>
      </c>
      <c r="Y5994" s="1">
        <f t="shared" si="187"/>
        <v>15</v>
      </c>
    </row>
    <row r="5995" spans="24:25" x14ac:dyDescent="0.3">
      <c r="X5995" s="1">
        <f t="shared" si="186"/>
        <v>0</v>
      </c>
      <c r="Y5995" s="1">
        <f t="shared" si="187"/>
        <v>15</v>
      </c>
    </row>
    <row r="5996" spans="24:25" x14ac:dyDescent="0.3">
      <c r="X5996" s="1">
        <f t="shared" si="186"/>
        <v>0</v>
      </c>
      <c r="Y5996" s="1">
        <f t="shared" si="187"/>
        <v>15</v>
      </c>
    </row>
    <row r="5997" spans="24:25" x14ac:dyDescent="0.3">
      <c r="X5997" s="1">
        <f t="shared" si="186"/>
        <v>0</v>
      </c>
      <c r="Y5997" s="1">
        <f t="shared" si="187"/>
        <v>15</v>
      </c>
    </row>
    <row r="5998" spans="24:25" x14ac:dyDescent="0.3">
      <c r="X5998" s="1">
        <f t="shared" si="186"/>
        <v>0</v>
      </c>
      <c r="Y5998" s="1">
        <f t="shared" si="187"/>
        <v>15</v>
      </c>
    </row>
    <row r="5999" spans="24:25" x14ac:dyDescent="0.3">
      <c r="X5999" s="1">
        <f t="shared" si="186"/>
        <v>0</v>
      </c>
      <c r="Y5999" s="1">
        <f t="shared" si="187"/>
        <v>15</v>
      </c>
    </row>
    <row r="6000" spans="24:25" x14ac:dyDescent="0.3">
      <c r="X6000" s="1">
        <f t="shared" si="186"/>
        <v>0</v>
      </c>
      <c r="Y6000" s="1">
        <f t="shared" si="187"/>
        <v>15</v>
      </c>
    </row>
    <row r="6001" spans="24:25" x14ac:dyDescent="0.3">
      <c r="X6001" s="1">
        <f t="shared" si="186"/>
        <v>0</v>
      </c>
      <c r="Y6001" s="1">
        <f t="shared" si="187"/>
        <v>15</v>
      </c>
    </row>
    <row r="6002" spans="24:25" x14ac:dyDescent="0.3">
      <c r="X6002" s="1">
        <f t="shared" si="186"/>
        <v>0</v>
      </c>
      <c r="Y6002" s="1">
        <f t="shared" si="187"/>
        <v>15</v>
      </c>
    </row>
    <row r="6003" spans="24:25" x14ac:dyDescent="0.3">
      <c r="X6003" s="1">
        <f t="shared" si="186"/>
        <v>0</v>
      </c>
      <c r="Y6003" s="1">
        <f t="shared" si="187"/>
        <v>15</v>
      </c>
    </row>
    <row r="6004" spans="24:25" x14ac:dyDescent="0.3">
      <c r="X6004" s="1">
        <f t="shared" si="186"/>
        <v>0</v>
      </c>
      <c r="Y6004" s="1">
        <f t="shared" si="187"/>
        <v>15</v>
      </c>
    </row>
    <row r="6005" spans="24:25" x14ac:dyDescent="0.3">
      <c r="X6005" s="1">
        <f t="shared" si="186"/>
        <v>0</v>
      </c>
      <c r="Y6005" s="1">
        <f t="shared" si="187"/>
        <v>15</v>
      </c>
    </row>
    <row r="6006" spans="24:25" x14ac:dyDescent="0.3">
      <c r="X6006" s="1">
        <f t="shared" si="186"/>
        <v>0</v>
      </c>
      <c r="Y6006" s="1">
        <f t="shared" si="187"/>
        <v>15</v>
      </c>
    </row>
    <row r="6007" spans="24:25" x14ac:dyDescent="0.3">
      <c r="X6007" s="1">
        <f t="shared" si="186"/>
        <v>0</v>
      </c>
      <c r="Y6007" s="1">
        <f t="shared" si="187"/>
        <v>15</v>
      </c>
    </row>
    <row r="6008" spans="24:25" x14ac:dyDescent="0.3">
      <c r="X6008" s="1">
        <f t="shared" si="186"/>
        <v>0</v>
      </c>
      <c r="Y6008" s="1">
        <f t="shared" si="187"/>
        <v>15</v>
      </c>
    </row>
    <row r="6009" spans="24:25" x14ac:dyDescent="0.3">
      <c r="X6009" s="1">
        <f t="shared" si="186"/>
        <v>0</v>
      </c>
      <c r="Y6009" s="1">
        <f t="shared" si="187"/>
        <v>15</v>
      </c>
    </row>
    <row r="6010" spans="24:25" x14ac:dyDescent="0.3">
      <c r="X6010" s="1">
        <f t="shared" si="186"/>
        <v>0</v>
      </c>
      <c r="Y6010" s="1">
        <f t="shared" si="187"/>
        <v>15</v>
      </c>
    </row>
    <row r="6011" spans="24:25" x14ac:dyDescent="0.3">
      <c r="X6011" s="1">
        <f t="shared" si="186"/>
        <v>0</v>
      </c>
      <c r="Y6011" s="1">
        <f t="shared" si="187"/>
        <v>15</v>
      </c>
    </row>
    <row r="6012" spans="24:25" x14ac:dyDescent="0.3">
      <c r="X6012" s="1">
        <f t="shared" si="186"/>
        <v>0</v>
      </c>
      <c r="Y6012" s="1">
        <f t="shared" si="187"/>
        <v>15</v>
      </c>
    </row>
    <row r="6013" spans="24:25" x14ac:dyDescent="0.3">
      <c r="X6013" s="1">
        <f t="shared" si="186"/>
        <v>0</v>
      </c>
      <c r="Y6013" s="1">
        <f t="shared" si="187"/>
        <v>15</v>
      </c>
    </row>
    <row r="6014" spans="24:25" x14ac:dyDescent="0.3">
      <c r="X6014" s="1">
        <f t="shared" si="186"/>
        <v>0</v>
      </c>
      <c r="Y6014" s="1">
        <f t="shared" si="187"/>
        <v>15</v>
      </c>
    </row>
    <row r="6015" spans="24:25" x14ac:dyDescent="0.3">
      <c r="X6015" s="1">
        <f t="shared" si="186"/>
        <v>0</v>
      </c>
      <c r="Y6015" s="1">
        <f t="shared" si="187"/>
        <v>15</v>
      </c>
    </row>
    <row r="6016" spans="24:25" x14ac:dyDescent="0.3">
      <c r="X6016" s="1">
        <f t="shared" si="186"/>
        <v>0</v>
      </c>
      <c r="Y6016" s="1">
        <f t="shared" si="187"/>
        <v>15</v>
      </c>
    </row>
    <row r="6017" spans="24:25" x14ac:dyDescent="0.3">
      <c r="X6017" s="1">
        <f t="shared" si="186"/>
        <v>0</v>
      </c>
      <c r="Y6017" s="1">
        <f t="shared" si="187"/>
        <v>15</v>
      </c>
    </row>
    <row r="6018" spans="24:25" x14ac:dyDescent="0.3">
      <c r="X6018" s="1">
        <f t="shared" si="186"/>
        <v>0</v>
      </c>
      <c r="Y6018" s="1">
        <f t="shared" si="187"/>
        <v>15</v>
      </c>
    </row>
    <row r="6019" spans="24:25" x14ac:dyDescent="0.3">
      <c r="X6019" s="1">
        <f t="shared" ref="X6019:X6082" si="188">IFERROR(MATCH(W6019,$B:$B,0),0)</f>
        <v>0</v>
      </c>
      <c r="Y6019" s="1">
        <f t="shared" ref="Y6019:Y6082" si="189">IF(X6020=0,COUNTA(A:A),X6020-1)</f>
        <v>15</v>
      </c>
    </row>
    <row r="6020" spans="24:25" x14ac:dyDescent="0.3">
      <c r="X6020" s="1">
        <f t="shared" si="188"/>
        <v>0</v>
      </c>
      <c r="Y6020" s="1">
        <f t="shared" si="189"/>
        <v>15</v>
      </c>
    </row>
    <row r="6021" spans="24:25" x14ac:dyDescent="0.3">
      <c r="X6021" s="1">
        <f t="shared" si="188"/>
        <v>0</v>
      </c>
      <c r="Y6021" s="1">
        <f t="shared" si="189"/>
        <v>15</v>
      </c>
    </row>
    <row r="6022" spans="24:25" x14ac:dyDescent="0.3">
      <c r="X6022" s="1">
        <f t="shared" si="188"/>
        <v>0</v>
      </c>
      <c r="Y6022" s="1">
        <f t="shared" si="189"/>
        <v>15</v>
      </c>
    </row>
    <row r="6023" spans="24:25" x14ac:dyDescent="0.3">
      <c r="X6023" s="1">
        <f t="shared" si="188"/>
        <v>0</v>
      </c>
      <c r="Y6023" s="1">
        <f t="shared" si="189"/>
        <v>15</v>
      </c>
    </row>
    <row r="6024" spans="24:25" x14ac:dyDescent="0.3">
      <c r="X6024" s="1">
        <f t="shared" si="188"/>
        <v>0</v>
      </c>
      <c r="Y6024" s="1">
        <f t="shared" si="189"/>
        <v>15</v>
      </c>
    </row>
    <row r="6025" spans="24:25" x14ac:dyDescent="0.3">
      <c r="X6025" s="1">
        <f t="shared" si="188"/>
        <v>0</v>
      </c>
      <c r="Y6025" s="1">
        <f t="shared" si="189"/>
        <v>15</v>
      </c>
    </row>
    <row r="6026" spans="24:25" x14ac:dyDescent="0.3">
      <c r="X6026" s="1">
        <f t="shared" si="188"/>
        <v>0</v>
      </c>
      <c r="Y6026" s="1">
        <f t="shared" si="189"/>
        <v>15</v>
      </c>
    </row>
    <row r="6027" spans="24:25" x14ac:dyDescent="0.3">
      <c r="X6027" s="1">
        <f t="shared" si="188"/>
        <v>0</v>
      </c>
      <c r="Y6027" s="1">
        <f t="shared" si="189"/>
        <v>15</v>
      </c>
    </row>
    <row r="6028" spans="24:25" x14ac:dyDescent="0.3">
      <c r="X6028" s="1">
        <f t="shared" si="188"/>
        <v>0</v>
      </c>
      <c r="Y6028" s="1">
        <f t="shared" si="189"/>
        <v>15</v>
      </c>
    </row>
    <row r="6029" spans="24:25" x14ac:dyDescent="0.3">
      <c r="X6029" s="1">
        <f t="shared" si="188"/>
        <v>0</v>
      </c>
      <c r="Y6029" s="1">
        <f t="shared" si="189"/>
        <v>15</v>
      </c>
    </row>
    <row r="6030" spans="24:25" x14ac:dyDescent="0.3">
      <c r="X6030" s="1">
        <f t="shared" si="188"/>
        <v>0</v>
      </c>
      <c r="Y6030" s="1">
        <f t="shared" si="189"/>
        <v>15</v>
      </c>
    </row>
    <row r="6031" spans="24:25" x14ac:dyDescent="0.3">
      <c r="X6031" s="1">
        <f t="shared" si="188"/>
        <v>0</v>
      </c>
      <c r="Y6031" s="1">
        <f t="shared" si="189"/>
        <v>15</v>
      </c>
    </row>
    <row r="6032" spans="24:25" x14ac:dyDescent="0.3">
      <c r="X6032" s="1">
        <f t="shared" si="188"/>
        <v>0</v>
      </c>
      <c r="Y6032" s="1">
        <f t="shared" si="189"/>
        <v>15</v>
      </c>
    </row>
    <row r="6033" spans="24:25" x14ac:dyDescent="0.3">
      <c r="X6033" s="1">
        <f t="shared" si="188"/>
        <v>0</v>
      </c>
      <c r="Y6033" s="1">
        <f t="shared" si="189"/>
        <v>15</v>
      </c>
    </row>
    <row r="6034" spans="24:25" x14ac:dyDescent="0.3">
      <c r="X6034" s="1">
        <f t="shared" si="188"/>
        <v>0</v>
      </c>
      <c r="Y6034" s="1">
        <f t="shared" si="189"/>
        <v>15</v>
      </c>
    </row>
    <row r="6035" spans="24:25" x14ac:dyDescent="0.3">
      <c r="X6035" s="1">
        <f t="shared" si="188"/>
        <v>0</v>
      </c>
      <c r="Y6035" s="1">
        <f t="shared" si="189"/>
        <v>15</v>
      </c>
    </row>
    <row r="6036" spans="24:25" x14ac:dyDescent="0.3">
      <c r="X6036" s="1">
        <f t="shared" si="188"/>
        <v>0</v>
      </c>
      <c r="Y6036" s="1">
        <f t="shared" si="189"/>
        <v>15</v>
      </c>
    </row>
    <row r="6037" spans="24:25" x14ac:dyDescent="0.3">
      <c r="X6037" s="1">
        <f t="shared" si="188"/>
        <v>0</v>
      </c>
      <c r="Y6037" s="1">
        <f t="shared" si="189"/>
        <v>15</v>
      </c>
    </row>
    <row r="6038" spans="24:25" x14ac:dyDescent="0.3">
      <c r="X6038" s="1">
        <f t="shared" si="188"/>
        <v>0</v>
      </c>
      <c r="Y6038" s="1">
        <f t="shared" si="189"/>
        <v>15</v>
      </c>
    </row>
    <row r="6039" spans="24:25" x14ac:dyDescent="0.3">
      <c r="X6039" s="1">
        <f t="shared" si="188"/>
        <v>0</v>
      </c>
      <c r="Y6039" s="1">
        <f t="shared" si="189"/>
        <v>15</v>
      </c>
    </row>
    <row r="6040" spans="24:25" x14ac:dyDescent="0.3">
      <c r="X6040" s="1">
        <f t="shared" si="188"/>
        <v>0</v>
      </c>
      <c r="Y6040" s="1">
        <f t="shared" si="189"/>
        <v>15</v>
      </c>
    </row>
    <row r="6041" spans="24:25" x14ac:dyDescent="0.3">
      <c r="X6041" s="1">
        <f t="shared" si="188"/>
        <v>0</v>
      </c>
      <c r="Y6041" s="1">
        <f t="shared" si="189"/>
        <v>15</v>
      </c>
    </row>
    <row r="6042" spans="24:25" x14ac:dyDescent="0.3">
      <c r="X6042" s="1">
        <f t="shared" si="188"/>
        <v>0</v>
      </c>
      <c r="Y6042" s="1">
        <f t="shared" si="189"/>
        <v>15</v>
      </c>
    </row>
    <row r="6043" spans="24:25" x14ac:dyDescent="0.3">
      <c r="X6043" s="1">
        <f t="shared" si="188"/>
        <v>0</v>
      </c>
      <c r="Y6043" s="1">
        <f t="shared" si="189"/>
        <v>15</v>
      </c>
    </row>
    <row r="6044" spans="24:25" x14ac:dyDescent="0.3">
      <c r="X6044" s="1">
        <f t="shared" si="188"/>
        <v>0</v>
      </c>
      <c r="Y6044" s="1">
        <f t="shared" si="189"/>
        <v>15</v>
      </c>
    </row>
    <row r="6045" spans="24:25" x14ac:dyDescent="0.3">
      <c r="X6045" s="1">
        <f t="shared" si="188"/>
        <v>0</v>
      </c>
      <c r="Y6045" s="1">
        <f t="shared" si="189"/>
        <v>15</v>
      </c>
    </row>
    <row r="6046" spans="24:25" x14ac:dyDescent="0.3">
      <c r="X6046" s="1">
        <f t="shared" si="188"/>
        <v>0</v>
      </c>
      <c r="Y6046" s="1">
        <f t="shared" si="189"/>
        <v>15</v>
      </c>
    </row>
    <row r="6047" spans="24:25" x14ac:dyDescent="0.3">
      <c r="X6047" s="1">
        <f t="shared" si="188"/>
        <v>0</v>
      </c>
      <c r="Y6047" s="1">
        <f t="shared" si="189"/>
        <v>15</v>
      </c>
    </row>
    <row r="6048" spans="24:25" x14ac:dyDescent="0.3">
      <c r="X6048" s="1">
        <f t="shared" si="188"/>
        <v>0</v>
      </c>
      <c r="Y6048" s="1">
        <f t="shared" si="189"/>
        <v>15</v>
      </c>
    </row>
    <row r="6049" spans="24:25" x14ac:dyDescent="0.3">
      <c r="X6049" s="1">
        <f t="shared" si="188"/>
        <v>0</v>
      </c>
      <c r="Y6049" s="1">
        <f t="shared" si="189"/>
        <v>15</v>
      </c>
    </row>
    <row r="6050" spans="24:25" x14ac:dyDescent="0.3">
      <c r="X6050" s="1">
        <f t="shared" si="188"/>
        <v>0</v>
      </c>
      <c r="Y6050" s="1">
        <f t="shared" si="189"/>
        <v>15</v>
      </c>
    </row>
    <row r="6051" spans="24:25" x14ac:dyDescent="0.3">
      <c r="X6051" s="1">
        <f t="shared" si="188"/>
        <v>0</v>
      </c>
      <c r="Y6051" s="1">
        <f t="shared" si="189"/>
        <v>15</v>
      </c>
    </row>
    <row r="6052" spans="24:25" x14ac:dyDescent="0.3">
      <c r="X6052" s="1">
        <f t="shared" si="188"/>
        <v>0</v>
      </c>
      <c r="Y6052" s="1">
        <f t="shared" si="189"/>
        <v>15</v>
      </c>
    </row>
    <row r="6053" spans="24:25" x14ac:dyDescent="0.3">
      <c r="X6053" s="1">
        <f t="shared" si="188"/>
        <v>0</v>
      </c>
      <c r="Y6053" s="1">
        <f t="shared" si="189"/>
        <v>15</v>
      </c>
    </row>
    <row r="6054" spans="24:25" x14ac:dyDescent="0.3">
      <c r="X6054" s="1">
        <f t="shared" si="188"/>
        <v>0</v>
      </c>
      <c r="Y6054" s="1">
        <f t="shared" si="189"/>
        <v>15</v>
      </c>
    </row>
    <row r="6055" spans="24:25" x14ac:dyDescent="0.3">
      <c r="X6055" s="1">
        <f t="shared" si="188"/>
        <v>0</v>
      </c>
      <c r="Y6055" s="1">
        <f t="shared" si="189"/>
        <v>15</v>
      </c>
    </row>
    <row r="6056" spans="24:25" x14ac:dyDescent="0.3">
      <c r="X6056" s="1">
        <f t="shared" si="188"/>
        <v>0</v>
      </c>
      <c r="Y6056" s="1">
        <f t="shared" si="189"/>
        <v>15</v>
      </c>
    </row>
    <row r="6057" spans="24:25" x14ac:dyDescent="0.3">
      <c r="X6057" s="1">
        <f t="shared" si="188"/>
        <v>0</v>
      </c>
      <c r="Y6057" s="1">
        <f t="shared" si="189"/>
        <v>15</v>
      </c>
    </row>
    <row r="6058" spans="24:25" x14ac:dyDescent="0.3">
      <c r="X6058" s="1">
        <f t="shared" si="188"/>
        <v>0</v>
      </c>
      <c r="Y6058" s="1">
        <f t="shared" si="189"/>
        <v>15</v>
      </c>
    </row>
    <row r="6059" spans="24:25" x14ac:dyDescent="0.3">
      <c r="X6059" s="1">
        <f t="shared" si="188"/>
        <v>0</v>
      </c>
      <c r="Y6059" s="1">
        <f t="shared" si="189"/>
        <v>15</v>
      </c>
    </row>
    <row r="6060" spans="24:25" x14ac:dyDescent="0.3">
      <c r="X6060" s="1">
        <f t="shared" si="188"/>
        <v>0</v>
      </c>
      <c r="Y6060" s="1">
        <f t="shared" si="189"/>
        <v>15</v>
      </c>
    </row>
    <row r="6061" spans="24:25" x14ac:dyDescent="0.3">
      <c r="X6061" s="1">
        <f t="shared" si="188"/>
        <v>0</v>
      </c>
      <c r="Y6061" s="1">
        <f t="shared" si="189"/>
        <v>15</v>
      </c>
    </row>
    <row r="6062" spans="24:25" x14ac:dyDescent="0.3">
      <c r="X6062" s="1">
        <f t="shared" si="188"/>
        <v>0</v>
      </c>
      <c r="Y6062" s="1">
        <f t="shared" si="189"/>
        <v>15</v>
      </c>
    </row>
    <row r="6063" spans="24:25" x14ac:dyDescent="0.3">
      <c r="X6063" s="1">
        <f t="shared" si="188"/>
        <v>0</v>
      </c>
      <c r="Y6063" s="1">
        <f t="shared" si="189"/>
        <v>15</v>
      </c>
    </row>
    <row r="6064" spans="24:25" x14ac:dyDescent="0.3">
      <c r="X6064" s="1">
        <f t="shared" si="188"/>
        <v>0</v>
      </c>
      <c r="Y6064" s="1">
        <f t="shared" si="189"/>
        <v>15</v>
      </c>
    </row>
    <row r="6065" spans="24:25" x14ac:dyDescent="0.3">
      <c r="X6065" s="1">
        <f t="shared" si="188"/>
        <v>0</v>
      </c>
      <c r="Y6065" s="1">
        <f t="shared" si="189"/>
        <v>15</v>
      </c>
    </row>
    <row r="6066" spans="24:25" x14ac:dyDescent="0.3">
      <c r="X6066" s="1">
        <f t="shared" si="188"/>
        <v>0</v>
      </c>
      <c r="Y6066" s="1">
        <f t="shared" si="189"/>
        <v>15</v>
      </c>
    </row>
    <row r="6067" spans="24:25" x14ac:dyDescent="0.3">
      <c r="X6067" s="1">
        <f t="shared" si="188"/>
        <v>0</v>
      </c>
      <c r="Y6067" s="1">
        <f t="shared" si="189"/>
        <v>15</v>
      </c>
    </row>
    <row r="6068" spans="24:25" x14ac:dyDescent="0.3">
      <c r="X6068" s="1">
        <f t="shared" si="188"/>
        <v>0</v>
      </c>
      <c r="Y6068" s="1">
        <f t="shared" si="189"/>
        <v>15</v>
      </c>
    </row>
    <row r="6069" spans="24:25" x14ac:dyDescent="0.3">
      <c r="X6069" s="1">
        <f t="shared" si="188"/>
        <v>0</v>
      </c>
      <c r="Y6069" s="1">
        <f t="shared" si="189"/>
        <v>15</v>
      </c>
    </row>
    <row r="6070" spans="24:25" x14ac:dyDescent="0.3">
      <c r="X6070" s="1">
        <f t="shared" si="188"/>
        <v>0</v>
      </c>
      <c r="Y6070" s="1">
        <f t="shared" si="189"/>
        <v>15</v>
      </c>
    </row>
    <row r="6071" spans="24:25" x14ac:dyDescent="0.3">
      <c r="X6071" s="1">
        <f t="shared" si="188"/>
        <v>0</v>
      </c>
      <c r="Y6071" s="1">
        <f t="shared" si="189"/>
        <v>15</v>
      </c>
    </row>
    <row r="6072" spans="24:25" x14ac:dyDescent="0.3">
      <c r="X6072" s="1">
        <f t="shared" si="188"/>
        <v>0</v>
      </c>
      <c r="Y6072" s="1">
        <f t="shared" si="189"/>
        <v>15</v>
      </c>
    </row>
    <row r="6073" spans="24:25" x14ac:dyDescent="0.3">
      <c r="X6073" s="1">
        <f t="shared" si="188"/>
        <v>0</v>
      </c>
      <c r="Y6073" s="1">
        <f t="shared" si="189"/>
        <v>15</v>
      </c>
    </row>
    <row r="6074" spans="24:25" x14ac:dyDescent="0.3">
      <c r="X6074" s="1">
        <f t="shared" si="188"/>
        <v>0</v>
      </c>
      <c r="Y6074" s="1">
        <f t="shared" si="189"/>
        <v>15</v>
      </c>
    </row>
    <row r="6075" spans="24:25" x14ac:dyDescent="0.3">
      <c r="X6075" s="1">
        <f t="shared" si="188"/>
        <v>0</v>
      </c>
      <c r="Y6075" s="1">
        <f t="shared" si="189"/>
        <v>15</v>
      </c>
    </row>
    <row r="6076" spans="24:25" x14ac:dyDescent="0.3">
      <c r="X6076" s="1">
        <f t="shared" si="188"/>
        <v>0</v>
      </c>
      <c r="Y6076" s="1">
        <f t="shared" si="189"/>
        <v>15</v>
      </c>
    </row>
    <row r="6077" spans="24:25" x14ac:dyDescent="0.3">
      <c r="X6077" s="1">
        <f t="shared" si="188"/>
        <v>0</v>
      </c>
      <c r="Y6077" s="1">
        <f t="shared" si="189"/>
        <v>15</v>
      </c>
    </row>
    <row r="6078" spans="24:25" x14ac:dyDescent="0.3">
      <c r="X6078" s="1">
        <f t="shared" si="188"/>
        <v>0</v>
      </c>
      <c r="Y6078" s="1">
        <f t="shared" si="189"/>
        <v>15</v>
      </c>
    </row>
    <row r="6079" spans="24:25" x14ac:dyDescent="0.3">
      <c r="X6079" s="1">
        <f t="shared" si="188"/>
        <v>0</v>
      </c>
      <c r="Y6079" s="1">
        <f t="shared" si="189"/>
        <v>15</v>
      </c>
    </row>
    <row r="6080" spans="24:25" x14ac:dyDescent="0.3">
      <c r="X6080" s="1">
        <f t="shared" si="188"/>
        <v>0</v>
      </c>
      <c r="Y6080" s="1">
        <f t="shared" si="189"/>
        <v>15</v>
      </c>
    </row>
    <row r="6081" spans="24:25" x14ac:dyDescent="0.3">
      <c r="X6081" s="1">
        <f t="shared" si="188"/>
        <v>0</v>
      </c>
      <c r="Y6081" s="1">
        <f t="shared" si="189"/>
        <v>15</v>
      </c>
    </row>
    <row r="6082" spans="24:25" x14ac:dyDescent="0.3">
      <c r="X6082" s="1">
        <f t="shared" si="188"/>
        <v>0</v>
      </c>
      <c r="Y6082" s="1">
        <f t="shared" si="189"/>
        <v>15</v>
      </c>
    </row>
    <row r="6083" spans="24:25" x14ac:dyDescent="0.3">
      <c r="X6083" s="1">
        <f t="shared" ref="X6083:X6146" si="190">IFERROR(MATCH(W6083,$B:$B,0),0)</f>
        <v>0</v>
      </c>
      <c r="Y6083" s="1">
        <f t="shared" ref="Y6083:Y6146" si="191">IF(X6084=0,COUNTA(A:A),X6084-1)</f>
        <v>15</v>
      </c>
    </row>
    <row r="6084" spans="24:25" x14ac:dyDescent="0.3">
      <c r="X6084" s="1">
        <f t="shared" si="190"/>
        <v>0</v>
      </c>
      <c r="Y6084" s="1">
        <f t="shared" si="191"/>
        <v>15</v>
      </c>
    </row>
    <row r="6085" spans="24:25" x14ac:dyDescent="0.3">
      <c r="X6085" s="1">
        <f t="shared" si="190"/>
        <v>0</v>
      </c>
      <c r="Y6085" s="1">
        <f t="shared" si="191"/>
        <v>15</v>
      </c>
    </row>
    <row r="6086" spans="24:25" x14ac:dyDescent="0.3">
      <c r="X6086" s="1">
        <f t="shared" si="190"/>
        <v>0</v>
      </c>
      <c r="Y6086" s="1">
        <f t="shared" si="191"/>
        <v>15</v>
      </c>
    </row>
    <row r="6087" spans="24:25" x14ac:dyDescent="0.3">
      <c r="X6087" s="1">
        <f t="shared" si="190"/>
        <v>0</v>
      </c>
      <c r="Y6087" s="1">
        <f t="shared" si="191"/>
        <v>15</v>
      </c>
    </row>
    <row r="6088" spans="24:25" x14ac:dyDescent="0.3">
      <c r="X6088" s="1">
        <f t="shared" si="190"/>
        <v>0</v>
      </c>
      <c r="Y6088" s="1">
        <f t="shared" si="191"/>
        <v>15</v>
      </c>
    </row>
    <row r="6089" spans="24:25" x14ac:dyDescent="0.3">
      <c r="X6089" s="1">
        <f t="shared" si="190"/>
        <v>0</v>
      </c>
      <c r="Y6089" s="1">
        <f t="shared" si="191"/>
        <v>15</v>
      </c>
    </row>
    <row r="6090" spans="24:25" x14ac:dyDescent="0.3">
      <c r="X6090" s="1">
        <f t="shared" si="190"/>
        <v>0</v>
      </c>
      <c r="Y6090" s="1">
        <f t="shared" si="191"/>
        <v>15</v>
      </c>
    </row>
    <row r="6091" spans="24:25" x14ac:dyDescent="0.3">
      <c r="X6091" s="1">
        <f t="shared" si="190"/>
        <v>0</v>
      </c>
      <c r="Y6091" s="1">
        <f t="shared" si="191"/>
        <v>15</v>
      </c>
    </row>
    <row r="6092" spans="24:25" x14ac:dyDescent="0.3">
      <c r="X6092" s="1">
        <f t="shared" si="190"/>
        <v>0</v>
      </c>
      <c r="Y6092" s="1">
        <f t="shared" si="191"/>
        <v>15</v>
      </c>
    </row>
    <row r="6093" spans="24:25" x14ac:dyDescent="0.3">
      <c r="X6093" s="1">
        <f t="shared" si="190"/>
        <v>0</v>
      </c>
      <c r="Y6093" s="1">
        <f t="shared" si="191"/>
        <v>15</v>
      </c>
    </row>
    <row r="6094" spans="24:25" x14ac:dyDescent="0.3">
      <c r="X6094" s="1">
        <f t="shared" si="190"/>
        <v>0</v>
      </c>
      <c r="Y6094" s="1">
        <f t="shared" si="191"/>
        <v>15</v>
      </c>
    </row>
    <row r="6095" spans="24:25" x14ac:dyDescent="0.3">
      <c r="X6095" s="1">
        <f t="shared" si="190"/>
        <v>0</v>
      </c>
      <c r="Y6095" s="1">
        <f t="shared" si="191"/>
        <v>15</v>
      </c>
    </row>
    <row r="6096" spans="24:25" x14ac:dyDescent="0.3">
      <c r="X6096" s="1">
        <f t="shared" si="190"/>
        <v>0</v>
      </c>
      <c r="Y6096" s="1">
        <f t="shared" si="191"/>
        <v>15</v>
      </c>
    </row>
    <row r="6097" spans="24:25" x14ac:dyDescent="0.3">
      <c r="X6097" s="1">
        <f t="shared" si="190"/>
        <v>0</v>
      </c>
      <c r="Y6097" s="1">
        <f t="shared" si="191"/>
        <v>15</v>
      </c>
    </row>
    <row r="6098" spans="24:25" x14ac:dyDescent="0.3">
      <c r="X6098" s="1">
        <f t="shared" si="190"/>
        <v>0</v>
      </c>
      <c r="Y6098" s="1">
        <f t="shared" si="191"/>
        <v>15</v>
      </c>
    </row>
    <row r="6099" spans="24:25" x14ac:dyDescent="0.3">
      <c r="X6099" s="1">
        <f t="shared" si="190"/>
        <v>0</v>
      </c>
      <c r="Y6099" s="1">
        <f t="shared" si="191"/>
        <v>15</v>
      </c>
    </row>
    <row r="6100" spans="24:25" x14ac:dyDescent="0.3">
      <c r="X6100" s="1">
        <f t="shared" si="190"/>
        <v>0</v>
      </c>
      <c r="Y6100" s="1">
        <f t="shared" si="191"/>
        <v>15</v>
      </c>
    </row>
    <row r="6101" spans="24:25" x14ac:dyDescent="0.3">
      <c r="X6101" s="1">
        <f t="shared" si="190"/>
        <v>0</v>
      </c>
      <c r="Y6101" s="1">
        <f t="shared" si="191"/>
        <v>15</v>
      </c>
    </row>
    <row r="6102" spans="24:25" x14ac:dyDescent="0.3">
      <c r="X6102" s="1">
        <f t="shared" si="190"/>
        <v>0</v>
      </c>
      <c r="Y6102" s="1">
        <f t="shared" si="191"/>
        <v>15</v>
      </c>
    </row>
    <row r="6103" spans="24:25" x14ac:dyDescent="0.3">
      <c r="X6103" s="1">
        <f t="shared" si="190"/>
        <v>0</v>
      </c>
      <c r="Y6103" s="1">
        <f t="shared" si="191"/>
        <v>15</v>
      </c>
    </row>
    <row r="6104" spans="24:25" x14ac:dyDescent="0.3">
      <c r="X6104" s="1">
        <f t="shared" si="190"/>
        <v>0</v>
      </c>
      <c r="Y6104" s="1">
        <f t="shared" si="191"/>
        <v>15</v>
      </c>
    </row>
    <row r="6105" spans="24:25" x14ac:dyDescent="0.3">
      <c r="X6105" s="1">
        <f t="shared" si="190"/>
        <v>0</v>
      </c>
      <c r="Y6105" s="1">
        <f t="shared" si="191"/>
        <v>15</v>
      </c>
    </row>
    <row r="6106" spans="24:25" x14ac:dyDescent="0.3">
      <c r="X6106" s="1">
        <f t="shared" si="190"/>
        <v>0</v>
      </c>
      <c r="Y6106" s="1">
        <f t="shared" si="191"/>
        <v>15</v>
      </c>
    </row>
    <row r="6107" spans="24:25" x14ac:dyDescent="0.3">
      <c r="X6107" s="1">
        <f t="shared" si="190"/>
        <v>0</v>
      </c>
      <c r="Y6107" s="1">
        <f t="shared" si="191"/>
        <v>15</v>
      </c>
    </row>
    <row r="6108" spans="24:25" x14ac:dyDescent="0.3">
      <c r="X6108" s="1">
        <f t="shared" si="190"/>
        <v>0</v>
      </c>
      <c r="Y6108" s="1">
        <f t="shared" si="191"/>
        <v>15</v>
      </c>
    </row>
    <row r="6109" spans="24:25" x14ac:dyDescent="0.3">
      <c r="X6109" s="1">
        <f t="shared" si="190"/>
        <v>0</v>
      </c>
      <c r="Y6109" s="1">
        <f t="shared" si="191"/>
        <v>15</v>
      </c>
    </row>
    <row r="6110" spans="24:25" x14ac:dyDescent="0.3">
      <c r="X6110" s="1">
        <f t="shared" si="190"/>
        <v>0</v>
      </c>
      <c r="Y6110" s="1">
        <f t="shared" si="191"/>
        <v>15</v>
      </c>
    </row>
    <row r="6111" spans="24:25" x14ac:dyDescent="0.3">
      <c r="X6111" s="1">
        <f t="shared" si="190"/>
        <v>0</v>
      </c>
      <c r="Y6111" s="1">
        <f t="shared" si="191"/>
        <v>15</v>
      </c>
    </row>
    <row r="6112" spans="24:25" x14ac:dyDescent="0.3">
      <c r="X6112" s="1">
        <f t="shared" si="190"/>
        <v>0</v>
      </c>
      <c r="Y6112" s="1">
        <f t="shared" si="191"/>
        <v>15</v>
      </c>
    </row>
    <row r="6113" spans="24:25" x14ac:dyDescent="0.3">
      <c r="X6113" s="1">
        <f t="shared" si="190"/>
        <v>0</v>
      </c>
      <c r="Y6113" s="1">
        <f t="shared" si="191"/>
        <v>15</v>
      </c>
    </row>
    <row r="6114" spans="24:25" x14ac:dyDescent="0.3">
      <c r="X6114" s="1">
        <f t="shared" si="190"/>
        <v>0</v>
      </c>
      <c r="Y6114" s="1">
        <f t="shared" si="191"/>
        <v>15</v>
      </c>
    </row>
    <row r="6115" spans="24:25" x14ac:dyDescent="0.3">
      <c r="X6115" s="1">
        <f t="shared" si="190"/>
        <v>0</v>
      </c>
      <c r="Y6115" s="1">
        <f t="shared" si="191"/>
        <v>15</v>
      </c>
    </row>
    <row r="6116" spans="24:25" x14ac:dyDescent="0.3">
      <c r="X6116" s="1">
        <f t="shared" si="190"/>
        <v>0</v>
      </c>
      <c r="Y6116" s="1">
        <f t="shared" si="191"/>
        <v>15</v>
      </c>
    </row>
    <row r="6117" spans="24:25" x14ac:dyDescent="0.3">
      <c r="X6117" s="1">
        <f t="shared" si="190"/>
        <v>0</v>
      </c>
      <c r="Y6117" s="1">
        <f t="shared" si="191"/>
        <v>15</v>
      </c>
    </row>
    <row r="6118" spans="24:25" x14ac:dyDescent="0.3">
      <c r="X6118" s="1">
        <f t="shared" si="190"/>
        <v>0</v>
      </c>
      <c r="Y6118" s="1">
        <f t="shared" si="191"/>
        <v>15</v>
      </c>
    </row>
    <row r="6119" spans="24:25" x14ac:dyDescent="0.3">
      <c r="X6119" s="1">
        <f t="shared" si="190"/>
        <v>0</v>
      </c>
      <c r="Y6119" s="1">
        <f t="shared" si="191"/>
        <v>15</v>
      </c>
    </row>
    <row r="6120" spans="24:25" x14ac:dyDescent="0.3">
      <c r="X6120" s="1">
        <f t="shared" si="190"/>
        <v>0</v>
      </c>
      <c r="Y6120" s="1">
        <f t="shared" si="191"/>
        <v>15</v>
      </c>
    </row>
    <row r="6121" spans="24:25" x14ac:dyDescent="0.3">
      <c r="X6121" s="1">
        <f t="shared" si="190"/>
        <v>0</v>
      </c>
      <c r="Y6121" s="1">
        <f t="shared" si="191"/>
        <v>15</v>
      </c>
    </row>
    <row r="6122" spans="24:25" x14ac:dyDescent="0.3">
      <c r="X6122" s="1">
        <f t="shared" si="190"/>
        <v>0</v>
      </c>
      <c r="Y6122" s="1">
        <f t="shared" si="191"/>
        <v>15</v>
      </c>
    </row>
    <row r="6123" spans="24:25" x14ac:dyDescent="0.3">
      <c r="X6123" s="1">
        <f t="shared" si="190"/>
        <v>0</v>
      </c>
      <c r="Y6123" s="1">
        <f t="shared" si="191"/>
        <v>15</v>
      </c>
    </row>
    <row r="6124" spans="24:25" x14ac:dyDescent="0.3">
      <c r="X6124" s="1">
        <f t="shared" si="190"/>
        <v>0</v>
      </c>
      <c r="Y6124" s="1">
        <f t="shared" si="191"/>
        <v>15</v>
      </c>
    </row>
    <row r="6125" spans="24:25" x14ac:dyDescent="0.3">
      <c r="X6125" s="1">
        <f t="shared" si="190"/>
        <v>0</v>
      </c>
      <c r="Y6125" s="1">
        <f t="shared" si="191"/>
        <v>15</v>
      </c>
    </row>
    <row r="6126" spans="24:25" x14ac:dyDescent="0.3">
      <c r="X6126" s="1">
        <f t="shared" si="190"/>
        <v>0</v>
      </c>
      <c r="Y6126" s="1">
        <f t="shared" si="191"/>
        <v>15</v>
      </c>
    </row>
    <row r="6127" spans="24:25" x14ac:dyDescent="0.3">
      <c r="X6127" s="1">
        <f t="shared" si="190"/>
        <v>0</v>
      </c>
      <c r="Y6127" s="1">
        <f t="shared" si="191"/>
        <v>15</v>
      </c>
    </row>
    <row r="6128" spans="24:25" x14ac:dyDescent="0.3">
      <c r="X6128" s="1">
        <f t="shared" si="190"/>
        <v>0</v>
      </c>
      <c r="Y6128" s="1">
        <f t="shared" si="191"/>
        <v>15</v>
      </c>
    </row>
    <row r="6129" spans="24:25" x14ac:dyDescent="0.3">
      <c r="X6129" s="1">
        <f t="shared" si="190"/>
        <v>0</v>
      </c>
      <c r="Y6129" s="1">
        <f t="shared" si="191"/>
        <v>15</v>
      </c>
    </row>
    <row r="6130" spans="24:25" x14ac:dyDescent="0.3">
      <c r="X6130" s="1">
        <f t="shared" si="190"/>
        <v>0</v>
      </c>
      <c r="Y6130" s="1">
        <f t="shared" si="191"/>
        <v>15</v>
      </c>
    </row>
    <row r="6131" spans="24:25" x14ac:dyDescent="0.3">
      <c r="X6131" s="1">
        <f t="shared" si="190"/>
        <v>0</v>
      </c>
      <c r="Y6131" s="1">
        <f t="shared" si="191"/>
        <v>15</v>
      </c>
    </row>
    <row r="6132" spans="24:25" x14ac:dyDescent="0.3">
      <c r="X6132" s="1">
        <f t="shared" si="190"/>
        <v>0</v>
      </c>
      <c r="Y6132" s="1">
        <f t="shared" si="191"/>
        <v>15</v>
      </c>
    </row>
    <row r="6133" spans="24:25" x14ac:dyDescent="0.3">
      <c r="X6133" s="1">
        <f t="shared" si="190"/>
        <v>0</v>
      </c>
      <c r="Y6133" s="1">
        <f t="shared" si="191"/>
        <v>15</v>
      </c>
    </row>
    <row r="6134" spans="24:25" x14ac:dyDescent="0.3">
      <c r="X6134" s="1">
        <f t="shared" si="190"/>
        <v>0</v>
      </c>
      <c r="Y6134" s="1">
        <f t="shared" si="191"/>
        <v>15</v>
      </c>
    </row>
    <row r="6135" spans="24:25" x14ac:dyDescent="0.3">
      <c r="X6135" s="1">
        <f t="shared" si="190"/>
        <v>0</v>
      </c>
      <c r="Y6135" s="1">
        <f t="shared" si="191"/>
        <v>15</v>
      </c>
    </row>
    <row r="6136" spans="24:25" x14ac:dyDescent="0.3">
      <c r="X6136" s="1">
        <f t="shared" si="190"/>
        <v>0</v>
      </c>
      <c r="Y6136" s="1">
        <f t="shared" si="191"/>
        <v>15</v>
      </c>
    </row>
    <row r="6137" spans="24:25" x14ac:dyDescent="0.3">
      <c r="X6137" s="1">
        <f t="shared" si="190"/>
        <v>0</v>
      </c>
      <c r="Y6137" s="1">
        <f t="shared" si="191"/>
        <v>15</v>
      </c>
    </row>
    <row r="6138" spans="24:25" x14ac:dyDescent="0.3">
      <c r="X6138" s="1">
        <f t="shared" si="190"/>
        <v>0</v>
      </c>
      <c r="Y6138" s="1">
        <f t="shared" si="191"/>
        <v>15</v>
      </c>
    </row>
    <row r="6139" spans="24:25" x14ac:dyDescent="0.3">
      <c r="X6139" s="1">
        <f t="shared" si="190"/>
        <v>0</v>
      </c>
      <c r="Y6139" s="1">
        <f t="shared" si="191"/>
        <v>15</v>
      </c>
    </row>
    <row r="6140" spans="24:25" x14ac:dyDescent="0.3">
      <c r="X6140" s="1">
        <f t="shared" si="190"/>
        <v>0</v>
      </c>
      <c r="Y6140" s="1">
        <f t="shared" si="191"/>
        <v>15</v>
      </c>
    </row>
    <row r="6141" spans="24:25" x14ac:dyDescent="0.3">
      <c r="X6141" s="1">
        <f t="shared" si="190"/>
        <v>0</v>
      </c>
      <c r="Y6141" s="1">
        <f t="shared" si="191"/>
        <v>15</v>
      </c>
    </row>
    <row r="6142" spans="24:25" x14ac:dyDescent="0.3">
      <c r="X6142" s="1">
        <f t="shared" si="190"/>
        <v>0</v>
      </c>
      <c r="Y6142" s="1">
        <f t="shared" si="191"/>
        <v>15</v>
      </c>
    </row>
    <row r="6143" spans="24:25" x14ac:dyDescent="0.3">
      <c r="X6143" s="1">
        <f t="shared" si="190"/>
        <v>0</v>
      </c>
      <c r="Y6143" s="1">
        <f t="shared" si="191"/>
        <v>15</v>
      </c>
    </row>
    <row r="6144" spans="24:25" x14ac:dyDescent="0.3">
      <c r="X6144" s="1">
        <f t="shared" si="190"/>
        <v>0</v>
      </c>
      <c r="Y6144" s="1">
        <f t="shared" si="191"/>
        <v>15</v>
      </c>
    </row>
    <row r="6145" spans="24:25" x14ac:dyDescent="0.3">
      <c r="X6145" s="1">
        <f t="shared" si="190"/>
        <v>0</v>
      </c>
      <c r="Y6145" s="1">
        <f t="shared" si="191"/>
        <v>15</v>
      </c>
    </row>
    <row r="6146" spans="24:25" x14ac:dyDescent="0.3">
      <c r="X6146" s="1">
        <f t="shared" si="190"/>
        <v>0</v>
      </c>
      <c r="Y6146" s="1">
        <f t="shared" si="191"/>
        <v>15</v>
      </c>
    </row>
    <row r="6147" spans="24:25" x14ac:dyDescent="0.3">
      <c r="X6147" s="1">
        <f t="shared" ref="X6147:X6210" si="192">IFERROR(MATCH(W6147,$B:$B,0),0)</f>
        <v>0</v>
      </c>
      <c r="Y6147" s="1">
        <f t="shared" ref="Y6147:Y6210" si="193">IF(X6148=0,COUNTA(A:A),X6148-1)</f>
        <v>15</v>
      </c>
    </row>
    <row r="6148" spans="24:25" x14ac:dyDescent="0.3">
      <c r="X6148" s="1">
        <f t="shared" si="192"/>
        <v>0</v>
      </c>
      <c r="Y6148" s="1">
        <f t="shared" si="193"/>
        <v>15</v>
      </c>
    </row>
    <row r="6149" spans="24:25" x14ac:dyDescent="0.3">
      <c r="X6149" s="1">
        <f t="shared" si="192"/>
        <v>0</v>
      </c>
      <c r="Y6149" s="1">
        <f t="shared" si="193"/>
        <v>15</v>
      </c>
    </row>
    <row r="6150" spans="24:25" x14ac:dyDescent="0.3">
      <c r="X6150" s="1">
        <f t="shared" si="192"/>
        <v>0</v>
      </c>
      <c r="Y6150" s="1">
        <f t="shared" si="193"/>
        <v>15</v>
      </c>
    </row>
    <row r="6151" spans="24:25" x14ac:dyDescent="0.3">
      <c r="X6151" s="1">
        <f t="shared" si="192"/>
        <v>0</v>
      </c>
      <c r="Y6151" s="1">
        <f t="shared" si="193"/>
        <v>15</v>
      </c>
    </row>
    <row r="6152" spans="24:25" x14ac:dyDescent="0.3">
      <c r="X6152" s="1">
        <f t="shared" si="192"/>
        <v>0</v>
      </c>
      <c r="Y6152" s="1">
        <f t="shared" si="193"/>
        <v>15</v>
      </c>
    </row>
    <row r="6153" spans="24:25" x14ac:dyDescent="0.3">
      <c r="X6153" s="1">
        <f t="shared" si="192"/>
        <v>0</v>
      </c>
      <c r="Y6153" s="1">
        <f t="shared" si="193"/>
        <v>15</v>
      </c>
    </row>
    <row r="6154" spans="24:25" x14ac:dyDescent="0.3">
      <c r="X6154" s="1">
        <f t="shared" si="192"/>
        <v>0</v>
      </c>
      <c r="Y6154" s="1">
        <f t="shared" si="193"/>
        <v>15</v>
      </c>
    </row>
    <row r="6155" spans="24:25" x14ac:dyDescent="0.3">
      <c r="X6155" s="1">
        <f t="shared" si="192"/>
        <v>0</v>
      </c>
      <c r="Y6155" s="1">
        <f t="shared" si="193"/>
        <v>15</v>
      </c>
    </row>
    <row r="6156" spans="24:25" x14ac:dyDescent="0.3">
      <c r="X6156" s="1">
        <f t="shared" si="192"/>
        <v>0</v>
      </c>
      <c r="Y6156" s="1">
        <f t="shared" si="193"/>
        <v>15</v>
      </c>
    </row>
    <row r="6157" spans="24:25" x14ac:dyDescent="0.3">
      <c r="X6157" s="1">
        <f t="shared" si="192"/>
        <v>0</v>
      </c>
      <c r="Y6157" s="1">
        <f t="shared" si="193"/>
        <v>15</v>
      </c>
    </row>
    <row r="6158" spans="24:25" x14ac:dyDescent="0.3">
      <c r="X6158" s="1">
        <f t="shared" si="192"/>
        <v>0</v>
      </c>
      <c r="Y6158" s="1">
        <f t="shared" si="193"/>
        <v>15</v>
      </c>
    </row>
    <row r="6159" spans="24:25" x14ac:dyDescent="0.3">
      <c r="X6159" s="1">
        <f t="shared" si="192"/>
        <v>0</v>
      </c>
      <c r="Y6159" s="1">
        <f t="shared" si="193"/>
        <v>15</v>
      </c>
    </row>
    <row r="6160" spans="24:25" x14ac:dyDescent="0.3">
      <c r="X6160" s="1">
        <f t="shared" si="192"/>
        <v>0</v>
      </c>
      <c r="Y6160" s="1">
        <f t="shared" si="193"/>
        <v>15</v>
      </c>
    </row>
    <row r="6161" spans="24:25" x14ac:dyDescent="0.3">
      <c r="X6161" s="1">
        <f t="shared" si="192"/>
        <v>0</v>
      </c>
      <c r="Y6161" s="1">
        <f t="shared" si="193"/>
        <v>15</v>
      </c>
    </row>
    <row r="6162" spans="24:25" x14ac:dyDescent="0.3">
      <c r="X6162" s="1">
        <f t="shared" si="192"/>
        <v>0</v>
      </c>
      <c r="Y6162" s="1">
        <f t="shared" si="193"/>
        <v>15</v>
      </c>
    </row>
    <row r="6163" spans="24:25" x14ac:dyDescent="0.3">
      <c r="X6163" s="1">
        <f t="shared" si="192"/>
        <v>0</v>
      </c>
      <c r="Y6163" s="1">
        <f t="shared" si="193"/>
        <v>15</v>
      </c>
    </row>
    <row r="6164" spans="24:25" x14ac:dyDescent="0.3">
      <c r="X6164" s="1">
        <f t="shared" si="192"/>
        <v>0</v>
      </c>
      <c r="Y6164" s="1">
        <f t="shared" si="193"/>
        <v>15</v>
      </c>
    </row>
    <row r="6165" spans="24:25" x14ac:dyDescent="0.3">
      <c r="X6165" s="1">
        <f t="shared" si="192"/>
        <v>0</v>
      </c>
      <c r="Y6165" s="1">
        <f t="shared" si="193"/>
        <v>15</v>
      </c>
    </row>
    <row r="6166" spans="24:25" x14ac:dyDescent="0.3">
      <c r="X6166" s="1">
        <f t="shared" si="192"/>
        <v>0</v>
      </c>
      <c r="Y6166" s="1">
        <f t="shared" si="193"/>
        <v>15</v>
      </c>
    </row>
    <row r="6167" spans="24:25" x14ac:dyDescent="0.3">
      <c r="X6167" s="1">
        <f t="shared" si="192"/>
        <v>0</v>
      </c>
      <c r="Y6167" s="1">
        <f t="shared" si="193"/>
        <v>15</v>
      </c>
    </row>
    <row r="6168" spans="24:25" x14ac:dyDescent="0.3">
      <c r="X6168" s="1">
        <f t="shared" si="192"/>
        <v>0</v>
      </c>
      <c r="Y6168" s="1">
        <f t="shared" si="193"/>
        <v>15</v>
      </c>
    </row>
    <row r="6169" spans="24:25" x14ac:dyDescent="0.3">
      <c r="X6169" s="1">
        <f t="shared" si="192"/>
        <v>0</v>
      </c>
      <c r="Y6169" s="1">
        <f t="shared" si="193"/>
        <v>15</v>
      </c>
    </row>
    <row r="6170" spans="24:25" x14ac:dyDescent="0.3">
      <c r="X6170" s="1">
        <f t="shared" si="192"/>
        <v>0</v>
      </c>
      <c r="Y6170" s="1">
        <f t="shared" si="193"/>
        <v>15</v>
      </c>
    </row>
    <row r="6171" spans="24:25" x14ac:dyDescent="0.3">
      <c r="X6171" s="1">
        <f t="shared" si="192"/>
        <v>0</v>
      </c>
      <c r="Y6171" s="1">
        <f t="shared" si="193"/>
        <v>15</v>
      </c>
    </row>
    <row r="6172" spans="24:25" x14ac:dyDescent="0.3">
      <c r="X6172" s="1">
        <f t="shared" si="192"/>
        <v>0</v>
      </c>
      <c r="Y6172" s="1">
        <f t="shared" si="193"/>
        <v>15</v>
      </c>
    </row>
    <row r="6173" spans="24:25" x14ac:dyDescent="0.3">
      <c r="X6173" s="1">
        <f t="shared" si="192"/>
        <v>0</v>
      </c>
      <c r="Y6173" s="1">
        <f t="shared" si="193"/>
        <v>15</v>
      </c>
    </row>
    <row r="6174" spans="24:25" x14ac:dyDescent="0.3">
      <c r="X6174" s="1">
        <f t="shared" si="192"/>
        <v>0</v>
      </c>
      <c r="Y6174" s="1">
        <f t="shared" si="193"/>
        <v>15</v>
      </c>
    </row>
    <row r="6175" spans="24:25" x14ac:dyDescent="0.3">
      <c r="X6175" s="1">
        <f t="shared" si="192"/>
        <v>0</v>
      </c>
      <c r="Y6175" s="1">
        <f t="shared" si="193"/>
        <v>15</v>
      </c>
    </row>
    <row r="6176" spans="24:25" x14ac:dyDescent="0.3">
      <c r="X6176" s="1">
        <f t="shared" si="192"/>
        <v>0</v>
      </c>
      <c r="Y6176" s="1">
        <f t="shared" si="193"/>
        <v>15</v>
      </c>
    </row>
    <row r="6177" spans="24:25" x14ac:dyDescent="0.3">
      <c r="X6177" s="1">
        <f t="shared" si="192"/>
        <v>0</v>
      </c>
      <c r="Y6177" s="1">
        <f t="shared" si="193"/>
        <v>15</v>
      </c>
    </row>
    <row r="6178" spans="24:25" x14ac:dyDescent="0.3">
      <c r="X6178" s="1">
        <f t="shared" si="192"/>
        <v>0</v>
      </c>
      <c r="Y6178" s="1">
        <f t="shared" si="193"/>
        <v>15</v>
      </c>
    </row>
    <row r="6179" spans="24:25" x14ac:dyDescent="0.3">
      <c r="X6179" s="1">
        <f t="shared" si="192"/>
        <v>0</v>
      </c>
      <c r="Y6179" s="1">
        <f t="shared" si="193"/>
        <v>15</v>
      </c>
    </row>
    <row r="6180" spans="24:25" x14ac:dyDescent="0.3">
      <c r="X6180" s="1">
        <f t="shared" si="192"/>
        <v>0</v>
      </c>
      <c r="Y6180" s="1">
        <f t="shared" si="193"/>
        <v>15</v>
      </c>
    </row>
    <row r="6181" spans="24:25" x14ac:dyDescent="0.3">
      <c r="X6181" s="1">
        <f t="shared" si="192"/>
        <v>0</v>
      </c>
      <c r="Y6181" s="1">
        <f t="shared" si="193"/>
        <v>15</v>
      </c>
    </row>
    <row r="6182" spans="24:25" x14ac:dyDescent="0.3">
      <c r="X6182" s="1">
        <f t="shared" si="192"/>
        <v>0</v>
      </c>
      <c r="Y6182" s="1">
        <f t="shared" si="193"/>
        <v>15</v>
      </c>
    </row>
    <row r="6183" spans="24:25" x14ac:dyDescent="0.3">
      <c r="X6183" s="1">
        <f t="shared" si="192"/>
        <v>0</v>
      </c>
      <c r="Y6183" s="1">
        <f t="shared" si="193"/>
        <v>15</v>
      </c>
    </row>
    <row r="6184" spans="24:25" x14ac:dyDescent="0.3">
      <c r="X6184" s="1">
        <f t="shared" si="192"/>
        <v>0</v>
      </c>
      <c r="Y6184" s="1">
        <f t="shared" si="193"/>
        <v>15</v>
      </c>
    </row>
    <row r="6185" spans="24:25" x14ac:dyDescent="0.3">
      <c r="X6185" s="1">
        <f t="shared" si="192"/>
        <v>0</v>
      </c>
      <c r="Y6185" s="1">
        <f t="shared" si="193"/>
        <v>15</v>
      </c>
    </row>
    <row r="6186" spans="24:25" x14ac:dyDescent="0.3">
      <c r="X6186" s="1">
        <f t="shared" si="192"/>
        <v>0</v>
      </c>
      <c r="Y6186" s="1">
        <f t="shared" si="193"/>
        <v>15</v>
      </c>
    </row>
    <row r="6187" spans="24:25" x14ac:dyDescent="0.3">
      <c r="X6187" s="1">
        <f t="shared" si="192"/>
        <v>0</v>
      </c>
      <c r="Y6187" s="1">
        <f t="shared" si="193"/>
        <v>15</v>
      </c>
    </row>
    <row r="6188" spans="24:25" x14ac:dyDescent="0.3">
      <c r="X6188" s="1">
        <f t="shared" si="192"/>
        <v>0</v>
      </c>
      <c r="Y6188" s="1">
        <f t="shared" si="193"/>
        <v>15</v>
      </c>
    </row>
    <row r="6189" spans="24:25" x14ac:dyDescent="0.3">
      <c r="X6189" s="1">
        <f t="shared" si="192"/>
        <v>0</v>
      </c>
      <c r="Y6189" s="1">
        <f t="shared" si="193"/>
        <v>15</v>
      </c>
    </row>
    <row r="6190" spans="24:25" x14ac:dyDescent="0.3">
      <c r="X6190" s="1">
        <f t="shared" si="192"/>
        <v>0</v>
      </c>
      <c r="Y6190" s="1">
        <f t="shared" si="193"/>
        <v>15</v>
      </c>
    </row>
    <row r="6191" spans="24:25" x14ac:dyDescent="0.3">
      <c r="X6191" s="1">
        <f t="shared" si="192"/>
        <v>0</v>
      </c>
      <c r="Y6191" s="1">
        <f t="shared" si="193"/>
        <v>15</v>
      </c>
    </row>
    <row r="6192" spans="24:25" x14ac:dyDescent="0.3">
      <c r="X6192" s="1">
        <f t="shared" si="192"/>
        <v>0</v>
      </c>
      <c r="Y6192" s="1">
        <f t="shared" si="193"/>
        <v>15</v>
      </c>
    </row>
    <row r="6193" spans="24:25" x14ac:dyDescent="0.3">
      <c r="X6193" s="1">
        <f t="shared" si="192"/>
        <v>0</v>
      </c>
      <c r="Y6193" s="1">
        <f t="shared" si="193"/>
        <v>15</v>
      </c>
    </row>
    <row r="6194" spans="24:25" x14ac:dyDescent="0.3">
      <c r="X6194" s="1">
        <f t="shared" si="192"/>
        <v>0</v>
      </c>
      <c r="Y6194" s="1">
        <f t="shared" si="193"/>
        <v>15</v>
      </c>
    </row>
    <row r="6195" spans="24:25" x14ac:dyDescent="0.3">
      <c r="X6195" s="1">
        <f t="shared" si="192"/>
        <v>0</v>
      </c>
      <c r="Y6195" s="1">
        <f t="shared" si="193"/>
        <v>15</v>
      </c>
    </row>
    <row r="6196" spans="24:25" x14ac:dyDescent="0.3">
      <c r="X6196" s="1">
        <f t="shared" si="192"/>
        <v>0</v>
      </c>
      <c r="Y6196" s="1">
        <f t="shared" si="193"/>
        <v>15</v>
      </c>
    </row>
    <row r="6197" spans="24:25" x14ac:dyDescent="0.3">
      <c r="X6197" s="1">
        <f t="shared" si="192"/>
        <v>0</v>
      </c>
      <c r="Y6197" s="1">
        <f t="shared" si="193"/>
        <v>15</v>
      </c>
    </row>
    <row r="6198" spans="24:25" x14ac:dyDescent="0.3">
      <c r="X6198" s="1">
        <f t="shared" si="192"/>
        <v>0</v>
      </c>
      <c r="Y6198" s="1">
        <f t="shared" si="193"/>
        <v>15</v>
      </c>
    </row>
    <row r="6199" spans="24:25" x14ac:dyDescent="0.3">
      <c r="X6199" s="1">
        <f t="shared" si="192"/>
        <v>0</v>
      </c>
      <c r="Y6199" s="1">
        <f t="shared" si="193"/>
        <v>15</v>
      </c>
    </row>
    <row r="6200" spans="24:25" x14ac:dyDescent="0.3">
      <c r="X6200" s="1">
        <f t="shared" si="192"/>
        <v>0</v>
      </c>
      <c r="Y6200" s="1">
        <f t="shared" si="193"/>
        <v>15</v>
      </c>
    </row>
    <row r="6201" spans="24:25" x14ac:dyDescent="0.3">
      <c r="X6201" s="1">
        <f t="shared" si="192"/>
        <v>0</v>
      </c>
      <c r="Y6201" s="1">
        <f t="shared" si="193"/>
        <v>15</v>
      </c>
    </row>
    <row r="6202" spans="24:25" x14ac:dyDescent="0.3">
      <c r="X6202" s="1">
        <f t="shared" si="192"/>
        <v>0</v>
      </c>
      <c r="Y6202" s="1">
        <f t="shared" si="193"/>
        <v>15</v>
      </c>
    </row>
    <row r="6203" spans="24:25" x14ac:dyDescent="0.3">
      <c r="X6203" s="1">
        <f t="shared" si="192"/>
        <v>0</v>
      </c>
      <c r="Y6203" s="1">
        <f t="shared" si="193"/>
        <v>15</v>
      </c>
    </row>
    <row r="6204" spans="24:25" x14ac:dyDescent="0.3">
      <c r="X6204" s="1">
        <f t="shared" si="192"/>
        <v>0</v>
      </c>
      <c r="Y6204" s="1">
        <f t="shared" si="193"/>
        <v>15</v>
      </c>
    </row>
    <row r="6205" spans="24:25" x14ac:dyDescent="0.3">
      <c r="X6205" s="1">
        <f t="shared" si="192"/>
        <v>0</v>
      </c>
      <c r="Y6205" s="1">
        <f t="shared" si="193"/>
        <v>15</v>
      </c>
    </row>
    <row r="6206" spans="24:25" x14ac:dyDescent="0.3">
      <c r="X6206" s="1">
        <f t="shared" si="192"/>
        <v>0</v>
      </c>
      <c r="Y6206" s="1">
        <f t="shared" si="193"/>
        <v>15</v>
      </c>
    </row>
    <row r="6207" spans="24:25" x14ac:dyDescent="0.3">
      <c r="X6207" s="1">
        <f t="shared" si="192"/>
        <v>0</v>
      </c>
      <c r="Y6207" s="1">
        <f t="shared" si="193"/>
        <v>15</v>
      </c>
    </row>
    <row r="6208" spans="24:25" x14ac:dyDescent="0.3">
      <c r="X6208" s="1">
        <f t="shared" si="192"/>
        <v>0</v>
      </c>
      <c r="Y6208" s="1">
        <f t="shared" si="193"/>
        <v>15</v>
      </c>
    </row>
    <row r="6209" spans="24:25" x14ac:dyDescent="0.3">
      <c r="X6209" s="1">
        <f t="shared" si="192"/>
        <v>0</v>
      </c>
      <c r="Y6209" s="1">
        <f t="shared" si="193"/>
        <v>15</v>
      </c>
    </row>
    <row r="6210" spans="24:25" x14ac:dyDescent="0.3">
      <c r="X6210" s="1">
        <f t="shared" si="192"/>
        <v>0</v>
      </c>
      <c r="Y6210" s="1">
        <f t="shared" si="193"/>
        <v>15</v>
      </c>
    </row>
    <row r="6211" spans="24:25" x14ac:dyDescent="0.3">
      <c r="X6211" s="1">
        <f t="shared" ref="X6211:X6274" si="194">IFERROR(MATCH(W6211,$B:$B,0),0)</f>
        <v>0</v>
      </c>
      <c r="Y6211" s="1">
        <f t="shared" ref="Y6211:Y6274" si="195">IF(X6212=0,COUNTA(A:A),X6212-1)</f>
        <v>15</v>
      </c>
    </row>
    <row r="6212" spans="24:25" x14ac:dyDescent="0.3">
      <c r="X6212" s="1">
        <f t="shared" si="194"/>
        <v>0</v>
      </c>
      <c r="Y6212" s="1">
        <f t="shared" si="195"/>
        <v>15</v>
      </c>
    </row>
    <row r="6213" spans="24:25" x14ac:dyDescent="0.3">
      <c r="X6213" s="1">
        <f t="shared" si="194"/>
        <v>0</v>
      </c>
      <c r="Y6213" s="1">
        <f t="shared" si="195"/>
        <v>15</v>
      </c>
    </row>
    <row r="6214" spans="24:25" x14ac:dyDescent="0.3">
      <c r="X6214" s="1">
        <f t="shared" si="194"/>
        <v>0</v>
      </c>
      <c r="Y6214" s="1">
        <f t="shared" si="195"/>
        <v>15</v>
      </c>
    </row>
    <row r="6215" spans="24:25" x14ac:dyDescent="0.3">
      <c r="X6215" s="1">
        <f t="shared" si="194"/>
        <v>0</v>
      </c>
      <c r="Y6215" s="1">
        <f t="shared" si="195"/>
        <v>15</v>
      </c>
    </row>
    <row r="6216" spans="24:25" x14ac:dyDescent="0.3">
      <c r="X6216" s="1">
        <f t="shared" si="194"/>
        <v>0</v>
      </c>
      <c r="Y6216" s="1">
        <f t="shared" si="195"/>
        <v>15</v>
      </c>
    </row>
    <row r="6217" spans="24:25" x14ac:dyDescent="0.3">
      <c r="X6217" s="1">
        <f t="shared" si="194"/>
        <v>0</v>
      </c>
      <c r="Y6217" s="1">
        <f t="shared" si="195"/>
        <v>15</v>
      </c>
    </row>
    <row r="6218" spans="24:25" x14ac:dyDescent="0.3">
      <c r="X6218" s="1">
        <f t="shared" si="194"/>
        <v>0</v>
      </c>
      <c r="Y6218" s="1">
        <f t="shared" si="195"/>
        <v>15</v>
      </c>
    </row>
    <row r="6219" spans="24:25" x14ac:dyDescent="0.3">
      <c r="X6219" s="1">
        <f t="shared" si="194"/>
        <v>0</v>
      </c>
      <c r="Y6219" s="1">
        <f t="shared" si="195"/>
        <v>15</v>
      </c>
    </row>
    <row r="6220" spans="24:25" x14ac:dyDescent="0.3">
      <c r="X6220" s="1">
        <f t="shared" si="194"/>
        <v>0</v>
      </c>
      <c r="Y6220" s="1">
        <f t="shared" si="195"/>
        <v>15</v>
      </c>
    </row>
    <row r="6221" spans="24:25" x14ac:dyDescent="0.3">
      <c r="X6221" s="1">
        <f t="shared" si="194"/>
        <v>0</v>
      </c>
      <c r="Y6221" s="1">
        <f t="shared" si="195"/>
        <v>15</v>
      </c>
    </row>
    <row r="6222" spans="24:25" x14ac:dyDescent="0.3">
      <c r="X6222" s="1">
        <f t="shared" si="194"/>
        <v>0</v>
      </c>
      <c r="Y6222" s="1">
        <f t="shared" si="195"/>
        <v>15</v>
      </c>
    </row>
    <row r="6223" spans="24:25" x14ac:dyDescent="0.3">
      <c r="X6223" s="1">
        <f t="shared" si="194"/>
        <v>0</v>
      </c>
      <c r="Y6223" s="1">
        <f t="shared" si="195"/>
        <v>15</v>
      </c>
    </row>
    <row r="6224" spans="24:25" x14ac:dyDescent="0.3">
      <c r="X6224" s="1">
        <f t="shared" si="194"/>
        <v>0</v>
      </c>
      <c r="Y6224" s="1">
        <f t="shared" si="195"/>
        <v>15</v>
      </c>
    </row>
    <row r="6225" spans="24:25" x14ac:dyDescent="0.3">
      <c r="X6225" s="1">
        <f t="shared" si="194"/>
        <v>0</v>
      </c>
      <c r="Y6225" s="1">
        <f t="shared" si="195"/>
        <v>15</v>
      </c>
    </row>
    <row r="6226" spans="24:25" x14ac:dyDescent="0.3">
      <c r="X6226" s="1">
        <f t="shared" si="194"/>
        <v>0</v>
      </c>
      <c r="Y6226" s="1">
        <f t="shared" si="195"/>
        <v>15</v>
      </c>
    </row>
    <row r="6227" spans="24:25" x14ac:dyDescent="0.3">
      <c r="X6227" s="1">
        <f t="shared" si="194"/>
        <v>0</v>
      </c>
      <c r="Y6227" s="1">
        <f t="shared" si="195"/>
        <v>15</v>
      </c>
    </row>
    <row r="6228" spans="24:25" x14ac:dyDescent="0.3">
      <c r="X6228" s="1">
        <f t="shared" si="194"/>
        <v>0</v>
      </c>
      <c r="Y6228" s="1">
        <f t="shared" si="195"/>
        <v>15</v>
      </c>
    </row>
    <row r="6229" spans="24:25" x14ac:dyDescent="0.3">
      <c r="X6229" s="1">
        <f t="shared" si="194"/>
        <v>0</v>
      </c>
      <c r="Y6229" s="1">
        <f t="shared" si="195"/>
        <v>15</v>
      </c>
    </row>
    <row r="6230" spans="24:25" x14ac:dyDescent="0.3">
      <c r="X6230" s="1">
        <f t="shared" si="194"/>
        <v>0</v>
      </c>
      <c r="Y6230" s="1">
        <f t="shared" si="195"/>
        <v>15</v>
      </c>
    </row>
    <row r="6231" spans="24:25" x14ac:dyDescent="0.3">
      <c r="X6231" s="1">
        <f t="shared" si="194"/>
        <v>0</v>
      </c>
      <c r="Y6231" s="1">
        <f t="shared" si="195"/>
        <v>15</v>
      </c>
    </row>
    <row r="6232" spans="24:25" x14ac:dyDescent="0.3">
      <c r="X6232" s="1">
        <f t="shared" si="194"/>
        <v>0</v>
      </c>
      <c r="Y6232" s="1">
        <f t="shared" si="195"/>
        <v>15</v>
      </c>
    </row>
    <row r="6233" spans="24:25" x14ac:dyDescent="0.3">
      <c r="X6233" s="1">
        <f t="shared" si="194"/>
        <v>0</v>
      </c>
      <c r="Y6233" s="1">
        <f t="shared" si="195"/>
        <v>15</v>
      </c>
    </row>
    <row r="6234" spans="24:25" x14ac:dyDescent="0.3">
      <c r="X6234" s="1">
        <f t="shared" si="194"/>
        <v>0</v>
      </c>
      <c r="Y6234" s="1">
        <f t="shared" si="195"/>
        <v>15</v>
      </c>
    </row>
    <row r="6235" spans="24:25" x14ac:dyDescent="0.3">
      <c r="X6235" s="1">
        <f t="shared" si="194"/>
        <v>0</v>
      </c>
      <c r="Y6235" s="1">
        <f t="shared" si="195"/>
        <v>15</v>
      </c>
    </row>
    <row r="6236" spans="24:25" x14ac:dyDescent="0.3">
      <c r="X6236" s="1">
        <f t="shared" si="194"/>
        <v>0</v>
      </c>
      <c r="Y6236" s="1">
        <f t="shared" si="195"/>
        <v>15</v>
      </c>
    </row>
    <row r="6237" spans="24:25" x14ac:dyDescent="0.3">
      <c r="X6237" s="1">
        <f t="shared" si="194"/>
        <v>0</v>
      </c>
      <c r="Y6237" s="1">
        <f t="shared" si="195"/>
        <v>15</v>
      </c>
    </row>
    <row r="6238" spans="24:25" x14ac:dyDescent="0.3">
      <c r="X6238" s="1">
        <f t="shared" si="194"/>
        <v>0</v>
      </c>
      <c r="Y6238" s="1">
        <f t="shared" si="195"/>
        <v>15</v>
      </c>
    </row>
    <row r="6239" spans="24:25" x14ac:dyDescent="0.3">
      <c r="X6239" s="1">
        <f t="shared" si="194"/>
        <v>0</v>
      </c>
      <c r="Y6239" s="1">
        <f t="shared" si="195"/>
        <v>15</v>
      </c>
    </row>
    <row r="6240" spans="24:25" x14ac:dyDescent="0.3">
      <c r="X6240" s="1">
        <f t="shared" si="194"/>
        <v>0</v>
      </c>
      <c r="Y6240" s="1">
        <f t="shared" si="195"/>
        <v>15</v>
      </c>
    </row>
    <row r="6241" spans="24:25" x14ac:dyDescent="0.3">
      <c r="X6241" s="1">
        <f t="shared" si="194"/>
        <v>0</v>
      </c>
      <c r="Y6241" s="1">
        <f t="shared" si="195"/>
        <v>15</v>
      </c>
    </row>
    <row r="6242" spans="24:25" x14ac:dyDescent="0.3">
      <c r="X6242" s="1">
        <f t="shared" si="194"/>
        <v>0</v>
      </c>
      <c r="Y6242" s="1">
        <f t="shared" si="195"/>
        <v>15</v>
      </c>
    </row>
    <row r="6243" spans="24:25" x14ac:dyDescent="0.3">
      <c r="X6243" s="1">
        <f t="shared" si="194"/>
        <v>0</v>
      </c>
      <c r="Y6243" s="1">
        <f t="shared" si="195"/>
        <v>15</v>
      </c>
    </row>
    <row r="6244" spans="24:25" x14ac:dyDescent="0.3">
      <c r="X6244" s="1">
        <f t="shared" si="194"/>
        <v>0</v>
      </c>
      <c r="Y6244" s="1">
        <f t="shared" si="195"/>
        <v>15</v>
      </c>
    </row>
    <row r="6245" spans="24:25" x14ac:dyDescent="0.3">
      <c r="X6245" s="1">
        <f t="shared" si="194"/>
        <v>0</v>
      </c>
      <c r="Y6245" s="1">
        <f t="shared" si="195"/>
        <v>15</v>
      </c>
    </row>
    <row r="6246" spans="24:25" x14ac:dyDescent="0.3">
      <c r="X6246" s="1">
        <f t="shared" si="194"/>
        <v>0</v>
      </c>
      <c r="Y6246" s="1">
        <f t="shared" si="195"/>
        <v>15</v>
      </c>
    </row>
    <row r="6247" spans="24:25" x14ac:dyDescent="0.3">
      <c r="X6247" s="1">
        <f t="shared" si="194"/>
        <v>0</v>
      </c>
      <c r="Y6247" s="1">
        <f t="shared" si="195"/>
        <v>15</v>
      </c>
    </row>
    <row r="6248" spans="24:25" x14ac:dyDescent="0.3">
      <c r="X6248" s="1">
        <f t="shared" si="194"/>
        <v>0</v>
      </c>
      <c r="Y6248" s="1">
        <f t="shared" si="195"/>
        <v>15</v>
      </c>
    </row>
    <row r="6249" spans="24:25" x14ac:dyDescent="0.3">
      <c r="X6249" s="1">
        <f t="shared" si="194"/>
        <v>0</v>
      </c>
      <c r="Y6249" s="1">
        <f t="shared" si="195"/>
        <v>15</v>
      </c>
    </row>
    <row r="6250" spans="24:25" x14ac:dyDescent="0.3">
      <c r="X6250" s="1">
        <f t="shared" si="194"/>
        <v>0</v>
      </c>
      <c r="Y6250" s="1">
        <f t="shared" si="195"/>
        <v>15</v>
      </c>
    </row>
    <row r="6251" spans="24:25" x14ac:dyDescent="0.3">
      <c r="X6251" s="1">
        <f t="shared" si="194"/>
        <v>0</v>
      </c>
      <c r="Y6251" s="1">
        <f t="shared" si="195"/>
        <v>15</v>
      </c>
    </row>
    <row r="6252" spans="24:25" x14ac:dyDescent="0.3">
      <c r="X6252" s="1">
        <f t="shared" si="194"/>
        <v>0</v>
      </c>
      <c r="Y6252" s="1">
        <f t="shared" si="195"/>
        <v>15</v>
      </c>
    </row>
    <row r="6253" spans="24:25" x14ac:dyDescent="0.3">
      <c r="X6253" s="1">
        <f t="shared" si="194"/>
        <v>0</v>
      </c>
      <c r="Y6253" s="1">
        <f t="shared" si="195"/>
        <v>15</v>
      </c>
    </row>
    <row r="6254" spans="24:25" x14ac:dyDescent="0.3">
      <c r="X6254" s="1">
        <f t="shared" si="194"/>
        <v>0</v>
      </c>
      <c r="Y6254" s="1">
        <f t="shared" si="195"/>
        <v>15</v>
      </c>
    </row>
    <row r="6255" spans="24:25" x14ac:dyDescent="0.3">
      <c r="X6255" s="1">
        <f t="shared" si="194"/>
        <v>0</v>
      </c>
      <c r="Y6255" s="1">
        <f t="shared" si="195"/>
        <v>15</v>
      </c>
    </row>
    <row r="6256" spans="24:25" x14ac:dyDescent="0.3">
      <c r="X6256" s="1">
        <f t="shared" si="194"/>
        <v>0</v>
      </c>
      <c r="Y6256" s="1">
        <f t="shared" si="195"/>
        <v>15</v>
      </c>
    </row>
    <row r="6257" spans="24:25" x14ac:dyDescent="0.3">
      <c r="X6257" s="1">
        <f t="shared" si="194"/>
        <v>0</v>
      </c>
      <c r="Y6257" s="1">
        <f t="shared" si="195"/>
        <v>15</v>
      </c>
    </row>
    <row r="6258" spans="24:25" x14ac:dyDescent="0.3">
      <c r="X6258" s="1">
        <f t="shared" si="194"/>
        <v>0</v>
      </c>
      <c r="Y6258" s="1">
        <f t="shared" si="195"/>
        <v>15</v>
      </c>
    </row>
    <row r="6259" spans="24:25" x14ac:dyDescent="0.3">
      <c r="X6259" s="1">
        <f t="shared" si="194"/>
        <v>0</v>
      </c>
      <c r="Y6259" s="1">
        <f t="shared" si="195"/>
        <v>15</v>
      </c>
    </row>
    <row r="6260" spans="24:25" x14ac:dyDescent="0.3">
      <c r="X6260" s="1">
        <f t="shared" si="194"/>
        <v>0</v>
      </c>
      <c r="Y6260" s="1">
        <f t="shared" si="195"/>
        <v>15</v>
      </c>
    </row>
    <row r="6261" spans="24:25" x14ac:dyDescent="0.3">
      <c r="X6261" s="1">
        <f t="shared" si="194"/>
        <v>0</v>
      </c>
      <c r="Y6261" s="1">
        <f t="shared" si="195"/>
        <v>15</v>
      </c>
    </row>
    <row r="6262" spans="24:25" x14ac:dyDescent="0.3">
      <c r="X6262" s="1">
        <f t="shared" si="194"/>
        <v>0</v>
      </c>
      <c r="Y6262" s="1">
        <f t="shared" si="195"/>
        <v>15</v>
      </c>
    </row>
    <row r="6263" spans="24:25" x14ac:dyDescent="0.3">
      <c r="X6263" s="1">
        <f t="shared" si="194"/>
        <v>0</v>
      </c>
      <c r="Y6263" s="1">
        <f t="shared" si="195"/>
        <v>15</v>
      </c>
    </row>
    <row r="6264" spans="24:25" x14ac:dyDescent="0.3">
      <c r="X6264" s="1">
        <f t="shared" si="194"/>
        <v>0</v>
      </c>
      <c r="Y6264" s="1">
        <f t="shared" si="195"/>
        <v>15</v>
      </c>
    </row>
    <row r="6265" spans="24:25" x14ac:dyDescent="0.3">
      <c r="X6265" s="1">
        <f t="shared" si="194"/>
        <v>0</v>
      </c>
      <c r="Y6265" s="1">
        <f t="shared" si="195"/>
        <v>15</v>
      </c>
    </row>
    <row r="6266" spans="24:25" x14ac:dyDescent="0.3">
      <c r="X6266" s="1">
        <f t="shared" si="194"/>
        <v>0</v>
      </c>
      <c r="Y6266" s="1">
        <f t="shared" si="195"/>
        <v>15</v>
      </c>
    </row>
    <row r="6267" spans="24:25" x14ac:dyDescent="0.3">
      <c r="X6267" s="1">
        <f t="shared" si="194"/>
        <v>0</v>
      </c>
      <c r="Y6267" s="1">
        <f t="shared" si="195"/>
        <v>15</v>
      </c>
    </row>
    <row r="6268" spans="24:25" x14ac:dyDescent="0.3">
      <c r="X6268" s="1">
        <f t="shared" si="194"/>
        <v>0</v>
      </c>
      <c r="Y6268" s="1">
        <f t="shared" si="195"/>
        <v>15</v>
      </c>
    </row>
    <row r="6269" spans="24:25" x14ac:dyDescent="0.3">
      <c r="X6269" s="1">
        <f t="shared" si="194"/>
        <v>0</v>
      </c>
      <c r="Y6269" s="1">
        <f t="shared" si="195"/>
        <v>15</v>
      </c>
    </row>
    <row r="6270" spans="24:25" x14ac:dyDescent="0.3">
      <c r="X6270" s="1">
        <f t="shared" si="194"/>
        <v>0</v>
      </c>
      <c r="Y6270" s="1">
        <f t="shared" si="195"/>
        <v>15</v>
      </c>
    </row>
    <row r="6271" spans="24:25" x14ac:dyDescent="0.3">
      <c r="X6271" s="1">
        <f t="shared" si="194"/>
        <v>0</v>
      </c>
      <c r="Y6271" s="1">
        <f t="shared" si="195"/>
        <v>15</v>
      </c>
    </row>
    <row r="6272" spans="24:25" x14ac:dyDescent="0.3">
      <c r="X6272" s="1">
        <f t="shared" si="194"/>
        <v>0</v>
      </c>
      <c r="Y6272" s="1">
        <f t="shared" si="195"/>
        <v>15</v>
      </c>
    </row>
    <row r="6273" spans="24:25" x14ac:dyDescent="0.3">
      <c r="X6273" s="1">
        <f t="shared" si="194"/>
        <v>0</v>
      </c>
      <c r="Y6273" s="1">
        <f t="shared" si="195"/>
        <v>15</v>
      </c>
    </row>
    <row r="6274" spans="24:25" x14ac:dyDescent="0.3">
      <c r="X6274" s="1">
        <f t="shared" si="194"/>
        <v>0</v>
      </c>
      <c r="Y6274" s="1">
        <f t="shared" si="195"/>
        <v>15</v>
      </c>
    </row>
    <row r="6275" spans="24:25" x14ac:dyDescent="0.3">
      <c r="X6275" s="1">
        <f t="shared" ref="X6275:X6338" si="196">IFERROR(MATCH(W6275,$B:$B,0),0)</f>
        <v>0</v>
      </c>
      <c r="Y6275" s="1">
        <f t="shared" ref="Y6275:Y6338" si="197">IF(X6276=0,COUNTA(A:A),X6276-1)</f>
        <v>15</v>
      </c>
    </row>
    <row r="6276" spans="24:25" x14ac:dyDescent="0.3">
      <c r="X6276" s="1">
        <f t="shared" si="196"/>
        <v>0</v>
      </c>
      <c r="Y6276" s="1">
        <f t="shared" si="197"/>
        <v>15</v>
      </c>
    </row>
    <row r="6277" spans="24:25" x14ac:dyDescent="0.3">
      <c r="X6277" s="1">
        <f t="shared" si="196"/>
        <v>0</v>
      </c>
      <c r="Y6277" s="1">
        <f t="shared" si="197"/>
        <v>15</v>
      </c>
    </row>
    <row r="6278" spans="24:25" x14ac:dyDescent="0.3">
      <c r="X6278" s="1">
        <f t="shared" si="196"/>
        <v>0</v>
      </c>
      <c r="Y6278" s="1">
        <f t="shared" si="197"/>
        <v>15</v>
      </c>
    </row>
    <row r="6279" spans="24:25" x14ac:dyDescent="0.3">
      <c r="X6279" s="1">
        <f t="shared" si="196"/>
        <v>0</v>
      </c>
      <c r="Y6279" s="1">
        <f t="shared" si="197"/>
        <v>15</v>
      </c>
    </row>
    <row r="6280" spans="24:25" x14ac:dyDescent="0.3">
      <c r="X6280" s="1">
        <f t="shared" si="196"/>
        <v>0</v>
      </c>
      <c r="Y6280" s="1">
        <f t="shared" si="197"/>
        <v>15</v>
      </c>
    </row>
    <row r="6281" spans="24:25" x14ac:dyDescent="0.3">
      <c r="X6281" s="1">
        <f t="shared" si="196"/>
        <v>0</v>
      </c>
      <c r="Y6281" s="1">
        <f t="shared" si="197"/>
        <v>15</v>
      </c>
    </row>
    <row r="6282" spans="24:25" x14ac:dyDescent="0.3">
      <c r="X6282" s="1">
        <f t="shared" si="196"/>
        <v>0</v>
      </c>
      <c r="Y6282" s="1">
        <f t="shared" si="197"/>
        <v>15</v>
      </c>
    </row>
    <row r="6283" spans="24:25" x14ac:dyDescent="0.3">
      <c r="X6283" s="1">
        <f t="shared" si="196"/>
        <v>0</v>
      </c>
      <c r="Y6283" s="1">
        <f t="shared" si="197"/>
        <v>15</v>
      </c>
    </row>
    <row r="6284" spans="24:25" x14ac:dyDescent="0.3">
      <c r="X6284" s="1">
        <f t="shared" si="196"/>
        <v>0</v>
      </c>
      <c r="Y6284" s="1">
        <f t="shared" si="197"/>
        <v>15</v>
      </c>
    </row>
    <row r="6285" spans="24:25" x14ac:dyDescent="0.3">
      <c r="X6285" s="1">
        <f t="shared" si="196"/>
        <v>0</v>
      </c>
      <c r="Y6285" s="1">
        <f t="shared" si="197"/>
        <v>15</v>
      </c>
    </row>
    <row r="6286" spans="24:25" x14ac:dyDescent="0.3">
      <c r="X6286" s="1">
        <f t="shared" si="196"/>
        <v>0</v>
      </c>
      <c r="Y6286" s="1">
        <f t="shared" si="197"/>
        <v>15</v>
      </c>
    </row>
    <row r="6287" spans="24:25" x14ac:dyDescent="0.3">
      <c r="X6287" s="1">
        <f t="shared" si="196"/>
        <v>0</v>
      </c>
      <c r="Y6287" s="1">
        <f t="shared" si="197"/>
        <v>15</v>
      </c>
    </row>
    <row r="6288" spans="24:25" x14ac:dyDescent="0.3">
      <c r="X6288" s="1">
        <f t="shared" si="196"/>
        <v>0</v>
      </c>
      <c r="Y6288" s="1">
        <f t="shared" si="197"/>
        <v>15</v>
      </c>
    </row>
    <row r="6289" spans="24:25" x14ac:dyDescent="0.3">
      <c r="X6289" s="1">
        <f t="shared" si="196"/>
        <v>0</v>
      </c>
      <c r="Y6289" s="1">
        <f t="shared" si="197"/>
        <v>15</v>
      </c>
    </row>
    <row r="6290" spans="24:25" x14ac:dyDescent="0.3">
      <c r="X6290" s="1">
        <f t="shared" si="196"/>
        <v>0</v>
      </c>
      <c r="Y6290" s="1">
        <f t="shared" si="197"/>
        <v>15</v>
      </c>
    </row>
    <row r="6291" spans="24:25" x14ac:dyDescent="0.3">
      <c r="X6291" s="1">
        <f t="shared" si="196"/>
        <v>0</v>
      </c>
      <c r="Y6291" s="1">
        <f t="shared" si="197"/>
        <v>15</v>
      </c>
    </row>
    <row r="6292" spans="24:25" x14ac:dyDescent="0.3">
      <c r="X6292" s="1">
        <f t="shared" si="196"/>
        <v>0</v>
      </c>
      <c r="Y6292" s="1">
        <f t="shared" si="197"/>
        <v>15</v>
      </c>
    </row>
    <row r="6293" spans="24:25" x14ac:dyDescent="0.3">
      <c r="X6293" s="1">
        <f t="shared" si="196"/>
        <v>0</v>
      </c>
      <c r="Y6293" s="1">
        <f t="shared" si="197"/>
        <v>15</v>
      </c>
    </row>
    <row r="6294" spans="24:25" x14ac:dyDescent="0.3">
      <c r="X6294" s="1">
        <f t="shared" si="196"/>
        <v>0</v>
      </c>
      <c r="Y6294" s="1">
        <f t="shared" si="197"/>
        <v>15</v>
      </c>
    </row>
    <row r="6295" spans="24:25" x14ac:dyDescent="0.3">
      <c r="X6295" s="1">
        <f t="shared" si="196"/>
        <v>0</v>
      </c>
      <c r="Y6295" s="1">
        <f t="shared" si="197"/>
        <v>15</v>
      </c>
    </row>
    <row r="6296" spans="24:25" x14ac:dyDescent="0.3">
      <c r="X6296" s="1">
        <f t="shared" si="196"/>
        <v>0</v>
      </c>
      <c r="Y6296" s="1">
        <f t="shared" si="197"/>
        <v>15</v>
      </c>
    </row>
    <row r="6297" spans="24:25" x14ac:dyDescent="0.3">
      <c r="X6297" s="1">
        <f t="shared" si="196"/>
        <v>0</v>
      </c>
      <c r="Y6297" s="1">
        <f t="shared" si="197"/>
        <v>15</v>
      </c>
    </row>
    <row r="6298" spans="24:25" x14ac:dyDescent="0.3">
      <c r="X6298" s="1">
        <f t="shared" si="196"/>
        <v>0</v>
      </c>
      <c r="Y6298" s="1">
        <f t="shared" si="197"/>
        <v>15</v>
      </c>
    </row>
    <row r="6299" spans="24:25" x14ac:dyDescent="0.3">
      <c r="X6299" s="1">
        <f t="shared" si="196"/>
        <v>0</v>
      </c>
      <c r="Y6299" s="1">
        <f t="shared" si="197"/>
        <v>15</v>
      </c>
    </row>
    <row r="6300" spans="24:25" x14ac:dyDescent="0.3">
      <c r="X6300" s="1">
        <f t="shared" si="196"/>
        <v>0</v>
      </c>
      <c r="Y6300" s="1">
        <f t="shared" si="197"/>
        <v>15</v>
      </c>
    </row>
    <row r="6301" spans="24:25" x14ac:dyDescent="0.3">
      <c r="X6301" s="1">
        <f t="shared" si="196"/>
        <v>0</v>
      </c>
      <c r="Y6301" s="1">
        <f t="shared" si="197"/>
        <v>15</v>
      </c>
    </row>
    <row r="6302" spans="24:25" x14ac:dyDescent="0.3">
      <c r="X6302" s="1">
        <f t="shared" si="196"/>
        <v>0</v>
      </c>
      <c r="Y6302" s="1">
        <f t="shared" si="197"/>
        <v>15</v>
      </c>
    </row>
    <row r="6303" spans="24:25" x14ac:dyDescent="0.3">
      <c r="X6303" s="1">
        <f t="shared" si="196"/>
        <v>0</v>
      </c>
      <c r="Y6303" s="1">
        <f t="shared" si="197"/>
        <v>15</v>
      </c>
    </row>
    <row r="6304" spans="24:25" x14ac:dyDescent="0.3">
      <c r="X6304" s="1">
        <f t="shared" si="196"/>
        <v>0</v>
      </c>
      <c r="Y6304" s="1">
        <f t="shared" si="197"/>
        <v>15</v>
      </c>
    </row>
    <row r="6305" spans="24:25" x14ac:dyDescent="0.3">
      <c r="X6305" s="1">
        <f t="shared" si="196"/>
        <v>0</v>
      </c>
      <c r="Y6305" s="1">
        <f t="shared" si="197"/>
        <v>15</v>
      </c>
    </row>
    <row r="6306" spans="24:25" x14ac:dyDescent="0.3">
      <c r="X6306" s="1">
        <f t="shared" si="196"/>
        <v>0</v>
      </c>
      <c r="Y6306" s="1">
        <f t="shared" si="197"/>
        <v>15</v>
      </c>
    </row>
    <row r="6307" spans="24:25" x14ac:dyDescent="0.3">
      <c r="X6307" s="1">
        <f t="shared" si="196"/>
        <v>0</v>
      </c>
      <c r="Y6307" s="1">
        <f t="shared" si="197"/>
        <v>15</v>
      </c>
    </row>
    <row r="6308" spans="24:25" x14ac:dyDescent="0.3">
      <c r="X6308" s="1">
        <f t="shared" si="196"/>
        <v>0</v>
      </c>
      <c r="Y6308" s="1">
        <f t="shared" si="197"/>
        <v>15</v>
      </c>
    </row>
    <row r="6309" spans="24:25" x14ac:dyDescent="0.3">
      <c r="X6309" s="1">
        <f t="shared" si="196"/>
        <v>0</v>
      </c>
      <c r="Y6309" s="1">
        <f t="shared" si="197"/>
        <v>15</v>
      </c>
    </row>
    <row r="6310" spans="24:25" x14ac:dyDescent="0.3">
      <c r="X6310" s="1">
        <f t="shared" si="196"/>
        <v>0</v>
      </c>
      <c r="Y6310" s="1">
        <f t="shared" si="197"/>
        <v>15</v>
      </c>
    </row>
    <row r="6311" spans="24:25" x14ac:dyDescent="0.3">
      <c r="X6311" s="1">
        <f t="shared" si="196"/>
        <v>0</v>
      </c>
      <c r="Y6311" s="1">
        <f t="shared" si="197"/>
        <v>15</v>
      </c>
    </row>
    <row r="6312" spans="24:25" x14ac:dyDescent="0.3">
      <c r="X6312" s="1">
        <f t="shared" si="196"/>
        <v>0</v>
      </c>
      <c r="Y6312" s="1">
        <f t="shared" si="197"/>
        <v>15</v>
      </c>
    </row>
    <row r="6313" spans="24:25" x14ac:dyDescent="0.3">
      <c r="X6313" s="1">
        <f t="shared" si="196"/>
        <v>0</v>
      </c>
      <c r="Y6313" s="1">
        <f t="shared" si="197"/>
        <v>15</v>
      </c>
    </row>
    <row r="6314" spans="24:25" x14ac:dyDescent="0.3">
      <c r="X6314" s="1">
        <f t="shared" si="196"/>
        <v>0</v>
      </c>
      <c r="Y6314" s="1">
        <f t="shared" si="197"/>
        <v>15</v>
      </c>
    </row>
    <row r="6315" spans="24:25" x14ac:dyDescent="0.3">
      <c r="X6315" s="1">
        <f t="shared" si="196"/>
        <v>0</v>
      </c>
      <c r="Y6315" s="1">
        <f t="shared" si="197"/>
        <v>15</v>
      </c>
    </row>
    <row r="6316" spans="24:25" x14ac:dyDescent="0.3">
      <c r="X6316" s="1">
        <f t="shared" si="196"/>
        <v>0</v>
      </c>
      <c r="Y6316" s="1">
        <f t="shared" si="197"/>
        <v>15</v>
      </c>
    </row>
    <row r="6317" spans="24:25" x14ac:dyDescent="0.3">
      <c r="X6317" s="1">
        <f t="shared" si="196"/>
        <v>0</v>
      </c>
      <c r="Y6317" s="1">
        <f t="shared" si="197"/>
        <v>15</v>
      </c>
    </row>
    <row r="6318" spans="24:25" x14ac:dyDescent="0.3">
      <c r="X6318" s="1">
        <f t="shared" si="196"/>
        <v>0</v>
      </c>
      <c r="Y6318" s="1">
        <f t="shared" si="197"/>
        <v>15</v>
      </c>
    </row>
    <row r="6319" spans="24:25" x14ac:dyDescent="0.3">
      <c r="X6319" s="1">
        <f t="shared" si="196"/>
        <v>0</v>
      </c>
      <c r="Y6319" s="1">
        <f t="shared" si="197"/>
        <v>15</v>
      </c>
    </row>
    <row r="6320" spans="24:25" x14ac:dyDescent="0.3">
      <c r="X6320" s="1">
        <f t="shared" si="196"/>
        <v>0</v>
      </c>
      <c r="Y6320" s="1">
        <f t="shared" si="197"/>
        <v>15</v>
      </c>
    </row>
    <row r="6321" spans="24:25" x14ac:dyDescent="0.3">
      <c r="X6321" s="1">
        <f t="shared" si="196"/>
        <v>0</v>
      </c>
      <c r="Y6321" s="1">
        <f t="shared" si="197"/>
        <v>15</v>
      </c>
    </row>
    <row r="6322" spans="24:25" x14ac:dyDescent="0.3">
      <c r="X6322" s="1">
        <f t="shared" si="196"/>
        <v>0</v>
      </c>
      <c r="Y6322" s="1">
        <f t="shared" si="197"/>
        <v>15</v>
      </c>
    </row>
    <row r="6323" spans="24:25" x14ac:dyDescent="0.3">
      <c r="X6323" s="1">
        <f t="shared" si="196"/>
        <v>0</v>
      </c>
      <c r="Y6323" s="1">
        <f t="shared" si="197"/>
        <v>15</v>
      </c>
    </row>
    <row r="6324" spans="24:25" x14ac:dyDescent="0.3">
      <c r="X6324" s="1">
        <f t="shared" si="196"/>
        <v>0</v>
      </c>
      <c r="Y6324" s="1">
        <f t="shared" si="197"/>
        <v>15</v>
      </c>
    </row>
    <row r="6325" spans="24:25" x14ac:dyDescent="0.3">
      <c r="X6325" s="1">
        <f t="shared" si="196"/>
        <v>0</v>
      </c>
      <c r="Y6325" s="1">
        <f t="shared" si="197"/>
        <v>15</v>
      </c>
    </row>
    <row r="6326" spans="24:25" x14ac:dyDescent="0.3">
      <c r="X6326" s="1">
        <f t="shared" si="196"/>
        <v>0</v>
      </c>
      <c r="Y6326" s="1">
        <f t="shared" si="197"/>
        <v>15</v>
      </c>
    </row>
    <row r="6327" spans="24:25" x14ac:dyDescent="0.3">
      <c r="X6327" s="1">
        <f t="shared" si="196"/>
        <v>0</v>
      </c>
      <c r="Y6327" s="1">
        <f t="shared" si="197"/>
        <v>15</v>
      </c>
    </row>
    <row r="6328" spans="24:25" x14ac:dyDescent="0.3">
      <c r="X6328" s="1">
        <f t="shared" si="196"/>
        <v>0</v>
      </c>
      <c r="Y6328" s="1">
        <f t="shared" si="197"/>
        <v>15</v>
      </c>
    </row>
    <row r="6329" spans="24:25" x14ac:dyDescent="0.3">
      <c r="X6329" s="1">
        <f t="shared" si="196"/>
        <v>0</v>
      </c>
      <c r="Y6329" s="1">
        <f t="shared" si="197"/>
        <v>15</v>
      </c>
    </row>
    <row r="6330" spans="24:25" x14ac:dyDescent="0.3">
      <c r="X6330" s="1">
        <f t="shared" si="196"/>
        <v>0</v>
      </c>
      <c r="Y6330" s="1">
        <f t="shared" si="197"/>
        <v>15</v>
      </c>
    </row>
    <row r="6331" spans="24:25" x14ac:dyDescent="0.3">
      <c r="X6331" s="1">
        <f t="shared" si="196"/>
        <v>0</v>
      </c>
      <c r="Y6331" s="1">
        <f t="shared" si="197"/>
        <v>15</v>
      </c>
    </row>
    <row r="6332" spans="24:25" x14ac:dyDescent="0.3">
      <c r="X6332" s="1">
        <f t="shared" si="196"/>
        <v>0</v>
      </c>
      <c r="Y6332" s="1">
        <f t="shared" si="197"/>
        <v>15</v>
      </c>
    </row>
    <row r="6333" spans="24:25" x14ac:dyDescent="0.3">
      <c r="X6333" s="1">
        <f t="shared" si="196"/>
        <v>0</v>
      </c>
      <c r="Y6333" s="1">
        <f t="shared" si="197"/>
        <v>15</v>
      </c>
    </row>
    <row r="6334" spans="24:25" x14ac:dyDescent="0.3">
      <c r="X6334" s="1">
        <f t="shared" si="196"/>
        <v>0</v>
      </c>
      <c r="Y6334" s="1">
        <f t="shared" si="197"/>
        <v>15</v>
      </c>
    </row>
    <row r="6335" spans="24:25" x14ac:dyDescent="0.3">
      <c r="X6335" s="1">
        <f t="shared" si="196"/>
        <v>0</v>
      </c>
      <c r="Y6335" s="1">
        <f t="shared" si="197"/>
        <v>15</v>
      </c>
    </row>
    <row r="6336" spans="24:25" x14ac:dyDescent="0.3">
      <c r="X6336" s="1">
        <f t="shared" si="196"/>
        <v>0</v>
      </c>
      <c r="Y6336" s="1">
        <f t="shared" si="197"/>
        <v>15</v>
      </c>
    </row>
    <row r="6337" spans="24:25" x14ac:dyDescent="0.3">
      <c r="X6337" s="1">
        <f t="shared" si="196"/>
        <v>0</v>
      </c>
      <c r="Y6337" s="1">
        <f t="shared" si="197"/>
        <v>15</v>
      </c>
    </row>
    <row r="6338" spans="24:25" x14ac:dyDescent="0.3">
      <c r="X6338" s="1">
        <f t="shared" si="196"/>
        <v>0</v>
      </c>
      <c r="Y6338" s="1">
        <f t="shared" si="197"/>
        <v>15</v>
      </c>
    </row>
    <row r="6339" spans="24:25" x14ac:dyDescent="0.3">
      <c r="X6339" s="1">
        <f t="shared" ref="X6339:X6402" si="198">IFERROR(MATCH(W6339,$B:$B,0),0)</f>
        <v>0</v>
      </c>
      <c r="Y6339" s="1">
        <f t="shared" ref="Y6339:Y6402" si="199">IF(X6340=0,COUNTA(A:A),X6340-1)</f>
        <v>15</v>
      </c>
    </row>
    <row r="6340" spans="24:25" x14ac:dyDescent="0.3">
      <c r="X6340" s="1">
        <f t="shared" si="198"/>
        <v>0</v>
      </c>
      <c r="Y6340" s="1">
        <f t="shared" si="199"/>
        <v>15</v>
      </c>
    </row>
    <row r="6341" spans="24:25" x14ac:dyDescent="0.3">
      <c r="X6341" s="1">
        <f t="shared" si="198"/>
        <v>0</v>
      </c>
      <c r="Y6341" s="1">
        <f t="shared" si="199"/>
        <v>15</v>
      </c>
    </row>
    <row r="6342" spans="24:25" x14ac:dyDescent="0.3">
      <c r="X6342" s="1">
        <f t="shared" si="198"/>
        <v>0</v>
      </c>
      <c r="Y6342" s="1">
        <f t="shared" si="199"/>
        <v>15</v>
      </c>
    </row>
    <row r="6343" spans="24:25" x14ac:dyDescent="0.3">
      <c r="X6343" s="1">
        <f t="shared" si="198"/>
        <v>0</v>
      </c>
      <c r="Y6343" s="1">
        <f t="shared" si="199"/>
        <v>15</v>
      </c>
    </row>
    <row r="6344" spans="24:25" x14ac:dyDescent="0.3">
      <c r="X6344" s="1">
        <f t="shared" si="198"/>
        <v>0</v>
      </c>
      <c r="Y6344" s="1">
        <f t="shared" si="199"/>
        <v>15</v>
      </c>
    </row>
    <row r="6345" spans="24:25" x14ac:dyDescent="0.3">
      <c r="X6345" s="1">
        <f t="shared" si="198"/>
        <v>0</v>
      </c>
      <c r="Y6345" s="1">
        <f t="shared" si="199"/>
        <v>15</v>
      </c>
    </row>
    <row r="6346" spans="24:25" x14ac:dyDescent="0.3">
      <c r="X6346" s="1">
        <f t="shared" si="198"/>
        <v>0</v>
      </c>
      <c r="Y6346" s="1">
        <f t="shared" si="199"/>
        <v>15</v>
      </c>
    </row>
    <row r="6347" spans="24:25" x14ac:dyDescent="0.3">
      <c r="X6347" s="1">
        <f t="shared" si="198"/>
        <v>0</v>
      </c>
      <c r="Y6347" s="1">
        <f t="shared" si="199"/>
        <v>15</v>
      </c>
    </row>
    <row r="6348" spans="24:25" x14ac:dyDescent="0.3">
      <c r="X6348" s="1">
        <f t="shared" si="198"/>
        <v>0</v>
      </c>
      <c r="Y6348" s="1">
        <f t="shared" si="199"/>
        <v>15</v>
      </c>
    </row>
    <row r="6349" spans="24:25" x14ac:dyDescent="0.3">
      <c r="X6349" s="1">
        <f t="shared" si="198"/>
        <v>0</v>
      </c>
      <c r="Y6349" s="1">
        <f t="shared" si="199"/>
        <v>15</v>
      </c>
    </row>
    <row r="6350" spans="24:25" x14ac:dyDescent="0.3">
      <c r="X6350" s="1">
        <f t="shared" si="198"/>
        <v>0</v>
      </c>
      <c r="Y6350" s="1">
        <f t="shared" si="199"/>
        <v>15</v>
      </c>
    </row>
    <row r="6351" spans="24:25" x14ac:dyDescent="0.3">
      <c r="X6351" s="1">
        <f t="shared" si="198"/>
        <v>0</v>
      </c>
      <c r="Y6351" s="1">
        <f t="shared" si="199"/>
        <v>15</v>
      </c>
    </row>
    <row r="6352" spans="24:25" x14ac:dyDescent="0.3">
      <c r="X6352" s="1">
        <f t="shared" si="198"/>
        <v>0</v>
      </c>
      <c r="Y6352" s="1">
        <f t="shared" si="199"/>
        <v>15</v>
      </c>
    </row>
    <row r="6353" spans="24:25" x14ac:dyDescent="0.3">
      <c r="X6353" s="1">
        <f t="shared" si="198"/>
        <v>0</v>
      </c>
      <c r="Y6353" s="1">
        <f t="shared" si="199"/>
        <v>15</v>
      </c>
    </row>
    <row r="6354" spans="24:25" x14ac:dyDescent="0.3">
      <c r="X6354" s="1">
        <f t="shared" si="198"/>
        <v>0</v>
      </c>
      <c r="Y6354" s="1">
        <f t="shared" si="199"/>
        <v>15</v>
      </c>
    </row>
    <row r="6355" spans="24:25" x14ac:dyDescent="0.3">
      <c r="X6355" s="1">
        <f t="shared" si="198"/>
        <v>0</v>
      </c>
      <c r="Y6355" s="1">
        <f t="shared" si="199"/>
        <v>15</v>
      </c>
    </row>
    <row r="6356" spans="24:25" x14ac:dyDescent="0.3">
      <c r="X6356" s="1">
        <f t="shared" si="198"/>
        <v>0</v>
      </c>
      <c r="Y6356" s="1">
        <f t="shared" si="199"/>
        <v>15</v>
      </c>
    </row>
    <row r="6357" spans="24:25" x14ac:dyDescent="0.3">
      <c r="X6357" s="1">
        <f t="shared" si="198"/>
        <v>0</v>
      </c>
      <c r="Y6357" s="1">
        <f t="shared" si="199"/>
        <v>15</v>
      </c>
    </row>
    <row r="6358" spans="24:25" x14ac:dyDescent="0.3">
      <c r="X6358" s="1">
        <f t="shared" si="198"/>
        <v>0</v>
      </c>
      <c r="Y6358" s="1">
        <f t="shared" si="199"/>
        <v>15</v>
      </c>
    </row>
    <row r="6359" spans="24:25" x14ac:dyDescent="0.3">
      <c r="X6359" s="1">
        <f t="shared" si="198"/>
        <v>0</v>
      </c>
      <c r="Y6359" s="1">
        <f t="shared" si="199"/>
        <v>15</v>
      </c>
    </row>
    <row r="6360" spans="24:25" x14ac:dyDescent="0.3">
      <c r="X6360" s="1">
        <f t="shared" si="198"/>
        <v>0</v>
      </c>
      <c r="Y6360" s="1">
        <f t="shared" si="199"/>
        <v>15</v>
      </c>
    </row>
    <row r="6361" spans="24:25" x14ac:dyDescent="0.3">
      <c r="X6361" s="1">
        <f t="shared" si="198"/>
        <v>0</v>
      </c>
      <c r="Y6361" s="1">
        <f t="shared" si="199"/>
        <v>15</v>
      </c>
    </row>
    <row r="6362" spans="24:25" x14ac:dyDescent="0.3">
      <c r="X6362" s="1">
        <f t="shared" si="198"/>
        <v>0</v>
      </c>
      <c r="Y6362" s="1">
        <f t="shared" si="199"/>
        <v>15</v>
      </c>
    </row>
    <row r="6363" spans="24:25" x14ac:dyDescent="0.3">
      <c r="X6363" s="1">
        <f t="shared" si="198"/>
        <v>0</v>
      </c>
      <c r="Y6363" s="1">
        <f t="shared" si="199"/>
        <v>15</v>
      </c>
    </row>
    <row r="6364" spans="24:25" x14ac:dyDescent="0.3">
      <c r="X6364" s="1">
        <f t="shared" si="198"/>
        <v>0</v>
      </c>
      <c r="Y6364" s="1">
        <f t="shared" si="199"/>
        <v>15</v>
      </c>
    </row>
    <row r="6365" spans="24:25" x14ac:dyDescent="0.3">
      <c r="X6365" s="1">
        <f t="shared" si="198"/>
        <v>0</v>
      </c>
      <c r="Y6365" s="1">
        <f t="shared" si="199"/>
        <v>15</v>
      </c>
    </row>
    <row r="6366" spans="24:25" x14ac:dyDescent="0.3">
      <c r="X6366" s="1">
        <f t="shared" si="198"/>
        <v>0</v>
      </c>
      <c r="Y6366" s="1">
        <f t="shared" si="199"/>
        <v>15</v>
      </c>
    </row>
    <row r="6367" spans="24:25" x14ac:dyDescent="0.3">
      <c r="X6367" s="1">
        <f t="shared" si="198"/>
        <v>0</v>
      </c>
      <c r="Y6367" s="1">
        <f t="shared" si="199"/>
        <v>15</v>
      </c>
    </row>
    <row r="6368" spans="24:25" x14ac:dyDescent="0.3">
      <c r="X6368" s="1">
        <f t="shared" si="198"/>
        <v>0</v>
      </c>
      <c r="Y6368" s="1">
        <f t="shared" si="199"/>
        <v>15</v>
      </c>
    </row>
    <row r="6369" spans="24:25" x14ac:dyDescent="0.3">
      <c r="X6369" s="1">
        <f t="shared" si="198"/>
        <v>0</v>
      </c>
      <c r="Y6369" s="1">
        <f t="shared" si="199"/>
        <v>15</v>
      </c>
    </row>
    <row r="6370" spans="24:25" x14ac:dyDescent="0.3">
      <c r="X6370" s="1">
        <f t="shared" si="198"/>
        <v>0</v>
      </c>
      <c r="Y6370" s="1">
        <f t="shared" si="199"/>
        <v>15</v>
      </c>
    </row>
    <row r="6371" spans="24:25" x14ac:dyDescent="0.3">
      <c r="X6371" s="1">
        <f t="shared" si="198"/>
        <v>0</v>
      </c>
      <c r="Y6371" s="1">
        <f t="shared" si="199"/>
        <v>15</v>
      </c>
    </row>
    <row r="6372" spans="24:25" x14ac:dyDescent="0.3">
      <c r="X6372" s="1">
        <f t="shared" si="198"/>
        <v>0</v>
      </c>
      <c r="Y6372" s="1">
        <f t="shared" si="199"/>
        <v>15</v>
      </c>
    </row>
    <row r="6373" spans="24:25" x14ac:dyDescent="0.3">
      <c r="X6373" s="1">
        <f t="shared" si="198"/>
        <v>0</v>
      </c>
      <c r="Y6373" s="1">
        <f t="shared" si="199"/>
        <v>15</v>
      </c>
    </row>
    <row r="6374" spans="24:25" x14ac:dyDescent="0.3">
      <c r="X6374" s="1">
        <f t="shared" si="198"/>
        <v>0</v>
      </c>
      <c r="Y6374" s="1">
        <f t="shared" si="199"/>
        <v>15</v>
      </c>
    </row>
    <row r="6375" spans="24:25" x14ac:dyDescent="0.3">
      <c r="X6375" s="1">
        <f t="shared" si="198"/>
        <v>0</v>
      </c>
      <c r="Y6375" s="1">
        <f t="shared" si="199"/>
        <v>15</v>
      </c>
    </row>
    <row r="6376" spans="24:25" x14ac:dyDescent="0.3">
      <c r="X6376" s="1">
        <f t="shared" si="198"/>
        <v>0</v>
      </c>
      <c r="Y6376" s="1">
        <f t="shared" si="199"/>
        <v>15</v>
      </c>
    </row>
    <row r="6377" spans="24:25" x14ac:dyDescent="0.3">
      <c r="X6377" s="1">
        <f t="shared" si="198"/>
        <v>0</v>
      </c>
      <c r="Y6377" s="1">
        <f t="shared" si="199"/>
        <v>15</v>
      </c>
    </row>
    <row r="6378" spans="24:25" x14ac:dyDescent="0.3">
      <c r="X6378" s="1">
        <f t="shared" si="198"/>
        <v>0</v>
      </c>
      <c r="Y6378" s="1">
        <f t="shared" si="199"/>
        <v>15</v>
      </c>
    </row>
    <row r="6379" spans="24:25" x14ac:dyDescent="0.3">
      <c r="X6379" s="1">
        <f t="shared" si="198"/>
        <v>0</v>
      </c>
      <c r="Y6379" s="1">
        <f t="shared" si="199"/>
        <v>15</v>
      </c>
    </row>
    <row r="6380" spans="24:25" x14ac:dyDescent="0.3">
      <c r="X6380" s="1">
        <f t="shared" si="198"/>
        <v>0</v>
      </c>
      <c r="Y6380" s="1">
        <f t="shared" si="199"/>
        <v>15</v>
      </c>
    </row>
    <row r="6381" spans="24:25" x14ac:dyDescent="0.3">
      <c r="X6381" s="1">
        <f t="shared" si="198"/>
        <v>0</v>
      </c>
      <c r="Y6381" s="1">
        <f t="shared" si="199"/>
        <v>15</v>
      </c>
    </row>
    <row r="6382" spans="24:25" x14ac:dyDescent="0.3">
      <c r="X6382" s="1">
        <f t="shared" si="198"/>
        <v>0</v>
      </c>
      <c r="Y6382" s="1">
        <f t="shared" si="199"/>
        <v>15</v>
      </c>
    </row>
    <row r="6383" spans="24:25" x14ac:dyDescent="0.3">
      <c r="X6383" s="1">
        <f t="shared" si="198"/>
        <v>0</v>
      </c>
      <c r="Y6383" s="1">
        <f t="shared" si="199"/>
        <v>15</v>
      </c>
    </row>
    <row r="6384" spans="24:25" x14ac:dyDescent="0.3">
      <c r="X6384" s="1">
        <f t="shared" si="198"/>
        <v>0</v>
      </c>
      <c r="Y6384" s="1">
        <f t="shared" si="199"/>
        <v>15</v>
      </c>
    </row>
    <row r="6385" spans="24:25" x14ac:dyDescent="0.3">
      <c r="X6385" s="1">
        <f t="shared" si="198"/>
        <v>0</v>
      </c>
      <c r="Y6385" s="1">
        <f t="shared" si="199"/>
        <v>15</v>
      </c>
    </row>
    <row r="6386" spans="24:25" x14ac:dyDescent="0.3">
      <c r="X6386" s="1">
        <f t="shared" si="198"/>
        <v>0</v>
      </c>
      <c r="Y6386" s="1">
        <f t="shared" si="199"/>
        <v>15</v>
      </c>
    </row>
    <row r="6387" spans="24:25" x14ac:dyDescent="0.3">
      <c r="X6387" s="1">
        <f t="shared" si="198"/>
        <v>0</v>
      </c>
      <c r="Y6387" s="1">
        <f t="shared" si="199"/>
        <v>15</v>
      </c>
    </row>
    <row r="6388" spans="24:25" x14ac:dyDescent="0.3">
      <c r="X6388" s="1">
        <f t="shared" si="198"/>
        <v>0</v>
      </c>
      <c r="Y6388" s="1">
        <f t="shared" si="199"/>
        <v>15</v>
      </c>
    </row>
    <row r="6389" spans="24:25" x14ac:dyDescent="0.3">
      <c r="X6389" s="1">
        <f t="shared" si="198"/>
        <v>0</v>
      </c>
      <c r="Y6389" s="1">
        <f t="shared" si="199"/>
        <v>15</v>
      </c>
    </row>
    <row r="6390" spans="24:25" x14ac:dyDescent="0.3">
      <c r="X6390" s="1">
        <f t="shared" si="198"/>
        <v>0</v>
      </c>
      <c r="Y6390" s="1">
        <f t="shared" si="199"/>
        <v>15</v>
      </c>
    </row>
    <row r="6391" spans="24:25" x14ac:dyDescent="0.3">
      <c r="X6391" s="1">
        <f t="shared" si="198"/>
        <v>0</v>
      </c>
      <c r="Y6391" s="1">
        <f t="shared" si="199"/>
        <v>15</v>
      </c>
    </row>
    <row r="6392" spans="24:25" x14ac:dyDescent="0.3">
      <c r="X6392" s="1">
        <f t="shared" si="198"/>
        <v>0</v>
      </c>
      <c r="Y6392" s="1">
        <f t="shared" si="199"/>
        <v>15</v>
      </c>
    </row>
    <row r="6393" spans="24:25" x14ac:dyDescent="0.3">
      <c r="X6393" s="1">
        <f t="shared" si="198"/>
        <v>0</v>
      </c>
      <c r="Y6393" s="1">
        <f t="shared" si="199"/>
        <v>15</v>
      </c>
    </row>
    <row r="6394" spans="24:25" x14ac:dyDescent="0.3">
      <c r="X6394" s="1">
        <f t="shared" si="198"/>
        <v>0</v>
      </c>
      <c r="Y6394" s="1">
        <f t="shared" si="199"/>
        <v>15</v>
      </c>
    </row>
    <row r="6395" spans="24:25" x14ac:dyDescent="0.3">
      <c r="X6395" s="1">
        <f t="shared" si="198"/>
        <v>0</v>
      </c>
      <c r="Y6395" s="1">
        <f t="shared" si="199"/>
        <v>15</v>
      </c>
    </row>
    <row r="6396" spans="24:25" x14ac:dyDescent="0.3">
      <c r="X6396" s="1">
        <f t="shared" si="198"/>
        <v>0</v>
      </c>
      <c r="Y6396" s="1">
        <f t="shared" si="199"/>
        <v>15</v>
      </c>
    </row>
    <row r="6397" spans="24:25" x14ac:dyDescent="0.3">
      <c r="X6397" s="1">
        <f t="shared" si="198"/>
        <v>0</v>
      </c>
      <c r="Y6397" s="1">
        <f t="shared" si="199"/>
        <v>15</v>
      </c>
    </row>
    <row r="6398" spans="24:25" x14ac:dyDescent="0.3">
      <c r="X6398" s="1">
        <f t="shared" si="198"/>
        <v>0</v>
      </c>
      <c r="Y6398" s="1">
        <f t="shared" si="199"/>
        <v>15</v>
      </c>
    </row>
    <row r="6399" spans="24:25" x14ac:dyDescent="0.3">
      <c r="X6399" s="1">
        <f t="shared" si="198"/>
        <v>0</v>
      </c>
      <c r="Y6399" s="1">
        <f t="shared" si="199"/>
        <v>15</v>
      </c>
    </row>
    <row r="6400" spans="24:25" x14ac:dyDescent="0.3">
      <c r="X6400" s="1">
        <f t="shared" si="198"/>
        <v>0</v>
      </c>
      <c r="Y6400" s="1">
        <f t="shared" si="199"/>
        <v>15</v>
      </c>
    </row>
    <row r="6401" spans="24:25" x14ac:dyDescent="0.3">
      <c r="X6401" s="1">
        <f t="shared" si="198"/>
        <v>0</v>
      </c>
      <c r="Y6401" s="1">
        <f t="shared" si="199"/>
        <v>15</v>
      </c>
    </row>
    <row r="6402" spans="24:25" x14ac:dyDescent="0.3">
      <c r="X6402" s="1">
        <f t="shared" si="198"/>
        <v>0</v>
      </c>
      <c r="Y6402" s="1">
        <f t="shared" si="199"/>
        <v>15</v>
      </c>
    </row>
    <row r="6403" spans="24:25" x14ac:dyDescent="0.3">
      <c r="X6403" s="1">
        <f t="shared" ref="X6403:X6466" si="200">IFERROR(MATCH(W6403,$B:$B,0),0)</f>
        <v>0</v>
      </c>
      <c r="Y6403" s="1">
        <f t="shared" ref="Y6403:Y6466" si="201">IF(X6404=0,COUNTA(A:A),X6404-1)</f>
        <v>15</v>
      </c>
    </row>
    <row r="6404" spans="24:25" x14ac:dyDescent="0.3">
      <c r="X6404" s="1">
        <f t="shared" si="200"/>
        <v>0</v>
      </c>
      <c r="Y6404" s="1">
        <f t="shared" si="201"/>
        <v>15</v>
      </c>
    </row>
    <row r="6405" spans="24:25" x14ac:dyDescent="0.3">
      <c r="X6405" s="1">
        <f t="shared" si="200"/>
        <v>0</v>
      </c>
      <c r="Y6405" s="1">
        <f t="shared" si="201"/>
        <v>15</v>
      </c>
    </row>
    <row r="6406" spans="24:25" x14ac:dyDescent="0.3">
      <c r="X6406" s="1">
        <f t="shared" si="200"/>
        <v>0</v>
      </c>
      <c r="Y6406" s="1">
        <f t="shared" si="201"/>
        <v>15</v>
      </c>
    </row>
    <row r="6407" spans="24:25" x14ac:dyDescent="0.3">
      <c r="X6407" s="1">
        <f t="shared" si="200"/>
        <v>0</v>
      </c>
      <c r="Y6407" s="1">
        <f t="shared" si="201"/>
        <v>15</v>
      </c>
    </row>
    <row r="6408" spans="24:25" x14ac:dyDescent="0.3">
      <c r="X6408" s="1">
        <f t="shared" si="200"/>
        <v>0</v>
      </c>
      <c r="Y6408" s="1">
        <f t="shared" si="201"/>
        <v>15</v>
      </c>
    </row>
    <row r="6409" spans="24:25" x14ac:dyDescent="0.3">
      <c r="X6409" s="1">
        <f t="shared" si="200"/>
        <v>0</v>
      </c>
      <c r="Y6409" s="1">
        <f t="shared" si="201"/>
        <v>15</v>
      </c>
    </row>
    <row r="6410" spans="24:25" x14ac:dyDescent="0.3">
      <c r="X6410" s="1">
        <f t="shared" si="200"/>
        <v>0</v>
      </c>
      <c r="Y6410" s="1">
        <f t="shared" si="201"/>
        <v>15</v>
      </c>
    </row>
    <row r="6411" spans="24:25" x14ac:dyDescent="0.3">
      <c r="X6411" s="1">
        <f t="shared" si="200"/>
        <v>0</v>
      </c>
      <c r="Y6411" s="1">
        <f t="shared" si="201"/>
        <v>15</v>
      </c>
    </row>
    <row r="6412" spans="24:25" x14ac:dyDescent="0.3">
      <c r="X6412" s="1">
        <f t="shared" si="200"/>
        <v>0</v>
      </c>
      <c r="Y6412" s="1">
        <f t="shared" si="201"/>
        <v>15</v>
      </c>
    </row>
    <row r="6413" spans="24:25" x14ac:dyDescent="0.3">
      <c r="X6413" s="1">
        <f t="shared" si="200"/>
        <v>0</v>
      </c>
      <c r="Y6413" s="1">
        <f t="shared" si="201"/>
        <v>15</v>
      </c>
    </row>
    <row r="6414" spans="24:25" x14ac:dyDescent="0.3">
      <c r="X6414" s="1">
        <f t="shared" si="200"/>
        <v>0</v>
      </c>
      <c r="Y6414" s="1">
        <f t="shared" si="201"/>
        <v>15</v>
      </c>
    </row>
    <row r="6415" spans="24:25" x14ac:dyDescent="0.3">
      <c r="X6415" s="1">
        <f t="shared" si="200"/>
        <v>0</v>
      </c>
      <c r="Y6415" s="1">
        <f t="shared" si="201"/>
        <v>15</v>
      </c>
    </row>
    <row r="6416" spans="24:25" x14ac:dyDescent="0.3">
      <c r="X6416" s="1">
        <f t="shared" si="200"/>
        <v>0</v>
      </c>
      <c r="Y6416" s="1">
        <f t="shared" si="201"/>
        <v>15</v>
      </c>
    </row>
    <row r="6417" spans="24:25" x14ac:dyDescent="0.3">
      <c r="X6417" s="1">
        <f t="shared" si="200"/>
        <v>0</v>
      </c>
      <c r="Y6417" s="1">
        <f t="shared" si="201"/>
        <v>15</v>
      </c>
    </row>
    <row r="6418" spans="24:25" x14ac:dyDescent="0.3">
      <c r="X6418" s="1">
        <f t="shared" si="200"/>
        <v>0</v>
      </c>
      <c r="Y6418" s="1">
        <f t="shared" si="201"/>
        <v>15</v>
      </c>
    </row>
    <row r="6419" spans="24:25" x14ac:dyDescent="0.3">
      <c r="X6419" s="1">
        <f t="shared" si="200"/>
        <v>0</v>
      </c>
      <c r="Y6419" s="1">
        <f t="shared" si="201"/>
        <v>15</v>
      </c>
    </row>
    <row r="6420" spans="24:25" x14ac:dyDescent="0.3">
      <c r="X6420" s="1">
        <f t="shared" si="200"/>
        <v>0</v>
      </c>
      <c r="Y6420" s="1">
        <f t="shared" si="201"/>
        <v>15</v>
      </c>
    </row>
    <row r="6421" spans="24:25" x14ac:dyDescent="0.3">
      <c r="X6421" s="1">
        <f t="shared" si="200"/>
        <v>0</v>
      </c>
      <c r="Y6421" s="1">
        <f t="shared" si="201"/>
        <v>15</v>
      </c>
    </row>
    <row r="6422" spans="24:25" x14ac:dyDescent="0.3">
      <c r="X6422" s="1">
        <f t="shared" si="200"/>
        <v>0</v>
      </c>
      <c r="Y6422" s="1">
        <f t="shared" si="201"/>
        <v>15</v>
      </c>
    </row>
    <row r="6423" spans="24:25" x14ac:dyDescent="0.3">
      <c r="X6423" s="1">
        <f t="shared" si="200"/>
        <v>0</v>
      </c>
      <c r="Y6423" s="1">
        <f t="shared" si="201"/>
        <v>15</v>
      </c>
    </row>
    <row r="6424" spans="24:25" x14ac:dyDescent="0.3">
      <c r="X6424" s="1">
        <f t="shared" si="200"/>
        <v>0</v>
      </c>
      <c r="Y6424" s="1">
        <f t="shared" si="201"/>
        <v>15</v>
      </c>
    </row>
    <row r="6425" spans="24:25" x14ac:dyDescent="0.3">
      <c r="X6425" s="1">
        <f t="shared" si="200"/>
        <v>0</v>
      </c>
      <c r="Y6425" s="1">
        <f t="shared" si="201"/>
        <v>15</v>
      </c>
    </row>
    <row r="6426" spans="24:25" x14ac:dyDescent="0.3">
      <c r="X6426" s="1">
        <f t="shared" si="200"/>
        <v>0</v>
      </c>
      <c r="Y6426" s="1">
        <f t="shared" si="201"/>
        <v>15</v>
      </c>
    </row>
    <row r="6427" spans="24:25" x14ac:dyDescent="0.3">
      <c r="X6427" s="1">
        <f t="shared" si="200"/>
        <v>0</v>
      </c>
      <c r="Y6427" s="1">
        <f t="shared" si="201"/>
        <v>15</v>
      </c>
    </row>
    <row r="6428" spans="24:25" x14ac:dyDescent="0.3">
      <c r="X6428" s="1">
        <f t="shared" si="200"/>
        <v>0</v>
      </c>
      <c r="Y6428" s="1">
        <f t="shared" si="201"/>
        <v>15</v>
      </c>
    </row>
    <row r="6429" spans="24:25" x14ac:dyDescent="0.3">
      <c r="X6429" s="1">
        <f t="shared" si="200"/>
        <v>0</v>
      </c>
      <c r="Y6429" s="1">
        <f t="shared" si="201"/>
        <v>15</v>
      </c>
    </row>
    <row r="6430" spans="24:25" x14ac:dyDescent="0.3">
      <c r="X6430" s="1">
        <f t="shared" si="200"/>
        <v>0</v>
      </c>
      <c r="Y6430" s="1">
        <f t="shared" si="201"/>
        <v>15</v>
      </c>
    </row>
    <row r="6431" spans="24:25" x14ac:dyDescent="0.3">
      <c r="X6431" s="1">
        <f t="shared" si="200"/>
        <v>0</v>
      </c>
      <c r="Y6431" s="1">
        <f t="shared" si="201"/>
        <v>15</v>
      </c>
    </row>
    <row r="6432" spans="24:25" x14ac:dyDescent="0.3">
      <c r="X6432" s="1">
        <f t="shared" si="200"/>
        <v>0</v>
      </c>
      <c r="Y6432" s="1">
        <f t="shared" si="201"/>
        <v>15</v>
      </c>
    </row>
    <row r="6433" spans="24:25" x14ac:dyDescent="0.3">
      <c r="X6433" s="1">
        <f t="shared" si="200"/>
        <v>0</v>
      </c>
      <c r="Y6433" s="1">
        <f t="shared" si="201"/>
        <v>15</v>
      </c>
    </row>
    <row r="6434" spans="24:25" x14ac:dyDescent="0.3">
      <c r="X6434" s="1">
        <f t="shared" si="200"/>
        <v>0</v>
      </c>
      <c r="Y6434" s="1">
        <f t="shared" si="201"/>
        <v>15</v>
      </c>
    </row>
    <row r="6435" spans="24:25" x14ac:dyDescent="0.3">
      <c r="X6435" s="1">
        <f t="shared" si="200"/>
        <v>0</v>
      </c>
      <c r="Y6435" s="1">
        <f t="shared" si="201"/>
        <v>15</v>
      </c>
    </row>
    <row r="6436" spans="24:25" x14ac:dyDescent="0.3">
      <c r="X6436" s="1">
        <f t="shared" si="200"/>
        <v>0</v>
      </c>
      <c r="Y6436" s="1">
        <f t="shared" si="201"/>
        <v>15</v>
      </c>
    </row>
    <row r="6437" spans="24:25" x14ac:dyDescent="0.3">
      <c r="X6437" s="1">
        <f t="shared" si="200"/>
        <v>0</v>
      </c>
      <c r="Y6437" s="1">
        <f t="shared" si="201"/>
        <v>15</v>
      </c>
    </row>
    <row r="6438" spans="24:25" x14ac:dyDescent="0.3">
      <c r="X6438" s="1">
        <f t="shared" si="200"/>
        <v>0</v>
      </c>
      <c r="Y6438" s="1">
        <f t="shared" si="201"/>
        <v>15</v>
      </c>
    </row>
    <row r="6439" spans="24:25" x14ac:dyDescent="0.3">
      <c r="X6439" s="1">
        <f t="shared" si="200"/>
        <v>0</v>
      </c>
      <c r="Y6439" s="1">
        <f t="shared" si="201"/>
        <v>15</v>
      </c>
    </row>
    <row r="6440" spans="24:25" x14ac:dyDescent="0.3">
      <c r="X6440" s="1">
        <f t="shared" si="200"/>
        <v>0</v>
      </c>
      <c r="Y6440" s="1">
        <f t="shared" si="201"/>
        <v>15</v>
      </c>
    </row>
    <row r="6441" spans="24:25" x14ac:dyDescent="0.3">
      <c r="X6441" s="1">
        <f t="shared" si="200"/>
        <v>0</v>
      </c>
      <c r="Y6441" s="1">
        <f t="shared" si="201"/>
        <v>15</v>
      </c>
    </row>
    <row r="6442" spans="24:25" x14ac:dyDescent="0.3">
      <c r="X6442" s="1">
        <f t="shared" si="200"/>
        <v>0</v>
      </c>
      <c r="Y6442" s="1">
        <f t="shared" si="201"/>
        <v>15</v>
      </c>
    </row>
    <row r="6443" spans="24:25" x14ac:dyDescent="0.3">
      <c r="X6443" s="1">
        <f t="shared" si="200"/>
        <v>0</v>
      </c>
      <c r="Y6443" s="1">
        <f t="shared" si="201"/>
        <v>15</v>
      </c>
    </row>
    <row r="6444" spans="24:25" x14ac:dyDescent="0.3">
      <c r="X6444" s="1">
        <f t="shared" si="200"/>
        <v>0</v>
      </c>
      <c r="Y6444" s="1">
        <f t="shared" si="201"/>
        <v>15</v>
      </c>
    </row>
    <row r="6445" spans="24:25" x14ac:dyDescent="0.3">
      <c r="X6445" s="1">
        <f t="shared" si="200"/>
        <v>0</v>
      </c>
      <c r="Y6445" s="1">
        <f t="shared" si="201"/>
        <v>15</v>
      </c>
    </row>
    <row r="6446" spans="24:25" x14ac:dyDescent="0.3">
      <c r="X6446" s="1">
        <f t="shared" si="200"/>
        <v>0</v>
      </c>
      <c r="Y6446" s="1">
        <f t="shared" si="201"/>
        <v>15</v>
      </c>
    </row>
    <row r="6447" spans="24:25" x14ac:dyDescent="0.3">
      <c r="X6447" s="1">
        <f t="shared" si="200"/>
        <v>0</v>
      </c>
      <c r="Y6447" s="1">
        <f t="shared" si="201"/>
        <v>15</v>
      </c>
    </row>
    <row r="6448" spans="24:25" x14ac:dyDescent="0.3">
      <c r="X6448" s="1">
        <f t="shared" si="200"/>
        <v>0</v>
      </c>
      <c r="Y6448" s="1">
        <f t="shared" si="201"/>
        <v>15</v>
      </c>
    </row>
    <row r="6449" spans="24:25" x14ac:dyDescent="0.3">
      <c r="X6449" s="1">
        <f t="shared" si="200"/>
        <v>0</v>
      </c>
      <c r="Y6449" s="1">
        <f t="shared" si="201"/>
        <v>15</v>
      </c>
    </row>
    <row r="6450" spans="24:25" x14ac:dyDescent="0.3">
      <c r="X6450" s="1">
        <f t="shared" si="200"/>
        <v>0</v>
      </c>
      <c r="Y6450" s="1">
        <f t="shared" si="201"/>
        <v>15</v>
      </c>
    </row>
    <row r="6451" spans="24:25" x14ac:dyDescent="0.3">
      <c r="X6451" s="1">
        <f t="shared" si="200"/>
        <v>0</v>
      </c>
      <c r="Y6451" s="1">
        <f t="shared" si="201"/>
        <v>15</v>
      </c>
    </row>
    <row r="6452" spans="24:25" x14ac:dyDescent="0.3">
      <c r="X6452" s="1">
        <f t="shared" si="200"/>
        <v>0</v>
      </c>
      <c r="Y6452" s="1">
        <f t="shared" si="201"/>
        <v>15</v>
      </c>
    </row>
    <row r="6453" spans="24:25" x14ac:dyDescent="0.3">
      <c r="X6453" s="1">
        <f t="shared" si="200"/>
        <v>0</v>
      </c>
      <c r="Y6453" s="1">
        <f t="shared" si="201"/>
        <v>15</v>
      </c>
    </row>
    <row r="6454" spans="24:25" x14ac:dyDescent="0.3">
      <c r="X6454" s="1">
        <f t="shared" si="200"/>
        <v>0</v>
      </c>
      <c r="Y6454" s="1">
        <f t="shared" si="201"/>
        <v>15</v>
      </c>
    </row>
    <row r="6455" spans="24:25" x14ac:dyDescent="0.3">
      <c r="X6455" s="1">
        <f t="shared" si="200"/>
        <v>0</v>
      </c>
      <c r="Y6455" s="1">
        <f t="shared" si="201"/>
        <v>15</v>
      </c>
    </row>
    <row r="6456" spans="24:25" x14ac:dyDescent="0.3">
      <c r="X6456" s="1">
        <f t="shared" si="200"/>
        <v>0</v>
      </c>
      <c r="Y6456" s="1">
        <f t="shared" si="201"/>
        <v>15</v>
      </c>
    </row>
    <row r="6457" spans="24:25" x14ac:dyDescent="0.3">
      <c r="X6457" s="1">
        <f t="shared" si="200"/>
        <v>0</v>
      </c>
      <c r="Y6457" s="1">
        <f t="shared" si="201"/>
        <v>15</v>
      </c>
    </row>
    <row r="6458" spans="24:25" x14ac:dyDescent="0.3">
      <c r="X6458" s="1">
        <f t="shared" si="200"/>
        <v>0</v>
      </c>
      <c r="Y6458" s="1">
        <f t="shared" si="201"/>
        <v>15</v>
      </c>
    </row>
    <row r="6459" spans="24:25" x14ac:dyDescent="0.3">
      <c r="X6459" s="1">
        <f t="shared" si="200"/>
        <v>0</v>
      </c>
      <c r="Y6459" s="1">
        <f t="shared" si="201"/>
        <v>15</v>
      </c>
    </row>
    <row r="6460" spans="24:25" x14ac:dyDescent="0.3">
      <c r="X6460" s="1">
        <f t="shared" si="200"/>
        <v>0</v>
      </c>
      <c r="Y6460" s="1">
        <f t="shared" si="201"/>
        <v>15</v>
      </c>
    </row>
    <row r="6461" spans="24:25" x14ac:dyDescent="0.3">
      <c r="X6461" s="1">
        <f t="shared" si="200"/>
        <v>0</v>
      </c>
      <c r="Y6461" s="1">
        <f t="shared" si="201"/>
        <v>15</v>
      </c>
    </row>
    <row r="6462" spans="24:25" x14ac:dyDescent="0.3">
      <c r="X6462" s="1">
        <f t="shared" si="200"/>
        <v>0</v>
      </c>
      <c r="Y6462" s="1">
        <f t="shared" si="201"/>
        <v>15</v>
      </c>
    </row>
    <row r="6463" spans="24:25" x14ac:dyDescent="0.3">
      <c r="X6463" s="1">
        <f t="shared" si="200"/>
        <v>0</v>
      </c>
      <c r="Y6463" s="1">
        <f t="shared" si="201"/>
        <v>15</v>
      </c>
    </row>
    <row r="6464" spans="24:25" x14ac:dyDescent="0.3">
      <c r="X6464" s="1">
        <f t="shared" si="200"/>
        <v>0</v>
      </c>
      <c r="Y6464" s="1">
        <f t="shared" si="201"/>
        <v>15</v>
      </c>
    </row>
    <row r="6465" spans="24:25" x14ac:dyDescent="0.3">
      <c r="X6465" s="1">
        <f t="shared" si="200"/>
        <v>0</v>
      </c>
      <c r="Y6465" s="1">
        <f t="shared" si="201"/>
        <v>15</v>
      </c>
    </row>
    <row r="6466" spans="24:25" x14ac:dyDescent="0.3">
      <c r="X6466" s="1">
        <f t="shared" si="200"/>
        <v>0</v>
      </c>
      <c r="Y6466" s="1">
        <f t="shared" si="201"/>
        <v>15</v>
      </c>
    </row>
    <row r="6467" spans="24:25" x14ac:dyDescent="0.3">
      <c r="X6467" s="1">
        <f t="shared" ref="X6467:X6530" si="202">IFERROR(MATCH(W6467,$B:$B,0),0)</f>
        <v>0</v>
      </c>
      <c r="Y6467" s="1">
        <f t="shared" ref="Y6467:Y6530" si="203">IF(X6468=0,COUNTA(A:A),X6468-1)</f>
        <v>15</v>
      </c>
    </row>
    <row r="6468" spans="24:25" x14ac:dyDescent="0.3">
      <c r="X6468" s="1">
        <f t="shared" si="202"/>
        <v>0</v>
      </c>
      <c r="Y6468" s="1">
        <f t="shared" si="203"/>
        <v>15</v>
      </c>
    </row>
    <row r="6469" spans="24:25" x14ac:dyDescent="0.3">
      <c r="X6469" s="1">
        <f t="shared" si="202"/>
        <v>0</v>
      </c>
      <c r="Y6469" s="1">
        <f t="shared" si="203"/>
        <v>15</v>
      </c>
    </row>
    <row r="6470" spans="24:25" x14ac:dyDescent="0.3">
      <c r="X6470" s="1">
        <f t="shared" si="202"/>
        <v>0</v>
      </c>
      <c r="Y6470" s="1">
        <f t="shared" si="203"/>
        <v>15</v>
      </c>
    </row>
    <row r="6471" spans="24:25" x14ac:dyDescent="0.3">
      <c r="X6471" s="1">
        <f t="shared" si="202"/>
        <v>0</v>
      </c>
      <c r="Y6471" s="1">
        <f t="shared" si="203"/>
        <v>15</v>
      </c>
    </row>
    <row r="6472" spans="24:25" x14ac:dyDescent="0.3">
      <c r="X6472" s="1">
        <f t="shared" si="202"/>
        <v>0</v>
      </c>
      <c r="Y6472" s="1">
        <f t="shared" si="203"/>
        <v>15</v>
      </c>
    </row>
    <row r="6473" spans="24:25" x14ac:dyDescent="0.3">
      <c r="X6473" s="1">
        <f t="shared" si="202"/>
        <v>0</v>
      </c>
      <c r="Y6473" s="1">
        <f t="shared" si="203"/>
        <v>15</v>
      </c>
    </row>
    <row r="6474" spans="24:25" x14ac:dyDescent="0.3">
      <c r="X6474" s="1">
        <f t="shared" si="202"/>
        <v>0</v>
      </c>
      <c r="Y6474" s="1">
        <f t="shared" si="203"/>
        <v>15</v>
      </c>
    </row>
    <row r="6475" spans="24:25" x14ac:dyDescent="0.3">
      <c r="X6475" s="1">
        <f t="shared" si="202"/>
        <v>0</v>
      </c>
      <c r="Y6475" s="1">
        <f t="shared" si="203"/>
        <v>15</v>
      </c>
    </row>
    <row r="6476" spans="24:25" x14ac:dyDescent="0.3">
      <c r="X6476" s="1">
        <f t="shared" si="202"/>
        <v>0</v>
      </c>
      <c r="Y6476" s="1">
        <f t="shared" si="203"/>
        <v>15</v>
      </c>
    </row>
    <row r="6477" spans="24:25" x14ac:dyDescent="0.3">
      <c r="X6477" s="1">
        <f t="shared" si="202"/>
        <v>0</v>
      </c>
      <c r="Y6477" s="1">
        <f t="shared" si="203"/>
        <v>15</v>
      </c>
    </row>
    <row r="6478" spans="24:25" x14ac:dyDescent="0.3">
      <c r="X6478" s="1">
        <f t="shared" si="202"/>
        <v>0</v>
      </c>
      <c r="Y6478" s="1">
        <f t="shared" si="203"/>
        <v>15</v>
      </c>
    </row>
    <row r="6479" spans="24:25" x14ac:dyDescent="0.3">
      <c r="X6479" s="1">
        <f t="shared" si="202"/>
        <v>0</v>
      </c>
      <c r="Y6479" s="1">
        <f t="shared" si="203"/>
        <v>15</v>
      </c>
    </row>
    <row r="6480" spans="24:25" x14ac:dyDescent="0.3">
      <c r="X6480" s="1">
        <f t="shared" si="202"/>
        <v>0</v>
      </c>
      <c r="Y6480" s="1">
        <f t="shared" si="203"/>
        <v>15</v>
      </c>
    </row>
    <row r="6481" spans="24:25" x14ac:dyDescent="0.3">
      <c r="X6481" s="1">
        <f t="shared" si="202"/>
        <v>0</v>
      </c>
      <c r="Y6481" s="1">
        <f t="shared" si="203"/>
        <v>15</v>
      </c>
    </row>
    <row r="6482" spans="24:25" x14ac:dyDescent="0.3">
      <c r="X6482" s="1">
        <f t="shared" si="202"/>
        <v>0</v>
      </c>
      <c r="Y6482" s="1">
        <f t="shared" si="203"/>
        <v>15</v>
      </c>
    </row>
    <row r="6483" spans="24:25" x14ac:dyDescent="0.3">
      <c r="X6483" s="1">
        <f t="shared" si="202"/>
        <v>0</v>
      </c>
      <c r="Y6483" s="1">
        <f t="shared" si="203"/>
        <v>15</v>
      </c>
    </row>
    <row r="6484" spans="24:25" x14ac:dyDescent="0.3">
      <c r="X6484" s="1">
        <f t="shared" si="202"/>
        <v>0</v>
      </c>
      <c r="Y6484" s="1">
        <f t="shared" si="203"/>
        <v>15</v>
      </c>
    </row>
    <row r="6485" spans="24:25" x14ac:dyDescent="0.3">
      <c r="X6485" s="1">
        <f t="shared" si="202"/>
        <v>0</v>
      </c>
      <c r="Y6485" s="1">
        <f t="shared" si="203"/>
        <v>15</v>
      </c>
    </row>
    <row r="6486" spans="24:25" x14ac:dyDescent="0.3">
      <c r="X6486" s="1">
        <f t="shared" si="202"/>
        <v>0</v>
      </c>
      <c r="Y6486" s="1">
        <f t="shared" si="203"/>
        <v>15</v>
      </c>
    </row>
    <row r="6487" spans="24:25" x14ac:dyDescent="0.3">
      <c r="X6487" s="1">
        <f t="shared" si="202"/>
        <v>0</v>
      </c>
      <c r="Y6487" s="1">
        <f t="shared" si="203"/>
        <v>15</v>
      </c>
    </row>
    <row r="6488" spans="24:25" x14ac:dyDescent="0.3">
      <c r="X6488" s="1">
        <f t="shared" si="202"/>
        <v>0</v>
      </c>
      <c r="Y6488" s="1">
        <f t="shared" si="203"/>
        <v>15</v>
      </c>
    </row>
    <row r="6489" spans="24:25" x14ac:dyDescent="0.3">
      <c r="X6489" s="1">
        <f t="shared" si="202"/>
        <v>0</v>
      </c>
      <c r="Y6489" s="1">
        <f t="shared" si="203"/>
        <v>15</v>
      </c>
    </row>
    <row r="6490" spans="24:25" x14ac:dyDescent="0.3">
      <c r="X6490" s="1">
        <f t="shared" si="202"/>
        <v>0</v>
      </c>
      <c r="Y6490" s="1">
        <f t="shared" si="203"/>
        <v>15</v>
      </c>
    </row>
    <row r="6491" spans="24:25" x14ac:dyDescent="0.3">
      <c r="X6491" s="1">
        <f t="shared" si="202"/>
        <v>0</v>
      </c>
      <c r="Y6491" s="1">
        <f t="shared" si="203"/>
        <v>15</v>
      </c>
    </row>
    <row r="6492" spans="24:25" x14ac:dyDescent="0.3">
      <c r="X6492" s="1">
        <f t="shared" si="202"/>
        <v>0</v>
      </c>
      <c r="Y6492" s="1">
        <f t="shared" si="203"/>
        <v>15</v>
      </c>
    </row>
    <row r="6493" spans="24:25" x14ac:dyDescent="0.3">
      <c r="X6493" s="1">
        <f t="shared" si="202"/>
        <v>0</v>
      </c>
      <c r="Y6493" s="1">
        <f t="shared" si="203"/>
        <v>15</v>
      </c>
    </row>
    <row r="6494" spans="24:25" x14ac:dyDescent="0.3">
      <c r="X6494" s="1">
        <f t="shared" si="202"/>
        <v>0</v>
      </c>
      <c r="Y6494" s="1">
        <f t="shared" si="203"/>
        <v>15</v>
      </c>
    </row>
    <row r="6495" spans="24:25" x14ac:dyDescent="0.3">
      <c r="X6495" s="1">
        <f t="shared" si="202"/>
        <v>0</v>
      </c>
      <c r="Y6495" s="1">
        <f t="shared" si="203"/>
        <v>15</v>
      </c>
    </row>
    <row r="6496" spans="24:25" x14ac:dyDescent="0.3">
      <c r="X6496" s="1">
        <f t="shared" si="202"/>
        <v>0</v>
      </c>
      <c r="Y6496" s="1">
        <f t="shared" si="203"/>
        <v>15</v>
      </c>
    </row>
    <row r="6497" spans="24:25" x14ac:dyDescent="0.3">
      <c r="X6497" s="1">
        <f t="shared" si="202"/>
        <v>0</v>
      </c>
      <c r="Y6497" s="1">
        <f t="shared" si="203"/>
        <v>15</v>
      </c>
    </row>
    <row r="6498" spans="24:25" x14ac:dyDescent="0.3">
      <c r="X6498" s="1">
        <f t="shared" si="202"/>
        <v>0</v>
      </c>
      <c r="Y6498" s="1">
        <f t="shared" si="203"/>
        <v>15</v>
      </c>
    </row>
    <row r="6499" spans="24:25" x14ac:dyDescent="0.3">
      <c r="X6499" s="1">
        <f t="shared" si="202"/>
        <v>0</v>
      </c>
      <c r="Y6499" s="1">
        <f t="shared" si="203"/>
        <v>15</v>
      </c>
    </row>
    <row r="6500" spans="24:25" x14ac:dyDescent="0.3">
      <c r="X6500" s="1">
        <f t="shared" si="202"/>
        <v>0</v>
      </c>
      <c r="Y6500" s="1">
        <f t="shared" si="203"/>
        <v>15</v>
      </c>
    </row>
    <row r="6501" spans="24:25" x14ac:dyDescent="0.3">
      <c r="X6501" s="1">
        <f t="shared" si="202"/>
        <v>0</v>
      </c>
      <c r="Y6501" s="1">
        <f t="shared" si="203"/>
        <v>15</v>
      </c>
    </row>
    <row r="6502" spans="24:25" x14ac:dyDescent="0.3">
      <c r="X6502" s="1">
        <f t="shared" si="202"/>
        <v>0</v>
      </c>
      <c r="Y6502" s="1">
        <f t="shared" si="203"/>
        <v>15</v>
      </c>
    </row>
    <row r="6503" spans="24:25" x14ac:dyDescent="0.3">
      <c r="X6503" s="1">
        <f t="shared" si="202"/>
        <v>0</v>
      </c>
      <c r="Y6503" s="1">
        <f t="shared" si="203"/>
        <v>15</v>
      </c>
    </row>
    <row r="6504" spans="24:25" x14ac:dyDescent="0.3">
      <c r="X6504" s="1">
        <f t="shared" si="202"/>
        <v>0</v>
      </c>
      <c r="Y6504" s="1">
        <f t="shared" si="203"/>
        <v>15</v>
      </c>
    </row>
    <row r="6505" spans="24:25" x14ac:dyDescent="0.3">
      <c r="X6505" s="1">
        <f t="shared" si="202"/>
        <v>0</v>
      </c>
      <c r="Y6505" s="1">
        <f t="shared" si="203"/>
        <v>15</v>
      </c>
    </row>
    <row r="6506" spans="24:25" x14ac:dyDescent="0.3">
      <c r="X6506" s="1">
        <f t="shared" si="202"/>
        <v>0</v>
      </c>
      <c r="Y6506" s="1">
        <f t="shared" si="203"/>
        <v>15</v>
      </c>
    </row>
    <row r="6507" spans="24:25" x14ac:dyDescent="0.3">
      <c r="X6507" s="1">
        <f t="shared" si="202"/>
        <v>0</v>
      </c>
      <c r="Y6507" s="1">
        <f t="shared" si="203"/>
        <v>15</v>
      </c>
    </row>
    <row r="6508" spans="24:25" x14ac:dyDescent="0.3">
      <c r="X6508" s="1">
        <f t="shared" si="202"/>
        <v>0</v>
      </c>
      <c r="Y6508" s="1">
        <f t="shared" si="203"/>
        <v>15</v>
      </c>
    </row>
    <row r="6509" spans="24:25" x14ac:dyDescent="0.3">
      <c r="X6509" s="1">
        <f t="shared" si="202"/>
        <v>0</v>
      </c>
      <c r="Y6509" s="1">
        <f t="shared" si="203"/>
        <v>15</v>
      </c>
    </row>
    <row r="6510" spans="24:25" x14ac:dyDescent="0.3">
      <c r="X6510" s="1">
        <f t="shared" si="202"/>
        <v>0</v>
      </c>
      <c r="Y6510" s="1">
        <f t="shared" si="203"/>
        <v>15</v>
      </c>
    </row>
    <row r="6511" spans="24:25" x14ac:dyDescent="0.3">
      <c r="X6511" s="1">
        <f t="shared" si="202"/>
        <v>0</v>
      </c>
      <c r="Y6511" s="1">
        <f t="shared" si="203"/>
        <v>15</v>
      </c>
    </row>
    <row r="6512" spans="24:25" x14ac:dyDescent="0.3">
      <c r="X6512" s="1">
        <f t="shared" si="202"/>
        <v>0</v>
      </c>
      <c r="Y6512" s="1">
        <f t="shared" si="203"/>
        <v>15</v>
      </c>
    </row>
    <row r="6513" spans="24:25" x14ac:dyDescent="0.3">
      <c r="X6513" s="1">
        <f t="shared" si="202"/>
        <v>0</v>
      </c>
      <c r="Y6513" s="1">
        <f t="shared" si="203"/>
        <v>15</v>
      </c>
    </row>
    <row r="6514" spans="24:25" x14ac:dyDescent="0.3">
      <c r="X6514" s="1">
        <f t="shared" si="202"/>
        <v>0</v>
      </c>
      <c r="Y6514" s="1">
        <f t="shared" si="203"/>
        <v>15</v>
      </c>
    </row>
    <row r="6515" spans="24:25" x14ac:dyDescent="0.3">
      <c r="X6515" s="1">
        <f t="shared" si="202"/>
        <v>0</v>
      </c>
      <c r="Y6515" s="1">
        <f t="shared" si="203"/>
        <v>15</v>
      </c>
    </row>
    <row r="6516" spans="24:25" x14ac:dyDescent="0.3">
      <c r="X6516" s="1">
        <f t="shared" si="202"/>
        <v>0</v>
      </c>
      <c r="Y6516" s="1">
        <f t="shared" si="203"/>
        <v>15</v>
      </c>
    </row>
    <row r="6517" spans="24:25" x14ac:dyDescent="0.3">
      <c r="X6517" s="1">
        <f t="shared" si="202"/>
        <v>0</v>
      </c>
      <c r="Y6517" s="1">
        <f t="shared" si="203"/>
        <v>15</v>
      </c>
    </row>
    <row r="6518" spans="24:25" x14ac:dyDescent="0.3">
      <c r="X6518" s="1">
        <f t="shared" si="202"/>
        <v>0</v>
      </c>
      <c r="Y6518" s="1">
        <f t="shared" si="203"/>
        <v>15</v>
      </c>
    </row>
    <row r="6519" spans="24:25" x14ac:dyDescent="0.3">
      <c r="X6519" s="1">
        <f t="shared" si="202"/>
        <v>0</v>
      </c>
      <c r="Y6519" s="1">
        <f t="shared" si="203"/>
        <v>15</v>
      </c>
    </row>
    <row r="6520" spans="24:25" x14ac:dyDescent="0.3">
      <c r="X6520" s="1">
        <f t="shared" si="202"/>
        <v>0</v>
      </c>
      <c r="Y6520" s="1">
        <f t="shared" si="203"/>
        <v>15</v>
      </c>
    </row>
    <row r="6521" spans="24:25" x14ac:dyDescent="0.3">
      <c r="X6521" s="1">
        <f t="shared" si="202"/>
        <v>0</v>
      </c>
      <c r="Y6521" s="1">
        <f t="shared" si="203"/>
        <v>15</v>
      </c>
    </row>
    <row r="6522" spans="24:25" x14ac:dyDescent="0.3">
      <c r="X6522" s="1">
        <f t="shared" si="202"/>
        <v>0</v>
      </c>
      <c r="Y6522" s="1">
        <f t="shared" si="203"/>
        <v>15</v>
      </c>
    </row>
    <row r="6523" spans="24:25" x14ac:dyDescent="0.3">
      <c r="X6523" s="1">
        <f t="shared" si="202"/>
        <v>0</v>
      </c>
      <c r="Y6523" s="1">
        <f t="shared" si="203"/>
        <v>15</v>
      </c>
    </row>
    <row r="6524" spans="24:25" x14ac:dyDescent="0.3">
      <c r="X6524" s="1">
        <f t="shared" si="202"/>
        <v>0</v>
      </c>
      <c r="Y6524" s="1">
        <f t="shared" si="203"/>
        <v>15</v>
      </c>
    </row>
    <row r="6525" spans="24:25" x14ac:dyDescent="0.3">
      <c r="X6525" s="1">
        <f t="shared" si="202"/>
        <v>0</v>
      </c>
      <c r="Y6525" s="1">
        <f t="shared" si="203"/>
        <v>15</v>
      </c>
    </row>
    <row r="6526" spans="24:25" x14ac:dyDescent="0.3">
      <c r="X6526" s="1">
        <f t="shared" si="202"/>
        <v>0</v>
      </c>
      <c r="Y6526" s="1">
        <f t="shared" si="203"/>
        <v>15</v>
      </c>
    </row>
    <row r="6527" spans="24:25" x14ac:dyDescent="0.3">
      <c r="X6527" s="1">
        <f t="shared" si="202"/>
        <v>0</v>
      </c>
      <c r="Y6527" s="1">
        <f t="shared" si="203"/>
        <v>15</v>
      </c>
    </row>
    <row r="6528" spans="24:25" x14ac:dyDescent="0.3">
      <c r="X6528" s="1">
        <f t="shared" si="202"/>
        <v>0</v>
      </c>
      <c r="Y6528" s="1">
        <f t="shared" si="203"/>
        <v>15</v>
      </c>
    </row>
    <row r="6529" spans="24:25" x14ac:dyDescent="0.3">
      <c r="X6529" s="1">
        <f t="shared" si="202"/>
        <v>0</v>
      </c>
      <c r="Y6529" s="1">
        <f t="shared" si="203"/>
        <v>15</v>
      </c>
    </row>
    <row r="6530" spans="24:25" x14ac:dyDescent="0.3">
      <c r="X6530" s="1">
        <f t="shared" si="202"/>
        <v>0</v>
      </c>
      <c r="Y6530" s="1">
        <f t="shared" si="203"/>
        <v>15</v>
      </c>
    </row>
    <row r="6531" spans="24:25" x14ac:dyDescent="0.3">
      <c r="X6531" s="1">
        <f t="shared" ref="X6531:X6594" si="204">IFERROR(MATCH(W6531,$B:$B,0),0)</f>
        <v>0</v>
      </c>
      <c r="Y6531" s="1">
        <f t="shared" ref="Y6531:Y6594" si="205">IF(X6532=0,COUNTA(A:A),X6532-1)</f>
        <v>15</v>
      </c>
    </row>
    <row r="6532" spans="24:25" x14ac:dyDescent="0.3">
      <c r="X6532" s="1">
        <f t="shared" si="204"/>
        <v>0</v>
      </c>
      <c r="Y6532" s="1">
        <f t="shared" si="205"/>
        <v>15</v>
      </c>
    </row>
    <row r="6533" spans="24:25" x14ac:dyDescent="0.3">
      <c r="X6533" s="1">
        <f t="shared" si="204"/>
        <v>0</v>
      </c>
      <c r="Y6533" s="1">
        <f t="shared" si="205"/>
        <v>15</v>
      </c>
    </row>
    <row r="6534" spans="24:25" x14ac:dyDescent="0.3">
      <c r="X6534" s="1">
        <f t="shared" si="204"/>
        <v>0</v>
      </c>
      <c r="Y6534" s="1">
        <f t="shared" si="205"/>
        <v>15</v>
      </c>
    </row>
    <row r="6535" spans="24:25" x14ac:dyDescent="0.3">
      <c r="X6535" s="1">
        <f t="shared" si="204"/>
        <v>0</v>
      </c>
      <c r="Y6535" s="1">
        <f t="shared" si="205"/>
        <v>15</v>
      </c>
    </row>
    <row r="6536" spans="24:25" x14ac:dyDescent="0.3">
      <c r="X6536" s="1">
        <f t="shared" si="204"/>
        <v>0</v>
      </c>
      <c r="Y6536" s="1">
        <f t="shared" si="205"/>
        <v>15</v>
      </c>
    </row>
    <row r="6537" spans="24:25" x14ac:dyDescent="0.3">
      <c r="X6537" s="1">
        <f t="shared" si="204"/>
        <v>0</v>
      </c>
      <c r="Y6537" s="1">
        <f t="shared" si="205"/>
        <v>15</v>
      </c>
    </row>
    <row r="6538" spans="24:25" x14ac:dyDescent="0.3">
      <c r="X6538" s="1">
        <f t="shared" si="204"/>
        <v>0</v>
      </c>
      <c r="Y6538" s="1">
        <f t="shared" si="205"/>
        <v>15</v>
      </c>
    </row>
    <row r="6539" spans="24:25" x14ac:dyDescent="0.3">
      <c r="X6539" s="1">
        <f t="shared" si="204"/>
        <v>0</v>
      </c>
      <c r="Y6539" s="1">
        <f t="shared" si="205"/>
        <v>15</v>
      </c>
    </row>
    <row r="6540" spans="24:25" x14ac:dyDescent="0.3">
      <c r="X6540" s="1">
        <f t="shared" si="204"/>
        <v>0</v>
      </c>
      <c r="Y6540" s="1">
        <f t="shared" si="205"/>
        <v>15</v>
      </c>
    </row>
    <row r="6541" spans="24:25" x14ac:dyDescent="0.3">
      <c r="X6541" s="1">
        <f t="shared" si="204"/>
        <v>0</v>
      </c>
      <c r="Y6541" s="1">
        <f t="shared" si="205"/>
        <v>15</v>
      </c>
    </row>
    <row r="6542" spans="24:25" x14ac:dyDescent="0.3">
      <c r="X6542" s="1">
        <f t="shared" si="204"/>
        <v>0</v>
      </c>
      <c r="Y6542" s="1">
        <f t="shared" si="205"/>
        <v>15</v>
      </c>
    </row>
    <row r="6543" spans="24:25" x14ac:dyDescent="0.3">
      <c r="X6543" s="1">
        <f t="shared" si="204"/>
        <v>0</v>
      </c>
      <c r="Y6543" s="1">
        <f t="shared" si="205"/>
        <v>15</v>
      </c>
    </row>
    <row r="6544" spans="24:25" x14ac:dyDescent="0.3">
      <c r="X6544" s="1">
        <f t="shared" si="204"/>
        <v>0</v>
      </c>
      <c r="Y6544" s="1">
        <f t="shared" si="205"/>
        <v>15</v>
      </c>
    </row>
    <row r="6545" spans="24:25" x14ac:dyDescent="0.3">
      <c r="X6545" s="1">
        <f t="shared" si="204"/>
        <v>0</v>
      </c>
      <c r="Y6545" s="1">
        <f t="shared" si="205"/>
        <v>15</v>
      </c>
    </row>
    <row r="6546" spans="24:25" x14ac:dyDescent="0.3">
      <c r="X6546" s="1">
        <f t="shared" si="204"/>
        <v>0</v>
      </c>
      <c r="Y6546" s="1">
        <f t="shared" si="205"/>
        <v>15</v>
      </c>
    </row>
    <row r="6547" spans="24:25" x14ac:dyDescent="0.3">
      <c r="X6547" s="1">
        <f t="shared" si="204"/>
        <v>0</v>
      </c>
      <c r="Y6547" s="1">
        <f t="shared" si="205"/>
        <v>15</v>
      </c>
    </row>
    <row r="6548" spans="24:25" x14ac:dyDescent="0.3">
      <c r="X6548" s="1">
        <f t="shared" si="204"/>
        <v>0</v>
      </c>
      <c r="Y6548" s="1">
        <f t="shared" si="205"/>
        <v>15</v>
      </c>
    </row>
    <row r="6549" spans="24:25" x14ac:dyDescent="0.3">
      <c r="X6549" s="1">
        <f t="shared" si="204"/>
        <v>0</v>
      </c>
      <c r="Y6549" s="1">
        <f t="shared" si="205"/>
        <v>15</v>
      </c>
    </row>
    <row r="6550" spans="24:25" x14ac:dyDescent="0.3">
      <c r="X6550" s="1">
        <f t="shared" si="204"/>
        <v>0</v>
      </c>
      <c r="Y6550" s="1">
        <f t="shared" si="205"/>
        <v>15</v>
      </c>
    </row>
    <row r="6551" spans="24:25" x14ac:dyDescent="0.3">
      <c r="X6551" s="1">
        <f t="shared" si="204"/>
        <v>0</v>
      </c>
      <c r="Y6551" s="1">
        <f t="shared" si="205"/>
        <v>15</v>
      </c>
    </row>
    <row r="6552" spans="24:25" x14ac:dyDescent="0.3">
      <c r="X6552" s="1">
        <f t="shared" si="204"/>
        <v>0</v>
      </c>
      <c r="Y6552" s="1">
        <f t="shared" si="205"/>
        <v>15</v>
      </c>
    </row>
    <row r="6553" spans="24:25" x14ac:dyDescent="0.3">
      <c r="X6553" s="1">
        <f t="shared" si="204"/>
        <v>0</v>
      </c>
      <c r="Y6553" s="1">
        <f t="shared" si="205"/>
        <v>15</v>
      </c>
    </row>
    <row r="6554" spans="24:25" x14ac:dyDescent="0.3">
      <c r="X6554" s="1">
        <f t="shared" si="204"/>
        <v>0</v>
      </c>
      <c r="Y6554" s="1">
        <f t="shared" si="205"/>
        <v>15</v>
      </c>
    </row>
    <row r="6555" spans="24:25" x14ac:dyDescent="0.3">
      <c r="X6555" s="1">
        <f t="shared" si="204"/>
        <v>0</v>
      </c>
      <c r="Y6555" s="1">
        <f t="shared" si="205"/>
        <v>15</v>
      </c>
    </row>
    <row r="6556" spans="24:25" x14ac:dyDescent="0.3">
      <c r="X6556" s="1">
        <f t="shared" si="204"/>
        <v>0</v>
      </c>
      <c r="Y6556" s="1">
        <f t="shared" si="205"/>
        <v>15</v>
      </c>
    </row>
    <row r="6557" spans="24:25" x14ac:dyDescent="0.3">
      <c r="X6557" s="1">
        <f t="shared" si="204"/>
        <v>0</v>
      </c>
      <c r="Y6557" s="1">
        <f t="shared" si="205"/>
        <v>15</v>
      </c>
    </row>
    <row r="6558" spans="24:25" x14ac:dyDescent="0.3">
      <c r="X6558" s="1">
        <f t="shared" si="204"/>
        <v>0</v>
      </c>
      <c r="Y6558" s="1">
        <f t="shared" si="205"/>
        <v>15</v>
      </c>
    </row>
    <row r="6559" spans="24:25" x14ac:dyDescent="0.3">
      <c r="X6559" s="1">
        <f t="shared" si="204"/>
        <v>0</v>
      </c>
      <c r="Y6559" s="1">
        <f t="shared" si="205"/>
        <v>15</v>
      </c>
    </row>
    <row r="6560" spans="24:25" x14ac:dyDescent="0.3">
      <c r="X6560" s="1">
        <f t="shared" si="204"/>
        <v>0</v>
      </c>
      <c r="Y6560" s="1">
        <f t="shared" si="205"/>
        <v>15</v>
      </c>
    </row>
    <row r="6561" spans="24:25" x14ac:dyDescent="0.3">
      <c r="X6561" s="1">
        <f t="shared" si="204"/>
        <v>0</v>
      </c>
      <c r="Y6561" s="1">
        <f t="shared" si="205"/>
        <v>15</v>
      </c>
    </row>
    <row r="6562" spans="24:25" x14ac:dyDescent="0.3">
      <c r="X6562" s="1">
        <f t="shared" si="204"/>
        <v>0</v>
      </c>
      <c r="Y6562" s="1">
        <f t="shared" si="205"/>
        <v>15</v>
      </c>
    </row>
    <row r="6563" spans="24:25" x14ac:dyDescent="0.3">
      <c r="X6563" s="1">
        <f t="shared" si="204"/>
        <v>0</v>
      </c>
      <c r="Y6563" s="1">
        <f t="shared" si="205"/>
        <v>15</v>
      </c>
    </row>
    <row r="6564" spans="24:25" x14ac:dyDescent="0.3">
      <c r="X6564" s="1">
        <f t="shared" si="204"/>
        <v>0</v>
      </c>
      <c r="Y6564" s="1">
        <f t="shared" si="205"/>
        <v>15</v>
      </c>
    </row>
    <row r="6565" spans="24:25" x14ac:dyDescent="0.3">
      <c r="X6565" s="1">
        <f t="shared" si="204"/>
        <v>0</v>
      </c>
      <c r="Y6565" s="1">
        <f t="shared" si="205"/>
        <v>15</v>
      </c>
    </row>
    <row r="6566" spans="24:25" x14ac:dyDescent="0.3">
      <c r="X6566" s="1">
        <f t="shared" si="204"/>
        <v>0</v>
      </c>
      <c r="Y6566" s="1">
        <f t="shared" si="205"/>
        <v>15</v>
      </c>
    </row>
    <row r="6567" spans="24:25" x14ac:dyDescent="0.3">
      <c r="X6567" s="1">
        <f t="shared" si="204"/>
        <v>0</v>
      </c>
      <c r="Y6567" s="1">
        <f t="shared" si="205"/>
        <v>15</v>
      </c>
    </row>
    <row r="6568" spans="24:25" x14ac:dyDescent="0.3">
      <c r="X6568" s="1">
        <f t="shared" si="204"/>
        <v>0</v>
      </c>
      <c r="Y6568" s="1">
        <f t="shared" si="205"/>
        <v>15</v>
      </c>
    </row>
    <row r="6569" spans="24:25" x14ac:dyDescent="0.3">
      <c r="X6569" s="1">
        <f t="shared" si="204"/>
        <v>0</v>
      </c>
      <c r="Y6569" s="1">
        <f t="shared" si="205"/>
        <v>15</v>
      </c>
    </row>
    <row r="6570" spans="24:25" x14ac:dyDescent="0.3">
      <c r="X6570" s="1">
        <f t="shared" si="204"/>
        <v>0</v>
      </c>
      <c r="Y6570" s="1">
        <f t="shared" si="205"/>
        <v>15</v>
      </c>
    </row>
    <row r="6571" spans="24:25" x14ac:dyDescent="0.3">
      <c r="X6571" s="1">
        <f t="shared" si="204"/>
        <v>0</v>
      </c>
      <c r="Y6571" s="1">
        <f t="shared" si="205"/>
        <v>15</v>
      </c>
    </row>
    <row r="6572" spans="24:25" x14ac:dyDescent="0.3">
      <c r="X6572" s="1">
        <f t="shared" si="204"/>
        <v>0</v>
      </c>
      <c r="Y6572" s="1">
        <f t="shared" si="205"/>
        <v>15</v>
      </c>
    </row>
    <row r="6573" spans="24:25" x14ac:dyDescent="0.3">
      <c r="X6573" s="1">
        <f t="shared" si="204"/>
        <v>0</v>
      </c>
      <c r="Y6573" s="1">
        <f t="shared" si="205"/>
        <v>15</v>
      </c>
    </row>
    <row r="6574" spans="24:25" x14ac:dyDescent="0.3">
      <c r="X6574" s="1">
        <f t="shared" si="204"/>
        <v>0</v>
      </c>
      <c r="Y6574" s="1">
        <f t="shared" si="205"/>
        <v>15</v>
      </c>
    </row>
    <row r="6575" spans="24:25" x14ac:dyDescent="0.3">
      <c r="X6575" s="1">
        <f t="shared" si="204"/>
        <v>0</v>
      </c>
      <c r="Y6575" s="1">
        <f t="shared" si="205"/>
        <v>15</v>
      </c>
    </row>
    <row r="6576" spans="24:25" x14ac:dyDescent="0.3">
      <c r="X6576" s="1">
        <f t="shared" si="204"/>
        <v>0</v>
      </c>
      <c r="Y6576" s="1">
        <f t="shared" si="205"/>
        <v>15</v>
      </c>
    </row>
    <row r="6577" spans="24:25" x14ac:dyDescent="0.3">
      <c r="X6577" s="1">
        <f t="shared" si="204"/>
        <v>0</v>
      </c>
      <c r="Y6577" s="1">
        <f t="shared" si="205"/>
        <v>15</v>
      </c>
    </row>
    <row r="6578" spans="24:25" x14ac:dyDescent="0.3">
      <c r="X6578" s="1">
        <f t="shared" si="204"/>
        <v>0</v>
      </c>
      <c r="Y6578" s="1">
        <f t="shared" si="205"/>
        <v>15</v>
      </c>
    </row>
    <row r="6579" spans="24:25" x14ac:dyDescent="0.3">
      <c r="X6579" s="1">
        <f t="shared" si="204"/>
        <v>0</v>
      </c>
      <c r="Y6579" s="1">
        <f t="shared" si="205"/>
        <v>15</v>
      </c>
    </row>
    <row r="6580" spans="24:25" x14ac:dyDescent="0.3">
      <c r="X6580" s="1">
        <f t="shared" si="204"/>
        <v>0</v>
      </c>
      <c r="Y6580" s="1">
        <f t="shared" si="205"/>
        <v>15</v>
      </c>
    </row>
    <row r="6581" spans="24:25" x14ac:dyDescent="0.3">
      <c r="X6581" s="1">
        <f t="shared" si="204"/>
        <v>0</v>
      </c>
      <c r="Y6581" s="1">
        <f t="shared" si="205"/>
        <v>15</v>
      </c>
    </row>
    <row r="6582" spans="24:25" x14ac:dyDescent="0.3">
      <c r="X6582" s="1">
        <f t="shared" si="204"/>
        <v>0</v>
      </c>
      <c r="Y6582" s="1">
        <f t="shared" si="205"/>
        <v>15</v>
      </c>
    </row>
    <row r="6583" spans="24:25" x14ac:dyDescent="0.3">
      <c r="X6583" s="1">
        <f t="shared" si="204"/>
        <v>0</v>
      </c>
      <c r="Y6583" s="1">
        <f t="shared" si="205"/>
        <v>15</v>
      </c>
    </row>
    <row r="6584" spans="24:25" x14ac:dyDescent="0.3">
      <c r="X6584" s="1">
        <f t="shared" si="204"/>
        <v>0</v>
      </c>
      <c r="Y6584" s="1">
        <f t="shared" si="205"/>
        <v>15</v>
      </c>
    </row>
    <row r="6585" spans="24:25" x14ac:dyDescent="0.3">
      <c r="X6585" s="1">
        <f t="shared" si="204"/>
        <v>0</v>
      </c>
      <c r="Y6585" s="1">
        <f t="shared" si="205"/>
        <v>15</v>
      </c>
    </row>
    <row r="6586" spans="24:25" x14ac:dyDescent="0.3">
      <c r="X6586" s="1">
        <f t="shared" si="204"/>
        <v>0</v>
      </c>
      <c r="Y6586" s="1">
        <f t="shared" si="205"/>
        <v>15</v>
      </c>
    </row>
    <row r="6587" spans="24:25" x14ac:dyDescent="0.3">
      <c r="X6587" s="1">
        <f t="shared" si="204"/>
        <v>0</v>
      </c>
      <c r="Y6587" s="1">
        <f t="shared" si="205"/>
        <v>15</v>
      </c>
    </row>
    <row r="6588" spans="24:25" x14ac:dyDescent="0.3">
      <c r="X6588" s="1">
        <f t="shared" si="204"/>
        <v>0</v>
      </c>
      <c r="Y6588" s="1">
        <f t="shared" si="205"/>
        <v>15</v>
      </c>
    </row>
    <row r="6589" spans="24:25" x14ac:dyDescent="0.3">
      <c r="X6589" s="1">
        <f t="shared" si="204"/>
        <v>0</v>
      </c>
      <c r="Y6589" s="1">
        <f t="shared" si="205"/>
        <v>15</v>
      </c>
    </row>
    <row r="6590" spans="24:25" x14ac:dyDescent="0.3">
      <c r="X6590" s="1">
        <f t="shared" si="204"/>
        <v>0</v>
      </c>
      <c r="Y6590" s="1">
        <f t="shared" si="205"/>
        <v>15</v>
      </c>
    </row>
    <row r="6591" spans="24:25" x14ac:dyDescent="0.3">
      <c r="X6591" s="1">
        <f t="shared" si="204"/>
        <v>0</v>
      </c>
      <c r="Y6591" s="1">
        <f t="shared" si="205"/>
        <v>15</v>
      </c>
    </row>
    <row r="6592" spans="24:25" x14ac:dyDescent="0.3">
      <c r="X6592" s="1">
        <f t="shared" si="204"/>
        <v>0</v>
      </c>
      <c r="Y6592" s="1">
        <f t="shared" si="205"/>
        <v>15</v>
      </c>
    </row>
    <row r="6593" spans="24:25" x14ac:dyDescent="0.3">
      <c r="X6593" s="1">
        <f t="shared" si="204"/>
        <v>0</v>
      </c>
      <c r="Y6593" s="1">
        <f t="shared" si="205"/>
        <v>15</v>
      </c>
    </row>
    <row r="6594" spans="24:25" x14ac:dyDescent="0.3">
      <c r="X6594" s="1">
        <f t="shared" si="204"/>
        <v>0</v>
      </c>
      <c r="Y6594" s="1">
        <f t="shared" si="205"/>
        <v>15</v>
      </c>
    </row>
    <row r="6595" spans="24:25" x14ac:dyDescent="0.3">
      <c r="X6595" s="1">
        <f t="shared" ref="X6595:X6658" si="206">IFERROR(MATCH(W6595,$B:$B,0),0)</f>
        <v>0</v>
      </c>
      <c r="Y6595" s="1">
        <f t="shared" ref="Y6595:Y6658" si="207">IF(X6596=0,COUNTA(A:A),X6596-1)</f>
        <v>15</v>
      </c>
    </row>
    <row r="6596" spans="24:25" x14ac:dyDescent="0.3">
      <c r="X6596" s="1">
        <f t="shared" si="206"/>
        <v>0</v>
      </c>
      <c r="Y6596" s="1">
        <f t="shared" si="207"/>
        <v>15</v>
      </c>
    </row>
    <row r="6597" spans="24:25" x14ac:dyDescent="0.3">
      <c r="X6597" s="1">
        <f t="shared" si="206"/>
        <v>0</v>
      </c>
      <c r="Y6597" s="1">
        <f t="shared" si="207"/>
        <v>15</v>
      </c>
    </row>
    <row r="6598" spans="24:25" x14ac:dyDescent="0.3">
      <c r="X6598" s="1">
        <f t="shared" si="206"/>
        <v>0</v>
      </c>
      <c r="Y6598" s="1">
        <f t="shared" si="207"/>
        <v>15</v>
      </c>
    </row>
    <row r="6599" spans="24:25" x14ac:dyDescent="0.3">
      <c r="X6599" s="1">
        <f t="shared" si="206"/>
        <v>0</v>
      </c>
      <c r="Y6599" s="1">
        <f t="shared" si="207"/>
        <v>15</v>
      </c>
    </row>
    <row r="6600" spans="24:25" x14ac:dyDescent="0.3">
      <c r="X6600" s="1">
        <f t="shared" si="206"/>
        <v>0</v>
      </c>
      <c r="Y6600" s="1">
        <f t="shared" si="207"/>
        <v>15</v>
      </c>
    </row>
    <row r="6601" spans="24:25" x14ac:dyDescent="0.3">
      <c r="X6601" s="1">
        <f t="shared" si="206"/>
        <v>0</v>
      </c>
      <c r="Y6601" s="1">
        <f t="shared" si="207"/>
        <v>15</v>
      </c>
    </row>
    <row r="6602" spans="24:25" x14ac:dyDescent="0.3">
      <c r="X6602" s="1">
        <f t="shared" si="206"/>
        <v>0</v>
      </c>
      <c r="Y6602" s="1">
        <f t="shared" si="207"/>
        <v>15</v>
      </c>
    </row>
    <row r="6603" spans="24:25" x14ac:dyDescent="0.3">
      <c r="X6603" s="1">
        <f t="shared" si="206"/>
        <v>0</v>
      </c>
      <c r="Y6603" s="1">
        <f t="shared" si="207"/>
        <v>15</v>
      </c>
    </row>
    <row r="6604" spans="24:25" x14ac:dyDescent="0.3">
      <c r="X6604" s="1">
        <f t="shared" si="206"/>
        <v>0</v>
      </c>
      <c r="Y6604" s="1">
        <f t="shared" si="207"/>
        <v>15</v>
      </c>
    </row>
    <row r="6605" spans="24:25" x14ac:dyDescent="0.3">
      <c r="X6605" s="1">
        <f t="shared" si="206"/>
        <v>0</v>
      </c>
      <c r="Y6605" s="1">
        <f t="shared" si="207"/>
        <v>15</v>
      </c>
    </row>
    <row r="6606" spans="24:25" x14ac:dyDescent="0.3">
      <c r="X6606" s="1">
        <f t="shared" si="206"/>
        <v>0</v>
      </c>
      <c r="Y6606" s="1">
        <f t="shared" si="207"/>
        <v>15</v>
      </c>
    </row>
    <row r="6607" spans="24:25" x14ac:dyDescent="0.3">
      <c r="X6607" s="1">
        <f t="shared" si="206"/>
        <v>0</v>
      </c>
      <c r="Y6607" s="1">
        <f t="shared" si="207"/>
        <v>15</v>
      </c>
    </row>
    <row r="6608" spans="24:25" x14ac:dyDescent="0.3">
      <c r="X6608" s="1">
        <f t="shared" si="206"/>
        <v>0</v>
      </c>
      <c r="Y6608" s="1">
        <f t="shared" si="207"/>
        <v>15</v>
      </c>
    </row>
    <row r="6609" spans="24:25" x14ac:dyDescent="0.3">
      <c r="X6609" s="1">
        <f t="shared" si="206"/>
        <v>0</v>
      </c>
      <c r="Y6609" s="1">
        <f t="shared" si="207"/>
        <v>15</v>
      </c>
    </row>
    <row r="6610" spans="24:25" x14ac:dyDescent="0.3">
      <c r="X6610" s="1">
        <f t="shared" si="206"/>
        <v>0</v>
      </c>
      <c r="Y6610" s="1">
        <f t="shared" si="207"/>
        <v>15</v>
      </c>
    </row>
    <row r="6611" spans="24:25" x14ac:dyDescent="0.3">
      <c r="X6611" s="1">
        <f t="shared" si="206"/>
        <v>0</v>
      </c>
      <c r="Y6611" s="1">
        <f t="shared" si="207"/>
        <v>15</v>
      </c>
    </row>
    <row r="6612" spans="24:25" x14ac:dyDescent="0.3">
      <c r="X6612" s="1">
        <f t="shared" si="206"/>
        <v>0</v>
      </c>
      <c r="Y6612" s="1">
        <f t="shared" si="207"/>
        <v>15</v>
      </c>
    </row>
    <row r="6613" spans="24:25" x14ac:dyDescent="0.3">
      <c r="X6613" s="1">
        <f t="shared" si="206"/>
        <v>0</v>
      </c>
      <c r="Y6613" s="1">
        <f t="shared" si="207"/>
        <v>15</v>
      </c>
    </row>
    <row r="6614" spans="24:25" x14ac:dyDescent="0.3">
      <c r="X6614" s="1">
        <f t="shared" si="206"/>
        <v>0</v>
      </c>
      <c r="Y6614" s="1">
        <f t="shared" si="207"/>
        <v>15</v>
      </c>
    </row>
    <row r="6615" spans="24:25" x14ac:dyDescent="0.3">
      <c r="X6615" s="1">
        <f t="shared" si="206"/>
        <v>0</v>
      </c>
      <c r="Y6615" s="1">
        <f t="shared" si="207"/>
        <v>15</v>
      </c>
    </row>
    <row r="6616" spans="24:25" x14ac:dyDescent="0.3">
      <c r="X6616" s="1">
        <f t="shared" si="206"/>
        <v>0</v>
      </c>
      <c r="Y6616" s="1">
        <f t="shared" si="207"/>
        <v>15</v>
      </c>
    </row>
    <row r="6617" spans="24:25" x14ac:dyDescent="0.3">
      <c r="X6617" s="1">
        <f t="shared" si="206"/>
        <v>0</v>
      </c>
      <c r="Y6617" s="1">
        <f t="shared" si="207"/>
        <v>15</v>
      </c>
    </row>
    <row r="6618" spans="24:25" x14ac:dyDescent="0.3">
      <c r="X6618" s="1">
        <f t="shared" si="206"/>
        <v>0</v>
      </c>
      <c r="Y6618" s="1">
        <f t="shared" si="207"/>
        <v>15</v>
      </c>
    </row>
    <row r="6619" spans="24:25" x14ac:dyDescent="0.3">
      <c r="X6619" s="1">
        <f t="shared" si="206"/>
        <v>0</v>
      </c>
      <c r="Y6619" s="1">
        <f t="shared" si="207"/>
        <v>15</v>
      </c>
    </row>
    <row r="6620" spans="24:25" x14ac:dyDescent="0.3">
      <c r="X6620" s="1">
        <f t="shared" si="206"/>
        <v>0</v>
      </c>
      <c r="Y6620" s="1">
        <f t="shared" si="207"/>
        <v>15</v>
      </c>
    </row>
    <row r="6621" spans="24:25" x14ac:dyDescent="0.3">
      <c r="X6621" s="1">
        <f t="shared" si="206"/>
        <v>0</v>
      </c>
      <c r="Y6621" s="1">
        <f t="shared" si="207"/>
        <v>15</v>
      </c>
    </row>
    <row r="6622" spans="24:25" x14ac:dyDescent="0.3">
      <c r="X6622" s="1">
        <f t="shared" si="206"/>
        <v>0</v>
      </c>
      <c r="Y6622" s="1">
        <f t="shared" si="207"/>
        <v>15</v>
      </c>
    </row>
    <row r="6623" spans="24:25" x14ac:dyDescent="0.3">
      <c r="X6623" s="1">
        <f t="shared" si="206"/>
        <v>0</v>
      </c>
      <c r="Y6623" s="1">
        <f t="shared" si="207"/>
        <v>15</v>
      </c>
    </row>
    <row r="6624" spans="24:25" x14ac:dyDescent="0.3">
      <c r="X6624" s="1">
        <f t="shared" si="206"/>
        <v>0</v>
      </c>
      <c r="Y6624" s="1">
        <f t="shared" si="207"/>
        <v>15</v>
      </c>
    </row>
    <row r="6625" spans="24:25" x14ac:dyDescent="0.3">
      <c r="X6625" s="1">
        <f t="shared" si="206"/>
        <v>0</v>
      </c>
      <c r="Y6625" s="1">
        <f t="shared" si="207"/>
        <v>15</v>
      </c>
    </row>
    <row r="6626" spans="24:25" x14ac:dyDescent="0.3">
      <c r="X6626" s="1">
        <f t="shared" si="206"/>
        <v>0</v>
      </c>
      <c r="Y6626" s="1">
        <f t="shared" si="207"/>
        <v>15</v>
      </c>
    </row>
    <row r="6627" spans="24:25" x14ac:dyDescent="0.3">
      <c r="X6627" s="1">
        <f t="shared" si="206"/>
        <v>0</v>
      </c>
      <c r="Y6627" s="1">
        <f t="shared" si="207"/>
        <v>15</v>
      </c>
    </row>
    <row r="6628" spans="24:25" x14ac:dyDescent="0.3">
      <c r="X6628" s="1">
        <f t="shared" si="206"/>
        <v>0</v>
      </c>
      <c r="Y6628" s="1">
        <f t="shared" si="207"/>
        <v>15</v>
      </c>
    </row>
    <row r="6629" spans="24:25" x14ac:dyDescent="0.3">
      <c r="X6629" s="1">
        <f t="shared" si="206"/>
        <v>0</v>
      </c>
      <c r="Y6629" s="1">
        <f t="shared" si="207"/>
        <v>15</v>
      </c>
    </row>
    <row r="6630" spans="24:25" x14ac:dyDescent="0.3">
      <c r="X6630" s="1">
        <f t="shared" si="206"/>
        <v>0</v>
      </c>
      <c r="Y6630" s="1">
        <f t="shared" si="207"/>
        <v>15</v>
      </c>
    </row>
    <row r="6631" spans="24:25" x14ac:dyDescent="0.3">
      <c r="X6631" s="1">
        <f t="shared" si="206"/>
        <v>0</v>
      </c>
      <c r="Y6631" s="1">
        <f t="shared" si="207"/>
        <v>15</v>
      </c>
    </row>
    <row r="6632" spans="24:25" x14ac:dyDescent="0.3">
      <c r="X6632" s="1">
        <f t="shared" si="206"/>
        <v>0</v>
      </c>
      <c r="Y6632" s="1">
        <f t="shared" si="207"/>
        <v>15</v>
      </c>
    </row>
    <row r="6633" spans="24:25" x14ac:dyDescent="0.3">
      <c r="X6633" s="1">
        <f t="shared" si="206"/>
        <v>0</v>
      </c>
      <c r="Y6633" s="1">
        <f t="shared" si="207"/>
        <v>15</v>
      </c>
    </row>
    <row r="6634" spans="24:25" x14ac:dyDescent="0.3">
      <c r="X6634" s="1">
        <f t="shared" si="206"/>
        <v>0</v>
      </c>
      <c r="Y6634" s="1">
        <f t="shared" si="207"/>
        <v>15</v>
      </c>
    </row>
    <row r="6635" spans="24:25" x14ac:dyDescent="0.3">
      <c r="X6635" s="1">
        <f t="shared" si="206"/>
        <v>0</v>
      </c>
      <c r="Y6635" s="1">
        <f t="shared" si="207"/>
        <v>15</v>
      </c>
    </row>
    <row r="6636" spans="24:25" x14ac:dyDescent="0.3">
      <c r="X6636" s="1">
        <f t="shared" si="206"/>
        <v>0</v>
      </c>
      <c r="Y6636" s="1">
        <f t="shared" si="207"/>
        <v>15</v>
      </c>
    </row>
    <row r="6637" spans="24:25" x14ac:dyDescent="0.3">
      <c r="X6637" s="1">
        <f t="shared" si="206"/>
        <v>0</v>
      </c>
      <c r="Y6637" s="1">
        <f t="shared" si="207"/>
        <v>15</v>
      </c>
    </row>
    <row r="6638" spans="24:25" x14ac:dyDescent="0.3">
      <c r="X6638" s="1">
        <f t="shared" si="206"/>
        <v>0</v>
      </c>
      <c r="Y6638" s="1">
        <f t="shared" si="207"/>
        <v>15</v>
      </c>
    </row>
    <row r="6639" spans="24:25" x14ac:dyDescent="0.3">
      <c r="X6639" s="1">
        <f t="shared" si="206"/>
        <v>0</v>
      </c>
      <c r="Y6639" s="1">
        <f t="shared" si="207"/>
        <v>15</v>
      </c>
    </row>
    <row r="6640" spans="24:25" x14ac:dyDescent="0.3">
      <c r="X6640" s="1">
        <f t="shared" si="206"/>
        <v>0</v>
      </c>
      <c r="Y6640" s="1">
        <f t="shared" si="207"/>
        <v>15</v>
      </c>
    </row>
    <row r="6641" spans="24:25" x14ac:dyDescent="0.3">
      <c r="X6641" s="1">
        <f t="shared" si="206"/>
        <v>0</v>
      </c>
      <c r="Y6641" s="1">
        <f t="shared" si="207"/>
        <v>15</v>
      </c>
    </row>
    <row r="6642" spans="24:25" x14ac:dyDescent="0.3">
      <c r="X6642" s="1">
        <f t="shared" si="206"/>
        <v>0</v>
      </c>
      <c r="Y6642" s="1">
        <f t="shared" si="207"/>
        <v>15</v>
      </c>
    </row>
    <row r="6643" spans="24:25" x14ac:dyDescent="0.3">
      <c r="X6643" s="1">
        <f t="shared" si="206"/>
        <v>0</v>
      </c>
      <c r="Y6643" s="1">
        <f t="shared" si="207"/>
        <v>15</v>
      </c>
    </row>
    <row r="6644" spans="24:25" x14ac:dyDescent="0.3">
      <c r="X6644" s="1">
        <f t="shared" si="206"/>
        <v>0</v>
      </c>
      <c r="Y6644" s="1">
        <f t="shared" si="207"/>
        <v>15</v>
      </c>
    </row>
    <row r="6645" spans="24:25" x14ac:dyDescent="0.3">
      <c r="X6645" s="1">
        <f t="shared" si="206"/>
        <v>0</v>
      </c>
      <c r="Y6645" s="1">
        <f t="shared" si="207"/>
        <v>15</v>
      </c>
    </row>
    <row r="6646" spans="24:25" x14ac:dyDescent="0.3">
      <c r="X6646" s="1">
        <f t="shared" si="206"/>
        <v>0</v>
      </c>
      <c r="Y6646" s="1">
        <f t="shared" si="207"/>
        <v>15</v>
      </c>
    </row>
    <row r="6647" spans="24:25" x14ac:dyDescent="0.3">
      <c r="X6647" s="1">
        <f t="shared" si="206"/>
        <v>0</v>
      </c>
      <c r="Y6647" s="1">
        <f t="shared" si="207"/>
        <v>15</v>
      </c>
    </row>
    <row r="6648" spans="24:25" x14ac:dyDescent="0.3">
      <c r="X6648" s="1">
        <f t="shared" si="206"/>
        <v>0</v>
      </c>
      <c r="Y6648" s="1">
        <f t="shared" si="207"/>
        <v>15</v>
      </c>
    </row>
    <row r="6649" spans="24:25" x14ac:dyDescent="0.3">
      <c r="X6649" s="1">
        <f t="shared" si="206"/>
        <v>0</v>
      </c>
      <c r="Y6649" s="1">
        <f t="shared" si="207"/>
        <v>15</v>
      </c>
    </row>
    <row r="6650" spans="24:25" x14ac:dyDescent="0.3">
      <c r="X6650" s="1">
        <f t="shared" si="206"/>
        <v>0</v>
      </c>
      <c r="Y6650" s="1">
        <f t="shared" si="207"/>
        <v>15</v>
      </c>
    </row>
    <row r="6651" spans="24:25" x14ac:dyDescent="0.3">
      <c r="X6651" s="1">
        <f t="shared" si="206"/>
        <v>0</v>
      </c>
      <c r="Y6651" s="1">
        <f t="shared" si="207"/>
        <v>15</v>
      </c>
    </row>
    <row r="6652" spans="24:25" x14ac:dyDescent="0.3">
      <c r="X6652" s="1">
        <f t="shared" si="206"/>
        <v>0</v>
      </c>
      <c r="Y6652" s="1">
        <f t="shared" si="207"/>
        <v>15</v>
      </c>
    </row>
    <row r="6653" spans="24:25" x14ac:dyDescent="0.3">
      <c r="X6653" s="1">
        <f t="shared" si="206"/>
        <v>0</v>
      </c>
      <c r="Y6653" s="1">
        <f t="shared" si="207"/>
        <v>15</v>
      </c>
    </row>
    <row r="6654" spans="24:25" x14ac:dyDescent="0.3">
      <c r="X6654" s="1">
        <f t="shared" si="206"/>
        <v>0</v>
      </c>
      <c r="Y6654" s="1">
        <f t="shared" si="207"/>
        <v>15</v>
      </c>
    </row>
    <row r="6655" spans="24:25" x14ac:dyDescent="0.3">
      <c r="X6655" s="1">
        <f t="shared" si="206"/>
        <v>0</v>
      </c>
      <c r="Y6655" s="1">
        <f t="shared" si="207"/>
        <v>15</v>
      </c>
    </row>
    <row r="6656" spans="24:25" x14ac:dyDescent="0.3">
      <c r="X6656" s="1">
        <f t="shared" si="206"/>
        <v>0</v>
      </c>
      <c r="Y6656" s="1">
        <f t="shared" si="207"/>
        <v>15</v>
      </c>
    </row>
    <row r="6657" spans="24:25" x14ac:dyDescent="0.3">
      <c r="X6657" s="1">
        <f t="shared" si="206"/>
        <v>0</v>
      </c>
      <c r="Y6657" s="1">
        <f t="shared" si="207"/>
        <v>15</v>
      </c>
    </row>
    <row r="6658" spans="24:25" x14ac:dyDescent="0.3">
      <c r="X6658" s="1">
        <f t="shared" si="206"/>
        <v>0</v>
      </c>
      <c r="Y6658" s="1">
        <f t="shared" si="207"/>
        <v>15</v>
      </c>
    </row>
    <row r="6659" spans="24:25" x14ac:dyDescent="0.3">
      <c r="X6659" s="1">
        <f t="shared" ref="X6659:X6722" si="208">IFERROR(MATCH(W6659,$B:$B,0),0)</f>
        <v>0</v>
      </c>
      <c r="Y6659" s="1">
        <f t="shared" ref="Y6659:Y6722" si="209">IF(X6660=0,COUNTA(A:A),X6660-1)</f>
        <v>15</v>
      </c>
    </row>
    <row r="6660" spans="24:25" x14ac:dyDescent="0.3">
      <c r="X6660" s="1">
        <f t="shared" si="208"/>
        <v>0</v>
      </c>
      <c r="Y6660" s="1">
        <f t="shared" si="209"/>
        <v>15</v>
      </c>
    </row>
    <row r="6661" spans="24:25" x14ac:dyDescent="0.3">
      <c r="X6661" s="1">
        <f t="shared" si="208"/>
        <v>0</v>
      </c>
      <c r="Y6661" s="1">
        <f t="shared" si="209"/>
        <v>15</v>
      </c>
    </row>
    <row r="6662" spans="24:25" x14ac:dyDescent="0.3">
      <c r="X6662" s="1">
        <f t="shared" si="208"/>
        <v>0</v>
      </c>
      <c r="Y6662" s="1">
        <f t="shared" si="209"/>
        <v>15</v>
      </c>
    </row>
    <row r="6663" spans="24:25" x14ac:dyDescent="0.3">
      <c r="X6663" s="1">
        <f t="shared" si="208"/>
        <v>0</v>
      </c>
      <c r="Y6663" s="1">
        <f t="shared" si="209"/>
        <v>15</v>
      </c>
    </row>
    <row r="6664" spans="24:25" x14ac:dyDescent="0.3">
      <c r="X6664" s="1">
        <f t="shared" si="208"/>
        <v>0</v>
      </c>
      <c r="Y6664" s="1">
        <f t="shared" si="209"/>
        <v>15</v>
      </c>
    </row>
    <row r="6665" spans="24:25" x14ac:dyDescent="0.3">
      <c r="X6665" s="1">
        <f t="shared" si="208"/>
        <v>0</v>
      </c>
      <c r="Y6665" s="1">
        <f t="shared" si="209"/>
        <v>15</v>
      </c>
    </row>
    <row r="6666" spans="24:25" x14ac:dyDescent="0.3">
      <c r="X6666" s="1">
        <f t="shared" si="208"/>
        <v>0</v>
      </c>
      <c r="Y6666" s="1">
        <f t="shared" si="209"/>
        <v>15</v>
      </c>
    </row>
    <row r="6667" spans="24:25" x14ac:dyDescent="0.3">
      <c r="X6667" s="1">
        <f t="shared" si="208"/>
        <v>0</v>
      </c>
      <c r="Y6667" s="1">
        <f t="shared" si="209"/>
        <v>15</v>
      </c>
    </row>
    <row r="6668" spans="24:25" x14ac:dyDescent="0.3">
      <c r="X6668" s="1">
        <f t="shared" si="208"/>
        <v>0</v>
      </c>
      <c r="Y6668" s="1">
        <f t="shared" si="209"/>
        <v>15</v>
      </c>
    </row>
    <row r="6669" spans="24:25" x14ac:dyDescent="0.3">
      <c r="X6669" s="1">
        <f t="shared" si="208"/>
        <v>0</v>
      </c>
      <c r="Y6669" s="1">
        <f t="shared" si="209"/>
        <v>15</v>
      </c>
    </row>
    <row r="6670" spans="24:25" x14ac:dyDescent="0.3">
      <c r="X6670" s="1">
        <f t="shared" si="208"/>
        <v>0</v>
      </c>
      <c r="Y6670" s="1">
        <f t="shared" si="209"/>
        <v>15</v>
      </c>
    </row>
    <row r="6671" spans="24:25" x14ac:dyDescent="0.3">
      <c r="X6671" s="1">
        <f t="shared" si="208"/>
        <v>0</v>
      </c>
      <c r="Y6671" s="1">
        <f t="shared" si="209"/>
        <v>15</v>
      </c>
    </row>
    <row r="6672" spans="24:25" x14ac:dyDescent="0.3">
      <c r="X6672" s="1">
        <f t="shared" si="208"/>
        <v>0</v>
      </c>
      <c r="Y6672" s="1">
        <f t="shared" si="209"/>
        <v>15</v>
      </c>
    </row>
    <row r="6673" spans="24:25" x14ac:dyDescent="0.3">
      <c r="X6673" s="1">
        <f t="shared" si="208"/>
        <v>0</v>
      </c>
      <c r="Y6673" s="1">
        <f t="shared" si="209"/>
        <v>15</v>
      </c>
    </row>
    <row r="6674" spans="24:25" x14ac:dyDescent="0.3">
      <c r="X6674" s="1">
        <f t="shared" si="208"/>
        <v>0</v>
      </c>
      <c r="Y6674" s="1">
        <f t="shared" si="209"/>
        <v>15</v>
      </c>
    </row>
    <row r="6675" spans="24:25" x14ac:dyDescent="0.3">
      <c r="X6675" s="1">
        <f t="shared" si="208"/>
        <v>0</v>
      </c>
      <c r="Y6675" s="1">
        <f t="shared" si="209"/>
        <v>15</v>
      </c>
    </row>
    <row r="6676" spans="24:25" x14ac:dyDescent="0.3">
      <c r="X6676" s="1">
        <f t="shared" si="208"/>
        <v>0</v>
      </c>
      <c r="Y6676" s="1">
        <f t="shared" si="209"/>
        <v>15</v>
      </c>
    </row>
    <row r="6677" spans="24:25" x14ac:dyDescent="0.3">
      <c r="X6677" s="1">
        <f t="shared" si="208"/>
        <v>0</v>
      </c>
      <c r="Y6677" s="1">
        <f t="shared" si="209"/>
        <v>15</v>
      </c>
    </row>
    <row r="6678" spans="24:25" x14ac:dyDescent="0.3">
      <c r="X6678" s="1">
        <f t="shared" si="208"/>
        <v>0</v>
      </c>
      <c r="Y6678" s="1">
        <f t="shared" si="209"/>
        <v>15</v>
      </c>
    </row>
    <row r="6679" spans="24:25" x14ac:dyDescent="0.3">
      <c r="X6679" s="1">
        <f t="shared" si="208"/>
        <v>0</v>
      </c>
      <c r="Y6679" s="1">
        <f t="shared" si="209"/>
        <v>15</v>
      </c>
    </row>
    <row r="6680" spans="24:25" x14ac:dyDescent="0.3">
      <c r="X6680" s="1">
        <f t="shared" si="208"/>
        <v>0</v>
      </c>
      <c r="Y6680" s="1">
        <f t="shared" si="209"/>
        <v>15</v>
      </c>
    </row>
    <row r="6681" spans="24:25" x14ac:dyDescent="0.3">
      <c r="X6681" s="1">
        <f t="shared" si="208"/>
        <v>0</v>
      </c>
      <c r="Y6681" s="1">
        <f t="shared" si="209"/>
        <v>15</v>
      </c>
    </row>
    <row r="6682" spans="24:25" x14ac:dyDescent="0.3">
      <c r="X6682" s="1">
        <f t="shared" si="208"/>
        <v>0</v>
      </c>
      <c r="Y6682" s="1">
        <f t="shared" si="209"/>
        <v>15</v>
      </c>
    </row>
    <row r="6683" spans="24:25" x14ac:dyDescent="0.3">
      <c r="X6683" s="1">
        <f t="shared" si="208"/>
        <v>0</v>
      </c>
      <c r="Y6683" s="1">
        <f t="shared" si="209"/>
        <v>15</v>
      </c>
    </row>
    <row r="6684" spans="24:25" x14ac:dyDescent="0.3">
      <c r="X6684" s="1">
        <f t="shared" si="208"/>
        <v>0</v>
      </c>
      <c r="Y6684" s="1">
        <f t="shared" si="209"/>
        <v>15</v>
      </c>
    </row>
    <row r="6685" spans="24:25" x14ac:dyDescent="0.3">
      <c r="X6685" s="1">
        <f t="shared" si="208"/>
        <v>0</v>
      </c>
      <c r="Y6685" s="1">
        <f t="shared" si="209"/>
        <v>15</v>
      </c>
    </row>
    <row r="6686" spans="24:25" x14ac:dyDescent="0.3">
      <c r="X6686" s="1">
        <f t="shared" si="208"/>
        <v>0</v>
      </c>
      <c r="Y6686" s="1">
        <f t="shared" si="209"/>
        <v>15</v>
      </c>
    </row>
    <row r="6687" spans="24:25" x14ac:dyDescent="0.3">
      <c r="X6687" s="1">
        <f t="shared" si="208"/>
        <v>0</v>
      </c>
      <c r="Y6687" s="1">
        <f t="shared" si="209"/>
        <v>15</v>
      </c>
    </row>
    <row r="6688" spans="24:25" x14ac:dyDescent="0.3">
      <c r="X6688" s="1">
        <f t="shared" si="208"/>
        <v>0</v>
      </c>
      <c r="Y6688" s="1">
        <f t="shared" si="209"/>
        <v>15</v>
      </c>
    </row>
    <row r="6689" spans="24:25" x14ac:dyDescent="0.3">
      <c r="X6689" s="1">
        <f t="shared" si="208"/>
        <v>0</v>
      </c>
      <c r="Y6689" s="1">
        <f t="shared" si="209"/>
        <v>15</v>
      </c>
    </row>
    <row r="6690" spans="24:25" x14ac:dyDescent="0.3">
      <c r="X6690" s="1">
        <f t="shared" si="208"/>
        <v>0</v>
      </c>
      <c r="Y6690" s="1">
        <f t="shared" si="209"/>
        <v>15</v>
      </c>
    </row>
    <row r="6691" spans="24:25" x14ac:dyDescent="0.3">
      <c r="X6691" s="1">
        <f t="shared" si="208"/>
        <v>0</v>
      </c>
      <c r="Y6691" s="1">
        <f t="shared" si="209"/>
        <v>15</v>
      </c>
    </row>
    <row r="6692" spans="24:25" x14ac:dyDescent="0.3">
      <c r="X6692" s="1">
        <f t="shared" si="208"/>
        <v>0</v>
      </c>
      <c r="Y6692" s="1">
        <f t="shared" si="209"/>
        <v>15</v>
      </c>
    </row>
    <row r="6693" spans="24:25" x14ac:dyDescent="0.3">
      <c r="X6693" s="1">
        <f t="shared" si="208"/>
        <v>0</v>
      </c>
      <c r="Y6693" s="1">
        <f t="shared" si="209"/>
        <v>15</v>
      </c>
    </row>
    <row r="6694" spans="24:25" x14ac:dyDescent="0.3">
      <c r="X6694" s="1">
        <f t="shared" si="208"/>
        <v>0</v>
      </c>
      <c r="Y6694" s="1">
        <f t="shared" si="209"/>
        <v>15</v>
      </c>
    </row>
    <row r="6695" spans="24:25" x14ac:dyDescent="0.3">
      <c r="X6695" s="1">
        <f t="shared" si="208"/>
        <v>0</v>
      </c>
      <c r="Y6695" s="1">
        <f t="shared" si="209"/>
        <v>15</v>
      </c>
    </row>
    <row r="6696" spans="24:25" x14ac:dyDescent="0.3">
      <c r="X6696" s="1">
        <f t="shared" si="208"/>
        <v>0</v>
      </c>
      <c r="Y6696" s="1">
        <f t="shared" si="209"/>
        <v>15</v>
      </c>
    </row>
    <row r="6697" spans="24:25" x14ac:dyDescent="0.3">
      <c r="X6697" s="1">
        <f t="shared" si="208"/>
        <v>0</v>
      </c>
      <c r="Y6697" s="1">
        <f t="shared" si="209"/>
        <v>15</v>
      </c>
    </row>
    <row r="6698" spans="24:25" x14ac:dyDescent="0.3">
      <c r="X6698" s="1">
        <f t="shared" si="208"/>
        <v>0</v>
      </c>
      <c r="Y6698" s="1">
        <f t="shared" si="209"/>
        <v>15</v>
      </c>
    </row>
    <row r="6699" spans="24:25" x14ac:dyDescent="0.3">
      <c r="X6699" s="1">
        <f t="shared" si="208"/>
        <v>0</v>
      </c>
      <c r="Y6699" s="1">
        <f t="shared" si="209"/>
        <v>15</v>
      </c>
    </row>
    <row r="6700" spans="24:25" x14ac:dyDescent="0.3">
      <c r="X6700" s="1">
        <f t="shared" si="208"/>
        <v>0</v>
      </c>
      <c r="Y6700" s="1">
        <f t="shared" si="209"/>
        <v>15</v>
      </c>
    </row>
    <row r="6701" spans="24:25" x14ac:dyDescent="0.3">
      <c r="X6701" s="1">
        <f t="shared" si="208"/>
        <v>0</v>
      </c>
      <c r="Y6701" s="1">
        <f t="shared" si="209"/>
        <v>15</v>
      </c>
    </row>
    <row r="6702" spans="24:25" x14ac:dyDescent="0.3">
      <c r="X6702" s="1">
        <f t="shared" si="208"/>
        <v>0</v>
      </c>
      <c r="Y6702" s="1">
        <f t="shared" si="209"/>
        <v>15</v>
      </c>
    </row>
    <row r="6703" spans="24:25" x14ac:dyDescent="0.3">
      <c r="X6703" s="1">
        <f t="shared" si="208"/>
        <v>0</v>
      </c>
      <c r="Y6703" s="1">
        <f t="shared" si="209"/>
        <v>15</v>
      </c>
    </row>
    <row r="6704" spans="24:25" x14ac:dyDescent="0.3">
      <c r="X6704" s="1">
        <f t="shared" si="208"/>
        <v>0</v>
      </c>
      <c r="Y6704" s="1">
        <f t="shared" si="209"/>
        <v>15</v>
      </c>
    </row>
    <row r="6705" spans="24:25" x14ac:dyDescent="0.3">
      <c r="X6705" s="1">
        <f t="shared" si="208"/>
        <v>0</v>
      </c>
      <c r="Y6705" s="1">
        <f t="shared" si="209"/>
        <v>15</v>
      </c>
    </row>
    <row r="6706" spans="24:25" x14ac:dyDescent="0.3">
      <c r="X6706" s="1">
        <f t="shared" si="208"/>
        <v>0</v>
      </c>
      <c r="Y6706" s="1">
        <f t="shared" si="209"/>
        <v>15</v>
      </c>
    </row>
    <row r="6707" spans="24:25" x14ac:dyDescent="0.3">
      <c r="X6707" s="1">
        <f t="shared" si="208"/>
        <v>0</v>
      </c>
      <c r="Y6707" s="1">
        <f t="shared" si="209"/>
        <v>15</v>
      </c>
    </row>
    <row r="6708" spans="24:25" x14ac:dyDescent="0.3">
      <c r="X6708" s="1">
        <f t="shared" si="208"/>
        <v>0</v>
      </c>
      <c r="Y6708" s="1">
        <f t="shared" si="209"/>
        <v>15</v>
      </c>
    </row>
    <row r="6709" spans="24:25" x14ac:dyDescent="0.3">
      <c r="X6709" s="1">
        <f t="shared" si="208"/>
        <v>0</v>
      </c>
      <c r="Y6709" s="1">
        <f t="shared" si="209"/>
        <v>15</v>
      </c>
    </row>
    <row r="6710" spans="24:25" x14ac:dyDescent="0.3">
      <c r="X6710" s="1">
        <f t="shared" si="208"/>
        <v>0</v>
      </c>
      <c r="Y6710" s="1">
        <f t="shared" si="209"/>
        <v>15</v>
      </c>
    </row>
    <row r="6711" spans="24:25" x14ac:dyDescent="0.3">
      <c r="X6711" s="1">
        <f t="shared" si="208"/>
        <v>0</v>
      </c>
      <c r="Y6711" s="1">
        <f t="shared" si="209"/>
        <v>15</v>
      </c>
    </row>
    <row r="6712" spans="24:25" x14ac:dyDescent="0.3">
      <c r="X6712" s="1">
        <f t="shared" si="208"/>
        <v>0</v>
      </c>
      <c r="Y6712" s="1">
        <f t="shared" si="209"/>
        <v>15</v>
      </c>
    </row>
    <row r="6713" spans="24:25" x14ac:dyDescent="0.3">
      <c r="X6713" s="1">
        <f t="shared" si="208"/>
        <v>0</v>
      </c>
      <c r="Y6713" s="1">
        <f t="shared" si="209"/>
        <v>15</v>
      </c>
    </row>
    <row r="6714" spans="24:25" x14ac:dyDescent="0.3">
      <c r="X6714" s="1">
        <f t="shared" si="208"/>
        <v>0</v>
      </c>
      <c r="Y6714" s="1">
        <f t="shared" si="209"/>
        <v>15</v>
      </c>
    </row>
    <row r="6715" spans="24:25" x14ac:dyDescent="0.3">
      <c r="X6715" s="1">
        <f t="shared" si="208"/>
        <v>0</v>
      </c>
      <c r="Y6715" s="1">
        <f t="shared" si="209"/>
        <v>15</v>
      </c>
    </row>
    <row r="6716" spans="24:25" x14ac:dyDescent="0.3">
      <c r="X6716" s="1">
        <f t="shared" si="208"/>
        <v>0</v>
      </c>
      <c r="Y6716" s="1">
        <f t="shared" si="209"/>
        <v>15</v>
      </c>
    </row>
    <row r="6717" spans="24:25" x14ac:dyDescent="0.3">
      <c r="X6717" s="1">
        <f t="shared" si="208"/>
        <v>0</v>
      </c>
      <c r="Y6717" s="1">
        <f t="shared" si="209"/>
        <v>15</v>
      </c>
    </row>
    <row r="6718" spans="24:25" x14ac:dyDescent="0.3">
      <c r="X6718" s="1">
        <f t="shared" si="208"/>
        <v>0</v>
      </c>
      <c r="Y6718" s="1">
        <f t="shared" si="209"/>
        <v>15</v>
      </c>
    </row>
    <row r="6719" spans="24:25" x14ac:dyDescent="0.3">
      <c r="X6719" s="1">
        <f t="shared" si="208"/>
        <v>0</v>
      </c>
      <c r="Y6719" s="1">
        <f t="shared" si="209"/>
        <v>15</v>
      </c>
    </row>
    <row r="6720" spans="24:25" x14ac:dyDescent="0.3">
      <c r="X6720" s="1">
        <f t="shared" si="208"/>
        <v>0</v>
      </c>
      <c r="Y6720" s="1">
        <f t="shared" si="209"/>
        <v>15</v>
      </c>
    </row>
    <row r="6721" spans="24:25" x14ac:dyDescent="0.3">
      <c r="X6721" s="1">
        <f t="shared" si="208"/>
        <v>0</v>
      </c>
      <c r="Y6721" s="1">
        <f t="shared" si="209"/>
        <v>15</v>
      </c>
    </row>
    <row r="6722" spans="24:25" x14ac:dyDescent="0.3">
      <c r="X6722" s="1">
        <f t="shared" si="208"/>
        <v>0</v>
      </c>
      <c r="Y6722" s="1">
        <f t="shared" si="209"/>
        <v>15</v>
      </c>
    </row>
    <row r="6723" spans="24:25" x14ac:dyDescent="0.3">
      <c r="X6723" s="1">
        <f t="shared" ref="X6723:X6786" si="210">IFERROR(MATCH(W6723,$B:$B,0),0)</f>
        <v>0</v>
      </c>
      <c r="Y6723" s="1">
        <f t="shared" ref="Y6723:Y6786" si="211">IF(X6724=0,COUNTA(A:A),X6724-1)</f>
        <v>15</v>
      </c>
    </row>
    <row r="6724" spans="24:25" x14ac:dyDescent="0.3">
      <c r="X6724" s="1">
        <f t="shared" si="210"/>
        <v>0</v>
      </c>
      <c r="Y6724" s="1">
        <f t="shared" si="211"/>
        <v>15</v>
      </c>
    </row>
    <row r="6725" spans="24:25" x14ac:dyDescent="0.3">
      <c r="X6725" s="1">
        <f t="shared" si="210"/>
        <v>0</v>
      </c>
      <c r="Y6725" s="1">
        <f t="shared" si="211"/>
        <v>15</v>
      </c>
    </row>
    <row r="6726" spans="24:25" x14ac:dyDescent="0.3">
      <c r="X6726" s="1">
        <f t="shared" si="210"/>
        <v>0</v>
      </c>
      <c r="Y6726" s="1">
        <f t="shared" si="211"/>
        <v>15</v>
      </c>
    </row>
    <row r="6727" spans="24:25" x14ac:dyDescent="0.3">
      <c r="X6727" s="1">
        <f t="shared" si="210"/>
        <v>0</v>
      </c>
      <c r="Y6727" s="1">
        <f t="shared" si="211"/>
        <v>15</v>
      </c>
    </row>
    <row r="6728" spans="24:25" x14ac:dyDescent="0.3">
      <c r="X6728" s="1">
        <f t="shared" si="210"/>
        <v>0</v>
      </c>
      <c r="Y6728" s="1">
        <f t="shared" si="211"/>
        <v>15</v>
      </c>
    </row>
    <row r="6729" spans="24:25" x14ac:dyDescent="0.3">
      <c r="X6729" s="1">
        <f t="shared" si="210"/>
        <v>0</v>
      </c>
      <c r="Y6729" s="1">
        <f t="shared" si="211"/>
        <v>15</v>
      </c>
    </row>
    <row r="6730" spans="24:25" x14ac:dyDescent="0.3">
      <c r="X6730" s="1">
        <f t="shared" si="210"/>
        <v>0</v>
      </c>
      <c r="Y6730" s="1">
        <f t="shared" si="211"/>
        <v>15</v>
      </c>
    </row>
    <row r="6731" spans="24:25" x14ac:dyDescent="0.3">
      <c r="X6731" s="1">
        <f t="shared" si="210"/>
        <v>0</v>
      </c>
      <c r="Y6731" s="1">
        <f t="shared" si="211"/>
        <v>15</v>
      </c>
    </row>
    <row r="6732" spans="24:25" x14ac:dyDescent="0.3">
      <c r="X6732" s="1">
        <f t="shared" si="210"/>
        <v>0</v>
      </c>
      <c r="Y6732" s="1">
        <f t="shared" si="211"/>
        <v>15</v>
      </c>
    </row>
    <row r="6733" spans="24:25" x14ac:dyDescent="0.3">
      <c r="X6733" s="1">
        <f t="shared" si="210"/>
        <v>0</v>
      </c>
      <c r="Y6733" s="1">
        <f t="shared" si="211"/>
        <v>15</v>
      </c>
    </row>
    <row r="6734" spans="24:25" x14ac:dyDescent="0.3">
      <c r="X6734" s="1">
        <f t="shared" si="210"/>
        <v>0</v>
      </c>
      <c r="Y6734" s="1">
        <f t="shared" si="211"/>
        <v>15</v>
      </c>
    </row>
    <row r="6735" spans="24:25" x14ac:dyDescent="0.3">
      <c r="X6735" s="1">
        <f t="shared" si="210"/>
        <v>0</v>
      </c>
      <c r="Y6735" s="1">
        <f t="shared" si="211"/>
        <v>15</v>
      </c>
    </row>
    <row r="6736" spans="24:25" x14ac:dyDescent="0.3">
      <c r="X6736" s="1">
        <f t="shared" si="210"/>
        <v>0</v>
      </c>
      <c r="Y6736" s="1">
        <f t="shared" si="211"/>
        <v>15</v>
      </c>
    </row>
    <row r="6737" spans="24:25" x14ac:dyDescent="0.3">
      <c r="X6737" s="1">
        <f t="shared" si="210"/>
        <v>0</v>
      </c>
      <c r="Y6737" s="1">
        <f t="shared" si="211"/>
        <v>15</v>
      </c>
    </row>
    <row r="6738" spans="24:25" x14ac:dyDescent="0.3">
      <c r="X6738" s="1">
        <f t="shared" si="210"/>
        <v>0</v>
      </c>
      <c r="Y6738" s="1">
        <f t="shared" si="211"/>
        <v>15</v>
      </c>
    </row>
    <row r="6739" spans="24:25" x14ac:dyDescent="0.3">
      <c r="X6739" s="1">
        <f t="shared" si="210"/>
        <v>0</v>
      </c>
      <c r="Y6739" s="1">
        <f t="shared" si="211"/>
        <v>15</v>
      </c>
    </row>
    <row r="6740" spans="24:25" x14ac:dyDescent="0.3">
      <c r="X6740" s="1">
        <f t="shared" si="210"/>
        <v>0</v>
      </c>
      <c r="Y6740" s="1">
        <f t="shared" si="211"/>
        <v>15</v>
      </c>
    </row>
    <row r="6741" spans="24:25" x14ac:dyDescent="0.3">
      <c r="X6741" s="1">
        <f t="shared" si="210"/>
        <v>0</v>
      </c>
      <c r="Y6741" s="1">
        <f t="shared" si="211"/>
        <v>15</v>
      </c>
    </row>
    <row r="6742" spans="24:25" x14ac:dyDescent="0.3">
      <c r="X6742" s="1">
        <f t="shared" si="210"/>
        <v>0</v>
      </c>
      <c r="Y6742" s="1">
        <f t="shared" si="211"/>
        <v>15</v>
      </c>
    </row>
    <row r="6743" spans="24:25" x14ac:dyDescent="0.3">
      <c r="X6743" s="1">
        <f t="shared" si="210"/>
        <v>0</v>
      </c>
      <c r="Y6743" s="1">
        <f t="shared" si="211"/>
        <v>15</v>
      </c>
    </row>
    <row r="6744" spans="24:25" x14ac:dyDescent="0.3">
      <c r="X6744" s="1">
        <f t="shared" si="210"/>
        <v>0</v>
      </c>
      <c r="Y6744" s="1">
        <f t="shared" si="211"/>
        <v>15</v>
      </c>
    </row>
    <row r="6745" spans="24:25" x14ac:dyDescent="0.3">
      <c r="X6745" s="1">
        <f t="shared" si="210"/>
        <v>0</v>
      </c>
      <c r="Y6745" s="1">
        <f t="shared" si="211"/>
        <v>15</v>
      </c>
    </row>
    <row r="6746" spans="24:25" x14ac:dyDescent="0.3">
      <c r="X6746" s="1">
        <f t="shared" si="210"/>
        <v>0</v>
      </c>
      <c r="Y6746" s="1">
        <f t="shared" si="211"/>
        <v>15</v>
      </c>
    </row>
    <row r="6747" spans="24:25" x14ac:dyDescent="0.3">
      <c r="X6747" s="1">
        <f t="shared" si="210"/>
        <v>0</v>
      </c>
      <c r="Y6747" s="1">
        <f t="shared" si="211"/>
        <v>15</v>
      </c>
    </row>
    <row r="6748" spans="24:25" x14ac:dyDescent="0.3">
      <c r="X6748" s="1">
        <f t="shared" si="210"/>
        <v>0</v>
      </c>
      <c r="Y6748" s="1">
        <f t="shared" si="211"/>
        <v>15</v>
      </c>
    </row>
    <row r="6749" spans="24:25" x14ac:dyDescent="0.3">
      <c r="X6749" s="1">
        <f t="shared" si="210"/>
        <v>0</v>
      </c>
      <c r="Y6749" s="1">
        <f t="shared" si="211"/>
        <v>15</v>
      </c>
    </row>
    <row r="6750" spans="24:25" x14ac:dyDescent="0.3">
      <c r="X6750" s="1">
        <f t="shared" si="210"/>
        <v>0</v>
      </c>
      <c r="Y6750" s="1">
        <f t="shared" si="211"/>
        <v>15</v>
      </c>
    </row>
    <row r="6751" spans="24:25" x14ac:dyDescent="0.3">
      <c r="X6751" s="1">
        <f t="shared" si="210"/>
        <v>0</v>
      </c>
      <c r="Y6751" s="1">
        <f t="shared" si="211"/>
        <v>15</v>
      </c>
    </row>
    <row r="6752" spans="24:25" x14ac:dyDescent="0.3">
      <c r="X6752" s="1">
        <f t="shared" si="210"/>
        <v>0</v>
      </c>
      <c r="Y6752" s="1">
        <f t="shared" si="211"/>
        <v>15</v>
      </c>
    </row>
    <row r="6753" spans="24:25" x14ac:dyDescent="0.3">
      <c r="X6753" s="1">
        <f t="shared" si="210"/>
        <v>0</v>
      </c>
      <c r="Y6753" s="1">
        <f t="shared" si="211"/>
        <v>15</v>
      </c>
    </row>
    <row r="6754" spans="24:25" x14ac:dyDescent="0.3">
      <c r="X6754" s="1">
        <f t="shared" si="210"/>
        <v>0</v>
      </c>
      <c r="Y6754" s="1">
        <f t="shared" si="211"/>
        <v>15</v>
      </c>
    </row>
    <row r="6755" spans="24:25" x14ac:dyDescent="0.3">
      <c r="X6755" s="1">
        <f t="shared" si="210"/>
        <v>0</v>
      </c>
      <c r="Y6755" s="1">
        <f t="shared" si="211"/>
        <v>15</v>
      </c>
    </row>
    <row r="6756" spans="24:25" x14ac:dyDescent="0.3">
      <c r="X6756" s="1">
        <f t="shared" si="210"/>
        <v>0</v>
      </c>
      <c r="Y6756" s="1">
        <f t="shared" si="211"/>
        <v>15</v>
      </c>
    </row>
    <row r="6757" spans="24:25" x14ac:dyDescent="0.3">
      <c r="X6757" s="1">
        <f t="shared" si="210"/>
        <v>0</v>
      </c>
      <c r="Y6757" s="1">
        <f t="shared" si="211"/>
        <v>15</v>
      </c>
    </row>
    <row r="6758" spans="24:25" x14ac:dyDescent="0.3">
      <c r="X6758" s="1">
        <f t="shared" si="210"/>
        <v>0</v>
      </c>
      <c r="Y6758" s="1">
        <f t="shared" si="211"/>
        <v>15</v>
      </c>
    </row>
    <row r="6759" spans="24:25" x14ac:dyDescent="0.3">
      <c r="X6759" s="1">
        <f t="shared" si="210"/>
        <v>0</v>
      </c>
      <c r="Y6759" s="1">
        <f t="shared" si="211"/>
        <v>15</v>
      </c>
    </row>
    <row r="6760" spans="24:25" x14ac:dyDescent="0.3">
      <c r="X6760" s="1">
        <f t="shared" si="210"/>
        <v>0</v>
      </c>
      <c r="Y6760" s="1">
        <f t="shared" si="211"/>
        <v>15</v>
      </c>
    </row>
    <row r="6761" spans="24:25" x14ac:dyDescent="0.3">
      <c r="X6761" s="1">
        <f t="shared" si="210"/>
        <v>0</v>
      </c>
      <c r="Y6761" s="1">
        <f t="shared" si="211"/>
        <v>15</v>
      </c>
    </row>
    <row r="6762" spans="24:25" x14ac:dyDescent="0.3">
      <c r="X6762" s="1">
        <f t="shared" si="210"/>
        <v>0</v>
      </c>
      <c r="Y6762" s="1">
        <f t="shared" si="211"/>
        <v>15</v>
      </c>
    </row>
    <row r="6763" spans="24:25" x14ac:dyDescent="0.3">
      <c r="X6763" s="1">
        <f t="shared" si="210"/>
        <v>0</v>
      </c>
      <c r="Y6763" s="1">
        <f t="shared" si="211"/>
        <v>15</v>
      </c>
    </row>
    <row r="6764" spans="24:25" x14ac:dyDescent="0.3">
      <c r="X6764" s="1">
        <f t="shared" si="210"/>
        <v>0</v>
      </c>
      <c r="Y6764" s="1">
        <f t="shared" si="211"/>
        <v>15</v>
      </c>
    </row>
    <row r="6765" spans="24:25" x14ac:dyDescent="0.3">
      <c r="X6765" s="1">
        <f t="shared" si="210"/>
        <v>0</v>
      </c>
      <c r="Y6765" s="1">
        <f t="shared" si="211"/>
        <v>15</v>
      </c>
    </row>
    <row r="6766" spans="24:25" x14ac:dyDescent="0.3">
      <c r="X6766" s="1">
        <f t="shared" si="210"/>
        <v>0</v>
      </c>
      <c r="Y6766" s="1">
        <f t="shared" si="211"/>
        <v>15</v>
      </c>
    </row>
    <row r="6767" spans="24:25" x14ac:dyDescent="0.3">
      <c r="X6767" s="1">
        <f t="shared" si="210"/>
        <v>0</v>
      </c>
      <c r="Y6767" s="1">
        <f t="shared" si="211"/>
        <v>15</v>
      </c>
    </row>
    <row r="6768" spans="24:25" x14ac:dyDescent="0.3">
      <c r="X6768" s="1">
        <f t="shared" si="210"/>
        <v>0</v>
      </c>
      <c r="Y6768" s="1">
        <f t="shared" si="211"/>
        <v>15</v>
      </c>
    </row>
    <row r="6769" spans="24:25" x14ac:dyDescent="0.3">
      <c r="X6769" s="1">
        <f t="shared" si="210"/>
        <v>0</v>
      </c>
      <c r="Y6769" s="1">
        <f t="shared" si="211"/>
        <v>15</v>
      </c>
    </row>
    <row r="6770" spans="24:25" x14ac:dyDescent="0.3">
      <c r="X6770" s="1">
        <f t="shared" si="210"/>
        <v>0</v>
      </c>
      <c r="Y6770" s="1">
        <f t="shared" si="211"/>
        <v>15</v>
      </c>
    </row>
    <row r="6771" spans="24:25" x14ac:dyDescent="0.3">
      <c r="X6771" s="1">
        <f t="shared" si="210"/>
        <v>0</v>
      </c>
      <c r="Y6771" s="1">
        <f t="shared" si="211"/>
        <v>15</v>
      </c>
    </row>
    <row r="6772" spans="24:25" x14ac:dyDescent="0.3">
      <c r="X6772" s="1">
        <f t="shared" si="210"/>
        <v>0</v>
      </c>
      <c r="Y6772" s="1">
        <f t="shared" si="211"/>
        <v>15</v>
      </c>
    </row>
    <row r="6773" spans="24:25" x14ac:dyDescent="0.3">
      <c r="X6773" s="1">
        <f t="shared" si="210"/>
        <v>0</v>
      </c>
      <c r="Y6773" s="1">
        <f t="shared" si="211"/>
        <v>15</v>
      </c>
    </row>
    <row r="6774" spans="24:25" x14ac:dyDescent="0.3">
      <c r="X6774" s="1">
        <f t="shared" si="210"/>
        <v>0</v>
      </c>
      <c r="Y6774" s="1">
        <f t="shared" si="211"/>
        <v>15</v>
      </c>
    </row>
    <row r="6775" spans="24:25" x14ac:dyDescent="0.3">
      <c r="X6775" s="1">
        <f t="shared" si="210"/>
        <v>0</v>
      </c>
      <c r="Y6775" s="1">
        <f t="shared" si="211"/>
        <v>15</v>
      </c>
    </row>
    <row r="6776" spans="24:25" x14ac:dyDescent="0.3">
      <c r="X6776" s="1">
        <f t="shared" si="210"/>
        <v>0</v>
      </c>
      <c r="Y6776" s="1">
        <f t="shared" si="211"/>
        <v>15</v>
      </c>
    </row>
    <row r="6777" spans="24:25" x14ac:dyDescent="0.3">
      <c r="X6777" s="1">
        <f t="shared" si="210"/>
        <v>0</v>
      </c>
      <c r="Y6777" s="1">
        <f t="shared" si="211"/>
        <v>15</v>
      </c>
    </row>
    <row r="6778" spans="24:25" x14ac:dyDescent="0.3">
      <c r="X6778" s="1">
        <f t="shared" si="210"/>
        <v>0</v>
      </c>
      <c r="Y6778" s="1">
        <f t="shared" si="211"/>
        <v>15</v>
      </c>
    </row>
    <row r="6779" spans="24:25" x14ac:dyDescent="0.3">
      <c r="X6779" s="1">
        <f t="shared" si="210"/>
        <v>0</v>
      </c>
      <c r="Y6779" s="1">
        <f t="shared" si="211"/>
        <v>15</v>
      </c>
    </row>
    <row r="6780" spans="24:25" x14ac:dyDescent="0.3">
      <c r="X6780" s="1">
        <f t="shared" si="210"/>
        <v>0</v>
      </c>
      <c r="Y6780" s="1">
        <f t="shared" si="211"/>
        <v>15</v>
      </c>
    </row>
    <row r="6781" spans="24:25" x14ac:dyDescent="0.3">
      <c r="X6781" s="1">
        <f t="shared" si="210"/>
        <v>0</v>
      </c>
      <c r="Y6781" s="1">
        <f t="shared" si="211"/>
        <v>15</v>
      </c>
    </row>
    <row r="6782" spans="24:25" x14ac:dyDescent="0.3">
      <c r="X6782" s="1">
        <f t="shared" si="210"/>
        <v>0</v>
      </c>
      <c r="Y6782" s="1">
        <f t="shared" si="211"/>
        <v>15</v>
      </c>
    </row>
    <row r="6783" spans="24:25" x14ac:dyDescent="0.3">
      <c r="X6783" s="1">
        <f t="shared" si="210"/>
        <v>0</v>
      </c>
      <c r="Y6783" s="1">
        <f t="shared" si="211"/>
        <v>15</v>
      </c>
    </row>
    <row r="6784" spans="24:25" x14ac:dyDescent="0.3">
      <c r="X6784" s="1">
        <f t="shared" si="210"/>
        <v>0</v>
      </c>
      <c r="Y6784" s="1">
        <f t="shared" si="211"/>
        <v>15</v>
      </c>
    </row>
    <row r="6785" spans="24:25" x14ac:dyDescent="0.3">
      <c r="X6785" s="1">
        <f t="shared" si="210"/>
        <v>0</v>
      </c>
      <c r="Y6785" s="1">
        <f t="shared" si="211"/>
        <v>15</v>
      </c>
    </row>
    <row r="6786" spans="24:25" x14ac:dyDescent="0.3">
      <c r="X6786" s="1">
        <f t="shared" si="210"/>
        <v>0</v>
      </c>
      <c r="Y6786" s="1">
        <f t="shared" si="211"/>
        <v>15</v>
      </c>
    </row>
    <row r="6787" spans="24:25" x14ac:dyDescent="0.3">
      <c r="X6787" s="1">
        <f t="shared" ref="X6787:X6850" si="212">IFERROR(MATCH(W6787,$B:$B,0),0)</f>
        <v>0</v>
      </c>
      <c r="Y6787" s="1">
        <f t="shared" ref="Y6787:Y6850" si="213">IF(X6788=0,COUNTA(A:A),X6788-1)</f>
        <v>15</v>
      </c>
    </row>
    <row r="6788" spans="24:25" x14ac:dyDescent="0.3">
      <c r="X6788" s="1">
        <f t="shared" si="212"/>
        <v>0</v>
      </c>
      <c r="Y6788" s="1">
        <f t="shared" si="213"/>
        <v>15</v>
      </c>
    </row>
    <row r="6789" spans="24:25" x14ac:dyDescent="0.3">
      <c r="X6789" s="1">
        <f t="shared" si="212"/>
        <v>0</v>
      </c>
      <c r="Y6789" s="1">
        <f t="shared" si="213"/>
        <v>15</v>
      </c>
    </row>
    <row r="6790" spans="24:25" x14ac:dyDescent="0.3">
      <c r="X6790" s="1">
        <f t="shared" si="212"/>
        <v>0</v>
      </c>
      <c r="Y6790" s="1">
        <f t="shared" si="213"/>
        <v>15</v>
      </c>
    </row>
    <row r="6791" spans="24:25" x14ac:dyDescent="0.3">
      <c r="X6791" s="1">
        <f t="shared" si="212"/>
        <v>0</v>
      </c>
      <c r="Y6791" s="1">
        <f t="shared" si="213"/>
        <v>15</v>
      </c>
    </row>
    <row r="6792" spans="24:25" x14ac:dyDescent="0.3">
      <c r="X6792" s="1">
        <f t="shared" si="212"/>
        <v>0</v>
      </c>
      <c r="Y6792" s="1">
        <f t="shared" si="213"/>
        <v>15</v>
      </c>
    </row>
    <row r="6793" spans="24:25" x14ac:dyDescent="0.3">
      <c r="X6793" s="1">
        <f t="shared" si="212"/>
        <v>0</v>
      </c>
      <c r="Y6793" s="1">
        <f t="shared" si="213"/>
        <v>15</v>
      </c>
    </row>
    <row r="6794" spans="24:25" x14ac:dyDescent="0.3">
      <c r="X6794" s="1">
        <f t="shared" si="212"/>
        <v>0</v>
      </c>
      <c r="Y6794" s="1">
        <f t="shared" si="213"/>
        <v>15</v>
      </c>
    </row>
    <row r="6795" spans="24:25" x14ac:dyDescent="0.3">
      <c r="X6795" s="1">
        <f t="shared" si="212"/>
        <v>0</v>
      </c>
      <c r="Y6795" s="1">
        <f t="shared" si="213"/>
        <v>15</v>
      </c>
    </row>
    <row r="6796" spans="24:25" x14ac:dyDescent="0.3">
      <c r="X6796" s="1">
        <f t="shared" si="212"/>
        <v>0</v>
      </c>
      <c r="Y6796" s="1">
        <f t="shared" si="213"/>
        <v>15</v>
      </c>
    </row>
    <row r="6797" spans="24:25" x14ac:dyDescent="0.3">
      <c r="X6797" s="1">
        <f t="shared" si="212"/>
        <v>0</v>
      </c>
      <c r="Y6797" s="1">
        <f t="shared" si="213"/>
        <v>15</v>
      </c>
    </row>
    <row r="6798" spans="24:25" x14ac:dyDescent="0.3">
      <c r="X6798" s="1">
        <f t="shared" si="212"/>
        <v>0</v>
      </c>
      <c r="Y6798" s="1">
        <f t="shared" si="213"/>
        <v>15</v>
      </c>
    </row>
    <row r="6799" spans="24:25" x14ac:dyDescent="0.3">
      <c r="X6799" s="1">
        <f t="shared" si="212"/>
        <v>0</v>
      </c>
      <c r="Y6799" s="1">
        <f t="shared" si="213"/>
        <v>15</v>
      </c>
    </row>
    <row r="6800" spans="24:25" x14ac:dyDescent="0.3">
      <c r="X6800" s="1">
        <f t="shared" si="212"/>
        <v>0</v>
      </c>
      <c r="Y6800" s="1">
        <f t="shared" si="213"/>
        <v>15</v>
      </c>
    </row>
    <row r="6801" spans="24:25" x14ac:dyDescent="0.3">
      <c r="X6801" s="1">
        <f t="shared" si="212"/>
        <v>0</v>
      </c>
      <c r="Y6801" s="1">
        <f t="shared" si="213"/>
        <v>15</v>
      </c>
    </row>
    <row r="6802" spans="24:25" x14ac:dyDescent="0.3">
      <c r="X6802" s="1">
        <f t="shared" si="212"/>
        <v>0</v>
      </c>
      <c r="Y6802" s="1">
        <f t="shared" si="213"/>
        <v>15</v>
      </c>
    </row>
    <row r="6803" spans="24:25" x14ac:dyDescent="0.3">
      <c r="X6803" s="1">
        <f t="shared" si="212"/>
        <v>0</v>
      </c>
      <c r="Y6803" s="1">
        <f t="shared" si="213"/>
        <v>15</v>
      </c>
    </row>
    <row r="6804" spans="24:25" x14ac:dyDescent="0.3">
      <c r="X6804" s="1">
        <f t="shared" si="212"/>
        <v>0</v>
      </c>
      <c r="Y6804" s="1">
        <f t="shared" si="213"/>
        <v>15</v>
      </c>
    </row>
    <row r="6805" spans="24:25" x14ac:dyDescent="0.3">
      <c r="X6805" s="1">
        <f t="shared" si="212"/>
        <v>0</v>
      </c>
      <c r="Y6805" s="1">
        <f t="shared" si="213"/>
        <v>15</v>
      </c>
    </row>
    <row r="6806" spans="24:25" x14ac:dyDescent="0.3">
      <c r="X6806" s="1">
        <f t="shared" si="212"/>
        <v>0</v>
      </c>
      <c r="Y6806" s="1">
        <f t="shared" si="213"/>
        <v>15</v>
      </c>
    </row>
    <row r="6807" spans="24:25" x14ac:dyDescent="0.3">
      <c r="X6807" s="1">
        <f t="shared" si="212"/>
        <v>0</v>
      </c>
      <c r="Y6807" s="1">
        <f t="shared" si="213"/>
        <v>15</v>
      </c>
    </row>
    <row r="6808" spans="24:25" x14ac:dyDescent="0.3">
      <c r="X6808" s="1">
        <f t="shared" si="212"/>
        <v>0</v>
      </c>
      <c r="Y6808" s="1">
        <f t="shared" si="213"/>
        <v>15</v>
      </c>
    </row>
    <row r="6809" spans="24:25" x14ac:dyDescent="0.3">
      <c r="X6809" s="1">
        <f t="shared" si="212"/>
        <v>0</v>
      </c>
      <c r="Y6809" s="1">
        <f t="shared" si="213"/>
        <v>15</v>
      </c>
    </row>
    <row r="6810" spans="24:25" x14ac:dyDescent="0.3">
      <c r="X6810" s="1">
        <f t="shared" si="212"/>
        <v>0</v>
      </c>
      <c r="Y6810" s="1">
        <f t="shared" si="213"/>
        <v>15</v>
      </c>
    </row>
    <row r="6811" spans="24:25" x14ac:dyDescent="0.3">
      <c r="X6811" s="1">
        <f t="shared" si="212"/>
        <v>0</v>
      </c>
      <c r="Y6811" s="1">
        <f t="shared" si="213"/>
        <v>15</v>
      </c>
    </row>
    <row r="6812" spans="24:25" x14ac:dyDescent="0.3">
      <c r="X6812" s="1">
        <f t="shared" si="212"/>
        <v>0</v>
      </c>
      <c r="Y6812" s="1">
        <f t="shared" si="213"/>
        <v>15</v>
      </c>
    </row>
    <row r="6813" spans="24:25" x14ac:dyDescent="0.3">
      <c r="X6813" s="1">
        <f t="shared" si="212"/>
        <v>0</v>
      </c>
      <c r="Y6813" s="1">
        <f t="shared" si="213"/>
        <v>15</v>
      </c>
    </row>
    <row r="6814" spans="24:25" x14ac:dyDescent="0.3">
      <c r="X6814" s="1">
        <f t="shared" si="212"/>
        <v>0</v>
      </c>
      <c r="Y6814" s="1">
        <f t="shared" si="213"/>
        <v>15</v>
      </c>
    </row>
    <row r="6815" spans="24:25" x14ac:dyDescent="0.3">
      <c r="X6815" s="1">
        <f t="shared" si="212"/>
        <v>0</v>
      </c>
      <c r="Y6815" s="1">
        <f t="shared" si="213"/>
        <v>15</v>
      </c>
    </row>
    <row r="6816" spans="24:25" x14ac:dyDescent="0.3">
      <c r="X6816" s="1">
        <f t="shared" si="212"/>
        <v>0</v>
      </c>
      <c r="Y6816" s="1">
        <f t="shared" si="213"/>
        <v>15</v>
      </c>
    </row>
    <row r="6817" spans="24:25" x14ac:dyDescent="0.3">
      <c r="X6817" s="1">
        <f t="shared" si="212"/>
        <v>0</v>
      </c>
      <c r="Y6817" s="1">
        <f t="shared" si="213"/>
        <v>15</v>
      </c>
    </row>
    <row r="6818" spans="24:25" x14ac:dyDescent="0.3">
      <c r="X6818" s="1">
        <f t="shared" si="212"/>
        <v>0</v>
      </c>
      <c r="Y6818" s="1">
        <f t="shared" si="213"/>
        <v>15</v>
      </c>
    </row>
    <row r="6819" spans="24:25" x14ac:dyDescent="0.3">
      <c r="X6819" s="1">
        <f t="shared" si="212"/>
        <v>0</v>
      </c>
      <c r="Y6819" s="1">
        <f t="shared" si="213"/>
        <v>15</v>
      </c>
    </row>
    <row r="6820" spans="24:25" x14ac:dyDescent="0.3">
      <c r="X6820" s="1">
        <f t="shared" si="212"/>
        <v>0</v>
      </c>
      <c r="Y6820" s="1">
        <f t="shared" si="213"/>
        <v>15</v>
      </c>
    </row>
    <row r="6821" spans="24:25" x14ac:dyDescent="0.3">
      <c r="X6821" s="1">
        <f t="shared" si="212"/>
        <v>0</v>
      </c>
      <c r="Y6821" s="1">
        <f t="shared" si="213"/>
        <v>15</v>
      </c>
    </row>
    <row r="6822" spans="24:25" x14ac:dyDescent="0.3">
      <c r="X6822" s="1">
        <f t="shared" si="212"/>
        <v>0</v>
      </c>
      <c r="Y6822" s="1">
        <f t="shared" si="213"/>
        <v>15</v>
      </c>
    </row>
    <row r="6823" spans="24:25" x14ac:dyDescent="0.3">
      <c r="X6823" s="1">
        <f t="shared" si="212"/>
        <v>0</v>
      </c>
      <c r="Y6823" s="1">
        <f t="shared" si="213"/>
        <v>15</v>
      </c>
    </row>
    <row r="6824" spans="24:25" x14ac:dyDescent="0.3">
      <c r="X6824" s="1">
        <f t="shared" si="212"/>
        <v>0</v>
      </c>
      <c r="Y6824" s="1">
        <f t="shared" si="213"/>
        <v>15</v>
      </c>
    </row>
    <row r="6825" spans="24:25" x14ac:dyDescent="0.3">
      <c r="X6825" s="1">
        <f t="shared" si="212"/>
        <v>0</v>
      </c>
      <c r="Y6825" s="1">
        <f t="shared" si="213"/>
        <v>15</v>
      </c>
    </row>
    <row r="6826" spans="24:25" x14ac:dyDescent="0.3">
      <c r="X6826" s="1">
        <f t="shared" si="212"/>
        <v>0</v>
      </c>
      <c r="Y6826" s="1">
        <f t="shared" si="213"/>
        <v>15</v>
      </c>
    </row>
    <row r="6827" spans="24:25" x14ac:dyDescent="0.3">
      <c r="X6827" s="1">
        <f t="shared" si="212"/>
        <v>0</v>
      </c>
      <c r="Y6827" s="1">
        <f t="shared" si="213"/>
        <v>15</v>
      </c>
    </row>
    <row r="6828" spans="24:25" x14ac:dyDescent="0.3">
      <c r="X6828" s="1">
        <f t="shared" si="212"/>
        <v>0</v>
      </c>
      <c r="Y6828" s="1">
        <f t="shared" si="213"/>
        <v>15</v>
      </c>
    </row>
    <row r="6829" spans="24:25" x14ac:dyDescent="0.3">
      <c r="X6829" s="1">
        <f t="shared" si="212"/>
        <v>0</v>
      </c>
      <c r="Y6829" s="1">
        <f t="shared" si="213"/>
        <v>15</v>
      </c>
    </row>
    <row r="6830" spans="24:25" x14ac:dyDescent="0.3">
      <c r="X6830" s="1">
        <f t="shared" si="212"/>
        <v>0</v>
      </c>
      <c r="Y6830" s="1">
        <f t="shared" si="213"/>
        <v>15</v>
      </c>
    </row>
    <row r="6831" spans="24:25" x14ac:dyDescent="0.3">
      <c r="X6831" s="1">
        <f t="shared" si="212"/>
        <v>0</v>
      </c>
      <c r="Y6831" s="1">
        <f t="shared" si="213"/>
        <v>15</v>
      </c>
    </row>
    <row r="6832" spans="24:25" x14ac:dyDescent="0.3">
      <c r="X6832" s="1">
        <f t="shared" si="212"/>
        <v>0</v>
      </c>
      <c r="Y6832" s="1">
        <f t="shared" si="213"/>
        <v>15</v>
      </c>
    </row>
    <row r="6833" spans="24:25" x14ac:dyDescent="0.3">
      <c r="X6833" s="1">
        <f t="shared" si="212"/>
        <v>0</v>
      </c>
      <c r="Y6833" s="1">
        <f t="shared" si="213"/>
        <v>15</v>
      </c>
    </row>
    <row r="6834" spans="24:25" x14ac:dyDescent="0.3">
      <c r="X6834" s="1">
        <f t="shared" si="212"/>
        <v>0</v>
      </c>
      <c r="Y6834" s="1">
        <f t="shared" si="213"/>
        <v>15</v>
      </c>
    </row>
    <row r="6835" spans="24:25" x14ac:dyDescent="0.3">
      <c r="X6835" s="1">
        <f t="shared" si="212"/>
        <v>0</v>
      </c>
      <c r="Y6835" s="1">
        <f t="shared" si="213"/>
        <v>15</v>
      </c>
    </row>
    <row r="6836" spans="24:25" x14ac:dyDescent="0.3">
      <c r="X6836" s="1">
        <f t="shared" si="212"/>
        <v>0</v>
      </c>
      <c r="Y6836" s="1">
        <f t="shared" si="213"/>
        <v>15</v>
      </c>
    </row>
    <row r="6837" spans="24:25" x14ac:dyDescent="0.3">
      <c r="X6837" s="1">
        <f t="shared" si="212"/>
        <v>0</v>
      </c>
      <c r="Y6837" s="1">
        <f t="shared" si="213"/>
        <v>15</v>
      </c>
    </row>
    <row r="6838" spans="24:25" x14ac:dyDescent="0.3">
      <c r="X6838" s="1">
        <f t="shared" si="212"/>
        <v>0</v>
      </c>
      <c r="Y6838" s="1">
        <f t="shared" si="213"/>
        <v>15</v>
      </c>
    </row>
    <row r="6839" spans="24:25" x14ac:dyDescent="0.3">
      <c r="X6839" s="1">
        <f t="shared" si="212"/>
        <v>0</v>
      </c>
      <c r="Y6839" s="1">
        <f t="shared" si="213"/>
        <v>15</v>
      </c>
    </row>
    <row r="6840" spans="24:25" x14ac:dyDescent="0.3">
      <c r="X6840" s="1">
        <f t="shared" si="212"/>
        <v>0</v>
      </c>
      <c r="Y6840" s="1">
        <f t="shared" si="213"/>
        <v>15</v>
      </c>
    </row>
    <row r="6841" spans="24:25" x14ac:dyDescent="0.3">
      <c r="X6841" s="1">
        <f t="shared" si="212"/>
        <v>0</v>
      </c>
      <c r="Y6841" s="1">
        <f t="shared" si="213"/>
        <v>15</v>
      </c>
    </row>
    <row r="6842" spans="24:25" x14ac:dyDescent="0.3">
      <c r="X6842" s="1">
        <f t="shared" si="212"/>
        <v>0</v>
      </c>
      <c r="Y6842" s="1">
        <f t="shared" si="213"/>
        <v>15</v>
      </c>
    </row>
    <row r="6843" spans="24:25" x14ac:dyDescent="0.3">
      <c r="X6843" s="1">
        <f t="shared" si="212"/>
        <v>0</v>
      </c>
      <c r="Y6843" s="1">
        <f t="shared" si="213"/>
        <v>15</v>
      </c>
    </row>
    <row r="6844" spans="24:25" x14ac:dyDescent="0.3">
      <c r="X6844" s="1">
        <f t="shared" si="212"/>
        <v>0</v>
      </c>
      <c r="Y6844" s="1">
        <f t="shared" si="213"/>
        <v>15</v>
      </c>
    </row>
    <row r="6845" spans="24:25" x14ac:dyDescent="0.3">
      <c r="X6845" s="1">
        <f t="shared" si="212"/>
        <v>0</v>
      </c>
      <c r="Y6845" s="1">
        <f t="shared" si="213"/>
        <v>15</v>
      </c>
    </row>
    <row r="6846" spans="24:25" x14ac:dyDescent="0.3">
      <c r="X6846" s="1">
        <f t="shared" si="212"/>
        <v>0</v>
      </c>
      <c r="Y6846" s="1">
        <f t="shared" si="213"/>
        <v>15</v>
      </c>
    </row>
    <row r="6847" spans="24:25" x14ac:dyDescent="0.3">
      <c r="X6847" s="1">
        <f t="shared" si="212"/>
        <v>0</v>
      </c>
      <c r="Y6847" s="1">
        <f t="shared" si="213"/>
        <v>15</v>
      </c>
    </row>
    <row r="6848" spans="24:25" x14ac:dyDescent="0.3">
      <c r="X6848" s="1">
        <f t="shared" si="212"/>
        <v>0</v>
      </c>
      <c r="Y6848" s="1">
        <f t="shared" si="213"/>
        <v>15</v>
      </c>
    </row>
    <row r="6849" spans="24:25" x14ac:dyDescent="0.3">
      <c r="X6849" s="1">
        <f t="shared" si="212"/>
        <v>0</v>
      </c>
      <c r="Y6849" s="1">
        <f t="shared" si="213"/>
        <v>15</v>
      </c>
    </row>
    <row r="6850" spans="24:25" x14ac:dyDescent="0.3">
      <c r="X6850" s="1">
        <f t="shared" si="212"/>
        <v>0</v>
      </c>
      <c r="Y6850" s="1">
        <f t="shared" si="213"/>
        <v>15</v>
      </c>
    </row>
    <row r="6851" spans="24:25" x14ac:dyDescent="0.3">
      <c r="X6851" s="1">
        <f t="shared" ref="X6851:X6914" si="214">IFERROR(MATCH(W6851,$B:$B,0),0)</f>
        <v>0</v>
      </c>
      <c r="Y6851" s="1">
        <f t="shared" ref="Y6851:Y6914" si="215">IF(X6852=0,COUNTA(A:A),X6852-1)</f>
        <v>15</v>
      </c>
    </row>
    <row r="6852" spans="24:25" x14ac:dyDescent="0.3">
      <c r="X6852" s="1">
        <f t="shared" si="214"/>
        <v>0</v>
      </c>
      <c r="Y6852" s="1">
        <f t="shared" si="215"/>
        <v>15</v>
      </c>
    </row>
    <row r="6853" spans="24:25" x14ac:dyDescent="0.3">
      <c r="X6853" s="1">
        <f t="shared" si="214"/>
        <v>0</v>
      </c>
      <c r="Y6853" s="1">
        <f t="shared" si="215"/>
        <v>15</v>
      </c>
    </row>
    <row r="6854" spans="24:25" x14ac:dyDescent="0.3">
      <c r="X6854" s="1">
        <f t="shared" si="214"/>
        <v>0</v>
      </c>
      <c r="Y6854" s="1">
        <f t="shared" si="215"/>
        <v>15</v>
      </c>
    </row>
    <row r="6855" spans="24:25" x14ac:dyDescent="0.3">
      <c r="X6855" s="1">
        <f t="shared" si="214"/>
        <v>0</v>
      </c>
      <c r="Y6855" s="1">
        <f t="shared" si="215"/>
        <v>15</v>
      </c>
    </row>
    <row r="6856" spans="24:25" x14ac:dyDescent="0.3">
      <c r="X6856" s="1">
        <f t="shared" si="214"/>
        <v>0</v>
      </c>
      <c r="Y6856" s="1">
        <f t="shared" si="215"/>
        <v>15</v>
      </c>
    </row>
    <row r="6857" spans="24:25" x14ac:dyDescent="0.3">
      <c r="X6857" s="1">
        <f t="shared" si="214"/>
        <v>0</v>
      </c>
      <c r="Y6857" s="1">
        <f t="shared" si="215"/>
        <v>15</v>
      </c>
    </row>
    <row r="6858" spans="24:25" x14ac:dyDescent="0.3">
      <c r="X6858" s="1">
        <f t="shared" si="214"/>
        <v>0</v>
      </c>
      <c r="Y6858" s="1">
        <f t="shared" si="215"/>
        <v>15</v>
      </c>
    </row>
    <row r="6859" spans="24:25" x14ac:dyDescent="0.3">
      <c r="X6859" s="1">
        <f t="shared" si="214"/>
        <v>0</v>
      </c>
      <c r="Y6859" s="1">
        <f t="shared" si="215"/>
        <v>15</v>
      </c>
    </row>
    <row r="6860" spans="24:25" x14ac:dyDescent="0.3">
      <c r="X6860" s="1">
        <f t="shared" si="214"/>
        <v>0</v>
      </c>
      <c r="Y6860" s="1">
        <f t="shared" si="215"/>
        <v>15</v>
      </c>
    </row>
    <row r="6861" spans="24:25" x14ac:dyDescent="0.3">
      <c r="X6861" s="1">
        <f t="shared" si="214"/>
        <v>0</v>
      </c>
      <c r="Y6861" s="1">
        <f t="shared" si="215"/>
        <v>15</v>
      </c>
    </row>
    <row r="6862" spans="24:25" x14ac:dyDescent="0.3">
      <c r="X6862" s="1">
        <f t="shared" si="214"/>
        <v>0</v>
      </c>
      <c r="Y6862" s="1">
        <f t="shared" si="215"/>
        <v>15</v>
      </c>
    </row>
    <row r="6863" spans="24:25" x14ac:dyDescent="0.3">
      <c r="X6863" s="1">
        <f t="shared" si="214"/>
        <v>0</v>
      </c>
      <c r="Y6863" s="1">
        <f t="shared" si="215"/>
        <v>15</v>
      </c>
    </row>
    <row r="6864" spans="24:25" x14ac:dyDescent="0.3">
      <c r="X6864" s="1">
        <f t="shared" si="214"/>
        <v>0</v>
      </c>
      <c r="Y6864" s="1">
        <f t="shared" si="215"/>
        <v>15</v>
      </c>
    </row>
    <row r="6865" spans="24:25" x14ac:dyDescent="0.3">
      <c r="X6865" s="1">
        <f t="shared" si="214"/>
        <v>0</v>
      </c>
      <c r="Y6865" s="1">
        <f t="shared" si="215"/>
        <v>15</v>
      </c>
    </row>
    <row r="6866" spans="24:25" x14ac:dyDescent="0.3">
      <c r="X6866" s="1">
        <f t="shared" si="214"/>
        <v>0</v>
      </c>
      <c r="Y6866" s="1">
        <f t="shared" si="215"/>
        <v>15</v>
      </c>
    </row>
    <row r="6867" spans="24:25" x14ac:dyDescent="0.3">
      <c r="X6867" s="1">
        <f t="shared" si="214"/>
        <v>0</v>
      </c>
      <c r="Y6867" s="1">
        <f t="shared" si="215"/>
        <v>15</v>
      </c>
    </row>
    <row r="6868" spans="24:25" x14ac:dyDescent="0.3">
      <c r="X6868" s="1">
        <f t="shared" si="214"/>
        <v>0</v>
      </c>
      <c r="Y6868" s="1">
        <f t="shared" si="215"/>
        <v>15</v>
      </c>
    </row>
    <row r="6869" spans="24:25" x14ac:dyDescent="0.3">
      <c r="X6869" s="1">
        <f t="shared" si="214"/>
        <v>0</v>
      </c>
      <c r="Y6869" s="1">
        <f t="shared" si="215"/>
        <v>15</v>
      </c>
    </row>
    <row r="6870" spans="24:25" x14ac:dyDescent="0.3">
      <c r="X6870" s="1">
        <f t="shared" si="214"/>
        <v>0</v>
      </c>
      <c r="Y6870" s="1">
        <f t="shared" si="215"/>
        <v>15</v>
      </c>
    </row>
    <row r="6871" spans="24:25" x14ac:dyDescent="0.3">
      <c r="X6871" s="1">
        <f t="shared" si="214"/>
        <v>0</v>
      </c>
      <c r="Y6871" s="1">
        <f t="shared" si="215"/>
        <v>15</v>
      </c>
    </row>
    <row r="6872" spans="24:25" x14ac:dyDescent="0.3">
      <c r="X6872" s="1">
        <f t="shared" si="214"/>
        <v>0</v>
      </c>
      <c r="Y6872" s="1">
        <f t="shared" si="215"/>
        <v>15</v>
      </c>
    </row>
    <row r="6873" spans="24:25" x14ac:dyDescent="0.3">
      <c r="X6873" s="1">
        <f t="shared" si="214"/>
        <v>0</v>
      </c>
      <c r="Y6873" s="1">
        <f t="shared" si="215"/>
        <v>15</v>
      </c>
    </row>
    <row r="6874" spans="24:25" x14ac:dyDescent="0.3">
      <c r="X6874" s="1">
        <f t="shared" si="214"/>
        <v>0</v>
      </c>
      <c r="Y6874" s="1">
        <f t="shared" si="215"/>
        <v>15</v>
      </c>
    </row>
    <row r="6875" spans="24:25" x14ac:dyDescent="0.3">
      <c r="X6875" s="1">
        <f t="shared" si="214"/>
        <v>0</v>
      </c>
      <c r="Y6875" s="1">
        <f t="shared" si="215"/>
        <v>15</v>
      </c>
    </row>
    <row r="6876" spans="24:25" x14ac:dyDescent="0.3">
      <c r="X6876" s="1">
        <f t="shared" si="214"/>
        <v>0</v>
      </c>
      <c r="Y6876" s="1">
        <f t="shared" si="215"/>
        <v>15</v>
      </c>
    </row>
    <row r="6877" spans="24:25" x14ac:dyDescent="0.3">
      <c r="X6877" s="1">
        <f t="shared" si="214"/>
        <v>0</v>
      </c>
      <c r="Y6877" s="1">
        <f t="shared" si="215"/>
        <v>15</v>
      </c>
    </row>
    <row r="6878" spans="24:25" x14ac:dyDescent="0.3">
      <c r="X6878" s="1">
        <f t="shared" si="214"/>
        <v>0</v>
      </c>
      <c r="Y6878" s="1">
        <f t="shared" si="215"/>
        <v>15</v>
      </c>
    </row>
    <row r="6879" spans="24:25" x14ac:dyDescent="0.3">
      <c r="X6879" s="1">
        <f t="shared" si="214"/>
        <v>0</v>
      </c>
      <c r="Y6879" s="1">
        <f t="shared" si="215"/>
        <v>15</v>
      </c>
    </row>
    <row r="6880" spans="24:25" x14ac:dyDescent="0.3">
      <c r="X6880" s="1">
        <f t="shared" si="214"/>
        <v>0</v>
      </c>
      <c r="Y6880" s="1">
        <f t="shared" si="215"/>
        <v>15</v>
      </c>
    </row>
    <row r="6881" spans="24:25" x14ac:dyDescent="0.3">
      <c r="X6881" s="1">
        <f t="shared" si="214"/>
        <v>0</v>
      </c>
      <c r="Y6881" s="1">
        <f t="shared" si="215"/>
        <v>15</v>
      </c>
    </row>
    <row r="6882" spans="24:25" x14ac:dyDescent="0.3">
      <c r="X6882" s="1">
        <f t="shared" si="214"/>
        <v>0</v>
      </c>
      <c r="Y6882" s="1">
        <f t="shared" si="215"/>
        <v>15</v>
      </c>
    </row>
    <row r="6883" spans="24:25" x14ac:dyDescent="0.3">
      <c r="X6883" s="1">
        <f t="shared" si="214"/>
        <v>0</v>
      </c>
      <c r="Y6883" s="1">
        <f t="shared" si="215"/>
        <v>15</v>
      </c>
    </row>
    <row r="6884" spans="24:25" x14ac:dyDescent="0.3">
      <c r="X6884" s="1">
        <f t="shared" si="214"/>
        <v>0</v>
      </c>
      <c r="Y6884" s="1">
        <f t="shared" si="215"/>
        <v>15</v>
      </c>
    </row>
    <row r="6885" spans="24:25" x14ac:dyDescent="0.3">
      <c r="X6885" s="1">
        <f t="shared" si="214"/>
        <v>0</v>
      </c>
      <c r="Y6885" s="1">
        <f t="shared" si="215"/>
        <v>15</v>
      </c>
    </row>
    <row r="6886" spans="24:25" x14ac:dyDescent="0.3">
      <c r="X6886" s="1">
        <f t="shared" si="214"/>
        <v>0</v>
      </c>
      <c r="Y6886" s="1">
        <f t="shared" si="215"/>
        <v>15</v>
      </c>
    </row>
    <row r="6887" spans="24:25" x14ac:dyDescent="0.3">
      <c r="X6887" s="1">
        <f t="shared" si="214"/>
        <v>0</v>
      </c>
      <c r="Y6887" s="1">
        <f t="shared" si="215"/>
        <v>15</v>
      </c>
    </row>
    <row r="6888" spans="24:25" x14ac:dyDescent="0.3">
      <c r="X6888" s="1">
        <f t="shared" si="214"/>
        <v>0</v>
      </c>
      <c r="Y6888" s="1">
        <f t="shared" si="215"/>
        <v>15</v>
      </c>
    </row>
    <row r="6889" spans="24:25" x14ac:dyDescent="0.3">
      <c r="X6889" s="1">
        <f t="shared" si="214"/>
        <v>0</v>
      </c>
      <c r="Y6889" s="1">
        <f t="shared" si="215"/>
        <v>15</v>
      </c>
    </row>
    <row r="6890" spans="24:25" x14ac:dyDescent="0.3">
      <c r="X6890" s="1">
        <f t="shared" si="214"/>
        <v>0</v>
      </c>
      <c r="Y6890" s="1">
        <f t="shared" si="215"/>
        <v>15</v>
      </c>
    </row>
    <row r="6891" spans="24:25" x14ac:dyDescent="0.3">
      <c r="X6891" s="1">
        <f t="shared" si="214"/>
        <v>0</v>
      </c>
      <c r="Y6891" s="1">
        <f t="shared" si="215"/>
        <v>15</v>
      </c>
    </row>
    <row r="6892" spans="24:25" x14ac:dyDescent="0.3">
      <c r="X6892" s="1">
        <f t="shared" si="214"/>
        <v>0</v>
      </c>
      <c r="Y6892" s="1">
        <f t="shared" si="215"/>
        <v>15</v>
      </c>
    </row>
    <row r="6893" spans="24:25" x14ac:dyDescent="0.3">
      <c r="X6893" s="1">
        <f t="shared" si="214"/>
        <v>0</v>
      </c>
      <c r="Y6893" s="1">
        <f t="shared" si="215"/>
        <v>15</v>
      </c>
    </row>
    <row r="6894" spans="24:25" x14ac:dyDescent="0.3">
      <c r="X6894" s="1">
        <f t="shared" si="214"/>
        <v>0</v>
      </c>
      <c r="Y6894" s="1">
        <f t="shared" si="215"/>
        <v>15</v>
      </c>
    </row>
    <row r="6895" spans="24:25" x14ac:dyDescent="0.3">
      <c r="X6895" s="1">
        <f t="shared" si="214"/>
        <v>0</v>
      </c>
      <c r="Y6895" s="1">
        <f t="shared" si="215"/>
        <v>15</v>
      </c>
    </row>
    <row r="6896" spans="24:25" x14ac:dyDescent="0.3">
      <c r="X6896" s="1">
        <f t="shared" si="214"/>
        <v>0</v>
      </c>
      <c r="Y6896" s="1">
        <f t="shared" si="215"/>
        <v>15</v>
      </c>
    </row>
    <row r="6897" spans="24:25" x14ac:dyDescent="0.3">
      <c r="X6897" s="1">
        <f t="shared" si="214"/>
        <v>0</v>
      </c>
      <c r="Y6897" s="1">
        <f t="shared" si="215"/>
        <v>15</v>
      </c>
    </row>
    <row r="6898" spans="24:25" x14ac:dyDescent="0.3">
      <c r="X6898" s="1">
        <f t="shared" si="214"/>
        <v>0</v>
      </c>
      <c r="Y6898" s="1">
        <f t="shared" si="215"/>
        <v>15</v>
      </c>
    </row>
    <row r="6899" spans="24:25" x14ac:dyDescent="0.3">
      <c r="X6899" s="1">
        <f t="shared" si="214"/>
        <v>0</v>
      </c>
      <c r="Y6899" s="1">
        <f t="shared" si="215"/>
        <v>15</v>
      </c>
    </row>
    <row r="6900" spans="24:25" x14ac:dyDescent="0.3">
      <c r="X6900" s="1">
        <f t="shared" si="214"/>
        <v>0</v>
      </c>
      <c r="Y6900" s="1">
        <f t="shared" si="215"/>
        <v>15</v>
      </c>
    </row>
    <row r="6901" spans="24:25" x14ac:dyDescent="0.3">
      <c r="X6901" s="1">
        <f t="shared" si="214"/>
        <v>0</v>
      </c>
      <c r="Y6901" s="1">
        <f t="shared" si="215"/>
        <v>15</v>
      </c>
    </row>
    <row r="6902" spans="24:25" x14ac:dyDescent="0.3">
      <c r="X6902" s="1">
        <f t="shared" si="214"/>
        <v>0</v>
      </c>
      <c r="Y6902" s="1">
        <f t="shared" si="215"/>
        <v>15</v>
      </c>
    </row>
    <row r="6903" spans="24:25" x14ac:dyDescent="0.3">
      <c r="X6903" s="1">
        <f t="shared" si="214"/>
        <v>0</v>
      </c>
      <c r="Y6903" s="1">
        <f t="shared" si="215"/>
        <v>15</v>
      </c>
    </row>
    <row r="6904" spans="24:25" x14ac:dyDescent="0.3">
      <c r="X6904" s="1">
        <f t="shared" si="214"/>
        <v>0</v>
      </c>
      <c r="Y6904" s="1">
        <f t="shared" si="215"/>
        <v>15</v>
      </c>
    </row>
    <row r="6905" spans="24:25" x14ac:dyDescent="0.3">
      <c r="X6905" s="1">
        <f t="shared" si="214"/>
        <v>0</v>
      </c>
      <c r="Y6905" s="1">
        <f t="shared" si="215"/>
        <v>15</v>
      </c>
    </row>
    <row r="6906" spans="24:25" x14ac:dyDescent="0.3">
      <c r="X6906" s="1">
        <f t="shared" si="214"/>
        <v>0</v>
      </c>
      <c r="Y6906" s="1">
        <f t="shared" si="215"/>
        <v>15</v>
      </c>
    </row>
    <row r="6907" spans="24:25" x14ac:dyDescent="0.3">
      <c r="X6907" s="1">
        <f t="shared" si="214"/>
        <v>0</v>
      </c>
      <c r="Y6907" s="1">
        <f t="shared" si="215"/>
        <v>15</v>
      </c>
    </row>
    <row r="6908" spans="24:25" x14ac:dyDescent="0.3">
      <c r="X6908" s="1">
        <f t="shared" si="214"/>
        <v>0</v>
      </c>
      <c r="Y6908" s="1">
        <f t="shared" si="215"/>
        <v>15</v>
      </c>
    </row>
    <row r="6909" spans="24:25" x14ac:dyDescent="0.3">
      <c r="X6909" s="1">
        <f t="shared" si="214"/>
        <v>0</v>
      </c>
      <c r="Y6909" s="1">
        <f t="shared" si="215"/>
        <v>15</v>
      </c>
    </row>
    <row r="6910" spans="24:25" x14ac:dyDescent="0.3">
      <c r="X6910" s="1">
        <f t="shared" si="214"/>
        <v>0</v>
      </c>
      <c r="Y6910" s="1">
        <f t="shared" si="215"/>
        <v>15</v>
      </c>
    </row>
    <row r="6911" spans="24:25" x14ac:dyDescent="0.3">
      <c r="X6911" s="1">
        <f t="shared" si="214"/>
        <v>0</v>
      </c>
      <c r="Y6911" s="1">
        <f t="shared" si="215"/>
        <v>15</v>
      </c>
    </row>
    <row r="6912" spans="24:25" x14ac:dyDescent="0.3">
      <c r="X6912" s="1">
        <f t="shared" si="214"/>
        <v>0</v>
      </c>
      <c r="Y6912" s="1">
        <f t="shared" si="215"/>
        <v>15</v>
      </c>
    </row>
    <row r="6913" spans="24:25" x14ac:dyDescent="0.3">
      <c r="X6913" s="1">
        <f t="shared" si="214"/>
        <v>0</v>
      </c>
      <c r="Y6913" s="1">
        <f t="shared" si="215"/>
        <v>15</v>
      </c>
    </row>
    <row r="6914" spans="24:25" x14ac:dyDescent="0.3">
      <c r="X6914" s="1">
        <f t="shared" si="214"/>
        <v>0</v>
      </c>
      <c r="Y6914" s="1">
        <f t="shared" si="215"/>
        <v>15</v>
      </c>
    </row>
    <row r="6915" spans="24:25" x14ac:dyDescent="0.3">
      <c r="X6915" s="1">
        <f t="shared" ref="X6915:X6978" si="216">IFERROR(MATCH(W6915,$B:$B,0),0)</f>
        <v>0</v>
      </c>
      <c r="Y6915" s="1">
        <f t="shared" ref="Y6915:Y6978" si="217">IF(X6916=0,COUNTA(A:A),X6916-1)</f>
        <v>15</v>
      </c>
    </row>
    <row r="6916" spans="24:25" x14ac:dyDescent="0.3">
      <c r="X6916" s="1">
        <f t="shared" si="216"/>
        <v>0</v>
      </c>
      <c r="Y6916" s="1">
        <f t="shared" si="217"/>
        <v>15</v>
      </c>
    </row>
    <row r="6917" spans="24:25" x14ac:dyDescent="0.3">
      <c r="X6917" s="1">
        <f t="shared" si="216"/>
        <v>0</v>
      </c>
      <c r="Y6917" s="1">
        <f t="shared" si="217"/>
        <v>15</v>
      </c>
    </row>
    <row r="6918" spans="24:25" x14ac:dyDescent="0.3">
      <c r="X6918" s="1">
        <f t="shared" si="216"/>
        <v>0</v>
      </c>
      <c r="Y6918" s="1">
        <f t="shared" si="217"/>
        <v>15</v>
      </c>
    </row>
    <row r="6919" spans="24:25" x14ac:dyDescent="0.3">
      <c r="X6919" s="1">
        <f t="shared" si="216"/>
        <v>0</v>
      </c>
      <c r="Y6919" s="1">
        <f t="shared" si="217"/>
        <v>15</v>
      </c>
    </row>
    <row r="6920" spans="24:25" x14ac:dyDescent="0.3">
      <c r="X6920" s="1">
        <f t="shared" si="216"/>
        <v>0</v>
      </c>
      <c r="Y6920" s="1">
        <f t="shared" si="217"/>
        <v>15</v>
      </c>
    </row>
    <row r="6921" spans="24:25" x14ac:dyDescent="0.3">
      <c r="X6921" s="1">
        <f t="shared" si="216"/>
        <v>0</v>
      </c>
      <c r="Y6921" s="1">
        <f t="shared" si="217"/>
        <v>15</v>
      </c>
    </row>
    <row r="6922" spans="24:25" x14ac:dyDescent="0.3">
      <c r="X6922" s="1">
        <f t="shared" si="216"/>
        <v>0</v>
      </c>
      <c r="Y6922" s="1">
        <f t="shared" si="217"/>
        <v>15</v>
      </c>
    </row>
    <row r="6923" spans="24:25" x14ac:dyDescent="0.3">
      <c r="X6923" s="1">
        <f t="shared" si="216"/>
        <v>0</v>
      </c>
      <c r="Y6923" s="1">
        <f t="shared" si="217"/>
        <v>15</v>
      </c>
    </row>
    <row r="6924" spans="24:25" x14ac:dyDescent="0.3">
      <c r="X6924" s="1">
        <f t="shared" si="216"/>
        <v>0</v>
      </c>
      <c r="Y6924" s="1">
        <f t="shared" si="217"/>
        <v>15</v>
      </c>
    </row>
    <row r="6925" spans="24:25" x14ac:dyDescent="0.3">
      <c r="X6925" s="1">
        <f t="shared" si="216"/>
        <v>0</v>
      </c>
      <c r="Y6925" s="1">
        <f t="shared" si="217"/>
        <v>15</v>
      </c>
    </row>
    <row r="6926" spans="24:25" x14ac:dyDescent="0.3">
      <c r="X6926" s="1">
        <f t="shared" si="216"/>
        <v>0</v>
      </c>
      <c r="Y6926" s="1">
        <f t="shared" si="217"/>
        <v>15</v>
      </c>
    </row>
    <row r="6927" spans="24:25" x14ac:dyDescent="0.3">
      <c r="X6927" s="1">
        <f t="shared" si="216"/>
        <v>0</v>
      </c>
      <c r="Y6927" s="1">
        <f t="shared" si="217"/>
        <v>15</v>
      </c>
    </row>
    <row r="6928" spans="24:25" x14ac:dyDescent="0.3">
      <c r="X6928" s="1">
        <f t="shared" si="216"/>
        <v>0</v>
      </c>
      <c r="Y6928" s="1">
        <f t="shared" si="217"/>
        <v>15</v>
      </c>
    </row>
    <row r="6929" spans="24:25" x14ac:dyDescent="0.3">
      <c r="X6929" s="1">
        <f t="shared" si="216"/>
        <v>0</v>
      </c>
      <c r="Y6929" s="1">
        <f t="shared" si="217"/>
        <v>15</v>
      </c>
    </row>
    <row r="6930" spans="24:25" x14ac:dyDescent="0.3">
      <c r="X6930" s="1">
        <f t="shared" si="216"/>
        <v>0</v>
      </c>
      <c r="Y6930" s="1">
        <f t="shared" si="217"/>
        <v>15</v>
      </c>
    </row>
    <row r="6931" spans="24:25" x14ac:dyDescent="0.3">
      <c r="X6931" s="1">
        <f t="shared" si="216"/>
        <v>0</v>
      </c>
      <c r="Y6931" s="1">
        <f t="shared" si="217"/>
        <v>15</v>
      </c>
    </row>
    <row r="6932" spans="24:25" x14ac:dyDescent="0.3">
      <c r="X6932" s="1">
        <f t="shared" si="216"/>
        <v>0</v>
      </c>
      <c r="Y6932" s="1">
        <f t="shared" si="217"/>
        <v>15</v>
      </c>
    </row>
    <row r="6933" spans="24:25" x14ac:dyDescent="0.3">
      <c r="X6933" s="1">
        <f t="shared" si="216"/>
        <v>0</v>
      </c>
      <c r="Y6933" s="1">
        <f t="shared" si="217"/>
        <v>15</v>
      </c>
    </row>
    <row r="6934" spans="24:25" x14ac:dyDescent="0.3">
      <c r="X6934" s="1">
        <f t="shared" si="216"/>
        <v>0</v>
      </c>
      <c r="Y6934" s="1">
        <f t="shared" si="217"/>
        <v>15</v>
      </c>
    </row>
    <row r="6935" spans="24:25" x14ac:dyDescent="0.3">
      <c r="X6935" s="1">
        <f t="shared" si="216"/>
        <v>0</v>
      </c>
      <c r="Y6935" s="1">
        <f t="shared" si="217"/>
        <v>15</v>
      </c>
    </row>
    <row r="6936" spans="24:25" x14ac:dyDescent="0.3">
      <c r="X6936" s="1">
        <f t="shared" si="216"/>
        <v>0</v>
      </c>
      <c r="Y6936" s="1">
        <f t="shared" si="217"/>
        <v>15</v>
      </c>
    </row>
    <row r="6937" spans="24:25" x14ac:dyDescent="0.3">
      <c r="X6937" s="1">
        <f t="shared" si="216"/>
        <v>0</v>
      </c>
      <c r="Y6937" s="1">
        <f t="shared" si="217"/>
        <v>15</v>
      </c>
    </row>
    <row r="6938" spans="24:25" x14ac:dyDescent="0.3">
      <c r="X6938" s="1">
        <f t="shared" si="216"/>
        <v>0</v>
      </c>
      <c r="Y6938" s="1">
        <f t="shared" si="217"/>
        <v>15</v>
      </c>
    </row>
    <row r="6939" spans="24:25" x14ac:dyDescent="0.3">
      <c r="X6939" s="1">
        <f t="shared" si="216"/>
        <v>0</v>
      </c>
      <c r="Y6939" s="1">
        <f t="shared" si="217"/>
        <v>15</v>
      </c>
    </row>
    <row r="6940" spans="24:25" x14ac:dyDescent="0.3">
      <c r="X6940" s="1">
        <f t="shared" si="216"/>
        <v>0</v>
      </c>
      <c r="Y6940" s="1">
        <f t="shared" si="217"/>
        <v>15</v>
      </c>
    </row>
    <row r="6941" spans="24:25" x14ac:dyDescent="0.3">
      <c r="X6941" s="1">
        <f t="shared" si="216"/>
        <v>0</v>
      </c>
      <c r="Y6941" s="1">
        <f t="shared" si="217"/>
        <v>15</v>
      </c>
    </row>
    <row r="6942" spans="24:25" x14ac:dyDescent="0.3">
      <c r="X6942" s="1">
        <f t="shared" si="216"/>
        <v>0</v>
      </c>
      <c r="Y6942" s="1">
        <f t="shared" si="217"/>
        <v>15</v>
      </c>
    </row>
    <row r="6943" spans="24:25" x14ac:dyDescent="0.3">
      <c r="X6943" s="1">
        <f t="shared" si="216"/>
        <v>0</v>
      </c>
      <c r="Y6943" s="1">
        <f t="shared" si="217"/>
        <v>15</v>
      </c>
    </row>
    <row r="6944" spans="24:25" x14ac:dyDescent="0.3">
      <c r="X6944" s="1">
        <f t="shared" si="216"/>
        <v>0</v>
      </c>
      <c r="Y6944" s="1">
        <f t="shared" si="217"/>
        <v>15</v>
      </c>
    </row>
    <row r="6945" spans="24:25" x14ac:dyDescent="0.3">
      <c r="X6945" s="1">
        <f t="shared" si="216"/>
        <v>0</v>
      </c>
      <c r="Y6945" s="1">
        <f t="shared" si="217"/>
        <v>15</v>
      </c>
    </row>
    <row r="6946" spans="24:25" x14ac:dyDescent="0.3">
      <c r="X6946" s="1">
        <f t="shared" si="216"/>
        <v>0</v>
      </c>
      <c r="Y6946" s="1">
        <f t="shared" si="217"/>
        <v>15</v>
      </c>
    </row>
    <row r="6947" spans="24:25" x14ac:dyDescent="0.3">
      <c r="X6947" s="1">
        <f t="shared" si="216"/>
        <v>0</v>
      </c>
      <c r="Y6947" s="1">
        <f t="shared" si="217"/>
        <v>15</v>
      </c>
    </row>
    <row r="6948" spans="24:25" x14ac:dyDescent="0.3">
      <c r="X6948" s="1">
        <f t="shared" si="216"/>
        <v>0</v>
      </c>
      <c r="Y6948" s="1">
        <f t="shared" si="217"/>
        <v>15</v>
      </c>
    </row>
    <row r="6949" spans="24:25" x14ac:dyDescent="0.3">
      <c r="X6949" s="1">
        <f t="shared" si="216"/>
        <v>0</v>
      </c>
      <c r="Y6949" s="1">
        <f t="shared" si="217"/>
        <v>15</v>
      </c>
    </row>
    <row r="6950" spans="24:25" x14ac:dyDescent="0.3">
      <c r="X6950" s="1">
        <f t="shared" si="216"/>
        <v>0</v>
      </c>
      <c r="Y6950" s="1">
        <f t="shared" si="217"/>
        <v>15</v>
      </c>
    </row>
    <row r="6951" spans="24:25" x14ac:dyDescent="0.3">
      <c r="X6951" s="1">
        <f t="shared" si="216"/>
        <v>0</v>
      </c>
      <c r="Y6951" s="1">
        <f t="shared" si="217"/>
        <v>15</v>
      </c>
    </row>
    <row r="6952" spans="24:25" x14ac:dyDescent="0.3">
      <c r="X6952" s="1">
        <f t="shared" si="216"/>
        <v>0</v>
      </c>
      <c r="Y6952" s="1">
        <f t="shared" si="217"/>
        <v>15</v>
      </c>
    </row>
    <row r="6953" spans="24:25" x14ac:dyDescent="0.3">
      <c r="X6953" s="1">
        <f t="shared" si="216"/>
        <v>0</v>
      </c>
      <c r="Y6953" s="1">
        <f t="shared" si="217"/>
        <v>15</v>
      </c>
    </row>
    <row r="6954" spans="24:25" x14ac:dyDescent="0.3">
      <c r="X6954" s="1">
        <f t="shared" si="216"/>
        <v>0</v>
      </c>
      <c r="Y6954" s="1">
        <f t="shared" si="217"/>
        <v>15</v>
      </c>
    </row>
    <row r="6955" spans="24:25" x14ac:dyDescent="0.3">
      <c r="X6955" s="1">
        <f t="shared" si="216"/>
        <v>0</v>
      </c>
      <c r="Y6955" s="1">
        <f t="shared" si="217"/>
        <v>15</v>
      </c>
    </row>
    <row r="6956" spans="24:25" x14ac:dyDescent="0.3">
      <c r="X6956" s="1">
        <f t="shared" si="216"/>
        <v>0</v>
      </c>
      <c r="Y6956" s="1">
        <f t="shared" si="217"/>
        <v>15</v>
      </c>
    </row>
    <row r="6957" spans="24:25" x14ac:dyDescent="0.3">
      <c r="X6957" s="1">
        <f t="shared" si="216"/>
        <v>0</v>
      </c>
      <c r="Y6957" s="1">
        <f t="shared" si="217"/>
        <v>15</v>
      </c>
    </row>
    <row r="6958" spans="24:25" x14ac:dyDescent="0.3">
      <c r="X6958" s="1">
        <f t="shared" si="216"/>
        <v>0</v>
      </c>
      <c r="Y6958" s="1">
        <f t="shared" si="217"/>
        <v>15</v>
      </c>
    </row>
    <row r="6959" spans="24:25" x14ac:dyDescent="0.3">
      <c r="X6959" s="1">
        <f t="shared" si="216"/>
        <v>0</v>
      </c>
      <c r="Y6959" s="1">
        <f t="shared" si="217"/>
        <v>15</v>
      </c>
    </row>
    <row r="6960" spans="24:25" x14ac:dyDescent="0.3">
      <c r="X6960" s="1">
        <f t="shared" si="216"/>
        <v>0</v>
      </c>
      <c r="Y6960" s="1">
        <f t="shared" si="217"/>
        <v>15</v>
      </c>
    </row>
    <row r="6961" spans="24:25" x14ac:dyDescent="0.3">
      <c r="X6961" s="1">
        <f t="shared" si="216"/>
        <v>0</v>
      </c>
      <c r="Y6961" s="1">
        <f t="shared" si="217"/>
        <v>15</v>
      </c>
    </row>
    <row r="6962" spans="24:25" x14ac:dyDescent="0.3">
      <c r="X6962" s="1">
        <f t="shared" si="216"/>
        <v>0</v>
      </c>
      <c r="Y6962" s="1">
        <f t="shared" si="217"/>
        <v>15</v>
      </c>
    </row>
    <row r="6963" spans="24:25" x14ac:dyDescent="0.3">
      <c r="X6963" s="1">
        <f t="shared" si="216"/>
        <v>0</v>
      </c>
      <c r="Y6963" s="1">
        <f t="shared" si="217"/>
        <v>15</v>
      </c>
    </row>
    <row r="6964" spans="24:25" x14ac:dyDescent="0.3">
      <c r="X6964" s="1">
        <f t="shared" si="216"/>
        <v>0</v>
      </c>
      <c r="Y6964" s="1">
        <f t="shared" si="217"/>
        <v>15</v>
      </c>
    </row>
    <row r="6965" spans="24:25" x14ac:dyDescent="0.3">
      <c r="X6965" s="1">
        <f t="shared" si="216"/>
        <v>0</v>
      </c>
      <c r="Y6965" s="1">
        <f t="shared" si="217"/>
        <v>15</v>
      </c>
    </row>
    <row r="6966" spans="24:25" x14ac:dyDescent="0.3">
      <c r="X6966" s="1">
        <f t="shared" si="216"/>
        <v>0</v>
      </c>
      <c r="Y6966" s="1">
        <f t="shared" si="217"/>
        <v>15</v>
      </c>
    </row>
    <row r="6967" spans="24:25" x14ac:dyDescent="0.3">
      <c r="X6967" s="1">
        <f t="shared" si="216"/>
        <v>0</v>
      </c>
      <c r="Y6967" s="1">
        <f t="shared" si="217"/>
        <v>15</v>
      </c>
    </row>
    <row r="6968" spans="24:25" x14ac:dyDescent="0.3">
      <c r="X6968" s="1">
        <f t="shared" si="216"/>
        <v>0</v>
      </c>
      <c r="Y6968" s="1">
        <f t="shared" si="217"/>
        <v>15</v>
      </c>
    </row>
    <row r="6969" spans="24:25" x14ac:dyDescent="0.3">
      <c r="X6969" s="1">
        <f t="shared" si="216"/>
        <v>0</v>
      </c>
      <c r="Y6969" s="1">
        <f t="shared" si="217"/>
        <v>15</v>
      </c>
    </row>
    <row r="6970" spans="24:25" x14ac:dyDescent="0.3">
      <c r="X6970" s="1">
        <f t="shared" si="216"/>
        <v>0</v>
      </c>
      <c r="Y6970" s="1">
        <f t="shared" si="217"/>
        <v>15</v>
      </c>
    </row>
    <row r="6971" spans="24:25" x14ac:dyDescent="0.3">
      <c r="X6971" s="1">
        <f t="shared" si="216"/>
        <v>0</v>
      </c>
      <c r="Y6971" s="1">
        <f t="shared" si="217"/>
        <v>15</v>
      </c>
    </row>
    <row r="6972" spans="24:25" x14ac:dyDescent="0.3">
      <c r="X6972" s="1">
        <f t="shared" si="216"/>
        <v>0</v>
      </c>
      <c r="Y6972" s="1">
        <f t="shared" si="217"/>
        <v>15</v>
      </c>
    </row>
    <row r="6973" spans="24:25" x14ac:dyDescent="0.3">
      <c r="X6973" s="1">
        <f t="shared" si="216"/>
        <v>0</v>
      </c>
      <c r="Y6973" s="1">
        <f t="shared" si="217"/>
        <v>15</v>
      </c>
    </row>
    <row r="6974" spans="24:25" x14ac:dyDescent="0.3">
      <c r="X6974" s="1">
        <f t="shared" si="216"/>
        <v>0</v>
      </c>
      <c r="Y6974" s="1">
        <f t="shared" si="217"/>
        <v>15</v>
      </c>
    </row>
    <row r="6975" spans="24:25" x14ac:dyDescent="0.3">
      <c r="X6975" s="1">
        <f t="shared" si="216"/>
        <v>0</v>
      </c>
      <c r="Y6975" s="1">
        <f t="shared" si="217"/>
        <v>15</v>
      </c>
    </row>
    <row r="6976" spans="24:25" x14ac:dyDescent="0.3">
      <c r="X6976" s="1">
        <f t="shared" si="216"/>
        <v>0</v>
      </c>
      <c r="Y6976" s="1">
        <f t="shared" si="217"/>
        <v>15</v>
      </c>
    </row>
    <row r="6977" spans="24:25" x14ac:dyDescent="0.3">
      <c r="X6977" s="1">
        <f t="shared" si="216"/>
        <v>0</v>
      </c>
      <c r="Y6977" s="1">
        <f t="shared" si="217"/>
        <v>15</v>
      </c>
    </row>
    <row r="6978" spans="24:25" x14ac:dyDescent="0.3">
      <c r="X6978" s="1">
        <f t="shared" si="216"/>
        <v>0</v>
      </c>
      <c r="Y6978" s="1">
        <f t="shared" si="217"/>
        <v>15</v>
      </c>
    </row>
    <row r="6979" spans="24:25" x14ac:dyDescent="0.3">
      <c r="X6979" s="1">
        <f t="shared" ref="X6979:X7042" si="218">IFERROR(MATCH(W6979,$B:$B,0),0)</f>
        <v>0</v>
      </c>
      <c r="Y6979" s="1">
        <f t="shared" ref="Y6979:Y7042" si="219">IF(X6980=0,COUNTA(A:A),X6980-1)</f>
        <v>15</v>
      </c>
    </row>
    <row r="6980" spans="24:25" x14ac:dyDescent="0.3">
      <c r="X6980" s="1">
        <f t="shared" si="218"/>
        <v>0</v>
      </c>
      <c r="Y6980" s="1">
        <f t="shared" si="219"/>
        <v>15</v>
      </c>
    </row>
    <row r="6981" spans="24:25" x14ac:dyDescent="0.3">
      <c r="X6981" s="1">
        <f t="shared" si="218"/>
        <v>0</v>
      </c>
      <c r="Y6981" s="1">
        <f t="shared" si="219"/>
        <v>15</v>
      </c>
    </row>
    <row r="6982" spans="24:25" x14ac:dyDescent="0.3">
      <c r="X6982" s="1">
        <f t="shared" si="218"/>
        <v>0</v>
      </c>
      <c r="Y6982" s="1">
        <f t="shared" si="219"/>
        <v>15</v>
      </c>
    </row>
    <row r="6983" spans="24:25" x14ac:dyDescent="0.3">
      <c r="X6983" s="1">
        <f t="shared" si="218"/>
        <v>0</v>
      </c>
      <c r="Y6983" s="1">
        <f t="shared" si="219"/>
        <v>15</v>
      </c>
    </row>
    <row r="6984" spans="24:25" x14ac:dyDescent="0.3">
      <c r="X6984" s="1">
        <f t="shared" si="218"/>
        <v>0</v>
      </c>
      <c r="Y6984" s="1">
        <f t="shared" si="219"/>
        <v>15</v>
      </c>
    </row>
    <row r="6985" spans="24:25" x14ac:dyDescent="0.3">
      <c r="X6985" s="1">
        <f t="shared" si="218"/>
        <v>0</v>
      </c>
      <c r="Y6985" s="1">
        <f t="shared" si="219"/>
        <v>15</v>
      </c>
    </row>
    <row r="6986" spans="24:25" x14ac:dyDescent="0.3">
      <c r="X6986" s="1">
        <f t="shared" si="218"/>
        <v>0</v>
      </c>
      <c r="Y6986" s="1">
        <f t="shared" si="219"/>
        <v>15</v>
      </c>
    </row>
    <row r="6987" spans="24:25" x14ac:dyDescent="0.3">
      <c r="X6987" s="1">
        <f t="shared" si="218"/>
        <v>0</v>
      </c>
      <c r="Y6987" s="1">
        <f t="shared" si="219"/>
        <v>15</v>
      </c>
    </row>
    <row r="6988" spans="24:25" x14ac:dyDescent="0.3">
      <c r="X6988" s="1">
        <f t="shared" si="218"/>
        <v>0</v>
      </c>
      <c r="Y6988" s="1">
        <f t="shared" si="219"/>
        <v>15</v>
      </c>
    </row>
    <row r="6989" spans="24:25" x14ac:dyDescent="0.3">
      <c r="X6989" s="1">
        <f t="shared" si="218"/>
        <v>0</v>
      </c>
      <c r="Y6989" s="1">
        <f t="shared" si="219"/>
        <v>15</v>
      </c>
    </row>
    <row r="6990" spans="24:25" x14ac:dyDescent="0.3">
      <c r="X6990" s="1">
        <f t="shared" si="218"/>
        <v>0</v>
      </c>
      <c r="Y6990" s="1">
        <f t="shared" si="219"/>
        <v>15</v>
      </c>
    </row>
    <row r="6991" spans="24:25" x14ac:dyDescent="0.3">
      <c r="X6991" s="1">
        <f t="shared" si="218"/>
        <v>0</v>
      </c>
      <c r="Y6991" s="1">
        <f t="shared" si="219"/>
        <v>15</v>
      </c>
    </row>
    <row r="6992" spans="24:25" x14ac:dyDescent="0.3">
      <c r="X6992" s="1">
        <f t="shared" si="218"/>
        <v>0</v>
      </c>
      <c r="Y6992" s="1">
        <f t="shared" si="219"/>
        <v>15</v>
      </c>
    </row>
    <row r="6993" spans="24:25" x14ac:dyDescent="0.3">
      <c r="X6993" s="1">
        <f t="shared" si="218"/>
        <v>0</v>
      </c>
      <c r="Y6993" s="1">
        <f t="shared" si="219"/>
        <v>15</v>
      </c>
    </row>
    <row r="6994" spans="24:25" x14ac:dyDescent="0.3">
      <c r="X6994" s="1">
        <f t="shared" si="218"/>
        <v>0</v>
      </c>
      <c r="Y6994" s="1">
        <f t="shared" si="219"/>
        <v>15</v>
      </c>
    </row>
    <row r="6995" spans="24:25" x14ac:dyDescent="0.3">
      <c r="X6995" s="1">
        <f t="shared" si="218"/>
        <v>0</v>
      </c>
      <c r="Y6995" s="1">
        <f t="shared" si="219"/>
        <v>15</v>
      </c>
    </row>
    <row r="6996" spans="24:25" x14ac:dyDescent="0.3">
      <c r="X6996" s="1">
        <f t="shared" si="218"/>
        <v>0</v>
      </c>
      <c r="Y6996" s="1">
        <f t="shared" si="219"/>
        <v>15</v>
      </c>
    </row>
    <row r="6997" spans="24:25" x14ac:dyDescent="0.3">
      <c r="X6997" s="1">
        <f t="shared" si="218"/>
        <v>0</v>
      </c>
      <c r="Y6997" s="1">
        <f t="shared" si="219"/>
        <v>15</v>
      </c>
    </row>
    <row r="6998" spans="24:25" x14ac:dyDescent="0.3">
      <c r="X6998" s="1">
        <f t="shared" si="218"/>
        <v>0</v>
      </c>
      <c r="Y6998" s="1">
        <f t="shared" si="219"/>
        <v>15</v>
      </c>
    </row>
    <row r="6999" spans="24:25" x14ac:dyDescent="0.3">
      <c r="X6999" s="1">
        <f t="shared" si="218"/>
        <v>0</v>
      </c>
      <c r="Y6999" s="1">
        <f t="shared" si="219"/>
        <v>15</v>
      </c>
    </row>
    <row r="7000" spans="24:25" x14ac:dyDescent="0.3">
      <c r="X7000" s="1">
        <f t="shared" si="218"/>
        <v>0</v>
      </c>
      <c r="Y7000" s="1">
        <f t="shared" si="219"/>
        <v>15</v>
      </c>
    </row>
    <row r="7001" spans="24:25" x14ac:dyDescent="0.3">
      <c r="X7001" s="1">
        <f t="shared" si="218"/>
        <v>0</v>
      </c>
      <c r="Y7001" s="1">
        <f t="shared" si="219"/>
        <v>15</v>
      </c>
    </row>
    <row r="7002" spans="24:25" x14ac:dyDescent="0.3">
      <c r="X7002" s="1">
        <f t="shared" si="218"/>
        <v>0</v>
      </c>
      <c r="Y7002" s="1">
        <f t="shared" si="219"/>
        <v>15</v>
      </c>
    </row>
    <row r="7003" spans="24:25" x14ac:dyDescent="0.3">
      <c r="X7003" s="1">
        <f t="shared" si="218"/>
        <v>0</v>
      </c>
      <c r="Y7003" s="1">
        <f t="shared" si="219"/>
        <v>15</v>
      </c>
    </row>
    <row r="7004" spans="24:25" x14ac:dyDescent="0.3">
      <c r="X7004" s="1">
        <f t="shared" si="218"/>
        <v>0</v>
      </c>
      <c r="Y7004" s="1">
        <f t="shared" si="219"/>
        <v>15</v>
      </c>
    </row>
    <row r="7005" spans="24:25" x14ac:dyDescent="0.3">
      <c r="X7005" s="1">
        <f t="shared" si="218"/>
        <v>0</v>
      </c>
      <c r="Y7005" s="1">
        <f t="shared" si="219"/>
        <v>15</v>
      </c>
    </row>
    <row r="7006" spans="24:25" x14ac:dyDescent="0.3">
      <c r="X7006" s="1">
        <f t="shared" si="218"/>
        <v>0</v>
      </c>
      <c r="Y7006" s="1">
        <f t="shared" si="219"/>
        <v>15</v>
      </c>
    </row>
    <row r="7007" spans="24:25" x14ac:dyDescent="0.3">
      <c r="X7007" s="1">
        <f t="shared" si="218"/>
        <v>0</v>
      </c>
      <c r="Y7007" s="1">
        <f t="shared" si="219"/>
        <v>15</v>
      </c>
    </row>
    <row r="7008" spans="24:25" x14ac:dyDescent="0.3">
      <c r="X7008" s="1">
        <f t="shared" si="218"/>
        <v>0</v>
      </c>
      <c r="Y7008" s="1">
        <f t="shared" si="219"/>
        <v>15</v>
      </c>
    </row>
    <row r="7009" spans="24:25" x14ac:dyDescent="0.3">
      <c r="X7009" s="1">
        <f t="shared" si="218"/>
        <v>0</v>
      </c>
      <c r="Y7009" s="1">
        <f t="shared" si="219"/>
        <v>15</v>
      </c>
    </row>
    <row r="7010" spans="24:25" x14ac:dyDescent="0.3">
      <c r="X7010" s="1">
        <f t="shared" si="218"/>
        <v>0</v>
      </c>
      <c r="Y7010" s="1">
        <f t="shared" si="219"/>
        <v>15</v>
      </c>
    </row>
    <row r="7011" spans="24:25" x14ac:dyDescent="0.3">
      <c r="X7011" s="1">
        <f t="shared" si="218"/>
        <v>0</v>
      </c>
      <c r="Y7011" s="1">
        <f t="shared" si="219"/>
        <v>15</v>
      </c>
    </row>
    <row r="7012" spans="24:25" x14ac:dyDescent="0.3">
      <c r="X7012" s="1">
        <f t="shared" si="218"/>
        <v>0</v>
      </c>
      <c r="Y7012" s="1">
        <f t="shared" si="219"/>
        <v>15</v>
      </c>
    </row>
    <row r="7013" spans="24:25" x14ac:dyDescent="0.3">
      <c r="X7013" s="1">
        <f t="shared" si="218"/>
        <v>0</v>
      </c>
      <c r="Y7013" s="1">
        <f t="shared" si="219"/>
        <v>15</v>
      </c>
    </row>
    <row r="7014" spans="24:25" x14ac:dyDescent="0.3">
      <c r="X7014" s="1">
        <f t="shared" si="218"/>
        <v>0</v>
      </c>
      <c r="Y7014" s="1">
        <f t="shared" si="219"/>
        <v>15</v>
      </c>
    </row>
    <row r="7015" spans="24:25" x14ac:dyDescent="0.3">
      <c r="X7015" s="1">
        <f t="shared" si="218"/>
        <v>0</v>
      </c>
      <c r="Y7015" s="1">
        <f t="shared" si="219"/>
        <v>15</v>
      </c>
    </row>
    <row r="7016" spans="24:25" x14ac:dyDescent="0.3">
      <c r="X7016" s="1">
        <f t="shared" si="218"/>
        <v>0</v>
      </c>
      <c r="Y7016" s="1">
        <f t="shared" si="219"/>
        <v>15</v>
      </c>
    </row>
    <row r="7017" spans="24:25" x14ac:dyDescent="0.3">
      <c r="X7017" s="1">
        <f t="shared" si="218"/>
        <v>0</v>
      </c>
      <c r="Y7017" s="1">
        <f t="shared" si="219"/>
        <v>15</v>
      </c>
    </row>
    <row r="7018" spans="24:25" x14ac:dyDescent="0.3">
      <c r="X7018" s="1">
        <f t="shared" si="218"/>
        <v>0</v>
      </c>
      <c r="Y7018" s="1">
        <f t="shared" si="219"/>
        <v>15</v>
      </c>
    </row>
    <row r="7019" spans="24:25" x14ac:dyDescent="0.3">
      <c r="X7019" s="1">
        <f t="shared" si="218"/>
        <v>0</v>
      </c>
      <c r="Y7019" s="1">
        <f t="shared" si="219"/>
        <v>15</v>
      </c>
    </row>
    <row r="7020" spans="24:25" x14ac:dyDescent="0.3">
      <c r="X7020" s="1">
        <f t="shared" si="218"/>
        <v>0</v>
      </c>
      <c r="Y7020" s="1">
        <f t="shared" si="219"/>
        <v>15</v>
      </c>
    </row>
    <row r="7021" spans="24:25" x14ac:dyDescent="0.3">
      <c r="X7021" s="1">
        <f t="shared" si="218"/>
        <v>0</v>
      </c>
      <c r="Y7021" s="1">
        <f t="shared" si="219"/>
        <v>15</v>
      </c>
    </row>
    <row r="7022" spans="24:25" x14ac:dyDescent="0.3">
      <c r="X7022" s="1">
        <f t="shared" si="218"/>
        <v>0</v>
      </c>
      <c r="Y7022" s="1">
        <f t="shared" si="219"/>
        <v>15</v>
      </c>
    </row>
    <row r="7023" spans="24:25" x14ac:dyDescent="0.3">
      <c r="X7023" s="1">
        <f t="shared" si="218"/>
        <v>0</v>
      </c>
      <c r="Y7023" s="1">
        <f t="shared" si="219"/>
        <v>15</v>
      </c>
    </row>
    <row r="7024" spans="24:25" x14ac:dyDescent="0.3">
      <c r="X7024" s="1">
        <f t="shared" si="218"/>
        <v>0</v>
      </c>
      <c r="Y7024" s="1">
        <f t="shared" si="219"/>
        <v>15</v>
      </c>
    </row>
    <row r="7025" spans="24:25" x14ac:dyDescent="0.3">
      <c r="X7025" s="1">
        <f t="shared" si="218"/>
        <v>0</v>
      </c>
      <c r="Y7025" s="1">
        <f t="shared" si="219"/>
        <v>15</v>
      </c>
    </row>
    <row r="7026" spans="24:25" x14ac:dyDescent="0.3">
      <c r="X7026" s="1">
        <f t="shared" si="218"/>
        <v>0</v>
      </c>
      <c r="Y7026" s="1">
        <f t="shared" si="219"/>
        <v>15</v>
      </c>
    </row>
    <row r="7027" spans="24:25" x14ac:dyDescent="0.3">
      <c r="X7027" s="1">
        <f t="shared" si="218"/>
        <v>0</v>
      </c>
      <c r="Y7027" s="1">
        <f t="shared" si="219"/>
        <v>15</v>
      </c>
    </row>
    <row r="7028" spans="24:25" x14ac:dyDescent="0.3">
      <c r="X7028" s="1">
        <f t="shared" si="218"/>
        <v>0</v>
      </c>
      <c r="Y7028" s="1">
        <f t="shared" si="219"/>
        <v>15</v>
      </c>
    </row>
    <row r="7029" spans="24:25" x14ac:dyDescent="0.3">
      <c r="X7029" s="1">
        <f t="shared" si="218"/>
        <v>0</v>
      </c>
      <c r="Y7029" s="1">
        <f t="shared" si="219"/>
        <v>15</v>
      </c>
    </row>
    <row r="7030" spans="24:25" x14ac:dyDescent="0.3">
      <c r="X7030" s="1">
        <f t="shared" si="218"/>
        <v>0</v>
      </c>
      <c r="Y7030" s="1">
        <f t="shared" si="219"/>
        <v>15</v>
      </c>
    </row>
    <row r="7031" spans="24:25" x14ac:dyDescent="0.3">
      <c r="X7031" s="1">
        <f t="shared" si="218"/>
        <v>0</v>
      </c>
      <c r="Y7031" s="1">
        <f t="shared" si="219"/>
        <v>15</v>
      </c>
    </row>
    <row r="7032" spans="24:25" x14ac:dyDescent="0.3">
      <c r="X7032" s="1">
        <f t="shared" si="218"/>
        <v>0</v>
      </c>
      <c r="Y7032" s="1">
        <f t="shared" si="219"/>
        <v>15</v>
      </c>
    </row>
    <row r="7033" spans="24:25" x14ac:dyDescent="0.3">
      <c r="X7033" s="1">
        <f t="shared" si="218"/>
        <v>0</v>
      </c>
      <c r="Y7033" s="1">
        <f t="shared" si="219"/>
        <v>15</v>
      </c>
    </row>
    <row r="7034" spans="24:25" x14ac:dyDescent="0.3">
      <c r="X7034" s="1">
        <f t="shared" si="218"/>
        <v>0</v>
      </c>
      <c r="Y7034" s="1">
        <f t="shared" si="219"/>
        <v>15</v>
      </c>
    </row>
    <row r="7035" spans="24:25" x14ac:dyDescent="0.3">
      <c r="X7035" s="1">
        <f t="shared" si="218"/>
        <v>0</v>
      </c>
      <c r="Y7035" s="1">
        <f t="shared" si="219"/>
        <v>15</v>
      </c>
    </row>
    <row r="7036" spans="24:25" x14ac:dyDescent="0.3">
      <c r="X7036" s="1">
        <f t="shared" si="218"/>
        <v>0</v>
      </c>
      <c r="Y7036" s="1">
        <f t="shared" si="219"/>
        <v>15</v>
      </c>
    </row>
    <row r="7037" spans="24:25" x14ac:dyDescent="0.3">
      <c r="X7037" s="1">
        <f t="shared" si="218"/>
        <v>0</v>
      </c>
      <c r="Y7037" s="1">
        <f t="shared" si="219"/>
        <v>15</v>
      </c>
    </row>
    <row r="7038" spans="24:25" x14ac:dyDescent="0.3">
      <c r="X7038" s="1">
        <f t="shared" si="218"/>
        <v>0</v>
      </c>
      <c r="Y7038" s="1">
        <f t="shared" si="219"/>
        <v>15</v>
      </c>
    </row>
    <row r="7039" spans="24:25" x14ac:dyDescent="0.3">
      <c r="X7039" s="1">
        <f t="shared" si="218"/>
        <v>0</v>
      </c>
      <c r="Y7039" s="1">
        <f t="shared" si="219"/>
        <v>15</v>
      </c>
    </row>
    <row r="7040" spans="24:25" x14ac:dyDescent="0.3">
      <c r="X7040" s="1">
        <f t="shared" si="218"/>
        <v>0</v>
      </c>
      <c r="Y7040" s="1">
        <f t="shared" si="219"/>
        <v>15</v>
      </c>
    </row>
    <row r="7041" spans="24:25" x14ac:dyDescent="0.3">
      <c r="X7041" s="1">
        <f t="shared" si="218"/>
        <v>0</v>
      </c>
      <c r="Y7041" s="1">
        <f t="shared" si="219"/>
        <v>15</v>
      </c>
    </row>
    <row r="7042" spans="24:25" x14ac:dyDescent="0.3">
      <c r="X7042" s="1">
        <f t="shared" si="218"/>
        <v>0</v>
      </c>
      <c r="Y7042" s="1">
        <f t="shared" si="219"/>
        <v>15</v>
      </c>
    </row>
    <row r="7043" spans="24:25" x14ac:dyDescent="0.3">
      <c r="X7043" s="1">
        <f t="shared" ref="X7043:X7106" si="220">IFERROR(MATCH(W7043,$B:$B,0),0)</f>
        <v>0</v>
      </c>
      <c r="Y7043" s="1">
        <f t="shared" ref="Y7043:Y7106" si="221">IF(X7044=0,COUNTA(A:A),X7044-1)</f>
        <v>15</v>
      </c>
    </row>
    <row r="7044" spans="24:25" x14ac:dyDescent="0.3">
      <c r="X7044" s="1">
        <f t="shared" si="220"/>
        <v>0</v>
      </c>
      <c r="Y7044" s="1">
        <f t="shared" si="221"/>
        <v>15</v>
      </c>
    </row>
    <row r="7045" spans="24:25" x14ac:dyDescent="0.3">
      <c r="X7045" s="1">
        <f t="shared" si="220"/>
        <v>0</v>
      </c>
      <c r="Y7045" s="1">
        <f t="shared" si="221"/>
        <v>15</v>
      </c>
    </row>
    <row r="7046" spans="24:25" x14ac:dyDescent="0.3">
      <c r="X7046" s="1">
        <f t="shared" si="220"/>
        <v>0</v>
      </c>
      <c r="Y7046" s="1">
        <f t="shared" si="221"/>
        <v>15</v>
      </c>
    </row>
    <row r="7047" spans="24:25" x14ac:dyDescent="0.3">
      <c r="X7047" s="1">
        <f t="shared" si="220"/>
        <v>0</v>
      </c>
      <c r="Y7047" s="1">
        <f t="shared" si="221"/>
        <v>15</v>
      </c>
    </row>
    <row r="7048" spans="24:25" x14ac:dyDescent="0.3">
      <c r="X7048" s="1">
        <f t="shared" si="220"/>
        <v>0</v>
      </c>
      <c r="Y7048" s="1">
        <f t="shared" si="221"/>
        <v>15</v>
      </c>
    </row>
    <row r="7049" spans="24:25" x14ac:dyDescent="0.3">
      <c r="X7049" s="1">
        <f t="shared" si="220"/>
        <v>0</v>
      </c>
      <c r="Y7049" s="1">
        <f t="shared" si="221"/>
        <v>15</v>
      </c>
    </row>
    <row r="7050" spans="24:25" x14ac:dyDescent="0.3">
      <c r="X7050" s="1">
        <f t="shared" si="220"/>
        <v>0</v>
      </c>
      <c r="Y7050" s="1">
        <f t="shared" si="221"/>
        <v>15</v>
      </c>
    </row>
    <row r="7051" spans="24:25" x14ac:dyDescent="0.3">
      <c r="X7051" s="1">
        <f t="shared" si="220"/>
        <v>0</v>
      </c>
      <c r="Y7051" s="1">
        <f t="shared" si="221"/>
        <v>15</v>
      </c>
    </row>
    <row r="7052" spans="24:25" x14ac:dyDescent="0.3">
      <c r="X7052" s="1">
        <f t="shared" si="220"/>
        <v>0</v>
      </c>
      <c r="Y7052" s="1">
        <f t="shared" si="221"/>
        <v>15</v>
      </c>
    </row>
    <row r="7053" spans="24:25" x14ac:dyDescent="0.3">
      <c r="X7053" s="1">
        <f t="shared" si="220"/>
        <v>0</v>
      </c>
      <c r="Y7053" s="1">
        <f t="shared" si="221"/>
        <v>15</v>
      </c>
    </row>
    <row r="7054" spans="24:25" x14ac:dyDescent="0.3">
      <c r="X7054" s="1">
        <f t="shared" si="220"/>
        <v>0</v>
      </c>
      <c r="Y7054" s="1">
        <f t="shared" si="221"/>
        <v>15</v>
      </c>
    </row>
    <row r="7055" spans="24:25" x14ac:dyDescent="0.3">
      <c r="X7055" s="1">
        <f t="shared" si="220"/>
        <v>0</v>
      </c>
      <c r="Y7055" s="1">
        <f t="shared" si="221"/>
        <v>15</v>
      </c>
    </row>
    <row r="7056" spans="24:25" x14ac:dyDescent="0.3">
      <c r="X7056" s="1">
        <f t="shared" si="220"/>
        <v>0</v>
      </c>
      <c r="Y7056" s="1">
        <f t="shared" si="221"/>
        <v>15</v>
      </c>
    </row>
    <row r="7057" spans="24:25" x14ac:dyDescent="0.3">
      <c r="X7057" s="1">
        <f t="shared" si="220"/>
        <v>0</v>
      </c>
      <c r="Y7057" s="1">
        <f t="shared" si="221"/>
        <v>15</v>
      </c>
    </row>
    <row r="7058" spans="24:25" x14ac:dyDescent="0.3">
      <c r="X7058" s="1">
        <f t="shared" si="220"/>
        <v>0</v>
      </c>
      <c r="Y7058" s="1">
        <f t="shared" si="221"/>
        <v>15</v>
      </c>
    </row>
    <row r="7059" spans="24:25" x14ac:dyDescent="0.3">
      <c r="X7059" s="1">
        <f t="shared" si="220"/>
        <v>0</v>
      </c>
      <c r="Y7059" s="1">
        <f t="shared" si="221"/>
        <v>15</v>
      </c>
    </row>
    <row r="7060" spans="24:25" x14ac:dyDescent="0.3">
      <c r="X7060" s="1">
        <f t="shared" si="220"/>
        <v>0</v>
      </c>
      <c r="Y7060" s="1">
        <f t="shared" si="221"/>
        <v>15</v>
      </c>
    </row>
    <row r="7061" spans="24:25" x14ac:dyDescent="0.3">
      <c r="X7061" s="1">
        <f t="shared" si="220"/>
        <v>0</v>
      </c>
      <c r="Y7061" s="1">
        <f t="shared" si="221"/>
        <v>15</v>
      </c>
    </row>
    <row r="7062" spans="24:25" x14ac:dyDescent="0.3">
      <c r="X7062" s="1">
        <f t="shared" si="220"/>
        <v>0</v>
      </c>
      <c r="Y7062" s="1">
        <f t="shared" si="221"/>
        <v>15</v>
      </c>
    </row>
    <row r="7063" spans="24:25" x14ac:dyDescent="0.3">
      <c r="X7063" s="1">
        <f t="shared" si="220"/>
        <v>0</v>
      </c>
      <c r="Y7063" s="1">
        <f t="shared" si="221"/>
        <v>15</v>
      </c>
    </row>
    <row r="7064" spans="24:25" x14ac:dyDescent="0.3">
      <c r="X7064" s="1">
        <f t="shared" si="220"/>
        <v>0</v>
      </c>
      <c r="Y7064" s="1">
        <f t="shared" si="221"/>
        <v>15</v>
      </c>
    </row>
    <row r="7065" spans="24:25" x14ac:dyDescent="0.3">
      <c r="X7065" s="1">
        <f t="shared" si="220"/>
        <v>0</v>
      </c>
      <c r="Y7065" s="1">
        <f t="shared" si="221"/>
        <v>15</v>
      </c>
    </row>
    <row r="7066" spans="24:25" x14ac:dyDescent="0.3">
      <c r="X7066" s="1">
        <f t="shared" si="220"/>
        <v>0</v>
      </c>
      <c r="Y7066" s="1">
        <f t="shared" si="221"/>
        <v>15</v>
      </c>
    </row>
    <row r="7067" spans="24:25" x14ac:dyDescent="0.3">
      <c r="X7067" s="1">
        <f t="shared" si="220"/>
        <v>0</v>
      </c>
      <c r="Y7067" s="1">
        <f t="shared" si="221"/>
        <v>15</v>
      </c>
    </row>
    <row r="7068" spans="24:25" x14ac:dyDescent="0.3">
      <c r="X7068" s="1">
        <f t="shared" si="220"/>
        <v>0</v>
      </c>
      <c r="Y7068" s="1">
        <f t="shared" si="221"/>
        <v>15</v>
      </c>
    </row>
    <row r="7069" spans="24:25" x14ac:dyDescent="0.3">
      <c r="X7069" s="1">
        <f t="shared" si="220"/>
        <v>0</v>
      </c>
      <c r="Y7069" s="1">
        <f t="shared" si="221"/>
        <v>15</v>
      </c>
    </row>
    <row r="7070" spans="24:25" x14ac:dyDescent="0.3">
      <c r="X7070" s="1">
        <f t="shared" si="220"/>
        <v>0</v>
      </c>
      <c r="Y7070" s="1">
        <f t="shared" si="221"/>
        <v>15</v>
      </c>
    </row>
    <row r="7071" spans="24:25" x14ac:dyDescent="0.3">
      <c r="X7071" s="1">
        <f t="shared" si="220"/>
        <v>0</v>
      </c>
      <c r="Y7071" s="1">
        <f t="shared" si="221"/>
        <v>15</v>
      </c>
    </row>
    <row r="7072" spans="24:25" x14ac:dyDescent="0.3">
      <c r="X7072" s="1">
        <f t="shared" si="220"/>
        <v>0</v>
      </c>
      <c r="Y7072" s="1">
        <f t="shared" si="221"/>
        <v>15</v>
      </c>
    </row>
    <row r="7073" spans="24:25" x14ac:dyDescent="0.3">
      <c r="X7073" s="1">
        <f t="shared" si="220"/>
        <v>0</v>
      </c>
      <c r="Y7073" s="1">
        <f t="shared" si="221"/>
        <v>15</v>
      </c>
    </row>
    <row r="7074" spans="24:25" x14ac:dyDescent="0.3">
      <c r="X7074" s="1">
        <f t="shared" si="220"/>
        <v>0</v>
      </c>
      <c r="Y7074" s="1">
        <f t="shared" si="221"/>
        <v>15</v>
      </c>
    </row>
    <row r="7075" spans="24:25" x14ac:dyDescent="0.3">
      <c r="X7075" s="1">
        <f t="shared" si="220"/>
        <v>0</v>
      </c>
      <c r="Y7075" s="1">
        <f t="shared" si="221"/>
        <v>15</v>
      </c>
    </row>
    <row r="7076" spans="24:25" x14ac:dyDescent="0.3">
      <c r="X7076" s="1">
        <f t="shared" si="220"/>
        <v>0</v>
      </c>
      <c r="Y7076" s="1">
        <f t="shared" si="221"/>
        <v>15</v>
      </c>
    </row>
    <row r="7077" spans="24:25" x14ac:dyDescent="0.3">
      <c r="X7077" s="1">
        <f t="shared" si="220"/>
        <v>0</v>
      </c>
      <c r="Y7077" s="1">
        <f t="shared" si="221"/>
        <v>15</v>
      </c>
    </row>
    <row r="7078" spans="24:25" x14ac:dyDescent="0.3">
      <c r="X7078" s="1">
        <f t="shared" si="220"/>
        <v>0</v>
      </c>
      <c r="Y7078" s="1">
        <f t="shared" si="221"/>
        <v>15</v>
      </c>
    </row>
    <row r="7079" spans="24:25" x14ac:dyDescent="0.3">
      <c r="X7079" s="1">
        <f t="shared" si="220"/>
        <v>0</v>
      </c>
      <c r="Y7079" s="1">
        <f t="shared" si="221"/>
        <v>15</v>
      </c>
    </row>
    <row r="7080" spans="24:25" x14ac:dyDescent="0.3">
      <c r="X7080" s="1">
        <f t="shared" si="220"/>
        <v>0</v>
      </c>
      <c r="Y7080" s="1">
        <f t="shared" si="221"/>
        <v>15</v>
      </c>
    </row>
    <row r="7081" spans="24:25" x14ac:dyDescent="0.3">
      <c r="X7081" s="1">
        <f t="shared" si="220"/>
        <v>0</v>
      </c>
      <c r="Y7081" s="1">
        <f t="shared" si="221"/>
        <v>15</v>
      </c>
    </row>
    <row r="7082" spans="24:25" x14ac:dyDescent="0.3">
      <c r="X7082" s="1">
        <f t="shared" si="220"/>
        <v>0</v>
      </c>
      <c r="Y7082" s="1">
        <f t="shared" si="221"/>
        <v>15</v>
      </c>
    </row>
    <row r="7083" spans="24:25" x14ac:dyDescent="0.3">
      <c r="X7083" s="1">
        <f t="shared" si="220"/>
        <v>0</v>
      </c>
      <c r="Y7083" s="1">
        <f t="shared" si="221"/>
        <v>15</v>
      </c>
    </row>
    <row r="7084" spans="24:25" x14ac:dyDescent="0.3">
      <c r="X7084" s="1">
        <f t="shared" si="220"/>
        <v>0</v>
      </c>
      <c r="Y7084" s="1">
        <f t="shared" si="221"/>
        <v>15</v>
      </c>
    </row>
    <row r="7085" spans="24:25" x14ac:dyDescent="0.3">
      <c r="X7085" s="1">
        <f t="shared" si="220"/>
        <v>0</v>
      </c>
      <c r="Y7085" s="1">
        <f t="shared" si="221"/>
        <v>15</v>
      </c>
    </row>
    <row r="7086" spans="24:25" x14ac:dyDescent="0.3">
      <c r="X7086" s="1">
        <f t="shared" si="220"/>
        <v>0</v>
      </c>
      <c r="Y7086" s="1">
        <f t="shared" si="221"/>
        <v>15</v>
      </c>
    </row>
    <row r="7087" spans="24:25" x14ac:dyDescent="0.3">
      <c r="X7087" s="1">
        <f t="shared" si="220"/>
        <v>0</v>
      </c>
      <c r="Y7087" s="1">
        <f t="shared" si="221"/>
        <v>15</v>
      </c>
    </row>
    <row r="7088" spans="24:25" x14ac:dyDescent="0.3">
      <c r="X7088" s="1">
        <f t="shared" si="220"/>
        <v>0</v>
      </c>
      <c r="Y7088" s="1">
        <f t="shared" si="221"/>
        <v>15</v>
      </c>
    </row>
    <row r="7089" spans="24:25" x14ac:dyDescent="0.3">
      <c r="X7089" s="1">
        <f t="shared" si="220"/>
        <v>0</v>
      </c>
      <c r="Y7089" s="1">
        <f t="shared" si="221"/>
        <v>15</v>
      </c>
    </row>
    <row r="7090" spans="24:25" x14ac:dyDescent="0.3">
      <c r="X7090" s="1">
        <f t="shared" si="220"/>
        <v>0</v>
      </c>
      <c r="Y7090" s="1">
        <f t="shared" si="221"/>
        <v>15</v>
      </c>
    </row>
    <row r="7091" spans="24:25" x14ac:dyDescent="0.3">
      <c r="X7091" s="1">
        <f t="shared" si="220"/>
        <v>0</v>
      </c>
      <c r="Y7091" s="1">
        <f t="shared" si="221"/>
        <v>15</v>
      </c>
    </row>
    <row r="7092" spans="24:25" x14ac:dyDescent="0.3">
      <c r="X7092" s="1">
        <f t="shared" si="220"/>
        <v>0</v>
      </c>
      <c r="Y7092" s="1">
        <f t="shared" si="221"/>
        <v>15</v>
      </c>
    </row>
    <row r="7093" spans="24:25" x14ac:dyDescent="0.3">
      <c r="X7093" s="1">
        <f t="shared" si="220"/>
        <v>0</v>
      </c>
      <c r="Y7093" s="1">
        <f t="shared" si="221"/>
        <v>15</v>
      </c>
    </row>
    <row r="7094" spans="24:25" x14ac:dyDescent="0.3">
      <c r="X7094" s="1">
        <f t="shared" si="220"/>
        <v>0</v>
      </c>
      <c r="Y7094" s="1">
        <f t="shared" si="221"/>
        <v>15</v>
      </c>
    </row>
    <row r="7095" spans="24:25" x14ac:dyDescent="0.3">
      <c r="X7095" s="1">
        <f t="shared" si="220"/>
        <v>0</v>
      </c>
      <c r="Y7095" s="1">
        <f t="shared" si="221"/>
        <v>15</v>
      </c>
    </row>
    <row r="7096" spans="24:25" x14ac:dyDescent="0.3">
      <c r="X7096" s="1">
        <f t="shared" si="220"/>
        <v>0</v>
      </c>
      <c r="Y7096" s="1">
        <f t="shared" si="221"/>
        <v>15</v>
      </c>
    </row>
    <row r="7097" spans="24:25" x14ac:dyDescent="0.3">
      <c r="X7097" s="1">
        <f t="shared" si="220"/>
        <v>0</v>
      </c>
      <c r="Y7097" s="1">
        <f t="shared" si="221"/>
        <v>15</v>
      </c>
    </row>
    <row r="7098" spans="24:25" x14ac:dyDescent="0.3">
      <c r="X7098" s="1">
        <f t="shared" si="220"/>
        <v>0</v>
      </c>
      <c r="Y7098" s="1">
        <f t="shared" si="221"/>
        <v>15</v>
      </c>
    </row>
    <row r="7099" spans="24:25" x14ac:dyDescent="0.3">
      <c r="X7099" s="1">
        <f t="shared" si="220"/>
        <v>0</v>
      </c>
      <c r="Y7099" s="1">
        <f t="shared" si="221"/>
        <v>15</v>
      </c>
    </row>
    <row r="7100" spans="24:25" x14ac:dyDescent="0.3">
      <c r="X7100" s="1">
        <f t="shared" si="220"/>
        <v>0</v>
      </c>
      <c r="Y7100" s="1">
        <f t="shared" si="221"/>
        <v>15</v>
      </c>
    </row>
    <row r="7101" spans="24:25" x14ac:dyDescent="0.3">
      <c r="X7101" s="1">
        <f t="shared" si="220"/>
        <v>0</v>
      </c>
      <c r="Y7101" s="1">
        <f t="shared" si="221"/>
        <v>15</v>
      </c>
    </row>
    <row r="7102" spans="24:25" x14ac:dyDescent="0.3">
      <c r="X7102" s="1">
        <f t="shared" si="220"/>
        <v>0</v>
      </c>
      <c r="Y7102" s="1">
        <f t="shared" si="221"/>
        <v>15</v>
      </c>
    </row>
    <row r="7103" spans="24:25" x14ac:dyDescent="0.3">
      <c r="X7103" s="1">
        <f t="shared" si="220"/>
        <v>0</v>
      </c>
      <c r="Y7103" s="1">
        <f t="shared" si="221"/>
        <v>15</v>
      </c>
    </row>
    <row r="7104" spans="24:25" x14ac:dyDescent="0.3">
      <c r="X7104" s="1">
        <f t="shared" si="220"/>
        <v>0</v>
      </c>
      <c r="Y7104" s="1">
        <f t="shared" si="221"/>
        <v>15</v>
      </c>
    </row>
    <row r="7105" spans="24:25" x14ac:dyDescent="0.3">
      <c r="X7105" s="1">
        <f t="shared" si="220"/>
        <v>0</v>
      </c>
      <c r="Y7105" s="1">
        <f t="shared" si="221"/>
        <v>15</v>
      </c>
    </row>
    <row r="7106" spans="24:25" x14ac:dyDescent="0.3">
      <c r="X7106" s="1">
        <f t="shared" si="220"/>
        <v>0</v>
      </c>
      <c r="Y7106" s="1">
        <f t="shared" si="221"/>
        <v>15</v>
      </c>
    </row>
    <row r="7107" spans="24:25" x14ac:dyDescent="0.3">
      <c r="X7107" s="1">
        <f t="shared" ref="X7107:X7170" si="222">IFERROR(MATCH(W7107,$B:$B,0),0)</f>
        <v>0</v>
      </c>
      <c r="Y7107" s="1">
        <f t="shared" ref="Y7107:Y7170" si="223">IF(X7108=0,COUNTA(A:A),X7108-1)</f>
        <v>15</v>
      </c>
    </row>
    <row r="7108" spans="24:25" x14ac:dyDescent="0.3">
      <c r="X7108" s="1">
        <f t="shared" si="222"/>
        <v>0</v>
      </c>
      <c r="Y7108" s="1">
        <f t="shared" si="223"/>
        <v>15</v>
      </c>
    </row>
    <row r="7109" spans="24:25" x14ac:dyDescent="0.3">
      <c r="X7109" s="1">
        <f t="shared" si="222"/>
        <v>0</v>
      </c>
      <c r="Y7109" s="1">
        <f t="shared" si="223"/>
        <v>15</v>
      </c>
    </row>
    <row r="7110" spans="24:25" x14ac:dyDescent="0.3">
      <c r="X7110" s="1">
        <f t="shared" si="222"/>
        <v>0</v>
      </c>
      <c r="Y7110" s="1">
        <f t="shared" si="223"/>
        <v>15</v>
      </c>
    </row>
    <row r="7111" spans="24:25" x14ac:dyDescent="0.3">
      <c r="X7111" s="1">
        <f t="shared" si="222"/>
        <v>0</v>
      </c>
      <c r="Y7111" s="1">
        <f t="shared" si="223"/>
        <v>15</v>
      </c>
    </row>
    <row r="7112" spans="24:25" x14ac:dyDescent="0.3">
      <c r="X7112" s="1">
        <f t="shared" si="222"/>
        <v>0</v>
      </c>
      <c r="Y7112" s="1">
        <f t="shared" si="223"/>
        <v>15</v>
      </c>
    </row>
    <row r="7113" spans="24:25" x14ac:dyDescent="0.3">
      <c r="X7113" s="1">
        <f t="shared" si="222"/>
        <v>0</v>
      </c>
      <c r="Y7113" s="1">
        <f t="shared" si="223"/>
        <v>15</v>
      </c>
    </row>
    <row r="7114" spans="24:25" x14ac:dyDescent="0.3">
      <c r="X7114" s="1">
        <f t="shared" si="222"/>
        <v>0</v>
      </c>
      <c r="Y7114" s="1">
        <f t="shared" si="223"/>
        <v>15</v>
      </c>
    </row>
    <row r="7115" spans="24:25" x14ac:dyDescent="0.3">
      <c r="X7115" s="1">
        <f t="shared" si="222"/>
        <v>0</v>
      </c>
      <c r="Y7115" s="1">
        <f t="shared" si="223"/>
        <v>15</v>
      </c>
    </row>
    <row r="7116" spans="24:25" x14ac:dyDescent="0.3">
      <c r="X7116" s="1">
        <f t="shared" si="222"/>
        <v>0</v>
      </c>
      <c r="Y7116" s="1">
        <f t="shared" si="223"/>
        <v>15</v>
      </c>
    </row>
    <row r="7117" spans="24:25" x14ac:dyDescent="0.3">
      <c r="X7117" s="1">
        <f t="shared" si="222"/>
        <v>0</v>
      </c>
      <c r="Y7117" s="1">
        <f t="shared" si="223"/>
        <v>15</v>
      </c>
    </row>
    <row r="7118" spans="24:25" x14ac:dyDescent="0.3">
      <c r="X7118" s="1">
        <f t="shared" si="222"/>
        <v>0</v>
      </c>
      <c r="Y7118" s="1">
        <f t="shared" si="223"/>
        <v>15</v>
      </c>
    </row>
    <row r="7119" spans="24:25" x14ac:dyDescent="0.3">
      <c r="X7119" s="1">
        <f t="shared" si="222"/>
        <v>0</v>
      </c>
      <c r="Y7119" s="1">
        <f t="shared" si="223"/>
        <v>15</v>
      </c>
    </row>
    <row r="7120" spans="24:25" x14ac:dyDescent="0.3">
      <c r="X7120" s="1">
        <f t="shared" si="222"/>
        <v>0</v>
      </c>
      <c r="Y7120" s="1">
        <f t="shared" si="223"/>
        <v>15</v>
      </c>
    </row>
    <row r="7121" spans="24:25" x14ac:dyDescent="0.3">
      <c r="X7121" s="1">
        <f t="shared" si="222"/>
        <v>0</v>
      </c>
      <c r="Y7121" s="1">
        <f t="shared" si="223"/>
        <v>15</v>
      </c>
    </row>
    <row r="7122" spans="24:25" x14ac:dyDescent="0.3">
      <c r="X7122" s="1">
        <f t="shared" si="222"/>
        <v>0</v>
      </c>
      <c r="Y7122" s="1">
        <f t="shared" si="223"/>
        <v>15</v>
      </c>
    </row>
    <row r="7123" spans="24:25" x14ac:dyDescent="0.3">
      <c r="X7123" s="1">
        <f t="shared" si="222"/>
        <v>0</v>
      </c>
      <c r="Y7123" s="1">
        <f t="shared" si="223"/>
        <v>15</v>
      </c>
    </row>
    <row r="7124" spans="24:25" x14ac:dyDescent="0.3">
      <c r="X7124" s="1">
        <f t="shared" si="222"/>
        <v>0</v>
      </c>
      <c r="Y7124" s="1">
        <f t="shared" si="223"/>
        <v>15</v>
      </c>
    </row>
    <row r="7125" spans="24:25" x14ac:dyDescent="0.3">
      <c r="X7125" s="1">
        <f t="shared" si="222"/>
        <v>0</v>
      </c>
      <c r="Y7125" s="1">
        <f t="shared" si="223"/>
        <v>15</v>
      </c>
    </row>
    <row r="7126" spans="24:25" x14ac:dyDescent="0.3">
      <c r="X7126" s="1">
        <f t="shared" si="222"/>
        <v>0</v>
      </c>
      <c r="Y7126" s="1">
        <f t="shared" si="223"/>
        <v>15</v>
      </c>
    </row>
    <row r="7127" spans="24:25" x14ac:dyDescent="0.3">
      <c r="X7127" s="1">
        <f t="shared" si="222"/>
        <v>0</v>
      </c>
      <c r="Y7127" s="1">
        <f t="shared" si="223"/>
        <v>15</v>
      </c>
    </row>
    <row r="7128" spans="24:25" x14ac:dyDescent="0.3">
      <c r="X7128" s="1">
        <f t="shared" si="222"/>
        <v>0</v>
      </c>
      <c r="Y7128" s="1">
        <f t="shared" si="223"/>
        <v>15</v>
      </c>
    </row>
    <row r="7129" spans="24:25" x14ac:dyDescent="0.3">
      <c r="X7129" s="1">
        <f t="shared" si="222"/>
        <v>0</v>
      </c>
      <c r="Y7129" s="1">
        <f t="shared" si="223"/>
        <v>15</v>
      </c>
    </row>
    <row r="7130" spans="24:25" x14ac:dyDescent="0.3">
      <c r="X7130" s="1">
        <f t="shared" si="222"/>
        <v>0</v>
      </c>
      <c r="Y7130" s="1">
        <f t="shared" si="223"/>
        <v>15</v>
      </c>
    </row>
    <row r="7131" spans="24:25" x14ac:dyDescent="0.3">
      <c r="X7131" s="1">
        <f t="shared" si="222"/>
        <v>0</v>
      </c>
      <c r="Y7131" s="1">
        <f t="shared" si="223"/>
        <v>15</v>
      </c>
    </row>
    <row r="7132" spans="24:25" x14ac:dyDescent="0.3">
      <c r="X7132" s="1">
        <f t="shared" si="222"/>
        <v>0</v>
      </c>
      <c r="Y7132" s="1">
        <f t="shared" si="223"/>
        <v>15</v>
      </c>
    </row>
    <row r="7133" spans="24:25" x14ac:dyDescent="0.3">
      <c r="X7133" s="1">
        <f t="shared" si="222"/>
        <v>0</v>
      </c>
      <c r="Y7133" s="1">
        <f t="shared" si="223"/>
        <v>15</v>
      </c>
    </row>
    <row r="7134" spans="24:25" x14ac:dyDescent="0.3">
      <c r="X7134" s="1">
        <f t="shared" si="222"/>
        <v>0</v>
      </c>
      <c r="Y7134" s="1">
        <f t="shared" si="223"/>
        <v>15</v>
      </c>
    </row>
    <row r="7135" spans="24:25" x14ac:dyDescent="0.3">
      <c r="X7135" s="1">
        <f t="shared" si="222"/>
        <v>0</v>
      </c>
      <c r="Y7135" s="1">
        <f t="shared" si="223"/>
        <v>15</v>
      </c>
    </row>
    <row r="7136" spans="24:25" x14ac:dyDescent="0.3">
      <c r="X7136" s="1">
        <f t="shared" si="222"/>
        <v>0</v>
      </c>
      <c r="Y7136" s="1">
        <f t="shared" si="223"/>
        <v>15</v>
      </c>
    </row>
    <row r="7137" spans="24:25" x14ac:dyDescent="0.3">
      <c r="X7137" s="1">
        <f t="shared" si="222"/>
        <v>0</v>
      </c>
      <c r="Y7137" s="1">
        <f t="shared" si="223"/>
        <v>15</v>
      </c>
    </row>
    <row r="7138" spans="24:25" x14ac:dyDescent="0.3">
      <c r="X7138" s="1">
        <f t="shared" si="222"/>
        <v>0</v>
      </c>
      <c r="Y7138" s="1">
        <f t="shared" si="223"/>
        <v>15</v>
      </c>
    </row>
    <row r="7139" spans="24:25" x14ac:dyDescent="0.3">
      <c r="X7139" s="1">
        <f t="shared" si="222"/>
        <v>0</v>
      </c>
      <c r="Y7139" s="1">
        <f t="shared" si="223"/>
        <v>15</v>
      </c>
    </row>
    <row r="7140" spans="24:25" x14ac:dyDescent="0.3">
      <c r="X7140" s="1">
        <f t="shared" si="222"/>
        <v>0</v>
      </c>
      <c r="Y7140" s="1">
        <f t="shared" si="223"/>
        <v>15</v>
      </c>
    </row>
    <row r="7141" spans="24:25" x14ac:dyDescent="0.3">
      <c r="X7141" s="1">
        <f t="shared" si="222"/>
        <v>0</v>
      </c>
      <c r="Y7141" s="1">
        <f t="shared" si="223"/>
        <v>15</v>
      </c>
    </row>
    <row r="7142" spans="24:25" x14ac:dyDescent="0.3">
      <c r="X7142" s="1">
        <f t="shared" si="222"/>
        <v>0</v>
      </c>
      <c r="Y7142" s="1">
        <f t="shared" si="223"/>
        <v>15</v>
      </c>
    </row>
    <row r="7143" spans="24:25" x14ac:dyDescent="0.3">
      <c r="X7143" s="1">
        <f t="shared" si="222"/>
        <v>0</v>
      </c>
      <c r="Y7143" s="1">
        <f t="shared" si="223"/>
        <v>15</v>
      </c>
    </row>
    <row r="7144" spans="24:25" x14ac:dyDescent="0.3">
      <c r="X7144" s="1">
        <f t="shared" si="222"/>
        <v>0</v>
      </c>
      <c r="Y7144" s="1">
        <f t="shared" si="223"/>
        <v>15</v>
      </c>
    </row>
    <row r="7145" spans="24:25" x14ac:dyDescent="0.3">
      <c r="X7145" s="1">
        <f t="shared" si="222"/>
        <v>0</v>
      </c>
      <c r="Y7145" s="1">
        <f t="shared" si="223"/>
        <v>15</v>
      </c>
    </row>
    <row r="7146" spans="24:25" x14ac:dyDescent="0.3">
      <c r="X7146" s="1">
        <f t="shared" si="222"/>
        <v>0</v>
      </c>
      <c r="Y7146" s="1">
        <f t="shared" si="223"/>
        <v>15</v>
      </c>
    </row>
    <row r="7147" spans="24:25" x14ac:dyDescent="0.3">
      <c r="X7147" s="1">
        <f t="shared" si="222"/>
        <v>0</v>
      </c>
      <c r="Y7147" s="1">
        <f t="shared" si="223"/>
        <v>15</v>
      </c>
    </row>
    <row r="7148" spans="24:25" x14ac:dyDescent="0.3">
      <c r="X7148" s="1">
        <f t="shared" si="222"/>
        <v>0</v>
      </c>
      <c r="Y7148" s="1">
        <f t="shared" si="223"/>
        <v>15</v>
      </c>
    </row>
    <row r="7149" spans="24:25" x14ac:dyDescent="0.3">
      <c r="X7149" s="1">
        <f t="shared" si="222"/>
        <v>0</v>
      </c>
      <c r="Y7149" s="1">
        <f t="shared" si="223"/>
        <v>15</v>
      </c>
    </row>
    <row r="7150" spans="24:25" x14ac:dyDescent="0.3">
      <c r="X7150" s="1">
        <f t="shared" si="222"/>
        <v>0</v>
      </c>
      <c r="Y7150" s="1">
        <f t="shared" si="223"/>
        <v>15</v>
      </c>
    </row>
    <row r="7151" spans="24:25" x14ac:dyDescent="0.3">
      <c r="X7151" s="1">
        <f t="shared" si="222"/>
        <v>0</v>
      </c>
      <c r="Y7151" s="1">
        <f t="shared" si="223"/>
        <v>15</v>
      </c>
    </row>
    <row r="7152" spans="24:25" x14ac:dyDescent="0.3">
      <c r="X7152" s="1">
        <f t="shared" si="222"/>
        <v>0</v>
      </c>
      <c r="Y7152" s="1">
        <f t="shared" si="223"/>
        <v>15</v>
      </c>
    </row>
    <row r="7153" spans="24:25" x14ac:dyDescent="0.3">
      <c r="X7153" s="1">
        <f t="shared" si="222"/>
        <v>0</v>
      </c>
      <c r="Y7153" s="1">
        <f t="shared" si="223"/>
        <v>15</v>
      </c>
    </row>
    <row r="7154" spans="24:25" x14ac:dyDescent="0.3">
      <c r="X7154" s="1">
        <f t="shared" si="222"/>
        <v>0</v>
      </c>
      <c r="Y7154" s="1">
        <f t="shared" si="223"/>
        <v>15</v>
      </c>
    </row>
    <row r="7155" spans="24:25" x14ac:dyDescent="0.3">
      <c r="X7155" s="1">
        <f t="shared" si="222"/>
        <v>0</v>
      </c>
      <c r="Y7155" s="1">
        <f t="shared" si="223"/>
        <v>15</v>
      </c>
    </row>
    <row r="7156" spans="24:25" x14ac:dyDescent="0.3">
      <c r="X7156" s="1">
        <f t="shared" si="222"/>
        <v>0</v>
      </c>
      <c r="Y7156" s="1">
        <f t="shared" si="223"/>
        <v>15</v>
      </c>
    </row>
    <row r="7157" spans="24:25" x14ac:dyDescent="0.3">
      <c r="X7157" s="1">
        <f t="shared" si="222"/>
        <v>0</v>
      </c>
      <c r="Y7157" s="1">
        <f t="shared" si="223"/>
        <v>15</v>
      </c>
    </row>
    <row r="7158" spans="24:25" x14ac:dyDescent="0.3">
      <c r="X7158" s="1">
        <f t="shared" si="222"/>
        <v>0</v>
      </c>
      <c r="Y7158" s="1">
        <f t="shared" si="223"/>
        <v>15</v>
      </c>
    </row>
    <row r="7159" spans="24:25" x14ac:dyDescent="0.3">
      <c r="X7159" s="1">
        <f t="shared" si="222"/>
        <v>0</v>
      </c>
      <c r="Y7159" s="1">
        <f t="shared" si="223"/>
        <v>15</v>
      </c>
    </row>
    <row r="7160" spans="24:25" x14ac:dyDescent="0.3">
      <c r="X7160" s="1">
        <f t="shared" si="222"/>
        <v>0</v>
      </c>
      <c r="Y7160" s="1">
        <f t="shared" si="223"/>
        <v>15</v>
      </c>
    </row>
    <row r="7161" spans="24:25" x14ac:dyDescent="0.3">
      <c r="X7161" s="1">
        <f t="shared" si="222"/>
        <v>0</v>
      </c>
      <c r="Y7161" s="1">
        <f t="shared" si="223"/>
        <v>15</v>
      </c>
    </row>
    <row r="7162" spans="24:25" x14ac:dyDescent="0.3">
      <c r="X7162" s="1">
        <f t="shared" si="222"/>
        <v>0</v>
      </c>
      <c r="Y7162" s="1">
        <f t="shared" si="223"/>
        <v>15</v>
      </c>
    </row>
    <row r="7163" spans="24:25" x14ac:dyDescent="0.3">
      <c r="X7163" s="1">
        <f t="shared" si="222"/>
        <v>0</v>
      </c>
      <c r="Y7163" s="1">
        <f t="shared" si="223"/>
        <v>15</v>
      </c>
    </row>
    <row r="7164" spans="24:25" x14ac:dyDescent="0.3">
      <c r="X7164" s="1">
        <f t="shared" si="222"/>
        <v>0</v>
      </c>
      <c r="Y7164" s="1">
        <f t="shared" si="223"/>
        <v>15</v>
      </c>
    </row>
    <row r="7165" spans="24:25" x14ac:dyDescent="0.3">
      <c r="X7165" s="1">
        <f t="shared" si="222"/>
        <v>0</v>
      </c>
      <c r="Y7165" s="1">
        <f t="shared" si="223"/>
        <v>15</v>
      </c>
    </row>
    <row r="7166" spans="24:25" x14ac:dyDescent="0.3">
      <c r="X7166" s="1">
        <f t="shared" si="222"/>
        <v>0</v>
      </c>
      <c r="Y7166" s="1">
        <f t="shared" si="223"/>
        <v>15</v>
      </c>
    </row>
    <row r="7167" spans="24:25" x14ac:dyDescent="0.3">
      <c r="X7167" s="1">
        <f t="shared" si="222"/>
        <v>0</v>
      </c>
      <c r="Y7167" s="1">
        <f t="shared" si="223"/>
        <v>15</v>
      </c>
    </row>
    <row r="7168" spans="24:25" x14ac:dyDescent="0.3">
      <c r="X7168" s="1">
        <f t="shared" si="222"/>
        <v>0</v>
      </c>
      <c r="Y7168" s="1">
        <f t="shared" si="223"/>
        <v>15</v>
      </c>
    </row>
    <row r="7169" spans="24:25" x14ac:dyDescent="0.3">
      <c r="X7169" s="1">
        <f t="shared" si="222"/>
        <v>0</v>
      </c>
      <c r="Y7169" s="1">
        <f t="shared" si="223"/>
        <v>15</v>
      </c>
    </row>
    <row r="7170" spans="24:25" x14ac:dyDescent="0.3">
      <c r="X7170" s="1">
        <f t="shared" si="222"/>
        <v>0</v>
      </c>
      <c r="Y7170" s="1">
        <f t="shared" si="223"/>
        <v>15</v>
      </c>
    </row>
    <row r="7171" spans="24:25" x14ac:dyDescent="0.3">
      <c r="X7171" s="1">
        <f t="shared" ref="X7171:X7234" si="224">IFERROR(MATCH(W7171,$B:$B,0),0)</f>
        <v>0</v>
      </c>
      <c r="Y7171" s="1">
        <f t="shared" ref="Y7171:Y7234" si="225">IF(X7172=0,COUNTA(A:A),X7172-1)</f>
        <v>15</v>
      </c>
    </row>
    <row r="7172" spans="24:25" x14ac:dyDescent="0.3">
      <c r="X7172" s="1">
        <f t="shared" si="224"/>
        <v>0</v>
      </c>
      <c r="Y7172" s="1">
        <f t="shared" si="225"/>
        <v>15</v>
      </c>
    </row>
    <row r="7173" spans="24:25" x14ac:dyDescent="0.3">
      <c r="X7173" s="1">
        <f t="shared" si="224"/>
        <v>0</v>
      </c>
      <c r="Y7173" s="1">
        <f t="shared" si="225"/>
        <v>15</v>
      </c>
    </row>
    <row r="7174" spans="24:25" x14ac:dyDescent="0.3">
      <c r="X7174" s="1">
        <f t="shared" si="224"/>
        <v>0</v>
      </c>
      <c r="Y7174" s="1">
        <f t="shared" si="225"/>
        <v>15</v>
      </c>
    </row>
    <row r="7175" spans="24:25" x14ac:dyDescent="0.3">
      <c r="X7175" s="1">
        <f t="shared" si="224"/>
        <v>0</v>
      </c>
      <c r="Y7175" s="1">
        <f t="shared" si="225"/>
        <v>15</v>
      </c>
    </row>
    <row r="7176" spans="24:25" x14ac:dyDescent="0.3">
      <c r="X7176" s="1">
        <f t="shared" si="224"/>
        <v>0</v>
      </c>
      <c r="Y7176" s="1">
        <f t="shared" si="225"/>
        <v>15</v>
      </c>
    </row>
    <row r="7177" spans="24:25" x14ac:dyDescent="0.3">
      <c r="X7177" s="1">
        <f t="shared" si="224"/>
        <v>0</v>
      </c>
      <c r="Y7177" s="1">
        <f t="shared" si="225"/>
        <v>15</v>
      </c>
    </row>
    <row r="7178" spans="24:25" x14ac:dyDescent="0.3">
      <c r="X7178" s="1">
        <f t="shared" si="224"/>
        <v>0</v>
      </c>
      <c r="Y7178" s="1">
        <f t="shared" si="225"/>
        <v>15</v>
      </c>
    </row>
    <row r="7179" spans="24:25" x14ac:dyDescent="0.3">
      <c r="X7179" s="1">
        <f t="shared" si="224"/>
        <v>0</v>
      </c>
      <c r="Y7179" s="1">
        <f t="shared" si="225"/>
        <v>15</v>
      </c>
    </row>
    <row r="7180" spans="24:25" x14ac:dyDescent="0.3">
      <c r="X7180" s="1">
        <f t="shared" si="224"/>
        <v>0</v>
      </c>
      <c r="Y7180" s="1">
        <f t="shared" si="225"/>
        <v>15</v>
      </c>
    </row>
    <row r="7181" spans="24:25" x14ac:dyDescent="0.3">
      <c r="X7181" s="1">
        <f t="shared" si="224"/>
        <v>0</v>
      </c>
      <c r="Y7181" s="1">
        <f t="shared" si="225"/>
        <v>15</v>
      </c>
    </row>
    <row r="7182" spans="24:25" x14ac:dyDescent="0.3">
      <c r="X7182" s="1">
        <f t="shared" si="224"/>
        <v>0</v>
      </c>
      <c r="Y7182" s="1">
        <f t="shared" si="225"/>
        <v>15</v>
      </c>
    </row>
    <row r="7183" spans="24:25" x14ac:dyDescent="0.3">
      <c r="X7183" s="1">
        <f t="shared" si="224"/>
        <v>0</v>
      </c>
      <c r="Y7183" s="1">
        <f t="shared" si="225"/>
        <v>15</v>
      </c>
    </row>
    <row r="7184" spans="24:25" x14ac:dyDescent="0.3">
      <c r="X7184" s="1">
        <f t="shared" si="224"/>
        <v>0</v>
      </c>
      <c r="Y7184" s="1">
        <f t="shared" si="225"/>
        <v>15</v>
      </c>
    </row>
    <row r="7185" spans="24:25" x14ac:dyDescent="0.3">
      <c r="X7185" s="1">
        <f t="shared" si="224"/>
        <v>0</v>
      </c>
      <c r="Y7185" s="1">
        <f t="shared" si="225"/>
        <v>15</v>
      </c>
    </row>
    <row r="7186" spans="24:25" x14ac:dyDescent="0.3">
      <c r="X7186" s="1">
        <f t="shared" si="224"/>
        <v>0</v>
      </c>
      <c r="Y7186" s="1">
        <f t="shared" si="225"/>
        <v>15</v>
      </c>
    </row>
    <row r="7187" spans="24:25" x14ac:dyDescent="0.3">
      <c r="X7187" s="1">
        <f t="shared" si="224"/>
        <v>0</v>
      </c>
      <c r="Y7187" s="1">
        <f t="shared" si="225"/>
        <v>15</v>
      </c>
    </row>
    <row r="7188" spans="24:25" x14ac:dyDescent="0.3">
      <c r="X7188" s="1">
        <f t="shared" si="224"/>
        <v>0</v>
      </c>
      <c r="Y7188" s="1">
        <f t="shared" si="225"/>
        <v>15</v>
      </c>
    </row>
    <row r="7189" spans="24:25" x14ac:dyDescent="0.3">
      <c r="X7189" s="1">
        <f t="shared" si="224"/>
        <v>0</v>
      </c>
      <c r="Y7189" s="1">
        <f t="shared" si="225"/>
        <v>15</v>
      </c>
    </row>
    <row r="7190" spans="24:25" x14ac:dyDescent="0.3">
      <c r="X7190" s="1">
        <f t="shared" si="224"/>
        <v>0</v>
      </c>
      <c r="Y7190" s="1">
        <f t="shared" si="225"/>
        <v>15</v>
      </c>
    </row>
    <row r="7191" spans="24:25" x14ac:dyDescent="0.3">
      <c r="X7191" s="1">
        <f t="shared" si="224"/>
        <v>0</v>
      </c>
      <c r="Y7191" s="1">
        <f t="shared" si="225"/>
        <v>15</v>
      </c>
    </row>
    <row r="7192" spans="24:25" x14ac:dyDescent="0.3">
      <c r="X7192" s="1">
        <f t="shared" si="224"/>
        <v>0</v>
      </c>
      <c r="Y7192" s="1">
        <f t="shared" si="225"/>
        <v>15</v>
      </c>
    </row>
    <row r="7193" spans="24:25" x14ac:dyDescent="0.3">
      <c r="X7193" s="1">
        <f t="shared" si="224"/>
        <v>0</v>
      </c>
      <c r="Y7193" s="1">
        <f t="shared" si="225"/>
        <v>15</v>
      </c>
    </row>
    <row r="7194" spans="24:25" x14ac:dyDescent="0.3">
      <c r="X7194" s="1">
        <f t="shared" si="224"/>
        <v>0</v>
      </c>
      <c r="Y7194" s="1">
        <f t="shared" si="225"/>
        <v>15</v>
      </c>
    </row>
    <row r="7195" spans="24:25" x14ac:dyDescent="0.3">
      <c r="X7195" s="1">
        <f t="shared" si="224"/>
        <v>0</v>
      </c>
      <c r="Y7195" s="1">
        <f t="shared" si="225"/>
        <v>15</v>
      </c>
    </row>
    <row r="7196" spans="24:25" x14ac:dyDescent="0.3">
      <c r="X7196" s="1">
        <f t="shared" si="224"/>
        <v>0</v>
      </c>
      <c r="Y7196" s="1">
        <f t="shared" si="225"/>
        <v>15</v>
      </c>
    </row>
    <row r="7197" spans="24:25" x14ac:dyDescent="0.3">
      <c r="X7197" s="1">
        <f t="shared" si="224"/>
        <v>0</v>
      </c>
      <c r="Y7197" s="1">
        <f t="shared" si="225"/>
        <v>15</v>
      </c>
    </row>
    <row r="7198" spans="24:25" x14ac:dyDescent="0.3">
      <c r="X7198" s="1">
        <f t="shared" si="224"/>
        <v>0</v>
      </c>
      <c r="Y7198" s="1">
        <f t="shared" si="225"/>
        <v>15</v>
      </c>
    </row>
    <row r="7199" spans="24:25" x14ac:dyDescent="0.3">
      <c r="X7199" s="1">
        <f t="shared" si="224"/>
        <v>0</v>
      </c>
      <c r="Y7199" s="1">
        <f t="shared" si="225"/>
        <v>15</v>
      </c>
    </row>
    <row r="7200" spans="24:25" x14ac:dyDescent="0.3">
      <c r="X7200" s="1">
        <f t="shared" si="224"/>
        <v>0</v>
      </c>
      <c r="Y7200" s="1">
        <f t="shared" si="225"/>
        <v>15</v>
      </c>
    </row>
    <row r="7201" spans="24:25" x14ac:dyDescent="0.3">
      <c r="X7201" s="1">
        <f t="shared" si="224"/>
        <v>0</v>
      </c>
      <c r="Y7201" s="1">
        <f t="shared" si="225"/>
        <v>15</v>
      </c>
    </row>
    <row r="7202" spans="24:25" x14ac:dyDescent="0.3">
      <c r="X7202" s="1">
        <f t="shared" si="224"/>
        <v>0</v>
      </c>
      <c r="Y7202" s="1">
        <f t="shared" si="225"/>
        <v>15</v>
      </c>
    </row>
    <row r="7203" spans="24:25" x14ac:dyDescent="0.3">
      <c r="X7203" s="1">
        <f t="shared" si="224"/>
        <v>0</v>
      </c>
      <c r="Y7203" s="1">
        <f t="shared" si="225"/>
        <v>15</v>
      </c>
    </row>
    <row r="7204" spans="24:25" x14ac:dyDescent="0.3">
      <c r="X7204" s="1">
        <f t="shared" si="224"/>
        <v>0</v>
      </c>
      <c r="Y7204" s="1">
        <f t="shared" si="225"/>
        <v>15</v>
      </c>
    </row>
    <row r="7205" spans="24:25" x14ac:dyDescent="0.3">
      <c r="X7205" s="1">
        <f t="shared" si="224"/>
        <v>0</v>
      </c>
      <c r="Y7205" s="1">
        <f t="shared" si="225"/>
        <v>15</v>
      </c>
    </row>
    <row r="7206" spans="24:25" x14ac:dyDescent="0.3">
      <c r="X7206" s="1">
        <f t="shared" si="224"/>
        <v>0</v>
      </c>
      <c r="Y7206" s="1">
        <f t="shared" si="225"/>
        <v>15</v>
      </c>
    </row>
    <row r="7207" spans="24:25" x14ac:dyDescent="0.3">
      <c r="X7207" s="1">
        <f t="shared" si="224"/>
        <v>0</v>
      </c>
      <c r="Y7207" s="1">
        <f t="shared" si="225"/>
        <v>15</v>
      </c>
    </row>
    <row r="7208" spans="24:25" x14ac:dyDescent="0.3">
      <c r="X7208" s="1">
        <f t="shared" si="224"/>
        <v>0</v>
      </c>
      <c r="Y7208" s="1">
        <f t="shared" si="225"/>
        <v>15</v>
      </c>
    </row>
    <row r="7209" spans="24:25" x14ac:dyDescent="0.3">
      <c r="X7209" s="1">
        <f t="shared" si="224"/>
        <v>0</v>
      </c>
      <c r="Y7209" s="1">
        <f t="shared" si="225"/>
        <v>15</v>
      </c>
    </row>
    <row r="7210" spans="24:25" x14ac:dyDescent="0.3">
      <c r="X7210" s="1">
        <f t="shared" si="224"/>
        <v>0</v>
      </c>
      <c r="Y7210" s="1">
        <f t="shared" si="225"/>
        <v>15</v>
      </c>
    </row>
    <row r="7211" spans="24:25" x14ac:dyDescent="0.3">
      <c r="X7211" s="1">
        <f t="shared" si="224"/>
        <v>0</v>
      </c>
      <c r="Y7211" s="1">
        <f t="shared" si="225"/>
        <v>15</v>
      </c>
    </row>
    <row r="7212" spans="24:25" x14ac:dyDescent="0.3">
      <c r="X7212" s="1">
        <f t="shared" si="224"/>
        <v>0</v>
      </c>
      <c r="Y7212" s="1">
        <f t="shared" si="225"/>
        <v>15</v>
      </c>
    </row>
    <row r="7213" spans="24:25" x14ac:dyDescent="0.3">
      <c r="X7213" s="1">
        <f t="shared" si="224"/>
        <v>0</v>
      </c>
      <c r="Y7213" s="1">
        <f t="shared" si="225"/>
        <v>15</v>
      </c>
    </row>
    <row r="7214" spans="24:25" x14ac:dyDescent="0.3">
      <c r="X7214" s="1">
        <f t="shared" si="224"/>
        <v>0</v>
      </c>
      <c r="Y7214" s="1">
        <f t="shared" si="225"/>
        <v>15</v>
      </c>
    </row>
    <row r="7215" spans="24:25" x14ac:dyDescent="0.3">
      <c r="X7215" s="1">
        <f t="shared" si="224"/>
        <v>0</v>
      </c>
      <c r="Y7215" s="1">
        <f t="shared" si="225"/>
        <v>15</v>
      </c>
    </row>
    <row r="7216" spans="24:25" x14ac:dyDescent="0.3">
      <c r="X7216" s="1">
        <f t="shared" si="224"/>
        <v>0</v>
      </c>
      <c r="Y7216" s="1">
        <f t="shared" si="225"/>
        <v>15</v>
      </c>
    </row>
    <row r="7217" spans="24:25" x14ac:dyDescent="0.3">
      <c r="X7217" s="1">
        <f t="shared" si="224"/>
        <v>0</v>
      </c>
      <c r="Y7217" s="1">
        <f t="shared" si="225"/>
        <v>15</v>
      </c>
    </row>
    <row r="7218" spans="24:25" x14ac:dyDescent="0.3">
      <c r="X7218" s="1">
        <f t="shared" si="224"/>
        <v>0</v>
      </c>
      <c r="Y7218" s="1">
        <f t="shared" si="225"/>
        <v>15</v>
      </c>
    </row>
    <row r="7219" spans="24:25" x14ac:dyDescent="0.3">
      <c r="X7219" s="1">
        <f t="shared" si="224"/>
        <v>0</v>
      </c>
      <c r="Y7219" s="1">
        <f t="shared" si="225"/>
        <v>15</v>
      </c>
    </row>
    <row r="7220" spans="24:25" x14ac:dyDescent="0.3">
      <c r="X7220" s="1">
        <f t="shared" si="224"/>
        <v>0</v>
      </c>
      <c r="Y7220" s="1">
        <f t="shared" si="225"/>
        <v>15</v>
      </c>
    </row>
    <row r="7221" spans="24:25" x14ac:dyDescent="0.3">
      <c r="X7221" s="1">
        <f t="shared" si="224"/>
        <v>0</v>
      </c>
      <c r="Y7221" s="1">
        <f t="shared" si="225"/>
        <v>15</v>
      </c>
    </row>
    <row r="7222" spans="24:25" x14ac:dyDescent="0.3">
      <c r="X7222" s="1">
        <f t="shared" si="224"/>
        <v>0</v>
      </c>
      <c r="Y7222" s="1">
        <f t="shared" si="225"/>
        <v>15</v>
      </c>
    </row>
    <row r="7223" spans="24:25" x14ac:dyDescent="0.3">
      <c r="X7223" s="1">
        <f t="shared" si="224"/>
        <v>0</v>
      </c>
      <c r="Y7223" s="1">
        <f t="shared" si="225"/>
        <v>15</v>
      </c>
    </row>
    <row r="7224" spans="24:25" x14ac:dyDescent="0.3">
      <c r="X7224" s="1">
        <f t="shared" si="224"/>
        <v>0</v>
      </c>
      <c r="Y7224" s="1">
        <f t="shared" si="225"/>
        <v>15</v>
      </c>
    </row>
    <row r="7225" spans="24:25" x14ac:dyDescent="0.3">
      <c r="X7225" s="1">
        <f t="shared" si="224"/>
        <v>0</v>
      </c>
      <c r="Y7225" s="1">
        <f t="shared" si="225"/>
        <v>15</v>
      </c>
    </row>
    <row r="7226" spans="24:25" x14ac:dyDescent="0.3">
      <c r="X7226" s="1">
        <f t="shared" si="224"/>
        <v>0</v>
      </c>
      <c r="Y7226" s="1">
        <f t="shared" si="225"/>
        <v>15</v>
      </c>
    </row>
    <row r="7227" spans="24:25" x14ac:dyDescent="0.3">
      <c r="X7227" s="1">
        <f t="shared" si="224"/>
        <v>0</v>
      </c>
      <c r="Y7227" s="1">
        <f t="shared" si="225"/>
        <v>15</v>
      </c>
    </row>
    <row r="7228" spans="24:25" x14ac:dyDescent="0.3">
      <c r="X7228" s="1">
        <f t="shared" si="224"/>
        <v>0</v>
      </c>
      <c r="Y7228" s="1">
        <f t="shared" si="225"/>
        <v>15</v>
      </c>
    </row>
    <row r="7229" spans="24:25" x14ac:dyDescent="0.3">
      <c r="X7229" s="1">
        <f t="shared" si="224"/>
        <v>0</v>
      </c>
      <c r="Y7229" s="1">
        <f t="shared" si="225"/>
        <v>15</v>
      </c>
    </row>
    <row r="7230" spans="24:25" x14ac:dyDescent="0.3">
      <c r="X7230" s="1">
        <f t="shared" si="224"/>
        <v>0</v>
      </c>
      <c r="Y7230" s="1">
        <f t="shared" si="225"/>
        <v>15</v>
      </c>
    </row>
    <row r="7231" spans="24:25" x14ac:dyDescent="0.3">
      <c r="X7231" s="1">
        <f t="shared" si="224"/>
        <v>0</v>
      </c>
      <c r="Y7231" s="1">
        <f t="shared" si="225"/>
        <v>15</v>
      </c>
    </row>
    <row r="7232" spans="24:25" x14ac:dyDescent="0.3">
      <c r="X7232" s="1">
        <f t="shared" si="224"/>
        <v>0</v>
      </c>
      <c r="Y7232" s="1">
        <f t="shared" si="225"/>
        <v>15</v>
      </c>
    </row>
    <row r="7233" spans="24:25" x14ac:dyDescent="0.3">
      <c r="X7233" s="1">
        <f t="shared" si="224"/>
        <v>0</v>
      </c>
      <c r="Y7233" s="1">
        <f t="shared" si="225"/>
        <v>15</v>
      </c>
    </row>
    <row r="7234" spans="24:25" x14ac:dyDescent="0.3">
      <c r="X7234" s="1">
        <f t="shared" si="224"/>
        <v>0</v>
      </c>
      <c r="Y7234" s="1">
        <f t="shared" si="225"/>
        <v>15</v>
      </c>
    </row>
    <row r="7235" spans="24:25" x14ac:dyDescent="0.3">
      <c r="X7235" s="1">
        <f t="shared" ref="X7235:X7298" si="226">IFERROR(MATCH(W7235,$B:$B,0),0)</f>
        <v>0</v>
      </c>
      <c r="Y7235" s="1">
        <f t="shared" ref="Y7235:Y7298" si="227">IF(X7236=0,COUNTA(A:A),X7236-1)</f>
        <v>15</v>
      </c>
    </row>
    <row r="7236" spans="24:25" x14ac:dyDescent="0.3">
      <c r="X7236" s="1">
        <f t="shared" si="226"/>
        <v>0</v>
      </c>
      <c r="Y7236" s="1">
        <f t="shared" si="227"/>
        <v>15</v>
      </c>
    </row>
    <row r="7237" spans="24:25" x14ac:dyDescent="0.3">
      <c r="X7237" s="1">
        <f t="shared" si="226"/>
        <v>0</v>
      </c>
      <c r="Y7237" s="1">
        <f t="shared" si="227"/>
        <v>15</v>
      </c>
    </row>
    <row r="7238" spans="24:25" x14ac:dyDescent="0.3">
      <c r="X7238" s="1">
        <f t="shared" si="226"/>
        <v>0</v>
      </c>
      <c r="Y7238" s="1">
        <f t="shared" si="227"/>
        <v>15</v>
      </c>
    </row>
    <row r="7239" spans="24:25" x14ac:dyDescent="0.3">
      <c r="X7239" s="1">
        <f t="shared" si="226"/>
        <v>0</v>
      </c>
      <c r="Y7239" s="1">
        <f t="shared" si="227"/>
        <v>15</v>
      </c>
    </row>
    <row r="7240" spans="24:25" x14ac:dyDescent="0.3">
      <c r="X7240" s="1">
        <f t="shared" si="226"/>
        <v>0</v>
      </c>
      <c r="Y7240" s="1">
        <f t="shared" si="227"/>
        <v>15</v>
      </c>
    </row>
    <row r="7241" spans="24:25" x14ac:dyDescent="0.3">
      <c r="X7241" s="1">
        <f t="shared" si="226"/>
        <v>0</v>
      </c>
      <c r="Y7241" s="1">
        <f t="shared" si="227"/>
        <v>15</v>
      </c>
    </row>
    <row r="7242" spans="24:25" x14ac:dyDescent="0.3">
      <c r="X7242" s="1">
        <f t="shared" si="226"/>
        <v>0</v>
      </c>
      <c r="Y7242" s="1">
        <f t="shared" si="227"/>
        <v>15</v>
      </c>
    </row>
    <row r="7243" spans="24:25" x14ac:dyDescent="0.3">
      <c r="X7243" s="1">
        <f t="shared" si="226"/>
        <v>0</v>
      </c>
      <c r="Y7243" s="1">
        <f t="shared" si="227"/>
        <v>15</v>
      </c>
    </row>
    <row r="7244" spans="24:25" x14ac:dyDescent="0.3">
      <c r="X7244" s="1">
        <f t="shared" si="226"/>
        <v>0</v>
      </c>
      <c r="Y7244" s="1">
        <f t="shared" si="227"/>
        <v>15</v>
      </c>
    </row>
    <row r="7245" spans="24:25" x14ac:dyDescent="0.3">
      <c r="X7245" s="1">
        <f t="shared" si="226"/>
        <v>0</v>
      </c>
      <c r="Y7245" s="1">
        <f t="shared" si="227"/>
        <v>15</v>
      </c>
    </row>
    <row r="7246" spans="24:25" x14ac:dyDescent="0.3">
      <c r="X7246" s="1">
        <f t="shared" si="226"/>
        <v>0</v>
      </c>
      <c r="Y7246" s="1">
        <f t="shared" si="227"/>
        <v>15</v>
      </c>
    </row>
    <row r="7247" spans="24:25" x14ac:dyDescent="0.3">
      <c r="X7247" s="1">
        <f t="shared" si="226"/>
        <v>0</v>
      </c>
      <c r="Y7247" s="1">
        <f t="shared" si="227"/>
        <v>15</v>
      </c>
    </row>
    <row r="7248" spans="24:25" x14ac:dyDescent="0.3">
      <c r="X7248" s="1">
        <f t="shared" si="226"/>
        <v>0</v>
      </c>
      <c r="Y7248" s="1">
        <f t="shared" si="227"/>
        <v>15</v>
      </c>
    </row>
    <row r="7249" spans="24:25" x14ac:dyDescent="0.3">
      <c r="X7249" s="1">
        <f t="shared" si="226"/>
        <v>0</v>
      </c>
      <c r="Y7249" s="1">
        <f t="shared" si="227"/>
        <v>15</v>
      </c>
    </row>
    <row r="7250" spans="24:25" x14ac:dyDescent="0.3">
      <c r="X7250" s="1">
        <f t="shared" si="226"/>
        <v>0</v>
      </c>
      <c r="Y7250" s="1">
        <f t="shared" si="227"/>
        <v>15</v>
      </c>
    </row>
    <row r="7251" spans="24:25" x14ac:dyDescent="0.3">
      <c r="X7251" s="1">
        <f t="shared" si="226"/>
        <v>0</v>
      </c>
      <c r="Y7251" s="1">
        <f t="shared" si="227"/>
        <v>15</v>
      </c>
    </row>
    <row r="7252" spans="24:25" x14ac:dyDescent="0.3">
      <c r="X7252" s="1">
        <f t="shared" si="226"/>
        <v>0</v>
      </c>
      <c r="Y7252" s="1">
        <f t="shared" si="227"/>
        <v>15</v>
      </c>
    </row>
    <row r="7253" spans="24:25" x14ac:dyDescent="0.3">
      <c r="X7253" s="1">
        <f t="shared" si="226"/>
        <v>0</v>
      </c>
      <c r="Y7253" s="1">
        <f t="shared" si="227"/>
        <v>15</v>
      </c>
    </row>
    <row r="7254" spans="24:25" x14ac:dyDescent="0.3">
      <c r="X7254" s="1">
        <f t="shared" si="226"/>
        <v>0</v>
      </c>
      <c r="Y7254" s="1">
        <f t="shared" si="227"/>
        <v>15</v>
      </c>
    </row>
    <row r="7255" spans="24:25" x14ac:dyDescent="0.3">
      <c r="X7255" s="1">
        <f t="shared" si="226"/>
        <v>0</v>
      </c>
      <c r="Y7255" s="1">
        <f t="shared" si="227"/>
        <v>15</v>
      </c>
    </row>
    <row r="7256" spans="24:25" x14ac:dyDescent="0.3">
      <c r="X7256" s="1">
        <f t="shared" si="226"/>
        <v>0</v>
      </c>
      <c r="Y7256" s="1">
        <f t="shared" si="227"/>
        <v>15</v>
      </c>
    </row>
    <row r="7257" spans="24:25" x14ac:dyDescent="0.3">
      <c r="X7257" s="1">
        <f t="shared" si="226"/>
        <v>0</v>
      </c>
      <c r="Y7257" s="1">
        <f t="shared" si="227"/>
        <v>15</v>
      </c>
    </row>
    <row r="7258" spans="24:25" x14ac:dyDescent="0.3">
      <c r="X7258" s="1">
        <f t="shared" si="226"/>
        <v>0</v>
      </c>
      <c r="Y7258" s="1">
        <f t="shared" si="227"/>
        <v>15</v>
      </c>
    </row>
    <row r="7259" spans="24:25" x14ac:dyDescent="0.3">
      <c r="X7259" s="1">
        <f t="shared" si="226"/>
        <v>0</v>
      </c>
      <c r="Y7259" s="1">
        <f t="shared" si="227"/>
        <v>15</v>
      </c>
    </row>
    <row r="7260" spans="24:25" x14ac:dyDescent="0.3">
      <c r="X7260" s="1">
        <f t="shared" si="226"/>
        <v>0</v>
      </c>
      <c r="Y7260" s="1">
        <f t="shared" si="227"/>
        <v>15</v>
      </c>
    </row>
    <row r="7261" spans="24:25" x14ac:dyDescent="0.3">
      <c r="X7261" s="1">
        <f t="shared" si="226"/>
        <v>0</v>
      </c>
      <c r="Y7261" s="1">
        <f t="shared" si="227"/>
        <v>15</v>
      </c>
    </row>
    <row r="7262" spans="24:25" x14ac:dyDescent="0.3">
      <c r="X7262" s="1">
        <f t="shared" si="226"/>
        <v>0</v>
      </c>
      <c r="Y7262" s="1">
        <f t="shared" si="227"/>
        <v>15</v>
      </c>
    </row>
    <row r="7263" spans="24:25" x14ac:dyDescent="0.3">
      <c r="X7263" s="1">
        <f t="shared" si="226"/>
        <v>0</v>
      </c>
      <c r="Y7263" s="1">
        <f t="shared" si="227"/>
        <v>15</v>
      </c>
    </row>
    <row r="7264" spans="24:25" x14ac:dyDescent="0.3">
      <c r="X7264" s="1">
        <f t="shared" si="226"/>
        <v>0</v>
      </c>
      <c r="Y7264" s="1">
        <f t="shared" si="227"/>
        <v>15</v>
      </c>
    </row>
    <row r="7265" spans="24:25" x14ac:dyDescent="0.3">
      <c r="X7265" s="1">
        <f t="shared" si="226"/>
        <v>0</v>
      </c>
      <c r="Y7265" s="1">
        <f t="shared" si="227"/>
        <v>15</v>
      </c>
    </row>
    <row r="7266" spans="24:25" x14ac:dyDescent="0.3">
      <c r="X7266" s="1">
        <f t="shared" si="226"/>
        <v>0</v>
      </c>
      <c r="Y7266" s="1">
        <f t="shared" si="227"/>
        <v>15</v>
      </c>
    </row>
    <row r="7267" spans="24:25" x14ac:dyDescent="0.3">
      <c r="X7267" s="1">
        <f t="shared" si="226"/>
        <v>0</v>
      </c>
      <c r="Y7267" s="1">
        <f t="shared" si="227"/>
        <v>15</v>
      </c>
    </row>
    <row r="7268" spans="24:25" x14ac:dyDescent="0.3">
      <c r="X7268" s="1">
        <f t="shared" si="226"/>
        <v>0</v>
      </c>
      <c r="Y7268" s="1">
        <f t="shared" si="227"/>
        <v>15</v>
      </c>
    </row>
    <row r="7269" spans="24:25" x14ac:dyDescent="0.3">
      <c r="X7269" s="1">
        <f t="shared" si="226"/>
        <v>0</v>
      </c>
      <c r="Y7269" s="1">
        <f t="shared" si="227"/>
        <v>15</v>
      </c>
    </row>
    <row r="7270" spans="24:25" x14ac:dyDescent="0.3">
      <c r="X7270" s="1">
        <f t="shared" si="226"/>
        <v>0</v>
      </c>
      <c r="Y7270" s="1">
        <f t="shared" si="227"/>
        <v>15</v>
      </c>
    </row>
    <row r="7271" spans="24:25" x14ac:dyDescent="0.3">
      <c r="X7271" s="1">
        <f t="shared" si="226"/>
        <v>0</v>
      </c>
      <c r="Y7271" s="1">
        <f t="shared" si="227"/>
        <v>15</v>
      </c>
    </row>
    <row r="7272" spans="24:25" x14ac:dyDescent="0.3">
      <c r="X7272" s="1">
        <f t="shared" si="226"/>
        <v>0</v>
      </c>
      <c r="Y7272" s="1">
        <f t="shared" si="227"/>
        <v>15</v>
      </c>
    </row>
    <row r="7273" spans="24:25" x14ac:dyDescent="0.3">
      <c r="X7273" s="1">
        <f t="shared" si="226"/>
        <v>0</v>
      </c>
      <c r="Y7273" s="1">
        <f t="shared" si="227"/>
        <v>15</v>
      </c>
    </row>
    <row r="7274" spans="24:25" x14ac:dyDescent="0.3">
      <c r="X7274" s="1">
        <f t="shared" si="226"/>
        <v>0</v>
      </c>
      <c r="Y7274" s="1">
        <f t="shared" si="227"/>
        <v>15</v>
      </c>
    </row>
    <row r="7275" spans="24:25" x14ac:dyDescent="0.3">
      <c r="X7275" s="1">
        <f t="shared" si="226"/>
        <v>0</v>
      </c>
      <c r="Y7275" s="1">
        <f t="shared" si="227"/>
        <v>15</v>
      </c>
    </row>
    <row r="7276" spans="24:25" x14ac:dyDescent="0.3">
      <c r="X7276" s="1">
        <f t="shared" si="226"/>
        <v>0</v>
      </c>
      <c r="Y7276" s="1">
        <f t="shared" si="227"/>
        <v>15</v>
      </c>
    </row>
    <row r="7277" spans="24:25" x14ac:dyDescent="0.3">
      <c r="X7277" s="1">
        <f t="shared" si="226"/>
        <v>0</v>
      </c>
      <c r="Y7277" s="1">
        <f t="shared" si="227"/>
        <v>15</v>
      </c>
    </row>
    <row r="7278" spans="24:25" x14ac:dyDescent="0.3">
      <c r="X7278" s="1">
        <f t="shared" si="226"/>
        <v>0</v>
      </c>
      <c r="Y7278" s="1">
        <f t="shared" si="227"/>
        <v>15</v>
      </c>
    </row>
    <row r="7279" spans="24:25" x14ac:dyDescent="0.3">
      <c r="X7279" s="1">
        <f t="shared" si="226"/>
        <v>0</v>
      </c>
      <c r="Y7279" s="1">
        <f t="shared" si="227"/>
        <v>15</v>
      </c>
    </row>
    <row r="7280" spans="24:25" x14ac:dyDescent="0.3">
      <c r="X7280" s="1">
        <f t="shared" si="226"/>
        <v>0</v>
      </c>
      <c r="Y7280" s="1">
        <f t="shared" si="227"/>
        <v>15</v>
      </c>
    </row>
    <row r="7281" spans="24:25" x14ac:dyDescent="0.3">
      <c r="X7281" s="1">
        <f t="shared" si="226"/>
        <v>0</v>
      </c>
      <c r="Y7281" s="1">
        <f t="shared" si="227"/>
        <v>15</v>
      </c>
    </row>
    <row r="7282" spans="24:25" x14ac:dyDescent="0.3">
      <c r="X7282" s="1">
        <f t="shared" si="226"/>
        <v>0</v>
      </c>
      <c r="Y7282" s="1">
        <f t="shared" si="227"/>
        <v>15</v>
      </c>
    </row>
    <row r="7283" spans="24:25" x14ac:dyDescent="0.3">
      <c r="X7283" s="1">
        <f t="shared" si="226"/>
        <v>0</v>
      </c>
      <c r="Y7283" s="1">
        <f t="shared" si="227"/>
        <v>15</v>
      </c>
    </row>
    <row r="7284" spans="24:25" x14ac:dyDescent="0.3">
      <c r="X7284" s="1">
        <f t="shared" si="226"/>
        <v>0</v>
      </c>
      <c r="Y7284" s="1">
        <f t="shared" si="227"/>
        <v>15</v>
      </c>
    </row>
    <row r="7285" spans="24:25" x14ac:dyDescent="0.3">
      <c r="X7285" s="1">
        <f t="shared" si="226"/>
        <v>0</v>
      </c>
      <c r="Y7285" s="1">
        <f t="shared" si="227"/>
        <v>15</v>
      </c>
    </row>
    <row r="7286" spans="24:25" x14ac:dyDescent="0.3">
      <c r="X7286" s="1">
        <f t="shared" si="226"/>
        <v>0</v>
      </c>
      <c r="Y7286" s="1">
        <f t="shared" si="227"/>
        <v>15</v>
      </c>
    </row>
    <row r="7287" spans="24:25" x14ac:dyDescent="0.3">
      <c r="X7287" s="1">
        <f t="shared" si="226"/>
        <v>0</v>
      </c>
      <c r="Y7287" s="1">
        <f t="shared" si="227"/>
        <v>15</v>
      </c>
    </row>
    <row r="7288" spans="24:25" x14ac:dyDescent="0.3">
      <c r="X7288" s="1">
        <f t="shared" si="226"/>
        <v>0</v>
      </c>
      <c r="Y7288" s="1">
        <f t="shared" si="227"/>
        <v>15</v>
      </c>
    </row>
    <row r="7289" spans="24:25" x14ac:dyDescent="0.3">
      <c r="X7289" s="1">
        <f t="shared" si="226"/>
        <v>0</v>
      </c>
      <c r="Y7289" s="1">
        <f t="shared" si="227"/>
        <v>15</v>
      </c>
    </row>
    <row r="7290" spans="24:25" x14ac:dyDescent="0.3">
      <c r="X7290" s="1">
        <f t="shared" si="226"/>
        <v>0</v>
      </c>
      <c r="Y7290" s="1">
        <f t="shared" si="227"/>
        <v>15</v>
      </c>
    </row>
    <row r="7291" spans="24:25" x14ac:dyDescent="0.3">
      <c r="X7291" s="1">
        <f t="shared" si="226"/>
        <v>0</v>
      </c>
      <c r="Y7291" s="1">
        <f t="shared" si="227"/>
        <v>15</v>
      </c>
    </row>
    <row r="7292" spans="24:25" x14ac:dyDescent="0.3">
      <c r="X7292" s="1">
        <f t="shared" si="226"/>
        <v>0</v>
      </c>
      <c r="Y7292" s="1">
        <f t="shared" si="227"/>
        <v>15</v>
      </c>
    </row>
    <row r="7293" spans="24:25" x14ac:dyDescent="0.3">
      <c r="X7293" s="1">
        <f t="shared" si="226"/>
        <v>0</v>
      </c>
      <c r="Y7293" s="1">
        <f t="shared" si="227"/>
        <v>15</v>
      </c>
    </row>
    <row r="7294" spans="24:25" x14ac:dyDescent="0.3">
      <c r="X7294" s="1">
        <f t="shared" si="226"/>
        <v>0</v>
      </c>
      <c r="Y7294" s="1">
        <f t="shared" si="227"/>
        <v>15</v>
      </c>
    </row>
    <row r="7295" spans="24:25" x14ac:dyDescent="0.3">
      <c r="X7295" s="1">
        <f t="shared" si="226"/>
        <v>0</v>
      </c>
      <c r="Y7295" s="1">
        <f t="shared" si="227"/>
        <v>15</v>
      </c>
    </row>
    <row r="7296" spans="24:25" x14ac:dyDescent="0.3">
      <c r="X7296" s="1">
        <f t="shared" si="226"/>
        <v>0</v>
      </c>
      <c r="Y7296" s="1">
        <f t="shared" si="227"/>
        <v>15</v>
      </c>
    </row>
    <row r="7297" spans="24:25" x14ac:dyDescent="0.3">
      <c r="X7297" s="1">
        <f t="shared" si="226"/>
        <v>0</v>
      </c>
      <c r="Y7297" s="1">
        <f t="shared" si="227"/>
        <v>15</v>
      </c>
    </row>
    <row r="7298" spans="24:25" x14ac:dyDescent="0.3">
      <c r="X7298" s="1">
        <f t="shared" si="226"/>
        <v>0</v>
      </c>
      <c r="Y7298" s="1">
        <f t="shared" si="227"/>
        <v>15</v>
      </c>
    </row>
    <row r="7299" spans="24:25" x14ac:dyDescent="0.3">
      <c r="X7299" s="1">
        <f t="shared" ref="X7299:X7362" si="228">IFERROR(MATCH(W7299,$B:$B,0),0)</f>
        <v>0</v>
      </c>
      <c r="Y7299" s="1">
        <f t="shared" ref="Y7299:Y7362" si="229">IF(X7300=0,COUNTA(A:A),X7300-1)</f>
        <v>15</v>
      </c>
    </row>
    <row r="7300" spans="24:25" x14ac:dyDescent="0.3">
      <c r="X7300" s="1">
        <f t="shared" si="228"/>
        <v>0</v>
      </c>
      <c r="Y7300" s="1">
        <f t="shared" si="229"/>
        <v>15</v>
      </c>
    </row>
    <row r="7301" spans="24:25" x14ac:dyDescent="0.3">
      <c r="X7301" s="1">
        <f t="shared" si="228"/>
        <v>0</v>
      </c>
      <c r="Y7301" s="1">
        <f t="shared" si="229"/>
        <v>15</v>
      </c>
    </row>
    <row r="7302" spans="24:25" x14ac:dyDescent="0.3">
      <c r="X7302" s="1">
        <f t="shared" si="228"/>
        <v>0</v>
      </c>
      <c r="Y7302" s="1">
        <f t="shared" si="229"/>
        <v>15</v>
      </c>
    </row>
    <row r="7303" spans="24:25" x14ac:dyDescent="0.3">
      <c r="X7303" s="1">
        <f t="shared" si="228"/>
        <v>0</v>
      </c>
      <c r="Y7303" s="1">
        <f t="shared" si="229"/>
        <v>15</v>
      </c>
    </row>
    <row r="7304" spans="24:25" x14ac:dyDescent="0.3">
      <c r="X7304" s="1">
        <f t="shared" si="228"/>
        <v>0</v>
      </c>
      <c r="Y7304" s="1">
        <f t="shared" si="229"/>
        <v>15</v>
      </c>
    </row>
    <row r="7305" spans="24:25" x14ac:dyDescent="0.3">
      <c r="X7305" s="1">
        <f t="shared" si="228"/>
        <v>0</v>
      </c>
      <c r="Y7305" s="1">
        <f t="shared" si="229"/>
        <v>15</v>
      </c>
    </row>
    <row r="7306" spans="24:25" x14ac:dyDescent="0.3">
      <c r="X7306" s="1">
        <f t="shared" si="228"/>
        <v>0</v>
      </c>
      <c r="Y7306" s="1">
        <f t="shared" si="229"/>
        <v>15</v>
      </c>
    </row>
    <row r="7307" spans="24:25" x14ac:dyDescent="0.3">
      <c r="X7307" s="1">
        <f t="shared" si="228"/>
        <v>0</v>
      </c>
      <c r="Y7307" s="1">
        <f t="shared" si="229"/>
        <v>15</v>
      </c>
    </row>
    <row r="7308" spans="24:25" x14ac:dyDescent="0.3">
      <c r="X7308" s="1">
        <f t="shared" si="228"/>
        <v>0</v>
      </c>
      <c r="Y7308" s="1">
        <f t="shared" si="229"/>
        <v>15</v>
      </c>
    </row>
    <row r="7309" spans="24:25" x14ac:dyDescent="0.3">
      <c r="X7309" s="1">
        <f t="shared" si="228"/>
        <v>0</v>
      </c>
      <c r="Y7309" s="1">
        <f t="shared" si="229"/>
        <v>15</v>
      </c>
    </row>
    <row r="7310" spans="24:25" x14ac:dyDescent="0.3">
      <c r="X7310" s="1">
        <f t="shared" si="228"/>
        <v>0</v>
      </c>
      <c r="Y7310" s="1">
        <f t="shared" si="229"/>
        <v>15</v>
      </c>
    </row>
    <row r="7311" spans="24:25" x14ac:dyDescent="0.3">
      <c r="X7311" s="1">
        <f t="shared" si="228"/>
        <v>0</v>
      </c>
      <c r="Y7311" s="1">
        <f t="shared" si="229"/>
        <v>15</v>
      </c>
    </row>
    <row r="7312" spans="24:25" x14ac:dyDescent="0.3">
      <c r="X7312" s="1">
        <f t="shared" si="228"/>
        <v>0</v>
      </c>
      <c r="Y7312" s="1">
        <f t="shared" si="229"/>
        <v>15</v>
      </c>
    </row>
    <row r="7313" spans="24:25" x14ac:dyDescent="0.3">
      <c r="X7313" s="1">
        <f t="shared" si="228"/>
        <v>0</v>
      </c>
      <c r="Y7313" s="1">
        <f t="shared" si="229"/>
        <v>15</v>
      </c>
    </row>
    <row r="7314" spans="24:25" x14ac:dyDescent="0.3">
      <c r="X7314" s="1">
        <f t="shared" si="228"/>
        <v>0</v>
      </c>
      <c r="Y7314" s="1">
        <f t="shared" si="229"/>
        <v>15</v>
      </c>
    </row>
    <row r="7315" spans="24:25" x14ac:dyDescent="0.3">
      <c r="X7315" s="1">
        <f t="shared" si="228"/>
        <v>0</v>
      </c>
      <c r="Y7315" s="1">
        <f t="shared" si="229"/>
        <v>15</v>
      </c>
    </row>
    <row r="7316" spans="24:25" x14ac:dyDescent="0.3">
      <c r="X7316" s="1">
        <f t="shared" si="228"/>
        <v>0</v>
      </c>
      <c r="Y7316" s="1">
        <f t="shared" si="229"/>
        <v>15</v>
      </c>
    </row>
    <row r="7317" spans="24:25" x14ac:dyDescent="0.3">
      <c r="X7317" s="1">
        <f t="shared" si="228"/>
        <v>0</v>
      </c>
      <c r="Y7317" s="1">
        <f t="shared" si="229"/>
        <v>15</v>
      </c>
    </row>
    <row r="7318" spans="24:25" x14ac:dyDescent="0.3">
      <c r="X7318" s="1">
        <f t="shared" si="228"/>
        <v>0</v>
      </c>
      <c r="Y7318" s="1">
        <f t="shared" si="229"/>
        <v>15</v>
      </c>
    </row>
    <row r="7319" spans="24:25" x14ac:dyDescent="0.3">
      <c r="X7319" s="1">
        <f t="shared" si="228"/>
        <v>0</v>
      </c>
      <c r="Y7319" s="1">
        <f t="shared" si="229"/>
        <v>15</v>
      </c>
    </row>
    <row r="7320" spans="24:25" x14ac:dyDescent="0.3">
      <c r="X7320" s="1">
        <f t="shared" si="228"/>
        <v>0</v>
      </c>
      <c r="Y7320" s="1">
        <f t="shared" si="229"/>
        <v>15</v>
      </c>
    </row>
    <row r="7321" spans="24:25" x14ac:dyDescent="0.3">
      <c r="X7321" s="1">
        <f t="shared" si="228"/>
        <v>0</v>
      </c>
      <c r="Y7321" s="1">
        <f t="shared" si="229"/>
        <v>15</v>
      </c>
    </row>
    <row r="7322" spans="24:25" x14ac:dyDescent="0.3">
      <c r="X7322" s="1">
        <f t="shared" si="228"/>
        <v>0</v>
      </c>
      <c r="Y7322" s="1">
        <f t="shared" si="229"/>
        <v>15</v>
      </c>
    </row>
    <row r="7323" spans="24:25" x14ac:dyDescent="0.3">
      <c r="X7323" s="1">
        <f t="shared" si="228"/>
        <v>0</v>
      </c>
      <c r="Y7323" s="1">
        <f t="shared" si="229"/>
        <v>15</v>
      </c>
    </row>
    <row r="7324" spans="24:25" x14ac:dyDescent="0.3">
      <c r="X7324" s="1">
        <f t="shared" si="228"/>
        <v>0</v>
      </c>
      <c r="Y7324" s="1">
        <f t="shared" si="229"/>
        <v>15</v>
      </c>
    </row>
    <row r="7325" spans="24:25" x14ac:dyDescent="0.3">
      <c r="X7325" s="1">
        <f t="shared" si="228"/>
        <v>0</v>
      </c>
      <c r="Y7325" s="1">
        <f t="shared" si="229"/>
        <v>15</v>
      </c>
    </row>
    <row r="7326" spans="24:25" x14ac:dyDescent="0.3">
      <c r="X7326" s="1">
        <f t="shared" si="228"/>
        <v>0</v>
      </c>
      <c r="Y7326" s="1">
        <f t="shared" si="229"/>
        <v>15</v>
      </c>
    </row>
    <row r="7327" spans="24:25" x14ac:dyDescent="0.3">
      <c r="X7327" s="1">
        <f t="shared" si="228"/>
        <v>0</v>
      </c>
      <c r="Y7327" s="1">
        <f t="shared" si="229"/>
        <v>15</v>
      </c>
    </row>
    <row r="7328" spans="24:25" x14ac:dyDescent="0.3">
      <c r="X7328" s="1">
        <f t="shared" si="228"/>
        <v>0</v>
      </c>
      <c r="Y7328" s="1">
        <f t="shared" si="229"/>
        <v>15</v>
      </c>
    </row>
    <row r="7329" spans="24:25" x14ac:dyDescent="0.3">
      <c r="X7329" s="1">
        <f t="shared" si="228"/>
        <v>0</v>
      </c>
      <c r="Y7329" s="1">
        <f t="shared" si="229"/>
        <v>15</v>
      </c>
    </row>
    <row r="7330" spans="24:25" x14ac:dyDescent="0.3">
      <c r="X7330" s="1">
        <f t="shared" si="228"/>
        <v>0</v>
      </c>
      <c r="Y7330" s="1">
        <f t="shared" si="229"/>
        <v>15</v>
      </c>
    </row>
    <row r="7331" spans="24:25" x14ac:dyDescent="0.3">
      <c r="X7331" s="1">
        <f t="shared" si="228"/>
        <v>0</v>
      </c>
      <c r="Y7331" s="1">
        <f t="shared" si="229"/>
        <v>15</v>
      </c>
    </row>
    <row r="7332" spans="24:25" x14ac:dyDescent="0.3">
      <c r="X7332" s="1">
        <f t="shared" si="228"/>
        <v>0</v>
      </c>
      <c r="Y7332" s="1">
        <f t="shared" si="229"/>
        <v>15</v>
      </c>
    </row>
    <row r="7333" spans="24:25" x14ac:dyDescent="0.3">
      <c r="X7333" s="1">
        <f t="shared" si="228"/>
        <v>0</v>
      </c>
      <c r="Y7333" s="1">
        <f t="shared" si="229"/>
        <v>15</v>
      </c>
    </row>
    <row r="7334" spans="24:25" x14ac:dyDescent="0.3">
      <c r="X7334" s="1">
        <f t="shared" si="228"/>
        <v>0</v>
      </c>
      <c r="Y7334" s="1">
        <f t="shared" si="229"/>
        <v>15</v>
      </c>
    </row>
    <row r="7335" spans="24:25" x14ac:dyDescent="0.3">
      <c r="X7335" s="1">
        <f t="shared" si="228"/>
        <v>0</v>
      </c>
      <c r="Y7335" s="1">
        <f t="shared" si="229"/>
        <v>15</v>
      </c>
    </row>
    <row r="7336" spans="24:25" x14ac:dyDescent="0.3">
      <c r="X7336" s="1">
        <f t="shared" si="228"/>
        <v>0</v>
      </c>
      <c r="Y7336" s="1">
        <f t="shared" si="229"/>
        <v>15</v>
      </c>
    </row>
    <row r="7337" spans="24:25" x14ac:dyDescent="0.3">
      <c r="X7337" s="1">
        <f t="shared" si="228"/>
        <v>0</v>
      </c>
      <c r="Y7337" s="1">
        <f t="shared" si="229"/>
        <v>15</v>
      </c>
    </row>
    <row r="7338" spans="24:25" x14ac:dyDescent="0.3">
      <c r="X7338" s="1">
        <f t="shared" si="228"/>
        <v>0</v>
      </c>
      <c r="Y7338" s="1">
        <f t="shared" si="229"/>
        <v>15</v>
      </c>
    </row>
    <row r="7339" spans="24:25" x14ac:dyDescent="0.3">
      <c r="X7339" s="1">
        <f t="shared" si="228"/>
        <v>0</v>
      </c>
      <c r="Y7339" s="1">
        <f t="shared" si="229"/>
        <v>15</v>
      </c>
    </row>
    <row r="7340" spans="24:25" x14ac:dyDescent="0.3">
      <c r="X7340" s="1">
        <f t="shared" si="228"/>
        <v>0</v>
      </c>
      <c r="Y7340" s="1">
        <f t="shared" si="229"/>
        <v>15</v>
      </c>
    </row>
    <row r="7341" spans="24:25" x14ac:dyDescent="0.3">
      <c r="X7341" s="1">
        <f t="shared" si="228"/>
        <v>0</v>
      </c>
      <c r="Y7341" s="1">
        <f t="shared" si="229"/>
        <v>15</v>
      </c>
    </row>
    <row r="7342" spans="24:25" x14ac:dyDescent="0.3">
      <c r="X7342" s="1">
        <f t="shared" si="228"/>
        <v>0</v>
      </c>
      <c r="Y7342" s="1">
        <f t="shared" si="229"/>
        <v>15</v>
      </c>
    </row>
    <row r="7343" spans="24:25" x14ac:dyDescent="0.3">
      <c r="X7343" s="1">
        <f t="shared" si="228"/>
        <v>0</v>
      </c>
      <c r="Y7343" s="1">
        <f t="shared" si="229"/>
        <v>15</v>
      </c>
    </row>
    <row r="7344" spans="24:25" x14ac:dyDescent="0.3">
      <c r="X7344" s="1">
        <f t="shared" si="228"/>
        <v>0</v>
      </c>
      <c r="Y7344" s="1">
        <f t="shared" si="229"/>
        <v>15</v>
      </c>
    </row>
    <row r="7345" spans="24:25" x14ac:dyDescent="0.3">
      <c r="X7345" s="1">
        <f t="shared" si="228"/>
        <v>0</v>
      </c>
      <c r="Y7345" s="1">
        <f t="shared" si="229"/>
        <v>15</v>
      </c>
    </row>
    <row r="7346" spans="24:25" x14ac:dyDescent="0.3">
      <c r="X7346" s="1">
        <f t="shared" si="228"/>
        <v>0</v>
      </c>
      <c r="Y7346" s="1">
        <f t="shared" si="229"/>
        <v>15</v>
      </c>
    </row>
    <row r="7347" spans="24:25" x14ac:dyDescent="0.3">
      <c r="X7347" s="1">
        <f t="shared" si="228"/>
        <v>0</v>
      </c>
      <c r="Y7347" s="1">
        <f t="shared" si="229"/>
        <v>15</v>
      </c>
    </row>
    <row r="7348" spans="24:25" x14ac:dyDescent="0.3">
      <c r="X7348" s="1">
        <f t="shared" si="228"/>
        <v>0</v>
      </c>
      <c r="Y7348" s="1">
        <f t="shared" si="229"/>
        <v>15</v>
      </c>
    </row>
    <row r="7349" spans="24:25" x14ac:dyDescent="0.3">
      <c r="X7349" s="1">
        <f t="shared" si="228"/>
        <v>0</v>
      </c>
      <c r="Y7349" s="1">
        <f t="shared" si="229"/>
        <v>15</v>
      </c>
    </row>
    <row r="7350" spans="24:25" x14ac:dyDescent="0.3">
      <c r="X7350" s="1">
        <f t="shared" si="228"/>
        <v>0</v>
      </c>
      <c r="Y7350" s="1">
        <f t="shared" si="229"/>
        <v>15</v>
      </c>
    </row>
    <row r="7351" spans="24:25" x14ac:dyDescent="0.3">
      <c r="X7351" s="1">
        <f t="shared" si="228"/>
        <v>0</v>
      </c>
      <c r="Y7351" s="1">
        <f t="shared" si="229"/>
        <v>15</v>
      </c>
    </row>
    <row r="7352" spans="24:25" x14ac:dyDescent="0.3">
      <c r="X7352" s="1">
        <f t="shared" si="228"/>
        <v>0</v>
      </c>
      <c r="Y7352" s="1">
        <f t="shared" si="229"/>
        <v>15</v>
      </c>
    </row>
    <row r="7353" spans="24:25" x14ac:dyDescent="0.3">
      <c r="X7353" s="1">
        <f t="shared" si="228"/>
        <v>0</v>
      </c>
      <c r="Y7353" s="1">
        <f t="shared" si="229"/>
        <v>15</v>
      </c>
    </row>
    <row r="7354" spans="24:25" x14ac:dyDescent="0.3">
      <c r="X7354" s="1">
        <f t="shared" si="228"/>
        <v>0</v>
      </c>
      <c r="Y7354" s="1">
        <f t="shared" si="229"/>
        <v>15</v>
      </c>
    </row>
    <row r="7355" spans="24:25" x14ac:dyDescent="0.3">
      <c r="X7355" s="1">
        <f t="shared" si="228"/>
        <v>0</v>
      </c>
      <c r="Y7355" s="1">
        <f t="shared" si="229"/>
        <v>15</v>
      </c>
    </row>
    <row r="7356" spans="24:25" x14ac:dyDescent="0.3">
      <c r="X7356" s="1">
        <f t="shared" si="228"/>
        <v>0</v>
      </c>
      <c r="Y7356" s="1">
        <f t="shared" si="229"/>
        <v>15</v>
      </c>
    </row>
    <row r="7357" spans="24:25" x14ac:dyDescent="0.3">
      <c r="X7357" s="1">
        <f t="shared" si="228"/>
        <v>0</v>
      </c>
      <c r="Y7357" s="1">
        <f t="shared" si="229"/>
        <v>15</v>
      </c>
    </row>
    <row r="7358" spans="24:25" x14ac:dyDescent="0.3">
      <c r="X7358" s="1">
        <f t="shared" si="228"/>
        <v>0</v>
      </c>
      <c r="Y7358" s="1">
        <f t="shared" si="229"/>
        <v>15</v>
      </c>
    </row>
    <row r="7359" spans="24:25" x14ac:dyDescent="0.3">
      <c r="X7359" s="1">
        <f t="shared" si="228"/>
        <v>0</v>
      </c>
      <c r="Y7359" s="1">
        <f t="shared" si="229"/>
        <v>15</v>
      </c>
    </row>
    <row r="7360" spans="24:25" x14ac:dyDescent="0.3">
      <c r="X7360" s="1">
        <f t="shared" si="228"/>
        <v>0</v>
      </c>
      <c r="Y7360" s="1">
        <f t="shared" si="229"/>
        <v>15</v>
      </c>
    </row>
    <row r="7361" spans="24:25" x14ac:dyDescent="0.3">
      <c r="X7361" s="1">
        <f t="shared" si="228"/>
        <v>0</v>
      </c>
      <c r="Y7361" s="1">
        <f t="shared" si="229"/>
        <v>15</v>
      </c>
    </row>
    <row r="7362" spans="24:25" x14ac:dyDescent="0.3">
      <c r="X7362" s="1">
        <f t="shared" si="228"/>
        <v>0</v>
      </c>
      <c r="Y7362" s="1">
        <f t="shared" si="229"/>
        <v>15</v>
      </c>
    </row>
    <row r="7363" spans="24:25" x14ac:dyDescent="0.3">
      <c r="X7363" s="1">
        <f t="shared" ref="X7363:X7426" si="230">IFERROR(MATCH(W7363,$B:$B,0),0)</f>
        <v>0</v>
      </c>
      <c r="Y7363" s="1">
        <f t="shared" ref="Y7363:Y7426" si="231">IF(X7364=0,COUNTA(A:A),X7364-1)</f>
        <v>15</v>
      </c>
    </row>
    <row r="7364" spans="24:25" x14ac:dyDescent="0.3">
      <c r="X7364" s="1">
        <f t="shared" si="230"/>
        <v>0</v>
      </c>
      <c r="Y7364" s="1">
        <f t="shared" si="231"/>
        <v>15</v>
      </c>
    </row>
    <row r="7365" spans="24:25" x14ac:dyDescent="0.3">
      <c r="X7365" s="1">
        <f t="shared" si="230"/>
        <v>0</v>
      </c>
      <c r="Y7365" s="1">
        <f t="shared" si="231"/>
        <v>15</v>
      </c>
    </row>
    <row r="7366" spans="24:25" x14ac:dyDescent="0.3">
      <c r="X7366" s="1">
        <f t="shared" si="230"/>
        <v>0</v>
      </c>
      <c r="Y7366" s="1">
        <f t="shared" si="231"/>
        <v>15</v>
      </c>
    </row>
    <row r="7367" spans="24:25" x14ac:dyDescent="0.3">
      <c r="X7367" s="1">
        <f t="shared" si="230"/>
        <v>0</v>
      </c>
      <c r="Y7367" s="1">
        <f t="shared" si="231"/>
        <v>15</v>
      </c>
    </row>
    <row r="7368" spans="24:25" x14ac:dyDescent="0.3">
      <c r="X7368" s="1">
        <f t="shared" si="230"/>
        <v>0</v>
      </c>
      <c r="Y7368" s="1">
        <f t="shared" si="231"/>
        <v>15</v>
      </c>
    </row>
    <row r="7369" spans="24:25" x14ac:dyDescent="0.3">
      <c r="X7369" s="1">
        <f t="shared" si="230"/>
        <v>0</v>
      </c>
      <c r="Y7369" s="1">
        <f t="shared" si="231"/>
        <v>15</v>
      </c>
    </row>
    <row r="7370" spans="24:25" x14ac:dyDescent="0.3">
      <c r="X7370" s="1">
        <f t="shared" si="230"/>
        <v>0</v>
      </c>
      <c r="Y7370" s="1">
        <f t="shared" si="231"/>
        <v>15</v>
      </c>
    </row>
    <row r="7371" spans="24:25" x14ac:dyDescent="0.3">
      <c r="X7371" s="1">
        <f t="shared" si="230"/>
        <v>0</v>
      </c>
      <c r="Y7371" s="1">
        <f t="shared" si="231"/>
        <v>15</v>
      </c>
    </row>
    <row r="7372" spans="24:25" x14ac:dyDescent="0.3">
      <c r="X7372" s="1">
        <f t="shared" si="230"/>
        <v>0</v>
      </c>
      <c r="Y7372" s="1">
        <f t="shared" si="231"/>
        <v>15</v>
      </c>
    </row>
    <row r="7373" spans="24:25" x14ac:dyDescent="0.3">
      <c r="X7373" s="1">
        <f t="shared" si="230"/>
        <v>0</v>
      </c>
      <c r="Y7373" s="1">
        <f t="shared" si="231"/>
        <v>15</v>
      </c>
    </row>
    <row r="7374" spans="24:25" x14ac:dyDescent="0.3">
      <c r="X7374" s="1">
        <f t="shared" si="230"/>
        <v>0</v>
      </c>
      <c r="Y7374" s="1">
        <f t="shared" si="231"/>
        <v>15</v>
      </c>
    </row>
    <row r="7375" spans="24:25" x14ac:dyDescent="0.3">
      <c r="X7375" s="1">
        <f t="shared" si="230"/>
        <v>0</v>
      </c>
      <c r="Y7375" s="1">
        <f t="shared" si="231"/>
        <v>15</v>
      </c>
    </row>
    <row r="7376" spans="24:25" x14ac:dyDescent="0.3">
      <c r="X7376" s="1">
        <f t="shared" si="230"/>
        <v>0</v>
      </c>
      <c r="Y7376" s="1">
        <f t="shared" si="231"/>
        <v>15</v>
      </c>
    </row>
    <row r="7377" spans="24:25" x14ac:dyDescent="0.3">
      <c r="X7377" s="1">
        <f t="shared" si="230"/>
        <v>0</v>
      </c>
      <c r="Y7377" s="1">
        <f t="shared" si="231"/>
        <v>15</v>
      </c>
    </row>
    <row r="7378" spans="24:25" x14ac:dyDescent="0.3">
      <c r="X7378" s="1">
        <f t="shared" si="230"/>
        <v>0</v>
      </c>
      <c r="Y7378" s="1">
        <f t="shared" si="231"/>
        <v>15</v>
      </c>
    </row>
    <row r="7379" spans="24:25" x14ac:dyDescent="0.3">
      <c r="X7379" s="1">
        <f t="shared" si="230"/>
        <v>0</v>
      </c>
      <c r="Y7379" s="1">
        <f t="shared" si="231"/>
        <v>15</v>
      </c>
    </row>
    <row r="7380" spans="24:25" x14ac:dyDescent="0.3">
      <c r="X7380" s="1">
        <f t="shared" si="230"/>
        <v>0</v>
      </c>
      <c r="Y7380" s="1">
        <f t="shared" si="231"/>
        <v>15</v>
      </c>
    </row>
    <row r="7381" spans="24:25" x14ac:dyDescent="0.3">
      <c r="X7381" s="1">
        <f t="shared" si="230"/>
        <v>0</v>
      </c>
      <c r="Y7381" s="1">
        <f t="shared" si="231"/>
        <v>15</v>
      </c>
    </row>
    <row r="7382" spans="24:25" x14ac:dyDescent="0.3">
      <c r="X7382" s="1">
        <f t="shared" si="230"/>
        <v>0</v>
      </c>
      <c r="Y7382" s="1">
        <f t="shared" si="231"/>
        <v>15</v>
      </c>
    </row>
    <row r="7383" spans="24:25" x14ac:dyDescent="0.3">
      <c r="X7383" s="1">
        <f t="shared" si="230"/>
        <v>0</v>
      </c>
      <c r="Y7383" s="1">
        <f t="shared" si="231"/>
        <v>15</v>
      </c>
    </row>
    <row r="7384" spans="24:25" x14ac:dyDescent="0.3">
      <c r="X7384" s="1">
        <f t="shared" si="230"/>
        <v>0</v>
      </c>
      <c r="Y7384" s="1">
        <f t="shared" si="231"/>
        <v>15</v>
      </c>
    </row>
    <row r="7385" spans="24:25" x14ac:dyDescent="0.3">
      <c r="X7385" s="1">
        <f t="shared" si="230"/>
        <v>0</v>
      </c>
      <c r="Y7385" s="1">
        <f t="shared" si="231"/>
        <v>15</v>
      </c>
    </row>
    <row r="7386" spans="24:25" x14ac:dyDescent="0.3">
      <c r="X7386" s="1">
        <f t="shared" si="230"/>
        <v>0</v>
      </c>
      <c r="Y7386" s="1">
        <f t="shared" si="231"/>
        <v>15</v>
      </c>
    </row>
    <row r="7387" spans="24:25" x14ac:dyDescent="0.3">
      <c r="X7387" s="1">
        <f t="shared" si="230"/>
        <v>0</v>
      </c>
      <c r="Y7387" s="1">
        <f t="shared" si="231"/>
        <v>15</v>
      </c>
    </row>
    <row r="7388" spans="24:25" x14ac:dyDescent="0.3">
      <c r="X7388" s="1">
        <f t="shared" si="230"/>
        <v>0</v>
      </c>
      <c r="Y7388" s="1">
        <f t="shared" si="231"/>
        <v>15</v>
      </c>
    </row>
    <row r="7389" spans="24:25" x14ac:dyDescent="0.3">
      <c r="X7389" s="1">
        <f t="shared" si="230"/>
        <v>0</v>
      </c>
      <c r="Y7389" s="1">
        <f t="shared" si="231"/>
        <v>15</v>
      </c>
    </row>
    <row r="7390" spans="24:25" x14ac:dyDescent="0.3">
      <c r="X7390" s="1">
        <f t="shared" si="230"/>
        <v>0</v>
      </c>
      <c r="Y7390" s="1">
        <f t="shared" si="231"/>
        <v>15</v>
      </c>
    </row>
    <row r="7391" spans="24:25" x14ac:dyDescent="0.3">
      <c r="X7391" s="1">
        <f t="shared" si="230"/>
        <v>0</v>
      </c>
      <c r="Y7391" s="1">
        <f t="shared" si="231"/>
        <v>15</v>
      </c>
    </row>
    <row r="7392" spans="24:25" x14ac:dyDescent="0.3">
      <c r="X7392" s="1">
        <f t="shared" si="230"/>
        <v>0</v>
      </c>
      <c r="Y7392" s="1">
        <f t="shared" si="231"/>
        <v>15</v>
      </c>
    </row>
    <row r="7393" spans="24:25" x14ac:dyDescent="0.3">
      <c r="X7393" s="1">
        <f t="shared" si="230"/>
        <v>0</v>
      </c>
      <c r="Y7393" s="1">
        <f t="shared" si="231"/>
        <v>15</v>
      </c>
    </row>
    <row r="7394" spans="24:25" x14ac:dyDescent="0.3">
      <c r="X7394" s="1">
        <f t="shared" si="230"/>
        <v>0</v>
      </c>
      <c r="Y7394" s="1">
        <f t="shared" si="231"/>
        <v>15</v>
      </c>
    </row>
    <row r="7395" spans="24:25" x14ac:dyDescent="0.3">
      <c r="X7395" s="1">
        <f t="shared" si="230"/>
        <v>0</v>
      </c>
      <c r="Y7395" s="1">
        <f t="shared" si="231"/>
        <v>15</v>
      </c>
    </row>
    <row r="7396" spans="24:25" x14ac:dyDescent="0.3">
      <c r="X7396" s="1">
        <f t="shared" si="230"/>
        <v>0</v>
      </c>
      <c r="Y7396" s="1">
        <f t="shared" si="231"/>
        <v>15</v>
      </c>
    </row>
    <row r="7397" spans="24:25" x14ac:dyDescent="0.3">
      <c r="X7397" s="1">
        <f t="shared" si="230"/>
        <v>0</v>
      </c>
      <c r="Y7397" s="1">
        <f t="shared" si="231"/>
        <v>15</v>
      </c>
    </row>
    <row r="7398" spans="24:25" x14ac:dyDescent="0.3">
      <c r="X7398" s="1">
        <f t="shared" si="230"/>
        <v>0</v>
      </c>
      <c r="Y7398" s="1">
        <f t="shared" si="231"/>
        <v>15</v>
      </c>
    </row>
    <row r="7399" spans="24:25" x14ac:dyDescent="0.3">
      <c r="X7399" s="1">
        <f t="shared" si="230"/>
        <v>0</v>
      </c>
      <c r="Y7399" s="1">
        <f t="shared" si="231"/>
        <v>15</v>
      </c>
    </row>
    <row r="7400" spans="24:25" x14ac:dyDescent="0.3">
      <c r="X7400" s="1">
        <f t="shared" si="230"/>
        <v>0</v>
      </c>
      <c r="Y7400" s="1">
        <f t="shared" si="231"/>
        <v>15</v>
      </c>
    </row>
    <row r="7401" spans="24:25" x14ac:dyDescent="0.3">
      <c r="X7401" s="1">
        <f t="shared" si="230"/>
        <v>0</v>
      </c>
      <c r="Y7401" s="1">
        <f t="shared" si="231"/>
        <v>15</v>
      </c>
    </row>
    <row r="7402" spans="24:25" x14ac:dyDescent="0.3">
      <c r="X7402" s="1">
        <f t="shared" si="230"/>
        <v>0</v>
      </c>
      <c r="Y7402" s="1">
        <f t="shared" si="231"/>
        <v>15</v>
      </c>
    </row>
    <row r="7403" spans="24:25" x14ac:dyDescent="0.3">
      <c r="X7403" s="1">
        <f t="shared" si="230"/>
        <v>0</v>
      </c>
      <c r="Y7403" s="1">
        <f t="shared" si="231"/>
        <v>15</v>
      </c>
    </row>
    <row r="7404" spans="24:25" x14ac:dyDescent="0.3">
      <c r="X7404" s="1">
        <f t="shared" si="230"/>
        <v>0</v>
      </c>
      <c r="Y7404" s="1">
        <f t="shared" si="231"/>
        <v>15</v>
      </c>
    </row>
    <row r="7405" spans="24:25" x14ac:dyDescent="0.3">
      <c r="X7405" s="1">
        <f t="shared" si="230"/>
        <v>0</v>
      </c>
      <c r="Y7405" s="1">
        <f t="shared" si="231"/>
        <v>15</v>
      </c>
    </row>
    <row r="7406" spans="24:25" x14ac:dyDescent="0.3">
      <c r="X7406" s="1">
        <f t="shared" si="230"/>
        <v>0</v>
      </c>
      <c r="Y7406" s="1">
        <f t="shared" si="231"/>
        <v>15</v>
      </c>
    </row>
    <row r="7407" spans="24:25" x14ac:dyDescent="0.3">
      <c r="X7407" s="1">
        <f t="shared" si="230"/>
        <v>0</v>
      </c>
      <c r="Y7407" s="1">
        <f t="shared" si="231"/>
        <v>15</v>
      </c>
    </row>
    <row r="7408" spans="24:25" x14ac:dyDescent="0.3">
      <c r="X7408" s="1">
        <f t="shared" si="230"/>
        <v>0</v>
      </c>
      <c r="Y7408" s="1">
        <f t="shared" si="231"/>
        <v>15</v>
      </c>
    </row>
    <row r="7409" spans="24:25" x14ac:dyDescent="0.3">
      <c r="X7409" s="1">
        <f t="shared" si="230"/>
        <v>0</v>
      </c>
      <c r="Y7409" s="1">
        <f t="shared" si="231"/>
        <v>15</v>
      </c>
    </row>
    <row r="7410" spans="24:25" x14ac:dyDescent="0.3">
      <c r="X7410" s="1">
        <f t="shared" si="230"/>
        <v>0</v>
      </c>
      <c r="Y7410" s="1">
        <f t="shared" si="231"/>
        <v>15</v>
      </c>
    </row>
    <row r="7411" spans="24:25" x14ac:dyDescent="0.3">
      <c r="X7411" s="1">
        <f t="shared" si="230"/>
        <v>0</v>
      </c>
      <c r="Y7411" s="1">
        <f t="shared" si="231"/>
        <v>15</v>
      </c>
    </row>
    <row r="7412" spans="24:25" x14ac:dyDescent="0.3">
      <c r="X7412" s="1">
        <f t="shared" si="230"/>
        <v>0</v>
      </c>
      <c r="Y7412" s="1">
        <f t="shared" si="231"/>
        <v>15</v>
      </c>
    </row>
    <row r="7413" spans="24:25" x14ac:dyDescent="0.3">
      <c r="X7413" s="1">
        <f t="shared" si="230"/>
        <v>0</v>
      </c>
      <c r="Y7413" s="1">
        <f t="shared" si="231"/>
        <v>15</v>
      </c>
    </row>
    <row r="7414" spans="24:25" x14ac:dyDescent="0.3">
      <c r="X7414" s="1">
        <f t="shared" si="230"/>
        <v>0</v>
      </c>
      <c r="Y7414" s="1">
        <f t="shared" si="231"/>
        <v>15</v>
      </c>
    </row>
    <row r="7415" spans="24:25" x14ac:dyDescent="0.3">
      <c r="X7415" s="1">
        <f t="shared" si="230"/>
        <v>0</v>
      </c>
      <c r="Y7415" s="1">
        <f t="shared" si="231"/>
        <v>15</v>
      </c>
    </row>
    <row r="7416" spans="24:25" x14ac:dyDescent="0.3">
      <c r="X7416" s="1">
        <f t="shared" si="230"/>
        <v>0</v>
      </c>
      <c r="Y7416" s="1">
        <f t="shared" si="231"/>
        <v>15</v>
      </c>
    </row>
    <row r="7417" spans="24:25" x14ac:dyDescent="0.3">
      <c r="X7417" s="1">
        <f t="shared" si="230"/>
        <v>0</v>
      </c>
      <c r="Y7417" s="1">
        <f t="shared" si="231"/>
        <v>15</v>
      </c>
    </row>
    <row r="7418" spans="24:25" x14ac:dyDescent="0.3">
      <c r="X7418" s="1">
        <f t="shared" si="230"/>
        <v>0</v>
      </c>
      <c r="Y7418" s="1">
        <f t="shared" si="231"/>
        <v>15</v>
      </c>
    </row>
    <row r="7419" spans="24:25" x14ac:dyDescent="0.3">
      <c r="X7419" s="1">
        <f t="shared" si="230"/>
        <v>0</v>
      </c>
      <c r="Y7419" s="1">
        <f t="shared" si="231"/>
        <v>15</v>
      </c>
    </row>
    <row r="7420" spans="24:25" x14ac:dyDescent="0.3">
      <c r="X7420" s="1">
        <f t="shared" si="230"/>
        <v>0</v>
      </c>
      <c r="Y7420" s="1">
        <f t="shared" si="231"/>
        <v>15</v>
      </c>
    </row>
    <row r="7421" spans="24:25" x14ac:dyDescent="0.3">
      <c r="X7421" s="1">
        <f t="shared" si="230"/>
        <v>0</v>
      </c>
      <c r="Y7421" s="1">
        <f t="shared" si="231"/>
        <v>15</v>
      </c>
    </row>
    <row r="7422" spans="24:25" x14ac:dyDescent="0.3">
      <c r="X7422" s="1">
        <f t="shared" si="230"/>
        <v>0</v>
      </c>
      <c r="Y7422" s="1">
        <f t="shared" si="231"/>
        <v>15</v>
      </c>
    </row>
    <row r="7423" spans="24:25" x14ac:dyDescent="0.3">
      <c r="X7423" s="1">
        <f t="shared" si="230"/>
        <v>0</v>
      </c>
      <c r="Y7423" s="1">
        <f t="shared" si="231"/>
        <v>15</v>
      </c>
    </row>
    <row r="7424" spans="24:25" x14ac:dyDescent="0.3">
      <c r="X7424" s="1">
        <f t="shared" si="230"/>
        <v>0</v>
      </c>
      <c r="Y7424" s="1">
        <f t="shared" si="231"/>
        <v>15</v>
      </c>
    </row>
    <row r="7425" spans="24:25" x14ac:dyDescent="0.3">
      <c r="X7425" s="1">
        <f t="shared" si="230"/>
        <v>0</v>
      </c>
      <c r="Y7425" s="1">
        <f t="shared" si="231"/>
        <v>15</v>
      </c>
    </row>
    <row r="7426" spans="24:25" x14ac:dyDescent="0.3">
      <c r="X7426" s="1">
        <f t="shared" si="230"/>
        <v>0</v>
      </c>
      <c r="Y7426" s="1">
        <f t="shared" si="231"/>
        <v>15</v>
      </c>
    </row>
    <row r="7427" spans="24:25" x14ac:dyDescent="0.3">
      <c r="X7427" s="1">
        <f t="shared" ref="X7427:X7490" si="232">IFERROR(MATCH(W7427,$B:$B,0),0)</f>
        <v>0</v>
      </c>
      <c r="Y7427" s="1">
        <f t="shared" ref="Y7427:Y7490" si="233">IF(X7428=0,COUNTA(A:A),X7428-1)</f>
        <v>15</v>
      </c>
    </row>
    <row r="7428" spans="24:25" x14ac:dyDescent="0.3">
      <c r="X7428" s="1">
        <f t="shared" si="232"/>
        <v>0</v>
      </c>
      <c r="Y7428" s="1">
        <f t="shared" si="233"/>
        <v>15</v>
      </c>
    </row>
    <row r="7429" spans="24:25" x14ac:dyDescent="0.3">
      <c r="X7429" s="1">
        <f t="shared" si="232"/>
        <v>0</v>
      </c>
      <c r="Y7429" s="1">
        <f t="shared" si="233"/>
        <v>15</v>
      </c>
    </row>
    <row r="7430" spans="24:25" x14ac:dyDescent="0.3">
      <c r="X7430" s="1">
        <f t="shared" si="232"/>
        <v>0</v>
      </c>
      <c r="Y7430" s="1">
        <f t="shared" si="233"/>
        <v>15</v>
      </c>
    </row>
    <row r="7431" spans="24:25" x14ac:dyDescent="0.3">
      <c r="X7431" s="1">
        <f t="shared" si="232"/>
        <v>0</v>
      </c>
      <c r="Y7431" s="1">
        <f t="shared" si="233"/>
        <v>15</v>
      </c>
    </row>
    <row r="7432" spans="24:25" x14ac:dyDescent="0.3">
      <c r="X7432" s="1">
        <f t="shared" si="232"/>
        <v>0</v>
      </c>
      <c r="Y7432" s="1">
        <f t="shared" si="233"/>
        <v>15</v>
      </c>
    </row>
    <row r="7433" spans="24:25" x14ac:dyDescent="0.3">
      <c r="X7433" s="1">
        <f t="shared" si="232"/>
        <v>0</v>
      </c>
      <c r="Y7433" s="1">
        <f t="shared" si="233"/>
        <v>15</v>
      </c>
    </row>
    <row r="7434" spans="24:25" x14ac:dyDescent="0.3">
      <c r="X7434" s="1">
        <f t="shared" si="232"/>
        <v>0</v>
      </c>
      <c r="Y7434" s="1">
        <f t="shared" si="233"/>
        <v>15</v>
      </c>
    </row>
    <row r="7435" spans="24:25" x14ac:dyDescent="0.3">
      <c r="X7435" s="1">
        <f t="shared" si="232"/>
        <v>0</v>
      </c>
      <c r="Y7435" s="1">
        <f t="shared" si="233"/>
        <v>15</v>
      </c>
    </row>
    <row r="7436" spans="24:25" x14ac:dyDescent="0.3">
      <c r="X7436" s="1">
        <f t="shared" si="232"/>
        <v>0</v>
      </c>
      <c r="Y7436" s="1">
        <f t="shared" si="233"/>
        <v>15</v>
      </c>
    </row>
    <row r="7437" spans="24:25" x14ac:dyDescent="0.3">
      <c r="X7437" s="1">
        <f t="shared" si="232"/>
        <v>0</v>
      </c>
      <c r="Y7437" s="1">
        <f t="shared" si="233"/>
        <v>15</v>
      </c>
    </row>
    <row r="7438" spans="24:25" x14ac:dyDescent="0.3">
      <c r="X7438" s="1">
        <f t="shared" si="232"/>
        <v>0</v>
      </c>
      <c r="Y7438" s="1">
        <f t="shared" si="233"/>
        <v>15</v>
      </c>
    </row>
    <row r="7439" spans="24:25" x14ac:dyDescent="0.3">
      <c r="X7439" s="1">
        <f t="shared" si="232"/>
        <v>0</v>
      </c>
      <c r="Y7439" s="1">
        <f t="shared" si="233"/>
        <v>15</v>
      </c>
    </row>
    <row r="7440" spans="24:25" x14ac:dyDescent="0.3">
      <c r="X7440" s="1">
        <f t="shared" si="232"/>
        <v>0</v>
      </c>
      <c r="Y7440" s="1">
        <f t="shared" si="233"/>
        <v>15</v>
      </c>
    </row>
    <row r="7441" spans="24:25" x14ac:dyDescent="0.3">
      <c r="X7441" s="1">
        <f t="shared" si="232"/>
        <v>0</v>
      </c>
      <c r="Y7441" s="1">
        <f t="shared" si="233"/>
        <v>15</v>
      </c>
    </row>
    <row r="7442" spans="24:25" x14ac:dyDescent="0.3">
      <c r="X7442" s="1">
        <f t="shared" si="232"/>
        <v>0</v>
      </c>
      <c r="Y7442" s="1">
        <f t="shared" si="233"/>
        <v>15</v>
      </c>
    </row>
    <row r="7443" spans="24:25" x14ac:dyDescent="0.3">
      <c r="X7443" s="1">
        <f t="shared" si="232"/>
        <v>0</v>
      </c>
      <c r="Y7443" s="1">
        <f t="shared" si="233"/>
        <v>15</v>
      </c>
    </row>
    <row r="7444" spans="24:25" x14ac:dyDescent="0.3">
      <c r="X7444" s="1">
        <f t="shared" si="232"/>
        <v>0</v>
      </c>
      <c r="Y7444" s="1">
        <f t="shared" si="233"/>
        <v>15</v>
      </c>
    </row>
    <row r="7445" spans="24:25" x14ac:dyDescent="0.3">
      <c r="X7445" s="1">
        <f t="shared" si="232"/>
        <v>0</v>
      </c>
      <c r="Y7445" s="1">
        <f t="shared" si="233"/>
        <v>15</v>
      </c>
    </row>
    <row r="7446" spans="24:25" x14ac:dyDescent="0.3">
      <c r="X7446" s="1">
        <f t="shared" si="232"/>
        <v>0</v>
      </c>
      <c r="Y7446" s="1">
        <f t="shared" si="233"/>
        <v>15</v>
      </c>
    </row>
    <row r="7447" spans="24:25" x14ac:dyDescent="0.3">
      <c r="X7447" s="1">
        <f t="shared" si="232"/>
        <v>0</v>
      </c>
      <c r="Y7447" s="1">
        <f t="shared" si="233"/>
        <v>15</v>
      </c>
    </row>
    <row r="7448" spans="24:25" x14ac:dyDescent="0.3">
      <c r="X7448" s="1">
        <f t="shared" si="232"/>
        <v>0</v>
      </c>
      <c r="Y7448" s="1">
        <f t="shared" si="233"/>
        <v>15</v>
      </c>
    </row>
    <row r="7449" spans="24:25" x14ac:dyDescent="0.3">
      <c r="X7449" s="1">
        <f t="shared" si="232"/>
        <v>0</v>
      </c>
      <c r="Y7449" s="1">
        <f t="shared" si="233"/>
        <v>15</v>
      </c>
    </row>
    <row r="7450" spans="24:25" x14ac:dyDescent="0.3">
      <c r="X7450" s="1">
        <f t="shared" si="232"/>
        <v>0</v>
      </c>
      <c r="Y7450" s="1">
        <f t="shared" si="233"/>
        <v>15</v>
      </c>
    </row>
    <row r="7451" spans="24:25" x14ac:dyDescent="0.3">
      <c r="X7451" s="1">
        <f t="shared" si="232"/>
        <v>0</v>
      </c>
      <c r="Y7451" s="1">
        <f t="shared" si="233"/>
        <v>15</v>
      </c>
    </row>
    <row r="7452" spans="24:25" x14ac:dyDescent="0.3">
      <c r="X7452" s="1">
        <f t="shared" si="232"/>
        <v>0</v>
      </c>
      <c r="Y7452" s="1">
        <f t="shared" si="233"/>
        <v>15</v>
      </c>
    </row>
    <row r="7453" spans="24:25" x14ac:dyDescent="0.3">
      <c r="X7453" s="1">
        <f t="shared" si="232"/>
        <v>0</v>
      </c>
      <c r="Y7453" s="1">
        <f t="shared" si="233"/>
        <v>15</v>
      </c>
    </row>
    <row r="7454" spans="24:25" x14ac:dyDescent="0.3">
      <c r="X7454" s="1">
        <f t="shared" si="232"/>
        <v>0</v>
      </c>
      <c r="Y7454" s="1">
        <f t="shared" si="233"/>
        <v>15</v>
      </c>
    </row>
    <row r="7455" spans="24:25" x14ac:dyDescent="0.3">
      <c r="X7455" s="1">
        <f t="shared" si="232"/>
        <v>0</v>
      </c>
      <c r="Y7455" s="1">
        <f t="shared" si="233"/>
        <v>15</v>
      </c>
    </row>
    <row r="7456" spans="24:25" x14ac:dyDescent="0.3">
      <c r="X7456" s="1">
        <f t="shared" si="232"/>
        <v>0</v>
      </c>
      <c r="Y7456" s="1">
        <f t="shared" si="233"/>
        <v>15</v>
      </c>
    </row>
    <row r="7457" spans="24:25" x14ac:dyDescent="0.3">
      <c r="X7457" s="1">
        <f t="shared" si="232"/>
        <v>0</v>
      </c>
      <c r="Y7457" s="1">
        <f t="shared" si="233"/>
        <v>15</v>
      </c>
    </row>
    <row r="7458" spans="24:25" x14ac:dyDescent="0.3">
      <c r="X7458" s="1">
        <f t="shared" si="232"/>
        <v>0</v>
      </c>
      <c r="Y7458" s="1">
        <f t="shared" si="233"/>
        <v>15</v>
      </c>
    </row>
    <row r="7459" spans="24:25" x14ac:dyDescent="0.3">
      <c r="X7459" s="1">
        <f t="shared" si="232"/>
        <v>0</v>
      </c>
      <c r="Y7459" s="1">
        <f t="shared" si="233"/>
        <v>15</v>
      </c>
    </row>
    <row r="7460" spans="24:25" x14ac:dyDescent="0.3">
      <c r="X7460" s="1">
        <f t="shared" si="232"/>
        <v>0</v>
      </c>
      <c r="Y7460" s="1">
        <f t="shared" si="233"/>
        <v>15</v>
      </c>
    </row>
    <row r="7461" spans="24:25" x14ac:dyDescent="0.3">
      <c r="X7461" s="1">
        <f t="shared" si="232"/>
        <v>0</v>
      </c>
      <c r="Y7461" s="1">
        <f t="shared" si="233"/>
        <v>15</v>
      </c>
    </row>
    <row r="7462" spans="24:25" x14ac:dyDescent="0.3">
      <c r="X7462" s="1">
        <f t="shared" si="232"/>
        <v>0</v>
      </c>
      <c r="Y7462" s="1">
        <f t="shared" si="233"/>
        <v>15</v>
      </c>
    </row>
    <row r="7463" spans="24:25" x14ac:dyDescent="0.3">
      <c r="X7463" s="1">
        <f t="shared" si="232"/>
        <v>0</v>
      </c>
      <c r="Y7463" s="1">
        <f t="shared" si="233"/>
        <v>15</v>
      </c>
    </row>
    <row r="7464" spans="24:25" x14ac:dyDescent="0.3">
      <c r="X7464" s="1">
        <f t="shared" si="232"/>
        <v>0</v>
      </c>
      <c r="Y7464" s="1">
        <f t="shared" si="233"/>
        <v>15</v>
      </c>
    </row>
    <row r="7465" spans="24:25" x14ac:dyDescent="0.3">
      <c r="X7465" s="1">
        <f t="shared" si="232"/>
        <v>0</v>
      </c>
      <c r="Y7465" s="1">
        <f t="shared" si="233"/>
        <v>15</v>
      </c>
    </row>
    <row r="7466" spans="24:25" x14ac:dyDescent="0.3">
      <c r="X7466" s="1">
        <f t="shared" si="232"/>
        <v>0</v>
      </c>
      <c r="Y7466" s="1">
        <f t="shared" si="233"/>
        <v>15</v>
      </c>
    </row>
    <row r="7467" spans="24:25" x14ac:dyDescent="0.3">
      <c r="X7467" s="1">
        <f t="shared" si="232"/>
        <v>0</v>
      </c>
      <c r="Y7467" s="1">
        <f t="shared" si="233"/>
        <v>15</v>
      </c>
    </row>
    <row r="7468" spans="24:25" x14ac:dyDescent="0.3">
      <c r="X7468" s="1">
        <f t="shared" si="232"/>
        <v>0</v>
      </c>
      <c r="Y7468" s="1">
        <f t="shared" si="233"/>
        <v>15</v>
      </c>
    </row>
    <row r="7469" spans="24:25" x14ac:dyDescent="0.3">
      <c r="X7469" s="1">
        <f t="shared" si="232"/>
        <v>0</v>
      </c>
      <c r="Y7469" s="1">
        <f t="shared" si="233"/>
        <v>15</v>
      </c>
    </row>
    <row r="7470" spans="24:25" x14ac:dyDescent="0.3">
      <c r="X7470" s="1">
        <f t="shared" si="232"/>
        <v>0</v>
      </c>
      <c r="Y7470" s="1">
        <f t="shared" si="233"/>
        <v>15</v>
      </c>
    </row>
    <row r="7471" spans="24:25" x14ac:dyDescent="0.3">
      <c r="X7471" s="1">
        <f t="shared" si="232"/>
        <v>0</v>
      </c>
      <c r="Y7471" s="1">
        <f t="shared" si="233"/>
        <v>15</v>
      </c>
    </row>
    <row r="7472" spans="24:25" x14ac:dyDescent="0.3">
      <c r="X7472" s="1">
        <f t="shared" si="232"/>
        <v>0</v>
      </c>
      <c r="Y7472" s="1">
        <f t="shared" si="233"/>
        <v>15</v>
      </c>
    </row>
    <row r="7473" spans="24:25" x14ac:dyDescent="0.3">
      <c r="X7473" s="1">
        <f t="shared" si="232"/>
        <v>0</v>
      </c>
      <c r="Y7473" s="1">
        <f t="shared" si="233"/>
        <v>15</v>
      </c>
    </row>
    <row r="7474" spans="24:25" x14ac:dyDescent="0.3">
      <c r="X7474" s="1">
        <f t="shared" si="232"/>
        <v>0</v>
      </c>
      <c r="Y7474" s="1">
        <f t="shared" si="233"/>
        <v>15</v>
      </c>
    </row>
    <row r="7475" spans="24:25" x14ac:dyDescent="0.3">
      <c r="X7475" s="1">
        <f t="shared" si="232"/>
        <v>0</v>
      </c>
      <c r="Y7475" s="1">
        <f t="shared" si="233"/>
        <v>15</v>
      </c>
    </row>
    <row r="7476" spans="24:25" x14ac:dyDescent="0.3">
      <c r="X7476" s="1">
        <f t="shared" si="232"/>
        <v>0</v>
      </c>
      <c r="Y7476" s="1">
        <f t="shared" si="233"/>
        <v>15</v>
      </c>
    </row>
    <row r="7477" spans="24:25" x14ac:dyDescent="0.3">
      <c r="X7477" s="1">
        <f t="shared" si="232"/>
        <v>0</v>
      </c>
      <c r="Y7477" s="1">
        <f t="shared" si="233"/>
        <v>15</v>
      </c>
    </row>
    <row r="7478" spans="24:25" x14ac:dyDescent="0.3">
      <c r="X7478" s="1">
        <f t="shared" si="232"/>
        <v>0</v>
      </c>
      <c r="Y7478" s="1">
        <f t="shared" si="233"/>
        <v>15</v>
      </c>
    </row>
    <row r="7479" spans="24:25" x14ac:dyDescent="0.3">
      <c r="X7479" s="1">
        <f t="shared" si="232"/>
        <v>0</v>
      </c>
      <c r="Y7479" s="1">
        <f t="shared" si="233"/>
        <v>15</v>
      </c>
    </row>
    <row r="7480" spans="24:25" x14ac:dyDescent="0.3">
      <c r="X7480" s="1">
        <f t="shared" si="232"/>
        <v>0</v>
      </c>
      <c r="Y7480" s="1">
        <f t="shared" si="233"/>
        <v>15</v>
      </c>
    </row>
    <row r="7481" spans="24:25" x14ac:dyDescent="0.3">
      <c r="X7481" s="1">
        <f t="shared" si="232"/>
        <v>0</v>
      </c>
      <c r="Y7481" s="1">
        <f t="shared" si="233"/>
        <v>15</v>
      </c>
    </row>
    <row r="7482" spans="24:25" x14ac:dyDescent="0.3">
      <c r="X7482" s="1">
        <f t="shared" si="232"/>
        <v>0</v>
      </c>
      <c r="Y7482" s="1">
        <f t="shared" si="233"/>
        <v>15</v>
      </c>
    </row>
    <row r="7483" spans="24:25" x14ac:dyDescent="0.3">
      <c r="X7483" s="1">
        <f t="shared" si="232"/>
        <v>0</v>
      </c>
      <c r="Y7483" s="1">
        <f t="shared" si="233"/>
        <v>15</v>
      </c>
    </row>
    <row r="7484" spans="24:25" x14ac:dyDescent="0.3">
      <c r="X7484" s="1">
        <f t="shared" si="232"/>
        <v>0</v>
      </c>
      <c r="Y7484" s="1">
        <f t="shared" si="233"/>
        <v>15</v>
      </c>
    </row>
    <row r="7485" spans="24:25" x14ac:dyDescent="0.3">
      <c r="X7485" s="1">
        <f t="shared" si="232"/>
        <v>0</v>
      </c>
      <c r="Y7485" s="1">
        <f t="shared" si="233"/>
        <v>15</v>
      </c>
    </row>
    <row r="7486" spans="24:25" x14ac:dyDescent="0.3">
      <c r="X7486" s="1">
        <f t="shared" si="232"/>
        <v>0</v>
      </c>
      <c r="Y7486" s="1">
        <f t="shared" si="233"/>
        <v>15</v>
      </c>
    </row>
    <row r="7487" spans="24:25" x14ac:dyDescent="0.3">
      <c r="X7487" s="1">
        <f t="shared" si="232"/>
        <v>0</v>
      </c>
      <c r="Y7487" s="1">
        <f t="shared" si="233"/>
        <v>15</v>
      </c>
    </row>
    <row r="7488" spans="24:25" x14ac:dyDescent="0.3">
      <c r="X7488" s="1">
        <f t="shared" si="232"/>
        <v>0</v>
      </c>
      <c r="Y7488" s="1">
        <f t="shared" si="233"/>
        <v>15</v>
      </c>
    </row>
    <row r="7489" spans="24:25" x14ac:dyDescent="0.3">
      <c r="X7489" s="1">
        <f t="shared" si="232"/>
        <v>0</v>
      </c>
      <c r="Y7489" s="1">
        <f t="shared" si="233"/>
        <v>15</v>
      </c>
    </row>
    <row r="7490" spans="24:25" x14ac:dyDescent="0.3">
      <c r="X7490" s="1">
        <f t="shared" si="232"/>
        <v>0</v>
      </c>
      <c r="Y7490" s="1">
        <f t="shared" si="233"/>
        <v>15</v>
      </c>
    </row>
    <row r="7491" spans="24:25" x14ac:dyDescent="0.3">
      <c r="X7491" s="1">
        <f t="shared" ref="X7491:X7554" si="234">IFERROR(MATCH(W7491,$B:$B,0),0)</f>
        <v>0</v>
      </c>
      <c r="Y7491" s="1">
        <f t="shared" ref="Y7491:Y7554" si="235">IF(X7492=0,COUNTA(A:A),X7492-1)</f>
        <v>15</v>
      </c>
    </row>
    <row r="7492" spans="24:25" x14ac:dyDescent="0.3">
      <c r="X7492" s="1">
        <f t="shared" si="234"/>
        <v>0</v>
      </c>
      <c r="Y7492" s="1">
        <f t="shared" si="235"/>
        <v>15</v>
      </c>
    </row>
    <row r="7493" spans="24:25" x14ac:dyDescent="0.3">
      <c r="X7493" s="1">
        <f t="shared" si="234"/>
        <v>0</v>
      </c>
      <c r="Y7493" s="1">
        <f t="shared" si="235"/>
        <v>15</v>
      </c>
    </row>
    <row r="7494" spans="24:25" x14ac:dyDescent="0.3">
      <c r="X7494" s="1">
        <f t="shared" si="234"/>
        <v>0</v>
      </c>
      <c r="Y7494" s="1">
        <f t="shared" si="235"/>
        <v>15</v>
      </c>
    </row>
    <row r="7495" spans="24:25" x14ac:dyDescent="0.3">
      <c r="X7495" s="1">
        <f t="shared" si="234"/>
        <v>0</v>
      </c>
      <c r="Y7495" s="1">
        <f t="shared" si="235"/>
        <v>15</v>
      </c>
    </row>
    <row r="7496" spans="24:25" x14ac:dyDescent="0.3">
      <c r="X7496" s="1">
        <f t="shared" si="234"/>
        <v>0</v>
      </c>
      <c r="Y7496" s="1">
        <f t="shared" si="235"/>
        <v>15</v>
      </c>
    </row>
    <row r="7497" spans="24:25" x14ac:dyDescent="0.3">
      <c r="X7497" s="1">
        <f t="shared" si="234"/>
        <v>0</v>
      </c>
      <c r="Y7497" s="1">
        <f t="shared" si="235"/>
        <v>15</v>
      </c>
    </row>
    <row r="7498" spans="24:25" x14ac:dyDescent="0.3">
      <c r="X7498" s="1">
        <f t="shared" si="234"/>
        <v>0</v>
      </c>
      <c r="Y7498" s="1">
        <f t="shared" si="235"/>
        <v>15</v>
      </c>
    </row>
    <row r="7499" spans="24:25" x14ac:dyDescent="0.3">
      <c r="X7499" s="1">
        <f t="shared" si="234"/>
        <v>0</v>
      </c>
      <c r="Y7499" s="1">
        <f t="shared" si="235"/>
        <v>15</v>
      </c>
    </row>
    <row r="7500" spans="24:25" x14ac:dyDescent="0.3">
      <c r="X7500" s="1">
        <f t="shared" si="234"/>
        <v>0</v>
      </c>
      <c r="Y7500" s="1">
        <f t="shared" si="235"/>
        <v>15</v>
      </c>
    </row>
    <row r="7501" spans="24:25" x14ac:dyDescent="0.3">
      <c r="X7501" s="1">
        <f t="shared" si="234"/>
        <v>0</v>
      </c>
      <c r="Y7501" s="1">
        <f t="shared" si="235"/>
        <v>15</v>
      </c>
    </row>
    <row r="7502" spans="24:25" x14ac:dyDescent="0.3">
      <c r="X7502" s="1">
        <f t="shared" si="234"/>
        <v>0</v>
      </c>
      <c r="Y7502" s="1">
        <f t="shared" si="235"/>
        <v>15</v>
      </c>
    </row>
    <row r="7503" spans="24:25" x14ac:dyDescent="0.3">
      <c r="X7503" s="1">
        <f t="shared" si="234"/>
        <v>0</v>
      </c>
      <c r="Y7503" s="1">
        <f t="shared" si="235"/>
        <v>15</v>
      </c>
    </row>
    <row r="7504" spans="24:25" x14ac:dyDescent="0.3">
      <c r="X7504" s="1">
        <f t="shared" si="234"/>
        <v>0</v>
      </c>
      <c r="Y7504" s="1">
        <f t="shared" si="235"/>
        <v>15</v>
      </c>
    </row>
    <row r="7505" spans="24:25" x14ac:dyDescent="0.3">
      <c r="X7505" s="1">
        <f t="shared" si="234"/>
        <v>0</v>
      </c>
      <c r="Y7505" s="1">
        <f t="shared" si="235"/>
        <v>15</v>
      </c>
    </row>
    <row r="7506" spans="24:25" x14ac:dyDescent="0.3">
      <c r="X7506" s="1">
        <f t="shared" si="234"/>
        <v>0</v>
      </c>
      <c r="Y7506" s="1">
        <f t="shared" si="235"/>
        <v>15</v>
      </c>
    </row>
    <row r="7507" spans="24:25" x14ac:dyDescent="0.3">
      <c r="X7507" s="1">
        <f t="shared" si="234"/>
        <v>0</v>
      </c>
      <c r="Y7507" s="1">
        <f t="shared" si="235"/>
        <v>15</v>
      </c>
    </row>
    <row r="7508" spans="24:25" x14ac:dyDescent="0.3">
      <c r="X7508" s="1">
        <f t="shared" si="234"/>
        <v>0</v>
      </c>
      <c r="Y7508" s="1">
        <f t="shared" si="235"/>
        <v>15</v>
      </c>
    </row>
    <row r="7509" spans="24:25" x14ac:dyDescent="0.3">
      <c r="X7509" s="1">
        <f t="shared" si="234"/>
        <v>0</v>
      </c>
      <c r="Y7509" s="1">
        <f t="shared" si="235"/>
        <v>15</v>
      </c>
    </row>
    <row r="7510" spans="24:25" x14ac:dyDescent="0.3">
      <c r="X7510" s="1">
        <f t="shared" si="234"/>
        <v>0</v>
      </c>
      <c r="Y7510" s="1">
        <f t="shared" si="235"/>
        <v>15</v>
      </c>
    </row>
    <row r="7511" spans="24:25" x14ac:dyDescent="0.3">
      <c r="X7511" s="1">
        <f t="shared" si="234"/>
        <v>0</v>
      </c>
      <c r="Y7511" s="1">
        <f t="shared" si="235"/>
        <v>15</v>
      </c>
    </row>
    <row r="7512" spans="24:25" x14ac:dyDescent="0.3">
      <c r="X7512" s="1">
        <f t="shared" si="234"/>
        <v>0</v>
      </c>
      <c r="Y7512" s="1">
        <f t="shared" si="235"/>
        <v>15</v>
      </c>
    </row>
    <row r="7513" spans="24:25" x14ac:dyDescent="0.3">
      <c r="X7513" s="1">
        <f t="shared" si="234"/>
        <v>0</v>
      </c>
      <c r="Y7513" s="1">
        <f t="shared" si="235"/>
        <v>15</v>
      </c>
    </row>
    <row r="7514" spans="24:25" x14ac:dyDescent="0.3">
      <c r="X7514" s="1">
        <f t="shared" si="234"/>
        <v>0</v>
      </c>
      <c r="Y7514" s="1">
        <f t="shared" si="235"/>
        <v>15</v>
      </c>
    </row>
    <row r="7515" spans="24:25" x14ac:dyDescent="0.3">
      <c r="X7515" s="1">
        <f t="shared" si="234"/>
        <v>0</v>
      </c>
      <c r="Y7515" s="1">
        <f t="shared" si="235"/>
        <v>15</v>
      </c>
    </row>
    <row r="7516" spans="24:25" x14ac:dyDescent="0.3">
      <c r="X7516" s="1">
        <f t="shared" si="234"/>
        <v>0</v>
      </c>
      <c r="Y7516" s="1">
        <f t="shared" si="235"/>
        <v>15</v>
      </c>
    </row>
    <row r="7517" spans="24:25" x14ac:dyDescent="0.3">
      <c r="X7517" s="1">
        <f t="shared" si="234"/>
        <v>0</v>
      </c>
      <c r="Y7517" s="1">
        <f t="shared" si="235"/>
        <v>15</v>
      </c>
    </row>
    <row r="7518" spans="24:25" x14ac:dyDescent="0.3">
      <c r="X7518" s="1">
        <f t="shared" si="234"/>
        <v>0</v>
      </c>
      <c r="Y7518" s="1">
        <f t="shared" si="235"/>
        <v>15</v>
      </c>
    </row>
    <row r="7519" spans="24:25" x14ac:dyDescent="0.3">
      <c r="X7519" s="1">
        <f t="shared" si="234"/>
        <v>0</v>
      </c>
      <c r="Y7519" s="1">
        <f t="shared" si="235"/>
        <v>15</v>
      </c>
    </row>
    <row r="7520" spans="24:25" x14ac:dyDescent="0.3">
      <c r="X7520" s="1">
        <f t="shared" si="234"/>
        <v>0</v>
      </c>
      <c r="Y7520" s="1">
        <f t="shared" si="235"/>
        <v>15</v>
      </c>
    </row>
    <row r="7521" spans="24:25" x14ac:dyDescent="0.3">
      <c r="X7521" s="1">
        <f t="shared" si="234"/>
        <v>0</v>
      </c>
      <c r="Y7521" s="1">
        <f t="shared" si="235"/>
        <v>15</v>
      </c>
    </row>
    <row r="7522" spans="24:25" x14ac:dyDescent="0.3">
      <c r="X7522" s="1">
        <f t="shared" si="234"/>
        <v>0</v>
      </c>
      <c r="Y7522" s="1">
        <f t="shared" si="235"/>
        <v>15</v>
      </c>
    </row>
    <row r="7523" spans="24:25" x14ac:dyDescent="0.3">
      <c r="X7523" s="1">
        <f t="shared" si="234"/>
        <v>0</v>
      </c>
      <c r="Y7523" s="1">
        <f t="shared" si="235"/>
        <v>15</v>
      </c>
    </row>
    <row r="7524" spans="24:25" x14ac:dyDescent="0.3">
      <c r="X7524" s="1">
        <f t="shared" si="234"/>
        <v>0</v>
      </c>
      <c r="Y7524" s="1">
        <f t="shared" si="235"/>
        <v>15</v>
      </c>
    </row>
    <row r="7525" spans="24:25" x14ac:dyDescent="0.3">
      <c r="X7525" s="1">
        <f t="shared" si="234"/>
        <v>0</v>
      </c>
      <c r="Y7525" s="1">
        <f t="shared" si="235"/>
        <v>15</v>
      </c>
    </row>
    <row r="7526" spans="24:25" x14ac:dyDescent="0.3">
      <c r="X7526" s="1">
        <f t="shared" si="234"/>
        <v>0</v>
      </c>
      <c r="Y7526" s="1">
        <f t="shared" si="235"/>
        <v>15</v>
      </c>
    </row>
    <row r="7527" spans="24:25" x14ac:dyDescent="0.3">
      <c r="X7527" s="1">
        <f t="shared" si="234"/>
        <v>0</v>
      </c>
      <c r="Y7527" s="1">
        <f t="shared" si="235"/>
        <v>15</v>
      </c>
    </row>
    <row r="7528" spans="24:25" x14ac:dyDescent="0.3">
      <c r="X7528" s="1">
        <f t="shared" si="234"/>
        <v>0</v>
      </c>
      <c r="Y7528" s="1">
        <f t="shared" si="235"/>
        <v>15</v>
      </c>
    </row>
    <row r="7529" spans="24:25" x14ac:dyDescent="0.3">
      <c r="X7529" s="1">
        <f t="shared" si="234"/>
        <v>0</v>
      </c>
      <c r="Y7529" s="1">
        <f t="shared" si="235"/>
        <v>15</v>
      </c>
    </row>
    <row r="7530" spans="24:25" x14ac:dyDescent="0.3">
      <c r="X7530" s="1">
        <f t="shared" si="234"/>
        <v>0</v>
      </c>
      <c r="Y7530" s="1">
        <f t="shared" si="235"/>
        <v>15</v>
      </c>
    </row>
    <row r="7531" spans="24:25" x14ac:dyDescent="0.3">
      <c r="X7531" s="1">
        <f t="shared" si="234"/>
        <v>0</v>
      </c>
      <c r="Y7531" s="1">
        <f t="shared" si="235"/>
        <v>15</v>
      </c>
    </row>
    <row r="7532" spans="24:25" x14ac:dyDescent="0.3">
      <c r="X7532" s="1">
        <f t="shared" si="234"/>
        <v>0</v>
      </c>
      <c r="Y7532" s="1">
        <f t="shared" si="235"/>
        <v>15</v>
      </c>
    </row>
    <row r="7533" spans="24:25" x14ac:dyDescent="0.3">
      <c r="X7533" s="1">
        <f t="shared" si="234"/>
        <v>0</v>
      </c>
      <c r="Y7533" s="1">
        <f t="shared" si="235"/>
        <v>15</v>
      </c>
    </row>
    <row r="7534" spans="24:25" x14ac:dyDescent="0.3">
      <c r="X7534" s="1">
        <f t="shared" si="234"/>
        <v>0</v>
      </c>
      <c r="Y7534" s="1">
        <f t="shared" si="235"/>
        <v>15</v>
      </c>
    </row>
    <row r="7535" spans="24:25" x14ac:dyDescent="0.3">
      <c r="X7535" s="1">
        <f t="shared" si="234"/>
        <v>0</v>
      </c>
      <c r="Y7535" s="1">
        <f t="shared" si="235"/>
        <v>15</v>
      </c>
    </row>
    <row r="7536" spans="24:25" x14ac:dyDescent="0.3">
      <c r="X7536" s="1">
        <f t="shared" si="234"/>
        <v>0</v>
      </c>
      <c r="Y7536" s="1">
        <f t="shared" si="235"/>
        <v>15</v>
      </c>
    </row>
    <row r="7537" spans="24:25" x14ac:dyDescent="0.3">
      <c r="X7537" s="1">
        <f t="shared" si="234"/>
        <v>0</v>
      </c>
      <c r="Y7537" s="1">
        <f t="shared" si="235"/>
        <v>15</v>
      </c>
    </row>
    <row r="7538" spans="24:25" x14ac:dyDescent="0.3">
      <c r="X7538" s="1">
        <f t="shared" si="234"/>
        <v>0</v>
      </c>
      <c r="Y7538" s="1">
        <f t="shared" si="235"/>
        <v>15</v>
      </c>
    </row>
    <row r="7539" spans="24:25" x14ac:dyDescent="0.3">
      <c r="X7539" s="1">
        <f t="shared" si="234"/>
        <v>0</v>
      </c>
      <c r="Y7539" s="1">
        <f t="shared" si="235"/>
        <v>15</v>
      </c>
    </row>
    <row r="7540" spans="24:25" x14ac:dyDescent="0.3">
      <c r="X7540" s="1">
        <f t="shared" si="234"/>
        <v>0</v>
      </c>
      <c r="Y7540" s="1">
        <f t="shared" si="235"/>
        <v>15</v>
      </c>
    </row>
    <row r="7541" spans="24:25" x14ac:dyDescent="0.3">
      <c r="X7541" s="1">
        <f t="shared" si="234"/>
        <v>0</v>
      </c>
      <c r="Y7541" s="1">
        <f t="shared" si="235"/>
        <v>15</v>
      </c>
    </row>
    <row r="7542" spans="24:25" x14ac:dyDescent="0.3">
      <c r="X7542" s="1">
        <f t="shared" si="234"/>
        <v>0</v>
      </c>
      <c r="Y7542" s="1">
        <f t="shared" si="235"/>
        <v>15</v>
      </c>
    </row>
    <row r="7543" spans="24:25" x14ac:dyDescent="0.3">
      <c r="X7543" s="1">
        <f t="shared" si="234"/>
        <v>0</v>
      </c>
      <c r="Y7543" s="1">
        <f t="shared" si="235"/>
        <v>15</v>
      </c>
    </row>
    <row r="7544" spans="24:25" x14ac:dyDescent="0.3">
      <c r="X7544" s="1">
        <f t="shared" si="234"/>
        <v>0</v>
      </c>
      <c r="Y7544" s="1">
        <f t="shared" si="235"/>
        <v>15</v>
      </c>
    </row>
    <row r="7545" spans="24:25" x14ac:dyDescent="0.3">
      <c r="X7545" s="1">
        <f t="shared" si="234"/>
        <v>0</v>
      </c>
      <c r="Y7545" s="1">
        <f t="shared" si="235"/>
        <v>15</v>
      </c>
    </row>
    <row r="7546" spans="24:25" x14ac:dyDescent="0.3">
      <c r="X7546" s="1">
        <f t="shared" si="234"/>
        <v>0</v>
      </c>
      <c r="Y7546" s="1">
        <f t="shared" si="235"/>
        <v>15</v>
      </c>
    </row>
    <row r="7547" spans="24:25" x14ac:dyDescent="0.3">
      <c r="X7547" s="1">
        <f t="shared" si="234"/>
        <v>0</v>
      </c>
      <c r="Y7547" s="1">
        <f t="shared" si="235"/>
        <v>15</v>
      </c>
    </row>
    <row r="7548" spans="24:25" x14ac:dyDescent="0.3">
      <c r="X7548" s="1">
        <f t="shared" si="234"/>
        <v>0</v>
      </c>
      <c r="Y7548" s="1">
        <f t="shared" si="235"/>
        <v>15</v>
      </c>
    </row>
    <row r="7549" spans="24:25" x14ac:dyDescent="0.3">
      <c r="X7549" s="1">
        <f t="shared" si="234"/>
        <v>0</v>
      </c>
      <c r="Y7549" s="1">
        <f t="shared" si="235"/>
        <v>15</v>
      </c>
    </row>
    <row r="7550" spans="24:25" x14ac:dyDescent="0.3">
      <c r="X7550" s="1">
        <f t="shared" si="234"/>
        <v>0</v>
      </c>
      <c r="Y7550" s="1">
        <f t="shared" si="235"/>
        <v>15</v>
      </c>
    </row>
    <row r="7551" spans="24:25" x14ac:dyDescent="0.3">
      <c r="X7551" s="1">
        <f t="shared" si="234"/>
        <v>0</v>
      </c>
      <c r="Y7551" s="1">
        <f t="shared" si="235"/>
        <v>15</v>
      </c>
    </row>
    <row r="7552" spans="24:25" x14ac:dyDescent="0.3">
      <c r="X7552" s="1">
        <f t="shared" si="234"/>
        <v>0</v>
      </c>
      <c r="Y7552" s="1">
        <f t="shared" si="235"/>
        <v>15</v>
      </c>
    </row>
    <row r="7553" spans="24:25" x14ac:dyDescent="0.3">
      <c r="X7553" s="1">
        <f t="shared" si="234"/>
        <v>0</v>
      </c>
      <c r="Y7553" s="1">
        <f t="shared" si="235"/>
        <v>15</v>
      </c>
    </row>
    <row r="7554" spans="24:25" x14ac:dyDescent="0.3">
      <c r="X7554" s="1">
        <f t="shared" si="234"/>
        <v>0</v>
      </c>
      <c r="Y7554" s="1">
        <f t="shared" si="235"/>
        <v>15</v>
      </c>
    </row>
    <row r="7555" spans="24:25" x14ac:dyDescent="0.3">
      <c r="X7555" s="1">
        <f t="shared" ref="X7555:X7618" si="236">IFERROR(MATCH(W7555,$B:$B,0),0)</f>
        <v>0</v>
      </c>
      <c r="Y7555" s="1">
        <f t="shared" ref="Y7555:Y7618" si="237">IF(X7556=0,COUNTA(A:A),X7556-1)</f>
        <v>15</v>
      </c>
    </row>
    <row r="7556" spans="24:25" x14ac:dyDescent="0.3">
      <c r="X7556" s="1">
        <f t="shared" si="236"/>
        <v>0</v>
      </c>
      <c r="Y7556" s="1">
        <f t="shared" si="237"/>
        <v>15</v>
      </c>
    </row>
    <row r="7557" spans="24:25" x14ac:dyDescent="0.3">
      <c r="X7557" s="1">
        <f t="shared" si="236"/>
        <v>0</v>
      </c>
      <c r="Y7557" s="1">
        <f t="shared" si="237"/>
        <v>15</v>
      </c>
    </row>
    <row r="7558" spans="24:25" x14ac:dyDescent="0.3">
      <c r="X7558" s="1">
        <f t="shared" si="236"/>
        <v>0</v>
      </c>
      <c r="Y7558" s="1">
        <f t="shared" si="237"/>
        <v>15</v>
      </c>
    </row>
    <row r="7559" spans="24:25" x14ac:dyDescent="0.3">
      <c r="X7559" s="1">
        <f t="shared" si="236"/>
        <v>0</v>
      </c>
      <c r="Y7559" s="1">
        <f t="shared" si="237"/>
        <v>15</v>
      </c>
    </row>
    <row r="7560" spans="24:25" x14ac:dyDescent="0.3">
      <c r="X7560" s="1">
        <f t="shared" si="236"/>
        <v>0</v>
      </c>
      <c r="Y7560" s="1">
        <f t="shared" si="237"/>
        <v>15</v>
      </c>
    </row>
    <row r="7561" spans="24:25" x14ac:dyDescent="0.3">
      <c r="X7561" s="1">
        <f t="shared" si="236"/>
        <v>0</v>
      </c>
      <c r="Y7561" s="1">
        <f t="shared" si="237"/>
        <v>15</v>
      </c>
    </row>
    <row r="7562" spans="24:25" x14ac:dyDescent="0.3">
      <c r="X7562" s="1">
        <f t="shared" si="236"/>
        <v>0</v>
      </c>
      <c r="Y7562" s="1">
        <f t="shared" si="237"/>
        <v>15</v>
      </c>
    </row>
    <row r="7563" spans="24:25" x14ac:dyDescent="0.3">
      <c r="X7563" s="1">
        <f t="shared" si="236"/>
        <v>0</v>
      </c>
      <c r="Y7563" s="1">
        <f t="shared" si="237"/>
        <v>15</v>
      </c>
    </row>
    <row r="7564" spans="24:25" x14ac:dyDescent="0.3">
      <c r="X7564" s="1">
        <f t="shared" si="236"/>
        <v>0</v>
      </c>
      <c r="Y7564" s="1">
        <f t="shared" si="237"/>
        <v>15</v>
      </c>
    </row>
    <row r="7565" spans="24:25" x14ac:dyDescent="0.3">
      <c r="X7565" s="1">
        <f t="shared" si="236"/>
        <v>0</v>
      </c>
      <c r="Y7565" s="1">
        <f t="shared" si="237"/>
        <v>15</v>
      </c>
    </row>
    <row r="7566" spans="24:25" x14ac:dyDescent="0.3">
      <c r="X7566" s="1">
        <f t="shared" si="236"/>
        <v>0</v>
      </c>
      <c r="Y7566" s="1">
        <f t="shared" si="237"/>
        <v>15</v>
      </c>
    </row>
    <row r="7567" spans="24:25" x14ac:dyDescent="0.3">
      <c r="X7567" s="1">
        <f t="shared" si="236"/>
        <v>0</v>
      </c>
      <c r="Y7567" s="1">
        <f t="shared" si="237"/>
        <v>15</v>
      </c>
    </row>
    <row r="7568" spans="24:25" x14ac:dyDescent="0.3">
      <c r="X7568" s="1">
        <f t="shared" si="236"/>
        <v>0</v>
      </c>
      <c r="Y7568" s="1">
        <f t="shared" si="237"/>
        <v>15</v>
      </c>
    </row>
    <row r="7569" spans="24:25" x14ac:dyDescent="0.3">
      <c r="X7569" s="1">
        <f t="shared" si="236"/>
        <v>0</v>
      </c>
      <c r="Y7569" s="1">
        <f t="shared" si="237"/>
        <v>15</v>
      </c>
    </row>
    <row r="7570" spans="24:25" x14ac:dyDescent="0.3">
      <c r="X7570" s="1">
        <f t="shared" si="236"/>
        <v>0</v>
      </c>
      <c r="Y7570" s="1">
        <f t="shared" si="237"/>
        <v>15</v>
      </c>
    </row>
    <row r="7571" spans="24:25" x14ac:dyDescent="0.3">
      <c r="X7571" s="1">
        <f t="shared" si="236"/>
        <v>0</v>
      </c>
      <c r="Y7571" s="1">
        <f t="shared" si="237"/>
        <v>15</v>
      </c>
    </row>
    <row r="7572" spans="24:25" x14ac:dyDescent="0.3">
      <c r="X7572" s="1">
        <f t="shared" si="236"/>
        <v>0</v>
      </c>
      <c r="Y7572" s="1">
        <f t="shared" si="237"/>
        <v>15</v>
      </c>
    </row>
    <row r="7573" spans="24:25" x14ac:dyDescent="0.3">
      <c r="X7573" s="1">
        <f t="shared" si="236"/>
        <v>0</v>
      </c>
      <c r="Y7573" s="1">
        <f t="shared" si="237"/>
        <v>15</v>
      </c>
    </row>
    <row r="7574" spans="24:25" x14ac:dyDescent="0.3">
      <c r="X7574" s="1">
        <f t="shared" si="236"/>
        <v>0</v>
      </c>
      <c r="Y7574" s="1">
        <f t="shared" si="237"/>
        <v>15</v>
      </c>
    </row>
    <row r="7575" spans="24:25" x14ac:dyDescent="0.3">
      <c r="X7575" s="1">
        <f t="shared" si="236"/>
        <v>0</v>
      </c>
      <c r="Y7575" s="1">
        <f t="shared" si="237"/>
        <v>15</v>
      </c>
    </row>
    <row r="7576" spans="24:25" x14ac:dyDescent="0.3">
      <c r="X7576" s="1">
        <f t="shared" si="236"/>
        <v>0</v>
      </c>
      <c r="Y7576" s="1">
        <f t="shared" si="237"/>
        <v>15</v>
      </c>
    </row>
    <row r="7577" spans="24:25" x14ac:dyDescent="0.3">
      <c r="X7577" s="1">
        <f t="shared" si="236"/>
        <v>0</v>
      </c>
      <c r="Y7577" s="1">
        <f t="shared" si="237"/>
        <v>15</v>
      </c>
    </row>
    <row r="7578" spans="24:25" x14ac:dyDescent="0.3">
      <c r="X7578" s="1">
        <f t="shared" si="236"/>
        <v>0</v>
      </c>
      <c r="Y7578" s="1">
        <f t="shared" si="237"/>
        <v>15</v>
      </c>
    </row>
    <row r="7579" spans="24:25" x14ac:dyDescent="0.3">
      <c r="X7579" s="1">
        <f t="shared" si="236"/>
        <v>0</v>
      </c>
      <c r="Y7579" s="1">
        <f t="shared" si="237"/>
        <v>15</v>
      </c>
    </row>
    <row r="7580" spans="24:25" x14ac:dyDescent="0.3">
      <c r="X7580" s="1">
        <f t="shared" si="236"/>
        <v>0</v>
      </c>
      <c r="Y7580" s="1">
        <f t="shared" si="237"/>
        <v>15</v>
      </c>
    </row>
    <row r="7581" spans="24:25" x14ac:dyDescent="0.3">
      <c r="X7581" s="1">
        <f t="shared" si="236"/>
        <v>0</v>
      </c>
      <c r="Y7581" s="1">
        <f t="shared" si="237"/>
        <v>15</v>
      </c>
    </row>
    <row r="7582" spans="24:25" x14ac:dyDescent="0.3">
      <c r="X7582" s="1">
        <f t="shared" si="236"/>
        <v>0</v>
      </c>
      <c r="Y7582" s="1">
        <f t="shared" si="237"/>
        <v>15</v>
      </c>
    </row>
    <row r="7583" spans="24:25" x14ac:dyDescent="0.3">
      <c r="X7583" s="1">
        <f t="shared" si="236"/>
        <v>0</v>
      </c>
      <c r="Y7583" s="1">
        <f t="shared" si="237"/>
        <v>15</v>
      </c>
    </row>
    <row r="7584" spans="24:25" x14ac:dyDescent="0.3">
      <c r="X7584" s="1">
        <f t="shared" si="236"/>
        <v>0</v>
      </c>
      <c r="Y7584" s="1">
        <f t="shared" si="237"/>
        <v>15</v>
      </c>
    </row>
    <row r="7585" spans="24:25" x14ac:dyDescent="0.3">
      <c r="X7585" s="1">
        <f t="shared" si="236"/>
        <v>0</v>
      </c>
      <c r="Y7585" s="1">
        <f t="shared" si="237"/>
        <v>15</v>
      </c>
    </row>
    <row r="7586" spans="24:25" x14ac:dyDescent="0.3">
      <c r="X7586" s="1">
        <f t="shared" si="236"/>
        <v>0</v>
      </c>
      <c r="Y7586" s="1">
        <f t="shared" si="237"/>
        <v>15</v>
      </c>
    </row>
    <row r="7587" spans="24:25" x14ac:dyDescent="0.3">
      <c r="X7587" s="1">
        <f t="shared" si="236"/>
        <v>0</v>
      </c>
      <c r="Y7587" s="1">
        <f t="shared" si="237"/>
        <v>15</v>
      </c>
    </row>
    <row r="7588" spans="24:25" x14ac:dyDescent="0.3">
      <c r="X7588" s="1">
        <f t="shared" si="236"/>
        <v>0</v>
      </c>
      <c r="Y7588" s="1">
        <f t="shared" si="237"/>
        <v>15</v>
      </c>
    </row>
    <row r="7589" spans="24:25" x14ac:dyDescent="0.3">
      <c r="X7589" s="1">
        <f t="shared" si="236"/>
        <v>0</v>
      </c>
      <c r="Y7589" s="1">
        <f t="shared" si="237"/>
        <v>15</v>
      </c>
    </row>
    <row r="7590" spans="24:25" x14ac:dyDescent="0.3">
      <c r="X7590" s="1">
        <f t="shared" si="236"/>
        <v>0</v>
      </c>
      <c r="Y7590" s="1">
        <f t="shared" si="237"/>
        <v>15</v>
      </c>
    </row>
    <row r="7591" spans="24:25" x14ac:dyDescent="0.3">
      <c r="X7591" s="1">
        <f t="shared" si="236"/>
        <v>0</v>
      </c>
      <c r="Y7591" s="1">
        <f t="shared" si="237"/>
        <v>15</v>
      </c>
    </row>
    <row r="7592" spans="24:25" x14ac:dyDescent="0.3">
      <c r="X7592" s="1">
        <f t="shared" si="236"/>
        <v>0</v>
      </c>
      <c r="Y7592" s="1">
        <f t="shared" si="237"/>
        <v>15</v>
      </c>
    </row>
    <row r="7593" spans="24:25" x14ac:dyDescent="0.3">
      <c r="X7593" s="1">
        <f t="shared" si="236"/>
        <v>0</v>
      </c>
      <c r="Y7593" s="1">
        <f t="shared" si="237"/>
        <v>15</v>
      </c>
    </row>
    <row r="7594" spans="24:25" x14ac:dyDescent="0.3">
      <c r="X7594" s="1">
        <f t="shared" si="236"/>
        <v>0</v>
      </c>
      <c r="Y7594" s="1">
        <f t="shared" si="237"/>
        <v>15</v>
      </c>
    </row>
    <row r="7595" spans="24:25" x14ac:dyDescent="0.3">
      <c r="X7595" s="1">
        <f t="shared" si="236"/>
        <v>0</v>
      </c>
      <c r="Y7595" s="1">
        <f t="shared" si="237"/>
        <v>15</v>
      </c>
    </row>
    <row r="7596" spans="24:25" x14ac:dyDescent="0.3">
      <c r="X7596" s="1">
        <f t="shared" si="236"/>
        <v>0</v>
      </c>
      <c r="Y7596" s="1">
        <f t="shared" si="237"/>
        <v>15</v>
      </c>
    </row>
    <row r="7597" spans="24:25" x14ac:dyDescent="0.3">
      <c r="X7597" s="1">
        <f t="shared" si="236"/>
        <v>0</v>
      </c>
      <c r="Y7597" s="1">
        <f t="shared" si="237"/>
        <v>15</v>
      </c>
    </row>
    <row r="7598" spans="24:25" x14ac:dyDescent="0.3">
      <c r="X7598" s="1">
        <f t="shared" si="236"/>
        <v>0</v>
      </c>
      <c r="Y7598" s="1">
        <f t="shared" si="237"/>
        <v>15</v>
      </c>
    </row>
    <row r="7599" spans="24:25" x14ac:dyDescent="0.3">
      <c r="X7599" s="1">
        <f t="shared" si="236"/>
        <v>0</v>
      </c>
      <c r="Y7599" s="1">
        <f t="shared" si="237"/>
        <v>15</v>
      </c>
    </row>
    <row r="7600" spans="24:25" x14ac:dyDescent="0.3">
      <c r="X7600" s="1">
        <f t="shared" si="236"/>
        <v>0</v>
      </c>
      <c r="Y7600" s="1">
        <f t="shared" si="237"/>
        <v>15</v>
      </c>
    </row>
    <row r="7601" spans="24:25" x14ac:dyDescent="0.3">
      <c r="X7601" s="1">
        <f t="shared" si="236"/>
        <v>0</v>
      </c>
      <c r="Y7601" s="1">
        <f t="shared" si="237"/>
        <v>15</v>
      </c>
    </row>
    <row r="7602" spans="24:25" x14ac:dyDescent="0.3">
      <c r="X7602" s="1">
        <f t="shared" si="236"/>
        <v>0</v>
      </c>
      <c r="Y7602" s="1">
        <f t="shared" si="237"/>
        <v>15</v>
      </c>
    </row>
    <row r="7603" spans="24:25" x14ac:dyDescent="0.3">
      <c r="X7603" s="1">
        <f t="shared" si="236"/>
        <v>0</v>
      </c>
      <c r="Y7603" s="1">
        <f t="shared" si="237"/>
        <v>15</v>
      </c>
    </row>
    <row r="7604" spans="24:25" x14ac:dyDescent="0.3">
      <c r="X7604" s="1">
        <f t="shared" si="236"/>
        <v>0</v>
      </c>
      <c r="Y7604" s="1">
        <f t="shared" si="237"/>
        <v>15</v>
      </c>
    </row>
    <row r="7605" spans="24:25" x14ac:dyDescent="0.3">
      <c r="X7605" s="1">
        <f t="shared" si="236"/>
        <v>0</v>
      </c>
      <c r="Y7605" s="1">
        <f t="shared" si="237"/>
        <v>15</v>
      </c>
    </row>
    <row r="7606" spans="24:25" x14ac:dyDescent="0.3">
      <c r="X7606" s="1">
        <f t="shared" si="236"/>
        <v>0</v>
      </c>
      <c r="Y7606" s="1">
        <f t="shared" si="237"/>
        <v>15</v>
      </c>
    </row>
    <row r="7607" spans="24:25" x14ac:dyDescent="0.3">
      <c r="X7607" s="1">
        <f t="shared" si="236"/>
        <v>0</v>
      </c>
      <c r="Y7607" s="1">
        <f t="shared" si="237"/>
        <v>15</v>
      </c>
    </row>
    <row r="7608" spans="24:25" x14ac:dyDescent="0.3">
      <c r="X7608" s="1">
        <f t="shared" si="236"/>
        <v>0</v>
      </c>
      <c r="Y7608" s="1">
        <f t="shared" si="237"/>
        <v>15</v>
      </c>
    </row>
    <row r="7609" spans="24:25" x14ac:dyDescent="0.3">
      <c r="X7609" s="1">
        <f t="shared" si="236"/>
        <v>0</v>
      </c>
      <c r="Y7609" s="1">
        <f t="shared" si="237"/>
        <v>15</v>
      </c>
    </row>
    <row r="7610" spans="24:25" x14ac:dyDescent="0.3">
      <c r="X7610" s="1">
        <f t="shared" si="236"/>
        <v>0</v>
      </c>
      <c r="Y7610" s="1">
        <f t="shared" si="237"/>
        <v>15</v>
      </c>
    </row>
    <row r="7611" spans="24:25" x14ac:dyDescent="0.3">
      <c r="X7611" s="1">
        <f t="shared" si="236"/>
        <v>0</v>
      </c>
      <c r="Y7611" s="1">
        <f t="shared" si="237"/>
        <v>15</v>
      </c>
    </row>
    <row r="7612" spans="24:25" x14ac:dyDescent="0.3">
      <c r="X7612" s="1">
        <f t="shared" si="236"/>
        <v>0</v>
      </c>
      <c r="Y7612" s="1">
        <f t="shared" si="237"/>
        <v>15</v>
      </c>
    </row>
    <row r="7613" spans="24:25" x14ac:dyDescent="0.3">
      <c r="X7613" s="1">
        <f t="shared" si="236"/>
        <v>0</v>
      </c>
      <c r="Y7613" s="1">
        <f t="shared" si="237"/>
        <v>15</v>
      </c>
    </row>
    <row r="7614" spans="24:25" x14ac:dyDescent="0.3">
      <c r="X7614" s="1">
        <f t="shared" si="236"/>
        <v>0</v>
      </c>
      <c r="Y7614" s="1">
        <f t="shared" si="237"/>
        <v>15</v>
      </c>
    </row>
    <row r="7615" spans="24:25" x14ac:dyDescent="0.3">
      <c r="X7615" s="1">
        <f t="shared" si="236"/>
        <v>0</v>
      </c>
      <c r="Y7615" s="1">
        <f t="shared" si="237"/>
        <v>15</v>
      </c>
    </row>
    <row r="7616" spans="24:25" x14ac:dyDescent="0.3">
      <c r="X7616" s="1">
        <f t="shared" si="236"/>
        <v>0</v>
      </c>
      <c r="Y7616" s="1">
        <f t="shared" si="237"/>
        <v>15</v>
      </c>
    </row>
    <row r="7617" spans="24:25" x14ac:dyDescent="0.3">
      <c r="X7617" s="1">
        <f t="shared" si="236"/>
        <v>0</v>
      </c>
      <c r="Y7617" s="1">
        <f t="shared" si="237"/>
        <v>15</v>
      </c>
    </row>
    <row r="7618" spans="24:25" x14ac:dyDescent="0.3">
      <c r="X7618" s="1">
        <f t="shared" si="236"/>
        <v>0</v>
      </c>
      <c r="Y7618" s="1">
        <f t="shared" si="237"/>
        <v>15</v>
      </c>
    </row>
    <row r="7619" spans="24:25" x14ac:dyDescent="0.3">
      <c r="X7619" s="1">
        <f t="shared" ref="X7619:X7682" si="238">IFERROR(MATCH(W7619,$B:$B,0),0)</f>
        <v>0</v>
      </c>
      <c r="Y7619" s="1">
        <f t="shared" ref="Y7619:Y7682" si="239">IF(X7620=0,COUNTA(A:A),X7620-1)</f>
        <v>15</v>
      </c>
    </row>
    <row r="7620" spans="24:25" x14ac:dyDescent="0.3">
      <c r="X7620" s="1">
        <f t="shared" si="238"/>
        <v>0</v>
      </c>
      <c r="Y7620" s="1">
        <f t="shared" si="239"/>
        <v>15</v>
      </c>
    </row>
    <row r="7621" spans="24:25" x14ac:dyDescent="0.3">
      <c r="X7621" s="1">
        <f t="shared" si="238"/>
        <v>0</v>
      </c>
      <c r="Y7621" s="1">
        <f t="shared" si="239"/>
        <v>15</v>
      </c>
    </row>
    <row r="7622" spans="24:25" x14ac:dyDescent="0.3">
      <c r="X7622" s="1">
        <f t="shared" si="238"/>
        <v>0</v>
      </c>
      <c r="Y7622" s="1">
        <f t="shared" si="239"/>
        <v>15</v>
      </c>
    </row>
    <row r="7623" spans="24:25" x14ac:dyDescent="0.3">
      <c r="X7623" s="1">
        <f t="shared" si="238"/>
        <v>0</v>
      </c>
      <c r="Y7623" s="1">
        <f t="shared" si="239"/>
        <v>15</v>
      </c>
    </row>
    <row r="7624" spans="24:25" x14ac:dyDescent="0.3">
      <c r="X7624" s="1">
        <f t="shared" si="238"/>
        <v>0</v>
      </c>
      <c r="Y7624" s="1">
        <f t="shared" si="239"/>
        <v>15</v>
      </c>
    </row>
    <row r="7625" spans="24:25" x14ac:dyDescent="0.3">
      <c r="X7625" s="1">
        <f t="shared" si="238"/>
        <v>0</v>
      </c>
      <c r="Y7625" s="1">
        <f t="shared" si="239"/>
        <v>15</v>
      </c>
    </row>
    <row r="7626" spans="24:25" x14ac:dyDescent="0.3">
      <c r="X7626" s="1">
        <f t="shared" si="238"/>
        <v>0</v>
      </c>
      <c r="Y7626" s="1">
        <f t="shared" si="239"/>
        <v>15</v>
      </c>
    </row>
    <row r="7627" spans="24:25" x14ac:dyDescent="0.3">
      <c r="X7627" s="1">
        <f t="shared" si="238"/>
        <v>0</v>
      </c>
      <c r="Y7627" s="1">
        <f t="shared" si="239"/>
        <v>15</v>
      </c>
    </row>
    <row r="7628" spans="24:25" x14ac:dyDescent="0.3">
      <c r="X7628" s="1">
        <f t="shared" si="238"/>
        <v>0</v>
      </c>
      <c r="Y7628" s="1">
        <f t="shared" si="239"/>
        <v>15</v>
      </c>
    </row>
    <row r="7629" spans="24:25" x14ac:dyDescent="0.3">
      <c r="X7629" s="1">
        <f t="shared" si="238"/>
        <v>0</v>
      </c>
      <c r="Y7629" s="1">
        <f t="shared" si="239"/>
        <v>15</v>
      </c>
    </row>
    <row r="7630" spans="24:25" x14ac:dyDescent="0.3">
      <c r="X7630" s="1">
        <f t="shared" si="238"/>
        <v>0</v>
      </c>
      <c r="Y7630" s="1">
        <f t="shared" si="239"/>
        <v>15</v>
      </c>
    </row>
    <row r="7631" spans="24:25" x14ac:dyDescent="0.3">
      <c r="X7631" s="1">
        <f t="shared" si="238"/>
        <v>0</v>
      </c>
      <c r="Y7631" s="1">
        <f t="shared" si="239"/>
        <v>15</v>
      </c>
    </row>
    <row r="7632" spans="24:25" x14ac:dyDescent="0.3">
      <c r="X7632" s="1">
        <f t="shared" si="238"/>
        <v>0</v>
      </c>
      <c r="Y7632" s="1">
        <f t="shared" si="239"/>
        <v>15</v>
      </c>
    </row>
    <row r="7633" spans="24:25" x14ac:dyDescent="0.3">
      <c r="X7633" s="1">
        <f t="shared" si="238"/>
        <v>0</v>
      </c>
      <c r="Y7633" s="1">
        <f t="shared" si="239"/>
        <v>15</v>
      </c>
    </row>
    <row r="7634" spans="24:25" x14ac:dyDescent="0.3">
      <c r="X7634" s="1">
        <f t="shared" si="238"/>
        <v>0</v>
      </c>
      <c r="Y7634" s="1">
        <f t="shared" si="239"/>
        <v>15</v>
      </c>
    </row>
    <row r="7635" spans="24:25" x14ac:dyDescent="0.3">
      <c r="X7635" s="1">
        <f t="shared" si="238"/>
        <v>0</v>
      </c>
      <c r="Y7635" s="1">
        <f t="shared" si="239"/>
        <v>15</v>
      </c>
    </row>
    <row r="7636" spans="24:25" x14ac:dyDescent="0.3">
      <c r="X7636" s="1">
        <f t="shared" si="238"/>
        <v>0</v>
      </c>
      <c r="Y7636" s="1">
        <f t="shared" si="239"/>
        <v>15</v>
      </c>
    </row>
    <row r="7637" spans="24:25" x14ac:dyDescent="0.3">
      <c r="X7637" s="1">
        <f t="shared" si="238"/>
        <v>0</v>
      </c>
      <c r="Y7637" s="1">
        <f t="shared" si="239"/>
        <v>15</v>
      </c>
    </row>
    <row r="7638" spans="24:25" x14ac:dyDescent="0.3">
      <c r="X7638" s="1">
        <f t="shared" si="238"/>
        <v>0</v>
      </c>
      <c r="Y7638" s="1">
        <f t="shared" si="239"/>
        <v>15</v>
      </c>
    </row>
    <row r="7639" spans="24:25" x14ac:dyDescent="0.3">
      <c r="X7639" s="1">
        <f t="shared" si="238"/>
        <v>0</v>
      </c>
      <c r="Y7639" s="1">
        <f t="shared" si="239"/>
        <v>15</v>
      </c>
    </row>
    <row r="7640" spans="24:25" x14ac:dyDescent="0.3">
      <c r="X7640" s="1">
        <f t="shared" si="238"/>
        <v>0</v>
      </c>
      <c r="Y7640" s="1">
        <f t="shared" si="239"/>
        <v>15</v>
      </c>
    </row>
    <row r="7641" spans="24:25" x14ac:dyDescent="0.3">
      <c r="X7641" s="1">
        <f t="shared" si="238"/>
        <v>0</v>
      </c>
      <c r="Y7641" s="1">
        <f t="shared" si="239"/>
        <v>15</v>
      </c>
    </row>
    <row r="7642" spans="24:25" x14ac:dyDescent="0.3">
      <c r="X7642" s="1">
        <f t="shared" si="238"/>
        <v>0</v>
      </c>
      <c r="Y7642" s="1">
        <f t="shared" si="239"/>
        <v>15</v>
      </c>
    </row>
    <row r="7643" spans="24:25" x14ac:dyDescent="0.3">
      <c r="X7643" s="1">
        <f t="shared" si="238"/>
        <v>0</v>
      </c>
      <c r="Y7643" s="1">
        <f t="shared" si="239"/>
        <v>15</v>
      </c>
    </row>
    <row r="7644" spans="24:25" x14ac:dyDescent="0.3">
      <c r="X7644" s="1">
        <f t="shared" si="238"/>
        <v>0</v>
      </c>
      <c r="Y7644" s="1">
        <f t="shared" si="239"/>
        <v>15</v>
      </c>
    </row>
    <row r="7645" spans="24:25" x14ac:dyDescent="0.3">
      <c r="X7645" s="1">
        <f t="shared" si="238"/>
        <v>0</v>
      </c>
      <c r="Y7645" s="1">
        <f t="shared" si="239"/>
        <v>15</v>
      </c>
    </row>
    <row r="7646" spans="24:25" x14ac:dyDescent="0.3">
      <c r="X7646" s="1">
        <f t="shared" si="238"/>
        <v>0</v>
      </c>
      <c r="Y7646" s="1">
        <f t="shared" si="239"/>
        <v>15</v>
      </c>
    </row>
    <row r="7647" spans="24:25" x14ac:dyDescent="0.3">
      <c r="X7647" s="1">
        <f t="shared" si="238"/>
        <v>0</v>
      </c>
      <c r="Y7647" s="1">
        <f t="shared" si="239"/>
        <v>15</v>
      </c>
    </row>
    <row r="7648" spans="24:25" x14ac:dyDescent="0.3">
      <c r="X7648" s="1">
        <f t="shared" si="238"/>
        <v>0</v>
      </c>
      <c r="Y7648" s="1">
        <f t="shared" si="239"/>
        <v>15</v>
      </c>
    </row>
    <row r="7649" spans="24:25" x14ac:dyDescent="0.3">
      <c r="X7649" s="1">
        <f t="shared" si="238"/>
        <v>0</v>
      </c>
      <c r="Y7649" s="1">
        <f t="shared" si="239"/>
        <v>15</v>
      </c>
    </row>
    <row r="7650" spans="24:25" x14ac:dyDescent="0.3">
      <c r="X7650" s="1">
        <f t="shared" si="238"/>
        <v>0</v>
      </c>
      <c r="Y7650" s="1">
        <f t="shared" si="239"/>
        <v>15</v>
      </c>
    </row>
    <row r="7651" spans="24:25" x14ac:dyDescent="0.3">
      <c r="X7651" s="1">
        <f t="shared" si="238"/>
        <v>0</v>
      </c>
      <c r="Y7651" s="1">
        <f t="shared" si="239"/>
        <v>15</v>
      </c>
    </row>
    <row r="7652" spans="24:25" x14ac:dyDescent="0.3">
      <c r="X7652" s="1">
        <f t="shared" si="238"/>
        <v>0</v>
      </c>
      <c r="Y7652" s="1">
        <f t="shared" si="239"/>
        <v>15</v>
      </c>
    </row>
    <row r="7653" spans="24:25" x14ac:dyDescent="0.3">
      <c r="X7653" s="1">
        <f t="shared" si="238"/>
        <v>0</v>
      </c>
      <c r="Y7653" s="1">
        <f t="shared" si="239"/>
        <v>15</v>
      </c>
    </row>
    <row r="7654" spans="24:25" x14ac:dyDescent="0.3">
      <c r="X7654" s="1">
        <f t="shared" si="238"/>
        <v>0</v>
      </c>
      <c r="Y7654" s="1">
        <f t="shared" si="239"/>
        <v>15</v>
      </c>
    </row>
    <row r="7655" spans="24:25" x14ac:dyDescent="0.3">
      <c r="X7655" s="1">
        <f t="shared" si="238"/>
        <v>0</v>
      </c>
      <c r="Y7655" s="1">
        <f t="shared" si="239"/>
        <v>15</v>
      </c>
    </row>
    <row r="7656" spans="24:25" x14ac:dyDescent="0.3">
      <c r="X7656" s="1">
        <f t="shared" si="238"/>
        <v>0</v>
      </c>
      <c r="Y7656" s="1">
        <f t="shared" si="239"/>
        <v>15</v>
      </c>
    </row>
    <row r="7657" spans="24:25" x14ac:dyDescent="0.3">
      <c r="X7657" s="1">
        <f t="shared" si="238"/>
        <v>0</v>
      </c>
      <c r="Y7657" s="1">
        <f t="shared" si="239"/>
        <v>15</v>
      </c>
    </row>
    <row r="7658" spans="24:25" x14ac:dyDescent="0.3">
      <c r="X7658" s="1">
        <f t="shared" si="238"/>
        <v>0</v>
      </c>
      <c r="Y7658" s="1">
        <f t="shared" si="239"/>
        <v>15</v>
      </c>
    </row>
    <row r="7659" spans="24:25" x14ac:dyDescent="0.3">
      <c r="X7659" s="1">
        <f t="shared" si="238"/>
        <v>0</v>
      </c>
      <c r="Y7659" s="1">
        <f t="shared" si="239"/>
        <v>15</v>
      </c>
    </row>
    <row r="7660" spans="24:25" x14ac:dyDescent="0.3">
      <c r="X7660" s="1">
        <f t="shared" si="238"/>
        <v>0</v>
      </c>
      <c r="Y7660" s="1">
        <f t="shared" si="239"/>
        <v>15</v>
      </c>
    </row>
    <row r="7661" spans="24:25" x14ac:dyDescent="0.3">
      <c r="X7661" s="1">
        <f t="shared" si="238"/>
        <v>0</v>
      </c>
      <c r="Y7661" s="1">
        <f t="shared" si="239"/>
        <v>15</v>
      </c>
    </row>
    <row r="7662" spans="24:25" x14ac:dyDescent="0.3">
      <c r="X7662" s="1">
        <f t="shared" si="238"/>
        <v>0</v>
      </c>
      <c r="Y7662" s="1">
        <f t="shared" si="239"/>
        <v>15</v>
      </c>
    </row>
    <row r="7663" spans="24:25" x14ac:dyDescent="0.3">
      <c r="X7663" s="1">
        <f t="shared" si="238"/>
        <v>0</v>
      </c>
      <c r="Y7663" s="1">
        <f t="shared" si="239"/>
        <v>15</v>
      </c>
    </row>
    <row r="7664" spans="24:25" x14ac:dyDescent="0.3">
      <c r="X7664" s="1">
        <f t="shared" si="238"/>
        <v>0</v>
      </c>
      <c r="Y7664" s="1">
        <f t="shared" si="239"/>
        <v>15</v>
      </c>
    </row>
    <row r="7665" spans="24:25" x14ac:dyDescent="0.3">
      <c r="X7665" s="1">
        <f t="shared" si="238"/>
        <v>0</v>
      </c>
      <c r="Y7665" s="1">
        <f t="shared" si="239"/>
        <v>15</v>
      </c>
    </row>
    <row r="7666" spans="24:25" x14ac:dyDescent="0.3">
      <c r="X7666" s="1">
        <f t="shared" si="238"/>
        <v>0</v>
      </c>
      <c r="Y7666" s="1">
        <f t="shared" si="239"/>
        <v>15</v>
      </c>
    </row>
    <row r="7667" spans="24:25" x14ac:dyDescent="0.3">
      <c r="X7667" s="1">
        <f t="shared" si="238"/>
        <v>0</v>
      </c>
      <c r="Y7667" s="1">
        <f t="shared" si="239"/>
        <v>15</v>
      </c>
    </row>
    <row r="7668" spans="24:25" x14ac:dyDescent="0.3">
      <c r="X7668" s="1">
        <f t="shared" si="238"/>
        <v>0</v>
      </c>
      <c r="Y7668" s="1">
        <f t="shared" si="239"/>
        <v>15</v>
      </c>
    </row>
    <row r="7669" spans="24:25" x14ac:dyDescent="0.3">
      <c r="X7669" s="1">
        <f t="shared" si="238"/>
        <v>0</v>
      </c>
      <c r="Y7669" s="1">
        <f t="shared" si="239"/>
        <v>15</v>
      </c>
    </row>
    <row r="7670" spans="24:25" x14ac:dyDescent="0.3">
      <c r="X7670" s="1">
        <f t="shared" si="238"/>
        <v>0</v>
      </c>
      <c r="Y7670" s="1">
        <f t="shared" si="239"/>
        <v>15</v>
      </c>
    </row>
    <row r="7671" spans="24:25" x14ac:dyDescent="0.3">
      <c r="X7671" s="1">
        <f t="shared" si="238"/>
        <v>0</v>
      </c>
      <c r="Y7671" s="1">
        <f t="shared" si="239"/>
        <v>15</v>
      </c>
    </row>
    <row r="7672" spans="24:25" x14ac:dyDescent="0.3">
      <c r="X7672" s="1">
        <f t="shared" si="238"/>
        <v>0</v>
      </c>
      <c r="Y7672" s="1">
        <f t="shared" si="239"/>
        <v>15</v>
      </c>
    </row>
    <row r="7673" spans="24:25" x14ac:dyDescent="0.3">
      <c r="X7673" s="1">
        <f t="shared" si="238"/>
        <v>0</v>
      </c>
      <c r="Y7673" s="1">
        <f t="shared" si="239"/>
        <v>15</v>
      </c>
    </row>
    <row r="7674" spans="24:25" x14ac:dyDescent="0.3">
      <c r="X7674" s="1">
        <f t="shared" si="238"/>
        <v>0</v>
      </c>
      <c r="Y7674" s="1">
        <f t="shared" si="239"/>
        <v>15</v>
      </c>
    </row>
    <row r="7675" spans="24:25" x14ac:dyDescent="0.3">
      <c r="X7675" s="1">
        <f t="shared" si="238"/>
        <v>0</v>
      </c>
      <c r="Y7675" s="1">
        <f t="shared" si="239"/>
        <v>15</v>
      </c>
    </row>
    <row r="7676" spans="24:25" x14ac:dyDescent="0.3">
      <c r="X7676" s="1">
        <f t="shared" si="238"/>
        <v>0</v>
      </c>
      <c r="Y7676" s="1">
        <f t="shared" si="239"/>
        <v>15</v>
      </c>
    </row>
    <row r="7677" spans="24:25" x14ac:dyDescent="0.3">
      <c r="X7677" s="1">
        <f t="shared" si="238"/>
        <v>0</v>
      </c>
      <c r="Y7677" s="1">
        <f t="shared" si="239"/>
        <v>15</v>
      </c>
    </row>
    <row r="7678" spans="24:25" x14ac:dyDescent="0.3">
      <c r="X7678" s="1">
        <f t="shared" si="238"/>
        <v>0</v>
      </c>
      <c r="Y7678" s="1">
        <f t="shared" si="239"/>
        <v>15</v>
      </c>
    </row>
    <row r="7679" spans="24:25" x14ac:dyDescent="0.3">
      <c r="X7679" s="1">
        <f t="shared" si="238"/>
        <v>0</v>
      </c>
      <c r="Y7679" s="1">
        <f t="shared" si="239"/>
        <v>15</v>
      </c>
    </row>
    <row r="7680" spans="24:25" x14ac:dyDescent="0.3">
      <c r="X7680" s="1">
        <f t="shared" si="238"/>
        <v>0</v>
      </c>
      <c r="Y7680" s="1">
        <f t="shared" si="239"/>
        <v>15</v>
      </c>
    </row>
    <row r="7681" spans="24:25" x14ac:dyDescent="0.3">
      <c r="X7681" s="1">
        <f t="shared" si="238"/>
        <v>0</v>
      </c>
      <c r="Y7681" s="1">
        <f t="shared" si="239"/>
        <v>15</v>
      </c>
    </row>
    <row r="7682" spans="24:25" x14ac:dyDescent="0.3">
      <c r="X7682" s="1">
        <f t="shared" si="238"/>
        <v>0</v>
      </c>
      <c r="Y7682" s="1">
        <f t="shared" si="239"/>
        <v>15</v>
      </c>
    </row>
    <row r="7683" spans="24:25" x14ac:dyDescent="0.3">
      <c r="X7683" s="1">
        <f t="shared" ref="X7683:X7746" si="240">IFERROR(MATCH(W7683,$B:$B,0),0)</f>
        <v>0</v>
      </c>
      <c r="Y7683" s="1">
        <f t="shared" ref="Y7683:Y7746" si="241">IF(X7684=0,COUNTA(A:A),X7684-1)</f>
        <v>15</v>
      </c>
    </row>
    <row r="7684" spans="24:25" x14ac:dyDescent="0.3">
      <c r="X7684" s="1">
        <f t="shared" si="240"/>
        <v>0</v>
      </c>
      <c r="Y7684" s="1">
        <f t="shared" si="241"/>
        <v>15</v>
      </c>
    </row>
    <row r="7685" spans="24:25" x14ac:dyDescent="0.3">
      <c r="X7685" s="1">
        <f t="shared" si="240"/>
        <v>0</v>
      </c>
      <c r="Y7685" s="1">
        <f t="shared" si="241"/>
        <v>15</v>
      </c>
    </row>
    <row r="7686" spans="24:25" x14ac:dyDescent="0.3">
      <c r="X7686" s="1">
        <f t="shared" si="240"/>
        <v>0</v>
      </c>
      <c r="Y7686" s="1">
        <f t="shared" si="241"/>
        <v>15</v>
      </c>
    </row>
    <row r="7687" spans="24:25" x14ac:dyDescent="0.3">
      <c r="X7687" s="1">
        <f t="shared" si="240"/>
        <v>0</v>
      </c>
      <c r="Y7687" s="1">
        <f t="shared" si="241"/>
        <v>15</v>
      </c>
    </row>
    <row r="7688" spans="24:25" x14ac:dyDescent="0.3">
      <c r="X7688" s="1">
        <f t="shared" si="240"/>
        <v>0</v>
      </c>
      <c r="Y7688" s="1">
        <f t="shared" si="241"/>
        <v>15</v>
      </c>
    </row>
    <row r="7689" spans="24:25" x14ac:dyDescent="0.3">
      <c r="X7689" s="1">
        <f t="shared" si="240"/>
        <v>0</v>
      </c>
      <c r="Y7689" s="1">
        <f t="shared" si="241"/>
        <v>15</v>
      </c>
    </row>
    <row r="7690" spans="24:25" x14ac:dyDescent="0.3">
      <c r="X7690" s="1">
        <f t="shared" si="240"/>
        <v>0</v>
      </c>
      <c r="Y7690" s="1">
        <f t="shared" si="241"/>
        <v>15</v>
      </c>
    </row>
    <row r="7691" spans="24:25" x14ac:dyDescent="0.3">
      <c r="X7691" s="1">
        <f t="shared" si="240"/>
        <v>0</v>
      </c>
      <c r="Y7691" s="1">
        <f t="shared" si="241"/>
        <v>15</v>
      </c>
    </row>
    <row r="7692" spans="24:25" x14ac:dyDescent="0.3">
      <c r="X7692" s="1">
        <f t="shared" si="240"/>
        <v>0</v>
      </c>
      <c r="Y7692" s="1">
        <f t="shared" si="241"/>
        <v>15</v>
      </c>
    </row>
    <row r="7693" spans="24:25" x14ac:dyDescent="0.3">
      <c r="X7693" s="1">
        <f t="shared" si="240"/>
        <v>0</v>
      </c>
      <c r="Y7693" s="1">
        <f t="shared" si="241"/>
        <v>15</v>
      </c>
    </row>
    <row r="7694" spans="24:25" x14ac:dyDescent="0.3">
      <c r="X7694" s="1">
        <f t="shared" si="240"/>
        <v>0</v>
      </c>
      <c r="Y7694" s="1">
        <f t="shared" si="241"/>
        <v>15</v>
      </c>
    </row>
    <row r="7695" spans="24:25" x14ac:dyDescent="0.3">
      <c r="X7695" s="1">
        <f t="shared" si="240"/>
        <v>0</v>
      </c>
      <c r="Y7695" s="1">
        <f t="shared" si="241"/>
        <v>15</v>
      </c>
    </row>
    <row r="7696" spans="24:25" x14ac:dyDescent="0.3">
      <c r="X7696" s="1">
        <f t="shared" si="240"/>
        <v>0</v>
      </c>
      <c r="Y7696" s="1">
        <f t="shared" si="241"/>
        <v>15</v>
      </c>
    </row>
    <row r="7697" spans="24:25" x14ac:dyDescent="0.3">
      <c r="X7697" s="1">
        <f t="shared" si="240"/>
        <v>0</v>
      </c>
      <c r="Y7697" s="1">
        <f t="shared" si="241"/>
        <v>15</v>
      </c>
    </row>
    <row r="7698" spans="24:25" x14ac:dyDescent="0.3">
      <c r="X7698" s="1">
        <f t="shared" si="240"/>
        <v>0</v>
      </c>
      <c r="Y7698" s="1">
        <f t="shared" si="241"/>
        <v>15</v>
      </c>
    </row>
    <row r="7699" spans="24:25" x14ac:dyDescent="0.3">
      <c r="X7699" s="1">
        <f t="shared" si="240"/>
        <v>0</v>
      </c>
      <c r="Y7699" s="1">
        <f t="shared" si="241"/>
        <v>15</v>
      </c>
    </row>
    <row r="7700" spans="24:25" x14ac:dyDescent="0.3">
      <c r="X7700" s="1">
        <f t="shared" si="240"/>
        <v>0</v>
      </c>
      <c r="Y7700" s="1">
        <f t="shared" si="241"/>
        <v>15</v>
      </c>
    </row>
    <row r="7701" spans="24:25" x14ac:dyDescent="0.3">
      <c r="X7701" s="1">
        <f t="shared" si="240"/>
        <v>0</v>
      </c>
      <c r="Y7701" s="1">
        <f t="shared" si="241"/>
        <v>15</v>
      </c>
    </row>
    <row r="7702" spans="24:25" x14ac:dyDescent="0.3">
      <c r="X7702" s="1">
        <f t="shared" si="240"/>
        <v>0</v>
      </c>
      <c r="Y7702" s="1">
        <f t="shared" si="241"/>
        <v>15</v>
      </c>
    </row>
    <row r="7703" spans="24:25" x14ac:dyDescent="0.3">
      <c r="X7703" s="1">
        <f t="shared" si="240"/>
        <v>0</v>
      </c>
      <c r="Y7703" s="1">
        <f t="shared" si="241"/>
        <v>15</v>
      </c>
    </row>
    <row r="7704" spans="24:25" x14ac:dyDescent="0.3">
      <c r="X7704" s="1">
        <f t="shared" si="240"/>
        <v>0</v>
      </c>
      <c r="Y7704" s="1">
        <f t="shared" si="241"/>
        <v>15</v>
      </c>
    </row>
    <row r="7705" spans="24:25" x14ac:dyDescent="0.3">
      <c r="X7705" s="1">
        <f t="shared" si="240"/>
        <v>0</v>
      </c>
      <c r="Y7705" s="1">
        <f t="shared" si="241"/>
        <v>15</v>
      </c>
    </row>
    <row r="7706" spans="24:25" x14ac:dyDescent="0.3">
      <c r="X7706" s="1">
        <f t="shared" si="240"/>
        <v>0</v>
      </c>
      <c r="Y7706" s="1">
        <f t="shared" si="241"/>
        <v>15</v>
      </c>
    </row>
    <row r="7707" spans="24:25" x14ac:dyDescent="0.3">
      <c r="X7707" s="1">
        <f t="shared" si="240"/>
        <v>0</v>
      </c>
      <c r="Y7707" s="1">
        <f t="shared" si="241"/>
        <v>15</v>
      </c>
    </row>
    <row r="7708" spans="24:25" x14ac:dyDescent="0.3">
      <c r="X7708" s="1">
        <f t="shared" si="240"/>
        <v>0</v>
      </c>
      <c r="Y7708" s="1">
        <f t="shared" si="241"/>
        <v>15</v>
      </c>
    </row>
    <row r="7709" spans="24:25" x14ac:dyDescent="0.3">
      <c r="X7709" s="1">
        <f t="shared" si="240"/>
        <v>0</v>
      </c>
      <c r="Y7709" s="1">
        <f t="shared" si="241"/>
        <v>15</v>
      </c>
    </row>
    <row r="7710" spans="24:25" x14ac:dyDescent="0.3">
      <c r="X7710" s="1">
        <f t="shared" si="240"/>
        <v>0</v>
      </c>
      <c r="Y7710" s="1">
        <f t="shared" si="241"/>
        <v>15</v>
      </c>
    </row>
    <row r="7711" spans="24:25" x14ac:dyDescent="0.3">
      <c r="X7711" s="1">
        <f t="shared" si="240"/>
        <v>0</v>
      </c>
      <c r="Y7711" s="1">
        <f t="shared" si="241"/>
        <v>15</v>
      </c>
    </row>
    <row r="7712" spans="24:25" x14ac:dyDescent="0.3">
      <c r="X7712" s="1">
        <f t="shared" si="240"/>
        <v>0</v>
      </c>
      <c r="Y7712" s="1">
        <f t="shared" si="241"/>
        <v>15</v>
      </c>
    </row>
    <row r="7713" spans="24:25" x14ac:dyDescent="0.3">
      <c r="X7713" s="1">
        <f t="shared" si="240"/>
        <v>0</v>
      </c>
      <c r="Y7713" s="1">
        <f t="shared" si="241"/>
        <v>15</v>
      </c>
    </row>
    <row r="7714" spans="24:25" x14ac:dyDescent="0.3">
      <c r="X7714" s="1">
        <f t="shared" si="240"/>
        <v>0</v>
      </c>
      <c r="Y7714" s="1">
        <f t="shared" si="241"/>
        <v>15</v>
      </c>
    </row>
    <row r="7715" spans="24:25" x14ac:dyDescent="0.3">
      <c r="X7715" s="1">
        <f t="shared" si="240"/>
        <v>0</v>
      </c>
      <c r="Y7715" s="1">
        <f t="shared" si="241"/>
        <v>15</v>
      </c>
    </row>
    <row r="7716" spans="24:25" x14ac:dyDescent="0.3">
      <c r="X7716" s="1">
        <f t="shared" si="240"/>
        <v>0</v>
      </c>
      <c r="Y7716" s="1">
        <f t="shared" si="241"/>
        <v>15</v>
      </c>
    </row>
    <row r="7717" spans="24:25" x14ac:dyDescent="0.3">
      <c r="X7717" s="1">
        <f t="shared" si="240"/>
        <v>0</v>
      </c>
      <c r="Y7717" s="1">
        <f t="shared" si="241"/>
        <v>15</v>
      </c>
    </row>
    <row r="7718" spans="24:25" x14ac:dyDescent="0.3">
      <c r="X7718" s="1">
        <f t="shared" si="240"/>
        <v>0</v>
      </c>
      <c r="Y7718" s="1">
        <f t="shared" si="241"/>
        <v>15</v>
      </c>
    </row>
    <row r="7719" spans="24:25" x14ac:dyDescent="0.3">
      <c r="X7719" s="1">
        <f t="shared" si="240"/>
        <v>0</v>
      </c>
      <c r="Y7719" s="1">
        <f t="shared" si="241"/>
        <v>15</v>
      </c>
    </row>
    <row r="7720" spans="24:25" x14ac:dyDescent="0.3">
      <c r="X7720" s="1">
        <f t="shared" si="240"/>
        <v>0</v>
      </c>
      <c r="Y7720" s="1">
        <f t="shared" si="241"/>
        <v>15</v>
      </c>
    </row>
    <row r="7721" spans="24:25" x14ac:dyDescent="0.3">
      <c r="X7721" s="1">
        <f t="shared" si="240"/>
        <v>0</v>
      </c>
      <c r="Y7721" s="1">
        <f t="shared" si="241"/>
        <v>15</v>
      </c>
    </row>
    <row r="7722" spans="24:25" x14ac:dyDescent="0.3">
      <c r="X7722" s="1">
        <f t="shared" si="240"/>
        <v>0</v>
      </c>
      <c r="Y7722" s="1">
        <f t="shared" si="241"/>
        <v>15</v>
      </c>
    </row>
    <row r="7723" spans="24:25" x14ac:dyDescent="0.3">
      <c r="X7723" s="1">
        <f t="shared" si="240"/>
        <v>0</v>
      </c>
      <c r="Y7723" s="1">
        <f t="shared" si="241"/>
        <v>15</v>
      </c>
    </row>
    <row r="7724" spans="24:25" x14ac:dyDescent="0.3">
      <c r="X7724" s="1">
        <f t="shared" si="240"/>
        <v>0</v>
      </c>
      <c r="Y7724" s="1">
        <f t="shared" si="241"/>
        <v>15</v>
      </c>
    </row>
    <row r="7725" spans="24:25" x14ac:dyDescent="0.3">
      <c r="X7725" s="1">
        <f t="shared" si="240"/>
        <v>0</v>
      </c>
      <c r="Y7725" s="1">
        <f t="shared" si="241"/>
        <v>15</v>
      </c>
    </row>
    <row r="7726" spans="24:25" x14ac:dyDescent="0.3">
      <c r="X7726" s="1">
        <f t="shared" si="240"/>
        <v>0</v>
      </c>
      <c r="Y7726" s="1">
        <f t="shared" si="241"/>
        <v>15</v>
      </c>
    </row>
    <row r="7727" spans="24:25" x14ac:dyDescent="0.3">
      <c r="X7727" s="1">
        <f t="shared" si="240"/>
        <v>0</v>
      </c>
      <c r="Y7727" s="1">
        <f t="shared" si="241"/>
        <v>15</v>
      </c>
    </row>
    <row r="7728" spans="24:25" x14ac:dyDescent="0.3">
      <c r="X7728" s="1">
        <f t="shared" si="240"/>
        <v>0</v>
      </c>
      <c r="Y7728" s="1">
        <f t="shared" si="241"/>
        <v>15</v>
      </c>
    </row>
    <row r="7729" spans="24:25" x14ac:dyDescent="0.3">
      <c r="X7729" s="1">
        <f t="shared" si="240"/>
        <v>0</v>
      </c>
      <c r="Y7729" s="1">
        <f t="shared" si="241"/>
        <v>15</v>
      </c>
    </row>
    <row r="7730" spans="24:25" x14ac:dyDescent="0.3">
      <c r="X7730" s="1">
        <f t="shared" si="240"/>
        <v>0</v>
      </c>
      <c r="Y7730" s="1">
        <f t="shared" si="241"/>
        <v>15</v>
      </c>
    </row>
    <row r="7731" spans="24:25" x14ac:dyDescent="0.3">
      <c r="X7731" s="1">
        <f t="shared" si="240"/>
        <v>0</v>
      </c>
      <c r="Y7731" s="1">
        <f t="shared" si="241"/>
        <v>15</v>
      </c>
    </row>
    <row r="7732" spans="24:25" x14ac:dyDescent="0.3">
      <c r="X7732" s="1">
        <f t="shared" si="240"/>
        <v>0</v>
      </c>
      <c r="Y7732" s="1">
        <f t="shared" si="241"/>
        <v>15</v>
      </c>
    </row>
    <row r="7733" spans="24:25" x14ac:dyDescent="0.3">
      <c r="X7733" s="1">
        <f t="shared" si="240"/>
        <v>0</v>
      </c>
      <c r="Y7733" s="1">
        <f t="shared" si="241"/>
        <v>15</v>
      </c>
    </row>
    <row r="7734" spans="24:25" x14ac:dyDescent="0.3">
      <c r="X7734" s="1">
        <f t="shared" si="240"/>
        <v>0</v>
      </c>
      <c r="Y7734" s="1">
        <f t="shared" si="241"/>
        <v>15</v>
      </c>
    </row>
    <row r="7735" spans="24:25" x14ac:dyDescent="0.3">
      <c r="X7735" s="1">
        <f t="shared" si="240"/>
        <v>0</v>
      </c>
      <c r="Y7735" s="1">
        <f t="shared" si="241"/>
        <v>15</v>
      </c>
    </row>
    <row r="7736" spans="24:25" x14ac:dyDescent="0.3">
      <c r="X7736" s="1">
        <f t="shared" si="240"/>
        <v>0</v>
      </c>
      <c r="Y7736" s="1">
        <f t="shared" si="241"/>
        <v>15</v>
      </c>
    </row>
    <row r="7737" spans="24:25" x14ac:dyDescent="0.3">
      <c r="X7737" s="1">
        <f t="shared" si="240"/>
        <v>0</v>
      </c>
      <c r="Y7737" s="1">
        <f t="shared" si="241"/>
        <v>15</v>
      </c>
    </row>
    <row r="7738" spans="24:25" x14ac:dyDescent="0.3">
      <c r="X7738" s="1">
        <f t="shared" si="240"/>
        <v>0</v>
      </c>
      <c r="Y7738" s="1">
        <f t="shared" si="241"/>
        <v>15</v>
      </c>
    </row>
    <row r="7739" spans="24:25" x14ac:dyDescent="0.3">
      <c r="X7739" s="1">
        <f t="shared" si="240"/>
        <v>0</v>
      </c>
      <c r="Y7739" s="1">
        <f t="shared" si="241"/>
        <v>15</v>
      </c>
    </row>
    <row r="7740" spans="24:25" x14ac:dyDescent="0.3">
      <c r="X7740" s="1">
        <f t="shared" si="240"/>
        <v>0</v>
      </c>
      <c r="Y7740" s="1">
        <f t="shared" si="241"/>
        <v>15</v>
      </c>
    </row>
    <row r="7741" spans="24:25" x14ac:dyDescent="0.3">
      <c r="X7741" s="1">
        <f t="shared" si="240"/>
        <v>0</v>
      </c>
      <c r="Y7741" s="1">
        <f t="shared" si="241"/>
        <v>15</v>
      </c>
    </row>
    <row r="7742" spans="24:25" x14ac:dyDescent="0.3">
      <c r="X7742" s="1">
        <f t="shared" si="240"/>
        <v>0</v>
      </c>
      <c r="Y7742" s="1">
        <f t="shared" si="241"/>
        <v>15</v>
      </c>
    </row>
    <row r="7743" spans="24:25" x14ac:dyDescent="0.3">
      <c r="X7743" s="1">
        <f t="shared" si="240"/>
        <v>0</v>
      </c>
      <c r="Y7743" s="1">
        <f t="shared" si="241"/>
        <v>15</v>
      </c>
    </row>
    <row r="7744" spans="24:25" x14ac:dyDescent="0.3">
      <c r="X7744" s="1">
        <f t="shared" si="240"/>
        <v>0</v>
      </c>
      <c r="Y7744" s="1">
        <f t="shared" si="241"/>
        <v>15</v>
      </c>
    </row>
    <row r="7745" spans="24:25" x14ac:dyDescent="0.3">
      <c r="X7745" s="1">
        <f t="shared" si="240"/>
        <v>0</v>
      </c>
      <c r="Y7745" s="1">
        <f t="shared" si="241"/>
        <v>15</v>
      </c>
    </row>
    <row r="7746" spans="24:25" x14ac:dyDescent="0.3">
      <c r="X7746" s="1">
        <f t="shared" si="240"/>
        <v>0</v>
      </c>
      <c r="Y7746" s="1">
        <f t="shared" si="241"/>
        <v>15</v>
      </c>
    </row>
    <row r="7747" spans="24:25" x14ac:dyDescent="0.3">
      <c r="X7747" s="1">
        <f t="shared" ref="X7747:X7810" si="242">IFERROR(MATCH(W7747,$B:$B,0),0)</f>
        <v>0</v>
      </c>
      <c r="Y7747" s="1">
        <f t="shared" ref="Y7747:Y7810" si="243">IF(X7748=0,COUNTA(A:A),X7748-1)</f>
        <v>15</v>
      </c>
    </row>
    <row r="7748" spans="24:25" x14ac:dyDescent="0.3">
      <c r="X7748" s="1">
        <f t="shared" si="242"/>
        <v>0</v>
      </c>
      <c r="Y7748" s="1">
        <f t="shared" si="243"/>
        <v>15</v>
      </c>
    </row>
    <row r="7749" spans="24:25" x14ac:dyDescent="0.3">
      <c r="X7749" s="1">
        <f t="shared" si="242"/>
        <v>0</v>
      </c>
      <c r="Y7749" s="1">
        <f t="shared" si="243"/>
        <v>15</v>
      </c>
    </row>
    <row r="7750" spans="24:25" x14ac:dyDescent="0.3">
      <c r="X7750" s="1">
        <f t="shared" si="242"/>
        <v>0</v>
      </c>
      <c r="Y7750" s="1">
        <f t="shared" si="243"/>
        <v>15</v>
      </c>
    </row>
    <row r="7751" spans="24:25" x14ac:dyDescent="0.3">
      <c r="X7751" s="1">
        <f t="shared" si="242"/>
        <v>0</v>
      </c>
      <c r="Y7751" s="1">
        <f t="shared" si="243"/>
        <v>15</v>
      </c>
    </row>
    <row r="7752" spans="24:25" x14ac:dyDescent="0.3">
      <c r="X7752" s="1">
        <f t="shared" si="242"/>
        <v>0</v>
      </c>
      <c r="Y7752" s="1">
        <f t="shared" si="243"/>
        <v>15</v>
      </c>
    </row>
    <row r="7753" spans="24:25" x14ac:dyDescent="0.3">
      <c r="X7753" s="1">
        <f t="shared" si="242"/>
        <v>0</v>
      </c>
      <c r="Y7753" s="1">
        <f t="shared" si="243"/>
        <v>15</v>
      </c>
    </row>
    <row r="7754" spans="24:25" x14ac:dyDescent="0.3">
      <c r="X7754" s="1">
        <f t="shared" si="242"/>
        <v>0</v>
      </c>
      <c r="Y7754" s="1">
        <f t="shared" si="243"/>
        <v>15</v>
      </c>
    </row>
    <row r="7755" spans="24:25" x14ac:dyDescent="0.3">
      <c r="X7755" s="1">
        <f t="shared" si="242"/>
        <v>0</v>
      </c>
      <c r="Y7755" s="1">
        <f t="shared" si="243"/>
        <v>15</v>
      </c>
    </row>
    <row r="7756" spans="24:25" x14ac:dyDescent="0.3">
      <c r="X7756" s="1">
        <f t="shared" si="242"/>
        <v>0</v>
      </c>
      <c r="Y7756" s="1">
        <f t="shared" si="243"/>
        <v>15</v>
      </c>
    </row>
    <row r="7757" spans="24:25" x14ac:dyDescent="0.3">
      <c r="X7757" s="1">
        <f t="shared" si="242"/>
        <v>0</v>
      </c>
      <c r="Y7757" s="1">
        <f t="shared" si="243"/>
        <v>15</v>
      </c>
    </row>
    <row r="7758" spans="24:25" x14ac:dyDescent="0.3">
      <c r="X7758" s="1">
        <f t="shared" si="242"/>
        <v>0</v>
      </c>
      <c r="Y7758" s="1">
        <f t="shared" si="243"/>
        <v>15</v>
      </c>
    </row>
    <row r="7759" spans="24:25" x14ac:dyDescent="0.3">
      <c r="X7759" s="1">
        <f t="shared" si="242"/>
        <v>0</v>
      </c>
      <c r="Y7759" s="1">
        <f t="shared" si="243"/>
        <v>15</v>
      </c>
    </row>
    <row r="7760" spans="24:25" x14ac:dyDescent="0.3">
      <c r="X7760" s="1">
        <f t="shared" si="242"/>
        <v>0</v>
      </c>
      <c r="Y7760" s="1">
        <f t="shared" si="243"/>
        <v>15</v>
      </c>
    </row>
    <row r="7761" spans="24:25" x14ac:dyDescent="0.3">
      <c r="X7761" s="1">
        <f t="shared" si="242"/>
        <v>0</v>
      </c>
      <c r="Y7761" s="1">
        <f t="shared" si="243"/>
        <v>15</v>
      </c>
    </row>
    <row r="7762" spans="24:25" x14ac:dyDescent="0.3">
      <c r="X7762" s="1">
        <f t="shared" si="242"/>
        <v>0</v>
      </c>
      <c r="Y7762" s="1">
        <f t="shared" si="243"/>
        <v>15</v>
      </c>
    </row>
    <row r="7763" spans="24:25" x14ac:dyDescent="0.3">
      <c r="X7763" s="1">
        <f t="shared" si="242"/>
        <v>0</v>
      </c>
      <c r="Y7763" s="1">
        <f t="shared" si="243"/>
        <v>15</v>
      </c>
    </row>
    <row r="7764" spans="24:25" x14ac:dyDescent="0.3">
      <c r="X7764" s="1">
        <f t="shared" si="242"/>
        <v>0</v>
      </c>
      <c r="Y7764" s="1">
        <f t="shared" si="243"/>
        <v>15</v>
      </c>
    </row>
    <row r="7765" spans="24:25" x14ac:dyDescent="0.3">
      <c r="X7765" s="1">
        <f t="shared" si="242"/>
        <v>0</v>
      </c>
      <c r="Y7765" s="1">
        <f t="shared" si="243"/>
        <v>15</v>
      </c>
    </row>
    <row r="7766" spans="24:25" x14ac:dyDescent="0.3">
      <c r="X7766" s="1">
        <f t="shared" si="242"/>
        <v>0</v>
      </c>
      <c r="Y7766" s="1">
        <f t="shared" si="243"/>
        <v>15</v>
      </c>
    </row>
    <row r="7767" spans="24:25" x14ac:dyDescent="0.3">
      <c r="X7767" s="1">
        <f t="shared" si="242"/>
        <v>0</v>
      </c>
      <c r="Y7767" s="1">
        <f t="shared" si="243"/>
        <v>15</v>
      </c>
    </row>
    <row r="7768" spans="24:25" x14ac:dyDescent="0.3">
      <c r="X7768" s="1">
        <f t="shared" si="242"/>
        <v>0</v>
      </c>
      <c r="Y7768" s="1">
        <f t="shared" si="243"/>
        <v>15</v>
      </c>
    </row>
    <row r="7769" spans="24:25" x14ac:dyDescent="0.3">
      <c r="X7769" s="1">
        <f t="shared" si="242"/>
        <v>0</v>
      </c>
      <c r="Y7769" s="1">
        <f t="shared" si="243"/>
        <v>15</v>
      </c>
    </row>
    <row r="7770" spans="24:25" x14ac:dyDescent="0.3">
      <c r="X7770" s="1">
        <f t="shared" si="242"/>
        <v>0</v>
      </c>
      <c r="Y7770" s="1">
        <f t="shared" si="243"/>
        <v>15</v>
      </c>
    </row>
    <row r="7771" spans="24:25" x14ac:dyDescent="0.3">
      <c r="X7771" s="1">
        <f t="shared" si="242"/>
        <v>0</v>
      </c>
      <c r="Y7771" s="1">
        <f t="shared" si="243"/>
        <v>15</v>
      </c>
    </row>
    <row r="7772" spans="24:25" x14ac:dyDescent="0.3">
      <c r="X7772" s="1">
        <f t="shared" si="242"/>
        <v>0</v>
      </c>
      <c r="Y7772" s="1">
        <f t="shared" si="243"/>
        <v>15</v>
      </c>
    </row>
    <row r="7773" spans="24:25" x14ac:dyDescent="0.3">
      <c r="X7773" s="1">
        <f t="shared" si="242"/>
        <v>0</v>
      </c>
      <c r="Y7773" s="1">
        <f t="shared" si="243"/>
        <v>15</v>
      </c>
    </row>
    <row r="7774" spans="24:25" x14ac:dyDescent="0.3">
      <c r="X7774" s="1">
        <f t="shared" si="242"/>
        <v>0</v>
      </c>
      <c r="Y7774" s="1">
        <f t="shared" si="243"/>
        <v>15</v>
      </c>
    </row>
    <row r="7775" spans="24:25" x14ac:dyDescent="0.3">
      <c r="X7775" s="1">
        <f t="shared" si="242"/>
        <v>0</v>
      </c>
      <c r="Y7775" s="1">
        <f t="shared" si="243"/>
        <v>15</v>
      </c>
    </row>
    <row r="7776" spans="24:25" x14ac:dyDescent="0.3">
      <c r="X7776" s="1">
        <f t="shared" si="242"/>
        <v>0</v>
      </c>
      <c r="Y7776" s="1">
        <f t="shared" si="243"/>
        <v>15</v>
      </c>
    </row>
    <row r="7777" spans="24:25" x14ac:dyDescent="0.3">
      <c r="X7777" s="1">
        <f t="shared" si="242"/>
        <v>0</v>
      </c>
      <c r="Y7777" s="1">
        <f t="shared" si="243"/>
        <v>15</v>
      </c>
    </row>
    <row r="7778" spans="24:25" x14ac:dyDescent="0.3">
      <c r="X7778" s="1">
        <f t="shared" si="242"/>
        <v>0</v>
      </c>
      <c r="Y7778" s="1">
        <f t="shared" si="243"/>
        <v>15</v>
      </c>
    </row>
    <row r="7779" spans="24:25" x14ac:dyDescent="0.3">
      <c r="X7779" s="1">
        <f t="shared" si="242"/>
        <v>0</v>
      </c>
      <c r="Y7779" s="1">
        <f t="shared" si="243"/>
        <v>15</v>
      </c>
    </row>
    <row r="7780" spans="24:25" x14ac:dyDescent="0.3">
      <c r="X7780" s="1">
        <f t="shared" si="242"/>
        <v>0</v>
      </c>
      <c r="Y7780" s="1">
        <f t="shared" si="243"/>
        <v>15</v>
      </c>
    </row>
    <row r="7781" spans="24:25" x14ac:dyDescent="0.3">
      <c r="X7781" s="1">
        <f t="shared" si="242"/>
        <v>0</v>
      </c>
      <c r="Y7781" s="1">
        <f t="shared" si="243"/>
        <v>15</v>
      </c>
    </row>
    <row r="7782" spans="24:25" x14ac:dyDescent="0.3">
      <c r="X7782" s="1">
        <f t="shared" si="242"/>
        <v>0</v>
      </c>
      <c r="Y7782" s="1">
        <f t="shared" si="243"/>
        <v>15</v>
      </c>
    </row>
    <row r="7783" spans="24:25" x14ac:dyDescent="0.3">
      <c r="X7783" s="1">
        <f t="shared" si="242"/>
        <v>0</v>
      </c>
      <c r="Y7783" s="1">
        <f t="shared" si="243"/>
        <v>15</v>
      </c>
    </row>
    <row r="7784" spans="24:25" x14ac:dyDescent="0.3">
      <c r="X7784" s="1">
        <f t="shared" si="242"/>
        <v>0</v>
      </c>
      <c r="Y7784" s="1">
        <f t="shared" si="243"/>
        <v>15</v>
      </c>
    </row>
    <row r="7785" spans="24:25" x14ac:dyDescent="0.3">
      <c r="X7785" s="1">
        <f t="shared" si="242"/>
        <v>0</v>
      </c>
      <c r="Y7785" s="1">
        <f t="shared" si="243"/>
        <v>15</v>
      </c>
    </row>
    <row r="7786" spans="24:25" x14ac:dyDescent="0.3">
      <c r="X7786" s="1">
        <f t="shared" si="242"/>
        <v>0</v>
      </c>
      <c r="Y7786" s="1">
        <f t="shared" si="243"/>
        <v>15</v>
      </c>
    </row>
    <row r="7787" spans="24:25" x14ac:dyDescent="0.3">
      <c r="X7787" s="1">
        <f t="shared" si="242"/>
        <v>0</v>
      </c>
      <c r="Y7787" s="1">
        <f t="shared" si="243"/>
        <v>15</v>
      </c>
    </row>
    <row r="7788" spans="24:25" x14ac:dyDescent="0.3">
      <c r="X7788" s="1">
        <f t="shared" si="242"/>
        <v>0</v>
      </c>
      <c r="Y7788" s="1">
        <f t="shared" si="243"/>
        <v>15</v>
      </c>
    </row>
    <row r="7789" spans="24:25" x14ac:dyDescent="0.3">
      <c r="X7789" s="1">
        <f t="shared" si="242"/>
        <v>0</v>
      </c>
      <c r="Y7789" s="1">
        <f t="shared" si="243"/>
        <v>15</v>
      </c>
    </row>
    <row r="7790" spans="24:25" x14ac:dyDescent="0.3">
      <c r="X7790" s="1">
        <f t="shared" si="242"/>
        <v>0</v>
      </c>
      <c r="Y7790" s="1">
        <f t="shared" si="243"/>
        <v>15</v>
      </c>
    </row>
    <row r="7791" spans="24:25" x14ac:dyDescent="0.3">
      <c r="X7791" s="1">
        <f t="shared" si="242"/>
        <v>0</v>
      </c>
      <c r="Y7791" s="1">
        <f t="shared" si="243"/>
        <v>15</v>
      </c>
    </row>
    <row r="7792" spans="24:25" x14ac:dyDescent="0.3">
      <c r="X7792" s="1">
        <f t="shared" si="242"/>
        <v>0</v>
      </c>
      <c r="Y7792" s="1">
        <f t="shared" si="243"/>
        <v>15</v>
      </c>
    </row>
    <row r="7793" spans="24:25" x14ac:dyDescent="0.3">
      <c r="X7793" s="1">
        <f t="shared" si="242"/>
        <v>0</v>
      </c>
      <c r="Y7793" s="1">
        <f t="shared" si="243"/>
        <v>15</v>
      </c>
    </row>
    <row r="7794" spans="24:25" x14ac:dyDescent="0.3">
      <c r="X7794" s="1">
        <f t="shared" si="242"/>
        <v>0</v>
      </c>
      <c r="Y7794" s="1">
        <f t="shared" si="243"/>
        <v>15</v>
      </c>
    </row>
    <row r="7795" spans="24:25" x14ac:dyDescent="0.3">
      <c r="X7795" s="1">
        <f t="shared" si="242"/>
        <v>0</v>
      </c>
      <c r="Y7795" s="1">
        <f t="shared" si="243"/>
        <v>15</v>
      </c>
    </row>
    <row r="7796" spans="24:25" x14ac:dyDescent="0.3">
      <c r="X7796" s="1">
        <f t="shared" si="242"/>
        <v>0</v>
      </c>
      <c r="Y7796" s="1">
        <f t="shared" si="243"/>
        <v>15</v>
      </c>
    </row>
    <row r="7797" spans="24:25" x14ac:dyDescent="0.3">
      <c r="X7797" s="1">
        <f t="shared" si="242"/>
        <v>0</v>
      </c>
      <c r="Y7797" s="1">
        <f t="shared" si="243"/>
        <v>15</v>
      </c>
    </row>
    <row r="7798" spans="24:25" x14ac:dyDescent="0.3">
      <c r="X7798" s="1">
        <f t="shared" si="242"/>
        <v>0</v>
      </c>
      <c r="Y7798" s="1">
        <f t="shared" si="243"/>
        <v>15</v>
      </c>
    </row>
    <row r="7799" spans="24:25" x14ac:dyDescent="0.3">
      <c r="X7799" s="1">
        <f t="shared" si="242"/>
        <v>0</v>
      </c>
      <c r="Y7799" s="1">
        <f t="shared" si="243"/>
        <v>15</v>
      </c>
    </row>
    <row r="7800" spans="24:25" x14ac:dyDescent="0.3">
      <c r="X7800" s="1">
        <f t="shared" si="242"/>
        <v>0</v>
      </c>
      <c r="Y7800" s="1">
        <f t="shared" si="243"/>
        <v>15</v>
      </c>
    </row>
    <row r="7801" spans="24:25" x14ac:dyDescent="0.3">
      <c r="X7801" s="1">
        <f t="shared" si="242"/>
        <v>0</v>
      </c>
      <c r="Y7801" s="1">
        <f t="shared" si="243"/>
        <v>15</v>
      </c>
    </row>
    <row r="7802" spans="24:25" x14ac:dyDescent="0.3">
      <c r="X7802" s="1">
        <f t="shared" si="242"/>
        <v>0</v>
      </c>
      <c r="Y7802" s="1">
        <f t="shared" si="243"/>
        <v>15</v>
      </c>
    </row>
    <row r="7803" spans="24:25" x14ac:dyDescent="0.3">
      <c r="X7803" s="1">
        <f t="shared" si="242"/>
        <v>0</v>
      </c>
      <c r="Y7803" s="1">
        <f t="shared" si="243"/>
        <v>15</v>
      </c>
    </row>
    <row r="7804" spans="24:25" x14ac:dyDescent="0.3">
      <c r="X7804" s="1">
        <f t="shared" si="242"/>
        <v>0</v>
      </c>
      <c r="Y7804" s="1">
        <f t="shared" si="243"/>
        <v>15</v>
      </c>
    </row>
    <row r="7805" spans="24:25" x14ac:dyDescent="0.3">
      <c r="X7805" s="1">
        <f t="shared" si="242"/>
        <v>0</v>
      </c>
      <c r="Y7805" s="1">
        <f t="shared" si="243"/>
        <v>15</v>
      </c>
    </row>
    <row r="7806" spans="24:25" x14ac:dyDescent="0.3">
      <c r="X7806" s="1">
        <f t="shared" si="242"/>
        <v>0</v>
      </c>
      <c r="Y7806" s="1">
        <f t="shared" si="243"/>
        <v>15</v>
      </c>
    </row>
    <row r="7807" spans="24:25" x14ac:dyDescent="0.3">
      <c r="X7807" s="1">
        <f t="shared" si="242"/>
        <v>0</v>
      </c>
      <c r="Y7807" s="1">
        <f t="shared" si="243"/>
        <v>15</v>
      </c>
    </row>
    <row r="7808" spans="24:25" x14ac:dyDescent="0.3">
      <c r="X7808" s="1">
        <f t="shared" si="242"/>
        <v>0</v>
      </c>
      <c r="Y7808" s="1">
        <f t="shared" si="243"/>
        <v>15</v>
      </c>
    </row>
    <row r="7809" spans="24:25" x14ac:dyDescent="0.3">
      <c r="X7809" s="1">
        <f t="shared" si="242"/>
        <v>0</v>
      </c>
      <c r="Y7809" s="1">
        <f t="shared" si="243"/>
        <v>15</v>
      </c>
    </row>
    <row r="7810" spans="24:25" x14ac:dyDescent="0.3">
      <c r="X7810" s="1">
        <f t="shared" si="242"/>
        <v>0</v>
      </c>
      <c r="Y7810" s="1">
        <f t="shared" si="243"/>
        <v>15</v>
      </c>
    </row>
    <row r="7811" spans="24:25" x14ac:dyDescent="0.3">
      <c r="X7811" s="1">
        <f t="shared" ref="X7811:X7874" si="244">IFERROR(MATCH(W7811,$B:$B,0),0)</f>
        <v>0</v>
      </c>
      <c r="Y7811" s="1">
        <f t="shared" ref="Y7811:Y7874" si="245">IF(X7812=0,COUNTA(A:A),X7812-1)</f>
        <v>15</v>
      </c>
    </row>
    <row r="7812" spans="24:25" x14ac:dyDescent="0.3">
      <c r="X7812" s="1">
        <f t="shared" si="244"/>
        <v>0</v>
      </c>
      <c r="Y7812" s="1">
        <f t="shared" si="245"/>
        <v>15</v>
      </c>
    </row>
    <row r="7813" spans="24:25" x14ac:dyDescent="0.3">
      <c r="X7813" s="1">
        <f t="shared" si="244"/>
        <v>0</v>
      </c>
      <c r="Y7813" s="1">
        <f t="shared" si="245"/>
        <v>15</v>
      </c>
    </row>
    <row r="7814" spans="24:25" x14ac:dyDescent="0.3">
      <c r="X7814" s="1">
        <f t="shared" si="244"/>
        <v>0</v>
      </c>
      <c r="Y7814" s="1">
        <f t="shared" si="245"/>
        <v>15</v>
      </c>
    </row>
    <row r="7815" spans="24:25" x14ac:dyDescent="0.3">
      <c r="X7815" s="1">
        <f t="shared" si="244"/>
        <v>0</v>
      </c>
      <c r="Y7815" s="1">
        <f t="shared" si="245"/>
        <v>15</v>
      </c>
    </row>
    <row r="7816" spans="24:25" x14ac:dyDescent="0.3">
      <c r="X7816" s="1">
        <f t="shared" si="244"/>
        <v>0</v>
      </c>
      <c r="Y7816" s="1">
        <f t="shared" si="245"/>
        <v>15</v>
      </c>
    </row>
    <row r="7817" spans="24:25" x14ac:dyDescent="0.3">
      <c r="X7817" s="1">
        <f t="shared" si="244"/>
        <v>0</v>
      </c>
      <c r="Y7817" s="1">
        <f t="shared" si="245"/>
        <v>15</v>
      </c>
    </row>
    <row r="7818" spans="24:25" x14ac:dyDescent="0.3">
      <c r="X7818" s="1">
        <f t="shared" si="244"/>
        <v>0</v>
      </c>
      <c r="Y7818" s="1">
        <f t="shared" si="245"/>
        <v>15</v>
      </c>
    </row>
    <row r="7819" spans="24:25" x14ac:dyDescent="0.3">
      <c r="X7819" s="1">
        <f t="shared" si="244"/>
        <v>0</v>
      </c>
      <c r="Y7819" s="1">
        <f t="shared" si="245"/>
        <v>15</v>
      </c>
    </row>
    <row r="7820" spans="24:25" x14ac:dyDescent="0.3">
      <c r="X7820" s="1">
        <f t="shared" si="244"/>
        <v>0</v>
      </c>
      <c r="Y7820" s="1">
        <f t="shared" si="245"/>
        <v>15</v>
      </c>
    </row>
    <row r="7821" spans="24:25" x14ac:dyDescent="0.3">
      <c r="X7821" s="1">
        <f t="shared" si="244"/>
        <v>0</v>
      </c>
      <c r="Y7821" s="1">
        <f t="shared" si="245"/>
        <v>15</v>
      </c>
    </row>
    <row r="7822" spans="24:25" x14ac:dyDescent="0.3">
      <c r="X7822" s="1">
        <f t="shared" si="244"/>
        <v>0</v>
      </c>
      <c r="Y7822" s="1">
        <f t="shared" si="245"/>
        <v>15</v>
      </c>
    </row>
    <row r="7823" spans="24:25" x14ac:dyDescent="0.3">
      <c r="X7823" s="1">
        <f t="shared" si="244"/>
        <v>0</v>
      </c>
      <c r="Y7823" s="1">
        <f t="shared" si="245"/>
        <v>15</v>
      </c>
    </row>
    <row r="7824" spans="24:25" x14ac:dyDescent="0.3">
      <c r="X7824" s="1">
        <f t="shared" si="244"/>
        <v>0</v>
      </c>
      <c r="Y7824" s="1">
        <f t="shared" si="245"/>
        <v>15</v>
      </c>
    </row>
    <row r="7825" spans="24:25" x14ac:dyDescent="0.3">
      <c r="X7825" s="1">
        <f t="shared" si="244"/>
        <v>0</v>
      </c>
      <c r="Y7825" s="1">
        <f t="shared" si="245"/>
        <v>15</v>
      </c>
    </row>
    <row r="7826" spans="24:25" x14ac:dyDescent="0.3">
      <c r="X7826" s="1">
        <f t="shared" si="244"/>
        <v>0</v>
      </c>
      <c r="Y7826" s="1">
        <f t="shared" si="245"/>
        <v>15</v>
      </c>
    </row>
    <row r="7827" spans="24:25" x14ac:dyDescent="0.3">
      <c r="X7827" s="1">
        <f t="shared" si="244"/>
        <v>0</v>
      </c>
      <c r="Y7827" s="1">
        <f t="shared" si="245"/>
        <v>15</v>
      </c>
    </row>
    <row r="7828" spans="24:25" x14ac:dyDescent="0.3">
      <c r="X7828" s="1">
        <f t="shared" si="244"/>
        <v>0</v>
      </c>
      <c r="Y7828" s="1">
        <f t="shared" si="245"/>
        <v>15</v>
      </c>
    </row>
    <row r="7829" spans="24:25" x14ac:dyDescent="0.3">
      <c r="X7829" s="1">
        <f t="shared" si="244"/>
        <v>0</v>
      </c>
      <c r="Y7829" s="1">
        <f t="shared" si="245"/>
        <v>15</v>
      </c>
    </row>
    <row r="7830" spans="24:25" x14ac:dyDescent="0.3">
      <c r="X7830" s="1">
        <f t="shared" si="244"/>
        <v>0</v>
      </c>
      <c r="Y7830" s="1">
        <f t="shared" si="245"/>
        <v>15</v>
      </c>
    </row>
    <row r="7831" spans="24:25" x14ac:dyDescent="0.3">
      <c r="X7831" s="1">
        <f t="shared" si="244"/>
        <v>0</v>
      </c>
      <c r="Y7831" s="1">
        <f t="shared" si="245"/>
        <v>15</v>
      </c>
    </row>
    <row r="7832" spans="24:25" x14ac:dyDescent="0.3">
      <c r="X7832" s="1">
        <f t="shared" si="244"/>
        <v>0</v>
      </c>
      <c r="Y7832" s="1">
        <f t="shared" si="245"/>
        <v>15</v>
      </c>
    </row>
    <row r="7833" spans="24:25" x14ac:dyDescent="0.3">
      <c r="X7833" s="1">
        <f t="shared" si="244"/>
        <v>0</v>
      </c>
      <c r="Y7833" s="1">
        <f t="shared" si="245"/>
        <v>15</v>
      </c>
    </row>
    <row r="7834" spans="24:25" x14ac:dyDescent="0.3">
      <c r="X7834" s="1">
        <f t="shared" si="244"/>
        <v>0</v>
      </c>
      <c r="Y7834" s="1">
        <f t="shared" si="245"/>
        <v>15</v>
      </c>
    </row>
    <row r="7835" spans="24:25" x14ac:dyDescent="0.3">
      <c r="X7835" s="1">
        <f t="shared" si="244"/>
        <v>0</v>
      </c>
      <c r="Y7835" s="1">
        <f t="shared" si="245"/>
        <v>15</v>
      </c>
    </row>
    <row r="7836" spans="24:25" x14ac:dyDescent="0.3">
      <c r="X7836" s="1">
        <f t="shared" si="244"/>
        <v>0</v>
      </c>
      <c r="Y7836" s="1">
        <f t="shared" si="245"/>
        <v>15</v>
      </c>
    </row>
    <row r="7837" spans="24:25" x14ac:dyDescent="0.3">
      <c r="X7837" s="1">
        <f t="shared" si="244"/>
        <v>0</v>
      </c>
      <c r="Y7837" s="1">
        <f t="shared" si="245"/>
        <v>15</v>
      </c>
    </row>
    <row r="7838" spans="24:25" x14ac:dyDescent="0.3">
      <c r="X7838" s="1">
        <f t="shared" si="244"/>
        <v>0</v>
      </c>
      <c r="Y7838" s="1">
        <f t="shared" si="245"/>
        <v>15</v>
      </c>
    </row>
    <row r="7839" spans="24:25" x14ac:dyDescent="0.3">
      <c r="X7839" s="1">
        <f t="shared" si="244"/>
        <v>0</v>
      </c>
      <c r="Y7839" s="1">
        <f t="shared" si="245"/>
        <v>15</v>
      </c>
    </row>
    <row r="7840" spans="24:25" x14ac:dyDescent="0.3">
      <c r="X7840" s="1">
        <f t="shared" si="244"/>
        <v>0</v>
      </c>
      <c r="Y7840" s="1">
        <f t="shared" si="245"/>
        <v>15</v>
      </c>
    </row>
    <row r="7841" spans="24:25" x14ac:dyDescent="0.3">
      <c r="X7841" s="1">
        <f t="shared" si="244"/>
        <v>0</v>
      </c>
      <c r="Y7841" s="1">
        <f t="shared" si="245"/>
        <v>15</v>
      </c>
    </row>
    <row r="7842" spans="24:25" x14ac:dyDescent="0.3">
      <c r="X7842" s="1">
        <f t="shared" si="244"/>
        <v>0</v>
      </c>
      <c r="Y7842" s="1">
        <f t="shared" si="245"/>
        <v>15</v>
      </c>
    </row>
    <row r="7843" spans="24:25" x14ac:dyDescent="0.3">
      <c r="X7843" s="1">
        <f t="shared" si="244"/>
        <v>0</v>
      </c>
      <c r="Y7843" s="1">
        <f t="shared" si="245"/>
        <v>15</v>
      </c>
    </row>
    <row r="7844" spans="24:25" x14ac:dyDescent="0.3">
      <c r="X7844" s="1">
        <f t="shared" si="244"/>
        <v>0</v>
      </c>
      <c r="Y7844" s="1">
        <f t="shared" si="245"/>
        <v>15</v>
      </c>
    </row>
    <row r="7845" spans="24:25" x14ac:dyDescent="0.3">
      <c r="X7845" s="1">
        <f t="shared" si="244"/>
        <v>0</v>
      </c>
      <c r="Y7845" s="1">
        <f t="shared" si="245"/>
        <v>15</v>
      </c>
    </row>
    <row r="7846" spans="24:25" x14ac:dyDescent="0.3">
      <c r="X7846" s="1">
        <f t="shared" si="244"/>
        <v>0</v>
      </c>
      <c r="Y7846" s="1">
        <f t="shared" si="245"/>
        <v>15</v>
      </c>
    </row>
    <row r="7847" spans="24:25" x14ac:dyDescent="0.3">
      <c r="X7847" s="1">
        <f t="shared" si="244"/>
        <v>0</v>
      </c>
      <c r="Y7847" s="1">
        <f t="shared" si="245"/>
        <v>15</v>
      </c>
    </row>
    <row r="7848" spans="24:25" x14ac:dyDescent="0.3">
      <c r="X7848" s="1">
        <f t="shared" si="244"/>
        <v>0</v>
      </c>
      <c r="Y7848" s="1">
        <f t="shared" si="245"/>
        <v>15</v>
      </c>
    </row>
    <row r="7849" spans="24:25" x14ac:dyDescent="0.3">
      <c r="X7849" s="1">
        <f t="shared" si="244"/>
        <v>0</v>
      </c>
      <c r="Y7849" s="1">
        <f t="shared" si="245"/>
        <v>15</v>
      </c>
    </row>
    <row r="7850" spans="24:25" x14ac:dyDescent="0.3">
      <c r="X7850" s="1">
        <f t="shared" si="244"/>
        <v>0</v>
      </c>
      <c r="Y7850" s="1">
        <f t="shared" si="245"/>
        <v>15</v>
      </c>
    </row>
    <row r="7851" spans="24:25" x14ac:dyDescent="0.3">
      <c r="X7851" s="1">
        <f t="shared" si="244"/>
        <v>0</v>
      </c>
      <c r="Y7851" s="1">
        <f t="shared" si="245"/>
        <v>15</v>
      </c>
    </row>
    <row r="7852" spans="24:25" x14ac:dyDescent="0.3">
      <c r="X7852" s="1">
        <f t="shared" si="244"/>
        <v>0</v>
      </c>
      <c r="Y7852" s="1">
        <f t="shared" si="245"/>
        <v>15</v>
      </c>
    </row>
    <row r="7853" spans="24:25" x14ac:dyDescent="0.3">
      <c r="X7853" s="1">
        <f t="shared" si="244"/>
        <v>0</v>
      </c>
      <c r="Y7853" s="1">
        <f t="shared" si="245"/>
        <v>15</v>
      </c>
    </row>
    <row r="7854" spans="24:25" x14ac:dyDescent="0.3">
      <c r="X7854" s="1">
        <f t="shared" si="244"/>
        <v>0</v>
      </c>
      <c r="Y7854" s="1">
        <f t="shared" si="245"/>
        <v>15</v>
      </c>
    </row>
    <row r="7855" spans="24:25" x14ac:dyDescent="0.3">
      <c r="X7855" s="1">
        <f t="shared" si="244"/>
        <v>0</v>
      </c>
      <c r="Y7855" s="1">
        <f t="shared" si="245"/>
        <v>15</v>
      </c>
    </row>
    <row r="7856" spans="24:25" x14ac:dyDescent="0.3">
      <c r="X7856" s="1">
        <f t="shared" si="244"/>
        <v>0</v>
      </c>
      <c r="Y7856" s="1">
        <f t="shared" si="245"/>
        <v>15</v>
      </c>
    </row>
    <row r="7857" spans="24:25" x14ac:dyDescent="0.3">
      <c r="X7857" s="1">
        <f t="shared" si="244"/>
        <v>0</v>
      </c>
      <c r="Y7857" s="1">
        <f t="shared" si="245"/>
        <v>15</v>
      </c>
    </row>
    <row r="7858" spans="24:25" x14ac:dyDescent="0.3">
      <c r="X7858" s="1">
        <f t="shared" si="244"/>
        <v>0</v>
      </c>
      <c r="Y7858" s="1">
        <f t="shared" si="245"/>
        <v>15</v>
      </c>
    </row>
    <row r="7859" spans="24:25" x14ac:dyDescent="0.3">
      <c r="X7859" s="1">
        <f t="shared" si="244"/>
        <v>0</v>
      </c>
      <c r="Y7859" s="1">
        <f t="shared" si="245"/>
        <v>15</v>
      </c>
    </row>
    <row r="7860" spans="24:25" x14ac:dyDescent="0.3">
      <c r="X7860" s="1">
        <f t="shared" si="244"/>
        <v>0</v>
      </c>
      <c r="Y7860" s="1">
        <f t="shared" si="245"/>
        <v>15</v>
      </c>
    </row>
    <row r="7861" spans="24:25" x14ac:dyDescent="0.3">
      <c r="X7861" s="1">
        <f t="shared" si="244"/>
        <v>0</v>
      </c>
      <c r="Y7861" s="1">
        <f t="shared" si="245"/>
        <v>15</v>
      </c>
    </row>
    <row r="7862" spans="24:25" x14ac:dyDescent="0.3">
      <c r="X7862" s="1">
        <f t="shared" si="244"/>
        <v>0</v>
      </c>
      <c r="Y7862" s="1">
        <f t="shared" si="245"/>
        <v>15</v>
      </c>
    </row>
    <row r="7863" spans="24:25" x14ac:dyDescent="0.3">
      <c r="X7863" s="1">
        <f t="shared" si="244"/>
        <v>0</v>
      </c>
      <c r="Y7863" s="1">
        <f t="shared" si="245"/>
        <v>15</v>
      </c>
    </row>
    <row r="7864" spans="24:25" x14ac:dyDescent="0.3">
      <c r="X7864" s="1">
        <f t="shared" si="244"/>
        <v>0</v>
      </c>
      <c r="Y7864" s="1">
        <f t="shared" si="245"/>
        <v>15</v>
      </c>
    </row>
    <row r="7865" spans="24:25" x14ac:dyDescent="0.3">
      <c r="X7865" s="1">
        <f t="shared" si="244"/>
        <v>0</v>
      </c>
      <c r="Y7865" s="1">
        <f t="shared" si="245"/>
        <v>15</v>
      </c>
    </row>
    <row r="7866" spans="24:25" x14ac:dyDescent="0.3">
      <c r="X7866" s="1">
        <f t="shared" si="244"/>
        <v>0</v>
      </c>
      <c r="Y7866" s="1">
        <f t="shared" si="245"/>
        <v>15</v>
      </c>
    </row>
    <row r="7867" spans="24:25" x14ac:dyDescent="0.3">
      <c r="X7867" s="1">
        <f t="shared" si="244"/>
        <v>0</v>
      </c>
      <c r="Y7867" s="1">
        <f t="shared" si="245"/>
        <v>15</v>
      </c>
    </row>
    <row r="7868" spans="24:25" x14ac:dyDescent="0.3">
      <c r="X7868" s="1">
        <f t="shared" si="244"/>
        <v>0</v>
      </c>
      <c r="Y7868" s="1">
        <f t="shared" si="245"/>
        <v>15</v>
      </c>
    </row>
    <row r="7869" spans="24:25" x14ac:dyDescent="0.3">
      <c r="X7869" s="1">
        <f t="shared" si="244"/>
        <v>0</v>
      </c>
      <c r="Y7869" s="1">
        <f t="shared" si="245"/>
        <v>15</v>
      </c>
    </row>
    <row r="7870" spans="24:25" x14ac:dyDescent="0.3">
      <c r="X7870" s="1">
        <f t="shared" si="244"/>
        <v>0</v>
      </c>
      <c r="Y7870" s="1">
        <f t="shared" si="245"/>
        <v>15</v>
      </c>
    </row>
    <row r="7871" spans="24:25" x14ac:dyDescent="0.3">
      <c r="X7871" s="1">
        <f t="shared" si="244"/>
        <v>0</v>
      </c>
      <c r="Y7871" s="1">
        <f t="shared" si="245"/>
        <v>15</v>
      </c>
    </row>
    <row r="7872" spans="24:25" x14ac:dyDescent="0.3">
      <c r="X7872" s="1">
        <f t="shared" si="244"/>
        <v>0</v>
      </c>
      <c r="Y7872" s="1">
        <f t="shared" si="245"/>
        <v>15</v>
      </c>
    </row>
    <row r="7873" spans="24:25" x14ac:dyDescent="0.3">
      <c r="X7873" s="1">
        <f t="shared" si="244"/>
        <v>0</v>
      </c>
      <c r="Y7873" s="1">
        <f t="shared" si="245"/>
        <v>15</v>
      </c>
    </row>
    <row r="7874" spans="24:25" x14ac:dyDescent="0.3">
      <c r="X7874" s="1">
        <f t="shared" si="244"/>
        <v>0</v>
      </c>
      <c r="Y7874" s="1">
        <f t="shared" si="245"/>
        <v>15</v>
      </c>
    </row>
    <row r="7875" spans="24:25" x14ac:dyDescent="0.3">
      <c r="X7875" s="1">
        <f t="shared" ref="X7875:X7938" si="246">IFERROR(MATCH(W7875,$B:$B,0),0)</f>
        <v>0</v>
      </c>
      <c r="Y7875" s="1">
        <f t="shared" ref="Y7875:Y7938" si="247">IF(X7876=0,COUNTA(A:A),X7876-1)</f>
        <v>15</v>
      </c>
    </row>
    <row r="7876" spans="24:25" x14ac:dyDescent="0.3">
      <c r="X7876" s="1">
        <f t="shared" si="246"/>
        <v>0</v>
      </c>
      <c r="Y7876" s="1">
        <f t="shared" si="247"/>
        <v>15</v>
      </c>
    </row>
    <row r="7877" spans="24:25" x14ac:dyDescent="0.3">
      <c r="X7877" s="1">
        <f t="shared" si="246"/>
        <v>0</v>
      </c>
      <c r="Y7877" s="1">
        <f t="shared" si="247"/>
        <v>15</v>
      </c>
    </row>
    <row r="7878" spans="24:25" x14ac:dyDescent="0.3">
      <c r="X7878" s="1">
        <f t="shared" si="246"/>
        <v>0</v>
      </c>
      <c r="Y7878" s="1">
        <f t="shared" si="247"/>
        <v>15</v>
      </c>
    </row>
    <row r="7879" spans="24:25" x14ac:dyDescent="0.3">
      <c r="X7879" s="1">
        <f t="shared" si="246"/>
        <v>0</v>
      </c>
      <c r="Y7879" s="1">
        <f t="shared" si="247"/>
        <v>15</v>
      </c>
    </row>
    <row r="7880" spans="24:25" x14ac:dyDescent="0.3">
      <c r="X7880" s="1">
        <f t="shared" si="246"/>
        <v>0</v>
      </c>
      <c r="Y7880" s="1">
        <f t="shared" si="247"/>
        <v>15</v>
      </c>
    </row>
    <row r="7881" spans="24:25" x14ac:dyDescent="0.3">
      <c r="X7881" s="1">
        <f t="shared" si="246"/>
        <v>0</v>
      </c>
      <c r="Y7881" s="1">
        <f t="shared" si="247"/>
        <v>15</v>
      </c>
    </row>
    <row r="7882" spans="24:25" x14ac:dyDescent="0.3">
      <c r="X7882" s="1">
        <f t="shared" si="246"/>
        <v>0</v>
      </c>
      <c r="Y7882" s="1">
        <f t="shared" si="247"/>
        <v>15</v>
      </c>
    </row>
    <row r="7883" spans="24:25" x14ac:dyDescent="0.3">
      <c r="X7883" s="1">
        <f t="shared" si="246"/>
        <v>0</v>
      </c>
      <c r="Y7883" s="1">
        <f t="shared" si="247"/>
        <v>15</v>
      </c>
    </row>
    <row r="7884" spans="24:25" x14ac:dyDescent="0.3">
      <c r="X7884" s="1">
        <f t="shared" si="246"/>
        <v>0</v>
      </c>
      <c r="Y7884" s="1">
        <f t="shared" si="247"/>
        <v>15</v>
      </c>
    </row>
    <row r="7885" spans="24:25" x14ac:dyDescent="0.3">
      <c r="X7885" s="1">
        <f t="shared" si="246"/>
        <v>0</v>
      </c>
      <c r="Y7885" s="1">
        <f t="shared" si="247"/>
        <v>15</v>
      </c>
    </row>
    <row r="7886" spans="24:25" x14ac:dyDescent="0.3">
      <c r="X7886" s="1">
        <f t="shared" si="246"/>
        <v>0</v>
      </c>
      <c r="Y7886" s="1">
        <f t="shared" si="247"/>
        <v>15</v>
      </c>
    </row>
    <row r="7887" spans="24:25" x14ac:dyDescent="0.3">
      <c r="X7887" s="1">
        <f t="shared" si="246"/>
        <v>0</v>
      </c>
      <c r="Y7887" s="1">
        <f t="shared" si="247"/>
        <v>15</v>
      </c>
    </row>
    <row r="7888" spans="24:25" x14ac:dyDescent="0.3">
      <c r="X7888" s="1">
        <f t="shared" si="246"/>
        <v>0</v>
      </c>
      <c r="Y7888" s="1">
        <f t="shared" si="247"/>
        <v>15</v>
      </c>
    </row>
    <row r="7889" spans="24:25" x14ac:dyDescent="0.3">
      <c r="X7889" s="1">
        <f t="shared" si="246"/>
        <v>0</v>
      </c>
      <c r="Y7889" s="1">
        <f t="shared" si="247"/>
        <v>15</v>
      </c>
    </row>
    <row r="7890" spans="24:25" x14ac:dyDescent="0.3">
      <c r="X7890" s="1">
        <f t="shared" si="246"/>
        <v>0</v>
      </c>
      <c r="Y7890" s="1">
        <f t="shared" si="247"/>
        <v>15</v>
      </c>
    </row>
    <row r="7891" spans="24:25" x14ac:dyDescent="0.3">
      <c r="X7891" s="1">
        <f t="shared" si="246"/>
        <v>0</v>
      </c>
      <c r="Y7891" s="1">
        <f t="shared" si="247"/>
        <v>15</v>
      </c>
    </row>
    <row r="7892" spans="24:25" x14ac:dyDescent="0.3">
      <c r="X7892" s="1">
        <f t="shared" si="246"/>
        <v>0</v>
      </c>
      <c r="Y7892" s="1">
        <f t="shared" si="247"/>
        <v>15</v>
      </c>
    </row>
    <row r="7893" spans="24:25" x14ac:dyDescent="0.3">
      <c r="X7893" s="1">
        <f t="shared" si="246"/>
        <v>0</v>
      </c>
      <c r="Y7893" s="1">
        <f t="shared" si="247"/>
        <v>15</v>
      </c>
    </row>
    <row r="7894" spans="24:25" x14ac:dyDescent="0.3">
      <c r="X7894" s="1">
        <f t="shared" si="246"/>
        <v>0</v>
      </c>
      <c r="Y7894" s="1">
        <f t="shared" si="247"/>
        <v>15</v>
      </c>
    </row>
    <row r="7895" spans="24:25" x14ac:dyDescent="0.3">
      <c r="X7895" s="1">
        <f t="shared" si="246"/>
        <v>0</v>
      </c>
      <c r="Y7895" s="1">
        <f t="shared" si="247"/>
        <v>15</v>
      </c>
    </row>
    <row r="7896" spans="24:25" x14ac:dyDescent="0.3">
      <c r="X7896" s="1">
        <f t="shared" si="246"/>
        <v>0</v>
      </c>
      <c r="Y7896" s="1">
        <f t="shared" si="247"/>
        <v>15</v>
      </c>
    </row>
    <row r="7897" spans="24:25" x14ac:dyDescent="0.3">
      <c r="X7897" s="1">
        <f t="shared" si="246"/>
        <v>0</v>
      </c>
      <c r="Y7897" s="1">
        <f t="shared" si="247"/>
        <v>15</v>
      </c>
    </row>
    <row r="7898" spans="24:25" x14ac:dyDescent="0.3">
      <c r="X7898" s="1">
        <f t="shared" si="246"/>
        <v>0</v>
      </c>
      <c r="Y7898" s="1">
        <f t="shared" si="247"/>
        <v>15</v>
      </c>
    </row>
    <row r="7899" spans="24:25" x14ac:dyDescent="0.3">
      <c r="X7899" s="1">
        <f t="shared" si="246"/>
        <v>0</v>
      </c>
      <c r="Y7899" s="1">
        <f t="shared" si="247"/>
        <v>15</v>
      </c>
    </row>
    <row r="7900" spans="24:25" x14ac:dyDescent="0.3">
      <c r="X7900" s="1">
        <f t="shared" si="246"/>
        <v>0</v>
      </c>
      <c r="Y7900" s="1">
        <f t="shared" si="247"/>
        <v>15</v>
      </c>
    </row>
    <row r="7901" spans="24:25" x14ac:dyDescent="0.3">
      <c r="X7901" s="1">
        <f t="shared" si="246"/>
        <v>0</v>
      </c>
      <c r="Y7901" s="1">
        <f t="shared" si="247"/>
        <v>15</v>
      </c>
    </row>
    <row r="7902" spans="24:25" x14ac:dyDescent="0.3">
      <c r="X7902" s="1">
        <f t="shared" si="246"/>
        <v>0</v>
      </c>
      <c r="Y7902" s="1">
        <f t="shared" si="247"/>
        <v>15</v>
      </c>
    </row>
    <row r="7903" spans="24:25" x14ac:dyDescent="0.3">
      <c r="X7903" s="1">
        <f t="shared" si="246"/>
        <v>0</v>
      </c>
      <c r="Y7903" s="1">
        <f t="shared" si="247"/>
        <v>15</v>
      </c>
    </row>
    <row r="7904" spans="24:25" x14ac:dyDescent="0.3">
      <c r="X7904" s="1">
        <f t="shared" si="246"/>
        <v>0</v>
      </c>
      <c r="Y7904" s="1">
        <f t="shared" si="247"/>
        <v>15</v>
      </c>
    </row>
    <row r="7905" spans="24:25" x14ac:dyDescent="0.3">
      <c r="X7905" s="1">
        <f t="shared" si="246"/>
        <v>0</v>
      </c>
      <c r="Y7905" s="1">
        <f t="shared" si="247"/>
        <v>15</v>
      </c>
    </row>
    <row r="7906" spans="24:25" x14ac:dyDescent="0.3">
      <c r="X7906" s="1">
        <f t="shared" si="246"/>
        <v>0</v>
      </c>
      <c r="Y7906" s="1">
        <f t="shared" si="247"/>
        <v>15</v>
      </c>
    </row>
    <row r="7907" spans="24:25" x14ac:dyDescent="0.3">
      <c r="X7907" s="1">
        <f t="shared" si="246"/>
        <v>0</v>
      </c>
      <c r="Y7907" s="1">
        <f t="shared" si="247"/>
        <v>15</v>
      </c>
    </row>
    <row r="7908" spans="24:25" x14ac:dyDescent="0.3">
      <c r="X7908" s="1">
        <f t="shared" si="246"/>
        <v>0</v>
      </c>
      <c r="Y7908" s="1">
        <f t="shared" si="247"/>
        <v>15</v>
      </c>
    </row>
    <row r="7909" spans="24:25" x14ac:dyDescent="0.3">
      <c r="X7909" s="1">
        <f t="shared" si="246"/>
        <v>0</v>
      </c>
      <c r="Y7909" s="1">
        <f t="shared" si="247"/>
        <v>15</v>
      </c>
    </row>
    <row r="7910" spans="24:25" x14ac:dyDescent="0.3">
      <c r="X7910" s="1">
        <f t="shared" si="246"/>
        <v>0</v>
      </c>
      <c r="Y7910" s="1">
        <f t="shared" si="247"/>
        <v>15</v>
      </c>
    </row>
    <row r="7911" spans="24:25" x14ac:dyDescent="0.3">
      <c r="X7911" s="1">
        <f t="shared" si="246"/>
        <v>0</v>
      </c>
      <c r="Y7911" s="1">
        <f t="shared" si="247"/>
        <v>15</v>
      </c>
    </row>
    <row r="7912" spans="24:25" x14ac:dyDescent="0.3">
      <c r="X7912" s="1">
        <f t="shared" si="246"/>
        <v>0</v>
      </c>
      <c r="Y7912" s="1">
        <f t="shared" si="247"/>
        <v>15</v>
      </c>
    </row>
    <row r="7913" spans="24:25" x14ac:dyDescent="0.3">
      <c r="X7913" s="1">
        <f t="shared" si="246"/>
        <v>0</v>
      </c>
      <c r="Y7913" s="1">
        <f t="shared" si="247"/>
        <v>15</v>
      </c>
    </row>
    <row r="7914" spans="24:25" x14ac:dyDescent="0.3">
      <c r="X7914" s="1">
        <f t="shared" si="246"/>
        <v>0</v>
      </c>
      <c r="Y7914" s="1">
        <f t="shared" si="247"/>
        <v>15</v>
      </c>
    </row>
    <row r="7915" spans="24:25" x14ac:dyDescent="0.3">
      <c r="X7915" s="1">
        <f t="shared" si="246"/>
        <v>0</v>
      </c>
      <c r="Y7915" s="1">
        <f t="shared" si="247"/>
        <v>15</v>
      </c>
    </row>
    <row r="7916" spans="24:25" x14ac:dyDescent="0.3">
      <c r="X7916" s="1">
        <f t="shared" si="246"/>
        <v>0</v>
      </c>
      <c r="Y7916" s="1">
        <f t="shared" si="247"/>
        <v>15</v>
      </c>
    </row>
    <row r="7917" spans="24:25" x14ac:dyDescent="0.3">
      <c r="X7917" s="1">
        <f t="shared" si="246"/>
        <v>0</v>
      </c>
      <c r="Y7917" s="1">
        <f t="shared" si="247"/>
        <v>15</v>
      </c>
    </row>
    <row r="7918" spans="24:25" x14ac:dyDescent="0.3">
      <c r="X7918" s="1">
        <f t="shared" si="246"/>
        <v>0</v>
      </c>
      <c r="Y7918" s="1">
        <f t="shared" si="247"/>
        <v>15</v>
      </c>
    </row>
    <row r="7919" spans="24:25" x14ac:dyDescent="0.3">
      <c r="X7919" s="1">
        <f t="shared" si="246"/>
        <v>0</v>
      </c>
      <c r="Y7919" s="1">
        <f t="shared" si="247"/>
        <v>15</v>
      </c>
    </row>
    <row r="7920" spans="24:25" x14ac:dyDescent="0.3">
      <c r="X7920" s="1">
        <f t="shared" si="246"/>
        <v>0</v>
      </c>
      <c r="Y7920" s="1">
        <f t="shared" si="247"/>
        <v>15</v>
      </c>
    </row>
    <row r="7921" spans="24:25" x14ac:dyDescent="0.3">
      <c r="X7921" s="1">
        <f t="shared" si="246"/>
        <v>0</v>
      </c>
      <c r="Y7921" s="1">
        <f t="shared" si="247"/>
        <v>15</v>
      </c>
    </row>
    <row r="7922" spans="24:25" x14ac:dyDescent="0.3">
      <c r="X7922" s="1">
        <f t="shared" si="246"/>
        <v>0</v>
      </c>
      <c r="Y7922" s="1">
        <f t="shared" si="247"/>
        <v>15</v>
      </c>
    </row>
    <row r="7923" spans="24:25" x14ac:dyDescent="0.3">
      <c r="X7923" s="1">
        <f t="shared" si="246"/>
        <v>0</v>
      </c>
      <c r="Y7923" s="1">
        <f t="shared" si="247"/>
        <v>15</v>
      </c>
    </row>
    <row r="7924" spans="24:25" x14ac:dyDescent="0.3">
      <c r="X7924" s="1">
        <f t="shared" si="246"/>
        <v>0</v>
      </c>
      <c r="Y7924" s="1">
        <f t="shared" si="247"/>
        <v>15</v>
      </c>
    </row>
    <row r="7925" spans="24:25" x14ac:dyDescent="0.3">
      <c r="X7925" s="1">
        <f t="shared" si="246"/>
        <v>0</v>
      </c>
      <c r="Y7925" s="1">
        <f t="shared" si="247"/>
        <v>15</v>
      </c>
    </row>
    <row r="7926" spans="24:25" x14ac:dyDescent="0.3">
      <c r="X7926" s="1">
        <f t="shared" si="246"/>
        <v>0</v>
      </c>
      <c r="Y7926" s="1">
        <f t="shared" si="247"/>
        <v>15</v>
      </c>
    </row>
    <row r="7927" spans="24:25" x14ac:dyDescent="0.3">
      <c r="X7927" s="1">
        <f t="shared" si="246"/>
        <v>0</v>
      </c>
      <c r="Y7927" s="1">
        <f t="shared" si="247"/>
        <v>15</v>
      </c>
    </row>
    <row r="7928" spans="24:25" x14ac:dyDescent="0.3">
      <c r="X7928" s="1">
        <f t="shared" si="246"/>
        <v>0</v>
      </c>
      <c r="Y7928" s="1">
        <f t="shared" si="247"/>
        <v>15</v>
      </c>
    </row>
    <row r="7929" spans="24:25" x14ac:dyDescent="0.3">
      <c r="X7929" s="1">
        <f t="shared" si="246"/>
        <v>0</v>
      </c>
      <c r="Y7929" s="1">
        <f t="shared" si="247"/>
        <v>15</v>
      </c>
    </row>
    <row r="7930" spans="24:25" x14ac:dyDescent="0.3">
      <c r="X7930" s="1">
        <f t="shared" si="246"/>
        <v>0</v>
      </c>
      <c r="Y7930" s="1">
        <f t="shared" si="247"/>
        <v>15</v>
      </c>
    </row>
    <row r="7931" spans="24:25" x14ac:dyDescent="0.3">
      <c r="X7931" s="1">
        <f t="shared" si="246"/>
        <v>0</v>
      </c>
      <c r="Y7931" s="1">
        <f t="shared" si="247"/>
        <v>15</v>
      </c>
    </row>
    <row r="7932" spans="24:25" x14ac:dyDescent="0.3">
      <c r="X7932" s="1">
        <f t="shared" si="246"/>
        <v>0</v>
      </c>
      <c r="Y7932" s="1">
        <f t="shared" si="247"/>
        <v>15</v>
      </c>
    </row>
    <row r="7933" spans="24:25" x14ac:dyDescent="0.3">
      <c r="X7933" s="1">
        <f t="shared" si="246"/>
        <v>0</v>
      </c>
      <c r="Y7933" s="1">
        <f t="shared" si="247"/>
        <v>15</v>
      </c>
    </row>
    <row r="7934" spans="24:25" x14ac:dyDescent="0.3">
      <c r="X7934" s="1">
        <f t="shared" si="246"/>
        <v>0</v>
      </c>
      <c r="Y7934" s="1">
        <f t="shared" si="247"/>
        <v>15</v>
      </c>
    </row>
    <row r="7935" spans="24:25" x14ac:dyDescent="0.3">
      <c r="X7935" s="1">
        <f t="shared" si="246"/>
        <v>0</v>
      </c>
      <c r="Y7935" s="1">
        <f t="shared" si="247"/>
        <v>15</v>
      </c>
    </row>
    <row r="7936" spans="24:25" x14ac:dyDescent="0.3">
      <c r="X7936" s="1">
        <f t="shared" si="246"/>
        <v>0</v>
      </c>
      <c r="Y7936" s="1">
        <f t="shared" si="247"/>
        <v>15</v>
      </c>
    </row>
    <row r="7937" spans="24:25" x14ac:dyDescent="0.3">
      <c r="X7937" s="1">
        <f t="shared" si="246"/>
        <v>0</v>
      </c>
      <c r="Y7937" s="1">
        <f t="shared" si="247"/>
        <v>15</v>
      </c>
    </row>
    <row r="7938" spans="24:25" x14ac:dyDescent="0.3">
      <c r="X7938" s="1">
        <f t="shared" si="246"/>
        <v>0</v>
      </c>
      <c r="Y7938" s="1">
        <f t="shared" si="247"/>
        <v>15</v>
      </c>
    </row>
    <row r="7939" spans="24:25" x14ac:dyDescent="0.3">
      <c r="X7939" s="1">
        <f t="shared" ref="X7939:X8002" si="248">IFERROR(MATCH(W7939,$B:$B,0),0)</f>
        <v>0</v>
      </c>
      <c r="Y7939" s="1">
        <f t="shared" ref="Y7939:Y8002" si="249">IF(X7940=0,COUNTA(A:A),X7940-1)</f>
        <v>15</v>
      </c>
    </row>
    <row r="7940" spans="24:25" x14ac:dyDescent="0.3">
      <c r="X7940" s="1">
        <f t="shared" si="248"/>
        <v>0</v>
      </c>
      <c r="Y7940" s="1">
        <f t="shared" si="249"/>
        <v>15</v>
      </c>
    </row>
    <row r="7941" spans="24:25" x14ac:dyDescent="0.3">
      <c r="X7941" s="1">
        <f t="shared" si="248"/>
        <v>0</v>
      </c>
      <c r="Y7941" s="1">
        <f t="shared" si="249"/>
        <v>15</v>
      </c>
    </row>
    <row r="7942" spans="24:25" x14ac:dyDescent="0.3">
      <c r="X7942" s="1">
        <f t="shared" si="248"/>
        <v>0</v>
      </c>
      <c r="Y7942" s="1">
        <f t="shared" si="249"/>
        <v>15</v>
      </c>
    </row>
    <row r="7943" spans="24:25" x14ac:dyDescent="0.3">
      <c r="X7943" s="1">
        <f t="shared" si="248"/>
        <v>0</v>
      </c>
      <c r="Y7943" s="1">
        <f t="shared" si="249"/>
        <v>15</v>
      </c>
    </row>
    <row r="7944" spans="24:25" x14ac:dyDescent="0.3">
      <c r="X7944" s="1">
        <f t="shared" si="248"/>
        <v>0</v>
      </c>
      <c r="Y7944" s="1">
        <f t="shared" si="249"/>
        <v>15</v>
      </c>
    </row>
    <row r="7945" spans="24:25" x14ac:dyDescent="0.3">
      <c r="X7945" s="1">
        <f t="shared" si="248"/>
        <v>0</v>
      </c>
      <c r="Y7945" s="1">
        <f t="shared" si="249"/>
        <v>15</v>
      </c>
    </row>
    <row r="7946" spans="24:25" x14ac:dyDescent="0.3">
      <c r="X7946" s="1">
        <f t="shared" si="248"/>
        <v>0</v>
      </c>
      <c r="Y7946" s="1">
        <f t="shared" si="249"/>
        <v>15</v>
      </c>
    </row>
    <row r="7947" spans="24:25" x14ac:dyDescent="0.3">
      <c r="X7947" s="1">
        <f t="shared" si="248"/>
        <v>0</v>
      </c>
      <c r="Y7947" s="1">
        <f t="shared" si="249"/>
        <v>15</v>
      </c>
    </row>
    <row r="7948" spans="24:25" x14ac:dyDescent="0.3">
      <c r="X7948" s="1">
        <f t="shared" si="248"/>
        <v>0</v>
      </c>
      <c r="Y7948" s="1">
        <f t="shared" si="249"/>
        <v>15</v>
      </c>
    </row>
    <row r="7949" spans="24:25" x14ac:dyDescent="0.3">
      <c r="X7949" s="1">
        <f t="shared" si="248"/>
        <v>0</v>
      </c>
      <c r="Y7949" s="1">
        <f t="shared" si="249"/>
        <v>15</v>
      </c>
    </row>
    <row r="7950" spans="24:25" x14ac:dyDescent="0.3">
      <c r="X7950" s="1">
        <f t="shared" si="248"/>
        <v>0</v>
      </c>
      <c r="Y7950" s="1">
        <f t="shared" si="249"/>
        <v>15</v>
      </c>
    </row>
    <row r="7951" spans="24:25" x14ac:dyDescent="0.3">
      <c r="X7951" s="1">
        <f t="shared" si="248"/>
        <v>0</v>
      </c>
      <c r="Y7951" s="1">
        <f t="shared" si="249"/>
        <v>15</v>
      </c>
    </row>
    <row r="7952" spans="24:25" x14ac:dyDescent="0.3">
      <c r="X7952" s="1">
        <f t="shared" si="248"/>
        <v>0</v>
      </c>
      <c r="Y7952" s="1">
        <f t="shared" si="249"/>
        <v>15</v>
      </c>
    </row>
    <row r="7953" spans="24:25" x14ac:dyDescent="0.3">
      <c r="X7953" s="1">
        <f t="shared" si="248"/>
        <v>0</v>
      </c>
      <c r="Y7953" s="1">
        <f t="shared" si="249"/>
        <v>15</v>
      </c>
    </row>
    <row r="7954" spans="24:25" x14ac:dyDescent="0.3">
      <c r="X7954" s="1">
        <f t="shared" si="248"/>
        <v>0</v>
      </c>
      <c r="Y7954" s="1">
        <f t="shared" si="249"/>
        <v>15</v>
      </c>
    </row>
    <row r="7955" spans="24:25" x14ac:dyDescent="0.3">
      <c r="X7955" s="1">
        <f t="shared" si="248"/>
        <v>0</v>
      </c>
      <c r="Y7955" s="1">
        <f t="shared" si="249"/>
        <v>15</v>
      </c>
    </row>
    <row r="7956" spans="24:25" x14ac:dyDescent="0.3">
      <c r="X7956" s="1">
        <f t="shared" si="248"/>
        <v>0</v>
      </c>
      <c r="Y7956" s="1">
        <f t="shared" si="249"/>
        <v>15</v>
      </c>
    </row>
    <row r="7957" spans="24:25" x14ac:dyDescent="0.3">
      <c r="X7957" s="1">
        <f t="shared" si="248"/>
        <v>0</v>
      </c>
      <c r="Y7957" s="1">
        <f t="shared" si="249"/>
        <v>15</v>
      </c>
    </row>
    <row r="7958" spans="24:25" x14ac:dyDescent="0.3">
      <c r="X7958" s="1">
        <f t="shared" si="248"/>
        <v>0</v>
      </c>
      <c r="Y7958" s="1">
        <f t="shared" si="249"/>
        <v>15</v>
      </c>
    </row>
    <row r="7959" spans="24:25" x14ac:dyDescent="0.3">
      <c r="X7959" s="1">
        <f t="shared" si="248"/>
        <v>0</v>
      </c>
      <c r="Y7959" s="1">
        <f t="shared" si="249"/>
        <v>15</v>
      </c>
    </row>
    <row r="7960" spans="24:25" x14ac:dyDescent="0.3">
      <c r="X7960" s="1">
        <f t="shared" si="248"/>
        <v>0</v>
      </c>
      <c r="Y7960" s="1">
        <f t="shared" si="249"/>
        <v>15</v>
      </c>
    </row>
    <row r="7961" spans="24:25" x14ac:dyDescent="0.3">
      <c r="X7961" s="1">
        <f t="shared" si="248"/>
        <v>0</v>
      </c>
      <c r="Y7961" s="1">
        <f t="shared" si="249"/>
        <v>15</v>
      </c>
    </row>
    <row r="7962" spans="24:25" x14ac:dyDescent="0.3">
      <c r="X7962" s="1">
        <f t="shared" si="248"/>
        <v>0</v>
      </c>
      <c r="Y7962" s="1">
        <f t="shared" si="249"/>
        <v>15</v>
      </c>
    </row>
    <row r="7963" spans="24:25" x14ac:dyDescent="0.3">
      <c r="X7963" s="1">
        <f t="shared" si="248"/>
        <v>0</v>
      </c>
      <c r="Y7963" s="1">
        <f t="shared" si="249"/>
        <v>15</v>
      </c>
    </row>
    <row r="7964" spans="24:25" x14ac:dyDescent="0.3">
      <c r="X7964" s="1">
        <f t="shared" si="248"/>
        <v>0</v>
      </c>
      <c r="Y7964" s="1">
        <f t="shared" si="249"/>
        <v>15</v>
      </c>
    </row>
    <row r="7965" spans="24:25" x14ac:dyDescent="0.3">
      <c r="X7965" s="1">
        <f t="shared" si="248"/>
        <v>0</v>
      </c>
      <c r="Y7965" s="1">
        <f t="shared" si="249"/>
        <v>15</v>
      </c>
    </row>
    <row r="7966" spans="24:25" x14ac:dyDescent="0.3">
      <c r="X7966" s="1">
        <f t="shared" si="248"/>
        <v>0</v>
      </c>
      <c r="Y7966" s="1">
        <f t="shared" si="249"/>
        <v>15</v>
      </c>
    </row>
    <row r="7967" spans="24:25" x14ac:dyDescent="0.3">
      <c r="X7967" s="1">
        <f t="shared" si="248"/>
        <v>0</v>
      </c>
      <c r="Y7967" s="1">
        <f t="shared" si="249"/>
        <v>15</v>
      </c>
    </row>
    <row r="7968" spans="24:25" x14ac:dyDescent="0.3">
      <c r="X7968" s="1">
        <f t="shared" si="248"/>
        <v>0</v>
      </c>
      <c r="Y7968" s="1">
        <f t="shared" si="249"/>
        <v>15</v>
      </c>
    </row>
    <row r="7969" spans="24:25" x14ac:dyDescent="0.3">
      <c r="X7969" s="1">
        <f t="shared" si="248"/>
        <v>0</v>
      </c>
      <c r="Y7969" s="1">
        <f t="shared" si="249"/>
        <v>15</v>
      </c>
    </row>
    <row r="7970" spans="24:25" x14ac:dyDescent="0.3">
      <c r="X7970" s="1">
        <f t="shared" si="248"/>
        <v>0</v>
      </c>
      <c r="Y7970" s="1">
        <f t="shared" si="249"/>
        <v>15</v>
      </c>
    </row>
    <row r="7971" spans="24:25" x14ac:dyDescent="0.3">
      <c r="X7971" s="1">
        <f t="shared" si="248"/>
        <v>0</v>
      </c>
      <c r="Y7971" s="1">
        <f t="shared" si="249"/>
        <v>15</v>
      </c>
    </row>
    <row r="7972" spans="24:25" x14ac:dyDescent="0.3">
      <c r="X7972" s="1">
        <f t="shared" si="248"/>
        <v>0</v>
      </c>
      <c r="Y7972" s="1">
        <f t="shared" si="249"/>
        <v>15</v>
      </c>
    </row>
    <row r="7973" spans="24:25" x14ac:dyDescent="0.3">
      <c r="X7973" s="1">
        <f t="shared" si="248"/>
        <v>0</v>
      </c>
      <c r="Y7973" s="1">
        <f t="shared" si="249"/>
        <v>15</v>
      </c>
    </row>
    <row r="7974" spans="24:25" x14ac:dyDescent="0.3">
      <c r="X7974" s="1">
        <f t="shared" si="248"/>
        <v>0</v>
      </c>
      <c r="Y7974" s="1">
        <f t="shared" si="249"/>
        <v>15</v>
      </c>
    </row>
    <row r="7975" spans="24:25" x14ac:dyDescent="0.3">
      <c r="X7975" s="1">
        <f t="shared" si="248"/>
        <v>0</v>
      </c>
      <c r="Y7975" s="1">
        <f t="shared" si="249"/>
        <v>15</v>
      </c>
    </row>
    <row r="7976" spans="24:25" x14ac:dyDescent="0.3">
      <c r="X7976" s="1">
        <f t="shared" si="248"/>
        <v>0</v>
      </c>
      <c r="Y7976" s="1">
        <f t="shared" si="249"/>
        <v>15</v>
      </c>
    </row>
    <row r="7977" spans="24:25" x14ac:dyDescent="0.3">
      <c r="X7977" s="1">
        <f t="shared" si="248"/>
        <v>0</v>
      </c>
      <c r="Y7977" s="1">
        <f t="shared" si="249"/>
        <v>15</v>
      </c>
    </row>
    <row r="7978" spans="24:25" x14ac:dyDescent="0.3">
      <c r="X7978" s="1">
        <f t="shared" si="248"/>
        <v>0</v>
      </c>
      <c r="Y7978" s="1">
        <f t="shared" si="249"/>
        <v>15</v>
      </c>
    </row>
    <row r="7979" spans="24:25" x14ac:dyDescent="0.3">
      <c r="X7979" s="1">
        <f t="shared" si="248"/>
        <v>0</v>
      </c>
      <c r="Y7979" s="1">
        <f t="shared" si="249"/>
        <v>15</v>
      </c>
    </row>
    <row r="7980" spans="24:25" x14ac:dyDescent="0.3">
      <c r="X7980" s="1">
        <f t="shared" si="248"/>
        <v>0</v>
      </c>
      <c r="Y7980" s="1">
        <f t="shared" si="249"/>
        <v>15</v>
      </c>
    </row>
    <row r="7981" spans="24:25" x14ac:dyDescent="0.3">
      <c r="X7981" s="1">
        <f t="shared" si="248"/>
        <v>0</v>
      </c>
      <c r="Y7981" s="1">
        <f t="shared" si="249"/>
        <v>15</v>
      </c>
    </row>
    <row r="7982" spans="24:25" x14ac:dyDescent="0.3">
      <c r="X7982" s="1">
        <f t="shared" si="248"/>
        <v>0</v>
      </c>
      <c r="Y7982" s="1">
        <f t="shared" si="249"/>
        <v>15</v>
      </c>
    </row>
    <row r="7983" spans="24:25" x14ac:dyDescent="0.3">
      <c r="X7983" s="1">
        <f t="shared" si="248"/>
        <v>0</v>
      </c>
      <c r="Y7983" s="1">
        <f t="shared" si="249"/>
        <v>15</v>
      </c>
    </row>
    <row r="7984" spans="24:25" x14ac:dyDescent="0.3">
      <c r="X7984" s="1">
        <f t="shared" si="248"/>
        <v>0</v>
      </c>
      <c r="Y7984" s="1">
        <f t="shared" si="249"/>
        <v>15</v>
      </c>
    </row>
    <row r="7985" spans="24:25" x14ac:dyDescent="0.3">
      <c r="X7985" s="1">
        <f t="shared" si="248"/>
        <v>0</v>
      </c>
      <c r="Y7985" s="1">
        <f t="shared" si="249"/>
        <v>15</v>
      </c>
    </row>
    <row r="7986" spans="24:25" x14ac:dyDescent="0.3">
      <c r="X7986" s="1">
        <f t="shared" si="248"/>
        <v>0</v>
      </c>
      <c r="Y7986" s="1">
        <f t="shared" si="249"/>
        <v>15</v>
      </c>
    </row>
    <row r="7987" spans="24:25" x14ac:dyDescent="0.3">
      <c r="X7987" s="1">
        <f t="shared" si="248"/>
        <v>0</v>
      </c>
      <c r="Y7987" s="1">
        <f t="shared" si="249"/>
        <v>15</v>
      </c>
    </row>
    <row r="7988" spans="24:25" x14ac:dyDescent="0.3">
      <c r="X7988" s="1">
        <f t="shared" si="248"/>
        <v>0</v>
      </c>
      <c r="Y7988" s="1">
        <f t="shared" si="249"/>
        <v>15</v>
      </c>
    </row>
    <row r="7989" spans="24:25" x14ac:dyDescent="0.3">
      <c r="X7989" s="1">
        <f t="shared" si="248"/>
        <v>0</v>
      </c>
      <c r="Y7989" s="1">
        <f t="shared" si="249"/>
        <v>15</v>
      </c>
    </row>
    <row r="7990" spans="24:25" x14ac:dyDescent="0.3">
      <c r="X7990" s="1">
        <f t="shared" si="248"/>
        <v>0</v>
      </c>
      <c r="Y7990" s="1">
        <f t="shared" si="249"/>
        <v>15</v>
      </c>
    </row>
    <row r="7991" spans="24:25" x14ac:dyDescent="0.3">
      <c r="X7991" s="1">
        <f t="shared" si="248"/>
        <v>0</v>
      </c>
      <c r="Y7991" s="1">
        <f t="shared" si="249"/>
        <v>15</v>
      </c>
    </row>
    <row r="7992" spans="24:25" x14ac:dyDescent="0.3">
      <c r="X7992" s="1">
        <f t="shared" si="248"/>
        <v>0</v>
      </c>
      <c r="Y7992" s="1">
        <f t="shared" si="249"/>
        <v>15</v>
      </c>
    </row>
    <row r="7993" spans="24:25" x14ac:dyDescent="0.3">
      <c r="X7993" s="1">
        <f t="shared" si="248"/>
        <v>0</v>
      </c>
      <c r="Y7993" s="1">
        <f t="shared" si="249"/>
        <v>15</v>
      </c>
    </row>
    <row r="7994" spans="24:25" x14ac:dyDescent="0.3">
      <c r="X7994" s="1">
        <f t="shared" si="248"/>
        <v>0</v>
      </c>
      <c r="Y7994" s="1">
        <f t="shared" si="249"/>
        <v>15</v>
      </c>
    </row>
    <row r="7995" spans="24:25" x14ac:dyDescent="0.3">
      <c r="X7995" s="1">
        <f t="shared" si="248"/>
        <v>0</v>
      </c>
      <c r="Y7995" s="1">
        <f t="shared" si="249"/>
        <v>15</v>
      </c>
    </row>
    <row r="7996" spans="24:25" x14ac:dyDescent="0.3">
      <c r="X7996" s="1">
        <f t="shared" si="248"/>
        <v>0</v>
      </c>
      <c r="Y7996" s="1">
        <f t="shared" si="249"/>
        <v>15</v>
      </c>
    </row>
    <row r="7997" spans="24:25" x14ac:dyDescent="0.3">
      <c r="X7997" s="1">
        <f t="shared" si="248"/>
        <v>0</v>
      </c>
      <c r="Y7997" s="1">
        <f t="shared" si="249"/>
        <v>15</v>
      </c>
    </row>
    <row r="7998" spans="24:25" x14ac:dyDescent="0.3">
      <c r="X7998" s="1">
        <f t="shared" si="248"/>
        <v>0</v>
      </c>
      <c r="Y7998" s="1">
        <f t="shared" si="249"/>
        <v>15</v>
      </c>
    </row>
    <row r="7999" spans="24:25" x14ac:dyDescent="0.3">
      <c r="X7999" s="1">
        <f t="shared" si="248"/>
        <v>0</v>
      </c>
      <c r="Y7999" s="1">
        <f t="shared" si="249"/>
        <v>15</v>
      </c>
    </row>
    <row r="8000" spans="24:25" x14ac:dyDescent="0.3">
      <c r="X8000" s="1">
        <f t="shared" si="248"/>
        <v>0</v>
      </c>
      <c r="Y8000" s="1">
        <f t="shared" si="249"/>
        <v>15</v>
      </c>
    </row>
    <row r="8001" spans="24:25" x14ac:dyDescent="0.3">
      <c r="X8001" s="1">
        <f t="shared" si="248"/>
        <v>0</v>
      </c>
      <c r="Y8001" s="1">
        <f t="shared" si="249"/>
        <v>15</v>
      </c>
    </row>
    <row r="8002" spans="24:25" x14ac:dyDescent="0.3">
      <c r="X8002" s="1">
        <f t="shared" si="248"/>
        <v>0</v>
      </c>
      <c r="Y8002" s="1">
        <f t="shared" si="249"/>
        <v>15</v>
      </c>
    </row>
    <row r="8003" spans="24:25" x14ac:dyDescent="0.3">
      <c r="X8003" s="1">
        <f t="shared" ref="X8003:X8066" si="250">IFERROR(MATCH(W8003,$B:$B,0),0)</f>
        <v>0</v>
      </c>
      <c r="Y8003" s="1">
        <f t="shared" ref="Y8003:Y8066" si="251">IF(X8004=0,COUNTA(A:A),X8004-1)</f>
        <v>15</v>
      </c>
    </row>
    <row r="8004" spans="24:25" x14ac:dyDescent="0.3">
      <c r="X8004" s="1">
        <f t="shared" si="250"/>
        <v>0</v>
      </c>
      <c r="Y8004" s="1">
        <f t="shared" si="251"/>
        <v>15</v>
      </c>
    </row>
    <row r="8005" spans="24:25" x14ac:dyDescent="0.3">
      <c r="X8005" s="1">
        <f t="shared" si="250"/>
        <v>0</v>
      </c>
      <c r="Y8005" s="1">
        <f t="shared" si="251"/>
        <v>15</v>
      </c>
    </row>
    <row r="8006" spans="24:25" x14ac:dyDescent="0.3">
      <c r="X8006" s="1">
        <f t="shared" si="250"/>
        <v>0</v>
      </c>
      <c r="Y8006" s="1">
        <f t="shared" si="251"/>
        <v>15</v>
      </c>
    </row>
    <row r="8007" spans="24:25" x14ac:dyDescent="0.3">
      <c r="X8007" s="1">
        <f t="shared" si="250"/>
        <v>0</v>
      </c>
      <c r="Y8007" s="1">
        <f t="shared" si="251"/>
        <v>15</v>
      </c>
    </row>
    <row r="8008" spans="24:25" x14ac:dyDescent="0.3">
      <c r="X8008" s="1">
        <f t="shared" si="250"/>
        <v>0</v>
      </c>
      <c r="Y8008" s="1">
        <f t="shared" si="251"/>
        <v>15</v>
      </c>
    </row>
    <row r="8009" spans="24:25" x14ac:dyDescent="0.3">
      <c r="X8009" s="1">
        <f t="shared" si="250"/>
        <v>0</v>
      </c>
      <c r="Y8009" s="1">
        <f t="shared" si="251"/>
        <v>15</v>
      </c>
    </row>
    <row r="8010" spans="24:25" x14ac:dyDescent="0.3">
      <c r="X8010" s="1">
        <f t="shared" si="250"/>
        <v>0</v>
      </c>
      <c r="Y8010" s="1">
        <f t="shared" si="251"/>
        <v>15</v>
      </c>
    </row>
    <row r="8011" spans="24:25" x14ac:dyDescent="0.3">
      <c r="X8011" s="1">
        <f t="shared" si="250"/>
        <v>0</v>
      </c>
      <c r="Y8011" s="1">
        <f t="shared" si="251"/>
        <v>15</v>
      </c>
    </row>
    <row r="8012" spans="24:25" x14ac:dyDescent="0.3">
      <c r="X8012" s="1">
        <f t="shared" si="250"/>
        <v>0</v>
      </c>
      <c r="Y8012" s="1">
        <f t="shared" si="251"/>
        <v>15</v>
      </c>
    </row>
    <row r="8013" spans="24:25" x14ac:dyDescent="0.3">
      <c r="X8013" s="1">
        <f t="shared" si="250"/>
        <v>0</v>
      </c>
      <c r="Y8013" s="1">
        <f t="shared" si="251"/>
        <v>15</v>
      </c>
    </row>
    <row r="8014" spans="24:25" x14ac:dyDescent="0.3">
      <c r="X8014" s="1">
        <f t="shared" si="250"/>
        <v>0</v>
      </c>
      <c r="Y8014" s="1">
        <f t="shared" si="251"/>
        <v>15</v>
      </c>
    </row>
    <row r="8015" spans="24:25" x14ac:dyDescent="0.3">
      <c r="X8015" s="1">
        <f t="shared" si="250"/>
        <v>0</v>
      </c>
      <c r="Y8015" s="1">
        <f t="shared" si="251"/>
        <v>15</v>
      </c>
    </row>
    <row r="8016" spans="24:25" x14ac:dyDescent="0.3">
      <c r="X8016" s="1">
        <f t="shared" si="250"/>
        <v>0</v>
      </c>
      <c r="Y8016" s="1">
        <f t="shared" si="251"/>
        <v>15</v>
      </c>
    </row>
    <row r="8017" spans="24:25" x14ac:dyDescent="0.3">
      <c r="X8017" s="1">
        <f t="shared" si="250"/>
        <v>0</v>
      </c>
      <c r="Y8017" s="1">
        <f t="shared" si="251"/>
        <v>15</v>
      </c>
    </row>
    <row r="8018" spans="24:25" x14ac:dyDescent="0.3">
      <c r="X8018" s="1">
        <f t="shared" si="250"/>
        <v>0</v>
      </c>
      <c r="Y8018" s="1">
        <f t="shared" si="251"/>
        <v>15</v>
      </c>
    </row>
    <row r="8019" spans="24:25" x14ac:dyDescent="0.3">
      <c r="X8019" s="1">
        <f t="shared" si="250"/>
        <v>0</v>
      </c>
      <c r="Y8019" s="1">
        <f t="shared" si="251"/>
        <v>15</v>
      </c>
    </row>
    <row r="8020" spans="24:25" x14ac:dyDescent="0.3">
      <c r="X8020" s="1">
        <f t="shared" si="250"/>
        <v>0</v>
      </c>
      <c r="Y8020" s="1">
        <f t="shared" si="251"/>
        <v>15</v>
      </c>
    </row>
    <row r="8021" spans="24:25" x14ac:dyDescent="0.3">
      <c r="X8021" s="1">
        <f t="shared" si="250"/>
        <v>0</v>
      </c>
      <c r="Y8021" s="1">
        <f t="shared" si="251"/>
        <v>15</v>
      </c>
    </row>
    <row r="8022" spans="24:25" x14ac:dyDescent="0.3">
      <c r="X8022" s="1">
        <f t="shared" si="250"/>
        <v>0</v>
      </c>
      <c r="Y8022" s="1">
        <f t="shared" si="251"/>
        <v>15</v>
      </c>
    </row>
    <row r="8023" spans="24:25" x14ac:dyDescent="0.3">
      <c r="X8023" s="1">
        <f t="shared" si="250"/>
        <v>0</v>
      </c>
      <c r="Y8023" s="1">
        <f t="shared" si="251"/>
        <v>15</v>
      </c>
    </row>
    <row r="8024" spans="24:25" x14ac:dyDescent="0.3">
      <c r="X8024" s="1">
        <f t="shared" si="250"/>
        <v>0</v>
      </c>
      <c r="Y8024" s="1">
        <f t="shared" si="251"/>
        <v>15</v>
      </c>
    </row>
    <row r="8025" spans="24:25" x14ac:dyDescent="0.3">
      <c r="X8025" s="1">
        <f t="shared" si="250"/>
        <v>0</v>
      </c>
      <c r="Y8025" s="1">
        <f t="shared" si="251"/>
        <v>15</v>
      </c>
    </row>
    <row r="8026" spans="24:25" x14ac:dyDescent="0.3">
      <c r="X8026" s="1">
        <f t="shared" si="250"/>
        <v>0</v>
      </c>
      <c r="Y8026" s="1">
        <f t="shared" si="251"/>
        <v>15</v>
      </c>
    </row>
    <row r="8027" spans="24:25" x14ac:dyDescent="0.3">
      <c r="X8027" s="1">
        <f t="shared" si="250"/>
        <v>0</v>
      </c>
      <c r="Y8027" s="1">
        <f t="shared" si="251"/>
        <v>15</v>
      </c>
    </row>
    <row r="8028" spans="24:25" x14ac:dyDescent="0.3">
      <c r="X8028" s="1">
        <f t="shared" si="250"/>
        <v>0</v>
      </c>
      <c r="Y8028" s="1">
        <f t="shared" si="251"/>
        <v>15</v>
      </c>
    </row>
    <row r="8029" spans="24:25" x14ac:dyDescent="0.3">
      <c r="X8029" s="1">
        <f t="shared" si="250"/>
        <v>0</v>
      </c>
      <c r="Y8029" s="1">
        <f t="shared" si="251"/>
        <v>15</v>
      </c>
    </row>
    <row r="8030" spans="24:25" x14ac:dyDescent="0.3">
      <c r="X8030" s="1">
        <f t="shared" si="250"/>
        <v>0</v>
      </c>
      <c r="Y8030" s="1">
        <f t="shared" si="251"/>
        <v>15</v>
      </c>
    </row>
    <row r="8031" spans="24:25" x14ac:dyDescent="0.3">
      <c r="X8031" s="1">
        <f t="shared" si="250"/>
        <v>0</v>
      </c>
      <c r="Y8031" s="1">
        <f t="shared" si="251"/>
        <v>15</v>
      </c>
    </row>
    <row r="8032" spans="24:25" x14ac:dyDescent="0.3">
      <c r="X8032" s="1">
        <f t="shared" si="250"/>
        <v>0</v>
      </c>
      <c r="Y8032" s="1">
        <f t="shared" si="251"/>
        <v>15</v>
      </c>
    </row>
    <row r="8033" spans="24:25" x14ac:dyDescent="0.3">
      <c r="X8033" s="1">
        <f t="shared" si="250"/>
        <v>0</v>
      </c>
      <c r="Y8033" s="1">
        <f t="shared" si="251"/>
        <v>15</v>
      </c>
    </row>
    <row r="8034" spans="24:25" x14ac:dyDescent="0.3">
      <c r="X8034" s="1">
        <f t="shared" si="250"/>
        <v>0</v>
      </c>
      <c r="Y8034" s="1">
        <f t="shared" si="251"/>
        <v>15</v>
      </c>
    </row>
    <row r="8035" spans="24:25" x14ac:dyDescent="0.3">
      <c r="X8035" s="1">
        <f t="shared" si="250"/>
        <v>0</v>
      </c>
      <c r="Y8035" s="1">
        <f t="shared" si="251"/>
        <v>15</v>
      </c>
    </row>
    <row r="8036" spans="24:25" x14ac:dyDescent="0.3">
      <c r="X8036" s="1">
        <f t="shared" si="250"/>
        <v>0</v>
      </c>
      <c r="Y8036" s="1">
        <f t="shared" si="251"/>
        <v>15</v>
      </c>
    </row>
    <row r="8037" spans="24:25" x14ac:dyDescent="0.3">
      <c r="X8037" s="1">
        <f t="shared" si="250"/>
        <v>0</v>
      </c>
      <c r="Y8037" s="1">
        <f t="shared" si="251"/>
        <v>15</v>
      </c>
    </row>
    <row r="8038" spans="24:25" x14ac:dyDescent="0.3">
      <c r="X8038" s="1">
        <f t="shared" si="250"/>
        <v>0</v>
      </c>
      <c r="Y8038" s="1">
        <f t="shared" si="251"/>
        <v>15</v>
      </c>
    </row>
    <row r="8039" spans="24:25" x14ac:dyDescent="0.3">
      <c r="X8039" s="1">
        <f t="shared" si="250"/>
        <v>0</v>
      </c>
      <c r="Y8039" s="1">
        <f t="shared" si="251"/>
        <v>15</v>
      </c>
    </row>
    <row r="8040" spans="24:25" x14ac:dyDescent="0.3">
      <c r="X8040" s="1">
        <f t="shared" si="250"/>
        <v>0</v>
      </c>
      <c r="Y8040" s="1">
        <f t="shared" si="251"/>
        <v>15</v>
      </c>
    </row>
    <row r="8041" spans="24:25" x14ac:dyDescent="0.3">
      <c r="X8041" s="1">
        <f t="shared" si="250"/>
        <v>0</v>
      </c>
      <c r="Y8041" s="1">
        <f t="shared" si="251"/>
        <v>15</v>
      </c>
    </row>
    <row r="8042" spans="24:25" x14ac:dyDescent="0.3">
      <c r="X8042" s="1">
        <f t="shared" si="250"/>
        <v>0</v>
      </c>
      <c r="Y8042" s="1">
        <f t="shared" si="251"/>
        <v>15</v>
      </c>
    </row>
    <row r="8043" spans="24:25" x14ac:dyDescent="0.3">
      <c r="X8043" s="1">
        <f t="shared" si="250"/>
        <v>0</v>
      </c>
      <c r="Y8043" s="1">
        <f t="shared" si="251"/>
        <v>15</v>
      </c>
    </row>
    <row r="8044" spans="24:25" x14ac:dyDescent="0.3">
      <c r="X8044" s="1">
        <f t="shared" si="250"/>
        <v>0</v>
      </c>
      <c r="Y8044" s="1">
        <f t="shared" si="251"/>
        <v>15</v>
      </c>
    </row>
    <row r="8045" spans="24:25" x14ac:dyDescent="0.3">
      <c r="X8045" s="1">
        <f t="shared" si="250"/>
        <v>0</v>
      </c>
      <c r="Y8045" s="1">
        <f t="shared" si="251"/>
        <v>15</v>
      </c>
    </row>
    <row r="8046" spans="24:25" x14ac:dyDescent="0.3">
      <c r="X8046" s="1">
        <f t="shared" si="250"/>
        <v>0</v>
      </c>
      <c r="Y8046" s="1">
        <f t="shared" si="251"/>
        <v>15</v>
      </c>
    </row>
    <row r="8047" spans="24:25" x14ac:dyDescent="0.3">
      <c r="X8047" s="1">
        <f t="shared" si="250"/>
        <v>0</v>
      </c>
      <c r="Y8047" s="1">
        <f t="shared" si="251"/>
        <v>15</v>
      </c>
    </row>
    <row r="8048" spans="24:25" x14ac:dyDescent="0.3">
      <c r="X8048" s="1">
        <f t="shared" si="250"/>
        <v>0</v>
      </c>
      <c r="Y8048" s="1">
        <f t="shared" si="251"/>
        <v>15</v>
      </c>
    </row>
    <row r="8049" spans="24:25" x14ac:dyDescent="0.3">
      <c r="X8049" s="1">
        <f t="shared" si="250"/>
        <v>0</v>
      </c>
      <c r="Y8049" s="1">
        <f t="shared" si="251"/>
        <v>15</v>
      </c>
    </row>
    <row r="8050" spans="24:25" x14ac:dyDescent="0.3">
      <c r="X8050" s="1">
        <f t="shared" si="250"/>
        <v>0</v>
      </c>
      <c r="Y8050" s="1">
        <f t="shared" si="251"/>
        <v>15</v>
      </c>
    </row>
    <row r="8051" spans="24:25" x14ac:dyDescent="0.3">
      <c r="X8051" s="1">
        <f t="shared" si="250"/>
        <v>0</v>
      </c>
      <c r="Y8051" s="1">
        <f t="shared" si="251"/>
        <v>15</v>
      </c>
    </row>
    <row r="8052" spans="24:25" x14ac:dyDescent="0.3">
      <c r="X8052" s="1">
        <f t="shared" si="250"/>
        <v>0</v>
      </c>
      <c r="Y8052" s="1">
        <f t="shared" si="251"/>
        <v>15</v>
      </c>
    </row>
    <row r="8053" spans="24:25" x14ac:dyDescent="0.3">
      <c r="X8053" s="1">
        <f t="shared" si="250"/>
        <v>0</v>
      </c>
      <c r="Y8053" s="1">
        <f t="shared" si="251"/>
        <v>15</v>
      </c>
    </row>
    <row r="8054" spans="24:25" x14ac:dyDescent="0.3">
      <c r="X8054" s="1">
        <f t="shared" si="250"/>
        <v>0</v>
      </c>
      <c r="Y8054" s="1">
        <f t="shared" si="251"/>
        <v>15</v>
      </c>
    </row>
    <row r="8055" spans="24:25" x14ac:dyDescent="0.3">
      <c r="X8055" s="1">
        <f t="shared" si="250"/>
        <v>0</v>
      </c>
      <c r="Y8055" s="1">
        <f t="shared" si="251"/>
        <v>15</v>
      </c>
    </row>
    <row r="8056" spans="24:25" x14ac:dyDescent="0.3">
      <c r="X8056" s="1">
        <f t="shared" si="250"/>
        <v>0</v>
      </c>
      <c r="Y8056" s="1">
        <f t="shared" si="251"/>
        <v>15</v>
      </c>
    </row>
    <row r="8057" spans="24:25" x14ac:dyDescent="0.3">
      <c r="X8057" s="1">
        <f t="shared" si="250"/>
        <v>0</v>
      </c>
      <c r="Y8057" s="1">
        <f t="shared" si="251"/>
        <v>15</v>
      </c>
    </row>
    <row r="8058" spans="24:25" x14ac:dyDescent="0.3">
      <c r="X8058" s="1">
        <f t="shared" si="250"/>
        <v>0</v>
      </c>
      <c r="Y8058" s="1">
        <f t="shared" si="251"/>
        <v>15</v>
      </c>
    </row>
    <row r="8059" spans="24:25" x14ac:dyDescent="0.3">
      <c r="X8059" s="1">
        <f t="shared" si="250"/>
        <v>0</v>
      </c>
      <c r="Y8059" s="1">
        <f t="shared" si="251"/>
        <v>15</v>
      </c>
    </row>
    <row r="8060" spans="24:25" x14ac:dyDescent="0.3">
      <c r="X8060" s="1">
        <f t="shared" si="250"/>
        <v>0</v>
      </c>
      <c r="Y8060" s="1">
        <f t="shared" si="251"/>
        <v>15</v>
      </c>
    </row>
    <row r="8061" spans="24:25" x14ac:dyDescent="0.3">
      <c r="X8061" s="1">
        <f t="shared" si="250"/>
        <v>0</v>
      </c>
      <c r="Y8061" s="1">
        <f t="shared" si="251"/>
        <v>15</v>
      </c>
    </row>
    <row r="8062" spans="24:25" x14ac:dyDescent="0.3">
      <c r="X8062" s="1">
        <f t="shared" si="250"/>
        <v>0</v>
      </c>
      <c r="Y8062" s="1">
        <f t="shared" si="251"/>
        <v>15</v>
      </c>
    </row>
    <row r="8063" spans="24:25" x14ac:dyDescent="0.3">
      <c r="X8063" s="1">
        <f t="shared" si="250"/>
        <v>0</v>
      </c>
      <c r="Y8063" s="1">
        <f t="shared" si="251"/>
        <v>15</v>
      </c>
    </row>
    <row r="8064" spans="24:25" x14ac:dyDescent="0.3">
      <c r="X8064" s="1">
        <f t="shared" si="250"/>
        <v>0</v>
      </c>
      <c r="Y8064" s="1">
        <f t="shared" si="251"/>
        <v>15</v>
      </c>
    </row>
    <row r="8065" spans="24:25" x14ac:dyDescent="0.3">
      <c r="X8065" s="1">
        <f t="shared" si="250"/>
        <v>0</v>
      </c>
      <c r="Y8065" s="1">
        <f t="shared" si="251"/>
        <v>15</v>
      </c>
    </row>
    <row r="8066" spans="24:25" x14ac:dyDescent="0.3">
      <c r="X8066" s="1">
        <f t="shared" si="250"/>
        <v>0</v>
      </c>
      <c r="Y8066" s="1">
        <f t="shared" si="251"/>
        <v>15</v>
      </c>
    </row>
    <row r="8067" spans="24:25" x14ac:dyDescent="0.3">
      <c r="X8067" s="1">
        <f t="shared" ref="X8067:X8130" si="252">IFERROR(MATCH(W8067,$B:$B,0),0)</f>
        <v>0</v>
      </c>
      <c r="Y8067" s="1">
        <f t="shared" ref="Y8067:Y8130" si="253">IF(X8068=0,COUNTA(A:A),X8068-1)</f>
        <v>15</v>
      </c>
    </row>
    <row r="8068" spans="24:25" x14ac:dyDescent="0.3">
      <c r="X8068" s="1">
        <f t="shared" si="252"/>
        <v>0</v>
      </c>
      <c r="Y8068" s="1">
        <f t="shared" si="253"/>
        <v>15</v>
      </c>
    </row>
    <row r="8069" spans="24:25" x14ac:dyDescent="0.3">
      <c r="X8069" s="1">
        <f t="shared" si="252"/>
        <v>0</v>
      </c>
      <c r="Y8069" s="1">
        <f t="shared" si="253"/>
        <v>15</v>
      </c>
    </row>
    <row r="8070" spans="24:25" x14ac:dyDescent="0.3">
      <c r="X8070" s="1">
        <f t="shared" si="252"/>
        <v>0</v>
      </c>
      <c r="Y8070" s="1">
        <f t="shared" si="253"/>
        <v>15</v>
      </c>
    </row>
    <row r="8071" spans="24:25" x14ac:dyDescent="0.3">
      <c r="X8071" s="1">
        <f t="shared" si="252"/>
        <v>0</v>
      </c>
      <c r="Y8071" s="1">
        <f t="shared" si="253"/>
        <v>15</v>
      </c>
    </row>
    <row r="8072" spans="24:25" x14ac:dyDescent="0.3">
      <c r="X8072" s="1">
        <f t="shared" si="252"/>
        <v>0</v>
      </c>
      <c r="Y8072" s="1">
        <f t="shared" si="253"/>
        <v>15</v>
      </c>
    </row>
    <row r="8073" spans="24:25" x14ac:dyDescent="0.3">
      <c r="X8073" s="1">
        <f t="shared" si="252"/>
        <v>0</v>
      </c>
      <c r="Y8073" s="1">
        <f t="shared" si="253"/>
        <v>15</v>
      </c>
    </row>
    <row r="8074" spans="24:25" x14ac:dyDescent="0.3">
      <c r="X8074" s="1">
        <f t="shared" si="252"/>
        <v>0</v>
      </c>
      <c r="Y8074" s="1">
        <f t="shared" si="253"/>
        <v>15</v>
      </c>
    </row>
    <row r="8075" spans="24:25" x14ac:dyDescent="0.3">
      <c r="X8075" s="1">
        <f t="shared" si="252"/>
        <v>0</v>
      </c>
      <c r="Y8075" s="1">
        <f t="shared" si="253"/>
        <v>15</v>
      </c>
    </row>
    <row r="8076" spans="24:25" x14ac:dyDescent="0.3">
      <c r="X8076" s="1">
        <f t="shared" si="252"/>
        <v>0</v>
      </c>
      <c r="Y8076" s="1">
        <f t="shared" si="253"/>
        <v>15</v>
      </c>
    </row>
    <row r="8077" spans="24:25" x14ac:dyDescent="0.3">
      <c r="X8077" s="1">
        <f t="shared" si="252"/>
        <v>0</v>
      </c>
      <c r="Y8077" s="1">
        <f t="shared" si="253"/>
        <v>15</v>
      </c>
    </row>
    <row r="8078" spans="24:25" x14ac:dyDescent="0.3">
      <c r="X8078" s="1">
        <f t="shared" si="252"/>
        <v>0</v>
      </c>
      <c r="Y8078" s="1">
        <f t="shared" si="253"/>
        <v>15</v>
      </c>
    </row>
    <row r="8079" spans="24:25" x14ac:dyDescent="0.3">
      <c r="X8079" s="1">
        <f t="shared" si="252"/>
        <v>0</v>
      </c>
      <c r="Y8079" s="1">
        <f t="shared" si="253"/>
        <v>15</v>
      </c>
    </row>
    <row r="8080" spans="24:25" x14ac:dyDescent="0.3">
      <c r="X8080" s="1">
        <f t="shared" si="252"/>
        <v>0</v>
      </c>
      <c r="Y8080" s="1">
        <f t="shared" si="253"/>
        <v>15</v>
      </c>
    </row>
    <row r="8081" spans="24:25" x14ac:dyDescent="0.3">
      <c r="X8081" s="1">
        <f t="shared" si="252"/>
        <v>0</v>
      </c>
      <c r="Y8081" s="1">
        <f t="shared" si="253"/>
        <v>15</v>
      </c>
    </row>
    <row r="8082" spans="24:25" x14ac:dyDescent="0.3">
      <c r="X8082" s="1">
        <f t="shared" si="252"/>
        <v>0</v>
      </c>
      <c r="Y8082" s="1">
        <f t="shared" si="253"/>
        <v>15</v>
      </c>
    </row>
    <row r="8083" spans="24:25" x14ac:dyDescent="0.3">
      <c r="X8083" s="1">
        <f t="shared" si="252"/>
        <v>0</v>
      </c>
      <c r="Y8083" s="1">
        <f t="shared" si="253"/>
        <v>15</v>
      </c>
    </row>
    <row r="8084" spans="24:25" x14ac:dyDescent="0.3">
      <c r="X8084" s="1">
        <f t="shared" si="252"/>
        <v>0</v>
      </c>
      <c r="Y8084" s="1">
        <f t="shared" si="253"/>
        <v>15</v>
      </c>
    </row>
    <row r="8085" spans="24:25" x14ac:dyDescent="0.3">
      <c r="X8085" s="1">
        <f t="shared" si="252"/>
        <v>0</v>
      </c>
      <c r="Y8085" s="1">
        <f t="shared" si="253"/>
        <v>15</v>
      </c>
    </row>
    <row r="8086" spans="24:25" x14ac:dyDescent="0.3">
      <c r="X8086" s="1">
        <f t="shared" si="252"/>
        <v>0</v>
      </c>
      <c r="Y8086" s="1">
        <f t="shared" si="253"/>
        <v>15</v>
      </c>
    </row>
    <row r="8087" spans="24:25" x14ac:dyDescent="0.3">
      <c r="X8087" s="1">
        <f t="shared" si="252"/>
        <v>0</v>
      </c>
      <c r="Y8087" s="1">
        <f t="shared" si="253"/>
        <v>15</v>
      </c>
    </row>
    <row r="8088" spans="24:25" x14ac:dyDescent="0.3">
      <c r="X8088" s="1">
        <f t="shared" si="252"/>
        <v>0</v>
      </c>
      <c r="Y8088" s="1">
        <f t="shared" si="253"/>
        <v>15</v>
      </c>
    </row>
    <row r="8089" spans="24:25" x14ac:dyDescent="0.3">
      <c r="X8089" s="1">
        <f t="shared" si="252"/>
        <v>0</v>
      </c>
      <c r="Y8089" s="1">
        <f t="shared" si="253"/>
        <v>15</v>
      </c>
    </row>
    <row r="8090" spans="24:25" x14ac:dyDescent="0.3">
      <c r="X8090" s="1">
        <f t="shared" si="252"/>
        <v>0</v>
      </c>
      <c r="Y8090" s="1">
        <f t="shared" si="253"/>
        <v>15</v>
      </c>
    </row>
    <row r="8091" spans="24:25" x14ac:dyDescent="0.3">
      <c r="X8091" s="1">
        <f t="shared" si="252"/>
        <v>0</v>
      </c>
      <c r="Y8091" s="1">
        <f t="shared" si="253"/>
        <v>15</v>
      </c>
    </row>
    <row r="8092" spans="24:25" x14ac:dyDescent="0.3">
      <c r="X8092" s="1">
        <f t="shared" si="252"/>
        <v>0</v>
      </c>
      <c r="Y8092" s="1">
        <f t="shared" si="253"/>
        <v>15</v>
      </c>
    </row>
    <row r="8093" spans="24:25" x14ac:dyDescent="0.3">
      <c r="X8093" s="1">
        <f t="shared" si="252"/>
        <v>0</v>
      </c>
      <c r="Y8093" s="1">
        <f t="shared" si="253"/>
        <v>15</v>
      </c>
    </row>
    <row r="8094" spans="24:25" x14ac:dyDescent="0.3">
      <c r="X8094" s="1">
        <f t="shared" si="252"/>
        <v>0</v>
      </c>
      <c r="Y8094" s="1">
        <f t="shared" si="253"/>
        <v>15</v>
      </c>
    </row>
    <row r="8095" spans="24:25" x14ac:dyDescent="0.3">
      <c r="X8095" s="1">
        <f t="shared" si="252"/>
        <v>0</v>
      </c>
      <c r="Y8095" s="1">
        <f t="shared" si="253"/>
        <v>15</v>
      </c>
    </row>
    <row r="8096" spans="24:25" x14ac:dyDescent="0.3">
      <c r="X8096" s="1">
        <f t="shared" si="252"/>
        <v>0</v>
      </c>
      <c r="Y8096" s="1">
        <f t="shared" si="253"/>
        <v>15</v>
      </c>
    </row>
    <row r="8097" spans="24:25" x14ac:dyDescent="0.3">
      <c r="X8097" s="1">
        <f t="shared" si="252"/>
        <v>0</v>
      </c>
      <c r="Y8097" s="1">
        <f t="shared" si="253"/>
        <v>15</v>
      </c>
    </row>
    <row r="8098" spans="24:25" x14ac:dyDescent="0.3">
      <c r="X8098" s="1">
        <f t="shared" si="252"/>
        <v>0</v>
      </c>
      <c r="Y8098" s="1">
        <f t="shared" si="253"/>
        <v>15</v>
      </c>
    </row>
    <row r="8099" spans="24:25" x14ac:dyDescent="0.3">
      <c r="X8099" s="1">
        <f t="shared" si="252"/>
        <v>0</v>
      </c>
      <c r="Y8099" s="1">
        <f t="shared" si="253"/>
        <v>15</v>
      </c>
    </row>
    <row r="8100" spans="24:25" x14ac:dyDescent="0.3">
      <c r="X8100" s="1">
        <f t="shared" si="252"/>
        <v>0</v>
      </c>
      <c r="Y8100" s="1">
        <f t="shared" si="253"/>
        <v>15</v>
      </c>
    </row>
    <row r="8101" spans="24:25" x14ac:dyDescent="0.3">
      <c r="X8101" s="1">
        <f t="shared" si="252"/>
        <v>0</v>
      </c>
      <c r="Y8101" s="1">
        <f t="shared" si="253"/>
        <v>15</v>
      </c>
    </row>
    <row r="8102" spans="24:25" x14ac:dyDescent="0.3">
      <c r="X8102" s="1">
        <f t="shared" si="252"/>
        <v>0</v>
      </c>
      <c r="Y8102" s="1">
        <f t="shared" si="253"/>
        <v>15</v>
      </c>
    </row>
    <row r="8103" spans="24:25" x14ac:dyDescent="0.3">
      <c r="X8103" s="1">
        <f t="shared" si="252"/>
        <v>0</v>
      </c>
      <c r="Y8103" s="1">
        <f t="shared" si="253"/>
        <v>15</v>
      </c>
    </row>
    <row r="8104" spans="24:25" x14ac:dyDescent="0.3">
      <c r="X8104" s="1">
        <f t="shared" si="252"/>
        <v>0</v>
      </c>
      <c r="Y8104" s="1">
        <f t="shared" si="253"/>
        <v>15</v>
      </c>
    </row>
    <row r="8105" spans="24:25" x14ac:dyDescent="0.3">
      <c r="X8105" s="1">
        <f t="shared" si="252"/>
        <v>0</v>
      </c>
      <c r="Y8105" s="1">
        <f t="shared" si="253"/>
        <v>15</v>
      </c>
    </row>
    <row r="8106" spans="24:25" x14ac:dyDescent="0.3">
      <c r="X8106" s="1">
        <f t="shared" si="252"/>
        <v>0</v>
      </c>
      <c r="Y8106" s="1">
        <f t="shared" si="253"/>
        <v>15</v>
      </c>
    </row>
    <row r="8107" spans="24:25" x14ac:dyDescent="0.3">
      <c r="X8107" s="1">
        <f t="shared" si="252"/>
        <v>0</v>
      </c>
      <c r="Y8107" s="1">
        <f t="shared" si="253"/>
        <v>15</v>
      </c>
    </row>
    <row r="8108" spans="24:25" x14ac:dyDescent="0.3">
      <c r="X8108" s="1">
        <f t="shared" si="252"/>
        <v>0</v>
      </c>
      <c r="Y8108" s="1">
        <f t="shared" si="253"/>
        <v>15</v>
      </c>
    </row>
    <row r="8109" spans="24:25" x14ac:dyDescent="0.3">
      <c r="X8109" s="1">
        <f t="shared" si="252"/>
        <v>0</v>
      </c>
      <c r="Y8109" s="1">
        <f t="shared" si="253"/>
        <v>15</v>
      </c>
    </row>
    <row r="8110" spans="24:25" x14ac:dyDescent="0.3">
      <c r="X8110" s="1">
        <f t="shared" si="252"/>
        <v>0</v>
      </c>
      <c r="Y8110" s="1">
        <f t="shared" si="253"/>
        <v>15</v>
      </c>
    </row>
    <row r="8111" spans="24:25" x14ac:dyDescent="0.3">
      <c r="X8111" s="1">
        <f t="shared" si="252"/>
        <v>0</v>
      </c>
      <c r="Y8111" s="1">
        <f t="shared" si="253"/>
        <v>15</v>
      </c>
    </row>
    <row r="8112" spans="24:25" x14ac:dyDescent="0.3">
      <c r="X8112" s="1">
        <f t="shared" si="252"/>
        <v>0</v>
      </c>
      <c r="Y8112" s="1">
        <f t="shared" si="253"/>
        <v>15</v>
      </c>
    </row>
    <row r="8113" spans="24:25" x14ac:dyDescent="0.3">
      <c r="X8113" s="1">
        <f t="shared" si="252"/>
        <v>0</v>
      </c>
      <c r="Y8113" s="1">
        <f t="shared" si="253"/>
        <v>15</v>
      </c>
    </row>
    <row r="8114" spans="24:25" x14ac:dyDescent="0.3">
      <c r="X8114" s="1">
        <f t="shared" si="252"/>
        <v>0</v>
      </c>
      <c r="Y8114" s="1">
        <f t="shared" si="253"/>
        <v>15</v>
      </c>
    </row>
    <row r="8115" spans="24:25" x14ac:dyDescent="0.3">
      <c r="X8115" s="1">
        <f t="shared" si="252"/>
        <v>0</v>
      </c>
      <c r="Y8115" s="1">
        <f t="shared" si="253"/>
        <v>15</v>
      </c>
    </row>
    <row r="8116" spans="24:25" x14ac:dyDescent="0.3">
      <c r="X8116" s="1">
        <f t="shared" si="252"/>
        <v>0</v>
      </c>
      <c r="Y8116" s="1">
        <f t="shared" si="253"/>
        <v>15</v>
      </c>
    </row>
    <row r="8117" spans="24:25" x14ac:dyDescent="0.3">
      <c r="X8117" s="1">
        <f t="shared" si="252"/>
        <v>0</v>
      </c>
      <c r="Y8117" s="1">
        <f t="shared" si="253"/>
        <v>15</v>
      </c>
    </row>
    <row r="8118" spans="24:25" x14ac:dyDescent="0.3">
      <c r="X8118" s="1">
        <f t="shared" si="252"/>
        <v>0</v>
      </c>
      <c r="Y8118" s="1">
        <f t="shared" si="253"/>
        <v>15</v>
      </c>
    </row>
    <row r="8119" spans="24:25" x14ac:dyDescent="0.3">
      <c r="X8119" s="1">
        <f t="shared" si="252"/>
        <v>0</v>
      </c>
      <c r="Y8119" s="1">
        <f t="shared" si="253"/>
        <v>15</v>
      </c>
    </row>
    <row r="8120" spans="24:25" x14ac:dyDescent="0.3">
      <c r="X8120" s="1">
        <f t="shared" si="252"/>
        <v>0</v>
      </c>
      <c r="Y8120" s="1">
        <f t="shared" si="253"/>
        <v>15</v>
      </c>
    </row>
    <row r="8121" spans="24:25" x14ac:dyDescent="0.3">
      <c r="X8121" s="1">
        <f t="shared" si="252"/>
        <v>0</v>
      </c>
      <c r="Y8121" s="1">
        <f t="shared" si="253"/>
        <v>15</v>
      </c>
    </row>
    <row r="8122" spans="24:25" x14ac:dyDescent="0.3">
      <c r="X8122" s="1">
        <f t="shared" si="252"/>
        <v>0</v>
      </c>
      <c r="Y8122" s="1">
        <f t="shared" si="253"/>
        <v>15</v>
      </c>
    </row>
    <row r="8123" spans="24:25" x14ac:dyDescent="0.3">
      <c r="X8123" s="1">
        <f t="shared" si="252"/>
        <v>0</v>
      </c>
      <c r="Y8123" s="1">
        <f t="shared" si="253"/>
        <v>15</v>
      </c>
    </row>
    <row r="8124" spans="24:25" x14ac:dyDescent="0.3">
      <c r="X8124" s="1">
        <f t="shared" si="252"/>
        <v>0</v>
      </c>
      <c r="Y8124" s="1">
        <f t="shared" si="253"/>
        <v>15</v>
      </c>
    </row>
    <row r="8125" spans="24:25" x14ac:dyDescent="0.3">
      <c r="X8125" s="1">
        <f t="shared" si="252"/>
        <v>0</v>
      </c>
      <c r="Y8125" s="1">
        <f t="shared" si="253"/>
        <v>15</v>
      </c>
    </row>
    <row r="8126" spans="24:25" x14ac:dyDescent="0.3">
      <c r="X8126" s="1">
        <f t="shared" si="252"/>
        <v>0</v>
      </c>
      <c r="Y8126" s="1">
        <f t="shared" si="253"/>
        <v>15</v>
      </c>
    </row>
    <row r="8127" spans="24:25" x14ac:dyDescent="0.3">
      <c r="X8127" s="1">
        <f t="shared" si="252"/>
        <v>0</v>
      </c>
      <c r="Y8127" s="1">
        <f t="shared" si="253"/>
        <v>15</v>
      </c>
    </row>
    <row r="8128" spans="24:25" x14ac:dyDescent="0.3">
      <c r="X8128" s="1">
        <f t="shared" si="252"/>
        <v>0</v>
      </c>
      <c r="Y8128" s="1">
        <f t="shared" si="253"/>
        <v>15</v>
      </c>
    </row>
    <row r="8129" spans="24:25" x14ac:dyDescent="0.3">
      <c r="X8129" s="1">
        <f t="shared" si="252"/>
        <v>0</v>
      </c>
      <c r="Y8129" s="1">
        <f t="shared" si="253"/>
        <v>15</v>
      </c>
    </row>
    <row r="8130" spans="24:25" x14ac:dyDescent="0.3">
      <c r="X8130" s="1">
        <f t="shared" si="252"/>
        <v>0</v>
      </c>
      <c r="Y8130" s="1">
        <f t="shared" si="253"/>
        <v>15</v>
      </c>
    </row>
    <row r="8131" spans="24:25" x14ac:dyDescent="0.3">
      <c r="X8131" s="1">
        <f t="shared" ref="X8131:X8194" si="254">IFERROR(MATCH(W8131,$B:$B,0),0)</f>
        <v>0</v>
      </c>
      <c r="Y8131" s="1">
        <f t="shared" ref="Y8131:Y8194" si="255">IF(X8132=0,COUNTA(A:A),X8132-1)</f>
        <v>15</v>
      </c>
    </row>
    <row r="8132" spans="24:25" x14ac:dyDescent="0.3">
      <c r="X8132" s="1">
        <f t="shared" si="254"/>
        <v>0</v>
      </c>
      <c r="Y8132" s="1">
        <f t="shared" si="255"/>
        <v>15</v>
      </c>
    </row>
    <row r="8133" spans="24:25" x14ac:dyDescent="0.3">
      <c r="X8133" s="1">
        <f t="shared" si="254"/>
        <v>0</v>
      </c>
      <c r="Y8133" s="1">
        <f t="shared" si="255"/>
        <v>15</v>
      </c>
    </row>
    <row r="8134" spans="24:25" x14ac:dyDescent="0.3">
      <c r="X8134" s="1">
        <f t="shared" si="254"/>
        <v>0</v>
      </c>
      <c r="Y8134" s="1">
        <f t="shared" si="255"/>
        <v>15</v>
      </c>
    </row>
    <row r="8135" spans="24:25" x14ac:dyDescent="0.3">
      <c r="X8135" s="1">
        <f t="shared" si="254"/>
        <v>0</v>
      </c>
      <c r="Y8135" s="1">
        <f t="shared" si="255"/>
        <v>15</v>
      </c>
    </row>
    <row r="8136" spans="24:25" x14ac:dyDescent="0.3">
      <c r="X8136" s="1">
        <f t="shared" si="254"/>
        <v>0</v>
      </c>
      <c r="Y8136" s="1">
        <f t="shared" si="255"/>
        <v>15</v>
      </c>
    </row>
    <row r="8137" spans="24:25" x14ac:dyDescent="0.3">
      <c r="X8137" s="1">
        <f t="shared" si="254"/>
        <v>0</v>
      </c>
      <c r="Y8137" s="1">
        <f t="shared" si="255"/>
        <v>15</v>
      </c>
    </row>
    <row r="8138" spans="24:25" x14ac:dyDescent="0.3">
      <c r="X8138" s="1">
        <f t="shared" si="254"/>
        <v>0</v>
      </c>
      <c r="Y8138" s="1">
        <f t="shared" si="255"/>
        <v>15</v>
      </c>
    </row>
    <row r="8139" spans="24:25" x14ac:dyDescent="0.3">
      <c r="X8139" s="1">
        <f t="shared" si="254"/>
        <v>0</v>
      </c>
      <c r="Y8139" s="1">
        <f t="shared" si="255"/>
        <v>15</v>
      </c>
    </row>
    <row r="8140" spans="24:25" x14ac:dyDescent="0.3">
      <c r="X8140" s="1">
        <f t="shared" si="254"/>
        <v>0</v>
      </c>
      <c r="Y8140" s="1">
        <f t="shared" si="255"/>
        <v>15</v>
      </c>
    </row>
    <row r="8141" spans="24:25" x14ac:dyDescent="0.3">
      <c r="X8141" s="1">
        <f t="shared" si="254"/>
        <v>0</v>
      </c>
      <c r="Y8141" s="1">
        <f t="shared" si="255"/>
        <v>15</v>
      </c>
    </row>
    <row r="8142" spans="24:25" x14ac:dyDescent="0.3">
      <c r="X8142" s="1">
        <f t="shared" si="254"/>
        <v>0</v>
      </c>
      <c r="Y8142" s="1">
        <f t="shared" si="255"/>
        <v>15</v>
      </c>
    </row>
    <row r="8143" spans="24:25" x14ac:dyDescent="0.3">
      <c r="X8143" s="1">
        <f t="shared" si="254"/>
        <v>0</v>
      </c>
      <c r="Y8143" s="1">
        <f t="shared" si="255"/>
        <v>15</v>
      </c>
    </row>
    <row r="8144" spans="24:25" x14ac:dyDescent="0.3">
      <c r="X8144" s="1">
        <f t="shared" si="254"/>
        <v>0</v>
      </c>
      <c r="Y8144" s="1">
        <f t="shared" si="255"/>
        <v>15</v>
      </c>
    </row>
    <row r="8145" spans="24:25" x14ac:dyDescent="0.3">
      <c r="X8145" s="1">
        <f t="shared" si="254"/>
        <v>0</v>
      </c>
      <c r="Y8145" s="1">
        <f t="shared" si="255"/>
        <v>15</v>
      </c>
    </row>
    <row r="8146" spans="24:25" x14ac:dyDescent="0.3">
      <c r="X8146" s="1">
        <f t="shared" si="254"/>
        <v>0</v>
      </c>
      <c r="Y8146" s="1">
        <f t="shared" si="255"/>
        <v>15</v>
      </c>
    </row>
    <row r="8147" spans="24:25" x14ac:dyDescent="0.3">
      <c r="X8147" s="1">
        <f t="shared" si="254"/>
        <v>0</v>
      </c>
      <c r="Y8147" s="1">
        <f t="shared" si="255"/>
        <v>15</v>
      </c>
    </row>
    <row r="8148" spans="24:25" x14ac:dyDescent="0.3">
      <c r="X8148" s="1">
        <f t="shared" si="254"/>
        <v>0</v>
      </c>
      <c r="Y8148" s="1">
        <f t="shared" si="255"/>
        <v>15</v>
      </c>
    </row>
    <row r="8149" spans="24:25" x14ac:dyDescent="0.3">
      <c r="X8149" s="1">
        <f t="shared" si="254"/>
        <v>0</v>
      </c>
      <c r="Y8149" s="1">
        <f t="shared" si="255"/>
        <v>15</v>
      </c>
    </row>
    <row r="8150" spans="24:25" x14ac:dyDescent="0.3">
      <c r="X8150" s="1">
        <f t="shared" si="254"/>
        <v>0</v>
      </c>
      <c r="Y8150" s="1">
        <f t="shared" si="255"/>
        <v>15</v>
      </c>
    </row>
    <row r="8151" spans="24:25" x14ac:dyDescent="0.3">
      <c r="X8151" s="1">
        <f t="shared" si="254"/>
        <v>0</v>
      </c>
      <c r="Y8151" s="1">
        <f t="shared" si="255"/>
        <v>15</v>
      </c>
    </row>
    <row r="8152" spans="24:25" x14ac:dyDescent="0.3">
      <c r="X8152" s="1">
        <f t="shared" si="254"/>
        <v>0</v>
      </c>
      <c r="Y8152" s="1">
        <f t="shared" si="255"/>
        <v>15</v>
      </c>
    </row>
    <row r="8153" spans="24:25" x14ac:dyDescent="0.3">
      <c r="X8153" s="1">
        <f t="shared" si="254"/>
        <v>0</v>
      </c>
      <c r="Y8153" s="1">
        <f t="shared" si="255"/>
        <v>15</v>
      </c>
    </row>
    <row r="8154" spans="24:25" x14ac:dyDescent="0.3">
      <c r="X8154" s="1">
        <f t="shared" si="254"/>
        <v>0</v>
      </c>
      <c r="Y8154" s="1">
        <f t="shared" si="255"/>
        <v>15</v>
      </c>
    </row>
    <row r="8155" spans="24:25" x14ac:dyDescent="0.3">
      <c r="X8155" s="1">
        <f t="shared" si="254"/>
        <v>0</v>
      </c>
      <c r="Y8155" s="1">
        <f t="shared" si="255"/>
        <v>15</v>
      </c>
    </row>
    <row r="8156" spans="24:25" x14ac:dyDescent="0.3">
      <c r="X8156" s="1">
        <f t="shared" si="254"/>
        <v>0</v>
      </c>
      <c r="Y8156" s="1">
        <f t="shared" si="255"/>
        <v>15</v>
      </c>
    </row>
    <row r="8157" spans="24:25" x14ac:dyDescent="0.3">
      <c r="X8157" s="1">
        <f t="shared" si="254"/>
        <v>0</v>
      </c>
      <c r="Y8157" s="1">
        <f t="shared" si="255"/>
        <v>15</v>
      </c>
    </row>
    <row r="8158" spans="24:25" x14ac:dyDescent="0.3">
      <c r="X8158" s="1">
        <f t="shared" si="254"/>
        <v>0</v>
      </c>
      <c r="Y8158" s="1">
        <f t="shared" si="255"/>
        <v>15</v>
      </c>
    </row>
    <row r="8159" spans="24:25" x14ac:dyDescent="0.3">
      <c r="X8159" s="1">
        <f t="shared" si="254"/>
        <v>0</v>
      </c>
      <c r="Y8159" s="1">
        <f t="shared" si="255"/>
        <v>15</v>
      </c>
    </row>
    <row r="8160" spans="24:25" x14ac:dyDescent="0.3">
      <c r="X8160" s="1">
        <f t="shared" si="254"/>
        <v>0</v>
      </c>
      <c r="Y8160" s="1">
        <f t="shared" si="255"/>
        <v>15</v>
      </c>
    </row>
    <row r="8161" spans="24:25" x14ac:dyDescent="0.3">
      <c r="X8161" s="1">
        <f t="shared" si="254"/>
        <v>0</v>
      </c>
      <c r="Y8161" s="1">
        <f t="shared" si="255"/>
        <v>15</v>
      </c>
    </row>
    <row r="8162" spans="24:25" x14ac:dyDescent="0.3">
      <c r="X8162" s="1">
        <f t="shared" si="254"/>
        <v>0</v>
      </c>
      <c r="Y8162" s="1">
        <f t="shared" si="255"/>
        <v>15</v>
      </c>
    </row>
    <row r="8163" spans="24:25" x14ac:dyDescent="0.3">
      <c r="X8163" s="1">
        <f t="shared" si="254"/>
        <v>0</v>
      </c>
      <c r="Y8163" s="1">
        <f t="shared" si="255"/>
        <v>15</v>
      </c>
    </row>
    <row r="8164" spans="24:25" x14ac:dyDescent="0.3">
      <c r="X8164" s="1">
        <f t="shared" si="254"/>
        <v>0</v>
      </c>
      <c r="Y8164" s="1">
        <f t="shared" si="255"/>
        <v>15</v>
      </c>
    </row>
    <row r="8165" spans="24:25" x14ac:dyDescent="0.3">
      <c r="X8165" s="1">
        <f t="shared" si="254"/>
        <v>0</v>
      </c>
      <c r="Y8165" s="1">
        <f t="shared" si="255"/>
        <v>15</v>
      </c>
    </row>
    <row r="8166" spans="24:25" x14ac:dyDescent="0.3">
      <c r="X8166" s="1">
        <f t="shared" si="254"/>
        <v>0</v>
      </c>
      <c r="Y8166" s="1">
        <f t="shared" si="255"/>
        <v>15</v>
      </c>
    </row>
    <row r="8167" spans="24:25" x14ac:dyDescent="0.3">
      <c r="X8167" s="1">
        <f t="shared" si="254"/>
        <v>0</v>
      </c>
      <c r="Y8167" s="1">
        <f t="shared" si="255"/>
        <v>15</v>
      </c>
    </row>
    <row r="8168" spans="24:25" x14ac:dyDescent="0.3">
      <c r="X8168" s="1">
        <f t="shared" si="254"/>
        <v>0</v>
      </c>
      <c r="Y8168" s="1">
        <f t="shared" si="255"/>
        <v>15</v>
      </c>
    </row>
    <row r="8169" spans="24:25" x14ac:dyDescent="0.3">
      <c r="X8169" s="1">
        <f t="shared" si="254"/>
        <v>0</v>
      </c>
      <c r="Y8169" s="1">
        <f t="shared" si="255"/>
        <v>15</v>
      </c>
    </row>
    <row r="8170" spans="24:25" x14ac:dyDescent="0.3">
      <c r="X8170" s="1">
        <f t="shared" si="254"/>
        <v>0</v>
      </c>
      <c r="Y8170" s="1">
        <f t="shared" si="255"/>
        <v>15</v>
      </c>
    </row>
    <row r="8171" spans="24:25" x14ac:dyDescent="0.3">
      <c r="X8171" s="1">
        <f t="shared" si="254"/>
        <v>0</v>
      </c>
      <c r="Y8171" s="1">
        <f t="shared" si="255"/>
        <v>15</v>
      </c>
    </row>
    <row r="8172" spans="24:25" x14ac:dyDescent="0.3">
      <c r="X8172" s="1">
        <f t="shared" si="254"/>
        <v>0</v>
      </c>
      <c r="Y8172" s="1">
        <f t="shared" si="255"/>
        <v>15</v>
      </c>
    </row>
    <row r="8173" spans="24:25" x14ac:dyDescent="0.3">
      <c r="X8173" s="1">
        <f t="shared" si="254"/>
        <v>0</v>
      </c>
      <c r="Y8173" s="1">
        <f t="shared" si="255"/>
        <v>15</v>
      </c>
    </row>
    <row r="8174" spans="24:25" x14ac:dyDescent="0.3">
      <c r="X8174" s="1">
        <f t="shared" si="254"/>
        <v>0</v>
      </c>
      <c r="Y8174" s="1">
        <f t="shared" si="255"/>
        <v>15</v>
      </c>
    </row>
    <row r="8175" spans="24:25" x14ac:dyDescent="0.3">
      <c r="X8175" s="1">
        <f t="shared" si="254"/>
        <v>0</v>
      </c>
      <c r="Y8175" s="1">
        <f t="shared" si="255"/>
        <v>15</v>
      </c>
    </row>
    <row r="8176" spans="24:25" x14ac:dyDescent="0.3">
      <c r="X8176" s="1">
        <f t="shared" si="254"/>
        <v>0</v>
      </c>
      <c r="Y8176" s="1">
        <f t="shared" si="255"/>
        <v>15</v>
      </c>
    </row>
    <row r="8177" spans="24:25" x14ac:dyDescent="0.3">
      <c r="X8177" s="1">
        <f t="shared" si="254"/>
        <v>0</v>
      </c>
      <c r="Y8177" s="1">
        <f t="shared" si="255"/>
        <v>15</v>
      </c>
    </row>
    <row r="8178" spans="24:25" x14ac:dyDescent="0.3">
      <c r="X8178" s="1">
        <f t="shared" si="254"/>
        <v>0</v>
      </c>
      <c r="Y8178" s="1">
        <f t="shared" si="255"/>
        <v>15</v>
      </c>
    </row>
    <row r="8179" spans="24:25" x14ac:dyDescent="0.3">
      <c r="X8179" s="1">
        <f t="shared" si="254"/>
        <v>0</v>
      </c>
      <c r="Y8179" s="1">
        <f t="shared" si="255"/>
        <v>15</v>
      </c>
    </row>
    <row r="8180" spans="24:25" x14ac:dyDescent="0.3">
      <c r="X8180" s="1">
        <f t="shared" si="254"/>
        <v>0</v>
      </c>
      <c r="Y8180" s="1">
        <f t="shared" si="255"/>
        <v>15</v>
      </c>
    </row>
    <row r="8181" spans="24:25" x14ac:dyDescent="0.3">
      <c r="X8181" s="1">
        <f t="shared" si="254"/>
        <v>0</v>
      </c>
      <c r="Y8181" s="1">
        <f t="shared" si="255"/>
        <v>15</v>
      </c>
    </row>
    <row r="8182" spans="24:25" x14ac:dyDescent="0.3">
      <c r="X8182" s="1">
        <f t="shared" si="254"/>
        <v>0</v>
      </c>
      <c r="Y8182" s="1">
        <f t="shared" si="255"/>
        <v>15</v>
      </c>
    </row>
    <row r="8183" spans="24:25" x14ac:dyDescent="0.3">
      <c r="X8183" s="1">
        <f t="shared" si="254"/>
        <v>0</v>
      </c>
      <c r="Y8183" s="1">
        <f t="shared" si="255"/>
        <v>15</v>
      </c>
    </row>
    <row r="8184" spans="24:25" x14ac:dyDescent="0.3">
      <c r="X8184" s="1">
        <f t="shared" si="254"/>
        <v>0</v>
      </c>
      <c r="Y8184" s="1">
        <f t="shared" si="255"/>
        <v>15</v>
      </c>
    </row>
    <row r="8185" spans="24:25" x14ac:dyDescent="0.3">
      <c r="X8185" s="1">
        <f t="shared" si="254"/>
        <v>0</v>
      </c>
      <c r="Y8185" s="1">
        <f t="shared" si="255"/>
        <v>15</v>
      </c>
    </row>
    <row r="8186" spans="24:25" x14ac:dyDescent="0.3">
      <c r="X8186" s="1">
        <f t="shared" si="254"/>
        <v>0</v>
      </c>
      <c r="Y8186" s="1">
        <f t="shared" si="255"/>
        <v>15</v>
      </c>
    </row>
    <row r="8187" spans="24:25" x14ac:dyDescent="0.3">
      <c r="X8187" s="1">
        <f t="shared" si="254"/>
        <v>0</v>
      </c>
      <c r="Y8187" s="1">
        <f t="shared" si="255"/>
        <v>15</v>
      </c>
    </row>
    <row r="8188" spans="24:25" x14ac:dyDescent="0.3">
      <c r="X8188" s="1">
        <f t="shared" si="254"/>
        <v>0</v>
      </c>
      <c r="Y8188" s="1">
        <f t="shared" si="255"/>
        <v>15</v>
      </c>
    </row>
    <row r="8189" spans="24:25" x14ac:dyDescent="0.3">
      <c r="X8189" s="1">
        <f t="shared" si="254"/>
        <v>0</v>
      </c>
      <c r="Y8189" s="1">
        <f t="shared" si="255"/>
        <v>15</v>
      </c>
    </row>
    <row r="8190" spans="24:25" x14ac:dyDescent="0.3">
      <c r="X8190" s="1">
        <f t="shared" si="254"/>
        <v>0</v>
      </c>
      <c r="Y8190" s="1">
        <f t="shared" si="255"/>
        <v>15</v>
      </c>
    </row>
    <row r="8191" spans="24:25" x14ac:dyDescent="0.3">
      <c r="X8191" s="1">
        <f t="shared" si="254"/>
        <v>0</v>
      </c>
      <c r="Y8191" s="1">
        <f t="shared" si="255"/>
        <v>15</v>
      </c>
    </row>
    <row r="8192" spans="24:25" x14ac:dyDescent="0.3">
      <c r="X8192" s="1">
        <f t="shared" si="254"/>
        <v>0</v>
      </c>
      <c r="Y8192" s="1">
        <f t="shared" si="255"/>
        <v>15</v>
      </c>
    </row>
    <row r="8193" spans="24:25" x14ac:dyDescent="0.3">
      <c r="X8193" s="1">
        <f t="shared" si="254"/>
        <v>0</v>
      </c>
      <c r="Y8193" s="1">
        <f t="shared" si="255"/>
        <v>15</v>
      </c>
    </row>
    <row r="8194" spans="24:25" x14ac:dyDescent="0.3">
      <c r="X8194" s="1">
        <f t="shared" si="254"/>
        <v>0</v>
      </c>
      <c r="Y8194" s="1">
        <f t="shared" si="255"/>
        <v>15</v>
      </c>
    </row>
    <row r="8195" spans="24:25" x14ac:dyDescent="0.3">
      <c r="X8195" s="1">
        <f t="shared" ref="X8195:X8258" si="256">IFERROR(MATCH(W8195,$B:$B,0),0)</f>
        <v>0</v>
      </c>
      <c r="Y8195" s="1">
        <f t="shared" ref="Y8195:Y8258" si="257">IF(X8196=0,COUNTA(A:A),X8196-1)</f>
        <v>15</v>
      </c>
    </row>
    <row r="8196" spans="24:25" x14ac:dyDescent="0.3">
      <c r="X8196" s="1">
        <f t="shared" si="256"/>
        <v>0</v>
      </c>
      <c r="Y8196" s="1">
        <f t="shared" si="257"/>
        <v>15</v>
      </c>
    </row>
    <row r="8197" spans="24:25" x14ac:dyDescent="0.3">
      <c r="X8197" s="1">
        <f t="shared" si="256"/>
        <v>0</v>
      </c>
      <c r="Y8197" s="1">
        <f t="shared" si="257"/>
        <v>15</v>
      </c>
    </row>
    <row r="8198" spans="24:25" x14ac:dyDescent="0.3">
      <c r="X8198" s="1">
        <f t="shared" si="256"/>
        <v>0</v>
      </c>
      <c r="Y8198" s="1">
        <f t="shared" si="257"/>
        <v>15</v>
      </c>
    </row>
    <row r="8199" spans="24:25" x14ac:dyDescent="0.3">
      <c r="X8199" s="1">
        <f t="shared" si="256"/>
        <v>0</v>
      </c>
      <c r="Y8199" s="1">
        <f t="shared" si="257"/>
        <v>15</v>
      </c>
    </row>
    <row r="8200" spans="24:25" x14ac:dyDescent="0.3">
      <c r="X8200" s="1">
        <f t="shared" si="256"/>
        <v>0</v>
      </c>
      <c r="Y8200" s="1">
        <f t="shared" si="257"/>
        <v>15</v>
      </c>
    </row>
    <row r="8201" spans="24:25" x14ac:dyDescent="0.3">
      <c r="X8201" s="1">
        <f t="shared" si="256"/>
        <v>0</v>
      </c>
      <c r="Y8201" s="1">
        <f t="shared" si="257"/>
        <v>15</v>
      </c>
    </row>
    <row r="8202" spans="24:25" x14ac:dyDescent="0.3">
      <c r="X8202" s="1">
        <f t="shared" si="256"/>
        <v>0</v>
      </c>
      <c r="Y8202" s="1">
        <f t="shared" si="257"/>
        <v>15</v>
      </c>
    </row>
    <row r="8203" spans="24:25" x14ac:dyDescent="0.3">
      <c r="X8203" s="1">
        <f t="shared" si="256"/>
        <v>0</v>
      </c>
      <c r="Y8203" s="1">
        <f t="shared" si="257"/>
        <v>15</v>
      </c>
    </row>
    <row r="8204" spans="24:25" x14ac:dyDescent="0.3">
      <c r="X8204" s="1">
        <f t="shared" si="256"/>
        <v>0</v>
      </c>
      <c r="Y8204" s="1">
        <f t="shared" si="257"/>
        <v>15</v>
      </c>
    </row>
    <row r="8205" spans="24:25" x14ac:dyDescent="0.3">
      <c r="X8205" s="1">
        <f t="shared" si="256"/>
        <v>0</v>
      </c>
      <c r="Y8205" s="1">
        <f t="shared" si="257"/>
        <v>15</v>
      </c>
    </row>
    <row r="8206" spans="24:25" x14ac:dyDescent="0.3">
      <c r="X8206" s="1">
        <f t="shared" si="256"/>
        <v>0</v>
      </c>
      <c r="Y8206" s="1">
        <f t="shared" si="257"/>
        <v>15</v>
      </c>
    </row>
    <row r="8207" spans="24:25" x14ac:dyDescent="0.3">
      <c r="X8207" s="1">
        <f t="shared" si="256"/>
        <v>0</v>
      </c>
      <c r="Y8207" s="1">
        <f t="shared" si="257"/>
        <v>15</v>
      </c>
    </row>
    <row r="8208" spans="24:25" x14ac:dyDescent="0.3">
      <c r="X8208" s="1">
        <f t="shared" si="256"/>
        <v>0</v>
      </c>
      <c r="Y8208" s="1">
        <f t="shared" si="257"/>
        <v>15</v>
      </c>
    </row>
    <row r="8209" spans="24:25" x14ac:dyDescent="0.3">
      <c r="X8209" s="1">
        <f t="shared" si="256"/>
        <v>0</v>
      </c>
      <c r="Y8209" s="1">
        <f t="shared" si="257"/>
        <v>15</v>
      </c>
    </row>
    <row r="8210" spans="24:25" x14ac:dyDescent="0.3">
      <c r="X8210" s="1">
        <f t="shared" si="256"/>
        <v>0</v>
      </c>
      <c r="Y8210" s="1">
        <f t="shared" si="257"/>
        <v>15</v>
      </c>
    </row>
    <row r="8211" spans="24:25" x14ac:dyDescent="0.3">
      <c r="X8211" s="1">
        <f t="shared" si="256"/>
        <v>0</v>
      </c>
      <c r="Y8211" s="1">
        <f t="shared" si="257"/>
        <v>15</v>
      </c>
    </row>
    <row r="8212" spans="24:25" x14ac:dyDescent="0.3">
      <c r="X8212" s="1">
        <f t="shared" si="256"/>
        <v>0</v>
      </c>
      <c r="Y8212" s="1">
        <f t="shared" si="257"/>
        <v>15</v>
      </c>
    </row>
    <row r="8213" spans="24:25" x14ac:dyDescent="0.3">
      <c r="X8213" s="1">
        <f t="shared" si="256"/>
        <v>0</v>
      </c>
      <c r="Y8213" s="1">
        <f t="shared" si="257"/>
        <v>15</v>
      </c>
    </row>
    <row r="8214" spans="24:25" x14ac:dyDescent="0.3">
      <c r="X8214" s="1">
        <f t="shared" si="256"/>
        <v>0</v>
      </c>
      <c r="Y8214" s="1">
        <f t="shared" si="257"/>
        <v>15</v>
      </c>
    </row>
    <row r="8215" spans="24:25" x14ac:dyDescent="0.3">
      <c r="X8215" s="1">
        <f t="shared" si="256"/>
        <v>0</v>
      </c>
      <c r="Y8215" s="1">
        <f t="shared" si="257"/>
        <v>15</v>
      </c>
    </row>
    <row r="8216" spans="24:25" x14ac:dyDescent="0.3">
      <c r="X8216" s="1">
        <f t="shared" si="256"/>
        <v>0</v>
      </c>
      <c r="Y8216" s="1">
        <f t="shared" si="257"/>
        <v>15</v>
      </c>
    </row>
    <row r="8217" spans="24:25" x14ac:dyDescent="0.3">
      <c r="X8217" s="1">
        <f t="shared" si="256"/>
        <v>0</v>
      </c>
      <c r="Y8217" s="1">
        <f t="shared" si="257"/>
        <v>15</v>
      </c>
    </row>
    <row r="8218" spans="24:25" x14ac:dyDescent="0.3">
      <c r="X8218" s="1">
        <f t="shared" si="256"/>
        <v>0</v>
      </c>
      <c r="Y8218" s="1">
        <f t="shared" si="257"/>
        <v>15</v>
      </c>
    </row>
    <row r="8219" spans="24:25" x14ac:dyDescent="0.3">
      <c r="X8219" s="1">
        <f t="shared" si="256"/>
        <v>0</v>
      </c>
      <c r="Y8219" s="1">
        <f t="shared" si="257"/>
        <v>15</v>
      </c>
    </row>
    <row r="8220" spans="24:25" x14ac:dyDescent="0.3">
      <c r="X8220" s="1">
        <f t="shared" si="256"/>
        <v>0</v>
      </c>
      <c r="Y8220" s="1">
        <f t="shared" si="257"/>
        <v>15</v>
      </c>
    </row>
    <row r="8221" spans="24:25" x14ac:dyDescent="0.3">
      <c r="X8221" s="1">
        <f t="shared" si="256"/>
        <v>0</v>
      </c>
      <c r="Y8221" s="1">
        <f t="shared" si="257"/>
        <v>15</v>
      </c>
    </row>
    <row r="8222" spans="24:25" x14ac:dyDescent="0.3">
      <c r="X8222" s="1">
        <f t="shared" si="256"/>
        <v>0</v>
      </c>
      <c r="Y8222" s="1">
        <f t="shared" si="257"/>
        <v>15</v>
      </c>
    </row>
    <row r="8223" spans="24:25" x14ac:dyDescent="0.3">
      <c r="X8223" s="1">
        <f t="shared" si="256"/>
        <v>0</v>
      </c>
      <c r="Y8223" s="1">
        <f t="shared" si="257"/>
        <v>15</v>
      </c>
    </row>
    <row r="8224" spans="24:25" x14ac:dyDescent="0.3">
      <c r="X8224" s="1">
        <f t="shared" si="256"/>
        <v>0</v>
      </c>
      <c r="Y8224" s="1">
        <f t="shared" si="257"/>
        <v>15</v>
      </c>
    </row>
    <row r="8225" spans="24:25" x14ac:dyDescent="0.3">
      <c r="X8225" s="1">
        <f t="shared" si="256"/>
        <v>0</v>
      </c>
      <c r="Y8225" s="1">
        <f t="shared" si="257"/>
        <v>15</v>
      </c>
    </row>
    <row r="8226" spans="24:25" x14ac:dyDescent="0.3">
      <c r="X8226" s="1">
        <f t="shared" si="256"/>
        <v>0</v>
      </c>
      <c r="Y8226" s="1">
        <f t="shared" si="257"/>
        <v>15</v>
      </c>
    </row>
    <row r="8227" spans="24:25" x14ac:dyDescent="0.3">
      <c r="X8227" s="1">
        <f t="shared" si="256"/>
        <v>0</v>
      </c>
      <c r="Y8227" s="1">
        <f t="shared" si="257"/>
        <v>15</v>
      </c>
    </row>
    <row r="8228" spans="24:25" x14ac:dyDescent="0.3">
      <c r="X8228" s="1">
        <f t="shared" si="256"/>
        <v>0</v>
      </c>
      <c r="Y8228" s="1">
        <f t="shared" si="257"/>
        <v>15</v>
      </c>
    </row>
    <row r="8229" spans="24:25" x14ac:dyDescent="0.3">
      <c r="X8229" s="1">
        <f t="shared" si="256"/>
        <v>0</v>
      </c>
      <c r="Y8229" s="1">
        <f t="shared" si="257"/>
        <v>15</v>
      </c>
    </row>
    <row r="8230" spans="24:25" x14ac:dyDescent="0.3">
      <c r="X8230" s="1">
        <f t="shared" si="256"/>
        <v>0</v>
      </c>
      <c r="Y8230" s="1">
        <f t="shared" si="257"/>
        <v>15</v>
      </c>
    </row>
    <row r="8231" spans="24:25" x14ac:dyDescent="0.3">
      <c r="X8231" s="1">
        <f t="shared" si="256"/>
        <v>0</v>
      </c>
      <c r="Y8231" s="1">
        <f t="shared" si="257"/>
        <v>15</v>
      </c>
    </row>
    <row r="8232" spans="24:25" x14ac:dyDescent="0.3">
      <c r="X8232" s="1">
        <f t="shared" si="256"/>
        <v>0</v>
      </c>
      <c r="Y8232" s="1">
        <f t="shared" si="257"/>
        <v>15</v>
      </c>
    </row>
    <row r="8233" spans="24:25" x14ac:dyDescent="0.3">
      <c r="X8233" s="1">
        <f t="shared" si="256"/>
        <v>0</v>
      </c>
      <c r="Y8233" s="1">
        <f t="shared" si="257"/>
        <v>15</v>
      </c>
    </row>
    <row r="8234" spans="24:25" x14ac:dyDescent="0.3">
      <c r="X8234" s="1">
        <f t="shared" si="256"/>
        <v>0</v>
      </c>
      <c r="Y8234" s="1">
        <f t="shared" si="257"/>
        <v>15</v>
      </c>
    </row>
    <row r="8235" spans="24:25" x14ac:dyDescent="0.3">
      <c r="X8235" s="1">
        <f t="shared" si="256"/>
        <v>0</v>
      </c>
      <c r="Y8235" s="1">
        <f t="shared" si="257"/>
        <v>15</v>
      </c>
    </row>
    <row r="8236" spans="24:25" x14ac:dyDescent="0.3">
      <c r="X8236" s="1">
        <f t="shared" si="256"/>
        <v>0</v>
      </c>
      <c r="Y8236" s="1">
        <f t="shared" si="257"/>
        <v>15</v>
      </c>
    </row>
    <row r="8237" spans="24:25" x14ac:dyDescent="0.3">
      <c r="X8237" s="1">
        <f t="shared" si="256"/>
        <v>0</v>
      </c>
      <c r="Y8237" s="1">
        <f t="shared" si="257"/>
        <v>15</v>
      </c>
    </row>
    <row r="8238" spans="24:25" x14ac:dyDescent="0.3">
      <c r="X8238" s="1">
        <f t="shared" si="256"/>
        <v>0</v>
      </c>
      <c r="Y8238" s="1">
        <f t="shared" si="257"/>
        <v>15</v>
      </c>
    </row>
    <row r="8239" spans="24:25" x14ac:dyDescent="0.3">
      <c r="X8239" s="1">
        <f t="shared" si="256"/>
        <v>0</v>
      </c>
      <c r="Y8239" s="1">
        <f t="shared" si="257"/>
        <v>15</v>
      </c>
    </row>
    <row r="8240" spans="24:25" x14ac:dyDescent="0.3">
      <c r="X8240" s="1">
        <f t="shared" si="256"/>
        <v>0</v>
      </c>
      <c r="Y8240" s="1">
        <f t="shared" si="257"/>
        <v>15</v>
      </c>
    </row>
    <row r="8241" spans="24:25" x14ac:dyDescent="0.3">
      <c r="X8241" s="1">
        <f t="shared" si="256"/>
        <v>0</v>
      </c>
      <c r="Y8241" s="1">
        <f t="shared" si="257"/>
        <v>15</v>
      </c>
    </row>
    <row r="8242" spans="24:25" x14ac:dyDescent="0.3">
      <c r="X8242" s="1">
        <f t="shared" si="256"/>
        <v>0</v>
      </c>
      <c r="Y8242" s="1">
        <f t="shared" si="257"/>
        <v>15</v>
      </c>
    </row>
    <row r="8243" spans="24:25" x14ac:dyDescent="0.3">
      <c r="X8243" s="1">
        <f t="shared" si="256"/>
        <v>0</v>
      </c>
      <c r="Y8243" s="1">
        <f t="shared" si="257"/>
        <v>15</v>
      </c>
    </row>
    <row r="8244" spans="24:25" x14ac:dyDescent="0.3">
      <c r="X8244" s="1">
        <f t="shared" si="256"/>
        <v>0</v>
      </c>
      <c r="Y8244" s="1">
        <f t="shared" si="257"/>
        <v>15</v>
      </c>
    </row>
    <row r="8245" spans="24:25" x14ac:dyDescent="0.3">
      <c r="X8245" s="1">
        <f t="shared" si="256"/>
        <v>0</v>
      </c>
      <c r="Y8245" s="1">
        <f t="shared" si="257"/>
        <v>15</v>
      </c>
    </row>
    <row r="8246" spans="24:25" x14ac:dyDescent="0.3">
      <c r="X8246" s="1">
        <f t="shared" si="256"/>
        <v>0</v>
      </c>
      <c r="Y8246" s="1">
        <f t="shared" si="257"/>
        <v>15</v>
      </c>
    </row>
    <row r="8247" spans="24:25" x14ac:dyDescent="0.3">
      <c r="X8247" s="1">
        <f t="shared" si="256"/>
        <v>0</v>
      </c>
      <c r="Y8247" s="1">
        <f t="shared" si="257"/>
        <v>15</v>
      </c>
    </row>
    <row r="8248" spans="24:25" x14ac:dyDescent="0.3">
      <c r="X8248" s="1">
        <f t="shared" si="256"/>
        <v>0</v>
      </c>
      <c r="Y8248" s="1">
        <f t="shared" si="257"/>
        <v>15</v>
      </c>
    </row>
    <row r="8249" spans="24:25" x14ac:dyDescent="0.3">
      <c r="X8249" s="1">
        <f t="shared" si="256"/>
        <v>0</v>
      </c>
      <c r="Y8249" s="1">
        <f t="shared" si="257"/>
        <v>15</v>
      </c>
    </row>
    <row r="8250" spans="24:25" x14ac:dyDescent="0.3">
      <c r="X8250" s="1">
        <f t="shared" si="256"/>
        <v>0</v>
      </c>
      <c r="Y8250" s="1">
        <f t="shared" si="257"/>
        <v>15</v>
      </c>
    </row>
    <row r="8251" spans="24:25" x14ac:dyDescent="0.3">
      <c r="X8251" s="1">
        <f t="shared" si="256"/>
        <v>0</v>
      </c>
      <c r="Y8251" s="1">
        <f t="shared" si="257"/>
        <v>15</v>
      </c>
    </row>
    <row r="8252" spans="24:25" x14ac:dyDescent="0.3">
      <c r="X8252" s="1">
        <f t="shared" si="256"/>
        <v>0</v>
      </c>
      <c r="Y8252" s="1">
        <f t="shared" si="257"/>
        <v>15</v>
      </c>
    </row>
    <row r="8253" spans="24:25" x14ac:dyDescent="0.3">
      <c r="X8253" s="1">
        <f t="shared" si="256"/>
        <v>0</v>
      </c>
      <c r="Y8253" s="1">
        <f t="shared" si="257"/>
        <v>15</v>
      </c>
    </row>
    <row r="8254" spans="24:25" x14ac:dyDescent="0.3">
      <c r="X8254" s="1">
        <f t="shared" si="256"/>
        <v>0</v>
      </c>
      <c r="Y8254" s="1">
        <f t="shared" si="257"/>
        <v>15</v>
      </c>
    </row>
    <row r="8255" spans="24:25" x14ac:dyDescent="0.3">
      <c r="X8255" s="1">
        <f t="shared" si="256"/>
        <v>0</v>
      </c>
      <c r="Y8255" s="1">
        <f t="shared" si="257"/>
        <v>15</v>
      </c>
    </row>
    <row r="8256" spans="24:25" x14ac:dyDescent="0.3">
      <c r="X8256" s="1">
        <f t="shared" si="256"/>
        <v>0</v>
      </c>
      <c r="Y8256" s="1">
        <f t="shared" si="257"/>
        <v>15</v>
      </c>
    </row>
    <row r="8257" spans="24:25" x14ac:dyDescent="0.3">
      <c r="X8257" s="1">
        <f t="shared" si="256"/>
        <v>0</v>
      </c>
      <c r="Y8257" s="1">
        <f t="shared" si="257"/>
        <v>15</v>
      </c>
    </row>
    <row r="8258" spans="24:25" x14ac:dyDescent="0.3">
      <c r="X8258" s="1">
        <f t="shared" si="256"/>
        <v>0</v>
      </c>
      <c r="Y8258" s="1">
        <f t="shared" si="257"/>
        <v>15</v>
      </c>
    </row>
    <row r="8259" spans="24:25" x14ac:dyDescent="0.3">
      <c r="X8259" s="1">
        <f t="shared" ref="X8259:X8322" si="258">IFERROR(MATCH(W8259,$B:$B,0),0)</f>
        <v>0</v>
      </c>
      <c r="Y8259" s="1">
        <f t="shared" ref="Y8259:Y8322" si="259">IF(X8260=0,COUNTA(A:A),X8260-1)</f>
        <v>15</v>
      </c>
    </row>
    <row r="8260" spans="24:25" x14ac:dyDescent="0.3">
      <c r="X8260" s="1">
        <f t="shared" si="258"/>
        <v>0</v>
      </c>
      <c r="Y8260" s="1">
        <f t="shared" si="259"/>
        <v>15</v>
      </c>
    </row>
    <row r="8261" spans="24:25" x14ac:dyDescent="0.3">
      <c r="X8261" s="1">
        <f t="shared" si="258"/>
        <v>0</v>
      </c>
      <c r="Y8261" s="1">
        <f t="shared" si="259"/>
        <v>15</v>
      </c>
    </row>
    <row r="8262" spans="24:25" x14ac:dyDescent="0.3">
      <c r="X8262" s="1">
        <f t="shared" si="258"/>
        <v>0</v>
      </c>
      <c r="Y8262" s="1">
        <f t="shared" si="259"/>
        <v>15</v>
      </c>
    </row>
    <row r="8263" spans="24:25" x14ac:dyDescent="0.3">
      <c r="X8263" s="1">
        <f t="shared" si="258"/>
        <v>0</v>
      </c>
      <c r="Y8263" s="1">
        <f t="shared" si="259"/>
        <v>15</v>
      </c>
    </row>
    <row r="8264" spans="24:25" x14ac:dyDescent="0.3">
      <c r="X8264" s="1">
        <f t="shared" si="258"/>
        <v>0</v>
      </c>
      <c r="Y8264" s="1">
        <f t="shared" si="259"/>
        <v>15</v>
      </c>
    </row>
    <row r="8265" spans="24:25" x14ac:dyDescent="0.3">
      <c r="X8265" s="1">
        <f t="shared" si="258"/>
        <v>0</v>
      </c>
      <c r="Y8265" s="1">
        <f t="shared" si="259"/>
        <v>15</v>
      </c>
    </row>
    <row r="8266" spans="24:25" x14ac:dyDescent="0.3">
      <c r="X8266" s="1">
        <f t="shared" si="258"/>
        <v>0</v>
      </c>
      <c r="Y8266" s="1">
        <f t="shared" si="259"/>
        <v>15</v>
      </c>
    </row>
    <row r="8267" spans="24:25" x14ac:dyDescent="0.3">
      <c r="X8267" s="1">
        <f t="shared" si="258"/>
        <v>0</v>
      </c>
      <c r="Y8267" s="1">
        <f t="shared" si="259"/>
        <v>15</v>
      </c>
    </row>
    <row r="8268" spans="24:25" x14ac:dyDescent="0.3">
      <c r="X8268" s="1">
        <f t="shared" si="258"/>
        <v>0</v>
      </c>
      <c r="Y8268" s="1">
        <f t="shared" si="259"/>
        <v>15</v>
      </c>
    </row>
    <row r="8269" spans="24:25" x14ac:dyDescent="0.3">
      <c r="X8269" s="1">
        <f t="shared" si="258"/>
        <v>0</v>
      </c>
      <c r="Y8269" s="1">
        <f t="shared" si="259"/>
        <v>15</v>
      </c>
    </row>
    <row r="8270" spans="24:25" x14ac:dyDescent="0.3">
      <c r="X8270" s="1">
        <f t="shared" si="258"/>
        <v>0</v>
      </c>
      <c r="Y8270" s="1">
        <f t="shared" si="259"/>
        <v>15</v>
      </c>
    </row>
    <row r="8271" spans="24:25" x14ac:dyDescent="0.3">
      <c r="X8271" s="1">
        <f t="shared" si="258"/>
        <v>0</v>
      </c>
      <c r="Y8271" s="1">
        <f t="shared" si="259"/>
        <v>15</v>
      </c>
    </row>
    <row r="8272" spans="24:25" x14ac:dyDescent="0.3">
      <c r="X8272" s="1">
        <f t="shared" si="258"/>
        <v>0</v>
      </c>
      <c r="Y8272" s="1">
        <f t="shared" si="259"/>
        <v>15</v>
      </c>
    </row>
    <row r="8273" spans="24:25" x14ac:dyDescent="0.3">
      <c r="X8273" s="1">
        <f t="shared" si="258"/>
        <v>0</v>
      </c>
      <c r="Y8273" s="1">
        <f t="shared" si="259"/>
        <v>15</v>
      </c>
    </row>
    <row r="8274" spans="24:25" x14ac:dyDescent="0.3">
      <c r="X8274" s="1">
        <f t="shared" si="258"/>
        <v>0</v>
      </c>
      <c r="Y8274" s="1">
        <f t="shared" si="259"/>
        <v>15</v>
      </c>
    </row>
    <row r="8275" spans="24:25" x14ac:dyDescent="0.3">
      <c r="X8275" s="1">
        <f t="shared" si="258"/>
        <v>0</v>
      </c>
      <c r="Y8275" s="1">
        <f t="shared" si="259"/>
        <v>15</v>
      </c>
    </row>
    <row r="8276" spans="24:25" x14ac:dyDescent="0.3">
      <c r="X8276" s="1">
        <f t="shared" si="258"/>
        <v>0</v>
      </c>
      <c r="Y8276" s="1">
        <f t="shared" si="259"/>
        <v>15</v>
      </c>
    </row>
    <row r="8277" spans="24:25" x14ac:dyDescent="0.3">
      <c r="X8277" s="1">
        <f t="shared" si="258"/>
        <v>0</v>
      </c>
      <c r="Y8277" s="1">
        <f t="shared" si="259"/>
        <v>15</v>
      </c>
    </row>
    <row r="8278" spans="24:25" x14ac:dyDescent="0.3">
      <c r="X8278" s="1">
        <f t="shared" si="258"/>
        <v>0</v>
      </c>
      <c r="Y8278" s="1">
        <f t="shared" si="259"/>
        <v>15</v>
      </c>
    </row>
    <row r="8279" spans="24:25" x14ac:dyDescent="0.3">
      <c r="X8279" s="1">
        <f t="shared" si="258"/>
        <v>0</v>
      </c>
      <c r="Y8279" s="1">
        <f t="shared" si="259"/>
        <v>15</v>
      </c>
    </row>
    <row r="8280" spans="24:25" x14ac:dyDescent="0.3">
      <c r="X8280" s="1">
        <f t="shared" si="258"/>
        <v>0</v>
      </c>
      <c r="Y8280" s="1">
        <f t="shared" si="259"/>
        <v>15</v>
      </c>
    </row>
    <row r="8281" spans="24:25" x14ac:dyDescent="0.3">
      <c r="X8281" s="1">
        <f t="shared" si="258"/>
        <v>0</v>
      </c>
      <c r="Y8281" s="1">
        <f t="shared" si="259"/>
        <v>15</v>
      </c>
    </row>
    <row r="8282" spans="24:25" x14ac:dyDescent="0.3">
      <c r="X8282" s="1">
        <f t="shared" si="258"/>
        <v>0</v>
      </c>
      <c r="Y8282" s="1">
        <f t="shared" si="259"/>
        <v>15</v>
      </c>
    </row>
    <row r="8283" spans="24:25" x14ac:dyDescent="0.3">
      <c r="X8283" s="1">
        <f t="shared" si="258"/>
        <v>0</v>
      </c>
      <c r="Y8283" s="1">
        <f t="shared" si="259"/>
        <v>15</v>
      </c>
    </row>
    <row r="8284" spans="24:25" x14ac:dyDescent="0.3">
      <c r="X8284" s="1">
        <f t="shared" si="258"/>
        <v>0</v>
      </c>
      <c r="Y8284" s="1">
        <f t="shared" si="259"/>
        <v>15</v>
      </c>
    </row>
    <row r="8285" spans="24:25" x14ac:dyDescent="0.3">
      <c r="X8285" s="1">
        <f t="shared" si="258"/>
        <v>0</v>
      </c>
      <c r="Y8285" s="1">
        <f t="shared" si="259"/>
        <v>15</v>
      </c>
    </row>
    <row r="8286" spans="24:25" x14ac:dyDescent="0.3">
      <c r="X8286" s="1">
        <f t="shared" si="258"/>
        <v>0</v>
      </c>
      <c r="Y8286" s="1">
        <f t="shared" si="259"/>
        <v>15</v>
      </c>
    </row>
    <row r="8287" spans="24:25" x14ac:dyDescent="0.3">
      <c r="X8287" s="1">
        <f t="shared" si="258"/>
        <v>0</v>
      </c>
      <c r="Y8287" s="1">
        <f t="shared" si="259"/>
        <v>15</v>
      </c>
    </row>
    <row r="8288" spans="24:25" x14ac:dyDescent="0.3">
      <c r="X8288" s="1">
        <f t="shared" si="258"/>
        <v>0</v>
      </c>
      <c r="Y8288" s="1">
        <f t="shared" si="259"/>
        <v>15</v>
      </c>
    </row>
    <row r="8289" spans="24:25" x14ac:dyDescent="0.3">
      <c r="X8289" s="1">
        <f t="shared" si="258"/>
        <v>0</v>
      </c>
      <c r="Y8289" s="1">
        <f t="shared" si="259"/>
        <v>15</v>
      </c>
    </row>
    <row r="8290" spans="24:25" x14ac:dyDescent="0.3">
      <c r="X8290" s="1">
        <f t="shared" si="258"/>
        <v>0</v>
      </c>
      <c r="Y8290" s="1">
        <f t="shared" si="259"/>
        <v>15</v>
      </c>
    </row>
    <row r="8291" spans="24:25" x14ac:dyDescent="0.3">
      <c r="X8291" s="1">
        <f t="shared" si="258"/>
        <v>0</v>
      </c>
      <c r="Y8291" s="1">
        <f t="shared" si="259"/>
        <v>15</v>
      </c>
    </row>
    <row r="8292" spans="24:25" x14ac:dyDescent="0.3">
      <c r="X8292" s="1">
        <f t="shared" si="258"/>
        <v>0</v>
      </c>
      <c r="Y8292" s="1">
        <f t="shared" si="259"/>
        <v>15</v>
      </c>
    </row>
    <row r="8293" spans="24:25" x14ac:dyDescent="0.3">
      <c r="X8293" s="1">
        <f t="shared" si="258"/>
        <v>0</v>
      </c>
      <c r="Y8293" s="1">
        <f t="shared" si="259"/>
        <v>15</v>
      </c>
    </row>
    <row r="8294" spans="24:25" x14ac:dyDescent="0.3">
      <c r="X8294" s="1">
        <f t="shared" si="258"/>
        <v>0</v>
      </c>
      <c r="Y8294" s="1">
        <f t="shared" si="259"/>
        <v>15</v>
      </c>
    </row>
    <row r="8295" spans="24:25" x14ac:dyDescent="0.3">
      <c r="X8295" s="1">
        <f t="shared" si="258"/>
        <v>0</v>
      </c>
      <c r="Y8295" s="1">
        <f t="shared" si="259"/>
        <v>15</v>
      </c>
    </row>
    <row r="8296" spans="24:25" x14ac:dyDescent="0.3">
      <c r="X8296" s="1">
        <f t="shared" si="258"/>
        <v>0</v>
      </c>
      <c r="Y8296" s="1">
        <f t="shared" si="259"/>
        <v>15</v>
      </c>
    </row>
    <row r="8297" spans="24:25" x14ac:dyDescent="0.3">
      <c r="X8297" s="1">
        <f t="shared" si="258"/>
        <v>0</v>
      </c>
      <c r="Y8297" s="1">
        <f t="shared" si="259"/>
        <v>15</v>
      </c>
    </row>
    <row r="8298" spans="24:25" x14ac:dyDescent="0.3">
      <c r="X8298" s="1">
        <f t="shared" si="258"/>
        <v>0</v>
      </c>
      <c r="Y8298" s="1">
        <f t="shared" si="259"/>
        <v>15</v>
      </c>
    </row>
    <row r="8299" spans="24:25" x14ac:dyDescent="0.3">
      <c r="X8299" s="1">
        <f t="shared" si="258"/>
        <v>0</v>
      </c>
      <c r="Y8299" s="1">
        <f t="shared" si="259"/>
        <v>15</v>
      </c>
    </row>
    <row r="8300" spans="24:25" x14ac:dyDescent="0.3">
      <c r="X8300" s="1">
        <f t="shared" si="258"/>
        <v>0</v>
      </c>
      <c r="Y8300" s="1">
        <f t="shared" si="259"/>
        <v>15</v>
      </c>
    </row>
    <row r="8301" spans="24:25" x14ac:dyDescent="0.3">
      <c r="X8301" s="1">
        <f t="shared" si="258"/>
        <v>0</v>
      </c>
      <c r="Y8301" s="1">
        <f t="shared" si="259"/>
        <v>15</v>
      </c>
    </row>
    <row r="8302" spans="24:25" x14ac:dyDescent="0.3">
      <c r="X8302" s="1">
        <f t="shared" si="258"/>
        <v>0</v>
      </c>
      <c r="Y8302" s="1">
        <f t="shared" si="259"/>
        <v>15</v>
      </c>
    </row>
    <row r="8303" spans="24:25" x14ac:dyDescent="0.3">
      <c r="X8303" s="1">
        <f t="shared" si="258"/>
        <v>0</v>
      </c>
      <c r="Y8303" s="1">
        <f t="shared" si="259"/>
        <v>15</v>
      </c>
    </row>
    <row r="8304" spans="24:25" x14ac:dyDescent="0.3">
      <c r="X8304" s="1">
        <f t="shared" si="258"/>
        <v>0</v>
      </c>
      <c r="Y8304" s="1">
        <f t="shared" si="259"/>
        <v>15</v>
      </c>
    </row>
    <row r="8305" spans="24:25" x14ac:dyDescent="0.3">
      <c r="X8305" s="1">
        <f t="shared" si="258"/>
        <v>0</v>
      </c>
      <c r="Y8305" s="1">
        <f t="shared" si="259"/>
        <v>15</v>
      </c>
    </row>
    <row r="8306" spans="24:25" x14ac:dyDescent="0.3">
      <c r="X8306" s="1">
        <f t="shared" si="258"/>
        <v>0</v>
      </c>
      <c r="Y8306" s="1">
        <f t="shared" si="259"/>
        <v>15</v>
      </c>
    </row>
    <row r="8307" spans="24:25" x14ac:dyDescent="0.3">
      <c r="X8307" s="1">
        <f t="shared" si="258"/>
        <v>0</v>
      </c>
      <c r="Y8307" s="1">
        <f t="shared" si="259"/>
        <v>15</v>
      </c>
    </row>
    <row r="8308" spans="24:25" x14ac:dyDescent="0.3">
      <c r="X8308" s="1">
        <f t="shared" si="258"/>
        <v>0</v>
      </c>
      <c r="Y8308" s="1">
        <f t="shared" si="259"/>
        <v>15</v>
      </c>
    </row>
    <row r="8309" spans="24:25" x14ac:dyDescent="0.3">
      <c r="X8309" s="1">
        <f t="shared" si="258"/>
        <v>0</v>
      </c>
      <c r="Y8309" s="1">
        <f t="shared" si="259"/>
        <v>15</v>
      </c>
    </row>
    <row r="8310" spans="24:25" x14ac:dyDescent="0.3">
      <c r="X8310" s="1">
        <f t="shared" si="258"/>
        <v>0</v>
      </c>
      <c r="Y8310" s="1">
        <f t="shared" si="259"/>
        <v>15</v>
      </c>
    </row>
    <row r="8311" spans="24:25" x14ac:dyDescent="0.3">
      <c r="X8311" s="1">
        <f t="shared" si="258"/>
        <v>0</v>
      </c>
      <c r="Y8311" s="1">
        <f t="shared" si="259"/>
        <v>15</v>
      </c>
    </row>
    <row r="8312" spans="24:25" x14ac:dyDescent="0.3">
      <c r="X8312" s="1">
        <f t="shared" si="258"/>
        <v>0</v>
      </c>
      <c r="Y8312" s="1">
        <f t="shared" si="259"/>
        <v>15</v>
      </c>
    </row>
    <row r="8313" spans="24:25" x14ac:dyDescent="0.3">
      <c r="X8313" s="1">
        <f t="shared" si="258"/>
        <v>0</v>
      </c>
      <c r="Y8313" s="1">
        <f t="shared" si="259"/>
        <v>15</v>
      </c>
    </row>
    <row r="8314" spans="24:25" x14ac:dyDescent="0.3">
      <c r="X8314" s="1">
        <f t="shared" si="258"/>
        <v>0</v>
      </c>
      <c r="Y8314" s="1">
        <f t="shared" si="259"/>
        <v>15</v>
      </c>
    </row>
    <row r="8315" spans="24:25" x14ac:dyDescent="0.3">
      <c r="X8315" s="1">
        <f t="shared" si="258"/>
        <v>0</v>
      </c>
      <c r="Y8315" s="1">
        <f t="shared" si="259"/>
        <v>15</v>
      </c>
    </row>
    <row r="8316" spans="24:25" x14ac:dyDescent="0.3">
      <c r="X8316" s="1">
        <f t="shared" si="258"/>
        <v>0</v>
      </c>
      <c r="Y8316" s="1">
        <f t="shared" si="259"/>
        <v>15</v>
      </c>
    </row>
    <row r="8317" spans="24:25" x14ac:dyDescent="0.3">
      <c r="X8317" s="1">
        <f t="shared" si="258"/>
        <v>0</v>
      </c>
      <c r="Y8317" s="1">
        <f t="shared" si="259"/>
        <v>15</v>
      </c>
    </row>
    <row r="8318" spans="24:25" x14ac:dyDescent="0.3">
      <c r="X8318" s="1">
        <f t="shared" si="258"/>
        <v>0</v>
      </c>
      <c r="Y8318" s="1">
        <f t="shared" si="259"/>
        <v>15</v>
      </c>
    </row>
    <row r="8319" spans="24:25" x14ac:dyDescent="0.3">
      <c r="X8319" s="1">
        <f t="shared" si="258"/>
        <v>0</v>
      </c>
      <c r="Y8319" s="1">
        <f t="shared" si="259"/>
        <v>15</v>
      </c>
    </row>
    <row r="8320" spans="24:25" x14ac:dyDescent="0.3">
      <c r="X8320" s="1">
        <f t="shared" si="258"/>
        <v>0</v>
      </c>
      <c r="Y8320" s="1">
        <f t="shared" si="259"/>
        <v>15</v>
      </c>
    </row>
    <row r="8321" spans="24:25" x14ac:dyDescent="0.3">
      <c r="X8321" s="1">
        <f t="shared" si="258"/>
        <v>0</v>
      </c>
      <c r="Y8321" s="1">
        <f t="shared" si="259"/>
        <v>15</v>
      </c>
    </row>
    <row r="8322" spans="24:25" x14ac:dyDescent="0.3">
      <c r="X8322" s="1">
        <f t="shared" si="258"/>
        <v>0</v>
      </c>
      <c r="Y8322" s="1">
        <f t="shared" si="259"/>
        <v>15</v>
      </c>
    </row>
    <row r="8323" spans="24:25" x14ac:dyDescent="0.3">
      <c r="X8323" s="1">
        <f t="shared" ref="X8323:X8386" si="260">IFERROR(MATCH(W8323,$B:$B,0),0)</f>
        <v>0</v>
      </c>
      <c r="Y8323" s="1">
        <f t="shared" ref="Y8323:Y8386" si="261">IF(X8324=0,COUNTA(A:A),X8324-1)</f>
        <v>15</v>
      </c>
    </row>
    <row r="8324" spans="24:25" x14ac:dyDescent="0.3">
      <c r="X8324" s="1">
        <f t="shared" si="260"/>
        <v>0</v>
      </c>
      <c r="Y8324" s="1">
        <f t="shared" si="261"/>
        <v>15</v>
      </c>
    </row>
    <row r="8325" spans="24:25" x14ac:dyDescent="0.3">
      <c r="X8325" s="1">
        <f t="shared" si="260"/>
        <v>0</v>
      </c>
      <c r="Y8325" s="1">
        <f t="shared" si="261"/>
        <v>15</v>
      </c>
    </row>
    <row r="8326" spans="24:25" x14ac:dyDescent="0.3">
      <c r="X8326" s="1">
        <f t="shared" si="260"/>
        <v>0</v>
      </c>
      <c r="Y8326" s="1">
        <f t="shared" si="261"/>
        <v>15</v>
      </c>
    </row>
    <row r="8327" spans="24:25" x14ac:dyDescent="0.3">
      <c r="X8327" s="1">
        <f t="shared" si="260"/>
        <v>0</v>
      </c>
      <c r="Y8327" s="1">
        <f t="shared" si="261"/>
        <v>15</v>
      </c>
    </row>
    <row r="8328" spans="24:25" x14ac:dyDescent="0.3">
      <c r="X8328" s="1">
        <f t="shared" si="260"/>
        <v>0</v>
      </c>
      <c r="Y8328" s="1">
        <f t="shared" si="261"/>
        <v>15</v>
      </c>
    </row>
    <row r="8329" spans="24:25" x14ac:dyDescent="0.3">
      <c r="X8329" s="1">
        <f t="shared" si="260"/>
        <v>0</v>
      </c>
      <c r="Y8329" s="1">
        <f t="shared" si="261"/>
        <v>15</v>
      </c>
    </row>
    <row r="8330" spans="24:25" x14ac:dyDescent="0.3">
      <c r="X8330" s="1">
        <f t="shared" si="260"/>
        <v>0</v>
      </c>
      <c r="Y8330" s="1">
        <f t="shared" si="261"/>
        <v>15</v>
      </c>
    </row>
    <row r="8331" spans="24:25" x14ac:dyDescent="0.3">
      <c r="X8331" s="1">
        <f t="shared" si="260"/>
        <v>0</v>
      </c>
      <c r="Y8331" s="1">
        <f t="shared" si="261"/>
        <v>15</v>
      </c>
    </row>
    <row r="8332" spans="24:25" x14ac:dyDescent="0.3">
      <c r="X8332" s="1">
        <f t="shared" si="260"/>
        <v>0</v>
      </c>
      <c r="Y8332" s="1">
        <f t="shared" si="261"/>
        <v>15</v>
      </c>
    </row>
    <row r="8333" spans="24:25" x14ac:dyDescent="0.3">
      <c r="X8333" s="1">
        <f t="shared" si="260"/>
        <v>0</v>
      </c>
      <c r="Y8333" s="1">
        <f t="shared" si="261"/>
        <v>15</v>
      </c>
    </row>
    <row r="8334" spans="24:25" x14ac:dyDescent="0.3">
      <c r="X8334" s="1">
        <f t="shared" si="260"/>
        <v>0</v>
      </c>
      <c r="Y8334" s="1">
        <f t="shared" si="261"/>
        <v>15</v>
      </c>
    </row>
    <row r="8335" spans="24:25" x14ac:dyDescent="0.3">
      <c r="X8335" s="1">
        <f t="shared" si="260"/>
        <v>0</v>
      </c>
      <c r="Y8335" s="1">
        <f t="shared" si="261"/>
        <v>15</v>
      </c>
    </row>
    <row r="8336" spans="24:25" x14ac:dyDescent="0.3">
      <c r="X8336" s="1">
        <f t="shared" si="260"/>
        <v>0</v>
      </c>
      <c r="Y8336" s="1">
        <f t="shared" si="261"/>
        <v>15</v>
      </c>
    </row>
    <row r="8337" spans="24:25" x14ac:dyDescent="0.3">
      <c r="X8337" s="1">
        <f t="shared" si="260"/>
        <v>0</v>
      </c>
      <c r="Y8337" s="1">
        <f t="shared" si="261"/>
        <v>15</v>
      </c>
    </row>
    <row r="8338" spans="24:25" x14ac:dyDescent="0.3">
      <c r="X8338" s="1">
        <f t="shared" si="260"/>
        <v>0</v>
      </c>
      <c r="Y8338" s="1">
        <f t="shared" si="261"/>
        <v>15</v>
      </c>
    </row>
    <row r="8339" spans="24:25" x14ac:dyDescent="0.3">
      <c r="X8339" s="1">
        <f t="shared" si="260"/>
        <v>0</v>
      </c>
      <c r="Y8339" s="1">
        <f t="shared" si="261"/>
        <v>15</v>
      </c>
    </row>
    <row r="8340" spans="24:25" x14ac:dyDescent="0.3">
      <c r="X8340" s="1">
        <f t="shared" si="260"/>
        <v>0</v>
      </c>
      <c r="Y8340" s="1">
        <f t="shared" si="261"/>
        <v>15</v>
      </c>
    </row>
    <row r="8341" spans="24:25" x14ac:dyDescent="0.3">
      <c r="X8341" s="1">
        <f t="shared" si="260"/>
        <v>0</v>
      </c>
      <c r="Y8341" s="1">
        <f t="shared" si="261"/>
        <v>15</v>
      </c>
    </row>
    <row r="8342" spans="24:25" x14ac:dyDescent="0.3">
      <c r="X8342" s="1">
        <f t="shared" si="260"/>
        <v>0</v>
      </c>
      <c r="Y8342" s="1">
        <f t="shared" si="261"/>
        <v>15</v>
      </c>
    </row>
    <row r="8343" spans="24:25" x14ac:dyDescent="0.3">
      <c r="X8343" s="1">
        <f t="shared" si="260"/>
        <v>0</v>
      </c>
      <c r="Y8343" s="1">
        <f t="shared" si="261"/>
        <v>15</v>
      </c>
    </row>
    <row r="8344" spans="24:25" x14ac:dyDescent="0.3">
      <c r="X8344" s="1">
        <f t="shared" si="260"/>
        <v>0</v>
      </c>
      <c r="Y8344" s="1">
        <f t="shared" si="261"/>
        <v>15</v>
      </c>
    </row>
    <row r="8345" spans="24:25" x14ac:dyDescent="0.3">
      <c r="X8345" s="1">
        <f t="shared" si="260"/>
        <v>0</v>
      </c>
      <c r="Y8345" s="1">
        <f t="shared" si="261"/>
        <v>15</v>
      </c>
    </row>
    <row r="8346" spans="24:25" x14ac:dyDescent="0.3">
      <c r="X8346" s="1">
        <f t="shared" si="260"/>
        <v>0</v>
      </c>
      <c r="Y8346" s="1">
        <f t="shared" si="261"/>
        <v>15</v>
      </c>
    </row>
    <row r="8347" spans="24:25" x14ac:dyDescent="0.3">
      <c r="X8347" s="1">
        <f t="shared" si="260"/>
        <v>0</v>
      </c>
      <c r="Y8347" s="1">
        <f t="shared" si="261"/>
        <v>15</v>
      </c>
    </row>
    <row r="8348" spans="24:25" x14ac:dyDescent="0.3">
      <c r="X8348" s="1">
        <f t="shared" si="260"/>
        <v>0</v>
      </c>
      <c r="Y8348" s="1">
        <f t="shared" si="261"/>
        <v>15</v>
      </c>
    </row>
    <row r="8349" spans="24:25" x14ac:dyDescent="0.3">
      <c r="X8349" s="1">
        <f t="shared" si="260"/>
        <v>0</v>
      </c>
      <c r="Y8349" s="1">
        <f t="shared" si="261"/>
        <v>15</v>
      </c>
    </row>
    <row r="8350" spans="24:25" x14ac:dyDescent="0.3">
      <c r="X8350" s="1">
        <f t="shared" si="260"/>
        <v>0</v>
      </c>
      <c r="Y8350" s="1">
        <f t="shared" si="261"/>
        <v>15</v>
      </c>
    </row>
    <row r="8351" spans="24:25" x14ac:dyDescent="0.3">
      <c r="X8351" s="1">
        <f t="shared" si="260"/>
        <v>0</v>
      </c>
      <c r="Y8351" s="1">
        <f t="shared" si="261"/>
        <v>15</v>
      </c>
    </row>
    <row r="8352" spans="24:25" x14ac:dyDescent="0.3">
      <c r="X8352" s="1">
        <f t="shared" si="260"/>
        <v>0</v>
      </c>
      <c r="Y8352" s="1">
        <f t="shared" si="261"/>
        <v>15</v>
      </c>
    </row>
    <row r="8353" spans="24:25" x14ac:dyDescent="0.3">
      <c r="X8353" s="1">
        <f t="shared" si="260"/>
        <v>0</v>
      </c>
      <c r="Y8353" s="1">
        <f t="shared" si="261"/>
        <v>15</v>
      </c>
    </row>
    <row r="8354" spans="24:25" x14ac:dyDescent="0.3">
      <c r="X8354" s="1">
        <f t="shared" si="260"/>
        <v>0</v>
      </c>
      <c r="Y8354" s="1">
        <f t="shared" si="261"/>
        <v>15</v>
      </c>
    </row>
    <row r="8355" spans="24:25" x14ac:dyDescent="0.3">
      <c r="X8355" s="1">
        <f t="shared" si="260"/>
        <v>0</v>
      </c>
      <c r="Y8355" s="1">
        <f t="shared" si="261"/>
        <v>15</v>
      </c>
    </row>
    <row r="8356" spans="24:25" x14ac:dyDescent="0.3">
      <c r="X8356" s="1">
        <f t="shared" si="260"/>
        <v>0</v>
      </c>
      <c r="Y8356" s="1">
        <f t="shared" si="261"/>
        <v>15</v>
      </c>
    </row>
    <row r="8357" spans="24:25" x14ac:dyDescent="0.3">
      <c r="X8357" s="1">
        <f t="shared" si="260"/>
        <v>0</v>
      </c>
      <c r="Y8357" s="1">
        <f t="shared" si="261"/>
        <v>15</v>
      </c>
    </row>
    <row r="8358" spans="24:25" x14ac:dyDescent="0.3">
      <c r="X8358" s="1">
        <f t="shared" si="260"/>
        <v>0</v>
      </c>
      <c r="Y8358" s="1">
        <f t="shared" si="261"/>
        <v>15</v>
      </c>
    </row>
    <row r="8359" spans="24:25" x14ac:dyDescent="0.3">
      <c r="X8359" s="1">
        <f t="shared" si="260"/>
        <v>0</v>
      </c>
      <c r="Y8359" s="1">
        <f t="shared" si="261"/>
        <v>15</v>
      </c>
    </row>
    <row r="8360" spans="24:25" x14ac:dyDescent="0.3">
      <c r="X8360" s="1">
        <f t="shared" si="260"/>
        <v>0</v>
      </c>
      <c r="Y8360" s="1">
        <f t="shared" si="261"/>
        <v>15</v>
      </c>
    </row>
    <row r="8361" spans="24:25" x14ac:dyDescent="0.3">
      <c r="X8361" s="1">
        <f t="shared" si="260"/>
        <v>0</v>
      </c>
      <c r="Y8361" s="1">
        <f t="shared" si="261"/>
        <v>15</v>
      </c>
    </row>
    <row r="8362" spans="24:25" x14ac:dyDescent="0.3">
      <c r="X8362" s="1">
        <f t="shared" si="260"/>
        <v>0</v>
      </c>
      <c r="Y8362" s="1">
        <f t="shared" si="261"/>
        <v>15</v>
      </c>
    </row>
    <row r="8363" spans="24:25" x14ac:dyDescent="0.3">
      <c r="X8363" s="1">
        <f t="shared" si="260"/>
        <v>0</v>
      </c>
      <c r="Y8363" s="1">
        <f t="shared" si="261"/>
        <v>15</v>
      </c>
    </row>
    <row r="8364" spans="24:25" x14ac:dyDescent="0.3">
      <c r="X8364" s="1">
        <f t="shared" si="260"/>
        <v>0</v>
      </c>
      <c r="Y8364" s="1">
        <f t="shared" si="261"/>
        <v>15</v>
      </c>
    </row>
    <row r="8365" spans="24:25" x14ac:dyDescent="0.3">
      <c r="X8365" s="1">
        <f t="shared" si="260"/>
        <v>0</v>
      </c>
      <c r="Y8365" s="1">
        <f t="shared" si="261"/>
        <v>15</v>
      </c>
    </row>
    <row r="8366" spans="24:25" x14ac:dyDescent="0.3">
      <c r="X8366" s="1">
        <f t="shared" si="260"/>
        <v>0</v>
      </c>
      <c r="Y8366" s="1">
        <f t="shared" si="261"/>
        <v>15</v>
      </c>
    </row>
    <row r="8367" spans="24:25" x14ac:dyDescent="0.3">
      <c r="X8367" s="1">
        <f t="shared" si="260"/>
        <v>0</v>
      </c>
      <c r="Y8367" s="1">
        <f t="shared" si="261"/>
        <v>15</v>
      </c>
    </row>
    <row r="8368" spans="24:25" x14ac:dyDescent="0.3">
      <c r="X8368" s="1">
        <f t="shared" si="260"/>
        <v>0</v>
      </c>
      <c r="Y8368" s="1">
        <f t="shared" si="261"/>
        <v>15</v>
      </c>
    </row>
    <row r="8369" spans="24:25" x14ac:dyDescent="0.3">
      <c r="X8369" s="1">
        <f t="shared" si="260"/>
        <v>0</v>
      </c>
      <c r="Y8369" s="1">
        <f t="shared" si="261"/>
        <v>15</v>
      </c>
    </row>
    <row r="8370" spans="24:25" x14ac:dyDescent="0.3">
      <c r="X8370" s="1">
        <f t="shared" si="260"/>
        <v>0</v>
      </c>
      <c r="Y8370" s="1">
        <f t="shared" si="261"/>
        <v>15</v>
      </c>
    </row>
    <row r="8371" spans="24:25" x14ac:dyDescent="0.3">
      <c r="X8371" s="1">
        <f t="shared" si="260"/>
        <v>0</v>
      </c>
      <c r="Y8371" s="1">
        <f t="shared" si="261"/>
        <v>15</v>
      </c>
    </row>
    <row r="8372" spans="24:25" x14ac:dyDescent="0.3">
      <c r="X8372" s="1">
        <f t="shared" si="260"/>
        <v>0</v>
      </c>
      <c r="Y8372" s="1">
        <f t="shared" si="261"/>
        <v>15</v>
      </c>
    </row>
    <row r="8373" spans="24:25" x14ac:dyDescent="0.3">
      <c r="X8373" s="1">
        <f t="shared" si="260"/>
        <v>0</v>
      </c>
      <c r="Y8373" s="1">
        <f t="shared" si="261"/>
        <v>15</v>
      </c>
    </row>
    <row r="8374" spans="24:25" x14ac:dyDescent="0.3">
      <c r="X8374" s="1">
        <f t="shared" si="260"/>
        <v>0</v>
      </c>
      <c r="Y8374" s="1">
        <f t="shared" si="261"/>
        <v>15</v>
      </c>
    </row>
    <row r="8375" spans="24:25" x14ac:dyDescent="0.3">
      <c r="X8375" s="1">
        <f t="shared" si="260"/>
        <v>0</v>
      </c>
      <c r="Y8375" s="1">
        <f t="shared" si="261"/>
        <v>15</v>
      </c>
    </row>
    <row r="8376" spans="24:25" x14ac:dyDescent="0.3">
      <c r="X8376" s="1">
        <f t="shared" si="260"/>
        <v>0</v>
      </c>
      <c r="Y8376" s="1">
        <f t="shared" si="261"/>
        <v>15</v>
      </c>
    </row>
    <row r="8377" spans="24:25" x14ac:dyDescent="0.3">
      <c r="X8377" s="1">
        <f t="shared" si="260"/>
        <v>0</v>
      </c>
      <c r="Y8377" s="1">
        <f t="shared" si="261"/>
        <v>15</v>
      </c>
    </row>
    <row r="8378" spans="24:25" x14ac:dyDescent="0.3">
      <c r="X8378" s="1">
        <f t="shared" si="260"/>
        <v>0</v>
      </c>
      <c r="Y8378" s="1">
        <f t="shared" si="261"/>
        <v>15</v>
      </c>
    </row>
    <row r="8379" spans="24:25" x14ac:dyDescent="0.3">
      <c r="X8379" s="1">
        <f t="shared" si="260"/>
        <v>0</v>
      </c>
      <c r="Y8379" s="1">
        <f t="shared" si="261"/>
        <v>15</v>
      </c>
    </row>
    <row r="8380" spans="24:25" x14ac:dyDescent="0.3">
      <c r="X8380" s="1">
        <f t="shared" si="260"/>
        <v>0</v>
      </c>
      <c r="Y8380" s="1">
        <f t="shared" si="261"/>
        <v>15</v>
      </c>
    </row>
    <row r="8381" spans="24:25" x14ac:dyDescent="0.3">
      <c r="X8381" s="1">
        <f t="shared" si="260"/>
        <v>0</v>
      </c>
      <c r="Y8381" s="1">
        <f t="shared" si="261"/>
        <v>15</v>
      </c>
    </row>
    <row r="8382" spans="24:25" x14ac:dyDescent="0.3">
      <c r="X8382" s="1">
        <f t="shared" si="260"/>
        <v>0</v>
      </c>
      <c r="Y8382" s="1">
        <f t="shared" si="261"/>
        <v>15</v>
      </c>
    </row>
    <row r="8383" spans="24:25" x14ac:dyDescent="0.3">
      <c r="X8383" s="1">
        <f t="shared" si="260"/>
        <v>0</v>
      </c>
      <c r="Y8383" s="1">
        <f t="shared" si="261"/>
        <v>15</v>
      </c>
    </row>
    <row r="8384" spans="24:25" x14ac:dyDescent="0.3">
      <c r="X8384" s="1">
        <f t="shared" si="260"/>
        <v>0</v>
      </c>
      <c r="Y8384" s="1">
        <f t="shared" si="261"/>
        <v>15</v>
      </c>
    </row>
    <row r="8385" spans="24:25" x14ac:dyDescent="0.3">
      <c r="X8385" s="1">
        <f t="shared" si="260"/>
        <v>0</v>
      </c>
      <c r="Y8385" s="1">
        <f t="shared" si="261"/>
        <v>15</v>
      </c>
    </row>
    <row r="8386" spans="24:25" x14ac:dyDescent="0.3">
      <c r="X8386" s="1">
        <f t="shared" si="260"/>
        <v>0</v>
      </c>
      <c r="Y8386" s="1">
        <f t="shared" si="261"/>
        <v>15</v>
      </c>
    </row>
    <row r="8387" spans="24:25" x14ac:dyDescent="0.3">
      <c r="X8387" s="1">
        <f t="shared" ref="X8387:X8450" si="262">IFERROR(MATCH(W8387,$B:$B,0),0)</f>
        <v>0</v>
      </c>
      <c r="Y8387" s="1">
        <f t="shared" ref="Y8387:Y8450" si="263">IF(X8388=0,COUNTA(A:A),X8388-1)</f>
        <v>15</v>
      </c>
    </row>
    <row r="8388" spans="24:25" x14ac:dyDescent="0.3">
      <c r="X8388" s="1">
        <f t="shared" si="262"/>
        <v>0</v>
      </c>
      <c r="Y8388" s="1">
        <f t="shared" si="263"/>
        <v>15</v>
      </c>
    </row>
    <row r="8389" spans="24:25" x14ac:dyDescent="0.3">
      <c r="X8389" s="1">
        <f t="shared" si="262"/>
        <v>0</v>
      </c>
      <c r="Y8389" s="1">
        <f t="shared" si="263"/>
        <v>15</v>
      </c>
    </row>
    <row r="8390" spans="24:25" x14ac:dyDescent="0.3">
      <c r="X8390" s="1">
        <f t="shared" si="262"/>
        <v>0</v>
      </c>
      <c r="Y8390" s="1">
        <f t="shared" si="263"/>
        <v>15</v>
      </c>
    </row>
    <row r="8391" spans="24:25" x14ac:dyDescent="0.3">
      <c r="X8391" s="1">
        <f t="shared" si="262"/>
        <v>0</v>
      </c>
      <c r="Y8391" s="1">
        <f t="shared" si="263"/>
        <v>15</v>
      </c>
    </row>
    <row r="8392" spans="24:25" x14ac:dyDescent="0.3">
      <c r="X8392" s="1">
        <f t="shared" si="262"/>
        <v>0</v>
      </c>
      <c r="Y8392" s="1">
        <f t="shared" si="263"/>
        <v>15</v>
      </c>
    </row>
    <row r="8393" spans="24:25" x14ac:dyDescent="0.3">
      <c r="X8393" s="1">
        <f t="shared" si="262"/>
        <v>0</v>
      </c>
      <c r="Y8393" s="1">
        <f t="shared" si="263"/>
        <v>15</v>
      </c>
    </row>
    <row r="8394" spans="24:25" x14ac:dyDescent="0.3">
      <c r="X8394" s="1">
        <f t="shared" si="262"/>
        <v>0</v>
      </c>
      <c r="Y8394" s="1">
        <f t="shared" si="263"/>
        <v>15</v>
      </c>
    </row>
    <row r="8395" spans="24:25" x14ac:dyDescent="0.3">
      <c r="X8395" s="1">
        <f t="shared" si="262"/>
        <v>0</v>
      </c>
      <c r="Y8395" s="1">
        <f t="shared" si="263"/>
        <v>15</v>
      </c>
    </row>
    <row r="8396" spans="24:25" x14ac:dyDescent="0.3">
      <c r="X8396" s="1">
        <f t="shared" si="262"/>
        <v>0</v>
      </c>
      <c r="Y8396" s="1">
        <f t="shared" si="263"/>
        <v>15</v>
      </c>
    </row>
    <row r="8397" spans="24:25" x14ac:dyDescent="0.3">
      <c r="X8397" s="1">
        <f t="shared" si="262"/>
        <v>0</v>
      </c>
      <c r="Y8397" s="1">
        <f t="shared" si="263"/>
        <v>15</v>
      </c>
    </row>
    <row r="8398" spans="24:25" x14ac:dyDescent="0.3">
      <c r="X8398" s="1">
        <f t="shared" si="262"/>
        <v>0</v>
      </c>
      <c r="Y8398" s="1">
        <f t="shared" si="263"/>
        <v>15</v>
      </c>
    </row>
    <row r="8399" spans="24:25" x14ac:dyDescent="0.3">
      <c r="X8399" s="1">
        <f t="shared" si="262"/>
        <v>0</v>
      </c>
      <c r="Y8399" s="1">
        <f t="shared" si="263"/>
        <v>15</v>
      </c>
    </row>
    <row r="8400" spans="24:25" x14ac:dyDescent="0.3">
      <c r="X8400" s="1">
        <f t="shared" si="262"/>
        <v>0</v>
      </c>
      <c r="Y8400" s="1">
        <f t="shared" si="263"/>
        <v>15</v>
      </c>
    </row>
    <row r="8401" spans="24:25" x14ac:dyDescent="0.3">
      <c r="X8401" s="1">
        <f t="shared" si="262"/>
        <v>0</v>
      </c>
      <c r="Y8401" s="1">
        <f t="shared" si="263"/>
        <v>15</v>
      </c>
    </row>
    <row r="8402" spans="24:25" x14ac:dyDescent="0.3">
      <c r="X8402" s="1">
        <f t="shared" si="262"/>
        <v>0</v>
      </c>
      <c r="Y8402" s="1">
        <f t="shared" si="263"/>
        <v>15</v>
      </c>
    </row>
    <row r="8403" spans="24:25" x14ac:dyDescent="0.3">
      <c r="X8403" s="1">
        <f t="shared" si="262"/>
        <v>0</v>
      </c>
      <c r="Y8403" s="1">
        <f t="shared" si="263"/>
        <v>15</v>
      </c>
    </row>
    <row r="8404" spans="24:25" x14ac:dyDescent="0.3">
      <c r="X8404" s="1">
        <f t="shared" si="262"/>
        <v>0</v>
      </c>
      <c r="Y8404" s="1">
        <f t="shared" si="263"/>
        <v>15</v>
      </c>
    </row>
    <row r="8405" spans="24:25" x14ac:dyDescent="0.3">
      <c r="X8405" s="1">
        <f t="shared" si="262"/>
        <v>0</v>
      </c>
      <c r="Y8405" s="1">
        <f t="shared" si="263"/>
        <v>15</v>
      </c>
    </row>
    <row r="8406" spans="24:25" x14ac:dyDescent="0.3">
      <c r="X8406" s="1">
        <f t="shared" si="262"/>
        <v>0</v>
      </c>
      <c r="Y8406" s="1">
        <f t="shared" si="263"/>
        <v>15</v>
      </c>
    </row>
    <row r="8407" spans="24:25" x14ac:dyDescent="0.3">
      <c r="X8407" s="1">
        <f t="shared" si="262"/>
        <v>0</v>
      </c>
      <c r="Y8407" s="1">
        <f t="shared" si="263"/>
        <v>15</v>
      </c>
    </row>
    <row r="8408" spans="24:25" x14ac:dyDescent="0.3">
      <c r="X8408" s="1">
        <f t="shared" si="262"/>
        <v>0</v>
      </c>
      <c r="Y8408" s="1">
        <f t="shared" si="263"/>
        <v>15</v>
      </c>
    </row>
    <row r="8409" spans="24:25" x14ac:dyDescent="0.3">
      <c r="X8409" s="1">
        <f t="shared" si="262"/>
        <v>0</v>
      </c>
      <c r="Y8409" s="1">
        <f t="shared" si="263"/>
        <v>15</v>
      </c>
    </row>
    <row r="8410" spans="24:25" x14ac:dyDescent="0.3">
      <c r="X8410" s="1">
        <f t="shared" si="262"/>
        <v>0</v>
      </c>
      <c r="Y8410" s="1">
        <f t="shared" si="263"/>
        <v>15</v>
      </c>
    </row>
    <row r="8411" spans="24:25" x14ac:dyDescent="0.3">
      <c r="X8411" s="1">
        <f t="shared" si="262"/>
        <v>0</v>
      </c>
      <c r="Y8411" s="1">
        <f t="shared" si="263"/>
        <v>15</v>
      </c>
    </row>
    <row r="8412" spans="24:25" x14ac:dyDescent="0.3">
      <c r="X8412" s="1">
        <f t="shared" si="262"/>
        <v>0</v>
      </c>
      <c r="Y8412" s="1">
        <f t="shared" si="263"/>
        <v>15</v>
      </c>
    </row>
    <row r="8413" spans="24:25" x14ac:dyDescent="0.3">
      <c r="X8413" s="1">
        <f t="shared" si="262"/>
        <v>0</v>
      </c>
      <c r="Y8413" s="1">
        <f t="shared" si="263"/>
        <v>15</v>
      </c>
    </row>
    <row r="8414" spans="24:25" x14ac:dyDescent="0.3">
      <c r="X8414" s="1">
        <f t="shared" si="262"/>
        <v>0</v>
      </c>
      <c r="Y8414" s="1">
        <f t="shared" si="263"/>
        <v>15</v>
      </c>
    </row>
    <row r="8415" spans="24:25" x14ac:dyDescent="0.3">
      <c r="X8415" s="1">
        <f t="shared" si="262"/>
        <v>0</v>
      </c>
      <c r="Y8415" s="1">
        <f t="shared" si="263"/>
        <v>15</v>
      </c>
    </row>
    <row r="8416" spans="24:25" x14ac:dyDescent="0.3">
      <c r="X8416" s="1">
        <f t="shared" si="262"/>
        <v>0</v>
      </c>
      <c r="Y8416" s="1">
        <f t="shared" si="263"/>
        <v>15</v>
      </c>
    </row>
    <row r="8417" spans="24:25" x14ac:dyDescent="0.3">
      <c r="X8417" s="1">
        <f t="shared" si="262"/>
        <v>0</v>
      </c>
      <c r="Y8417" s="1">
        <f t="shared" si="263"/>
        <v>15</v>
      </c>
    </row>
    <row r="8418" spans="24:25" x14ac:dyDescent="0.3">
      <c r="X8418" s="1">
        <f t="shared" si="262"/>
        <v>0</v>
      </c>
      <c r="Y8418" s="1">
        <f t="shared" si="263"/>
        <v>15</v>
      </c>
    </row>
    <row r="8419" spans="24:25" x14ac:dyDescent="0.3">
      <c r="X8419" s="1">
        <f t="shared" si="262"/>
        <v>0</v>
      </c>
      <c r="Y8419" s="1">
        <f t="shared" si="263"/>
        <v>15</v>
      </c>
    </row>
    <row r="8420" spans="24:25" x14ac:dyDescent="0.3">
      <c r="X8420" s="1">
        <f t="shared" si="262"/>
        <v>0</v>
      </c>
      <c r="Y8420" s="1">
        <f t="shared" si="263"/>
        <v>15</v>
      </c>
    </row>
    <row r="8421" spans="24:25" x14ac:dyDescent="0.3">
      <c r="X8421" s="1">
        <f t="shared" si="262"/>
        <v>0</v>
      </c>
      <c r="Y8421" s="1">
        <f t="shared" si="263"/>
        <v>15</v>
      </c>
    </row>
    <row r="8422" spans="24:25" x14ac:dyDescent="0.3">
      <c r="X8422" s="1">
        <f t="shared" si="262"/>
        <v>0</v>
      </c>
      <c r="Y8422" s="1">
        <f t="shared" si="263"/>
        <v>15</v>
      </c>
    </row>
    <row r="8423" spans="24:25" x14ac:dyDescent="0.3">
      <c r="X8423" s="1">
        <f t="shared" si="262"/>
        <v>0</v>
      </c>
      <c r="Y8423" s="1">
        <f t="shared" si="263"/>
        <v>15</v>
      </c>
    </row>
    <row r="8424" spans="24:25" x14ac:dyDescent="0.3">
      <c r="X8424" s="1">
        <f t="shared" si="262"/>
        <v>0</v>
      </c>
      <c r="Y8424" s="1">
        <f t="shared" si="263"/>
        <v>15</v>
      </c>
    </row>
    <row r="8425" spans="24:25" x14ac:dyDescent="0.3">
      <c r="X8425" s="1">
        <f t="shared" si="262"/>
        <v>0</v>
      </c>
      <c r="Y8425" s="1">
        <f t="shared" si="263"/>
        <v>15</v>
      </c>
    </row>
    <row r="8426" spans="24:25" x14ac:dyDescent="0.3">
      <c r="X8426" s="1">
        <f t="shared" si="262"/>
        <v>0</v>
      </c>
      <c r="Y8426" s="1">
        <f t="shared" si="263"/>
        <v>15</v>
      </c>
    </row>
    <row r="8427" spans="24:25" x14ac:dyDescent="0.3">
      <c r="X8427" s="1">
        <f t="shared" si="262"/>
        <v>0</v>
      </c>
      <c r="Y8427" s="1">
        <f t="shared" si="263"/>
        <v>15</v>
      </c>
    </row>
    <row r="8428" spans="24:25" x14ac:dyDescent="0.3">
      <c r="X8428" s="1">
        <f t="shared" si="262"/>
        <v>0</v>
      </c>
      <c r="Y8428" s="1">
        <f t="shared" si="263"/>
        <v>15</v>
      </c>
    </row>
    <row r="8429" spans="24:25" x14ac:dyDescent="0.3">
      <c r="X8429" s="1">
        <f t="shared" si="262"/>
        <v>0</v>
      </c>
      <c r="Y8429" s="1">
        <f t="shared" si="263"/>
        <v>15</v>
      </c>
    </row>
    <row r="8430" spans="24:25" x14ac:dyDescent="0.3">
      <c r="X8430" s="1">
        <f t="shared" si="262"/>
        <v>0</v>
      </c>
      <c r="Y8430" s="1">
        <f t="shared" si="263"/>
        <v>15</v>
      </c>
    </row>
    <row r="8431" spans="24:25" x14ac:dyDescent="0.3">
      <c r="X8431" s="1">
        <f t="shared" si="262"/>
        <v>0</v>
      </c>
      <c r="Y8431" s="1">
        <f t="shared" si="263"/>
        <v>15</v>
      </c>
    </row>
    <row r="8432" spans="24:25" x14ac:dyDescent="0.3">
      <c r="X8432" s="1">
        <f t="shared" si="262"/>
        <v>0</v>
      </c>
      <c r="Y8432" s="1">
        <f t="shared" si="263"/>
        <v>15</v>
      </c>
    </row>
    <row r="8433" spans="24:25" x14ac:dyDescent="0.3">
      <c r="X8433" s="1">
        <f t="shared" si="262"/>
        <v>0</v>
      </c>
      <c r="Y8433" s="1">
        <f t="shared" si="263"/>
        <v>15</v>
      </c>
    </row>
    <row r="8434" spans="24:25" x14ac:dyDescent="0.3">
      <c r="X8434" s="1">
        <f t="shared" si="262"/>
        <v>0</v>
      </c>
      <c r="Y8434" s="1">
        <f t="shared" si="263"/>
        <v>15</v>
      </c>
    </row>
    <row r="8435" spans="24:25" x14ac:dyDescent="0.3">
      <c r="X8435" s="1">
        <f t="shared" si="262"/>
        <v>0</v>
      </c>
      <c r="Y8435" s="1">
        <f t="shared" si="263"/>
        <v>15</v>
      </c>
    </row>
    <row r="8436" spans="24:25" x14ac:dyDescent="0.3">
      <c r="X8436" s="1">
        <f t="shared" si="262"/>
        <v>0</v>
      </c>
      <c r="Y8436" s="1">
        <f t="shared" si="263"/>
        <v>15</v>
      </c>
    </row>
    <row r="8437" spans="24:25" x14ac:dyDescent="0.3">
      <c r="X8437" s="1">
        <f t="shared" si="262"/>
        <v>0</v>
      </c>
      <c r="Y8437" s="1">
        <f t="shared" si="263"/>
        <v>15</v>
      </c>
    </row>
    <row r="8438" spans="24:25" x14ac:dyDescent="0.3">
      <c r="X8438" s="1">
        <f t="shared" si="262"/>
        <v>0</v>
      </c>
      <c r="Y8438" s="1">
        <f t="shared" si="263"/>
        <v>15</v>
      </c>
    </row>
    <row r="8439" spans="24:25" x14ac:dyDescent="0.3">
      <c r="X8439" s="1">
        <f t="shared" si="262"/>
        <v>0</v>
      </c>
      <c r="Y8439" s="1">
        <f t="shared" si="263"/>
        <v>15</v>
      </c>
    </row>
    <row r="8440" spans="24:25" x14ac:dyDescent="0.3">
      <c r="X8440" s="1">
        <f t="shared" si="262"/>
        <v>0</v>
      </c>
      <c r="Y8440" s="1">
        <f t="shared" si="263"/>
        <v>15</v>
      </c>
    </row>
    <row r="8441" spans="24:25" x14ac:dyDescent="0.3">
      <c r="X8441" s="1">
        <f t="shared" si="262"/>
        <v>0</v>
      </c>
      <c r="Y8441" s="1">
        <f t="shared" si="263"/>
        <v>15</v>
      </c>
    </row>
    <row r="8442" spans="24:25" x14ac:dyDescent="0.3">
      <c r="X8442" s="1">
        <f t="shared" si="262"/>
        <v>0</v>
      </c>
      <c r="Y8442" s="1">
        <f t="shared" si="263"/>
        <v>15</v>
      </c>
    </row>
    <row r="8443" spans="24:25" x14ac:dyDescent="0.3">
      <c r="X8443" s="1">
        <f t="shared" si="262"/>
        <v>0</v>
      </c>
      <c r="Y8443" s="1">
        <f t="shared" si="263"/>
        <v>15</v>
      </c>
    </row>
    <row r="8444" spans="24:25" x14ac:dyDescent="0.3">
      <c r="X8444" s="1">
        <f t="shared" si="262"/>
        <v>0</v>
      </c>
      <c r="Y8444" s="1">
        <f t="shared" si="263"/>
        <v>15</v>
      </c>
    </row>
    <row r="8445" spans="24:25" x14ac:dyDescent="0.3">
      <c r="X8445" s="1">
        <f t="shared" si="262"/>
        <v>0</v>
      </c>
      <c r="Y8445" s="1">
        <f t="shared" si="263"/>
        <v>15</v>
      </c>
    </row>
    <row r="8446" spans="24:25" x14ac:dyDescent="0.3">
      <c r="X8446" s="1">
        <f t="shared" si="262"/>
        <v>0</v>
      </c>
      <c r="Y8446" s="1">
        <f t="shared" si="263"/>
        <v>15</v>
      </c>
    </row>
    <row r="8447" spans="24:25" x14ac:dyDescent="0.3">
      <c r="X8447" s="1">
        <f t="shared" si="262"/>
        <v>0</v>
      </c>
      <c r="Y8447" s="1">
        <f t="shared" si="263"/>
        <v>15</v>
      </c>
    </row>
    <row r="8448" spans="24:25" x14ac:dyDescent="0.3">
      <c r="X8448" s="1">
        <f t="shared" si="262"/>
        <v>0</v>
      </c>
      <c r="Y8448" s="1">
        <f t="shared" si="263"/>
        <v>15</v>
      </c>
    </row>
    <row r="8449" spans="24:25" x14ac:dyDescent="0.3">
      <c r="X8449" s="1">
        <f t="shared" si="262"/>
        <v>0</v>
      </c>
      <c r="Y8449" s="1">
        <f t="shared" si="263"/>
        <v>15</v>
      </c>
    </row>
    <row r="8450" spans="24:25" x14ac:dyDescent="0.3">
      <c r="X8450" s="1">
        <f t="shared" si="262"/>
        <v>0</v>
      </c>
      <c r="Y8450" s="1">
        <f t="shared" si="263"/>
        <v>15</v>
      </c>
    </row>
    <row r="8451" spans="24:25" x14ac:dyDescent="0.3">
      <c r="X8451" s="1">
        <f t="shared" ref="X8451:X8514" si="264">IFERROR(MATCH(W8451,$B:$B,0),0)</f>
        <v>0</v>
      </c>
      <c r="Y8451" s="1">
        <f t="shared" ref="Y8451:Y8514" si="265">IF(X8452=0,COUNTA(A:A),X8452-1)</f>
        <v>15</v>
      </c>
    </row>
    <row r="8452" spans="24:25" x14ac:dyDescent="0.3">
      <c r="X8452" s="1">
        <f t="shared" si="264"/>
        <v>0</v>
      </c>
      <c r="Y8452" s="1">
        <f t="shared" si="265"/>
        <v>15</v>
      </c>
    </row>
    <row r="8453" spans="24:25" x14ac:dyDescent="0.3">
      <c r="X8453" s="1">
        <f t="shared" si="264"/>
        <v>0</v>
      </c>
      <c r="Y8453" s="1">
        <f t="shared" si="265"/>
        <v>15</v>
      </c>
    </row>
    <row r="8454" spans="24:25" x14ac:dyDescent="0.3">
      <c r="X8454" s="1">
        <f t="shared" si="264"/>
        <v>0</v>
      </c>
      <c r="Y8454" s="1">
        <f t="shared" si="265"/>
        <v>15</v>
      </c>
    </row>
    <row r="8455" spans="24:25" x14ac:dyDescent="0.3">
      <c r="X8455" s="1">
        <f t="shared" si="264"/>
        <v>0</v>
      </c>
      <c r="Y8455" s="1">
        <f t="shared" si="265"/>
        <v>15</v>
      </c>
    </row>
    <row r="8456" spans="24:25" x14ac:dyDescent="0.3">
      <c r="X8456" s="1">
        <f t="shared" si="264"/>
        <v>0</v>
      </c>
      <c r="Y8456" s="1">
        <f t="shared" si="265"/>
        <v>15</v>
      </c>
    </row>
    <row r="8457" spans="24:25" x14ac:dyDescent="0.3">
      <c r="X8457" s="1">
        <f t="shared" si="264"/>
        <v>0</v>
      </c>
      <c r="Y8457" s="1">
        <f t="shared" si="265"/>
        <v>15</v>
      </c>
    </row>
    <row r="8458" spans="24:25" x14ac:dyDescent="0.3">
      <c r="X8458" s="1">
        <f t="shared" si="264"/>
        <v>0</v>
      </c>
      <c r="Y8458" s="1">
        <f t="shared" si="265"/>
        <v>15</v>
      </c>
    </row>
    <row r="8459" spans="24:25" x14ac:dyDescent="0.3">
      <c r="X8459" s="1">
        <f t="shared" si="264"/>
        <v>0</v>
      </c>
      <c r="Y8459" s="1">
        <f t="shared" si="265"/>
        <v>15</v>
      </c>
    </row>
    <row r="8460" spans="24:25" x14ac:dyDescent="0.3">
      <c r="X8460" s="1">
        <f t="shared" si="264"/>
        <v>0</v>
      </c>
      <c r="Y8460" s="1">
        <f t="shared" si="265"/>
        <v>15</v>
      </c>
    </row>
    <row r="8461" spans="24:25" x14ac:dyDescent="0.3">
      <c r="X8461" s="1">
        <f t="shared" si="264"/>
        <v>0</v>
      </c>
      <c r="Y8461" s="1">
        <f t="shared" si="265"/>
        <v>15</v>
      </c>
    </row>
    <row r="8462" spans="24:25" x14ac:dyDescent="0.3">
      <c r="X8462" s="1">
        <f t="shared" si="264"/>
        <v>0</v>
      </c>
      <c r="Y8462" s="1">
        <f t="shared" si="265"/>
        <v>15</v>
      </c>
    </row>
    <row r="8463" spans="24:25" x14ac:dyDescent="0.3">
      <c r="X8463" s="1">
        <f t="shared" si="264"/>
        <v>0</v>
      </c>
      <c r="Y8463" s="1">
        <f t="shared" si="265"/>
        <v>15</v>
      </c>
    </row>
    <row r="8464" spans="24:25" x14ac:dyDescent="0.3">
      <c r="X8464" s="1">
        <f t="shared" si="264"/>
        <v>0</v>
      </c>
      <c r="Y8464" s="1">
        <f t="shared" si="265"/>
        <v>15</v>
      </c>
    </row>
    <row r="8465" spans="24:25" x14ac:dyDescent="0.3">
      <c r="X8465" s="1">
        <f t="shared" si="264"/>
        <v>0</v>
      </c>
      <c r="Y8465" s="1">
        <f t="shared" si="265"/>
        <v>15</v>
      </c>
    </row>
    <row r="8466" spans="24:25" x14ac:dyDescent="0.3">
      <c r="X8466" s="1">
        <f t="shared" si="264"/>
        <v>0</v>
      </c>
      <c r="Y8466" s="1">
        <f t="shared" si="265"/>
        <v>15</v>
      </c>
    </row>
    <row r="8467" spans="24:25" x14ac:dyDescent="0.3">
      <c r="X8467" s="1">
        <f t="shared" si="264"/>
        <v>0</v>
      </c>
      <c r="Y8467" s="1">
        <f t="shared" si="265"/>
        <v>15</v>
      </c>
    </row>
    <row r="8468" spans="24:25" x14ac:dyDescent="0.3">
      <c r="X8468" s="1">
        <f t="shared" si="264"/>
        <v>0</v>
      </c>
      <c r="Y8468" s="1">
        <f t="shared" si="265"/>
        <v>15</v>
      </c>
    </row>
    <row r="8469" spans="24:25" x14ac:dyDescent="0.3">
      <c r="X8469" s="1">
        <f t="shared" si="264"/>
        <v>0</v>
      </c>
      <c r="Y8469" s="1">
        <f t="shared" si="265"/>
        <v>15</v>
      </c>
    </row>
    <row r="8470" spans="24:25" x14ac:dyDescent="0.3">
      <c r="X8470" s="1">
        <f t="shared" si="264"/>
        <v>0</v>
      </c>
      <c r="Y8470" s="1">
        <f t="shared" si="265"/>
        <v>15</v>
      </c>
    </row>
    <row r="8471" spans="24:25" x14ac:dyDescent="0.3">
      <c r="X8471" s="1">
        <f t="shared" si="264"/>
        <v>0</v>
      </c>
      <c r="Y8471" s="1">
        <f t="shared" si="265"/>
        <v>15</v>
      </c>
    </row>
    <row r="8472" spans="24:25" x14ac:dyDescent="0.3">
      <c r="X8472" s="1">
        <f t="shared" si="264"/>
        <v>0</v>
      </c>
      <c r="Y8472" s="1">
        <f t="shared" si="265"/>
        <v>15</v>
      </c>
    </row>
    <row r="8473" spans="24:25" x14ac:dyDescent="0.3">
      <c r="X8473" s="1">
        <f t="shared" si="264"/>
        <v>0</v>
      </c>
      <c r="Y8473" s="1">
        <f t="shared" si="265"/>
        <v>15</v>
      </c>
    </row>
    <row r="8474" spans="24:25" x14ac:dyDescent="0.3">
      <c r="X8474" s="1">
        <f t="shared" si="264"/>
        <v>0</v>
      </c>
      <c r="Y8474" s="1">
        <f t="shared" si="265"/>
        <v>15</v>
      </c>
    </row>
    <row r="8475" spans="24:25" x14ac:dyDescent="0.3">
      <c r="X8475" s="1">
        <f t="shared" si="264"/>
        <v>0</v>
      </c>
      <c r="Y8475" s="1">
        <f t="shared" si="265"/>
        <v>15</v>
      </c>
    </row>
    <row r="8476" spans="24:25" x14ac:dyDescent="0.3">
      <c r="X8476" s="1">
        <f t="shared" si="264"/>
        <v>0</v>
      </c>
      <c r="Y8476" s="1">
        <f t="shared" si="265"/>
        <v>15</v>
      </c>
    </row>
    <row r="8477" spans="24:25" x14ac:dyDescent="0.3">
      <c r="X8477" s="1">
        <f t="shared" si="264"/>
        <v>0</v>
      </c>
      <c r="Y8477" s="1">
        <f t="shared" si="265"/>
        <v>15</v>
      </c>
    </row>
    <row r="8478" spans="24:25" x14ac:dyDescent="0.3">
      <c r="X8478" s="1">
        <f t="shared" si="264"/>
        <v>0</v>
      </c>
      <c r="Y8478" s="1">
        <f t="shared" si="265"/>
        <v>15</v>
      </c>
    </row>
    <row r="8479" spans="24:25" x14ac:dyDescent="0.3">
      <c r="X8479" s="1">
        <f t="shared" si="264"/>
        <v>0</v>
      </c>
      <c r="Y8479" s="1">
        <f t="shared" si="265"/>
        <v>15</v>
      </c>
    </row>
    <row r="8480" spans="24:25" x14ac:dyDescent="0.3">
      <c r="X8480" s="1">
        <f t="shared" si="264"/>
        <v>0</v>
      </c>
      <c r="Y8480" s="1">
        <f t="shared" si="265"/>
        <v>15</v>
      </c>
    </row>
    <row r="8481" spans="24:25" x14ac:dyDescent="0.3">
      <c r="X8481" s="1">
        <f t="shared" si="264"/>
        <v>0</v>
      </c>
      <c r="Y8481" s="1">
        <f t="shared" si="265"/>
        <v>15</v>
      </c>
    </row>
    <row r="8482" spans="24:25" x14ac:dyDescent="0.3">
      <c r="X8482" s="1">
        <f t="shared" si="264"/>
        <v>0</v>
      </c>
      <c r="Y8482" s="1">
        <f t="shared" si="265"/>
        <v>15</v>
      </c>
    </row>
    <row r="8483" spans="24:25" x14ac:dyDescent="0.3">
      <c r="X8483" s="1">
        <f t="shared" si="264"/>
        <v>0</v>
      </c>
      <c r="Y8483" s="1">
        <f t="shared" si="265"/>
        <v>15</v>
      </c>
    </row>
    <row r="8484" spans="24:25" x14ac:dyDescent="0.3">
      <c r="X8484" s="1">
        <f t="shared" si="264"/>
        <v>0</v>
      </c>
      <c r="Y8484" s="1">
        <f t="shared" si="265"/>
        <v>15</v>
      </c>
    </row>
    <row r="8485" spans="24:25" x14ac:dyDescent="0.3">
      <c r="X8485" s="1">
        <f t="shared" si="264"/>
        <v>0</v>
      </c>
      <c r="Y8485" s="1">
        <f t="shared" si="265"/>
        <v>15</v>
      </c>
    </row>
    <row r="8486" spans="24:25" x14ac:dyDescent="0.3">
      <c r="X8486" s="1">
        <f t="shared" si="264"/>
        <v>0</v>
      </c>
      <c r="Y8486" s="1">
        <f t="shared" si="265"/>
        <v>15</v>
      </c>
    </row>
    <row r="8487" spans="24:25" x14ac:dyDescent="0.3">
      <c r="X8487" s="1">
        <f t="shared" si="264"/>
        <v>0</v>
      </c>
      <c r="Y8487" s="1">
        <f t="shared" si="265"/>
        <v>15</v>
      </c>
    </row>
    <row r="8488" spans="24:25" x14ac:dyDescent="0.3">
      <c r="X8488" s="1">
        <f t="shared" si="264"/>
        <v>0</v>
      </c>
      <c r="Y8488" s="1">
        <f t="shared" si="265"/>
        <v>15</v>
      </c>
    </row>
    <row r="8489" spans="24:25" x14ac:dyDescent="0.3">
      <c r="X8489" s="1">
        <f t="shared" si="264"/>
        <v>0</v>
      </c>
      <c r="Y8489" s="1">
        <f t="shared" si="265"/>
        <v>15</v>
      </c>
    </row>
    <row r="8490" spans="24:25" x14ac:dyDescent="0.3">
      <c r="X8490" s="1">
        <f t="shared" si="264"/>
        <v>0</v>
      </c>
      <c r="Y8490" s="1">
        <f t="shared" si="265"/>
        <v>15</v>
      </c>
    </row>
    <row r="8491" spans="24:25" x14ac:dyDescent="0.3">
      <c r="X8491" s="1">
        <f t="shared" si="264"/>
        <v>0</v>
      </c>
      <c r="Y8491" s="1">
        <f t="shared" si="265"/>
        <v>15</v>
      </c>
    </row>
    <row r="8492" spans="24:25" x14ac:dyDescent="0.3">
      <c r="X8492" s="1">
        <f t="shared" si="264"/>
        <v>0</v>
      </c>
      <c r="Y8492" s="1">
        <f t="shared" si="265"/>
        <v>15</v>
      </c>
    </row>
    <row r="8493" spans="24:25" x14ac:dyDescent="0.3">
      <c r="X8493" s="1">
        <f t="shared" si="264"/>
        <v>0</v>
      </c>
      <c r="Y8493" s="1">
        <f t="shared" si="265"/>
        <v>15</v>
      </c>
    </row>
    <row r="8494" spans="24:25" x14ac:dyDescent="0.3">
      <c r="X8494" s="1">
        <f t="shared" si="264"/>
        <v>0</v>
      </c>
      <c r="Y8494" s="1">
        <f t="shared" si="265"/>
        <v>15</v>
      </c>
    </row>
    <row r="8495" spans="24:25" x14ac:dyDescent="0.3">
      <c r="X8495" s="1">
        <f t="shared" si="264"/>
        <v>0</v>
      </c>
      <c r="Y8495" s="1">
        <f t="shared" si="265"/>
        <v>15</v>
      </c>
    </row>
    <row r="8496" spans="24:25" x14ac:dyDescent="0.3">
      <c r="X8496" s="1">
        <f t="shared" si="264"/>
        <v>0</v>
      </c>
      <c r="Y8496" s="1">
        <f t="shared" si="265"/>
        <v>15</v>
      </c>
    </row>
    <row r="8497" spans="24:25" x14ac:dyDescent="0.3">
      <c r="X8497" s="1">
        <f t="shared" si="264"/>
        <v>0</v>
      </c>
      <c r="Y8497" s="1">
        <f t="shared" si="265"/>
        <v>15</v>
      </c>
    </row>
    <row r="8498" spans="24:25" x14ac:dyDescent="0.3">
      <c r="X8498" s="1">
        <f t="shared" si="264"/>
        <v>0</v>
      </c>
      <c r="Y8498" s="1">
        <f t="shared" si="265"/>
        <v>15</v>
      </c>
    </row>
    <row r="8499" spans="24:25" x14ac:dyDescent="0.3">
      <c r="X8499" s="1">
        <f t="shared" si="264"/>
        <v>0</v>
      </c>
      <c r="Y8499" s="1">
        <f t="shared" si="265"/>
        <v>15</v>
      </c>
    </row>
    <row r="8500" spans="24:25" x14ac:dyDescent="0.3">
      <c r="X8500" s="1">
        <f t="shared" si="264"/>
        <v>0</v>
      </c>
      <c r="Y8500" s="1">
        <f t="shared" si="265"/>
        <v>15</v>
      </c>
    </row>
    <row r="8501" spans="24:25" x14ac:dyDescent="0.3">
      <c r="X8501" s="1">
        <f t="shared" si="264"/>
        <v>0</v>
      </c>
      <c r="Y8501" s="1">
        <f t="shared" si="265"/>
        <v>15</v>
      </c>
    </row>
    <row r="8502" spans="24:25" x14ac:dyDescent="0.3">
      <c r="X8502" s="1">
        <f t="shared" si="264"/>
        <v>0</v>
      </c>
      <c r="Y8502" s="1">
        <f t="shared" si="265"/>
        <v>15</v>
      </c>
    </row>
    <row r="8503" spans="24:25" x14ac:dyDescent="0.3">
      <c r="X8503" s="1">
        <f t="shared" si="264"/>
        <v>0</v>
      </c>
      <c r="Y8503" s="1">
        <f t="shared" si="265"/>
        <v>15</v>
      </c>
    </row>
    <row r="8504" spans="24:25" x14ac:dyDescent="0.3">
      <c r="X8504" s="1">
        <f t="shared" si="264"/>
        <v>0</v>
      </c>
      <c r="Y8504" s="1">
        <f t="shared" si="265"/>
        <v>15</v>
      </c>
    </row>
    <row r="8505" spans="24:25" x14ac:dyDescent="0.3">
      <c r="X8505" s="1">
        <f t="shared" si="264"/>
        <v>0</v>
      </c>
      <c r="Y8505" s="1">
        <f t="shared" si="265"/>
        <v>15</v>
      </c>
    </row>
    <row r="8506" spans="24:25" x14ac:dyDescent="0.3">
      <c r="X8506" s="1">
        <f t="shared" si="264"/>
        <v>0</v>
      </c>
      <c r="Y8506" s="1">
        <f t="shared" si="265"/>
        <v>15</v>
      </c>
    </row>
    <row r="8507" spans="24:25" x14ac:dyDescent="0.3">
      <c r="X8507" s="1">
        <f t="shared" si="264"/>
        <v>0</v>
      </c>
      <c r="Y8507" s="1">
        <f t="shared" si="265"/>
        <v>15</v>
      </c>
    </row>
    <row r="8508" spans="24:25" x14ac:dyDescent="0.3">
      <c r="X8508" s="1">
        <f t="shared" si="264"/>
        <v>0</v>
      </c>
      <c r="Y8508" s="1">
        <f t="shared" si="265"/>
        <v>15</v>
      </c>
    </row>
    <row r="8509" spans="24:25" x14ac:dyDescent="0.3">
      <c r="X8509" s="1">
        <f t="shared" si="264"/>
        <v>0</v>
      </c>
      <c r="Y8509" s="1">
        <f t="shared" si="265"/>
        <v>15</v>
      </c>
    </row>
    <row r="8510" spans="24:25" x14ac:dyDescent="0.3">
      <c r="X8510" s="1">
        <f t="shared" si="264"/>
        <v>0</v>
      </c>
      <c r="Y8510" s="1">
        <f t="shared" si="265"/>
        <v>15</v>
      </c>
    </row>
    <row r="8511" spans="24:25" x14ac:dyDescent="0.3">
      <c r="X8511" s="1">
        <f t="shared" si="264"/>
        <v>0</v>
      </c>
      <c r="Y8511" s="1">
        <f t="shared" si="265"/>
        <v>15</v>
      </c>
    </row>
    <row r="8512" spans="24:25" x14ac:dyDescent="0.3">
      <c r="X8512" s="1">
        <f t="shared" si="264"/>
        <v>0</v>
      </c>
      <c r="Y8512" s="1">
        <f t="shared" si="265"/>
        <v>15</v>
      </c>
    </row>
    <row r="8513" spans="24:25" x14ac:dyDescent="0.3">
      <c r="X8513" s="1">
        <f t="shared" si="264"/>
        <v>0</v>
      </c>
      <c r="Y8513" s="1">
        <f t="shared" si="265"/>
        <v>15</v>
      </c>
    </row>
    <row r="8514" spans="24:25" x14ac:dyDescent="0.3">
      <c r="X8514" s="1">
        <f t="shared" si="264"/>
        <v>0</v>
      </c>
      <c r="Y8514" s="1">
        <f t="shared" si="265"/>
        <v>15</v>
      </c>
    </row>
    <row r="8515" spans="24:25" x14ac:dyDescent="0.3">
      <c r="X8515" s="1">
        <f t="shared" ref="X8515:X8578" si="266">IFERROR(MATCH(W8515,$B:$B,0),0)</f>
        <v>0</v>
      </c>
      <c r="Y8515" s="1">
        <f t="shared" ref="Y8515:Y8578" si="267">IF(X8516=0,COUNTA(A:A),X8516-1)</f>
        <v>15</v>
      </c>
    </row>
    <row r="8516" spans="24:25" x14ac:dyDescent="0.3">
      <c r="X8516" s="1">
        <f t="shared" si="266"/>
        <v>0</v>
      </c>
      <c r="Y8516" s="1">
        <f t="shared" si="267"/>
        <v>15</v>
      </c>
    </row>
    <row r="8517" spans="24:25" x14ac:dyDescent="0.3">
      <c r="X8517" s="1">
        <f t="shared" si="266"/>
        <v>0</v>
      </c>
      <c r="Y8517" s="1">
        <f t="shared" si="267"/>
        <v>15</v>
      </c>
    </row>
    <row r="8518" spans="24:25" x14ac:dyDescent="0.3">
      <c r="X8518" s="1">
        <f t="shared" si="266"/>
        <v>0</v>
      </c>
      <c r="Y8518" s="1">
        <f t="shared" si="267"/>
        <v>15</v>
      </c>
    </row>
    <row r="8519" spans="24:25" x14ac:dyDescent="0.3">
      <c r="X8519" s="1">
        <f t="shared" si="266"/>
        <v>0</v>
      </c>
      <c r="Y8519" s="1">
        <f t="shared" si="267"/>
        <v>15</v>
      </c>
    </row>
    <row r="8520" spans="24:25" x14ac:dyDescent="0.3">
      <c r="X8520" s="1">
        <f t="shared" si="266"/>
        <v>0</v>
      </c>
      <c r="Y8520" s="1">
        <f t="shared" si="267"/>
        <v>15</v>
      </c>
    </row>
    <row r="8521" spans="24:25" x14ac:dyDescent="0.3">
      <c r="X8521" s="1">
        <f t="shared" si="266"/>
        <v>0</v>
      </c>
      <c r="Y8521" s="1">
        <f t="shared" si="267"/>
        <v>15</v>
      </c>
    </row>
    <row r="8522" spans="24:25" x14ac:dyDescent="0.3">
      <c r="X8522" s="1">
        <f t="shared" si="266"/>
        <v>0</v>
      </c>
      <c r="Y8522" s="1">
        <f t="shared" si="267"/>
        <v>15</v>
      </c>
    </row>
    <row r="8523" spans="24:25" x14ac:dyDescent="0.3">
      <c r="X8523" s="1">
        <f t="shared" si="266"/>
        <v>0</v>
      </c>
      <c r="Y8523" s="1">
        <f t="shared" si="267"/>
        <v>15</v>
      </c>
    </row>
    <row r="8524" spans="24:25" x14ac:dyDescent="0.3">
      <c r="X8524" s="1">
        <f t="shared" si="266"/>
        <v>0</v>
      </c>
      <c r="Y8524" s="1">
        <f t="shared" si="267"/>
        <v>15</v>
      </c>
    </row>
    <row r="8525" spans="24:25" x14ac:dyDescent="0.3">
      <c r="X8525" s="1">
        <f t="shared" si="266"/>
        <v>0</v>
      </c>
      <c r="Y8525" s="1">
        <f t="shared" si="267"/>
        <v>15</v>
      </c>
    </row>
    <row r="8526" spans="24:25" x14ac:dyDescent="0.3">
      <c r="X8526" s="1">
        <f t="shared" si="266"/>
        <v>0</v>
      </c>
      <c r="Y8526" s="1">
        <f t="shared" si="267"/>
        <v>15</v>
      </c>
    </row>
    <row r="8527" spans="24:25" x14ac:dyDescent="0.3">
      <c r="X8527" s="1">
        <f t="shared" si="266"/>
        <v>0</v>
      </c>
      <c r="Y8527" s="1">
        <f t="shared" si="267"/>
        <v>15</v>
      </c>
    </row>
    <row r="8528" spans="24:25" x14ac:dyDescent="0.3">
      <c r="X8528" s="1">
        <f t="shared" si="266"/>
        <v>0</v>
      </c>
      <c r="Y8528" s="1">
        <f t="shared" si="267"/>
        <v>15</v>
      </c>
    </row>
    <row r="8529" spans="24:25" x14ac:dyDescent="0.3">
      <c r="X8529" s="1">
        <f t="shared" si="266"/>
        <v>0</v>
      </c>
      <c r="Y8529" s="1">
        <f t="shared" si="267"/>
        <v>15</v>
      </c>
    </row>
    <row r="8530" spans="24:25" x14ac:dyDescent="0.3">
      <c r="X8530" s="1">
        <f t="shared" si="266"/>
        <v>0</v>
      </c>
      <c r="Y8530" s="1">
        <f t="shared" si="267"/>
        <v>15</v>
      </c>
    </row>
    <row r="8531" spans="24:25" x14ac:dyDescent="0.3">
      <c r="X8531" s="1">
        <f t="shared" si="266"/>
        <v>0</v>
      </c>
      <c r="Y8531" s="1">
        <f t="shared" si="267"/>
        <v>15</v>
      </c>
    </row>
    <row r="8532" spans="24:25" x14ac:dyDescent="0.3">
      <c r="X8532" s="1">
        <f t="shared" si="266"/>
        <v>0</v>
      </c>
      <c r="Y8532" s="1">
        <f t="shared" si="267"/>
        <v>15</v>
      </c>
    </row>
    <row r="8533" spans="24:25" x14ac:dyDescent="0.3">
      <c r="X8533" s="1">
        <f t="shared" si="266"/>
        <v>0</v>
      </c>
      <c r="Y8533" s="1">
        <f t="shared" si="267"/>
        <v>15</v>
      </c>
    </row>
    <row r="8534" spans="24:25" x14ac:dyDescent="0.3">
      <c r="X8534" s="1">
        <f t="shared" si="266"/>
        <v>0</v>
      </c>
      <c r="Y8534" s="1">
        <f t="shared" si="267"/>
        <v>15</v>
      </c>
    </row>
    <row r="8535" spans="24:25" x14ac:dyDescent="0.3">
      <c r="X8535" s="1">
        <f t="shared" si="266"/>
        <v>0</v>
      </c>
      <c r="Y8535" s="1">
        <f t="shared" si="267"/>
        <v>15</v>
      </c>
    </row>
    <row r="8536" spans="24:25" x14ac:dyDescent="0.3">
      <c r="X8536" s="1">
        <f t="shared" si="266"/>
        <v>0</v>
      </c>
      <c r="Y8536" s="1">
        <f t="shared" si="267"/>
        <v>15</v>
      </c>
    </row>
    <row r="8537" spans="24:25" x14ac:dyDescent="0.3">
      <c r="X8537" s="1">
        <f t="shared" si="266"/>
        <v>0</v>
      </c>
      <c r="Y8537" s="1">
        <f t="shared" si="267"/>
        <v>15</v>
      </c>
    </row>
    <row r="8538" spans="24:25" x14ac:dyDescent="0.3">
      <c r="X8538" s="1">
        <f t="shared" si="266"/>
        <v>0</v>
      </c>
      <c r="Y8538" s="1">
        <f t="shared" si="267"/>
        <v>15</v>
      </c>
    </row>
    <row r="8539" spans="24:25" x14ac:dyDescent="0.3">
      <c r="X8539" s="1">
        <f t="shared" si="266"/>
        <v>0</v>
      </c>
      <c r="Y8539" s="1">
        <f t="shared" si="267"/>
        <v>15</v>
      </c>
    </row>
    <row r="8540" spans="24:25" x14ac:dyDescent="0.3">
      <c r="X8540" s="1">
        <f t="shared" si="266"/>
        <v>0</v>
      </c>
      <c r="Y8540" s="1">
        <f t="shared" si="267"/>
        <v>15</v>
      </c>
    </row>
    <row r="8541" spans="24:25" x14ac:dyDescent="0.3">
      <c r="X8541" s="1">
        <f t="shared" si="266"/>
        <v>0</v>
      </c>
      <c r="Y8541" s="1">
        <f t="shared" si="267"/>
        <v>15</v>
      </c>
    </row>
    <row r="8542" spans="24:25" x14ac:dyDescent="0.3">
      <c r="X8542" s="1">
        <f t="shared" si="266"/>
        <v>0</v>
      </c>
      <c r="Y8542" s="1">
        <f t="shared" si="267"/>
        <v>15</v>
      </c>
    </row>
    <row r="8543" spans="24:25" x14ac:dyDescent="0.3">
      <c r="X8543" s="1">
        <f t="shared" si="266"/>
        <v>0</v>
      </c>
      <c r="Y8543" s="1">
        <f t="shared" si="267"/>
        <v>15</v>
      </c>
    </row>
    <row r="8544" spans="24:25" x14ac:dyDescent="0.3">
      <c r="X8544" s="1">
        <f t="shared" si="266"/>
        <v>0</v>
      </c>
      <c r="Y8544" s="1">
        <f t="shared" si="267"/>
        <v>15</v>
      </c>
    </row>
    <row r="8545" spans="24:25" x14ac:dyDescent="0.3">
      <c r="X8545" s="1">
        <f t="shared" si="266"/>
        <v>0</v>
      </c>
      <c r="Y8545" s="1">
        <f t="shared" si="267"/>
        <v>15</v>
      </c>
    </row>
    <row r="8546" spans="24:25" x14ac:dyDescent="0.3">
      <c r="X8546" s="1">
        <f t="shared" si="266"/>
        <v>0</v>
      </c>
      <c r="Y8546" s="1">
        <f t="shared" si="267"/>
        <v>15</v>
      </c>
    </row>
    <row r="8547" spans="24:25" x14ac:dyDescent="0.3">
      <c r="X8547" s="1">
        <f t="shared" si="266"/>
        <v>0</v>
      </c>
      <c r="Y8547" s="1">
        <f t="shared" si="267"/>
        <v>15</v>
      </c>
    </row>
    <row r="8548" spans="24:25" x14ac:dyDescent="0.3">
      <c r="X8548" s="1">
        <f t="shared" si="266"/>
        <v>0</v>
      </c>
      <c r="Y8548" s="1">
        <f t="shared" si="267"/>
        <v>15</v>
      </c>
    </row>
    <row r="8549" spans="24:25" x14ac:dyDescent="0.3">
      <c r="X8549" s="1">
        <f t="shared" si="266"/>
        <v>0</v>
      </c>
      <c r="Y8549" s="1">
        <f t="shared" si="267"/>
        <v>15</v>
      </c>
    </row>
    <row r="8550" spans="24:25" x14ac:dyDescent="0.3">
      <c r="X8550" s="1">
        <f t="shared" si="266"/>
        <v>0</v>
      </c>
      <c r="Y8550" s="1">
        <f t="shared" si="267"/>
        <v>15</v>
      </c>
    </row>
    <row r="8551" spans="24:25" x14ac:dyDescent="0.3">
      <c r="X8551" s="1">
        <f t="shared" si="266"/>
        <v>0</v>
      </c>
      <c r="Y8551" s="1">
        <f t="shared" si="267"/>
        <v>15</v>
      </c>
    </row>
    <row r="8552" spans="24:25" x14ac:dyDescent="0.3">
      <c r="X8552" s="1">
        <f t="shared" si="266"/>
        <v>0</v>
      </c>
      <c r="Y8552" s="1">
        <f t="shared" si="267"/>
        <v>15</v>
      </c>
    </row>
    <row r="8553" spans="24:25" x14ac:dyDescent="0.3">
      <c r="X8553" s="1">
        <f t="shared" si="266"/>
        <v>0</v>
      </c>
      <c r="Y8553" s="1">
        <f t="shared" si="267"/>
        <v>15</v>
      </c>
    </row>
    <row r="8554" spans="24:25" x14ac:dyDescent="0.3">
      <c r="X8554" s="1">
        <f t="shared" si="266"/>
        <v>0</v>
      </c>
      <c r="Y8554" s="1">
        <f t="shared" si="267"/>
        <v>15</v>
      </c>
    </row>
    <row r="8555" spans="24:25" x14ac:dyDescent="0.3">
      <c r="X8555" s="1">
        <f t="shared" si="266"/>
        <v>0</v>
      </c>
      <c r="Y8555" s="1">
        <f t="shared" si="267"/>
        <v>15</v>
      </c>
    </row>
    <row r="8556" spans="24:25" x14ac:dyDescent="0.3">
      <c r="X8556" s="1">
        <f t="shared" si="266"/>
        <v>0</v>
      </c>
      <c r="Y8556" s="1">
        <f t="shared" si="267"/>
        <v>15</v>
      </c>
    </row>
    <row r="8557" spans="24:25" x14ac:dyDescent="0.3">
      <c r="X8557" s="1">
        <f t="shared" si="266"/>
        <v>0</v>
      </c>
      <c r="Y8557" s="1">
        <f t="shared" si="267"/>
        <v>15</v>
      </c>
    </row>
    <row r="8558" spans="24:25" x14ac:dyDescent="0.3">
      <c r="X8558" s="1">
        <f t="shared" si="266"/>
        <v>0</v>
      </c>
      <c r="Y8558" s="1">
        <f t="shared" si="267"/>
        <v>15</v>
      </c>
    </row>
    <row r="8559" spans="24:25" x14ac:dyDescent="0.3">
      <c r="X8559" s="1">
        <f t="shared" si="266"/>
        <v>0</v>
      </c>
      <c r="Y8559" s="1">
        <f t="shared" si="267"/>
        <v>15</v>
      </c>
    </row>
    <row r="8560" spans="24:25" x14ac:dyDescent="0.3">
      <c r="X8560" s="1">
        <f t="shared" si="266"/>
        <v>0</v>
      </c>
      <c r="Y8560" s="1">
        <f t="shared" si="267"/>
        <v>15</v>
      </c>
    </row>
    <row r="8561" spans="24:25" x14ac:dyDescent="0.3">
      <c r="X8561" s="1">
        <f t="shared" si="266"/>
        <v>0</v>
      </c>
      <c r="Y8561" s="1">
        <f t="shared" si="267"/>
        <v>15</v>
      </c>
    </row>
    <row r="8562" spans="24:25" x14ac:dyDescent="0.3">
      <c r="X8562" s="1">
        <f t="shared" si="266"/>
        <v>0</v>
      </c>
      <c r="Y8562" s="1">
        <f t="shared" si="267"/>
        <v>15</v>
      </c>
    </row>
    <row r="8563" spans="24:25" x14ac:dyDescent="0.3">
      <c r="X8563" s="1">
        <f t="shared" si="266"/>
        <v>0</v>
      </c>
      <c r="Y8563" s="1">
        <f t="shared" si="267"/>
        <v>15</v>
      </c>
    </row>
    <row r="8564" spans="24:25" x14ac:dyDescent="0.3">
      <c r="X8564" s="1">
        <f t="shared" si="266"/>
        <v>0</v>
      </c>
      <c r="Y8564" s="1">
        <f t="shared" si="267"/>
        <v>15</v>
      </c>
    </row>
    <row r="8565" spans="24:25" x14ac:dyDescent="0.3">
      <c r="X8565" s="1">
        <f t="shared" si="266"/>
        <v>0</v>
      </c>
      <c r="Y8565" s="1">
        <f t="shared" si="267"/>
        <v>15</v>
      </c>
    </row>
    <row r="8566" spans="24:25" x14ac:dyDescent="0.3">
      <c r="X8566" s="1">
        <f t="shared" si="266"/>
        <v>0</v>
      </c>
      <c r="Y8566" s="1">
        <f t="shared" si="267"/>
        <v>15</v>
      </c>
    </row>
    <row r="8567" spans="24:25" x14ac:dyDescent="0.3">
      <c r="X8567" s="1">
        <f t="shared" si="266"/>
        <v>0</v>
      </c>
      <c r="Y8567" s="1">
        <f t="shared" si="267"/>
        <v>15</v>
      </c>
    </row>
    <row r="8568" spans="24:25" x14ac:dyDescent="0.3">
      <c r="X8568" s="1">
        <f t="shared" si="266"/>
        <v>0</v>
      </c>
      <c r="Y8568" s="1">
        <f t="shared" si="267"/>
        <v>15</v>
      </c>
    </row>
    <row r="8569" spans="24:25" x14ac:dyDescent="0.3">
      <c r="X8569" s="1">
        <f t="shared" si="266"/>
        <v>0</v>
      </c>
      <c r="Y8569" s="1">
        <f t="shared" si="267"/>
        <v>15</v>
      </c>
    </row>
    <row r="8570" spans="24:25" x14ac:dyDescent="0.3">
      <c r="X8570" s="1">
        <f t="shared" si="266"/>
        <v>0</v>
      </c>
      <c r="Y8570" s="1">
        <f t="shared" si="267"/>
        <v>15</v>
      </c>
    </row>
    <row r="8571" spans="24:25" x14ac:dyDescent="0.3">
      <c r="X8571" s="1">
        <f t="shared" si="266"/>
        <v>0</v>
      </c>
      <c r="Y8571" s="1">
        <f t="shared" si="267"/>
        <v>15</v>
      </c>
    </row>
    <row r="8572" spans="24:25" x14ac:dyDescent="0.3">
      <c r="X8572" s="1">
        <f t="shared" si="266"/>
        <v>0</v>
      </c>
      <c r="Y8572" s="1">
        <f t="shared" si="267"/>
        <v>15</v>
      </c>
    </row>
    <row r="8573" spans="24:25" x14ac:dyDescent="0.3">
      <c r="X8573" s="1">
        <f t="shared" si="266"/>
        <v>0</v>
      </c>
      <c r="Y8573" s="1">
        <f t="shared" si="267"/>
        <v>15</v>
      </c>
    </row>
    <row r="8574" spans="24:25" x14ac:dyDescent="0.3">
      <c r="X8574" s="1">
        <f t="shared" si="266"/>
        <v>0</v>
      </c>
      <c r="Y8574" s="1">
        <f t="shared" si="267"/>
        <v>15</v>
      </c>
    </row>
    <row r="8575" spans="24:25" x14ac:dyDescent="0.3">
      <c r="X8575" s="1">
        <f t="shared" si="266"/>
        <v>0</v>
      </c>
      <c r="Y8575" s="1">
        <f t="shared" si="267"/>
        <v>15</v>
      </c>
    </row>
    <row r="8576" spans="24:25" x14ac:dyDescent="0.3">
      <c r="X8576" s="1">
        <f t="shared" si="266"/>
        <v>0</v>
      </c>
      <c r="Y8576" s="1">
        <f t="shared" si="267"/>
        <v>15</v>
      </c>
    </row>
    <row r="8577" spans="24:25" x14ac:dyDescent="0.3">
      <c r="X8577" s="1">
        <f t="shared" si="266"/>
        <v>0</v>
      </c>
      <c r="Y8577" s="1">
        <f t="shared" si="267"/>
        <v>15</v>
      </c>
    </row>
    <row r="8578" spans="24:25" x14ac:dyDescent="0.3">
      <c r="X8578" s="1">
        <f t="shared" si="266"/>
        <v>0</v>
      </c>
      <c r="Y8578" s="1">
        <f t="shared" si="267"/>
        <v>15</v>
      </c>
    </row>
    <row r="8579" spans="24:25" x14ac:dyDescent="0.3">
      <c r="X8579" s="1">
        <f t="shared" ref="X8579:X8642" si="268">IFERROR(MATCH(W8579,$B:$B,0),0)</f>
        <v>0</v>
      </c>
      <c r="Y8579" s="1">
        <f t="shared" ref="Y8579:Y8642" si="269">IF(X8580=0,COUNTA(A:A),X8580-1)</f>
        <v>15</v>
      </c>
    </row>
    <row r="8580" spans="24:25" x14ac:dyDescent="0.3">
      <c r="X8580" s="1">
        <f t="shared" si="268"/>
        <v>0</v>
      </c>
      <c r="Y8580" s="1">
        <f t="shared" si="269"/>
        <v>15</v>
      </c>
    </row>
    <row r="8581" spans="24:25" x14ac:dyDescent="0.3">
      <c r="X8581" s="1">
        <f t="shared" si="268"/>
        <v>0</v>
      </c>
      <c r="Y8581" s="1">
        <f t="shared" si="269"/>
        <v>15</v>
      </c>
    </row>
    <row r="8582" spans="24:25" x14ac:dyDescent="0.3">
      <c r="X8582" s="1">
        <f t="shared" si="268"/>
        <v>0</v>
      </c>
      <c r="Y8582" s="1">
        <f t="shared" si="269"/>
        <v>15</v>
      </c>
    </row>
    <row r="8583" spans="24:25" x14ac:dyDescent="0.3">
      <c r="X8583" s="1">
        <f t="shared" si="268"/>
        <v>0</v>
      </c>
      <c r="Y8583" s="1">
        <f t="shared" si="269"/>
        <v>15</v>
      </c>
    </row>
    <row r="8584" spans="24:25" x14ac:dyDescent="0.3">
      <c r="X8584" s="1">
        <f t="shared" si="268"/>
        <v>0</v>
      </c>
      <c r="Y8584" s="1">
        <f t="shared" si="269"/>
        <v>15</v>
      </c>
    </row>
    <row r="8585" spans="24:25" x14ac:dyDescent="0.3">
      <c r="X8585" s="1">
        <f t="shared" si="268"/>
        <v>0</v>
      </c>
      <c r="Y8585" s="1">
        <f t="shared" si="269"/>
        <v>15</v>
      </c>
    </row>
    <row r="8586" spans="24:25" x14ac:dyDescent="0.3">
      <c r="X8586" s="1">
        <f t="shared" si="268"/>
        <v>0</v>
      </c>
      <c r="Y8586" s="1">
        <f t="shared" si="269"/>
        <v>15</v>
      </c>
    </row>
    <row r="8587" spans="24:25" x14ac:dyDescent="0.3">
      <c r="X8587" s="1">
        <f t="shared" si="268"/>
        <v>0</v>
      </c>
      <c r="Y8587" s="1">
        <f t="shared" si="269"/>
        <v>15</v>
      </c>
    </row>
    <row r="8588" spans="24:25" x14ac:dyDescent="0.3">
      <c r="X8588" s="1">
        <f t="shared" si="268"/>
        <v>0</v>
      </c>
      <c r="Y8588" s="1">
        <f t="shared" si="269"/>
        <v>15</v>
      </c>
    </row>
    <row r="8589" spans="24:25" x14ac:dyDescent="0.3">
      <c r="X8589" s="1">
        <f t="shared" si="268"/>
        <v>0</v>
      </c>
      <c r="Y8589" s="1">
        <f t="shared" si="269"/>
        <v>15</v>
      </c>
    </row>
    <row r="8590" spans="24:25" x14ac:dyDescent="0.3">
      <c r="X8590" s="1">
        <f t="shared" si="268"/>
        <v>0</v>
      </c>
      <c r="Y8590" s="1">
        <f t="shared" si="269"/>
        <v>15</v>
      </c>
    </row>
    <row r="8591" spans="24:25" x14ac:dyDescent="0.3">
      <c r="X8591" s="1">
        <f t="shared" si="268"/>
        <v>0</v>
      </c>
      <c r="Y8591" s="1">
        <f t="shared" si="269"/>
        <v>15</v>
      </c>
    </row>
    <row r="8592" spans="24:25" x14ac:dyDescent="0.3">
      <c r="X8592" s="1">
        <f t="shared" si="268"/>
        <v>0</v>
      </c>
      <c r="Y8592" s="1">
        <f t="shared" si="269"/>
        <v>15</v>
      </c>
    </row>
    <row r="8593" spans="24:25" x14ac:dyDescent="0.3">
      <c r="X8593" s="1">
        <f t="shared" si="268"/>
        <v>0</v>
      </c>
      <c r="Y8593" s="1">
        <f t="shared" si="269"/>
        <v>15</v>
      </c>
    </row>
    <row r="8594" spans="24:25" x14ac:dyDescent="0.3">
      <c r="X8594" s="1">
        <f t="shared" si="268"/>
        <v>0</v>
      </c>
      <c r="Y8594" s="1">
        <f t="shared" si="269"/>
        <v>15</v>
      </c>
    </row>
    <row r="8595" spans="24:25" x14ac:dyDescent="0.3">
      <c r="X8595" s="1">
        <f t="shared" si="268"/>
        <v>0</v>
      </c>
      <c r="Y8595" s="1">
        <f t="shared" si="269"/>
        <v>15</v>
      </c>
    </row>
    <row r="8596" spans="24:25" x14ac:dyDescent="0.3">
      <c r="X8596" s="1">
        <f t="shared" si="268"/>
        <v>0</v>
      </c>
      <c r="Y8596" s="1">
        <f t="shared" si="269"/>
        <v>15</v>
      </c>
    </row>
    <row r="8597" spans="24:25" x14ac:dyDescent="0.3">
      <c r="X8597" s="1">
        <f t="shared" si="268"/>
        <v>0</v>
      </c>
      <c r="Y8597" s="1">
        <f t="shared" si="269"/>
        <v>15</v>
      </c>
    </row>
    <row r="8598" spans="24:25" x14ac:dyDescent="0.3">
      <c r="X8598" s="1">
        <f t="shared" si="268"/>
        <v>0</v>
      </c>
      <c r="Y8598" s="1">
        <f t="shared" si="269"/>
        <v>15</v>
      </c>
    </row>
    <row r="8599" spans="24:25" x14ac:dyDescent="0.3">
      <c r="X8599" s="1">
        <f t="shared" si="268"/>
        <v>0</v>
      </c>
      <c r="Y8599" s="1">
        <f t="shared" si="269"/>
        <v>15</v>
      </c>
    </row>
    <row r="8600" spans="24:25" x14ac:dyDescent="0.3">
      <c r="X8600" s="1">
        <f t="shared" si="268"/>
        <v>0</v>
      </c>
      <c r="Y8600" s="1">
        <f t="shared" si="269"/>
        <v>15</v>
      </c>
    </row>
    <row r="8601" spans="24:25" x14ac:dyDescent="0.3">
      <c r="X8601" s="1">
        <f t="shared" si="268"/>
        <v>0</v>
      </c>
      <c r="Y8601" s="1">
        <f t="shared" si="269"/>
        <v>15</v>
      </c>
    </row>
    <row r="8602" spans="24:25" x14ac:dyDescent="0.3">
      <c r="X8602" s="1">
        <f t="shared" si="268"/>
        <v>0</v>
      </c>
      <c r="Y8602" s="1">
        <f t="shared" si="269"/>
        <v>15</v>
      </c>
    </row>
    <row r="8603" spans="24:25" x14ac:dyDescent="0.3">
      <c r="X8603" s="1">
        <f t="shared" si="268"/>
        <v>0</v>
      </c>
      <c r="Y8603" s="1">
        <f t="shared" si="269"/>
        <v>15</v>
      </c>
    </row>
    <row r="8604" spans="24:25" x14ac:dyDescent="0.3">
      <c r="X8604" s="1">
        <f t="shared" si="268"/>
        <v>0</v>
      </c>
      <c r="Y8604" s="1">
        <f t="shared" si="269"/>
        <v>15</v>
      </c>
    </row>
    <row r="8605" spans="24:25" x14ac:dyDescent="0.3">
      <c r="X8605" s="1">
        <f t="shared" si="268"/>
        <v>0</v>
      </c>
      <c r="Y8605" s="1">
        <f t="shared" si="269"/>
        <v>15</v>
      </c>
    </row>
    <row r="8606" spans="24:25" x14ac:dyDescent="0.3">
      <c r="X8606" s="1">
        <f t="shared" si="268"/>
        <v>0</v>
      </c>
      <c r="Y8606" s="1">
        <f t="shared" si="269"/>
        <v>15</v>
      </c>
    </row>
    <row r="8607" spans="24:25" x14ac:dyDescent="0.3">
      <c r="X8607" s="1">
        <f t="shared" si="268"/>
        <v>0</v>
      </c>
      <c r="Y8607" s="1">
        <f t="shared" si="269"/>
        <v>15</v>
      </c>
    </row>
    <row r="8608" spans="24:25" x14ac:dyDescent="0.3">
      <c r="X8608" s="1">
        <f t="shared" si="268"/>
        <v>0</v>
      </c>
      <c r="Y8608" s="1">
        <f t="shared" si="269"/>
        <v>15</v>
      </c>
    </row>
    <row r="8609" spans="24:25" x14ac:dyDescent="0.3">
      <c r="X8609" s="1">
        <f t="shared" si="268"/>
        <v>0</v>
      </c>
      <c r="Y8609" s="1">
        <f t="shared" si="269"/>
        <v>15</v>
      </c>
    </row>
    <row r="8610" spans="24:25" x14ac:dyDescent="0.3">
      <c r="X8610" s="1">
        <f t="shared" si="268"/>
        <v>0</v>
      </c>
      <c r="Y8610" s="1">
        <f t="shared" si="269"/>
        <v>15</v>
      </c>
    </row>
    <row r="8611" spans="24:25" x14ac:dyDescent="0.3">
      <c r="X8611" s="1">
        <f t="shared" si="268"/>
        <v>0</v>
      </c>
      <c r="Y8611" s="1">
        <f t="shared" si="269"/>
        <v>15</v>
      </c>
    </row>
    <row r="8612" spans="24:25" x14ac:dyDescent="0.3">
      <c r="X8612" s="1">
        <f t="shared" si="268"/>
        <v>0</v>
      </c>
      <c r="Y8612" s="1">
        <f t="shared" si="269"/>
        <v>15</v>
      </c>
    </row>
    <row r="8613" spans="24:25" x14ac:dyDescent="0.3">
      <c r="X8613" s="1">
        <f t="shared" si="268"/>
        <v>0</v>
      </c>
      <c r="Y8613" s="1">
        <f t="shared" si="269"/>
        <v>15</v>
      </c>
    </row>
    <row r="8614" spans="24:25" x14ac:dyDescent="0.3">
      <c r="X8614" s="1">
        <f t="shared" si="268"/>
        <v>0</v>
      </c>
      <c r="Y8614" s="1">
        <f t="shared" si="269"/>
        <v>15</v>
      </c>
    </row>
    <row r="8615" spans="24:25" x14ac:dyDescent="0.3">
      <c r="X8615" s="1">
        <f t="shared" si="268"/>
        <v>0</v>
      </c>
      <c r="Y8615" s="1">
        <f t="shared" si="269"/>
        <v>15</v>
      </c>
    </row>
    <row r="8616" spans="24:25" x14ac:dyDescent="0.3">
      <c r="X8616" s="1">
        <f t="shared" si="268"/>
        <v>0</v>
      </c>
      <c r="Y8616" s="1">
        <f t="shared" si="269"/>
        <v>15</v>
      </c>
    </row>
    <row r="8617" spans="24:25" x14ac:dyDescent="0.3">
      <c r="X8617" s="1">
        <f t="shared" si="268"/>
        <v>0</v>
      </c>
      <c r="Y8617" s="1">
        <f t="shared" si="269"/>
        <v>15</v>
      </c>
    </row>
    <row r="8618" spans="24:25" x14ac:dyDescent="0.3">
      <c r="X8618" s="1">
        <f t="shared" si="268"/>
        <v>0</v>
      </c>
      <c r="Y8618" s="1">
        <f t="shared" si="269"/>
        <v>15</v>
      </c>
    </row>
    <row r="8619" spans="24:25" x14ac:dyDescent="0.3">
      <c r="X8619" s="1">
        <f t="shared" si="268"/>
        <v>0</v>
      </c>
      <c r="Y8619" s="1">
        <f t="shared" si="269"/>
        <v>15</v>
      </c>
    </row>
    <row r="8620" spans="24:25" x14ac:dyDescent="0.3">
      <c r="X8620" s="1">
        <f t="shared" si="268"/>
        <v>0</v>
      </c>
      <c r="Y8620" s="1">
        <f t="shared" si="269"/>
        <v>15</v>
      </c>
    </row>
    <row r="8621" spans="24:25" x14ac:dyDescent="0.3">
      <c r="X8621" s="1">
        <f t="shared" si="268"/>
        <v>0</v>
      </c>
      <c r="Y8621" s="1">
        <f t="shared" si="269"/>
        <v>15</v>
      </c>
    </row>
    <row r="8622" spans="24:25" x14ac:dyDescent="0.3">
      <c r="X8622" s="1">
        <f t="shared" si="268"/>
        <v>0</v>
      </c>
      <c r="Y8622" s="1">
        <f t="shared" si="269"/>
        <v>15</v>
      </c>
    </row>
    <row r="8623" spans="24:25" x14ac:dyDescent="0.3">
      <c r="X8623" s="1">
        <f t="shared" si="268"/>
        <v>0</v>
      </c>
      <c r="Y8623" s="1">
        <f t="shared" si="269"/>
        <v>15</v>
      </c>
    </row>
    <row r="8624" spans="24:25" x14ac:dyDescent="0.3">
      <c r="X8624" s="1">
        <f t="shared" si="268"/>
        <v>0</v>
      </c>
      <c r="Y8624" s="1">
        <f t="shared" si="269"/>
        <v>15</v>
      </c>
    </row>
    <row r="8625" spans="24:25" x14ac:dyDescent="0.3">
      <c r="X8625" s="1">
        <f t="shared" si="268"/>
        <v>0</v>
      </c>
      <c r="Y8625" s="1">
        <f t="shared" si="269"/>
        <v>15</v>
      </c>
    </row>
    <row r="8626" spans="24:25" x14ac:dyDescent="0.3">
      <c r="X8626" s="1">
        <f t="shared" si="268"/>
        <v>0</v>
      </c>
      <c r="Y8626" s="1">
        <f t="shared" si="269"/>
        <v>15</v>
      </c>
    </row>
    <row r="8627" spans="24:25" x14ac:dyDescent="0.3">
      <c r="X8627" s="1">
        <f t="shared" si="268"/>
        <v>0</v>
      </c>
      <c r="Y8627" s="1">
        <f t="shared" si="269"/>
        <v>15</v>
      </c>
    </row>
    <row r="8628" spans="24:25" x14ac:dyDescent="0.3">
      <c r="X8628" s="1">
        <f t="shared" si="268"/>
        <v>0</v>
      </c>
      <c r="Y8628" s="1">
        <f t="shared" si="269"/>
        <v>15</v>
      </c>
    </row>
    <row r="8629" spans="24:25" x14ac:dyDescent="0.3">
      <c r="X8629" s="1">
        <f t="shared" si="268"/>
        <v>0</v>
      </c>
      <c r="Y8629" s="1">
        <f t="shared" si="269"/>
        <v>15</v>
      </c>
    </row>
    <row r="8630" spans="24:25" x14ac:dyDescent="0.3">
      <c r="X8630" s="1">
        <f t="shared" si="268"/>
        <v>0</v>
      </c>
      <c r="Y8630" s="1">
        <f t="shared" si="269"/>
        <v>15</v>
      </c>
    </row>
    <row r="8631" spans="24:25" x14ac:dyDescent="0.3">
      <c r="X8631" s="1">
        <f t="shared" si="268"/>
        <v>0</v>
      </c>
      <c r="Y8631" s="1">
        <f t="shared" si="269"/>
        <v>15</v>
      </c>
    </row>
    <row r="8632" spans="24:25" x14ac:dyDescent="0.3">
      <c r="X8632" s="1">
        <f t="shared" si="268"/>
        <v>0</v>
      </c>
      <c r="Y8632" s="1">
        <f t="shared" si="269"/>
        <v>15</v>
      </c>
    </row>
    <row r="8633" spans="24:25" x14ac:dyDescent="0.3">
      <c r="X8633" s="1">
        <f t="shared" si="268"/>
        <v>0</v>
      </c>
      <c r="Y8633" s="1">
        <f t="shared" si="269"/>
        <v>15</v>
      </c>
    </row>
    <row r="8634" spans="24:25" x14ac:dyDescent="0.3">
      <c r="X8634" s="1">
        <f t="shared" si="268"/>
        <v>0</v>
      </c>
      <c r="Y8634" s="1">
        <f t="shared" si="269"/>
        <v>15</v>
      </c>
    </row>
    <row r="8635" spans="24:25" x14ac:dyDescent="0.3">
      <c r="X8635" s="1">
        <f t="shared" si="268"/>
        <v>0</v>
      </c>
      <c r="Y8635" s="1">
        <f t="shared" si="269"/>
        <v>15</v>
      </c>
    </row>
    <row r="8636" spans="24:25" x14ac:dyDescent="0.3">
      <c r="X8636" s="1">
        <f t="shared" si="268"/>
        <v>0</v>
      </c>
      <c r="Y8636" s="1">
        <f t="shared" si="269"/>
        <v>15</v>
      </c>
    </row>
    <row r="8637" spans="24:25" x14ac:dyDescent="0.3">
      <c r="X8637" s="1">
        <f t="shared" si="268"/>
        <v>0</v>
      </c>
      <c r="Y8637" s="1">
        <f t="shared" si="269"/>
        <v>15</v>
      </c>
    </row>
    <row r="8638" spans="24:25" x14ac:dyDescent="0.3">
      <c r="X8638" s="1">
        <f t="shared" si="268"/>
        <v>0</v>
      </c>
      <c r="Y8638" s="1">
        <f t="shared" si="269"/>
        <v>15</v>
      </c>
    </row>
    <row r="8639" spans="24:25" x14ac:dyDescent="0.3">
      <c r="X8639" s="1">
        <f t="shared" si="268"/>
        <v>0</v>
      </c>
      <c r="Y8639" s="1">
        <f t="shared" si="269"/>
        <v>15</v>
      </c>
    </row>
    <row r="8640" spans="24:25" x14ac:dyDescent="0.3">
      <c r="X8640" s="1">
        <f t="shared" si="268"/>
        <v>0</v>
      </c>
      <c r="Y8640" s="1">
        <f t="shared" si="269"/>
        <v>15</v>
      </c>
    </row>
    <row r="8641" spans="24:25" x14ac:dyDescent="0.3">
      <c r="X8641" s="1">
        <f t="shared" si="268"/>
        <v>0</v>
      </c>
      <c r="Y8641" s="1">
        <f t="shared" si="269"/>
        <v>15</v>
      </c>
    </row>
    <row r="8642" spans="24:25" x14ac:dyDescent="0.3">
      <c r="X8642" s="1">
        <f t="shared" si="268"/>
        <v>0</v>
      </c>
      <c r="Y8642" s="1">
        <f t="shared" si="269"/>
        <v>15</v>
      </c>
    </row>
    <row r="8643" spans="24:25" x14ac:dyDescent="0.3">
      <c r="X8643" s="1">
        <f t="shared" ref="X8643:X8706" si="270">IFERROR(MATCH(W8643,$B:$B,0),0)</f>
        <v>0</v>
      </c>
      <c r="Y8643" s="1">
        <f t="shared" ref="Y8643:Y8706" si="271">IF(X8644=0,COUNTA(A:A),X8644-1)</f>
        <v>15</v>
      </c>
    </row>
    <row r="8644" spans="24:25" x14ac:dyDescent="0.3">
      <c r="X8644" s="1">
        <f t="shared" si="270"/>
        <v>0</v>
      </c>
      <c r="Y8644" s="1">
        <f t="shared" si="271"/>
        <v>15</v>
      </c>
    </row>
    <row r="8645" spans="24:25" x14ac:dyDescent="0.3">
      <c r="X8645" s="1">
        <f t="shared" si="270"/>
        <v>0</v>
      </c>
      <c r="Y8645" s="1">
        <f t="shared" si="271"/>
        <v>15</v>
      </c>
    </row>
    <row r="8646" spans="24:25" x14ac:dyDescent="0.3">
      <c r="X8646" s="1">
        <f t="shared" si="270"/>
        <v>0</v>
      </c>
      <c r="Y8646" s="1">
        <f t="shared" si="271"/>
        <v>15</v>
      </c>
    </row>
    <row r="8647" spans="24:25" x14ac:dyDescent="0.3">
      <c r="X8647" s="1">
        <f t="shared" si="270"/>
        <v>0</v>
      </c>
      <c r="Y8647" s="1">
        <f t="shared" si="271"/>
        <v>15</v>
      </c>
    </row>
    <row r="8648" spans="24:25" x14ac:dyDescent="0.3">
      <c r="X8648" s="1">
        <f t="shared" si="270"/>
        <v>0</v>
      </c>
      <c r="Y8648" s="1">
        <f t="shared" si="271"/>
        <v>15</v>
      </c>
    </row>
    <row r="8649" spans="24:25" x14ac:dyDescent="0.3">
      <c r="X8649" s="1">
        <f t="shared" si="270"/>
        <v>0</v>
      </c>
      <c r="Y8649" s="1">
        <f t="shared" si="271"/>
        <v>15</v>
      </c>
    </row>
    <row r="8650" spans="24:25" x14ac:dyDescent="0.3">
      <c r="X8650" s="1">
        <f t="shared" si="270"/>
        <v>0</v>
      </c>
      <c r="Y8650" s="1">
        <f t="shared" si="271"/>
        <v>15</v>
      </c>
    </row>
    <row r="8651" spans="24:25" x14ac:dyDescent="0.3">
      <c r="X8651" s="1">
        <f t="shared" si="270"/>
        <v>0</v>
      </c>
      <c r="Y8651" s="1">
        <f t="shared" si="271"/>
        <v>15</v>
      </c>
    </row>
    <row r="8652" spans="24:25" x14ac:dyDescent="0.3">
      <c r="X8652" s="1">
        <f t="shared" si="270"/>
        <v>0</v>
      </c>
      <c r="Y8652" s="1">
        <f t="shared" si="271"/>
        <v>15</v>
      </c>
    </row>
    <row r="8653" spans="24:25" x14ac:dyDescent="0.3">
      <c r="X8653" s="1">
        <f t="shared" si="270"/>
        <v>0</v>
      </c>
      <c r="Y8653" s="1">
        <f t="shared" si="271"/>
        <v>15</v>
      </c>
    </row>
    <row r="8654" spans="24:25" x14ac:dyDescent="0.3">
      <c r="X8654" s="1">
        <f t="shared" si="270"/>
        <v>0</v>
      </c>
      <c r="Y8654" s="1">
        <f t="shared" si="271"/>
        <v>15</v>
      </c>
    </row>
    <row r="8655" spans="24:25" x14ac:dyDescent="0.3">
      <c r="X8655" s="1">
        <f t="shared" si="270"/>
        <v>0</v>
      </c>
      <c r="Y8655" s="1">
        <f t="shared" si="271"/>
        <v>15</v>
      </c>
    </row>
    <row r="8656" spans="24:25" x14ac:dyDescent="0.3">
      <c r="X8656" s="1">
        <f t="shared" si="270"/>
        <v>0</v>
      </c>
      <c r="Y8656" s="1">
        <f t="shared" si="271"/>
        <v>15</v>
      </c>
    </row>
    <row r="8657" spans="24:25" x14ac:dyDescent="0.3">
      <c r="X8657" s="1">
        <f t="shared" si="270"/>
        <v>0</v>
      </c>
      <c r="Y8657" s="1">
        <f t="shared" si="271"/>
        <v>15</v>
      </c>
    </row>
    <row r="8658" spans="24:25" x14ac:dyDescent="0.3">
      <c r="X8658" s="1">
        <f t="shared" si="270"/>
        <v>0</v>
      </c>
      <c r="Y8658" s="1">
        <f t="shared" si="271"/>
        <v>15</v>
      </c>
    </row>
    <row r="8659" spans="24:25" x14ac:dyDescent="0.3">
      <c r="X8659" s="1">
        <f t="shared" si="270"/>
        <v>0</v>
      </c>
      <c r="Y8659" s="1">
        <f t="shared" si="271"/>
        <v>15</v>
      </c>
    </row>
    <row r="8660" spans="24:25" x14ac:dyDescent="0.3">
      <c r="X8660" s="1">
        <f t="shared" si="270"/>
        <v>0</v>
      </c>
      <c r="Y8660" s="1">
        <f t="shared" si="271"/>
        <v>15</v>
      </c>
    </row>
    <row r="8661" spans="24:25" x14ac:dyDescent="0.3">
      <c r="X8661" s="1">
        <f t="shared" si="270"/>
        <v>0</v>
      </c>
      <c r="Y8661" s="1">
        <f t="shared" si="271"/>
        <v>15</v>
      </c>
    </row>
    <row r="8662" spans="24:25" x14ac:dyDescent="0.3">
      <c r="X8662" s="1">
        <f t="shared" si="270"/>
        <v>0</v>
      </c>
      <c r="Y8662" s="1">
        <f t="shared" si="271"/>
        <v>15</v>
      </c>
    </row>
    <row r="8663" spans="24:25" x14ac:dyDescent="0.3">
      <c r="X8663" s="1">
        <f t="shared" si="270"/>
        <v>0</v>
      </c>
      <c r="Y8663" s="1">
        <f t="shared" si="271"/>
        <v>15</v>
      </c>
    </row>
    <row r="8664" spans="24:25" x14ac:dyDescent="0.3">
      <c r="X8664" s="1">
        <f t="shared" si="270"/>
        <v>0</v>
      </c>
      <c r="Y8664" s="1">
        <f t="shared" si="271"/>
        <v>15</v>
      </c>
    </row>
    <row r="8665" spans="24:25" x14ac:dyDescent="0.3">
      <c r="X8665" s="1">
        <f t="shared" si="270"/>
        <v>0</v>
      </c>
      <c r="Y8665" s="1">
        <f t="shared" si="271"/>
        <v>15</v>
      </c>
    </row>
    <row r="8666" spans="24:25" x14ac:dyDescent="0.3">
      <c r="X8666" s="1">
        <f t="shared" si="270"/>
        <v>0</v>
      </c>
      <c r="Y8666" s="1">
        <f t="shared" si="271"/>
        <v>15</v>
      </c>
    </row>
    <row r="8667" spans="24:25" x14ac:dyDescent="0.3">
      <c r="X8667" s="1">
        <f t="shared" si="270"/>
        <v>0</v>
      </c>
      <c r="Y8667" s="1">
        <f t="shared" si="271"/>
        <v>15</v>
      </c>
    </row>
    <row r="8668" spans="24:25" x14ac:dyDescent="0.3">
      <c r="X8668" s="1">
        <f t="shared" si="270"/>
        <v>0</v>
      </c>
      <c r="Y8668" s="1">
        <f t="shared" si="271"/>
        <v>15</v>
      </c>
    </row>
    <row r="8669" spans="24:25" x14ac:dyDescent="0.3">
      <c r="X8669" s="1">
        <f t="shared" si="270"/>
        <v>0</v>
      </c>
      <c r="Y8669" s="1">
        <f t="shared" si="271"/>
        <v>15</v>
      </c>
    </row>
    <row r="8670" spans="24:25" x14ac:dyDescent="0.3">
      <c r="X8670" s="1">
        <f t="shared" si="270"/>
        <v>0</v>
      </c>
      <c r="Y8670" s="1">
        <f t="shared" si="271"/>
        <v>15</v>
      </c>
    </row>
    <row r="8671" spans="24:25" x14ac:dyDescent="0.3">
      <c r="X8671" s="1">
        <f t="shared" si="270"/>
        <v>0</v>
      </c>
      <c r="Y8671" s="1">
        <f t="shared" si="271"/>
        <v>15</v>
      </c>
    </row>
    <row r="8672" spans="24:25" x14ac:dyDescent="0.3">
      <c r="X8672" s="1">
        <f t="shared" si="270"/>
        <v>0</v>
      </c>
      <c r="Y8672" s="1">
        <f t="shared" si="271"/>
        <v>15</v>
      </c>
    </row>
    <row r="8673" spans="24:25" x14ac:dyDescent="0.3">
      <c r="X8673" s="1">
        <f t="shared" si="270"/>
        <v>0</v>
      </c>
      <c r="Y8673" s="1">
        <f t="shared" si="271"/>
        <v>15</v>
      </c>
    </row>
    <row r="8674" spans="24:25" x14ac:dyDescent="0.3">
      <c r="X8674" s="1">
        <f t="shared" si="270"/>
        <v>0</v>
      </c>
      <c r="Y8674" s="1">
        <f t="shared" si="271"/>
        <v>15</v>
      </c>
    </row>
    <row r="8675" spans="24:25" x14ac:dyDescent="0.3">
      <c r="X8675" s="1">
        <f t="shared" si="270"/>
        <v>0</v>
      </c>
      <c r="Y8675" s="1">
        <f t="shared" si="271"/>
        <v>15</v>
      </c>
    </row>
    <row r="8676" spans="24:25" x14ac:dyDescent="0.3">
      <c r="X8676" s="1">
        <f t="shared" si="270"/>
        <v>0</v>
      </c>
      <c r="Y8676" s="1">
        <f t="shared" si="271"/>
        <v>15</v>
      </c>
    </row>
    <row r="8677" spans="24:25" x14ac:dyDescent="0.3">
      <c r="X8677" s="1">
        <f t="shared" si="270"/>
        <v>0</v>
      </c>
      <c r="Y8677" s="1">
        <f t="shared" si="271"/>
        <v>15</v>
      </c>
    </row>
    <row r="8678" spans="24:25" x14ac:dyDescent="0.3">
      <c r="X8678" s="1">
        <f t="shared" si="270"/>
        <v>0</v>
      </c>
      <c r="Y8678" s="1">
        <f t="shared" si="271"/>
        <v>15</v>
      </c>
    </row>
    <row r="8679" spans="24:25" x14ac:dyDescent="0.3">
      <c r="X8679" s="1">
        <f t="shared" si="270"/>
        <v>0</v>
      </c>
      <c r="Y8679" s="1">
        <f t="shared" si="271"/>
        <v>15</v>
      </c>
    </row>
    <row r="8680" spans="24:25" x14ac:dyDescent="0.3">
      <c r="X8680" s="1">
        <f t="shared" si="270"/>
        <v>0</v>
      </c>
      <c r="Y8680" s="1">
        <f t="shared" si="271"/>
        <v>15</v>
      </c>
    </row>
    <row r="8681" spans="24:25" x14ac:dyDescent="0.3">
      <c r="X8681" s="1">
        <f t="shared" si="270"/>
        <v>0</v>
      </c>
      <c r="Y8681" s="1">
        <f t="shared" si="271"/>
        <v>15</v>
      </c>
    </row>
    <row r="8682" spans="24:25" x14ac:dyDescent="0.3">
      <c r="X8682" s="1">
        <f t="shared" si="270"/>
        <v>0</v>
      </c>
      <c r="Y8682" s="1">
        <f t="shared" si="271"/>
        <v>15</v>
      </c>
    </row>
    <row r="8683" spans="24:25" x14ac:dyDescent="0.3">
      <c r="X8683" s="1">
        <f t="shared" si="270"/>
        <v>0</v>
      </c>
      <c r="Y8683" s="1">
        <f t="shared" si="271"/>
        <v>15</v>
      </c>
    </row>
    <row r="8684" spans="24:25" x14ac:dyDescent="0.3">
      <c r="X8684" s="1">
        <f t="shared" si="270"/>
        <v>0</v>
      </c>
      <c r="Y8684" s="1">
        <f t="shared" si="271"/>
        <v>15</v>
      </c>
    </row>
    <row r="8685" spans="24:25" x14ac:dyDescent="0.3">
      <c r="X8685" s="1">
        <f t="shared" si="270"/>
        <v>0</v>
      </c>
      <c r="Y8685" s="1">
        <f t="shared" si="271"/>
        <v>15</v>
      </c>
    </row>
    <row r="8686" spans="24:25" x14ac:dyDescent="0.3">
      <c r="X8686" s="1">
        <f t="shared" si="270"/>
        <v>0</v>
      </c>
      <c r="Y8686" s="1">
        <f t="shared" si="271"/>
        <v>15</v>
      </c>
    </row>
    <row r="8687" spans="24:25" x14ac:dyDescent="0.3">
      <c r="X8687" s="1">
        <f t="shared" si="270"/>
        <v>0</v>
      </c>
      <c r="Y8687" s="1">
        <f t="shared" si="271"/>
        <v>15</v>
      </c>
    </row>
    <row r="8688" spans="24:25" x14ac:dyDescent="0.3">
      <c r="X8688" s="1">
        <f t="shared" si="270"/>
        <v>0</v>
      </c>
      <c r="Y8688" s="1">
        <f t="shared" si="271"/>
        <v>15</v>
      </c>
    </row>
    <row r="8689" spans="24:25" x14ac:dyDescent="0.3">
      <c r="X8689" s="1">
        <f t="shared" si="270"/>
        <v>0</v>
      </c>
      <c r="Y8689" s="1">
        <f t="shared" si="271"/>
        <v>15</v>
      </c>
    </row>
    <row r="8690" spans="24:25" x14ac:dyDescent="0.3">
      <c r="X8690" s="1">
        <f t="shared" si="270"/>
        <v>0</v>
      </c>
      <c r="Y8690" s="1">
        <f t="shared" si="271"/>
        <v>15</v>
      </c>
    </row>
    <row r="8691" spans="24:25" x14ac:dyDescent="0.3">
      <c r="X8691" s="1">
        <f t="shared" si="270"/>
        <v>0</v>
      </c>
      <c r="Y8691" s="1">
        <f t="shared" si="271"/>
        <v>15</v>
      </c>
    </row>
    <row r="8692" spans="24:25" x14ac:dyDescent="0.3">
      <c r="X8692" s="1">
        <f t="shared" si="270"/>
        <v>0</v>
      </c>
      <c r="Y8692" s="1">
        <f t="shared" si="271"/>
        <v>15</v>
      </c>
    </row>
    <row r="8693" spans="24:25" x14ac:dyDescent="0.3">
      <c r="X8693" s="1">
        <f t="shared" si="270"/>
        <v>0</v>
      </c>
      <c r="Y8693" s="1">
        <f t="shared" si="271"/>
        <v>15</v>
      </c>
    </row>
    <row r="8694" spans="24:25" x14ac:dyDescent="0.3">
      <c r="X8694" s="1">
        <f t="shared" si="270"/>
        <v>0</v>
      </c>
      <c r="Y8694" s="1">
        <f t="shared" si="271"/>
        <v>15</v>
      </c>
    </row>
    <row r="8695" spans="24:25" x14ac:dyDescent="0.3">
      <c r="X8695" s="1">
        <f t="shared" si="270"/>
        <v>0</v>
      </c>
      <c r="Y8695" s="1">
        <f t="shared" si="271"/>
        <v>15</v>
      </c>
    </row>
    <row r="8696" spans="24:25" x14ac:dyDescent="0.3">
      <c r="X8696" s="1">
        <f t="shared" si="270"/>
        <v>0</v>
      </c>
      <c r="Y8696" s="1">
        <f t="shared" si="271"/>
        <v>15</v>
      </c>
    </row>
    <row r="8697" spans="24:25" x14ac:dyDescent="0.3">
      <c r="X8697" s="1">
        <f t="shared" si="270"/>
        <v>0</v>
      </c>
      <c r="Y8697" s="1">
        <f t="shared" si="271"/>
        <v>15</v>
      </c>
    </row>
    <row r="8698" spans="24:25" x14ac:dyDescent="0.3">
      <c r="X8698" s="1">
        <f t="shared" si="270"/>
        <v>0</v>
      </c>
      <c r="Y8698" s="1">
        <f t="shared" si="271"/>
        <v>15</v>
      </c>
    </row>
    <row r="8699" spans="24:25" x14ac:dyDescent="0.3">
      <c r="X8699" s="1">
        <f t="shared" si="270"/>
        <v>0</v>
      </c>
      <c r="Y8699" s="1">
        <f t="shared" si="271"/>
        <v>15</v>
      </c>
    </row>
    <row r="8700" spans="24:25" x14ac:dyDescent="0.3">
      <c r="X8700" s="1">
        <f t="shared" si="270"/>
        <v>0</v>
      </c>
      <c r="Y8700" s="1">
        <f t="shared" si="271"/>
        <v>15</v>
      </c>
    </row>
    <row r="8701" spans="24:25" x14ac:dyDescent="0.3">
      <c r="X8701" s="1">
        <f t="shared" si="270"/>
        <v>0</v>
      </c>
      <c r="Y8701" s="1">
        <f t="shared" si="271"/>
        <v>15</v>
      </c>
    </row>
    <row r="8702" spans="24:25" x14ac:dyDescent="0.3">
      <c r="X8702" s="1">
        <f t="shared" si="270"/>
        <v>0</v>
      </c>
      <c r="Y8702" s="1">
        <f t="shared" si="271"/>
        <v>15</v>
      </c>
    </row>
    <row r="8703" spans="24:25" x14ac:dyDescent="0.3">
      <c r="X8703" s="1">
        <f t="shared" si="270"/>
        <v>0</v>
      </c>
      <c r="Y8703" s="1">
        <f t="shared" si="271"/>
        <v>15</v>
      </c>
    </row>
    <row r="8704" spans="24:25" x14ac:dyDescent="0.3">
      <c r="X8704" s="1">
        <f t="shared" si="270"/>
        <v>0</v>
      </c>
      <c r="Y8704" s="1">
        <f t="shared" si="271"/>
        <v>15</v>
      </c>
    </row>
    <row r="8705" spans="24:25" x14ac:dyDescent="0.3">
      <c r="X8705" s="1">
        <f t="shared" si="270"/>
        <v>0</v>
      </c>
      <c r="Y8705" s="1">
        <f t="shared" si="271"/>
        <v>15</v>
      </c>
    </row>
    <row r="8706" spans="24:25" x14ac:dyDescent="0.3">
      <c r="X8706" s="1">
        <f t="shared" si="270"/>
        <v>0</v>
      </c>
      <c r="Y8706" s="1">
        <f t="shared" si="271"/>
        <v>15</v>
      </c>
    </row>
    <row r="8707" spans="24:25" x14ac:dyDescent="0.3">
      <c r="X8707" s="1">
        <f t="shared" ref="X8707:X8770" si="272">IFERROR(MATCH(W8707,$B:$B,0),0)</f>
        <v>0</v>
      </c>
      <c r="Y8707" s="1">
        <f t="shared" ref="Y8707:Y8770" si="273">IF(X8708=0,COUNTA(A:A),X8708-1)</f>
        <v>15</v>
      </c>
    </row>
    <row r="8708" spans="24:25" x14ac:dyDescent="0.3">
      <c r="X8708" s="1">
        <f t="shared" si="272"/>
        <v>0</v>
      </c>
      <c r="Y8708" s="1">
        <f t="shared" si="273"/>
        <v>15</v>
      </c>
    </row>
    <row r="8709" spans="24:25" x14ac:dyDescent="0.3">
      <c r="X8709" s="1">
        <f t="shared" si="272"/>
        <v>0</v>
      </c>
      <c r="Y8709" s="1">
        <f t="shared" si="273"/>
        <v>15</v>
      </c>
    </row>
    <row r="8710" spans="24:25" x14ac:dyDescent="0.3">
      <c r="X8710" s="1">
        <f t="shared" si="272"/>
        <v>0</v>
      </c>
      <c r="Y8710" s="1">
        <f t="shared" si="273"/>
        <v>15</v>
      </c>
    </row>
    <row r="8711" spans="24:25" x14ac:dyDescent="0.3">
      <c r="X8711" s="1">
        <f t="shared" si="272"/>
        <v>0</v>
      </c>
      <c r="Y8711" s="1">
        <f t="shared" si="273"/>
        <v>15</v>
      </c>
    </row>
    <row r="8712" spans="24:25" x14ac:dyDescent="0.3">
      <c r="X8712" s="1">
        <f t="shared" si="272"/>
        <v>0</v>
      </c>
      <c r="Y8712" s="1">
        <f t="shared" si="273"/>
        <v>15</v>
      </c>
    </row>
    <row r="8713" spans="24:25" x14ac:dyDescent="0.3">
      <c r="X8713" s="1">
        <f t="shared" si="272"/>
        <v>0</v>
      </c>
      <c r="Y8713" s="1">
        <f t="shared" si="273"/>
        <v>15</v>
      </c>
    </row>
    <row r="8714" spans="24:25" x14ac:dyDescent="0.3">
      <c r="X8714" s="1">
        <f t="shared" si="272"/>
        <v>0</v>
      </c>
      <c r="Y8714" s="1">
        <f t="shared" si="273"/>
        <v>15</v>
      </c>
    </row>
    <row r="8715" spans="24:25" x14ac:dyDescent="0.3">
      <c r="X8715" s="1">
        <f t="shared" si="272"/>
        <v>0</v>
      </c>
      <c r="Y8715" s="1">
        <f t="shared" si="273"/>
        <v>15</v>
      </c>
    </row>
    <row r="8716" spans="24:25" x14ac:dyDescent="0.3">
      <c r="X8716" s="1">
        <f t="shared" si="272"/>
        <v>0</v>
      </c>
      <c r="Y8716" s="1">
        <f t="shared" si="273"/>
        <v>15</v>
      </c>
    </row>
    <row r="8717" spans="24:25" x14ac:dyDescent="0.3">
      <c r="X8717" s="1">
        <f t="shared" si="272"/>
        <v>0</v>
      </c>
      <c r="Y8717" s="1">
        <f t="shared" si="273"/>
        <v>15</v>
      </c>
    </row>
    <row r="8718" spans="24:25" x14ac:dyDescent="0.3">
      <c r="X8718" s="1">
        <f t="shared" si="272"/>
        <v>0</v>
      </c>
      <c r="Y8718" s="1">
        <f t="shared" si="273"/>
        <v>15</v>
      </c>
    </row>
    <row r="8719" spans="24:25" x14ac:dyDescent="0.3">
      <c r="X8719" s="1">
        <f t="shared" si="272"/>
        <v>0</v>
      </c>
      <c r="Y8719" s="1">
        <f t="shared" si="273"/>
        <v>15</v>
      </c>
    </row>
    <row r="8720" spans="24:25" x14ac:dyDescent="0.3">
      <c r="X8720" s="1">
        <f t="shared" si="272"/>
        <v>0</v>
      </c>
      <c r="Y8720" s="1">
        <f t="shared" si="273"/>
        <v>15</v>
      </c>
    </row>
    <row r="8721" spans="24:25" x14ac:dyDescent="0.3">
      <c r="X8721" s="1">
        <f t="shared" si="272"/>
        <v>0</v>
      </c>
      <c r="Y8721" s="1">
        <f t="shared" si="273"/>
        <v>15</v>
      </c>
    </row>
    <row r="8722" spans="24:25" x14ac:dyDescent="0.3">
      <c r="X8722" s="1">
        <f t="shared" si="272"/>
        <v>0</v>
      </c>
      <c r="Y8722" s="1">
        <f t="shared" si="273"/>
        <v>15</v>
      </c>
    </row>
    <row r="8723" spans="24:25" x14ac:dyDescent="0.3">
      <c r="X8723" s="1">
        <f t="shared" si="272"/>
        <v>0</v>
      </c>
      <c r="Y8723" s="1">
        <f t="shared" si="273"/>
        <v>15</v>
      </c>
    </row>
    <row r="8724" spans="24:25" x14ac:dyDescent="0.3">
      <c r="X8724" s="1">
        <f t="shared" si="272"/>
        <v>0</v>
      </c>
      <c r="Y8724" s="1">
        <f t="shared" si="273"/>
        <v>15</v>
      </c>
    </row>
    <row r="8725" spans="24:25" x14ac:dyDescent="0.3">
      <c r="X8725" s="1">
        <f t="shared" si="272"/>
        <v>0</v>
      </c>
      <c r="Y8725" s="1">
        <f t="shared" si="273"/>
        <v>15</v>
      </c>
    </row>
    <row r="8726" spans="24:25" x14ac:dyDescent="0.3">
      <c r="X8726" s="1">
        <f t="shared" si="272"/>
        <v>0</v>
      </c>
      <c r="Y8726" s="1">
        <f t="shared" si="273"/>
        <v>15</v>
      </c>
    </row>
    <row r="8727" spans="24:25" x14ac:dyDescent="0.3">
      <c r="X8727" s="1">
        <f t="shared" si="272"/>
        <v>0</v>
      </c>
      <c r="Y8727" s="1">
        <f t="shared" si="273"/>
        <v>15</v>
      </c>
    </row>
    <row r="8728" spans="24:25" x14ac:dyDescent="0.3">
      <c r="X8728" s="1">
        <f t="shared" si="272"/>
        <v>0</v>
      </c>
      <c r="Y8728" s="1">
        <f t="shared" si="273"/>
        <v>15</v>
      </c>
    </row>
    <row r="8729" spans="24:25" x14ac:dyDescent="0.3">
      <c r="X8729" s="1">
        <f t="shared" si="272"/>
        <v>0</v>
      </c>
      <c r="Y8729" s="1">
        <f t="shared" si="273"/>
        <v>15</v>
      </c>
    </row>
    <row r="8730" spans="24:25" x14ac:dyDescent="0.3">
      <c r="X8730" s="1">
        <f t="shared" si="272"/>
        <v>0</v>
      </c>
      <c r="Y8730" s="1">
        <f t="shared" si="273"/>
        <v>15</v>
      </c>
    </row>
    <row r="8731" spans="24:25" x14ac:dyDescent="0.3">
      <c r="X8731" s="1">
        <f t="shared" si="272"/>
        <v>0</v>
      </c>
      <c r="Y8731" s="1">
        <f t="shared" si="273"/>
        <v>15</v>
      </c>
    </row>
    <row r="8732" spans="24:25" x14ac:dyDescent="0.3">
      <c r="X8732" s="1">
        <f t="shared" si="272"/>
        <v>0</v>
      </c>
      <c r="Y8732" s="1">
        <f t="shared" si="273"/>
        <v>15</v>
      </c>
    </row>
    <row r="8733" spans="24:25" x14ac:dyDescent="0.3">
      <c r="X8733" s="1">
        <f t="shared" si="272"/>
        <v>0</v>
      </c>
      <c r="Y8733" s="1">
        <f t="shared" si="273"/>
        <v>15</v>
      </c>
    </row>
    <row r="8734" spans="24:25" x14ac:dyDescent="0.3">
      <c r="X8734" s="1">
        <f t="shared" si="272"/>
        <v>0</v>
      </c>
      <c r="Y8734" s="1">
        <f t="shared" si="273"/>
        <v>15</v>
      </c>
    </row>
    <row r="8735" spans="24:25" x14ac:dyDescent="0.3">
      <c r="X8735" s="1">
        <f t="shared" si="272"/>
        <v>0</v>
      </c>
      <c r="Y8735" s="1">
        <f t="shared" si="273"/>
        <v>15</v>
      </c>
    </row>
    <row r="8736" spans="24:25" x14ac:dyDescent="0.3">
      <c r="X8736" s="1">
        <f t="shared" si="272"/>
        <v>0</v>
      </c>
      <c r="Y8736" s="1">
        <f t="shared" si="273"/>
        <v>15</v>
      </c>
    </row>
    <row r="8737" spans="24:25" x14ac:dyDescent="0.3">
      <c r="X8737" s="1">
        <f t="shared" si="272"/>
        <v>0</v>
      </c>
      <c r="Y8737" s="1">
        <f t="shared" si="273"/>
        <v>15</v>
      </c>
    </row>
    <row r="8738" spans="24:25" x14ac:dyDescent="0.3">
      <c r="X8738" s="1">
        <f t="shared" si="272"/>
        <v>0</v>
      </c>
      <c r="Y8738" s="1">
        <f t="shared" si="273"/>
        <v>15</v>
      </c>
    </row>
    <row r="8739" spans="24:25" x14ac:dyDescent="0.3">
      <c r="X8739" s="1">
        <f t="shared" si="272"/>
        <v>0</v>
      </c>
      <c r="Y8739" s="1">
        <f t="shared" si="273"/>
        <v>15</v>
      </c>
    </row>
    <row r="8740" spans="24:25" x14ac:dyDescent="0.3">
      <c r="X8740" s="1">
        <f t="shared" si="272"/>
        <v>0</v>
      </c>
      <c r="Y8740" s="1">
        <f t="shared" si="273"/>
        <v>15</v>
      </c>
    </row>
    <row r="8741" spans="24:25" x14ac:dyDescent="0.3">
      <c r="X8741" s="1">
        <f t="shared" si="272"/>
        <v>0</v>
      </c>
      <c r="Y8741" s="1">
        <f t="shared" si="273"/>
        <v>15</v>
      </c>
    </row>
    <row r="8742" spans="24:25" x14ac:dyDescent="0.3">
      <c r="X8742" s="1">
        <f t="shared" si="272"/>
        <v>0</v>
      </c>
      <c r="Y8742" s="1">
        <f t="shared" si="273"/>
        <v>15</v>
      </c>
    </row>
    <row r="8743" spans="24:25" x14ac:dyDescent="0.3">
      <c r="X8743" s="1">
        <f t="shared" si="272"/>
        <v>0</v>
      </c>
      <c r="Y8743" s="1">
        <f t="shared" si="273"/>
        <v>15</v>
      </c>
    </row>
    <row r="8744" spans="24:25" x14ac:dyDescent="0.3">
      <c r="X8744" s="1">
        <f t="shared" si="272"/>
        <v>0</v>
      </c>
      <c r="Y8744" s="1">
        <f t="shared" si="273"/>
        <v>15</v>
      </c>
    </row>
    <row r="8745" spans="24:25" x14ac:dyDescent="0.3">
      <c r="X8745" s="1">
        <f t="shared" si="272"/>
        <v>0</v>
      </c>
      <c r="Y8745" s="1">
        <f t="shared" si="273"/>
        <v>15</v>
      </c>
    </row>
    <row r="8746" spans="24:25" x14ac:dyDescent="0.3">
      <c r="X8746" s="1">
        <f t="shared" si="272"/>
        <v>0</v>
      </c>
      <c r="Y8746" s="1">
        <f t="shared" si="273"/>
        <v>15</v>
      </c>
    </row>
    <row r="8747" spans="24:25" x14ac:dyDescent="0.3">
      <c r="X8747" s="1">
        <f t="shared" si="272"/>
        <v>0</v>
      </c>
      <c r="Y8747" s="1">
        <f t="shared" si="273"/>
        <v>15</v>
      </c>
    </row>
    <row r="8748" spans="24:25" x14ac:dyDescent="0.3">
      <c r="X8748" s="1">
        <f t="shared" si="272"/>
        <v>0</v>
      </c>
      <c r="Y8748" s="1">
        <f t="shared" si="273"/>
        <v>15</v>
      </c>
    </row>
    <row r="8749" spans="24:25" x14ac:dyDescent="0.3">
      <c r="X8749" s="1">
        <f t="shared" si="272"/>
        <v>0</v>
      </c>
      <c r="Y8749" s="1">
        <f t="shared" si="273"/>
        <v>15</v>
      </c>
    </row>
    <row r="8750" spans="24:25" x14ac:dyDescent="0.3">
      <c r="X8750" s="1">
        <f t="shared" si="272"/>
        <v>0</v>
      </c>
      <c r="Y8750" s="1">
        <f t="shared" si="273"/>
        <v>15</v>
      </c>
    </row>
    <row r="8751" spans="24:25" x14ac:dyDescent="0.3">
      <c r="X8751" s="1">
        <f t="shared" si="272"/>
        <v>0</v>
      </c>
      <c r="Y8751" s="1">
        <f t="shared" si="273"/>
        <v>15</v>
      </c>
    </row>
    <row r="8752" spans="24:25" x14ac:dyDescent="0.3">
      <c r="X8752" s="1">
        <f t="shared" si="272"/>
        <v>0</v>
      </c>
      <c r="Y8752" s="1">
        <f t="shared" si="273"/>
        <v>15</v>
      </c>
    </row>
    <row r="8753" spans="24:25" x14ac:dyDescent="0.3">
      <c r="X8753" s="1">
        <f t="shared" si="272"/>
        <v>0</v>
      </c>
      <c r="Y8753" s="1">
        <f t="shared" si="273"/>
        <v>15</v>
      </c>
    </row>
    <row r="8754" spans="24:25" x14ac:dyDescent="0.3">
      <c r="X8754" s="1">
        <f t="shared" si="272"/>
        <v>0</v>
      </c>
      <c r="Y8754" s="1">
        <f t="shared" si="273"/>
        <v>15</v>
      </c>
    </row>
    <row r="8755" spans="24:25" x14ac:dyDescent="0.3">
      <c r="X8755" s="1">
        <f t="shared" si="272"/>
        <v>0</v>
      </c>
      <c r="Y8755" s="1">
        <f t="shared" si="273"/>
        <v>15</v>
      </c>
    </row>
    <row r="8756" spans="24:25" x14ac:dyDescent="0.3">
      <c r="X8756" s="1">
        <f t="shared" si="272"/>
        <v>0</v>
      </c>
      <c r="Y8756" s="1">
        <f t="shared" si="273"/>
        <v>15</v>
      </c>
    </row>
    <row r="8757" spans="24:25" x14ac:dyDescent="0.3">
      <c r="X8757" s="1">
        <f t="shared" si="272"/>
        <v>0</v>
      </c>
      <c r="Y8757" s="1">
        <f t="shared" si="273"/>
        <v>15</v>
      </c>
    </row>
    <row r="8758" spans="24:25" x14ac:dyDescent="0.3">
      <c r="X8758" s="1">
        <f t="shared" si="272"/>
        <v>0</v>
      </c>
      <c r="Y8758" s="1">
        <f t="shared" si="273"/>
        <v>15</v>
      </c>
    </row>
    <row r="8759" spans="24:25" x14ac:dyDescent="0.3">
      <c r="X8759" s="1">
        <f t="shared" si="272"/>
        <v>0</v>
      </c>
      <c r="Y8759" s="1">
        <f t="shared" si="273"/>
        <v>15</v>
      </c>
    </row>
    <row r="8760" spans="24:25" x14ac:dyDescent="0.3">
      <c r="X8760" s="1">
        <f t="shared" si="272"/>
        <v>0</v>
      </c>
      <c r="Y8760" s="1">
        <f t="shared" si="273"/>
        <v>15</v>
      </c>
    </row>
    <row r="8761" spans="24:25" x14ac:dyDescent="0.3">
      <c r="X8761" s="1">
        <f t="shared" si="272"/>
        <v>0</v>
      </c>
      <c r="Y8761" s="1">
        <f t="shared" si="273"/>
        <v>15</v>
      </c>
    </row>
    <row r="8762" spans="24:25" x14ac:dyDescent="0.3">
      <c r="X8762" s="1">
        <f t="shared" si="272"/>
        <v>0</v>
      </c>
      <c r="Y8762" s="1">
        <f t="shared" si="273"/>
        <v>15</v>
      </c>
    </row>
    <row r="8763" spans="24:25" x14ac:dyDescent="0.3">
      <c r="X8763" s="1">
        <f t="shared" si="272"/>
        <v>0</v>
      </c>
      <c r="Y8763" s="1">
        <f t="shared" si="273"/>
        <v>15</v>
      </c>
    </row>
    <row r="8764" spans="24:25" x14ac:dyDescent="0.3">
      <c r="X8764" s="1">
        <f t="shared" si="272"/>
        <v>0</v>
      </c>
      <c r="Y8764" s="1">
        <f t="shared" si="273"/>
        <v>15</v>
      </c>
    </row>
    <row r="8765" spans="24:25" x14ac:dyDescent="0.3">
      <c r="X8765" s="1">
        <f t="shared" si="272"/>
        <v>0</v>
      </c>
      <c r="Y8765" s="1">
        <f t="shared" si="273"/>
        <v>15</v>
      </c>
    </row>
    <row r="8766" spans="24:25" x14ac:dyDescent="0.3">
      <c r="X8766" s="1">
        <f t="shared" si="272"/>
        <v>0</v>
      </c>
      <c r="Y8766" s="1">
        <f t="shared" si="273"/>
        <v>15</v>
      </c>
    </row>
    <row r="8767" spans="24:25" x14ac:dyDescent="0.3">
      <c r="X8767" s="1">
        <f t="shared" si="272"/>
        <v>0</v>
      </c>
      <c r="Y8767" s="1">
        <f t="shared" si="273"/>
        <v>15</v>
      </c>
    </row>
    <row r="8768" spans="24:25" x14ac:dyDescent="0.3">
      <c r="X8768" s="1">
        <f t="shared" si="272"/>
        <v>0</v>
      </c>
      <c r="Y8768" s="1">
        <f t="shared" si="273"/>
        <v>15</v>
      </c>
    </row>
    <row r="8769" spans="24:25" x14ac:dyDescent="0.3">
      <c r="X8769" s="1">
        <f t="shared" si="272"/>
        <v>0</v>
      </c>
      <c r="Y8769" s="1">
        <f t="shared" si="273"/>
        <v>15</v>
      </c>
    </row>
    <row r="8770" spans="24:25" x14ac:dyDescent="0.3">
      <c r="X8770" s="1">
        <f t="shared" si="272"/>
        <v>0</v>
      </c>
      <c r="Y8770" s="1">
        <f t="shared" si="273"/>
        <v>15</v>
      </c>
    </row>
    <row r="8771" spans="24:25" x14ac:dyDescent="0.3">
      <c r="X8771" s="1">
        <f t="shared" ref="X8771:X8834" si="274">IFERROR(MATCH(W8771,$B:$B,0),0)</f>
        <v>0</v>
      </c>
      <c r="Y8771" s="1">
        <f t="shared" ref="Y8771:Y8834" si="275">IF(X8772=0,COUNTA(A:A),X8772-1)</f>
        <v>15</v>
      </c>
    </row>
    <row r="8772" spans="24:25" x14ac:dyDescent="0.3">
      <c r="X8772" s="1">
        <f t="shared" si="274"/>
        <v>0</v>
      </c>
      <c r="Y8772" s="1">
        <f t="shared" si="275"/>
        <v>15</v>
      </c>
    </row>
    <row r="8773" spans="24:25" x14ac:dyDescent="0.3">
      <c r="X8773" s="1">
        <f t="shared" si="274"/>
        <v>0</v>
      </c>
      <c r="Y8773" s="1">
        <f t="shared" si="275"/>
        <v>15</v>
      </c>
    </row>
    <row r="8774" spans="24:25" x14ac:dyDescent="0.3">
      <c r="X8774" s="1">
        <f t="shared" si="274"/>
        <v>0</v>
      </c>
      <c r="Y8774" s="1">
        <f t="shared" si="275"/>
        <v>15</v>
      </c>
    </row>
    <row r="8775" spans="24:25" x14ac:dyDescent="0.3">
      <c r="X8775" s="1">
        <f t="shared" si="274"/>
        <v>0</v>
      </c>
      <c r="Y8775" s="1">
        <f t="shared" si="275"/>
        <v>15</v>
      </c>
    </row>
    <row r="8776" spans="24:25" x14ac:dyDescent="0.3">
      <c r="X8776" s="1">
        <f t="shared" si="274"/>
        <v>0</v>
      </c>
      <c r="Y8776" s="1">
        <f t="shared" si="275"/>
        <v>15</v>
      </c>
    </row>
    <row r="8777" spans="24:25" x14ac:dyDescent="0.3">
      <c r="X8777" s="1">
        <f t="shared" si="274"/>
        <v>0</v>
      </c>
      <c r="Y8777" s="1">
        <f t="shared" si="275"/>
        <v>15</v>
      </c>
    </row>
    <row r="8778" spans="24:25" x14ac:dyDescent="0.3">
      <c r="X8778" s="1">
        <f t="shared" si="274"/>
        <v>0</v>
      </c>
      <c r="Y8778" s="1">
        <f t="shared" si="275"/>
        <v>15</v>
      </c>
    </row>
    <row r="8779" spans="24:25" x14ac:dyDescent="0.3">
      <c r="X8779" s="1">
        <f t="shared" si="274"/>
        <v>0</v>
      </c>
      <c r="Y8779" s="1">
        <f t="shared" si="275"/>
        <v>15</v>
      </c>
    </row>
    <row r="8780" spans="24:25" x14ac:dyDescent="0.3">
      <c r="X8780" s="1">
        <f t="shared" si="274"/>
        <v>0</v>
      </c>
      <c r="Y8780" s="1">
        <f t="shared" si="275"/>
        <v>15</v>
      </c>
    </row>
    <row r="8781" spans="24:25" x14ac:dyDescent="0.3">
      <c r="X8781" s="1">
        <f t="shared" si="274"/>
        <v>0</v>
      </c>
      <c r="Y8781" s="1">
        <f t="shared" si="275"/>
        <v>15</v>
      </c>
    </row>
    <row r="8782" spans="24:25" x14ac:dyDescent="0.3">
      <c r="X8782" s="1">
        <f t="shared" si="274"/>
        <v>0</v>
      </c>
      <c r="Y8782" s="1">
        <f t="shared" si="275"/>
        <v>15</v>
      </c>
    </row>
    <row r="8783" spans="24:25" x14ac:dyDescent="0.3">
      <c r="X8783" s="1">
        <f t="shared" si="274"/>
        <v>0</v>
      </c>
      <c r="Y8783" s="1">
        <f t="shared" si="275"/>
        <v>15</v>
      </c>
    </row>
    <row r="8784" spans="24:25" x14ac:dyDescent="0.3">
      <c r="X8784" s="1">
        <f t="shared" si="274"/>
        <v>0</v>
      </c>
      <c r="Y8784" s="1">
        <f t="shared" si="275"/>
        <v>15</v>
      </c>
    </row>
    <row r="8785" spans="24:25" x14ac:dyDescent="0.3">
      <c r="X8785" s="1">
        <f t="shared" si="274"/>
        <v>0</v>
      </c>
      <c r="Y8785" s="1">
        <f t="shared" si="275"/>
        <v>15</v>
      </c>
    </row>
    <row r="8786" spans="24:25" x14ac:dyDescent="0.3">
      <c r="X8786" s="1">
        <f t="shared" si="274"/>
        <v>0</v>
      </c>
      <c r="Y8786" s="1">
        <f t="shared" si="275"/>
        <v>15</v>
      </c>
    </row>
    <row r="8787" spans="24:25" x14ac:dyDescent="0.3">
      <c r="X8787" s="1">
        <f t="shared" si="274"/>
        <v>0</v>
      </c>
      <c r="Y8787" s="1">
        <f t="shared" si="275"/>
        <v>15</v>
      </c>
    </row>
    <row r="8788" spans="24:25" x14ac:dyDescent="0.3">
      <c r="X8788" s="1">
        <f t="shared" si="274"/>
        <v>0</v>
      </c>
      <c r="Y8788" s="1">
        <f t="shared" si="275"/>
        <v>15</v>
      </c>
    </row>
    <row r="8789" spans="24:25" x14ac:dyDescent="0.3">
      <c r="X8789" s="1">
        <f t="shared" si="274"/>
        <v>0</v>
      </c>
      <c r="Y8789" s="1">
        <f t="shared" si="275"/>
        <v>15</v>
      </c>
    </row>
    <row r="8790" spans="24:25" x14ac:dyDescent="0.3">
      <c r="X8790" s="1">
        <f t="shared" si="274"/>
        <v>0</v>
      </c>
      <c r="Y8790" s="1">
        <f t="shared" si="275"/>
        <v>15</v>
      </c>
    </row>
    <row r="8791" spans="24:25" x14ac:dyDescent="0.3">
      <c r="X8791" s="1">
        <f t="shared" si="274"/>
        <v>0</v>
      </c>
      <c r="Y8791" s="1">
        <f t="shared" si="275"/>
        <v>15</v>
      </c>
    </row>
    <row r="8792" spans="24:25" x14ac:dyDescent="0.3">
      <c r="X8792" s="1">
        <f t="shared" si="274"/>
        <v>0</v>
      </c>
      <c r="Y8792" s="1">
        <f t="shared" si="275"/>
        <v>15</v>
      </c>
    </row>
    <row r="8793" spans="24:25" x14ac:dyDescent="0.3">
      <c r="X8793" s="1">
        <f t="shared" si="274"/>
        <v>0</v>
      </c>
      <c r="Y8793" s="1">
        <f t="shared" si="275"/>
        <v>15</v>
      </c>
    </row>
    <row r="8794" spans="24:25" x14ac:dyDescent="0.3">
      <c r="X8794" s="1">
        <f t="shared" si="274"/>
        <v>0</v>
      </c>
      <c r="Y8794" s="1">
        <f t="shared" si="275"/>
        <v>15</v>
      </c>
    </row>
    <row r="8795" spans="24:25" x14ac:dyDescent="0.3">
      <c r="X8795" s="1">
        <f t="shared" si="274"/>
        <v>0</v>
      </c>
      <c r="Y8795" s="1">
        <f t="shared" si="275"/>
        <v>15</v>
      </c>
    </row>
    <row r="8796" spans="24:25" x14ac:dyDescent="0.3">
      <c r="X8796" s="1">
        <f t="shared" si="274"/>
        <v>0</v>
      </c>
      <c r="Y8796" s="1">
        <f t="shared" si="275"/>
        <v>15</v>
      </c>
    </row>
    <row r="8797" spans="24:25" x14ac:dyDescent="0.3">
      <c r="X8797" s="1">
        <f t="shared" si="274"/>
        <v>0</v>
      </c>
      <c r="Y8797" s="1">
        <f t="shared" si="275"/>
        <v>15</v>
      </c>
    </row>
    <row r="8798" spans="24:25" x14ac:dyDescent="0.3">
      <c r="X8798" s="1">
        <f t="shared" si="274"/>
        <v>0</v>
      </c>
      <c r="Y8798" s="1">
        <f t="shared" si="275"/>
        <v>15</v>
      </c>
    </row>
    <row r="8799" spans="24:25" x14ac:dyDescent="0.3">
      <c r="X8799" s="1">
        <f t="shared" si="274"/>
        <v>0</v>
      </c>
      <c r="Y8799" s="1">
        <f t="shared" si="275"/>
        <v>15</v>
      </c>
    </row>
    <row r="8800" spans="24:25" x14ac:dyDescent="0.3">
      <c r="X8800" s="1">
        <f t="shared" si="274"/>
        <v>0</v>
      </c>
      <c r="Y8800" s="1">
        <f t="shared" si="275"/>
        <v>15</v>
      </c>
    </row>
    <row r="8801" spans="24:25" x14ac:dyDescent="0.3">
      <c r="X8801" s="1">
        <f t="shared" si="274"/>
        <v>0</v>
      </c>
      <c r="Y8801" s="1">
        <f t="shared" si="275"/>
        <v>15</v>
      </c>
    </row>
    <row r="8802" spans="24:25" x14ac:dyDescent="0.3">
      <c r="X8802" s="1">
        <f t="shared" si="274"/>
        <v>0</v>
      </c>
      <c r="Y8802" s="1">
        <f t="shared" si="275"/>
        <v>15</v>
      </c>
    </row>
    <row r="8803" spans="24:25" x14ac:dyDescent="0.3">
      <c r="X8803" s="1">
        <f t="shared" si="274"/>
        <v>0</v>
      </c>
      <c r="Y8803" s="1">
        <f t="shared" si="275"/>
        <v>15</v>
      </c>
    </row>
    <row r="8804" spans="24:25" x14ac:dyDescent="0.3">
      <c r="X8804" s="1">
        <f t="shared" si="274"/>
        <v>0</v>
      </c>
      <c r="Y8804" s="1">
        <f t="shared" si="275"/>
        <v>15</v>
      </c>
    </row>
    <row r="8805" spans="24:25" x14ac:dyDescent="0.3">
      <c r="X8805" s="1">
        <f t="shared" si="274"/>
        <v>0</v>
      </c>
      <c r="Y8805" s="1">
        <f t="shared" si="275"/>
        <v>15</v>
      </c>
    </row>
    <row r="8806" spans="24:25" x14ac:dyDescent="0.3">
      <c r="X8806" s="1">
        <f t="shared" si="274"/>
        <v>0</v>
      </c>
      <c r="Y8806" s="1">
        <f t="shared" si="275"/>
        <v>15</v>
      </c>
    </row>
    <row r="8807" spans="24:25" x14ac:dyDescent="0.3">
      <c r="X8807" s="1">
        <f t="shared" si="274"/>
        <v>0</v>
      </c>
      <c r="Y8807" s="1">
        <f t="shared" si="275"/>
        <v>15</v>
      </c>
    </row>
    <row r="8808" spans="24:25" x14ac:dyDescent="0.3">
      <c r="X8808" s="1">
        <f t="shared" si="274"/>
        <v>0</v>
      </c>
      <c r="Y8808" s="1">
        <f t="shared" si="275"/>
        <v>15</v>
      </c>
    </row>
    <row r="8809" spans="24:25" x14ac:dyDescent="0.3">
      <c r="X8809" s="1">
        <f t="shared" si="274"/>
        <v>0</v>
      </c>
      <c r="Y8809" s="1">
        <f t="shared" si="275"/>
        <v>15</v>
      </c>
    </row>
    <row r="8810" spans="24:25" x14ac:dyDescent="0.3">
      <c r="X8810" s="1">
        <f t="shared" si="274"/>
        <v>0</v>
      </c>
      <c r="Y8810" s="1">
        <f t="shared" si="275"/>
        <v>15</v>
      </c>
    </row>
    <row r="8811" spans="24:25" x14ac:dyDescent="0.3">
      <c r="X8811" s="1">
        <f t="shared" si="274"/>
        <v>0</v>
      </c>
      <c r="Y8811" s="1">
        <f t="shared" si="275"/>
        <v>15</v>
      </c>
    </row>
    <row r="8812" spans="24:25" x14ac:dyDescent="0.3">
      <c r="X8812" s="1">
        <f t="shared" si="274"/>
        <v>0</v>
      </c>
      <c r="Y8812" s="1">
        <f t="shared" si="275"/>
        <v>15</v>
      </c>
    </row>
    <row r="8813" spans="24:25" x14ac:dyDescent="0.3">
      <c r="X8813" s="1">
        <f t="shared" si="274"/>
        <v>0</v>
      </c>
      <c r="Y8813" s="1">
        <f t="shared" si="275"/>
        <v>15</v>
      </c>
    </row>
    <row r="8814" spans="24:25" x14ac:dyDescent="0.3">
      <c r="X8814" s="1">
        <f t="shared" si="274"/>
        <v>0</v>
      </c>
      <c r="Y8814" s="1">
        <f t="shared" si="275"/>
        <v>15</v>
      </c>
    </row>
    <row r="8815" spans="24:25" x14ac:dyDescent="0.3">
      <c r="X8815" s="1">
        <f t="shared" si="274"/>
        <v>0</v>
      </c>
      <c r="Y8815" s="1">
        <f t="shared" si="275"/>
        <v>15</v>
      </c>
    </row>
    <row r="8816" spans="24:25" x14ac:dyDescent="0.3">
      <c r="X8816" s="1">
        <f t="shared" si="274"/>
        <v>0</v>
      </c>
      <c r="Y8816" s="1">
        <f t="shared" si="275"/>
        <v>15</v>
      </c>
    </row>
    <row r="8817" spans="24:25" x14ac:dyDescent="0.3">
      <c r="X8817" s="1">
        <f t="shared" si="274"/>
        <v>0</v>
      </c>
      <c r="Y8817" s="1">
        <f t="shared" si="275"/>
        <v>15</v>
      </c>
    </row>
    <row r="8818" spans="24:25" x14ac:dyDescent="0.3">
      <c r="X8818" s="1">
        <f t="shared" si="274"/>
        <v>0</v>
      </c>
      <c r="Y8818" s="1">
        <f t="shared" si="275"/>
        <v>15</v>
      </c>
    </row>
    <row r="8819" spans="24:25" x14ac:dyDescent="0.3">
      <c r="X8819" s="1">
        <f t="shared" si="274"/>
        <v>0</v>
      </c>
      <c r="Y8819" s="1">
        <f t="shared" si="275"/>
        <v>15</v>
      </c>
    </row>
    <row r="8820" spans="24:25" x14ac:dyDescent="0.3">
      <c r="X8820" s="1">
        <f t="shared" si="274"/>
        <v>0</v>
      </c>
      <c r="Y8820" s="1">
        <f t="shared" si="275"/>
        <v>15</v>
      </c>
    </row>
    <row r="8821" spans="24:25" x14ac:dyDescent="0.3">
      <c r="X8821" s="1">
        <f t="shared" si="274"/>
        <v>0</v>
      </c>
      <c r="Y8821" s="1">
        <f t="shared" si="275"/>
        <v>15</v>
      </c>
    </row>
    <row r="8822" spans="24:25" x14ac:dyDescent="0.3">
      <c r="X8822" s="1">
        <f t="shared" si="274"/>
        <v>0</v>
      </c>
      <c r="Y8822" s="1">
        <f t="shared" si="275"/>
        <v>15</v>
      </c>
    </row>
    <row r="8823" spans="24:25" x14ac:dyDescent="0.3">
      <c r="X8823" s="1">
        <f t="shared" si="274"/>
        <v>0</v>
      </c>
      <c r="Y8823" s="1">
        <f t="shared" si="275"/>
        <v>15</v>
      </c>
    </row>
    <row r="8824" spans="24:25" x14ac:dyDescent="0.3">
      <c r="X8824" s="1">
        <f t="shared" si="274"/>
        <v>0</v>
      </c>
      <c r="Y8824" s="1">
        <f t="shared" si="275"/>
        <v>15</v>
      </c>
    </row>
    <row r="8825" spans="24:25" x14ac:dyDescent="0.3">
      <c r="X8825" s="1">
        <f t="shared" si="274"/>
        <v>0</v>
      </c>
      <c r="Y8825" s="1">
        <f t="shared" si="275"/>
        <v>15</v>
      </c>
    </row>
    <row r="8826" spans="24:25" x14ac:dyDescent="0.3">
      <c r="X8826" s="1">
        <f t="shared" si="274"/>
        <v>0</v>
      </c>
      <c r="Y8826" s="1">
        <f t="shared" si="275"/>
        <v>15</v>
      </c>
    </row>
    <row r="8827" spans="24:25" x14ac:dyDescent="0.3">
      <c r="X8827" s="1">
        <f t="shared" si="274"/>
        <v>0</v>
      </c>
      <c r="Y8827" s="1">
        <f t="shared" si="275"/>
        <v>15</v>
      </c>
    </row>
    <row r="8828" spans="24:25" x14ac:dyDescent="0.3">
      <c r="X8828" s="1">
        <f t="shared" si="274"/>
        <v>0</v>
      </c>
      <c r="Y8828" s="1">
        <f t="shared" si="275"/>
        <v>15</v>
      </c>
    </row>
    <row r="8829" spans="24:25" x14ac:dyDescent="0.3">
      <c r="X8829" s="1">
        <f t="shared" si="274"/>
        <v>0</v>
      </c>
      <c r="Y8829" s="1">
        <f t="shared" si="275"/>
        <v>15</v>
      </c>
    </row>
    <row r="8830" spans="24:25" x14ac:dyDescent="0.3">
      <c r="X8830" s="1">
        <f t="shared" si="274"/>
        <v>0</v>
      </c>
      <c r="Y8830" s="1">
        <f t="shared" si="275"/>
        <v>15</v>
      </c>
    </row>
    <row r="8831" spans="24:25" x14ac:dyDescent="0.3">
      <c r="X8831" s="1">
        <f t="shared" si="274"/>
        <v>0</v>
      </c>
      <c r="Y8831" s="1">
        <f t="shared" si="275"/>
        <v>15</v>
      </c>
    </row>
    <row r="8832" spans="24:25" x14ac:dyDescent="0.3">
      <c r="X8832" s="1">
        <f t="shared" si="274"/>
        <v>0</v>
      </c>
      <c r="Y8832" s="1">
        <f t="shared" si="275"/>
        <v>15</v>
      </c>
    </row>
    <row r="8833" spans="24:25" x14ac:dyDescent="0.3">
      <c r="X8833" s="1">
        <f t="shared" si="274"/>
        <v>0</v>
      </c>
      <c r="Y8833" s="1">
        <f t="shared" si="275"/>
        <v>15</v>
      </c>
    </row>
    <row r="8834" spans="24:25" x14ac:dyDescent="0.3">
      <c r="X8834" s="1">
        <f t="shared" si="274"/>
        <v>0</v>
      </c>
      <c r="Y8834" s="1">
        <f t="shared" si="275"/>
        <v>15</v>
      </c>
    </row>
    <row r="8835" spans="24:25" x14ac:dyDescent="0.3">
      <c r="X8835" s="1">
        <f t="shared" ref="X8835:X8856" si="276">IFERROR(MATCH(W8835,$B:$B,0),0)</f>
        <v>0</v>
      </c>
      <c r="Y8835" s="1">
        <f t="shared" ref="Y8835:Y8856" si="277">IF(X8836=0,COUNTA(A:A),X8836-1)</f>
        <v>15</v>
      </c>
    </row>
    <row r="8836" spans="24:25" x14ac:dyDescent="0.3">
      <c r="X8836" s="1">
        <f t="shared" si="276"/>
        <v>0</v>
      </c>
      <c r="Y8836" s="1">
        <f t="shared" si="277"/>
        <v>15</v>
      </c>
    </row>
    <row r="8837" spans="24:25" x14ac:dyDescent="0.3">
      <c r="X8837" s="1">
        <f t="shared" si="276"/>
        <v>0</v>
      </c>
      <c r="Y8837" s="1">
        <f t="shared" si="277"/>
        <v>15</v>
      </c>
    </row>
    <row r="8838" spans="24:25" x14ac:dyDescent="0.3">
      <c r="X8838" s="1">
        <f t="shared" si="276"/>
        <v>0</v>
      </c>
      <c r="Y8838" s="1">
        <f t="shared" si="277"/>
        <v>15</v>
      </c>
    </row>
    <row r="8839" spans="24:25" x14ac:dyDescent="0.3">
      <c r="X8839" s="1">
        <f t="shared" si="276"/>
        <v>0</v>
      </c>
      <c r="Y8839" s="1">
        <f t="shared" si="277"/>
        <v>15</v>
      </c>
    </row>
    <row r="8840" spans="24:25" x14ac:dyDescent="0.3">
      <c r="X8840" s="1">
        <f t="shared" si="276"/>
        <v>0</v>
      </c>
      <c r="Y8840" s="1">
        <f t="shared" si="277"/>
        <v>15</v>
      </c>
    </row>
    <row r="8841" spans="24:25" x14ac:dyDescent="0.3">
      <c r="X8841" s="1">
        <f t="shared" si="276"/>
        <v>0</v>
      </c>
      <c r="Y8841" s="1">
        <f t="shared" si="277"/>
        <v>15</v>
      </c>
    </row>
    <row r="8842" spans="24:25" x14ac:dyDescent="0.3">
      <c r="X8842" s="1">
        <f t="shared" si="276"/>
        <v>0</v>
      </c>
      <c r="Y8842" s="1">
        <f t="shared" si="277"/>
        <v>15</v>
      </c>
    </row>
    <row r="8843" spans="24:25" x14ac:dyDescent="0.3">
      <c r="X8843" s="1">
        <f t="shared" si="276"/>
        <v>0</v>
      </c>
      <c r="Y8843" s="1">
        <f t="shared" si="277"/>
        <v>15</v>
      </c>
    </row>
    <row r="8844" spans="24:25" x14ac:dyDescent="0.3">
      <c r="X8844" s="1">
        <f t="shared" si="276"/>
        <v>0</v>
      </c>
      <c r="Y8844" s="1">
        <f t="shared" si="277"/>
        <v>15</v>
      </c>
    </row>
    <row r="8845" spans="24:25" x14ac:dyDescent="0.3">
      <c r="X8845" s="1">
        <f t="shared" si="276"/>
        <v>0</v>
      </c>
      <c r="Y8845" s="1">
        <f t="shared" si="277"/>
        <v>15</v>
      </c>
    </row>
    <row r="8846" spans="24:25" x14ac:dyDescent="0.3">
      <c r="X8846" s="1">
        <f t="shared" si="276"/>
        <v>0</v>
      </c>
      <c r="Y8846" s="1">
        <f t="shared" si="277"/>
        <v>15</v>
      </c>
    </row>
    <row r="8847" spans="24:25" x14ac:dyDescent="0.3">
      <c r="X8847" s="1">
        <f t="shared" si="276"/>
        <v>0</v>
      </c>
      <c r="Y8847" s="1">
        <f t="shared" si="277"/>
        <v>15</v>
      </c>
    </row>
    <row r="8848" spans="24:25" x14ac:dyDescent="0.3">
      <c r="X8848" s="1">
        <f t="shared" si="276"/>
        <v>0</v>
      </c>
      <c r="Y8848" s="1">
        <f t="shared" si="277"/>
        <v>15</v>
      </c>
    </row>
    <row r="8849" spans="24:25" x14ac:dyDescent="0.3">
      <c r="X8849" s="1">
        <f t="shared" si="276"/>
        <v>0</v>
      </c>
      <c r="Y8849" s="1">
        <f t="shared" si="277"/>
        <v>15</v>
      </c>
    </row>
    <row r="8850" spans="24:25" x14ac:dyDescent="0.3">
      <c r="X8850" s="1">
        <f t="shared" si="276"/>
        <v>0</v>
      </c>
      <c r="Y8850" s="1">
        <f t="shared" si="277"/>
        <v>15</v>
      </c>
    </row>
    <row r="8851" spans="24:25" x14ac:dyDescent="0.3">
      <c r="X8851" s="1">
        <f t="shared" si="276"/>
        <v>0</v>
      </c>
      <c r="Y8851" s="1">
        <f t="shared" si="277"/>
        <v>15</v>
      </c>
    </row>
    <row r="8852" spans="24:25" x14ac:dyDescent="0.3">
      <c r="X8852" s="1">
        <f t="shared" si="276"/>
        <v>0</v>
      </c>
      <c r="Y8852" s="1">
        <f t="shared" si="277"/>
        <v>15</v>
      </c>
    </row>
    <row r="8853" spans="24:25" x14ac:dyDescent="0.3">
      <c r="X8853" s="1">
        <f t="shared" si="276"/>
        <v>0</v>
      </c>
      <c r="Y8853" s="1">
        <f t="shared" si="277"/>
        <v>15</v>
      </c>
    </row>
    <row r="8854" spans="24:25" x14ac:dyDescent="0.3">
      <c r="X8854" s="1">
        <f t="shared" si="276"/>
        <v>0</v>
      </c>
      <c r="Y8854" s="1">
        <f t="shared" si="277"/>
        <v>15</v>
      </c>
    </row>
    <row r="8855" spans="24:25" x14ac:dyDescent="0.3">
      <c r="X8855" s="1">
        <f t="shared" si="276"/>
        <v>0</v>
      </c>
      <c r="Y8855" s="1">
        <f t="shared" si="277"/>
        <v>15</v>
      </c>
    </row>
    <row r="8856" spans="24:25" x14ac:dyDescent="0.3">
      <c r="X8856" s="1">
        <f t="shared" si="276"/>
        <v>0</v>
      </c>
      <c r="Y8856" s="1">
        <f t="shared" si="277"/>
        <v>15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N3"/>
  <sheetViews>
    <sheetView workbookViewId="0"/>
  </sheetViews>
  <sheetFormatPr defaultRowHeight="14.4" x14ac:dyDescent="0.3"/>
  <sheetData>
    <row r="1" spans="1:14" x14ac:dyDescent="0.3">
      <c r="A1" t="s">
        <v>665</v>
      </c>
      <c r="B1" t="s">
        <v>561</v>
      </c>
      <c r="C1" t="s">
        <v>586</v>
      </c>
      <c r="D1" t="s">
        <v>701</v>
      </c>
      <c r="E1" t="s">
        <v>702</v>
      </c>
      <c r="F1" t="s">
        <v>677</v>
      </c>
      <c r="G1" t="s">
        <v>703</v>
      </c>
      <c r="H1" t="s">
        <v>704</v>
      </c>
      <c r="I1" t="s">
        <v>705</v>
      </c>
      <c r="J1" t="s">
        <v>706</v>
      </c>
      <c r="K1" t="s">
        <v>707</v>
      </c>
      <c r="L1" t="s">
        <v>708</v>
      </c>
      <c r="M1" t="s">
        <v>709</v>
      </c>
      <c r="N1" t="s">
        <v>600</v>
      </c>
    </row>
    <row r="2" spans="1:14" x14ac:dyDescent="0.3">
      <c r="B2">
        <v>648</v>
      </c>
      <c r="C2">
        <v>5280009872</v>
      </c>
      <c r="D2" t="s">
        <v>710</v>
      </c>
      <c r="F2">
        <v>1</v>
      </c>
      <c r="H2" t="s">
        <v>711</v>
      </c>
      <c r="I2">
        <v>0</v>
      </c>
      <c r="J2">
        <v>-111.9288549</v>
      </c>
      <c r="K2">
        <v>33.418436900000003</v>
      </c>
    </row>
    <row r="3" spans="1:14" x14ac:dyDescent="0.3">
      <c r="B3">
        <v>1966</v>
      </c>
      <c r="C3" t="s">
        <v>679</v>
      </c>
      <c r="D3" t="s">
        <v>712</v>
      </c>
      <c r="F3">
        <v>1</v>
      </c>
      <c r="J3">
        <v>-111.9263253</v>
      </c>
      <c r="K3">
        <v>33.4220282</v>
      </c>
      <c r="L3">
        <v>12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O3793"/>
  <sheetViews>
    <sheetView workbookViewId="0">
      <selection sqref="A1:O1048576"/>
    </sheetView>
  </sheetViews>
  <sheetFormatPr defaultRowHeight="14.4" x14ac:dyDescent="0.3"/>
  <sheetData>
    <row r="1" spans="1:15" x14ac:dyDescent="0.3">
      <c r="A1" t="s">
        <v>665</v>
      </c>
      <c r="B1" t="s">
        <v>713</v>
      </c>
      <c r="C1" t="s">
        <v>714</v>
      </c>
      <c r="D1" t="s">
        <v>715</v>
      </c>
      <c r="E1" t="s">
        <v>716</v>
      </c>
      <c r="F1" t="s">
        <v>717</v>
      </c>
      <c r="G1" t="s">
        <v>718</v>
      </c>
      <c r="H1" t="s">
        <v>672</v>
      </c>
      <c r="I1" t="s">
        <v>678</v>
      </c>
      <c r="J1" t="s">
        <v>570</v>
      </c>
      <c r="K1" t="s">
        <v>719</v>
      </c>
      <c r="L1" t="s">
        <v>720</v>
      </c>
      <c r="M1" t="s">
        <v>577</v>
      </c>
      <c r="N1" t="s">
        <v>721</v>
      </c>
      <c r="O1" t="s">
        <v>722</v>
      </c>
    </row>
    <row r="2" spans="1:15" x14ac:dyDescent="0.3">
      <c r="A2" t="s">
        <v>723</v>
      </c>
      <c r="B2">
        <v>0</v>
      </c>
      <c r="C2">
        <v>5589756</v>
      </c>
      <c r="D2">
        <v>1</v>
      </c>
      <c r="E2">
        <v>200</v>
      </c>
      <c r="F2">
        <v>1</v>
      </c>
      <c r="G2">
        <v>264.65312466800702</v>
      </c>
      <c r="H2">
        <v>3</v>
      </c>
      <c r="I2">
        <v>35</v>
      </c>
      <c r="K2" t="s">
        <v>724</v>
      </c>
      <c r="L2">
        <v>3</v>
      </c>
      <c r="M2" t="s">
        <v>725</v>
      </c>
      <c r="N2" t="s">
        <v>726</v>
      </c>
      <c r="O2">
        <v>1</v>
      </c>
    </row>
    <row r="3" spans="1:15" x14ac:dyDescent="0.3">
      <c r="A3" t="s">
        <v>723</v>
      </c>
      <c r="B3">
        <v>1</v>
      </c>
      <c r="C3">
        <v>5589756</v>
      </c>
      <c r="D3">
        <v>200</v>
      </c>
      <c r="E3">
        <v>1</v>
      </c>
      <c r="F3">
        <v>1</v>
      </c>
      <c r="G3">
        <v>264.65312466800702</v>
      </c>
      <c r="H3">
        <v>3</v>
      </c>
      <c r="I3">
        <v>35</v>
      </c>
      <c r="K3" t="s">
        <v>724</v>
      </c>
      <c r="L3">
        <v>3</v>
      </c>
      <c r="M3" t="s">
        <v>727</v>
      </c>
      <c r="N3" t="s">
        <v>726</v>
      </c>
      <c r="O3">
        <v>1</v>
      </c>
    </row>
    <row r="4" spans="1:15" x14ac:dyDescent="0.3">
      <c r="A4" t="s">
        <v>728</v>
      </c>
      <c r="B4">
        <v>2</v>
      </c>
      <c r="C4">
        <v>5590090</v>
      </c>
      <c r="D4">
        <v>2</v>
      </c>
      <c r="E4">
        <v>3</v>
      </c>
      <c r="F4">
        <v>1</v>
      </c>
      <c r="G4">
        <v>142.09986632871301</v>
      </c>
      <c r="H4">
        <v>1</v>
      </c>
      <c r="K4" t="s">
        <v>729</v>
      </c>
      <c r="L4">
        <v>6</v>
      </c>
      <c r="M4" t="s">
        <v>730</v>
      </c>
      <c r="N4" t="s">
        <v>726</v>
      </c>
      <c r="O4">
        <v>1</v>
      </c>
    </row>
    <row r="5" spans="1:15" x14ac:dyDescent="0.3">
      <c r="A5" t="s">
        <v>728</v>
      </c>
      <c r="B5">
        <v>3</v>
      </c>
      <c r="C5">
        <v>5590090</v>
      </c>
      <c r="D5">
        <v>3</v>
      </c>
      <c r="E5">
        <v>2</v>
      </c>
      <c r="F5">
        <v>1</v>
      </c>
      <c r="G5">
        <v>142.09986632871301</v>
      </c>
      <c r="H5">
        <v>1</v>
      </c>
      <c r="K5" t="s">
        <v>729</v>
      </c>
      <c r="L5">
        <v>6</v>
      </c>
      <c r="M5" t="s">
        <v>731</v>
      </c>
      <c r="N5" t="s">
        <v>726</v>
      </c>
      <c r="O5">
        <v>1</v>
      </c>
    </row>
    <row r="6" spans="1:15" x14ac:dyDescent="0.3">
      <c r="A6" t="s">
        <v>728</v>
      </c>
      <c r="B6">
        <v>4</v>
      </c>
      <c r="C6">
        <v>5590095</v>
      </c>
      <c r="D6">
        <v>17</v>
      </c>
      <c r="E6">
        <v>18</v>
      </c>
      <c r="F6">
        <v>1</v>
      </c>
      <c r="G6">
        <v>81.577979293233298</v>
      </c>
      <c r="H6">
        <v>1</v>
      </c>
      <c r="I6">
        <v>25</v>
      </c>
      <c r="K6" t="s">
        <v>729</v>
      </c>
      <c r="L6">
        <v>6</v>
      </c>
      <c r="M6" t="s">
        <v>732</v>
      </c>
      <c r="N6" t="s">
        <v>726</v>
      </c>
      <c r="O6">
        <v>1</v>
      </c>
    </row>
    <row r="7" spans="1:15" x14ac:dyDescent="0.3">
      <c r="A7" t="s">
        <v>728</v>
      </c>
      <c r="B7">
        <v>5</v>
      </c>
      <c r="C7">
        <v>5590095</v>
      </c>
      <c r="D7">
        <v>18</v>
      </c>
      <c r="E7">
        <v>17</v>
      </c>
      <c r="F7">
        <v>1</v>
      </c>
      <c r="G7">
        <v>81.577979293233298</v>
      </c>
      <c r="H7">
        <v>1</v>
      </c>
      <c r="I7">
        <v>25</v>
      </c>
      <c r="K7" t="s">
        <v>729</v>
      </c>
      <c r="L7">
        <v>6</v>
      </c>
      <c r="M7" t="s">
        <v>733</v>
      </c>
      <c r="N7" t="s">
        <v>726</v>
      </c>
      <c r="O7">
        <v>1</v>
      </c>
    </row>
    <row r="8" spans="1:15" x14ac:dyDescent="0.3">
      <c r="A8" t="s">
        <v>728</v>
      </c>
      <c r="B8">
        <v>6</v>
      </c>
      <c r="C8">
        <v>5590095</v>
      </c>
      <c r="D8">
        <v>18</v>
      </c>
      <c r="E8">
        <v>19</v>
      </c>
      <c r="F8">
        <v>1</v>
      </c>
      <c r="G8">
        <v>80.161462925303994</v>
      </c>
      <c r="H8">
        <v>1</v>
      </c>
      <c r="I8">
        <v>25</v>
      </c>
      <c r="K8" t="s">
        <v>729</v>
      </c>
      <c r="L8">
        <v>6</v>
      </c>
      <c r="M8" t="s">
        <v>734</v>
      </c>
      <c r="N8" t="s">
        <v>726</v>
      </c>
      <c r="O8">
        <v>1</v>
      </c>
    </row>
    <row r="9" spans="1:15" x14ac:dyDescent="0.3">
      <c r="A9" t="s">
        <v>728</v>
      </c>
      <c r="B9">
        <v>7</v>
      </c>
      <c r="C9">
        <v>5590095</v>
      </c>
      <c r="D9">
        <v>19</v>
      </c>
      <c r="E9">
        <v>18</v>
      </c>
      <c r="F9">
        <v>1</v>
      </c>
      <c r="G9">
        <v>80.161462925303994</v>
      </c>
      <c r="H9">
        <v>1</v>
      </c>
      <c r="I9">
        <v>25</v>
      </c>
      <c r="K9" t="s">
        <v>729</v>
      </c>
      <c r="L9">
        <v>6</v>
      </c>
      <c r="M9" t="s">
        <v>735</v>
      </c>
      <c r="N9" t="s">
        <v>726</v>
      </c>
      <c r="O9">
        <v>1</v>
      </c>
    </row>
    <row r="10" spans="1:15" x14ac:dyDescent="0.3">
      <c r="A10" t="s">
        <v>728</v>
      </c>
      <c r="B10">
        <v>8</v>
      </c>
      <c r="C10">
        <v>5590095</v>
      </c>
      <c r="D10">
        <v>19</v>
      </c>
      <c r="E10">
        <v>20</v>
      </c>
      <c r="F10">
        <v>1</v>
      </c>
      <c r="G10">
        <v>240.28235846214699</v>
      </c>
      <c r="H10">
        <v>1</v>
      </c>
      <c r="I10">
        <v>25</v>
      </c>
      <c r="K10" t="s">
        <v>729</v>
      </c>
      <c r="L10">
        <v>6</v>
      </c>
      <c r="M10" t="s">
        <v>736</v>
      </c>
      <c r="N10" t="s">
        <v>726</v>
      </c>
      <c r="O10">
        <v>1</v>
      </c>
    </row>
    <row r="11" spans="1:15" x14ac:dyDescent="0.3">
      <c r="A11" t="s">
        <v>728</v>
      </c>
      <c r="B11">
        <v>9</v>
      </c>
      <c r="C11">
        <v>5590095</v>
      </c>
      <c r="D11">
        <v>20</v>
      </c>
      <c r="E11">
        <v>19</v>
      </c>
      <c r="F11">
        <v>1</v>
      </c>
      <c r="G11">
        <v>240.28235846214699</v>
      </c>
      <c r="H11">
        <v>1</v>
      </c>
      <c r="I11">
        <v>25</v>
      </c>
      <c r="K11" t="s">
        <v>729</v>
      </c>
      <c r="L11">
        <v>6</v>
      </c>
      <c r="M11" t="s">
        <v>737</v>
      </c>
      <c r="N11" t="s">
        <v>726</v>
      </c>
      <c r="O11">
        <v>1</v>
      </c>
    </row>
    <row r="12" spans="1:15" x14ac:dyDescent="0.3">
      <c r="A12" t="s">
        <v>728</v>
      </c>
      <c r="B12">
        <v>10</v>
      </c>
      <c r="C12">
        <v>5590095</v>
      </c>
      <c r="D12">
        <v>20</v>
      </c>
      <c r="E12">
        <v>21</v>
      </c>
      <c r="F12">
        <v>1</v>
      </c>
      <c r="G12">
        <v>84.154257388385005</v>
      </c>
      <c r="H12">
        <v>1</v>
      </c>
      <c r="I12">
        <v>25</v>
      </c>
      <c r="K12" t="s">
        <v>729</v>
      </c>
      <c r="L12">
        <v>6</v>
      </c>
      <c r="M12" t="s">
        <v>738</v>
      </c>
      <c r="N12" t="s">
        <v>726</v>
      </c>
      <c r="O12">
        <v>1</v>
      </c>
    </row>
    <row r="13" spans="1:15" x14ac:dyDescent="0.3">
      <c r="A13" t="s">
        <v>728</v>
      </c>
      <c r="B13">
        <v>11</v>
      </c>
      <c r="C13">
        <v>5590095</v>
      </c>
      <c r="D13">
        <v>21</v>
      </c>
      <c r="E13">
        <v>20</v>
      </c>
      <c r="F13">
        <v>1</v>
      </c>
      <c r="G13">
        <v>84.154257388385005</v>
      </c>
      <c r="H13">
        <v>1</v>
      </c>
      <c r="I13">
        <v>25</v>
      </c>
      <c r="K13" t="s">
        <v>729</v>
      </c>
      <c r="L13">
        <v>6</v>
      </c>
      <c r="M13" t="s">
        <v>739</v>
      </c>
      <c r="N13" t="s">
        <v>726</v>
      </c>
      <c r="O13">
        <v>1</v>
      </c>
    </row>
    <row r="14" spans="1:15" x14ac:dyDescent="0.3">
      <c r="A14" t="s">
        <v>728</v>
      </c>
      <c r="B14">
        <v>12</v>
      </c>
      <c r="C14">
        <v>5590095</v>
      </c>
      <c r="D14">
        <v>21</v>
      </c>
      <c r="E14">
        <v>22</v>
      </c>
      <c r="F14">
        <v>1</v>
      </c>
      <c r="G14">
        <v>83.107146852127499</v>
      </c>
      <c r="H14">
        <v>1</v>
      </c>
      <c r="I14">
        <v>25</v>
      </c>
      <c r="K14" t="s">
        <v>729</v>
      </c>
      <c r="L14">
        <v>6</v>
      </c>
      <c r="M14" t="s">
        <v>740</v>
      </c>
      <c r="N14" t="s">
        <v>726</v>
      </c>
      <c r="O14">
        <v>1</v>
      </c>
    </row>
    <row r="15" spans="1:15" x14ac:dyDescent="0.3">
      <c r="A15" t="s">
        <v>728</v>
      </c>
      <c r="B15">
        <v>13</v>
      </c>
      <c r="C15">
        <v>5590095</v>
      </c>
      <c r="D15">
        <v>22</v>
      </c>
      <c r="E15">
        <v>21</v>
      </c>
      <c r="F15">
        <v>1</v>
      </c>
      <c r="G15">
        <v>83.107146852127499</v>
      </c>
      <c r="H15">
        <v>1</v>
      </c>
      <c r="I15">
        <v>25</v>
      </c>
      <c r="K15" t="s">
        <v>729</v>
      </c>
      <c r="L15">
        <v>6</v>
      </c>
      <c r="M15" t="s">
        <v>741</v>
      </c>
      <c r="N15" t="s">
        <v>726</v>
      </c>
      <c r="O15">
        <v>1</v>
      </c>
    </row>
    <row r="16" spans="1:15" x14ac:dyDescent="0.3">
      <c r="A16" t="s">
        <v>728</v>
      </c>
      <c r="B16">
        <v>14</v>
      </c>
      <c r="C16">
        <v>5590095</v>
      </c>
      <c r="D16">
        <v>22</v>
      </c>
      <c r="E16">
        <v>23</v>
      </c>
      <c r="F16">
        <v>1</v>
      </c>
      <c r="G16">
        <v>83.162862771644996</v>
      </c>
      <c r="H16">
        <v>1</v>
      </c>
      <c r="I16">
        <v>25</v>
      </c>
      <c r="K16" t="s">
        <v>729</v>
      </c>
      <c r="L16">
        <v>6</v>
      </c>
      <c r="M16" t="s">
        <v>742</v>
      </c>
      <c r="N16" t="s">
        <v>726</v>
      </c>
      <c r="O16">
        <v>1</v>
      </c>
    </row>
    <row r="17" spans="1:15" x14ac:dyDescent="0.3">
      <c r="A17" t="s">
        <v>728</v>
      </c>
      <c r="B17">
        <v>15</v>
      </c>
      <c r="C17">
        <v>5590095</v>
      </c>
      <c r="D17">
        <v>23</v>
      </c>
      <c r="E17">
        <v>22</v>
      </c>
      <c r="F17">
        <v>1</v>
      </c>
      <c r="G17">
        <v>83.162862771644996</v>
      </c>
      <c r="H17">
        <v>1</v>
      </c>
      <c r="I17">
        <v>25</v>
      </c>
      <c r="K17" t="s">
        <v>729</v>
      </c>
      <c r="L17">
        <v>6</v>
      </c>
      <c r="M17" t="s">
        <v>743</v>
      </c>
      <c r="N17" t="s">
        <v>726</v>
      </c>
      <c r="O17">
        <v>1</v>
      </c>
    </row>
    <row r="18" spans="1:15" x14ac:dyDescent="0.3">
      <c r="A18" t="s">
        <v>728</v>
      </c>
      <c r="B18">
        <v>16</v>
      </c>
      <c r="C18">
        <v>5590095</v>
      </c>
      <c r="D18">
        <v>23</v>
      </c>
      <c r="E18">
        <v>24</v>
      </c>
      <c r="F18">
        <v>1</v>
      </c>
      <c r="G18">
        <v>173.02382146372199</v>
      </c>
      <c r="H18">
        <v>1</v>
      </c>
      <c r="I18">
        <v>25</v>
      </c>
      <c r="K18" t="s">
        <v>729</v>
      </c>
      <c r="L18">
        <v>6</v>
      </c>
      <c r="M18" t="s">
        <v>744</v>
      </c>
      <c r="N18" t="s">
        <v>726</v>
      </c>
      <c r="O18">
        <v>1</v>
      </c>
    </row>
    <row r="19" spans="1:15" x14ac:dyDescent="0.3">
      <c r="A19" t="s">
        <v>728</v>
      </c>
      <c r="B19">
        <v>17</v>
      </c>
      <c r="C19">
        <v>5590095</v>
      </c>
      <c r="D19">
        <v>24</v>
      </c>
      <c r="E19">
        <v>23</v>
      </c>
      <c r="F19">
        <v>1</v>
      </c>
      <c r="G19">
        <v>173.02382146372199</v>
      </c>
      <c r="H19">
        <v>1</v>
      </c>
      <c r="I19">
        <v>25</v>
      </c>
      <c r="K19" t="s">
        <v>729</v>
      </c>
      <c r="L19">
        <v>6</v>
      </c>
      <c r="M19" t="s">
        <v>745</v>
      </c>
      <c r="N19" t="s">
        <v>726</v>
      </c>
      <c r="O19">
        <v>1</v>
      </c>
    </row>
    <row r="20" spans="1:15" x14ac:dyDescent="0.3">
      <c r="A20" t="s">
        <v>746</v>
      </c>
      <c r="B20">
        <v>18</v>
      </c>
      <c r="C20">
        <v>5591077</v>
      </c>
      <c r="D20">
        <v>25</v>
      </c>
      <c r="E20">
        <v>26</v>
      </c>
      <c r="F20">
        <v>1</v>
      </c>
      <c r="G20">
        <v>203.29058089046401</v>
      </c>
      <c r="H20">
        <v>1</v>
      </c>
      <c r="K20" t="s">
        <v>729</v>
      </c>
      <c r="L20">
        <v>6</v>
      </c>
      <c r="M20" t="s">
        <v>747</v>
      </c>
      <c r="N20" t="s">
        <v>726</v>
      </c>
      <c r="O20">
        <v>1</v>
      </c>
    </row>
    <row r="21" spans="1:15" x14ac:dyDescent="0.3">
      <c r="A21" t="s">
        <v>746</v>
      </c>
      <c r="B21">
        <v>19</v>
      </c>
      <c r="C21">
        <v>5591077</v>
      </c>
      <c r="D21">
        <v>26</v>
      </c>
      <c r="E21">
        <v>25</v>
      </c>
      <c r="F21">
        <v>1</v>
      </c>
      <c r="G21">
        <v>203.29058089046401</v>
      </c>
      <c r="H21">
        <v>1</v>
      </c>
      <c r="K21" t="s">
        <v>729</v>
      </c>
      <c r="L21">
        <v>6</v>
      </c>
      <c r="M21" t="s">
        <v>748</v>
      </c>
      <c r="N21" t="s">
        <v>726</v>
      </c>
      <c r="O21">
        <v>1</v>
      </c>
    </row>
    <row r="22" spans="1:15" x14ac:dyDescent="0.3">
      <c r="A22" t="s">
        <v>749</v>
      </c>
      <c r="B22">
        <v>20</v>
      </c>
      <c r="C22">
        <v>5591085</v>
      </c>
      <c r="D22">
        <v>360</v>
      </c>
      <c r="E22">
        <v>1941</v>
      </c>
      <c r="F22">
        <v>1</v>
      </c>
      <c r="G22">
        <v>111.10839090819</v>
      </c>
      <c r="H22">
        <v>1</v>
      </c>
      <c r="I22">
        <v>25</v>
      </c>
      <c r="K22" t="s">
        <v>729</v>
      </c>
      <c r="L22">
        <v>6</v>
      </c>
      <c r="M22" t="s">
        <v>750</v>
      </c>
      <c r="N22" t="s">
        <v>726</v>
      </c>
      <c r="O22">
        <v>1</v>
      </c>
    </row>
    <row r="23" spans="1:15" x14ac:dyDescent="0.3">
      <c r="A23" t="s">
        <v>749</v>
      </c>
      <c r="B23">
        <v>21</v>
      </c>
      <c r="C23">
        <v>5591085</v>
      </c>
      <c r="D23">
        <v>1941</v>
      </c>
      <c r="E23">
        <v>360</v>
      </c>
      <c r="F23">
        <v>1</v>
      </c>
      <c r="G23">
        <v>111.10839090819</v>
      </c>
      <c r="H23">
        <v>1</v>
      </c>
      <c r="I23">
        <v>25</v>
      </c>
      <c r="K23" t="s">
        <v>729</v>
      </c>
      <c r="L23">
        <v>6</v>
      </c>
      <c r="M23" t="s">
        <v>751</v>
      </c>
      <c r="N23" t="s">
        <v>726</v>
      </c>
      <c r="O23">
        <v>1</v>
      </c>
    </row>
    <row r="24" spans="1:15" x14ac:dyDescent="0.3">
      <c r="A24" t="s">
        <v>746</v>
      </c>
      <c r="B24">
        <v>22</v>
      </c>
      <c r="C24">
        <v>5591100</v>
      </c>
      <c r="D24">
        <v>304</v>
      </c>
      <c r="E24">
        <v>30</v>
      </c>
      <c r="F24">
        <v>1</v>
      </c>
      <c r="G24">
        <v>89.7808693289047</v>
      </c>
      <c r="H24">
        <v>1</v>
      </c>
      <c r="I24">
        <v>25</v>
      </c>
      <c r="K24" t="s">
        <v>729</v>
      </c>
      <c r="L24">
        <v>6</v>
      </c>
      <c r="M24" t="s">
        <v>752</v>
      </c>
      <c r="N24" t="s">
        <v>726</v>
      </c>
      <c r="O24">
        <v>1</v>
      </c>
    </row>
    <row r="25" spans="1:15" x14ac:dyDescent="0.3">
      <c r="A25" t="s">
        <v>746</v>
      </c>
      <c r="B25">
        <v>23</v>
      </c>
      <c r="C25">
        <v>5591100</v>
      </c>
      <c r="D25">
        <v>30</v>
      </c>
      <c r="E25">
        <v>304</v>
      </c>
      <c r="F25">
        <v>1</v>
      </c>
      <c r="G25">
        <v>89.7808693289047</v>
      </c>
      <c r="H25">
        <v>1</v>
      </c>
      <c r="I25">
        <v>25</v>
      </c>
      <c r="K25" t="s">
        <v>729</v>
      </c>
      <c r="L25">
        <v>6</v>
      </c>
      <c r="M25" t="s">
        <v>753</v>
      </c>
      <c r="N25" t="s">
        <v>726</v>
      </c>
      <c r="O25">
        <v>1</v>
      </c>
    </row>
    <row r="26" spans="1:15" x14ac:dyDescent="0.3">
      <c r="A26" t="s">
        <v>746</v>
      </c>
      <c r="B26">
        <v>24</v>
      </c>
      <c r="C26">
        <v>5591100</v>
      </c>
      <c r="D26">
        <v>30</v>
      </c>
      <c r="E26">
        <v>194</v>
      </c>
      <c r="F26">
        <v>1</v>
      </c>
      <c r="G26">
        <v>156.809563032326</v>
      </c>
      <c r="H26">
        <v>1</v>
      </c>
      <c r="I26">
        <v>25</v>
      </c>
      <c r="K26" t="s">
        <v>729</v>
      </c>
      <c r="L26">
        <v>6</v>
      </c>
      <c r="M26" t="s">
        <v>754</v>
      </c>
      <c r="N26" t="s">
        <v>726</v>
      </c>
      <c r="O26">
        <v>1</v>
      </c>
    </row>
    <row r="27" spans="1:15" x14ac:dyDescent="0.3">
      <c r="A27" t="s">
        <v>746</v>
      </c>
      <c r="B27">
        <v>25</v>
      </c>
      <c r="C27">
        <v>5591100</v>
      </c>
      <c r="D27">
        <v>194</v>
      </c>
      <c r="E27">
        <v>30</v>
      </c>
      <c r="F27">
        <v>1</v>
      </c>
      <c r="G27">
        <v>156.809563032326</v>
      </c>
      <c r="H27">
        <v>1</v>
      </c>
      <c r="I27">
        <v>25</v>
      </c>
      <c r="K27" t="s">
        <v>729</v>
      </c>
      <c r="L27">
        <v>6</v>
      </c>
      <c r="M27" t="s">
        <v>755</v>
      </c>
      <c r="N27" t="s">
        <v>726</v>
      </c>
      <c r="O27">
        <v>1</v>
      </c>
    </row>
    <row r="28" spans="1:15" x14ac:dyDescent="0.3">
      <c r="A28" t="s">
        <v>756</v>
      </c>
      <c r="B28">
        <v>26</v>
      </c>
      <c r="C28">
        <v>5591429</v>
      </c>
      <c r="D28">
        <v>31</v>
      </c>
      <c r="E28">
        <v>731</v>
      </c>
      <c r="F28">
        <v>1</v>
      </c>
      <c r="G28">
        <v>156.61651441228901</v>
      </c>
      <c r="H28">
        <v>1</v>
      </c>
      <c r="K28" t="s">
        <v>729</v>
      </c>
      <c r="L28">
        <v>6</v>
      </c>
      <c r="M28" t="s">
        <v>757</v>
      </c>
      <c r="N28" t="s">
        <v>726</v>
      </c>
      <c r="O28">
        <v>1</v>
      </c>
    </row>
    <row r="29" spans="1:15" x14ac:dyDescent="0.3">
      <c r="A29" t="s">
        <v>756</v>
      </c>
      <c r="B29">
        <v>27</v>
      </c>
      <c r="C29">
        <v>5591429</v>
      </c>
      <c r="D29">
        <v>731</v>
      </c>
      <c r="E29">
        <v>31</v>
      </c>
      <c r="F29">
        <v>1</v>
      </c>
      <c r="G29">
        <v>156.61651441228901</v>
      </c>
      <c r="H29">
        <v>1</v>
      </c>
      <c r="K29" t="s">
        <v>729</v>
      </c>
      <c r="L29">
        <v>6</v>
      </c>
      <c r="M29" t="s">
        <v>758</v>
      </c>
      <c r="N29" t="s">
        <v>726</v>
      </c>
      <c r="O29">
        <v>1</v>
      </c>
    </row>
    <row r="30" spans="1:15" x14ac:dyDescent="0.3">
      <c r="A30" t="s">
        <v>759</v>
      </c>
      <c r="B30">
        <v>28</v>
      </c>
      <c r="C30">
        <v>5592991</v>
      </c>
      <c r="D30">
        <v>36</v>
      </c>
      <c r="E30">
        <v>37</v>
      </c>
      <c r="F30">
        <v>1</v>
      </c>
      <c r="G30">
        <v>535.80095821386601</v>
      </c>
      <c r="H30">
        <v>1</v>
      </c>
      <c r="I30">
        <v>25</v>
      </c>
      <c r="K30" t="s">
        <v>729</v>
      </c>
      <c r="L30">
        <v>6</v>
      </c>
      <c r="M30" t="s">
        <v>760</v>
      </c>
      <c r="N30" t="s">
        <v>726</v>
      </c>
      <c r="O30">
        <v>1</v>
      </c>
    </row>
    <row r="31" spans="1:15" x14ac:dyDescent="0.3">
      <c r="A31" t="s">
        <v>759</v>
      </c>
      <c r="B31">
        <v>29</v>
      </c>
      <c r="C31">
        <v>5592991</v>
      </c>
      <c r="D31">
        <v>37</v>
      </c>
      <c r="E31">
        <v>36</v>
      </c>
      <c r="F31">
        <v>1</v>
      </c>
      <c r="G31">
        <v>535.80095821386601</v>
      </c>
      <c r="H31">
        <v>1</v>
      </c>
      <c r="I31">
        <v>25</v>
      </c>
      <c r="K31" t="s">
        <v>729</v>
      </c>
      <c r="L31">
        <v>6</v>
      </c>
      <c r="M31" t="s">
        <v>761</v>
      </c>
      <c r="N31" t="s">
        <v>726</v>
      </c>
      <c r="O31">
        <v>1</v>
      </c>
    </row>
    <row r="32" spans="1:15" x14ac:dyDescent="0.3">
      <c r="A32" t="s">
        <v>759</v>
      </c>
      <c r="B32">
        <v>30</v>
      </c>
      <c r="C32">
        <v>5592994</v>
      </c>
      <c r="D32">
        <v>39</v>
      </c>
      <c r="E32">
        <v>40</v>
      </c>
      <c r="F32">
        <v>1</v>
      </c>
      <c r="G32">
        <v>335.39845255172997</v>
      </c>
      <c r="H32">
        <v>1</v>
      </c>
      <c r="K32" t="s">
        <v>729</v>
      </c>
      <c r="L32">
        <v>6</v>
      </c>
      <c r="M32" t="s">
        <v>762</v>
      </c>
      <c r="N32" t="s">
        <v>726</v>
      </c>
      <c r="O32">
        <v>1</v>
      </c>
    </row>
    <row r="33" spans="1:15" x14ac:dyDescent="0.3">
      <c r="A33" t="s">
        <v>759</v>
      </c>
      <c r="B33">
        <v>31</v>
      </c>
      <c r="C33">
        <v>5592994</v>
      </c>
      <c r="D33">
        <v>40</v>
      </c>
      <c r="E33">
        <v>39</v>
      </c>
      <c r="F33">
        <v>1</v>
      </c>
      <c r="G33">
        <v>335.39845255172997</v>
      </c>
      <c r="H33">
        <v>1</v>
      </c>
      <c r="K33" t="s">
        <v>729</v>
      </c>
      <c r="L33">
        <v>6</v>
      </c>
      <c r="M33" t="s">
        <v>763</v>
      </c>
      <c r="N33" t="s">
        <v>726</v>
      </c>
      <c r="O33">
        <v>1</v>
      </c>
    </row>
    <row r="34" spans="1:15" x14ac:dyDescent="0.3">
      <c r="A34" t="s">
        <v>764</v>
      </c>
      <c r="B34">
        <v>32</v>
      </c>
      <c r="C34">
        <v>5593228</v>
      </c>
      <c r="D34">
        <v>673</v>
      </c>
      <c r="E34">
        <v>41</v>
      </c>
      <c r="F34">
        <v>1</v>
      </c>
      <c r="G34">
        <v>91.044896708336495</v>
      </c>
      <c r="H34">
        <v>1</v>
      </c>
      <c r="K34" t="s">
        <v>729</v>
      </c>
      <c r="L34">
        <v>6</v>
      </c>
      <c r="M34" t="s">
        <v>765</v>
      </c>
      <c r="N34" t="s">
        <v>726</v>
      </c>
      <c r="O34">
        <v>1</v>
      </c>
    </row>
    <row r="35" spans="1:15" x14ac:dyDescent="0.3">
      <c r="A35" t="s">
        <v>764</v>
      </c>
      <c r="B35">
        <v>33</v>
      </c>
      <c r="C35">
        <v>5593228</v>
      </c>
      <c r="D35">
        <v>41</v>
      </c>
      <c r="E35">
        <v>673</v>
      </c>
      <c r="F35">
        <v>1</v>
      </c>
      <c r="G35">
        <v>91.044896708336495</v>
      </c>
      <c r="H35">
        <v>1</v>
      </c>
      <c r="K35" t="s">
        <v>729</v>
      </c>
      <c r="L35">
        <v>6</v>
      </c>
      <c r="M35" t="s">
        <v>766</v>
      </c>
      <c r="N35" t="s">
        <v>726</v>
      </c>
      <c r="O35">
        <v>1</v>
      </c>
    </row>
    <row r="36" spans="1:15" x14ac:dyDescent="0.3">
      <c r="A36" t="s">
        <v>767</v>
      </c>
      <c r="B36">
        <v>34</v>
      </c>
      <c r="C36">
        <v>5594960</v>
      </c>
      <c r="D36">
        <v>42</v>
      </c>
      <c r="E36">
        <v>43</v>
      </c>
      <c r="F36">
        <v>1</v>
      </c>
      <c r="G36">
        <v>124.894468282698</v>
      </c>
      <c r="H36">
        <v>1</v>
      </c>
      <c r="K36" t="s">
        <v>729</v>
      </c>
      <c r="L36">
        <v>6</v>
      </c>
      <c r="M36" t="s">
        <v>768</v>
      </c>
      <c r="N36" t="s">
        <v>726</v>
      </c>
      <c r="O36">
        <v>1</v>
      </c>
    </row>
    <row r="37" spans="1:15" x14ac:dyDescent="0.3">
      <c r="A37" t="s">
        <v>767</v>
      </c>
      <c r="B37">
        <v>35</v>
      </c>
      <c r="C37">
        <v>5594960</v>
      </c>
      <c r="D37">
        <v>43</v>
      </c>
      <c r="E37">
        <v>42</v>
      </c>
      <c r="F37">
        <v>1</v>
      </c>
      <c r="G37">
        <v>124.894468282698</v>
      </c>
      <c r="H37">
        <v>1</v>
      </c>
      <c r="K37" t="s">
        <v>729</v>
      </c>
      <c r="L37">
        <v>6</v>
      </c>
      <c r="M37" t="s">
        <v>769</v>
      </c>
      <c r="N37" t="s">
        <v>726</v>
      </c>
      <c r="O37">
        <v>1</v>
      </c>
    </row>
    <row r="38" spans="1:15" x14ac:dyDescent="0.3">
      <c r="A38" t="s">
        <v>767</v>
      </c>
      <c r="B38">
        <v>36</v>
      </c>
      <c r="C38">
        <v>5594960</v>
      </c>
      <c r="D38">
        <v>43</v>
      </c>
      <c r="E38">
        <v>44</v>
      </c>
      <c r="F38">
        <v>1</v>
      </c>
      <c r="G38">
        <v>162.959414877135</v>
      </c>
      <c r="H38">
        <v>1</v>
      </c>
      <c r="K38" t="s">
        <v>729</v>
      </c>
      <c r="L38">
        <v>6</v>
      </c>
      <c r="M38" t="s">
        <v>770</v>
      </c>
      <c r="N38" t="s">
        <v>726</v>
      </c>
      <c r="O38">
        <v>1</v>
      </c>
    </row>
    <row r="39" spans="1:15" x14ac:dyDescent="0.3">
      <c r="A39" t="s">
        <v>767</v>
      </c>
      <c r="B39">
        <v>37</v>
      </c>
      <c r="C39">
        <v>5594960</v>
      </c>
      <c r="D39">
        <v>44</v>
      </c>
      <c r="E39">
        <v>43</v>
      </c>
      <c r="F39">
        <v>1</v>
      </c>
      <c r="G39">
        <v>162.959414877135</v>
      </c>
      <c r="H39">
        <v>1</v>
      </c>
      <c r="K39" t="s">
        <v>729</v>
      </c>
      <c r="L39">
        <v>6</v>
      </c>
      <c r="M39" t="s">
        <v>771</v>
      </c>
      <c r="N39" t="s">
        <v>726</v>
      </c>
      <c r="O39">
        <v>1</v>
      </c>
    </row>
    <row r="40" spans="1:15" x14ac:dyDescent="0.3">
      <c r="A40" t="s">
        <v>767</v>
      </c>
      <c r="B40">
        <v>38</v>
      </c>
      <c r="C40">
        <v>5594960</v>
      </c>
      <c r="D40">
        <v>44</v>
      </c>
      <c r="E40">
        <v>45</v>
      </c>
      <c r="F40">
        <v>1</v>
      </c>
      <c r="G40">
        <v>158.77654325749501</v>
      </c>
      <c r="H40">
        <v>1</v>
      </c>
      <c r="K40" t="s">
        <v>729</v>
      </c>
      <c r="L40">
        <v>6</v>
      </c>
      <c r="M40" t="s">
        <v>772</v>
      </c>
      <c r="N40" t="s">
        <v>726</v>
      </c>
      <c r="O40">
        <v>1</v>
      </c>
    </row>
    <row r="41" spans="1:15" x14ac:dyDescent="0.3">
      <c r="A41" t="s">
        <v>767</v>
      </c>
      <c r="B41">
        <v>39</v>
      </c>
      <c r="C41">
        <v>5594960</v>
      </c>
      <c r="D41">
        <v>45</v>
      </c>
      <c r="E41">
        <v>44</v>
      </c>
      <c r="F41">
        <v>1</v>
      </c>
      <c r="G41">
        <v>158.77654325749501</v>
      </c>
      <c r="H41">
        <v>1</v>
      </c>
      <c r="K41" t="s">
        <v>729</v>
      </c>
      <c r="L41">
        <v>6</v>
      </c>
      <c r="M41" t="s">
        <v>773</v>
      </c>
      <c r="N41" t="s">
        <v>726</v>
      </c>
      <c r="O41">
        <v>1</v>
      </c>
    </row>
    <row r="42" spans="1:15" x14ac:dyDescent="0.3">
      <c r="A42" t="s">
        <v>767</v>
      </c>
      <c r="B42">
        <v>40</v>
      </c>
      <c r="C42">
        <v>5594960</v>
      </c>
      <c r="D42">
        <v>45</v>
      </c>
      <c r="E42">
        <v>46</v>
      </c>
      <c r="F42">
        <v>1</v>
      </c>
      <c r="G42">
        <v>160.64536808329001</v>
      </c>
      <c r="H42">
        <v>1</v>
      </c>
      <c r="K42" t="s">
        <v>729</v>
      </c>
      <c r="L42">
        <v>6</v>
      </c>
      <c r="M42" t="s">
        <v>774</v>
      </c>
      <c r="N42" t="s">
        <v>726</v>
      </c>
      <c r="O42">
        <v>1</v>
      </c>
    </row>
    <row r="43" spans="1:15" x14ac:dyDescent="0.3">
      <c r="A43" t="s">
        <v>767</v>
      </c>
      <c r="B43">
        <v>41</v>
      </c>
      <c r="C43">
        <v>5594960</v>
      </c>
      <c r="D43">
        <v>46</v>
      </c>
      <c r="E43">
        <v>45</v>
      </c>
      <c r="F43">
        <v>1</v>
      </c>
      <c r="G43">
        <v>160.64536808329001</v>
      </c>
      <c r="H43">
        <v>1</v>
      </c>
      <c r="K43" t="s">
        <v>729</v>
      </c>
      <c r="L43">
        <v>6</v>
      </c>
      <c r="M43" t="s">
        <v>775</v>
      </c>
      <c r="N43" t="s">
        <v>726</v>
      </c>
      <c r="O43">
        <v>1</v>
      </c>
    </row>
    <row r="44" spans="1:15" x14ac:dyDescent="0.3">
      <c r="A44" t="s">
        <v>767</v>
      </c>
      <c r="B44">
        <v>42</v>
      </c>
      <c r="C44">
        <v>5594960</v>
      </c>
      <c r="D44">
        <v>46</v>
      </c>
      <c r="E44">
        <v>732</v>
      </c>
      <c r="F44">
        <v>1</v>
      </c>
      <c r="G44">
        <v>154.44381664781301</v>
      </c>
      <c r="H44">
        <v>1</v>
      </c>
      <c r="K44" t="s">
        <v>729</v>
      </c>
      <c r="L44">
        <v>6</v>
      </c>
      <c r="M44" t="s">
        <v>776</v>
      </c>
      <c r="N44" t="s">
        <v>726</v>
      </c>
      <c r="O44">
        <v>1</v>
      </c>
    </row>
    <row r="45" spans="1:15" x14ac:dyDescent="0.3">
      <c r="A45" t="s">
        <v>767</v>
      </c>
      <c r="B45">
        <v>43</v>
      </c>
      <c r="C45">
        <v>5594960</v>
      </c>
      <c r="D45">
        <v>732</v>
      </c>
      <c r="E45">
        <v>46</v>
      </c>
      <c r="F45">
        <v>1</v>
      </c>
      <c r="G45">
        <v>154.44381664781301</v>
      </c>
      <c r="H45">
        <v>1</v>
      </c>
      <c r="K45" t="s">
        <v>729</v>
      </c>
      <c r="L45">
        <v>6</v>
      </c>
      <c r="M45" t="s">
        <v>777</v>
      </c>
      <c r="N45" t="s">
        <v>726</v>
      </c>
      <c r="O45">
        <v>1</v>
      </c>
    </row>
    <row r="46" spans="1:15" x14ac:dyDescent="0.3">
      <c r="A46" t="s">
        <v>778</v>
      </c>
      <c r="B46">
        <v>44</v>
      </c>
      <c r="C46">
        <v>5595748</v>
      </c>
      <c r="D46">
        <v>53</v>
      </c>
      <c r="E46">
        <v>761</v>
      </c>
      <c r="F46">
        <v>1</v>
      </c>
      <c r="G46">
        <v>147.01617815975601</v>
      </c>
      <c r="H46">
        <v>1</v>
      </c>
      <c r="K46" t="s">
        <v>729</v>
      </c>
      <c r="L46">
        <v>6</v>
      </c>
      <c r="M46" t="s">
        <v>779</v>
      </c>
      <c r="N46" t="s">
        <v>726</v>
      </c>
      <c r="O46">
        <v>1</v>
      </c>
    </row>
    <row r="47" spans="1:15" x14ac:dyDescent="0.3">
      <c r="A47" t="s">
        <v>778</v>
      </c>
      <c r="B47">
        <v>45</v>
      </c>
      <c r="C47">
        <v>5595748</v>
      </c>
      <c r="D47">
        <v>761</v>
      </c>
      <c r="E47">
        <v>53</v>
      </c>
      <c r="F47">
        <v>1</v>
      </c>
      <c r="G47">
        <v>147.01617815975601</v>
      </c>
      <c r="H47">
        <v>1</v>
      </c>
      <c r="K47" t="s">
        <v>729</v>
      </c>
      <c r="L47">
        <v>6</v>
      </c>
      <c r="M47" t="s">
        <v>780</v>
      </c>
      <c r="N47" t="s">
        <v>726</v>
      </c>
      <c r="O47">
        <v>1</v>
      </c>
    </row>
    <row r="48" spans="1:15" x14ac:dyDescent="0.3">
      <c r="A48" t="s">
        <v>781</v>
      </c>
      <c r="B48">
        <v>46</v>
      </c>
      <c r="C48">
        <v>5597447</v>
      </c>
      <c r="D48">
        <v>656</v>
      </c>
      <c r="E48">
        <v>59</v>
      </c>
      <c r="F48">
        <v>1</v>
      </c>
      <c r="G48">
        <v>99.199583419645705</v>
      </c>
      <c r="H48">
        <v>1</v>
      </c>
      <c r="K48" t="s">
        <v>729</v>
      </c>
      <c r="L48">
        <v>6</v>
      </c>
      <c r="M48" t="s">
        <v>782</v>
      </c>
      <c r="N48" t="s">
        <v>726</v>
      </c>
      <c r="O48">
        <v>1</v>
      </c>
    </row>
    <row r="49" spans="1:15" x14ac:dyDescent="0.3">
      <c r="A49" t="s">
        <v>781</v>
      </c>
      <c r="B49">
        <v>47</v>
      </c>
      <c r="C49">
        <v>5597447</v>
      </c>
      <c r="D49">
        <v>59</v>
      </c>
      <c r="E49">
        <v>656</v>
      </c>
      <c r="F49">
        <v>1</v>
      </c>
      <c r="G49">
        <v>99.199583419645705</v>
      </c>
      <c r="H49">
        <v>1</v>
      </c>
      <c r="K49" t="s">
        <v>729</v>
      </c>
      <c r="L49">
        <v>6</v>
      </c>
      <c r="M49" t="s">
        <v>783</v>
      </c>
      <c r="N49" t="s">
        <v>726</v>
      </c>
      <c r="O49">
        <v>1</v>
      </c>
    </row>
    <row r="50" spans="1:15" x14ac:dyDescent="0.3">
      <c r="A50" t="s">
        <v>781</v>
      </c>
      <c r="B50">
        <v>48</v>
      </c>
      <c r="C50">
        <v>5597447</v>
      </c>
      <c r="D50">
        <v>59</v>
      </c>
      <c r="E50">
        <v>390</v>
      </c>
      <c r="F50">
        <v>1</v>
      </c>
      <c r="G50">
        <v>97.529599471698504</v>
      </c>
      <c r="H50">
        <v>1</v>
      </c>
      <c r="K50" t="s">
        <v>729</v>
      </c>
      <c r="L50">
        <v>6</v>
      </c>
      <c r="M50" t="s">
        <v>784</v>
      </c>
      <c r="N50" t="s">
        <v>726</v>
      </c>
      <c r="O50">
        <v>1</v>
      </c>
    </row>
    <row r="51" spans="1:15" x14ac:dyDescent="0.3">
      <c r="A51" t="s">
        <v>781</v>
      </c>
      <c r="B51">
        <v>49</v>
      </c>
      <c r="C51">
        <v>5597447</v>
      </c>
      <c r="D51">
        <v>390</v>
      </c>
      <c r="E51">
        <v>59</v>
      </c>
      <c r="F51">
        <v>1</v>
      </c>
      <c r="G51">
        <v>97.529599471698504</v>
      </c>
      <c r="H51">
        <v>1</v>
      </c>
      <c r="K51" t="s">
        <v>729</v>
      </c>
      <c r="L51">
        <v>6</v>
      </c>
      <c r="M51" t="s">
        <v>785</v>
      </c>
      <c r="N51" t="s">
        <v>726</v>
      </c>
      <c r="O51">
        <v>1</v>
      </c>
    </row>
    <row r="52" spans="1:15" x14ac:dyDescent="0.3">
      <c r="A52" t="s">
        <v>786</v>
      </c>
      <c r="B52">
        <v>50</v>
      </c>
      <c r="C52">
        <v>5597818</v>
      </c>
      <c r="D52">
        <v>62</v>
      </c>
      <c r="E52">
        <v>63</v>
      </c>
      <c r="F52">
        <v>1</v>
      </c>
      <c r="G52">
        <v>86.074523850462995</v>
      </c>
      <c r="H52">
        <v>1</v>
      </c>
      <c r="K52" t="s">
        <v>729</v>
      </c>
      <c r="L52">
        <v>6</v>
      </c>
      <c r="M52" t="s">
        <v>787</v>
      </c>
      <c r="N52" t="s">
        <v>726</v>
      </c>
      <c r="O52">
        <v>1</v>
      </c>
    </row>
    <row r="53" spans="1:15" x14ac:dyDescent="0.3">
      <c r="A53" t="s">
        <v>786</v>
      </c>
      <c r="B53">
        <v>51</v>
      </c>
      <c r="C53">
        <v>5597818</v>
      </c>
      <c r="D53">
        <v>63</v>
      </c>
      <c r="E53">
        <v>62</v>
      </c>
      <c r="F53">
        <v>1</v>
      </c>
      <c r="G53">
        <v>86.074523850462995</v>
      </c>
      <c r="H53">
        <v>1</v>
      </c>
      <c r="K53" t="s">
        <v>729</v>
      </c>
      <c r="L53">
        <v>6</v>
      </c>
      <c r="M53" t="s">
        <v>788</v>
      </c>
      <c r="N53" t="s">
        <v>726</v>
      </c>
      <c r="O53">
        <v>1</v>
      </c>
    </row>
    <row r="54" spans="1:15" x14ac:dyDescent="0.3">
      <c r="A54" t="s">
        <v>789</v>
      </c>
      <c r="B54">
        <v>52</v>
      </c>
      <c r="C54">
        <v>5598295</v>
      </c>
      <c r="D54">
        <v>18</v>
      </c>
      <c r="E54">
        <v>762</v>
      </c>
      <c r="F54">
        <v>1</v>
      </c>
      <c r="G54">
        <v>103.445513626646</v>
      </c>
      <c r="H54">
        <v>1</v>
      </c>
      <c r="K54" t="s">
        <v>729</v>
      </c>
      <c r="L54">
        <v>6</v>
      </c>
      <c r="M54" t="s">
        <v>790</v>
      </c>
      <c r="N54" t="s">
        <v>726</v>
      </c>
      <c r="O54">
        <v>1</v>
      </c>
    </row>
    <row r="55" spans="1:15" x14ac:dyDescent="0.3">
      <c r="A55" t="s">
        <v>789</v>
      </c>
      <c r="B55">
        <v>53</v>
      </c>
      <c r="C55">
        <v>5598295</v>
      </c>
      <c r="D55">
        <v>762</v>
      </c>
      <c r="E55">
        <v>18</v>
      </c>
      <c r="F55">
        <v>1</v>
      </c>
      <c r="G55">
        <v>103.445513626646</v>
      </c>
      <c r="H55">
        <v>1</v>
      </c>
      <c r="K55" t="s">
        <v>729</v>
      </c>
      <c r="L55">
        <v>6</v>
      </c>
      <c r="M55" t="s">
        <v>791</v>
      </c>
      <c r="N55" t="s">
        <v>726</v>
      </c>
      <c r="O55">
        <v>1</v>
      </c>
    </row>
    <row r="56" spans="1:15" x14ac:dyDescent="0.3">
      <c r="A56" t="s">
        <v>792</v>
      </c>
      <c r="B56">
        <v>54</v>
      </c>
      <c r="C56">
        <v>5600077</v>
      </c>
      <c r="D56">
        <v>64</v>
      </c>
      <c r="E56">
        <v>65</v>
      </c>
      <c r="F56">
        <v>1</v>
      </c>
      <c r="G56">
        <v>164.356606597058</v>
      </c>
      <c r="H56">
        <v>1</v>
      </c>
      <c r="K56" t="s">
        <v>729</v>
      </c>
      <c r="L56">
        <v>6</v>
      </c>
      <c r="M56" t="s">
        <v>793</v>
      </c>
      <c r="N56" t="s">
        <v>726</v>
      </c>
      <c r="O56">
        <v>1</v>
      </c>
    </row>
    <row r="57" spans="1:15" x14ac:dyDescent="0.3">
      <c r="A57" t="s">
        <v>792</v>
      </c>
      <c r="B57">
        <v>55</v>
      </c>
      <c r="C57">
        <v>5600077</v>
      </c>
      <c r="D57">
        <v>65</v>
      </c>
      <c r="E57">
        <v>64</v>
      </c>
      <c r="F57">
        <v>1</v>
      </c>
      <c r="G57">
        <v>164.356606597058</v>
      </c>
      <c r="H57">
        <v>1</v>
      </c>
      <c r="K57" t="s">
        <v>729</v>
      </c>
      <c r="L57">
        <v>6</v>
      </c>
      <c r="M57" t="s">
        <v>794</v>
      </c>
      <c r="N57" t="s">
        <v>726</v>
      </c>
      <c r="O57">
        <v>1</v>
      </c>
    </row>
    <row r="58" spans="1:15" x14ac:dyDescent="0.3">
      <c r="A58" t="s">
        <v>792</v>
      </c>
      <c r="B58">
        <v>56</v>
      </c>
      <c r="C58">
        <v>5600077</v>
      </c>
      <c r="D58">
        <v>65</v>
      </c>
      <c r="E58">
        <v>66</v>
      </c>
      <c r="F58">
        <v>1</v>
      </c>
      <c r="G58">
        <v>129.00755894980199</v>
      </c>
      <c r="H58">
        <v>1</v>
      </c>
      <c r="K58" t="s">
        <v>729</v>
      </c>
      <c r="L58">
        <v>6</v>
      </c>
      <c r="M58" t="s">
        <v>795</v>
      </c>
      <c r="N58" t="s">
        <v>726</v>
      </c>
      <c r="O58">
        <v>1</v>
      </c>
    </row>
    <row r="59" spans="1:15" x14ac:dyDescent="0.3">
      <c r="A59" t="s">
        <v>792</v>
      </c>
      <c r="B59">
        <v>57</v>
      </c>
      <c r="C59">
        <v>5600077</v>
      </c>
      <c r="D59">
        <v>66</v>
      </c>
      <c r="E59">
        <v>65</v>
      </c>
      <c r="F59">
        <v>1</v>
      </c>
      <c r="G59">
        <v>129.00755894980199</v>
      </c>
      <c r="H59">
        <v>1</v>
      </c>
      <c r="K59" t="s">
        <v>729</v>
      </c>
      <c r="L59">
        <v>6</v>
      </c>
      <c r="M59" t="s">
        <v>796</v>
      </c>
      <c r="N59" t="s">
        <v>726</v>
      </c>
      <c r="O59">
        <v>1</v>
      </c>
    </row>
    <row r="60" spans="1:15" x14ac:dyDescent="0.3">
      <c r="A60" t="s">
        <v>792</v>
      </c>
      <c r="B60">
        <v>58</v>
      </c>
      <c r="C60">
        <v>5600077</v>
      </c>
      <c r="D60">
        <v>66</v>
      </c>
      <c r="E60">
        <v>67</v>
      </c>
      <c r="F60">
        <v>1</v>
      </c>
      <c r="G60">
        <v>152.48132487696299</v>
      </c>
      <c r="H60">
        <v>1</v>
      </c>
      <c r="K60" t="s">
        <v>729</v>
      </c>
      <c r="L60">
        <v>6</v>
      </c>
      <c r="M60" t="s">
        <v>797</v>
      </c>
      <c r="N60" t="s">
        <v>726</v>
      </c>
      <c r="O60">
        <v>1</v>
      </c>
    </row>
    <row r="61" spans="1:15" x14ac:dyDescent="0.3">
      <c r="A61" t="s">
        <v>792</v>
      </c>
      <c r="B61">
        <v>59</v>
      </c>
      <c r="C61">
        <v>5600077</v>
      </c>
      <c r="D61">
        <v>67</v>
      </c>
      <c r="E61">
        <v>66</v>
      </c>
      <c r="F61">
        <v>1</v>
      </c>
      <c r="G61">
        <v>152.48132487696299</v>
      </c>
      <c r="H61">
        <v>1</v>
      </c>
      <c r="K61" t="s">
        <v>729</v>
      </c>
      <c r="L61">
        <v>6</v>
      </c>
      <c r="M61" t="s">
        <v>798</v>
      </c>
      <c r="N61" t="s">
        <v>726</v>
      </c>
      <c r="O61">
        <v>1</v>
      </c>
    </row>
    <row r="62" spans="1:15" x14ac:dyDescent="0.3">
      <c r="A62" t="s">
        <v>792</v>
      </c>
      <c r="B62">
        <v>60</v>
      </c>
      <c r="C62">
        <v>5600077</v>
      </c>
      <c r="D62">
        <v>67</v>
      </c>
      <c r="E62">
        <v>68</v>
      </c>
      <c r="F62">
        <v>1</v>
      </c>
      <c r="G62">
        <v>394.03269082468699</v>
      </c>
      <c r="H62">
        <v>1</v>
      </c>
      <c r="K62" t="s">
        <v>729</v>
      </c>
      <c r="L62">
        <v>6</v>
      </c>
      <c r="M62" t="s">
        <v>799</v>
      </c>
      <c r="N62" t="s">
        <v>726</v>
      </c>
      <c r="O62">
        <v>1</v>
      </c>
    </row>
    <row r="63" spans="1:15" x14ac:dyDescent="0.3">
      <c r="A63" t="s">
        <v>792</v>
      </c>
      <c r="B63">
        <v>61</v>
      </c>
      <c r="C63">
        <v>5600077</v>
      </c>
      <c r="D63">
        <v>68</v>
      </c>
      <c r="E63">
        <v>67</v>
      </c>
      <c r="F63">
        <v>1</v>
      </c>
      <c r="G63">
        <v>394.03269082468699</v>
      </c>
      <c r="H63">
        <v>1</v>
      </c>
      <c r="K63" t="s">
        <v>729</v>
      </c>
      <c r="L63">
        <v>6</v>
      </c>
      <c r="M63" t="s">
        <v>800</v>
      </c>
      <c r="N63" t="s">
        <v>726</v>
      </c>
      <c r="O63">
        <v>1</v>
      </c>
    </row>
    <row r="64" spans="1:15" x14ac:dyDescent="0.3">
      <c r="A64" t="s">
        <v>801</v>
      </c>
      <c r="B64">
        <v>62</v>
      </c>
      <c r="C64">
        <v>5600278</v>
      </c>
      <c r="D64">
        <v>71</v>
      </c>
      <c r="E64">
        <v>368</v>
      </c>
      <c r="F64">
        <v>1</v>
      </c>
      <c r="G64">
        <v>63.121254825541698</v>
      </c>
      <c r="H64">
        <v>1</v>
      </c>
      <c r="K64" t="s">
        <v>729</v>
      </c>
      <c r="L64">
        <v>6</v>
      </c>
      <c r="M64" t="s">
        <v>802</v>
      </c>
      <c r="N64" t="s">
        <v>726</v>
      </c>
      <c r="O64">
        <v>1</v>
      </c>
    </row>
    <row r="65" spans="1:15" x14ac:dyDescent="0.3">
      <c r="A65" t="s">
        <v>801</v>
      </c>
      <c r="B65">
        <v>63</v>
      </c>
      <c r="C65">
        <v>5600278</v>
      </c>
      <c r="D65">
        <v>368</v>
      </c>
      <c r="E65">
        <v>71</v>
      </c>
      <c r="F65">
        <v>1</v>
      </c>
      <c r="G65">
        <v>63.121254825541698</v>
      </c>
      <c r="H65">
        <v>1</v>
      </c>
      <c r="K65" t="s">
        <v>729</v>
      </c>
      <c r="L65">
        <v>6</v>
      </c>
      <c r="M65" t="s">
        <v>803</v>
      </c>
      <c r="N65" t="s">
        <v>726</v>
      </c>
      <c r="O65">
        <v>1</v>
      </c>
    </row>
    <row r="66" spans="1:15" x14ac:dyDescent="0.3">
      <c r="A66" t="s">
        <v>801</v>
      </c>
      <c r="B66">
        <v>64</v>
      </c>
      <c r="C66">
        <v>5600278</v>
      </c>
      <c r="D66">
        <v>368</v>
      </c>
      <c r="E66">
        <v>367</v>
      </c>
      <c r="F66">
        <v>1</v>
      </c>
      <c r="G66">
        <v>69.332909672854797</v>
      </c>
      <c r="H66">
        <v>1</v>
      </c>
      <c r="K66" t="s">
        <v>729</v>
      </c>
      <c r="L66">
        <v>6</v>
      </c>
      <c r="M66" t="s">
        <v>804</v>
      </c>
      <c r="N66" t="s">
        <v>726</v>
      </c>
      <c r="O66">
        <v>1</v>
      </c>
    </row>
    <row r="67" spans="1:15" x14ac:dyDescent="0.3">
      <c r="A67" t="s">
        <v>801</v>
      </c>
      <c r="B67">
        <v>65</v>
      </c>
      <c r="C67">
        <v>5600278</v>
      </c>
      <c r="D67">
        <v>367</v>
      </c>
      <c r="E67">
        <v>368</v>
      </c>
      <c r="F67">
        <v>1</v>
      </c>
      <c r="G67">
        <v>69.332909672854797</v>
      </c>
      <c r="H67">
        <v>1</v>
      </c>
      <c r="K67" t="s">
        <v>729</v>
      </c>
      <c r="L67">
        <v>6</v>
      </c>
      <c r="M67" t="s">
        <v>805</v>
      </c>
      <c r="N67" t="s">
        <v>726</v>
      </c>
      <c r="O67">
        <v>1</v>
      </c>
    </row>
    <row r="68" spans="1:15" x14ac:dyDescent="0.3">
      <c r="A68" t="s">
        <v>801</v>
      </c>
      <c r="B68">
        <v>66</v>
      </c>
      <c r="C68">
        <v>5600278</v>
      </c>
      <c r="D68">
        <v>367</v>
      </c>
      <c r="E68">
        <v>72</v>
      </c>
      <c r="F68">
        <v>1</v>
      </c>
      <c r="G68">
        <v>37.617574623993796</v>
      </c>
      <c r="H68">
        <v>1</v>
      </c>
      <c r="K68" t="s">
        <v>729</v>
      </c>
      <c r="L68">
        <v>6</v>
      </c>
      <c r="M68" t="s">
        <v>806</v>
      </c>
      <c r="N68" t="s">
        <v>726</v>
      </c>
      <c r="O68">
        <v>1</v>
      </c>
    </row>
    <row r="69" spans="1:15" x14ac:dyDescent="0.3">
      <c r="A69" t="s">
        <v>801</v>
      </c>
      <c r="B69">
        <v>67</v>
      </c>
      <c r="C69">
        <v>5600278</v>
      </c>
      <c r="D69">
        <v>72</v>
      </c>
      <c r="E69">
        <v>367</v>
      </c>
      <c r="F69">
        <v>1</v>
      </c>
      <c r="G69">
        <v>37.617574623993796</v>
      </c>
      <c r="H69">
        <v>1</v>
      </c>
      <c r="K69" t="s">
        <v>729</v>
      </c>
      <c r="L69">
        <v>6</v>
      </c>
      <c r="M69" t="s">
        <v>807</v>
      </c>
      <c r="N69" t="s">
        <v>726</v>
      </c>
      <c r="O69">
        <v>1</v>
      </c>
    </row>
    <row r="70" spans="1:15" x14ac:dyDescent="0.3">
      <c r="A70" t="s">
        <v>801</v>
      </c>
      <c r="B70">
        <v>68</v>
      </c>
      <c r="C70">
        <v>5600284</v>
      </c>
      <c r="D70">
        <v>428</v>
      </c>
      <c r="E70">
        <v>763</v>
      </c>
      <c r="F70">
        <v>1</v>
      </c>
      <c r="G70">
        <v>118.623062177669</v>
      </c>
      <c r="H70">
        <v>1</v>
      </c>
      <c r="K70" t="s">
        <v>729</v>
      </c>
      <c r="L70">
        <v>6</v>
      </c>
      <c r="M70" t="s">
        <v>808</v>
      </c>
      <c r="N70" t="s">
        <v>726</v>
      </c>
      <c r="O70">
        <v>1</v>
      </c>
    </row>
    <row r="71" spans="1:15" x14ac:dyDescent="0.3">
      <c r="A71" t="s">
        <v>801</v>
      </c>
      <c r="B71">
        <v>69</v>
      </c>
      <c r="C71">
        <v>5600284</v>
      </c>
      <c r="D71">
        <v>763</v>
      </c>
      <c r="E71">
        <v>428</v>
      </c>
      <c r="F71">
        <v>1</v>
      </c>
      <c r="G71">
        <v>118.623062177669</v>
      </c>
      <c r="H71">
        <v>1</v>
      </c>
      <c r="K71" t="s">
        <v>729</v>
      </c>
      <c r="L71">
        <v>6</v>
      </c>
      <c r="M71" t="s">
        <v>809</v>
      </c>
      <c r="N71" t="s">
        <v>726</v>
      </c>
      <c r="O71">
        <v>1</v>
      </c>
    </row>
    <row r="72" spans="1:15" x14ac:dyDescent="0.3">
      <c r="A72" t="s">
        <v>810</v>
      </c>
      <c r="B72">
        <v>70</v>
      </c>
      <c r="C72">
        <v>5601059</v>
      </c>
      <c r="D72">
        <v>19</v>
      </c>
      <c r="E72">
        <v>764</v>
      </c>
      <c r="F72">
        <v>1</v>
      </c>
      <c r="G72">
        <v>103.853991045889</v>
      </c>
      <c r="H72">
        <v>1</v>
      </c>
      <c r="K72" t="s">
        <v>729</v>
      </c>
      <c r="L72">
        <v>6</v>
      </c>
      <c r="M72" t="s">
        <v>811</v>
      </c>
      <c r="N72" t="s">
        <v>726</v>
      </c>
      <c r="O72">
        <v>1</v>
      </c>
    </row>
    <row r="73" spans="1:15" x14ac:dyDescent="0.3">
      <c r="A73" t="s">
        <v>810</v>
      </c>
      <c r="B73">
        <v>71</v>
      </c>
      <c r="C73">
        <v>5601059</v>
      </c>
      <c r="D73">
        <v>764</v>
      </c>
      <c r="E73">
        <v>19</v>
      </c>
      <c r="F73">
        <v>1</v>
      </c>
      <c r="G73">
        <v>103.853991045889</v>
      </c>
      <c r="H73">
        <v>1</v>
      </c>
      <c r="K73" t="s">
        <v>729</v>
      </c>
      <c r="L73">
        <v>6</v>
      </c>
      <c r="M73" t="s">
        <v>812</v>
      </c>
      <c r="N73" t="s">
        <v>726</v>
      </c>
      <c r="O73">
        <v>1</v>
      </c>
    </row>
    <row r="74" spans="1:15" x14ac:dyDescent="0.3">
      <c r="A74" t="s">
        <v>813</v>
      </c>
      <c r="B74">
        <v>72</v>
      </c>
      <c r="C74">
        <v>5601657</v>
      </c>
      <c r="D74">
        <v>74</v>
      </c>
      <c r="E74">
        <v>413</v>
      </c>
      <c r="F74">
        <v>1</v>
      </c>
      <c r="G74">
        <v>5.9737857512519703</v>
      </c>
      <c r="H74">
        <v>1</v>
      </c>
      <c r="I74">
        <v>25</v>
      </c>
      <c r="K74" t="s">
        <v>729</v>
      </c>
      <c r="L74">
        <v>6</v>
      </c>
      <c r="M74" t="s">
        <v>814</v>
      </c>
      <c r="N74" t="s">
        <v>726</v>
      </c>
      <c r="O74">
        <v>1</v>
      </c>
    </row>
    <row r="75" spans="1:15" x14ac:dyDescent="0.3">
      <c r="A75" t="s">
        <v>813</v>
      </c>
      <c r="B75">
        <v>73</v>
      </c>
      <c r="C75">
        <v>5601657</v>
      </c>
      <c r="D75">
        <v>413</v>
      </c>
      <c r="E75">
        <v>74</v>
      </c>
      <c r="F75">
        <v>1</v>
      </c>
      <c r="G75">
        <v>5.9737857512519703</v>
      </c>
      <c r="H75">
        <v>1</v>
      </c>
      <c r="I75">
        <v>25</v>
      </c>
      <c r="K75" t="s">
        <v>729</v>
      </c>
      <c r="L75">
        <v>6</v>
      </c>
      <c r="M75" t="s">
        <v>815</v>
      </c>
      <c r="N75" t="s">
        <v>726</v>
      </c>
      <c r="O75">
        <v>1</v>
      </c>
    </row>
    <row r="76" spans="1:15" x14ac:dyDescent="0.3">
      <c r="A76" t="s">
        <v>813</v>
      </c>
      <c r="B76">
        <v>74</v>
      </c>
      <c r="C76">
        <v>5601657</v>
      </c>
      <c r="D76">
        <v>413</v>
      </c>
      <c r="E76">
        <v>36</v>
      </c>
      <c r="F76">
        <v>1</v>
      </c>
      <c r="G76">
        <v>46.609169537767997</v>
      </c>
      <c r="H76">
        <v>1</v>
      </c>
      <c r="I76">
        <v>25</v>
      </c>
      <c r="K76" t="s">
        <v>729</v>
      </c>
      <c r="L76">
        <v>6</v>
      </c>
      <c r="M76" t="s">
        <v>816</v>
      </c>
      <c r="N76" t="s">
        <v>726</v>
      </c>
      <c r="O76">
        <v>1</v>
      </c>
    </row>
    <row r="77" spans="1:15" x14ac:dyDescent="0.3">
      <c r="A77" t="s">
        <v>813</v>
      </c>
      <c r="B77">
        <v>75</v>
      </c>
      <c r="C77">
        <v>5601657</v>
      </c>
      <c r="D77">
        <v>36</v>
      </c>
      <c r="E77">
        <v>413</v>
      </c>
      <c r="F77">
        <v>1</v>
      </c>
      <c r="G77">
        <v>46.609169537767997</v>
      </c>
      <c r="H77">
        <v>1</v>
      </c>
      <c r="I77">
        <v>25</v>
      </c>
      <c r="K77" t="s">
        <v>729</v>
      </c>
      <c r="L77">
        <v>6</v>
      </c>
      <c r="M77" t="s">
        <v>817</v>
      </c>
      <c r="N77" t="s">
        <v>726</v>
      </c>
      <c r="O77">
        <v>1</v>
      </c>
    </row>
    <row r="78" spans="1:15" x14ac:dyDescent="0.3">
      <c r="A78" t="s">
        <v>813</v>
      </c>
      <c r="B78">
        <v>76</v>
      </c>
      <c r="C78">
        <v>5601657</v>
      </c>
      <c r="D78">
        <v>36</v>
      </c>
      <c r="E78">
        <v>75</v>
      </c>
      <c r="F78">
        <v>1</v>
      </c>
      <c r="G78">
        <v>102.363339438493</v>
      </c>
      <c r="H78">
        <v>1</v>
      </c>
      <c r="I78">
        <v>25</v>
      </c>
      <c r="K78" t="s">
        <v>729</v>
      </c>
      <c r="L78">
        <v>6</v>
      </c>
      <c r="M78" t="s">
        <v>818</v>
      </c>
      <c r="N78" t="s">
        <v>726</v>
      </c>
      <c r="O78">
        <v>1</v>
      </c>
    </row>
    <row r="79" spans="1:15" x14ac:dyDescent="0.3">
      <c r="A79" t="s">
        <v>813</v>
      </c>
      <c r="B79">
        <v>77</v>
      </c>
      <c r="C79">
        <v>5601657</v>
      </c>
      <c r="D79">
        <v>75</v>
      </c>
      <c r="E79">
        <v>36</v>
      </c>
      <c r="F79">
        <v>1</v>
      </c>
      <c r="G79">
        <v>102.363339438493</v>
      </c>
      <c r="H79">
        <v>1</v>
      </c>
      <c r="I79">
        <v>25</v>
      </c>
      <c r="K79" t="s">
        <v>729</v>
      </c>
      <c r="L79">
        <v>6</v>
      </c>
      <c r="M79" t="s">
        <v>819</v>
      </c>
      <c r="N79" t="s">
        <v>726</v>
      </c>
      <c r="O79">
        <v>1</v>
      </c>
    </row>
    <row r="80" spans="1:15" x14ac:dyDescent="0.3">
      <c r="A80" t="s">
        <v>813</v>
      </c>
      <c r="B80">
        <v>78</v>
      </c>
      <c r="C80">
        <v>5601657</v>
      </c>
      <c r="D80">
        <v>75</v>
      </c>
      <c r="E80">
        <v>37</v>
      </c>
      <c r="F80">
        <v>1</v>
      </c>
      <c r="G80">
        <v>308.71535518390402</v>
      </c>
      <c r="H80">
        <v>1</v>
      </c>
      <c r="I80">
        <v>25</v>
      </c>
      <c r="K80" t="s">
        <v>729</v>
      </c>
      <c r="L80">
        <v>6</v>
      </c>
      <c r="M80" t="s">
        <v>820</v>
      </c>
      <c r="N80" t="s">
        <v>726</v>
      </c>
      <c r="O80">
        <v>1</v>
      </c>
    </row>
    <row r="81" spans="1:15" x14ac:dyDescent="0.3">
      <c r="A81" t="s">
        <v>813</v>
      </c>
      <c r="B81">
        <v>79</v>
      </c>
      <c r="C81">
        <v>5601657</v>
      </c>
      <c r="D81">
        <v>37</v>
      </c>
      <c r="E81">
        <v>75</v>
      </c>
      <c r="F81">
        <v>1</v>
      </c>
      <c r="G81">
        <v>308.71535518390402</v>
      </c>
      <c r="H81">
        <v>1</v>
      </c>
      <c r="I81">
        <v>25</v>
      </c>
      <c r="K81" t="s">
        <v>729</v>
      </c>
      <c r="L81">
        <v>6</v>
      </c>
      <c r="M81" t="s">
        <v>821</v>
      </c>
      <c r="N81" t="s">
        <v>726</v>
      </c>
      <c r="O81">
        <v>1</v>
      </c>
    </row>
    <row r="82" spans="1:15" x14ac:dyDescent="0.3">
      <c r="A82" t="s">
        <v>822</v>
      </c>
      <c r="B82">
        <v>80</v>
      </c>
      <c r="C82">
        <v>5601908</v>
      </c>
      <c r="D82">
        <v>76</v>
      </c>
      <c r="E82">
        <v>765</v>
      </c>
      <c r="F82">
        <v>1</v>
      </c>
      <c r="G82">
        <v>124.997823750912</v>
      </c>
      <c r="H82">
        <v>1</v>
      </c>
      <c r="K82" t="s">
        <v>729</v>
      </c>
      <c r="L82">
        <v>6</v>
      </c>
      <c r="M82" t="s">
        <v>823</v>
      </c>
      <c r="N82" t="s">
        <v>726</v>
      </c>
      <c r="O82">
        <v>1</v>
      </c>
    </row>
    <row r="83" spans="1:15" x14ac:dyDescent="0.3">
      <c r="A83" t="s">
        <v>822</v>
      </c>
      <c r="B83">
        <v>81</v>
      </c>
      <c r="C83">
        <v>5601908</v>
      </c>
      <c r="D83">
        <v>765</v>
      </c>
      <c r="E83">
        <v>76</v>
      </c>
      <c r="F83">
        <v>1</v>
      </c>
      <c r="G83">
        <v>124.997823750912</v>
      </c>
      <c r="H83">
        <v>1</v>
      </c>
      <c r="K83" t="s">
        <v>729</v>
      </c>
      <c r="L83">
        <v>6</v>
      </c>
      <c r="M83" t="s">
        <v>824</v>
      </c>
      <c r="N83" t="s">
        <v>726</v>
      </c>
      <c r="O83">
        <v>1</v>
      </c>
    </row>
    <row r="84" spans="1:15" x14ac:dyDescent="0.3">
      <c r="A84" t="s">
        <v>822</v>
      </c>
      <c r="B84">
        <v>82</v>
      </c>
      <c r="C84">
        <v>5601909</v>
      </c>
      <c r="D84">
        <v>77</v>
      </c>
      <c r="E84">
        <v>78</v>
      </c>
      <c r="F84">
        <v>1</v>
      </c>
      <c r="G84">
        <v>77.562474292269499</v>
      </c>
      <c r="H84">
        <v>1</v>
      </c>
      <c r="K84" t="s">
        <v>729</v>
      </c>
      <c r="L84">
        <v>6</v>
      </c>
      <c r="M84" t="s">
        <v>825</v>
      </c>
      <c r="N84" t="s">
        <v>726</v>
      </c>
      <c r="O84">
        <v>1</v>
      </c>
    </row>
    <row r="85" spans="1:15" x14ac:dyDescent="0.3">
      <c r="A85" t="s">
        <v>822</v>
      </c>
      <c r="B85">
        <v>83</v>
      </c>
      <c r="C85">
        <v>5601909</v>
      </c>
      <c r="D85">
        <v>78</v>
      </c>
      <c r="E85">
        <v>77</v>
      </c>
      <c r="F85">
        <v>1</v>
      </c>
      <c r="G85">
        <v>77.562474292269499</v>
      </c>
      <c r="H85">
        <v>1</v>
      </c>
      <c r="K85" t="s">
        <v>729</v>
      </c>
      <c r="L85">
        <v>6</v>
      </c>
      <c r="M85" t="s">
        <v>826</v>
      </c>
      <c r="N85" t="s">
        <v>726</v>
      </c>
      <c r="O85">
        <v>1</v>
      </c>
    </row>
    <row r="86" spans="1:15" x14ac:dyDescent="0.3">
      <c r="A86" t="s">
        <v>827</v>
      </c>
      <c r="B86">
        <v>84</v>
      </c>
      <c r="C86">
        <v>5602753</v>
      </c>
      <c r="D86">
        <v>1955</v>
      </c>
      <c r="E86">
        <v>201</v>
      </c>
      <c r="F86">
        <v>1</v>
      </c>
      <c r="G86">
        <v>169.32949551923301</v>
      </c>
      <c r="H86">
        <v>2</v>
      </c>
      <c r="K86" t="s">
        <v>724</v>
      </c>
      <c r="L86">
        <v>3</v>
      </c>
      <c r="M86" t="s">
        <v>828</v>
      </c>
      <c r="N86" t="s">
        <v>726</v>
      </c>
      <c r="O86">
        <v>0</v>
      </c>
    </row>
    <row r="87" spans="1:15" x14ac:dyDescent="0.3">
      <c r="A87" t="s">
        <v>827</v>
      </c>
      <c r="B87">
        <v>85</v>
      </c>
      <c r="C87">
        <v>5602753</v>
      </c>
      <c r="D87">
        <v>201</v>
      </c>
      <c r="E87">
        <v>80</v>
      </c>
      <c r="F87">
        <v>1</v>
      </c>
      <c r="G87">
        <v>91.459791639582505</v>
      </c>
      <c r="H87">
        <v>2</v>
      </c>
      <c r="K87" t="s">
        <v>724</v>
      </c>
      <c r="L87">
        <v>3</v>
      </c>
      <c r="M87" t="s">
        <v>829</v>
      </c>
      <c r="N87" t="s">
        <v>726</v>
      </c>
      <c r="O87">
        <v>0</v>
      </c>
    </row>
    <row r="88" spans="1:15" x14ac:dyDescent="0.3">
      <c r="A88" t="s">
        <v>827</v>
      </c>
      <c r="B88">
        <v>86</v>
      </c>
      <c r="C88">
        <v>5602753</v>
      </c>
      <c r="D88">
        <v>80</v>
      </c>
      <c r="E88">
        <v>448</v>
      </c>
      <c r="F88">
        <v>1</v>
      </c>
      <c r="G88">
        <v>32.334223607060203</v>
      </c>
      <c r="H88">
        <v>2</v>
      </c>
      <c r="K88" t="s">
        <v>724</v>
      </c>
      <c r="L88">
        <v>3</v>
      </c>
      <c r="M88" t="s">
        <v>830</v>
      </c>
      <c r="N88" t="s">
        <v>726</v>
      </c>
      <c r="O88">
        <v>0</v>
      </c>
    </row>
    <row r="89" spans="1:15" x14ac:dyDescent="0.3">
      <c r="A89" t="s">
        <v>831</v>
      </c>
      <c r="B89">
        <v>89</v>
      </c>
      <c r="C89">
        <v>5603481</v>
      </c>
      <c r="D89">
        <v>1945</v>
      </c>
      <c r="E89">
        <v>84</v>
      </c>
      <c r="F89">
        <v>1</v>
      </c>
      <c r="G89">
        <v>65.000365669869197</v>
      </c>
      <c r="H89">
        <v>1</v>
      </c>
      <c r="I89">
        <v>25</v>
      </c>
      <c r="K89" t="s">
        <v>729</v>
      </c>
      <c r="L89">
        <v>6</v>
      </c>
      <c r="M89" t="s">
        <v>832</v>
      </c>
      <c r="N89" t="s">
        <v>726</v>
      </c>
      <c r="O89">
        <v>1</v>
      </c>
    </row>
    <row r="90" spans="1:15" x14ac:dyDescent="0.3">
      <c r="A90" t="s">
        <v>831</v>
      </c>
      <c r="B90">
        <v>90</v>
      </c>
      <c r="C90">
        <v>5603481</v>
      </c>
      <c r="D90">
        <v>84</v>
      </c>
      <c r="E90">
        <v>1945</v>
      </c>
      <c r="F90">
        <v>1</v>
      </c>
      <c r="G90">
        <v>65.000365669869197</v>
      </c>
      <c r="H90">
        <v>1</v>
      </c>
      <c r="I90">
        <v>25</v>
      </c>
      <c r="K90" t="s">
        <v>729</v>
      </c>
      <c r="L90">
        <v>6</v>
      </c>
      <c r="M90" t="s">
        <v>833</v>
      </c>
      <c r="N90" t="s">
        <v>726</v>
      </c>
      <c r="O90">
        <v>1</v>
      </c>
    </row>
    <row r="91" spans="1:15" x14ac:dyDescent="0.3">
      <c r="A91" t="s">
        <v>834</v>
      </c>
      <c r="B91">
        <v>91</v>
      </c>
      <c r="C91">
        <v>5606282</v>
      </c>
      <c r="D91">
        <v>690</v>
      </c>
      <c r="E91">
        <v>380</v>
      </c>
      <c r="F91">
        <v>1</v>
      </c>
      <c r="G91">
        <v>102.929479909054</v>
      </c>
      <c r="H91">
        <v>1</v>
      </c>
      <c r="I91">
        <v>25</v>
      </c>
      <c r="K91" t="s">
        <v>729</v>
      </c>
      <c r="L91">
        <v>6</v>
      </c>
      <c r="M91" t="s">
        <v>835</v>
      </c>
      <c r="N91" t="s">
        <v>726</v>
      </c>
      <c r="O91">
        <v>1</v>
      </c>
    </row>
    <row r="92" spans="1:15" x14ac:dyDescent="0.3">
      <c r="A92" t="s">
        <v>834</v>
      </c>
      <c r="B92">
        <v>92</v>
      </c>
      <c r="C92">
        <v>5606282</v>
      </c>
      <c r="D92">
        <v>380</v>
      </c>
      <c r="E92">
        <v>690</v>
      </c>
      <c r="F92">
        <v>1</v>
      </c>
      <c r="G92">
        <v>102.929479909054</v>
      </c>
      <c r="H92">
        <v>1</v>
      </c>
      <c r="I92">
        <v>25</v>
      </c>
      <c r="K92" t="s">
        <v>729</v>
      </c>
      <c r="L92">
        <v>6</v>
      </c>
      <c r="M92" t="s">
        <v>836</v>
      </c>
      <c r="N92" t="s">
        <v>726</v>
      </c>
      <c r="O92">
        <v>1</v>
      </c>
    </row>
    <row r="93" spans="1:15" x14ac:dyDescent="0.3">
      <c r="A93" t="s">
        <v>834</v>
      </c>
      <c r="B93">
        <v>93</v>
      </c>
      <c r="C93">
        <v>5606282</v>
      </c>
      <c r="D93">
        <v>380</v>
      </c>
      <c r="E93">
        <v>93</v>
      </c>
      <c r="F93">
        <v>1</v>
      </c>
      <c r="G93">
        <v>242.39993913186399</v>
      </c>
      <c r="H93">
        <v>1</v>
      </c>
      <c r="I93">
        <v>25</v>
      </c>
      <c r="K93" t="s">
        <v>729</v>
      </c>
      <c r="L93">
        <v>6</v>
      </c>
      <c r="M93" t="s">
        <v>837</v>
      </c>
      <c r="N93" t="s">
        <v>726</v>
      </c>
      <c r="O93">
        <v>1</v>
      </c>
    </row>
    <row r="94" spans="1:15" x14ac:dyDescent="0.3">
      <c r="A94" t="s">
        <v>834</v>
      </c>
      <c r="B94">
        <v>94</v>
      </c>
      <c r="C94">
        <v>5606282</v>
      </c>
      <c r="D94">
        <v>93</v>
      </c>
      <c r="E94">
        <v>380</v>
      </c>
      <c r="F94">
        <v>1</v>
      </c>
      <c r="G94">
        <v>242.39993913186399</v>
      </c>
      <c r="H94">
        <v>1</v>
      </c>
      <c r="I94">
        <v>25</v>
      </c>
      <c r="K94" t="s">
        <v>729</v>
      </c>
      <c r="L94">
        <v>6</v>
      </c>
      <c r="M94" t="s">
        <v>838</v>
      </c>
      <c r="N94" t="s">
        <v>726</v>
      </c>
      <c r="O94">
        <v>1</v>
      </c>
    </row>
    <row r="95" spans="1:15" x14ac:dyDescent="0.3">
      <c r="A95" t="s">
        <v>834</v>
      </c>
      <c r="B95">
        <v>95</v>
      </c>
      <c r="C95">
        <v>5606282</v>
      </c>
      <c r="D95">
        <v>93</v>
      </c>
      <c r="E95">
        <v>94</v>
      </c>
      <c r="F95">
        <v>1</v>
      </c>
      <c r="G95">
        <v>97.395486496641794</v>
      </c>
      <c r="H95">
        <v>1</v>
      </c>
      <c r="I95">
        <v>25</v>
      </c>
      <c r="K95" t="s">
        <v>729</v>
      </c>
      <c r="L95">
        <v>6</v>
      </c>
      <c r="M95" t="s">
        <v>839</v>
      </c>
      <c r="N95" t="s">
        <v>726</v>
      </c>
      <c r="O95">
        <v>1</v>
      </c>
    </row>
    <row r="96" spans="1:15" x14ac:dyDescent="0.3">
      <c r="A96" t="s">
        <v>834</v>
      </c>
      <c r="B96">
        <v>96</v>
      </c>
      <c r="C96">
        <v>5606282</v>
      </c>
      <c r="D96">
        <v>94</v>
      </c>
      <c r="E96">
        <v>93</v>
      </c>
      <c r="F96">
        <v>1</v>
      </c>
      <c r="G96">
        <v>97.395486496641794</v>
      </c>
      <c r="H96">
        <v>1</v>
      </c>
      <c r="I96">
        <v>25</v>
      </c>
      <c r="K96" t="s">
        <v>729</v>
      </c>
      <c r="L96">
        <v>6</v>
      </c>
      <c r="M96" t="s">
        <v>840</v>
      </c>
      <c r="N96" t="s">
        <v>726</v>
      </c>
      <c r="O96">
        <v>1</v>
      </c>
    </row>
    <row r="97" spans="1:15" x14ac:dyDescent="0.3">
      <c r="A97" t="s">
        <v>834</v>
      </c>
      <c r="B97">
        <v>97</v>
      </c>
      <c r="C97">
        <v>5606282</v>
      </c>
      <c r="D97">
        <v>94</v>
      </c>
      <c r="E97">
        <v>95</v>
      </c>
      <c r="F97">
        <v>1</v>
      </c>
      <c r="G97">
        <v>99.829540495371504</v>
      </c>
      <c r="H97">
        <v>1</v>
      </c>
      <c r="I97">
        <v>25</v>
      </c>
      <c r="K97" t="s">
        <v>729</v>
      </c>
      <c r="L97">
        <v>6</v>
      </c>
      <c r="M97" t="s">
        <v>841</v>
      </c>
      <c r="N97" t="s">
        <v>726</v>
      </c>
      <c r="O97">
        <v>1</v>
      </c>
    </row>
    <row r="98" spans="1:15" x14ac:dyDescent="0.3">
      <c r="A98" t="s">
        <v>834</v>
      </c>
      <c r="B98">
        <v>98</v>
      </c>
      <c r="C98">
        <v>5606282</v>
      </c>
      <c r="D98">
        <v>95</v>
      </c>
      <c r="E98">
        <v>94</v>
      </c>
      <c r="F98">
        <v>1</v>
      </c>
      <c r="G98">
        <v>99.829540495371504</v>
      </c>
      <c r="H98">
        <v>1</v>
      </c>
      <c r="I98">
        <v>25</v>
      </c>
      <c r="K98" t="s">
        <v>729</v>
      </c>
      <c r="L98">
        <v>6</v>
      </c>
      <c r="M98" t="s">
        <v>842</v>
      </c>
      <c r="N98" t="s">
        <v>726</v>
      </c>
      <c r="O98">
        <v>1</v>
      </c>
    </row>
    <row r="99" spans="1:15" x14ac:dyDescent="0.3">
      <c r="A99" t="s">
        <v>834</v>
      </c>
      <c r="B99">
        <v>99</v>
      </c>
      <c r="C99">
        <v>5606285</v>
      </c>
      <c r="D99">
        <v>91</v>
      </c>
      <c r="E99">
        <v>375</v>
      </c>
      <c r="F99">
        <v>1</v>
      </c>
      <c r="G99">
        <v>135.965724104495</v>
      </c>
      <c r="H99">
        <v>1</v>
      </c>
      <c r="K99" t="s">
        <v>729</v>
      </c>
      <c r="L99">
        <v>6</v>
      </c>
      <c r="M99" t="s">
        <v>843</v>
      </c>
      <c r="N99" t="s">
        <v>726</v>
      </c>
      <c r="O99">
        <v>1</v>
      </c>
    </row>
    <row r="100" spans="1:15" x14ac:dyDescent="0.3">
      <c r="A100" t="s">
        <v>834</v>
      </c>
      <c r="B100">
        <v>100</v>
      </c>
      <c r="C100">
        <v>5606285</v>
      </c>
      <c r="D100">
        <v>375</v>
      </c>
      <c r="E100">
        <v>91</v>
      </c>
      <c r="F100">
        <v>1</v>
      </c>
      <c r="G100">
        <v>135.965724104495</v>
      </c>
      <c r="H100">
        <v>1</v>
      </c>
      <c r="K100" t="s">
        <v>729</v>
      </c>
      <c r="L100">
        <v>6</v>
      </c>
      <c r="M100" t="s">
        <v>844</v>
      </c>
      <c r="N100" t="s">
        <v>726</v>
      </c>
      <c r="O100">
        <v>1</v>
      </c>
    </row>
    <row r="101" spans="1:15" x14ac:dyDescent="0.3">
      <c r="A101" t="s">
        <v>834</v>
      </c>
      <c r="B101">
        <v>101</v>
      </c>
      <c r="C101">
        <v>5606285</v>
      </c>
      <c r="D101">
        <v>375</v>
      </c>
      <c r="E101">
        <v>766</v>
      </c>
      <c r="F101">
        <v>1</v>
      </c>
      <c r="G101">
        <v>13.7089070369768</v>
      </c>
      <c r="H101">
        <v>1</v>
      </c>
      <c r="K101" t="s">
        <v>729</v>
      </c>
      <c r="L101">
        <v>6</v>
      </c>
      <c r="M101" t="s">
        <v>845</v>
      </c>
      <c r="N101" t="s">
        <v>726</v>
      </c>
      <c r="O101">
        <v>1</v>
      </c>
    </row>
    <row r="102" spans="1:15" x14ac:dyDescent="0.3">
      <c r="A102" t="s">
        <v>834</v>
      </c>
      <c r="B102">
        <v>102</v>
      </c>
      <c r="C102">
        <v>5606285</v>
      </c>
      <c r="D102">
        <v>766</v>
      </c>
      <c r="E102">
        <v>375</v>
      </c>
      <c r="F102">
        <v>1</v>
      </c>
      <c r="G102">
        <v>13.7089070369768</v>
      </c>
      <c r="H102">
        <v>1</v>
      </c>
      <c r="K102" t="s">
        <v>729</v>
      </c>
      <c r="L102">
        <v>6</v>
      </c>
      <c r="M102" t="s">
        <v>846</v>
      </c>
      <c r="N102" t="s">
        <v>726</v>
      </c>
      <c r="O102">
        <v>1</v>
      </c>
    </row>
    <row r="103" spans="1:15" x14ac:dyDescent="0.3">
      <c r="A103" t="s">
        <v>847</v>
      </c>
      <c r="B103">
        <v>103</v>
      </c>
      <c r="C103">
        <v>5606535</v>
      </c>
      <c r="D103">
        <v>1959</v>
      </c>
      <c r="E103">
        <v>100</v>
      </c>
      <c r="F103">
        <v>1</v>
      </c>
      <c r="G103">
        <v>124.883928798629</v>
      </c>
      <c r="H103">
        <v>1</v>
      </c>
      <c r="I103">
        <v>25</v>
      </c>
      <c r="K103" t="s">
        <v>729</v>
      </c>
      <c r="L103">
        <v>6</v>
      </c>
      <c r="M103" t="s">
        <v>848</v>
      </c>
      <c r="N103" t="s">
        <v>726</v>
      </c>
      <c r="O103">
        <v>1</v>
      </c>
    </row>
    <row r="104" spans="1:15" x14ac:dyDescent="0.3">
      <c r="A104" t="s">
        <v>847</v>
      </c>
      <c r="B104">
        <v>104</v>
      </c>
      <c r="C104">
        <v>5606535</v>
      </c>
      <c r="D104">
        <v>100</v>
      </c>
      <c r="E104">
        <v>1959</v>
      </c>
      <c r="F104">
        <v>1</v>
      </c>
      <c r="G104">
        <v>124.883928798629</v>
      </c>
      <c r="H104">
        <v>1</v>
      </c>
      <c r="I104">
        <v>25</v>
      </c>
      <c r="K104" t="s">
        <v>729</v>
      </c>
      <c r="L104">
        <v>6</v>
      </c>
      <c r="M104" t="s">
        <v>849</v>
      </c>
      <c r="N104" t="s">
        <v>726</v>
      </c>
      <c r="O104">
        <v>1</v>
      </c>
    </row>
    <row r="105" spans="1:15" x14ac:dyDescent="0.3">
      <c r="A105" t="s">
        <v>847</v>
      </c>
      <c r="B105">
        <v>105</v>
      </c>
      <c r="C105">
        <v>5606535</v>
      </c>
      <c r="D105">
        <v>100</v>
      </c>
      <c r="E105">
        <v>101</v>
      </c>
      <c r="F105">
        <v>1</v>
      </c>
      <c r="G105">
        <v>106.747129578583</v>
      </c>
      <c r="H105">
        <v>1</v>
      </c>
      <c r="I105">
        <v>25</v>
      </c>
      <c r="K105" t="s">
        <v>729</v>
      </c>
      <c r="L105">
        <v>6</v>
      </c>
      <c r="M105" t="s">
        <v>850</v>
      </c>
      <c r="N105" t="s">
        <v>726</v>
      </c>
      <c r="O105">
        <v>1</v>
      </c>
    </row>
    <row r="106" spans="1:15" x14ac:dyDescent="0.3">
      <c r="A106" t="s">
        <v>847</v>
      </c>
      <c r="B106">
        <v>106</v>
      </c>
      <c r="C106">
        <v>5606535</v>
      </c>
      <c r="D106">
        <v>101</v>
      </c>
      <c r="E106">
        <v>100</v>
      </c>
      <c r="F106">
        <v>1</v>
      </c>
      <c r="G106">
        <v>106.747129578583</v>
      </c>
      <c r="H106">
        <v>1</v>
      </c>
      <c r="I106">
        <v>25</v>
      </c>
      <c r="K106" t="s">
        <v>729</v>
      </c>
      <c r="L106">
        <v>6</v>
      </c>
      <c r="M106" t="s">
        <v>851</v>
      </c>
      <c r="N106" t="s">
        <v>726</v>
      </c>
      <c r="O106">
        <v>1</v>
      </c>
    </row>
    <row r="107" spans="1:15" x14ac:dyDescent="0.3">
      <c r="A107" t="s">
        <v>847</v>
      </c>
      <c r="B107">
        <v>107</v>
      </c>
      <c r="C107">
        <v>5606535</v>
      </c>
      <c r="D107">
        <v>101</v>
      </c>
      <c r="E107">
        <v>102</v>
      </c>
      <c r="F107">
        <v>1</v>
      </c>
      <c r="G107">
        <v>106.758249071008</v>
      </c>
      <c r="H107">
        <v>1</v>
      </c>
      <c r="I107">
        <v>25</v>
      </c>
      <c r="K107" t="s">
        <v>729</v>
      </c>
      <c r="L107">
        <v>6</v>
      </c>
      <c r="M107" t="s">
        <v>852</v>
      </c>
      <c r="N107" t="s">
        <v>726</v>
      </c>
      <c r="O107">
        <v>1</v>
      </c>
    </row>
    <row r="108" spans="1:15" x14ac:dyDescent="0.3">
      <c r="A108" t="s">
        <v>847</v>
      </c>
      <c r="B108">
        <v>108</v>
      </c>
      <c r="C108">
        <v>5606535</v>
      </c>
      <c r="D108">
        <v>102</v>
      </c>
      <c r="E108">
        <v>101</v>
      </c>
      <c r="F108">
        <v>1</v>
      </c>
      <c r="G108">
        <v>106.758249071008</v>
      </c>
      <c r="H108">
        <v>1</v>
      </c>
      <c r="I108">
        <v>25</v>
      </c>
      <c r="K108" t="s">
        <v>729</v>
      </c>
      <c r="L108">
        <v>6</v>
      </c>
      <c r="M108" t="s">
        <v>853</v>
      </c>
      <c r="N108" t="s">
        <v>726</v>
      </c>
      <c r="O108">
        <v>1</v>
      </c>
    </row>
    <row r="109" spans="1:15" x14ac:dyDescent="0.3">
      <c r="A109" t="s">
        <v>847</v>
      </c>
      <c r="B109">
        <v>109</v>
      </c>
      <c r="C109">
        <v>5606546</v>
      </c>
      <c r="D109">
        <v>434</v>
      </c>
      <c r="E109">
        <v>104</v>
      </c>
      <c r="F109">
        <v>1</v>
      </c>
      <c r="G109">
        <v>104.123375736569</v>
      </c>
      <c r="H109">
        <v>1</v>
      </c>
      <c r="K109" t="s">
        <v>729</v>
      </c>
      <c r="L109">
        <v>6</v>
      </c>
      <c r="M109" t="s">
        <v>854</v>
      </c>
      <c r="N109" t="s">
        <v>726</v>
      </c>
      <c r="O109">
        <v>1</v>
      </c>
    </row>
    <row r="110" spans="1:15" x14ac:dyDescent="0.3">
      <c r="A110" t="s">
        <v>847</v>
      </c>
      <c r="B110">
        <v>110</v>
      </c>
      <c r="C110">
        <v>5606546</v>
      </c>
      <c r="D110">
        <v>104</v>
      </c>
      <c r="E110">
        <v>434</v>
      </c>
      <c r="F110">
        <v>1</v>
      </c>
      <c r="G110">
        <v>104.123375736569</v>
      </c>
      <c r="H110">
        <v>1</v>
      </c>
      <c r="K110" t="s">
        <v>729</v>
      </c>
      <c r="L110">
        <v>6</v>
      </c>
      <c r="M110" t="s">
        <v>855</v>
      </c>
      <c r="N110" t="s">
        <v>726</v>
      </c>
      <c r="O110">
        <v>1</v>
      </c>
    </row>
    <row r="111" spans="1:15" x14ac:dyDescent="0.3">
      <c r="A111" t="s">
        <v>847</v>
      </c>
      <c r="B111">
        <v>111</v>
      </c>
      <c r="C111">
        <v>5606546</v>
      </c>
      <c r="D111">
        <v>104</v>
      </c>
      <c r="E111">
        <v>767</v>
      </c>
      <c r="F111">
        <v>1</v>
      </c>
      <c r="G111">
        <v>13.966110549476999</v>
      </c>
      <c r="H111">
        <v>1</v>
      </c>
      <c r="K111" t="s">
        <v>729</v>
      </c>
      <c r="L111">
        <v>6</v>
      </c>
      <c r="M111" t="s">
        <v>856</v>
      </c>
      <c r="N111" t="s">
        <v>726</v>
      </c>
      <c r="O111">
        <v>1</v>
      </c>
    </row>
    <row r="112" spans="1:15" x14ac:dyDescent="0.3">
      <c r="A112" t="s">
        <v>847</v>
      </c>
      <c r="B112">
        <v>112</v>
      </c>
      <c r="C112">
        <v>5606546</v>
      </c>
      <c r="D112">
        <v>767</v>
      </c>
      <c r="E112">
        <v>104</v>
      </c>
      <c r="F112">
        <v>1</v>
      </c>
      <c r="G112">
        <v>13.966110549476999</v>
      </c>
      <c r="H112">
        <v>1</v>
      </c>
      <c r="K112" t="s">
        <v>729</v>
      </c>
      <c r="L112">
        <v>6</v>
      </c>
      <c r="M112" t="s">
        <v>857</v>
      </c>
      <c r="N112" t="s">
        <v>726</v>
      </c>
      <c r="O112">
        <v>1</v>
      </c>
    </row>
    <row r="113" spans="1:15" x14ac:dyDescent="0.3">
      <c r="A113" t="s">
        <v>858</v>
      </c>
      <c r="B113">
        <v>113</v>
      </c>
      <c r="C113">
        <v>5607328</v>
      </c>
      <c r="D113">
        <v>1950</v>
      </c>
      <c r="E113">
        <v>1962</v>
      </c>
      <c r="F113">
        <v>1</v>
      </c>
      <c r="G113">
        <v>159.660164650019</v>
      </c>
      <c r="H113">
        <v>3</v>
      </c>
      <c r="I113">
        <v>30</v>
      </c>
      <c r="K113" t="s">
        <v>724</v>
      </c>
      <c r="L113">
        <v>3</v>
      </c>
      <c r="M113" t="s">
        <v>859</v>
      </c>
      <c r="N113" t="s">
        <v>726</v>
      </c>
      <c r="O113">
        <v>0</v>
      </c>
    </row>
    <row r="114" spans="1:15" x14ac:dyDescent="0.3">
      <c r="A114" t="s">
        <v>860</v>
      </c>
      <c r="B114">
        <v>114</v>
      </c>
      <c r="C114">
        <v>5608312</v>
      </c>
      <c r="D114">
        <v>11</v>
      </c>
      <c r="E114">
        <v>768</v>
      </c>
      <c r="F114">
        <v>1</v>
      </c>
      <c r="G114">
        <v>109.72947816073</v>
      </c>
      <c r="H114">
        <v>1</v>
      </c>
      <c r="K114" t="s">
        <v>729</v>
      </c>
      <c r="L114">
        <v>6</v>
      </c>
      <c r="M114" t="s">
        <v>861</v>
      </c>
      <c r="N114" t="s">
        <v>726</v>
      </c>
      <c r="O114">
        <v>1</v>
      </c>
    </row>
    <row r="115" spans="1:15" x14ac:dyDescent="0.3">
      <c r="A115" t="s">
        <v>860</v>
      </c>
      <c r="B115">
        <v>115</v>
      </c>
      <c r="C115">
        <v>5608312</v>
      </c>
      <c r="D115">
        <v>768</v>
      </c>
      <c r="E115">
        <v>11</v>
      </c>
      <c r="F115">
        <v>1</v>
      </c>
      <c r="G115">
        <v>109.72947816073</v>
      </c>
      <c r="H115">
        <v>1</v>
      </c>
      <c r="K115" t="s">
        <v>729</v>
      </c>
      <c r="L115">
        <v>6</v>
      </c>
      <c r="M115" t="s">
        <v>862</v>
      </c>
      <c r="N115" t="s">
        <v>726</v>
      </c>
      <c r="O115">
        <v>1</v>
      </c>
    </row>
    <row r="116" spans="1:15" x14ac:dyDescent="0.3">
      <c r="A116" t="s">
        <v>860</v>
      </c>
      <c r="B116">
        <v>116</v>
      </c>
      <c r="C116">
        <v>5608313</v>
      </c>
      <c r="D116">
        <v>1961</v>
      </c>
      <c r="E116">
        <v>32</v>
      </c>
      <c r="F116">
        <v>1</v>
      </c>
      <c r="G116">
        <v>112.118223130301</v>
      </c>
      <c r="H116">
        <v>1</v>
      </c>
      <c r="K116" t="s">
        <v>729</v>
      </c>
      <c r="L116">
        <v>6</v>
      </c>
      <c r="M116" t="s">
        <v>863</v>
      </c>
      <c r="N116" t="s">
        <v>726</v>
      </c>
      <c r="O116">
        <v>1</v>
      </c>
    </row>
    <row r="117" spans="1:15" x14ac:dyDescent="0.3">
      <c r="A117" t="s">
        <v>860</v>
      </c>
      <c r="B117">
        <v>117</v>
      </c>
      <c r="C117">
        <v>5608313</v>
      </c>
      <c r="D117">
        <v>32</v>
      </c>
      <c r="E117">
        <v>1961</v>
      </c>
      <c r="F117">
        <v>1</v>
      </c>
      <c r="G117">
        <v>112.118223130301</v>
      </c>
      <c r="H117">
        <v>1</v>
      </c>
      <c r="K117" t="s">
        <v>729</v>
      </c>
      <c r="L117">
        <v>6</v>
      </c>
      <c r="M117" t="s">
        <v>864</v>
      </c>
      <c r="N117" t="s">
        <v>726</v>
      </c>
      <c r="O117">
        <v>1</v>
      </c>
    </row>
    <row r="118" spans="1:15" x14ac:dyDescent="0.3">
      <c r="A118" t="s">
        <v>860</v>
      </c>
      <c r="B118">
        <v>118</v>
      </c>
      <c r="C118">
        <v>5608313</v>
      </c>
      <c r="D118">
        <v>32</v>
      </c>
      <c r="E118">
        <v>46</v>
      </c>
      <c r="F118">
        <v>1</v>
      </c>
      <c r="G118">
        <v>107.58140489746</v>
      </c>
      <c r="H118">
        <v>1</v>
      </c>
      <c r="K118" t="s">
        <v>729</v>
      </c>
      <c r="L118">
        <v>6</v>
      </c>
      <c r="M118" t="s">
        <v>865</v>
      </c>
      <c r="N118" t="s">
        <v>726</v>
      </c>
      <c r="O118">
        <v>1</v>
      </c>
    </row>
    <row r="119" spans="1:15" x14ac:dyDescent="0.3">
      <c r="A119" t="s">
        <v>860</v>
      </c>
      <c r="B119">
        <v>119</v>
      </c>
      <c r="C119">
        <v>5608313</v>
      </c>
      <c r="D119">
        <v>46</v>
      </c>
      <c r="E119">
        <v>32</v>
      </c>
      <c r="F119">
        <v>1</v>
      </c>
      <c r="G119">
        <v>107.58140489746</v>
      </c>
      <c r="H119">
        <v>1</v>
      </c>
      <c r="K119" t="s">
        <v>729</v>
      </c>
      <c r="L119">
        <v>6</v>
      </c>
      <c r="M119" t="s">
        <v>866</v>
      </c>
      <c r="N119" t="s">
        <v>726</v>
      </c>
      <c r="O119">
        <v>1</v>
      </c>
    </row>
    <row r="120" spans="1:15" x14ac:dyDescent="0.3">
      <c r="A120" t="s">
        <v>860</v>
      </c>
      <c r="B120">
        <v>120</v>
      </c>
      <c r="C120">
        <v>5608313</v>
      </c>
      <c r="D120">
        <v>46</v>
      </c>
      <c r="E120">
        <v>12</v>
      </c>
      <c r="F120">
        <v>1</v>
      </c>
      <c r="G120">
        <v>173.664326777545</v>
      </c>
      <c r="H120">
        <v>1</v>
      </c>
      <c r="K120" t="s">
        <v>729</v>
      </c>
      <c r="L120">
        <v>6</v>
      </c>
      <c r="M120" t="s">
        <v>867</v>
      </c>
      <c r="N120" t="s">
        <v>726</v>
      </c>
      <c r="O120">
        <v>1</v>
      </c>
    </row>
    <row r="121" spans="1:15" x14ac:dyDescent="0.3">
      <c r="A121" t="s">
        <v>860</v>
      </c>
      <c r="B121">
        <v>121</v>
      </c>
      <c r="C121">
        <v>5608313</v>
      </c>
      <c r="D121">
        <v>12</v>
      </c>
      <c r="E121">
        <v>46</v>
      </c>
      <c r="F121">
        <v>1</v>
      </c>
      <c r="G121">
        <v>173.664326777545</v>
      </c>
      <c r="H121">
        <v>1</v>
      </c>
      <c r="K121" t="s">
        <v>729</v>
      </c>
      <c r="L121">
        <v>6</v>
      </c>
      <c r="M121" t="s">
        <v>868</v>
      </c>
      <c r="N121" t="s">
        <v>726</v>
      </c>
      <c r="O121">
        <v>1</v>
      </c>
    </row>
    <row r="122" spans="1:15" x14ac:dyDescent="0.3">
      <c r="A122" t="s">
        <v>869</v>
      </c>
      <c r="B122">
        <v>122</v>
      </c>
      <c r="C122">
        <v>5609517</v>
      </c>
      <c r="D122">
        <v>209</v>
      </c>
      <c r="E122">
        <v>20</v>
      </c>
      <c r="F122">
        <v>1</v>
      </c>
      <c r="G122">
        <v>34.603529018158198</v>
      </c>
      <c r="H122">
        <v>1</v>
      </c>
      <c r="K122" t="s">
        <v>729</v>
      </c>
      <c r="L122">
        <v>6</v>
      </c>
      <c r="M122" t="s">
        <v>870</v>
      </c>
      <c r="N122" t="s">
        <v>726</v>
      </c>
      <c r="O122">
        <v>1</v>
      </c>
    </row>
    <row r="123" spans="1:15" x14ac:dyDescent="0.3">
      <c r="A123" t="s">
        <v>869</v>
      </c>
      <c r="B123">
        <v>123</v>
      </c>
      <c r="C123">
        <v>5609517</v>
      </c>
      <c r="D123">
        <v>20</v>
      </c>
      <c r="E123">
        <v>209</v>
      </c>
      <c r="F123">
        <v>1</v>
      </c>
      <c r="G123">
        <v>34.603529018158198</v>
      </c>
      <c r="H123">
        <v>1</v>
      </c>
      <c r="K123" t="s">
        <v>729</v>
      </c>
      <c r="L123">
        <v>6</v>
      </c>
      <c r="M123" t="s">
        <v>871</v>
      </c>
      <c r="N123" t="s">
        <v>726</v>
      </c>
      <c r="O123">
        <v>1</v>
      </c>
    </row>
    <row r="124" spans="1:15" x14ac:dyDescent="0.3">
      <c r="A124" t="s">
        <v>869</v>
      </c>
      <c r="B124">
        <v>124</v>
      </c>
      <c r="C124">
        <v>5609517</v>
      </c>
      <c r="D124">
        <v>20</v>
      </c>
      <c r="E124">
        <v>769</v>
      </c>
      <c r="F124">
        <v>1</v>
      </c>
      <c r="G124">
        <v>104.505335086869</v>
      </c>
      <c r="H124">
        <v>1</v>
      </c>
      <c r="K124" t="s">
        <v>729</v>
      </c>
      <c r="L124">
        <v>6</v>
      </c>
      <c r="M124" t="s">
        <v>872</v>
      </c>
      <c r="N124" t="s">
        <v>726</v>
      </c>
      <c r="O124">
        <v>1</v>
      </c>
    </row>
    <row r="125" spans="1:15" x14ac:dyDescent="0.3">
      <c r="A125" t="s">
        <v>869</v>
      </c>
      <c r="B125">
        <v>125</v>
      </c>
      <c r="C125">
        <v>5609517</v>
      </c>
      <c r="D125">
        <v>769</v>
      </c>
      <c r="E125">
        <v>20</v>
      </c>
      <c r="F125">
        <v>1</v>
      </c>
      <c r="G125">
        <v>104.505335086869</v>
      </c>
      <c r="H125">
        <v>1</v>
      </c>
      <c r="K125" t="s">
        <v>729</v>
      </c>
      <c r="L125">
        <v>6</v>
      </c>
      <c r="M125" t="s">
        <v>873</v>
      </c>
      <c r="N125" t="s">
        <v>726</v>
      </c>
      <c r="O125">
        <v>1</v>
      </c>
    </row>
    <row r="126" spans="1:15" x14ac:dyDescent="0.3">
      <c r="A126" t="s">
        <v>874</v>
      </c>
      <c r="B126">
        <v>126</v>
      </c>
      <c r="C126">
        <v>5611840</v>
      </c>
      <c r="D126">
        <v>113</v>
      </c>
      <c r="E126">
        <v>42</v>
      </c>
      <c r="F126">
        <v>1</v>
      </c>
      <c r="G126">
        <v>227.14428499563701</v>
      </c>
      <c r="H126">
        <v>1</v>
      </c>
      <c r="K126" t="s">
        <v>729</v>
      </c>
      <c r="L126">
        <v>6</v>
      </c>
      <c r="M126" t="s">
        <v>875</v>
      </c>
      <c r="N126" t="s">
        <v>726</v>
      </c>
      <c r="O126">
        <v>1</v>
      </c>
    </row>
    <row r="127" spans="1:15" x14ac:dyDescent="0.3">
      <c r="A127" t="s">
        <v>874</v>
      </c>
      <c r="B127">
        <v>127</v>
      </c>
      <c r="C127">
        <v>5611840</v>
      </c>
      <c r="D127">
        <v>42</v>
      </c>
      <c r="E127">
        <v>113</v>
      </c>
      <c r="F127">
        <v>1</v>
      </c>
      <c r="G127">
        <v>227.14428499563701</v>
      </c>
      <c r="H127">
        <v>1</v>
      </c>
      <c r="K127" t="s">
        <v>729</v>
      </c>
      <c r="L127">
        <v>6</v>
      </c>
      <c r="M127" t="s">
        <v>876</v>
      </c>
      <c r="N127" t="s">
        <v>726</v>
      </c>
      <c r="O127">
        <v>1</v>
      </c>
    </row>
    <row r="128" spans="1:15" x14ac:dyDescent="0.3">
      <c r="A128" t="s">
        <v>874</v>
      </c>
      <c r="B128">
        <v>128</v>
      </c>
      <c r="C128">
        <v>5611840</v>
      </c>
      <c r="D128">
        <v>42</v>
      </c>
      <c r="E128">
        <v>116</v>
      </c>
      <c r="F128">
        <v>1</v>
      </c>
      <c r="G128">
        <v>27.275096570150399</v>
      </c>
      <c r="H128">
        <v>1</v>
      </c>
      <c r="K128" t="s">
        <v>729</v>
      </c>
      <c r="L128">
        <v>6</v>
      </c>
      <c r="M128" t="s">
        <v>877</v>
      </c>
      <c r="N128" t="s">
        <v>726</v>
      </c>
      <c r="O128">
        <v>1</v>
      </c>
    </row>
    <row r="129" spans="1:15" x14ac:dyDescent="0.3">
      <c r="A129" t="s">
        <v>874</v>
      </c>
      <c r="B129">
        <v>129</v>
      </c>
      <c r="C129">
        <v>5611840</v>
      </c>
      <c r="D129">
        <v>116</v>
      </c>
      <c r="E129">
        <v>42</v>
      </c>
      <c r="F129">
        <v>1</v>
      </c>
      <c r="G129">
        <v>27.275096570150399</v>
      </c>
      <c r="H129">
        <v>1</v>
      </c>
      <c r="K129" t="s">
        <v>729</v>
      </c>
      <c r="L129">
        <v>6</v>
      </c>
      <c r="M129" t="s">
        <v>878</v>
      </c>
      <c r="N129" t="s">
        <v>726</v>
      </c>
      <c r="O129">
        <v>1</v>
      </c>
    </row>
    <row r="130" spans="1:15" x14ac:dyDescent="0.3">
      <c r="A130" t="s">
        <v>879</v>
      </c>
      <c r="B130">
        <v>130</v>
      </c>
      <c r="C130">
        <v>5612345</v>
      </c>
      <c r="D130">
        <v>86</v>
      </c>
      <c r="E130">
        <v>770</v>
      </c>
      <c r="F130">
        <v>1</v>
      </c>
      <c r="G130">
        <v>143.24502584575501</v>
      </c>
      <c r="H130">
        <v>1</v>
      </c>
      <c r="K130" t="s">
        <v>880</v>
      </c>
      <c r="L130">
        <v>11</v>
      </c>
      <c r="M130" t="s">
        <v>881</v>
      </c>
      <c r="N130" t="s">
        <v>726</v>
      </c>
      <c r="O130">
        <v>1</v>
      </c>
    </row>
    <row r="131" spans="1:15" x14ac:dyDescent="0.3">
      <c r="A131" t="s">
        <v>879</v>
      </c>
      <c r="B131">
        <v>131</v>
      </c>
      <c r="C131">
        <v>5612345</v>
      </c>
      <c r="D131">
        <v>770</v>
      </c>
      <c r="E131">
        <v>86</v>
      </c>
      <c r="F131">
        <v>1</v>
      </c>
      <c r="G131">
        <v>143.24502584575501</v>
      </c>
      <c r="H131">
        <v>1</v>
      </c>
      <c r="K131" t="s">
        <v>880</v>
      </c>
      <c r="L131">
        <v>11</v>
      </c>
      <c r="M131" t="s">
        <v>882</v>
      </c>
      <c r="N131" t="s">
        <v>726</v>
      </c>
      <c r="O131">
        <v>1</v>
      </c>
    </row>
    <row r="132" spans="1:15" x14ac:dyDescent="0.3">
      <c r="A132" t="s">
        <v>883</v>
      </c>
      <c r="B132">
        <v>132</v>
      </c>
      <c r="C132">
        <v>5613276</v>
      </c>
      <c r="D132">
        <v>117</v>
      </c>
      <c r="E132">
        <v>118</v>
      </c>
      <c r="F132">
        <v>1</v>
      </c>
      <c r="G132">
        <v>79.671164941087596</v>
      </c>
      <c r="H132">
        <v>1</v>
      </c>
      <c r="K132" t="s">
        <v>729</v>
      </c>
      <c r="L132">
        <v>6</v>
      </c>
      <c r="M132" t="s">
        <v>884</v>
      </c>
      <c r="N132" t="s">
        <v>726</v>
      </c>
      <c r="O132">
        <v>1</v>
      </c>
    </row>
    <row r="133" spans="1:15" x14ac:dyDescent="0.3">
      <c r="A133" t="s">
        <v>883</v>
      </c>
      <c r="B133">
        <v>133</v>
      </c>
      <c r="C133">
        <v>5613276</v>
      </c>
      <c r="D133">
        <v>118</v>
      </c>
      <c r="E133">
        <v>117</v>
      </c>
      <c r="F133">
        <v>1</v>
      </c>
      <c r="G133">
        <v>79.671164941087596</v>
      </c>
      <c r="H133">
        <v>1</v>
      </c>
      <c r="K133" t="s">
        <v>729</v>
      </c>
      <c r="L133">
        <v>6</v>
      </c>
      <c r="M133" t="s">
        <v>885</v>
      </c>
      <c r="N133" t="s">
        <v>726</v>
      </c>
      <c r="O133">
        <v>1</v>
      </c>
    </row>
    <row r="134" spans="1:15" x14ac:dyDescent="0.3">
      <c r="A134" t="s">
        <v>886</v>
      </c>
      <c r="B134">
        <v>134</v>
      </c>
      <c r="C134">
        <v>5613884</v>
      </c>
      <c r="D134">
        <v>119</v>
      </c>
      <c r="E134">
        <v>244</v>
      </c>
      <c r="F134">
        <v>1</v>
      </c>
      <c r="G134">
        <v>157.18412229157599</v>
      </c>
      <c r="H134">
        <v>1</v>
      </c>
      <c r="K134" t="s">
        <v>729</v>
      </c>
      <c r="L134">
        <v>6</v>
      </c>
      <c r="M134" t="s">
        <v>887</v>
      </c>
      <c r="N134" t="s">
        <v>726</v>
      </c>
      <c r="O134">
        <v>1</v>
      </c>
    </row>
    <row r="135" spans="1:15" x14ac:dyDescent="0.3">
      <c r="A135" t="s">
        <v>886</v>
      </c>
      <c r="B135">
        <v>135</v>
      </c>
      <c r="C135">
        <v>5613884</v>
      </c>
      <c r="D135">
        <v>244</v>
      </c>
      <c r="E135">
        <v>119</v>
      </c>
      <c r="F135">
        <v>1</v>
      </c>
      <c r="G135">
        <v>157.18412229157599</v>
      </c>
      <c r="H135">
        <v>1</v>
      </c>
      <c r="K135" t="s">
        <v>729</v>
      </c>
      <c r="L135">
        <v>6</v>
      </c>
      <c r="M135" t="s">
        <v>888</v>
      </c>
      <c r="N135" t="s">
        <v>726</v>
      </c>
      <c r="O135">
        <v>1</v>
      </c>
    </row>
    <row r="136" spans="1:15" x14ac:dyDescent="0.3">
      <c r="A136" t="s">
        <v>889</v>
      </c>
      <c r="B136">
        <v>136</v>
      </c>
      <c r="C136">
        <v>5614812</v>
      </c>
      <c r="D136">
        <v>1964</v>
      </c>
      <c r="E136">
        <v>1951</v>
      </c>
      <c r="F136">
        <v>1</v>
      </c>
      <c r="G136">
        <v>137.80789640711299</v>
      </c>
      <c r="H136">
        <v>2</v>
      </c>
      <c r="I136">
        <v>35</v>
      </c>
      <c r="K136" t="s">
        <v>890</v>
      </c>
      <c r="L136">
        <v>4</v>
      </c>
      <c r="M136" t="s">
        <v>891</v>
      </c>
      <c r="N136" t="s">
        <v>726</v>
      </c>
      <c r="O136">
        <v>0</v>
      </c>
    </row>
    <row r="137" spans="1:15" x14ac:dyDescent="0.3">
      <c r="A137" t="s">
        <v>889</v>
      </c>
      <c r="B137">
        <v>137</v>
      </c>
      <c r="C137">
        <v>5614812</v>
      </c>
      <c r="D137">
        <v>1951</v>
      </c>
      <c r="E137">
        <v>1952</v>
      </c>
      <c r="F137">
        <v>1</v>
      </c>
      <c r="G137">
        <v>157.05747760279101</v>
      </c>
      <c r="H137">
        <v>2</v>
      </c>
      <c r="I137">
        <v>35</v>
      </c>
      <c r="K137" t="s">
        <v>890</v>
      </c>
      <c r="L137">
        <v>4</v>
      </c>
      <c r="M137" t="s">
        <v>892</v>
      </c>
      <c r="N137" t="s">
        <v>726</v>
      </c>
      <c r="O137">
        <v>0</v>
      </c>
    </row>
    <row r="138" spans="1:15" x14ac:dyDescent="0.3">
      <c r="A138" t="s">
        <v>879</v>
      </c>
      <c r="B138">
        <v>138</v>
      </c>
      <c r="C138">
        <v>5615753</v>
      </c>
      <c r="D138">
        <v>295</v>
      </c>
      <c r="E138">
        <v>1947</v>
      </c>
      <c r="F138">
        <v>1</v>
      </c>
      <c r="G138">
        <v>42.8201246295407</v>
      </c>
      <c r="H138">
        <v>1</v>
      </c>
      <c r="K138" t="s">
        <v>880</v>
      </c>
      <c r="L138">
        <v>11</v>
      </c>
      <c r="M138" t="s">
        <v>893</v>
      </c>
      <c r="N138" t="s">
        <v>726</v>
      </c>
      <c r="O138">
        <v>1</v>
      </c>
    </row>
    <row r="139" spans="1:15" x14ac:dyDescent="0.3">
      <c r="A139" t="s">
        <v>879</v>
      </c>
      <c r="B139">
        <v>139</v>
      </c>
      <c r="C139">
        <v>5615753</v>
      </c>
      <c r="D139">
        <v>1947</v>
      </c>
      <c r="E139">
        <v>295</v>
      </c>
      <c r="F139">
        <v>1</v>
      </c>
      <c r="G139">
        <v>42.8201246295407</v>
      </c>
      <c r="H139">
        <v>1</v>
      </c>
      <c r="K139" t="s">
        <v>880</v>
      </c>
      <c r="L139">
        <v>11</v>
      </c>
      <c r="M139" t="s">
        <v>894</v>
      </c>
      <c r="N139" t="s">
        <v>726</v>
      </c>
      <c r="O139">
        <v>1</v>
      </c>
    </row>
    <row r="140" spans="1:15" x14ac:dyDescent="0.3">
      <c r="A140" t="s">
        <v>895</v>
      </c>
      <c r="B140">
        <v>140</v>
      </c>
      <c r="C140">
        <v>5617602</v>
      </c>
      <c r="D140">
        <v>7</v>
      </c>
      <c r="E140">
        <v>771</v>
      </c>
      <c r="F140">
        <v>1</v>
      </c>
      <c r="G140">
        <v>104.778933994871</v>
      </c>
      <c r="H140">
        <v>1</v>
      </c>
      <c r="I140">
        <v>25</v>
      </c>
      <c r="K140" t="s">
        <v>729</v>
      </c>
      <c r="L140">
        <v>6</v>
      </c>
      <c r="M140" t="s">
        <v>896</v>
      </c>
      <c r="N140" t="s">
        <v>726</v>
      </c>
      <c r="O140">
        <v>1</v>
      </c>
    </row>
    <row r="141" spans="1:15" x14ac:dyDescent="0.3">
      <c r="A141" t="s">
        <v>895</v>
      </c>
      <c r="B141">
        <v>141</v>
      </c>
      <c r="C141">
        <v>5617602</v>
      </c>
      <c r="D141">
        <v>771</v>
      </c>
      <c r="E141">
        <v>7</v>
      </c>
      <c r="F141">
        <v>1</v>
      </c>
      <c r="G141">
        <v>104.778933994871</v>
      </c>
      <c r="H141">
        <v>1</v>
      </c>
      <c r="I141">
        <v>25</v>
      </c>
      <c r="K141" t="s">
        <v>729</v>
      </c>
      <c r="L141">
        <v>6</v>
      </c>
      <c r="M141" t="s">
        <v>897</v>
      </c>
      <c r="N141" t="s">
        <v>726</v>
      </c>
      <c r="O141">
        <v>1</v>
      </c>
    </row>
    <row r="142" spans="1:15" x14ac:dyDescent="0.3">
      <c r="A142" t="s">
        <v>898</v>
      </c>
      <c r="B142">
        <v>142</v>
      </c>
      <c r="C142">
        <v>5619182</v>
      </c>
      <c r="D142">
        <v>75</v>
      </c>
      <c r="E142">
        <v>37</v>
      </c>
      <c r="F142">
        <v>1</v>
      </c>
      <c r="G142">
        <v>278.59515758451403</v>
      </c>
      <c r="H142">
        <v>1</v>
      </c>
      <c r="I142">
        <v>25</v>
      </c>
      <c r="K142" t="s">
        <v>729</v>
      </c>
      <c r="L142">
        <v>6</v>
      </c>
      <c r="M142" t="s">
        <v>899</v>
      </c>
      <c r="N142" t="s">
        <v>726</v>
      </c>
      <c r="O142">
        <v>1</v>
      </c>
    </row>
    <row r="143" spans="1:15" x14ac:dyDescent="0.3">
      <c r="A143" t="s">
        <v>898</v>
      </c>
      <c r="B143">
        <v>143</v>
      </c>
      <c r="C143">
        <v>5619182</v>
      </c>
      <c r="D143">
        <v>37</v>
      </c>
      <c r="E143">
        <v>75</v>
      </c>
      <c r="F143">
        <v>1</v>
      </c>
      <c r="G143">
        <v>278.59515758451403</v>
      </c>
      <c r="H143">
        <v>1</v>
      </c>
      <c r="I143">
        <v>25</v>
      </c>
      <c r="K143" t="s">
        <v>729</v>
      </c>
      <c r="L143">
        <v>6</v>
      </c>
      <c r="M143" t="s">
        <v>900</v>
      </c>
      <c r="N143" t="s">
        <v>726</v>
      </c>
      <c r="O143">
        <v>1</v>
      </c>
    </row>
    <row r="144" spans="1:15" x14ac:dyDescent="0.3">
      <c r="A144" t="s">
        <v>898</v>
      </c>
      <c r="B144">
        <v>144</v>
      </c>
      <c r="C144">
        <v>5619182</v>
      </c>
      <c r="D144">
        <v>37</v>
      </c>
      <c r="E144">
        <v>403</v>
      </c>
      <c r="F144">
        <v>1</v>
      </c>
      <c r="G144">
        <v>69.097082282084301</v>
      </c>
      <c r="H144">
        <v>1</v>
      </c>
      <c r="I144">
        <v>25</v>
      </c>
      <c r="K144" t="s">
        <v>729</v>
      </c>
      <c r="L144">
        <v>6</v>
      </c>
      <c r="M144" t="s">
        <v>901</v>
      </c>
      <c r="N144" t="s">
        <v>726</v>
      </c>
      <c r="O144">
        <v>1</v>
      </c>
    </row>
    <row r="145" spans="1:15" x14ac:dyDescent="0.3">
      <c r="A145" t="s">
        <v>898</v>
      </c>
      <c r="B145">
        <v>145</v>
      </c>
      <c r="C145">
        <v>5619182</v>
      </c>
      <c r="D145">
        <v>403</v>
      </c>
      <c r="E145">
        <v>37</v>
      </c>
      <c r="F145">
        <v>1</v>
      </c>
      <c r="G145">
        <v>69.097082282084301</v>
      </c>
      <c r="H145">
        <v>1</v>
      </c>
      <c r="I145">
        <v>25</v>
      </c>
      <c r="K145" t="s">
        <v>729</v>
      </c>
      <c r="L145">
        <v>6</v>
      </c>
      <c r="M145" t="s">
        <v>902</v>
      </c>
      <c r="N145" t="s">
        <v>726</v>
      </c>
      <c r="O145">
        <v>1</v>
      </c>
    </row>
    <row r="146" spans="1:15" x14ac:dyDescent="0.3">
      <c r="A146" t="s">
        <v>898</v>
      </c>
      <c r="B146">
        <v>146</v>
      </c>
      <c r="C146">
        <v>5619183</v>
      </c>
      <c r="D146">
        <v>655</v>
      </c>
      <c r="E146">
        <v>656</v>
      </c>
      <c r="F146">
        <v>1</v>
      </c>
      <c r="G146">
        <v>249.977453776331</v>
      </c>
      <c r="H146">
        <v>1</v>
      </c>
      <c r="K146" t="s">
        <v>729</v>
      </c>
      <c r="L146">
        <v>6</v>
      </c>
      <c r="M146" t="s">
        <v>903</v>
      </c>
      <c r="N146" t="s">
        <v>726</v>
      </c>
      <c r="O146">
        <v>1</v>
      </c>
    </row>
    <row r="147" spans="1:15" x14ac:dyDescent="0.3">
      <c r="A147" t="s">
        <v>898</v>
      </c>
      <c r="B147">
        <v>147</v>
      </c>
      <c r="C147">
        <v>5619183</v>
      </c>
      <c r="D147">
        <v>656</v>
      </c>
      <c r="E147">
        <v>655</v>
      </c>
      <c r="F147">
        <v>1</v>
      </c>
      <c r="G147">
        <v>249.977453776331</v>
      </c>
      <c r="H147">
        <v>1</v>
      </c>
      <c r="K147" t="s">
        <v>729</v>
      </c>
      <c r="L147">
        <v>6</v>
      </c>
      <c r="M147" t="s">
        <v>904</v>
      </c>
      <c r="N147" t="s">
        <v>726</v>
      </c>
      <c r="O147">
        <v>1</v>
      </c>
    </row>
    <row r="148" spans="1:15" x14ac:dyDescent="0.3">
      <c r="A148" t="s">
        <v>898</v>
      </c>
      <c r="B148">
        <v>148</v>
      </c>
      <c r="C148">
        <v>5619183</v>
      </c>
      <c r="D148">
        <v>656</v>
      </c>
      <c r="E148">
        <v>130</v>
      </c>
      <c r="F148">
        <v>1</v>
      </c>
      <c r="G148">
        <v>95.555154258437298</v>
      </c>
      <c r="H148">
        <v>1</v>
      </c>
      <c r="K148" t="s">
        <v>729</v>
      </c>
      <c r="L148">
        <v>6</v>
      </c>
      <c r="M148" t="s">
        <v>905</v>
      </c>
      <c r="N148" t="s">
        <v>726</v>
      </c>
      <c r="O148">
        <v>1</v>
      </c>
    </row>
    <row r="149" spans="1:15" x14ac:dyDescent="0.3">
      <c r="A149" t="s">
        <v>898</v>
      </c>
      <c r="B149">
        <v>149</v>
      </c>
      <c r="C149">
        <v>5619183</v>
      </c>
      <c r="D149">
        <v>130</v>
      </c>
      <c r="E149">
        <v>656</v>
      </c>
      <c r="F149">
        <v>1</v>
      </c>
      <c r="G149">
        <v>95.555154258437298</v>
      </c>
      <c r="H149">
        <v>1</v>
      </c>
      <c r="K149" t="s">
        <v>729</v>
      </c>
      <c r="L149">
        <v>6</v>
      </c>
      <c r="M149" t="s">
        <v>906</v>
      </c>
      <c r="N149" t="s">
        <v>726</v>
      </c>
      <c r="O149">
        <v>1</v>
      </c>
    </row>
    <row r="150" spans="1:15" x14ac:dyDescent="0.3">
      <c r="A150" t="s">
        <v>898</v>
      </c>
      <c r="B150">
        <v>150</v>
      </c>
      <c r="C150">
        <v>5619185</v>
      </c>
      <c r="D150">
        <v>131</v>
      </c>
      <c r="E150">
        <v>132</v>
      </c>
      <c r="F150">
        <v>1</v>
      </c>
      <c r="G150">
        <v>80.467887133492496</v>
      </c>
      <c r="H150">
        <v>1</v>
      </c>
      <c r="K150" t="s">
        <v>729</v>
      </c>
      <c r="L150">
        <v>6</v>
      </c>
      <c r="M150" t="s">
        <v>907</v>
      </c>
      <c r="N150" t="s">
        <v>726</v>
      </c>
      <c r="O150">
        <v>1</v>
      </c>
    </row>
    <row r="151" spans="1:15" x14ac:dyDescent="0.3">
      <c r="A151" t="s">
        <v>898</v>
      </c>
      <c r="B151">
        <v>151</v>
      </c>
      <c r="C151">
        <v>5619185</v>
      </c>
      <c r="D151">
        <v>132</v>
      </c>
      <c r="E151">
        <v>131</v>
      </c>
      <c r="F151">
        <v>1</v>
      </c>
      <c r="G151">
        <v>80.467887133492496</v>
      </c>
      <c r="H151">
        <v>1</v>
      </c>
      <c r="K151" t="s">
        <v>729</v>
      </c>
      <c r="L151">
        <v>6</v>
      </c>
      <c r="M151" t="s">
        <v>908</v>
      </c>
      <c r="N151" t="s">
        <v>726</v>
      </c>
      <c r="O151">
        <v>1</v>
      </c>
    </row>
    <row r="152" spans="1:15" x14ac:dyDescent="0.3">
      <c r="A152" t="s">
        <v>898</v>
      </c>
      <c r="B152">
        <v>152</v>
      </c>
      <c r="C152">
        <v>5619185</v>
      </c>
      <c r="D152">
        <v>132</v>
      </c>
      <c r="E152">
        <v>77</v>
      </c>
      <c r="F152">
        <v>1</v>
      </c>
      <c r="G152">
        <v>80.467808248724396</v>
      </c>
      <c r="H152">
        <v>1</v>
      </c>
      <c r="K152" t="s">
        <v>729</v>
      </c>
      <c r="L152">
        <v>6</v>
      </c>
      <c r="M152" t="s">
        <v>909</v>
      </c>
      <c r="N152" t="s">
        <v>726</v>
      </c>
      <c r="O152">
        <v>1</v>
      </c>
    </row>
    <row r="153" spans="1:15" x14ac:dyDescent="0.3">
      <c r="A153" t="s">
        <v>898</v>
      </c>
      <c r="B153">
        <v>153</v>
      </c>
      <c r="C153">
        <v>5619185</v>
      </c>
      <c r="D153">
        <v>77</v>
      </c>
      <c r="E153">
        <v>132</v>
      </c>
      <c r="F153">
        <v>1</v>
      </c>
      <c r="G153">
        <v>80.467808248724396</v>
      </c>
      <c r="H153">
        <v>1</v>
      </c>
      <c r="K153" t="s">
        <v>729</v>
      </c>
      <c r="L153">
        <v>6</v>
      </c>
      <c r="M153" t="s">
        <v>910</v>
      </c>
      <c r="N153" t="s">
        <v>726</v>
      </c>
      <c r="O153">
        <v>1</v>
      </c>
    </row>
    <row r="154" spans="1:15" x14ac:dyDescent="0.3">
      <c r="A154" t="s">
        <v>911</v>
      </c>
      <c r="B154">
        <v>154</v>
      </c>
      <c r="C154">
        <v>5619424</v>
      </c>
      <c r="D154">
        <v>242</v>
      </c>
      <c r="E154">
        <v>382</v>
      </c>
      <c r="F154">
        <v>1</v>
      </c>
      <c r="G154">
        <v>116.47810308647399</v>
      </c>
      <c r="H154">
        <v>1</v>
      </c>
      <c r="I154">
        <v>30</v>
      </c>
      <c r="K154" t="s">
        <v>711</v>
      </c>
      <c r="L154">
        <v>5</v>
      </c>
      <c r="M154" t="s">
        <v>912</v>
      </c>
      <c r="N154" t="s">
        <v>726</v>
      </c>
      <c r="O154">
        <v>1</v>
      </c>
    </row>
    <row r="155" spans="1:15" x14ac:dyDescent="0.3">
      <c r="A155" t="s">
        <v>911</v>
      </c>
      <c r="B155">
        <v>155</v>
      </c>
      <c r="C155">
        <v>5619424</v>
      </c>
      <c r="D155">
        <v>382</v>
      </c>
      <c r="E155">
        <v>242</v>
      </c>
      <c r="F155">
        <v>1</v>
      </c>
      <c r="G155">
        <v>116.47810308647399</v>
      </c>
      <c r="H155">
        <v>1</v>
      </c>
      <c r="I155">
        <v>30</v>
      </c>
      <c r="K155" t="s">
        <v>711</v>
      </c>
      <c r="L155">
        <v>5</v>
      </c>
      <c r="M155" t="s">
        <v>913</v>
      </c>
      <c r="N155" t="s">
        <v>726</v>
      </c>
      <c r="O155">
        <v>1</v>
      </c>
    </row>
    <row r="156" spans="1:15" x14ac:dyDescent="0.3">
      <c r="A156" t="s">
        <v>911</v>
      </c>
      <c r="B156">
        <v>156</v>
      </c>
      <c r="C156">
        <v>5619424</v>
      </c>
      <c r="D156">
        <v>382</v>
      </c>
      <c r="E156">
        <v>128</v>
      </c>
      <c r="F156">
        <v>1</v>
      </c>
      <c r="G156">
        <v>138.148354155936</v>
      </c>
      <c r="H156">
        <v>1</v>
      </c>
      <c r="I156">
        <v>30</v>
      </c>
      <c r="K156" t="s">
        <v>711</v>
      </c>
      <c r="L156">
        <v>5</v>
      </c>
      <c r="M156" t="s">
        <v>914</v>
      </c>
      <c r="N156" t="s">
        <v>726</v>
      </c>
      <c r="O156">
        <v>1</v>
      </c>
    </row>
    <row r="157" spans="1:15" x14ac:dyDescent="0.3">
      <c r="A157" t="s">
        <v>911</v>
      </c>
      <c r="B157">
        <v>157</v>
      </c>
      <c r="C157">
        <v>5619424</v>
      </c>
      <c r="D157">
        <v>128</v>
      </c>
      <c r="E157">
        <v>382</v>
      </c>
      <c r="F157">
        <v>1</v>
      </c>
      <c r="G157">
        <v>138.148354155936</v>
      </c>
      <c r="H157">
        <v>1</v>
      </c>
      <c r="I157">
        <v>30</v>
      </c>
      <c r="K157" t="s">
        <v>711</v>
      </c>
      <c r="L157">
        <v>5</v>
      </c>
      <c r="M157" t="s">
        <v>915</v>
      </c>
      <c r="N157" t="s">
        <v>726</v>
      </c>
      <c r="O157">
        <v>1</v>
      </c>
    </row>
    <row r="158" spans="1:15" x14ac:dyDescent="0.3">
      <c r="A158" t="s">
        <v>916</v>
      </c>
      <c r="B158">
        <v>158</v>
      </c>
      <c r="C158">
        <v>5620418</v>
      </c>
      <c r="D158">
        <v>133</v>
      </c>
      <c r="E158">
        <v>1956</v>
      </c>
      <c r="F158">
        <v>1</v>
      </c>
      <c r="G158">
        <v>102.871139387892</v>
      </c>
      <c r="H158">
        <v>1</v>
      </c>
      <c r="I158">
        <v>25</v>
      </c>
      <c r="K158" t="s">
        <v>729</v>
      </c>
      <c r="L158">
        <v>6</v>
      </c>
      <c r="M158" t="s">
        <v>917</v>
      </c>
      <c r="N158" t="s">
        <v>726</v>
      </c>
      <c r="O158">
        <v>1</v>
      </c>
    </row>
    <row r="159" spans="1:15" x14ac:dyDescent="0.3">
      <c r="A159" t="s">
        <v>916</v>
      </c>
      <c r="B159">
        <v>159</v>
      </c>
      <c r="C159">
        <v>5620418</v>
      </c>
      <c r="D159">
        <v>1956</v>
      </c>
      <c r="E159">
        <v>133</v>
      </c>
      <c r="F159">
        <v>1</v>
      </c>
      <c r="G159">
        <v>102.871139387892</v>
      </c>
      <c r="H159">
        <v>1</v>
      </c>
      <c r="I159">
        <v>25</v>
      </c>
      <c r="K159" t="s">
        <v>729</v>
      </c>
      <c r="L159">
        <v>6</v>
      </c>
      <c r="M159" t="s">
        <v>918</v>
      </c>
      <c r="N159" t="s">
        <v>726</v>
      </c>
      <c r="O159">
        <v>1</v>
      </c>
    </row>
    <row r="160" spans="1:15" x14ac:dyDescent="0.3">
      <c r="A160" t="s">
        <v>916</v>
      </c>
      <c r="B160">
        <v>160</v>
      </c>
      <c r="C160">
        <v>5620418</v>
      </c>
      <c r="D160">
        <v>1956</v>
      </c>
      <c r="E160">
        <v>1959</v>
      </c>
      <c r="F160">
        <v>1</v>
      </c>
      <c r="G160">
        <v>20.8065932476173</v>
      </c>
      <c r="H160">
        <v>1</v>
      </c>
      <c r="I160">
        <v>25</v>
      </c>
      <c r="K160" t="s">
        <v>729</v>
      </c>
      <c r="L160">
        <v>6</v>
      </c>
      <c r="M160" t="s">
        <v>919</v>
      </c>
      <c r="N160" t="s">
        <v>726</v>
      </c>
      <c r="O160">
        <v>1</v>
      </c>
    </row>
    <row r="161" spans="1:15" x14ac:dyDescent="0.3">
      <c r="A161" t="s">
        <v>916</v>
      </c>
      <c r="B161">
        <v>161</v>
      </c>
      <c r="C161">
        <v>5620418</v>
      </c>
      <c r="D161">
        <v>1959</v>
      </c>
      <c r="E161">
        <v>1956</v>
      </c>
      <c r="F161">
        <v>1</v>
      </c>
      <c r="G161">
        <v>20.8065932476173</v>
      </c>
      <c r="H161">
        <v>1</v>
      </c>
      <c r="I161">
        <v>25</v>
      </c>
      <c r="K161" t="s">
        <v>729</v>
      </c>
      <c r="L161">
        <v>6</v>
      </c>
      <c r="M161" t="s">
        <v>920</v>
      </c>
      <c r="N161" t="s">
        <v>726</v>
      </c>
      <c r="O161">
        <v>1</v>
      </c>
    </row>
    <row r="162" spans="1:15" x14ac:dyDescent="0.3">
      <c r="A162" t="s">
        <v>921</v>
      </c>
      <c r="B162">
        <v>162</v>
      </c>
      <c r="C162">
        <v>5620472</v>
      </c>
      <c r="D162">
        <v>374</v>
      </c>
      <c r="E162">
        <v>87</v>
      </c>
      <c r="F162">
        <v>1</v>
      </c>
      <c r="G162">
        <v>13.452376807044899</v>
      </c>
      <c r="H162">
        <v>1</v>
      </c>
      <c r="K162" t="s">
        <v>729</v>
      </c>
      <c r="L162">
        <v>6</v>
      </c>
      <c r="M162" t="s">
        <v>922</v>
      </c>
      <c r="N162" t="s">
        <v>726</v>
      </c>
      <c r="O162">
        <v>1</v>
      </c>
    </row>
    <row r="163" spans="1:15" x14ac:dyDescent="0.3">
      <c r="A163" t="s">
        <v>921</v>
      </c>
      <c r="B163">
        <v>163</v>
      </c>
      <c r="C163">
        <v>5620472</v>
      </c>
      <c r="D163">
        <v>87</v>
      </c>
      <c r="E163">
        <v>374</v>
      </c>
      <c r="F163">
        <v>1</v>
      </c>
      <c r="G163">
        <v>13.452376807044899</v>
      </c>
      <c r="H163">
        <v>1</v>
      </c>
      <c r="K163" t="s">
        <v>729</v>
      </c>
      <c r="L163">
        <v>6</v>
      </c>
      <c r="M163" t="s">
        <v>923</v>
      </c>
      <c r="N163" t="s">
        <v>726</v>
      </c>
      <c r="O163">
        <v>1</v>
      </c>
    </row>
    <row r="164" spans="1:15" x14ac:dyDescent="0.3">
      <c r="A164" t="s">
        <v>921</v>
      </c>
      <c r="B164">
        <v>164</v>
      </c>
      <c r="C164">
        <v>5620472</v>
      </c>
      <c r="D164">
        <v>87</v>
      </c>
      <c r="E164">
        <v>134</v>
      </c>
      <c r="F164">
        <v>1</v>
      </c>
      <c r="G164">
        <v>63.648156537259098</v>
      </c>
      <c r="H164">
        <v>1</v>
      </c>
      <c r="K164" t="s">
        <v>729</v>
      </c>
      <c r="L164">
        <v>6</v>
      </c>
      <c r="M164" t="s">
        <v>924</v>
      </c>
      <c r="N164" t="s">
        <v>726</v>
      </c>
      <c r="O164">
        <v>1</v>
      </c>
    </row>
    <row r="165" spans="1:15" x14ac:dyDescent="0.3">
      <c r="A165" t="s">
        <v>921</v>
      </c>
      <c r="B165">
        <v>165</v>
      </c>
      <c r="C165">
        <v>5620472</v>
      </c>
      <c r="D165">
        <v>134</v>
      </c>
      <c r="E165">
        <v>87</v>
      </c>
      <c r="F165">
        <v>1</v>
      </c>
      <c r="G165">
        <v>63.648156537259098</v>
      </c>
      <c r="H165">
        <v>1</v>
      </c>
      <c r="K165" t="s">
        <v>729</v>
      </c>
      <c r="L165">
        <v>6</v>
      </c>
      <c r="M165" t="s">
        <v>925</v>
      </c>
      <c r="N165" t="s">
        <v>726</v>
      </c>
      <c r="O165">
        <v>1</v>
      </c>
    </row>
    <row r="166" spans="1:15" x14ac:dyDescent="0.3">
      <c r="A166" t="s">
        <v>926</v>
      </c>
      <c r="B166">
        <v>166</v>
      </c>
      <c r="C166">
        <v>5620644</v>
      </c>
      <c r="D166">
        <v>135</v>
      </c>
      <c r="E166">
        <v>136</v>
      </c>
      <c r="F166">
        <v>1</v>
      </c>
      <c r="G166">
        <v>124.71622972367101</v>
      </c>
      <c r="H166">
        <v>1</v>
      </c>
      <c r="I166">
        <v>25</v>
      </c>
      <c r="K166" t="s">
        <v>729</v>
      </c>
      <c r="L166">
        <v>6</v>
      </c>
      <c r="M166" t="s">
        <v>927</v>
      </c>
      <c r="N166" t="s">
        <v>726</v>
      </c>
      <c r="O166">
        <v>1</v>
      </c>
    </row>
    <row r="167" spans="1:15" x14ac:dyDescent="0.3">
      <c r="A167" t="s">
        <v>926</v>
      </c>
      <c r="B167">
        <v>167</v>
      </c>
      <c r="C167">
        <v>5620644</v>
      </c>
      <c r="D167">
        <v>136</v>
      </c>
      <c r="E167">
        <v>135</v>
      </c>
      <c r="F167">
        <v>1</v>
      </c>
      <c r="G167">
        <v>124.71622972367101</v>
      </c>
      <c r="H167">
        <v>1</v>
      </c>
      <c r="I167">
        <v>25</v>
      </c>
      <c r="K167" t="s">
        <v>729</v>
      </c>
      <c r="L167">
        <v>6</v>
      </c>
      <c r="M167" t="s">
        <v>928</v>
      </c>
      <c r="N167" t="s">
        <v>726</v>
      </c>
      <c r="O167">
        <v>1</v>
      </c>
    </row>
    <row r="168" spans="1:15" x14ac:dyDescent="0.3">
      <c r="A168" t="s">
        <v>926</v>
      </c>
      <c r="B168">
        <v>168</v>
      </c>
      <c r="C168">
        <v>5620644</v>
      </c>
      <c r="D168">
        <v>136</v>
      </c>
      <c r="E168">
        <v>94</v>
      </c>
      <c r="F168">
        <v>1</v>
      </c>
      <c r="G168">
        <v>145.890341031189</v>
      </c>
      <c r="H168">
        <v>1</v>
      </c>
      <c r="I168">
        <v>25</v>
      </c>
      <c r="K168" t="s">
        <v>729</v>
      </c>
      <c r="L168">
        <v>6</v>
      </c>
      <c r="M168" t="s">
        <v>929</v>
      </c>
      <c r="N168" t="s">
        <v>726</v>
      </c>
      <c r="O168">
        <v>1</v>
      </c>
    </row>
    <row r="169" spans="1:15" x14ac:dyDescent="0.3">
      <c r="A169" t="s">
        <v>926</v>
      </c>
      <c r="B169">
        <v>169</v>
      </c>
      <c r="C169">
        <v>5620644</v>
      </c>
      <c r="D169">
        <v>94</v>
      </c>
      <c r="E169">
        <v>136</v>
      </c>
      <c r="F169">
        <v>1</v>
      </c>
      <c r="G169">
        <v>145.890341031189</v>
      </c>
      <c r="H169">
        <v>1</v>
      </c>
      <c r="I169">
        <v>25</v>
      </c>
      <c r="K169" t="s">
        <v>729</v>
      </c>
      <c r="L169">
        <v>6</v>
      </c>
      <c r="M169" t="s">
        <v>930</v>
      </c>
      <c r="N169" t="s">
        <v>726</v>
      </c>
      <c r="O169">
        <v>1</v>
      </c>
    </row>
    <row r="170" spans="1:15" x14ac:dyDescent="0.3">
      <c r="A170" t="s">
        <v>926</v>
      </c>
      <c r="B170">
        <v>170</v>
      </c>
      <c r="C170">
        <v>5620644</v>
      </c>
      <c r="D170">
        <v>94</v>
      </c>
      <c r="E170">
        <v>133</v>
      </c>
      <c r="F170">
        <v>1</v>
      </c>
      <c r="G170">
        <v>182.54888321402601</v>
      </c>
      <c r="H170">
        <v>1</v>
      </c>
      <c r="I170">
        <v>25</v>
      </c>
      <c r="K170" t="s">
        <v>729</v>
      </c>
      <c r="L170">
        <v>6</v>
      </c>
      <c r="M170" t="s">
        <v>931</v>
      </c>
      <c r="N170" t="s">
        <v>726</v>
      </c>
      <c r="O170">
        <v>1</v>
      </c>
    </row>
    <row r="171" spans="1:15" x14ac:dyDescent="0.3">
      <c r="A171" t="s">
        <v>926</v>
      </c>
      <c r="B171">
        <v>171</v>
      </c>
      <c r="C171">
        <v>5620644</v>
      </c>
      <c r="D171">
        <v>133</v>
      </c>
      <c r="E171">
        <v>94</v>
      </c>
      <c r="F171">
        <v>1</v>
      </c>
      <c r="G171">
        <v>182.54888321402601</v>
      </c>
      <c r="H171">
        <v>1</v>
      </c>
      <c r="I171">
        <v>25</v>
      </c>
      <c r="K171" t="s">
        <v>729</v>
      </c>
      <c r="L171">
        <v>6</v>
      </c>
      <c r="M171" t="s">
        <v>932</v>
      </c>
      <c r="N171" t="s">
        <v>726</v>
      </c>
      <c r="O171">
        <v>1</v>
      </c>
    </row>
    <row r="172" spans="1:15" x14ac:dyDescent="0.3">
      <c r="A172" t="s">
        <v>933</v>
      </c>
      <c r="B172">
        <v>172</v>
      </c>
      <c r="C172">
        <v>5621022</v>
      </c>
      <c r="D172">
        <v>137</v>
      </c>
      <c r="E172">
        <v>276</v>
      </c>
      <c r="F172">
        <v>1</v>
      </c>
      <c r="G172">
        <v>63.959849812115699</v>
      </c>
      <c r="H172">
        <v>1</v>
      </c>
      <c r="K172" t="s">
        <v>729</v>
      </c>
      <c r="L172">
        <v>6</v>
      </c>
      <c r="M172" t="s">
        <v>934</v>
      </c>
      <c r="N172" t="s">
        <v>726</v>
      </c>
      <c r="O172">
        <v>1</v>
      </c>
    </row>
    <row r="173" spans="1:15" x14ac:dyDescent="0.3">
      <c r="A173" t="s">
        <v>933</v>
      </c>
      <c r="B173">
        <v>173</v>
      </c>
      <c r="C173">
        <v>5621022</v>
      </c>
      <c r="D173">
        <v>276</v>
      </c>
      <c r="E173">
        <v>137</v>
      </c>
      <c r="F173">
        <v>1</v>
      </c>
      <c r="G173">
        <v>63.959849812115699</v>
      </c>
      <c r="H173">
        <v>1</v>
      </c>
      <c r="K173" t="s">
        <v>729</v>
      </c>
      <c r="L173">
        <v>6</v>
      </c>
      <c r="M173" t="s">
        <v>935</v>
      </c>
      <c r="N173" t="s">
        <v>726</v>
      </c>
      <c r="O173">
        <v>1</v>
      </c>
    </row>
    <row r="174" spans="1:15" x14ac:dyDescent="0.3">
      <c r="A174" t="s">
        <v>933</v>
      </c>
      <c r="B174">
        <v>174</v>
      </c>
      <c r="C174">
        <v>5621022</v>
      </c>
      <c r="D174">
        <v>276</v>
      </c>
      <c r="E174">
        <v>138</v>
      </c>
      <c r="F174">
        <v>1</v>
      </c>
      <c r="G174">
        <v>115.788245210808</v>
      </c>
      <c r="H174">
        <v>1</v>
      </c>
      <c r="K174" t="s">
        <v>729</v>
      </c>
      <c r="L174">
        <v>6</v>
      </c>
      <c r="M174" t="s">
        <v>936</v>
      </c>
      <c r="N174" t="s">
        <v>726</v>
      </c>
      <c r="O174">
        <v>1</v>
      </c>
    </row>
    <row r="175" spans="1:15" x14ac:dyDescent="0.3">
      <c r="A175" t="s">
        <v>933</v>
      </c>
      <c r="B175">
        <v>175</v>
      </c>
      <c r="C175">
        <v>5621022</v>
      </c>
      <c r="D175">
        <v>138</v>
      </c>
      <c r="E175">
        <v>276</v>
      </c>
      <c r="F175">
        <v>1</v>
      </c>
      <c r="G175">
        <v>115.788245210808</v>
      </c>
      <c r="H175">
        <v>1</v>
      </c>
      <c r="K175" t="s">
        <v>729</v>
      </c>
      <c r="L175">
        <v>6</v>
      </c>
      <c r="M175" t="s">
        <v>937</v>
      </c>
      <c r="N175" t="s">
        <v>726</v>
      </c>
      <c r="O175">
        <v>1</v>
      </c>
    </row>
    <row r="176" spans="1:15" x14ac:dyDescent="0.3">
      <c r="A176" t="s">
        <v>938</v>
      </c>
      <c r="B176">
        <v>176</v>
      </c>
      <c r="C176">
        <v>5624529</v>
      </c>
      <c r="D176">
        <v>631</v>
      </c>
      <c r="E176">
        <v>96</v>
      </c>
      <c r="F176">
        <v>1</v>
      </c>
      <c r="G176">
        <v>169.364841652281</v>
      </c>
      <c r="H176">
        <v>1</v>
      </c>
      <c r="K176" t="s">
        <v>711</v>
      </c>
      <c r="L176">
        <v>5</v>
      </c>
      <c r="M176" t="s">
        <v>939</v>
      </c>
      <c r="N176" t="s">
        <v>726</v>
      </c>
      <c r="O176">
        <v>1</v>
      </c>
    </row>
    <row r="177" spans="1:15" x14ac:dyDescent="0.3">
      <c r="A177" t="s">
        <v>938</v>
      </c>
      <c r="B177">
        <v>177</v>
      </c>
      <c r="C177">
        <v>5624529</v>
      </c>
      <c r="D177">
        <v>96</v>
      </c>
      <c r="E177">
        <v>631</v>
      </c>
      <c r="F177">
        <v>1</v>
      </c>
      <c r="G177">
        <v>169.364841652281</v>
      </c>
      <c r="H177">
        <v>1</v>
      </c>
      <c r="K177" t="s">
        <v>711</v>
      </c>
      <c r="L177">
        <v>5</v>
      </c>
      <c r="M177" t="s">
        <v>940</v>
      </c>
      <c r="N177" t="s">
        <v>726</v>
      </c>
      <c r="O177">
        <v>1</v>
      </c>
    </row>
    <row r="178" spans="1:15" x14ac:dyDescent="0.3">
      <c r="A178" t="s">
        <v>941</v>
      </c>
      <c r="B178">
        <v>178</v>
      </c>
      <c r="C178">
        <v>5627987</v>
      </c>
      <c r="D178">
        <v>144</v>
      </c>
      <c r="E178">
        <v>145</v>
      </c>
      <c r="F178">
        <v>1</v>
      </c>
      <c r="G178">
        <v>198.459919052137</v>
      </c>
      <c r="H178">
        <v>1</v>
      </c>
      <c r="K178" t="s">
        <v>729</v>
      </c>
      <c r="L178">
        <v>6</v>
      </c>
      <c r="M178" t="s">
        <v>942</v>
      </c>
      <c r="N178" t="s">
        <v>726</v>
      </c>
      <c r="O178">
        <v>1</v>
      </c>
    </row>
    <row r="179" spans="1:15" x14ac:dyDescent="0.3">
      <c r="A179" t="s">
        <v>941</v>
      </c>
      <c r="B179">
        <v>179</v>
      </c>
      <c r="C179">
        <v>5627987</v>
      </c>
      <c r="D179">
        <v>145</v>
      </c>
      <c r="E179">
        <v>144</v>
      </c>
      <c r="F179">
        <v>1</v>
      </c>
      <c r="G179">
        <v>198.459919052137</v>
      </c>
      <c r="H179">
        <v>1</v>
      </c>
      <c r="K179" t="s">
        <v>729</v>
      </c>
      <c r="L179">
        <v>6</v>
      </c>
      <c r="M179" t="s">
        <v>943</v>
      </c>
      <c r="N179" t="s">
        <v>726</v>
      </c>
      <c r="O179">
        <v>1</v>
      </c>
    </row>
    <row r="180" spans="1:15" x14ac:dyDescent="0.3">
      <c r="A180" t="s">
        <v>944</v>
      </c>
      <c r="B180">
        <v>180</v>
      </c>
      <c r="C180">
        <v>5628208</v>
      </c>
      <c r="D180">
        <v>147</v>
      </c>
      <c r="E180">
        <v>772</v>
      </c>
      <c r="F180">
        <v>1</v>
      </c>
      <c r="G180">
        <v>30.311737004046201</v>
      </c>
      <c r="H180">
        <v>1</v>
      </c>
      <c r="K180" t="s">
        <v>729</v>
      </c>
      <c r="L180">
        <v>6</v>
      </c>
      <c r="M180" t="s">
        <v>945</v>
      </c>
      <c r="N180" t="s">
        <v>726</v>
      </c>
      <c r="O180">
        <v>1</v>
      </c>
    </row>
    <row r="181" spans="1:15" x14ac:dyDescent="0.3">
      <c r="A181" t="s">
        <v>944</v>
      </c>
      <c r="B181">
        <v>181</v>
      </c>
      <c r="C181">
        <v>5628208</v>
      </c>
      <c r="D181">
        <v>772</v>
      </c>
      <c r="E181">
        <v>147</v>
      </c>
      <c r="F181">
        <v>1</v>
      </c>
      <c r="G181">
        <v>30.311737004046201</v>
      </c>
      <c r="H181">
        <v>1</v>
      </c>
      <c r="K181" t="s">
        <v>729</v>
      </c>
      <c r="L181">
        <v>6</v>
      </c>
      <c r="M181" t="s">
        <v>946</v>
      </c>
      <c r="N181" t="s">
        <v>726</v>
      </c>
      <c r="O181">
        <v>1</v>
      </c>
    </row>
    <row r="182" spans="1:15" x14ac:dyDescent="0.3">
      <c r="A182" t="s">
        <v>944</v>
      </c>
      <c r="B182">
        <v>182</v>
      </c>
      <c r="C182">
        <v>5628210</v>
      </c>
      <c r="D182">
        <v>39</v>
      </c>
      <c r="E182">
        <v>131</v>
      </c>
      <c r="F182">
        <v>1</v>
      </c>
      <c r="G182">
        <v>78.874600941477595</v>
      </c>
      <c r="H182">
        <v>1</v>
      </c>
      <c r="K182" t="s">
        <v>729</v>
      </c>
      <c r="L182">
        <v>6</v>
      </c>
      <c r="M182" t="s">
        <v>947</v>
      </c>
      <c r="N182" t="s">
        <v>726</v>
      </c>
      <c r="O182">
        <v>1</v>
      </c>
    </row>
    <row r="183" spans="1:15" x14ac:dyDescent="0.3">
      <c r="A183" t="s">
        <v>944</v>
      </c>
      <c r="B183">
        <v>183</v>
      </c>
      <c r="C183">
        <v>5628210</v>
      </c>
      <c r="D183">
        <v>131</v>
      </c>
      <c r="E183">
        <v>39</v>
      </c>
      <c r="F183">
        <v>1</v>
      </c>
      <c r="G183">
        <v>78.874600941477595</v>
      </c>
      <c r="H183">
        <v>1</v>
      </c>
      <c r="K183" t="s">
        <v>729</v>
      </c>
      <c r="L183">
        <v>6</v>
      </c>
      <c r="M183" t="s">
        <v>948</v>
      </c>
      <c r="N183" t="s">
        <v>726</v>
      </c>
      <c r="O183">
        <v>1</v>
      </c>
    </row>
    <row r="184" spans="1:15" x14ac:dyDescent="0.3">
      <c r="A184" t="s">
        <v>944</v>
      </c>
      <c r="B184">
        <v>184</v>
      </c>
      <c r="C184">
        <v>5628210</v>
      </c>
      <c r="D184">
        <v>131</v>
      </c>
      <c r="E184">
        <v>130</v>
      </c>
      <c r="F184">
        <v>1</v>
      </c>
      <c r="G184">
        <v>43.8110528173479</v>
      </c>
      <c r="H184">
        <v>1</v>
      </c>
      <c r="K184" t="s">
        <v>729</v>
      </c>
      <c r="L184">
        <v>6</v>
      </c>
      <c r="M184" t="s">
        <v>949</v>
      </c>
      <c r="N184" t="s">
        <v>726</v>
      </c>
      <c r="O184">
        <v>1</v>
      </c>
    </row>
    <row r="185" spans="1:15" x14ac:dyDescent="0.3">
      <c r="A185" t="s">
        <v>944</v>
      </c>
      <c r="B185">
        <v>185</v>
      </c>
      <c r="C185">
        <v>5628210</v>
      </c>
      <c r="D185">
        <v>130</v>
      </c>
      <c r="E185">
        <v>131</v>
      </c>
      <c r="F185">
        <v>1</v>
      </c>
      <c r="G185">
        <v>43.8110528173479</v>
      </c>
      <c r="H185">
        <v>1</v>
      </c>
      <c r="K185" t="s">
        <v>729</v>
      </c>
      <c r="L185">
        <v>6</v>
      </c>
      <c r="M185" t="s">
        <v>950</v>
      </c>
      <c r="N185" t="s">
        <v>726</v>
      </c>
      <c r="O185">
        <v>1</v>
      </c>
    </row>
    <row r="186" spans="1:15" x14ac:dyDescent="0.3">
      <c r="A186" t="s">
        <v>944</v>
      </c>
      <c r="B186">
        <v>186</v>
      </c>
      <c r="C186">
        <v>5628210</v>
      </c>
      <c r="D186">
        <v>130</v>
      </c>
      <c r="E186">
        <v>148</v>
      </c>
      <c r="F186">
        <v>1</v>
      </c>
      <c r="G186">
        <v>114.731021798981</v>
      </c>
      <c r="H186">
        <v>1</v>
      </c>
      <c r="K186" t="s">
        <v>729</v>
      </c>
      <c r="L186">
        <v>6</v>
      </c>
      <c r="M186" t="s">
        <v>951</v>
      </c>
      <c r="N186" t="s">
        <v>726</v>
      </c>
      <c r="O186">
        <v>1</v>
      </c>
    </row>
    <row r="187" spans="1:15" x14ac:dyDescent="0.3">
      <c r="A187" t="s">
        <v>944</v>
      </c>
      <c r="B187">
        <v>187</v>
      </c>
      <c r="C187">
        <v>5628210</v>
      </c>
      <c r="D187">
        <v>148</v>
      </c>
      <c r="E187">
        <v>130</v>
      </c>
      <c r="F187">
        <v>1</v>
      </c>
      <c r="G187">
        <v>114.731021798981</v>
      </c>
      <c r="H187">
        <v>1</v>
      </c>
      <c r="K187" t="s">
        <v>729</v>
      </c>
      <c r="L187">
        <v>6</v>
      </c>
      <c r="M187" t="s">
        <v>952</v>
      </c>
      <c r="N187" t="s">
        <v>726</v>
      </c>
      <c r="O187">
        <v>1</v>
      </c>
    </row>
    <row r="188" spans="1:15" x14ac:dyDescent="0.3">
      <c r="A188" t="s">
        <v>944</v>
      </c>
      <c r="B188">
        <v>188</v>
      </c>
      <c r="C188">
        <v>5628210</v>
      </c>
      <c r="D188">
        <v>148</v>
      </c>
      <c r="E188">
        <v>391</v>
      </c>
      <c r="F188">
        <v>1</v>
      </c>
      <c r="G188">
        <v>77.6388157035381</v>
      </c>
      <c r="H188">
        <v>1</v>
      </c>
      <c r="K188" t="s">
        <v>729</v>
      </c>
      <c r="L188">
        <v>6</v>
      </c>
      <c r="M188" t="s">
        <v>953</v>
      </c>
      <c r="N188" t="s">
        <v>726</v>
      </c>
      <c r="O188">
        <v>1</v>
      </c>
    </row>
    <row r="189" spans="1:15" x14ac:dyDescent="0.3">
      <c r="A189" t="s">
        <v>944</v>
      </c>
      <c r="B189">
        <v>189</v>
      </c>
      <c r="C189">
        <v>5628210</v>
      </c>
      <c r="D189">
        <v>391</v>
      </c>
      <c r="E189">
        <v>148</v>
      </c>
      <c r="F189">
        <v>1</v>
      </c>
      <c r="G189">
        <v>77.6388157035381</v>
      </c>
      <c r="H189">
        <v>1</v>
      </c>
      <c r="K189" t="s">
        <v>729</v>
      </c>
      <c r="L189">
        <v>6</v>
      </c>
      <c r="M189" t="s">
        <v>954</v>
      </c>
      <c r="N189" t="s">
        <v>726</v>
      </c>
      <c r="O189">
        <v>1</v>
      </c>
    </row>
    <row r="190" spans="1:15" x14ac:dyDescent="0.3">
      <c r="A190" t="s">
        <v>944</v>
      </c>
      <c r="B190">
        <v>190</v>
      </c>
      <c r="C190">
        <v>5628210</v>
      </c>
      <c r="D190">
        <v>391</v>
      </c>
      <c r="E190">
        <v>149</v>
      </c>
      <c r="F190">
        <v>1</v>
      </c>
      <c r="G190">
        <v>9.3409319055436999</v>
      </c>
      <c r="H190">
        <v>1</v>
      </c>
      <c r="K190" t="s">
        <v>729</v>
      </c>
      <c r="L190">
        <v>6</v>
      </c>
      <c r="M190" t="s">
        <v>955</v>
      </c>
      <c r="N190" t="s">
        <v>726</v>
      </c>
      <c r="O190">
        <v>1</v>
      </c>
    </row>
    <row r="191" spans="1:15" x14ac:dyDescent="0.3">
      <c r="A191" t="s">
        <v>944</v>
      </c>
      <c r="B191">
        <v>191</v>
      </c>
      <c r="C191">
        <v>5628210</v>
      </c>
      <c r="D191">
        <v>149</v>
      </c>
      <c r="E191">
        <v>391</v>
      </c>
      <c r="F191">
        <v>1</v>
      </c>
      <c r="G191">
        <v>9.3409319055436999</v>
      </c>
      <c r="H191">
        <v>1</v>
      </c>
      <c r="K191" t="s">
        <v>729</v>
      </c>
      <c r="L191">
        <v>6</v>
      </c>
      <c r="M191" t="s">
        <v>956</v>
      </c>
      <c r="N191" t="s">
        <v>726</v>
      </c>
      <c r="O191">
        <v>1</v>
      </c>
    </row>
    <row r="192" spans="1:15" x14ac:dyDescent="0.3">
      <c r="A192" t="s">
        <v>957</v>
      </c>
      <c r="B192">
        <v>192</v>
      </c>
      <c r="C192">
        <v>5630444</v>
      </c>
      <c r="D192">
        <v>26</v>
      </c>
      <c r="E192">
        <v>1953</v>
      </c>
      <c r="F192">
        <v>1</v>
      </c>
      <c r="G192">
        <v>486.47970045634497</v>
      </c>
      <c r="H192">
        <v>1</v>
      </c>
      <c r="K192" t="s">
        <v>880</v>
      </c>
      <c r="L192">
        <v>11</v>
      </c>
      <c r="M192" t="s">
        <v>958</v>
      </c>
      <c r="N192" t="s">
        <v>726</v>
      </c>
      <c r="O192">
        <v>1</v>
      </c>
    </row>
    <row r="193" spans="1:15" x14ac:dyDescent="0.3">
      <c r="A193" t="s">
        <v>957</v>
      </c>
      <c r="B193">
        <v>193</v>
      </c>
      <c r="C193">
        <v>5630444</v>
      </c>
      <c r="D193">
        <v>1953</v>
      </c>
      <c r="E193">
        <v>26</v>
      </c>
      <c r="F193">
        <v>1</v>
      </c>
      <c r="G193">
        <v>486.47970045634497</v>
      </c>
      <c r="H193">
        <v>1</v>
      </c>
      <c r="K193" t="s">
        <v>880</v>
      </c>
      <c r="L193">
        <v>11</v>
      </c>
      <c r="M193" t="s">
        <v>959</v>
      </c>
      <c r="N193" t="s">
        <v>726</v>
      </c>
      <c r="O193">
        <v>1</v>
      </c>
    </row>
    <row r="194" spans="1:15" x14ac:dyDescent="0.3">
      <c r="A194" t="s">
        <v>960</v>
      </c>
      <c r="B194">
        <v>194</v>
      </c>
      <c r="C194">
        <v>5630684</v>
      </c>
      <c r="D194">
        <v>150</v>
      </c>
      <c r="E194">
        <v>151</v>
      </c>
      <c r="F194">
        <v>1</v>
      </c>
      <c r="G194">
        <v>178.60254911867301</v>
      </c>
      <c r="H194">
        <v>1</v>
      </c>
      <c r="K194" t="s">
        <v>729</v>
      </c>
      <c r="L194">
        <v>6</v>
      </c>
      <c r="M194" t="s">
        <v>961</v>
      </c>
      <c r="N194" t="s">
        <v>726</v>
      </c>
      <c r="O194">
        <v>1</v>
      </c>
    </row>
    <row r="195" spans="1:15" x14ac:dyDescent="0.3">
      <c r="A195" t="s">
        <v>960</v>
      </c>
      <c r="B195">
        <v>195</v>
      </c>
      <c r="C195">
        <v>5630684</v>
      </c>
      <c r="D195">
        <v>151</v>
      </c>
      <c r="E195">
        <v>150</v>
      </c>
      <c r="F195">
        <v>1</v>
      </c>
      <c r="G195">
        <v>178.60254911867301</v>
      </c>
      <c r="H195">
        <v>1</v>
      </c>
      <c r="K195" t="s">
        <v>729</v>
      </c>
      <c r="L195">
        <v>6</v>
      </c>
      <c r="M195" t="s">
        <v>962</v>
      </c>
      <c r="N195" t="s">
        <v>726</v>
      </c>
      <c r="O195">
        <v>1</v>
      </c>
    </row>
    <row r="196" spans="1:15" x14ac:dyDescent="0.3">
      <c r="A196" t="s">
        <v>963</v>
      </c>
      <c r="B196">
        <v>196</v>
      </c>
      <c r="C196">
        <v>5630790</v>
      </c>
      <c r="D196">
        <v>152</v>
      </c>
      <c r="E196">
        <v>95</v>
      </c>
      <c r="F196">
        <v>1</v>
      </c>
      <c r="G196">
        <v>145.63285782281</v>
      </c>
      <c r="H196">
        <v>1</v>
      </c>
      <c r="K196" t="s">
        <v>729</v>
      </c>
      <c r="L196">
        <v>6</v>
      </c>
      <c r="M196" t="s">
        <v>964</v>
      </c>
      <c r="N196" t="s">
        <v>726</v>
      </c>
      <c r="O196">
        <v>1</v>
      </c>
    </row>
    <row r="197" spans="1:15" x14ac:dyDescent="0.3">
      <c r="A197" t="s">
        <v>963</v>
      </c>
      <c r="B197">
        <v>197</v>
      </c>
      <c r="C197">
        <v>5630790</v>
      </c>
      <c r="D197">
        <v>95</v>
      </c>
      <c r="E197">
        <v>152</v>
      </c>
      <c r="F197">
        <v>1</v>
      </c>
      <c r="G197">
        <v>145.63285782281</v>
      </c>
      <c r="H197">
        <v>1</v>
      </c>
      <c r="K197" t="s">
        <v>729</v>
      </c>
      <c r="L197">
        <v>6</v>
      </c>
      <c r="M197" t="s">
        <v>965</v>
      </c>
      <c r="N197" t="s">
        <v>726</v>
      </c>
      <c r="O197">
        <v>1</v>
      </c>
    </row>
    <row r="198" spans="1:15" x14ac:dyDescent="0.3">
      <c r="A198" t="s">
        <v>963</v>
      </c>
      <c r="B198">
        <v>198</v>
      </c>
      <c r="C198">
        <v>5630790</v>
      </c>
      <c r="D198">
        <v>95</v>
      </c>
      <c r="E198">
        <v>153</v>
      </c>
      <c r="F198">
        <v>1</v>
      </c>
      <c r="G198">
        <v>102.067053698869</v>
      </c>
      <c r="H198">
        <v>1</v>
      </c>
      <c r="K198" t="s">
        <v>729</v>
      </c>
      <c r="L198">
        <v>6</v>
      </c>
      <c r="M198" t="s">
        <v>966</v>
      </c>
      <c r="N198" t="s">
        <v>726</v>
      </c>
      <c r="O198">
        <v>1</v>
      </c>
    </row>
    <row r="199" spans="1:15" x14ac:dyDescent="0.3">
      <c r="A199" t="s">
        <v>963</v>
      </c>
      <c r="B199">
        <v>199</v>
      </c>
      <c r="C199">
        <v>5630790</v>
      </c>
      <c r="D199">
        <v>153</v>
      </c>
      <c r="E199">
        <v>95</v>
      </c>
      <c r="F199">
        <v>1</v>
      </c>
      <c r="G199">
        <v>102.067053698869</v>
      </c>
      <c r="H199">
        <v>1</v>
      </c>
      <c r="K199" t="s">
        <v>729</v>
      </c>
      <c r="L199">
        <v>6</v>
      </c>
      <c r="M199" t="s">
        <v>967</v>
      </c>
      <c r="N199" t="s">
        <v>726</v>
      </c>
      <c r="O199">
        <v>1</v>
      </c>
    </row>
    <row r="200" spans="1:15" x14ac:dyDescent="0.3">
      <c r="A200" t="s">
        <v>963</v>
      </c>
      <c r="B200">
        <v>200</v>
      </c>
      <c r="C200">
        <v>5630790</v>
      </c>
      <c r="D200">
        <v>153</v>
      </c>
      <c r="E200">
        <v>133</v>
      </c>
      <c r="F200">
        <v>1</v>
      </c>
      <c r="G200">
        <v>82.100884172678093</v>
      </c>
      <c r="H200">
        <v>1</v>
      </c>
      <c r="K200" t="s">
        <v>729</v>
      </c>
      <c r="L200">
        <v>6</v>
      </c>
      <c r="M200" t="s">
        <v>968</v>
      </c>
      <c r="N200" t="s">
        <v>726</v>
      </c>
      <c r="O200">
        <v>1</v>
      </c>
    </row>
    <row r="201" spans="1:15" x14ac:dyDescent="0.3">
      <c r="A201" t="s">
        <v>963</v>
      </c>
      <c r="B201">
        <v>201</v>
      </c>
      <c r="C201">
        <v>5630790</v>
      </c>
      <c r="D201">
        <v>133</v>
      </c>
      <c r="E201">
        <v>153</v>
      </c>
      <c r="F201">
        <v>1</v>
      </c>
      <c r="G201">
        <v>82.100884172678093</v>
      </c>
      <c r="H201">
        <v>1</v>
      </c>
      <c r="K201" t="s">
        <v>729</v>
      </c>
      <c r="L201">
        <v>6</v>
      </c>
      <c r="M201" t="s">
        <v>969</v>
      </c>
      <c r="N201" t="s">
        <v>726</v>
      </c>
      <c r="O201">
        <v>1</v>
      </c>
    </row>
    <row r="202" spans="1:15" x14ac:dyDescent="0.3">
      <c r="A202" t="s">
        <v>970</v>
      </c>
      <c r="B202">
        <v>202</v>
      </c>
      <c r="C202">
        <v>5630925</v>
      </c>
      <c r="D202">
        <v>654</v>
      </c>
      <c r="E202">
        <v>655</v>
      </c>
      <c r="F202">
        <v>1</v>
      </c>
      <c r="G202">
        <v>34.329557416087702</v>
      </c>
      <c r="H202">
        <v>1</v>
      </c>
      <c r="K202" t="s">
        <v>729</v>
      </c>
      <c r="L202">
        <v>6</v>
      </c>
      <c r="M202" t="s">
        <v>971</v>
      </c>
      <c r="N202" t="s">
        <v>726</v>
      </c>
      <c r="O202">
        <v>1</v>
      </c>
    </row>
    <row r="203" spans="1:15" x14ac:dyDescent="0.3">
      <c r="A203" t="s">
        <v>970</v>
      </c>
      <c r="B203">
        <v>203</v>
      </c>
      <c r="C203">
        <v>5630925</v>
      </c>
      <c r="D203">
        <v>655</v>
      </c>
      <c r="E203">
        <v>654</v>
      </c>
      <c r="F203">
        <v>1</v>
      </c>
      <c r="G203">
        <v>34.329557416087702</v>
      </c>
      <c r="H203">
        <v>1</v>
      </c>
      <c r="K203" t="s">
        <v>729</v>
      </c>
      <c r="L203">
        <v>6</v>
      </c>
      <c r="M203" t="s">
        <v>972</v>
      </c>
      <c r="N203" t="s">
        <v>726</v>
      </c>
      <c r="O203">
        <v>1</v>
      </c>
    </row>
    <row r="204" spans="1:15" x14ac:dyDescent="0.3">
      <c r="A204" t="s">
        <v>970</v>
      </c>
      <c r="B204">
        <v>204</v>
      </c>
      <c r="C204">
        <v>5630925</v>
      </c>
      <c r="D204">
        <v>655</v>
      </c>
      <c r="E204">
        <v>154</v>
      </c>
      <c r="F204">
        <v>1</v>
      </c>
      <c r="G204">
        <v>98.790399000788497</v>
      </c>
      <c r="H204">
        <v>1</v>
      </c>
      <c r="K204" t="s">
        <v>729</v>
      </c>
      <c r="L204">
        <v>6</v>
      </c>
      <c r="M204" t="s">
        <v>973</v>
      </c>
      <c r="N204" t="s">
        <v>726</v>
      </c>
      <c r="O204">
        <v>1</v>
      </c>
    </row>
    <row r="205" spans="1:15" x14ac:dyDescent="0.3">
      <c r="A205" t="s">
        <v>970</v>
      </c>
      <c r="B205">
        <v>205</v>
      </c>
      <c r="C205">
        <v>5630925</v>
      </c>
      <c r="D205">
        <v>154</v>
      </c>
      <c r="E205">
        <v>655</v>
      </c>
      <c r="F205">
        <v>1</v>
      </c>
      <c r="G205">
        <v>98.790399000788497</v>
      </c>
      <c r="H205">
        <v>1</v>
      </c>
      <c r="K205" t="s">
        <v>729</v>
      </c>
      <c r="L205">
        <v>6</v>
      </c>
      <c r="M205" t="s">
        <v>974</v>
      </c>
      <c r="N205" t="s">
        <v>726</v>
      </c>
      <c r="O205">
        <v>1</v>
      </c>
    </row>
    <row r="206" spans="1:15" x14ac:dyDescent="0.3">
      <c r="A206" t="s">
        <v>970</v>
      </c>
      <c r="B206">
        <v>206</v>
      </c>
      <c r="C206">
        <v>5630925</v>
      </c>
      <c r="D206">
        <v>154</v>
      </c>
      <c r="E206">
        <v>389</v>
      </c>
      <c r="F206">
        <v>1</v>
      </c>
      <c r="G206">
        <v>97.246134051797398</v>
      </c>
      <c r="H206">
        <v>1</v>
      </c>
      <c r="K206" t="s">
        <v>729</v>
      </c>
      <c r="L206">
        <v>6</v>
      </c>
      <c r="M206" t="s">
        <v>975</v>
      </c>
      <c r="N206" t="s">
        <v>726</v>
      </c>
      <c r="O206">
        <v>1</v>
      </c>
    </row>
    <row r="207" spans="1:15" x14ac:dyDescent="0.3">
      <c r="A207" t="s">
        <v>970</v>
      </c>
      <c r="B207">
        <v>207</v>
      </c>
      <c r="C207">
        <v>5630925</v>
      </c>
      <c r="D207">
        <v>389</v>
      </c>
      <c r="E207">
        <v>154</v>
      </c>
      <c r="F207">
        <v>1</v>
      </c>
      <c r="G207">
        <v>97.246134051797398</v>
      </c>
      <c r="H207">
        <v>1</v>
      </c>
      <c r="K207" t="s">
        <v>729</v>
      </c>
      <c r="L207">
        <v>6</v>
      </c>
      <c r="M207" t="s">
        <v>976</v>
      </c>
      <c r="N207" t="s">
        <v>726</v>
      </c>
      <c r="O207">
        <v>1</v>
      </c>
    </row>
    <row r="208" spans="1:15" x14ac:dyDescent="0.3">
      <c r="A208" t="s">
        <v>977</v>
      </c>
      <c r="B208">
        <v>208</v>
      </c>
      <c r="C208">
        <v>5631095</v>
      </c>
      <c r="D208">
        <v>156</v>
      </c>
      <c r="E208">
        <v>207</v>
      </c>
      <c r="F208">
        <v>1</v>
      </c>
      <c r="G208">
        <v>169.49881250712801</v>
      </c>
      <c r="H208">
        <v>1</v>
      </c>
      <c r="K208" t="s">
        <v>729</v>
      </c>
      <c r="L208">
        <v>6</v>
      </c>
      <c r="M208" t="s">
        <v>978</v>
      </c>
      <c r="N208" t="s">
        <v>726</v>
      </c>
      <c r="O208">
        <v>1</v>
      </c>
    </row>
    <row r="209" spans="1:15" x14ac:dyDescent="0.3">
      <c r="A209" t="s">
        <v>977</v>
      </c>
      <c r="B209">
        <v>209</v>
      </c>
      <c r="C209">
        <v>5631095</v>
      </c>
      <c r="D209">
        <v>207</v>
      </c>
      <c r="E209">
        <v>156</v>
      </c>
      <c r="F209">
        <v>1</v>
      </c>
      <c r="G209">
        <v>169.49881250712801</v>
      </c>
      <c r="H209">
        <v>1</v>
      </c>
      <c r="K209" t="s">
        <v>729</v>
      </c>
      <c r="L209">
        <v>6</v>
      </c>
      <c r="M209" t="s">
        <v>979</v>
      </c>
      <c r="N209" t="s">
        <v>726</v>
      </c>
      <c r="O209">
        <v>1</v>
      </c>
    </row>
    <row r="210" spans="1:15" x14ac:dyDescent="0.3">
      <c r="A210" t="s">
        <v>980</v>
      </c>
      <c r="B210">
        <v>210</v>
      </c>
      <c r="C210">
        <v>5631352</v>
      </c>
      <c r="D210">
        <v>157</v>
      </c>
      <c r="E210">
        <v>366</v>
      </c>
      <c r="F210">
        <v>1</v>
      </c>
      <c r="G210">
        <v>198.689786443179</v>
      </c>
      <c r="H210">
        <v>1</v>
      </c>
      <c r="K210" t="s">
        <v>729</v>
      </c>
      <c r="L210">
        <v>6</v>
      </c>
      <c r="M210" t="s">
        <v>981</v>
      </c>
      <c r="N210" t="s">
        <v>726</v>
      </c>
      <c r="O210">
        <v>1</v>
      </c>
    </row>
    <row r="211" spans="1:15" x14ac:dyDescent="0.3">
      <c r="A211" t="s">
        <v>980</v>
      </c>
      <c r="B211">
        <v>211</v>
      </c>
      <c r="C211">
        <v>5631352</v>
      </c>
      <c r="D211">
        <v>366</v>
      </c>
      <c r="E211">
        <v>157</v>
      </c>
      <c r="F211">
        <v>1</v>
      </c>
      <c r="G211">
        <v>198.689786443179</v>
      </c>
      <c r="H211">
        <v>1</v>
      </c>
      <c r="K211" t="s">
        <v>729</v>
      </c>
      <c r="L211">
        <v>6</v>
      </c>
      <c r="M211" t="s">
        <v>982</v>
      </c>
      <c r="N211" t="s">
        <v>726</v>
      </c>
      <c r="O211">
        <v>1</v>
      </c>
    </row>
    <row r="212" spans="1:15" x14ac:dyDescent="0.3">
      <c r="A212" t="s">
        <v>983</v>
      </c>
      <c r="B212">
        <v>212</v>
      </c>
      <c r="C212">
        <v>5634388</v>
      </c>
      <c r="D212">
        <v>524</v>
      </c>
      <c r="E212">
        <v>158</v>
      </c>
      <c r="F212">
        <v>1</v>
      </c>
      <c r="G212">
        <v>128.469945254539</v>
      </c>
      <c r="H212">
        <v>2</v>
      </c>
      <c r="K212" t="s">
        <v>890</v>
      </c>
      <c r="L212">
        <v>4</v>
      </c>
      <c r="M212" t="s">
        <v>984</v>
      </c>
      <c r="N212" t="s">
        <v>726</v>
      </c>
      <c r="O212">
        <v>1</v>
      </c>
    </row>
    <row r="213" spans="1:15" x14ac:dyDescent="0.3">
      <c r="A213" t="s">
        <v>983</v>
      </c>
      <c r="B213">
        <v>213</v>
      </c>
      <c r="C213">
        <v>5634388</v>
      </c>
      <c r="D213">
        <v>158</v>
      </c>
      <c r="E213">
        <v>524</v>
      </c>
      <c r="F213">
        <v>1</v>
      </c>
      <c r="G213">
        <v>128.469945254539</v>
      </c>
      <c r="H213">
        <v>3</v>
      </c>
      <c r="K213" t="s">
        <v>890</v>
      </c>
      <c r="L213">
        <v>4</v>
      </c>
      <c r="M213" t="s">
        <v>985</v>
      </c>
      <c r="N213" t="s">
        <v>726</v>
      </c>
      <c r="O213">
        <v>1</v>
      </c>
    </row>
    <row r="214" spans="1:15" x14ac:dyDescent="0.3">
      <c r="A214" t="s">
        <v>983</v>
      </c>
      <c r="B214">
        <v>214</v>
      </c>
      <c r="C214">
        <v>5634388</v>
      </c>
      <c r="D214">
        <v>158</v>
      </c>
      <c r="E214">
        <v>406</v>
      </c>
      <c r="F214">
        <v>1</v>
      </c>
      <c r="G214">
        <v>125.10570029540401</v>
      </c>
      <c r="H214">
        <v>2</v>
      </c>
      <c r="K214" t="s">
        <v>890</v>
      </c>
      <c r="L214">
        <v>4</v>
      </c>
      <c r="M214" t="s">
        <v>986</v>
      </c>
      <c r="N214" t="s">
        <v>726</v>
      </c>
      <c r="O214">
        <v>1</v>
      </c>
    </row>
    <row r="215" spans="1:15" x14ac:dyDescent="0.3">
      <c r="A215" t="s">
        <v>983</v>
      </c>
      <c r="B215">
        <v>215</v>
      </c>
      <c r="C215">
        <v>5634388</v>
      </c>
      <c r="D215">
        <v>406</v>
      </c>
      <c r="E215">
        <v>158</v>
      </c>
      <c r="F215">
        <v>1</v>
      </c>
      <c r="G215">
        <v>125.10570029540401</v>
      </c>
      <c r="H215">
        <v>3</v>
      </c>
      <c r="K215" t="s">
        <v>890</v>
      </c>
      <c r="L215">
        <v>4</v>
      </c>
      <c r="M215" t="s">
        <v>987</v>
      </c>
      <c r="N215" t="s">
        <v>726</v>
      </c>
      <c r="O215">
        <v>1</v>
      </c>
    </row>
    <row r="216" spans="1:15" x14ac:dyDescent="0.3">
      <c r="A216" t="s">
        <v>988</v>
      </c>
      <c r="B216">
        <v>216</v>
      </c>
      <c r="C216">
        <v>5635238</v>
      </c>
      <c r="D216">
        <v>527</v>
      </c>
      <c r="E216">
        <v>395</v>
      </c>
      <c r="F216">
        <v>1</v>
      </c>
      <c r="G216">
        <v>4.0564209285485102</v>
      </c>
      <c r="H216">
        <v>3</v>
      </c>
      <c r="K216" t="s">
        <v>890</v>
      </c>
      <c r="L216">
        <v>4</v>
      </c>
      <c r="M216" t="s">
        <v>989</v>
      </c>
      <c r="N216" t="s">
        <v>726</v>
      </c>
      <c r="O216">
        <v>1</v>
      </c>
    </row>
    <row r="217" spans="1:15" x14ac:dyDescent="0.3">
      <c r="A217" t="s">
        <v>988</v>
      </c>
      <c r="B217">
        <v>217</v>
      </c>
      <c r="C217">
        <v>5635238</v>
      </c>
      <c r="D217">
        <v>395</v>
      </c>
      <c r="E217">
        <v>527</v>
      </c>
      <c r="F217">
        <v>1</v>
      </c>
      <c r="G217">
        <v>4.0564209285485102</v>
      </c>
      <c r="H217">
        <v>2</v>
      </c>
      <c r="K217" t="s">
        <v>890</v>
      </c>
      <c r="L217">
        <v>4</v>
      </c>
      <c r="M217" t="s">
        <v>990</v>
      </c>
      <c r="N217" t="s">
        <v>726</v>
      </c>
      <c r="O217">
        <v>1</v>
      </c>
    </row>
    <row r="218" spans="1:15" x14ac:dyDescent="0.3">
      <c r="A218" t="s">
        <v>991</v>
      </c>
      <c r="B218">
        <v>218</v>
      </c>
      <c r="C218">
        <v>5636208</v>
      </c>
      <c r="D218">
        <v>57</v>
      </c>
      <c r="E218">
        <v>689</v>
      </c>
      <c r="F218">
        <v>1</v>
      </c>
      <c r="G218">
        <v>810.58383053439798</v>
      </c>
      <c r="H218">
        <v>1</v>
      </c>
      <c r="I218">
        <v>30</v>
      </c>
      <c r="K218" t="s">
        <v>711</v>
      </c>
      <c r="L218">
        <v>5</v>
      </c>
      <c r="M218" t="s">
        <v>992</v>
      </c>
      <c r="N218" t="s">
        <v>726</v>
      </c>
      <c r="O218">
        <v>1</v>
      </c>
    </row>
    <row r="219" spans="1:15" x14ac:dyDescent="0.3">
      <c r="A219" t="s">
        <v>991</v>
      </c>
      <c r="B219">
        <v>219</v>
      </c>
      <c r="C219">
        <v>5636208</v>
      </c>
      <c r="D219">
        <v>689</v>
      </c>
      <c r="E219">
        <v>57</v>
      </c>
      <c r="F219">
        <v>1</v>
      </c>
      <c r="G219">
        <v>810.58383053439798</v>
      </c>
      <c r="H219">
        <v>1</v>
      </c>
      <c r="I219">
        <v>30</v>
      </c>
      <c r="K219" t="s">
        <v>711</v>
      </c>
      <c r="L219">
        <v>5</v>
      </c>
      <c r="M219" t="s">
        <v>993</v>
      </c>
      <c r="N219" t="s">
        <v>726</v>
      </c>
      <c r="O219">
        <v>1</v>
      </c>
    </row>
    <row r="220" spans="1:15" x14ac:dyDescent="0.3">
      <c r="A220" t="s">
        <v>991</v>
      </c>
      <c r="B220">
        <v>220</v>
      </c>
      <c r="C220">
        <v>5636208</v>
      </c>
      <c r="D220">
        <v>689</v>
      </c>
      <c r="E220">
        <v>165</v>
      </c>
      <c r="F220">
        <v>1</v>
      </c>
      <c r="G220">
        <v>282.63787860783299</v>
      </c>
      <c r="H220">
        <v>1</v>
      </c>
      <c r="I220">
        <v>30</v>
      </c>
      <c r="K220" t="s">
        <v>711</v>
      </c>
      <c r="L220">
        <v>5</v>
      </c>
      <c r="M220" t="s">
        <v>994</v>
      </c>
      <c r="N220" t="s">
        <v>726</v>
      </c>
      <c r="O220">
        <v>1</v>
      </c>
    </row>
    <row r="221" spans="1:15" x14ac:dyDescent="0.3">
      <c r="A221" t="s">
        <v>991</v>
      </c>
      <c r="B221">
        <v>221</v>
      </c>
      <c r="C221">
        <v>5636208</v>
      </c>
      <c r="D221">
        <v>165</v>
      </c>
      <c r="E221">
        <v>689</v>
      </c>
      <c r="F221">
        <v>1</v>
      </c>
      <c r="G221">
        <v>282.63787860783299</v>
      </c>
      <c r="H221">
        <v>1</v>
      </c>
      <c r="I221">
        <v>30</v>
      </c>
      <c r="K221" t="s">
        <v>711</v>
      </c>
      <c r="L221">
        <v>5</v>
      </c>
      <c r="M221" t="s">
        <v>995</v>
      </c>
      <c r="N221" t="s">
        <v>726</v>
      </c>
      <c r="O221">
        <v>1</v>
      </c>
    </row>
    <row r="222" spans="1:15" x14ac:dyDescent="0.3">
      <c r="A222" t="s">
        <v>991</v>
      </c>
      <c r="B222">
        <v>222</v>
      </c>
      <c r="C222">
        <v>5636208</v>
      </c>
      <c r="D222">
        <v>165</v>
      </c>
      <c r="E222">
        <v>135</v>
      </c>
      <c r="F222">
        <v>1</v>
      </c>
      <c r="G222">
        <v>173.27348862295699</v>
      </c>
      <c r="H222">
        <v>1</v>
      </c>
      <c r="I222">
        <v>30</v>
      </c>
      <c r="K222" t="s">
        <v>711</v>
      </c>
      <c r="L222">
        <v>5</v>
      </c>
      <c r="M222" t="s">
        <v>996</v>
      </c>
      <c r="N222" t="s">
        <v>726</v>
      </c>
      <c r="O222">
        <v>1</v>
      </c>
    </row>
    <row r="223" spans="1:15" x14ac:dyDescent="0.3">
      <c r="A223" t="s">
        <v>991</v>
      </c>
      <c r="B223">
        <v>223</v>
      </c>
      <c r="C223">
        <v>5636208</v>
      </c>
      <c r="D223">
        <v>135</v>
      </c>
      <c r="E223">
        <v>165</v>
      </c>
      <c r="F223">
        <v>1</v>
      </c>
      <c r="G223">
        <v>173.27348862295699</v>
      </c>
      <c r="H223">
        <v>1</v>
      </c>
      <c r="I223">
        <v>30</v>
      </c>
      <c r="K223" t="s">
        <v>711</v>
      </c>
      <c r="L223">
        <v>5</v>
      </c>
      <c r="M223" t="s">
        <v>997</v>
      </c>
      <c r="N223" t="s">
        <v>726</v>
      </c>
      <c r="O223">
        <v>1</v>
      </c>
    </row>
    <row r="224" spans="1:15" x14ac:dyDescent="0.3">
      <c r="A224" t="s">
        <v>991</v>
      </c>
      <c r="B224">
        <v>224</v>
      </c>
      <c r="C224">
        <v>5636208</v>
      </c>
      <c r="D224">
        <v>135</v>
      </c>
      <c r="E224">
        <v>88</v>
      </c>
      <c r="F224">
        <v>1</v>
      </c>
      <c r="G224">
        <v>347.79096751255901</v>
      </c>
      <c r="H224">
        <v>1</v>
      </c>
      <c r="I224">
        <v>30</v>
      </c>
      <c r="K224" t="s">
        <v>711</v>
      </c>
      <c r="L224">
        <v>5</v>
      </c>
      <c r="M224" t="s">
        <v>998</v>
      </c>
      <c r="N224" t="s">
        <v>726</v>
      </c>
      <c r="O224">
        <v>1</v>
      </c>
    </row>
    <row r="225" spans="1:15" x14ac:dyDescent="0.3">
      <c r="A225" t="s">
        <v>991</v>
      </c>
      <c r="B225">
        <v>225</v>
      </c>
      <c r="C225">
        <v>5636208</v>
      </c>
      <c r="D225">
        <v>88</v>
      </c>
      <c r="E225">
        <v>135</v>
      </c>
      <c r="F225">
        <v>1</v>
      </c>
      <c r="G225">
        <v>347.79096751255901</v>
      </c>
      <c r="H225">
        <v>1</v>
      </c>
      <c r="I225">
        <v>30</v>
      </c>
      <c r="K225" t="s">
        <v>711</v>
      </c>
      <c r="L225">
        <v>5</v>
      </c>
      <c r="M225" t="s">
        <v>999</v>
      </c>
      <c r="N225" t="s">
        <v>726</v>
      </c>
      <c r="O225">
        <v>1</v>
      </c>
    </row>
    <row r="226" spans="1:15" x14ac:dyDescent="0.3">
      <c r="A226" t="s">
        <v>1000</v>
      </c>
      <c r="B226">
        <v>226</v>
      </c>
      <c r="C226">
        <v>5638000</v>
      </c>
      <c r="D226">
        <v>158</v>
      </c>
      <c r="E226">
        <v>125</v>
      </c>
      <c r="F226">
        <v>1</v>
      </c>
      <c r="G226">
        <v>86.645331900541507</v>
      </c>
      <c r="H226">
        <v>1</v>
      </c>
      <c r="K226" t="s">
        <v>729</v>
      </c>
      <c r="L226">
        <v>6</v>
      </c>
      <c r="M226" t="s">
        <v>1001</v>
      </c>
      <c r="N226" t="s">
        <v>726</v>
      </c>
      <c r="O226">
        <v>1</v>
      </c>
    </row>
    <row r="227" spans="1:15" x14ac:dyDescent="0.3">
      <c r="A227" t="s">
        <v>1000</v>
      </c>
      <c r="B227">
        <v>227</v>
      </c>
      <c r="C227">
        <v>5638000</v>
      </c>
      <c r="D227">
        <v>125</v>
      </c>
      <c r="E227">
        <v>158</v>
      </c>
      <c r="F227">
        <v>1</v>
      </c>
      <c r="G227">
        <v>86.645331900541507</v>
      </c>
      <c r="H227">
        <v>1</v>
      </c>
      <c r="K227" t="s">
        <v>729</v>
      </c>
      <c r="L227">
        <v>6</v>
      </c>
      <c r="M227" t="s">
        <v>1002</v>
      </c>
      <c r="N227" t="s">
        <v>726</v>
      </c>
      <c r="O227">
        <v>1</v>
      </c>
    </row>
    <row r="228" spans="1:15" x14ac:dyDescent="0.3">
      <c r="A228" t="s">
        <v>1003</v>
      </c>
      <c r="B228">
        <v>228</v>
      </c>
      <c r="C228">
        <v>5638083</v>
      </c>
      <c r="D228">
        <v>165</v>
      </c>
      <c r="E228">
        <v>166</v>
      </c>
      <c r="F228">
        <v>1</v>
      </c>
      <c r="G228">
        <v>119.810101619534</v>
      </c>
      <c r="H228">
        <v>1</v>
      </c>
      <c r="K228" t="s">
        <v>729</v>
      </c>
      <c r="L228">
        <v>6</v>
      </c>
      <c r="M228" t="s">
        <v>1004</v>
      </c>
      <c r="N228" t="s">
        <v>726</v>
      </c>
      <c r="O228">
        <v>1</v>
      </c>
    </row>
    <row r="229" spans="1:15" x14ac:dyDescent="0.3">
      <c r="A229" t="s">
        <v>1003</v>
      </c>
      <c r="B229">
        <v>229</v>
      </c>
      <c r="C229">
        <v>5638083</v>
      </c>
      <c r="D229">
        <v>166</v>
      </c>
      <c r="E229">
        <v>165</v>
      </c>
      <c r="F229">
        <v>1</v>
      </c>
      <c r="G229">
        <v>119.810101619534</v>
      </c>
      <c r="H229">
        <v>1</v>
      </c>
      <c r="K229" t="s">
        <v>729</v>
      </c>
      <c r="L229">
        <v>6</v>
      </c>
      <c r="M229" t="s">
        <v>1005</v>
      </c>
      <c r="N229" t="s">
        <v>726</v>
      </c>
      <c r="O229">
        <v>1</v>
      </c>
    </row>
    <row r="230" spans="1:15" x14ac:dyDescent="0.3">
      <c r="A230" t="s">
        <v>1003</v>
      </c>
      <c r="B230">
        <v>230</v>
      </c>
      <c r="C230">
        <v>5638083</v>
      </c>
      <c r="D230">
        <v>166</v>
      </c>
      <c r="E230">
        <v>167</v>
      </c>
      <c r="F230">
        <v>1</v>
      </c>
      <c r="G230">
        <v>79.415812208235906</v>
      </c>
      <c r="H230">
        <v>1</v>
      </c>
      <c r="K230" t="s">
        <v>729</v>
      </c>
      <c r="L230">
        <v>6</v>
      </c>
      <c r="M230" t="s">
        <v>1006</v>
      </c>
      <c r="N230" t="s">
        <v>726</v>
      </c>
      <c r="O230">
        <v>1</v>
      </c>
    </row>
    <row r="231" spans="1:15" x14ac:dyDescent="0.3">
      <c r="A231" t="s">
        <v>1003</v>
      </c>
      <c r="B231">
        <v>231</v>
      </c>
      <c r="C231">
        <v>5638083</v>
      </c>
      <c r="D231">
        <v>167</v>
      </c>
      <c r="E231">
        <v>166</v>
      </c>
      <c r="F231">
        <v>1</v>
      </c>
      <c r="G231">
        <v>79.415812208235906</v>
      </c>
      <c r="H231">
        <v>1</v>
      </c>
      <c r="K231" t="s">
        <v>729</v>
      </c>
      <c r="L231">
        <v>6</v>
      </c>
      <c r="M231" t="s">
        <v>1007</v>
      </c>
      <c r="N231" t="s">
        <v>726</v>
      </c>
      <c r="O231">
        <v>1</v>
      </c>
    </row>
    <row r="232" spans="1:15" x14ac:dyDescent="0.3">
      <c r="A232" t="s">
        <v>1008</v>
      </c>
      <c r="B232">
        <v>232</v>
      </c>
      <c r="C232">
        <v>5638085</v>
      </c>
      <c r="D232">
        <v>168</v>
      </c>
      <c r="E232">
        <v>214</v>
      </c>
      <c r="F232">
        <v>1</v>
      </c>
      <c r="G232">
        <v>145.70033395648699</v>
      </c>
      <c r="H232">
        <v>1</v>
      </c>
      <c r="I232">
        <v>25</v>
      </c>
      <c r="K232" t="s">
        <v>729</v>
      </c>
      <c r="L232">
        <v>6</v>
      </c>
      <c r="M232" t="s">
        <v>1009</v>
      </c>
      <c r="N232" t="s">
        <v>726</v>
      </c>
      <c r="O232">
        <v>1</v>
      </c>
    </row>
    <row r="233" spans="1:15" x14ac:dyDescent="0.3">
      <c r="A233" t="s">
        <v>1008</v>
      </c>
      <c r="B233">
        <v>233</v>
      </c>
      <c r="C233">
        <v>5638085</v>
      </c>
      <c r="D233">
        <v>214</v>
      </c>
      <c r="E233">
        <v>168</v>
      </c>
      <c r="F233">
        <v>1</v>
      </c>
      <c r="G233">
        <v>145.70033395648699</v>
      </c>
      <c r="H233">
        <v>1</v>
      </c>
      <c r="I233">
        <v>25</v>
      </c>
      <c r="K233" t="s">
        <v>729</v>
      </c>
      <c r="L233">
        <v>6</v>
      </c>
      <c r="M233" t="s">
        <v>1010</v>
      </c>
      <c r="N233" t="s">
        <v>726</v>
      </c>
      <c r="O233">
        <v>1</v>
      </c>
    </row>
    <row r="234" spans="1:15" x14ac:dyDescent="0.3">
      <c r="A234" t="s">
        <v>1011</v>
      </c>
      <c r="B234">
        <v>234</v>
      </c>
      <c r="C234">
        <v>5639970</v>
      </c>
      <c r="D234">
        <v>162</v>
      </c>
      <c r="E234">
        <v>707</v>
      </c>
      <c r="F234">
        <v>1</v>
      </c>
      <c r="G234">
        <v>10.697858059961399</v>
      </c>
      <c r="H234">
        <v>1</v>
      </c>
      <c r="K234" t="s">
        <v>729</v>
      </c>
      <c r="L234">
        <v>6</v>
      </c>
      <c r="M234" t="s">
        <v>1012</v>
      </c>
      <c r="N234" t="s">
        <v>726</v>
      </c>
      <c r="O234">
        <v>1</v>
      </c>
    </row>
    <row r="235" spans="1:15" x14ac:dyDescent="0.3">
      <c r="A235" t="s">
        <v>1011</v>
      </c>
      <c r="B235">
        <v>235</v>
      </c>
      <c r="C235">
        <v>5639970</v>
      </c>
      <c r="D235">
        <v>707</v>
      </c>
      <c r="E235">
        <v>162</v>
      </c>
      <c r="F235">
        <v>1</v>
      </c>
      <c r="G235">
        <v>10.697858059961399</v>
      </c>
      <c r="H235">
        <v>1</v>
      </c>
      <c r="K235" t="s">
        <v>729</v>
      </c>
      <c r="L235">
        <v>6</v>
      </c>
      <c r="M235" t="s">
        <v>1013</v>
      </c>
      <c r="N235" t="s">
        <v>726</v>
      </c>
      <c r="O235">
        <v>1</v>
      </c>
    </row>
    <row r="236" spans="1:15" x14ac:dyDescent="0.3">
      <c r="A236" t="s">
        <v>1011</v>
      </c>
      <c r="B236">
        <v>236</v>
      </c>
      <c r="C236">
        <v>5639970</v>
      </c>
      <c r="D236">
        <v>707</v>
      </c>
      <c r="E236">
        <v>773</v>
      </c>
      <c r="F236">
        <v>1</v>
      </c>
      <c r="G236">
        <v>118.326558532992</v>
      </c>
      <c r="H236">
        <v>1</v>
      </c>
      <c r="K236" t="s">
        <v>729</v>
      </c>
      <c r="L236">
        <v>6</v>
      </c>
      <c r="M236" t="s">
        <v>1014</v>
      </c>
      <c r="N236" t="s">
        <v>726</v>
      </c>
      <c r="O236">
        <v>1</v>
      </c>
    </row>
    <row r="237" spans="1:15" x14ac:dyDescent="0.3">
      <c r="A237" t="s">
        <v>1011</v>
      </c>
      <c r="B237">
        <v>237</v>
      </c>
      <c r="C237">
        <v>5639970</v>
      </c>
      <c r="D237">
        <v>773</v>
      </c>
      <c r="E237">
        <v>707</v>
      </c>
      <c r="F237">
        <v>1</v>
      </c>
      <c r="G237">
        <v>118.326558532992</v>
      </c>
      <c r="H237">
        <v>1</v>
      </c>
      <c r="K237" t="s">
        <v>729</v>
      </c>
      <c r="L237">
        <v>6</v>
      </c>
      <c r="M237" t="s">
        <v>1015</v>
      </c>
      <c r="N237" t="s">
        <v>726</v>
      </c>
      <c r="O237">
        <v>1</v>
      </c>
    </row>
    <row r="238" spans="1:15" x14ac:dyDescent="0.3">
      <c r="A238" t="s">
        <v>1011</v>
      </c>
      <c r="B238">
        <v>238</v>
      </c>
      <c r="C238">
        <v>5639976</v>
      </c>
      <c r="D238">
        <v>132</v>
      </c>
      <c r="E238">
        <v>169</v>
      </c>
      <c r="F238">
        <v>1</v>
      </c>
      <c r="G238">
        <v>159.08658182081101</v>
      </c>
      <c r="H238">
        <v>1</v>
      </c>
      <c r="K238" t="s">
        <v>729</v>
      </c>
      <c r="L238">
        <v>6</v>
      </c>
      <c r="M238" t="s">
        <v>1016</v>
      </c>
      <c r="N238" t="s">
        <v>726</v>
      </c>
      <c r="O238">
        <v>1</v>
      </c>
    </row>
    <row r="239" spans="1:15" x14ac:dyDescent="0.3">
      <c r="A239" t="s">
        <v>1011</v>
      </c>
      <c r="B239">
        <v>239</v>
      </c>
      <c r="C239">
        <v>5639976</v>
      </c>
      <c r="D239">
        <v>169</v>
      </c>
      <c r="E239">
        <v>132</v>
      </c>
      <c r="F239">
        <v>1</v>
      </c>
      <c r="G239">
        <v>159.08658182081101</v>
      </c>
      <c r="H239">
        <v>1</v>
      </c>
      <c r="K239" t="s">
        <v>729</v>
      </c>
      <c r="L239">
        <v>6</v>
      </c>
      <c r="M239" t="s">
        <v>1017</v>
      </c>
      <c r="N239" t="s">
        <v>726</v>
      </c>
      <c r="O239">
        <v>1</v>
      </c>
    </row>
    <row r="240" spans="1:15" x14ac:dyDescent="0.3">
      <c r="A240" t="s">
        <v>1018</v>
      </c>
      <c r="B240">
        <v>240</v>
      </c>
      <c r="C240">
        <v>5640924</v>
      </c>
      <c r="D240">
        <v>649</v>
      </c>
      <c r="E240">
        <v>650</v>
      </c>
      <c r="F240">
        <v>1</v>
      </c>
      <c r="G240">
        <v>142.06357181078801</v>
      </c>
      <c r="H240">
        <v>1</v>
      </c>
      <c r="I240">
        <v>15</v>
      </c>
      <c r="K240" t="s">
        <v>729</v>
      </c>
      <c r="L240">
        <v>6</v>
      </c>
      <c r="M240" t="s">
        <v>1019</v>
      </c>
      <c r="N240" t="s">
        <v>726</v>
      </c>
      <c r="O240">
        <v>1</v>
      </c>
    </row>
    <row r="241" spans="1:15" x14ac:dyDescent="0.3">
      <c r="A241" t="s">
        <v>1018</v>
      </c>
      <c r="B241">
        <v>241</v>
      </c>
      <c r="C241">
        <v>5640924</v>
      </c>
      <c r="D241">
        <v>650</v>
      </c>
      <c r="E241">
        <v>649</v>
      </c>
      <c r="F241">
        <v>1</v>
      </c>
      <c r="G241">
        <v>142.06357181078801</v>
      </c>
      <c r="H241">
        <v>1</v>
      </c>
      <c r="I241">
        <v>15</v>
      </c>
      <c r="K241" t="s">
        <v>729</v>
      </c>
      <c r="L241">
        <v>6</v>
      </c>
      <c r="M241" t="s">
        <v>1020</v>
      </c>
      <c r="N241" t="s">
        <v>726</v>
      </c>
      <c r="O241">
        <v>1</v>
      </c>
    </row>
    <row r="242" spans="1:15" x14ac:dyDescent="0.3">
      <c r="A242" t="s">
        <v>1018</v>
      </c>
      <c r="B242">
        <v>242</v>
      </c>
      <c r="C242">
        <v>5640924</v>
      </c>
      <c r="D242">
        <v>650</v>
      </c>
      <c r="E242">
        <v>1944</v>
      </c>
      <c r="F242">
        <v>1</v>
      </c>
      <c r="G242">
        <v>162.950626638058</v>
      </c>
      <c r="H242">
        <v>1</v>
      </c>
      <c r="I242">
        <v>15</v>
      </c>
      <c r="K242" t="s">
        <v>729</v>
      </c>
      <c r="L242">
        <v>6</v>
      </c>
      <c r="M242" t="s">
        <v>1021</v>
      </c>
      <c r="N242" t="s">
        <v>726</v>
      </c>
      <c r="O242">
        <v>1</v>
      </c>
    </row>
    <row r="243" spans="1:15" x14ac:dyDescent="0.3">
      <c r="A243" t="s">
        <v>1018</v>
      </c>
      <c r="B243">
        <v>243</v>
      </c>
      <c r="C243">
        <v>5640924</v>
      </c>
      <c r="D243">
        <v>1944</v>
      </c>
      <c r="E243">
        <v>650</v>
      </c>
      <c r="F243">
        <v>1</v>
      </c>
      <c r="G243">
        <v>162.950626638058</v>
      </c>
      <c r="H243">
        <v>1</v>
      </c>
      <c r="I243">
        <v>15</v>
      </c>
      <c r="K243" t="s">
        <v>729</v>
      </c>
      <c r="L243">
        <v>6</v>
      </c>
      <c r="M243" t="s">
        <v>1022</v>
      </c>
      <c r="N243" t="s">
        <v>726</v>
      </c>
      <c r="O243">
        <v>1</v>
      </c>
    </row>
    <row r="244" spans="1:15" x14ac:dyDescent="0.3">
      <c r="A244" t="s">
        <v>1018</v>
      </c>
      <c r="B244">
        <v>244</v>
      </c>
      <c r="C244">
        <v>5640927</v>
      </c>
      <c r="D244">
        <v>160</v>
      </c>
      <c r="E244">
        <v>774</v>
      </c>
      <c r="F244">
        <v>1</v>
      </c>
      <c r="G244">
        <v>117.849842107841</v>
      </c>
      <c r="H244">
        <v>1</v>
      </c>
      <c r="K244" t="s">
        <v>729</v>
      </c>
      <c r="L244">
        <v>6</v>
      </c>
      <c r="M244" t="s">
        <v>1023</v>
      </c>
      <c r="N244" t="s">
        <v>726</v>
      </c>
      <c r="O244">
        <v>1</v>
      </c>
    </row>
    <row r="245" spans="1:15" x14ac:dyDescent="0.3">
      <c r="A245" t="s">
        <v>1018</v>
      </c>
      <c r="B245">
        <v>245</v>
      </c>
      <c r="C245">
        <v>5640927</v>
      </c>
      <c r="D245">
        <v>774</v>
      </c>
      <c r="E245">
        <v>160</v>
      </c>
      <c r="F245">
        <v>1</v>
      </c>
      <c r="G245">
        <v>117.849842107841</v>
      </c>
      <c r="H245">
        <v>1</v>
      </c>
      <c r="K245" t="s">
        <v>729</v>
      </c>
      <c r="L245">
        <v>6</v>
      </c>
      <c r="M245" t="s">
        <v>1024</v>
      </c>
      <c r="N245" t="s">
        <v>726</v>
      </c>
      <c r="O245">
        <v>1</v>
      </c>
    </row>
    <row r="246" spans="1:15" x14ac:dyDescent="0.3">
      <c r="A246" t="s">
        <v>1018</v>
      </c>
      <c r="B246">
        <v>246</v>
      </c>
      <c r="C246">
        <v>5640932</v>
      </c>
      <c r="D246">
        <v>144</v>
      </c>
      <c r="E246">
        <v>205</v>
      </c>
      <c r="F246">
        <v>1</v>
      </c>
      <c r="G246">
        <v>110.460107716951</v>
      </c>
      <c r="H246">
        <v>1</v>
      </c>
      <c r="K246" t="s">
        <v>729</v>
      </c>
      <c r="L246">
        <v>6</v>
      </c>
      <c r="M246" t="s">
        <v>1025</v>
      </c>
      <c r="N246" t="s">
        <v>726</v>
      </c>
      <c r="O246">
        <v>1</v>
      </c>
    </row>
    <row r="247" spans="1:15" x14ac:dyDescent="0.3">
      <c r="A247" t="s">
        <v>1018</v>
      </c>
      <c r="B247">
        <v>247</v>
      </c>
      <c r="C247">
        <v>5640932</v>
      </c>
      <c r="D247">
        <v>205</v>
      </c>
      <c r="E247">
        <v>144</v>
      </c>
      <c r="F247">
        <v>1</v>
      </c>
      <c r="G247">
        <v>110.460107716951</v>
      </c>
      <c r="H247">
        <v>1</v>
      </c>
      <c r="K247" t="s">
        <v>729</v>
      </c>
      <c r="L247">
        <v>6</v>
      </c>
      <c r="M247" t="s">
        <v>1026</v>
      </c>
      <c r="N247" t="s">
        <v>726</v>
      </c>
      <c r="O247">
        <v>1</v>
      </c>
    </row>
    <row r="248" spans="1:15" x14ac:dyDescent="0.3">
      <c r="A248" t="s">
        <v>1027</v>
      </c>
      <c r="B248">
        <v>248</v>
      </c>
      <c r="C248">
        <v>5640993</v>
      </c>
      <c r="D248">
        <v>14</v>
      </c>
      <c r="E248">
        <v>775</v>
      </c>
      <c r="F248">
        <v>1</v>
      </c>
      <c r="G248">
        <v>110.197712716064</v>
      </c>
      <c r="H248">
        <v>1</v>
      </c>
      <c r="K248" t="s">
        <v>729</v>
      </c>
      <c r="L248">
        <v>6</v>
      </c>
      <c r="M248" t="s">
        <v>1028</v>
      </c>
      <c r="N248" t="s">
        <v>726</v>
      </c>
      <c r="O248">
        <v>1</v>
      </c>
    </row>
    <row r="249" spans="1:15" x14ac:dyDescent="0.3">
      <c r="A249" t="s">
        <v>1027</v>
      </c>
      <c r="B249">
        <v>249</v>
      </c>
      <c r="C249">
        <v>5640993</v>
      </c>
      <c r="D249">
        <v>775</v>
      </c>
      <c r="E249">
        <v>14</v>
      </c>
      <c r="F249">
        <v>1</v>
      </c>
      <c r="G249">
        <v>110.197712716064</v>
      </c>
      <c r="H249">
        <v>1</v>
      </c>
      <c r="K249" t="s">
        <v>729</v>
      </c>
      <c r="L249">
        <v>6</v>
      </c>
      <c r="M249" t="s">
        <v>1029</v>
      </c>
      <c r="N249" t="s">
        <v>726</v>
      </c>
      <c r="O249">
        <v>1</v>
      </c>
    </row>
    <row r="250" spans="1:15" x14ac:dyDescent="0.3">
      <c r="A250" t="s">
        <v>1030</v>
      </c>
      <c r="B250">
        <v>250</v>
      </c>
      <c r="C250">
        <v>5641132</v>
      </c>
      <c r="D250">
        <v>171</v>
      </c>
      <c r="E250">
        <v>776</v>
      </c>
      <c r="F250">
        <v>1</v>
      </c>
      <c r="G250">
        <v>26.333708853954501</v>
      </c>
      <c r="H250">
        <v>1</v>
      </c>
      <c r="K250" t="s">
        <v>729</v>
      </c>
      <c r="L250">
        <v>6</v>
      </c>
      <c r="M250" t="s">
        <v>1031</v>
      </c>
      <c r="N250" t="s">
        <v>726</v>
      </c>
      <c r="O250">
        <v>1</v>
      </c>
    </row>
    <row r="251" spans="1:15" x14ac:dyDescent="0.3">
      <c r="A251" t="s">
        <v>1030</v>
      </c>
      <c r="B251">
        <v>251</v>
      </c>
      <c r="C251">
        <v>5641132</v>
      </c>
      <c r="D251">
        <v>776</v>
      </c>
      <c r="E251">
        <v>171</v>
      </c>
      <c r="F251">
        <v>1</v>
      </c>
      <c r="G251">
        <v>26.333708853954501</v>
      </c>
      <c r="H251">
        <v>1</v>
      </c>
      <c r="K251" t="s">
        <v>729</v>
      </c>
      <c r="L251">
        <v>6</v>
      </c>
      <c r="M251" t="s">
        <v>1032</v>
      </c>
      <c r="N251" t="s">
        <v>726</v>
      </c>
      <c r="O251">
        <v>1</v>
      </c>
    </row>
    <row r="252" spans="1:15" x14ac:dyDescent="0.3">
      <c r="A252" t="s">
        <v>1033</v>
      </c>
      <c r="B252">
        <v>252</v>
      </c>
      <c r="C252">
        <v>5641525</v>
      </c>
      <c r="D252">
        <v>54</v>
      </c>
      <c r="E252">
        <v>172</v>
      </c>
      <c r="F252">
        <v>1</v>
      </c>
      <c r="G252">
        <v>281.83886866015303</v>
      </c>
      <c r="H252">
        <v>1</v>
      </c>
      <c r="K252" t="s">
        <v>729</v>
      </c>
      <c r="L252">
        <v>6</v>
      </c>
      <c r="M252" t="s">
        <v>1034</v>
      </c>
      <c r="N252" t="s">
        <v>726</v>
      </c>
      <c r="O252">
        <v>1</v>
      </c>
    </row>
    <row r="253" spans="1:15" x14ac:dyDescent="0.3">
      <c r="A253" t="s">
        <v>1033</v>
      </c>
      <c r="B253">
        <v>253</v>
      </c>
      <c r="C253">
        <v>5641525</v>
      </c>
      <c r="D253">
        <v>172</v>
      </c>
      <c r="E253">
        <v>54</v>
      </c>
      <c r="F253">
        <v>1</v>
      </c>
      <c r="G253">
        <v>281.83886866015303</v>
      </c>
      <c r="H253">
        <v>1</v>
      </c>
      <c r="K253" t="s">
        <v>729</v>
      </c>
      <c r="L253">
        <v>6</v>
      </c>
      <c r="M253" t="s">
        <v>1035</v>
      </c>
      <c r="N253" t="s">
        <v>726</v>
      </c>
      <c r="O253">
        <v>1</v>
      </c>
    </row>
    <row r="254" spans="1:15" x14ac:dyDescent="0.3">
      <c r="A254" t="s">
        <v>1033</v>
      </c>
      <c r="B254">
        <v>254</v>
      </c>
      <c r="C254">
        <v>5641525</v>
      </c>
      <c r="D254">
        <v>172</v>
      </c>
      <c r="E254">
        <v>157</v>
      </c>
      <c r="F254">
        <v>1</v>
      </c>
      <c r="G254">
        <v>62.132077782388002</v>
      </c>
      <c r="H254">
        <v>1</v>
      </c>
      <c r="K254" t="s">
        <v>729</v>
      </c>
      <c r="L254">
        <v>6</v>
      </c>
      <c r="M254" t="s">
        <v>1036</v>
      </c>
      <c r="N254" t="s">
        <v>726</v>
      </c>
      <c r="O254">
        <v>1</v>
      </c>
    </row>
    <row r="255" spans="1:15" x14ac:dyDescent="0.3">
      <c r="A255" t="s">
        <v>1033</v>
      </c>
      <c r="B255">
        <v>255</v>
      </c>
      <c r="C255">
        <v>5641525</v>
      </c>
      <c r="D255">
        <v>157</v>
      </c>
      <c r="E255">
        <v>172</v>
      </c>
      <c r="F255">
        <v>1</v>
      </c>
      <c r="G255">
        <v>62.132077782388002</v>
      </c>
      <c r="H255">
        <v>1</v>
      </c>
      <c r="K255" t="s">
        <v>729</v>
      </c>
      <c r="L255">
        <v>6</v>
      </c>
      <c r="M255" t="s">
        <v>1037</v>
      </c>
      <c r="N255" t="s">
        <v>726</v>
      </c>
      <c r="O255">
        <v>1</v>
      </c>
    </row>
    <row r="256" spans="1:15" x14ac:dyDescent="0.3">
      <c r="A256" t="s">
        <v>1033</v>
      </c>
      <c r="B256">
        <v>256</v>
      </c>
      <c r="C256">
        <v>5641525</v>
      </c>
      <c r="D256">
        <v>157</v>
      </c>
      <c r="E256">
        <v>119</v>
      </c>
      <c r="F256">
        <v>1</v>
      </c>
      <c r="G256">
        <v>55.773776769997703</v>
      </c>
      <c r="H256">
        <v>1</v>
      </c>
      <c r="K256" t="s">
        <v>729</v>
      </c>
      <c r="L256">
        <v>6</v>
      </c>
      <c r="M256" t="s">
        <v>1038</v>
      </c>
      <c r="N256" t="s">
        <v>726</v>
      </c>
      <c r="O256">
        <v>1</v>
      </c>
    </row>
    <row r="257" spans="1:15" x14ac:dyDescent="0.3">
      <c r="A257" t="s">
        <v>1033</v>
      </c>
      <c r="B257">
        <v>257</v>
      </c>
      <c r="C257">
        <v>5641525</v>
      </c>
      <c r="D257">
        <v>119</v>
      </c>
      <c r="E257">
        <v>157</v>
      </c>
      <c r="F257">
        <v>1</v>
      </c>
      <c r="G257">
        <v>55.773776769997703</v>
      </c>
      <c r="H257">
        <v>1</v>
      </c>
      <c r="K257" t="s">
        <v>729</v>
      </c>
      <c r="L257">
        <v>6</v>
      </c>
      <c r="M257" t="s">
        <v>1039</v>
      </c>
      <c r="N257" t="s">
        <v>726</v>
      </c>
      <c r="O257">
        <v>1</v>
      </c>
    </row>
    <row r="258" spans="1:15" x14ac:dyDescent="0.3">
      <c r="A258" t="s">
        <v>1033</v>
      </c>
      <c r="B258">
        <v>258</v>
      </c>
      <c r="C258">
        <v>5641525</v>
      </c>
      <c r="D258">
        <v>119</v>
      </c>
      <c r="E258">
        <v>71</v>
      </c>
      <c r="F258">
        <v>1</v>
      </c>
      <c r="G258">
        <v>95.187807288728493</v>
      </c>
      <c r="H258">
        <v>1</v>
      </c>
      <c r="K258" t="s">
        <v>729</v>
      </c>
      <c r="L258">
        <v>6</v>
      </c>
      <c r="M258" t="s">
        <v>1040</v>
      </c>
      <c r="N258" t="s">
        <v>726</v>
      </c>
      <c r="O258">
        <v>1</v>
      </c>
    </row>
    <row r="259" spans="1:15" x14ac:dyDescent="0.3">
      <c r="A259" t="s">
        <v>1033</v>
      </c>
      <c r="B259">
        <v>259</v>
      </c>
      <c r="C259">
        <v>5641525</v>
      </c>
      <c r="D259">
        <v>71</v>
      </c>
      <c r="E259">
        <v>119</v>
      </c>
      <c r="F259">
        <v>1</v>
      </c>
      <c r="G259">
        <v>95.187807288728493</v>
      </c>
      <c r="H259">
        <v>1</v>
      </c>
      <c r="K259" t="s">
        <v>729</v>
      </c>
      <c r="L259">
        <v>6</v>
      </c>
      <c r="M259" t="s">
        <v>1041</v>
      </c>
      <c r="N259" t="s">
        <v>726</v>
      </c>
      <c r="O259">
        <v>1</v>
      </c>
    </row>
    <row r="260" spans="1:15" x14ac:dyDescent="0.3">
      <c r="A260" t="s">
        <v>1033</v>
      </c>
      <c r="B260">
        <v>260</v>
      </c>
      <c r="C260">
        <v>5641525</v>
      </c>
      <c r="D260">
        <v>71</v>
      </c>
      <c r="E260">
        <v>70</v>
      </c>
      <c r="F260">
        <v>1</v>
      </c>
      <c r="G260">
        <v>49.864820385086503</v>
      </c>
      <c r="H260">
        <v>1</v>
      </c>
      <c r="K260" t="s">
        <v>729</v>
      </c>
      <c r="L260">
        <v>6</v>
      </c>
      <c r="M260" t="s">
        <v>1042</v>
      </c>
      <c r="N260" t="s">
        <v>726</v>
      </c>
      <c r="O260">
        <v>1</v>
      </c>
    </row>
    <row r="261" spans="1:15" x14ac:dyDescent="0.3">
      <c r="A261" t="s">
        <v>1033</v>
      </c>
      <c r="B261">
        <v>261</v>
      </c>
      <c r="C261">
        <v>5641525</v>
      </c>
      <c r="D261">
        <v>70</v>
      </c>
      <c r="E261">
        <v>71</v>
      </c>
      <c r="F261">
        <v>1</v>
      </c>
      <c r="G261">
        <v>49.864820385086503</v>
      </c>
      <c r="H261">
        <v>1</v>
      </c>
      <c r="K261" t="s">
        <v>729</v>
      </c>
      <c r="L261">
        <v>6</v>
      </c>
      <c r="M261" t="s">
        <v>1043</v>
      </c>
      <c r="N261" t="s">
        <v>726</v>
      </c>
      <c r="O261">
        <v>1</v>
      </c>
    </row>
    <row r="262" spans="1:15" x14ac:dyDescent="0.3">
      <c r="A262" t="s">
        <v>1033</v>
      </c>
      <c r="B262">
        <v>262</v>
      </c>
      <c r="C262">
        <v>5641525</v>
      </c>
      <c r="D262">
        <v>70</v>
      </c>
      <c r="E262">
        <v>156</v>
      </c>
      <c r="F262">
        <v>1</v>
      </c>
      <c r="G262">
        <v>10.481739884262399</v>
      </c>
      <c r="H262">
        <v>1</v>
      </c>
      <c r="K262" t="s">
        <v>729</v>
      </c>
      <c r="L262">
        <v>6</v>
      </c>
      <c r="M262" t="s">
        <v>1044</v>
      </c>
      <c r="N262" t="s">
        <v>726</v>
      </c>
      <c r="O262">
        <v>1</v>
      </c>
    </row>
    <row r="263" spans="1:15" x14ac:dyDescent="0.3">
      <c r="A263" t="s">
        <v>1033</v>
      </c>
      <c r="B263">
        <v>263</v>
      </c>
      <c r="C263">
        <v>5641525</v>
      </c>
      <c r="D263">
        <v>156</v>
      </c>
      <c r="E263">
        <v>70</v>
      </c>
      <c r="F263">
        <v>1</v>
      </c>
      <c r="G263">
        <v>10.481739884262399</v>
      </c>
      <c r="H263">
        <v>1</v>
      </c>
      <c r="K263" t="s">
        <v>729</v>
      </c>
      <c r="L263">
        <v>6</v>
      </c>
      <c r="M263" t="s">
        <v>1045</v>
      </c>
      <c r="N263" t="s">
        <v>726</v>
      </c>
      <c r="O263">
        <v>1</v>
      </c>
    </row>
    <row r="264" spans="1:15" x14ac:dyDescent="0.3">
      <c r="A264" t="s">
        <v>1033</v>
      </c>
      <c r="B264">
        <v>264</v>
      </c>
      <c r="C264">
        <v>5641525</v>
      </c>
      <c r="D264">
        <v>156</v>
      </c>
      <c r="E264">
        <v>150</v>
      </c>
      <c r="F264">
        <v>1</v>
      </c>
      <c r="G264">
        <v>84.383607976844104</v>
      </c>
      <c r="H264">
        <v>1</v>
      </c>
      <c r="K264" t="s">
        <v>729</v>
      </c>
      <c r="L264">
        <v>6</v>
      </c>
      <c r="M264" t="s">
        <v>1046</v>
      </c>
      <c r="N264" t="s">
        <v>726</v>
      </c>
      <c r="O264">
        <v>1</v>
      </c>
    </row>
    <row r="265" spans="1:15" x14ac:dyDescent="0.3">
      <c r="A265" t="s">
        <v>1033</v>
      </c>
      <c r="B265">
        <v>265</v>
      </c>
      <c r="C265">
        <v>5641525</v>
      </c>
      <c r="D265">
        <v>150</v>
      </c>
      <c r="E265">
        <v>156</v>
      </c>
      <c r="F265">
        <v>1</v>
      </c>
      <c r="G265">
        <v>84.383607976844104</v>
      </c>
      <c r="H265">
        <v>1</v>
      </c>
      <c r="K265" t="s">
        <v>729</v>
      </c>
      <c r="L265">
        <v>6</v>
      </c>
      <c r="M265" t="s">
        <v>1047</v>
      </c>
      <c r="N265" t="s">
        <v>726</v>
      </c>
      <c r="O265">
        <v>1</v>
      </c>
    </row>
    <row r="266" spans="1:15" x14ac:dyDescent="0.3">
      <c r="A266" t="s">
        <v>1033</v>
      </c>
      <c r="B266">
        <v>266</v>
      </c>
      <c r="C266">
        <v>5641525</v>
      </c>
      <c r="D266">
        <v>150</v>
      </c>
      <c r="E266">
        <v>137</v>
      </c>
      <c r="F266">
        <v>1</v>
      </c>
      <c r="G266">
        <v>104.309692225185</v>
      </c>
      <c r="H266">
        <v>1</v>
      </c>
      <c r="K266" t="s">
        <v>729</v>
      </c>
      <c r="L266">
        <v>6</v>
      </c>
      <c r="M266" t="s">
        <v>1048</v>
      </c>
      <c r="N266" t="s">
        <v>726</v>
      </c>
      <c r="O266">
        <v>1</v>
      </c>
    </row>
    <row r="267" spans="1:15" x14ac:dyDescent="0.3">
      <c r="A267" t="s">
        <v>1033</v>
      </c>
      <c r="B267">
        <v>267</v>
      </c>
      <c r="C267">
        <v>5641525</v>
      </c>
      <c r="D267">
        <v>137</v>
      </c>
      <c r="E267">
        <v>150</v>
      </c>
      <c r="F267">
        <v>1</v>
      </c>
      <c r="G267">
        <v>104.309692225185</v>
      </c>
      <c r="H267">
        <v>1</v>
      </c>
      <c r="K267" t="s">
        <v>729</v>
      </c>
      <c r="L267">
        <v>6</v>
      </c>
      <c r="M267" t="s">
        <v>1049</v>
      </c>
      <c r="N267" t="s">
        <v>726</v>
      </c>
      <c r="O267">
        <v>1</v>
      </c>
    </row>
    <row r="268" spans="1:15" x14ac:dyDescent="0.3">
      <c r="A268" t="s">
        <v>1033</v>
      </c>
      <c r="B268">
        <v>268</v>
      </c>
      <c r="C268">
        <v>5641525</v>
      </c>
      <c r="D268">
        <v>137</v>
      </c>
      <c r="E268">
        <v>173</v>
      </c>
      <c r="F268">
        <v>1</v>
      </c>
      <c r="G268">
        <v>113.74695529956</v>
      </c>
      <c r="H268">
        <v>1</v>
      </c>
      <c r="K268" t="s">
        <v>729</v>
      </c>
      <c r="L268">
        <v>6</v>
      </c>
      <c r="M268" t="s">
        <v>1050</v>
      </c>
      <c r="N268" t="s">
        <v>726</v>
      </c>
      <c r="O268">
        <v>1</v>
      </c>
    </row>
    <row r="269" spans="1:15" x14ac:dyDescent="0.3">
      <c r="A269" t="s">
        <v>1033</v>
      </c>
      <c r="B269">
        <v>269</v>
      </c>
      <c r="C269">
        <v>5641525</v>
      </c>
      <c r="D269">
        <v>173</v>
      </c>
      <c r="E269">
        <v>137</v>
      </c>
      <c r="F269">
        <v>1</v>
      </c>
      <c r="G269">
        <v>113.74695529956</v>
      </c>
      <c r="H269">
        <v>1</v>
      </c>
      <c r="K269" t="s">
        <v>729</v>
      </c>
      <c r="L269">
        <v>6</v>
      </c>
      <c r="M269" t="s">
        <v>1051</v>
      </c>
      <c r="N269" t="s">
        <v>726</v>
      </c>
      <c r="O269">
        <v>1</v>
      </c>
    </row>
    <row r="270" spans="1:15" x14ac:dyDescent="0.3">
      <c r="A270" t="s">
        <v>1052</v>
      </c>
      <c r="B270">
        <v>270</v>
      </c>
      <c r="C270">
        <v>5643118</v>
      </c>
      <c r="D270">
        <v>154</v>
      </c>
      <c r="E270">
        <v>59</v>
      </c>
      <c r="F270">
        <v>1</v>
      </c>
      <c r="G270">
        <v>229.45175590987401</v>
      </c>
      <c r="H270">
        <v>1</v>
      </c>
      <c r="K270" t="s">
        <v>729</v>
      </c>
      <c r="L270">
        <v>6</v>
      </c>
      <c r="M270" t="s">
        <v>1053</v>
      </c>
      <c r="N270" t="s">
        <v>726</v>
      </c>
      <c r="O270">
        <v>1</v>
      </c>
    </row>
    <row r="271" spans="1:15" x14ac:dyDescent="0.3">
      <c r="A271" t="s">
        <v>1052</v>
      </c>
      <c r="B271">
        <v>271</v>
      </c>
      <c r="C271">
        <v>5643118</v>
      </c>
      <c r="D271">
        <v>59</v>
      </c>
      <c r="E271">
        <v>154</v>
      </c>
      <c r="F271">
        <v>1</v>
      </c>
      <c r="G271">
        <v>229.45175590987401</v>
      </c>
      <c r="H271">
        <v>1</v>
      </c>
      <c r="K271" t="s">
        <v>729</v>
      </c>
      <c r="L271">
        <v>6</v>
      </c>
      <c r="M271" t="s">
        <v>1054</v>
      </c>
      <c r="N271" t="s">
        <v>726</v>
      </c>
      <c r="O271">
        <v>1</v>
      </c>
    </row>
    <row r="272" spans="1:15" x14ac:dyDescent="0.3">
      <c r="A272" t="s">
        <v>1052</v>
      </c>
      <c r="B272">
        <v>272</v>
      </c>
      <c r="C272">
        <v>5643120</v>
      </c>
      <c r="D272">
        <v>148</v>
      </c>
      <c r="E272">
        <v>169</v>
      </c>
      <c r="F272">
        <v>1</v>
      </c>
      <c r="G272">
        <v>80.458082628188393</v>
      </c>
      <c r="H272">
        <v>1</v>
      </c>
      <c r="K272" t="s">
        <v>729</v>
      </c>
      <c r="L272">
        <v>6</v>
      </c>
      <c r="M272" t="s">
        <v>1055</v>
      </c>
      <c r="N272" t="s">
        <v>726</v>
      </c>
      <c r="O272">
        <v>1</v>
      </c>
    </row>
    <row r="273" spans="1:15" x14ac:dyDescent="0.3">
      <c r="A273" t="s">
        <v>1052</v>
      </c>
      <c r="B273">
        <v>273</v>
      </c>
      <c r="C273">
        <v>5643120</v>
      </c>
      <c r="D273">
        <v>169</v>
      </c>
      <c r="E273">
        <v>148</v>
      </c>
      <c r="F273">
        <v>1</v>
      </c>
      <c r="G273">
        <v>80.458082628188393</v>
      </c>
      <c r="H273">
        <v>1</v>
      </c>
      <c r="K273" t="s">
        <v>729</v>
      </c>
      <c r="L273">
        <v>6</v>
      </c>
      <c r="M273" t="s">
        <v>1056</v>
      </c>
      <c r="N273" t="s">
        <v>726</v>
      </c>
      <c r="O273">
        <v>1</v>
      </c>
    </row>
    <row r="274" spans="1:15" x14ac:dyDescent="0.3">
      <c r="A274" t="s">
        <v>1052</v>
      </c>
      <c r="B274">
        <v>274</v>
      </c>
      <c r="C274">
        <v>5643120</v>
      </c>
      <c r="D274">
        <v>169</v>
      </c>
      <c r="E274">
        <v>117</v>
      </c>
      <c r="F274">
        <v>1</v>
      </c>
      <c r="G274">
        <v>253.37762057929299</v>
      </c>
      <c r="H274">
        <v>1</v>
      </c>
      <c r="K274" t="s">
        <v>729</v>
      </c>
      <c r="L274">
        <v>6</v>
      </c>
      <c r="M274" t="s">
        <v>1057</v>
      </c>
      <c r="N274" t="s">
        <v>726</v>
      </c>
      <c r="O274">
        <v>1</v>
      </c>
    </row>
    <row r="275" spans="1:15" x14ac:dyDescent="0.3">
      <c r="A275" t="s">
        <v>1052</v>
      </c>
      <c r="B275">
        <v>275</v>
      </c>
      <c r="C275">
        <v>5643120</v>
      </c>
      <c r="D275">
        <v>117</v>
      </c>
      <c r="E275">
        <v>169</v>
      </c>
      <c r="F275">
        <v>1</v>
      </c>
      <c r="G275">
        <v>253.37762057929299</v>
      </c>
      <c r="H275">
        <v>1</v>
      </c>
      <c r="K275" t="s">
        <v>729</v>
      </c>
      <c r="L275">
        <v>6</v>
      </c>
      <c r="M275" t="s">
        <v>1058</v>
      </c>
      <c r="N275" t="s">
        <v>726</v>
      </c>
      <c r="O275">
        <v>1</v>
      </c>
    </row>
    <row r="276" spans="1:15" x14ac:dyDescent="0.3">
      <c r="A276" t="s">
        <v>1059</v>
      </c>
      <c r="B276">
        <v>276</v>
      </c>
      <c r="C276">
        <v>5643860</v>
      </c>
      <c r="D276">
        <v>174</v>
      </c>
      <c r="E276">
        <v>1961</v>
      </c>
      <c r="F276">
        <v>1</v>
      </c>
      <c r="G276">
        <v>161.193211503198</v>
      </c>
      <c r="H276">
        <v>1</v>
      </c>
      <c r="K276" t="s">
        <v>729</v>
      </c>
      <c r="L276">
        <v>6</v>
      </c>
      <c r="M276" t="s">
        <v>1060</v>
      </c>
      <c r="N276" t="s">
        <v>726</v>
      </c>
      <c r="O276">
        <v>1</v>
      </c>
    </row>
    <row r="277" spans="1:15" x14ac:dyDescent="0.3">
      <c r="A277" t="s">
        <v>1059</v>
      </c>
      <c r="B277">
        <v>277</v>
      </c>
      <c r="C277">
        <v>5643860</v>
      </c>
      <c r="D277">
        <v>1961</v>
      </c>
      <c r="E277">
        <v>174</v>
      </c>
      <c r="F277">
        <v>1</v>
      </c>
      <c r="G277">
        <v>161.193211503198</v>
      </c>
      <c r="H277">
        <v>1</v>
      </c>
      <c r="K277" t="s">
        <v>729</v>
      </c>
      <c r="L277">
        <v>6</v>
      </c>
      <c r="M277" t="s">
        <v>1061</v>
      </c>
      <c r="N277" t="s">
        <v>726</v>
      </c>
      <c r="O277">
        <v>1</v>
      </c>
    </row>
    <row r="278" spans="1:15" x14ac:dyDescent="0.3">
      <c r="A278" t="s">
        <v>1062</v>
      </c>
      <c r="B278">
        <v>280</v>
      </c>
      <c r="C278">
        <v>5644695</v>
      </c>
      <c r="D278">
        <v>424</v>
      </c>
      <c r="E278">
        <v>709</v>
      </c>
      <c r="F278">
        <v>1</v>
      </c>
      <c r="G278">
        <v>45.154189632171899</v>
      </c>
      <c r="H278">
        <v>1</v>
      </c>
      <c r="I278">
        <v>25</v>
      </c>
      <c r="K278" t="s">
        <v>729</v>
      </c>
      <c r="L278">
        <v>6</v>
      </c>
      <c r="M278" t="s">
        <v>1063</v>
      </c>
      <c r="N278" t="s">
        <v>726</v>
      </c>
      <c r="O278">
        <v>0</v>
      </c>
    </row>
    <row r="279" spans="1:15" x14ac:dyDescent="0.3">
      <c r="A279" t="s">
        <v>1062</v>
      </c>
      <c r="B279">
        <v>281</v>
      </c>
      <c r="C279">
        <v>5644707</v>
      </c>
      <c r="D279">
        <v>172</v>
      </c>
      <c r="E279">
        <v>41</v>
      </c>
      <c r="F279">
        <v>1</v>
      </c>
      <c r="G279">
        <v>111.542563917008</v>
      </c>
      <c r="H279">
        <v>1</v>
      </c>
      <c r="K279" t="s">
        <v>729</v>
      </c>
      <c r="L279">
        <v>6</v>
      </c>
      <c r="M279" t="s">
        <v>1064</v>
      </c>
      <c r="N279" t="s">
        <v>726</v>
      </c>
      <c r="O279">
        <v>1</v>
      </c>
    </row>
    <row r="280" spans="1:15" x14ac:dyDescent="0.3">
      <c r="A280" t="s">
        <v>1062</v>
      </c>
      <c r="B280">
        <v>282</v>
      </c>
      <c r="C280">
        <v>5644707</v>
      </c>
      <c r="D280">
        <v>41</v>
      </c>
      <c r="E280">
        <v>172</v>
      </c>
      <c r="F280">
        <v>1</v>
      </c>
      <c r="G280">
        <v>111.542563917008</v>
      </c>
      <c r="H280">
        <v>1</v>
      </c>
      <c r="K280" t="s">
        <v>729</v>
      </c>
      <c r="L280">
        <v>6</v>
      </c>
      <c r="M280" t="s">
        <v>1065</v>
      </c>
      <c r="N280" t="s">
        <v>726</v>
      </c>
      <c r="O280">
        <v>1</v>
      </c>
    </row>
    <row r="281" spans="1:15" x14ac:dyDescent="0.3">
      <c r="A281" t="s">
        <v>1062</v>
      </c>
      <c r="B281">
        <v>283</v>
      </c>
      <c r="C281">
        <v>5644707</v>
      </c>
      <c r="D281">
        <v>41</v>
      </c>
      <c r="E281">
        <v>245</v>
      </c>
      <c r="F281">
        <v>1</v>
      </c>
      <c r="G281">
        <v>74.740394607727396</v>
      </c>
      <c r="H281">
        <v>1</v>
      </c>
      <c r="K281" t="s">
        <v>729</v>
      </c>
      <c r="L281">
        <v>6</v>
      </c>
      <c r="M281" t="s">
        <v>1066</v>
      </c>
      <c r="N281" t="s">
        <v>726</v>
      </c>
      <c r="O281">
        <v>1</v>
      </c>
    </row>
    <row r="282" spans="1:15" x14ac:dyDescent="0.3">
      <c r="A282" t="s">
        <v>1062</v>
      </c>
      <c r="B282">
        <v>284</v>
      </c>
      <c r="C282">
        <v>5644707</v>
      </c>
      <c r="D282">
        <v>245</v>
      </c>
      <c r="E282">
        <v>41</v>
      </c>
      <c r="F282">
        <v>1</v>
      </c>
      <c r="G282">
        <v>74.740394607727396</v>
      </c>
      <c r="H282">
        <v>1</v>
      </c>
      <c r="K282" t="s">
        <v>729</v>
      </c>
      <c r="L282">
        <v>6</v>
      </c>
      <c r="M282" t="s">
        <v>1067</v>
      </c>
      <c r="N282" t="s">
        <v>726</v>
      </c>
      <c r="O282">
        <v>1</v>
      </c>
    </row>
    <row r="283" spans="1:15" x14ac:dyDescent="0.3">
      <c r="A283" t="s">
        <v>1068</v>
      </c>
      <c r="B283">
        <v>285</v>
      </c>
      <c r="C283">
        <v>5644918</v>
      </c>
      <c r="D283">
        <v>247</v>
      </c>
      <c r="E283">
        <v>141</v>
      </c>
      <c r="F283">
        <v>1</v>
      </c>
      <c r="G283">
        <v>141.670515137667</v>
      </c>
      <c r="H283">
        <v>1</v>
      </c>
      <c r="K283" t="s">
        <v>729</v>
      </c>
      <c r="L283">
        <v>6</v>
      </c>
      <c r="M283" t="s">
        <v>1069</v>
      </c>
      <c r="N283" t="s">
        <v>726</v>
      </c>
      <c r="O283">
        <v>1</v>
      </c>
    </row>
    <row r="284" spans="1:15" x14ac:dyDescent="0.3">
      <c r="A284" t="s">
        <v>1068</v>
      </c>
      <c r="B284">
        <v>286</v>
      </c>
      <c r="C284">
        <v>5644918</v>
      </c>
      <c r="D284">
        <v>141</v>
      </c>
      <c r="E284">
        <v>247</v>
      </c>
      <c r="F284">
        <v>1</v>
      </c>
      <c r="G284">
        <v>141.670515137667</v>
      </c>
      <c r="H284">
        <v>1</v>
      </c>
      <c r="K284" t="s">
        <v>729</v>
      </c>
      <c r="L284">
        <v>6</v>
      </c>
      <c r="M284" t="s">
        <v>1070</v>
      </c>
      <c r="N284" t="s">
        <v>726</v>
      </c>
      <c r="O284">
        <v>1</v>
      </c>
    </row>
    <row r="285" spans="1:15" x14ac:dyDescent="0.3">
      <c r="A285" t="s">
        <v>1068</v>
      </c>
      <c r="B285">
        <v>287</v>
      </c>
      <c r="C285">
        <v>5644918</v>
      </c>
      <c r="D285">
        <v>141</v>
      </c>
      <c r="E285">
        <v>102</v>
      </c>
      <c r="F285">
        <v>1</v>
      </c>
      <c r="G285">
        <v>167.30711842323899</v>
      </c>
      <c r="H285">
        <v>1</v>
      </c>
      <c r="K285" t="s">
        <v>729</v>
      </c>
      <c r="L285">
        <v>6</v>
      </c>
      <c r="M285" t="s">
        <v>1071</v>
      </c>
      <c r="N285" t="s">
        <v>726</v>
      </c>
      <c r="O285">
        <v>1</v>
      </c>
    </row>
    <row r="286" spans="1:15" x14ac:dyDescent="0.3">
      <c r="A286" t="s">
        <v>1068</v>
      </c>
      <c r="B286">
        <v>288</v>
      </c>
      <c r="C286">
        <v>5644918</v>
      </c>
      <c r="D286">
        <v>102</v>
      </c>
      <c r="E286">
        <v>141</v>
      </c>
      <c r="F286">
        <v>1</v>
      </c>
      <c r="G286">
        <v>167.30711842323899</v>
      </c>
      <c r="H286">
        <v>1</v>
      </c>
      <c r="K286" t="s">
        <v>729</v>
      </c>
      <c r="L286">
        <v>6</v>
      </c>
      <c r="M286" t="s">
        <v>1072</v>
      </c>
      <c r="N286" t="s">
        <v>726</v>
      </c>
      <c r="O286">
        <v>1</v>
      </c>
    </row>
    <row r="287" spans="1:15" x14ac:dyDescent="0.3">
      <c r="A287" t="s">
        <v>1068</v>
      </c>
      <c r="B287">
        <v>289</v>
      </c>
      <c r="C287">
        <v>5644918</v>
      </c>
      <c r="D287">
        <v>102</v>
      </c>
      <c r="E287">
        <v>175</v>
      </c>
      <c r="F287">
        <v>1</v>
      </c>
      <c r="G287">
        <v>152.15723034995401</v>
      </c>
      <c r="H287">
        <v>1</v>
      </c>
      <c r="K287" t="s">
        <v>729</v>
      </c>
      <c r="L287">
        <v>6</v>
      </c>
      <c r="M287" t="s">
        <v>1073</v>
      </c>
      <c r="N287" t="s">
        <v>726</v>
      </c>
      <c r="O287">
        <v>1</v>
      </c>
    </row>
    <row r="288" spans="1:15" x14ac:dyDescent="0.3">
      <c r="A288" t="s">
        <v>1068</v>
      </c>
      <c r="B288">
        <v>290</v>
      </c>
      <c r="C288">
        <v>5644918</v>
      </c>
      <c r="D288">
        <v>175</v>
      </c>
      <c r="E288">
        <v>102</v>
      </c>
      <c r="F288">
        <v>1</v>
      </c>
      <c r="G288">
        <v>152.15723034995401</v>
      </c>
      <c r="H288">
        <v>1</v>
      </c>
      <c r="K288" t="s">
        <v>729</v>
      </c>
      <c r="L288">
        <v>6</v>
      </c>
      <c r="M288" t="s">
        <v>1074</v>
      </c>
      <c r="N288" t="s">
        <v>726</v>
      </c>
      <c r="O288">
        <v>1</v>
      </c>
    </row>
    <row r="289" spans="1:15" x14ac:dyDescent="0.3">
      <c r="A289" t="s">
        <v>1075</v>
      </c>
      <c r="B289">
        <v>291</v>
      </c>
      <c r="C289">
        <v>5645208</v>
      </c>
      <c r="D289">
        <v>89</v>
      </c>
      <c r="E289">
        <v>777</v>
      </c>
      <c r="F289">
        <v>1</v>
      </c>
      <c r="G289">
        <v>148.930124894031</v>
      </c>
      <c r="H289">
        <v>1</v>
      </c>
      <c r="K289" t="s">
        <v>729</v>
      </c>
      <c r="L289">
        <v>6</v>
      </c>
      <c r="M289" t="s">
        <v>1076</v>
      </c>
      <c r="N289" t="s">
        <v>726</v>
      </c>
      <c r="O289">
        <v>1</v>
      </c>
    </row>
    <row r="290" spans="1:15" x14ac:dyDescent="0.3">
      <c r="A290" t="s">
        <v>1075</v>
      </c>
      <c r="B290">
        <v>292</v>
      </c>
      <c r="C290">
        <v>5645208</v>
      </c>
      <c r="D290">
        <v>777</v>
      </c>
      <c r="E290">
        <v>89</v>
      </c>
      <c r="F290">
        <v>1</v>
      </c>
      <c r="G290">
        <v>148.930124894031</v>
      </c>
      <c r="H290">
        <v>1</v>
      </c>
      <c r="K290" t="s">
        <v>729</v>
      </c>
      <c r="L290">
        <v>6</v>
      </c>
      <c r="M290" t="s">
        <v>1077</v>
      </c>
      <c r="N290" t="s">
        <v>726</v>
      </c>
      <c r="O290">
        <v>1</v>
      </c>
    </row>
    <row r="291" spans="1:15" x14ac:dyDescent="0.3">
      <c r="A291" t="s">
        <v>1078</v>
      </c>
      <c r="B291">
        <v>293</v>
      </c>
      <c r="C291">
        <v>5654651</v>
      </c>
      <c r="D291">
        <v>616</v>
      </c>
      <c r="E291">
        <v>689</v>
      </c>
      <c r="F291">
        <v>1</v>
      </c>
      <c r="G291">
        <v>66.143519122087497</v>
      </c>
      <c r="H291">
        <v>1</v>
      </c>
      <c r="I291">
        <v>25</v>
      </c>
      <c r="K291" t="s">
        <v>711</v>
      </c>
      <c r="L291">
        <v>5</v>
      </c>
      <c r="M291" t="s">
        <v>1079</v>
      </c>
      <c r="N291" t="s">
        <v>726</v>
      </c>
      <c r="O291">
        <v>1</v>
      </c>
    </row>
    <row r="292" spans="1:15" x14ac:dyDescent="0.3">
      <c r="A292" t="s">
        <v>1078</v>
      </c>
      <c r="B292">
        <v>294</v>
      </c>
      <c r="C292">
        <v>5654651</v>
      </c>
      <c r="D292">
        <v>689</v>
      </c>
      <c r="E292">
        <v>616</v>
      </c>
      <c r="F292">
        <v>1</v>
      </c>
      <c r="G292">
        <v>66.143519122087497</v>
      </c>
      <c r="H292">
        <v>1</v>
      </c>
      <c r="I292">
        <v>25</v>
      </c>
      <c r="K292" t="s">
        <v>711</v>
      </c>
      <c r="L292">
        <v>5</v>
      </c>
      <c r="M292" t="s">
        <v>1080</v>
      </c>
      <c r="N292" t="s">
        <v>726</v>
      </c>
      <c r="O292">
        <v>1</v>
      </c>
    </row>
    <row r="293" spans="1:15" x14ac:dyDescent="0.3">
      <c r="A293" t="s">
        <v>1078</v>
      </c>
      <c r="B293">
        <v>295</v>
      </c>
      <c r="C293">
        <v>5654651</v>
      </c>
      <c r="D293">
        <v>689</v>
      </c>
      <c r="E293">
        <v>176</v>
      </c>
      <c r="F293">
        <v>1</v>
      </c>
      <c r="G293">
        <v>117.25146704220001</v>
      </c>
      <c r="H293">
        <v>1</v>
      </c>
      <c r="I293">
        <v>25</v>
      </c>
      <c r="K293" t="s">
        <v>711</v>
      </c>
      <c r="L293">
        <v>5</v>
      </c>
      <c r="M293" t="s">
        <v>1081</v>
      </c>
      <c r="N293" t="s">
        <v>726</v>
      </c>
      <c r="O293">
        <v>1</v>
      </c>
    </row>
    <row r="294" spans="1:15" x14ac:dyDescent="0.3">
      <c r="A294" t="s">
        <v>1078</v>
      </c>
      <c r="B294">
        <v>296</v>
      </c>
      <c r="C294">
        <v>5654651</v>
      </c>
      <c r="D294">
        <v>176</v>
      </c>
      <c r="E294">
        <v>689</v>
      </c>
      <c r="F294">
        <v>1</v>
      </c>
      <c r="G294">
        <v>117.25146704220001</v>
      </c>
      <c r="H294">
        <v>1</v>
      </c>
      <c r="I294">
        <v>25</v>
      </c>
      <c r="K294" t="s">
        <v>711</v>
      </c>
      <c r="L294">
        <v>5</v>
      </c>
      <c r="M294" t="s">
        <v>1082</v>
      </c>
      <c r="N294" t="s">
        <v>726</v>
      </c>
      <c r="O294">
        <v>1</v>
      </c>
    </row>
    <row r="295" spans="1:15" x14ac:dyDescent="0.3">
      <c r="A295" t="s">
        <v>1078</v>
      </c>
      <c r="B295">
        <v>297</v>
      </c>
      <c r="C295">
        <v>5654651</v>
      </c>
      <c r="D295">
        <v>176</v>
      </c>
      <c r="E295">
        <v>262</v>
      </c>
      <c r="F295">
        <v>1</v>
      </c>
      <c r="G295">
        <v>79.393998482445198</v>
      </c>
      <c r="H295">
        <v>1</v>
      </c>
      <c r="I295">
        <v>25</v>
      </c>
      <c r="K295" t="s">
        <v>711</v>
      </c>
      <c r="L295">
        <v>5</v>
      </c>
      <c r="M295" t="s">
        <v>1083</v>
      </c>
      <c r="N295" t="s">
        <v>726</v>
      </c>
      <c r="O295">
        <v>1</v>
      </c>
    </row>
    <row r="296" spans="1:15" x14ac:dyDescent="0.3">
      <c r="A296" t="s">
        <v>1078</v>
      </c>
      <c r="B296">
        <v>298</v>
      </c>
      <c r="C296">
        <v>5654651</v>
      </c>
      <c r="D296">
        <v>262</v>
      </c>
      <c r="E296">
        <v>176</v>
      </c>
      <c r="F296">
        <v>1</v>
      </c>
      <c r="G296">
        <v>79.393998482445198</v>
      </c>
      <c r="H296">
        <v>1</v>
      </c>
      <c r="I296">
        <v>25</v>
      </c>
      <c r="K296" t="s">
        <v>711</v>
      </c>
      <c r="L296">
        <v>5</v>
      </c>
      <c r="M296" t="s">
        <v>1084</v>
      </c>
      <c r="N296" t="s">
        <v>726</v>
      </c>
      <c r="O296">
        <v>1</v>
      </c>
    </row>
    <row r="297" spans="1:15" x14ac:dyDescent="0.3">
      <c r="A297" t="s">
        <v>1078</v>
      </c>
      <c r="B297">
        <v>299</v>
      </c>
      <c r="C297">
        <v>5654651</v>
      </c>
      <c r="D297">
        <v>262</v>
      </c>
      <c r="E297">
        <v>99</v>
      </c>
      <c r="F297">
        <v>1</v>
      </c>
      <c r="G297">
        <v>110.103621590144</v>
      </c>
      <c r="H297">
        <v>1</v>
      </c>
      <c r="I297">
        <v>25</v>
      </c>
      <c r="K297" t="s">
        <v>711</v>
      </c>
      <c r="L297">
        <v>5</v>
      </c>
      <c r="M297" t="s">
        <v>1085</v>
      </c>
      <c r="N297" t="s">
        <v>726</v>
      </c>
      <c r="O297">
        <v>1</v>
      </c>
    </row>
    <row r="298" spans="1:15" x14ac:dyDescent="0.3">
      <c r="A298" t="s">
        <v>1078</v>
      </c>
      <c r="B298">
        <v>300</v>
      </c>
      <c r="C298">
        <v>5654651</v>
      </c>
      <c r="D298">
        <v>99</v>
      </c>
      <c r="E298">
        <v>262</v>
      </c>
      <c r="F298">
        <v>1</v>
      </c>
      <c r="G298">
        <v>110.103621590144</v>
      </c>
      <c r="H298">
        <v>1</v>
      </c>
      <c r="I298">
        <v>25</v>
      </c>
      <c r="K298" t="s">
        <v>711</v>
      </c>
      <c r="L298">
        <v>5</v>
      </c>
      <c r="M298" t="s">
        <v>1086</v>
      </c>
      <c r="N298" t="s">
        <v>726</v>
      </c>
      <c r="O298">
        <v>1</v>
      </c>
    </row>
    <row r="299" spans="1:15" x14ac:dyDescent="0.3">
      <c r="A299" t="s">
        <v>1078</v>
      </c>
      <c r="B299">
        <v>301</v>
      </c>
      <c r="C299">
        <v>5654651</v>
      </c>
      <c r="D299">
        <v>99</v>
      </c>
      <c r="E299">
        <v>615</v>
      </c>
      <c r="F299">
        <v>1</v>
      </c>
      <c r="G299">
        <v>165.38285560179699</v>
      </c>
      <c r="H299">
        <v>1</v>
      </c>
      <c r="I299">
        <v>25</v>
      </c>
      <c r="K299" t="s">
        <v>711</v>
      </c>
      <c r="L299">
        <v>5</v>
      </c>
      <c r="M299" t="s">
        <v>1087</v>
      </c>
      <c r="N299" t="s">
        <v>726</v>
      </c>
      <c r="O299">
        <v>1</v>
      </c>
    </row>
    <row r="300" spans="1:15" x14ac:dyDescent="0.3">
      <c r="A300" t="s">
        <v>1078</v>
      </c>
      <c r="B300">
        <v>302</v>
      </c>
      <c r="C300">
        <v>5654651</v>
      </c>
      <c r="D300">
        <v>615</v>
      </c>
      <c r="E300">
        <v>99</v>
      </c>
      <c r="F300">
        <v>1</v>
      </c>
      <c r="G300">
        <v>165.38285560179699</v>
      </c>
      <c r="H300">
        <v>1</v>
      </c>
      <c r="I300">
        <v>25</v>
      </c>
      <c r="K300" t="s">
        <v>711</v>
      </c>
      <c r="L300">
        <v>5</v>
      </c>
      <c r="M300" t="s">
        <v>1088</v>
      </c>
      <c r="N300" t="s">
        <v>726</v>
      </c>
      <c r="O300">
        <v>1</v>
      </c>
    </row>
    <row r="301" spans="1:15" x14ac:dyDescent="0.3">
      <c r="A301" t="s">
        <v>749</v>
      </c>
      <c r="B301">
        <v>303</v>
      </c>
      <c r="C301">
        <v>5654759</v>
      </c>
      <c r="D301">
        <v>6</v>
      </c>
      <c r="E301">
        <v>778</v>
      </c>
      <c r="F301">
        <v>1</v>
      </c>
      <c r="G301">
        <v>104.407522395668</v>
      </c>
      <c r="H301">
        <v>1</v>
      </c>
      <c r="K301" t="s">
        <v>729</v>
      </c>
      <c r="L301">
        <v>6</v>
      </c>
      <c r="M301" t="s">
        <v>1089</v>
      </c>
      <c r="N301" t="s">
        <v>726</v>
      </c>
      <c r="O301">
        <v>1</v>
      </c>
    </row>
    <row r="302" spans="1:15" x14ac:dyDescent="0.3">
      <c r="A302" t="s">
        <v>749</v>
      </c>
      <c r="B302">
        <v>304</v>
      </c>
      <c r="C302">
        <v>5654759</v>
      </c>
      <c r="D302">
        <v>778</v>
      </c>
      <c r="E302">
        <v>6</v>
      </c>
      <c r="F302">
        <v>1</v>
      </c>
      <c r="G302">
        <v>104.407522395668</v>
      </c>
      <c r="H302">
        <v>1</v>
      </c>
      <c r="K302" t="s">
        <v>729</v>
      </c>
      <c r="L302">
        <v>6</v>
      </c>
      <c r="M302" t="s">
        <v>1090</v>
      </c>
      <c r="N302" t="s">
        <v>726</v>
      </c>
      <c r="O302">
        <v>1</v>
      </c>
    </row>
    <row r="303" spans="1:15" x14ac:dyDescent="0.3">
      <c r="A303" t="s">
        <v>1091</v>
      </c>
      <c r="B303">
        <v>305</v>
      </c>
      <c r="C303">
        <v>5657599</v>
      </c>
      <c r="D303">
        <v>178</v>
      </c>
      <c r="E303">
        <v>139</v>
      </c>
      <c r="F303">
        <v>1</v>
      </c>
      <c r="G303">
        <v>266.187333493229</v>
      </c>
      <c r="H303">
        <v>1</v>
      </c>
      <c r="K303" t="s">
        <v>729</v>
      </c>
      <c r="L303">
        <v>6</v>
      </c>
      <c r="M303" t="s">
        <v>1092</v>
      </c>
      <c r="N303" t="s">
        <v>726</v>
      </c>
      <c r="O303">
        <v>1</v>
      </c>
    </row>
    <row r="304" spans="1:15" x14ac:dyDescent="0.3">
      <c r="A304" t="s">
        <v>1091</v>
      </c>
      <c r="B304">
        <v>306</v>
      </c>
      <c r="C304">
        <v>5657599</v>
      </c>
      <c r="D304">
        <v>139</v>
      </c>
      <c r="E304">
        <v>178</v>
      </c>
      <c r="F304">
        <v>1</v>
      </c>
      <c r="G304">
        <v>266.187333493229</v>
      </c>
      <c r="H304">
        <v>1</v>
      </c>
      <c r="K304" t="s">
        <v>729</v>
      </c>
      <c r="L304">
        <v>6</v>
      </c>
      <c r="M304" t="s">
        <v>1093</v>
      </c>
      <c r="N304" t="s">
        <v>726</v>
      </c>
      <c r="O304">
        <v>1</v>
      </c>
    </row>
    <row r="305" spans="1:15" x14ac:dyDescent="0.3">
      <c r="A305" t="s">
        <v>1091</v>
      </c>
      <c r="B305">
        <v>307</v>
      </c>
      <c r="C305">
        <v>5657599</v>
      </c>
      <c r="D305">
        <v>139</v>
      </c>
      <c r="E305">
        <v>100</v>
      </c>
      <c r="F305">
        <v>1</v>
      </c>
      <c r="G305">
        <v>167.30340590303501</v>
      </c>
      <c r="H305">
        <v>1</v>
      </c>
      <c r="K305" t="s">
        <v>729</v>
      </c>
      <c r="L305">
        <v>6</v>
      </c>
      <c r="M305" t="s">
        <v>1094</v>
      </c>
      <c r="N305" t="s">
        <v>726</v>
      </c>
      <c r="O305">
        <v>1</v>
      </c>
    </row>
    <row r="306" spans="1:15" x14ac:dyDescent="0.3">
      <c r="A306" t="s">
        <v>1091</v>
      </c>
      <c r="B306">
        <v>308</v>
      </c>
      <c r="C306">
        <v>5657599</v>
      </c>
      <c r="D306">
        <v>100</v>
      </c>
      <c r="E306">
        <v>139</v>
      </c>
      <c r="F306">
        <v>1</v>
      </c>
      <c r="G306">
        <v>167.30340590303501</v>
      </c>
      <c r="H306">
        <v>1</v>
      </c>
      <c r="K306" t="s">
        <v>729</v>
      </c>
      <c r="L306">
        <v>6</v>
      </c>
      <c r="M306" t="s">
        <v>1095</v>
      </c>
      <c r="N306" t="s">
        <v>726</v>
      </c>
      <c r="O306">
        <v>1</v>
      </c>
    </row>
    <row r="307" spans="1:15" x14ac:dyDescent="0.3">
      <c r="A307" t="s">
        <v>1091</v>
      </c>
      <c r="B307">
        <v>309</v>
      </c>
      <c r="C307">
        <v>5657599</v>
      </c>
      <c r="D307">
        <v>100</v>
      </c>
      <c r="E307">
        <v>179</v>
      </c>
      <c r="F307">
        <v>1</v>
      </c>
      <c r="G307">
        <v>156.13568858292399</v>
      </c>
      <c r="H307">
        <v>1</v>
      </c>
      <c r="K307" t="s">
        <v>729</v>
      </c>
      <c r="L307">
        <v>6</v>
      </c>
      <c r="M307" t="s">
        <v>1096</v>
      </c>
      <c r="N307" t="s">
        <v>726</v>
      </c>
      <c r="O307">
        <v>1</v>
      </c>
    </row>
    <row r="308" spans="1:15" x14ac:dyDescent="0.3">
      <c r="A308" t="s">
        <v>1091</v>
      </c>
      <c r="B308">
        <v>310</v>
      </c>
      <c r="C308">
        <v>5657599</v>
      </c>
      <c r="D308">
        <v>179</v>
      </c>
      <c r="E308">
        <v>100</v>
      </c>
      <c r="F308">
        <v>1</v>
      </c>
      <c r="G308">
        <v>156.13568858292399</v>
      </c>
      <c r="H308">
        <v>1</v>
      </c>
      <c r="K308" t="s">
        <v>729</v>
      </c>
      <c r="L308">
        <v>6</v>
      </c>
      <c r="M308" t="s">
        <v>1097</v>
      </c>
      <c r="N308" t="s">
        <v>726</v>
      </c>
      <c r="O308">
        <v>1</v>
      </c>
    </row>
    <row r="309" spans="1:15" x14ac:dyDescent="0.3">
      <c r="A309" t="s">
        <v>1098</v>
      </c>
      <c r="B309">
        <v>311</v>
      </c>
      <c r="C309">
        <v>5658115</v>
      </c>
      <c r="D309">
        <v>78</v>
      </c>
      <c r="E309">
        <v>118</v>
      </c>
      <c r="F309">
        <v>1</v>
      </c>
      <c r="G309">
        <v>172.09232338388199</v>
      </c>
      <c r="H309">
        <v>1</v>
      </c>
      <c r="K309" t="s">
        <v>729</v>
      </c>
      <c r="L309">
        <v>6</v>
      </c>
      <c r="M309" t="s">
        <v>1099</v>
      </c>
      <c r="N309" t="s">
        <v>726</v>
      </c>
      <c r="O309">
        <v>1</v>
      </c>
    </row>
    <row r="310" spans="1:15" x14ac:dyDescent="0.3">
      <c r="A310" t="s">
        <v>1098</v>
      </c>
      <c r="B310">
        <v>312</v>
      </c>
      <c r="C310">
        <v>5658115</v>
      </c>
      <c r="D310">
        <v>118</v>
      </c>
      <c r="E310">
        <v>78</v>
      </c>
      <c r="F310">
        <v>1</v>
      </c>
      <c r="G310">
        <v>172.09232338388199</v>
      </c>
      <c r="H310">
        <v>1</v>
      </c>
      <c r="K310" t="s">
        <v>729</v>
      </c>
      <c r="L310">
        <v>6</v>
      </c>
      <c r="M310" t="s">
        <v>1100</v>
      </c>
      <c r="N310" t="s">
        <v>726</v>
      </c>
      <c r="O310">
        <v>1</v>
      </c>
    </row>
    <row r="311" spans="1:15" x14ac:dyDescent="0.3">
      <c r="A311" t="s">
        <v>1101</v>
      </c>
      <c r="B311">
        <v>313</v>
      </c>
      <c r="C311">
        <v>5658805</v>
      </c>
      <c r="D311">
        <v>1964</v>
      </c>
      <c r="E311">
        <v>383</v>
      </c>
      <c r="F311">
        <v>1</v>
      </c>
      <c r="G311">
        <v>153.71615875747801</v>
      </c>
      <c r="H311">
        <v>1</v>
      </c>
      <c r="K311" t="s">
        <v>729</v>
      </c>
      <c r="L311">
        <v>6</v>
      </c>
      <c r="M311" t="s">
        <v>1102</v>
      </c>
      <c r="N311" t="s">
        <v>726</v>
      </c>
      <c r="O311">
        <v>1</v>
      </c>
    </row>
    <row r="312" spans="1:15" x14ac:dyDescent="0.3">
      <c r="A312" t="s">
        <v>1101</v>
      </c>
      <c r="B312">
        <v>314</v>
      </c>
      <c r="C312">
        <v>5658805</v>
      </c>
      <c r="D312">
        <v>383</v>
      </c>
      <c r="E312">
        <v>1964</v>
      </c>
      <c r="F312">
        <v>1</v>
      </c>
      <c r="G312">
        <v>153.71615875747801</v>
      </c>
      <c r="H312">
        <v>1</v>
      </c>
      <c r="K312" t="s">
        <v>729</v>
      </c>
      <c r="L312">
        <v>6</v>
      </c>
      <c r="M312" t="s">
        <v>1103</v>
      </c>
      <c r="N312" t="s">
        <v>726</v>
      </c>
      <c r="O312">
        <v>1</v>
      </c>
    </row>
    <row r="313" spans="1:15" x14ac:dyDescent="0.3">
      <c r="A313" t="s">
        <v>1101</v>
      </c>
      <c r="B313">
        <v>315</v>
      </c>
      <c r="C313">
        <v>5658805</v>
      </c>
      <c r="D313">
        <v>383</v>
      </c>
      <c r="E313">
        <v>174</v>
      </c>
      <c r="F313">
        <v>1</v>
      </c>
      <c r="G313">
        <v>159.83855639440901</v>
      </c>
      <c r="H313">
        <v>1</v>
      </c>
      <c r="K313" t="s">
        <v>729</v>
      </c>
      <c r="L313">
        <v>6</v>
      </c>
      <c r="M313" t="s">
        <v>1104</v>
      </c>
      <c r="N313" t="s">
        <v>726</v>
      </c>
      <c r="O313">
        <v>1</v>
      </c>
    </row>
    <row r="314" spans="1:15" x14ac:dyDescent="0.3">
      <c r="A314" t="s">
        <v>1101</v>
      </c>
      <c r="B314">
        <v>316</v>
      </c>
      <c r="C314">
        <v>5658805</v>
      </c>
      <c r="D314">
        <v>174</v>
      </c>
      <c r="E314">
        <v>383</v>
      </c>
      <c r="F314">
        <v>1</v>
      </c>
      <c r="G314">
        <v>159.83855639440901</v>
      </c>
      <c r="H314">
        <v>1</v>
      </c>
      <c r="K314" t="s">
        <v>729</v>
      </c>
      <c r="L314">
        <v>6</v>
      </c>
      <c r="M314" t="s">
        <v>1105</v>
      </c>
      <c r="N314" t="s">
        <v>726</v>
      </c>
      <c r="O314">
        <v>1</v>
      </c>
    </row>
    <row r="315" spans="1:15" x14ac:dyDescent="0.3">
      <c r="A315" t="s">
        <v>1106</v>
      </c>
      <c r="B315">
        <v>317</v>
      </c>
      <c r="C315">
        <v>5660818</v>
      </c>
      <c r="D315">
        <v>181</v>
      </c>
      <c r="E315">
        <v>779</v>
      </c>
      <c r="F315">
        <v>1</v>
      </c>
      <c r="G315">
        <v>77.454865626328598</v>
      </c>
      <c r="H315">
        <v>1</v>
      </c>
      <c r="K315" t="s">
        <v>729</v>
      </c>
      <c r="L315">
        <v>6</v>
      </c>
      <c r="M315" t="s">
        <v>1107</v>
      </c>
      <c r="N315" t="s">
        <v>726</v>
      </c>
      <c r="O315">
        <v>1</v>
      </c>
    </row>
    <row r="316" spans="1:15" x14ac:dyDescent="0.3">
      <c r="A316" t="s">
        <v>1106</v>
      </c>
      <c r="B316">
        <v>318</v>
      </c>
      <c r="C316">
        <v>5660818</v>
      </c>
      <c r="D316">
        <v>779</v>
      </c>
      <c r="E316">
        <v>181</v>
      </c>
      <c r="F316">
        <v>1</v>
      </c>
      <c r="G316">
        <v>77.454865626328598</v>
      </c>
      <c r="H316">
        <v>1</v>
      </c>
      <c r="K316" t="s">
        <v>729</v>
      </c>
      <c r="L316">
        <v>6</v>
      </c>
      <c r="M316" t="s">
        <v>1108</v>
      </c>
      <c r="N316" t="s">
        <v>726</v>
      </c>
      <c r="O316">
        <v>1</v>
      </c>
    </row>
    <row r="317" spans="1:15" x14ac:dyDescent="0.3">
      <c r="A317" t="s">
        <v>1109</v>
      </c>
      <c r="B317">
        <v>319</v>
      </c>
      <c r="C317">
        <v>5660964</v>
      </c>
      <c r="D317">
        <v>129</v>
      </c>
      <c r="E317">
        <v>194</v>
      </c>
      <c r="F317">
        <v>1</v>
      </c>
      <c r="G317">
        <v>123.342242250279</v>
      </c>
      <c r="H317">
        <v>1</v>
      </c>
      <c r="K317" t="s">
        <v>711</v>
      </c>
      <c r="L317">
        <v>5</v>
      </c>
      <c r="M317" t="s">
        <v>1110</v>
      </c>
      <c r="N317" t="s">
        <v>726</v>
      </c>
      <c r="O317">
        <v>1</v>
      </c>
    </row>
    <row r="318" spans="1:15" x14ac:dyDescent="0.3">
      <c r="A318" t="s">
        <v>1109</v>
      </c>
      <c r="B318">
        <v>320</v>
      </c>
      <c r="C318">
        <v>5660964</v>
      </c>
      <c r="D318">
        <v>194</v>
      </c>
      <c r="E318">
        <v>129</v>
      </c>
      <c r="F318">
        <v>1</v>
      </c>
      <c r="G318">
        <v>123.342242250279</v>
      </c>
      <c r="H318">
        <v>1</v>
      </c>
      <c r="K318" t="s">
        <v>711</v>
      </c>
      <c r="L318">
        <v>5</v>
      </c>
      <c r="M318" t="s">
        <v>1111</v>
      </c>
      <c r="N318" t="s">
        <v>726</v>
      </c>
      <c r="O318">
        <v>1</v>
      </c>
    </row>
    <row r="319" spans="1:15" x14ac:dyDescent="0.3">
      <c r="A319" t="s">
        <v>1109</v>
      </c>
      <c r="B319">
        <v>321</v>
      </c>
      <c r="C319">
        <v>5660964</v>
      </c>
      <c r="D319">
        <v>194</v>
      </c>
      <c r="E319">
        <v>182</v>
      </c>
      <c r="F319">
        <v>1</v>
      </c>
      <c r="G319">
        <v>125.226904728836</v>
      </c>
      <c r="H319">
        <v>1</v>
      </c>
      <c r="K319" t="s">
        <v>711</v>
      </c>
      <c r="L319">
        <v>5</v>
      </c>
      <c r="M319" t="s">
        <v>1112</v>
      </c>
      <c r="N319" t="s">
        <v>726</v>
      </c>
      <c r="O319">
        <v>1</v>
      </c>
    </row>
    <row r="320" spans="1:15" x14ac:dyDescent="0.3">
      <c r="A320" t="s">
        <v>1109</v>
      </c>
      <c r="B320">
        <v>322</v>
      </c>
      <c r="C320">
        <v>5660964</v>
      </c>
      <c r="D320">
        <v>182</v>
      </c>
      <c r="E320">
        <v>194</v>
      </c>
      <c r="F320">
        <v>1</v>
      </c>
      <c r="G320">
        <v>125.226904728836</v>
      </c>
      <c r="H320">
        <v>1</v>
      </c>
      <c r="K320" t="s">
        <v>711</v>
      </c>
      <c r="L320">
        <v>5</v>
      </c>
      <c r="M320" t="s">
        <v>1113</v>
      </c>
      <c r="N320" t="s">
        <v>726</v>
      </c>
      <c r="O320">
        <v>1</v>
      </c>
    </row>
    <row r="321" spans="1:15" x14ac:dyDescent="0.3">
      <c r="A321" t="s">
        <v>1109</v>
      </c>
      <c r="B321">
        <v>323</v>
      </c>
      <c r="C321">
        <v>5660964</v>
      </c>
      <c r="D321">
        <v>182</v>
      </c>
      <c r="E321">
        <v>1952</v>
      </c>
      <c r="F321">
        <v>1</v>
      </c>
      <c r="G321">
        <v>134.24463769295801</v>
      </c>
      <c r="H321">
        <v>1</v>
      </c>
      <c r="K321" t="s">
        <v>711</v>
      </c>
      <c r="L321">
        <v>5</v>
      </c>
      <c r="M321" t="s">
        <v>1114</v>
      </c>
      <c r="N321" t="s">
        <v>726</v>
      </c>
      <c r="O321">
        <v>1</v>
      </c>
    </row>
    <row r="322" spans="1:15" x14ac:dyDescent="0.3">
      <c r="A322" t="s">
        <v>1109</v>
      </c>
      <c r="B322">
        <v>324</v>
      </c>
      <c r="C322">
        <v>5660964</v>
      </c>
      <c r="D322">
        <v>1952</v>
      </c>
      <c r="E322">
        <v>182</v>
      </c>
      <c r="F322">
        <v>1</v>
      </c>
      <c r="G322">
        <v>134.24463769295801</v>
      </c>
      <c r="H322">
        <v>1</v>
      </c>
      <c r="K322" t="s">
        <v>711</v>
      </c>
      <c r="L322">
        <v>5</v>
      </c>
      <c r="M322" t="s">
        <v>1115</v>
      </c>
      <c r="N322" t="s">
        <v>726</v>
      </c>
      <c r="O322">
        <v>1</v>
      </c>
    </row>
    <row r="323" spans="1:15" x14ac:dyDescent="0.3">
      <c r="A323" t="s">
        <v>1116</v>
      </c>
      <c r="B323">
        <v>325</v>
      </c>
      <c r="C323">
        <v>5662409</v>
      </c>
      <c r="D323">
        <v>112</v>
      </c>
      <c r="E323">
        <v>34</v>
      </c>
      <c r="F323">
        <v>1</v>
      </c>
      <c r="G323">
        <v>113.857177736236</v>
      </c>
      <c r="H323">
        <v>1</v>
      </c>
      <c r="K323" t="s">
        <v>729</v>
      </c>
      <c r="L323">
        <v>6</v>
      </c>
      <c r="M323" t="s">
        <v>1117</v>
      </c>
      <c r="N323" t="s">
        <v>726</v>
      </c>
      <c r="O323">
        <v>1</v>
      </c>
    </row>
    <row r="324" spans="1:15" x14ac:dyDescent="0.3">
      <c r="A324" t="s">
        <v>1116</v>
      </c>
      <c r="B324">
        <v>326</v>
      </c>
      <c r="C324">
        <v>5662409</v>
      </c>
      <c r="D324">
        <v>34</v>
      </c>
      <c r="E324">
        <v>112</v>
      </c>
      <c r="F324">
        <v>1</v>
      </c>
      <c r="G324">
        <v>113.857177736236</v>
      </c>
      <c r="H324">
        <v>1</v>
      </c>
      <c r="K324" t="s">
        <v>729</v>
      </c>
      <c r="L324">
        <v>6</v>
      </c>
      <c r="M324" t="s">
        <v>1118</v>
      </c>
      <c r="N324" t="s">
        <v>726</v>
      </c>
      <c r="O324">
        <v>1</v>
      </c>
    </row>
    <row r="325" spans="1:15" x14ac:dyDescent="0.3">
      <c r="A325" t="s">
        <v>1116</v>
      </c>
      <c r="B325">
        <v>327</v>
      </c>
      <c r="C325">
        <v>5662409</v>
      </c>
      <c r="D325">
        <v>34</v>
      </c>
      <c r="E325">
        <v>44</v>
      </c>
      <c r="F325">
        <v>1</v>
      </c>
      <c r="G325">
        <v>115.82600212397701</v>
      </c>
      <c r="H325">
        <v>1</v>
      </c>
      <c r="K325" t="s">
        <v>729</v>
      </c>
      <c r="L325">
        <v>6</v>
      </c>
      <c r="M325" t="s">
        <v>1119</v>
      </c>
      <c r="N325" t="s">
        <v>726</v>
      </c>
      <c r="O325">
        <v>1</v>
      </c>
    </row>
    <row r="326" spans="1:15" x14ac:dyDescent="0.3">
      <c r="A326" t="s">
        <v>1116</v>
      </c>
      <c r="B326">
        <v>328</v>
      </c>
      <c r="C326">
        <v>5662409</v>
      </c>
      <c r="D326">
        <v>44</v>
      </c>
      <c r="E326">
        <v>34</v>
      </c>
      <c r="F326">
        <v>1</v>
      </c>
      <c r="G326">
        <v>115.82600212397701</v>
      </c>
      <c r="H326">
        <v>1</v>
      </c>
      <c r="K326" t="s">
        <v>729</v>
      </c>
      <c r="L326">
        <v>6</v>
      </c>
      <c r="M326" t="s">
        <v>1120</v>
      </c>
      <c r="N326" t="s">
        <v>726</v>
      </c>
      <c r="O326">
        <v>1</v>
      </c>
    </row>
    <row r="327" spans="1:15" x14ac:dyDescent="0.3">
      <c r="A327" t="s">
        <v>1116</v>
      </c>
      <c r="B327">
        <v>329</v>
      </c>
      <c r="C327">
        <v>5662410</v>
      </c>
      <c r="D327">
        <v>15</v>
      </c>
      <c r="E327">
        <v>780</v>
      </c>
      <c r="F327">
        <v>1</v>
      </c>
      <c r="G327">
        <v>110.263157108153</v>
      </c>
      <c r="H327">
        <v>1</v>
      </c>
      <c r="K327" t="s">
        <v>729</v>
      </c>
      <c r="L327">
        <v>6</v>
      </c>
      <c r="M327" t="s">
        <v>1121</v>
      </c>
      <c r="N327" t="s">
        <v>726</v>
      </c>
      <c r="O327">
        <v>1</v>
      </c>
    </row>
    <row r="328" spans="1:15" x14ac:dyDescent="0.3">
      <c r="A328" t="s">
        <v>1116</v>
      </c>
      <c r="B328">
        <v>330</v>
      </c>
      <c r="C328">
        <v>5662410</v>
      </c>
      <c r="D328">
        <v>780</v>
      </c>
      <c r="E328">
        <v>15</v>
      </c>
      <c r="F328">
        <v>1</v>
      </c>
      <c r="G328">
        <v>110.263157108153</v>
      </c>
      <c r="H328">
        <v>1</v>
      </c>
      <c r="K328" t="s">
        <v>729</v>
      </c>
      <c r="L328">
        <v>6</v>
      </c>
      <c r="M328" t="s">
        <v>1122</v>
      </c>
      <c r="N328" t="s">
        <v>726</v>
      </c>
      <c r="O328">
        <v>1</v>
      </c>
    </row>
    <row r="329" spans="1:15" x14ac:dyDescent="0.3">
      <c r="A329" t="s">
        <v>1123</v>
      </c>
      <c r="B329">
        <v>331</v>
      </c>
      <c r="C329">
        <v>5663684</v>
      </c>
      <c r="D329">
        <v>23</v>
      </c>
      <c r="E329">
        <v>781</v>
      </c>
      <c r="F329">
        <v>1</v>
      </c>
      <c r="G329">
        <v>105.241204948977</v>
      </c>
      <c r="H329">
        <v>1</v>
      </c>
      <c r="K329" t="s">
        <v>729</v>
      </c>
      <c r="L329">
        <v>6</v>
      </c>
      <c r="M329" t="s">
        <v>1124</v>
      </c>
      <c r="N329" t="s">
        <v>726</v>
      </c>
      <c r="O329">
        <v>1</v>
      </c>
    </row>
    <row r="330" spans="1:15" x14ac:dyDescent="0.3">
      <c r="A330" t="s">
        <v>1123</v>
      </c>
      <c r="B330">
        <v>332</v>
      </c>
      <c r="C330">
        <v>5663684</v>
      </c>
      <c r="D330">
        <v>781</v>
      </c>
      <c r="E330">
        <v>23</v>
      </c>
      <c r="F330">
        <v>1</v>
      </c>
      <c r="G330">
        <v>105.241204948977</v>
      </c>
      <c r="H330">
        <v>1</v>
      </c>
      <c r="K330" t="s">
        <v>729</v>
      </c>
      <c r="L330">
        <v>6</v>
      </c>
      <c r="M330" t="s">
        <v>1125</v>
      </c>
      <c r="N330" t="s">
        <v>726</v>
      </c>
      <c r="O330">
        <v>1</v>
      </c>
    </row>
    <row r="331" spans="1:15" x14ac:dyDescent="0.3">
      <c r="A331" t="s">
        <v>1126</v>
      </c>
      <c r="B331">
        <v>333</v>
      </c>
      <c r="C331">
        <v>5663743</v>
      </c>
      <c r="D331">
        <v>228</v>
      </c>
      <c r="E331">
        <v>178</v>
      </c>
      <c r="F331">
        <v>1</v>
      </c>
      <c r="G331">
        <v>108.595659042996</v>
      </c>
      <c r="H331">
        <v>1</v>
      </c>
      <c r="K331" t="s">
        <v>729</v>
      </c>
      <c r="L331">
        <v>6</v>
      </c>
      <c r="M331" t="s">
        <v>1127</v>
      </c>
      <c r="N331" t="s">
        <v>726</v>
      </c>
      <c r="O331">
        <v>1</v>
      </c>
    </row>
    <row r="332" spans="1:15" x14ac:dyDescent="0.3">
      <c r="A332" t="s">
        <v>1126</v>
      </c>
      <c r="B332">
        <v>334</v>
      </c>
      <c r="C332">
        <v>5663743</v>
      </c>
      <c r="D332">
        <v>178</v>
      </c>
      <c r="E332">
        <v>228</v>
      </c>
      <c r="F332">
        <v>1</v>
      </c>
      <c r="G332">
        <v>108.595659042996</v>
      </c>
      <c r="H332">
        <v>1</v>
      </c>
      <c r="K332" t="s">
        <v>729</v>
      </c>
      <c r="L332">
        <v>6</v>
      </c>
      <c r="M332" t="s">
        <v>1128</v>
      </c>
      <c r="N332" t="s">
        <v>726</v>
      </c>
      <c r="O332">
        <v>1</v>
      </c>
    </row>
    <row r="333" spans="1:15" x14ac:dyDescent="0.3">
      <c r="A333" t="s">
        <v>1126</v>
      </c>
      <c r="B333">
        <v>335</v>
      </c>
      <c r="C333">
        <v>5663743</v>
      </c>
      <c r="D333">
        <v>178</v>
      </c>
      <c r="E333">
        <v>173</v>
      </c>
      <c r="F333">
        <v>1</v>
      </c>
      <c r="G333">
        <v>75.721892417119605</v>
      </c>
      <c r="H333">
        <v>1</v>
      </c>
      <c r="K333" t="s">
        <v>729</v>
      </c>
      <c r="L333">
        <v>6</v>
      </c>
      <c r="M333" t="s">
        <v>1129</v>
      </c>
      <c r="N333" t="s">
        <v>726</v>
      </c>
      <c r="O333">
        <v>1</v>
      </c>
    </row>
    <row r="334" spans="1:15" x14ac:dyDescent="0.3">
      <c r="A334" t="s">
        <v>1126</v>
      </c>
      <c r="B334">
        <v>336</v>
      </c>
      <c r="C334">
        <v>5663743</v>
      </c>
      <c r="D334">
        <v>173</v>
      </c>
      <c r="E334">
        <v>178</v>
      </c>
      <c r="F334">
        <v>1</v>
      </c>
      <c r="G334">
        <v>75.721892417119705</v>
      </c>
      <c r="H334">
        <v>1</v>
      </c>
      <c r="K334" t="s">
        <v>729</v>
      </c>
      <c r="L334">
        <v>6</v>
      </c>
      <c r="M334" t="s">
        <v>1130</v>
      </c>
      <c r="N334" t="s">
        <v>726</v>
      </c>
      <c r="O334">
        <v>1</v>
      </c>
    </row>
    <row r="335" spans="1:15" x14ac:dyDescent="0.3">
      <c r="A335" t="s">
        <v>1126</v>
      </c>
      <c r="B335">
        <v>337</v>
      </c>
      <c r="C335">
        <v>5663743</v>
      </c>
      <c r="D335">
        <v>173</v>
      </c>
      <c r="E335">
        <v>183</v>
      </c>
      <c r="F335">
        <v>1</v>
      </c>
      <c r="G335">
        <v>29.485155531060599</v>
      </c>
      <c r="H335">
        <v>1</v>
      </c>
      <c r="K335" t="s">
        <v>729</v>
      </c>
      <c r="L335">
        <v>6</v>
      </c>
      <c r="M335" t="s">
        <v>1131</v>
      </c>
      <c r="N335" t="s">
        <v>726</v>
      </c>
      <c r="O335">
        <v>1</v>
      </c>
    </row>
    <row r="336" spans="1:15" x14ac:dyDescent="0.3">
      <c r="A336" t="s">
        <v>1126</v>
      </c>
      <c r="B336">
        <v>338</v>
      </c>
      <c r="C336">
        <v>5663743</v>
      </c>
      <c r="D336">
        <v>183</v>
      </c>
      <c r="E336">
        <v>173</v>
      </c>
      <c r="F336">
        <v>1</v>
      </c>
      <c r="G336">
        <v>29.485155531060599</v>
      </c>
      <c r="H336">
        <v>1</v>
      </c>
      <c r="K336" t="s">
        <v>729</v>
      </c>
      <c r="L336">
        <v>6</v>
      </c>
      <c r="M336" t="s">
        <v>1132</v>
      </c>
      <c r="N336" t="s">
        <v>726</v>
      </c>
      <c r="O336">
        <v>1</v>
      </c>
    </row>
    <row r="337" spans="1:15" x14ac:dyDescent="0.3">
      <c r="A337" t="s">
        <v>1133</v>
      </c>
      <c r="B337">
        <v>339</v>
      </c>
      <c r="C337">
        <v>5663939</v>
      </c>
      <c r="D337">
        <v>176</v>
      </c>
      <c r="E337">
        <v>166</v>
      </c>
      <c r="F337">
        <v>1</v>
      </c>
      <c r="G337">
        <v>282.369943487287</v>
      </c>
      <c r="H337">
        <v>1</v>
      </c>
      <c r="I337">
        <v>25</v>
      </c>
      <c r="K337" t="s">
        <v>729</v>
      </c>
      <c r="L337">
        <v>6</v>
      </c>
      <c r="M337" t="s">
        <v>1134</v>
      </c>
      <c r="N337" t="s">
        <v>726</v>
      </c>
      <c r="O337">
        <v>1</v>
      </c>
    </row>
    <row r="338" spans="1:15" x14ac:dyDescent="0.3">
      <c r="A338" t="s">
        <v>1133</v>
      </c>
      <c r="B338">
        <v>340</v>
      </c>
      <c r="C338">
        <v>5663939</v>
      </c>
      <c r="D338">
        <v>166</v>
      </c>
      <c r="E338">
        <v>176</v>
      </c>
      <c r="F338">
        <v>1</v>
      </c>
      <c r="G338">
        <v>282.369943487287</v>
      </c>
      <c r="H338">
        <v>1</v>
      </c>
      <c r="I338">
        <v>25</v>
      </c>
      <c r="K338" t="s">
        <v>729</v>
      </c>
      <c r="L338">
        <v>6</v>
      </c>
      <c r="M338" t="s">
        <v>1135</v>
      </c>
      <c r="N338" t="s">
        <v>726</v>
      </c>
      <c r="O338">
        <v>1</v>
      </c>
    </row>
    <row r="339" spans="1:15" x14ac:dyDescent="0.3">
      <c r="A339" t="s">
        <v>1133</v>
      </c>
      <c r="B339">
        <v>341</v>
      </c>
      <c r="C339">
        <v>5663939</v>
      </c>
      <c r="D339">
        <v>166</v>
      </c>
      <c r="E339">
        <v>136</v>
      </c>
      <c r="F339">
        <v>1</v>
      </c>
      <c r="G339">
        <v>173.51129012021701</v>
      </c>
      <c r="H339">
        <v>1</v>
      </c>
      <c r="I339">
        <v>25</v>
      </c>
      <c r="K339" t="s">
        <v>729</v>
      </c>
      <c r="L339">
        <v>6</v>
      </c>
      <c r="M339" t="s">
        <v>1136</v>
      </c>
      <c r="N339" t="s">
        <v>726</v>
      </c>
      <c r="O339">
        <v>1</v>
      </c>
    </row>
    <row r="340" spans="1:15" x14ac:dyDescent="0.3">
      <c r="A340" t="s">
        <v>1133</v>
      </c>
      <c r="B340">
        <v>342</v>
      </c>
      <c r="C340">
        <v>5663939</v>
      </c>
      <c r="D340">
        <v>136</v>
      </c>
      <c r="E340">
        <v>166</v>
      </c>
      <c r="F340">
        <v>1</v>
      </c>
      <c r="G340">
        <v>173.51129012021701</v>
      </c>
      <c r="H340">
        <v>1</v>
      </c>
      <c r="I340">
        <v>25</v>
      </c>
      <c r="K340" t="s">
        <v>729</v>
      </c>
      <c r="L340">
        <v>6</v>
      </c>
      <c r="M340" t="s">
        <v>1137</v>
      </c>
      <c r="N340" t="s">
        <v>726</v>
      </c>
      <c r="O340">
        <v>1</v>
      </c>
    </row>
    <row r="341" spans="1:15" x14ac:dyDescent="0.3">
      <c r="A341" t="s">
        <v>1133</v>
      </c>
      <c r="B341">
        <v>343</v>
      </c>
      <c r="C341">
        <v>5663939</v>
      </c>
      <c r="D341">
        <v>136</v>
      </c>
      <c r="E341">
        <v>152</v>
      </c>
      <c r="F341">
        <v>1</v>
      </c>
      <c r="G341">
        <v>95.336989798959195</v>
      </c>
      <c r="H341">
        <v>1</v>
      </c>
      <c r="I341">
        <v>25</v>
      </c>
      <c r="K341" t="s">
        <v>729</v>
      </c>
      <c r="L341">
        <v>6</v>
      </c>
      <c r="M341" t="s">
        <v>1138</v>
      </c>
      <c r="N341" t="s">
        <v>726</v>
      </c>
      <c r="O341">
        <v>1</v>
      </c>
    </row>
    <row r="342" spans="1:15" x14ac:dyDescent="0.3">
      <c r="A342" t="s">
        <v>1133</v>
      </c>
      <c r="B342">
        <v>344</v>
      </c>
      <c r="C342">
        <v>5663939</v>
      </c>
      <c r="D342">
        <v>152</v>
      </c>
      <c r="E342">
        <v>136</v>
      </c>
      <c r="F342">
        <v>1</v>
      </c>
      <c r="G342">
        <v>95.336989798959195</v>
      </c>
      <c r="H342">
        <v>1</v>
      </c>
      <c r="I342">
        <v>25</v>
      </c>
      <c r="K342" t="s">
        <v>729</v>
      </c>
      <c r="L342">
        <v>6</v>
      </c>
      <c r="M342" t="s">
        <v>1139</v>
      </c>
      <c r="N342" t="s">
        <v>726</v>
      </c>
      <c r="O342">
        <v>1</v>
      </c>
    </row>
    <row r="343" spans="1:15" x14ac:dyDescent="0.3">
      <c r="A343" t="s">
        <v>1140</v>
      </c>
      <c r="B343">
        <v>345</v>
      </c>
      <c r="C343">
        <v>5664425</v>
      </c>
      <c r="D343">
        <v>142</v>
      </c>
      <c r="E343">
        <v>660</v>
      </c>
      <c r="F343">
        <v>1</v>
      </c>
      <c r="G343">
        <v>97.305945259747602</v>
      </c>
      <c r="H343">
        <v>1</v>
      </c>
      <c r="K343" t="s">
        <v>729</v>
      </c>
      <c r="L343">
        <v>6</v>
      </c>
      <c r="M343" t="s">
        <v>1141</v>
      </c>
      <c r="N343" t="s">
        <v>726</v>
      </c>
      <c r="O343">
        <v>1</v>
      </c>
    </row>
    <row r="344" spans="1:15" x14ac:dyDescent="0.3">
      <c r="A344" t="s">
        <v>1140</v>
      </c>
      <c r="B344">
        <v>346</v>
      </c>
      <c r="C344">
        <v>5664425</v>
      </c>
      <c r="D344">
        <v>660</v>
      </c>
      <c r="E344">
        <v>142</v>
      </c>
      <c r="F344">
        <v>1</v>
      </c>
      <c r="G344">
        <v>97.305945259747602</v>
      </c>
      <c r="H344">
        <v>1</v>
      </c>
      <c r="K344" t="s">
        <v>729</v>
      </c>
      <c r="L344">
        <v>6</v>
      </c>
      <c r="M344" t="s">
        <v>1142</v>
      </c>
      <c r="N344" t="s">
        <v>726</v>
      </c>
      <c r="O344">
        <v>1</v>
      </c>
    </row>
    <row r="345" spans="1:15" x14ac:dyDescent="0.3">
      <c r="A345" t="s">
        <v>1143</v>
      </c>
      <c r="B345">
        <v>347</v>
      </c>
      <c r="C345">
        <v>5665834</v>
      </c>
      <c r="D345">
        <v>418</v>
      </c>
      <c r="E345">
        <v>80</v>
      </c>
      <c r="F345">
        <v>1</v>
      </c>
      <c r="G345">
        <v>167.52153470444301</v>
      </c>
      <c r="H345">
        <v>1</v>
      </c>
      <c r="K345" t="s">
        <v>729</v>
      </c>
      <c r="L345">
        <v>6</v>
      </c>
      <c r="M345" t="s">
        <v>1144</v>
      </c>
      <c r="N345" t="s">
        <v>726</v>
      </c>
      <c r="O345">
        <v>0</v>
      </c>
    </row>
    <row r="346" spans="1:15" x14ac:dyDescent="0.3">
      <c r="A346" t="s">
        <v>1145</v>
      </c>
      <c r="B346">
        <v>348</v>
      </c>
      <c r="C346">
        <v>5668080</v>
      </c>
      <c r="D346">
        <v>155</v>
      </c>
      <c r="E346">
        <v>171</v>
      </c>
      <c r="F346">
        <v>1</v>
      </c>
      <c r="G346">
        <v>90.842188054046403</v>
      </c>
      <c r="H346">
        <v>1</v>
      </c>
      <c r="K346" t="s">
        <v>729</v>
      </c>
      <c r="L346">
        <v>6</v>
      </c>
      <c r="M346" t="s">
        <v>1146</v>
      </c>
      <c r="N346" t="s">
        <v>726</v>
      </c>
      <c r="O346">
        <v>1</v>
      </c>
    </row>
    <row r="347" spans="1:15" x14ac:dyDescent="0.3">
      <c r="A347" t="s">
        <v>1145</v>
      </c>
      <c r="B347">
        <v>349</v>
      </c>
      <c r="C347">
        <v>5668080</v>
      </c>
      <c r="D347">
        <v>171</v>
      </c>
      <c r="E347">
        <v>155</v>
      </c>
      <c r="F347">
        <v>1</v>
      </c>
      <c r="G347">
        <v>90.842188054046403</v>
      </c>
      <c r="H347">
        <v>1</v>
      </c>
      <c r="K347" t="s">
        <v>729</v>
      </c>
      <c r="L347">
        <v>6</v>
      </c>
      <c r="M347" t="s">
        <v>1147</v>
      </c>
      <c r="N347" t="s">
        <v>726</v>
      </c>
      <c r="O347">
        <v>1</v>
      </c>
    </row>
    <row r="348" spans="1:15" x14ac:dyDescent="0.3">
      <c r="A348" t="s">
        <v>1145</v>
      </c>
      <c r="B348">
        <v>350</v>
      </c>
      <c r="C348">
        <v>5668080</v>
      </c>
      <c r="D348">
        <v>171</v>
      </c>
      <c r="E348">
        <v>61</v>
      </c>
      <c r="F348">
        <v>1</v>
      </c>
      <c r="G348">
        <v>171.29509362140399</v>
      </c>
      <c r="H348">
        <v>1</v>
      </c>
      <c r="K348" t="s">
        <v>729</v>
      </c>
      <c r="L348">
        <v>6</v>
      </c>
      <c r="M348" t="s">
        <v>1148</v>
      </c>
      <c r="N348" t="s">
        <v>726</v>
      </c>
      <c r="O348">
        <v>1</v>
      </c>
    </row>
    <row r="349" spans="1:15" x14ac:dyDescent="0.3">
      <c r="A349" t="s">
        <v>1145</v>
      </c>
      <c r="B349">
        <v>351</v>
      </c>
      <c r="C349">
        <v>5668080</v>
      </c>
      <c r="D349">
        <v>61</v>
      </c>
      <c r="E349">
        <v>171</v>
      </c>
      <c r="F349">
        <v>1</v>
      </c>
      <c r="G349">
        <v>171.29509362140399</v>
      </c>
      <c r="H349">
        <v>1</v>
      </c>
      <c r="K349" t="s">
        <v>729</v>
      </c>
      <c r="L349">
        <v>6</v>
      </c>
      <c r="M349" t="s">
        <v>1149</v>
      </c>
      <c r="N349" t="s">
        <v>726</v>
      </c>
      <c r="O349">
        <v>1</v>
      </c>
    </row>
    <row r="350" spans="1:15" x14ac:dyDescent="0.3">
      <c r="A350" t="s">
        <v>1150</v>
      </c>
      <c r="B350">
        <v>352</v>
      </c>
      <c r="C350">
        <v>5668143</v>
      </c>
      <c r="D350">
        <v>21</v>
      </c>
      <c r="E350">
        <v>782</v>
      </c>
      <c r="F350">
        <v>1</v>
      </c>
      <c r="G350">
        <v>105.072317835832</v>
      </c>
      <c r="H350">
        <v>1</v>
      </c>
      <c r="K350" t="s">
        <v>729</v>
      </c>
      <c r="L350">
        <v>6</v>
      </c>
      <c r="M350" t="s">
        <v>1151</v>
      </c>
      <c r="N350" t="s">
        <v>726</v>
      </c>
      <c r="O350">
        <v>1</v>
      </c>
    </row>
    <row r="351" spans="1:15" x14ac:dyDescent="0.3">
      <c r="A351" t="s">
        <v>1150</v>
      </c>
      <c r="B351">
        <v>353</v>
      </c>
      <c r="C351">
        <v>5668143</v>
      </c>
      <c r="D351">
        <v>782</v>
      </c>
      <c r="E351">
        <v>21</v>
      </c>
      <c r="F351">
        <v>1</v>
      </c>
      <c r="G351">
        <v>105.072317835832</v>
      </c>
      <c r="H351">
        <v>1</v>
      </c>
      <c r="K351" t="s">
        <v>729</v>
      </c>
      <c r="L351">
        <v>6</v>
      </c>
      <c r="M351" t="s">
        <v>1152</v>
      </c>
      <c r="N351" t="s">
        <v>726</v>
      </c>
      <c r="O351">
        <v>1</v>
      </c>
    </row>
    <row r="352" spans="1:15" x14ac:dyDescent="0.3">
      <c r="A352" t="s">
        <v>1153</v>
      </c>
      <c r="B352">
        <v>354</v>
      </c>
      <c r="C352">
        <v>5668632</v>
      </c>
      <c r="D352">
        <v>134</v>
      </c>
      <c r="E352">
        <v>181</v>
      </c>
      <c r="F352">
        <v>1</v>
      </c>
      <c r="G352">
        <v>95.346281980067701</v>
      </c>
      <c r="H352">
        <v>1</v>
      </c>
      <c r="K352" t="s">
        <v>729</v>
      </c>
      <c r="L352">
        <v>6</v>
      </c>
      <c r="M352" t="s">
        <v>1154</v>
      </c>
      <c r="N352" t="s">
        <v>726</v>
      </c>
      <c r="O352">
        <v>1</v>
      </c>
    </row>
    <row r="353" spans="1:15" x14ac:dyDescent="0.3">
      <c r="A353" t="s">
        <v>1153</v>
      </c>
      <c r="B353">
        <v>355</v>
      </c>
      <c r="C353">
        <v>5668632</v>
      </c>
      <c r="D353">
        <v>181</v>
      </c>
      <c r="E353">
        <v>134</v>
      </c>
      <c r="F353">
        <v>1</v>
      </c>
      <c r="G353">
        <v>95.346281980067701</v>
      </c>
      <c r="H353">
        <v>1</v>
      </c>
      <c r="K353" t="s">
        <v>729</v>
      </c>
      <c r="L353">
        <v>6</v>
      </c>
      <c r="M353" t="s">
        <v>1155</v>
      </c>
      <c r="N353" t="s">
        <v>726</v>
      </c>
      <c r="O353">
        <v>1</v>
      </c>
    </row>
    <row r="354" spans="1:15" x14ac:dyDescent="0.3">
      <c r="A354" t="s">
        <v>1156</v>
      </c>
      <c r="B354">
        <v>356</v>
      </c>
      <c r="C354">
        <v>5668695</v>
      </c>
      <c r="D354">
        <v>379</v>
      </c>
      <c r="E354">
        <v>168</v>
      </c>
      <c r="F354">
        <v>1</v>
      </c>
      <c r="G354">
        <v>163.70720103481901</v>
      </c>
      <c r="H354">
        <v>1</v>
      </c>
      <c r="I354">
        <v>25</v>
      </c>
      <c r="K354" t="s">
        <v>729</v>
      </c>
      <c r="L354">
        <v>6</v>
      </c>
      <c r="M354" t="s">
        <v>1157</v>
      </c>
      <c r="N354" t="s">
        <v>726</v>
      </c>
      <c r="O354">
        <v>1</v>
      </c>
    </row>
    <row r="355" spans="1:15" x14ac:dyDescent="0.3">
      <c r="A355" t="s">
        <v>1156</v>
      </c>
      <c r="B355">
        <v>357</v>
      </c>
      <c r="C355">
        <v>5668695</v>
      </c>
      <c r="D355">
        <v>168</v>
      </c>
      <c r="E355">
        <v>379</v>
      </c>
      <c r="F355">
        <v>1</v>
      </c>
      <c r="G355">
        <v>163.70720103481901</v>
      </c>
      <c r="H355">
        <v>1</v>
      </c>
      <c r="I355">
        <v>25</v>
      </c>
      <c r="K355" t="s">
        <v>729</v>
      </c>
      <c r="L355">
        <v>6</v>
      </c>
      <c r="M355" t="s">
        <v>1158</v>
      </c>
      <c r="N355" t="s">
        <v>726</v>
      </c>
      <c r="O355">
        <v>1</v>
      </c>
    </row>
    <row r="356" spans="1:15" x14ac:dyDescent="0.3">
      <c r="A356" t="s">
        <v>1156</v>
      </c>
      <c r="B356">
        <v>358</v>
      </c>
      <c r="C356">
        <v>5668695</v>
      </c>
      <c r="D356">
        <v>168</v>
      </c>
      <c r="E356">
        <v>93</v>
      </c>
      <c r="F356">
        <v>1</v>
      </c>
      <c r="G356">
        <v>166.64654169009799</v>
      </c>
      <c r="H356">
        <v>1</v>
      </c>
      <c r="I356">
        <v>25</v>
      </c>
      <c r="K356" t="s">
        <v>729</v>
      </c>
      <c r="L356">
        <v>6</v>
      </c>
      <c r="M356" t="s">
        <v>1159</v>
      </c>
      <c r="N356" t="s">
        <v>726</v>
      </c>
      <c r="O356">
        <v>1</v>
      </c>
    </row>
    <row r="357" spans="1:15" x14ac:dyDescent="0.3">
      <c r="A357" t="s">
        <v>1156</v>
      </c>
      <c r="B357">
        <v>359</v>
      </c>
      <c r="C357">
        <v>5668695</v>
      </c>
      <c r="D357">
        <v>93</v>
      </c>
      <c r="E357">
        <v>168</v>
      </c>
      <c r="F357">
        <v>1</v>
      </c>
      <c r="G357">
        <v>166.64654169009799</v>
      </c>
      <c r="H357">
        <v>1</v>
      </c>
      <c r="I357">
        <v>25</v>
      </c>
      <c r="K357" t="s">
        <v>729</v>
      </c>
      <c r="L357">
        <v>6</v>
      </c>
      <c r="M357" t="s">
        <v>1160</v>
      </c>
      <c r="N357" t="s">
        <v>726</v>
      </c>
      <c r="O357">
        <v>1</v>
      </c>
    </row>
    <row r="358" spans="1:15" x14ac:dyDescent="0.3">
      <c r="A358" t="s">
        <v>1161</v>
      </c>
      <c r="B358">
        <v>360</v>
      </c>
      <c r="C358">
        <v>5669181</v>
      </c>
      <c r="D358">
        <v>9</v>
      </c>
      <c r="E358">
        <v>783</v>
      </c>
      <c r="F358">
        <v>1</v>
      </c>
      <c r="G358">
        <v>109.37528848305099</v>
      </c>
      <c r="H358">
        <v>1</v>
      </c>
      <c r="K358" t="s">
        <v>729</v>
      </c>
      <c r="L358">
        <v>6</v>
      </c>
      <c r="M358" t="s">
        <v>1162</v>
      </c>
      <c r="N358" t="s">
        <v>726</v>
      </c>
      <c r="O358">
        <v>1</v>
      </c>
    </row>
    <row r="359" spans="1:15" x14ac:dyDescent="0.3">
      <c r="A359" t="s">
        <v>1161</v>
      </c>
      <c r="B359">
        <v>361</v>
      </c>
      <c r="C359">
        <v>5669181</v>
      </c>
      <c r="D359">
        <v>783</v>
      </c>
      <c r="E359">
        <v>9</v>
      </c>
      <c r="F359">
        <v>1</v>
      </c>
      <c r="G359">
        <v>109.37528848305099</v>
      </c>
      <c r="H359">
        <v>1</v>
      </c>
      <c r="K359" t="s">
        <v>729</v>
      </c>
      <c r="L359">
        <v>6</v>
      </c>
      <c r="M359" t="s">
        <v>1163</v>
      </c>
      <c r="N359" t="s">
        <v>726</v>
      </c>
      <c r="O359">
        <v>1</v>
      </c>
    </row>
    <row r="360" spans="1:15" x14ac:dyDescent="0.3">
      <c r="A360" t="s">
        <v>1161</v>
      </c>
      <c r="B360">
        <v>362</v>
      </c>
      <c r="C360">
        <v>5669184</v>
      </c>
      <c r="D360">
        <v>383</v>
      </c>
      <c r="E360">
        <v>589</v>
      </c>
      <c r="F360">
        <v>1</v>
      </c>
      <c r="G360">
        <v>71.514273446265506</v>
      </c>
      <c r="H360">
        <v>1</v>
      </c>
      <c r="I360">
        <v>25</v>
      </c>
      <c r="K360" t="s">
        <v>729</v>
      </c>
      <c r="L360">
        <v>6</v>
      </c>
      <c r="M360" t="s">
        <v>1164</v>
      </c>
      <c r="N360" t="s">
        <v>726</v>
      </c>
      <c r="O360">
        <v>1</v>
      </c>
    </row>
    <row r="361" spans="1:15" x14ac:dyDescent="0.3">
      <c r="A361" t="s">
        <v>1161</v>
      </c>
      <c r="B361">
        <v>363</v>
      </c>
      <c r="C361">
        <v>5669184</v>
      </c>
      <c r="D361">
        <v>589</v>
      </c>
      <c r="E361">
        <v>383</v>
      </c>
      <c r="F361">
        <v>1</v>
      </c>
      <c r="G361">
        <v>71.514273446265506</v>
      </c>
      <c r="H361">
        <v>1</v>
      </c>
      <c r="I361">
        <v>25</v>
      </c>
      <c r="K361" t="s">
        <v>729</v>
      </c>
      <c r="L361">
        <v>6</v>
      </c>
      <c r="M361" t="s">
        <v>1165</v>
      </c>
      <c r="N361" t="s">
        <v>726</v>
      </c>
      <c r="O361">
        <v>1</v>
      </c>
    </row>
    <row r="362" spans="1:15" x14ac:dyDescent="0.3">
      <c r="A362" t="s">
        <v>1166</v>
      </c>
      <c r="B362">
        <v>366</v>
      </c>
      <c r="C362">
        <v>5670078</v>
      </c>
      <c r="D362">
        <v>1949</v>
      </c>
      <c r="E362">
        <v>180</v>
      </c>
      <c r="F362">
        <v>1</v>
      </c>
      <c r="G362">
        <v>166.92131338216501</v>
      </c>
      <c r="H362">
        <v>1</v>
      </c>
      <c r="I362">
        <v>25</v>
      </c>
      <c r="K362" t="s">
        <v>729</v>
      </c>
      <c r="L362">
        <v>6</v>
      </c>
      <c r="M362" t="s">
        <v>1167</v>
      </c>
      <c r="N362" t="s">
        <v>726</v>
      </c>
      <c r="O362">
        <v>1</v>
      </c>
    </row>
    <row r="363" spans="1:15" x14ac:dyDescent="0.3">
      <c r="A363" t="s">
        <v>1166</v>
      </c>
      <c r="B363">
        <v>367</v>
      </c>
      <c r="C363">
        <v>5670078</v>
      </c>
      <c r="D363">
        <v>180</v>
      </c>
      <c r="E363">
        <v>1949</v>
      </c>
      <c r="F363">
        <v>1</v>
      </c>
      <c r="G363">
        <v>166.92131338216501</v>
      </c>
      <c r="H363">
        <v>1</v>
      </c>
      <c r="I363">
        <v>25</v>
      </c>
      <c r="K363" t="s">
        <v>729</v>
      </c>
      <c r="L363">
        <v>6</v>
      </c>
      <c r="M363" t="s">
        <v>1168</v>
      </c>
      <c r="N363" t="s">
        <v>726</v>
      </c>
      <c r="O363">
        <v>1</v>
      </c>
    </row>
    <row r="364" spans="1:15" x14ac:dyDescent="0.3">
      <c r="A364" t="s">
        <v>1166</v>
      </c>
      <c r="B364">
        <v>368</v>
      </c>
      <c r="C364">
        <v>5670078</v>
      </c>
      <c r="D364">
        <v>180</v>
      </c>
      <c r="E364">
        <v>170</v>
      </c>
      <c r="F364">
        <v>1</v>
      </c>
      <c r="G364">
        <v>138.699042367803</v>
      </c>
      <c r="H364">
        <v>1</v>
      </c>
      <c r="I364">
        <v>25</v>
      </c>
      <c r="K364" t="s">
        <v>729</v>
      </c>
      <c r="L364">
        <v>6</v>
      </c>
      <c r="M364" t="s">
        <v>1169</v>
      </c>
      <c r="N364" t="s">
        <v>726</v>
      </c>
      <c r="O364">
        <v>1</v>
      </c>
    </row>
    <row r="365" spans="1:15" x14ac:dyDescent="0.3">
      <c r="A365" t="s">
        <v>1166</v>
      </c>
      <c r="B365">
        <v>369</v>
      </c>
      <c r="C365">
        <v>5670078</v>
      </c>
      <c r="D365">
        <v>170</v>
      </c>
      <c r="E365">
        <v>180</v>
      </c>
      <c r="F365">
        <v>1</v>
      </c>
      <c r="G365">
        <v>138.699042367803</v>
      </c>
      <c r="H365">
        <v>1</v>
      </c>
      <c r="I365">
        <v>25</v>
      </c>
      <c r="K365" t="s">
        <v>729</v>
      </c>
      <c r="L365">
        <v>6</v>
      </c>
      <c r="M365" t="s">
        <v>1170</v>
      </c>
      <c r="N365" t="s">
        <v>726</v>
      </c>
      <c r="O365">
        <v>1</v>
      </c>
    </row>
    <row r="366" spans="1:15" x14ac:dyDescent="0.3">
      <c r="A366" t="s">
        <v>1166</v>
      </c>
      <c r="B366">
        <v>370</v>
      </c>
      <c r="C366">
        <v>5670078</v>
      </c>
      <c r="D366">
        <v>170</v>
      </c>
      <c r="E366">
        <v>182</v>
      </c>
      <c r="F366">
        <v>1</v>
      </c>
      <c r="G366">
        <v>156.754080608556</v>
      </c>
      <c r="H366">
        <v>1</v>
      </c>
      <c r="I366">
        <v>25</v>
      </c>
      <c r="K366" t="s">
        <v>729</v>
      </c>
      <c r="L366">
        <v>6</v>
      </c>
      <c r="M366" t="s">
        <v>1171</v>
      </c>
      <c r="N366" t="s">
        <v>726</v>
      </c>
      <c r="O366">
        <v>1</v>
      </c>
    </row>
    <row r="367" spans="1:15" x14ac:dyDescent="0.3">
      <c r="A367" t="s">
        <v>1166</v>
      </c>
      <c r="B367">
        <v>371</v>
      </c>
      <c r="C367">
        <v>5670078</v>
      </c>
      <c r="D367">
        <v>182</v>
      </c>
      <c r="E367">
        <v>170</v>
      </c>
      <c r="F367">
        <v>1</v>
      </c>
      <c r="G367">
        <v>156.754080608556</v>
      </c>
      <c r="H367">
        <v>1</v>
      </c>
      <c r="I367">
        <v>25</v>
      </c>
      <c r="K367" t="s">
        <v>729</v>
      </c>
      <c r="L367">
        <v>6</v>
      </c>
      <c r="M367" t="s">
        <v>1172</v>
      </c>
      <c r="N367" t="s">
        <v>726</v>
      </c>
      <c r="O367">
        <v>1</v>
      </c>
    </row>
    <row r="368" spans="1:15" x14ac:dyDescent="0.3">
      <c r="A368" t="s">
        <v>1173</v>
      </c>
      <c r="B368">
        <v>372</v>
      </c>
      <c r="C368">
        <v>5674833</v>
      </c>
      <c r="D368">
        <v>183</v>
      </c>
      <c r="E368">
        <v>246</v>
      </c>
      <c r="F368">
        <v>1</v>
      </c>
      <c r="G368">
        <v>124.36826436023399</v>
      </c>
      <c r="H368">
        <v>1</v>
      </c>
      <c r="K368" t="s">
        <v>729</v>
      </c>
      <c r="L368">
        <v>6</v>
      </c>
      <c r="M368" t="s">
        <v>1174</v>
      </c>
      <c r="N368" t="s">
        <v>726</v>
      </c>
      <c r="O368">
        <v>1</v>
      </c>
    </row>
    <row r="369" spans="1:15" x14ac:dyDescent="0.3">
      <c r="A369" t="s">
        <v>1173</v>
      </c>
      <c r="B369">
        <v>373</v>
      </c>
      <c r="C369">
        <v>5674833</v>
      </c>
      <c r="D369">
        <v>246</v>
      </c>
      <c r="E369">
        <v>183</v>
      </c>
      <c r="F369">
        <v>1</v>
      </c>
      <c r="G369">
        <v>124.36826436023399</v>
      </c>
      <c r="H369">
        <v>1</v>
      </c>
      <c r="K369" t="s">
        <v>729</v>
      </c>
      <c r="L369">
        <v>6</v>
      </c>
      <c r="M369" t="s">
        <v>1175</v>
      </c>
      <c r="N369" t="s">
        <v>726</v>
      </c>
      <c r="O369">
        <v>1</v>
      </c>
    </row>
    <row r="370" spans="1:15" x14ac:dyDescent="0.3">
      <c r="A370" t="s">
        <v>1173</v>
      </c>
      <c r="B370">
        <v>374</v>
      </c>
      <c r="C370">
        <v>5674833</v>
      </c>
      <c r="D370">
        <v>246</v>
      </c>
      <c r="E370">
        <v>140</v>
      </c>
      <c r="F370">
        <v>1</v>
      </c>
      <c r="G370">
        <v>124.96284498645301</v>
      </c>
      <c r="H370">
        <v>1</v>
      </c>
      <c r="K370" t="s">
        <v>729</v>
      </c>
      <c r="L370">
        <v>6</v>
      </c>
      <c r="M370" t="s">
        <v>1176</v>
      </c>
      <c r="N370" t="s">
        <v>726</v>
      </c>
      <c r="O370">
        <v>1</v>
      </c>
    </row>
    <row r="371" spans="1:15" x14ac:dyDescent="0.3">
      <c r="A371" t="s">
        <v>1173</v>
      </c>
      <c r="B371">
        <v>375</v>
      </c>
      <c r="C371">
        <v>5674833</v>
      </c>
      <c r="D371">
        <v>140</v>
      </c>
      <c r="E371">
        <v>246</v>
      </c>
      <c r="F371">
        <v>1</v>
      </c>
      <c r="G371">
        <v>124.96284498645301</v>
      </c>
      <c r="H371">
        <v>1</v>
      </c>
      <c r="K371" t="s">
        <v>729</v>
      </c>
      <c r="L371">
        <v>6</v>
      </c>
      <c r="M371" t="s">
        <v>1177</v>
      </c>
      <c r="N371" t="s">
        <v>726</v>
      </c>
      <c r="O371">
        <v>1</v>
      </c>
    </row>
    <row r="372" spans="1:15" x14ac:dyDescent="0.3">
      <c r="A372" t="s">
        <v>1173</v>
      </c>
      <c r="B372">
        <v>376</v>
      </c>
      <c r="C372">
        <v>5674833</v>
      </c>
      <c r="D372">
        <v>140</v>
      </c>
      <c r="E372">
        <v>101</v>
      </c>
      <c r="F372">
        <v>1</v>
      </c>
      <c r="G372">
        <v>167.30520241174301</v>
      </c>
      <c r="H372">
        <v>1</v>
      </c>
      <c r="K372" t="s">
        <v>729</v>
      </c>
      <c r="L372">
        <v>6</v>
      </c>
      <c r="M372" t="s">
        <v>1178</v>
      </c>
      <c r="N372" t="s">
        <v>726</v>
      </c>
      <c r="O372">
        <v>1</v>
      </c>
    </row>
    <row r="373" spans="1:15" x14ac:dyDescent="0.3">
      <c r="A373" t="s">
        <v>1173</v>
      </c>
      <c r="B373">
        <v>377</v>
      </c>
      <c r="C373">
        <v>5674833</v>
      </c>
      <c r="D373">
        <v>101</v>
      </c>
      <c r="E373">
        <v>140</v>
      </c>
      <c r="F373">
        <v>1</v>
      </c>
      <c r="G373">
        <v>167.30520241174301</v>
      </c>
      <c r="H373">
        <v>1</v>
      </c>
      <c r="K373" t="s">
        <v>729</v>
      </c>
      <c r="L373">
        <v>6</v>
      </c>
      <c r="M373" t="s">
        <v>1179</v>
      </c>
      <c r="N373" t="s">
        <v>726</v>
      </c>
      <c r="O373">
        <v>1</v>
      </c>
    </row>
    <row r="374" spans="1:15" x14ac:dyDescent="0.3">
      <c r="A374" t="s">
        <v>1173</v>
      </c>
      <c r="B374">
        <v>378</v>
      </c>
      <c r="C374">
        <v>5674833</v>
      </c>
      <c r="D374">
        <v>101</v>
      </c>
      <c r="E374">
        <v>186</v>
      </c>
      <c r="F374">
        <v>1</v>
      </c>
      <c r="G374">
        <v>153.754028115202</v>
      </c>
      <c r="H374">
        <v>1</v>
      </c>
      <c r="K374" t="s">
        <v>729</v>
      </c>
      <c r="L374">
        <v>6</v>
      </c>
      <c r="M374" t="s">
        <v>1180</v>
      </c>
      <c r="N374" t="s">
        <v>726</v>
      </c>
      <c r="O374">
        <v>1</v>
      </c>
    </row>
    <row r="375" spans="1:15" x14ac:dyDescent="0.3">
      <c r="A375" t="s">
        <v>1173</v>
      </c>
      <c r="B375">
        <v>379</v>
      </c>
      <c r="C375">
        <v>5674833</v>
      </c>
      <c r="D375">
        <v>186</v>
      </c>
      <c r="E375">
        <v>101</v>
      </c>
      <c r="F375">
        <v>1</v>
      </c>
      <c r="G375">
        <v>153.754028115202</v>
      </c>
      <c r="H375">
        <v>1</v>
      </c>
      <c r="K375" t="s">
        <v>729</v>
      </c>
      <c r="L375">
        <v>6</v>
      </c>
      <c r="M375" t="s">
        <v>1181</v>
      </c>
      <c r="N375" t="s">
        <v>726</v>
      </c>
      <c r="O375">
        <v>1</v>
      </c>
    </row>
    <row r="376" spans="1:15" x14ac:dyDescent="0.3">
      <c r="A376" t="s">
        <v>1182</v>
      </c>
      <c r="B376">
        <v>380</v>
      </c>
      <c r="C376">
        <v>5677333</v>
      </c>
      <c r="D376">
        <v>95</v>
      </c>
      <c r="E376">
        <v>63</v>
      </c>
      <c r="F376">
        <v>1</v>
      </c>
      <c r="G376">
        <v>119.00356616806501</v>
      </c>
      <c r="H376">
        <v>1</v>
      </c>
      <c r="K376" t="s">
        <v>729</v>
      </c>
      <c r="L376">
        <v>6</v>
      </c>
      <c r="M376" t="s">
        <v>1183</v>
      </c>
      <c r="N376" t="s">
        <v>726</v>
      </c>
      <c r="O376">
        <v>1</v>
      </c>
    </row>
    <row r="377" spans="1:15" x14ac:dyDescent="0.3">
      <c r="A377" t="s">
        <v>1182</v>
      </c>
      <c r="B377">
        <v>381</v>
      </c>
      <c r="C377">
        <v>5677333</v>
      </c>
      <c r="D377">
        <v>63</v>
      </c>
      <c r="E377">
        <v>95</v>
      </c>
      <c r="F377">
        <v>1</v>
      </c>
      <c r="G377">
        <v>119.00356616806501</v>
      </c>
      <c r="H377">
        <v>1</v>
      </c>
      <c r="K377" t="s">
        <v>729</v>
      </c>
      <c r="L377">
        <v>6</v>
      </c>
      <c r="M377" t="s">
        <v>1184</v>
      </c>
      <c r="N377" t="s">
        <v>726</v>
      </c>
      <c r="O377">
        <v>1</v>
      </c>
    </row>
    <row r="378" spans="1:15" x14ac:dyDescent="0.3">
      <c r="A378" t="s">
        <v>1182</v>
      </c>
      <c r="B378">
        <v>382</v>
      </c>
      <c r="C378">
        <v>5677333</v>
      </c>
      <c r="D378">
        <v>63</v>
      </c>
      <c r="E378">
        <v>90</v>
      </c>
      <c r="F378">
        <v>1</v>
      </c>
      <c r="G378">
        <v>146.62796394404299</v>
      </c>
      <c r="H378">
        <v>1</v>
      </c>
      <c r="K378" t="s">
        <v>729</v>
      </c>
      <c r="L378">
        <v>6</v>
      </c>
      <c r="M378" t="s">
        <v>1185</v>
      </c>
      <c r="N378" t="s">
        <v>726</v>
      </c>
      <c r="O378">
        <v>1</v>
      </c>
    </row>
    <row r="379" spans="1:15" x14ac:dyDescent="0.3">
      <c r="A379" t="s">
        <v>1182</v>
      </c>
      <c r="B379">
        <v>383</v>
      </c>
      <c r="C379">
        <v>5677333</v>
      </c>
      <c r="D379">
        <v>90</v>
      </c>
      <c r="E379">
        <v>63</v>
      </c>
      <c r="F379">
        <v>1</v>
      </c>
      <c r="G379">
        <v>146.62796394404299</v>
      </c>
      <c r="H379">
        <v>1</v>
      </c>
      <c r="K379" t="s">
        <v>729</v>
      </c>
      <c r="L379">
        <v>6</v>
      </c>
      <c r="M379" t="s">
        <v>1186</v>
      </c>
      <c r="N379" t="s">
        <v>726</v>
      </c>
      <c r="O379">
        <v>1</v>
      </c>
    </row>
    <row r="380" spans="1:15" x14ac:dyDescent="0.3">
      <c r="A380" t="s">
        <v>1182</v>
      </c>
      <c r="B380">
        <v>384</v>
      </c>
      <c r="C380">
        <v>5677334</v>
      </c>
      <c r="D380">
        <v>262</v>
      </c>
      <c r="E380">
        <v>167</v>
      </c>
      <c r="F380">
        <v>1</v>
      </c>
      <c r="G380">
        <v>282.40945330172701</v>
      </c>
      <c r="H380">
        <v>1</v>
      </c>
      <c r="K380" t="s">
        <v>729</v>
      </c>
      <c r="L380">
        <v>6</v>
      </c>
      <c r="M380" t="s">
        <v>1187</v>
      </c>
      <c r="N380" t="s">
        <v>726</v>
      </c>
      <c r="O380">
        <v>1</v>
      </c>
    </row>
    <row r="381" spans="1:15" x14ac:dyDescent="0.3">
      <c r="A381" t="s">
        <v>1182</v>
      </c>
      <c r="B381">
        <v>385</v>
      </c>
      <c r="C381">
        <v>5677334</v>
      </c>
      <c r="D381">
        <v>167</v>
      </c>
      <c r="E381">
        <v>262</v>
      </c>
      <c r="F381">
        <v>1</v>
      </c>
      <c r="G381">
        <v>282.40945330172701</v>
      </c>
      <c r="H381">
        <v>1</v>
      </c>
      <c r="K381" t="s">
        <v>729</v>
      </c>
      <c r="L381">
        <v>6</v>
      </c>
      <c r="M381" t="s">
        <v>1188</v>
      </c>
      <c r="N381" t="s">
        <v>726</v>
      </c>
      <c r="O381">
        <v>1</v>
      </c>
    </row>
    <row r="382" spans="1:15" x14ac:dyDescent="0.3">
      <c r="A382" t="s">
        <v>1182</v>
      </c>
      <c r="B382">
        <v>386</v>
      </c>
      <c r="C382">
        <v>5677334</v>
      </c>
      <c r="D382">
        <v>167</v>
      </c>
      <c r="E382">
        <v>187</v>
      </c>
      <c r="F382">
        <v>1</v>
      </c>
      <c r="G382">
        <v>74.933652100280398</v>
      </c>
      <c r="H382">
        <v>1</v>
      </c>
      <c r="K382" t="s">
        <v>729</v>
      </c>
      <c r="L382">
        <v>6</v>
      </c>
      <c r="M382" t="s">
        <v>1189</v>
      </c>
      <c r="N382" t="s">
        <v>726</v>
      </c>
      <c r="O382">
        <v>1</v>
      </c>
    </row>
    <row r="383" spans="1:15" x14ac:dyDescent="0.3">
      <c r="A383" t="s">
        <v>1182</v>
      </c>
      <c r="B383">
        <v>387</v>
      </c>
      <c r="C383">
        <v>5677334</v>
      </c>
      <c r="D383">
        <v>187</v>
      </c>
      <c r="E383">
        <v>167</v>
      </c>
      <c r="F383">
        <v>1</v>
      </c>
      <c r="G383">
        <v>74.933652100280398</v>
      </c>
      <c r="H383">
        <v>1</v>
      </c>
      <c r="K383" t="s">
        <v>729</v>
      </c>
      <c r="L383">
        <v>6</v>
      </c>
      <c r="M383" t="s">
        <v>1190</v>
      </c>
      <c r="N383" t="s">
        <v>726</v>
      </c>
      <c r="O383">
        <v>1</v>
      </c>
    </row>
    <row r="384" spans="1:15" x14ac:dyDescent="0.3">
      <c r="A384" t="s">
        <v>1191</v>
      </c>
      <c r="B384">
        <v>388</v>
      </c>
      <c r="C384">
        <v>5682868</v>
      </c>
      <c r="D384">
        <v>177</v>
      </c>
      <c r="E384">
        <v>104</v>
      </c>
      <c r="F384">
        <v>1</v>
      </c>
      <c r="G384">
        <v>415.35451346059102</v>
      </c>
      <c r="H384">
        <v>1</v>
      </c>
      <c r="K384" t="s">
        <v>729</v>
      </c>
      <c r="L384">
        <v>6</v>
      </c>
      <c r="M384" t="s">
        <v>1192</v>
      </c>
      <c r="N384" t="s">
        <v>726</v>
      </c>
      <c r="O384">
        <v>1</v>
      </c>
    </row>
    <row r="385" spans="1:15" x14ac:dyDescent="0.3">
      <c r="A385" t="s">
        <v>1191</v>
      </c>
      <c r="B385">
        <v>389</v>
      </c>
      <c r="C385">
        <v>5682868</v>
      </c>
      <c r="D385">
        <v>104</v>
      </c>
      <c r="E385">
        <v>177</v>
      </c>
      <c r="F385">
        <v>1</v>
      </c>
      <c r="G385">
        <v>415.35451346059102</v>
      </c>
      <c r="H385">
        <v>1</v>
      </c>
      <c r="K385" t="s">
        <v>729</v>
      </c>
      <c r="L385">
        <v>6</v>
      </c>
      <c r="M385" t="s">
        <v>1193</v>
      </c>
      <c r="N385" t="s">
        <v>726</v>
      </c>
      <c r="O385">
        <v>1</v>
      </c>
    </row>
    <row r="386" spans="1:15" x14ac:dyDescent="0.3">
      <c r="A386" t="s">
        <v>1194</v>
      </c>
      <c r="B386">
        <v>390</v>
      </c>
      <c r="C386">
        <v>5684369</v>
      </c>
      <c r="D386">
        <v>75</v>
      </c>
      <c r="E386">
        <v>159</v>
      </c>
      <c r="F386">
        <v>1</v>
      </c>
      <c r="G386">
        <v>131.915304540774</v>
      </c>
      <c r="H386">
        <v>1</v>
      </c>
      <c r="I386">
        <v>25</v>
      </c>
      <c r="K386" t="s">
        <v>729</v>
      </c>
      <c r="L386">
        <v>6</v>
      </c>
      <c r="M386" t="s">
        <v>1195</v>
      </c>
      <c r="N386" t="s">
        <v>726</v>
      </c>
      <c r="O386">
        <v>1</v>
      </c>
    </row>
    <row r="387" spans="1:15" x14ac:dyDescent="0.3">
      <c r="A387" t="s">
        <v>1194</v>
      </c>
      <c r="B387">
        <v>391</v>
      </c>
      <c r="C387">
        <v>5684369</v>
      </c>
      <c r="D387">
        <v>159</v>
      </c>
      <c r="E387">
        <v>75</v>
      </c>
      <c r="F387">
        <v>1</v>
      </c>
      <c r="G387">
        <v>131.915304540774</v>
      </c>
      <c r="H387">
        <v>1</v>
      </c>
      <c r="I387">
        <v>25</v>
      </c>
      <c r="K387" t="s">
        <v>729</v>
      </c>
      <c r="L387">
        <v>6</v>
      </c>
      <c r="M387" t="s">
        <v>1196</v>
      </c>
      <c r="N387" t="s">
        <v>726</v>
      </c>
      <c r="O387">
        <v>1</v>
      </c>
    </row>
    <row r="388" spans="1:15" x14ac:dyDescent="0.3">
      <c r="A388" t="s">
        <v>1197</v>
      </c>
      <c r="B388">
        <v>392</v>
      </c>
      <c r="C388">
        <v>5684977</v>
      </c>
      <c r="D388">
        <v>5</v>
      </c>
      <c r="E388">
        <v>705</v>
      </c>
      <c r="F388">
        <v>1</v>
      </c>
      <c r="G388">
        <v>37.577980978493599</v>
      </c>
      <c r="H388">
        <v>1</v>
      </c>
      <c r="I388">
        <v>25</v>
      </c>
      <c r="K388" t="s">
        <v>729</v>
      </c>
      <c r="L388">
        <v>6</v>
      </c>
      <c r="M388" t="s">
        <v>1198</v>
      </c>
      <c r="N388" t="s">
        <v>726</v>
      </c>
      <c r="O388">
        <v>1</v>
      </c>
    </row>
    <row r="389" spans="1:15" x14ac:dyDescent="0.3">
      <c r="A389" t="s">
        <v>1197</v>
      </c>
      <c r="B389">
        <v>393</v>
      </c>
      <c r="C389">
        <v>5684977</v>
      </c>
      <c r="D389">
        <v>705</v>
      </c>
      <c r="E389">
        <v>5</v>
      </c>
      <c r="F389">
        <v>1</v>
      </c>
      <c r="G389">
        <v>37.577980978493599</v>
      </c>
      <c r="H389">
        <v>1</v>
      </c>
      <c r="I389">
        <v>25</v>
      </c>
      <c r="K389" t="s">
        <v>729</v>
      </c>
      <c r="L389">
        <v>6</v>
      </c>
      <c r="M389" t="s">
        <v>1199</v>
      </c>
      <c r="N389" t="s">
        <v>726</v>
      </c>
      <c r="O389">
        <v>1</v>
      </c>
    </row>
    <row r="390" spans="1:15" x14ac:dyDescent="0.3">
      <c r="A390" t="s">
        <v>1200</v>
      </c>
      <c r="B390">
        <v>394</v>
      </c>
      <c r="C390">
        <v>5691747</v>
      </c>
      <c r="D390">
        <v>111</v>
      </c>
      <c r="E390">
        <v>33</v>
      </c>
      <c r="F390">
        <v>1</v>
      </c>
      <c r="G390">
        <v>111.821159547089</v>
      </c>
      <c r="H390">
        <v>1</v>
      </c>
      <c r="I390">
        <v>25</v>
      </c>
      <c r="K390" t="s">
        <v>729</v>
      </c>
      <c r="L390">
        <v>6</v>
      </c>
      <c r="M390" t="s">
        <v>1201</v>
      </c>
      <c r="N390" t="s">
        <v>726</v>
      </c>
      <c r="O390">
        <v>1</v>
      </c>
    </row>
    <row r="391" spans="1:15" x14ac:dyDescent="0.3">
      <c r="A391" t="s">
        <v>1200</v>
      </c>
      <c r="B391">
        <v>395</v>
      </c>
      <c r="C391">
        <v>5691747</v>
      </c>
      <c r="D391">
        <v>33</v>
      </c>
      <c r="E391">
        <v>111</v>
      </c>
      <c r="F391">
        <v>1</v>
      </c>
      <c r="G391">
        <v>111.821159547089</v>
      </c>
      <c r="H391">
        <v>1</v>
      </c>
      <c r="I391">
        <v>25</v>
      </c>
      <c r="K391" t="s">
        <v>729</v>
      </c>
      <c r="L391">
        <v>6</v>
      </c>
      <c r="M391" t="s">
        <v>1202</v>
      </c>
      <c r="N391" t="s">
        <v>726</v>
      </c>
      <c r="O391">
        <v>1</v>
      </c>
    </row>
    <row r="392" spans="1:15" x14ac:dyDescent="0.3">
      <c r="A392" t="s">
        <v>1200</v>
      </c>
      <c r="B392">
        <v>396</v>
      </c>
      <c r="C392">
        <v>5691747</v>
      </c>
      <c r="D392">
        <v>33</v>
      </c>
      <c r="E392">
        <v>45</v>
      </c>
      <c r="F392">
        <v>1</v>
      </c>
      <c r="G392">
        <v>113.462916423011</v>
      </c>
      <c r="H392">
        <v>1</v>
      </c>
      <c r="I392">
        <v>25</v>
      </c>
      <c r="K392" t="s">
        <v>729</v>
      </c>
      <c r="L392">
        <v>6</v>
      </c>
      <c r="M392" t="s">
        <v>1203</v>
      </c>
      <c r="N392" t="s">
        <v>726</v>
      </c>
      <c r="O392">
        <v>1</v>
      </c>
    </row>
    <row r="393" spans="1:15" x14ac:dyDescent="0.3">
      <c r="A393" t="s">
        <v>1200</v>
      </c>
      <c r="B393">
        <v>397</v>
      </c>
      <c r="C393">
        <v>5691747</v>
      </c>
      <c r="D393">
        <v>45</v>
      </c>
      <c r="E393">
        <v>33</v>
      </c>
      <c r="F393">
        <v>1</v>
      </c>
      <c r="G393">
        <v>113.462916423011</v>
      </c>
      <c r="H393">
        <v>1</v>
      </c>
      <c r="I393">
        <v>25</v>
      </c>
      <c r="K393" t="s">
        <v>729</v>
      </c>
      <c r="L393">
        <v>6</v>
      </c>
      <c r="M393" t="s">
        <v>1204</v>
      </c>
      <c r="N393" t="s">
        <v>726</v>
      </c>
      <c r="O393">
        <v>1</v>
      </c>
    </row>
    <row r="394" spans="1:15" x14ac:dyDescent="0.3">
      <c r="A394" t="s">
        <v>1200</v>
      </c>
      <c r="B394">
        <v>398</v>
      </c>
      <c r="C394">
        <v>5691748</v>
      </c>
      <c r="D394">
        <v>13</v>
      </c>
      <c r="E394">
        <v>784</v>
      </c>
      <c r="F394">
        <v>1</v>
      </c>
      <c r="G394">
        <v>109.92918075233401</v>
      </c>
      <c r="H394">
        <v>1</v>
      </c>
      <c r="K394" t="s">
        <v>729</v>
      </c>
      <c r="L394">
        <v>6</v>
      </c>
      <c r="M394" t="s">
        <v>1205</v>
      </c>
      <c r="N394" t="s">
        <v>726</v>
      </c>
      <c r="O394">
        <v>1</v>
      </c>
    </row>
    <row r="395" spans="1:15" x14ac:dyDescent="0.3">
      <c r="A395" t="s">
        <v>1200</v>
      </c>
      <c r="B395">
        <v>399</v>
      </c>
      <c r="C395">
        <v>5691748</v>
      </c>
      <c r="D395">
        <v>784</v>
      </c>
      <c r="E395">
        <v>13</v>
      </c>
      <c r="F395">
        <v>1</v>
      </c>
      <c r="G395">
        <v>109.92918075233401</v>
      </c>
      <c r="H395">
        <v>1</v>
      </c>
      <c r="K395" t="s">
        <v>729</v>
      </c>
      <c r="L395">
        <v>6</v>
      </c>
      <c r="M395" t="s">
        <v>1206</v>
      </c>
      <c r="N395" t="s">
        <v>726</v>
      </c>
      <c r="O395">
        <v>1</v>
      </c>
    </row>
    <row r="396" spans="1:15" x14ac:dyDescent="0.3">
      <c r="A396" t="s">
        <v>1207</v>
      </c>
      <c r="B396">
        <v>400</v>
      </c>
      <c r="C396">
        <v>5693071</v>
      </c>
      <c r="D396">
        <v>22</v>
      </c>
      <c r="E396">
        <v>785</v>
      </c>
      <c r="F396">
        <v>1</v>
      </c>
      <c r="G396">
        <v>105.11037313243</v>
      </c>
      <c r="H396">
        <v>1</v>
      </c>
      <c r="K396" t="s">
        <v>729</v>
      </c>
      <c r="L396">
        <v>6</v>
      </c>
      <c r="M396" t="s">
        <v>1208</v>
      </c>
      <c r="N396" t="s">
        <v>726</v>
      </c>
      <c r="O396">
        <v>1</v>
      </c>
    </row>
    <row r="397" spans="1:15" x14ac:dyDescent="0.3">
      <c r="A397" t="s">
        <v>1207</v>
      </c>
      <c r="B397">
        <v>401</v>
      </c>
      <c r="C397">
        <v>5693071</v>
      </c>
      <c r="D397">
        <v>785</v>
      </c>
      <c r="E397">
        <v>22</v>
      </c>
      <c r="F397">
        <v>1</v>
      </c>
      <c r="G397">
        <v>105.11037313243</v>
      </c>
      <c r="H397">
        <v>1</v>
      </c>
      <c r="K397" t="s">
        <v>729</v>
      </c>
      <c r="L397">
        <v>6</v>
      </c>
      <c r="M397" t="s">
        <v>1209</v>
      </c>
      <c r="N397" t="s">
        <v>726</v>
      </c>
      <c r="O397">
        <v>1</v>
      </c>
    </row>
    <row r="398" spans="1:15" x14ac:dyDescent="0.3">
      <c r="A398" t="s">
        <v>1210</v>
      </c>
      <c r="B398">
        <v>402</v>
      </c>
      <c r="C398">
        <v>5694947</v>
      </c>
      <c r="D398">
        <v>153</v>
      </c>
      <c r="E398">
        <v>92</v>
      </c>
      <c r="F398">
        <v>1</v>
      </c>
      <c r="G398">
        <v>248.77804346174801</v>
      </c>
      <c r="H398">
        <v>1</v>
      </c>
      <c r="K398" t="s">
        <v>729</v>
      </c>
      <c r="L398">
        <v>6</v>
      </c>
      <c r="M398" t="s">
        <v>1211</v>
      </c>
      <c r="N398" t="s">
        <v>726</v>
      </c>
      <c r="O398">
        <v>1</v>
      </c>
    </row>
    <row r="399" spans="1:15" x14ac:dyDescent="0.3">
      <c r="A399" t="s">
        <v>1210</v>
      </c>
      <c r="B399">
        <v>403</v>
      </c>
      <c r="C399">
        <v>5694947</v>
      </c>
      <c r="D399">
        <v>92</v>
      </c>
      <c r="E399">
        <v>153</v>
      </c>
      <c r="F399">
        <v>1</v>
      </c>
      <c r="G399">
        <v>248.77804346174801</v>
      </c>
      <c r="H399">
        <v>1</v>
      </c>
      <c r="K399" t="s">
        <v>729</v>
      </c>
      <c r="L399">
        <v>6</v>
      </c>
      <c r="M399" t="s">
        <v>1212</v>
      </c>
      <c r="N399" t="s">
        <v>726</v>
      </c>
      <c r="O399">
        <v>1</v>
      </c>
    </row>
    <row r="400" spans="1:15" x14ac:dyDescent="0.3">
      <c r="A400" t="s">
        <v>1213</v>
      </c>
      <c r="B400">
        <v>404</v>
      </c>
      <c r="C400">
        <v>23617739</v>
      </c>
      <c r="D400">
        <v>356</v>
      </c>
      <c r="E400">
        <v>3</v>
      </c>
      <c r="F400">
        <v>1</v>
      </c>
      <c r="G400">
        <v>77.036490366358294</v>
      </c>
      <c r="H400">
        <v>1</v>
      </c>
      <c r="K400" t="s">
        <v>711</v>
      </c>
      <c r="L400">
        <v>5</v>
      </c>
      <c r="M400" t="s">
        <v>1214</v>
      </c>
      <c r="N400" t="s">
        <v>726</v>
      </c>
      <c r="O400">
        <v>1</v>
      </c>
    </row>
    <row r="401" spans="1:15" x14ac:dyDescent="0.3">
      <c r="A401" t="s">
        <v>1213</v>
      </c>
      <c r="B401">
        <v>405</v>
      </c>
      <c r="C401">
        <v>23617739</v>
      </c>
      <c r="D401">
        <v>3</v>
      </c>
      <c r="E401">
        <v>356</v>
      </c>
      <c r="F401">
        <v>1</v>
      </c>
      <c r="G401">
        <v>77.036490366358294</v>
      </c>
      <c r="H401">
        <v>1</v>
      </c>
      <c r="K401" t="s">
        <v>711</v>
      </c>
      <c r="L401">
        <v>5</v>
      </c>
      <c r="M401" t="s">
        <v>1215</v>
      </c>
      <c r="N401" t="s">
        <v>726</v>
      </c>
      <c r="O401">
        <v>1</v>
      </c>
    </row>
    <row r="402" spans="1:15" x14ac:dyDescent="0.3">
      <c r="A402" t="s">
        <v>1216</v>
      </c>
      <c r="B402">
        <v>406</v>
      </c>
      <c r="C402">
        <v>23617748</v>
      </c>
      <c r="D402">
        <v>341</v>
      </c>
      <c r="E402">
        <v>198</v>
      </c>
      <c r="F402">
        <v>1</v>
      </c>
      <c r="G402">
        <v>168.63452936744599</v>
      </c>
      <c r="H402">
        <v>2</v>
      </c>
      <c r="I402">
        <v>35</v>
      </c>
      <c r="K402" t="s">
        <v>890</v>
      </c>
      <c r="L402">
        <v>4</v>
      </c>
      <c r="M402" t="s">
        <v>1217</v>
      </c>
      <c r="N402" t="s">
        <v>726</v>
      </c>
      <c r="O402">
        <v>0</v>
      </c>
    </row>
    <row r="403" spans="1:15" x14ac:dyDescent="0.3">
      <c r="A403" t="s">
        <v>1216</v>
      </c>
      <c r="B403">
        <v>407</v>
      </c>
      <c r="C403">
        <v>23617748</v>
      </c>
      <c r="D403">
        <v>198</v>
      </c>
      <c r="E403">
        <v>339</v>
      </c>
      <c r="F403">
        <v>1</v>
      </c>
      <c r="G403">
        <v>78.692051453464202</v>
      </c>
      <c r="H403">
        <v>2</v>
      </c>
      <c r="I403">
        <v>35</v>
      </c>
      <c r="K403" t="s">
        <v>890</v>
      </c>
      <c r="L403">
        <v>4</v>
      </c>
      <c r="M403" t="s">
        <v>1218</v>
      </c>
      <c r="N403" t="s">
        <v>726</v>
      </c>
      <c r="O403">
        <v>0</v>
      </c>
    </row>
    <row r="404" spans="1:15" x14ac:dyDescent="0.3">
      <c r="A404" t="s">
        <v>1216</v>
      </c>
      <c r="B404">
        <v>408</v>
      </c>
      <c r="C404">
        <v>23617748</v>
      </c>
      <c r="D404">
        <v>339</v>
      </c>
      <c r="E404">
        <v>509</v>
      </c>
      <c r="F404">
        <v>1</v>
      </c>
      <c r="G404">
        <v>31.4595182706408</v>
      </c>
      <c r="H404">
        <v>2</v>
      </c>
      <c r="I404">
        <v>35</v>
      </c>
      <c r="K404" t="s">
        <v>890</v>
      </c>
      <c r="L404">
        <v>4</v>
      </c>
      <c r="M404" t="s">
        <v>1219</v>
      </c>
      <c r="N404" t="s">
        <v>726</v>
      </c>
      <c r="O404">
        <v>0</v>
      </c>
    </row>
    <row r="405" spans="1:15" x14ac:dyDescent="0.3">
      <c r="A405" t="s">
        <v>858</v>
      </c>
      <c r="B405">
        <v>409</v>
      </c>
      <c r="C405">
        <v>23698487</v>
      </c>
      <c r="D405">
        <v>192</v>
      </c>
      <c r="E405">
        <v>437</v>
      </c>
      <c r="F405">
        <v>1</v>
      </c>
      <c r="G405">
        <v>129.96260029107901</v>
      </c>
      <c r="H405">
        <v>2</v>
      </c>
      <c r="K405" t="s">
        <v>724</v>
      </c>
      <c r="L405">
        <v>3</v>
      </c>
      <c r="M405" t="s">
        <v>1220</v>
      </c>
      <c r="N405" t="s">
        <v>726</v>
      </c>
      <c r="O405">
        <v>0</v>
      </c>
    </row>
    <row r="406" spans="1:15" x14ac:dyDescent="0.3">
      <c r="A406" t="s">
        <v>1221</v>
      </c>
      <c r="B406">
        <v>410</v>
      </c>
      <c r="C406">
        <v>28639646</v>
      </c>
      <c r="D406">
        <v>786</v>
      </c>
      <c r="E406">
        <v>193</v>
      </c>
      <c r="F406">
        <v>1</v>
      </c>
      <c r="G406">
        <v>120.78926854449401</v>
      </c>
      <c r="H406">
        <v>3</v>
      </c>
      <c r="K406" t="s">
        <v>890</v>
      </c>
      <c r="L406">
        <v>4</v>
      </c>
      <c r="M406" t="s">
        <v>1222</v>
      </c>
      <c r="N406" t="s">
        <v>726</v>
      </c>
      <c r="O406">
        <v>1</v>
      </c>
    </row>
    <row r="407" spans="1:15" x14ac:dyDescent="0.3">
      <c r="A407" t="s">
        <v>1221</v>
      </c>
      <c r="B407">
        <v>411</v>
      </c>
      <c r="C407">
        <v>28639646</v>
      </c>
      <c r="D407">
        <v>193</v>
      </c>
      <c r="E407">
        <v>786</v>
      </c>
      <c r="F407">
        <v>1</v>
      </c>
      <c r="G407">
        <v>120.78926854449401</v>
      </c>
      <c r="H407">
        <v>3</v>
      </c>
      <c r="K407" t="s">
        <v>890</v>
      </c>
      <c r="L407">
        <v>4</v>
      </c>
      <c r="M407" t="s">
        <v>1223</v>
      </c>
      <c r="N407" t="s">
        <v>726</v>
      </c>
      <c r="O407">
        <v>1</v>
      </c>
    </row>
    <row r="408" spans="1:15" x14ac:dyDescent="0.3">
      <c r="A408" t="s">
        <v>858</v>
      </c>
      <c r="B408">
        <v>412</v>
      </c>
      <c r="C408">
        <v>28740096</v>
      </c>
      <c r="D408">
        <v>442</v>
      </c>
      <c r="E408">
        <v>1963</v>
      </c>
      <c r="F408">
        <v>1</v>
      </c>
      <c r="G408">
        <v>36.173802614059497</v>
      </c>
      <c r="H408">
        <v>3</v>
      </c>
      <c r="K408" t="s">
        <v>890</v>
      </c>
      <c r="L408">
        <v>4</v>
      </c>
      <c r="M408" t="s">
        <v>1224</v>
      </c>
      <c r="N408" t="s">
        <v>726</v>
      </c>
      <c r="O408">
        <v>0</v>
      </c>
    </row>
    <row r="409" spans="1:15" x14ac:dyDescent="0.3">
      <c r="A409" t="s">
        <v>858</v>
      </c>
      <c r="B409">
        <v>414</v>
      </c>
      <c r="C409">
        <v>28740096</v>
      </c>
      <c r="D409">
        <v>1963</v>
      </c>
      <c r="E409">
        <v>264</v>
      </c>
      <c r="F409">
        <v>1</v>
      </c>
      <c r="G409">
        <v>8.4528915404040301</v>
      </c>
      <c r="H409">
        <v>3</v>
      </c>
      <c r="K409" t="s">
        <v>890</v>
      </c>
      <c r="L409">
        <v>4</v>
      </c>
      <c r="M409" t="s">
        <v>1225</v>
      </c>
      <c r="N409" t="s">
        <v>726</v>
      </c>
      <c r="O409">
        <v>0</v>
      </c>
    </row>
    <row r="410" spans="1:15" x14ac:dyDescent="0.3">
      <c r="A410" t="s">
        <v>858</v>
      </c>
      <c r="B410">
        <v>415</v>
      </c>
      <c r="C410">
        <v>28751543</v>
      </c>
      <c r="D410">
        <v>189</v>
      </c>
      <c r="E410">
        <v>359</v>
      </c>
      <c r="F410">
        <v>1</v>
      </c>
      <c r="G410">
        <v>49.375949624790998</v>
      </c>
      <c r="H410">
        <v>2</v>
      </c>
      <c r="K410" t="s">
        <v>724</v>
      </c>
      <c r="L410">
        <v>3</v>
      </c>
      <c r="M410" t="s">
        <v>1226</v>
      </c>
      <c r="N410" t="s">
        <v>726</v>
      </c>
      <c r="O410">
        <v>0</v>
      </c>
    </row>
    <row r="411" spans="1:15" x14ac:dyDescent="0.3">
      <c r="A411" t="s">
        <v>858</v>
      </c>
      <c r="B411">
        <v>416</v>
      </c>
      <c r="C411">
        <v>28752299</v>
      </c>
      <c r="D411">
        <v>197</v>
      </c>
      <c r="E411">
        <v>361</v>
      </c>
      <c r="F411">
        <v>1</v>
      </c>
      <c r="G411">
        <v>113.997318042977</v>
      </c>
      <c r="H411">
        <v>2</v>
      </c>
      <c r="I411">
        <v>30</v>
      </c>
      <c r="K411" t="s">
        <v>724</v>
      </c>
      <c r="L411">
        <v>3</v>
      </c>
      <c r="M411" t="s">
        <v>1227</v>
      </c>
      <c r="N411" t="s">
        <v>726</v>
      </c>
      <c r="O411">
        <v>0</v>
      </c>
    </row>
    <row r="412" spans="1:15" x14ac:dyDescent="0.3">
      <c r="A412" t="s">
        <v>723</v>
      </c>
      <c r="B412">
        <v>417</v>
      </c>
      <c r="C412">
        <v>28752533</v>
      </c>
      <c r="D412">
        <v>199</v>
      </c>
      <c r="E412">
        <v>1</v>
      </c>
      <c r="F412">
        <v>1</v>
      </c>
      <c r="G412">
        <v>153.03762508901801</v>
      </c>
      <c r="H412">
        <v>3</v>
      </c>
      <c r="I412">
        <v>35</v>
      </c>
      <c r="K412" t="s">
        <v>724</v>
      </c>
      <c r="L412">
        <v>3</v>
      </c>
      <c r="M412" t="s">
        <v>1228</v>
      </c>
      <c r="N412" t="s">
        <v>726</v>
      </c>
      <c r="O412">
        <v>1</v>
      </c>
    </row>
    <row r="413" spans="1:15" x14ac:dyDescent="0.3">
      <c r="A413" t="s">
        <v>723</v>
      </c>
      <c r="B413">
        <v>418</v>
      </c>
      <c r="C413">
        <v>28752533</v>
      </c>
      <c r="D413">
        <v>1</v>
      </c>
      <c r="E413">
        <v>199</v>
      </c>
      <c r="F413">
        <v>1</v>
      </c>
      <c r="G413">
        <v>153.03762508901801</v>
      </c>
      <c r="H413">
        <v>3</v>
      </c>
      <c r="I413">
        <v>35</v>
      </c>
      <c r="K413" t="s">
        <v>724</v>
      </c>
      <c r="L413">
        <v>3</v>
      </c>
      <c r="M413" t="s">
        <v>1229</v>
      </c>
      <c r="N413" t="s">
        <v>726</v>
      </c>
      <c r="O413">
        <v>1</v>
      </c>
    </row>
    <row r="414" spans="1:15" x14ac:dyDescent="0.3">
      <c r="A414" t="s">
        <v>1230</v>
      </c>
      <c r="B414">
        <v>419</v>
      </c>
      <c r="C414">
        <v>28821415</v>
      </c>
      <c r="D414">
        <v>268</v>
      </c>
      <c r="E414">
        <v>1963</v>
      </c>
      <c r="F414">
        <v>1</v>
      </c>
      <c r="G414">
        <v>80.253308059100206</v>
      </c>
      <c r="H414">
        <v>1</v>
      </c>
      <c r="K414" t="s">
        <v>729</v>
      </c>
      <c r="L414">
        <v>6</v>
      </c>
      <c r="M414" t="s">
        <v>1231</v>
      </c>
      <c r="N414" t="s">
        <v>726</v>
      </c>
      <c r="O414">
        <v>0</v>
      </c>
    </row>
    <row r="415" spans="1:15" x14ac:dyDescent="0.3">
      <c r="A415" t="s">
        <v>1143</v>
      </c>
      <c r="B415">
        <v>420</v>
      </c>
      <c r="C415">
        <v>28821444</v>
      </c>
      <c r="D415">
        <v>284</v>
      </c>
      <c r="E415">
        <v>201</v>
      </c>
      <c r="F415">
        <v>1</v>
      </c>
      <c r="G415">
        <v>16.379873755820601</v>
      </c>
      <c r="H415">
        <v>1</v>
      </c>
      <c r="K415" t="s">
        <v>729</v>
      </c>
      <c r="L415">
        <v>6</v>
      </c>
      <c r="M415" t="s">
        <v>1232</v>
      </c>
      <c r="N415" t="s">
        <v>726</v>
      </c>
      <c r="O415">
        <v>0</v>
      </c>
    </row>
    <row r="416" spans="1:15" x14ac:dyDescent="0.3">
      <c r="A416" t="s">
        <v>1143</v>
      </c>
      <c r="B416">
        <v>421</v>
      </c>
      <c r="C416">
        <v>28821444</v>
      </c>
      <c r="D416">
        <v>201</v>
      </c>
      <c r="E416">
        <v>1963</v>
      </c>
      <c r="F416">
        <v>1</v>
      </c>
      <c r="G416">
        <v>148.66299058482599</v>
      </c>
      <c r="H416">
        <v>1</v>
      </c>
      <c r="K416" t="s">
        <v>729</v>
      </c>
      <c r="L416">
        <v>6</v>
      </c>
      <c r="M416" t="s">
        <v>1233</v>
      </c>
      <c r="N416" t="s">
        <v>726</v>
      </c>
      <c r="O416">
        <v>0</v>
      </c>
    </row>
    <row r="417" spans="1:15" x14ac:dyDescent="0.3">
      <c r="A417" t="s">
        <v>858</v>
      </c>
      <c r="B417">
        <v>423</v>
      </c>
      <c r="C417">
        <v>28821460</v>
      </c>
      <c r="D417">
        <v>441</v>
      </c>
      <c r="E417">
        <v>113</v>
      </c>
      <c r="F417">
        <v>1</v>
      </c>
      <c r="G417">
        <v>72.860748519742501</v>
      </c>
      <c r="H417">
        <v>2</v>
      </c>
      <c r="I417">
        <v>35</v>
      </c>
      <c r="K417" t="s">
        <v>890</v>
      </c>
      <c r="L417">
        <v>4</v>
      </c>
      <c r="M417" t="s">
        <v>1234</v>
      </c>
      <c r="N417" t="s">
        <v>726</v>
      </c>
      <c r="O417">
        <v>1</v>
      </c>
    </row>
    <row r="418" spans="1:15" x14ac:dyDescent="0.3">
      <c r="A418" t="s">
        <v>858</v>
      </c>
      <c r="B418">
        <v>424</v>
      </c>
      <c r="C418">
        <v>28821460</v>
      </c>
      <c r="D418">
        <v>113</v>
      </c>
      <c r="E418">
        <v>441</v>
      </c>
      <c r="F418">
        <v>1</v>
      </c>
      <c r="G418">
        <v>72.860748519742501</v>
      </c>
      <c r="H418">
        <v>2</v>
      </c>
      <c r="I418">
        <v>35</v>
      </c>
      <c r="K418" t="s">
        <v>890</v>
      </c>
      <c r="L418">
        <v>4</v>
      </c>
      <c r="M418" t="s">
        <v>1235</v>
      </c>
      <c r="N418" t="s">
        <v>726</v>
      </c>
      <c r="O418">
        <v>1</v>
      </c>
    </row>
    <row r="419" spans="1:15" x14ac:dyDescent="0.3">
      <c r="A419" t="s">
        <v>1133</v>
      </c>
      <c r="B419">
        <v>425</v>
      </c>
      <c r="C419">
        <v>28875481</v>
      </c>
      <c r="D419">
        <v>185</v>
      </c>
      <c r="E419">
        <v>203</v>
      </c>
      <c r="F419">
        <v>1</v>
      </c>
      <c r="G419">
        <v>13.076738080116501</v>
      </c>
      <c r="H419">
        <v>1</v>
      </c>
      <c r="I419">
        <v>15</v>
      </c>
      <c r="K419" t="s">
        <v>729</v>
      </c>
      <c r="L419">
        <v>6</v>
      </c>
      <c r="M419" t="s">
        <v>1236</v>
      </c>
      <c r="N419" t="s">
        <v>726</v>
      </c>
      <c r="O419">
        <v>1</v>
      </c>
    </row>
    <row r="420" spans="1:15" x14ac:dyDescent="0.3">
      <c r="A420" t="s">
        <v>1133</v>
      </c>
      <c r="B420">
        <v>426</v>
      </c>
      <c r="C420">
        <v>28875481</v>
      </c>
      <c r="D420">
        <v>203</v>
      </c>
      <c r="E420">
        <v>185</v>
      </c>
      <c r="F420">
        <v>1</v>
      </c>
      <c r="G420">
        <v>13.076738080116501</v>
      </c>
      <c r="H420">
        <v>1</v>
      </c>
      <c r="I420">
        <v>15</v>
      </c>
      <c r="K420" t="s">
        <v>729</v>
      </c>
      <c r="L420">
        <v>6</v>
      </c>
      <c r="M420" t="s">
        <v>1237</v>
      </c>
      <c r="N420" t="s">
        <v>726</v>
      </c>
      <c r="O420">
        <v>1</v>
      </c>
    </row>
    <row r="421" spans="1:15" x14ac:dyDescent="0.3">
      <c r="A421" t="s">
        <v>1133</v>
      </c>
      <c r="B421">
        <v>427</v>
      </c>
      <c r="C421">
        <v>28875481</v>
      </c>
      <c r="D421">
        <v>203</v>
      </c>
      <c r="E421">
        <v>648</v>
      </c>
      <c r="F421">
        <v>1</v>
      </c>
      <c r="G421">
        <v>462.16142692657098</v>
      </c>
      <c r="H421">
        <v>1</v>
      </c>
      <c r="I421">
        <v>15</v>
      </c>
      <c r="K421" t="s">
        <v>729</v>
      </c>
      <c r="L421">
        <v>6</v>
      </c>
      <c r="M421" t="s">
        <v>1238</v>
      </c>
      <c r="N421" t="s">
        <v>726</v>
      </c>
      <c r="O421">
        <v>1</v>
      </c>
    </row>
    <row r="422" spans="1:15" x14ac:dyDescent="0.3">
      <c r="A422" t="s">
        <v>1133</v>
      </c>
      <c r="B422">
        <v>428</v>
      </c>
      <c r="C422">
        <v>28875481</v>
      </c>
      <c r="D422">
        <v>648</v>
      </c>
      <c r="E422">
        <v>203</v>
      </c>
      <c r="F422">
        <v>1</v>
      </c>
      <c r="G422">
        <v>462.16142692657098</v>
      </c>
      <c r="H422">
        <v>1</v>
      </c>
      <c r="I422">
        <v>15</v>
      </c>
      <c r="K422" t="s">
        <v>729</v>
      </c>
      <c r="L422">
        <v>6</v>
      </c>
      <c r="M422" t="s">
        <v>1239</v>
      </c>
      <c r="N422" t="s">
        <v>726</v>
      </c>
      <c r="O422">
        <v>1</v>
      </c>
    </row>
    <row r="423" spans="1:15" x14ac:dyDescent="0.3">
      <c r="A423" t="s">
        <v>1109</v>
      </c>
      <c r="B423">
        <v>429</v>
      </c>
      <c r="C423">
        <v>28877510</v>
      </c>
      <c r="D423">
        <v>625</v>
      </c>
      <c r="E423">
        <v>145</v>
      </c>
      <c r="F423">
        <v>1</v>
      </c>
      <c r="G423">
        <v>85.245053896378295</v>
      </c>
      <c r="H423">
        <v>1</v>
      </c>
      <c r="K423" t="s">
        <v>711</v>
      </c>
      <c r="L423">
        <v>5</v>
      </c>
      <c r="M423" t="s">
        <v>1240</v>
      </c>
      <c r="N423" t="s">
        <v>726</v>
      </c>
      <c r="O423">
        <v>1</v>
      </c>
    </row>
    <row r="424" spans="1:15" x14ac:dyDescent="0.3">
      <c r="A424" t="s">
        <v>1109</v>
      </c>
      <c r="B424">
        <v>430</v>
      </c>
      <c r="C424">
        <v>28877510</v>
      </c>
      <c r="D424">
        <v>145</v>
      </c>
      <c r="E424">
        <v>625</v>
      </c>
      <c r="F424">
        <v>1</v>
      </c>
      <c r="G424">
        <v>85.245053896378295</v>
      </c>
      <c r="H424">
        <v>1</v>
      </c>
      <c r="K424" t="s">
        <v>711</v>
      </c>
      <c r="L424">
        <v>5</v>
      </c>
      <c r="M424" t="s">
        <v>1241</v>
      </c>
      <c r="N424" t="s">
        <v>726</v>
      </c>
      <c r="O424">
        <v>1</v>
      </c>
    </row>
    <row r="425" spans="1:15" x14ac:dyDescent="0.3">
      <c r="A425" t="s">
        <v>801</v>
      </c>
      <c r="B425">
        <v>431</v>
      </c>
      <c r="C425">
        <v>28891397</v>
      </c>
      <c r="D425">
        <v>70</v>
      </c>
      <c r="E425">
        <v>226</v>
      </c>
      <c r="F425">
        <v>1</v>
      </c>
      <c r="G425">
        <v>202.86205276343799</v>
      </c>
      <c r="H425">
        <v>1</v>
      </c>
      <c r="K425" t="s">
        <v>729</v>
      </c>
      <c r="L425">
        <v>6</v>
      </c>
      <c r="M425" t="s">
        <v>1242</v>
      </c>
      <c r="N425" t="s">
        <v>726</v>
      </c>
      <c r="O425">
        <v>1</v>
      </c>
    </row>
    <row r="426" spans="1:15" x14ac:dyDescent="0.3">
      <c r="A426" t="s">
        <v>801</v>
      </c>
      <c r="B426">
        <v>432</v>
      </c>
      <c r="C426">
        <v>28891397</v>
      </c>
      <c r="D426">
        <v>226</v>
      </c>
      <c r="E426">
        <v>70</v>
      </c>
      <c r="F426">
        <v>1</v>
      </c>
      <c r="G426">
        <v>202.86205276343799</v>
      </c>
      <c r="H426">
        <v>1</v>
      </c>
      <c r="K426" t="s">
        <v>729</v>
      </c>
      <c r="L426">
        <v>6</v>
      </c>
      <c r="M426" t="s">
        <v>1243</v>
      </c>
      <c r="N426" t="s">
        <v>726</v>
      </c>
      <c r="O426">
        <v>1</v>
      </c>
    </row>
    <row r="427" spans="1:15" x14ac:dyDescent="0.3">
      <c r="A427" t="s">
        <v>827</v>
      </c>
      <c r="B427">
        <v>433</v>
      </c>
      <c r="C427">
        <v>30031285</v>
      </c>
      <c r="D427">
        <v>235</v>
      </c>
      <c r="E427">
        <v>216</v>
      </c>
      <c r="F427">
        <v>1</v>
      </c>
      <c r="G427">
        <v>14.807813084422399</v>
      </c>
      <c r="H427">
        <v>2</v>
      </c>
      <c r="I427">
        <v>35</v>
      </c>
      <c r="K427" t="s">
        <v>724</v>
      </c>
      <c r="L427">
        <v>3</v>
      </c>
      <c r="M427" t="s">
        <v>1244</v>
      </c>
      <c r="N427" t="s">
        <v>726</v>
      </c>
      <c r="O427">
        <v>0</v>
      </c>
    </row>
    <row r="428" spans="1:15" x14ac:dyDescent="0.3">
      <c r="A428" t="s">
        <v>827</v>
      </c>
      <c r="B428">
        <v>434</v>
      </c>
      <c r="C428">
        <v>30031285</v>
      </c>
      <c r="D428">
        <v>216</v>
      </c>
      <c r="E428">
        <v>370</v>
      </c>
      <c r="F428">
        <v>1</v>
      </c>
      <c r="G428">
        <v>142.67068667785301</v>
      </c>
      <c r="H428">
        <v>2</v>
      </c>
      <c r="I428">
        <v>35</v>
      </c>
      <c r="K428" t="s">
        <v>724</v>
      </c>
      <c r="L428">
        <v>3</v>
      </c>
      <c r="M428" t="s">
        <v>1245</v>
      </c>
      <c r="N428" t="s">
        <v>726</v>
      </c>
      <c r="O428">
        <v>0</v>
      </c>
    </row>
    <row r="429" spans="1:15" x14ac:dyDescent="0.3">
      <c r="A429" t="s">
        <v>827</v>
      </c>
      <c r="B429">
        <v>435</v>
      </c>
      <c r="C429">
        <v>30031286</v>
      </c>
      <c r="D429">
        <v>1957</v>
      </c>
      <c r="E429">
        <v>600</v>
      </c>
      <c r="F429">
        <v>1</v>
      </c>
      <c r="G429">
        <v>158.814144416571</v>
      </c>
      <c r="H429">
        <v>2</v>
      </c>
      <c r="I429">
        <v>35</v>
      </c>
      <c r="K429" t="s">
        <v>724</v>
      </c>
      <c r="L429">
        <v>3</v>
      </c>
      <c r="M429" t="s">
        <v>1246</v>
      </c>
      <c r="N429" t="s">
        <v>726</v>
      </c>
      <c r="O429">
        <v>0</v>
      </c>
    </row>
    <row r="430" spans="1:15" x14ac:dyDescent="0.3">
      <c r="A430" t="s">
        <v>827</v>
      </c>
      <c r="B430">
        <v>436</v>
      </c>
      <c r="C430">
        <v>30031286</v>
      </c>
      <c r="D430">
        <v>600</v>
      </c>
      <c r="E430">
        <v>612</v>
      </c>
      <c r="F430">
        <v>1</v>
      </c>
      <c r="G430">
        <v>193.502893987823</v>
      </c>
      <c r="H430">
        <v>2</v>
      </c>
      <c r="I430">
        <v>35</v>
      </c>
      <c r="K430" t="s">
        <v>724</v>
      </c>
      <c r="L430">
        <v>3</v>
      </c>
      <c r="M430" t="s">
        <v>1247</v>
      </c>
      <c r="N430" t="s">
        <v>726</v>
      </c>
      <c r="O430">
        <v>0</v>
      </c>
    </row>
    <row r="431" spans="1:15" x14ac:dyDescent="0.3">
      <c r="A431" t="s">
        <v>938</v>
      </c>
      <c r="B431">
        <v>437</v>
      </c>
      <c r="C431">
        <v>30031291</v>
      </c>
      <c r="D431">
        <v>224</v>
      </c>
      <c r="E431">
        <v>239</v>
      </c>
      <c r="F431">
        <v>1</v>
      </c>
      <c r="G431">
        <v>347.50529070479303</v>
      </c>
      <c r="H431">
        <v>1</v>
      </c>
      <c r="I431">
        <v>25</v>
      </c>
      <c r="K431" t="s">
        <v>729</v>
      </c>
      <c r="L431">
        <v>6</v>
      </c>
      <c r="M431" t="s">
        <v>1248</v>
      </c>
      <c r="N431" t="s">
        <v>726</v>
      </c>
      <c r="O431">
        <v>1</v>
      </c>
    </row>
    <row r="432" spans="1:15" x14ac:dyDescent="0.3">
      <c r="A432" t="s">
        <v>938</v>
      </c>
      <c r="B432">
        <v>438</v>
      </c>
      <c r="C432">
        <v>30031291</v>
      </c>
      <c r="D432">
        <v>239</v>
      </c>
      <c r="E432">
        <v>224</v>
      </c>
      <c r="F432">
        <v>1</v>
      </c>
      <c r="G432">
        <v>347.50529070479303</v>
      </c>
      <c r="H432">
        <v>1</v>
      </c>
      <c r="I432">
        <v>25</v>
      </c>
      <c r="K432" t="s">
        <v>729</v>
      </c>
      <c r="L432">
        <v>6</v>
      </c>
      <c r="M432" t="s">
        <v>1249</v>
      </c>
      <c r="N432" t="s">
        <v>726</v>
      </c>
      <c r="O432">
        <v>1</v>
      </c>
    </row>
    <row r="433" spans="1:15" x14ac:dyDescent="0.3">
      <c r="A433" t="s">
        <v>1221</v>
      </c>
      <c r="B433">
        <v>439</v>
      </c>
      <c r="C433">
        <v>30031313</v>
      </c>
      <c r="D433">
        <v>1965</v>
      </c>
      <c r="E433">
        <v>552</v>
      </c>
      <c r="F433">
        <v>1</v>
      </c>
      <c r="G433">
        <v>195.18918856763901</v>
      </c>
      <c r="H433">
        <v>3</v>
      </c>
      <c r="I433">
        <v>45</v>
      </c>
      <c r="K433" t="s">
        <v>890</v>
      </c>
      <c r="L433">
        <v>4</v>
      </c>
      <c r="M433" t="s">
        <v>1250</v>
      </c>
      <c r="N433" t="s">
        <v>726</v>
      </c>
      <c r="O433">
        <v>1</v>
      </c>
    </row>
    <row r="434" spans="1:15" x14ac:dyDescent="0.3">
      <c r="A434" t="s">
        <v>1221</v>
      </c>
      <c r="B434">
        <v>440</v>
      </c>
      <c r="C434">
        <v>30031313</v>
      </c>
      <c r="D434">
        <v>552</v>
      </c>
      <c r="E434">
        <v>1965</v>
      </c>
      <c r="F434">
        <v>1</v>
      </c>
      <c r="G434">
        <v>195.18918856763901</v>
      </c>
      <c r="H434">
        <v>3</v>
      </c>
      <c r="I434">
        <v>45</v>
      </c>
      <c r="K434" t="s">
        <v>890</v>
      </c>
      <c r="L434">
        <v>4</v>
      </c>
      <c r="M434" t="s">
        <v>1251</v>
      </c>
      <c r="N434" t="s">
        <v>726</v>
      </c>
      <c r="O434">
        <v>1</v>
      </c>
    </row>
    <row r="435" spans="1:15" x14ac:dyDescent="0.3">
      <c r="A435" t="s">
        <v>801</v>
      </c>
      <c r="B435">
        <v>441</v>
      </c>
      <c r="C435">
        <v>30031470</v>
      </c>
      <c r="D435">
        <v>236</v>
      </c>
      <c r="E435">
        <v>1960</v>
      </c>
      <c r="F435">
        <v>1</v>
      </c>
      <c r="G435">
        <v>509.85949401545201</v>
      </c>
      <c r="H435">
        <v>1</v>
      </c>
      <c r="K435" t="s">
        <v>711</v>
      </c>
      <c r="L435">
        <v>5</v>
      </c>
      <c r="M435" t="s">
        <v>1252</v>
      </c>
      <c r="N435" t="s">
        <v>726</v>
      </c>
      <c r="O435">
        <v>0</v>
      </c>
    </row>
    <row r="436" spans="1:15" x14ac:dyDescent="0.3">
      <c r="A436" t="s">
        <v>801</v>
      </c>
      <c r="B436">
        <v>442</v>
      </c>
      <c r="C436">
        <v>30031470</v>
      </c>
      <c r="D436">
        <v>1960</v>
      </c>
      <c r="E436">
        <v>628</v>
      </c>
      <c r="F436">
        <v>1</v>
      </c>
      <c r="G436">
        <v>192.75604967048901</v>
      </c>
      <c r="H436">
        <v>1</v>
      </c>
      <c r="K436" t="s">
        <v>711</v>
      </c>
      <c r="L436">
        <v>5</v>
      </c>
      <c r="M436" t="s">
        <v>1253</v>
      </c>
      <c r="N436" t="s">
        <v>726</v>
      </c>
      <c r="O436">
        <v>0</v>
      </c>
    </row>
    <row r="437" spans="1:15" x14ac:dyDescent="0.3">
      <c r="A437" t="s">
        <v>801</v>
      </c>
      <c r="B437">
        <v>443</v>
      </c>
      <c r="C437">
        <v>30031490</v>
      </c>
      <c r="D437">
        <v>235</v>
      </c>
      <c r="E437">
        <v>1960</v>
      </c>
      <c r="F437">
        <v>1</v>
      </c>
      <c r="G437">
        <v>277.68282696267102</v>
      </c>
      <c r="H437">
        <v>1</v>
      </c>
      <c r="I437">
        <v>25</v>
      </c>
      <c r="K437" t="s">
        <v>711</v>
      </c>
      <c r="L437">
        <v>5</v>
      </c>
      <c r="M437" t="s">
        <v>1254</v>
      </c>
      <c r="N437" t="s">
        <v>726</v>
      </c>
      <c r="O437">
        <v>0</v>
      </c>
    </row>
    <row r="438" spans="1:15" x14ac:dyDescent="0.3">
      <c r="A438" t="s">
        <v>801</v>
      </c>
      <c r="B438">
        <v>444</v>
      </c>
      <c r="C438">
        <v>30031490</v>
      </c>
      <c r="D438">
        <v>1960</v>
      </c>
      <c r="E438">
        <v>234</v>
      </c>
      <c r="F438">
        <v>1</v>
      </c>
      <c r="G438">
        <v>116.224774931529</v>
      </c>
      <c r="H438">
        <v>1</v>
      </c>
      <c r="I438">
        <v>25</v>
      </c>
      <c r="K438" t="s">
        <v>711</v>
      </c>
      <c r="L438">
        <v>5</v>
      </c>
      <c r="M438" t="s">
        <v>1255</v>
      </c>
      <c r="N438" t="s">
        <v>726</v>
      </c>
      <c r="O438">
        <v>0</v>
      </c>
    </row>
    <row r="439" spans="1:15" x14ac:dyDescent="0.3">
      <c r="A439" t="s">
        <v>834</v>
      </c>
      <c r="B439">
        <v>445</v>
      </c>
      <c r="C439">
        <v>30031526</v>
      </c>
      <c r="D439">
        <v>670</v>
      </c>
      <c r="E439">
        <v>1960</v>
      </c>
      <c r="F439">
        <v>1</v>
      </c>
      <c r="G439">
        <v>267.41355032624398</v>
      </c>
      <c r="H439">
        <v>1</v>
      </c>
      <c r="K439" t="s">
        <v>729</v>
      </c>
      <c r="L439">
        <v>6</v>
      </c>
      <c r="M439" t="s">
        <v>1256</v>
      </c>
      <c r="N439" t="s">
        <v>726</v>
      </c>
      <c r="O439">
        <v>1</v>
      </c>
    </row>
    <row r="440" spans="1:15" x14ac:dyDescent="0.3">
      <c r="A440" t="s">
        <v>834</v>
      </c>
      <c r="B440">
        <v>446</v>
      </c>
      <c r="C440">
        <v>30031526</v>
      </c>
      <c r="D440">
        <v>1960</v>
      </c>
      <c r="E440">
        <v>670</v>
      </c>
      <c r="F440">
        <v>1</v>
      </c>
      <c r="G440">
        <v>267.41355032624398</v>
      </c>
      <c r="H440">
        <v>1</v>
      </c>
      <c r="K440" t="s">
        <v>729</v>
      </c>
      <c r="L440">
        <v>6</v>
      </c>
      <c r="M440" t="s">
        <v>1257</v>
      </c>
      <c r="N440" t="s">
        <v>726</v>
      </c>
      <c r="O440">
        <v>1</v>
      </c>
    </row>
    <row r="441" spans="1:15" x14ac:dyDescent="0.3">
      <c r="A441" t="s">
        <v>834</v>
      </c>
      <c r="B441">
        <v>449</v>
      </c>
      <c r="C441">
        <v>30031526</v>
      </c>
      <c r="D441">
        <v>1960</v>
      </c>
      <c r="E441">
        <v>97</v>
      </c>
      <c r="F441">
        <v>1</v>
      </c>
      <c r="G441">
        <v>162.6014446989</v>
      </c>
      <c r="H441">
        <v>1</v>
      </c>
      <c r="K441" t="s">
        <v>729</v>
      </c>
      <c r="L441">
        <v>6</v>
      </c>
      <c r="M441" t="s">
        <v>1258</v>
      </c>
      <c r="N441" t="s">
        <v>726</v>
      </c>
      <c r="O441">
        <v>1</v>
      </c>
    </row>
    <row r="442" spans="1:15" x14ac:dyDescent="0.3">
      <c r="A442" t="s">
        <v>834</v>
      </c>
      <c r="B442">
        <v>450</v>
      </c>
      <c r="C442">
        <v>30031526</v>
      </c>
      <c r="D442">
        <v>97</v>
      </c>
      <c r="E442">
        <v>1960</v>
      </c>
      <c r="F442">
        <v>1</v>
      </c>
      <c r="G442">
        <v>162.6014446989</v>
      </c>
      <c r="H442">
        <v>1</v>
      </c>
      <c r="K442" t="s">
        <v>729</v>
      </c>
      <c r="L442">
        <v>6</v>
      </c>
      <c r="M442" t="s">
        <v>1259</v>
      </c>
      <c r="N442" t="s">
        <v>726</v>
      </c>
      <c r="O442">
        <v>1</v>
      </c>
    </row>
    <row r="443" spans="1:15" x14ac:dyDescent="0.3">
      <c r="A443" t="s">
        <v>834</v>
      </c>
      <c r="B443">
        <v>451</v>
      </c>
      <c r="C443">
        <v>30031526</v>
      </c>
      <c r="D443">
        <v>97</v>
      </c>
      <c r="E443">
        <v>98</v>
      </c>
      <c r="F443">
        <v>1</v>
      </c>
      <c r="G443">
        <v>168.07039582608201</v>
      </c>
      <c r="H443">
        <v>1</v>
      </c>
      <c r="K443" t="s">
        <v>729</v>
      </c>
      <c r="L443">
        <v>6</v>
      </c>
      <c r="M443" t="s">
        <v>1260</v>
      </c>
      <c r="N443" t="s">
        <v>726</v>
      </c>
      <c r="O443">
        <v>1</v>
      </c>
    </row>
    <row r="444" spans="1:15" x14ac:dyDescent="0.3">
      <c r="A444" t="s">
        <v>834</v>
      </c>
      <c r="B444">
        <v>452</v>
      </c>
      <c r="C444">
        <v>30031526</v>
      </c>
      <c r="D444">
        <v>98</v>
      </c>
      <c r="E444">
        <v>97</v>
      </c>
      <c r="F444">
        <v>1</v>
      </c>
      <c r="G444">
        <v>168.07039582608201</v>
      </c>
      <c r="H444">
        <v>1</v>
      </c>
      <c r="K444" t="s">
        <v>729</v>
      </c>
      <c r="L444">
        <v>6</v>
      </c>
      <c r="M444" t="s">
        <v>1261</v>
      </c>
      <c r="N444" t="s">
        <v>726</v>
      </c>
      <c r="O444">
        <v>1</v>
      </c>
    </row>
    <row r="445" spans="1:15" x14ac:dyDescent="0.3">
      <c r="A445" t="s">
        <v>834</v>
      </c>
      <c r="B445">
        <v>453</v>
      </c>
      <c r="C445">
        <v>30031526</v>
      </c>
      <c r="D445">
        <v>98</v>
      </c>
      <c r="E445">
        <v>99</v>
      </c>
      <c r="F445">
        <v>1</v>
      </c>
      <c r="G445">
        <v>97.200949347347205</v>
      </c>
      <c r="H445">
        <v>1</v>
      </c>
      <c r="K445" t="s">
        <v>729</v>
      </c>
      <c r="L445">
        <v>6</v>
      </c>
      <c r="M445" t="s">
        <v>1262</v>
      </c>
      <c r="N445" t="s">
        <v>726</v>
      </c>
      <c r="O445">
        <v>1</v>
      </c>
    </row>
    <row r="446" spans="1:15" x14ac:dyDescent="0.3">
      <c r="A446" t="s">
        <v>834</v>
      </c>
      <c r="B446">
        <v>454</v>
      </c>
      <c r="C446">
        <v>30031526</v>
      </c>
      <c r="D446">
        <v>99</v>
      </c>
      <c r="E446">
        <v>98</v>
      </c>
      <c r="F446">
        <v>1</v>
      </c>
      <c r="G446">
        <v>97.200949347347205</v>
      </c>
      <c r="H446">
        <v>1</v>
      </c>
      <c r="K446" t="s">
        <v>729</v>
      </c>
      <c r="L446">
        <v>6</v>
      </c>
      <c r="M446" t="s">
        <v>1263</v>
      </c>
      <c r="N446" t="s">
        <v>726</v>
      </c>
      <c r="O446">
        <v>1</v>
      </c>
    </row>
    <row r="447" spans="1:15" x14ac:dyDescent="0.3">
      <c r="A447" t="s">
        <v>1264</v>
      </c>
      <c r="B447">
        <v>455</v>
      </c>
      <c r="C447">
        <v>30031644</v>
      </c>
      <c r="D447">
        <v>25</v>
      </c>
      <c r="E447">
        <v>637</v>
      </c>
      <c r="F447">
        <v>1</v>
      </c>
      <c r="G447">
        <v>96.629295033003899</v>
      </c>
      <c r="H447">
        <v>1</v>
      </c>
      <c r="I447">
        <v>30</v>
      </c>
      <c r="K447" t="s">
        <v>711</v>
      </c>
      <c r="L447">
        <v>5</v>
      </c>
      <c r="M447" t="s">
        <v>1265</v>
      </c>
      <c r="N447" t="s">
        <v>726</v>
      </c>
      <c r="O447">
        <v>1</v>
      </c>
    </row>
    <row r="448" spans="1:15" x14ac:dyDescent="0.3">
      <c r="A448" t="s">
        <v>1264</v>
      </c>
      <c r="B448">
        <v>456</v>
      </c>
      <c r="C448">
        <v>30031644</v>
      </c>
      <c r="D448">
        <v>637</v>
      </c>
      <c r="E448">
        <v>25</v>
      </c>
      <c r="F448">
        <v>1</v>
      </c>
      <c r="G448">
        <v>96.629295033003899</v>
      </c>
      <c r="H448">
        <v>1</v>
      </c>
      <c r="I448">
        <v>30</v>
      </c>
      <c r="K448" t="s">
        <v>711</v>
      </c>
      <c r="L448">
        <v>5</v>
      </c>
      <c r="M448" t="s">
        <v>1266</v>
      </c>
      <c r="N448" t="s">
        <v>726</v>
      </c>
      <c r="O448">
        <v>1</v>
      </c>
    </row>
    <row r="449" spans="1:15" x14ac:dyDescent="0.3">
      <c r="A449" t="s">
        <v>1264</v>
      </c>
      <c r="B449">
        <v>457</v>
      </c>
      <c r="C449">
        <v>30031694</v>
      </c>
      <c r="D449">
        <v>129</v>
      </c>
      <c r="E449">
        <v>237</v>
      </c>
      <c r="F449">
        <v>1</v>
      </c>
      <c r="G449">
        <v>418.37504255932703</v>
      </c>
      <c r="H449">
        <v>1</v>
      </c>
      <c r="I449">
        <v>30</v>
      </c>
      <c r="K449" t="s">
        <v>711</v>
      </c>
      <c r="L449">
        <v>5</v>
      </c>
      <c r="M449" t="s">
        <v>1267</v>
      </c>
      <c r="N449" t="s">
        <v>726</v>
      </c>
      <c r="O449">
        <v>0</v>
      </c>
    </row>
    <row r="450" spans="1:15" x14ac:dyDescent="0.3">
      <c r="A450" t="s">
        <v>1264</v>
      </c>
      <c r="B450">
        <v>458</v>
      </c>
      <c r="C450">
        <v>30031703</v>
      </c>
      <c r="D450">
        <v>25</v>
      </c>
      <c r="E450">
        <v>640</v>
      </c>
      <c r="F450">
        <v>1</v>
      </c>
      <c r="G450">
        <v>404.21774119050502</v>
      </c>
      <c r="H450">
        <v>1</v>
      </c>
      <c r="I450">
        <v>30</v>
      </c>
      <c r="K450" t="s">
        <v>711</v>
      </c>
      <c r="L450">
        <v>5</v>
      </c>
      <c r="M450" t="s">
        <v>1268</v>
      </c>
      <c r="N450" t="s">
        <v>726</v>
      </c>
      <c r="O450">
        <v>0</v>
      </c>
    </row>
    <row r="451" spans="1:15" x14ac:dyDescent="0.3">
      <c r="A451" t="s">
        <v>938</v>
      </c>
      <c r="B451">
        <v>459</v>
      </c>
      <c r="C451">
        <v>30408106</v>
      </c>
      <c r="D451">
        <v>143</v>
      </c>
      <c r="E451">
        <v>68</v>
      </c>
      <c r="F451">
        <v>1</v>
      </c>
      <c r="G451">
        <v>169.88928983824201</v>
      </c>
      <c r="H451">
        <v>1</v>
      </c>
      <c r="K451" t="s">
        <v>729</v>
      </c>
      <c r="L451">
        <v>6</v>
      </c>
      <c r="M451" t="s">
        <v>1269</v>
      </c>
      <c r="N451" t="s">
        <v>726</v>
      </c>
      <c r="O451">
        <v>1</v>
      </c>
    </row>
    <row r="452" spans="1:15" x14ac:dyDescent="0.3">
      <c r="A452" t="s">
        <v>938</v>
      </c>
      <c r="B452">
        <v>460</v>
      </c>
      <c r="C452">
        <v>30408106</v>
      </c>
      <c r="D452">
        <v>68</v>
      </c>
      <c r="E452">
        <v>143</v>
      </c>
      <c r="F452">
        <v>1</v>
      </c>
      <c r="G452">
        <v>169.88928983824201</v>
      </c>
      <c r="H452">
        <v>1</v>
      </c>
      <c r="K452" t="s">
        <v>729</v>
      </c>
      <c r="L452">
        <v>6</v>
      </c>
      <c r="M452" t="s">
        <v>1270</v>
      </c>
      <c r="N452" t="s">
        <v>726</v>
      </c>
      <c r="O452">
        <v>1</v>
      </c>
    </row>
    <row r="453" spans="1:15" x14ac:dyDescent="0.3">
      <c r="A453" t="s">
        <v>1271</v>
      </c>
      <c r="B453">
        <v>461</v>
      </c>
      <c r="C453">
        <v>30570980</v>
      </c>
      <c r="D453">
        <v>661</v>
      </c>
      <c r="E453">
        <v>243</v>
      </c>
      <c r="F453">
        <v>1</v>
      </c>
      <c r="G453">
        <v>198.616456946939</v>
      </c>
      <c r="H453">
        <v>1</v>
      </c>
      <c r="K453" t="s">
        <v>729</v>
      </c>
      <c r="L453">
        <v>6</v>
      </c>
      <c r="M453" t="s">
        <v>1272</v>
      </c>
      <c r="N453" t="s">
        <v>726</v>
      </c>
      <c r="O453">
        <v>1</v>
      </c>
    </row>
    <row r="454" spans="1:15" x14ac:dyDescent="0.3">
      <c r="A454" t="s">
        <v>1271</v>
      </c>
      <c r="B454">
        <v>462</v>
      </c>
      <c r="C454">
        <v>30570980</v>
      </c>
      <c r="D454">
        <v>243</v>
      </c>
      <c r="E454">
        <v>661</v>
      </c>
      <c r="F454">
        <v>1</v>
      </c>
      <c r="G454">
        <v>198.616456946939</v>
      </c>
      <c r="H454">
        <v>1</v>
      </c>
      <c r="K454" t="s">
        <v>729</v>
      </c>
      <c r="L454">
        <v>6</v>
      </c>
      <c r="M454" t="s">
        <v>1273</v>
      </c>
      <c r="N454" t="s">
        <v>726</v>
      </c>
      <c r="O454">
        <v>1</v>
      </c>
    </row>
    <row r="455" spans="1:15" x14ac:dyDescent="0.3">
      <c r="A455" t="s">
        <v>1003</v>
      </c>
      <c r="B455">
        <v>463</v>
      </c>
      <c r="C455">
        <v>30571414</v>
      </c>
      <c r="D455">
        <v>246</v>
      </c>
      <c r="E455">
        <v>247</v>
      </c>
      <c r="F455">
        <v>1</v>
      </c>
      <c r="G455">
        <v>94.103894112628097</v>
      </c>
      <c r="H455">
        <v>1</v>
      </c>
      <c r="K455" t="s">
        <v>729</v>
      </c>
      <c r="L455">
        <v>6</v>
      </c>
      <c r="M455" t="s">
        <v>1274</v>
      </c>
      <c r="N455" t="s">
        <v>726</v>
      </c>
      <c r="O455">
        <v>1</v>
      </c>
    </row>
    <row r="456" spans="1:15" x14ac:dyDescent="0.3">
      <c r="A456" t="s">
        <v>1003</v>
      </c>
      <c r="B456">
        <v>464</v>
      </c>
      <c r="C456">
        <v>30571414</v>
      </c>
      <c r="D456">
        <v>247</v>
      </c>
      <c r="E456">
        <v>246</v>
      </c>
      <c r="F456">
        <v>1</v>
      </c>
      <c r="G456">
        <v>94.103894112628097</v>
      </c>
      <c r="H456">
        <v>1</v>
      </c>
      <c r="K456" t="s">
        <v>729</v>
      </c>
      <c r="L456">
        <v>6</v>
      </c>
      <c r="M456" t="s">
        <v>1275</v>
      </c>
      <c r="N456" t="s">
        <v>726</v>
      </c>
      <c r="O456">
        <v>1</v>
      </c>
    </row>
    <row r="457" spans="1:15" x14ac:dyDescent="0.3">
      <c r="A457" t="s">
        <v>1078</v>
      </c>
      <c r="B457">
        <v>465</v>
      </c>
      <c r="C457">
        <v>30655093</v>
      </c>
      <c r="D457">
        <v>38</v>
      </c>
      <c r="E457">
        <v>619</v>
      </c>
      <c r="F457">
        <v>1</v>
      </c>
      <c r="G457">
        <v>29.439798173992401</v>
      </c>
      <c r="H457">
        <v>1</v>
      </c>
      <c r="K457" t="s">
        <v>711</v>
      </c>
      <c r="L457">
        <v>5</v>
      </c>
      <c r="M457" t="s">
        <v>1276</v>
      </c>
      <c r="N457" t="s">
        <v>726</v>
      </c>
      <c r="O457">
        <v>1</v>
      </c>
    </row>
    <row r="458" spans="1:15" x14ac:dyDescent="0.3">
      <c r="A458" t="s">
        <v>1078</v>
      </c>
      <c r="B458">
        <v>466</v>
      </c>
      <c r="C458">
        <v>30655093</v>
      </c>
      <c r="D458">
        <v>619</v>
      </c>
      <c r="E458">
        <v>38</v>
      </c>
      <c r="F458">
        <v>1</v>
      </c>
      <c r="G458">
        <v>29.439798173992401</v>
      </c>
      <c r="H458">
        <v>1</v>
      </c>
      <c r="K458" t="s">
        <v>711</v>
      </c>
      <c r="L458">
        <v>5</v>
      </c>
      <c r="M458" t="s">
        <v>1277</v>
      </c>
      <c r="N458" t="s">
        <v>726</v>
      </c>
      <c r="O458">
        <v>1</v>
      </c>
    </row>
    <row r="459" spans="1:15" x14ac:dyDescent="0.3">
      <c r="A459" t="s">
        <v>1278</v>
      </c>
      <c r="B459">
        <v>467</v>
      </c>
      <c r="C459">
        <v>72748048</v>
      </c>
      <c r="D459">
        <v>651</v>
      </c>
      <c r="E459">
        <v>288</v>
      </c>
      <c r="F459">
        <v>1</v>
      </c>
      <c r="G459">
        <v>296.032209909296</v>
      </c>
      <c r="H459">
        <v>1</v>
      </c>
      <c r="I459">
        <v>15</v>
      </c>
      <c r="K459" t="s">
        <v>729</v>
      </c>
      <c r="L459">
        <v>6</v>
      </c>
      <c r="M459" t="s">
        <v>1279</v>
      </c>
      <c r="N459" t="s">
        <v>726</v>
      </c>
      <c r="O459">
        <v>0</v>
      </c>
    </row>
    <row r="460" spans="1:15" x14ac:dyDescent="0.3">
      <c r="A460" t="s">
        <v>1280</v>
      </c>
      <c r="B460">
        <v>468</v>
      </c>
      <c r="C460">
        <v>148624237</v>
      </c>
      <c r="D460">
        <v>682</v>
      </c>
      <c r="E460">
        <v>685</v>
      </c>
      <c r="F460">
        <v>1</v>
      </c>
      <c r="G460">
        <v>34.152546491748602</v>
      </c>
      <c r="H460">
        <v>1</v>
      </c>
      <c r="I460">
        <v>25</v>
      </c>
      <c r="K460" t="s">
        <v>729</v>
      </c>
      <c r="L460">
        <v>6</v>
      </c>
      <c r="M460" t="s">
        <v>1281</v>
      </c>
      <c r="N460" t="s">
        <v>726</v>
      </c>
      <c r="O460">
        <v>1</v>
      </c>
    </row>
    <row r="461" spans="1:15" x14ac:dyDescent="0.3">
      <c r="A461" t="s">
        <v>1280</v>
      </c>
      <c r="B461">
        <v>469</v>
      </c>
      <c r="C461">
        <v>148624237</v>
      </c>
      <c r="D461">
        <v>685</v>
      </c>
      <c r="E461">
        <v>682</v>
      </c>
      <c r="F461">
        <v>1</v>
      </c>
      <c r="G461">
        <v>34.152546491748602</v>
      </c>
      <c r="H461">
        <v>1</v>
      </c>
      <c r="I461">
        <v>25</v>
      </c>
      <c r="K461" t="s">
        <v>729</v>
      </c>
      <c r="L461">
        <v>6</v>
      </c>
      <c r="M461" t="s">
        <v>1282</v>
      </c>
      <c r="N461" t="s">
        <v>726</v>
      </c>
      <c r="O461">
        <v>1</v>
      </c>
    </row>
    <row r="462" spans="1:15" x14ac:dyDescent="0.3">
      <c r="A462" t="s">
        <v>1280</v>
      </c>
      <c r="B462">
        <v>470</v>
      </c>
      <c r="C462">
        <v>148624237</v>
      </c>
      <c r="D462">
        <v>685</v>
      </c>
      <c r="E462">
        <v>683</v>
      </c>
      <c r="F462">
        <v>1</v>
      </c>
      <c r="G462">
        <v>19.275689812401499</v>
      </c>
      <c r="H462">
        <v>1</v>
      </c>
      <c r="I462">
        <v>25</v>
      </c>
      <c r="K462" t="s">
        <v>729</v>
      </c>
      <c r="L462">
        <v>6</v>
      </c>
      <c r="M462" t="s">
        <v>1283</v>
      </c>
      <c r="N462" t="s">
        <v>726</v>
      </c>
      <c r="O462">
        <v>1</v>
      </c>
    </row>
    <row r="463" spans="1:15" x14ac:dyDescent="0.3">
      <c r="A463" t="s">
        <v>1280</v>
      </c>
      <c r="B463">
        <v>471</v>
      </c>
      <c r="C463">
        <v>148624237</v>
      </c>
      <c r="D463">
        <v>683</v>
      </c>
      <c r="E463">
        <v>685</v>
      </c>
      <c r="F463">
        <v>1</v>
      </c>
      <c r="G463">
        <v>19.275689812401499</v>
      </c>
      <c r="H463">
        <v>1</v>
      </c>
      <c r="I463">
        <v>25</v>
      </c>
      <c r="K463" t="s">
        <v>729</v>
      </c>
      <c r="L463">
        <v>6</v>
      </c>
      <c r="M463" t="s">
        <v>1284</v>
      </c>
      <c r="N463" t="s">
        <v>726</v>
      </c>
      <c r="O463">
        <v>1</v>
      </c>
    </row>
    <row r="464" spans="1:15" x14ac:dyDescent="0.3">
      <c r="A464" t="s">
        <v>1280</v>
      </c>
      <c r="B464">
        <v>472</v>
      </c>
      <c r="C464">
        <v>148624237</v>
      </c>
      <c r="D464">
        <v>683</v>
      </c>
      <c r="E464">
        <v>787</v>
      </c>
      <c r="F464">
        <v>1</v>
      </c>
      <c r="G464">
        <v>17.094832289687599</v>
      </c>
      <c r="H464">
        <v>1</v>
      </c>
      <c r="I464">
        <v>25</v>
      </c>
      <c r="K464" t="s">
        <v>729</v>
      </c>
      <c r="L464">
        <v>6</v>
      </c>
      <c r="M464" t="s">
        <v>1285</v>
      </c>
      <c r="N464" t="s">
        <v>726</v>
      </c>
      <c r="O464">
        <v>1</v>
      </c>
    </row>
    <row r="465" spans="1:15" x14ac:dyDescent="0.3">
      <c r="A465" t="s">
        <v>1280</v>
      </c>
      <c r="B465">
        <v>473</v>
      </c>
      <c r="C465">
        <v>148624237</v>
      </c>
      <c r="D465">
        <v>787</v>
      </c>
      <c r="E465">
        <v>683</v>
      </c>
      <c r="F465">
        <v>1</v>
      </c>
      <c r="G465">
        <v>17.094832289687599</v>
      </c>
      <c r="H465">
        <v>1</v>
      </c>
      <c r="I465">
        <v>25</v>
      </c>
      <c r="K465" t="s">
        <v>729</v>
      </c>
      <c r="L465">
        <v>6</v>
      </c>
      <c r="M465" t="s">
        <v>1286</v>
      </c>
      <c r="N465" t="s">
        <v>726</v>
      </c>
      <c r="O465">
        <v>1</v>
      </c>
    </row>
    <row r="466" spans="1:15" x14ac:dyDescent="0.3">
      <c r="A466" t="s">
        <v>767</v>
      </c>
      <c r="B466">
        <v>474</v>
      </c>
      <c r="C466">
        <v>148624240</v>
      </c>
      <c r="D466">
        <v>319</v>
      </c>
      <c r="E466">
        <v>734</v>
      </c>
      <c r="F466">
        <v>1</v>
      </c>
      <c r="G466">
        <v>12.7376154525021</v>
      </c>
      <c r="H466">
        <v>3</v>
      </c>
      <c r="K466" t="s">
        <v>711</v>
      </c>
      <c r="L466">
        <v>5</v>
      </c>
      <c r="M466" t="s">
        <v>1287</v>
      </c>
      <c r="N466" t="s">
        <v>726</v>
      </c>
      <c r="O466">
        <v>0</v>
      </c>
    </row>
    <row r="467" spans="1:15" x14ac:dyDescent="0.3">
      <c r="A467" t="s">
        <v>1288</v>
      </c>
      <c r="B467">
        <v>475</v>
      </c>
      <c r="C467">
        <v>148624249</v>
      </c>
      <c r="D467">
        <v>515</v>
      </c>
      <c r="E467">
        <v>514</v>
      </c>
      <c r="F467">
        <v>1</v>
      </c>
      <c r="G467">
        <v>107.249279790538</v>
      </c>
      <c r="H467">
        <v>2</v>
      </c>
      <c r="K467" t="s">
        <v>890</v>
      </c>
      <c r="L467">
        <v>4</v>
      </c>
      <c r="M467" t="s">
        <v>1289</v>
      </c>
      <c r="N467" t="s">
        <v>726</v>
      </c>
      <c r="O467">
        <v>0</v>
      </c>
    </row>
    <row r="468" spans="1:15" x14ac:dyDescent="0.3">
      <c r="A468" t="s">
        <v>1288</v>
      </c>
      <c r="B468">
        <v>476</v>
      </c>
      <c r="C468">
        <v>148624274</v>
      </c>
      <c r="D468">
        <v>241</v>
      </c>
      <c r="E468">
        <v>190</v>
      </c>
      <c r="F468">
        <v>1</v>
      </c>
      <c r="G468">
        <v>208.91017058014401</v>
      </c>
      <c r="H468">
        <v>2</v>
      </c>
      <c r="I468">
        <v>15</v>
      </c>
      <c r="K468" t="s">
        <v>890</v>
      </c>
      <c r="L468">
        <v>4</v>
      </c>
      <c r="M468" t="s">
        <v>1290</v>
      </c>
      <c r="N468" t="s">
        <v>726</v>
      </c>
      <c r="O468">
        <v>0</v>
      </c>
    </row>
    <row r="469" spans="1:15" x14ac:dyDescent="0.3">
      <c r="A469" t="s">
        <v>834</v>
      </c>
      <c r="B469">
        <v>477</v>
      </c>
      <c r="C469">
        <v>157628502</v>
      </c>
      <c r="D469">
        <v>650</v>
      </c>
      <c r="E469">
        <v>627</v>
      </c>
      <c r="F469">
        <v>1</v>
      </c>
      <c r="G469">
        <v>157.00800611851199</v>
      </c>
      <c r="H469">
        <v>1</v>
      </c>
      <c r="I469">
        <v>15</v>
      </c>
      <c r="K469" t="s">
        <v>729</v>
      </c>
      <c r="L469">
        <v>6</v>
      </c>
      <c r="M469" t="s">
        <v>1291</v>
      </c>
      <c r="N469" t="s">
        <v>726</v>
      </c>
      <c r="O469">
        <v>1</v>
      </c>
    </row>
    <row r="470" spans="1:15" x14ac:dyDescent="0.3">
      <c r="A470" t="s">
        <v>834</v>
      </c>
      <c r="B470">
        <v>478</v>
      </c>
      <c r="C470">
        <v>157628502</v>
      </c>
      <c r="D470">
        <v>627</v>
      </c>
      <c r="E470">
        <v>650</v>
      </c>
      <c r="F470">
        <v>1</v>
      </c>
      <c r="G470">
        <v>157.00800611851199</v>
      </c>
      <c r="H470">
        <v>1</v>
      </c>
      <c r="I470">
        <v>15</v>
      </c>
      <c r="K470" t="s">
        <v>729</v>
      </c>
      <c r="L470">
        <v>6</v>
      </c>
      <c r="M470" t="s">
        <v>1292</v>
      </c>
      <c r="N470" t="s">
        <v>726</v>
      </c>
      <c r="O470">
        <v>1</v>
      </c>
    </row>
    <row r="471" spans="1:15" x14ac:dyDescent="0.3">
      <c r="A471" t="s">
        <v>834</v>
      </c>
      <c r="B471">
        <v>479</v>
      </c>
      <c r="C471">
        <v>157628502</v>
      </c>
      <c r="D471">
        <v>627</v>
      </c>
      <c r="E471">
        <v>184</v>
      </c>
      <c r="F471">
        <v>1</v>
      </c>
      <c r="G471">
        <v>155.92015651155401</v>
      </c>
      <c r="H471">
        <v>1</v>
      </c>
      <c r="I471">
        <v>15</v>
      </c>
      <c r="K471" t="s">
        <v>729</v>
      </c>
      <c r="L471">
        <v>6</v>
      </c>
      <c r="M471" t="s">
        <v>1293</v>
      </c>
      <c r="N471" t="s">
        <v>726</v>
      </c>
      <c r="O471">
        <v>1</v>
      </c>
    </row>
    <row r="472" spans="1:15" x14ac:dyDescent="0.3">
      <c r="A472" t="s">
        <v>834</v>
      </c>
      <c r="B472">
        <v>480</v>
      </c>
      <c r="C472">
        <v>157628502</v>
      </c>
      <c r="D472">
        <v>184</v>
      </c>
      <c r="E472">
        <v>627</v>
      </c>
      <c r="F472">
        <v>1</v>
      </c>
      <c r="G472">
        <v>155.92015651155401</v>
      </c>
      <c r="H472">
        <v>1</v>
      </c>
      <c r="I472">
        <v>15</v>
      </c>
      <c r="K472" t="s">
        <v>729</v>
      </c>
      <c r="L472">
        <v>6</v>
      </c>
      <c r="M472" t="s">
        <v>1294</v>
      </c>
      <c r="N472" t="s">
        <v>726</v>
      </c>
      <c r="O472">
        <v>1</v>
      </c>
    </row>
    <row r="473" spans="1:15" x14ac:dyDescent="0.3">
      <c r="A473" t="s">
        <v>1295</v>
      </c>
      <c r="B473">
        <v>481</v>
      </c>
      <c r="C473">
        <v>168749452</v>
      </c>
      <c r="D473">
        <v>263</v>
      </c>
      <c r="E473">
        <v>124</v>
      </c>
      <c r="F473">
        <v>1</v>
      </c>
      <c r="G473">
        <v>52.495191324901697</v>
      </c>
      <c r="H473">
        <v>1</v>
      </c>
      <c r="K473" t="s">
        <v>729</v>
      </c>
      <c r="L473">
        <v>6</v>
      </c>
      <c r="M473" t="s">
        <v>1296</v>
      </c>
      <c r="N473" t="s">
        <v>726</v>
      </c>
      <c r="O473">
        <v>1</v>
      </c>
    </row>
    <row r="474" spans="1:15" x14ac:dyDescent="0.3">
      <c r="A474" t="s">
        <v>1295</v>
      </c>
      <c r="B474">
        <v>482</v>
      </c>
      <c r="C474">
        <v>168749452</v>
      </c>
      <c r="D474">
        <v>124</v>
      </c>
      <c r="E474">
        <v>263</v>
      </c>
      <c r="F474">
        <v>1</v>
      </c>
      <c r="G474">
        <v>52.495191324901697</v>
      </c>
      <c r="H474">
        <v>1</v>
      </c>
      <c r="K474" t="s">
        <v>729</v>
      </c>
      <c r="L474">
        <v>6</v>
      </c>
      <c r="M474" t="s">
        <v>1297</v>
      </c>
      <c r="N474" t="s">
        <v>726</v>
      </c>
      <c r="O474">
        <v>1</v>
      </c>
    </row>
    <row r="475" spans="1:15" x14ac:dyDescent="0.3">
      <c r="A475" t="s">
        <v>1295</v>
      </c>
      <c r="B475">
        <v>483</v>
      </c>
      <c r="C475">
        <v>168749452</v>
      </c>
      <c r="D475">
        <v>124</v>
      </c>
      <c r="E475">
        <v>98</v>
      </c>
      <c r="F475">
        <v>1</v>
      </c>
      <c r="G475">
        <v>192.83193806561201</v>
      </c>
      <c r="H475">
        <v>1</v>
      </c>
      <c r="K475" t="s">
        <v>729</v>
      </c>
      <c r="L475">
        <v>6</v>
      </c>
      <c r="M475" t="s">
        <v>1298</v>
      </c>
      <c r="N475" t="s">
        <v>726</v>
      </c>
      <c r="O475">
        <v>1</v>
      </c>
    </row>
    <row r="476" spans="1:15" x14ac:dyDescent="0.3">
      <c r="A476" t="s">
        <v>1295</v>
      </c>
      <c r="B476">
        <v>484</v>
      </c>
      <c r="C476">
        <v>168749452</v>
      </c>
      <c r="D476">
        <v>98</v>
      </c>
      <c r="E476">
        <v>124</v>
      </c>
      <c r="F476">
        <v>1</v>
      </c>
      <c r="G476">
        <v>192.83193806561201</v>
      </c>
      <c r="H476">
        <v>1</v>
      </c>
      <c r="K476" t="s">
        <v>729</v>
      </c>
      <c r="L476">
        <v>6</v>
      </c>
      <c r="M476" t="s">
        <v>1299</v>
      </c>
      <c r="N476" t="s">
        <v>726</v>
      </c>
      <c r="O476">
        <v>1</v>
      </c>
    </row>
    <row r="477" spans="1:15" x14ac:dyDescent="0.3">
      <c r="A477" t="s">
        <v>1230</v>
      </c>
      <c r="B477">
        <v>485</v>
      </c>
      <c r="C477">
        <v>196248326</v>
      </c>
      <c r="D477">
        <v>268</v>
      </c>
      <c r="E477">
        <v>35</v>
      </c>
      <c r="F477">
        <v>1</v>
      </c>
      <c r="G477">
        <v>33.794432989816499</v>
      </c>
      <c r="H477">
        <v>1</v>
      </c>
      <c r="I477">
        <v>25</v>
      </c>
      <c r="K477" t="s">
        <v>729</v>
      </c>
      <c r="L477">
        <v>6</v>
      </c>
      <c r="M477" t="s">
        <v>1300</v>
      </c>
      <c r="N477" t="s">
        <v>726</v>
      </c>
      <c r="O477">
        <v>1</v>
      </c>
    </row>
    <row r="478" spans="1:15" x14ac:dyDescent="0.3">
      <c r="A478" t="s">
        <v>1230</v>
      </c>
      <c r="B478">
        <v>486</v>
      </c>
      <c r="C478">
        <v>196248326</v>
      </c>
      <c r="D478">
        <v>35</v>
      </c>
      <c r="E478">
        <v>268</v>
      </c>
      <c r="F478">
        <v>1</v>
      </c>
      <c r="G478">
        <v>33.794432989816499</v>
      </c>
      <c r="H478">
        <v>1</v>
      </c>
      <c r="I478">
        <v>25</v>
      </c>
      <c r="K478" t="s">
        <v>729</v>
      </c>
      <c r="L478">
        <v>6</v>
      </c>
      <c r="M478" t="s">
        <v>1301</v>
      </c>
      <c r="N478" t="s">
        <v>726</v>
      </c>
      <c r="O478">
        <v>1</v>
      </c>
    </row>
    <row r="479" spans="1:15" x14ac:dyDescent="0.3">
      <c r="A479" t="s">
        <v>1230</v>
      </c>
      <c r="B479">
        <v>487</v>
      </c>
      <c r="C479">
        <v>196248326</v>
      </c>
      <c r="D479">
        <v>35</v>
      </c>
      <c r="E479">
        <v>43</v>
      </c>
      <c r="F479">
        <v>1</v>
      </c>
      <c r="G479">
        <v>114.12075659840499</v>
      </c>
      <c r="H479">
        <v>1</v>
      </c>
      <c r="I479">
        <v>25</v>
      </c>
      <c r="K479" t="s">
        <v>729</v>
      </c>
      <c r="L479">
        <v>6</v>
      </c>
      <c r="M479" t="s">
        <v>1302</v>
      </c>
      <c r="N479" t="s">
        <v>726</v>
      </c>
      <c r="O479">
        <v>1</v>
      </c>
    </row>
    <row r="480" spans="1:15" x14ac:dyDescent="0.3">
      <c r="A480" t="s">
        <v>1230</v>
      </c>
      <c r="B480">
        <v>488</v>
      </c>
      <c r="C480">
        <v>196248326</v>
      </c>
      <c r="D480">
        <v>43</v>
      </c>
      <c r="E480">
        <v>35</v>
      </c>
      <c r="F480">
        <v>1</v>
      </c>
      <c r="G480">
        <v>114.12075659840499</v>
      </c>
      <c r="H480">
        <v>1</v>
      </c>
      <c r="I480">
        <v>25</v>
      </c>
      <c r="K480" t="s">
        <v>729</v>
      </c>
      <c r="L480">
        <v>6</v>
      </c>
      <c r="M480" t="s">
        <v>1303</v>
      </c>
      <c r="N480" t="s">
        <v>726</v>
      </c>
      <c r="O480">
        <v>1</v>
      </c>
    </row>
    <row r="481" spans="1:15" x14ac:dyDescent="0.3">
      <c r="A481" t="s">
        <v>1230</v>
      </c>
      <c r="B481">
        <v>489</v>
      </c>
      <c r="C481">
        <v>196248326</v>
      </c>
      <c r="D481">
        <v>43</v>
      </c>
      <c r="E481">
        <v>16</v>
      </c>
      <c r="F481">
        <v>1</v>
      </c>
      <c r="G481">
        <v>170.61519814247899</v>
      </c>
      <c r="H481">
        <v>1</v>
      </c>
      <c r="I481">
        <v>25</v>
      </c>
      <c r="K481" t="s">
        <v>729</v>
      </c>
      <c r="L481">
        <v>6</v>
      </c>
      <c r="M481" t="s">
        <v>1304</v>
      </c>
      <c r="N481" t="s">
        <v>726</v>
      </c>
      <c r="O481">
        <v>1</v>
      </c>
    </row>
    <row r="482" spans="1:15" x14ac:dyDescent="0.3">
      <c r="A482" t="s">
        <v>1230</v>
      </c>
      <c r="B482">
        <v>490</v>
      </c>
      <c r="C482">
        <v>196248326</v>
      </c>
      <c r="D482">
        <v>16</v>
      </c>
      <c r="E482">
        <v>43</v>
      </c>
      <c r="F482">
        <v>1</v>
      </c>
      <c r="G482">
        <v>170.61519814247899</v>
      </c>
      <c r="H482">
        <v>1</v>
      </c>
      <c r="I482">
        <v>25</v>
      </c>
      <c r="K482" t="s">
        <v>729</v>
      </c>
      <c r="L482">
        <v>6</v>
      </c>
      <c r="M482" t="s">
        <v>1305</v>
      </c>
      <c r="N482" t="s">
        <v>726</v>
      </c>
      <c r="O482">
        <v>1</v>
      </c>
    </row>
    <row r="483" spans="1:15" x14ac:dyDescent="0.3">
      <c r="A483" t="s">
        <v>1230</v>
      </c>
      <c r="B483">
        <v>491</v>
      </c>
      <c r="C483">
        <v>196248326</v>
      </c>
      <c r="D483">
        <v>16</v>
      </c>
      <c r="E483">
        <v>17</v>
      </c>
      <c r="F483">
        <v>1</v>
      </c>
      <c r="G483">
        <v>3.6400549877919501</v>
      </c>
      <c r="H483">
        <v>1</v>
      </c>
      <c r="I483">
        <v>25</v>
      </c>
      <c r="K483" t="s">
        <v>729</v>
      </c>
      <c r="L483">
        <v>6</v>
      </c>
      <c r="M483" t="s">
        <v>1306</v>
      </c>
      <c r="N483" t="s">
        <v>726</v>
      </c>
      <c r="O483">
        <v>1</v>
      </c>
    </row>
    <row r="484" spans="1:15" x14ac:dyDescent="0.3">
      <c r="A484" t="s">
        <v>1230</v>
      </c>
      <c r="B484">
        <v>492</v>
      </c>
      <c r="C484">
        <v>196248326</v>
      </c>
      <c r="D484">
        <v>17</v>
      </c>
      <c r="E484">
        <v>16</v>
      </c>
      <c r="F484">
        <v>1</v>
      </c>
      <c r="G484">
        <v>3.6400549877919501</v>
      </c>
      <c r="H484">
        <v>1</v>
      </c>
      <c r="I484">
        <v>25</v>
      </c>
      <c r="K484" t="s">
        <v>729</v>
      </c>
      <c r="L484">
        <v>6</v>
      </c>
      <c r="M484" t="s">
        <v>1307</v>
      </c>
      <c r="N484" t="s">
        <v>726</v>
      </c>
      <c r="O484">
        <v>1</v>
      </c>
    </row>
    <row r="485" spans="1:15" x14ac:dyDescent="0.3">
      <c r="A485" t="s">
        <v>1230</v>
      </c>
      <c r="B485">
        <v>493</v>
      </c>
      <c r="C485">
        <v>196248326</v>
      </c>
      <c r="D485">
        <v>17</v>
      </c>
      <c r="E485">
        <v>788</v>
      </c>
      <c r="F485">
        <v>1</v>
      </c>
      <c r="G485">
        <v>105.88488118794599</v>
      </c>
      <c r="H485">
        <v>1</v>
      </c>
      <c r="I485">
        <v>25</v>
      </c>
      <c r="K485" t="s">
        <v>729</v>
      </c>
      <c r="L485">
        <v>6</v>
      </c>
      <c r="M485" t="s">
        <v>1308</v>
      </c>
      <c r="N485" t="s">
        <v>726</v>
      </c>
      <c r="O485">
        <v>1</v>
      </c>
    </row>
    <row r="486" spans="1:15" x14ac:dyDescent="0.3">
      <c r="A486" t="s">
        <v>1230</v>
      </c>
      <c r="B486">
        <v>494</v>
      </c>
      <c r="C486">
        <v>196248326</v>
      </c>
      <c r="D486">
        <v>788</v>
      </c>
      <c r="E486">
        <v>17</v>
      </c>
      <c r="F486">
        <v>1</v>
      </c>
      <c r="G486">
        <v>105.88488118794599</v>
      </c>
      <c r="H486">
        <v>1</v>
      </c>
      <c r="I486">
        <v>25</v>
      </c>
      <c r="K486" t="s">
        <v>729</v>
      </c>
      <c r="L486">
        <v>6</v>
      </c>
      <c r="M486" t="s">
        <v>1309</v>
      </c>
      <c r="N486" t="s">
        <v>726</v>
      </c>
      <c r="O486">
        <v>1</v>
      </c>
    </row>
    <row r="487" spans="1:15" x14ac:dyDescent="0.3">
      <c r="A487" t="s">
        <v>1230</v>
      </c>
      <c r="B487">
        <v>495</v>
      </c>
      <c r="C487">
        <v>196248327</v>
      </c>
      <c r="D487">
        <v>1963</v>
      </c>
      <c r="E487">
        <v>268</v>
      </c>
      <c r="F487">
        <v>1</v>
      </c>
      <c r="G487">
        <v>80.182229712953102</v>
      </c>
      <c r="H487">
        <v>1</v>
      </c>
      <c r="K487" t="s">
        <v>729</v>
      </c>
      <c r="L487">
        <v>6</v>
      </c>
      <c r="M487" t="s">
        <v>1310</v>
      </c>
      <c r="N487" t="s">
        <v>726</v>
      </c>
      <c r="O487">
        <v>0</v>
      </c>
    </row>
    <row r="488" spans="1:15" x14ac:dyDescent="0.3">
      <c r="B488">
        <v>496</v>
      </c>
      <c r="C488">
        <v>221570310</v>
      </c>
      <c r="D488">
        <v>276</v>
      </c>
      <c r="E488">
        <v>277</v>
      </c>
      <c r="F488">
        <v>1</v>
      </c>
      <c r="G488">
        <v>300.878426529205</v>
      </c>
      <c r="H488">
        <v>1</v>
      </c>
      <c r="K488" t="s">
        <v>729</v>
      </c>
      <c r="L488">
        <v>6</v>
      </c>
      <c r="M488" t="s">
        <v>1311</v>
      </c>
      <c r="N488" t="s">
        <v>726</v>
      </c>
      <c r="O488">
        <v>1</v>
      </c>
    </row>
    <row r="489" spans="1:15" x14ac:dyDescent="0.3">
      <c r="B489">
        <v>497</v>
      </c>
      <c r="C489">
        <v>221570310</v>
      </c>
      <c r="D489">
        <v>277</v>
      </c>
      <c r="E489">
        <v>276</v>
      </c>
      <c r="F489">
        <v>1</v>
      </c>
      <c r="G489">
        <v>300.878426529205</v>
      </c>
      <c r="H489">
        <v>1</v>
      </c>
      <c r="K489" t="s">
        <v>729</v>
      </c>
      <c r="L489">
        <v>6</v>
      </c>
      <c r="M489" t="s">
        <v>1312</v>
      </c>
      <c r="N489" t="s">
        <v>726</v>
      </c>
      <c r="O489">
        <v>1</v>
      </c>
    </row>
    <row r="490" spans="1:15" x14ac:dyDescent="0.3">
      <c r="B490">
        <v>498</v>
      </c>
      <c r="C490">
        <v>221570310</v>
      </c>
      <c r="D490">
        <v>277</v>
      </c>
      <c r="E490">
        <v>278</v>
      </c>
      <c r="F490">
        <v>1</v>
      </c>
      <c r="G490">
        <v>23.9081961739424</v>
      </c>
      <c r="H490">
        <v>1</v>
      </c>
      <c r="K490" t="s">
        <v>729</v>
      </c>
      <c r="L490">
        <v>6</v>
      </c>
      <c r="M490" t="s">
        <v>1313</v>
      </c>
      <c r="N490" t="s">
        <v>726</v>
      </c>
      <c r="O490">
        <v>1</v>
      </c>
    </row>
    <row r="491" spans="1:15" x14ac:dyDescent="0.3">
      <c r="B491">
        <v>499</v>
      </c>
      <c r="C491">
        <v>221570310</v>
      </c>
      <c r="D491">
        <v>278</v>
      </c>
      <c r="E491">
        <v>277</v>
      </c>
      <c r="F491">
        <v>1</v>
      </c>
      <c r="G491">
        <v>23.9081961739424</v>
      </c>
      <c r="H491">
        <v>1</v>
      </c>
      <c r="K491" t="s">
        <v>729</v>
      </c>
      <c r="L491">
        <v>6</v>
      </c>
      <c r="M491" t="s">
        <v>1314</v>
      </c>
      <c r="N491" t="s">
        <v>726</v>
      </c>
      <c r="O491">
        <v>1</v>
      </c>
    </row>
    <row r="492" spans="1:15" x14ac:dyDescent="0.3">
      <c r="B492">
        <v>500</v>
      </c>
      <c r="C492">
        <v>221570311</v>
      </c>
      <c r="D492">
        <v>277</v>
      </c>
      <c r="E492">
        <v>279</v>
      </c>
      <c r="F492">
        <v>1</v>
      </c>
      <c r="G492">
        <v>24.390374256771501</v>
      </c>
      <c r="H492">
        <v>1</v>
      </c>
      <c r="K492" t="s">
        <v>729</v>
      </c>
      <c r="L492">
        <v>6</v>
      </c>
      <c r="M492" t="s">
        <v>1315</v>
      </c>
      <c r="N492" t="s">
        <v>726</v>
      </c>
      <c r="O492">
        <v>1</v>
      </c>
    </row>
    <row r="493" spans="1:15" x14ac:dyDescent="0.3">
      <c r="B493">
        <v>501</v>
      </c>
      <c r="C493">
        <v>221570311</v>
      </c>
      <c r="D493">
        <v>279</v>
      </c>
      <c r="E493">
        <v>277</v>
      </c>
      <c r="F493">
        <v>1</v>
      </c>
      <c r="G493">
        <v>24.390374256771501</v>
      </c>
      <c r="H493">
        <v>1</v>
      </c>
      <c r="K493" t="s">
        <v>729</v>
      </c>
      <c r="L493">
        <v>6</v>
      </c>
      <c r="M493" t="s">
        <v>1316</v>
      </c>
      <c r="N493" t="s">
        <v>726</v>
      </c>
      <c r="O493">
        <v>1</v>
      </c>
    </row>
    <row r="494" spans="1:15" x14ac:dyDescent="0.3">
      <c r="B494">
        <v>502</v>
      </c>
      <c r="C494">
        <v>221570311</v>
      </c>
      <c r="D494">
        <v>279</v>
      </c>
      <c r="E494">
        <v>280</v>
      </c>
      <c r="F494">
        <v>1</v>
      </c>
      <c r="G494">
        <v>13.4914318956782</v>
      </c>
      <c r="H494">
        <v>1</v>
      </c>
      <c r="K494" t="s">
        <v>729</v>
      </c>
      <c r="L494">
        <v>6</v>
      </c>
      <c r="M494" t="s">
        <v>1317</v>
      </c>
      <c r="N494" t="s">
        <v>726</v>
      </c>
      <c r="O494">
        <v>1</v>
      </c>
    </row>
    <row r="495" spans="1:15" x14ac:dyDescent="0.3">
      <c r="B495">
        <v>503</v>
      </c>
      <c r="C495">
        <v>221570311</v>
      </c>
      <c r="D495">
        <v>280</v>
      </c>
      <c r="E495">
        <v>279</v>
      </c>
      <c r="F495">
        <v>1</v>
      </c>
      <c r="G495">
        <v>13.4914318956782</v>
      </c>
      <c r="H495">
        <v>1</v>
      </c>
      <c r="K495" t="s">
        <v>729</v>
      </c>
      <c r="L495">
        <v>6</v>
      </c>
      <c r="M495" t="s">
        <v>1318</v>
      </c>
      <c r="N495" t="s">
        <v>726</v>
      </c>
      <c r="O495">
        <v>1</v>
      </c>
    </row>
    <row r="496" spans="1:15" x14ac:dyDescent="0.3">
      <c r="B496">
        <v>504</v>
      </c>
      <c r="C496">
        <v>221570312</v>
      </c>
      <c r="D496">
        <v>279</v>
      </c>
      <c r="E496">
        <v>281</v>
      </c>
      <c r="F496">
        <v>1</v>
      </c>
      <c r="G496">
        <v>24.706675634599002</v>
      </c>
      <c r="H496">
        <v>1</v>
      </c>
      <c r="K496" t="s">
        <v>729</v>
      </c>
      <c r="L496">
        <v>6</v>
      </c>
      <c r="M496" t="s">
        <v>1319</v>
      </c>
      <c r="N496" t="s">
        <v>726</v>
      </c>
      <c r="O496">
        <v>1</v>
      </c>
    </row>
    <row r="497" spans="1:15" x14ac:dyDescent="0.3">
      <c r="B497">
        <v>505</v>
      </c>
      <c r="C497">
        <v>221570312</v>
      </c>
      <c r="D497">
        <v>281</v>
      </c>
      <c r="E497">
        <v>279</v>
      </c>
      <c r="F497">
        <v>1</v>
      </c>
      <c r="G497">
        <v>24.706675634599002</v>
      </c>
      <c r="H497">
        <v>1</v>
      </c>
      <c r="K497" t="s">
        <v>729</v>
      </c>
      <c r="L497">
        <v>6</v>
      </c>
      <c r="M497" t="s">
        <v>1320</v>
      </c>
      <c r="N497" t="s">
        <v>726</v>
      </c>
      <c r="O497">
        <v>1</v>
      </c>
    </row>
    <row r="498" spans="1:15" x14ac:dyDescent="0.3">
      <c r="A498" t="s">
        <v>1018</v>
      </c>
      <c r="B498">
        <v>506</v>
      </c>
      <c r="C498">
        <v>223225595</v>
      </c>
      <c r="D498">
        <v>128</v>
      </c>
      <c r="E498">
        <v>30</v>
      </c>
      <c r="F498">
        <v>1</v>
      </c>
      <c r="G498">
        <v>126.77576481699499</v>
      </c>
      <c r="H498">
        <v>1</v>
      </c>
      <c r="I498">
        <v>25</v>
      </c>
      <c r="K498" t="s">
        <v>729</v>
      </c>
      <c r="L498">
        <v>6</v>
      </c>
      <c r="M498" t="s">
        <v>1321</v>
      </c>
      <c r="N498" t="s">
        <v>726</v>
      </c>
      <c r="O498">
        <v>1</v>
      </c>
    </row>
    <row r="499" spans="1:15" x14ac:dyDescent="0.3">
      <c r="A499" t="s">
        <v>1018</v>
      </c>
      <c r="B499">
        <v>507</v>
      </c>
      <c r="C499">
        <v>223225595</v>
      </c>
      <c r="D499">
        <v>30</v>
      </c>
      <c r="E499">
        <v>128</v>
      </c>
      <c r="F499">
        <v>1</v>
      </c>
      <c r="G499">
        <v>126.77576481699499</v>
      </c>
      <c r="H499">
        <v>1</v>
      </c>
      <c r="I499">
        <v>25</v>
      </c>
      <c r="K499" t="s">
        <v>729</v>
      </c>
      <c r="L499">
        <v>6</v>
      </c>
      <c r="M499" t="s">
        <v>1322</v>
      </c>
      <c r="N499" t="s">
        <v>726</v>
      </c>
      <c r="O499">
        <v>1</v>
      </c>
    </row>
    <row r="500" spans="1:15" x14ac:dyDescent="0.3">
      <c r="A500" t="s">
        <v>1018</v>
      </c>
      <c r="B500">
        <v>508</v>
      </c>
      <c r="C500">
        <v>223225595</v>
      </c>
      <c r="D500">
        <v>30</v>
      </c>
      <c r="E500">
        <v>170</v>
      </c>
      <c r="F500">
        <v>1</v>
      </c>
      <c r="G500">
        <v>128.47940938367699</v>
      </c>
      <c r="H500">
        <v>1</v>
      </c>
      <c r="I500">
        <v>25</v>
      </c>
      <c r="K500" t="s">
        <v>729</v>
      </c>
      <c r="L500">
        <v>6</v>
      </c>
      <c r="M500" t="s">
        <v>1323</v>
      </c>
      <c r="N500" t="s">
        <v>726</v>
      </c>
      <c r="O500">
        <v>1</v>
      </c>
    </row>
    <row r="501" spans="1:15" x14ac:dyDescent="0.3">
      <c r="A501" t="s">
        <v>1018</v>
      </c>
      <c r="B501">
        <v>509</v>
      </c>
      <c r="C501">
        <v>223225595</v>
      </c>
      <c r="D501">
        <v>170</v>
      </c>
      <c r="E501">
        <v>30</v>
      </c>
      <c r="F501">
        <v>1</v>
      </c>
      <c r="G501">
        <v>128.47940938367699</v>
      </c>
      <c r="H501">
        <v>1</v>
      </c>
      <c r="I501">
        <v>25</v>
      </c>
      <c r="K501" t="s">
        <v>729</v>
      </c>
      <c r="L501">
        <v>6</v>
      </c>
      <c r="M501" t="s">
        <v>1324</v>
      </c>
      <c r="N501" t="s">
        <v>726</v>
      </c>
      <c r="O501">
        <v>1</v>
      </c>
    </row>
    <row r="502" spans="1:15" x14ac:dyDescent="0.3">
      <c r="A502" t="s">
        <v>1018</v>
      </c>
      <c r="B502">
        <v>510</v>
      </c>
      <c r="C502">
        <v>223225595</v>
      </c>
      <c r="D502">
        <v>170</v>
      </c>
      <c r="E502">
        <v>749</v>
      </c>
      <c r="F502">
        <v>1</v>
      </c>
      <c r="G502">
        <v>93.4291584304342</v>
      </c>
      <c r="H502">
        <v>1</v>
      </c>
      <c r="I502">
        <v>25</v>
      </c>
      <c r="K502" t="s">
        <v>729</v>
      </c>
      <c r="L502">
        <v>6</v>
      </c>
      <c r="M502" t="s">
        <v>1325</v>
      </c>
      <c r="N502" t="s">
        <v>726</v>
      </c>
      <c r="O502">
        <v>1</v>
      </c>
    </row>
    <row r="503" spans="1:15" x14ac:dyDescent="0.3">
      <c r="A503" t="s">
        <v>1018</v>
      </c>
      <c r="B503">
        <v>511</v>
      </c>
      <c r="C503">
        <v>223225595</v>
      </c>
      <c r="D503">
        <v>749</v>
      </c>
      <c r="E503">
        <v>170</v>
      </c>
      <c r="F503">
        <v>1</v>
      </c>
      <c r="G503">
        <v>93.4291584304342</v>
      </c>
      <c r="H503">
        <v>1</v>
      </c>
      <c r="I503">
        <v>25</v>
      </c>
      <c r="K503" t="s">
        <v>729</v>
      </c>
      <c r="L503">
        <v>6</v>
      </c>
      <c r="M503" t="s">
        <v>1326</v>
      </c>
      <c r="N503" t="s">
        <v>726</v>
      </c>
      <c r="O503">
        <v>1</v>
      </c>
    </row>
    <row r="504" spans="1:15" x14ac:dyDescent="0.3">
      <c r="A504" t="s">
        <v>1018</v>
      </c>
      <c r="B504">
        <v>512</v>
      </c>
      <c r="C504">
        <v>223225602</v>
      </c>
      <c r="D504">
        <v>283</v>
      </c>
      <c r="E504">
        <v>282</v>
      </c>
      <c r="F504">
        <v>1</v>
      </c>
      <c r="G504">
        <v>42.855644138691503</v>
      </c>
      <c r="H504">
        <v>1</v>
      </c>
      <c r="K504" t="s">
        <v>729</v>
      </c>
      <c r="L504">
        <v>6</v>
      </c>
      <c r="M504" t="s">
        <v>1327</v>
      </c>
      <c r="N504" t="s">
        <v>726</v>
      </c>
      <c r="O504">
        <v>0</v>
      </c>
    </row>
    <row r="505" spans="1:15" x14ac:dyDescent="0.3">
      <c r="A505" t="s">
        <v>1018</v>
      </c>
      <c r="B505">
        <v>513</v>
      </c>
      <c r="C505">
        <v>223225602</v>
      </c>
      <c r="D505">
        <v>282</v>
      </c>
      <c r="E505">
        <v>283</v>
      </c>
      <c r="F505">
        <v>1</v>
      </c>
      <c r="G505">
        <v>2.50499762930701</v>
      </c>
      <c r="H505">
        <v>1</v>
      </c>
      <c r="K505" t="s">
        <v>729</v>
      </c>
      <c r="L505">
        <v>6</v>
      </c>
      <c r="M505" t="s">
        <v>1328</v>
      </c>
      <c r="N505" t="s">
        <v>726</v>
      </c>
      <c r="O505">
        <v>0</v>
      </c>
    </row>
    <row r="506" spans="1:15" x14ac:dyDescent="0.3">
      <c r="A506" t="s">
        <v>1278</v>
      </c>
      <c r="B506">
        <v>514</v>
      </c>
      <c r="C506">
        <v>256917834</v>
      </c>
      <c r="D506">
        <v>210</v>
      </c>
      <c r="E506">
        <v>287</v>
      </c>
      <c r="F506">
        <v>1</v>
      </c>
      <c r="G506">
        <v>17.181146219888699</v>
      </c>
      <c r="H506">
        <v>1</v>
      </c>
      <c r="K506" t="s">
        <v>729</v>
      </c>
      <c r="L506">
        <v>6</v>
      </c>
      <c r="M506" t="s">
        <v>1329</v>
      </c>
      <c r="N506" t="s">
        <v>726</v>
      </c>
      <c r="O506">
        <v>0</v>
      </c>
    </row>
    <row r="507" spans="1:15" x14ac:dyDescent="0.3">
      <c r="A507" t="s">
        <v>1278</v>
      </c>
      <c r="B507">
        <v>515</v>
      </c>
      <c r="C507">
        <v>256917834</v>
      </c>
      <c r="D507">
        <v>287</v>
      </c>
      <c r="E507">
        <v>649</v>
      </c>
      <c r="F507">
        <v>1</v>
      </c>
      <c r="G507">
        <v>296.00036792223102</v>
      </c>
      <c r="H507">
        <v>1</v>
      </c>
      <c r="K507" t="s">
        <v>729</v>
      </c>
      <c r="L507">
        <v>6</v>
      </c>
      <c r="M507" t="s">
        <v>1330</v>
      </c>
      <c r="N507" t="s">
        <v>726</v>
      </c>
      <c r="O507">
        <v>0</v>
      </c>
    </row>
    <row r="508" spans="1:15" x14ac:dyDescent="0.3">
      <c r="A508" t="s">
        <v>827</v>
      </c>
      <c r="B508">
        <v>516</v>
      </c>
      <c r="C508">
        <v>256917835</v>
      </c>
      <c r="D508">
        <v>1944</v>
      </c>
      <c r="E508">
        <v>284</v>
      </c>
      <c r="F508">
        <v>1</v>
      </c>
      <c r="G508">
        <v>146.80963146734001</v>
      </c>
      <c r="H508">
        <v>4</v>
      </c>
      <c r="K508" t="s">
        <v>724</v>
      </c>
      <c r="L508">
        <v>3</v>
      </c>
      <c r="M508" t="s">
        <v>1331</v>
      </c>
      <c r="N508" t="s">
        <v>726</v>
      </c>
      <c r="O508">
        <v>0</v>
      </c>
    </row>
    <row r="509" spans="1:15" x14ac:dyDescent="0.3">
      <c r="A509" t="s">
        <v>827</v>
      </c>
      <c r="B509">
        <v>517</v>
      </c>
      <c r="C509">
        <v>256917835</v>
      </c>
      <c r="D509">
        <v>284</v>
      </c>
      <c r="E509">
        <v>1955</v>
      </c>
      <c r="F509">
        <v>1</v>
      </c>
      <c r="G509">
        <v>175.928973751527</v>
      </c>
      <c r="H509">
        <v>4</v>
      </c>
      <c r="K509" t="s">
        <v>724</v>
      </c>
      <c r="L509">
        <v>3</v>
      </c>
      <c r="M509" t="s">
        <v>1332</v>
      </c>
      <c r="N509" t="s">
        <v>726</v>
      </c>
      <c r="O509">
        <v>0</v>
      </c>
    </row>
    <row r="510" spans="1:15" x14ac:dyDescent="0.3">
      <c r="A510" t="s">
        <v>858</v>
      </c>
      <c r="B510">
        <v>518</v>
      </c>
      <c r="C510">
        <v>256917836</v>
      </c>
      <c r="D510">
        <v>238</v>
      </c>
      <c r="E510">
        <v>1947</v>
      </c>
      <c r="F510">
        <v>1</v>
      </c>
      <c r="G510">
        <v>11.8098346644037</v>
      </c>
      <c r="H510">
        <v>2</v>
      </c>
      <c r="I510">
        <v>30</v>
      </c>
      <c r="K510" t="s">
        <v>724</v>
      </c>
      <c r="L510">
        <v>3</v>
      </c>
      <c r="M510" t="s">
        <v>1333</v>
      </c>
      <c r="N510" t="s">
        <v>726</v>
      </c>
      <c r="O510">
        <v>0</v>
      </c>
    </row>
    <row r="511" spans="1:15" x14ac:dyDescent="0.3">
      <c r="A511" t="s">
        <v>858</v>
      </c>
      <c r="B511">
        <v>519</v>
      </c>
      <c r="C511">
        <v>256917836</v>
      </c>
      <c r="D511">
        <v>1947</v>
      </c>
      <c r="E511">
        <v>1945</v>
      </c>
      <c r="F511">
        <v>1</v>
      </c>
      <c r="G511">
        <v>102.581765444716</v>
      </c>
      <c r="H511">
        <v>2</v>
      </c>
      <c r="I511">
        <v>30</v>
      </c>
      <c r="K511" t="s">
        <v>724</v>
      </c>
      <c r="L511">
        <v>3</v>
      </c>
      <c r="M511" t="s">
        <v>1334</v>
      </c>
      <c r="N511" t="s">
        <v>726</v>
      </c>
      <c r="O511">
        <v>0</v>
      </c>
    </row>
    <row r="512" spans="1:15" x14ac:dyDescent="0.3">
      <c r="A512" t="s">
        <v>858</v>
      </c>
      <c r="B512">
        <v>520</v>
      </c>
      <c r="C512">
        <v>256917836</v>
      </c>
      <c r="D512">
        <v>1945</v>
      </c>
      <c r="E512">
        <v>473</v>
      </c>
      <c r="F512">
        <v>1</v>
      </c>
      <c r="G512">
        <v>47.491426614245299</v>
      </c>
      <c r="H512">
        <v>2</v>
      </c>
      <c r="I512">
        <v>30</v>
      </c>
      <c r="K512" t="s">
        <v>724</v>
      </c>
      <c r="L512">
        <v>3</v>
      </c>
      <c r="M512" t="s">
        <v>1335</v>
      </c>
      <c r="N512" t="s">
        <v>726</v>
      </c>
      <c r="O512">
        <v>0</v>
      </c>
    </row>
    <row r="513" spans="1:15" x14ac:dyDescent="0.3">
      <c r="A513" t="s">
        <v>858</v>
      </c>
      <c r="B513">
        <v>521</v>
      </c>
      <c r="C513">
        <v>256917837</v>
      </c>
      <c r="D513">
        <v>1950</v>
      </c>
      <c r="E513">
        <v>474</v>
      </c>
      <c r="F513">
        <v>1</v>
      </c>
      <c r="G513">
        <v>112.036305402038</v>
      </c>
      <c r="H513">
        <v>2</v>
      </c>
      <c r="I513">
        <v>30</v>
      </c>
      <c r="K513" t="s">
        <v>724</v>
      </c>
      <c r="L513">
        <v>3</v>
      </c>
      <c r="M513" t="s">
        <v>1336</v>
      </c>
      <c r="N513" t="s">
        <v>726</v>
      </c>
      <c r="O513">
        <v>0</v>
      </c>
    </row>
    <row r="514" spans="1:15" x14ac:dyDescent="0.3">
      <c r="A514" t="s">
        <v>1337</v>
      </c>
      <c r="B514">
        <v>523</v>
      </c>
      <c r="C514">
        <v>257009023</v>
      </c>
      <c r="D514">
        <v>327</v>
      </c>
      <c r="E514">
        <v>299</v>
      </c>
      <c r="F514">
        <v>1</v>
      </c>
      <c r="G514">
        <v>213.11669542601399</v>
      </c>
      <c r="H514">
        <v>1</v>
      </c>
      <c r="K514" t="s">
        <v>880</v>
      </c>
      <c r="L514">
        <v>11</v>
      </c>
      <c r="M514" t="s">
        <v>1338</v>
      </c>
      <c r="N514" t="s">
        <v>726</v>
      </c>
      <c r="O514">
        <v>1</v>
      </c>
    </row>
    <row r="515" spans="1:15" x14ac:dyDescent="0.3">
      <c r="A515" t="s">
        <v>1337</v>
      </c>
      <c r="B515">
        <v>524</v>
      </c>
      <c r="C515">
        <v>257009023</v>
      </c>
      <c r="D515">
        <v>299</v>
      </c>
      <c r="E515">
        <v>327</v>
      </c>
      <c r="F515">
        <v>1</v>
      </c>
      <c r="G515">
        <v>213.11669542601399</v>
      </c>
      <c r="H515">
        <v>1</v>
      </c>
      <c r="K515" t="s">
        <v>880</v>
      </c>
      <c r="L515">
        <v>11</v>
      </c>
      <c r="M515" t="s">
        <v>1339</v>
      </c>
      <c r="N515" t="s">
        <v>726</v>
      </c>
      <c r="O515">
        <v>1</v>
      </c>
    </row>
    <row r="516" spans="1:15" x14ac:dyDescent="0.3">
      <c r="A516" t="s">
        <v>1337</v>
      </c>
      <c r="B516">
        <v>525</v>
      </c>
      <c r="C516">
        <v>257009023</v>
      </c>
      <c r="D516">
        <v>299</v>
      </c>
      <c r="E516">
        <v>300</v>
      </c>
      <c r="F516">
        <v>1</v>
      </c>
      <c r="G516">
        <v>135.15200426926799</v>
      </c>
      <c r="H516">
        <v>1</v>
      </c>
      <c r="K516" t="s">
        <v>880</v>
      </c>
      <c r="L516">
        <v>11</v>
      </c>
      <c r="M516" t="s">
        <v>1340</v>
      </c>
      <c r="N516" t="s">
        <v>726</v>
      </c>
      <c r="O516">
        <v>1</v>
      </c>
    </row>
    <row r="517" spans="1:15" x14ac:dyDescent="0.3">
      <c r="A517" t="s">
        <v>1337</v>
      </c>
      <c r="B517">
        <v>526</v>
      </c>
      <c r="C517">
        <v>257009023</v>
      </c>
      <c r="D517">
        <v>300</v>
      </c>
      <c r="E517">
        <v>299</v>
      </c>
      <c r="F517">
        <v>1</v>
      </c>
      <c r="G517">
        <v>135.15200426926799</v>
      </c>
      <c r="H517">
        <v>1</v>
      </c>
      <c r="K517" t="s">
        <v>880</v>
      </c>
      <c r="L517">
        <v>11</v>
      </c>
      <c r="M517" t="s">
        <v>1341</v>
      </c>
      <c r="N517" t="s">
        <v>726</v>
      </c>
      <c r="O517">
        <v>1</v>
      </c>
    </row>
    <row r="518" spans="1:15" x14ac:dyDescent="0.3">
      <c r="A518" t="s">
        <v>1337</v>
      </c>
      <c r="B518">
        <v>527</v>
      </c>
      <c r="C518">
        <v>257009023</v>
      </c>
      <c r="D518">
        <v>300</v>
      </c>
      <c r="E518">
        <v>301</v>
      </c>
      <c r="F518">
        <v>1</v>
      </c>
      <c r="G518">
        <v>102.06077333934699</v>
      </c>
      <c r="H518">
        <v>1</v>
      </c>
      <c r="K518" t="s">
        <v>880</v>
      </c>
      <c r="L518">
        <v>11</v>
      </c>
      <c r="M518" t="s">
        <v>1342</v>
      </c>
      <c r="N518" t="s">
        <v>726</v>
      </c>
      <c r="O518">
        <v>1</v>
      </c>
    </row>
    <row r="519" spans="1:15" x14ac:dyDescent="0.3">
      <c r="A519" t="s">
        <v>1337</v>
      </c>
      <c r="B519">
        <v>528</v>
      </c>
      <c r="C519">
        <v>257009023</v>
      </c>
      <c r="D519">
        <v>301</v>
      </c>
      <c r="E519">
        <v>300</v>
      </c>
      <c r="F519">
        <v>1</v>
      </c>
      <c r="G519">
        <v>102.06077333934699</v>
      </c>
      <c r="H519">
        <v>1</v>
      </c>
      <c r="K519" t="s">
        <v>880</v>
      </c>
      <c r="L519">
        <v>11</v>
      </c>
      <c r="M519" t="s">
        <v>1343</v>
      </c>
      <c r="N519" t="s">
        <v>726</v>
      </c>
      <c r="O519">
        <v>1</v>
      </c>
    </row>
    <row r="520" spans="1:15" x14ac:dyDescent="0.3">
      <c r="A520" t="s">
        <v>1337</v>
      </c>
      <c r="B520">
        <v>529</v>
      </c>
      <c r="C520">
        <v>257009023</v>
      </c>
      <c r="D520">
        <v>301</v>
      </c>
      <c r="E520">
        <v>303</v>
      </c>
      <c r="F520">
        <v>1</v>
      </c>
      <c r="G520">
        <v>176.27629177670201</v>
      </c>
      <c r="H520">
        <v>1</v>
      </c>
      <c r="K520" t="s">
        <v>880</v>
      </c>
      <c r="L520">
        <v>11</v>
      </c>
      <c r="M520" t="s">
        <v>1344</v>
      </c>
      <c r="N520" t="s">
        <v>726</v>
      </c>
      <c r="O520">
        <v>1</v>
      </c>
    </row>
    <row r="521" spans="1:15" x14ac:dyDescent="0.3">
      <c r="A521" t="s">
        <v>1337</v>
      </c>
      <c r="B521">
        <v>530</v>
      </c>
      <c r="C521">
        <v>257009023</v>
      </c>
      <c r="D521">
        <v>303</v>
      </c>
      <c r="E521">
        <v>301</v>
      </c>
      <c r="F521">
        <v>1</v>
      </c>
      <c r="G521">
        <v>176.27629177670201</v>
      </c>
      <c r="H521">
        <v>1</v>
      </c>
      <c r="K521" t="s">
        <v>880</v>
      </c>
      <c r="L521">
        <v>11</v>
      </c>
      <c r="M521" t="s">
        <v>1345</v>
      </c>
      <c r="N521" t="s">
        <v>726</v>
      </c>
      <c r="O521">
        <v>1</v>
      </c>
    </row>
    <row r="522" spans="1:15" x14ac:dyDescent="0.3">
      <c r="A522" t="s">
        <v>1346</v>
      </c>
      <c r="B522">
        <v>531</v>
      </c>
      <c r="C522">
        <v>257009024</v>
      </c>
      <c r="D522">
        <v>700</v>
      </c>
      <c r="E522">
        <v>699</v>
      </c>
      <c r="F522">
        <v>1</v>
      </c>
      <c r="G522">
        <v>62.512131575997898</v>
      </c>
      <c r="H522">
        <v>1</v>
      </c>
      <c r="K522" t="s">
        <v>880</v>
      </c>
      <c r="L522">
        <v>11</v>
      </c>
      <c r="M522" t="s">
        <v>1347</v>
      </c>
      <c r="N522" t="s">
        <v>726</v>
      </c>
      <c r="O522">
        <v>0</v>
      </c>
    </row>
    <row r="523" spans="1:15" x14ac:dyDescent="0.3">
      <c r="A523" t="s">
        <v>1346</v>
      </c>
      <c r="B523">
        <v>532</v>
      </c>
      <c r="C523">
        <v>257009024</v>
      </c>
      <c r="D523">
        <v>699</v>
      </c>
      <c r="E523">
        <v>700</v>
      </c>
      <c r="F523">
        <v>1</v>
      </c>
      <c r="G523">
        <v>64.290085196062904</v>
      </c>
      <c r="H523">
        <v>1</v>
      </c>
      <c r="K523" t="s">
        <v>880</v>
      </c>
      <c r="L523">
        <v>11</v>
      </c>
      <c r="M523" t="s">
        <v>1348</v>
      </c>
      <c r="N523" t="s">
        <v>726</v>
      </c>
      <c r="O523">
        <v>0</v>
      </c>
    </row>
    <row r="524" spans="1:15" x14ac:dyDescent="0.3">
      <c r="A524" t="s">
        <v>1349</v>
      </c>
      <c r="B524">
        <v>533</v>
      </c>
      <c r="C524">
        <v>257009025</v>
      </c>
      <c r="D524">
        <v>698</v>
      </c>
      <c r="E524">
        <v>697</v>
      </c>
      <c r="F524">
        <v>1</v>
      </c>
      <c r="G524">
        <v>85.713550182982402</v>
      </c>
      <c r="H524">
        <v>1</v>
      </c>
      <c r="K524" t="s">
        <v>880</v>
      </c>
      <c r="L524">
        <v>11</v>
      </c>
      <c r="M524" t="s">
        <v>1350</v>
      </c>
      <c r="N524" t="s">
        <v>726</v>
      </c>
      <c r="O524">
        <v>0</v>
      </c>
    </row>
    <row r="525" spans="1:15" x14ac:dyDescent="0.3">
      <c r="A525" t="s">
        <v>1349</v>
      </c>
      <c r="B525">
        <v>534</v>
      </c>
      <c r="C525">
        <v>257009025</v>
      </c>
      <c r="D525">
        <v>697</v>
      </c>
      <c r="E525">
        <v>698</v>
      </c>
      <c r="F525">
        <v>1</v>
      </c>
      <c r="G525">
        <v>89.609806769109099</v>
      </c>
      <c r="H525">
        <v>1</v>
      </c>
      <c r="K525" t="s">
        <v>880</v>
      </c>
      <c r="L525">
        <v>11</v>
      </c>
      <c r="M525" t="s">
        <v>1351</v>
      </c>
      <c r="N525" t="s">
        <v>726</v>
      </c>
      <c r="O525">
        <v>0</v>
      </c>
    </row>
    <row r="526" spans="1:15" x14ac:dyDescent="0.3">
      <c r="A526" t="s">
        <v>1352</v>
      </c>
      <c r="B526">
        <v>535</v>
      </c>
      <c r="C526">
        <v>257009026</v>
      </c>
      <c r="D526">
        <v>695</v>
      </c>
      <c r="E526">
        <v>696</v>
      </c>
      <c r="F526">
        <v>1</v>
      </c>
      <c r="G526">
        <v>51.578425596949103</v>
      </c>
      <c r="H526">
        <v>1</v>
      </c>
      <c r="K526" t="s">
        <v>880</v>
      </c>
      <c r="L526">
        <v>11</v>
      </c>
      <c r="M526" t="s">
        <v>1353</v>
      </c>
      <c r="N526" t="s">
        <v>726</v>
      </c>
      <c r="O526">
        <v>0</v>
      </c>
    </row>
    <row r="527" spans="1:15" x14ac:dyDescent="0.3">
      <c r="A527" t="s">
        <v>1352</v>
      </c>
      <c r="B527">
        <v>536</v>
      </c>
      <c r="C527">
        <v>257009026</v>
      </c>
      <c r="D527">
        <v>696</v>
      </c>
      <c r="E527">
        <v>695</v>
      </c>
      <c r="F527">
        <v>1</v>
      </c>
      <c r="G527">
        <v>51.989703603508403</v>
      </c>
      <c r="H527">
        <v>1</v>
      </c>
      <c r="K527" t="s">
        <v>880</v>
      </c>
      <c r="L527">
        <v>11</v>
      </c>
      <c r="M527" t="s">
        <v>1354</v>
      </c>
      <c r="N527" t="s">
        <v>726</v>
      </c>
      <c r="O527">
        <v>0</v>
      </c>
    </row>
    <row r="528" spans="1:15" x14ac:dyDescent="0.3">
      <c r="A528" t="s">
        <v>1355</v>
      </c>
      <c r="B528">
        <v>537</v>
      </c>
      <c r="C528">
        <v>257009027</v>
      </c>
      <c r="D528">
        <v>322</v>
      </c>
      <c r="E528">
        <v>302</v>
      </c>
      <c r="F528">
        <v>1</v>
      </c>
      <c r="G528">
        <v>151.500603558226</v>
      </c>
      <c r="H528">
        <v>1</v>
      </c>
      <c r="K528" t="s">
        <v>880</v>
      </c>
      <c r="L528">
        <v>11</v>
      </c>
      <c r="M528" t="s">
        <v>1356</v>
      </c>
      <c r="N528" t="s">
        <v>726</v>
      </c>
      <c r="O528">
        <v>1</v>
      </c>
    </row>
    <row r="529" spans="1:15" x14ac:dyDescent="0.3">
      <c r="A529" t="s">
        <v>1355</v>
      </c>
      <c r="B529">
        <v>538</v>
      </c>
      <c r="C529">
        <v>257009027</v>
      </c>
      <c r="D529">
        <v>302</v>
      </c>
      <c r="E529">
        <v>322</v>
      </c>
      <c r="F529">
        <v>1</v>
      </c>
      <c r="G529">
        <v>151.500603558226</v>
      </c>
      <c r="H529">
        <v>1</v>
      </c>
      <c r="K529" t="s">
        <v>880</v>
      </c>
      <c r="L529">
        <v>11</v>
      </c>
      <c r="M529" t="s">
        <v>1357</v>
      </c>
      <c r="N529" t="s">
        <v>726</v>
      </c>
      <c r="O529">
        <v>1</v>
      </c>
    </row>
    <row r="530" spans="1:15" x14ac:dyDescent="0.3">
      <c r="A530" t="s">
        <v>1355</v>
      </c>
      <c r="B530">
        <v>539</v>
      </c>
      <c r="C530">
        <v>257009027</v>
      </c>
      <c r="D530">
        <v>302</v>
      </c>
      <c r="E530">
        <v>303</v>
      </c>
      <c r="F530">
        <v>1</v>
      </c>
      <c r="G530">
        <v>113.520481127927</v>
      </c>
      <c r="H530">
        <v>1</v>
      </c>
      <c r="K530" t="s">
        <v>880</v>
      </c>
      <c r="L530">
        <v>11</v>
      </c>
      <c r="M530" t="s">
        <v>1358</v>
      </c>
      <c r="N530" t="s">
        <v>726</v>
      </c>
      <c r="O530">
        <v>1</v>
      </c>
    </row>
    <row r="531" spans="1:15" x14ac:dyDescent="0.3">
      <c r="A531" t="s">
        <v>1355</v>
      </c>
      <c r="B531">
        <v>540</v>
      </c>
      <c r="C531">
        <v>257009027</v>
      </c>
      <c r="D531">
        <v>303</v>
      </c>
      <c r="E531">
        <v>302</v>
      </c>
      <c r="F531">
        <v>1</v>
      </c>
      <c r="G531">
        <v>113.520481127927</v>
      </c>
      <c r="H531">
        <v>1</v>
      </c>
      <c r="K531" t="s">
        <v>880</v>
      </c>
      <c r="L531">
        <v>11</v>
      </c>
      <c r="M531" t="s">
        <v>1359</v>
      </c>
      <c r="N531" t="s">
        <v>726</v>
      </c>
      <c r="O531">
        <v>1</v>
      </c>
    </row>
    <row r="532" spans="1:15" x14ac:dyDescent="0.3">
      <c r="A532" t="s">
        <v>1355</v>
      </c>
      <c r="B532">
        <v>541</v>
      </c>
      <c r="C532">
        <v>257009027</v>
      </c>
      <c r="D532">
        <v>303</v>
      </c>
      <c r="E532">
        <v>694</v>
      </c>
      <c r="F532">
        <v>1</v>
      </c>
      <c r="G532">
        <v>146.302582056201</v>
      </c>
      <c r="H532">
        <v>1</v>
      </c>
      <c r="K532" t="s">
        <v>880</v>
      </c>
      <c r="L532">
        <v>11</v>
      </c>
      <c r="M532" t="s">
        <v>1360</v>
      </c>
      <c r="N532" t="s">
        <v>726</v>
      </c>
      <c r="O532">
        <v>1</v>
      </c>
    </row>
    <row r="533" spans="1:15" x14ac:dyDescent="0.3">
      <c r="A533" t="s">
        <v>1355</v>
      </c>
      <c r="B533">
        <v>542</v>
      </c>
      <c r="C533">
        <v>257009027</v>
      </c>
      <c r="D533">
        <v>694</v>
      </c>
      <c r="E533">
        <v>303</v>
      </c>
      <c r="F533">
        <v>1</v>
      </c>
      <c r="G533">
        <v>146.302582056201</v>
      </c>
      <c r="H533">
        <v>1</v>
      </c>
      <c r="K533" t="s">
        <v>880</v>
      </c>
      <c r="L533">
        <v>11</v>
      </c>
      <c r="M533" t="s">
        <v>1361</v>
      </c>
      <c r="N533" t="s">
        <v>726</v>
      </c>
      <c r="O533">
        <v>1</v>
      </c>
    </row>
    <row r="534" spans="1:15" x14ac:dyDescent="0.3">
      <c r="A534" t="s">
        <v>1362</v>
      </c>
      <c r="B534">
        <v>543</v>
      </c>
      <c r="C534">
        <v>264834598</v>
      </c>
      <c r="D534">
        <v>1940</v>
      </c>
      <c r="E534">
        <v>605</v>
      </c>
      <c r="F534">
        <v>1</v>
      </c>
      <c r="G534">
        <v>334.35304424203201</v>
      </c>
      <c r="H534">
        <v>3</v>
      </c>
      <c r="I534">
        <v>35</v>
      </c>
      <c r="K534" t="s">
        <v>724</v>
      </c>
      <c r="L534">
        <v>3</v>
      </c>
      <c r="M534" t="s">
        <v>1363</v>
      </c>
      <c r="N534" t="s">
        <v>726</v>
      </c>
      <c r="O534">
        <v>0</v>
      </c>
    </row>
    <row r="535" spans="1:15" x14ac:dyDescent="0.3">
      <c r="A535" t="s">
        <v>723</v>
      </c>
      <c r="B535">
        <v>544</v>
      </c>
      <c r="C535">
        <v>264834599</v>
      </c>
      <c r="D535">
        <v>1942</v>
      </c>
      <c r="E535">
        <v>551</v>
      </c>
      <c r="F535">
        <v>1</v>
      </c>
      <c r="G535">
        <v>64.832518258862194</v>
      </c>
      <c r="H535">
        <v>3</v>
      </c>
      <c r="I535">
        <v>35</v>
      </c>
      <c r="K535" t="s">
        <v>724</v>
      </c>
      <c r="L535">
        <v>3</v>
      </c>
      <c r="M535" t="s">
        <v>1364</v>
      </c>
      <c r="N535" t="s">
        <v>726</v>
      </c>
      <c r="O535">
        <v>1</v>
      </c>
    </row>
    <row r="536" spans="1:15" x14ac:dyDescent="0.3">
      <c r="A536" t="s">
        <v>723</v>
      </c>
      <c r="B536">
        <v>545</v>
      </c>
      <c r="C536">
        <v>264834599</v>
      </c>
      <c r="D536">
        <v>551</v>
      </c>
      <c r="E536">
        <v>1942</v>
      </c>
      <c r="F536">
        <v>1</v>
      </c>
      <c r="G536">
        <v>64.832518258862194</v>
      </c>
      <c r="H536">
        <v>4</v>
      </c>
      <c r="I536">
        <v>35</v>
      </c>
      <c r="K536" t="s">
        <v>724</v>
      </c>
      <c r="L536">
        <v>3</v>
      </c>
      <c r="M536" t="s">
        <v>1365</v>
      </c>
      <c r="N536" t="s">
        <v>726</v>
      </c>
      <c r="O536">
        <v>1</v>
      </c>
    </row>
    <row r="537" spans="1:15" x14ac:dyDescent="0.3">
      <c r="A537" t="s">
        <v>1362</v>
      </c>
      <c r="B537">
        <v>546</v>
      </c>
      <c r="C537">
        <v>264834600</v>
      </c>
      <c r="D537">
        <v>1940</v>
      </c>
      <c r="E537">
        <v>311</v>
      </c>
      <c r="F537">
        <v>1</v>
      </c>
      <c r="G537">
        <v>69.088338037887496</v>
      </c>
      <c r="H537">
        <v>3</v>
      </c>
      <c r="I537">
        <v>35</v>
      </c>
      <c r="K537" t="s">
        <v>724</v>
      </c>
      <c r="L537">
        <v>3</v>
      </c>
      <c r="M537" t="s">
        <v>1366</v>
      </c>
      <c r="N537" t="s">
        <v>726</v>
      </c>
      <c r="O537">
        <v>0</v>
      </c>
    </row>
    <row r="538" spans="1:15" x14ac:dyDescent="0.3">
      <c r="A538" t="s">
        <v>1362</v>
      </c>
      <c r="B538">
        <v>547</v>
      </c>
      <c r="C538">
        <v>264834600</v>
      </c>
      <c r="D538">
        <v>311</v>
      </c>
      <c r="E538">
        <v>743</v>
      </c>
      <c r="F538">
        <v>1</v>
      </c>
      <c r="G538">
        <v>60.214542381460497</v>
      </c>
      <c r="H538">
        <v>3</v>
      </c>
      <c r="I538">
        <v>35</v>
      </c>
      <c r="K538" t="s">
        <v>724</v>
      </c>
      <c r="L538">
        <v>3</v>
      </c>
      <c r="M538" t="s">
        <v>1367</v>
      </c>
      <c r="N538" t="s">
        <v>726</v>
      </c>
      <c r="O538">
        <v>0</v>
      </c>
    </row>
    <row r="539" spans="1:15" x14ac:dyDescent="0.3">
      <c r="A539" t="s">
        <v>1362</v>
      </c>
      <c r="B539">
        <v>548</v>
      </c>
      <c r="C539">
        <v>264834600</v>
      </c>
      <c r="D539">
        <v>743</v>
      </c>
      <c r="E539">
        <v>546</v>
      </c>
      <c r="F539">
        <v>1</v>
      </c>
      <c r="G539">
        <v>66.119791889803693</v>
      </c>
      <c r="H539">
        <v>3</v>
      </c>
      <c r="I539">
        <v>35</v>
      </c>
      <c r="K539" t="s">
        <v>724</v>
      </c>
      <c r="L539">
        <v>3</v>
      </c>
      <c r="M539" t="s">
        <v>1368</v>
      </c>
      <c r="N539" t="s">
        <v>726</v>
      </c>
      <c r="O539">
        <v>0</v>
      </c>
    </row>
    <row r="540" spans="1:15" x14ac:dyDescent="0.3">
      <c r="B540">
        <v>549</v>
      </c>
      <c r="C540">
        <v>264834603</v>
      </c>
      <c r="D540">
        <v>311</v>
      </c>
      <c r="E540">
        <v>309</v>
      </c>
      <c r="F540">
        <v>1</v>
      </c>
      <c r="G540">
        <v>65.152976185665494</v>
      </c>
      <c r="H540">
        <v>1</v>
      </c>
      <c r="K540" t="s">
        <v>724</v>
      </c>
      <c r="L540">
        <v>3</v>
      </c>
      <c r="M540" t="s">
        <v>1369</v>
      </c>
      <c r="N540" t="s">
        <v>726</v>
      </c>
      <c r="O540">
        <v>0</v>
      </c>
    </row>
    <row r="541" spans="1:15" x14ac:dyDescent="0.3">
      <c r="B541">
        <v>550</v>
      </c>
      <c r="C541">
        <v>264834603</v>
      </c>
      <c r="D541">
        <v>309</v>
      </c>
      <c r="E541">
        <v>310</v>
      </c>
      <c r="F541">
        <v>1</v>
      </c>
      <c r="G541">
        <v>31.554105238183599</v>
      </c>
      <c r="H541">
        <v>1</v>
      </c>
      <c r="K541" t="s">
        <v>724</v>
      </c>
      <c r="L541">
        <v>3</v>
      </c>
      <c r="M541" t="s">
        <v>1370</v>
      </c>
      <c r="N541" t="s">
        <v>726</v>
      </c>
      <c r="O541">
        <v>0</v>
      </c>
    </row>
    <row r="542" spans="1:15" x14ac:dyDescent="0.3">
      <c r="B542">
        <v>551</v>
      </c>
      <c r="C542">
        <v>264834604</v>
      </c>
      <c r="D542">
        <v>308</v>
      </c>
      <c r="E542">
        <v>310</v>
      </c>
      <c r="F542">
        <v>1</v>
      </c>
      <c r="G542">
        <v>71.053011976569607</v>
      </c>
      <c r="H542">
        <v>1</v>
      </c>
      <c r="K542" t="s">
        <v>724</v>
      </c>
      <c r="L542">
        <v>3</v>
      </c>
      <c r="M542" t="s">
        <v>1371</v>
      </c>
      <c r="N542" t="s">
        <v>726</v>
      </c>
      <c r="O542">
        <v>0</v>
      </c>
    </row>
    <row r="543" spans="1:15" x14ac:dyDescent="0.3">
      <c r="A543" t="s">
        <v>1288</v>
      </c>
      <c r="B543">
        <v>552</v>
      </c>
      <c r="C543">
        <v>265805473</v>
      </c>
      <c r="D543">
        <v>255</v>
      </c>
      <c r="E543">
        <v>332</v>
      </c>
      <c r="F543">
        <v>1</v>
      </c>
      <c r="G543">
        <v>107.261639891033</v>
      </c>
      <c r="H543">
        <v>2</v>
      </c>
      <c r="I543">
        <v>35</v>
      </c>
      <c r="K543" t="s">
        <v>890</v>
      </c>
      <c r="L543">
        <v>4</v>
      </c>
      <c r="M543" t="s">
        <v>1372</v>
      </c>
      <c r="N543" t="s">
        <v>726</v>
      </c>
      <c r="O543">
        <v>0</v>
      </c>
    </row>
    <row r="544" spans="1:15" x14ac:dyDescent="0.3">
      <c r="A544" t="s">
        <v>1288</v>
      </c>
      <c r="B544">
        <v>553</v>
      </c>
      <c r="C544">
        <v>265805473</v>
      </c>
      <c r="D544">
        <v>332</v>
      </c>
      <c r="E544">
        <v>511</v>
      </c>
      <c r="F544">
        <v>1</v>
      </c>
      <c r="G544">
        <v>61.713404689546202</v>
      </c>
      <c r="H544">
        <v>2</v>
      </c>
      <c r="I544">
        <v>35</v>
      </c>
      <c r="K544" t="s">
        <v>890</v>
      </c>
      <c r="L544">
        <v>4</v>
      </c>
      <c r="M544" t="s">
        <v>1373</v>
      </c>
      <c r="N544" t="s">
        <v>726</v>
      </c>
      <c r="O544">
        <v>0</v>
      </c>
    </row>
    <row r="545" spans="1:15" x14ac:dyDescent="0.3">
      <c r="A545" t="s">
        <v>1288</v>
      </c>
      <c r="B545">
        <v>554</v>
      </c>
      <c r="C545">
        <v>265805475</v>
      </c>
      <c r="D545">
        <v>512</v>
      </c>
      <c r="E545">
        <v>330</v>
      </c>
      <c r="F545">
        <v>1</v>
      </c>
      <c r="G545">
        <v>51.7034009887509</v>
      </c>
      <c r="H545">
        <v>1</v>
      </c>
      <c r="I545">
        <v>35</v>
      </c>
      <c r="K545" t="s">
        <v>890</v>
      </c>
      <c r="L545">
        <v>4</v>
      </c>
      <c r="M545" t="s">
        <v>1374</v>
      </c>
      <c r="N545" t="s">
        <v>726</v>
      </c>
      <c r="O545">
        <v>0</v>
      </c>
    </row>
    <row r="546" spans="1:15" x14ac:dyDescent="0.3">
      <c r="A546" t="s">
        <v>957</v>
      </c>
      <c r="B546">
        <v>555</v>
      </c>
      <c r="C546">
        <v>265805477</v>
      </c>
      <c r="D546">
        <v>652</v>
      </c>
      <c r="E546">
        <v>1953</v>
      </c>
      <c r="F546">
        <v>1</v>
      </c>
      <c r="G546">
        <v>105.017079624734</v>
      </c>
      <c r="H546">
        <v>1</v>
      </c>
      <c r="K546" t="s">
        <v>880</v>
      </c>
      <c r="L546">
        <v>11</v>
      </c>
      <c r="M546" t="s">
        <v>1375</v>
      </c>
      <c r="N546" t="s">
        <v>726</v>
      </c>
      <c r="O546">
        <v>1</v>
      </c>
    </row>
    <row r="547" spans="1:15" x14ac:dyDescent="0.3">
      <c r="A547" t="s">
        <v>957</v>
      </c>
      <c r="B547">
        <v>556</v>
      </c>
      <c r="C547">
        <v>265805477</v>
      </c>
      <c r="D547">
        <v>1953</v>
      </c>
      <c r="E547">
        <v>652</v>
      </c>
      <c r="F547">
        <v>1</v>
      </c>
      <c r="G547">
        <v>105.017079624734</v>
      </c>
      <c r="H547">
        <v>1</v>
      </c>
      <c r="K547" t="s">
        <v>880</v>
      </c>
      <c r="L547">
        <v>11</v>
      </c>
      <c r="M547" t="s">
        <v>1376</v>
      </c>
      <c r="N547" t="s">
        <v>726</v>
      </c>
      <c r="O547">
        <v>1</v>
      </c>
    </row>
    <row r="548" spans="1:15" x14ac:dyDescent="0.3">
      <c r="B548">
        <v>557</v>
      </c>
      <c r="C548">
        <v>265805486</v>
      </c>
      <c r="D548">
        <v>334</v>
      </c>
      <c r="E548">
        <v>332</v>
      </c>
      <c r="F548">
        <v>1</v>
      </c>
      <c r="G548">
        <v>46.0201801964308</v>
      </c>
      <c r="H548">
        <v>1</v>
      </c>
      <c r="K548" t="s">
        <v>890</v>
      </c>
      <c r="L548">
        <v>4</v>
      </c>
      <c r="M548" t="s">
        <v>1377</v>
      </c>
      <c r="N548" t="s">
        <v>726</v>
      </c>
      <c r="O548">
        <v>0</v>
      </c>
    </row>
    <row r="549" spans="1:15" x14ac:dyDescent="0.3">
      <c r="B549">
        <v>558</v>
      </c>
      <c r="C549">
        <v>265805487</v>
      </c>
      <c r="D549">
        <v>198</v>
      </c>
      <c r="E549">
        <v>340</v>
      </c>
      <c r="F549">
        <v>1</v>
      </c>
      <c r="G549">
        <v>58.580685283909602</v>
      </c>
      <c r="H549">
        <v>1</v>
      </c>
      <c r="K549" t="s">
        <v>890</v>
      </c>
      <c r="L549">
        <v>4</v>
      </c>
      <c r="M549" t="s">
        <v>1378</v>
      </c>
      <c r="N549" t="s">
        <v>726</v>
      </c>
      <c r="O549">
        <v>0</v>
      </c>
    </row>
    <row r="550" spans="1:15" x14ac:dyDescent="0.3">
      <c r="A550" t="s">
        <v>889</v>
      </c>
      <c r="B550">
        <v>559</v>
      </c>
      <c r="C550">
        <v>282127136</v>
      </c>
      <c r="D550">
        <v>1952</v>
      </c>
      <c r="E550">
        <v>1951</v>
      </c>
      <c r="F550">
        <v>1</v>
      </c>
      <c r="G550">
        <v>157.10950890761401</v>
      </c>
      <c r="H550">
        <v>2</v>
      </c>
      <c r="I550">
        <v>35</v>
      </c>
      <c r="K550" t="s">
        <v>890</v>
      </c>
      <c r="L550">
        <v>4</v>
      </c>
      <c r="M550" t="s">
        <v>1379</v>
      </c>
      <c r="N550" t="s">
        <v>726</v>
      </c>
      <c r="O550">
        <v>0</v>
      </c>
    </row>
    <row r="551" spans="1:15" x14ac:dyDescent="0.3">
      <c r="A551" t="s">
        <v>889</v>
      </c>
      <c r="B551">
        <v>560</v>
      </c>
      <c r="C551">
        <v>282127136</v>
      </c>
      <c r="D551">
        <v>1951</v>
      </c>
      <c r="E551">
        <v>350</v>
      </c>
      <c r="F551">
        <v>1</v>
      </c>
      <c r="G551">
        <v>8.5475638382762096</v>
      </c>
      <c r="H551">
        <v>2</v>
      </c>
      <c r="I551">
        <v>35</v>
      </c>
      <c r="K551" t="s">
        <v>890</v>
      </c>
      <c r="L551">
        <v>4</v>
      </c>
      <c r="M551" t="s">
        <v>1380</v>
      </c>
      <c r="N551" t="s">
        <v>726</v>
      </c>
      <c r="O551">
        <v>0</v>
      </c>
    </row>
    <row r="552" spans="1:15" x14ac:dyDescent="0.3">
      <c r="A552" t="s">
        <v>1288</v>
      </c>
      <c r="B552">
        <v>561</v>
      </c>
      <c r="C552">
        <v>305490057</v>
      </c>
      <c r="D552">
        <v>256</v>
      </c>
      <c r="E552">
        <v>735</v>
      </c>
      <c r="F552">
        <v>1</v>
      </c>
      <c r="G552">
        <v>10.815481024834799</v>
      </c>
      <c r="H552">
        <v>2</v>
      </c>
      <c r="I552">
        <v>35</v>
      </c>
      <c r="K552" t="s">
        <v>890</v>
      </c>
      <c r="L552">
        <v>4</v>
      </c>
      <c r="M552" t="s">
        <v>1381</v>
      </c>
      <c r="N552" t="s">
        <v>726</v>
      </c>
      <c r="O552">
        <v>0</v>
      </c>
    </row>
    <row r="553" spans="1:15" x14ac:dyDescent="0.3">
      <c r="A553" t="s">
        <v>746</v>
      </c>
      <c r="B553">
        <v>564</v>
      </c>
      <c r="C553">
        <v>305490058</v>
      </c>
      <c r="D553">
        <v>1941</v>
      </c>
      <c r="E553">
        <v>29</v>
      </c>
      <c r="F553">
        <v>1</v>
      </c>
      <c r="G553">
        <v>63.6656720180383</v>
      </c>
      <c r="H553">
        <v>1</v>
      </c>
      <c r="I553">
        <v>25</v>
      </c>
      <c r="K553" t="s">
        <v>729</v>
      </c>
      <c r="L553">
        <v>6</v>
      </c>
      <c r="M553" t="s">
        <v>1382</v>
      </c>
      <c r="N553" t="s">
        <v>726</v>
      </c>
      <c r="O553">
        <v>1</v>
      </c>
    </row>
    <row r="554" spans="1:15" x14ac:dyDescent="0.3">
      <c r="A554" t="s">
        <v>746</v>
      </c>
      <c r="B554">
        <v>565</v>
      </c>
      <c r="C554">
        <v>305490058</v>
      </c>
      <c r="D554">
        <v>29</v>
      </c>
      <c r="E554">
        <v>1941</v>
      </c>
      <c r="F554">
        <v>1</v>
      </c>
      <c r="G554">
        <v>63.6656720180383</v>
      </c>
      <c r="H554">
        <v>1</v>
      </c>
      <c r="I554">
        <v>25</v>
      </c>
      <c r="K554" t="s">
        <v>729</v>
      </c>
      <c r="L554">
        <v>6</v>
      </c>
      <c r="M554" t="s">
        <v>1383</v>
      </c>
      <c r="N554" t="s">
        <v>726</v>
      </c>
      <c r="O554">
        <v>1</v>
      </c>
    </row>
    <row r="555" spans="1:15" x14ac:dyDescent="0.3">
      <c r="A555" t="s">
        <v>1288</v>
      </c>
      <c r="B555">
        <v>566</v>
      </c>
      <c r="C555">
        <v>305490059</v>
      </c>
      <c r="D555">
        <v>737</v>
      </c>
      <c r="E555">
        <v>328</v>
      </c>
      <c r="F555">
        <v>1</v>
      </c>
      <c r="G555">
        <v>34.286640117594899</v>
      </c>
      <c r="H555">
        <v>3</v>
      </c>
      <c r="K555" t="s">
        <v>890</v>
      </c>
      <c r="L555">
        <v>4</v>
      </c>
      <c r="M555" t="s">
        <v>1384</v>
      </c>
      <c r="N555" t="s">
        <v>726</v>
      </c>
      <c r="O555">
        <v>0</v>
      </c>
    </row>
    <row r="556" spans="1:15" x14ac:dyDescent="0.3">
      <c r="A556" t="s">
        <v>767</v>
      </c>
      <c r="B556">
        <v>567</v>
      </c>
      <c r="C556">
        <v>305490060</v>
      </c>
      <c r="D556">
        <v>607</v>
      </c>
      <c r="E556">
        <v>608</v>
      </c>
      <c r="F556">
        <v>1</v>
      </c>
      <c r="G556">
        <v>136.04493217480001</v>
      </c>
      <c r="H556">
        <v>1</v>
      </c>
      <c r="I556">
        <v>30</v>
      </c>
      <c r="K556" t="s">
        <v>711</v>
      </c>
      <c r="L556">
        <v>5</v>
      </c>
      <c r="M556" t="s">
        <v>1385</v>
      </c>
      <c r="N556" t="s">
        <v>726</v>
      </c>
      <c r="O556">
        <v>1</v>
      </c>
    </row>
    <row r="557" spans="1:15" x14ac:dyDescent="0.3">
      <c r="A557" t="s">
        <v>767</v>
      </c>
      <c r="B557">
        <v>568</v>
      </c>
      <c r="C557">
        <v>305490060</v>
      </c>
      <c r="D557">
        <v>608</v>
      </c>
      <c r="E557">
        <v>607</v>
      </c>
      <c r="F557">
        <v>1</v>
      </c>
      <c r="G557">
        <v>136.04493217480001</v>
      </c>
      <c r="H557">
        <v>1</v>
      </c>
      <c r="I557">
        <v>30</v>
      </c>
      <c r="K557" t="s">
        <v>711</v>
      </c>
      <c r="L557">
        <v>5</v>
      </c>
      <c r="M557" t="s">
        <v>1386</v>
      </c>
      <c r="N557" t="s">
        <v>726</v>
      </c>
      <c r="O557">
        <v>1</v>
      </c>
    </row>
    <row r="558" spans="1:15" x14ac:dyDescent="0.3">
      <c r="A558" t="s">
        <v>756</v>
      </c>
      <c r="B558">
        <v>569</v>
      </c>
      <c r="C558">
        <v>305490061</v>
      </c>
      <c r="D558">
        <v>358</v>
      </c>
      <c r="E558">
        <v>360</v>
      </c>
      <c r="F558">
        <v>1</v>
      </c>
      <c r="G558">
        <v>127.875467449791</v>
      </c>
      <c r="H558">
        <v>1</v>
      </c>
      <c r="K558" t="s">
        <v>880</v>
      </c>
      <c r="L558">
        <v>11</v>
      </c>
      <c r="M558" t="s">
        <v>1387</v>
      </c>
      <c r="N558" t="s">
        <v>726</v>
      </c>
      <c r="O558">
        <v>1</v>
      </c>
    </row>
    <row r="559" spans="1:15" x14ac:dyDescent="0.3">
      <c r="A559" t="s">
        <v>756</v>
      </c>
      <c r="B559">
        <v>570</v>
      </c>
      <c r="C559">
        <v>305490061</v>
      </c>
      <c r="D559">
        <v>360</v>
      </c>
      <c r="E559">
        <v>358</v>
      </c>
      <c r="F559">
        <v>1</v>
      </c>
      <c r="G559">
        <v>127.875467449791</v>
      </c>
      <c r="H559">
        <v>1</v>
      </c>
      <c r="K559" t="s">
        <v>880</v>
      </c>
      <c r="L559">
        <v>11</v>
      </c>
      <c r="M559" t="s">
        <v>1388</v>
      </c>
      <c r="N559" t="s">
        <v>726</v>
      </c>
      <c r="O559">
        <v>1</v>
      </c>
    </row>
    <row r="560" spans="1:15" x14ac:dyDescent="0.3">
      <c r="A560" t="s">
        <v>756</v>
      </c>
      <c r="B560">
        <v>571</v>
      </c>
      <c r="C560">
        <v>305490062</v>
      </c>
      <c r="D560">
        <v>719</v>
      </c>
      <c r="E560">
        <v>358</v>
      </c>
      <c r="F560">
        <v>1</v>
      </c>
      <c r="G560">
        <v>71.149773661322897</v>
      </c>
      <c r="H560">
        <v>1</v>
      </c>
      <c r="K560" t="s">
        <v>729</v>
      </c>
      <c r="L560">
        <v>6</v>
      </c>
      <c r="M560" t="s">
        <v>1389</v>
      </c>
      <c r="N560" t="s">
        <v>726</v>
      </c>
      <c r="O560">
        <v>1</v>
      </c>
    </row>
    <row r="561" spans="1:15" x14ac:dyDescent="0.3">
      <c r="A561" t="s">
        <v>756</v>
      </c>
      <c r="B561">
        <v>572</v>
      </c>
      <c r="C561">
        <v>305490062</v>
      </c>
      <c r="D561">
        <v>358</v>
      </c>
      <c r="E561">
        <v>719</v>
      </c>
      <c r="F561">
        <v>1</v>
      </c>
      <c r="G561">
        <v>71.149773661322897</v>
      </c>
      <c r="H561">
        <v>1</v>
      </c>
      <c r="K561" t="s">
        <v>729</v>
      </c>
      <c r="L561">
        <v>6</v>
      </c>
      <c r="M561" t="s">
        <v>1390</v>
      </c>
      <c r="N561" t="s">
        <v>726</v>
      </c>
      <c r="O561">
        <v>1</v>
      </c>
    </row>
    <row r="562" spans="1:15" x14ac:dyDescent="0.3">
      <c r="A562" t="s">
        <v>728</v>
      </c>
      <c r="B562">
        <v>573</v>
      </c>
      <c r="C562">
        <v>305490063</v>
      </c>
      <c r="D562">
        <v>5</v>
      </c>
      <c r="E562">
        <v>6</v>
      </c>
      <c r="F562">
        <v>1</v>
      </c>
      <c r="G562">
        <v>127.66043016162</v>
      </c>
      <c r="H562">
        <v>1</v>
      </c>
      <c r="I562">
        <v>25</v>
      </c>
      <c r="K562" t="s">
        <v>729</v>
      </c>
      <c r="L562">
        <v>6</v>
      </c>
      <c r="M562" t="s">
        <v>1391</v>
      </c>
      <c r="N562" t="s">
        <v>726</v>
      </c>
      <c r="O562">
        <v>1</v>
      </c>
    </row>
    <row r="563" spans="1:15" x14ac:dyDescent="0.3">
      <c r="A563" t="s">
        <v>728</v>
      </c>
      <c r="B563">
        <v>574</v>
      </c>
      <c r="C563">
        <v>305490063</v>
      </c>
      <c r="D563">
        <v>6</v>
      </c>
      <c r="E563">
        <v>5</v>
      </c>
      <c r="F563">
        <v>1</v>
      </c>
      <c r="G563">
        <v>127.66043016162</v>
      </c>
      <c r="H563">
        <v>1</v>
      </c>
      <c r="I563">
        <v>25</v>
      </c>
      <c r="K563" t="s">
        <v>729</v>
      </c>
      <c r="L563">
        <v>6</v>
      </c>
      <c r="M563" t="s">
        <v>1392</v>
      </c>
      <c r="N563" t="s">
        <v>726</v>
      </c>
      <c r="O563">
        <v>1</v>
      </c>
    </row>
    <row r="564" spans="1:15" x14ac:dyDescent="0.3">
      <c r="A564" t="s">
        <v>728</v>
      </c>
      <c r="B564">
        <v>575</v>
      </c>
      <c r="C564">
        <v>305490063</v>
      </c>
      <c r="D564">
        <v>6</v>
      </c>
      <c r="E564">
        <v>7</v>
      </c>
      <c r="F564">
        <v>1</v>
      </c>
      <c r="G564">
        <v>127.05186568213399</v>
      </c>
      <c r="H564">
        <v>1</v>
      </c>
      <c r="I564">
        <v>25</v>
      </c>
      <c r="K564" t="s">
        <v>729</v>
      </c>
      <c r="L564">
        <v>6</v>
      </c>
      <c r="M564" t="s">
        <v>1393</v>
      </c>
      <c r="N564" t="s">
        <v>726</v>
      </c>
      <c r="O564">
        <v>1</v>
      </c>
    </row>
    <row r="565" spans="1:15" x14ac:dyDescent="0.3">
      <c r="A565" t="s">
        <v>728</v>
      </c>
      <c r="B565">
        <v>576</v>
      </c>
      <c r="C565">
        <v>305490063</v>
      </c>
      <c r="D565">
        <v>7</v>
      </c>
      <c r="E565">
        <v>6</v>
      </c>
      <c r="F565">
        <v>1</v>
      </c>
      <c r="G565">
        <v>127.05186568213399</v>
      </c>
      <c r="H565">
        <v>1</v>
      </c>
      <c r="I565">
        <v>25</v>
      </c>
      <c r="K565" t="s">
        <v>729</v>
      </c>
      <c r="L565">
        <v>6</v>
      </c>
      <c r="M565" t="s">
        <v>1394</v>
      </c>
      <c r="N565" t="s">
        <v>726</v>
      </c>
      <c r="O565">
        <v>1</v>
      </c>
    </row>
    <row r="566" spans="1:15" x14ac:dyDescent="0.3">
      <c r="A566" t="s">
        <v>728</v>
      </c>
      <c r="B566">
        <v>577</v>
      </c>
      <c r="C566">
        <v>305490063</v>
      </c>
      <c r="D566">
        <v>7</v>
      </c>
      <c r="E566">
        <v>8</v>
      </c>
      <c r="F566">
        <v>1</v>
      </c>
      <c r="G566">
        <v>142.82371956783501</v>
      </c>
      <c r="H566">
        <v>1</v>
      </c>
      <c r="I566">
        <v>25</v>
      </c>
      <c r="K566" t="s">
        <v>729</v>
      </c>
      <c r="L566">
        <v>6</v>
      </c>
      <c r="M566" t="s">
        <v>1395</v>
      </c>
      <c r="N566" t="s">
        <v>726</v>
      </c>
      <c r="O566">
        <v>1</v>
      </c>
    </row>
    <row r="567" spans="1:15" x14ac:dyDescent="0.3">
      <c r="A567" t="s">
        <v>728</v>
      </c>
      <c r="B567">
        <v>578</v>
      </c>
      <c r="C567">
        <v>305490063</v>
      </c>
      <c r="D567">
        <v>8</v>
      </c>
      <c r="E567">
        <v>7</v>
      </c>
      <c r="F567">
        <v>1</v>
      </c>
      <c r="G567">
        <v>142.82371956783501</v>
      </c>
      <c r="H567">
        <v>1</v>
      </c>
      <c r="I567">
        <v>25</v>
      </c>
      <c r="K567" t="s">
        <v>729</v>
      </c>
      <c r="L567">
        <v>6</v>
      </c>
      <c r="M567" t="s">
        <v>1396</v>
      </c>
      <c r="N567" t="s">
        <v>726</v>
      </c>
      <c r="O567">
        <v>1</v>
      </c>
    </row>
    <row r="568" spans="1:15" x14ac:dyDescent="0.3">
      <c r="A568" t="s">
        <v>728</v>
      </c>
      <c r="B568">
        <v>579</v>
      </c>
      <c r="C568">
        <v>305490063</v>
      </c>
      <c r="D568">
        <v>8</v>
      </c>
      <c r="E568">
        <v>9</v>
      </c>
      <c r="F568">
        <v>1</v>
      </c>
      <c r="G568">
        <v>139.73134545645399</v>
      </c>
      <c r="H568">
        <v>1</v>
      </c>
      <c r="I568">
        <v>25</v>
      </c>
      <c r="K568" t="s">
        <v>729</v>
      </c>
      <c r="L568">
        <v>6</v>
      </c>
      <c r="M568" t="s">
        <v>1397</v>
      </c>
      <c r="N568" t="s">
        <v>726</v>
      </c>
      <c r="O568">
        <v>1</v>
      </c>
    </row>
    <row r="569" spans="1:15" x14ac:dyDescent="0.3">
      <c r="A569" t="s">
        <v>728</v>
      </c>
      <c r="B569">
        <v>580</v>
      </c>
      <c r="C569">
        <v>305490063</v>
      </c>
      <c r="D569">
        <v>9</v>
      </c>
      <c r="E569">
        <v>8</v>
      </c>
      <c r="F569">
        <v>1</v>
      </c>
      <c r="G569">
        <v>139.73134545645399</v>
      </c>
      <c r="H569">
        <v>1</v>
      </c>
      <c r="I569">
        <v>25</v>
      </c>
      <c r="K569" t="s">
        <v>729</v>
      </c>
      <c r="L569">
        <v>6</v>
      </c>
      <c r="M569" t="s">
        <v>1398</v>
      </c>
      <c r="N569" t="s">
        <v>726</v>
      </c>
      <c r="O569">
        <v>1</v>
      </c>
    </row>
    <row r="570" spans="1:15" x14ac:dyDescent="0.3">
      <c r="A570" t="s">
        <v>728</v>
      </c>
      <c r="B570">
        <v>581</v>
      </c>
      <c r="C570">
        <v>305490063</v>
      </c>
      <c r="D570">
        <v>9</v>
      </c>
      <c r="E570">
        <v>10</v>
      </c>
      <c r="F570">
        <v>1</v>
      </c>
      <c r="G570">
        <v>32.213652884934199</v>
      </c>
      <c r="H570">
        <v>1</v>
      </c>
      <c r="I570">
        <v>25</v>
      </c>
      <c r="K570" t="s">
        <v>729</v>
      </c>
      <c r="L570">
        <v>6</v>
      </c>
      <c r="M570" t="s">
        <v>1399</v>
      </c>
      <c r="N570" t="s">
        <v>726</v>
      </c>
      <c r="O570">
        <v>1</v>
      </c>
    </row>
    <row r="571" spans="1:15" x14ac:dyDescent="0.3">
      <c r="A571" t="s">
        <v>728</v>
      </c>
      <c r="B571">
        <v>582</v>
      </c>
      <c r="C571">
        <v>305490063</v>
      </c>
      <c r="D571">
        <v>10</v>
      </c>
      <c r="E571">
        <v>9</v>
      </c>
      <c r="F571">
        <v>1</v>
      </c>
      <c r="G571">
        <v>32.213652884934199</v>
      </c>
      <c r="H571">
        <v>1</v>
      </c>
      <c r="I571">
        <v>25</v>
      </c>
      <c r="K571" t="s">
        <v>729</v>
      </c>
      <c r="L571">
        <v>6</v>
      </c>
      <c r="M571" t="s">
        <v>1400</v>
      </c>
      <c r="N571" t="s">
        <v>726</v>
      </c>
      <c r="O571">
        <v>1</v>
      </c>
    </row>
    <row r="572" spans="1:15" x14ac:dyDescent="0.3">
      <c r="A572" t="s">
        <v>728</v>
      </c>
      <c r="B572">
        <v>583</v>
      </c>
      <c r="C572">
        <v>305490063</v>
      </c>
      <c r="D572">
        <v>10</v>
      </c>
      <c r="E572">
        <v>11</v>
      </c>
      <c r="F572">
        <v>1</v>
      </c>
      <c r="G572">
        <v>105.235190197695</v>
      </c>
      <c r="H572">
        <v>1</v>
      </c>
      <c r="I572">
        <v>25</v>
      </c>
      <c r="K572" t="s">
        <v>729</v>
      </c>
      <c r="L572">
        <v>6</v>
      </c>
      <c r="M572" t="s">
        <v>1401</v>
      </c>
      <c r="N572" t="s">
        <v>726</v>
      </c>
      <c r="O572">
        <v>1</v>
      </c>
    </row>
    <row r="573" spans="1:15" x14ac:dyDescent="0.3">
      <c r="A573" t="s">
        <v>728</v>
      </c>
      <c r="B573">
        <v>584</v>
      </c>
      <c r="C573">
        <v>305490063</v>
      </c>
      <c r="D573">
        <v>11</v>
      </c>
      <c r="E573">
        <v>10</v>
      </c>
      <c r="F573">
        <v>1</v>
      </c>
      <c r="G573">
        <v>105.235190197695</v>
      </c>
      <c r="H573">
        <v>1</v>
      </c>
      <c r="I573">
        <v>25</v>
      </c>
      <c r="K573" t="s">
        <v>729</v>
      </c>
      <c r="L573">
        <v>6</v>
      </c>
      <c r="M573" t="s">
        <v>1402</v>
      </c>
      <c r="N573" t="s">
        <v>726</v>
      </c>
      <c r="O573">
        <v>1</v>
      </c>
    </row>
    <row r="574" spans="1:15" x14ac:dyDescent="0.3">
      <c r="A574" t="s">
        <v>728</v>
      </c>
      <c r="B574">
        <v>585</v>
      </c>
      <c r="C574">
        <v>305490063</v>
      </c>
      <c r="D574">
        <v>11</v>
      </c>
      <c r="E574">
        <v>12</v>
      </c>
      <c r="F574">
        <v>1</v>
      </c>
      <c r="G574">
        <v>53.8739848414601</v>
      </c>
      <c r="H574">
        <v>1</v>
      </c>
      <c r="I574">
        <v>25</v>
      </c>
      <c r="K574" t="s">
        <v>729</v>
      </c>
      <c r="L574">
        <v>6</v>
      </c>
      <c r="M574" t="s">
        <v>1403</v>
      </c>
      <c r="N574" t="s">
        <v>726</v>
      </c>
      <c r="O574">
        <v>1</v>
      </c>
    </row>
    <row r="575" spans="1:15" x14ac:dyDescent="0.3">
      <c r="A575" t="s">
        <v>728</v>
      </c>
      <c r="B575">
        <v>586</v>
      </c>
      <c r="C575">
        <v>305490063</v>
      </c>
      <c r="D575">
        <v>12</v>
      </c>
      <c r="E575">
        <v>11</v>
      </c>
      <c r="F575">
        <v>1</v>
      </c>
      <c r="G575">
        <v>53.8739848414601</v>
      </c>
      <c r="H575">
        <v>1</v>
      </c>
      <c r="I575">
        <v>25</v>
      </c>
      <c r="K575" t="s">
        <v>729</v>
      </c>
      <c r="L575">
        <v>6</v>
      </c>
      <c r="M575" t="s">
        <v>1404</v>
      </c>
      <c r="N575" t="s">
        <v>726</v>
      </c>
      <c r="O575">
        <v>1</v>
      </c>
    </row>
    <row r="576" spans="1:15" x14ac:dyDescent="0.3">
      <c r="A576" t="s">
        <v>728</v>
      </c>
      <c r="B576">
        <v>587</v>
      </c>
      <c r="C576">
        <v>305490063</v>
      </c>
      <c r="D576">
        <v>12</v>
      </c>
      <c r="E576">
        <v>13</v>
      </c>
      <c r="F576">
        <v>1</v>
      </c>
      <c r="G576">
        <v>126.106233496652</v>
      </c>
      <c r="H576">
        <v>1</v>
      </c>
      <c r="I576">
        <v>25</v>
      </c>
      <c r="K576" t="s">
        <v>729</v>
      </c>
      <c r="L576">
        <v>6</v>
      </c>
      <c r="M576" t="s">
        <v>1405</v>
      </c>
      <c r="N576" t="s">
        <v>726</v>
      </c>
      <c r="O576">
        <v>1</v>
      </c>
    </row>
    <row r="577" spans="1:15" x14ac:dyDescent="0.3">
      <c r="A577" t="s">
        <v>728</v>
      </c>
      <c r="B577">
        <v>588</v>
      </c>
      <c r="C577">
        <v>305490063</v>
      </c>
      <c r="D577">
        <v>13</v>
      </c>
      <c r="E577">
        <v>12</v>
      </c>
      <c r="F577">
        <v>1</v>
      </c>
      <c r="G577">
        <v>126.106233496652</v>
      </c>
      <c r="H577">
        <v>1</v>
      </c>
      <c r="I577">
        <v>25</v>
      </c>
      <c r="K577" t="s">
        <v>729</v>
      </c>
      <c r="L577">
        <v>6</v>
      </c>
      <c r="M577" t="s">
        <v>1406</v>
      </c>
      <c r="N577" t="s">
        <v>726</v>
      </c>
      <c r="O577">
        <v>1</v>
      </c>
    </row>
    <row r="578" spans="1:15" x14ac:dyDescent="0.3">
      <c r="A578" t="s">
        <v>728</v>
      </c>
      <c r="B578">
        <v>589</v>
      </c>
      <c r="C578">
        <v>305490063</v>
      </c>
      <c r="D578">
        <v>13</v>
      </c>
      <c r="E578">
        <v>14</v>
      </c>
      <c r="F578">
        <v>1</v>
      </c>
      <c r="G578">
        <v>106.870064394792</v>
      </c>
      <c r="H578">
        <v>1</v>
      </c>
      <c r="I578">
        <v>25</v>
      </c>
      <c r="K578" t="s">
        <v>729</v>
      </c>
      <c r="L578">
        <v>6</v>
      </c>
      <c r="M578" t="s">
        <v>1407</v>
      </c>
      <c r="N578" t="s">
        <v>726</v>
      </c>
      <c r="O578">
        <v>1</v>
      </c>
    </row>
    <row r="579" spans="1:15" x14ac:dyDescent="0.3">
      <c r="A579" t="s">
        <v>728</v>
      </c>
      <c r="B579">
        <v>590</v>
      </c>
      <c r="C579">
        <v>305490063</v>
      </c>
      <c r="D579">
        <v>14</v>
      </c>
      <c r="E579">
        <v>13</v>
      </c>
      <c r="F579">
        <v>1</v>
      </c>
      <c r="G579">
        <v>106.870064394792</v>
      </c>
      <c r="H579">
        <v>1</v>
      </c>
      <c r="I579">
        <v>25</v>
      </c>
      <c r="K579" t="s">
        <v>729</v>
      </c>
      <c r="L579">
        <v>6</v>
      </c>
      <c r="M579" t="s">
        <v>1408</v>
      </c>
      <c r="N579" t="s">
        <v>726</v>
      </c>
      <c r="O579">
        <v>1</v>
      </c>
    </row>
    <row r="580" spans="1:15" x14ac:dyDescent="0.3">
      <c r="A580" t="s">
        <v>728</v>
      </c>
      <c r="B580">
        <v>591</v>
      </c>
      <c r="C580">
        <v>305490063</v>
      </c>
      <c r="D580">
        <v>14</v>
      </c>
      <c r="E580">
        <v>15</v>
      </c>
      <c r="F580">
        <v>1</v>
      </c>
      <c r="G580">
        <v>83.885478568164601</v>
      </c>
      <c r="H580">
        <v>1</v>
      </c>
      <c r="I580">
        <v>25</v>
      </c>
      <c r="K580" t="s">
        <v>729</v>
      </c>
      <c r="L580">
        <v>6</v>
      </c>
      <c r="M580" t="s">
        <v>1409</v>
      </c>
      <c r="N580" t="s">
        <v>726</v>
      </c>
      <c r="O580">
        <v>1</v>
      </c>
    </row>
    <row r="581" spans="1:15" x14ac:dyDescent="0.3">
      <c r="A581" t="s">
        <v>728</v>
      </c>
      <c r="B581">
        <v>592</v>
      </c>
      <c r="C581">
        <v>305490063</v>
      </c>
      <c r="D581">
        <v>15</v>
      </c>
      <c r="E581">
        <v>14</v>
      </c>
      <c r="F581">
        <v>1</v>
      </c>
      <c r="G581">
        <v>83.885478568164601</v>
      </c>
      <c r="H581">
        <v>1</v>
      </c>
      <c r="I581">
        <v>25</v>
      </c>
      <c r="K581" t="s">
        <v>729</v>
      </c>
      <c r="L581">
        <v>6</v>
      </c>
      <c r="M581" t="s">
        <v>1410</v>
      </c>
      <c r="N581" t="s">
        <v>726</v>
      </c>
      <c r="O581">
        <v>1</v>
      </c>
    </row>
    <row r="582" spans="1:15" x14ac:dyDescent="0.3">
      <c r="A582" t="s">
        <v>728</v>
      </c>
      <c r="B582">
        <v>593</v>
      </c>
      <c r="C582">
        <v>305490063</v>
      </c>
      <c r="D582">
        <v>15</v>
      </c>
      <c r="E582">
        <v>16</v>
      </c>
      <c r="F582">
        <v>1</v>
      </c>
      <c r="G582">
        <v>159.436385772286</v>
      </c>
      <c r="H582">
        <v>1</v>
      </c>
      <c r="I582">
        <v>25</v>
      </c>
      <c r="K582" t="s">
        <v>729</v>
      </c>
      <c r="L582">
        <v>6</v>
      </c>
      <c r="M582" t="s">
        <v>1411</v>
      </c>
      <c r="N582" t="s">
        <v>726</v>
      </c>
      <c r="O582">
        <v>1</v>
      </c>
    </row>
    <row r="583" spans="1:15" x14ac:dyDescent="0.3">
      <c r="A583" t="s">
        <v>728</v>
      </c>
      <c r="B583">
        <v>594</v>
      </c>
      <c r="C583">
        <v>305490063</v>
      </c>
      <c r="D583">
        <v>16</v>
      </c>
      <c r="E583">
        <v>15</v>
      </c>
      <c r="F583">
        <v>1</v>
      </c>
      <c r="G583">
        <v>159.436385772286</v>
      </c>
      <c r="H583">
        <v>1</v>
      </c>
      <c r="I583">
        <v>25</v>
      </c>
      <c r="K583" t="s">
        <v>729</v>
      </c>
      <c r="L583">
        <v>6</v>
      </c>
      <c r="M583" t="s">
        <v>1412</v>
      </c>
      <c r="N583" t="s">
        <v>726</v>
      </c>
      <c r="O583">
        <v>1</v>
      </c>
    </row>
    <row r="584" spans="1:15" x14ac:dyDescent="0.3">
      <c r="A584" t="s">
        <v>728</v>
      </c>
      <c r="B584">
        <v>595</v>
      </c>
      <c r="C584">
        <v>305490064</v>
      </c>
      <c r="D584">
        <v>3</v>
      </c>
      <c r="E584">
        <v>4</v>
      </c>
      <c r="F584">
        <v>1</v>
      </c>
      <c r="G584">
        <v>42.413438242096298</v>
      </c>
      <c r="H584">
        <v>1</v>
      </c>
      <c r="K584" t="s">
        <v>711</v>
      </c>
      <c r="L584">
        <v>5</v>
      </c>
      <c r="M584" t="s">
        <v>1413</v>
      </c>
      <c r="N584" t="s">
        <v>726</v>
      </c>
      <c r="O584">
        <v>1</v>
      </c>
    </row>
    <row r="585" spans="1:15" x14ac:dyDescent="0.3">
      <c r="A585" t="s">
        <v>728</v>
      </c>
      <c r="B585">
        <v>596</v>
      </c>
      <c r="C585">
        <v>305490064</v>
      </c>
      <c r="D585">
        <v>4</v>
      </c>
      <c r="E585">
        <v>3</v>
      </c>
      <c r="F585">
        <v>1</v>
      </c>
      <c r="G585">
        <v>42.413438242096298</v>
      </c>
      <c r="H585">
        <v>1</v>
      </c>
      <c r="K585" t="s">
        <v>711</v>
      </c>
      <c r="L585">
        <v>5</v>
      </c>
      <c r="M585" t="s">
        <v>1414</v>
      </c>
      <c r="N585" t="s">
        <v>726</v>
      </c>
      <c r="O585">
        <v>1</v>
      </c>
    </row>
    <row r="586" spans="1:15" x14ac:dyDescent="0.3">
      <c r="A586" t="s">
        <v>1415</v>
      </c>
      <c r="B586">
        <v>599</v>
      </c>
      <c r="C586">
        <v>305490066</v>
      </c>
      <c r="D586">
        <v>1947</v>
      </c>
      <c r="E586">
        <v>50</v>
      </c>
      <c r="F586">
        <v>1</v>
      </c>
      <c r="G586">
        <v>255.36314837680999</v>
      </c>
      <c r="H586">
        <v>1</v>
      </c>
      <c r="I586">
        <v>25</v>
      </c>
      <c r="K586" t="s">
        <v>729</v>
      </c>
      <c r="L586">
        <v>6</v>
      </c>
      <c r="M586" t="s">
        <v>1416</v>
      </c>
      <c r="N586" t="s">
        <v>726</v>
      </c>
      <c r="O586">
        <v>1</v>
      </c>
    </row>
    <row r="587" spans="1:15" x14ac:dyDescent="0.3">
      <c r="A587" t="s">
        <v>1415</v>
      </c>
      <c r="B587">
        <v>600</v>
      </c>
      <c r="C587">
        <v>305490066</v>
      </c>
      <c r="D587">
        <v>50</v>
      </c>
      <c r="E587">
        <v>1947</v>
      </c>
      <c r="F587">
        <v>1</v>
      </c>
      <c r="G587">
        <v>255.36314837680999</v>
      </c>
      <c r="H587">
        <v>1</v>
      </c>
      <c r="I587">
        <v>25</v>
      </c>
      <c r="K587" t="s">
        <v>729</v>
      </c>
      <c r="L587">
        <v>6</v>
      </c>
      <c r="M587" t="s">
        <v>1417</v>
      </c>
      <c r="N587" t="s">
        <v>726</v>
      </c>
      <c r="O587">
        <v>1</v>
      </c>
    </row>
    <row r="588" spans="1:15" x14ac:dyDescent="0.3">
      <c r="A588" t="s">
        <v>1418</v>
      </c>
      <c r="B588">
        <v>601</v>
      </c>
      <c r="C588">
        <v>305492832</v>
      </c>
      <c r="D588">
        <v>229</v>
      </c>
      <c r="E588">
        <v>139</v>
      </c>
      <c r="F588">
        <v>1</v>
      </c>
      <c r="G588">
        <v>124.597286472116</v>
      </c>
      <c r="H588">
        <v>1</v>
      </c>
      <c r="K588" t="s">
        <v>729</v>
      </c>
      <c r="L588">
        <v>6</v>
      </c>
      <c r="M588" t="s">
        <v>1419</v>
      </c>
      <c r="N588" t="s">
        <v>726</v>
      </c>
      <c r="O588">
        <v>1</v>
      </c>
    </row>
    <row r="589" spans="1:15" x14ac:dyDescent="0.3">
      <c r="A589" t="s">
        <v>1418</v>
      </c>
      <c r="B589">
        <v>602</v>
      </c>
      <c r="C589">
        <v>305492832</v>
      </c>
      <c r="D589">
        <v>139</v>
      </c>
      <c r="E589">
        <v>229</v>
      </c>
      <c r="F589">
        <v>1</v>
      </c>
      <c r="G589">
        <v>124.597286472116</v>
      </c>
      <c r="H589">
        <v>1</v>
      </c>
      <c r="K589" t="s">
        <v>729</v>
      </c>
      <c r="L589">
        <v>6</v>
      </c>
      <c r="M589" t="s">
        <v>1420</v>
      </c>
      <c r="N589" t="s">
        <v>726</v>
      </c>
      <c r="O589">
        <v>1</v>
      </c>
    </row>
    <row r="590" spans="1:15" x14ac:dyDescent="0.3">
      <c r="A590" t="s">
        <v>1418</v>
      </c>
      <c r="B590">
        <v>603</v>
      </c>
      <c r="C590">
        <v>305492832</v>
      </c>
      <c r="D590">
        <v>139</v>
      </c>
      <c r="E590">
        <v>140</v>
      </c>
      <c r="F590">
        <v>1</v>
      </c>
      <c r="G590">
        <v>106.768581589579</v>
      </c>
      <c r="H590">
        <v>1</v>
      </c>
      <c r="K590" t="s">
        <v>729</v>
      </c>
      <c r="L590">
        <v>6</v>
      </c>
      <c r="M590" t="s">
        <v>1421</v>
      </c>
      <c r="N590" t="s">
        <v>726</v>
      </c>
      <c r="O590">
        <v>1</v>
      </c>
    </row>
    <row r="591" spans="1:15" x14ac:dyDescent="0.3">
      <c r="A591" t="s">
        <v>1418</v>
      </c>
      <c r="B591">
        <v>604</v>
      </c>
      <c r="C591">
        <v>305492832</v>
      </c>
      <c r="D591">
        <v>140</v>
      </c>
      <c r="E591">
        <v>139</v>
      </c>
      <c r="F591">
        <v>1</v>
      </c>
      <c r="G591">
        <v>106.768581589579</v>
      </c>
      <c r="H591">
        <v>1</v>
      </c>
      <c r="K591" t="s">
        <v>729</v>
      </c>
      <c r="L591">
        <v>6</v>
      </c>
      <c r="M591" t="s">
        <v>1422</v>
      </c>
      <c r="N591" t="s">
        <v>726</v>
      </c>
      <c r="O591">
        <v>1</v>
      </c>
    </row>
    <row r="592" spans="1:15" x14ac:dyDescent="0.3">
      <c r="A592" t="s">
        <v>1418</v>
      </c>
      <c r="B592">
        <v>605</v>
      </c>
      <c r="C592">
        <v>305492832</v>
      </c>
      <c r="D592">
        <v>140</v>
      </c>
      <c r="E592">
        <v>141</v>
      </c>
      <c r="F592">
        <v>1</v>
      </c>
      <c r="G592">
        <v>108.348336522512</v>
      </c>
      <c r="H592">
        <v>1</v>
      </c>
      <c r="K592" t="s">
        <v>729</v>
      </c>
      <c r="L592">
        <v>6</v>
      </c>
      <c r="M592" t="s">
        <v>1423</v>
      </c>
      <c r="N592" t="s">
        <v>726</v>
      </c>
      <c r="O592">
        <v>1</v>
      </c>
    </row>
    <row r="593" spans="1:15" x14ac:dyDescent="0.3">
      <c r="A593" t="s">
        <v>1418</v>
      </c>
      <c r="B593">
        <v>606</v>
      </c>
      <c r="C593">
        <v>305492832</v>
      </c>
      <c r="D593">
        <v>141</v>
      </c>
      <c r="E593">
        <v>140</v>
      </c>
      <c r="F593">
        <v>1</v>
      </c>
      <c r="G593">
        <v>108.348336522512</v>
      </c>
      <c r="H593">
        <v>1</v>
      </c>
      <c r="K593" t="s">
        <v>729</v>
      </c>
      <c r="L593">
        <v>6</v>
      </c>
      <c r="M593" t="s">
        <v>1424</v>
      </c>
      <c r="N593" t="s">
        <v>726</v>
      </c>
      <c r="O593">
        <v>1</v>
      </c>
    </row>
    <row r="594" spans="1:15" x14ac:dyDescent="0.3">
      <c r="A594" t="s">
        <v>1068</v>
      </c>
      <c r="B594">
        <v>607</v>
      </c>
      <c r="C594">
        <v>318478627</v>
      </c>
      <c r="D594">
        <v>362</v>
      </c>
      <c r="E594">
        <v>72</v>
      </c>
      <c r="F594">
        <v>1</v>
      </c>
      <c r="G594">
        <v>58.347718796412103</v>
      </c>
      <c r="H594">
        <v>1</v>
      </c>
      <c r="K594" t="s">
        <v>729</v>
      </c>
      <c r="L594">
        <v>6</v>
      </c>
      <c r="M594" t="s">
        <v>1425</v>
      </c>
      <c r="N594" t="s">
        <v>726</v>
      </c>
      <c r="O594">
        <v>1</v>
      </c>
    </row>
    <row r="595" spans="1:15" x14ac:dyDescent="0.3">
      <c r="A595" t="s">
        <v>1068</v>
      </c>
      <c r="B595">
        <v>608</v>
      </c>
      <c r="C595">
        <v>318478627</v>
      </c>
      <c r="D595">
        <v>72</v>
      </c>
      <c r="E595">
        <v>362</v>
      </c>
      <c r="F595">
        <v>1</v>
      </c>
      <c r="G595">
        <v>58.347718796412103</v>
      </c>
      <c r="H595">
        <v>1</v>
      </c>
      <c r="K595" t="s">
        <v>729</v>
      </c>
      <c r="L595">
        <v>6</v>
      </c>
      <c r="M595" t="s">
        <v>1426</v>
      </c>
      <c r="N595" t="s">
        <v>726</v>
      </c>
      <c r="O595">
        <v>1</v>
      </c>
    </row>
    <row r="596" spans="1:15" x14ac:dyDescent="0.3">
      <c r="A596" t="s">
        <v>1068</v>
      </c>
      <c r="B596">
        <v>609</v>
      </c>
      <c r="C596">
        <v>318478627</v>
      </c>
      <c r="D596">
        <v>72</v>
      </c>
      <c r="E596">
        <v>207</v>
      </c>
      <c r="F596">
        <v>1</v>
      </c>
      <c r="G596">
        <v>60.631161390093901</v>
      </c>
      <c r="H596">
        <v>1</v>
      </c>
      <c r="K596" t="s">
        <v>729</v>
      </c>
      <c r="L596">
        <v>6</v>
      </c>
      <c r="M596" t="s">
        <v>1427</v>
      </c>
      <c r="N596" t="s">
        <v>726</v>
      </c>
      <c r="O596">
        <v>1</v>
      </c>
    </row>
    <row r="597" spans="1:15" x14ac:dyDescent="0.3">
      <c r="A597" t="s">
        <v>1068</v>
      </c>
      <c r="B597">
        <v>610</v>
      </c>
      <c r="C597">
        <v>318478627</v>
      </c>
      <c r="D597">
        <v>207</v>
      </c>
      <c r="E597">
        <v>72</v>
      </c>
      <c r="F597">
        <v>1</v>
      </c>
      <c r="G597">
        <v>60.631161390093901</v>
      </c>
      <c r="H597">
        <v>1</v>
      </c>
      <c r="K597" t="s">
        <v>729</v>
      </c>
      <c r="L597">
        <v>6</v>
      </c>
      <c r="M597" t="s">
        <v>1428</v>
      </c>
      <c r="N597" t="s">
        <v>726</v>
      </c>
      <c r="O597">
        <v>1</v>
      </c>
    </row>
    <row r="598" spans="1:15" x14ac:dyDescent="0.3">
      <c r="A598" t="s">
        <v>1068</v>
      </c>
      <c r="B598">
        <v>611</v>
      </c>
      <c r="C598">
        <v>318478627</v>
      </c>
      <c r="D598">
        <v>207</v>
      </c>
      <c r="E598">
        <v>363</v>
      </c>
      <c r="F598">
        <v>1</v>
      </c>
      <c r="G598">
        <v>24.0129458438097</v>
      </c>
      <c r="H598">
        <v>1</v>
      </c>
      <c r="K598" t="s">
        <v>729</v>
      </c>
      <c r="L598">
        <v>6</v>
      </c>
      <c r="M598" t="s">
        <v>1429</v>
      </c>
      <c r="N598" t="s">
        <v>726</v>
      </c>
      <c r="O598">
        <v>1</v>
      </c>
    </row>
    <row r="599" spans="1:15" x14ac:dyDescent="0.3">
      <c r="A599" t="s">
        <v>1068</v>
      </c>
      <c r="B599">
        <v>612</v>
      </c>
      <c r="C599">
        <v>318478627</v>
      </c>
      <c r="D599">
        <v>363</v>
      </c>
      <c r="E599">
        <v>207</v>
      </c>
      <c r="F599">
        <v>1</v>
      </c>
      <c r="G599">
        <v>24.0129458438097</v>
      </c>
      <c r="H599">
        <v>1</v>
      </c>
      <c r="K599" t="s">
        <v>729</v>
      </c>
      <c r="L599">
        <v>6</v>
      </c>
      <c r="M599" t="s">
        <v>1430</v>
      </c>
      <c r="N599" t="s">
        <v>726</v>
      </c>
      <c r="O599">
        <v>1</v>
      </c>
    </row>
    <row r="600" spans="1:15" x14ac:dyDescent="0.3">
      <c r="A600" t="s">
        <v>728</v>
      </c>
      <c r="B600">
        <v>613</v>
      </c>
      <c r="C600">
        <v>323157924</v>
      </c>
      <c r="D600">
        <v>789</v>
      </c>
      <c r="E600">
        <v>364</v>
      </c>
      <c r="F600">
        <v>1</v>
      </c>
      <c r="G600">
        <v>151.62788786825001</v>
      </c>
      <c r="H600">
        <v>1</v>
      </c>
      <c r="K600" t="s">
        <v>729</v>
      </c>
      <c r="L600">
        <v>6</v>
      </c>
      <c r="M600" t="s">
        <v>1431</v>
      </c>
      <c r="N600" t="s">
        <v>726</v>
      </c>
      <c r="O600">
        <v>1</v>
      </c>
    </row>
    <row r="601" spans="1:15" x14ac:dyDescent="0.3">
      <c r="A601" t="s">
        <v>728</v>
      </c>
      <c r="B601">
        <v>614</v>
      </c>
      <c r="C601">
        <v>323157924</v>
      </c>
      <c r="D601">
        <v>364</v>
      </c>
      <c r="E601">
        <v>789</v>
      </c>
      <c r="F601">
        <v>1</v>
      </c>
      <c r="G601">
        <v>151.62788786825001</v>
      </c>
      <c r="H601">
        <v>1</v>
      </c>
      <c r="K601" t="s">
        <v>729</v>
      </c>
      <c r="L601">
        <v>6</v>
      </c>
      <c r="M601" t="s">
        <v>1432</v>
      </c>
      <c r="N601" t="s">
        <v>726</v>
      </c>
      <c r="O601">
        <v>1</v>
      </c>
    </row>
    <row r="602" spans="1:15" x14ac:dyDescent="0.3">
      <c r="A602" t="s">
        <v>1221</v>
      </c>
      <c r="B602">
        <v>615</v>
      </c>
      <c r="C602">
        <v>327757100</v>
      </c>
      <c r="D602">
        <v>733</v>
      </c>
      <c r="E602">
        <v>760</v>
      </c>
      <c r="F602">
        <v>1</v>
      </c>
      <c r="G602">
        <v>135.245227613277</v>
      </c>
      <c r="H602">
        <v>3</v>
      </c>
      <c r="I602">
        <v>40</v>
      </c>
      <c r="K602" t="s">
        <v>890</v>
      </c>
      <c r="L602">
        <v>4</v>
      </c>
      <c r="M602" t="s">
        <v>1433</v>
      </c>
      <c r="N602" t="s">
        <v>726</v>
      </c>
      <c r="O602">
        <v>1</v>
      </c>
    </row>
    <row r="603" spans="1:15" x14ac:dyDescent="0.3">
      <c r="A603" t="s">
        <v>1221</v>
      </c>
      <c r="B603">
        <v>616</v>
      </c>
      <c r="C603">
        <v>327757100</v>
      </c>
      <c r="D603">
        <v>760</v>
      </c>
      <c r="E603">
        <v>733</v>
      </c>
      <c r="F603">
        <v>1</v>
      </c>
      <c r="G603">
        <v>135.245227613277</v>
      </c>
      <c r="H603">
        <v>2</v>
      </c>
      <c r="I603">
        <v>40</v>
      </c>
      <c r="K603" t="s">
        <v>890</v>
      </c>
      <c r="L603">
        <v>4</v>
      </c>
      <c r="M603" t="s">
        <v>1434</v>
      </c>
      <c r="N603" t="s">
        <v>726</v>
      </c>
      <c r="O603">
        <v>1</v>
      </c>
    </row>
    <row r="604" spans="1:15" x14ac:dyDescent="0.3">
      <c r="A604" t="s">
        <v>1362</v>
      </c>
      <c r="B604">
        <v>617</v>
      </c>
      <c r="C604">
        <v>327757109</v>
      </c>
      <c r="D604">
        <v>790</v>
      </c>
      <c r="E604">
        <v>553</v>
      </c>
      <c r="F604">
        <v>1</v>
      </c>
      <c r="G604">
        <v>27.743532370224798</v>
      </c>
      <c r="H604">
        <v>3</v>
      </c>
      <c r="I604">
        <v>35</v>
      </c>
      <c r="K604" t="s">
        <v>724</v>
      </c>
      <c r="L604">
        <v>3</v>
      </c>
      <c r="M604" t="s">
        <v>1435</v>
      </c>
      <c r="N604" t="s">
        <v>726</v>
      </c>
      <c r="O604">
        <v>1</v>
      </c>
    </row>
    <row r="605" spans="1:15" x14ac:dyDescent="0.3">
      <c r="A605" t="s">
        <v>1362</v>
      </c>
      <c r="B605">
        <v>618</v>
      </c>
      <c r="C605">
        <v>327757109</v>
      </c>
      <c r="D605">
        <v>553</v>
      </c>
      <c r="E605">
        <v>790</v>
      </c>
      <c r="F605">
        <v>1</v>
      </c>
      <c r="G605">
        <v>27.743532370224798</v>
      </c>
      <c r="H605">
        <v>3</v>
      </c>
      <c r="I605">
        <v>35</v>
      </c>
      <c r="K605" t="s">
        <v>724</v>
      </c>
      <c r="L605">
        <v>3</v>
      </c>
      <c r="M605" t="s">
        <v>1436</v>
      </c>
      <c r="N605" t="s">
        <v>726</v>
      </c>
      <c r="O605">
        <v>1</v>
      </c>
    </row>
    <row r="606" spans="1:15" x14ac:dyDescent="0.3">
      <c r="A606" t="s">
        <v>889</v>
      </c>
      <c r="B606">
        <v>619</v>
      </c>
      <c r="C606">
        <v>329703992</v>
      </c>
      <c r="D606">
        <v>1969</v>
      </c>
      <c r="E606">
        <v>647</v>
      </c>
      <c r="F606">
        <v>1</v>
      </c>
      <c r="G606">
        <v>299.31382494941403</v>
      </c>
      <c r="H606">
        <v>2</v>
      </c>
      <c r="I606">
        <v>35</v>
      </c>
      <c r="K606" t="s">
        <v>890</v>
      </c>
      <c r="L606">
        <v>4</v>
      </c>
      <c r="M606" t="s">
        <v>1437</v>
      </c>
      <c r="N606" t="s">
        <v>726</v>
      </c>
      <c r="O606">
        <v>0</v>
      </c>
    </row>
    <row r="607" spans="1:15" x14ac:dyDescent="0.3">
      <c r="A607" t="s">
        <v>889</v>
      </c>
      <c r="B607">
        <v>620</v>
      </c>
      <c r="C607">
        <v>329703992</v>
      </c>
      <c r="D607">
        <v>647</v>
      </c>
      <c r="E607">
        <v>1952</v>
      </c>
      <c r="F607">
        <v>1</v>
      </c>
      <c r="G607">
        <v>90.795136418545596</v>
      </c>
      <c r="H607">
        <v>2</v>
      </c>
      <c r="I607">
        <v>35</v>
      </c>
      <c r="K607" t="s">
        <v>890</v>
      </c>
      <c r="L607">
        <v>4</v>
      </c>
      <c r="M607" t="s">
        <v>1438</v>
      </c>
      <c r="N607" t="s">
        <v>726</v>
      </c>
      <c r="O607">
        <v>0</v>
      </c>
    </row>
    <row r="608" spans="1:15" x14ac:dyDescent="0.3">
      <c r="A608" t="s">
        <v>858</v>
      </c>
      <c r="B608">
        <v>621</v>
      </c>
      <c r="C608">
        <v>333522314</v>
      </c>
      <c r="D608">
        <v>1943</v>
      </c>
      <c r="E608">
        <v>357</v>
      </c>
      <c r="F608">
        <v>1</v>
      </c>
      <c r="G608">
        <v>57.4046623874532</v>
      </c>
      <c r="H608">
        <v>2</v>
      </c>
      <c r="I608">
        <v>30</v>
      </c>
      <c r="K608" t="s">
        <v>724</v>
      </c>
      <c r="L608">
        <v>3</v>
      </c>
      <c r="M608" t="s">
        <v>1439</v>
      </c>
      <c r="N608" t="s">
        <v>726</v>
      </c>
      <c r="O608">
        <v>0</v>
      </c>
    </row>
    <row r="609" spans="1:15" x14ac:dyDescent="0.3">
      <c r="B609">
        <v>622</v>
      </c>
      <c r="C609">
        <v>338703888</v>
      </c>
      <c r="D609">
        <v>370</v>
      </c>
      <c r="E609">
        <v>369</v>
      </c>
      <c r="F609">
        <v>1</v>
      </c>
      <c r="G609">
        <v>12.0462593706192</v>
      </c>
      <c r="H609">
        <v>1</v>
      </c>
      <c r="K609" t="s">
        <v>724</v>
      </c>
      <c r="L609">
        <v>3</v>
      </c>
      <c r="M609" t="s">
        <v>1440</v>
      </c>
      <c r="N609" t="s">
        <v>726</v>
      </c>
      <c r="O609">
        <v>1</v>
      </c>
    </row>
    <row r="610" spans="1:15" x14ac:dyDescent="0.3">
      <c r="B610">
        <v>623</v>
      </c>
      <c r="C610">
        <v>338703888</v>
      </c>
      <c r="D610">
        <v>369</v>
      </c>
      <c r="E610">
        <v>370</v>
      </c>
      <c r="F610">
        <v>1</v>
      </c>
      <c r="G610">
        <v>12.0462593706192</v>
      </c>
      <c r="H610">
        <v>1</v>
      </c>
      <c r="K610" t="s">
        <v>724</v>
      </c>
      <c r="L610">
        <v>3</v>
      </c>
      <c r="M610" t="s">
        <v>1441</v>
      </c>
      <c r="N610" t="s">
        <v>726</v>
      </c>
      <c r="O610">
        <v>1</v>
      </c>
    </row>
    <row r="611" spans="1:15" x14ac:dyDescent="0.3">
      <c r="A611" t="s">
        <v>1442</v>
      </c>
      <c r="B611">
        <v>624</v>
      </c>
      <c r="C611">
        <v>338703892</v>
      </c>
      <c r="D611">
        <v>367</v>
      </c>
      <c r="E611">
        <v>368</v>
      </c>
      <c r="F611">
        <v>1</v>
      </c>
      <c r="G611">
        <v>132.5740304487</v>
      </c>
      <c r="H611">
        <v>1</v>
      </c>
      <c r="K611" t="s">
        <v>729</v>
      </c>
      <c r="L611">
        <v>6</v>
      </c>
      <c r="M611" t="s">
        <v>1443</v>
      </c>
      <c r="N611" t="s">
        <v>726</v>
      </c>
      <c r="O611">
        <v>1</v>
      </c>
    </row>
    <row r="612" spans="1:15" x14ac:dyDescent="0.3">
      <c r="A612" t="s">
        <v>1442</v>
      </c>
      <c r="B612">
        <v>625</v>
      </c>
      <c r="C612">
        <v>338703892</v>
      </c>
      <c r="D612">
        <v>368</v>
      </c>
      <c r="E612">
        <v>367</v>
      </c>
      <c r="F612">
        <v>1</v>
      </c>
      <c r="G612">
        <v>132.5740304487</v>
      </c>
      <c r="H612">
        <v>1</v>
      </c>
      <c r="K612" t="s">
        <v>729</v>
      </c>
      <c r="L612">
        <v>6</v>
      </c>
      <c r="M612" t="s">
        <v>1444</v>
      </c>
      <c r="N612" t="s">
        <v>726</v>
      </c>
      <c r="O612">
        <v>1</v>
      </c>
    </row>
    <row r="613" spans="1:15" x14ac:dyDescent="0.3">
      <c r="A613" t="s">
        <v>1445</v>
      </c>
      <c r="B613">
        <v>626</v>
      </c>
      <c r="C613">
        <v>339041925</v>
      </c>
      <c r="D613">
        <v>184</v>
      </c>
      <c r="E613">
        <v>219</v>
      </c>
      <c r="F613">
        <v>1</v>
      </c>
      <c r="G613">
        <v>176.534364186343</v>
      </c>
      <c r="H613">
        <v>1</v>
      </c>
      <c r="K613" t="s">
        <v>729</v>
      </c>
      <c r="L613">
        <v>6</v>
      </c>
      <c r="M613" t="s">
        <v>1446</v>
      </c>
      <c r="N613" t="s">
        <v>726</v>
      </c>
      <c r="O613">
        <v>1</v>
      </c>
    </row>
    <row r="614" spans="1:15" x14ac:dyDescent="0.3">
      <c r="A614" t="s">
        <v>1445</v>
      </c>
      <c r="B614">
        <v>627</v>
      </c>
      <c r="C614">
        <v>339041925</v>
      </c>
      <c r="D614">
        <v>219</v>
      </c>
      <c r="E614">
        <v>184</v>
      </c>
      <c r="F614">
        <v>1</v>
      </c>
      <c r="G614">
        <v>176.534364186343</v>
      </c>
      <c r="H614">
        <v>1</v>
      </c>
      <c r="K614" t="s">
        <v>729</v>
      </c>
      <c r="L614">
        <v>6</v>
      </c>
      <c r="M614" t="s">
        <v>1447</v>
      </c>
      <c r="N614" t="s">
        <v>726</v>
      </c>
      <c r="O614">
        <v>1</v>
      </c>
    </row>
    <row r="615" spans="1:15" x14ac:dyDescent="0.3">
      <c r="A615" t="s">
        <v>1448</v>
      </c>
      <c r="B615">
        <v>628</v>
      </c>
      <c r="C615">
        <v>339048056</v>
      </c>
      <c r="D615">
        <v>203</v>
      </c>
      <c r="E615">
        <v>204</v>
      </c>
      <c r="F615">
        <v>1</v>
      </c>
      <c r="G615">
        <v>111.54649631599</v>
      </c>
      <c r="H615">
        <v>1</v>
      </c>
      <c r="K615" t="s">
        <v>729</v>
      </c>
      <c r="L615">
        <v>6</v>
      </c>
      <c r="M615" t="s">
        <v>1449</v>
      </c>
      <c r="N615" t="s">
        <v>726</v>
      </c>
      <c r="O615">
        <v>1</v>
      </c>
    </row>
    <row r="616" spans="1:15" x14ac:dyDescent="0.3">
      <c r="A616" t="s">
        <v>1448</v>
      </c>
      <c r="B616">
        <v>629</v>
      </c>
      <c r="C616">
        <v>339048056</v>
      </c>
      <c r="D616">
        <v>204</v>
      </c>
      <c r="E616">
        <v>203</v>
      </c>
      <c r="F616">
        <v>1</v>
      </c>
      <c r="G616">
        <v>111.54649631599</v>
      </c>
      <c r="H616">
        <v>1</v>
      </c>
      <c r="K616" t="s">
        <v>729</v>
      </c>
      <c r="L616">
        <v>6</v>
      </c>
      <c r="M616" t="s">
        <v>1450</v>
      </c>
      <c r="N616" t="s">
        <v>726</v>
      </c>
      <c r="O616">
        <v>1</v>
      </c>
    </row>
    <row r="617" spans="1:15" x14ac:dyDescent="0.3">
      <c r="A617" t="s">
        <v>1143</v>
      </c>
      <c r="B617">
        <v>630</v>
      </c>
      <c r="C617">
        <v>339640420</v>
      </c>
      <c r="D617">
        <v>205</v>
      </c>
      <c r="E617">
        <v>411</v>
      </c>
      <c r="F617">
        <v>1</v>
      </c>
      <c r="G617">
        <v>192.63941741732</v>
      </c>
      <c r="H617">
        <v>1</v>
      </c>
      <c r="K617" t="s">
        <v>729</v>
      </c>
      <c r="L617">
        <v>6</v>
      </c>
      <c r="M617" t="s">
        <v>1451</v>
      </c>
      <c r="N617" t="s">
        <v>726</v>
      </c>
      <c r="O617">
        <v>1</v>
      </c>
    </row>
    <row r="618" spans="1:15" x14ac:dyDescent="0.3">
      <c r="A618" t="s">
        <v>1143</v>
      </c>
      <c r="B618">
        <v>631</v>
      </c>
      <c r="C618">
        <v>339640420</v>
      </c>
      <c r="D618">
        <v>411</v>
      </c>
      <c r="E618">
        <v>205</v>
      </c>
      <c r="F618">
        <v>1</v>
      </c>
      <c r="G618">
        <v>192.63941741732</v>
      </c>
      <c r="H618">
        <v>1</v>
      </c>
      <c r="K618" t="s">
        <v>729</v>
      </c>
      <c r="L618">
        <v>6</v>
      </c>
      <c r="M618" t="s">
        <v>1452</v>
      </c>
      <c r="N618" t="s">
        <v>726</v>
      </c>
      <c r="O618">
        <v>1</v>
      </c>
    </row>
    <row r="619" spans="1:15" x14ac:dyDescent="0.3">
      <c r="A619" t="s">
        <v>1143</v>
      </c>
      <c r="B619">
        <v>632</v>
      </c>
      <c r="C619">
        <v>339640420</v>
      </c>
      <c r="D619">
        <v>411</v>
      </c>
      <c r="E619">
        <v>206</v>
      </c>
      <c r="F619">
        <v>1</v>
      </c>
      <c r="G619">
        <v>45.422531037980299</v>
      </c>
      <c r="H619">
        <v>1</v>
      </c>
      <c r="K619" t="s">
        <v>729</v>
      </c>
      <c r="L619">
        <v>6</v>
      </c>
      <c r="M619" t="s">
        <v>1453</v>
      </c>
      <c r="N619" t="s">
        <v>726</v>
      </c>
      <c r="O619">
        <v>1</v>
      </c>
    </row>
    <row r="620" spans="1:15" x14ac:dyDescent="0.3">
      <c r="A620" t="s">
        <v>1143</v>
      </c>
      <c r="B620">
        <v>633</v>
      </c>
      <c r="C620">
        <v>339640420</v>
      </c>
      <c r="D620">
        <v>206</v>
      </c>
      <c r="E620">
        <v>411</v>
      </c>
      <c r="F620">
        <v>1</v>
      </c>
      <c r="G620">
        <v>45.422531037980299</v>
      </c>
      <c r="H620">
        <v>1</v>
      </c>
      <c r="K620" t="s">
        <v>729</v>
      </c>
      <c r="L620">
        <v>6</v>
      </c>
      <c r="M620" t="s">
        <v>1454</v>
      </c>
      <c r="N620" t="s">
        <v>726</v>
      </c>
      <c r="O620">
        <v>1</v>
      </c>
    </row>
    <row r="621" spans="1:15" x14ac:dyDescent="0.3">
      <c r="A621" t="s">
        <v>1221</v>
      </c>
      <c r="B621">
        <v>634</v>
      </c>
      <c r="C621">
        <v>345713658</v>
      </c>
      <c r="D621">
        <v>88</v>
      </c>
      <c r="E621">
        <v>87</v>
      </c>
      <c r="F621">
        <v>1</v>
      </c>
      <c r="G621">
        <v>148.09520336224</v>
      </c>
      <c r="H621">
        <v>2</v>
      </c>
      <c r="I621">
        <v>40</v>
      </c>
      <c r="K621" t="s">
        <v>890</v>
      </c>
      <c r="L621">
        <v>4</v>
      </c>
      <c r="M621" t="s">
        <v>1455</v>
      </c>
      <c r="N621" t="s">
        <v>726</v>
      </c>
      <c r="O621">
        <v>0</v>
      </c>
    </row>
    <row r="622" spans="1:15" x14ac:dyDescent="0.3">
      <c r="A622" t="s">
        <v>1221</v>
      </c>
      <c r="B622">
        <v>635</v>
      </c>
      <c r="C622">
        <v>345713658</v>
      </c>
      <c r="D622">
        <v>87</v>
      </c>
      <c r="E622">
        <v>372</v>
      </c>
      <c r="F622">
        <v>1</v>
      </c>
      <c r="G622">
        <v>42.666074769177101</v>
      </c>
      <c r="H622">
        <v>2</v>
      </c>
      <c r="I622">
        <v>40</v>
      </c>
      <c r="K622" t="s">
        <v>890</v>
      </c>
      <c r="L622">
        <v>4</v>
      </c>
      <c r="M622" t="s">
        <v>1456</v>
      </c>
      <c r="N622" t="s">
        <v>726</v>
      </c>
      <c r="O622">
        <v>0</v>
      </c>
    </row>
    <row r="623" spans="1:15" x14ac:dyDescent="0.3">
      <c r="A623" t="s">
        <v>1221</v>
      </c>
      <c r="B623">
        <v>636</v>
      </c>
      <c r="C623">
        <v>345713659</v>
      </c>
      <c r="D623">
        <v>374</v>
      </c>
      <c r="E623">
        <v>88</v>
      </c>
      <c r="F623">
        <v>1</v>
      </c>
      <c r="G623">
        <v>148.827663217809</v>
      </c>
      <c r="H623">
        <v>3</v>
      </c>
      <c r="I623">
        <v>40</v>
      </c>
      <c r="K623" t="s">
        <v>890</v>
      </c>
      <c r="L623">
        <v>4</v>
      </c>
      <c r="M623" t="s">
        <v>1457</v>
      </c>
      <c r="N623" t="s">
        <v>726</v>
      </c>
      <c r="O623">
        <v>0</v>
      </c>
    </row>
    <row r="624" spans="1:15" x14ac:dyDescent="0.3">
      <c r="A624" t="s">
        <v>1182</v>
      </c>
      <c r="B624">
        <v>637</v>
      </c>
      <c r="C624">
        <v>345713830</v>
      </c>
      <c r="D624">
        <v>90</v>
      </c>
      <c r="E624">
        <v>376</v>
      </c>
      <c r="F624">
        <v>1</v>
      </c>
      <c r="G624">
        <v>133.61798206477999</v>
      </c>
      <c r="H624">
        <v>1</v>
      </c>
      <c r="K624" t="s">
        <v>729</v>
      </c>
      <c r="L624">
        <v>6</v>
      </c>
      <c r="M624" t="s">
        <v>1458</v>
      </c>
      <c r="N624" t="s">
        <v>726</v>
      </c>
      <c r="O624">
        <v>1</v>
      </c>
    </row>
    <row r="625" spans="1:15" x14ac:dyDescent="0.3">
      <c r="A625" t="s">
        <v>1182</v>
      </c>
      <c r="B625">
        <v>638</v>
      </c>
      <c r="C625">
        <v>345713830</v>
      </c>
      <c r="D625">
        <v>376</v>
      </c>
      <c r="E625">
        <v>90</v>
      </c>
      <c r="F625">
        <v>1</v>
      </c>
      <c r="G625">
        <v>133.61798206477999</v>
      </c>
      <c r="H625">
        <v>1</v>
      </c>
      <c r="K625" t="s">
        <v>729</v>
      </c>
      <c r="L625">
        <v>6</v>
      </c>
      <c r="M625" t="s">
        <v>1459</v>
      </c>
      <c r="N625" t="s">
        <v>726</v>
      </c>
      <c r="O625">
        <v>1</v>
      </c>
    </row>
    <row r="626" spans="1:15" x14ac:dyDescent="0.3">
      <c r="A626" t="s">
        <v>1182</v>
      </c>
      <c r="B626">
        <v>639</v>
      </c>
      <c r="C626">
        <v>345713830</v>
      </c>
      <c r="D626">
        <v>376</v>
      </c>
      <c r="E626">
        <v>791</v>
      </c>
      <c r="F626">
        <v>1</v>
      </c>
      <c r="G626">
        <v>15.3332488807952</v>
      </c>
      <c r="H626">
        <v>1</v>
      </c>
      <c r="K626" t="s">
        <v>729</v>
      </c>
      <c r="L626">
        <v>6</v>
      </c>
      <c r="M626" t="s">
        <v>1460</v>
      </c>
      <c r="N626" t="s">
        <v>726</v>
      </c>
      <c r="O626">
        <v>1</v>
      </c>
    </row>
    <row r="627" spans="1:15" x14ac:dyDescent="0.3">
      <c r="A627" t="s">
        <v>1182</v>
      </c>
      <c r="B627">
        <v>640</v>
      </c>
      <c r="C627">
        <v>345713830</v>
      </c>
      <c r="D627">
        <v>791</v>
      </c>
      <c r="E627">
        <v>376</v>
      </c>
      <c r="F627">
        <v>1</v>
      </c>
      <c r="G627">
        <v>15.3332488807952</v>
      </c>
      <c r="H627">
        <v>1</v>
      </c>
      <c r="K627" t="s">
        <v>729</v>
      </c>
      <c r="L627">
        <v>6</v>
      </c>
      <c r="M627" t="s">
        <v>1461</v>
      </c>
      <c r="N627" t="s">
        <v>726</v>
      </c>
      <c r="O627">
        <v>1</v>
      </c>
    </row>
    <row r="628" spans="1:15" x14ac:dyDescent="0.3">
      <c r="A628" t="s">
        <v>988</v>
      </c>
      <c r="B628">
        <v>641</v>
      </c>
      <c r="C628">
        <v>351673438</v>
      </c>
      <c r="D628">
        <v>568</v>
      </c>
      <c r="E628">
        <v>431</v>
      </c>
      <c r="F628">
        <v>1</v>
      </c>
      <c r="G628">
        <v>55.999320203568203</v>
      </c>
      <c r="H628">
        <v>4</v>
      </c>
      <c r="I628">
        <v>40</v>
      </c>
      <c r="K628" t="s">
        <v>890</v>
      </c>
      <c r="L628">
        <v>4</v>
      </c>
      <c r="M628" t="s">
        <v>1462</v>
      </c>
      <c r="N628" t="s">
        <v>726</v>
      </c>
      <c r="O628">
        <v>0</v>
      </c>
    </row>
    <row r="629" spans="1:15" x14ac:dyDescent="0.3">
      <c r="A629" t="s">
        <v>960</v>
      </c>
      <c r="B629">
        <v>642</v>
      </c>
      <c r="C629">
        <v>353008478</v>
      </c>
      <c r="D629">
        <v>208</v>
      </c>
      <c r="E629">
        <v>97</v>
      </c>
      <c r="F629">
        <v>1</v>
      </c>
      <c r="G629">
        <v>223.610259811416</v>
      </c>
      <c r="H629">
        <v>1</v>
      </c>
      <c r="K629" t="s">
        <v>729</v>
      </c>
      <c r="L629">
        <v>6</v>
      </c>
      <c r="M629" t="s">
        <v>1463</v>
      </c>
      <c r="N629" t="s">
        <v>726</v>
      </c>
      <c r="O629">
        <v>1</v>
      </c>
    </row>
    <row r="630" spans="1:15" x14ac:dyDescent="0.3">
      <c r="A630" t="s">
        <v>960</v>
      </c>
      <c r="B630">
        <v>643</v>
      </c>
      <c r="C630">
        <v>353008478</v>
      </c>
      <c r="D630">
        <v>97</v>
      </c>
      <c r="E630">
        <v>208</v>
      </c>
      <c r="F630">
        <v>1</v>
      </c>
      <c r="G630">
        <v>223.610259811416</v>
      </c>
      <c r="H630">
        <v>1</v>
      </c>
      <c r="K630" t="s">
        <v>729</v>
      </c>
      <c r="L630">
        <v>6</v>
      </c>
      <c r="M630" t="s">
        <v>1464</v>
      </c>
      <c r="N630" t="s">
        <v>726</v>
      </c>
      <c r="O630">
        <v>1</v>
      </c>
    </row>
    <row r="631" spans="1:15" x14ac:dyDescent="0.3">
      <c r="A631" t="s">
        <v>834</v>
      </c>
      <c r="B631">
        <v>644</v>
      </c>
      <c r="C631">
        <v>353276815</v>
      </c>
      <c r="D631">
        <v>376</v>
      </c>
      <c r="E631">
        <v>375</v>
      </c>
      <c r="F631">
        <v>1</v>
      </c>
      <c r="G631">
        <v>71.316684938878495</v>
      </c>
      <c r="H631">
        <v>1</v>
      </c>
      <c r="K631" t="s">
        <v>729</v>
      </c>
      <c r="L631">
        <v>6</v>
      </c>
      <c r="M631" t="s">
        <v>1465</v>
      </c>
      <c r="N631" t="s">
        <v>726</v>
      </c>
      <c r="O631">
        <v>1</v>
      </c>
    </row>
    <row r="632" spans="1:15" x14ac:dyDescent="0.3">
      <c r="A632" t="s">
        <v>834</v>
      </c>
      <c r="B632">
        <v>645</v>
      </c>
      <c r="C632">
        <v>353276815</v>
      </c>
      <c r="D632">
        <v>375</v>
      </c>
      <c r="E632">
        <v>376</v>
      </c>
      <c r="F632">
        <v>1</v>
      </c>
      <c r="G632">
        <v>71.316684938878495</v>
      </c>
      <c r="H632">
        <v>1</v>
      </c>
      <c r="K632" t="s">
        <v>729</v>
      </c>
      <c r="L632">
        <v>6</v>
      </c>
      <c r="M632" t="s">
        <v>1466</v>
      </c>
      <c r="N632" t="s">
        <v>726</v>
      </c>
      <c r="O632">
        <v>1</v>
      </c>
    </row>
    <row r="633" spans="1:15" x14ac:dyDescent="0.3">
      <c r="A633" t="s">
        <v>1467</v>
      </c>
      <c r="B633">
        <v>646</v>
      </c>
      <c r="C633">
        <v>355797370</v>
      </c>
      <c r="D633">
        <v>174</v>
      </c>
      <c r="E633">
        <v>377</v>
      </c>
      <c r="F633">
        <v>1</v>
      </c>
      <c r="G633">
        <v>139.31880873648299</v>
      </c>
      <c r="H633">
        <v>1</v>
      </c>
      <c r="K633" t="s">
        <v>729</v>
      </c>
      <c r="L633">
        <v>6</v>
      </c>
      <c r="M633" t="s">
        <v>1468</v>
      </c>
      <c r="N633" t="s">
        <v>726</v>
      </c>
      <c r="O633">
        <v>1</v>
      </c>
    </row>
    <row r="634" spans="1:15" x14ac:dyDescent="0.3">
      <c r="A634" t="s">
        <v>1467</v>
      </c>
      <c r="B634">
        <v>647</v>
      </c>
      <c r="C634">
        <v>355797370</v>
      </c>
      <c r="D634">
        <v>377</v>
      </c>
      <c r="E634">
        <v>174</v>
      </c>
      <c r="F634">
        <v>1</v>
      </c>
      <c r="G634">
        <v>139.31880873648299</v>
      </c>
      <c r="H634">
        <v>1</v>
      </c>
      <c r="K634" t="s">
        <v>729</v>
      </c>
      <c r="L634">
        <v>6</v>
      </c>
      <c r="M634" t="s">
        <v>1469</v>
      </c>
      <c r="N634" t="s">
        <v>726</v>
      </c>
      <c r="O634">
        <v>1</v>
      </c>
    </row>
    <row r="635" spans="1:15" x14ac:dyDescent="0.3">
      <c r="A635" t="s">
        <v>1156</v>
      </c>
      <c r="B635">
        <v>648</v>
      </c>
      <c r="C635">
        <v>359427313</v>
      </c>
      <c r="D635">
        <v>380</v>
      </c>
      <c r="E635">
        <v>379</v>
      </c>
      <c r="F635">
        <v>1</v>
      </c>
      <c r="G635">
        <v>85.760759811032003</v>
      </c>
      <c r="H635">
        <v>1</v>
      </c>
      <c r="K635" t="s">
        <v>729</v>
      </c>
      <c r="L635">
        <v>6</v>
      </c>
      <c r="M635" t="s">
        <v>1470</v>
      </c>
      <c r="N635" t="s">
        <v>726</v>
      </c>
      <c r="O635">
        <v>1</v>
      </c>
    </row>
    <row r="636" spans="1:15" x14ac:dyDescent="0.3">
      <c r="A636" t="s">
        <v>1156</v>
      </c>
      <c r="B636">
        <v>649</v>
      </c>
      <c r="C636">
        <v>359427313</v>
      </c>
      <c r="D636">
        <v>379</v>
      </c>
      <c r="E636">
        <v>380</v>
      </c>
      <c r="F636">
        <v>1</v>
      </c>
      <c r="G636">
        <v>85.760759811032003</v>
      </c>
      <c r="H636">
        <v>1</v>
      </c>
      <c r="K636" t="s">
        <v>729</v>
      </c>
      <c r="L636">
        <v>6</v>
      </c>
      <c r="M636" t="s">
        <v>1471</v>
      </c>
      <c r="N636" t="s">
        <v>726</v>
      </c>
      <c r="O636">
        <v>1</v>
      </c>
    </row>
    <row r="637" spans="1:15" x14ac:dyDescent="0.3">
      <c r="A637" t="s">
        <v>1101</v>
      </c>
      <c r="B637">
        <v>650</v>
      </c>
      <c r="C637">
        <v>359618840</v>
      </c>
      <c r="D637">
        <v>382</v>
      </c>
      <c r="E637">
        <v>295</v>
      </c>
      <c r="F637">
        <v>1</v>
      </c>
      <c r="G637">
        <v>288.02112421384999</v>
      </c>
      <c r="H637">
        <v>1</v>
      </c>
      <c r="I637">
        <v>25</v>
      </c>
      <c r="K637" t="s">
        <v>729</v>
      </c>
      <c r="L637">
        <v>6</v>
      </c>
      <c r="M637" t="s">
        <v>1472</v>
      </c>
      <c r="N637" t="s">
        <v>726</v>
      </c>
      <c r="O637">
        <v>1</v>
      </c>
    </row>
    <row r="638" spans="1:15" x14ac:dyDescent="0.3">
      <c r="A638" t="s">
        <v>1101</v>
      </c>
      <c r="B638">
        <v>651</v>
      </c>
      <c r="C638">
        <v>359618840</v>
      </c>
      <c r="D638">
        <v>295</v>
      </c>
      <c r="E638">
        <v>382</v>
      </c>
      <c r="F638">
        <v>1</v>
      </c>
      <c r="G638">
        <v>288.02112421384999</v>
      </c>
      <c r="H638">
        <v>1</v>
      </c>
      <c r="I638">
        <v>25</v>
      </c>
      <c r="K638" t="s">
        <v>729</v>
      </c>
      <c r="L638">
        <v>6</v>
      </c>
      <c r="M638" t="s">
        <v>1473</v>
      </c>
      <c r="N638" t="s">
        <v>726</v>
      </c>
      <c r="O638">
        <v>1</v>
      </c>
    </row>
    <row r="639" spans="1:15" x14ac:dyDescent="0.3">
      <c r="B639">
        <v>652</v>
      </c>
      <c r="C639">
        <v>359620978</v>
      </c>
      <c r="D639">
        <v>379</v>
      </c>
      <c r="E639">
        <v>381</v>
      </c>
      <c r="F639">
        <v>1</v>
      </c>
      <c r="G639">
        <v>51.599977207616803</v>
      </c>
      <c r="H639">
        <v>1</v>
      </c>
      <c r="K639" t="s">
        <v>729</v>
      </c>
      <c r="L639">
        <v>6</v>
      </c>
      <c r="M639" t="s">
        <v>1474</v>
      </c>
      <c r="N639" t="s">
        <v>726</v>
      </c>
      <c r="O639">
        <v>1</v>
      </c>
    </row>
    <row r="640" spans="1:15" x14ac:dyDescent="0.3">
      <c r="B640">
        <v>653</v>
      </c>
      <c r="C640">
        <v>359620978</v>
      </c>
      <c r="D640">
        <v>381</v>
      </c>
      <c r="E640">
        <v>379</v>
      </c>
      <c r="F640">
        <v>1</v>
      </c>
      <c r="G640">
        <v>51.599977207616803</v>
      </c>
      <c r="H640">
        <v>1</v>
      </c>
      <c r="K640" t="s">
        <v>729</v>
      </c>
      <c r="L640">
        <v>6</v>
      </c>
      <c r="M640" t="s">
        <v>1475</v>
      </c>
      <c r="N640" t="s">
        <v>726</v>
      </c>
      <c r="O640">
        <v>1</v>
      </c>
    </row>
    <row r="641" spans="1:15" x14ac:dyDescent="0.3">
      <c r="A641" t="s">
        <v>1476</v>
      </c>
      <c r="B641">
        <v>655</v>
      </c>
      <c r="C641">
        <v>384000879</v>
      </c>
      <c r="D641">
        <v>389</v>
      </c>
      <c r="E641">
        <v>390</v>
      </c>
      <c r="F641">
        <v>1</v>
      </c>
      <c r="G641">
        <v>250.461009464466</v>
      </c>
      <c r="H641">
        <v>1</v>
      </c>
      <c r="I641">
        <v>25</v>
      </c>
      <c r="K641" t="s">
        <v>729</v>
      </c>
      <c r="L641">
        <v>6</v>
      </c>
      <c r="M641" t="s">
        <v>1477</v>
      </c>
      <c r="N641" t="s">
        <v>726</v>
      </c>
      <c r="O641">
        <v>1</v>
      </c>
    </row>
    <row r="642" spans="1:15" x14ac:dyDescent="0.3">
      <c r="A642" t="s">
        <v>1476</v>
      </c>
      <c r="B642">
        <v>656</v>
      </c>
      <c r="C642">
        <v>384000879</v>
      </c>
      <c r="D642">
        <v>390</v>
      </c>
      <c r="E642">
        <v>389</v>
      </c>
      <c r="F642">
        <v>1</v>
      </c>
      <c r="G642">
        <v>250.461009464466</v>
      </c>
      <c r="H642">
        <v>1</v>
      </c>
      <c r="I642">
        <v>25</v>
      </c>
      <c r="K642" t="s">
        <v>729</v>
      </c>
      <c r="L642">
        <v>6</v>
      </c>
      <c r="M642" t="s">
        <v>1478</v>
      </c>
      <c r="N642" t="s">
        <v>726</v>
      </c>
      <c r="O642">
        <v>1</v>
      </c>
    </row>
    <row r="643" spans="1:15" x14ac:dyDescent="0.3">
      <c r="A643" t="s">
        <v>1362</v>
      </c>
      <c r="B643">
        <v>657</v>
      </c>
      <c r="C643">
        <v>395215600</v>
      </c>
      <c r="D643">
        <v>542</v>
      </c>
      <c r="E643">
        <v>236</v>
      </c>
      <c r="F643">
        <v>1</v>
      </c>
      <c r="G643">
        <v>61.724304477893803</v>
      </c>
      <c r="H643">
        <v>4</v>
      </c>
      <c r="I643">
        <v>35</v>
      </c>
      <c r="K643" t="s">
        <v>724</v>
      </c>
      <c r="L643">
        <v>3</v>
      </c>
      <c r="M643" t="s">
        <v>1479</v>
      </c>
      <c r="N643" t="s">
        <v>726</v>
      </c>
      <c r="O643">
        <v>1</v>
      </c>
    </row>
    <row r="644" spans="1:15" x14ac:dyDescent="0.3">
      <c r="A644" t="s">
        <v>1362</v>
      </c>
      <c r="B644">
        <v>658</v>
      </c>
      <c r="C644">
        <v>395215600</v>
      </c>
      <c r="D644">
        <v>236</v>
      </c>
      <c r="E644">
        <v>542</v>
      </c>
      <c r="F644">
        <v>1</v>
      </c>
      <c r="G644">
        <v>61.724304477893803</v>
      </c>
      <c r="H644">
        <v>3</v>
      </c>
      <c r="I644">
        <v>35</v>
      </c>
      <c r="K644" t="s">
        <v>724</v>
      </c>
      <c r="L644">
        <v>3</v>
      </c>
      <c r="M644" t="s">
        <v>1480</v>
      </c>
      <c r="N644" t="s">
        <v>726</v>
      </c>
      <c r="O644">
        <v>1</v>
      </c>
    </row>
    <row r="645" spans="1:15" x14ac:dyDescent="0.3">
      <c r="A645" t="s">
        <v>1362</v>
      </c>
      <c r="B645">
        <v>659</v>
      </c>
      <c r="C645">
        <v>395215600</v>
      </c>
      <c r="D645">
        <v>236</v>
      </c>
      <c r="E645">
        <v>253</v>
      </c>
      <c r="F645">
        <v>1</v>
      </c>
      <c r="G645">
        <v>15.411616833468001</v>
      </c>
      <c r="H645">
        <v>4</v>
      </c>
      <c r="I645">
        <v>35</v>
      </c>
      <c r="K645" t="s">
        <v>724</v>
      </c>
      <c r="L645">
        <v>3</v>
      </c>
      <c r="M645" t="s">
        <v>1481</v>
      </c>
      <c r="N645" t="s">
        <v>726</v>
      </c>
      <c r="O645">
        <v>1</v>
      </c>
    </row>
    <row r="646" spans="1:15" x14ac:dyDescent="0.3">
      <c r="A646" t="s">
        <v>1362</v>
      </c>
      <c r="B646">
        <v>660</v>
      </c>
      <c r="C646">
        <v>395215600</v>
      </c>
      <c r="D646">
        <v>253</v>
      </c>
      <c r="E646">
        <v>236</v>
      </c>
      <c r="F646">
        <v>1</v>
      </c>
      <c r="G646">
        <v>15.411616833468001</v>
      </c>
      <c r="H646">
        <v>3</v>
      </c>
      <c r="I646">
        <v>35</v>
      </c>
      <c r="K646" t="s">
        <v>724</v>
      </c>
      <c r="L646">
        <v>3</v>
      </c>
      <c r="M646" t="s">
        <v>1482</v>
      </c>
      <c r="N646" t="s">
        <v>726</v>
      </c>
      <c r="O646">
        <v>1</v>
      </c>
    </row>
    <row r="647" spans="1:15" x14ac:dyDescent="0.3">
      <c r="B647">
        <v>661</v>
      </c>
      <c r="C647">
        <v>395471041</v>
      </c>
      <c r="D647">
        <v>393</v>
      </c>
      <c r="E647">
        <v>432</v>
      </c>
      <c r="F647">
        <v>1</v>
      </c>
      <c r="G647">
        <v>7.4927058400191902</v>
      </c>
      <c r="H647">
        <v>1</v>
      </c>
      <c r="K647" t="s">
        <v>890</v>
      </c>
      <c r="L647">
        <v>4</v>
      </c>
      <c r="M647" t="s">
        <v>1483</v>
      </c>
      <c r="N647" t="s">
        <v>726</v>
      </c>
      <c r="O647">
        <v>1</v>
      </c>
    </row>
    <row r="648" spans="1:15" x14ac:dyDescent="0.3">
      <c r="B648">
        <v>662</v>
      </c>
      <c r="C648">
        <v>395471041</v>
      </c>
      <c r="D648">
        <v>432</v>
      </c>
      <c r="E648">
        <v>393</v>
      </c>
      <c r="F648">
        <v>1</v>
      </c>
      <c r="G648">
        <v>7.4927058400191902</v>
      </c>
      <c r="H648">
        <v>1</v>
      </c>
      <c r="K648" t="s">
        <v>890</v>
      </c>
      <c r="L648">
        <v>4</v>
      </c>
      <c r="M648" t="s">
        <v>1484</v>
      </c>
      <c r="N648" t="s">
        <v>726</v>
      </c>
      <c r="O648">
        <v>1</v>
      </c>
    </row>
    <row r="649" spans="1:15" x14ac:dyDescent="0.3">
      <c r="A649" t="s">
        <v>1078</v>
      </c>
      <c r="B649">
        <v>663</v>
      </c>
      <c r="C649">
        <v>395471054</v>
      </c>
      <c r="D649">
        <v>394</v>
      </c>
      <c r="E649">
        <v>1954</v>
      </c>
      <c r="F649">
        <v>1</v>
      </c>
      <c r="G649">
        <v>31.174474263955702</v>
      </c>
      <c r="H649">
        <v>1</v>
      </c>
      <c r="K649" t="s">
        <v>711</v>
      </c>
      <c r="L649">
        <v>5</v>
      </c>
      <c r="M649" t="s">
        <v>1485</v>
      </c>
      <c r="N649" t="s">
        <v>726</v>
      </c>
      <c r="O649">
        <v>0</v>
      </c>
    </row>
    <row r="650" spans="1:15" x14ac:dyDescent="0.3">
      <c r="A650" t="s">
        <v>1078</v>
      </c>
      <c r="B650">
        <v>664</v>
      </c>
      <c r="C650">
        <v>395471056</v>
      </c>
      <c r="D650">
        <v>1954</v>
      </c>
      <c r="E650">
        <v>394</v>
      </c>
      <c r="F650">
        <v>1</v>
      </c>
      <c r="G650">
        <v>32.184866313870899</v>
      </c>
      <c r="H650">
        <v>1</v>
      </c>
      <c r="K650" t="s">
        <v>711</v>
      </c>
      <c r="L650">
        <v>5</v>
      </c>
      <c r="M650" t="s">
        <v>1486</v>
      </c>
      <c r="N650" t="s">
        <v>726</v>
      </c>
      <c r="O650">
        <v>0</v>
      </c>
    </row>
    <row r="651" spans="1:15" x14ac:dyDescent="0.3">
      <c r="A651" t="s">
        <v>970</v>
      </c>
      <c r="B651">
        <v>665</v>
      </c>
      <c r="C651">
        <v>395487079</v>
      </c>
      <c r="D651">
        <v>396</v>
      </c>
      <c r="E651">
        <v>155</v>
      </c>
      <c r="F651">
        <v>1</v>
      </c>
      <c r="G651">
        <v>78.624113371628795</v>
      </c>
      <c r="H651">
        <v>1</v>
      </c>
      <c r="K651" t="s">
        <v>729</v>
      </c>
      <c r="L651">
        <v>6</v>
      </c>
      <c r="M651" t="s">
        <v>1487</v>
      </c>
      <c r="N651" t="s">
        <v>726</v>
      </c>
      <c r="O651">
        <v>1</v>
      </c>
    </row>
    <row r="652" spans="1:15" x14ac:dyDescent="0.3">
      <c r="A652" t="s">
        <v>970</v>
      </c>
      <c r="B652">
        <v>666</v>
      </c>
      <c r="C652">
        <v>395487079</v>
      </c>
      <c r="D652">
        <v>155</v>
      </c>
      <c r="E652">
        <v>396</v>
      </c>
      <c r="F652">
        <v>1</v>
      </c>
      <c r="G652">
        <v>78.624113371628795</v>
      </c>
      <c r="H652">
        <v>1</v>
      </c>
      <c r="K652" t="s">
        <v>729</v>
      </c>
      <c r="L652">
        <v>6</v>
      </c>
      <c r="M652" t="s">
        <v>1488</v>
      </c>
      <c r="N652" t="s">
        <v>726</v>
      </c>
      <c r="O652">
        <v>1</v>
      </c>
    </row>
    <row r="653" spans="1:15" x14ac:dyDescent="0.3">
      <c r="A653" t="s">
        <v>970</v>
      </c>
      <c r="B653">
        <v>667</v>
      </c>
      <c r="C653">
        <v>395487079</v>
      </c>
      <c r="D653">
        <v>155</v>
      </c>
      <c r="E653">
        <v>792</v>
      </c>
      <c r="F653">
        <v>1</v>
      </c>
      <c r="G653">
        <v>24.730448511428399</v>
      </c>
      <c r="H653">
        <v>1</v>
      </c>
      <c r="K653" t="s">
        <v>729</v>
      </c>
      <c r="L653">
        <v>6</v>
      </c>
      <c r="M653" t="s">
        <v>1489</v>
      </c>
      <c r="N653" t="s">
        <v>726</v>
      </c>
      <c r="O653">
        <v>1</v>
      </c>
    </row>
    <row r="654" spans="1:15" x14ac:dyDescent="0.3">
      <c r="A654" t="s">
        <v>970</v>
      </c>
      <c r="B654">
        <v>668</v>
      </c>
      <c r="C654">
        <v>395487079</v>
      </c>
      <c r="D654">
        <v>792</v>
      </c>
      <c r="E654">
        <v>155</v>
      </c>
      <c r="F654">
        <v>1</v>
      </c>
      <c r="G654">
        <v>24.730448511428399</v>
      </c>
      <c r="H654">
        <v>1</v>
      </c>
      <c r="K654" t="s">
        <v>729</v>
      </c>
      <c r="L654">
        <v>6</v>
      </c>
      <c r="M654" t="s">
        <v>1490</v>
      </c>
      <c r="N654" t="s">
        <v>726</v>
      </c>
      <c r="O654">
        <v>1</v>
      </c>
    </row>
    <row r="655" spans="1:15" x14ac:dyDescent="0.3">
      <c r="A655" t="s">
        <v>781</v>
      </c>
      <c r="B655">
        <v>669</v>
      </c>
      <c r="C655">
        <v>395487080</v>
      </c>
      <c r="D655">
        <v>60</v>
      </c>
      <c r="E655">
        <v>708</v>
      </c>
      <c r="F655">
        <v>1</v>
      </c>
      <c r="G655">
        <v>10.0186671911191</v>
      </c>
      <c r="H655">
        <v>1</v>
      </c>
      <c r="K655" t="s">
        <v>729</v>
      </c>
      <c r="L655">
        <v>6</v>
      </c>
      <c r="M655" t="s">
        <v>1491</v>
      </c>
      <c r="N655" t="s">
        <v>726</v>
      </c>
      <c r="O655">
        <v>1</v>
      </c>
    </row>
    <row r="656" spans="1:15" x14ac:dyDescent="0.3">
      <c r="A656" t="s">
        <v>781</v>
      </c>
      <c r="B656">
        <v>670</v>
      </c>
      <c r="C656">
        <v>395487080</v>
      </c>
      <c r="D656">
        <v>708</v>
      </c>
      <c r="E656">
        <v>60</v>
      </c>
      <c r="F656">
        <v>1</v>
      </c>
      <c r="G656">
        <v>10.0186671911191</v>
      </c>
      <c r="H656">
        <v>1</v>
      </c>
      <c r="K656" t="s">
        <v>729</v>
      </c>
      <c r="L656">
        <v>6</v>
      </c>
      <c r="M656" t="s">
        <v>1492</v>
      </c>
      <c r="N656" t="s">
        <v>726</v>
      </c>
      <c r="O656">
        <v>1</v>
      </c>
    </row>
    <row r="657" spans="1:15" x14ac:dyDescent="0.3">
      <c r="A657" t="s">
        <v>781</v>
      </c>
      <c r="B657">
        <v>671</v>
      </c>
      <c r="C657">
        <v>395487080</v>
      </c>
      <c r="D657">
        <v>708</v>
      </c>
      <c r="E657">
        <v>61</v>
      </c>
      <c r="F657">
        <v>1</v>
      </c>
      <c r="G657">
        <v>89.920324837365001</v>
      </c>
      <c r="H657">
        <v>1</v>
      </c>
      <c r="K657" t="s">
        <v>729</v>
      </c>
      <c r="L657">
        <v>6</v>
      </c>
      <c r="M657" t="s">
        <v>1493</v>
      </c>
      <c r="N657" t="s">
        <v>726</v>
      </c>
      <c r="O657">
        <v>1</v>
      </c>
    </row>
    <row r="658" spans="1:15" x14ac:dyDescent="0.3">
      <c r="A658" t="s">
        <v>781</v>
      </c>
      <c r="B658">
        <v>672</v>
      </c>
      <c r="C658">
        <v>395487080</v>
      </c>
      <c r="D658">
        <v>61</v>
      </c>
      <c r="E658">
        <v>708</v>
      </c>
      <c r="F658">
        <v>1</v>
      </c>
      <c r="G658">
        <v>89.920324837365001</v>
      </c>
      <c r="H658">
        <v>1</v>
      </c>
      <c r="K658" t="s">
        <v>729</v>
      </c>
      <c r="L658">
        <v>6</v>
      </c>
      <c r="M658" t="s">
        <v>1494</v>
      </c>
      <c r="N658" t="s">
        <v>726</v>
      </c>
      <c r="O658">
        <v>1</v>
      </c>
    </row>
    <row r="659" spans="1:15" x14ac:dyDescent="0.3">
      <c r="A659" t="s">
        <v>781</v>
      </c>
      <c r="B659">
        <v>673</v>
      </c>
      <c r="C659">
        <v>395487080</v>
      </c>
      <c r="D659">
        <v>61</v>
      </c>
      <c r="E659">
        <v>793</v>
      </c>
      <c r="F659">
        <v>1</v>
      </c>
      <c r="G659">
        <v>27.922170883845201</v>
      </c>
      <c r="H659">
        <v>1</v>
      </c>
      <c r="K659" t="s">
        <v>729</v>
      </c>
      <c r="L659">
        <v>6</v>
      </c>
      <c r="M659" t="s">
        <v>1495</v>
      </c>
      <c r="N659" t="s">
        <v>726</v>
      </c>
      <c r="O659">
        <v>1</v>
      </c>
    </row>
    <row r="660" spans="1:15" x14ac:dyDescent="0.3">
      <c r="A660" t="s">
        <v>781</v>
      </c>
      <c r="B660">
        <v>674</v>
      </c>
      <c r="C660">
        <v>395487080</v>
      </c>
      <c r="D660">
        <v>793</v>
      </c>
      <c r="E660">
        <v>61</v>
      </c>
      <c r="F660">
        <v>1</v>
      </c>
      <c r="G660">
        <v>27.922170883845201</v>
      </c>
      <c r="H660">
        <v>1</v>
      </c>
      <c r="K660" t="s">
        <v>729</v>
      </c>
      <c r="L660">
        <v>6</v>
      </c>
      <c r="M660" t="s">
        <v>1496</v>
      </c>
      <c r="N660" t="s">
        <v>726</v>
      </c>
      <c r="O660">
        <v>1</v>
      </c>
    </row>
    <row r="661" spans="1:15" x14ac:dyDescent="0.3">
      <c r="A661" t="s">
        <v>1476</v>
      </c>
      <c r="B661">
        <v>675</v>
      </c>
      <c r="C661">
        <v>395487081</v>
      </c>
      <c r="D661">
        <v>397</v>
      </c>
      <c r="E661">
        <v>391</v>
      </c>
      <c r="F661">
        <v>1</v>
      </c>
      <c r="G661">
        <v>43.4701581239718</v>
      </c>
      <c r="H661">
        <v>1</v>
      </c>
      <c r="I661">
        <v>25</v>
      </c>
      <c r="K661" t="s">
        <v>729</v>
      </c>
      <c r="L661">
        <v>6</v>
      </c>
      <c r="M661" t="s">
        <v>1497</v>
      </c>
      <c r="N661" t="s">
        <v>726</v>
      </c>
      <c r="O661">
        <v>1</v>
      </c>
    </row>
    <row r="662" spans="1:15" x14ac:dyDescent="0.3">
      <c r="A662" t="s">
        <v>1476</v>
      </c>
      <c r="B662">
        <v>676</v>
      </c>
      <c r="C662">
        <v>395487081</v>
      </c>
      <c r="D662">
        <v>391</v>
      </c>
      <c r="E662">
        <v>397</v>
      </c>
      <c r="F662">
        <v>1</v>
      </c>
      <c r="G662">
        <v>43.4701581239718</v>
      </c>
      <c r="H662">
        <v>1</v>
      </c>
      <c r="I662">
        <v>25</v>
      </c>
      <c r="K662" t="s">
        <v>729</v>
      </c>
      <c r="L662">
        <v>6</v>
      </c>
      <c r="M662" t="s">
        <v>1498</v>
      </c>
      <c r="N662" t="s">
        <v>726</v>
      </c>
      <c r="O662">
        <v>1</v>
      </c>
    </row>
    <row r="663" spans="1:15" x14ac:dyDescent="0.3">
      <c r="A663" t="s">
        <v>1476</v>
      </c>
      <c r="B663">
        <v>677</v>
      </c>
      <c r="C663">
        <v>395487081</v>
      </c>
      <c r="D663">
        <v>391</v>
      </c>
      <c r="E663">
        <v>392</v>
      </c>
      <c r="F663">
        <v>1</v>
      </c>
      <c r="G663">
        <v>291.34365083288799</v>
      </c>
      <c r="H663">
        <v>1</v>
      </c>
      <c r="I663">
        <v>25</v>
      </c>
      <c r="K663" t="s">
        <v>729</v>
      </c>
      <c r="L663">
        <v>6</v>
      </c>
      <c r="M663" t="s">
        <v>1499</v>
      </c>
      <c r="N663" t="s">
        <v>726</v>
      </c>
      <c r="O663">
        <v>1</v>
      </c>
    </row>
    <row r="664" spans="1:15" x14ac:dyDescent="0.3">
      <c r="A664" t="s">
        <v>1476</v>
      </c>
      <c r="B664">
        <v>678</v>
      </c>
      <c r="C664">
        <v>395487081</v>
      </c>
      <c r="D664">
        <v>392</v>
      </c>
      <c r="E664">
        <v>391</v>
      </c>
      <c r="F664">
        <v>1</v>
      </c>
      <c r="G664">
        <v>291.34365083288799</v>
      </c>
      <c r="H664">
        <v>1</v>
      </c>
      <c r="I664">
        <v>25</v>
      </c>
      <c r="K664" t="s">
        <v>729</v>
      </c>
      <c r="L664">
        <v>6</v>
      </c>
      <c r="M664" t="s">
        <v>1500</v>
      </c>
      <c r="N664" t="s">
        <v>726</v>
      </c>
      <c r="O664">
        <v>1</v>
      </c>
    </row>
    <row r="665" spans="1:15" x14ac:dyDescent="0.3">
      <c r="B665">
        <v>679</v>
      </c>
      <c r="C665">
        <v>395487087</v>
      </c>
      <c r="D665">
        <v>405</v>
      </c>
      <c r="E665">
        <v>402</v>
      </c>
      <c r="F665">
        <v>1</v>
      </c>
      <c r="G665">
        <v>7.2985238779848496</v>
      </c>
      <c r="H665">
        <v>1</v>
      </c>
      <c r="K665" t="s">
        <v>729</v>
      </c>
      <c r="L665">
        <v>6</v>
      </c>
      <c r="M665" t="s">
        <v>1501</v>
      </c>
      <c r="N665" t="s">
        <v>726</v>
      </c>
      <c r="O665">
        <v>1</v>
      </c>
    </row>
    <row r="666" spans="1:15" x14ac:dyDescent="0.3">
      <c r="B666">
        <v>680</v>
      </c>
      <c r="C666">
        <v>395487087</v>
      </c>
      <c r="D666">
        <v>402</v>
      </c>
      <c r="E666">
        <v>405</v>
      </c>
      <c r="F666">
        <v>1</v>
      </c>
      <c r="G666">
        <v>7.2985238779848496</v>
      </c>
      <c r="H666">
        <v>1</v>
      </c>
      <c r="K666" t="s">
        <v>729</v>
      </c>
      <c r="L666">
        <v>6</v>
      </c>
      <c r="M666" t="s">
        <v>1502</v>
      </c>
      <c r="N666" t="s">
        <v>726</v>
      </c>
      <c r="O666">
        <v>1</v>
      </c>
    </row>
    <row r="667" spans="1:15" x14ac:dyDescent="0.3">
      <c r="B667">
        <v>681</v>
      </c>
      <c r="C667">
        <v>395487087</v>
      </c>
      <c r="D667">
        <v>402</v>
      </c>
      <c r="E667">
        <v>398</v>
      </c>
      <c r="F667">
        <v>1</v>
      </c>
      <c r="G667">
        <v>133.170443066264</v>
      </c>
      <c r="H667">
        <v>1</v>
      </c>
      <c r="K667" t="s">
        <v>729</v>
      </c>
      <c r="L667">
        <v>6</v>
      </c>
      <c r="M667" t="s">
        <v>1503</v>
      </c>
      <c r="N667" t="s">
        <v>726</v>
      </c>
      <c r="O667">
        <v>1</v>
      </c>
    </row>
    <row r="668" spans="1:15" x14ac:dyDescent="0.3">
      <c r="B668">
        <v>682</v>
      </c>
      <c r="C668">
        <v>395487087</v>
      </c>
      <c r="D668">
        <v>398</v>
      </c>
      <c r="E668">
        <v>402</v>
      </c>
      <c r="F668">
        <v>1</v>
      </c>
      <c r="G668">
        <v>133.170443066264</v>
      </c>
      <c r="H668">
        <v>1</v>
      </c>
      <c r="K668" t="s">
        <v>729</v>
      </c>
      <c r="L668">
        <v>6</v>
      </c>
      <c r="M668" t="s">
        <v>1504</v>
      </c>
      <c r="N668" t="s">
        <v>726</v>
      </c>
      <c r="O668">
        <v>1</v>
      </c>
    </row>
    <row r="669" spans="1:15" x14ac:dyDescent="0.3">
      <c r="A669" t="s">
        <v>898</v>
      </c>
      <c r="B669">
        <v>683</v>
      </c>
      <c r="C669">
        <v>395488325</v>
      </c>
      <c r="D669">
        <v>403</v>
      </c>
      <c r="E669">
        <v>404</v>
      </c>
      <c r="F669">
        <v>1</v>
      </c>
      <c r="G669">
        <v>31.2881881119479</v>
      </c>
      <c r="H669">
        <v>1</v>
      </c>
      <c r="K669" t="s">
        <v>729</v>
      </c>
      <c r="L669">
        <v>6</v>
      </c>
      <c r="M669" t="s">
        <v>1505</v>
      </c>
      <c r="N669" t="s">
        <v>726</v>
      </c>
      <c r="O669">
        <v>0</v>
      </c>
    </row>
    <row r="670" spans="1:15" x14ac:dyDescent="0.3">
      <c r="A670" t="s">
        <v>898</v>
      </c>
      <c r="B670">
        <v>684</v>
      </c>
      <c r="C670">
        <v>395488325</v>
      </c>
      <c r="D670">
        <v>404</v>
      </c>
      <c r="E670">
        <v>405</v>
      </c>
      <c r="F670">
        <v>1</v>
      </c>
      <c r="G670">
        <v>4.6462596211451803</v>
      </c>
      <c r="H670">
        <v>1</v>
      </c>
      <c r="K670" t="s">
        <v>729</v>
      </c>
      <c r="L670">
        <v>6</v>
      </c>
      <c r="M670" t="s">
        <v>1506</v>
      </c>
      <c r="N670" t="s">
        <v>726</v>
      </c>
      <c r="O670">
        <v>0</v>
      </c>
    </row>
    <row r="671" spans="1:15" x14ac:dyDescent="0.3">
      <c r="A671" t="s">
        <v>898</v>
      </c>
      <c r="B671">
        <v>685</v>
      </c>
      <c r="C671">
        <v>395488325</v>
      </c>
      <c r="D671">
        <v>405</v>
      </c>
      <c r="E671">
        <v>653</v>
      </c>
      <c r="F671">
        <v>1</v>
      </c>
      <c r="G671">
        <v>39.8937428159497</v>
      </c>
      <c r="H671">
        <v>1</v>
      </c>
      <c r="K671" t="s">
        <v>729</v>
      </c>
      <c r="L671">
        <v>6</v>
      </c>
      <c r="M671" t="s">
        <v>1507</v>
      </c>
      <c r="N671" t="s">
        <v>726</v>
      </c>
      <c r="O671">
        <v>0</v>
      </c>
    </row>
    <row r="672" spans="1:15" x14ac:dyDescent="0.3">
      <c r="A672" t="s">
        <v>1109</v>
      </c>
      <c r="B672">
        <v>686</v>
      </c>
      <c r="C672">
        <v>395488326</v>
      </c>
      <c r="D672">
        <v>657</v>
      </c>
      <c r="E672">
        <v>402</v>
      </c>
      <c r="F672">
        <v>1</v>
      </c>
      <c r="G672">
        <v>75.1322794759011</v>
      </c>
      <c r="H672">
        <v>1</v>
      </c>
      <c r="K672" t="s">
        <v>711</v>
      </c>
      <c r="L672">
        <v>5</v>
      </c>
      <c r="M672" t="s">
        <v>1508</v>
      </c>
      <c r="N672" t="s">
        <v>726</v>
      </c>
      <c r="O672">
        <v>0</v>
      </c>
    </row>
    <row r="673" spans="1:15" x14ac:dyDescent="0.3">
      <c r="A673" t="s">
        <v>1109</v>
      </c>
      <c r="B673">
        <v>687</v>
      </c>
      <c r="C673">
        <v>395488326</v>
      </c>
      <c r="D673">
        <v>402</v>
      </c>
      <c r="E673">
        <v>404</v>
      </c>
      <c r="F673">
        <v>1</v>
      </c>
      <c r="G673">
        <v>5.93839670126314</v>
      </c>
      <c r="H673">
        <v>1</v>
      </c>
      <c r="K673" t="s">
        <v>711</v>
      </c>
      <c r="L673">
        <v>5</v>
      </c>
      <c r="M673" t="s">
        <v>1509</v>
      </c>
      <c r="N673" t="s">
        <v>726</v>
      </c>
      <c r="O673">
        <v>0</v>
      </c>
    </row>
    <row r="674" spans="1:15" x14ac:dyDescent="0.3">
      <c r="A674" t="s">
        <v>1109</v>
      </c>
      <c r="B674">
        <v>688</v>
      </c>
      <c r="C674">
        <v>395488326</v>
      </c>
      <c r="D674">
        <v>404</v>
      </c>
      <c r="E674">
        <v>400</v>
      </c>
      <c r="F674">
        <v>1</v>
      </c>
      <c r="G674">
        <v>25.403862233225698</v>
      </c>
      <c r="H674">
        <v>1</v>
      </c>
      <c r="K674" t="s">
        <v>711</v>
      </c>
      <c r="L674">
        <v>5</v>
      </c>
      <c r="M674" t="s">
        <v>1510</v>
      </c>
      <c r="N674" t="s">
        <v>726</v>
      </c>
      <c r="O674">
        <v>0</v>
      </c>
    </row>
    <row r="675" spans="1:15" x14ac:dyDescent="0.3">
      <c r="A675" t="s">
        <v>1109</v>
      </c>
      <c r="B675">
        <v>689</v>
      </c>
      <c r="C675">
        <v>395488327</v>
      </c>
      <c r="D675">
        <v>623</v>
      </c>
      <c r="E675">
        <v>794</v>
      </c>
      <c r="F675">
        <v>1</v>
      </c>
      <c r="G675">
        <v>80.894726661415305</v>
      </c>
      <c r="H675">
        <v>1</v>
      </c>
      <c r="I675">
        <v>25</v>
      </c>
      <c r="K675" t="s">
        <v>711</v>
      </c>
      <c r="L675">
        <v>5</v>
      </c>
      <c r="M675" t="s">
        <v>1511</v>
      </c>
      <c r="N675" t="s">
        <v>726</v>
      </c>
      <c r="O675">
        <v>1</v>
      </c>
    </row>
    <row r="676" spans="1:15" x14ac:dyDescent="0.3">
      <c r="A676" t="s">
        <v>1109</v>
      </c>
      <c r="B676">
        <v>690</v>
      </c>
      <c r="C676">
        <v>395488327</v>
      </c>
      <c r="D676">
        <v>794</v>
      </c>
      <c r="E676">
        <v>623</v>
      </c>
      <c r="F676">
        <v>1</v>
      </c>
      <c r="G676">
        <v>80.894726661415305</v>
      </c>
      <c r="H676">
        <v>1</v>
      </c>
      <c r="I676">
        <v>25</v>
      </c>
      <c r="K676" t="s">
        <v>711</v>
      </c>
      <c r="L676">
        <v>5</v>
      </c>
      <c r="M676" t="s">
        <v>1512</v>
      </c>
      <c r="N676" t="s">
        <v>726</v>
      </c>
      <c r="O676">
        <v>1</v>
      </c>
    </row>
    <row r="677" spans="1:15" x14ac:dyDescent="0.3">
      <c r="A677" t="s">
        <v>1109</v>
      </c>
      <c r="B677">
        <v>691</v>
      </c>
      <c r="C677">
        <v>395488328</v>
      </c>
      <c r="D677">
        <v>400</v>
      </c>
      <c r="E677">
        <v>405</v>
      </c>
      <c r="F677">
        <v>1</v>
      </c>
      <c r="G677">
        <v>25.871748121747501</v>
      </c>
      <c r="H677">
        <v>1</v>
      </c>
      <c r="K677" t="s">
        <v>711</v>
      </c>
      <c r="L677">
        <v>5</v>
      </c>
      <c r="M677" t="s">
        <v>1513</v>
      </c>
      <c r="N677" t="s">
        <v>726</v>
      </c>
      <c r="O677">
        <v>0</v>
      </c>
    </row>
    <row r="678" spans="1:15" x14ac:dyDescent="0.3">
      <c r="A678" t="s">
        <v>1109</v>
      </c>
      <c r="B678">
        <v>692</v>
      </c>
      <c r="C678">
        <v>395488328</v>
      </c>
      <c r="D678">
        <v>405</v>
      </c>
      <c r="E678">
        <v>401</v>
      </c>
      <c r="F678">
        <v>1</v>
      </c>
      <c r="G678">
        <v>5.9492833905318401</v>
      </c>
      <c r="H678">
        <v>1</v>
      </c>
      <c r="K678" t="s">
        <v>711</v>
      </c>
      <c r="L678">
        <v>5</v>
      </c>
      <c r="M678" t="s">
        <v>1514</v>
      </c>
      <c r="N678" t="s">
        <v>726</v>
      </c>
      <c r="O678">
        <v>0</v>
      </c>
    </row>
    <row r="679" spans="1:15" x14ac:dyDescent="0.3">
      <c r="A679" t="s">
        <v>1109</v>
      </c>
      <c r="B679">
        <v>693</v>
      </c>
      <c r="C679">
        <v>395488328</v>
      </c>
      <c r="D679">
        <v>401</v>
      </c>
      <c r="E679">
        <v>657</v>
      </c>
      <c r="F679">
        <v>1</v>
      </c>
      <c r="G679">
        <v>74.769986598070602</v>
      </c>
      <c r="H679">
        <v>1</v>
      </c>
      <c r="K679" t="s">
        <v>711</v>
      </c>
      <c r="L679">
        <v>5</v>
      </c>
      <c r="M679" t="s">
        <v>1515</v>
      </c>
      <c r="N679" t="s">
        <v>726</v>
      </c>
      <c r="O679">
        <v>0</v>
      </c>
    </row>
    <row r="680" spans="1:15" x14ac:dyDescent="0.3">
      <c r="A680" t="s">
        <v>898</v>
      </c>
      <c r="B680">
        <v>694</v>
      </c>
      <c r="C680">
        <v>395488329</v>
      </c>
      <c r="D680">
        <v>653</v>
      </c>
      <c r="E680">
        <v>654</v>
      </c>
      <c r="F680">
        <v>1</v>
      </c>
      <c r="G680">
        <v>54.339268175340202</v>
      </c>
      <c r="H680">
        <v>1</v>
      </c>
      <c r="K680" t="s">
        <v>729</v>
      </c>
      <c r="L680">
        <v>6</v>
      </c>
      <c r="M680" t="s">
        <v>1516</v>
      </c>
      <c r="N680" t="s">
        <v>726</v>
      </c>
      <c r="O680">
        <v>1</v>
      </c>
    </row>
    <row r="681" spans="1:15" x14ac:dyDescent="0.3">
      <c r="A681" t="s">
        <v>898</v>
      </c>
      <c r="B681">
        <v>695</v>
      </c>
      <c r="C681">
        <v>395488329</v>
      </c>
      <c r="D681">
        <v>654</v>
      </c>
      <c r="E681">
        <v>653</v>
      </c>
      <c r="F681">
        <v>1</v>
      </c>
      <c r="G681">
        <v>54.339268175340102</v>
      </c>
      <c r="H681">
        <v>1</v>
      </c>
      <c r="K681" t="s">
        <v>729</v>
      </c>
      <c r="L681">
        <v>6</v>
      </c>
      <c r="M681" t="s">
        <v>1517</v>
      </c>
      <c r="N681" t="s">
        <v>726</v>
      </c>
      <c r="O681">
        <v>1</v>
      </c>
    </row>
    <row r="682" spans="1:15" x14ac:dyDescent="0.3">
      <c r="A682" t="s">
        <v>898</v>
      </c>
      <c r="B682">
        <v>696</v>
      </c>
      <c r="C682">
        <v>395488330</v>
      </c>
      <c r="D682">
        <v>399</v>
      </c>
      <c r="E682">
        <v>401</v>
      </c>
      <c r="F682">
        <v>1</v>
      </c>
      <c r="G682">
        <v>25.638251195941699</v>
      </c>
      <c r="H682">
        <v>1</v>
      </c>
      <c r="K682" t="s">
        <v>729</v>
      </c>
      <c r="L682">
        <v>6</v>
      </c>
      <c r="M682" t="s">
        <v>1518</v>
      </c>
      <c r="N682" t="s">
        <v>726</v>
      </c>
      <c r="O682">
        <v>0</v>
      </c>
    </row>
    <row r="683" spans="1:15" x14ac:dyDescent="0.3">
      <c r="A683" t="s">
        <v>898</v>
      </c>
      <c r="B683">
        <v>697</v>
      </c>
      <c r="C683">
        <v>395488330</v>
      </c>
      <c r="D683">
        <v>401</v>
      </c>
      <c r="E683">
        <v>402</v>
      </c>
      <c r="F683">
        <v>1</v>
      </c>
      <c r="G683">
        <v>4.6656509889193902</v>
      </c>
      <c r="H683">
        <v>1</v>
      </c>
      <c r="K683" t="s">
        <v>729</v>
      </c>
      <c r="L683">
        <v>6</v>
      </c>
      <c r="M683" t="s">
        <v>1519</v>
      </c>
      <c r="N683" t="s">
        <v>726</v>
      </c>
      <c r="O683">
        <v>0</v>
      </c>
    </row>
    <row r="684" spans="1:15" x14ac:dyDescent="0.3">
      <c r="A684" t="s">
        <v>898</v>
      </c>
      <c r="B684">
        <v>698</v>
      </c>
      <c r="C684">
        <v>395488330</v>
      </c>
      <c r="D684">
        <v>402</v>
      </c>
      <c r="E684">
        <v>403</v>
      </c>
      <c r="F684">
        <v>1</v>
      </c>
      <c r="G684">
        <v>32.341786291055101</v>
      </c>
      <c r="H684">
        <v>1</v>
      </c>
      <c r="K684" t="s">
        <v>729</v>
      </c>
      <c r="L684">
        <v>6</v>
      </c>
      <c r="M684" t="s">
        <v>1520</v>
      </c>
      <c r="N684" t="s">
        <v>726</v>
      </c>
      <c r="O684">
        <v>0</v>
      </c>
    </row>
    <row r="685" spans="1:15" x14ac:dyDescent="0.3">
      <c r="B685">
        <v>699</v>
      </c>
      <c r="C685">
        <v>395489954</v>
      </c>
      <c r="D685">
        <v>411</v>
      </c>
      <c r="E685">
        <v>418</v>
      </c>
      <c r="F685">
        <v>1</v>
      </c>
      <c r="G685">
        <v>23.400795580594401</v>
      </c>
      <c r="H685">
        <v>1</v>
      </c>
      <c r="K685" t="s">
        <v>729</v>
      </c>
      <c r="L685">
        <v>6</v>
      </c>
      <c r="M685" t="s">
        <v>1521</v>
      </c>
      <c r="N685" t="s">
        <v>726</v>
      </c>
      <c r="O685">
        <v>1</v>
      </c>
    </row>
    <row r="686" spans="1:15" x14ac:dyDescent="0.3">
      <c r="B686">
        <v>700</v>
      </c>
      <c r="C686">
        <v>395489954</v>
      </c>
      <c r="D686">
        <v>418</v>
      </c>
      <c r="E686">
        <v>411</v>
      </c>
      <c r="F686">
        <v>1</v>
      </c>
      <c r="G686">
        <v>23.400795580594401</v>
      </c>
      <c r="H686">
        <v>1</v>
      </c>
      <c r="K686" t="s">
        <v>729</v>
      </c>
      <c r="L686">
        <v>6</v>
      </c>
      <c r="M686" t="s">
        <v>1522</v>
      </c>
      <c r="N686" t="s">
        <v>726</v>
      </c>
      <c r="O686">
        <v>1</v>
      </c>
    </row>
    <row r="687" spans="1:15" x14ac:dyDescent="0.3">
      <c r="A687" t="s">
        <v>858</v>
      </c>
      <c r="B687">
        <v>701</v>
      </c>
      <c r="C687">
        <v>395489955</v>
      </c>
      <c r="D687">
        <v>419</v>
      </c>
      <c r="E687">
        <v>528</v>
      </c>
      <c r="F687">
        <v>1</v>
      </c>
      <c r="G687">
        <v>286.95086999059299</v>
      </c>
      <c r="H687">
        <v>2</v>
      </c>
      <c r="I687">
        <v>35</v>
      </c>
      <c r="K687" t="s">
        <v>890</v>
      </c>
      <c r="L687">
        <v>4</v>
      </c>
      <c r="M687" t="s">
        <v>1523</v>
      </c>
      <c r="N687" t="s">
        <v>726</v>
      </c>
      <c r="O687">
        <v>0</v>
      </c>
    </row>
    <row r="688" spans="1:15" x14ac:dyDescent="0.3">
      <c r="A688" t="s">
        <v>858</v>
      </c>
      <c r="B688">
        <v>702</v>
      </c>
      <c r="C688">
        <v>395489956</v>
      </c>
      <c r="D688">
        <v>264</v>
      </c>
      <c r="E688">
        <v>1963</v>
      </c>
      <c r="F688">
        <v>1</v>
      </c>
      <c r="G688">
        <v>8.6044554369095501</v>
      </c>
      <c r="H688">
        <v>2</v>
      </c>
      <c r="K688" t="s">
        <v>890</v>
      </c>
      <c r="L688">
        <v>4</v>
      </c>
      <c r="M688" t="s">
        <v>1524</v>
      </c>
      <c r="N688" t="s">
        <v>726</v>
      </c>
      <c r="O688">
        <v>0</v>
      </c>
    </row>
    <row r="689" spans="1:15" x14ac:dyDescent="0.3">
      <c r="A689" t="s">
        <v>858</v>
      </c>
      <c r="B689">
        <v>704</v>
      </c>
      <c r="C689">
        <v>395489956</v>
      </c>
      <c r="D689">
        <v>1963</v>
      </c>
      <c r="E689">
        <v>1955</v>
      </c>
      <c r="F689">
        <v>1</v>
      </c>
      <c r="G689">
        <v>138.58701797878001</v>
      </c>
      <c r="H689">
        <v>2</v>
      </c>
      <c r="K689" t="s">
        <v>890</v>
      </c>
      <c r="L689">
        <v>4</v>
      </c>
      <c r="M689" t="s">
        <v>1525</v>
      </c>
      <c r="N689" t="s">
        <v>726</v>
      </c>
      <c r="O689">
        <v>0</v>
      </c>
    </row>
    <row r="690" spans="1:15" x14ac:dyDescent="0.3">
      <c r="A690" t="s">
        <v>858</v>
      </c>
      <c r="B690">
        <v>706</v>
      </c>
      <c r="C690">
        <v>395489957</v>
      </c>
      <c r="D690">
        <v>414</v>
      </c>
      <c r="E690">
        <v>415</v>
      </c>
      <c r="F690">
        <v>1</v>
      </c>
      <c r="G690">
        <v>130.567611769698</v>
      </c>
      <c r="H690">
        <v>2</v>
      </c>
      <c r="I690">
        <v>35</v>
      </c>
      <c r="K690" t="s">
        <v>890</v>
      </c>
      <c r="L690">
        <v>4</v>
      </c>
      <c r="M690" t="s">
        <v>1526</v>
      </c>
      <c r="N690" t="s">
        <v>726</v>
      </c>
      <c r="O690">
        <v>0</v>
      </c>
    </row>
    <row r="691" spans="1:15" x14ac:dyDescent="0.3">
      <c r="A691" t="s">
        <v>1527</v>
      </c>
      <c r="B691">
        <v>707</v>
      </c>
      <c r="C691">
        <v>395490718</v>
      </c>
      <c r="D691">
        <v>409</v>
      </c>
      <c r="E691">
        <v>66</v>
      </c>
      <c r="F691">
        <v>1</v>
      </c>
      <c r="G691">
        <v>106.038081931126</v>
      </c>
      <c r="H691">
        <v>1</v>
      </c>
      <c r="K691" t="s">
        <v>729</v>
      </c>
      <c r="L691">
        <v>6</v>
      </c>
      <c r="M691" t="s">
        <v>1528</v>
      </c>
      <c r="N691" t="s">
        <v>726</v>
      </c>
      <c r="O691">
        <v>1</v>
      </c>
    </row>
    <row r="692" spans="1:15" x14ac:dyDescent="0.3">
      <c r="A692" t="s">
        <v>1527</v>
      </c>
      <c r="B692">
        <v>708</v>
      </c>
      <c r="C692">
        <v>395490718</v>
      </c>
      <c r="D692">
        <v>66</v>
      </c>
      <c r="E692">
        <v>409</v>
      </c>
      <c r="F692">
        <v>1</v>
      </c>
      <c r="G692">
        <v>106.038081931126</v>
      </c>
      <c r="H692">
        <v>1</v>
      </c>
      <c r="K692" t="s">
        <v>729</v>
      </c>
      <c r="L692">
        <v>6</v>
      </c>
      <c r="M692" t="s">
        <v>1529</v>
      </c>
      <c r="N692" t="s">
        <v>726</v>
      </c>
      <c r="O692">
        <v>1</v>
      </c>
    </row>
    <row r="693" spans="1:15" x14ac:dyDescent="0.3">
      <c r="A693" t="s">
        <v>858</v>
      </c>
      <c r="B693">
        <v>709</v>
      </c>
      <c r="C693">
        <v>395490719</v>
      </c>
      <c r="D693">
        <v>417</v>
      </c>
      <c r="E693">
        <v>414</v>
      </c>
      <c r="F693">
        <v>1</v>
      </c>
      <c r="G693">
        <v>91.507825188526795</v>
      </c>
      <c r="H693">
        <v>2</v>
      </c>
      <c r="I693">
        <v>35</v>
      </c>
      <c r="K693" t="s">
        <v>890</v>
      </c>
      <c r="L693">
        <v>4</v>
      </c>
      <c r="M693" t="s">
        <v>1530</v>
      </c>
      <c r="N693" t="s">
        <v>726</v>
      </c>
      <c r="O693">
        <v>0</v>
      </c>
    </row>
    <row r="694" spans="1:15" x14ac:dyDescent="0.3">
      <c r="A694" t="s">
        <v>858</v>
      </c>
      <c r="B694">
        <v>710</v>
      </c>
      <c r="C694">
        <v>395490720</v>
      </c>
      <c r="D694">
        <v>407</v>
      </c>
      <c r="E694">
        <v>419</v>
      </c>
      <c r="F694">
        <v>1</v>
      </c>
      <c r="G694">
        <v>91.688460305549299</v>
      </c>
      <c r="H694">
        <v>2</v>
      </c>
      <c r="I694">
        <v>35</v>
      </c>
      <c r="K694" t="s">
        <v>890</v>
      </c>
      <c r="L694">
        <v>4</v>
      </c>
      <c r="M694" t="s">
        <v>1531</v>
      </c>
      <c r="N694" t="s">
        <v>726</v>
      </c>
      <c r="O694">
        <v>0</v>
      </c>
    </row>
    <row r="695" spans="1:15" x14ac:dyDescent="0.3">
      <c r="A695" t="s">
        <v>858</v>
      </c>
      <c r="B695">
        <v>711</v>
      </c>
      <c r="C695">
        <v>395490723</v>
      </c>
      <c r="D695">
        <v>408</v>
      </c>
      <c r="E695">
        <v>64</v>
      </c>
      <c r="F695">
        <v>1</v>
      </c>
      <c r="G695">
        <v>103.644429266529</v>
      </c>
      <c r="H695">
        <v>1</v>
      </c>
      <c r="K695" t="s">
        <v>729</v>
      </c>
      <c r="L695">
        <v>6</v>
      </c>
      <c r="M695" t="s">
        <v>1532</v>
      </c>
      <c r="N695" t="s">
        <v>726</v>
      </c>
      <c r="O695">
        <v>1</v>
      </c>
    </row>
    <row r="696" spans="1:15" x14ac:dyDescent="0.3">
      <c r="A696" t="s">
        <v>858</v>
      </c>
      <c r="B696">
        <v>712</v>
      </c>
      <c r="C696">
        <v>395490723</v>
      </c>
      <c r="D696">
        <v>64</v>
      </c>
      <c r="E696">
        <v>408</v>
      </c>
      <c r="F696">
        <v>1</v>
      </c>
      <c r="G696">
        <v>103.644429266529</v>
      </c>
      <c r="H696">
        <v>1</v>
      </c>
      <c r="K696" t="s">
        <v>729</v>
      </c>
      <c r="L696">
        <v>6</v>
      </c>
      <c r="M696" t="s">
        <v>1533</v>
      </c>
      <c r="N696" t="s">
        <v>726</v>
      </c>
      <c r="O696">
        <v>1</v>
      </c>
    </row>
    <row r="697" spans="1:15" x14ac:dyDescent="0.3">
      <c r="A697" t="s">
        <v>858</v>
      </c>
      <c r="B697">
        <v>713</v>
      </c>
      <c r="C697">
        <v>395490723</v>
      </c>
      <c r="D697">
        <v>64</v>
      </c>
      <c r="E697">
        <v>420</v>
      </c>
      <c r="F697">
        <v>1</v>
      </c>
      <c r="G697">
        <v>88.073069305318796</v>
      </c>
      <c r="H697">
        <v>1</v>
      </c>
      <c r="K697" t="s">
        <v>729</v>
      </c>
      <c r="L697">
        <v>6</v>
      </c>
      <c r="M697" t="s">
        <v>1534</v>
      </c>
      <c r="N697" t="s">
        <v>726</v>
      </c>
      <c r="O697">
        <v>1</v>
      </c>
    </row>
    <row r="698" spans="1:15" x14ac:dyDescent="0.3">
      <c r="A698" t="s">
        <v>858</v>
      </c>
      <c r="B698">
        <v>714</v>
      </c>
      <c r="C698">
        <v>395490723</v>
      </c>
      <c r="D698">
        <v>420</v>
      </c>
      <c r="E698">
        <v>64</v>
      </c>
      <c r="F698">
        <v>1</v>
      </c>
      <c r="G698">
        <v>88.073069305318796</v>
      </c>
      <c r="H698">
        <v>1</v>
      </c>
      <c r="K698" t="s">
        <v>729</v>
      </c>
      <c r="L698">
        <v>6</v>
      </c>
      <c r="M698" t="s">
        <v>1535</v>
      </c>
      <c r="N698" t="s">
        <v>726</v>
      </c>
      <c r="O698">
        <v>1</v>
      </c>
    </row>
    <row r="699" spans="1:15" x14ac:dyDescent="0.3">
      <c r="A699" t="s">
        <v>858</v>
      </c>
      <c r="B699">
        <v>715</v>
      </c>
      <c r="C699">
        <v>395490724</v>
      </c>
      <c r="D699">
        <v>415</v>
      </c>
      <c r="E699">
        <v>407</v>
      </c>
      <c r="F699">
        <v>1</v>
      </c>
      <c r="G699">
        <v>130.35588035696699</v>
      </c>
      <c r="H699">
        <v>2</v>
      </c>
      <c r="I699">
        <v>35</v>
      </c>
      <c r="K699" t="s">
        <v>890</v>
      </c>
      <c r="L699">
        <v>4</v>
      </c>
      <c r="M699" t="s">
        <v>1536</v>
      </c>
      <c r="N699" t="s">
        <v>726</v>
      </c>
      <c r="O699">
        <v>0</v>
      </c>
    </row>
    <row r="700" spans="1:15" x14ac:dyDescent="0.3">
      <c r="A700" t="s">
        <v>1537</v>
      </c>
      <c r="B700">
        <v>716</v>
      </c>
      <c r="C700">
        <v>395490729</v>
      </c>
      <c r="D700">
        <v>410</v>
      </c>
      <c r="E700">
        <v>65</v>
      </c>
      <c r="F700">
        <v>1</v>
      </c>
      <c r="G700">
        <v>105.701966138609</v>
      </c>
      <c r="H700">
        <v>1</v>
      </c>
      <c r="K700" t="s">
        <v>729</v>
      </c>
      <c r="L700">
        <v>6</v>
      </c>
      <c r="M700" t="s">
        <v>1538</v>
      </c>
      <c r="N700" t="s">
        <v>726</v>
      </c>
      <c r="O700">
        <v>1</v>
      </c>
    </row>
    <row r="701" spans="1:15" x14ac:dyDescent="0.3">
      <c r="A701" t="s">
        <v>1537</v>
      </c>
      <c r="B701">
        <v>717</v>
      </c>
      <c r="C701">
        <v>395490729</v>
      </c>
      <c r="D701">
        <v>65</v>
      </c>
      <c r="E701">
        <v>410</v>
      </c>
      <c r="F701">
        <v>1</v>
      </c>
      <c r="G701">
        <v>105.701966138609</v>
      </c>
      <c r="H701">
        <v>1</v>
      </c>
      <c r="K701" t="s">
        <v>729</v>
      </c>
      <c r="L701">
        <v>6</v>
      </c>
      <c r="M701" t="s">
        <v>1539</v>
      </c>
      <c r="N701" t="s">
        <v>726</v>
      </c>
      <c r="O701">
        <v>1</v>
      </c>
    </row>
    <row r="702" spans="1:15" x14ac:dyDescent="0.3">
      <c r="A702" t="s">
        <v>858</v>
      </c>
      <c r="B702">
        <v>718</v>
      </c>
      <c r="C702">
        <v>395490730</v>
      </c>
      <c r="D702">
        <v>413</v>
      </c>
      <c r="E702">
        <v>417</v>
      </c>
      <c r="F702">
        <v>1</v>
      </c>
      <c r="G702">
        <v>215.82745732131301</v>
      </c>
      <c r="H702">
        <v>2</v>
      </c>
      <c r="I702">
        <v>35</v>
      </c>
      <c r="K702" t="s">
        <v>890</v>
      </c>
      <c r="L702">
        <v>4</v>
      </c>
      <c r="M702" t="s">
        <v>1540</v>
      </c>
      <c r="N702" t="s">
        <v>726</v>
      </c>
      <c r="O702">
        <v>0</v>
      </c>
    </row>
    <row r="703" spans="1:15" x14ac:dyDescent="0.3">
      <c r="A703" t="s">
        <v>911</v>
      </c>
      <c r="B703">
        <v>719</v>
      </c>
      <c r="C703">
        <v>402537657</v>
      </c>
      <c r="D703">
        <v>128</v>
      </c>
      <c r="E703">
        <v>715</v>
      </c>
      <c r="F703">
        <v>1</v>
      </c>
      <c r="G703">
        <v>32.800288343129502</v>
      </c>
      <c r="H703">
        <v>1</v>
      </c>
      <c r="K703" t="s">
        <v>711</v>
      </c>
      <c r="L703">
        <v>5</v>
      </c>
      <c r="M703" t="s">
        <v>1541</v>
      </c>
      <c r="N703" t="s">
        <v>726</v>
      </c>
      <c r="O703">
        <v>1</v>
      </c>
    </row>
    <row r="704" spans="1:15" x14ac:dyDescent="0.3">
      <c r="A704" t="s">
        <v>911</v>
      </c>
      <c r="B704">
        <v>720</v>
      </c>
      <c r="C704">
        <v>402537657</v>
      </c>
      <c r="D704">
        <v>715</v>
      </c>
      <c r="E704">
        <v>128</v>
      </c>
      <c r="F704">
        <v>1</v>
      </c>
      <c r="G704">
        <v>32.800288343129502</v>
      </c>
      <c r="H704">
        <v>1</v>
      </c>
      <c r="K704" t="s">
        <v>711</v>
      </c>
      <c r="L704">
        <v>5</v>
      </c>
      <c r="M704" t="s">
        <v>1542</v>
      </c>
      <c r="N704" t="s">
        <v>726</v>
      </c>
      <c r="O704">
        <v>1</v>
      </c>
    </row>
    <row r="705" spans="1:15" x14ac:dyDescent="0.3">
      <c r="A705" t="s">
        <v>911</v>
      </c>
      <c r="B705">
        <v>721</v>
      </c>
      <c r="C705">
        <v>402537658</v>
      </c>
      <c r="D705">
        <v>196</v>
      </c>
      <c r="E705">
        <v>129</v>
      </c>
      <c r="F705">
        <v>1</v>
      </c>
      <c r="G705">
        <v>40.414136319713798</v>
      </c>
      <c r="H705">
        <v>1</v>
      </c>
      <c r="K705" t="s">
        <v>711</v>
      </c>
      <c r="L705">
        <v>5</v>
      </c>
      <c r="M705" t="s">
        <v>1543</v>
      </c>
      <c r="N705" t="s">
        <v>726</v>
      </c>
      <c r="O705">
        <v>1</v>
      </c>
    </row>
    <row r="706" spans="1:15" x14ac:dyDescent="0.3">
      <c r="A706" t="s">
        <v>911</v>
      </c>
      <c r="B706">
        <v>722</v>
      </c>
      <c r="C706">
        <v>402537658</v>
      </c>
      <c r="D706">
        <v>129</v>
      </c>
      <c r="E706">
        <v>196</v>
      </c>
      <c r="F706">
        <v>1</v>
      </c>
      <c r="G706">
        <v>40.414136319713798</v>
      </c>
      <c r="H706">
        <v>1</v>
      </c>
      <c r="K706" t="s">
        <v>711</v>
      </c>
      <c r="L706">
        <v>5</v>
      </c>
      <c r="M706" t="s">
        <v>1544</v>
      </c>
      <c r="N706" t="s">
        <v>726</v>
      </c>
      <c r="O706">
        <v>1</v>
      </c>
    </row>
    <row r="707" spans="1:15" x14ac:dyDescent="0.3">
      <c r="A707" t="s">
        <v>767</v>
      </c>
      <c r="B707">
        <v>723</v>
      </c>
      <c r="C707">
        <v>402537666</v>
      </c>
      <c r="D707">
        <v>621</v>
      </c>
      <c r="E707">
        <v>642</v>
      </c>
      <c r="F707">
        <v>1</v>
      </c>
      <c r="G707">
        <v>212.221765982482</v>
      </c>
      <c r="H707">
        <v>1</v>
      </c>
      <c r="I707">
        <v>30</v>
      </c>
      <c r="K707" t="s">
        <v>711</v>
      </c>
      <c r="L707">
        <v>5</v>
      </c>
      <c r="M707" t="s">
        <v>1545</v>
      </c>
      <c r="N707" t="s">
        <v>726</v>
      </c>
      <c r="O707">
        <v>1</v>
      </c>
    </row>
    <row r="708" spans="1:15" x14ac:dyDescent="0.3">
      <c r="A708" t="s">
        <v>767</v>
      </c>
      <c r="B708">
        <v>724</v>
      </c>
      <c r="C708">
        <v>402537666</v>
      </c>
      <c r="D708">
        <v>642</v>
      </c>
      <c r="E708">
        <v>621</v>
      </c>
      <c r="F708">
        <v>1</v>
      </c>
      <c r="G708">
        <v>212.221765982482</v>
      </c>
      <c r="H708">
        <v>1</v>
      </c>
      <c r="I708">
        <v>30</v>
      </c>
      <c r="K708" t="s">
        <v>711</v>
      </c>
      <c r="L708">
        <v>5</v>
      </c>
      <c r="M708" t="s">
        <v>1546</v>
      </c>
      <c r="N708" t="s">
        <v>726</v>
      </c>
      <c r="O708">
        <v>1</v>
      </c>
    </row>
    <row r="709" spans="1:15" x14ac:dyDescent="0.3">
      <c r="A709" t="s">
        <v>767</v>
      </c>
      <c r="B709">
        <v>725</v>
      </c>
      <c r="C709">
        <v>402537666</v>
      </c>
      <c r="D709">
        <v>642</v>
      </c>
      <c r="E709">
        <v>622</v>
      </c>
      <c r="F709">
        <v>1</v>
      </c>
      <c r="G709">
        <v>80.827133606443297</v>
      </c>
      <c r="H709">
        <v>1</v>
      </c>
      <c r="I709">
        <v>30</v>
      </c>
      <c r="K709" t="s">
        <v>711</v>
      </c>
      <c r="L709">
        <v>5</v>
      </c>
      <c r="M709" t="s">
        <v>1547</v>
      </c>
      <c r="N709" t="s">
        <v>726</v>
      </c>
      <c r="O709">
        <v>1</v>
      </c>
    </row>
    <row r="710" spans="1:15" x14ac:dyDescent="0.3">
      <c r="A710" t="s">
        <v>767</v>
      </c>
      <c r="B710">
        <v>726</v>
      </c>
      <c r="C710">
        <v>402537666</v>
      </c>
      <c r="D710">
        <v>622</v>
      </c>
      <c r="E710">
        <v>642</v>
      </c>
      <c r="F710">
        <v>1</v>
      </c>
      <c r="G710">
        <v>80.827133606443297</v>
      </c>
      <c r="H710">
        <v>1</v>
      </c>
      <c r="I710">
        <v>30</v>
      </c>
      <c r="K710" t="s">
        <v>711</v>
      </c>
      <c r="L710">
        <v>5</v>
      </c>
      <c r="M710" t="s">
        <v>1548</v>
      </c>
      <c r="N710" t="s">
        <v>726</v>
      </c>
      <c r="O710">
        <v>1</v>
      </c>
    </row>
    <row r="711" spans="1:15" x14ac:dyDescent="0.3">
      <c r="A711" t="s">
        <v>1197</v>
      </c>
      <c r="B711">
        <v>727</v>
      </c>
      <c r="C711">
        <v>402537670</v>
      </c>
      <c r="D711">
        <v>1948</v>
      </c>
      <c r="E711">
        <v>358</v>
      </c>
      <c r="F711">
        <v>1</v>
      </c>
      <c r="G711">
        <v>110.80237448282099</v>
      </c>
      <c r="H711">
        <v>1</v>
      </c>
      <c r="I711">
        <v>30</v>
      </c>
      <c r="K711" t="s">
        <v>729</v>
      </c>
      <c r="L711">
        <v>6</v>
      </c>
      <c r="M711" t="s">
        <v>1549</v>
      </c>
      <c r="N711" t="s">
        <v>726</v>
      </c>
      <c r="O711">
        <v>1</v>
      </c>
    </row>
    <row r="712" spans="1:15" x14ac:dyDescent="0.3">
      <c r="A712" t="s">
        <v>1197</v>
      </c>
      <c r="B712">
        <v>728</v>
      </c>
      <c r="C712">
        <v>402537670</v>
      </c>
      <c r="D712">
        <v>358</v>
      </c>
      <c r="E712">
        <v>1948</v>
      </c>
      <c r="F712">
        <v>1</v>
      </c>
      <c r="G712">
        <v>110.80237448282099</v>
      </c>
      <c r="H712">
        <v>1</v>
      </c>
      <c r="I712">
        <v>30</v>
      </c>
      <c r="K712" t="s">
        <v>729</v>
      </c>
      <c r="L712">
        <v>6</v>
      </c>
      <c r="M712" t="s">
        <v>1550</v>
      </c>
      <c r="N712" t="s">
        <v>726</v>
      </c>
      <c r="O712">
        <v>1</v>
      </c>
    </row>
    <row r="713" spans="1:15" x14ac:dyDescent="0.3">
      <c r="A713" t="s">
        <v>1197</v>
      </c>
      <c r="B713">
        <v>729</v>
      </c>
      <c r="C713">
        <v>402537670</v>
      </c>
      <c r="D713">
        <v>358</v>
      </c>
      <c r="E713">
        <v>49</v>
      </c>
      <c r="F713">
        <v>1</v>
      </c>
      <c r="G713">
        <v>192.421370510061</v>
      </c>
      <c r="H713">
        <v>1</v>
      </c>
      <c r="I713">
        <v>30</v>
      </c>
      <c r="K713" t="s">
        <v>729</v>
      </c>
      <c r="L713">
        <v>6</v>
      </c>
      <c r="M713" t="s">
        <v>1551</v>
      </c>
      <c r="N713" t="s">
        <v>726</v>
      </c>
      <c r="O713">
        <v>1</v>
      </c>
    </row>
    <row r="714" spans="1:15" x14ac:dyDescent="0.3">
      <c r="A714" t="s">
        <v>1197</v>
      </c>
      <c r="B714">
        <v>730</v>
      </c>
      <c r="C714">
        <v>402537670</v>
      </c>
      <c r="D714">
        <v>49</v>
      </c>
      <c r="E714">
        <v>358</v>
      </c>
      <c r="F714">
        <v>1</v>
      </c>
      <c r="G714">
        <v>192.421370510061</v>
      </c>
      <c r="H714">
        <v>1</v>
      </c>
      <c r="I714">
        <v>30</v>
      </c>
      <c r="K714" t="s">
        <v>729</v>
      </c>
      <c r="L714">
        <v>6</v>
      </c>
      <c r="M714" t="s">
        <v>1552</v>
      </c>
      <c r="N714" t="s">
        <v>726</v>
      </c>
      <c r="O714">
        <v>1</v>
      </c>
    </row>
    <row r="715" spans="1:15" x14ac:dyDescent="0.3">
      <c r="A715" t="s">
        <v>1288</v>
      </c>
      <c r="B715">
        <v>731</v>
      </c>
      <c r="C715">
        <v>402537675</v>
      </c>
      <c r="D715">
        <v>330</v>
      </c>
      <c r="E715">
        <v>328</v>
      </c>
      <c r="F715">
        <v>1</v>
      </c>
      <c r="G715">
        <v>27.7631019020384</v>
      </c>
      <c r="H715">
        <v>1</v>
      </c>
      <c r="I715">
        <v>35</v>
      </c>
      <c r="K715" t="s">
        <v>890</v>
      </c>
      <c r="L715">
        <v>4</v>
      </c>
      <c r="M715" t="s">
        <v>1553</v>
      </c>
      <c r="N715" t="s">
        <v>726</v>
      </c>
      <c r="O715">
        <v>0</v>
      </c>
    </row>
    <row r="716" spans="1:15" x14ac:dyDescent="0.3">
      <c r="A716" t="s">
        <v>1216</v>
      </c>
      <c r="B716">
        <v>732</v>
      </c>
      <c r="C716">
        <v>402556245</v>
      </c>
      <c r="D716">
        <v>1946</v>
      </c>
      <c r="E716">
        <v>795</v>
      </c>
      <c r="F716">
        <v>1</v>
      </c>
      <c r="G716">
        <v>147.35086090694099</v>
      </c>
      <c r="H716">
        <v>2</v>
      </c>
      <c r="K716" t="s">
        <v>890</v>
      </c>
      <c r="L716">
        <v>4</v>
      </c>
      <c r="M716" t="s">
        <v>1554</v>
      </c>
      <c r="N716" t="s">
        <v>726</v>
      </c>
      <c r="O716">
        <v>0</v>
      </c>
    </row>
    <row r="717" spans="1:15" x14ac:dyDescent="0.3">
      <c r="A717" t="s">
        <v>889</v>
      </c>
      <c r="B717">
        <v>733</v>
      </c>
      <c r="C717">
        <v>402556246</v>
      </c>
      <c r="D717">
        <v>371</v>
      </c>
      <c r="E717">
        <v>796</v>
      </c>
      <c r="F717">
        <v>1</v>
      </c>
      <c r="G717">
        <v>66.984391265389704</v>
      </c>
      <c r="H717">
        <v>2</v>
      </c>
      <c r="I717">
        <v>40</v>
      </c>
      <c r="K717" t="s">
        <v>890</v>
      </c>
      <c r="L717">
        <v>4</v>
      </c>
      <c r="M717" t="s">
        <v>1555</v>
      </c>
      <c r="N717" t="s">
        <v>726</v>
      </c>
      <c r="O717">
        <v>1</v>
      </c>
    </row>
    <row r="718" spans="1:15" x14ac:dyDescent="0.3">
      <c r="A718" t="s">
        <v>889</v>
      </c>
      <c r="B718">
        <v>734</v>
      </c>
      <c r="C718">
        <v>402556246</v>
      </c>
      <c r="D718">
        <v>796</v>
      </c>
      <c r="E718">
        <v>371</v>
      </c>
      <c r="F718">
        <v>1</v>
      </c>
      <c r="G718">
        <v>66.984391265389704</v>
      </c>
      <c r="H718">
        <v>2</v>
      </c>
      <c r="I718">
        <v>40</v>
      </c>
      <c r="K718" t="s">
        <v>890</v>
      </c>
      <c r="L718">
        <v>4</v>
      </c>
      <c r="M718" t="s">
        <v>1556</v>
      </c>
      <c r="N718" t="s">
        <v>726</v>
      </c>
      <c r="O718">
        <v>1</v>
      </c>
    </row>
    <row r="719" spans="1:15" x14ac:dyDescent="0.3">
      <c r="A719" t="s">
        <v>728</v>
      </c>
      <c r="B719">
        <v>735</v>
      </c>
      <c r="C719">
        <v>402556249</v>
      </c>
      <c r="D719">
        <v>4</v>
      </c>
      <c r="E719">
        <v>364</v>
      </c>
      <c r="F719">
        <v>1</v>
      </c>
      <c r="G719">
        <v>250.29910281373401</v>
      </c>
      <c r="H719">
        <v>1</v>
      </c>
      <c r="I719">
        <v>25</v>
      </c>
      <c r="K719" t="s">
        <v>729</v>
      </c>
      <c r="L719">
        <v>6</v>
      </c>
      <c r="M719" t="s">
        <v>1557</v>
      </c>
      <c r="N719" t="s">
        <v>726</v>
      </c>
      <c r="O719">
        <v>1</v>
      </c>
    </row>
    <row r="720" spans="1:15" x14ac:dyDescent="0.3">
      <c r="A720" t="s">
        <v>728</v>
      </c>
      <c r="B720">
        <v>736</v>
      </c>
      <c r="C720">
        <v>402556249</v>
      </c>
      <c r="D720">
        <v>364</v>
      </c>
      <c r="E720">
        <v>4</v>
      </c>
      <c r="F720">
        <v>1</v>
      </c>
      <c r="G720">
        <v>250.29910281373401</v>
      </c>
      <c r="H720">
        <v>1</v>
      </c>
      <c r="I720">
        <v>25</v>
      </c>
      <c r="K720" t="s">
        <v>729</v>
      </c>
      <c r="L720">
        <v>6</v>
      </c>
      <c r="M720" t="s">
        <v>1558</v>
      </c>
      <c r="N720" t="s">
        <v>726</v>
      </c>
      <c r="O720">
        <v>1</v>
      </c>
    </row>
    <row r="721" spans="1:15" x14ac:dyDescent="0.3">
      <c r="A721" t="s">
        <v>728</v>
      </c>
      <c r="B721">
        <v>737</v>
      </c>
      <c r="C721">
        <v>402556249</v>
      </c>
      <c r="D721">
        <v>364</v>
      </c>
      <c r="E721">
        <v>5</v>
      </c>
      <c r="F721">
        <v>1</v>
      </c>
      <c r="G721">
        <v>158.602227636831</v>
      </c>
      <c r="H721">
        <v>1</v>
      </c>
      <c r="I721">
        <v>25</v>
      </c>
      <c r="K721" t="s">
        <v>729</v>
      </c>
      <c r="L721">
        <v>6</v>
      </c>
      <c r="M721" t="s">
        <v>1559</v>
      </c>
      <c r="N721" t="s">
        <v>726</v>
      </c>
      <c r="O721">
        <v>1</v>
      </c>
    </row>
    <row r="722" spans="1:15" x14ac:dyDescent="0.3">
      <c r="A722" t="s">
        <v>728</v>
      </c>
      <c r="B722">
        <v>738</v>
      </c>
      <c r="C722">
        <v>402556249</v>
      </c>
      <c r="D722">
        <v>5</v>
      </c>
      <c r="E722">
        <v>364</v>
      </c>
      <c r="F722">
        <v>1</v>
      </c>
      <c r="G722">
        <v>158.602227636831</v>
      </c>
      <c r="H722">
        <v>1</v>
      </c>
      <c r="I722">
        <v>25</v>
      </c>
      <c r="K722" t="s">
        <v>729</v>
      </c>
      <c r="L722">
        <v>6</v>
      </c>
      <c r="M722" t="s">
        <v>1560</v>
      </c>
      <c r="N722" t="s">
        <v>726</v>
      </c>
      <c r="O722">
        <v>1</v>
      </c>
    </row>
    <row r="723" spans="1:15" x14ac:dyDescent="0.3">
      <c r="A723" t="s">
        <v>1221</v>
      </c>
      <c r="B723">
        <v>739</v>
      </c>
      <c r="C723">
        <v>402556251</v>
      </c>
      <c r="D723">
        <v>211</v>
      </c>
      <c r="E723">
        <v>345</v>
      </c>
      <c r="F723">
        <v>1</v>
      </c>
      <c r="G723">
        <v>16.356846346674001</v>
      </c>
      <c r="H723">
        <v>3</v>
      </c>
      <c r="I723">
        <v>40</v>
      </c>
      <c r="K723" t="s">
        <v>890</v>
      </c>
      <c r="L723">
        <v>4</v>
      </c>
      <c r="M723" t="s">
        <v>1561</v>
      </c>
      <c r="N723" t="s">
        <v>726</v>
      </c>
      <c r="O723">
        <v>1</v>
      </c>
    </row>
    <row r="724" spans="1:15" x14ac:dyDescent="0.3">
      <c r="A724" t="s">
        <v>1221</v>
      </c>
      <c r="B724">
        <v>740</v>
      </c>
      <c r="C724">
        <v>402556251</v>
      </c>
      <c r="D724">
        <v>345</v>
      </c>
      <c r="E724">
        <v>211</v>
      </c>
      <c r="F724">
        <v>1</v>
      </c>
      <c r="G724">
        <v>16.356846346674001</v>
      </c>
      <c r="H724">
        <v>5</v>
      </c>
      <c r="I724">
        <v>40</v>
      </c>
      <c r="K724" t="s">
        <v>890</v>
      </c>
      <c r="L724">
        <v>4</v>
      </c>
      <c r="M724" t="s">
        <v>1562</v>
      </c>
      <c r="N724" t="s">
        <v>726</v>
      </c>
      <c r="O724">
        <v>1</v>
      </c>
    </row>
    <row r="725" spans="1:15" x14ac:dyDescent="0.3">
      <c r="A725" t="s">
        <v>1221</v>
      </c>
      <c r="B725">
        <v>741</v>
      </c>
      <c r="C725">
        <v>402556252</v>
      </c>
      <c r="D725">
        <v>193</v>
      </c>
      <c r="E725">
        <v>588</v>
      </c>
      <c r="F725">
        <v>1</v>
      </c>
      <c r="G725">
        <v>54.429510369457802</v>
      </c>
      <c r="H725">
        <v>3</v>
      </c>
      <c r="K725" t="s">
        <v>890</v>
      </c>
      <c r="L725">
        <v>4</v>
      </c>
      <c r="M725" t="s">
        <v>1563</v>
      </c>
      <c r="N725" t="s">
        <v>726</v>
      </c>
      <c r="O725">
        <v>1</v>
      </c>
    </row>
    <row r="726" spans="1:15" x14ac:dyDescent="0.3">
      <c r="A726" t="s">
        <v>1221</v>
      </c>
      <c r="B726">
        <v>742</v>
      </c>
      <c r="C726">
        <v>402556252</v>
      </c>
      <c r="D726">
        <v>588</v>
      </c>
      <c r="E726">
        <v>193</v>
      </c>
      <c r="F726">
        <v>1</v>
      </c>
      <c r="G726">
        <v>54.429510369457802</v>
      </c>
      <c r="H726">
        <v>3</v>
      </c>
      <c r="K726" t="s">
        <v>890</v>
      </c>
      <c r="L726">
        <v>4</v>
      </c>
      <c r="M726" t="s">
        <v>1564</v>
      </c>
      <c r="N726" t="s">
        <v>726</v>
      </c>
      <c r="O726">
        <v>1</v>
      </c>
    </row>
    <row r="727" spans="1:15" x14ac:dyDescent="0.3">
      <c r="A727" t="s">
        <v>1213</v>
      </c>
      <c r="B727">
        <v>743</v>
      </c>
      <c r="C727">
        <v>402556256</v>
      </c>
      <c r="D727">
        <v>614</v>
      </c>
      <c r="E727">
        <v>664</v>
      </c>
      <c r="F727">
        <v>1</v>
      </c>
      <c r="G727">
        <v>23.200607934262401</v>
      </c>
      <c r="H727">
        <v>1</v>
      </c>
      <c r="K727" t="s">
        <v>711</v>
      </c>
      <c r="L727">
        <v>5</v>
      </c>
      <c r="M727" t="s">
        <v>1565</v>
      </c>
      <c r="N727" t="s">
        <v>726</v>
      </c>
      <c r="O727">
        <v>1</v>
      </c>
    </row>
    <row r="728" spans="1:15" x14ac:dyDescent="0.3">
      <c r="A728" t="s">
        <v>1213</v>
      </c>
      <c r="B728">
        <v>744</v>
      </c>
      <c r="C728">
        <v>402556256</v>
      </c>
      <c r="D728">
        <v>664</v>
      </c>
      <c r="E728">
        <v>614</v>
      </c>
      <c r="F728">
        <v>1</v>
      </c>
      <c r="G728">
        <v>23.200607934262401</v>
      </c>
      <c r="H728">
        <v>1</v>
      </c>
      <c r="K728" t="s">
        <v>711</v>
      </c>
      <c r="L728">
        <v>5</v>
      </c>
      <c r="M728" t="s">
        <v>1566</v>
      </c>
      <c r="N728" t="s">
        <v>726</v>
      </c>
      <c r="O728">
        <v>1</v>
      </c>
    </row>
    <row r="729" spans="1:15" x14ac:dyDescent="0.3">
      <c r="A729" t="s">
        <v>1213</v>
      </c>
      <c r="B729">
        <v>745</v>
      </c>
      <c r="C729">
        <v>402556256</v>
      </c>
      <c r="D729">
        <v>664</v>
      </c>
      <c r="E729">
        <v>662</v>
      </c>
      <c r="F729">
        <v>1</v>
      </c>
      <c r="G729">
        <v>9.9577124915433295</v>
      </c>
      <c r="H729">
        <v>1</v>
      </c>
      <c r="K729" t="s">
        <v>711</v>
      </c>
      <c r="L729">
        <v>5</v>
      </c>
      <c r="M729" t="s">
        <v>1567</v>
      </c>
      <c r="N729" t="s">
        <v>726</v>
      </c>
      <c r="O729">
        <v>1</v>
      </c>
    </row>
    <row r="730" spans="1:15" x14ac:dyDescent="0.3">
      <c r="A730" t="s">
        <v>1213</v>
      </c>
      <c r="B730">
        <v>746</v>
      </c>
      <c r="C730">
        <v>402556256</v>
      </c>
      <c r="D730">
        <v>662</v>
      </c>
      <c r="E730">
        <v>664</v>
      </c>
      <c r="F730">
        <v>1</v>
      </c>
      <c r="G730">
        <v>9.9577124915433295</v>
      </c>
      <c r="H730">
        <v>1</v>
      </c>
      <c r="K730" t="s">
        <v>711</v>
      </c>
      <c r="L730">
        <v>5</v>
      </c>
      <c r="M730" t="s">
        <v>1568</v>
      </c>
      <c r="N730" t="s">
        <v>726</v>
      </c>
      <c r="O730">
        <v>1</v>
      </c>
    </row>
    <row r="731" spans="1:15" x14ac:dyDescent="0.3">
      <c r="A731" t="s">
        <v>1213</v>
      </c>
      <c r="B731">
        <v>747</v>
      </c>
      <c r="C731">
        <v>402556256</v>
      </c>
      <c r="D731">
        <v>662</v>
      </c>
      <c r="E731">
        <v>797</v>
      </c>
      <c r="F731">
        <v>1</v>
      </c>
      <c r="G731">
        <v>24.639134807503002</v>
      </c>
      <c r="H731">
        <v>1</v>
      </c>
      <c r="K731" t="s">
        <v>711</v>
      </c>
      <c r="L731">
        <v>5</v>
      </c>
      <c r="M731" t="s">
        <v>1569</v>
      </c>
      <c r="N731" t="s">
        <v>726</v>
      </c>
      <c r="O731">
        <v>1</v>
      </c>
    </row>
    <row r="732" spans="1:15" x14ac:dyDescent="0.3">
      <c r="A732" t="s">
        <v>1213</v>
      </c>
      <c r="B732">
        <v>748</v>
      </c>
      <c r="C732">
        <v>402556256</v>
      </c>
      <c r="D732">
        <v>797</v>
      </c>
      <c r="E732">
        <v>662</v>
      </c>
      <c r="F732">
        <v>1</v>
      </c>
      <c r="G732">
        <v>24.639134807503002</v>
      </c>
      <c r="H732">
        <v>1</v>
      </c>
      <c r="K732" t="s">
        <v>711</v>
      </c>
      <c r="L732">
        <v>5</v>
      </c>
      <c r="M732" t="s">
        <v>1570</v>
      </c>
      <c r="N732" t="s">
        <v>726</v>
      </c>
      <c r="O732">
        <v>1</v>
      </c>
    </row>
    <row r="733" spans="1:15" x14ac:dyDescent="0.3">
      <c r="A733" t="s">
        <v>1197</v>
      </c>
      <c r="B733">
        <v>749</v>
      </c>
      <c r="C733">
        <v>402556257</v>
      </c>
      <c r="D733">
        <v>5</v>
      </c>
      <c r="E733">
        <v>49</v>
      </c>
      <c r="F733">
        <v>1</v>
      </c>
      <c r="G733">
        <v>88.246584082975104</v>
      </c>
      <c r="H733">
        <v>1</v>
      </c>
      <c r="K733" t="s">
        <v>729</v>
      </c>
      <c r="L733">
        <v>6</v>
      </c>
      <c r="M733" t="s">
        <v>1571</v>
      </c>
      <c r="N733" t="s">
        <v>726</v>
      </c>
      <c r="O733">
        <v>0</v>
      </c>
    </row>
    <row r="734" spans="1:15" x14ac:dyDescent="0.3">
      <c r="A734" t="s">
        <v>827</v>
      </c>
      <c r="B734">
        <v>752</v>
      </c>
      <c r="C734">
        <v>402560702</v>
      </c>
      <c r="D734">
        <v>1955</v>
      </c>
      <c r="E734">
        <v>286</v>
      </c>
      <c r="F734">
        <v>1</v>
      </c>
      <c r="G734">
        <v>111.987242532919</v>
      </c>
      <c r="H734">
        <v>2</v>
      </c>
      <c r="K734" t="s">
        <v>724</v>
      </c>
      <c r="L734">
        <v>3</v>
      </c>
      <c r="M734" t="s">
        <v>1572</v>
      </c>
      <c r="N734" t="s">
        <v>726</v>
      </c>
      <c r="O734">
        <v>0</v>
      </c>
    </row>
    <row r="735" spans="1:15" x14ac:dyDescent="0.3">
      <c r="A735" t="s">
        <v>858</v>
      </c>
      <c r="B735">
        <v>753</v>
      </c>
      <c r="C735">
        <v>402560705</v>
      </c>
      <c r="D735">
        <v>471</v>
      </c>
      <c r="E735">
        <v>1941</v>
      </c>
      <c r="F735">
        <v>1</v>
      </c>
      <c r="G735">
        <v>38.4789288216638</v>
      </c>
      <c r="H735">
        <v>2</v>
      </c>
      <c r="I735">
        <v>30</v>
      </c>
      <c r="K735" t="s">
        <v>724</v>
      </c>
      <c r="L735">
        <v>3</v>
      </c>
      <c r="M735" t="s">
        <v>1573</v>
      </c>
      <c r="N735" t="s">
        <v>726</v>
      </c>
      <c r="O735">
        <v>0</v>
      </c>
    </row>
    <row r="736" spans="1:15" x14ac:dyDescent="0.3">
      <c r="A736" t="s">
        <v>858</v>
      </c>
      <c r="B736">
        <v>754</v>
      </c>
      <c r="C736">
        <v>402560706</v>
      </c>
      <c r="D736">
        <v>1947</v>
      </c>
      <c r="E736">
        <v>478</v>
      </c>
      <c r="F736">
        <v>1</v>
      </c>
      <c r="G736">
        <v>89.114799001789194</v>
      </c>
      <c r="H736">
        <v>2</v>
      </c>
      <c r="I736">
        <v>30</v>
      </c>
      <c r="K736" t="s">
        <v>724</v>
      </c>
      <c r="L736">
        <v>3</v>
      </c>
      <c r="M736" t="s">
        <v>1574</v>
      </c>
      <c r="N736" t="s">
        <v>726</v>
      </c>
      <c r="O736">
        <v>0</v>
      </c>
    </row>
    <row r="737" spans="1:15" x14ac:dyDescent="0.3">
      <c r="A737" t="s">
        <v>1221</v>
      </c>
      <c r="B737">
        <v>755</v>
      </c>
      <c r="C737">
        <v>403117287</v>
      </c>
      <c r="D737">
        <v>547</v>
      </c>
      <c r="E737">
        <v>211</v>
      </c>
      <c r="F737">
        <v>1</v>
      </c>
      <c r="G737">
        <v>97.297535857341302</v>
      </c>
      <c r="H737">
        <v>5</v>
      </c>
      <c r="I737">
        <v>40</v>
      </c>
      <c r="K737" t="s">
        <v>890</v>
      </c>
      <c r="L737">
        <v>4</v>
      </c>
      <c r="M737" t="s">
        <v>1575</v>
      </c>
      <c r="N737" t="s">
        <v>726</v>
      </c>
      <c r="O737">
        <v>1</v>
      </c>
    </row>
    <row r="738" spans="1:15" x14ac:dyDescent="0.3">
      <c r="A738" t="s">
        <v>1221</v>
      </c>
      <c r="B738">
        <v>756</v>
      </c>
      <c r="C738">
        <v>403117287</v>
      </c>
      <c r="D738">
        <v>211</v>
      </c>
      <c r="E738">
        <v>547</v>
      </c>
      <c r="F738">
        <v>1</v>
      </c>
      <c r="G738">
        <v>97.297535857341302</v>
      </c>
      <c r="H738">
        <v>2</v>
      </c>
      <c r="I738">
        <v>40</v>
      </c>
      <c r="K738" t="s">
        <v>890</v>
      </c>
      <c r="L738">
        <v>4</v>
      </c>
      <c r="M738" t="s">
        <v>1576</v>
      </c>
      <c r="N738" t="s">
        <v>726</v>
      </c>
      <c r="O738">
        <v>1</v>
      </c>
    </row>
    <row r="739" spans="1:15" x14ac:dyDescent="0.3">
      <c r="A739" t="s">
        <v>988</v>
      </c>
      <c r="B739">
        <v>757</v>
      </c>
      <c r="C739">
        <v>406379332</v>
      </c>
      <c r="D739">
        <v>1968</v>
      </c>
      <c r="E739">
        <v>273</v>
      </c>
      <c r="F739">
        <v>1</v>
      </c>
      <c r="G739">
        <v>15.9013288835461</v>
      </c>
      <c r="H739">
        <v>2</v>
      </c>
      <c r="I739">
        <v>45</v>
      </c>
      <c r="K739" t="s">
        <v>890</v>
      </c>
      <c r="L739">
        <v>4</v>
      </c>
      <c r="M739" t="s">
        <v>1577</v>
      </c>
      <c r="N739" t="s">
        <v>726</v>
      </c>
      <c r="O739">
        <v>0</v>
      </c>
    </row>
    <row r="740" spans="1:15" x14ac:dyDescent="0.3">
      <c r="A740" t="s">
        <v>1221</v>
      </c>
      <c r="B740">
        <v>758</v>
      </c>
      <c r="C740">
        <v>406379334</v>
      </c>
      <c r="D740">
        <v>554</v>
      </c>
      <c r="E740">
        <v>798</v>
      </c>
      <c r="F740">
        <v>1</v>
      </c>
      <c r="G740">
        <v>52.6418127348757</v>
      </c>
      <c r="H740">
        <v>3</v>
      </c>
      <c r="K740" t="s">
        <v>890</v>
      </c>
      <c r="L740">
        <v>4</v>
      </c>
      <c r="M740" t="s">
        <v>1578</v>
      </c>
      <c r="N740" t="s">
        <v>726</v>
      </c>
      <c r="O740">
        <v>1</v>
      </c>
    </row>
    <row r="741" spans="1:15" x14ac:dyDescent="0.3">
      <c r="A741" t="s">
        <v>1221</v>
      </c>
      <c r="B741">
        <v>759</v>
      </c>
      <c r="C741">
        <v>406379334</v>
      </c>
      <c r="D741">
        <v>798</v>
      </c>
      <c r="E741">
        <v>554</v>
      </c>
      <c r="F741">
        <v>1</v>
      </c>
      <c r="G741">
        <v>52.6418127348757</v>
      </c>
      <c r="H741">
        <v>2</v>
      </c>
      <c r="K741" t="s">
        <v>890</v>
      </c>
      <c r="L741">
        <v>4</v>
      </c>
      <c r="M741" t="s">
        <v>1579</v>
      </c>
      <c r="N741" t="s">
        <v>726</v>
      </c>
      <c r="O741">
        <v>1</v>
      </c>
    </row>
    <row r="742" spans="1:15" x14ac:dyDescent="0.3">
      <c r="A742" t="s">
        <v>988</v>
      </c>
      <c r="B742">
        <v>760</v>
      </c>
      <c r="C742">
        <v>406379830</v>
      </c>
      <c r="D742">
        <v>429</v>
      </c>
      <c r="E742">
        <v>559</v>
      </c>
      <c r="F742">
        <v>1</v>
      </c>
      <c r="G742">
        <v>56.390098541646402</v>
      </c>
      <c r="H742">
        <v>3</v>
      </c>
      <c r="I742">
        <v>40</v>
      </c>
      <c r="K742" t="s">
        <v>890</v>
      </c>
      <c r="L742">
        <v>4</v>
      </c>
      <c r="M742" t="s">
        <v>1580</v>
      </c>
      <c r="N742" t="s">
        <v>726</v>
      </c>
      <c r="O742">
        <v>0</v>
      </c>
    </row>
    <row r="743" spans="1:15" x14ac:dyDescent="0.3">
      <c r="A743" t="s">
        <v>827</v>
      </c>
      <c r="B743">
        <v>761</v>
      </c>
      <c r="C743">
        <v>422264711</v>
      </c>
      <c r="D743">
        <v>344</v>
      </c>
      <c r="E743">
        <v>799</v>
      </c>
      <c r="F743">
        <v>1</v>
      </c>
      <c r="G743">
        <v>149.96752377612401</v>
      </c>
      <c r="H743">
        <v>2</v>
      </c>
      <c r="I743">
        <v>35</v>
      </c>
      <c r="K743" t="s">
        <v>724</v>
      </c>
      <c r="L743">
        <v>3</v>
      </c>
      <c r="M743" t="s">
        <v>1581</v>
      </c>
      <c r="N743" t="s">
        <v>726</v>
      </c>
      <c r="O743">
        <v>0</v>
      </c>
    </row>
    <row r="744" spans="1:15" x14ac:dyDescent="0.3">
      <c r="A744" t="s">
        <v>827</v>
      </c>
      <c r="B744">
        <v>762</v>
      </c>
      <c r="C744">
        <v>422264712</v>
      </c>
      <c r="D744">
        <v>531</v>
      </c>
      <c r="E744">
        <v>385</v>
      </c>
      <c r="F744">
        <v>1</v>
      </c>
      <c r="G744">
        <v>140.58038398010299</v>
      </c>
      <c r="H744">
        <v>3</v>
      </c>
      <c r="I744">
        <v>35</v>
      </c>
      <c r="K744" t="s">
        <v>724</v>
      </c>
      <c r="L744">
        <v>3</v>
      </c>
      <c r="M744" t="s">
        <v>1582</v>
      </c>
      <c r="N744" t="s">
        <v>726</v>
      </c>
      <c r="O744">
        <v>0</v>
      </c>
    </row>
    <row r="745" spans="1:15" x14ac:dyDescent="0.3">
      <c r="A745" t="s">
        <v>827</v>
      </c>
      <c r="B745">
        <v>763</v>
      </c>
      <c r="C745">
        <v>422266084</v>
      </c>
      <c r="D745">
        <v>1958</v>
      </c>
      <c r="E745">
        <v>452</v>
      </c>
      <c r="F745">
        <v>1</v>
      </c>
      <c r="G745">
        <v>108.950744076248</v>
      </c>
      <c r="H745">
        <v>2</v>
      </c>
      <c r="I745">
        <v>35</v>
      </c>
      <c r="K745" t="s">
        <v>724</v>
      </c>
      <c r="L745">
        <v>3</v>
      </c>
      <c r="M745" t="s">
        <v>1583</v>
      </c>
      <c r="N745" t="s">
        <v>726</v>
      </c>
      <c r="O745">
        <v>0</v>
      </c>
    </row>
    <row r="746" spans="1:15" x14ac:dyDescent="0.3">
      <c r="A746" t="s">
        <v>827</v>
      </c>
      <c r="B746">
        <v>764</v>
      </c>
      <c r="C746">
        <v>422266087</v>
      </c>
      <c r="D746">
        <v>219</v>
      </c>
      <c r="E746">
        <v>453</v>
      </c>
      <c r="F746">
        <v>1</v>
      </c>
      <c r="G746">
        <v>131.085312385132</v>
      </c>
      <c r="H746">
        <v>2</v>
      </c>
      <c r="I746">
        <v>35</v>
      </c>
      <c r="K746" t="s">
        <v>724</v>
      </c>
      <c r="L746">
        <v>3</v>
      </c>
      <c r="M746" t="s">
        <v>1584</v>
      </c>
      <c r="N746" t="s">
        <v>726</v>
      </c>
      <c r="O746">
        <v>0</v>
      </c>
    </row>
    <row r="747" spans="1:15" x14ac:dyDescent="0.3">
      <c r="A747" t="s">
        <v>1109</v>
      </c>
      <c r="B747">
        <v>765</v>
      </c>
      <c r="C747">
        <v>422266090</v>
      </c>
      <c r="D747">
        <v>627</v>
      </c>
      <c r="E747">
        <v>626</v>
      </c>
      <c r="F747">
        <v>1</v>
      </c>
      <c r="G747">
        <v>67.386656918829999</v>
      </c>
      <c r="H747">
        <v>1</v>
      </c>
      <c r="K747" t="s">
        <v>711</v>
      </c>
      <c r="L747">
        <v>5</v>
      </c>
      <c r="M747" t="s">
        <v>1585</v>
      </c>
      <c r="N747" t="s">
        <v>726</v>
      </c>
      <c r="O747">
        <v>0</v>
      </c>
    </row>
    <row r="748" spans="1:15" x14ac:dyDescent="0.3">
      <c r="A748" t="s">
        <v>988</v>
      </c>
      <c r="B748">
        <v>766</v>
      </c>
      <c r="C748">
        <v>422267248</v>
      </c>
      <c r="D748">
        <v>115</v>
      </c>
      <c r="E748">
        <v>412</v>
      </c>
      <c r="F748">
        <v>1</v>
      </c>
      <c r="G748">
        <v>10.582655519145201</v>
      </c>
      <c r="H748">
        <v>1</v>
      </c>
      <c r="K748" t="s">
        <v>890</v>
      </c>
      <c r="L748">
        <v>4</v>
      </c>
      <c r="M748" t="s">
        <v>1586</v>
      </c>
      <c r="N748" t="s">
        <v>726</v>
      </c>
      <c r="O748">
        <v>1</v>
      </c>
    </row>
    <row r="749" spans="1:15" x14ac:dyDescent="0.3">
      <c r="A749" t="s">
        <v>988</v>
      </c>
      <c r="B749">
        <v>767</v>
      </c>
      <c r="C749">
        <v>422267248</v>
      </c>
      <c r="D749">
        <v>412</v>
      </c>
      <c r="E749">
        <v>115</v>
      </c>
      <c r="F749">
        <v>1</v>
      </c>
      <c r="G749">
        <v>10.582655519145201</v>
      </c>
      <c r="H749">
        <v>1</v>
      </c>
      <c r="K749" t="s">
        <v>890</v>
      </c>
      <c r="L749">
        <v>4</v>
      </c>
      <c r="M749" t="s">
        <v>1587</v>
      </c>
      <c r="N749" t="s">
        <v>726</v>
      </c>
      <c r="O749">
        <v>1</v>
      </c>
    </row>
    <row r="750" spans="1:15" x14ac:dyDescent="0.3">
      <c r="A750" t="s">
        <v>858</v>
      </c>
      <c r="B750">
        <v>768</v>
      </c>
      <c r="C750">
        <v>422267251</v>
      </c>
      <c r="D750">
        <v>115</v>
      </c>
      <c r="E750">
        <v>416</v>
      </c>
      <c r="F750">
        <v>1</v>
      </c>
      <c r="G750">
        <v>73.994975983701906</v>
      </c>
      <c r="H750">
        <v>2</v>
      </c>
      <c r="I750">
        <v>40</v>
      </c>
      <c r="K750" t="s">
        <v>890</v>
      </c>
      <c r="L750">
        <v>4</v>
      </c>
      <c r="M750" t="s">
        <v>1588</v>
      </c>
      <c r="N750" t="s">
        <v>726</v>
      </c>
      <c r="O750">
        <v>0</v>
      </c>
    </row>
    <row r="751" spans="1:15" x14ac:dyDescent="0.3">
      <c r="A751" t="s">
        <v>858</v>
      </c>
      <c r="B751">
        <v>769</v>
      </c>
      <c r="C751">
        <v>422267252</v>
      </c>
      <c r="D751">
        <v>523</v>
      </c>
      <c r="E751">
        <v>412</v>
      </c>
      <c r="F751">
        <v>1</v>
      </c>
      <c r="G751">
        <v>67.190145225616007</v>
      </c>
      <c r="H751">
        <v>3</v>
      </c>
      <c r="I751">
        <v>40</v>
      </c>
      <c r="K751" t="s">
        <v>890</v>
      </c>
      <c r="L751">
        <v>4</v>
      </c>
      <c r="M751" t="s">
        <v>1589</v>
      </c>
      <c r="N751" t="s">
        <v>726</v>
      </c>
      <c r="O751">
        <v>0</v>
      </c>
    </row>
    <row r="752" spans="1:15" x14ac:dyDescent="0.3">
      <c r="A752" t="s">
        <v>1216</v>
      </c>
      <c r="B752">
        <v>770</v>
      </c>
      <c r="C752">
        <v>428666893</v>
      </c>
      <c r="D752">
        <v>342</v>
      </c>
      <c r="E752">
        <v>507</v>
      </c>
      <c r="F752">
        <v>1</v>
      </c>
      <c r="G752">
        <v>176.37261773105701</v>
      </c>
      <c r="H752">
        <v>2</v>
      </c>
      <c r="I752">
        <v>35</v>
      </c>
      <c r="K752" t="s">
        <v>890</v>
      </c>
      <c r="L752">
        <v>4</v>
      </c>
      <c r="M752" t="s">
        <v>1590</v>
      </c>
      <c r="N752" t="s">
        <v>726</v>
      </c>
      <c r="O752">
        <v>0</v>
      </c>
    </row>
    <row r="753" spans="1:15" x14ac:dyDescent="0.3">
      <c r="A753" t="s">
        <v>858</v>
      </c>
      <c r="B753">
        <v>771</v>
      </c>
      <c r="C753">
        <v>436781232</v>
      </c>
      <c r="D753">
        <v>437</v>
      </c>
      <c r="E753">
        <v>439</v>
      </c>
      <c r="F753">
        <v>1</v>
      </c>
      <c r="G753">
        <v>93.583597897143093</v>
      </c>
      <c r="H753">
        <v>2</v>
      </c>
      <c r="K753" t="s">
        <v>724</v>
      </c>
      <c r="L753">
        <v>3</v>
      </c>
      <c r="M753" t="s">
        <v>1591</v>
      </c>
      <c r="N753" t="s">
        <v>726</v>
      </c>
      <c r="O753">
        <v>0</v>
      </c>
    </row>
    <row r="754" spans="1:15" x14ac:dyDescent="0.3">
      <c r="A754" t="s">
        <v>858</v>
      </c>
      <c r="B754">
        <v>772</v>
      </c>
      <c r="C754">
        <v>436781558</v>
      </c>
      <c r="D754">
        <v>439</v>
      </c>
      <c r="E754">
        <v>197</v>
      </c>
      <c r="F754">
        <v>1</v>
      </c>
      <c r="G754">
        <v>28.846561013029898</v>
      </c>
      <c r="H754">
        <v>2</v>
      </c>
      <c r="K754" t="s">
        <v>724</v>
      </c>
      <c r="L754">
        <v>3</v>
      </c>
      <c r="M754" t="s">
        <v>1592</v>
      </c>
      <c r="N754" t="s">
        <v>726</v>
      </c>
      <c r="O754">
        <v>0</v>
      </c>
    </row>
    <row r="755" spans="1:15" x14ac:dyDescent="0.3">
      <c r="A755" t="s">
        <v>1288</v>
      </c>
      <c r="B755">
        <v>773</v>
      </c>
      <c r="C755">
        <v>436781559</v>
      </c>
      <c r="D755">
        <v>330</v>
      </c>
      <c r="E755">
        <v>257</v>
      </c>
      <c r="F755">
        <v>1</v>
      </c>
      <c r="G755">
        <v>25.9730975947685</v>
      </c>
      <c r="H755">
        <v>2</v>
      </c>
      <c r="I755">
        <v>30</v>
      </c>
      <c r="K755" t="s">
        <v>890</v>
      </c>
      <c r="L755">
        <v>4</v>
      </c>
      <c r="M755" t="s">
        <v>1593</v>
      </c>
      <c r="N755" t="s">
        <v>726</v>
      </c>
      <c r="O755">
        <v>0</v>
      </c>
    </row>
    <row r="756" spans="1:15" x14ac:dyDescent="0.3">
      <c r="A756" t="s">
        <v>1288</v>
      </c>
      <c r="B756">
        <v>774</v>
      </c>
      <c r="C756">
        <v>436781676</v>
      </c>
      <c r="D756">
        <v>259</v>
      </c>
      <c r="E756">
        <v>800</v>
      </c>
      <c r="F756">
        <v>1</v>
      </c>
      <c r="G756">
        <v>273.90072409126702</v>
      </c>
      <c r="H756">
        <v>2</v>
      </c>
      <c r="K756" t="s">
        <v>890</v>
      </c>
      <c r="L756">
        <v>4</v>
      </c>
      <c r="M756" t="s">
        <v>1594</v>
      </c>
      <c r="N756" t="s">
        <v>726</v>
      </c>
      <c r="O756">
        <v>0</v>
      </c>
    </row>
    <row r="757" spans="1:15" x14ac:dyDescent="0.3">
      <c r="A757" t="s">
        <v>858</v>
      </c>
      <c r="B757">
        <v>775</v>
      </c>
      <c r="C757">
        <v>436789319</v>
      </c>
      <c r="D757">
        <v>440</v>
      </c>
      <c r="E757">
        <v>415</v>
      </c>
      <c r="F757">
        <v>1</v>
      </c>
      <c r="G757">
        <v>7.6949632238407899</v>
      </c>
      <c r="H757">
        <v>2</v>
      </c>
      <c r="I757">
        <v>35</v>
      </c>
      <c r="K757" t="s">
        <v>890</v>
      </c>
      <c r="L757">
        <v>4</v>
      </c>
      <c r="M757" t="s">
        <v>1595</v>
      </c>
      <c r="N757" t="s">
        <v>726</v>
      </c>
      <c r="O757">
        <v>1</v>
      </c>
    </row>
    <row r="758" spans="1:15" x14ac:dyDescent="0.3">
      <c r="A758" t="s">
        <v>858</v>
      </c>
      <c r="B758">
        <v>776</v>
      </c>
      <c r="C758">
        <v>436789319</v>
      </c>
      <c r="D758">
        <v>415</v>
      </c>
      <c r="E758">
        <v>440</v>
      </c>
      <c r="F758">
        <v>1</v>
      </c>
      <c r="G758">
        <v>7.6949632238407899</v>
      </c>
      <c r="H758">
        <v>2</v>
      </c>
      <c r="I758">
        <v>35</v>
      </c>
      <c r="K758" t="s">
        <v>890</v>
      </c>
      <c r="L758">
        <v>4</v>
      </c>
      <c r="M758" t="s">
        <v>1596</v>
      </c>
      <c r="N758" t="s">
        <v>726</v>
      </c>
      <c r="O758">
        <v>1</v>
      </c>
    </row>
    <row r="759" spans="1:15" x14ac:dyDescent="0.3">
      <c r="A759" t="s">
        <v>858</v>
      </c>
      <c r="B759">
        <v>777</v>
      </c>
      <c r="C759">
        <v>436789320</v>
      </c>
      <c r="D759">
        <v>264</v>
      </c>
      <c r="E759">
        <v>441</v>
      </c>
      <c r="F759">
        <v>1</v>
      </c>
      <c r="G759">
        <v>40.758423960854103</v>
      </c>
      <c r="H759">
        <v>2</v>
      </c>
      <c r="I759">
        <v>35</v>
      </c>
      <c r="K759" t="s">
        <v>890</v>
      </c>
      <c r="L759">
        <v>4</v>
      </c>
      <c r="M759" t="s">
        <v>1597</v>
      </c>
      <c r="N759" t="s">
        <v>726</v>
      </c>
      <c r="O759">
        <v>1</v>
      </c>
    </row>
    <row r="760" spans="1:15" x14ac:dyDescent="0.3">
      <c r="A760" t="s">
        <v>858</v>
      </c>
      <c r="B760">
        <v>778</v>
      </c>
      <c r="C760">
        <v>436789320</v>
      </c>
      <c r="D760">
        <v>441</v>
      </c>
      <c r="E760">
        <v>264</v>
      </c>
      <c r="F760">
        <v>1</v>
      </c>
      <c r="G760">
        <v>40.758423960854103</v>
      </c>
      <c r="H760">
        <v>3</v>
      </c>
      <c r="I760">
        <v>35</v>
      </c>
      <c r="K760" t="s">
        <v>890</v>
      </c>
      <c r="L760">
        <v>4</v>
      </c>
      <c r="M760" t="s">
        <v>1598</v>
      </c>
      <c r="N760" t="s">
        <v>726</v>
      </c>
      <c r="O760">
        <v>1</v>
      </c>
    </row>
    <row r="761" spans="1:15" x14ac:dyDescent="0.3">
      <c r="A761" t="s">
        <v>858</v>
      </c>
      <c r="B761">
        <v>779</v>
      </c>
      <c r="C761">
        <v>436789322</v>
      </c>
      <c r="D761">
        <v>688</v>
      </c>
      <c r="E761">
        <v>440</v>
      </c>
      <c r="F761">
        <v>1</v>
      </c>
      <c r="G761">
        <v>45.100686124007602</v>
      </c>
      <c r="H761">
        <v>2</v>
      </c>
      <c r="I761">
        <v>35</v>
      </c>
      <c r="K761" t="s">
        <v>890</v>
      </c>
      <c r="L761">
        <v>4</v>
      </c>
      <c r="M761" t="s">
        <v>1599</v>
      </c>
      <c r="N761" t="s">
        <v>726</v>
      </c>
      <c r="O761">
        <v>1</v>
      </c>
    </row>
    <row r="762" spans="1:15" x14ac:dyDescent="0.3">
      <c r="A762" t="s">
        <v>858</v>
      </c>
      <c r="B762">
        <v>780</v>
      </c>
      <c r="C762">
        <v>436789322</v>
      </c>
      <c r="D762">
        <v>440</v>
      </c>
      <c r="E762">
        <v>688</v>
      </c>
      <c r="F762">
        <v>1</v>
      </c>
      <c r="G762">
        <v>45.100686124007602</v>
      </c>
      <c r="H762">
        <v>3</v>
      </c>
      <c r="I762">
        <v>35</v>
      </c>
      <c r="K762" t="s">
        <v>890</v>
      </c>
      <c r="L762">
        <v>4</v>
      </c>
      <c r="M762" t="s">
        <v>1600</v>
      </c>
      <c r="N762" t="s">
        <v>726</v>
      </c>
      <c r="O762">
        <v>1</v>
      </c>
    </row>
    <row r="763" spans="1:15" x14ac:dyDescent="0.3">
      <c r="A763" t="s">
        <v>858</v>
      </c>
      <c r="B763">
        <v>781</v>
      </c>
      <c r="C763">
        <v>436789324</v>
      </c>
      <c r="D763">
        <v>79</v>
      </c>
      <c r="E763">
        <v>112</v>
      </c>
      <c r="F763">
        <v>1</v>
      </c>
      <c r="G763">
        <v>65.887436031866102</v>
      </c>
      <c r="H763">
        <v>2</v>
      </c>
      <c r="K763" t="s">
        <v>890</v>
      </c>
      <c r="L763">
        <v>4</v>
      </c>
      <c r="M763" t="s">
        <v>1601</v>
      </c>
      <c r="N763" t="s">
        <v>726</v>
      </c>
      <c r="O763">
        <v>0</v>
      </c>
    </row>
    <row r="764" spans="1:15" x14ac:dyDescent="0.3">
      <c r="A764" t="s">
        <v>858</v>
      </c>
      <c r="B764">
        <v>782</v>
      </c>
      <c r="C764">
        <v>436789324</v>
      </c>
      <c r="D764">
        <v>112</v>
      </c>
      <c r="E764">
        <v>442</v>
      </c>
      <c r="F764">
        <v>1</v>
      </c>
      <c r="G764">
        <v>121.86197176002101</v>
      </c>
      <c r="H764">
        <v>2</v>
      </c>
      <c r="K764" t="s">
        <v>890</v>
      </c>
      <c r="L764">
        <v>4</v>
      </c>
      <c r="M764" t="s">
        <v>1602</v>
      </c>
      <c r="N764" t="s">
        <v>726</v>
      </c>
      <c r="O764">
        <v>0</v>
      </c>
    </row>
    <row r="765" spans="1:15" x14ac:dyDescent="0.3">
      <c r="A765" t="s">
        <v>827</v>
      </c>
      <c r="B765">
        <v>783</v>
      </c>
      <c r="C765">
        <v>436789539</v>
      </c>
      <c r="D765">
        <v>227</v>
      </c>
      <c r="E765">
        <v>228</v>
      </c>
      <c r="F765">
        <v>1</v>
      </c>
      <c r="G765">
        <v>53.842876890781099</v>
      </c>
      <c r="H765">
        <v>2</v>
      </c>
      <c r="I765">
        <v>35</v>
      </c>
      <c r="K765" t="s">
        <v>724</v>
      </c>
      <c r="L765">
        <v>3</v>
      </c>
      <c r="M765" t="s">
        <v>1603</v>
      </c>
      <c r="N765" t="s">
        <v>726</v>
      </c>
      <c r="O765">
        <v>0</v>
      </c>
    </row>
    <row r="766" spans="1:15" x14ac:dyDescent="0.3">
      <c r="A766" t="s">
        <v>827</v>
      </c>
      <c r="B766">
        <v>784</v>
      </c>
      <c r="C766">
        <v>436789539</v>
      </c>
      <c r="D766">
        <v>228</v>
      </c>
      <c r="E766">
        <v>229</v>
      </c>
      <c r="F766">
        <v>1</v>
      </c>
      <c r="G766">
        <v>265.414765337505</v>
      </c>
      <c r="H766">
        <v>2</v>
      </c>
      <c r="I766">
        <v>35</v>
      </c>
      <c r="K766" t="s">
        <v>724</v>
      </c>
      <c r="L766">
        <v>3</v>
      </c>
      <c r="M766" t="s">
        <v>1604</v>
      </c>
      <c r="N766" t="s">
        <v>726</v>
      </c>
      <c r="O766">
        <v>0</v>
      </c>
    </row>
    <row r="767" spans="1:15" x14ac:dyDescent="0.3">
      <c r="A767" t="s">
        <v>827</v>
      </c>
      <c r="B767">
        <v>785</v>
      </c>
      <c r="C767">
        <v>436789539</v>
      </c>
      <c r="D767">
        <v>229</v>
      </c>
      <c r="E767">
        <v>388</v>
      </c>
      <c r="F767">
        <v>1</v>
      </c>
      <c r="G767">
        <v>53.008895297842201</v>
      </c>
      <c r="H767">
        <v>2</v>
      </c>
      <c r="I767">
        <v>35</v>
      </c>
      <c r="K767" t="s">
        <v>724</v>
      </c>
      <c r="L767">
        <v>3</v>
      </c>
      <c r="M767" t="s">
        <v>1605</v>
      </c>
      <c r="N767" t="s">
        <v>726</v>
      </c>
      <c r="O767">
        <v>0</v>
      </c>
    </row>
    <row r="768" spans="1:15" x14ac:dyDescent="0.3">
      <c r="A768" t="s">
        <v>827</v>
      </c>
      <c r="B768">
        <v>787</v>
      </c>
      <c r="C768">
        <v>436789540</v>
      </c>
      <c r="D768">
        <v>1956</v>
      </c>
      <c r="E768">
        <v>386</v>
      </c>
      <c r="F768">
        <v>1</v>
      </c>
      <c r="G768">
        <v>84.209456744060503</v>
      </c>
      <c r="H768">
        <v>2</v>
      </c>
      <c r="I768">
        <v>35</v>
      </c>
      <c r="K768" t="s">
        <v>724</v>
      </c>
      <c r="L768">
        <v>3</v>
      </c>
      <c r="M768" t="s">
        <v>1606</v>
      </c>
      <c r="N768" t="s">
        <v>726</v>
      </c>
      <c r="O768">
        <v>0</v>
      </c>
    </row>
    <row r="769" spans="1:15" x14ac:dyDescent="0.3">
      <c r="A769" t="s">
        <v>827</v>
      </c>
      <c r="B769">
        <v>788</v>
      </c>
      <c r="C769">
        <v>436789541</v>
      </c>
      <c r="D769">
        <v>443</v>
      </c>
      <c r="E769">
        <v>227</v>
      </c>
      <c r="F769">
        <v>1</v>
      </c>
      <c r="G769">
        <v>87.914878767760698</v>
      </c>
      <c r="H769">
        <v>3</v>
      </c>
      <c r="I769">
        <v>35</v>
      </c>
      <c r="K769" t="s">
        <v>724</v>
      </c>
      <c r="L769">
        <v>3</v>
      </c>
      <c r="M769" t="s">
        <v>1607</v>
      </c>
      <c r="N769" t="s">
        <v>726</v>
      </c>
      <c r="O769">
        <v>0</v>
      </c>
    </row>
    <row r="770" spans="1:15" x14ac:dyDescent="0.3">
      <c r="A770" t="s">
        <v>827</v>
      </c>
      <c r="B770">
        <v>789</v>
      </c>
      <c r="C770">
        <v>436789544</v>
      </c>
      <c r="D770">
        <v>446</v>
      </c>
      <c r="E770">
        <v>226</v>
      </c>
      <c r="F770">
        <v>1</v>
      </c>
      <c r="G770">
        <v>74.281380667434604</v>
      </c>
      <c r="H770">
        <v>3</v>
      </c>
      <c r="I770">
        <v>35</v>
      </c>
      <c r="K770" t="s">
        <v>724</v>
      </c>
      <c r="L770">
        <v>3</v>
      </c>
      <c r="M770" t="s">
        <v>1608</v>
      </c>
      <c r="N770" t="s">
        <v>726</v>
      </c>
      <c r="O770">
        <v>0</v>
      </c>
    </row>
    <row r="771" spans="1:15" x14ac:dyDescent="0.3">
      <c r="A771" t="s">
        <v>827</v>
      </c>
      <c r="B771">
        <v>790</v>
      </c>
      <c r="C771">
        <v>436789551</v>
      </c>
      <c r="D771">
        <v>444</v>
      </c>
      <c r="E771">
        <v>1959</v>
      </c>
      <c r="F771">
        <v>1</v>
      </c>
      <c r="G771">
        <v>84.030207180601096</v>
      </c>
      <c r="H771">
        <v>3</v>
      </c>
      <c r="I771">
        <v>35</v>
      </c>
      <c r="K771" t="s">
        <v>724</v>
      </c>
      <c r="L771">
        <v>3</v>
      </c>
      <c r="M771" t="s">
        <v>1609</v>
      </c>
      <c r="N771" t="s">
        <v>726</v>
      </c>
      <c r="O771">
        <v>0</v>
      </c>
    </row>
    <row r="772" spans="1:15" x14ac:dyDescent="0.3">
      <c r="A772" t="s">
        <v>827</v>
      </c>
      <c r="B772">
        <v>791</v>
      </c>
      <c r="C772">
        <v>436789558</v>
      </c>
      <c r="D772">
        <v>252</v>
      </c>
      <c r="E772">
        <v>1956</v>
      </c>
      <c r="F772">
        <v>1</v>
      </c>
      <c r="G772">
        <v>88.468992867476402</v>
      </c>
      <c r="H772">
        <v>3</v>
      </c>
      <c r="I772">
        <v>35</v>
      </c>
      <c r="K772" t="s">
        <v>724</v>
      </c>
      <c r="L772">
        <v>3</v>
      </c>
      <c r="M772" t="s">
        <v>1610</v>
      </c>
      <c r="N772" t="s">
        <v>726</v>
      </c>
      <c r="O772">
        <v>0</v>
      </c>
    </row>
    <row r="773" spans="1:15" x14ac:dyDescent="0.3">
      <c r="A773" t="s">
        <v>827</v>
      </c>
      <c r="B773">
        <v>792</v>
      </c>
      <c r="C773">
        <v>436789564</v>
      </c>
      <c r="D773">
        <v>385</v>
      </c>
      <c r="E773">
        <v>252</v>
      </c>
      <c r="F773">
        <v>1</v>
      </c>
      <c r="G773">
        <v>210.91178368751301</v>
      </c>
      <c r="H773">
        <v>2</v>
      </c>
      <c r="I773">
        <v>35</v>
      </c>
      <c r="K773" t="s">
        <v>724</v>
      </c>
      <c r="L773">
        <v>3</v>
      </c>
      <c r="M773" t="s">
        <v>1611</v>
      </c>
      <c r="N773" t="s">
        <v>726</v>
      </c>
      <c r="O773">
        <v>0</v>
      </c>
    </row>
    <row r="774" spans="1:15" x14ac:dyDescent="0.3">
      <c r="A774" t="s">
        <v>827</v>
      </c>
      <c r="B774">
        <v>794</v>
      </c>
      <c r="C774">
        <v>436789570</v>
      </c>
      <c r="D774">
        <v>1959</v>
      </c>
      <c r="E774">
        <v>445</v>
      </c>
      <c r="F774">
        <v>1</v>
      </c>
      <c r="G774">
        <v>162.41782844676999</v>
      </c>
      <c r="H774">
        <v>2</v>
      </c>
      <c r="I774">
        <v>35</v>
      </c>
      <c r="K774" t="s">
        <v>724</v>
      </c>
      <c r="L774">
        <v>3</v>
      </c>
      <c r="M774" t="s">
        <v>1612</v>
      </c>
      <c r="N774" t="s">
        <v>726</v>
      </c>
      <c r="O774">
        <v>0</v>
      </c>
    </row>
    <row r="775" spans="1:15" x14ac:dyDescent="0.3">
      <c r="A775" t="s">
        <v>827</v>
      </c>
      <c r="B775">
        <v>795</v>
      </c>
      <c r="C775">
        <v>436789576</v>
      </c>
      <c r="D775">
        <v>226</v>
      </c>
      <c r="E775">
        <v>384</v>
      </c>
      <c r="F775">
        <v>1</v>
      </c>
      <c r="G775">
        <v>120.077858825706</v>
      </c>
      <c r="H775">
        <v>2</v>
      </c>
      <c r="I775">
        <v>35</v>
      </c>
      <c r="K775" t="s">
        <v>724</v>
      </c>
      <c r="L775">
        <v>3</v>
      </c>
      <c r="M775" t="s">
        <v>1613</v>
      </c>
      <c r="N775" t="s">
        <v>726</v>
      </c>
      <c r="O775">
        <v>0</v>
      </c>
    </row>
    <row r="776" spans="1:15" x14ac:dyDescent="0.3">
      <c r="A776" t="s">
        <v>827</v>
      </c>
      <c r="B776">
        <v>796</v>
      </c>
      <c r="C776">
        <v>436789580</v>
      </c>
      <c r="D776">
        <v>445</v>
      </c>
      <c r="E776">
        <v>711</v>
      </c>
      <c r="F776">
        <v>1</v>
      </c>
      <c r="G776">
        <v>1.8099293721254099</v>
      </c>
      <c r="H776">
        <v>3</v>
      </c>
      <c r="I776">
        <v>35</v>
      </c>
      <c r="K776" t="s">
        <v>724</v>
      </c>
      <c r="L776">
        <v>3</v>
      </c>
      <c r="M776" t="s">
        <v>1614</v>
      </c>
      <c r="N776" t="s">
        <v>726</v>
      </c>
      <c r="O776">
        <v>0</v>
      </c>
    </row>
    <row r="777" spans="1:15" x14ac:dyDescent="0.3">
      <c r="A777" t="s">
        <v>827</v>
      </c>
      <c r="B777">
        <v>797</v>
      </c>
      <c r="C777">
        <v>436789580</v>
      </c>
      <c r="D777">
        <v>711</v>
      </c>
      <c r="E777">
        <v>713</v>
      </c>
      <c r="F777">
        <v>1</v>
      </c>
      <c r="G777">
        <v>17.530094443250501</v>
      </c>
      <c r="H777">
        <v>3</v>
      </c>
      <c r="I777">
        <v>35</v>
      </c>
      <c r="K777" t="s">
        <v>724</v>
      </c>
      <c r="L777">
        <v>3</v>
      </c>
      <c r="M777" t="s">
        <v>1615</v>
      </c>
      <c r="N777" t="s">
        <v>726</v>
      </c>
      <c r="O777">
        <v>0</v>
      </c>
    </row>
    <row r="778" spans="1:15" x14ac:dyDescent="0.3">
      <c r="A778" t="s">
        <v>827</v>
      </c>
      <c r="B778">
        <v>798</v>
      </c>
      <c r="C778">
        <v>436789580</v>
      </c>
      <c r="D778">
        <v>713</v>
      </c>
      <c r="E778">
        <v>344</v>
      </c>
      <c r="F778">
        <v>1</v>
      </c>
      <c r="G778">
        <v>118.00756900590299</v>
      </c>
      <c r="H778">
        <v>3</v>
      </c>
      <c r="I778">
        <v>35</v>
      </c>
      <c r="K778" t="s">
        <v>724</v>
      </c>
      <c r="L778">
        <v>3</v>
      </c>
      <c r="M778" t="s">
        <v>1616</v>
      </c>
      <c r="N778" t="s">
        <v>726</v>
      </c>
      <c r="O778">
        <v>0</v>
      </c>
    </row>
    <row r="779" spans="1:15" x14ac:dyDescent="0.3">
      <c r="A779" t="s">
        <v>827</v>
      </c>
      <c r="B779">
        <v>799</v>
      </c>
      <c r="C779">
        <v>436789584</v>
      </c>
      <c r="D779">
        <v>447</v>
      </c>
      <c r="E779">
        <v>235</v>
      </c>
      <c r="F779">
        <v>1</v>
      </c>
      <c r="G779">
        <v>129.50362067144599</v>
      </c>
      <c r="H779">
        <v>3</v>
      </c>
      <c r="I779">
        <v>35</v>
      </c>
      <c r="K779" t="s">
        <v>724</v>
      </c>
      <c r="L779">
        <v>3</v>
      </c>
      <c r="M779" t="s">
        <v>1617</v>
      </c>
      <c r="N779" t="s">
        <v>726</v>
      </c>
      <c r="O779">
        <v>0</v>
      </c>
    </row>
    <row r="780" spans="1:15" x14ac:dyDescent="0.3">
      <c r="A780" t="s">
        <v>827</v>
      </c>
      <c r="B780">
        <v>800</v>
      </c>
      <c r="C780">
        <v>436790482</v>
      </c>
      <c r="D780">
        <v>452</v>
      </c>
      <c r="E780">
        <v>1944</v>
      </c>
      <c r="F780">
        <v>1</v>
      </c>
      <c r="G780">
        <v>44.088887467807503</v>
      </c>
      <c r="H780">
        <v>3</v>
      </c>
      <c r="I780">
        <v>35</v>
      </c>
      <c r="K780" t="s">
        <v>724</v>
      </c>
      <c r="L780">
        <v>3</v>
      </c>
      <c r="M780" t="s">
        <v>1618</v>
      </c>
      <c r="N780" t="s">
        <v>726</v>
      </c>
      <c r="O780">
        <v>0</v>
      </c>
    </row>
    <row r="781" spans="1:15" x14ac:dyDescent="0.3">
      <c r="A781" t="s">
        <v>827</v>
      </c>
      <c r="B781">
        <v>801</v>
      </c>
      <c r="C781">
        <v>436790483</v>
      </c>
      <c r="D781">
        <v>448</v>
      </c>
      <c r="E781">
        <v>1944</v>
      </c>
      <c r="F781">
        <v>1</v>
      </c>
      <c r="G781">
        <v>38.179697982985203</v>
      </c>
      <c r="H781">
        <v>3</v>
      </c>
      <c r="K781" t="s">
        <v>724</v>
      </c>
      <c r="L781">
        <v>3</v>
      </c>
      <c r="M781" t="s">
        <v>1619</v>
      </c>
      <c r="N781" t="s">
        <v>726</v>
      </c>
      <c r="O781">
        <v>0</v>
      </c>
    </row>
    <row r="782" spans="1:15" x14ac:dyDescent="0.3">
      <c r="A782" t="s">
        <v>827</v>
      </c>
      <c r="B782">
        <v>802</v>
      </c>
      <c r="C782">
        <v>436790484</v>
      </c>
      <c r="D782">
        <v>450</v>
      </c>
      <c r="E782">
        <v>224</v>
      </c>
      <c r="F782">
        <v>1</v>
      </c>
      <c r="G782">
        <v>72.257703249765598</v>
      </c>
      <c r="H782">
        <v>3</v>
      </c>
      <c r="I782">
        <v>35</v>
      </c>
      <c r="K782" t="s">
        <v>724</v>
      </c>
      <c r="L782">
        <v>3</v>
      </c>
      <c r="M782" t="s">
        <v>1620</v>
      </c>
      <c r="N782" t="s">
        <v>726</v>
      </c>
      <c r="O782">
        <v>0</v>
      </c>
    </row>
    <row r="783" spans="1:15" x14ac:dyDescent="0.3">
      <c r="A783" t="s">
        <v>827</v>
      </c>
      <c r="B783">
        <v>803</v>
      </c>
      <c r="C783">
        <v>436790485</v>
      </c>
      <c r="D783">
        <v>455</v>
      </c>
      <c r="E783">
        <v>218</v>
      </c>
      <c r="F783">
        <v>1</v>
      </c>
      <c r="G783">
        <v>58.941983467681403</v>
      </c>
      <c r="H783">
        <v>3</v>
      </c>
      <c r="I783">
        <v>35</v>
      </c>
      <c r="K783" t="s">
        <v>724</v>
      </c>
      <c r="L783">
        <v>3</v>
      </c>
      <c r="M783" t="s">
        <v>1621</v>
      </c>
      <c r="N783" t="s">
        <v>726</v>
      </c>
      <c r="O783">
        <v>0</v>
      </c>
    </row>
    <row r="784" spans="1:15" x14ac:dyDescent="0.3">
      <c r="A784" t="s">
        <v>827</v>
      </c>
      <c r="B784">
        <v>804</v>
      </c>
      <c r="C784">
        <v>436790486</v>
      </c>
      <c r="D784">
        <v>449</v>
      </c>
      <c r="E784">
        <v>223</v>
      </c>
      <c r="F784">
        <v>1</v>
      </c>
      <c r="G784">
        <v>67.414496120148399</v>
      </c>
      <c r="H784">
        <v>3</v>
      </c>
      <c r="I784">
        <v>35</v>
      </c>
      <c r="K784" t="s">
        <v>724</v>
      </c>
      <c r="L784">
        <v>3</v>
      </c>
      <c r="M784" t="s">
        <v>1622</v>
      </c>
      <c r="N784" t="s">
        <v>726</v>
      </c>
      <c r="O784">
        <v>0</v>
      </c>
    </row>
    <row r="785" spans="1:15" x14ac:dyDescent="0.3">
      <c r="A785" t="s">
        <v>827</v>
      </c>
      <c r="B785">
        <v>805</v>
      </c>
      <c r="C785">
        <v>436790487</v>
      </c>
      <c r="D785">
        <v>218</v>
      </c>
      <c r="E785">
        <v>454</v>
      </c>
      <c r="F785">
        <v>1</v>
      </c>
      <c r="G785">
        <v>145.527001832075</v>
      </c>
      <c r="H785">
        <v>2</v>
      </c>
      <c r="I785">
        <v>35</v>
      </c>
      <c r="K785" t="s">
        <v>724</v>
      </c>
      <c r="L785">
        <v>3</v>
      </c>
      <c r="M785" t="s">
        <v>1623</v>
      </c>
      <c r="N785" t="s">
        <v>726</v>
      </c>
      <c r="O785">
        <v>0</v>
      </c>
    </row>
    <row r="786" spans="1:15" x14ac:dyDescent="0.3">
      <c r="A786" t="s">
        <v>827</v>
      </c>
      <c r="B786">
        <v>806</v>
      </c>
      <c r="C786">
        <v>436790488</v>
      </c>
      <c r="D786">
        <v>453</v>
      </c>
      <c r="E786">
        <v>1958</v>
      </c>
      <c r="F786">
        <v>1</v>
      </c>
      <c r="G786">
        <v>68.870373326648604</v>
      </c>
      <c r="H786">
        <v>3</v>
      </c>
      <c r="I786">
        <v>35</v>
      </c>
      <c r="K786" t="s">
        <v>724</v>
      </c>
      <c r="L786">
        <v>3</v>
      </c>
      <c r="M786" t="s">
        <v>1624</v>
      </c>
      <c r="N786" t="s">
        <v>726</v>
      </c>
      <c r="O786">
        <v>0</v>
      </c>
    </row>
    <row r="787" spans="1:15" x14ac:dyDescent="0.3">
      <c r="A787" t="s">
        <v>827</v>
      </c>
      <c r="B787">
        <v>807</v>
      </c>
      <c r="C787">
        <v>436790489</v>
      </c>
      <c r="D787">
        <v>454</v>
      </c>
      <c r="E787">
        <v>219</v>
      </c>
      <c r="F787">
        <v>1</v>
      </c>
      <c r="G787">
        <v>54.516013241770402</v>
      </c>
      <c r="H787">
        <v>3</v>
      </c>
      <c r="I787">
        <v>35</v>
      </c>
      <c r="K787" t="s">
        <v>724</v>
      </c>
      <c r="L787">
        <v>3</v>
      </c>
      <c r="M787" t="s">
        <v>1625</v>
      </c>
      <c r="N787" t="s">
        <v>726</v>
      </c>
      <c r="O787">
        <v>0</v>
      </c>
    </row>
    <row r="788" spans="1:15" x14ac:dyDescent="0.3">
      <c r="A788" t="s">
        <v>827</v>
      </c>
      <c r="B788">
        <v>808</v>
      </c>
      <c r="C788">
        <v>436790490</v>
      </c>
      <c r="D788">
        <v>451</v>
      </c>
      <c r="E788">
        <v>1957</v>
      </c>
      <c r="F788">
        <v>1</v>
      </c>
      <c r="G788">
        <v>42.286694339727099</v>
      </c>
      <c r="H788">
        <v>4</v>
      </c>
      <c r="I788">
        <v>35</v>
      </c>
      <c r="K788" t="s">
        <v>724</v>
      </c>
      <c r="L788">
        <v>3</v>
      </c>
      <c r="M788" t="s">
        <v>1626</v>
      </c>
      <c r="N788" t="s">
        <v>726</v>
      </c>
      <c r="O788">
        <v>0</v>
      </c>
    </row>
    <row r="789" spans="1:15" x14ac:dyDescent="0.3">
      <c r="A789" t="s">
        <v>827</v>
      </c>
      <c r="B789">
        <v>809</v>
      </c>
      <c r="C789">
        <v>436790491</v>
      </c>
      <c r="D789">
        <v>456</v>
      </c>
      <c r="E789">
        <v>1957</v>
      </c>
      <c r="F789">
        <v>1</v>
      </c>
      <c r="G789">
        <v>38.216753379142901</v>
      </c>
      <c r="H789">
        <v>3</v>
      </c>
      <c r="I789">
        <v>35</v>
      </c>
      <c r="K789" t="s">
        <v>724</v>
      </c>
      <c r="L789">
        <v>3</v>
      </c>
      <c r="M789" t="s">
        <v>1627</v>
      </c>
      <c r="N789" t="s">
        <v>726</v>
      </c>
      <c r="O789">
        <v>0</v>
      </c>
    </row>
    <row r="790" spans="1:15" x14ac:dyDescent="0.3">
      <c r="A790" t="s">
        <v>827</v>
      </c>
      <c r="B790">
        <v>810</v>
      </c>
      <c r="C790">
        <v>436790492</v>
      </c>
      <c r="D790">
        <v>223</v>
      </c>
      <c r="E790">
        <v>450</v>
      </c>
      <c r="F790">
        <v>1</v>
      </c>
      <c r="G790">
        <v>125.34507382555999</v>
      </c>
      <c r="H790">
        <v>2</v>
      </c>
      <c r="I790">
        <v>35</v>
      </c>
      <c r="K790" t="s">
        <v>724</v>
      </c>
      <c r="L790">
        <v>3</v>
      </c>
      <c r="M790" t="s">
        <v>1628</v>
      </c>
      <c r="N790" t="s">
        <v>726</v>
      </c>
      <c r="O790">
        <v>0</v>
      </c>
    </row>
    <row r="791" spans="1:15" x14ac:dyDescent="0.3">
      <c r="A791" t="s">
        <v>827</v>
      </c>
      <c r="B791">
        <v>811</v>
      </c>
      <c r="C791">
        <v>436790493</v>
      </c>
      <c r="D791">
        <v>1944</v>
      </c>
      <c r="E791">
        <v>1958</v>
      </c>
      <c r="F791">
        <v>1</v>
      </c>
      <c r="G791">
        <v>153.63720304799699</v>
      </c>
      <c r="H791">
        <v>2</v>
      </c>
      <c r="I791">
        <v>35</v>
      </c>
      <c r="K791" t="s">
        <v>724</v>
      </c>
      <c r="L791">
        <v>3</v>
      </c>
      <c r="M791" t="s">
        <v>1629</v>
      </c>
      <c r="N791" t="s">
        <v>726</v>
      </c>
      <c r="O791">
        <v>0</v>
      </c>
    </row>
    <row r="792" spans="1:15" x14ac:dyDescent="0.3">
      <c r="A792" t="s">
        <v>827</v>
      </c>
      <c r="B792">
        <v>812</v>
      </c>
      <c r="C792">
        <v>436790494</v>
      </c>
      <c r="D792">
        <v>593</v>
      </c>
      <c r="E792">
        <v>674</v>
      </c>
      <c r="F792">
        <v>1</v>
      </c>
      <c r="G792">
        <v>54.356795418627001</v>
      </c>
      <c r="H792">
        <v>2</v>
      </c>
      <c r="I792">
        <v>35</v>
      </c>
      <c r="K792" t="s">
        <v>724</v>
      </c>
      <c r="L792">
        <v>3</v>
      </c>
      <c r="M792" t="s">
        <v>1630</v>
      </c>
      <c r="N792" t="s">
        <v>726</v>
      </c>
      <c r="O792">
        <v>0</v>
      </c>
    </row>
    <row r="793" spans="1:15" x14ac:dyDescent="0.3">
      <c r="A793" t="s">
        <v>827</v>
      </c>
      <c r="B793">
        <v>813</v>
      </c>
      <c r="C793">
        <v>436790494</v>
      </c>
      <c r="D793">
        <v>674</v>
      </c>
      <c r="E793">
        <v>606</v>
      </c>
      <c r="F793">
        <v>1</v>
      </c>
      <c r="G793">
        <v>110.27972036396901</v>
      </c>
      <c r="H793">
        <v>2</v>
      </c>
      <c r="I793">
        <v>35</v>
      </c>
      <c r="K793" t="s">
        <v>724</v>
      </c>
      <c r="L793">
        <v>3</v>
      </c>
      <c r="M793" t="s">
        <v>1631</v>
      </c>
      <c r="N793" t="s">
        <v>726</v>
      </c>
      <c r="O793">
        <v>0</v>
      </c>
    </row>
    <row r="794" spans="1:15" x14ac:dyDescent="0.3">
      <c r="A794" t="s">
        <v>827</v>
      </c>
      <c r="B794">
        <v>814</v>
      </c>
      <c r="C794">
        <v>436790495</v>
      </c>
      <c r="D794">
        <v>1957</v>
      </c>
      <c r="E794">
        <v>599</v>
      </c>
      <c r="F794">
        <v>1</v>
      </c>
      <c r="G794">
        <v>100.391629350974</v>
      </c>
      <c r="H794">
        <v>2</v>
      </c>
      <c r="I794">
        <v>35</v>
      </c>
      <c r="K794" t="s">
        <v>724</v>
      </c>
      <c r="L794">
        <v>3</v>
      </c>
      <c r="M794" t="s">
        <v>1632</v>
      </c>
      <c r="N794" t="s">
        <v>726</v>
      </c>
      <c r="O794">
        <v>0</v>
      </c>
    </row>
    <row r="795" spans="1:15" x14ac:dyDescent="0.3">
      <c r="A795" t="s">
        <v>858</v>
      </c>
      <c r="B795">
        <v>815</v>
      </c>
      <c r="C795">
        <v>436790496</v>
      </c>
      <c r="D795">
        <v>457</v>
      </c>
      <c r="E795">
        <v>79</v>
      </c>
      <c r="F795">
        <v>1</v>
      </c>
      <c r="G795">
        <v>70.286353205546206</v>
      </c>
      <c r="H795">
        <v>3</v>
      </c>
      <c r="I795">
        <v>30</v>
      </c>
      <c r="K795" t="s">
        <v>724</v>
      </c>
      <c r="L795">
        <v>3</v>
      </c>
      <c r="M795" t="s">
        <v>1633</v>
      </c>
      <c r="N795" t="s">
        <v>726</v>
      </c>
      <c r="O795">
        <v>0</v>
      </c>
    </row>
    <row r="796" spans="1:15" x14ac:dyDescent="0.3">
      <c r="A796" t="s">
        <v>858</v>
      </c>
      <c r="B796">
        <v>816</v>
      </c>
      <c r="C796">
        <v>436791111</v>
      </c>
      <c r="D796">
        <v>458</v>
      </c>
      <c r="E796">
        <v>459</v>
      </c>
      <c r="F796">
        <v>1</v>
      </c>
      <c r="G796">
        <v>5.4708612435799804</v>
      </c>
      <c r="H796">
        <v>3</v>
      </c>
      <c r="I796">
        <v>35</v>
      </c>
      <c r="K796" t="s">
        <v>724</v>
      </c>
      <c r="L796">
        <v>3</v>
      </c>
      <c r="M796" t="s">
        <v>1634</v>
      </c>
      <c r="N796" t="s">
        <v>726</v>
      </c>
      <c r="O796">
        <v>0</v>
      </c>
    </row>
    <row r="797" spans="1:15" x14ac:dyDescent="0.3">
      <c r="A797" t="s">
        <v>858</v>
      </c>
      <c r="B797">
        <v>817</v>
      </c>
      <c r="C797">
        <v>436791112</v>
      </c>
      <c r="D797">
        <v>462</v>
      </c>
      <c r="E797">
        <v>463</v>
      </c>
      <c r="F797">
        <v>1</v>
      </c>
      <c r="G797">
        <v>24.8188183514903</v>
      </c>
      <c r="H797">
        <v>2</v>
      </c>
      <c r="I797">
        <v>30</v>
      </c>
      <c r="K797" t="s">
        <v>724</v>
      </c>
      <c r="L797">
        <v>3</v>
      </c>
      <c r="M797" t="s">
        <v>1635</v>
      </c>
      <c r="N797" t="s">
        <v>726</v>
      </c>
      <c r="O797">
        <v>0</v>
      </c>
    </row>
    <row r="798" spans="1:15" x14ac:dyDescent="0.3">
      <c r="A798" t="s">
        <v>858</v>
      </c>
      <c r="B798">
        <v>818</v>
      </c>
      <c r="C798">
        <v>436791113</v>
      </c>
      <c r="D798">
        <v>467</v>
      </c>
      <c r="E798">
        <v>1950</v>
      </c>
      <c r="F798">
        <v>1</v>
      </c>
      <c r="G798">
        <v>67.402866565124995</v>
      </c>
      <c r="H798">
        <v>4</v>
      </c>
      <c r="I798">
        <v>30</v>
      </c>
      <c r="K798" t="s">
        <v>724</v>
      </c>
      <c r="L798">
        <v>3</v>
      </c>
      <c r="M798" t="s">
        <v>1636</v>
      </c>
      <c r="N798" t="s">
        <v>726</v>
      </c>
      <c r="O798">
        <v>0</v>
      </c>
    </row>
    <row r="799" spans="1:15" x14ac:dyDescent="0.3">
      <c r="A799" t="s">
        <v>858</v>
      </c>
      <c r="B799">
        <v>819</v>
      </c>
      <c r="C799">
        <v>436791114</v>
      </c>
      <c r="D799">
        <v>463</v>
      </c>
      <c r="E799">
        <v>464</v>
      </c>
      <c r="F799">
        <v>1</v>
      </c>
      <c r="G799">
        <v>26.5363830920687</v>
      </c>
      <c r="H799">
        <v>2</v>
      </c>
      <c r="I799">
        <v>30</v>
      </c>
      <c r="K799" t="s">
        <v>724</v>
      </c>
      <c r="L799">
        <v>3</v>
      </c>
      <c r="M799" t="s">
        <v>1637</v>
      </c>
      <c r="N799" t="s">
        <v>726</v>
      </c>
      <c r="O799">
        <v>0</v>
      </c>
    </row>
    <row r="800" spans="1:15" x14ac:dyDescent="0.3">
      <c r="A800" t="s">
        <v>858</v>
      </c>
      <c r="B800">
        <v>820</v>
      </c>
      <c r="C800">
        <v>436791115</v>
      </c>
      <c r="D800">
        <v>460</v>
      </c>
      <c r="E800">
        <v>462</v>
      </c>
      <c r="F800">
        <v>1</v>
      </c>
      <c r="G800">
        <v>24.156931835533801</v>
      </c>
      <c r="H800">
        <v>2</v>
      </c>
      <c r="I800">
        <v>30</v>
      </c>
      <c r="K800" t="s">
        <v>724</v>
      </c>
      <c r="L800">
        <v>3</v>
      </c>
      <c r="M800" t="s">
        <v>1638</v>
      </c>
      <c r="N800" t="s">
        <v>726</v>
      </c>
      <c r="O800">
        <v>0</v>
      </c>
    </row>
    <row r="801" spans="1:15" x14ac:dyDescent="0.3">
      <c r="A801" t="s">
        <v>858</v>
      </c>
      <c r="B801">
        <v>821</v>
      </c>
      <c r="C801">
        <v>436791116</v>
      </c>
      <c r="D801">
        <v>466</v>
      </c>
      <c r="E801">
        <v>467</v>
      </c>
      <c r="F801">
        <v>1</v>
      </c>
      <c r="G801">
        <v>13.3109677926827</v>
      </c>
      <c r="H801">
        <v>3</v>
      </c>
      <c r="I801">
        <v>30</v>
      </c>
      <c r="K801" t="s">
        <v>724</v>
      </c>
      <c r="L801">
        <v>3</v>
      </c>
      <c r="M801" t="s">
        <v>1639</v>
      </c>
      <c r="N801" t="s">
        <v>726</v>
      </c>
      <c r="O801">
        <v>0</v>
      </c>
    </row>
    <row r="802" spans="1:15" x14ac:dyDescent="0.3">
      <c r="A802" t="s">
        <v>858</v>
      </c>
      <c r="B802">
        <v>822</v>
      </c>
      <c r="C802">
        <v>436791117</v>
      </c>
      <c r="D802">
        <v>464</v>
      </c>
      <c r="E802">
        <v>465</v>
      </c>
      <c r="F802">
        <v>1</v>
      </c>
      <c r="G802">
        <v>24.532705231137399</v>
      </c>
      <c r="H802">
        <v>2</v>
      </c>
      <c r="I802">
        <v>30</v>
      </c>
      <c r="K802" t="s">
        <v>724</v>
      </c>
      <c r="L802">
        <v>3</v>
      </c>
      <c r="M802" t="s">
        <v>1640</v>
      </c>
      <c r="N802" t="s">
        <v>726</v>
      </c>
      <c r="O802">
        <v>0</v>
      </c>
    </row>
    <row r="803" spans="1:15" x14ac:dyDescent="0.3">
      <c r="A803" t="s">
        <v>858</v>
      </c>
      <c r="B803">
        <v>823</v>
      </c>
      <c r="C803">
        <v>436791119</v>
      </c>
      <c r="D803">
        <v>1962</v>
      </c>
      <c r="E803">
        <v>466</v>
      </c>
      <c r="F803">
        <v>1</v>
      </c>
      <c r="G803">
        <v>75.534706059740799</v>
      </c>
      <c r="H803">
        <v>2</v>
      </c>
      <c r="I803">
        <v>30</v>
      </c>
      <c r="K803" t="s">
        <v>724</v>
      </c>
      <c r="L803">
        <v>3</v>
      </c>
      <c r="M803" t="s">
        <v>1641</v>
      </c>
      <c r="N803" t="s">
        <v>726</v>
      </c>
      <c r="O803">
        <v>0</v>
      </c>
    </row>
    <row r="804" spans="1:15" x14ac:dyDescent="0.3">
      <c r="A804" t="s">
        <v>858</v>
      </c>
      <c r="B804">
        <v>824</v>
      </c>
      <c r="C804">
        <v>436791120</v>
      </c>
      <c r="D804">
        <v>459</v>
      </c>
      <c r="E804">
        <v>1961</v>
      </c>
      <c r="F804">
        <v>1</v>
      </c>
      <c r="G804">
        <v>35.608078762271603</v>
      </c>
      <c r="H804">
        <v>3</v>
      </c>
      <c r="I804">
        <v>35</v>
      </c>
      <c r="K804" t="s">
        <v>724</v>
      </c>
      <c r="L804">
        <v>3</v>
      </c>
      <c r="M804" t="s">
        <v>1642</v>
      </c>
      <c r="N804" t="s">
        <v>726</v>
      </c>
      <c r="O804">
        <v>0</v>
      </c>
    </row>
    <row r="805" spans="1:15" x14ac:dyDescent="0.3">
      <c r="A805" t="s">
        <v>858</v>
      </c>
      <c r="B805">
        <v>825</v>
      </c>
      <c r="C805">
        <v>436791121</v>
      </c>
      <c r="D805">
        <v>1961</v>
      </c>
      <c r="E805">
        <v>460</v>
      </c>
      <c r="F805">
        <v>1</v>
      </c>
      <c r="G805">
        <v>31.0420321621135</v>
      </c>
      <c r="H805">
        <v>2</v>
      </c>
      <c r="I805">
        <v>30</v>
      </c>
      <c r="K805" t="s">
        <v>724</v>
      </c>
      <c r="L805">
        <v>3</v>
      </c>
      <c r="M805" t="s">
        <v>1643</v>
      </c>
      <c r="N805" t="s">
        <v>726</v>
      </c>
      <c r="O805">
        <v>0</v>
      </c>
    </row>
    <row r="806" spans="1:15" x14ac:dyDescent="0.3">
      <c r="A806" t="s">
        <v>858</v>
      </c>
      <c r="B806">
        <v>826</v>
      </c>
      <c r="C806">
        <v>436791122</v>
      </c>
      <c r="D806">
        <v>465</v>
      </c>
      <c r="E806">
        <v>1962</v>
      </c>
      <c r="F806">
        <v>1</v>
      </c>
      <c r="G806">
        <v>28.288940446590399</v>
      </c>
      <c r="H806">
        <v>3</v>
      </c>
      <c r="I806">
        <v>30</v>
      </c>
      <c r="K806" t="s">
        <v>724</v>
      </c>
      <c r="L806">
        <v>3</v>
      </c>
      <c r="M806" t="s">
        <v>1644</v>
      </c>
      <c r="N806" t="s">
        <v>726</v>
      </c>
      <c r="O806">
        <v>0</v>
      </c>
    </row>
    <row r="807" spans="1:15" x14ac:dyDescent="0.3">
      <c r="A807" t="s">
        <v>858</v>
      </c>
      <c r="B807">
        <v>827</v>
      </c>
      <c r="C807">
        <v>436791123</v>
      </c>
      <c r="D807">
        <v>461</v>
      </c>
      <c r="E807">
        <v>1961</v>
      </c>
      <c r="F807">
        <v>1</v>
      </c>
      <c r="G807">
        <v>42.436046164851703</v>
      </c>
      <c r="H807">
        <v>4</v>
      </c>
      <c r="I807">
        <v>30</v>
      </c>
      <c r="K807" t="s">
        <v>724</v>
      </c>
      <c r="L807">
        <v>3</v>
      </c>
      <c r="M807" t="s">
        <v>1645</v>
      </c>
      <c r="N807" t="s">
        <v>726</v>
      </c>
      <c r="O807">
        <v>0</v>
      </c>
    </row>
    <row r="808" spans="1:15" x14ac:dyDescent="0.3">
      <c r="A808" t="s">
        <v>858</v>
      </c>
      <c r="B808">
        <v>828</v>
      </c>
      <c r="C808">
        <v>436791124</v>
      </c>
      <c r="D808">
        <v>288</v>
      </c>
      <c r="E808">
        <v>458</v>
      </c>
      <c r="F808">
        <v>1</v>
      </c>
      <c r="G808">
        <v>118.89423336517601</v>
      </c>
      <c r="H808">
        <v>2</v>
      </c>
      <c r="I808">
        <v>30</v>
      </c>
      <c r="K808" t="s">
        <v>724</v>
      </c>
      <c r="L808">
        <v>3</v>
      </c>
      <c r="M808" t="s">
        <v>1646</v>
      </c>
      <c r="N808" t="s">
        <v>726</v>
      </c>
      <c r="O808">
        <v>0</v>
      </c>
    </row>
    <row r="809" spans="1:15" x14ac:dyDescent="0.3">
      <c r="A809" t="s">
        <v>858</v>
      </c>
      <c r="B809">
        <v>829</v>
      </c>
      <c r="C809">
        <v>436791125</v>
      </c>
      <c r="D809">
        <v>1961</v>
      </c>
      <c r="E809">
        <v>111</v>
      </c>
      <c r="F809">
        <v>1</v>
      </c>
      <c r="G809">
        <v>159.04982792825601</v>
      </c>
      <c r="H809">
        <v>3</v>
      </c>
      <c r="I809">
        <v>30</v>
      </c>
      <c r="K809" t="s">
        <v>724</v>
      </c>
      <c r="L809">
        <v>3</v>
      </c>
      <c r="M809" t="s">
        <v>1647</v>
      </c>
      <c r="N809" t="s">
        <v>726</v>
      </c>
      <c r="O809">
        <v>0</v>
      </c>
    </row>
    <row r="810" spans="1:15" x14ac:dyDescent="0.3">
      <c r="A810" t="s">
        <v>858</v>
      </c>
      <c r="B810">
        <v>830</v>
      </c>
      <c r="C810">
        <v>436791125</v>
      </c>
      <c r="D810">
        <v>111</v>
      </c>
      <c r="E810">
        <v>210</v>
      </c>
      <c r="F810">
        <v>1</v>
      </c>
      <c r="G810">
        <v>18.806197676165802</v>
      </c>
      <c r="H810">
        <v>3</v>
      </c>
      <c r="I810">
        <v>30</v>
      </c>
      <c r="K810" t="s">
        <v>724</v>
      </c>
      <c r="L810">
        <v>3</v>
      </c>
      <c r="M810" t="s">
        <v>1648</v>
      </c>
      <c r="N810" t="s">
        <v>726</v>
      </c>
      <c r="O810">
        <v>0</v>
      </c>
    </row>
    <row r="811" spans="1:15" x14ac:dyDescent="0.3">
      <c r="A811" t="s">
        <v>858</v>
      </c>
      <c r="B811">
        <v>831</v>
      </c>
      <c r="C811">
        <v>436791490</v>
      </c>
      <c r="D811">
        <v>472</v>
      </c>
      <c r="E811">
        <v>1948</v>
      </c>
      <c r="F811">
        <v>1</v>
      </c>
      <c r="G811">
        <v>40.342240978745501</v>
      </c>
      <c r="H811">
        <v>3</v>
      </c>
      <c r="I811">
        <v>30</v>
      </c>
      <c r="K811" t="s">
        <v>724</v>
      </c>
      <c r="L811">
        <v>3</v>
      </c>
      <c r="M811" t="s">
        <v>1649</v>
      </c>
      <c r="N811" t="s">
        <v>726</v>
      </c>
      <c r="O811">
        <v>0</v>
      </c>
    </row>
    <row r="812" spans="1:15" x14ac:dyDescent="0.3">
      <c r="A812" t="s">
        <v>858</v>
      </c>
      <c r="B812">
        <v>832</v>
      </c>
      <c r="C812">
        <v>436791491</v>
      </c>
      <c r="D812">
        <v>1949</v>
      </c>
      <c r="E812">
        <v>468</v>
      </c>
      <c r="F812">
        <v>1</v>
      </c>
      <c r="G812">
        <v>74.302140102738605</v>
      </c>
      <c r="H812">
        <v>2</v>
      </c>
      <c r="I812">
        <v>30</v>
      </c>
      <c r="K812" t="s">
        <v>724</v>
      </c>
      <c r="L812">
        <v>3</v>
      </c>
      <c r="M812" t="s">
        <v>1650</v>
      </c>
      <c r="N812" t="s">
        <v>726</v>
      </c>
      <c r="O812">
        <v>0</v>
      </c>
    </row>
    <row r="813" spans="1:15" x14ac:dyDescent="0.3">
      <c r="A813" t="s">
        <v>858</v>
      </c>
      <c r="B813">
        <v>833</v>
      </c>
      <c r="C813">
        <v>436791492</v>
      </c>
      <c r="D813">
        <v>469</v>
      </c>
      <c r="E813">
        <v>1949</v>
      </c>
      <c r="F813">
        <v>1</v>
      </c>
      <c r="G813">
        <v>27.9458756130796</v>
      </c>
      <c r="H813">
        <v>2</v>
      </c>
      <c r="I813">
        <v>30</v>
      </c>
      <c r="K813" t="s">
        <v>724</v>
      </c>
      <c r="L813">
        <v>3</v>
      </c>
      <c r="M813" t="s">
        <v>1651</v>
      </c>
      <c r="N813" t="s">
        <v>726</v>
      </c>
      <c r="O813">
        <v>0</v>
      </c>
    </row>
    <row r="814" spans="1:15" x14ac:dyDescent="0.3">
      <c r="A814" t="s">
        <v>858</v>
      </c>
      <c r="B814">
        <v>834</v>
      </c>
      <c r="C814">
        <v>436791493</v>
      </c>
      <c r="D814">
        <v>473</v>
      </c>
      <c r="E814">
        <v>1948</v>
      </c>
      <c r="F814">
        <v>1</v>
      </c>
      <c r="G814">
        <v>60.390067342790402</v>
      </c>
      <c r="H814">
        <v>3</v>
      </c>
      <c r="I814">
        <v>30</v>
      </c>
      <c r="K814" t="s">
        <v>724</v>
      </c>
      <c r="L814">
        <v>3</v>
      </c>
      <c r="M814" t="s">
        <v>1652</v>
      </c>
      <c r="N814" t="s">
        <v>726</v>
      </c>
      <c r="O814">
        <v>0</v>
      </c>
    </row>
    <row r="815" spans="1:15" x14ac:dyDescent="0.3">
      <c r="A815" t="s">
        <v>858</v>
      </c>
      <c r="B815">
        <v>835</v>
      </c>
      <c r="C815">
        <v>436791494</v>
      </c>
      <c r="D815">
        <v>1941</v>
      </c>
      <c r="E815">
        <v>472</v>
      </c>
      <c r="F815">
        <v>1</v>
      </c>
      <c r="G815">
        <v>87.222904556856093</v>
      </c>
      <c r="H815">
        <v>2</v>
      </c>
      <c r="I815">
        <v>30</v>
      </c>
      <c r="K815" t="s">
        <v>724</v>
      </c>
      <c r="L815">
        <v>3</v>
      </c>
      <c r="M815" t="s">
        <v>1653</v>
      </c>
      <c r="N815" t="s">
        <v>726</v>
      </c>
      <c r="O815">
        <v>0</v>
      </c>
    </row>
    <row r="816" spans="1:15" x14ac:dyDescent="0.3">
      <c r="A816" t="s">
        <v>858</v>
      </c>
      <c r="B816">
        <v>836</v>
      </c>
      <c r="C816">
        <v>436791495</v>
      </c>
      <c r="D816">
        <v>470</v>
      </c>
      <c r="E816">
        <v>1941</v>
      </c>
      <c r="F816">
        <v>1</v>
      </c>
      <c r="G816">
        <v>37.055060001932198</v>
      </c>
      <c r="H816">
        <v>2</v>
      </c>
      <c r="I816">
        <v>30</v>
      </c>
      <c r="K816" t="s">
        <v>724</v>
      </c>
      <c r="L816">
        <v>3</v>
      </c>
      <c r="M816" t="s">
        <v>1654</v>
      </c>
      <c r="N816" t="s">
        <v>726</v>
      </c>
      <c r="O816">
        <v>0</v>
      </c>
    </row>
    <row r="817" spans="1:15" x14ac:dyDescent="0.3">
      <c r="A817" t="s">
        <v>858</v>
      </c>
      <c r="B817">
        <v>837</v>
      </c>
      <c r="C817">
        <v>436791496</v>
      </c>
      <c r="D817">
        <v>1941</v>
      </c>
      <c r="E817">
        <v>469</v>
      </c>
      <c r="F817">
        <v>1</v>
      </c>
      <c r="G817">
        <v>99.866461601840399</v>
      </c>
      <c r="H817">
        <v>2</v>
      </c>
      <c r="I817">
        <v>30</v>
      </c>
      <c r="K817" t="s">
        <v>724</v>
      </c>
      <c r="L817">
        <v>3</v>
      </c>
      <c r="M817" t="s">
        <v>1655</v>
      </c>
      <c r="N817" t="s">
        <v>726</v>
      </c>
      <c r="O817">
        <v>0</v>
      </c>
    </row>
    <row r="818" spans="1:15" x14ac:dyDescent="0.3">
      <c r="A818" t="s">
        <v>858</v>
      </c>
      <c r="B818">
        <v>838</v>
      </c>
      <c r="C818">
        <v>436791497</v>
      </c>
      <c r="D818">
        <v>1948</v>
      </c>
      <c r="E818">
        <v>471</v>
      </c>
      <c r="F818">
        <v>1</v>
      </c>
      <c r="G818">
        <v>89.089406163312802</v>
      </c>
      <c r="H818">
        <v>2</v>
      </c>
      <c r="I818">
        <v>30</v>
      </c>
      <c r="K818" t="s">
        <v>724</v>
      </c>
      <c r="L818">
        <v>3</v>
      </c>
      <c r="M818" t="s">
        <v>1656</v>
      </c>
      <c r="N818" t="s">
        <v>726</v>
      </c>
      <c r="O818">
        <v>0</v>
      </c>
    </row>
    <row r="819" spans="1:15" x14ac:dyDescent="0.3">
      <c r="A819" t="s">
        <v>858</v>
      </c>
      <c r="B819">
        <v>839</v>
      </c>
      <c r="C819">
        <v>436791498</v>
      </c>
      <c r="D819">
        <v>468</v>
      </c>
      <c r="E819">
        <v>1950</v>
      </c>
      <c r="F819">
        <v>1</v>
      </c>
      <c r="G819">
        <v>66.5532445800022</v>
      </c>
      <c r="H819">
        <v>4</v>
      </c>
      <c r="I819">
        <v>30</v>
      </c>
      <c r="K819" t="s">
        <v>724</v>
      </c>
      <c r="L819">
        <v>3</v>
      </c>
      <c r="M819" t="s">
        <v>1657</v>
      </c>
      <c r="N819" t="s">
        <v>726</v>
      </c>
      <c r="O819">
        <v>0</v>
      </c>
    </row>
    <row r="820" spans="1:15" x14ac:dyDescent="0.3">
      <c r="A820" t="s">
        <v>858</v>
      </c>
      <c r="B820">
        <v>840</v>
      </c>
      <c r="C820">
        <v>436792108</v>
      </c>
      <c r="D820">
        <v>1945</v>
      </c>
      <c r="E820">
        <v>476</v>
      </c>
      <c r="F820">
        <v>1</v>
      </c>
      <c r="G820">
        <v>63.347750389391798</v>
      </c>
      <c r="H820">
        <v>2</v>
      </c>
      <c r="I820">
        <v>30</v>
      </c>
      <c r="K820" t="s">
        <v>724</v>
      </c>
      <c r="L820">
        <v>3</v>
      </c>
      <c r="M820" t="s">
        <v>1658</v>
      </c>
      <c r="N820" t="s">
        <v>726</v>
      </c>
      <c r="O820">
        <v>0</v>
      </c>
    </row>
    <row r="821" spans="1:15" x14ac:dyDescent="0.3">
      <c r="A821" t="s">
        <v>858</v>
      </c>
      <c r="B821">
        <v>841</v>
      </c>
      <c r="C821">
        <v>436792109</v>
      </c>
      <c r="D821">
        <v>478</v>
      </c>
      <c r="E821">
        <v>479</v>
      </c>
      <c r="F821">
        <v>1</v>
      </c>
      <c r="G821">
        <v>27.198285389013598</v>
      </c>
      <c r="H821">
        <v>3</v>
      </c>
      <c r="I821">
        <v>30</v>
      </c>
      <c r="K821" t="s">
        <v>724</v>
      </c>
      <c r="L821">
        <v>3</v>
      </c>
      <c r="M821" t="s">
        <v>1659</v>
      </c>
      <c r="N821" t="s">
        <v>726</v>
      </c>
      <c r="O821">
        <v>0</v>
      </c>
    </row>
    <row r="822" spans="1:15" x14ac:dyDescent="0.3">
      <c r="A822" t="s">
        <v>858</v>
      </c>
      <c r="B822">
        <v>842</v>
      </c>
      <c r="C822">
        <v>436792110</v>
      </c>
      <c r="D822">
        <v>1948</v>
      </c>
      <c r="E822">
        <v>475</v>
      </c>
      <c r="F822">
        <v>1</v>
      </c>
      <c r="G822">
        <v>94.516125485890498</v>
      </c>
      <c r="H822">
        <v>2</v>
      </c>
      <c r="I822">
        <v>30</v>
      </c>
      <c r="K822" t="s">
        <v>724</v>
      </c>
      <c r="L822">
        <v>3</v>
      </c>
      <c r="M822" t="s">
        <v>1660</v>
      </c>
      <c r="N822" t="s">
        <v>726</v>
      </c>
      <c r="O822">
        <v>0</v>
      </c>
    </row>
    <row r="823" spans="1:15" x14ac:dyDescent="0.3">
      <c r="A823" t="s">
        <v>858</v>
      </c>
      <c r="B823">
        <v>843</v>
      </c>
      <c r="C823">
        <v>436792111</v>
      </c>
      <c r="D823">
        <v>480</v>
      </c>
      <c r="E823">
        <v>481</v>
      </c>
      <c r="F823">
        <v>1</v>
      </c>
      <c r="G823">
        <v>17.302351168120602</v>
      </c>
      <c r="H823">
        <v>2</v>
      </c>
      <c r="I823">
        <v>30</v>
      </c>
      <c r="K823" t="s">
        <v>724</v>
      </c>
      <c r="L823">
        <v>3</v>
      </c>
      <c r="M823" t="s">
        <v>1661</v>
      </c>
      <c r="N823" t="s">
        <v>726</v>
      </c>
      <c r="O823">
        <v>0</v>
      </c>
    </row>
    <row r="824" spans="1:15" x14ac:dyDescent="0.3">
      <c r="A824" t="s">
        <v>858</v>
      </c>
      <c r="B824">
        <v>844</v>
      </c>
      <c r="C824">
        <v>436792112</v>
      </c>
      <c r="D824">
        <v>474</v>
      </c>
      <c r="E824">
        <v>1949</v>
      </c>
      <c r="F824">
        <v>1</v>
      </c>
      <c r="G824">
        <v>22.308947504427898</v>
      </c>
      <c r="H824">
        <v>2</v>
      </c>
      <c r="I824">
        <v>30</v>
      </c>
      <c r="K824" t="s">
        <v>724</v>
      </c>
      <c r="L824">
        <v>3</v>
      </c>
      <c r="M824" t="s">
        <v>1662</v>
      </c>
      <c r="N824" t="s">
        <v>726</v>
      </c>
      <c r="O824">
        <v>0</v>
      </c>
    </row>
    <row r="825" spans="1:15" x14ac:dyDescent="0.3">
      <c r="A825" t="s">
        <v>858</v>
      </c>
      <c r="B825">
        <v>845</v>
      </c>
      <c r="C825">
        <v>436792113</v>
      </c>
      <c r="D825">
        <v>475</v>
      </c>
      <c r="E825">
        <v>1945</v>
      </c>
      <c r="F825">
        <v>1</v>
      </c>
      <c r="G825">
        <v>13.810459778351399</v>
      </c>
      <c r="H825">
        <v>3</v>
      </c>
      <c r="I825">
        <v>30</v>
      </c>
      <c r="K825" t="s">
        <v>724</v>
      </c>
      <c r="L825">
        <v>3</v>
      </c>
      <c r="M825" t="s">
        <v>1663</v>
      </c>
      <c r="N825" t="s">
        <v>726</v>
      </c>
      <c r="O825">
        <v>0</v>
      </c>
    </row>
    <row r="826" spans="1:15" x14ac:dyDescent="0.3">
      <c r="A826" t="s">
        <v>858</v>
      </c>
      <c r="B826">
        <v>846</v>
      </c>
      <c r="C826">
        <v>436792114</v>
      </c>
      <c r="D826">
        <v>1949</v>
      </c>
      <c r="E826">
        <v>470</v>
      </c>
      <c r="F826">
        <v>1</v>
      </c>
      <c r="G826">
        <v>91.515434823314493</v>
      </c>
      <c r="H826">
        <v>2</v>
      </c>
      <c r="I826">
        <v>30</v>
      </c>
      <c r="K826" t="s">
        <v>724</v>
      </c>
      <c r="L826">
        <v>3</v>
      </c>
      <c r="M826" t="s">
        <v>1664</v>
      </c>
      <c r="N826" t="s">
        <v>726</v>
      </c>
      <c r="O826">
        <v>0</v>
      </c>
    </row>
    <row r="827" spans="1:15" x14ac:dyDescent="0.3">
      <c r="A827" t="s">
        <v>858</v>
      </c>
      <c r="B827">
        <v>847</v>
      </c>
      <c r="C827">
        <v>436792115</v>
      </c>
      <c r="D827">
        <v>481</v>
      </c>
      <c r="E827">
        <v>1943</v>
      </c>
      <c r="F827">
        <v>1</v>
      </c>
      <c r="G827">
        <v>39.401048819620598</v>
      </c>
      <c r="H827">
        <v>3</v>
      </c>
      <c r="I827">
        <v>30</v>
      </c>
      <c r="K827" t="s">
        <v>724</v>
      </c>
      <c r="L827">
        <v>3</v>
      </c>
      <c r="M827" t="s">
        <v>1665</v>
      </c>
      <c r="N827" t="s">
        <v>726</v>
      </c>
      <c r="O827">
        <v>0</v>
      </c>
    </row>
    <row r="828" spans="1:15" x14ac:dyDescent="0.3">
      <c r="A828" t="s">
        <v>858</v>
      </c>
      <c r="B828">
        <v>848</v>
      </c>
      <c r="C828">
        <v>436792116</v>
      </c>
      <c r="D828">
        <v>476</v>
      </c>
      <c r="E828">
        <v>1947</v>
      </c>
      <c r="F828">
        <v>1</v>
      </c>
      <c r="G828">
        <v>38.829405307619901</v>
      </c>
      <c r="H828">
        <v>3</v>
      </c>
      <c r="I828">
        <v>30</v>
      </c>
      <c r="K828" t="s">
        <v>724</v>
      </c>
      <c r="L828">
        <v>3</v>
      </c>
      <c r="M828" t="s">
        <v>1666</v>
      </c>
      <c r="N828" t="s">
        <v>726</v>
      </c>
      <c r="O828">
        <v>0</v>
      </c>
    </row>
    <row r="829" spans="1:15" x14ac:dyDescent="0.3">
      <c r="A829" t="s">
        <v>858</v>
      </c>
      <c r="B829">
        <v>849</v>
      </c>
      <c r="C829">
        <v>436792117</v>
      </c>
      <c r="D829">
        <v>479</v>
      </c>
      <c r="E829">
        <v>480</v>
      </c>
      <c r="F829">
        <v>1</v>
      </c>
      <c r="G829">
        <v>71.759232058736302</v>
      </c>
      <c r="H829">
        <v>2</v>
      </c>
      <c r="I829">
        <v>30</v>
      </c>
      <c r="K829" t="s">
        <v>724</v>
      </c>
      <c r="L829">
        <v>3</v>
      </c>
      <c r="M829" t="s">
        <v>1667</v>
      </c>
      <c r="N829" t="s">
        <v>726</v>
      </c>
      <c r="O829">
        <v>0</v>
      </c>
    </row>
    <row r="830" spans="1:15" x14ac:dyDescent="0.3">
      <c r="A830" t="s">
        <v>858</v>
      </c>
      <c r="B830">
        <v>850</v>
      </c>
      <c r="C830">
        <v>436792118</v>
      </c>
      <c r="D830">
        <v>477</v>
      </c>
      <c r="E830">
        <v>238</v>
      </c>
      <c r="F830">
        <v>1</v>
      </c>
      <c r="G830">
        <v>29.969336552591599</v>
      </c>
      <c r="H830">
        <v>3</v>
      </c>
      <c r="I830">
        <v>30</v>
      </c>
      <c r="K830" t="s">
        <v>724</v>
      </c>
      <c r="L830">
        <v>3</v>
      </c>
      <c r="M830" t="s">
        <v>1668</v>
      </c>
      <c r="N830" t="s">
        <v>726</v>
      </c>
      <c r="O830">
        <v>0</v>
      </c>
    </row>
    <row r="831" spans="1:15" x14ac:dyDescent="0.3">
      <c r="A831" t="s">
        <v>858</v>
      </c>
      <c r="B831">
        <v>851</v>
      </c>
      <c r="C831">
        <v>436792119</v>
      </c>
      <c r="D831">
        <v>1943</v>
      </c>
      <c r="E831">
        <v>477</v>
      </c>
      <c r="F831">
        <v>1</v>
      </c>
      <c r="G831">
        <v>201.11869350323099</v>
      </c>
      <c r="H831">
        <v>2</v>
      </c>
      <c r="I831">
        <v>30</v>
      </c>
      <c r="K831" t="s">
        <v>724</v>
      </c>
      <c r="L831">
        <v>3</v>
      </c>
      <c r="M831" t="s">
        <v>1669</v>
      </c>
      <c r="N831" t="s">
        <v>726</v>
      </c>
      <c r="O831">
        <v>0</v>
      </c>
    </row>
    <row r="832" spans="1:15" x14ac:dyDescent="0.3">
      <c r="A832" t="s">
        <v>889</v>
      </c>
      <c r="B832">
        <v>852</v>
      </c>
      <c r="C832">
        <v>436794668</v>
      </c>
      <c r="D832">
        <v>354</v>
      </c>
      <c r="E832">
        <v>661</v>
      </c>
      <c r="F832">
        <v>1</v>
      </c>
      <c r="G832">
        <v>184.39064280447499</v>
      </c>
      <c r="H832">
        <v>2</v>
      </c>
      <c r="I832">
        <v>40</v>
      </c>
      <c r="K832" t="s">
        <v>890</v>
      </c>
      <c r="L832">
        <v>4</v>
      </c>
      <c r="M832" t="s">
        <v>1670</v>
      </c>
      <c r="N832" t="s">
        <v>726</v>
      </c>
      <c r="O832">
        <v>1</v>
      </c>
    </row>
    <row r="833" spans="1:15" x14ac:dyDescent="0.3">
      <c r="A833" t="s">
        <v>889</v>
      </c>
      <c r="B833">
        <v>853</v>
      </c>
      <c r="C833">
        <v>436794668</v>
      </c>
      <c r="D833">
        <v>661</v>
      </c>
      <c r="E833">
        <v>354</v>
      </c>
      <c r="F833">
        <v>1</v>
      </c>
      <c r="G833">
        <v>184.39064280447499</v>
      </c>
      <c r="H833">
        <v>2</v>
      </c>
      <c r="I833">
        <v>40</v>
      </c>
      <c r="K833" t="s">
        <v>890</v>
      </c>
      <c r="L833">
        <v>4</v>
      </c>
      <c r="M833" t="s">
        <v>1671</v>
      </c>
      <c r="N833" t="s">
        <v>726</v>
      </c>
      <c r="O833">
        <v>1</v>
      </c>
    </row>
    <row r="834" spans="1:15" x14ac:dyDescent="0.3">
      <c r="A834" t="s">
        <v>889</v>
      </c>
      <c r="B834">
        <v>854</v>
      </c>
      <c r="C834">
        <v>436794668</v>
      </c>
      <c r="D834">
        <v>661</v>
      </c>
      <c r="E834">
        <v>497</v>
      </c>
      <c r="F834">
        <v>1</v>
      </c>
      <c r="G834">
        <v>441.42735485119402</v>
      </c>
      <c r="H834">
        <v>2</v>
      </c>
      <c r="I834">
        <v>40</v>
      </c>
      <c r="K834" t="s">
        <v>890</v>
      </c>
      <c r="L834">
        <v>4</v>
      </c>
      <c r="M834" t="s">
        <v>1672</v>
      </c>
      <c r="N834" t="s">
        <v>726</v>
      </c>
      <c r="O834">
        <v>1</v>
      </c>
    </row>
    <row r="835" spans="1:15" x14ac:dyDescent="0.3">
      <c r="A835" t="s">
        <v>889</v>
      </c>
      <c r="B835">
        <v>855</v>
      </c>
      <c r="C835">
        <v>436794668</v>
      </c>
      <c r="D835">
        <v>497</v>
      </c>
      <c r="E835">
        <v>661</v>
      </c>
      <c r="F835">
        <v>1</v>
      </c>
      <c r="G835">
        <v>441.42735485119402</v>
      </c>
      <c r="H835">
        <v>2</v>
      </c>
      <c r="I835">
        <v>40</v>
      </c>
      <c r="K835" t="s">
        <v>890</v>
      </c>
      <c r="L835">
        <v>4</v>
      </c>
      <c r="M835" t="s">
        <v>1673</v>
      </c>
      <c r="N835" t="s">
        <v>726</v>
      </c>
      <c r="O835">
        <v>1</v>
      </c>
    </row>
    <row r="836" spans="1:15" x14ac:dyDescent="0.3">
      <c r="A836" t="s">
        <v>889</v>
      </c>
      <c r="B836">
        <v>856</v>
      </c>
      <c r="C836">
        <v>436794669</v>
      </c>
      <c r="D836">
        <v>491</v>
      </c>
      <c r="E836">
        <v>490</v>
      </c>
      <c r="F836">
        <v>1</v>
      </c>
      <c r="G836">
        <v>12.1952105561833</v>
      </c>
      <c r="H836">
        <v>5</v>
      </c>
      <c r="I836">
        <v>40</v>
      </c>
      <c r="K836" t="s">
        <v>890</v>
      </c>
      <c r="L836">
        <v>4</v>
      </c>
      <c r="M836" t="s">
        <v>1674</v>
      </c>
      <c r="N836" t="s">
        <v>726</v>
      </c>
      <c r="O836">
        <v>1</v>
      </c>
    </row>
    <row r="837" spans="1:15" x14ac:dyDescent="0.3">
      <c r="A837" t="s">
        <v>889</v>
      </c>
      <c r="B837">
        <v>857</v>
      </c>
      <c r="C837">
        <v>436794669</v>
      </c>
      <c r="D837">
        <v>490</v>
      </c>
      <c r="E837">
        <v>491</v>
      </c>
      <c r="F837">
        <v>1</v>
      </c>
      <c r="G837">
        <v>12.1952105561833</v>
      </c>
      <c r="H837">
        <v>2</v>
      </c>
      <c r="I837">
        <v>40</v>
      </c>
      <c r="K837" t="s">
        <v>890</v>
      </c>
      <c r="L837">
        <v>4</v>
      </c>
      <c r="M837" t="s">
        <v>1675</v>
      </c>
      <c r="N837" t="s">
        <v>726</v>
      </c>
      <c r="O837">
        <v>1</v>
      </c>
    </row>
    <row r="838" spans="1:15" x14ac:dyDescent="0.3">
      <c r="A838" t="s">
        <v>889</v>
      </c>
      <c r="B838">
        <v>858</v>
      </c>
      <c r="C838">
        <v>436794670</v>
      </c>
      <c r="D838">
        <v>492</v>
      </c>
      <c r="E838">
        <v>496</v>
      </c>
      <c r="F838">
        <v>1</v>
      </c>
      <c r="G838">
        <v>19.046428429497499</v>
      </c>
      <c r="H838">
        <v>4</v>
      </c>
      <c r="I838">
        <v>35</v>
      </c>
      <c r="K838" t="s">
        <v>890</v>
      </c>
      <c r="L838">
        <v>4</v>
      </c>
      <c r="M838" t="s">
        <v>1676</v>
      </c>
      <c r="N838" t="s">
        <v>726</v>
      </c>
      <c r="O838">
        <v>1</v>
      </c>
    </row>
    <row r="839" spans="1:15" x14ac:dyDescent="0.3">
      <c r="A839" t="s">
        <v>889</v>
      </c>
      <c r="B839">
        <v>859</v>
      </c>
      <c r="C839">
        <v>436794670</v>
      </c>
      <c r="D839">
        <v>496</v>
      </c>
      <c r="E839">
        <v>492</v>
      </c>
      <c r="F839">
        <v>1</v>
      </c>
      <c r="G839">
        <v>19.046428429497499</v>
      </c>
      <c r="H839">
        <v>2</v>
      </c>
      <c r="I839">
        <v>35</v>
      </c>
      <c r="K839" t="s">
        <v>890</v>
      </c>
      <c r="L839">
        <v>4</v>
      </c>
      <c r="M839" t="s">
        <v>1677</v>
      </c>
      <c r="N839" t="s">
        <v>726</v>
      </c>
      <c r="O839">
        <v>1</v>
      </c>
    </row>
    <row r="840" spans="1:15" x14ac:dyDescent="0.3">
      <c r="A840" t="s">
        <v>889</v>
      </c>
      <c r="B840">
        <v>862</v>
      </c>
      <c r="C840">
        <v>436794672</v>
      </c>
      <c r="D840">
        <v>493</v>
      </c>
      <c r="E840">
        <v>122</v>
      </c>
      <c r="F840">
        <v>1</v>
      </c>
      <c r="G840">
        <v>60.977220505981499</v>
      </c>
      <c r="H840">
        <v>3</v>
      </c>
      <c r="I840">
        <v>35</v>
      </c>
      <c r="K840" t="s">
        <v>890</v>
      </c>
      <c r="L840">
        <v>4</v>
      </c>
      <c r="M840" t="s">
        <v>1678</v>
      </c>
      <c r="N840" t="s">
        <v>726</v>
      </c>
      <c r="O840">
        <v>1</v>
      </c>
    </row>
    <row r="841" spans="1:15" x14ac:dyDescent="0.3">
      <c r="A841" t="s">
        <v>889</v>
      </c>
      <c r="B841">
        <v>863</v>
      </c>
      <c r="C841">
        <v>436794672</v>
      </c>
      <c r="D841">
        <v>122</v>
      </c>
      <c r="E841">
        <v>493</v>
      </c>
      <c r="F841">
        <v>1</v>
      </c>
      <c r="G841">
        <v>60.977220505981499</v>
      </c>
      <c r="H841">
        <v>2</v>
      </c>
      <c r="I841">
        <v>35</v>
      </c>
      <c r="K841" t="s">
        <v>890</v>
      </c>
      <c r="L841">
        <v>4</v>
      </c>
      <c r="M841" t="s">
        <v>1679</v>
      </c>
      <c r="N841" t="s">
        <v>726</v>
      </c>
      <c r="O841">
        <v>1</v>
      </c>
    </row>
    <row r="842" spans="1:15" x14ac:dyDescent="0.3">
      <c r="A842" t="s">
        <v>889</v>
      </c>
      <c r="B842">
        <v>864</v>
      </c>
      <c r="C842">
        <v>436794673</v>
      </c>
      <c r="D842">
        <v>123</v>
      </c>
      <c r="E842">
        <v>494</v>
      </c>
      <c r="F842">
        <v>1</v>
      </c>
      <c r="G842">
        <v>47.016866843508403</v>
      </c>
      <c r="H842">
        <v>2</v>
      </c>
      <c r="I842">
        <v>40</v>
      </c>
      <c r="K842" t="s">
        <v>890</v>
      </c>
      <c r="L842">
        <v>4</v>
      </c>
      <c r="M842" t="s">
        <v>1680</v>
      </c>
      <c r="N842" t="s">
        <v>726</v>
      </c>
      <c r="O842">
        <v>1</v>
      </c>
    </row>
    <row r="843" spans="1:15" x14ac:dyDescent="0.3">
      <c r="A843" t="s">
        <v>889</v>
      </c>
      <c r="B843">
        <v>865</v>
      </c>
      <c r="C843">
        <v>436794673</v>
      </c>
      <c r="D843">
        <v>494</v>
      </c>
      <c r="E843">
        <v>123</v>
      </c>
      <c r="F843">
        <v>1</v>
      </c>
      <c r="G843">
        <v>47.016866843508403</v>
      </c>
      <c r="H843">
        <v>3</v>
      </c>
      <c r="I843">
        <v>40</v>
      </c>
      <c r="K843" t="s">
        <v>890</v>
      </c>
      <c r="L843">
        <v>4</v>
      </c>
      <c r="M843" t="s">
        <v>1681</v>
      </c>
      <c r="N843" t="s">
        <v>726</v>
      </c>
      <c r="O843">
        <v>1</v>
      </c>
    </row>
    <row r="844" spans="1:15" x14ac:dyDescent="0.3">
      <c r="A844" t="s">
        <v>889</v>
      </c>
      <c r="B844">
        <v>866</v>
      </c>
      <c r="C844">
        <v>436794674</v>
      </c>
      <c r="D844">
        <v>494</v>
      </c>
      <c r="E844">
        <v>491</v>
      </c>
      <c r="F844">
        <v>1</v>
      </c>
      <c r="G844">
        <v>648.46369690845302</v>
      </c>
      <c r="H844">
        <v>2</v>
      </c>
      <c r="I844">
        <v>40</v>
      </c>
      <c r="K844" t="s">
        <v>890</v>
      </c>
      <c r="L844">
        <v>4</v>
      </c>
      <c r="M844" t="s">
        <v>1682</v>
      </c>
      <c r="N844" t="s">
        <v>726</v>
      </c>
      <c r="O844">
        <v>1</v>
      </c>
    </row>
    <row r="845" spans="1:15" x14ac:dyDescent="0.3">
      <c r="A845" t="s">
        <v>889</v>
      </c>
      <c r="B845">
        <v>867</v>
      </c>
      <c r="C845">
        <v>436794674</v>
      </c>
      <c r="D845">
        <v>491</v>
      </c>
      <c r="E845">
        <v>494</v>
      </c>
      <c r="F845">
        <v>1</v>
      </c>
      <c r="G845">
        <v>648.46369690845302</v>
      </c>
      <c r="H845">
        <v>2</v>
      </c>
      <c r="I845">
        <v>40</v>
      </c>
      <c r="K845" t="s">
        <v>890</v>
      </c>
      <c r="L845">
        <v>4</v>
      </c>
      <c r="M845" t="s">
        <v>1683</v>
      </c>
      <c r="N845" t="s">
        <v>726</v>
      </c>
      <c r="O845">
        <v>1</v>
      </c>
    </row>
    <row r="846" spans="1:15" x14ac:dyDescent="0.3">
      <c r="A846" t="s">
        <v>889</v>
      </c>
      <c r="B846">
        <v>868</v>
      </c>
      <c r="C846">
        <v>436794675</v>
      </c>
      <c r="D846">
        <v>122</v>
      </c>
      <c r="E846">
        <v>495</v>
      </c>
      <c r="F846">
        <v>1</v>
      </c>
      <c r="G846">
        <v>31.816186183468901</v>
      </c>
      <c r="H846">
        <v>2</v>
      </c>
      <c r="I846">
        <v>35</v>
      </c>
      <c r="K846" t="s">
        <v>890</v>
      </c>
      <c r="L846">
        <v>4</v>
      </c>
      <c r="M846" t="s">
        <v>1684</v>
      </c>
      <c r="N846" t="s">
        <v>726</v>
      </c>
      <c r="O846">
        <v>1</v>
      </c>
    </row>
    <row r="847" spans="1:15" x14ac:dyDescent="0.3">
      <c r="A847" t="s">
        <v>889</v>
      </c>
      <c r="B847">
        <v>869</v>
      </c>
      <c r="C847">
        <v>436794675</v>
      </c>
      <c r="D847">
        <v>495</v>
      </c>
      <c r="E847">
        <v>122</v>
      </c>
      <c r="F847">
        <v>1</v>
      </c>
      <c r="G847">
        <v>31.816186183468901</v>
      </c>
      <c r="H847">
        <v>3</v>
      </c>
      <c r="I847">
        <v>35</v>
      </c>
      <c r="K847" t="s">
        <v>890</v>
      </c>
      <c r="L847">
        <v>4</v>
      </c>
      <c r="M847" t="s">
        <v>1685</v>
      </c>
      <c r="N847" t="s">
        <v>726</v>
      </c>
      <c r="O847">
        <v>1</v>
      </c>
    </row>
    <row r="848" spans="1:15" x14ac:dyDescent="0.3">
      <c r="A848" t="s">
        <v>889</v>
      </c>
      <c r="B848">
        <v>870</v>
      </c>
      <c r="C848">
        <v>436794676</v>
      </c>
      <c r="D848">
        <v>490</v>
      </c>
      <c r="E848">
        <v>211</v>
      </c>
      <c r="F848">
        <v>1</v>
      </c>
      <c r="G848">
        <v>91.391083299106697</v>
      </c>
      <c r="H848">
        <v>5</v>
      </c>
      <c r="I848">
        <v>40</v>
      </c>
      <c r="K848" t="s">
        <v>890</v>
      </c>
      <c r="L848">
        <v>4</v>
      </c>
      <c r="M848" t="s">
        <v>1686</v>
      </c>
      <c r="N848" t="s">
        <v>726</v>
      </c>
      <c r="O848">
        <v>1</v>
      </c>
    </row>
    <row r="849" spans="1:15" x14ac:dyDescent="0.3">
      <c r="A849" t="s">
        <v>889</v>
      </c>
      <c r="B849">
        <v>871</v>
      </c>
      <c r="C849">
        <v>436794676</v>
      </c>
      <c r="D849">
        <v>211</v>
      </c>
      <c r="E849">
        <v>490</v>
      </c>
      <c r="F849">
        <v>1</v>
      </c>
      <c r="G849">
        <v>91.391083299106697</v>
      </c>
      <c r="H849">
        <v>2</v>
      </c>
      <c r="I849">
        <v>40</v>
      </c>
      <c r="K849" t="s">
        <v>890</v>
      </c>
      <c r="L849">
        <v>4</v>
      </c>
      <c r="M849" t="s">
        <v>1687</v>
      </c>
      <c r="N849" t="s">
        <v>726</v>
      </c>
      <c r="O849">
        <v>1</v>
      </c>
    </row>
    <row r="850" spans="1:15" x14ac:dyDescent="0.3">
      <c r="A850" t="s">
        <v>889</v>
      </c>
      <c r="B850">
        <v>872</v>
      </c>
      <c r="C850">
        <v>436794677</v>
      </c>
      <c r="D850">
        <v>497</v>
      </c>
      <c r="E850">
        <v>123</v>
      </c>
      <c r="F850">
        <v>1</v>
      </c>
      <c r="G850">
        <v>40.612495840822397</v>
      </c>
      <c r="H850">
        <v>3</v>
      </c>
      <c r="I850">
        <v>40</v>
      </c>
      <c r="K850" t="s">
        <v>890</v>
      </c>
      <c r="L850">
        <v>4</v>
      </c>
      <c r="M850" t="s">
        <v>1688</v>
      </c>
      <c r="N850" t="s">
        <v>726</v>
      </c>
      <c r="O850">
        <v>1</v>
      </c>
    </row>
    <row r="851" spans="1:15" x14ac:dyDescent="0.3">
      <c r="A851" t="s">
        <v>889</v>
      </c>
      <c r="B851">
        <v>873</v>
      </c>
      <c r="C851">
        <v>436794677</v>
      </c>
      <c r="D851">
        <v>123</v>
      </c>
      <c r="E851">
        <v>497</v>
      </c>
      <c r="F851">
        <v>1</v>
      </c>
      <c r="G851">
        <v>40.612495840822397</v>
      </c>
      <c r="H851">
        <v>2</v>
      </c>
      <c r="I851">
        <v>40</v>
      </c>
      <c r="K851" t="s">
        <v>890</v>
      </c>
      <c r="L851">
        <v>4</v>
      </c>
      <c r="M851" t="s">
        <v>1689</v>
      </c>
      <c r="N851" t="s">
        <v>726</v>
      </c>
      <c r="O851">
        <v>1</v>
      </c>
    </row>
    <row r="852" spans="1:15" x14ac:dyDescent="0.3">
      <c r="A852" t="s">
        <v>889</v>
      </c>
      <c r="B852">
        <v>874</v>
      </c>
      <c r="C852">
        <v>436794678</v>
      </c>
      <c r="D852">
        <v>496</v>
      </c>
      <c r="E852">
        <v>1966</v>
      </c>
      <c r="F852">
        <v>1</v>
      </c>
      <c r="G852">
        <v>71.925688933525507</v>
      </c>
      <c r="H852">
        <v>4</v>
      </c>
      <c r="I852">
        <v>35</v>
      </c>
      <c r="K852" t="s">
        <v>890</v>
      </c>
      <c r="L852">
        <v>4</v>
      </c>
      <c r="M852" t="s">
        <v>1690</v>
      </c>
      <c r="N852" t="s">
        <v>726</v>
      </c>
      <c r="O852">
        <v>1</v>
      </c>
    </row>
    <row r="853" spans="1:15" x14ac:dyDescent="0.3">
      <c r="A853" t="s">
        <v>889</v>
      </c>
      <c r="B853">
        <v>875</v>
      </c>
      <c r="C853">
        <v>436794678</v>
      </c>
      <c r="D853">
        <v>1966</v>
      </c>
      <c r="E853">
        <v>496</v>
      </c>
      <c r="F853">
        <v>1</v>
      </c>
      <c r="G853">
        <v>71.925688933525507</v>
      </c>
      <c r="H853">
        <v>2</v>
      </c>
      <c r="I853">
        <v>35</v>
      </c>
      <c r="K853" t="s">
        <v>890</v>
      </c>
      <c r="L853">
        <v>4</v>
      </c>
      <c r="M853" t="s">
        <v>1691</v>
      </c>
      <c r="N853" t="s">
        <v>726</v>
      </c>
      <c r="O853">
        <v>1</v>
      </c>
    </row>
    <row r="854" spans="1:15" x14ac:dyDescent="0.3">
      <c r="A854" t="s">
        <v>889</v>
      </c>
      <c r="B854">
        <v>876</v>
      </c>
      <c r="C854">
        <v>436794679</v>
      </c>
      <c r="D854">
        <v>1966</v>
      </c>
      <c r="E854">
        <v>498</v>
      </c>
      <c r="F854">
        <v>1</v>
      </c>
      <c r="G854">
        <v>77.349312110579504</v>
      </c>
      <c r="H854">
        <v>2</v>
      </c>
      <c r="I854">
        <v>40</v>
      </c>
      <c r="K854" t="s">
        <v>890</v>
      </c>
      <c r="L854">
        <v>4</v>
      </c>
      <c r="M854" t="s">
        <v>1692</v>
      </c>
      <c r="N854" t="s">
        <v>726</v>
      </c>
      <c r="O854">
        <v>1</v>
      </c>
    </row>
    <row r="855" spans="1:15" x14ac:dyDescent="0.3">
      <c r="A855" t="s">
        <v>889</v>
      </c>
      <c r="B855">
        <v>877</v>
      </c>
      <c r="C855">
        <v>436794679</v>
      </c>
      <c r="D855">
        <v>498</v>
      </c>
      <c r="E855">
        <v>1966</v>
      </c>
      <c r="F855">
        <v>1</v>
      </c>
      <c r="G855">
        <v>77.349312110579504</v>
      </c>
      <c r="H855">
        <v>5</v>
      </c>
      <c r="I855">
        <v>40</v>
      </c>
      <c r="K855" t="s">
        <v>890</v>
      </c>
      <c r="L855">
        <v>4</v>
      </c>
      <c r="M855" t="s">
        <v>1693</v>
      </c>
      <c r="N855" t="s">
        <v>726</v>
      </c>
      <c r="O855">
        <v>1</v>
      </c>
    </row>
    <row r="856" spans="1:15" x14ac:dyDescent="0.3">
      <c r="A856" t="s">
        <v>889</v>
      </c>
      <c r="B856">
        <v>878</v>
      </c>
      <c r="C856">
        <v>436794680</v>
      </c>
      <c r="D856">
        <v>489</v>
      </c>
      <c r="E856">
        <v>1950</v>
      </c>
      <c r="F856">
        <v>1</v>
      </c>
      <c r="G856">
        <v>81.509039458932605</v>
      </c>
      <c r="H856">
        <v>3</v>
      </c>
      <c r="I856">
        <v>35</v>
      </c>
      <c r="K856" t="s">
        <v>890</v>
      </c>
      <c r="L856">
        <v>4</v>
      </c>
      <c r="M856" t="s">
        <v>1694</v>
      </c>
      <c r="N856" t="s">
        <v>726</v>
      </c>
      <c r="O856">
        <v>0</v>
      </c>
    </row>
    <row r="857" spans="1:15" x14ac:dyDescent="0.3">
      <c r="A857" t="s">
        <v>889</v>
      </c>
      <c r="B857">
        <v>879</v>
      </c>
      <c r="C857">
        <v>436794681</v>
      </c>
      <c r="D857">
        <v>495</v>
      </c>
      <c r="E857">
        <v>353</v>
      </c>
      <c r="F857">
        <v>1</v>
      </c>
      <c r="G857">
        <v>98.025336541951702</v>
      </c>
      <c r="H857">
        <v>3</v>
      </c>
      <c r="I857">
        <v>35</v>
      </c>
      <c r="K857" t="s">
        <v>890</v>
      </c>
      <c r="L857">
        <v>4</v>
      </c>
      <c r="M857" t="s">
        <v>1695</v>
      </c>
      <c r="N857" t="s">
        <v>726</v>
      </c>
      <c r="O857">
        <v>1</v>
      </c>
    </row>
    <row r="858" spans="1:15" x14ac:dyDescent="0.3">
      <c r="A858" t="s">
        <v>889</v>
      </c>
      <c r="B858">
        <v>880</v>
      </c>
      <c r="C858">
        <v>436794681</v>
      </c>
      <c r="D858">
        <v>353</v>
      </c>
      <c r="E858">
        <v>495</v>
      </c>
      <c r="F858">
        <v>1</v>
      </c>
      <c r="G858">
        <v>98.025336541951702</v>
      </c>
      <c r="H858">
        <v>3</v>
      </c>
      <c r="I858">
        <v>35</v>
      </c>
      <c r="K858" t="s">
        <v>890</v>
      </c>
      <c r="L858">
        <v>4</v>
      </c>
      <c r="M858" t="s">
        <v>1696</v>
      </c>
      <c r="N858" t="s">
        <v>726</v>
      </c>
      <c r="O858">
        <v>1</v>
      </c>
    </row>
    <row r="859" spans="1:15" x14ac:dyDescent="0.3">
      <c r="A859" t="s">
        <v>889</v>
      </c>
      <c r="B859">
        <v>881</v>
      </c>
      <c r="C859">
        <v>436794681</v>
      </c>
      <c r="D859">
        <v>353</v>
      </c>
      <c r="E859">
        <v>492</v>
      </c>
      <c r="F859">
        <v>1</v>
      </c>
      <c r="G859">
        <v>14.367246407045601</v>
      </c>
      <c r="H859">
        <v>3</v>
      </c>
      <c r="I859">
        <v>35</v>
      </c>
      <c r="K859" t="s">
        <v>890</v>
      </c>
      <c r="L859">
        <v>4</v>
      </c>
      <c r="M859" t="s">
        <v>1697</v>
      </c>
      <c r="N859" t="s">
        <v>726</v>
      </c>
      <c r="O859">
        <v>1</v>
      </c>
    </row>
    <row r="860" spans="1:15" x14ac:dyDescent="0.3">
      <c r="A860" t="s">
        <v>889</v>
      </c>
      <c r="B860">
        <v>882</v>
      </c>
      <c r="C860">
        <v>436794681</v>
      </c>
      <c r="D860">
        <v>492</v>
      </c>
      <c r="E860">
        <v>353</v>
      </c>
      <c r="F860">
        <v>1</v>
      </c>
      <c r="G860">
        <v>14.367246407045601</v>
      </c>
      <c r="H860">
        <v>3</v>
      </c>
      <c r="I860">
        <v>35</v>
      </c>
      <c r="K860" t="s">
        <v>890</v>
      </c>
      <c r="L860">
        <v>4</v>
      </c>
      <c r="M860" t="s">
        <v>1698</v>
      </c>
      <c r="N860" t="s">
        <v>726</v>
      </c>
      <c r="O860">
        <v>1</v>
      </c>
    </row>
    <row r="861" spans="1:15" x14ac:dyDescent="0.3">
      <c r="A861" t="s">
        <v>858</v>
      </c>
      <c r="B861">
        <v>883</v>
      </c>
      <c r="C861">
        <v>436794682</v>
      </c>
      <c r="D861">
        <v>106</v>
      </c>
      <c r="E861">
        <v>1943</v>
      </c>
      <c r="F861">
        <v>1</v>
      </c>
      <c r="G861">
        <v>7.2104551615474</v>
      </c>
      <c r="H861">
        <v>2</v>
      </c>
      <c r="I861">
        <v>30</v>
      </c>
      <c r="K861" t="s">
        <v>724</v>
      </c>
      <c r="L861">
        <v>3</v>
      </c>
      <c r="M861" t="s">
        <v>1699</v>
      </c>
      <c r="N861" t="s">
        <v>726</v>
      </c>
      <c r="O861">
        <v>0</v>
      </c>
    </row>
    <row r="862" spans="1:15" x14ac:dyDescent="0.3">
      <c r="A862" t="s">
        <v>858</v>
      </c>
      <c r="B862">
        <v>884</v>
      </c>
      <c r="C862">
        <v>436794683</v>
      </c>
      <c r="D862">
        <v>499</v>
      </c>
      <c r="E862">
        <v>106</v>
      </c>
      <c r="F862">
        <v>1</v>
      </c>
      <c r="G862">
        <v>52.755282534844397</v>
      </c>
      <c r="H862">
        <v>3</v>
      </c>
      <c r="I862">
        <v>30</v>
      </c>
      <c r="K862" t="s">
        <v>724</v>
      </c>
      <c r="L862">
        <v>3</v>
      </c>
      <c r="M862" t="s">
        <v>1700</v>
      </c>
      <c r="N862" t="s">
        <v>726</v>
      </c>
      <c r="O862">
        <v>0</v>
      </c>
    </row>
    <row r="863" spans="1:15" x14ac:dyDescent="0.3">
      <c r="A863" t="s">
        <v>1701</v>
      </c>
      <c r="B863">
        <v>885</v>
      </c>
      <c r="C863">
        <v>436794685</v>
      </c>
      <c r="D863">
        <v>483</v>
      </c>
      <c r="E863">
        <v>751</v>
      </c>
      <c r="F863">
        <v>1</v>
      </c>
      <c r="G863">
        <v>43.669978194779297</v>
      </c>
      <c r="H863">
        <v>2</v>
      </c>
      <c r="I863">
        <v>40</v>
      </c>
      <c r="K863" t="s">
        <v>724</v>
      </c>
      <c r="L863">
        <v>3</v>
      </c>
      <c r="M863" t="s">
        <v>1702</v>
      </c>
      <c r="N863" t="s">
        <v>726</v>
      </c>
      <c r="O863">
        <v>0</v>
      </c>
    </row>
    <row r="864" spans="1:15" x14ac:dyDescent="0.3">
      <c r="A864" t="s">
        <v>1701</v>
      </c>
      <c r="B864">
        <v>886</v>
      </c>
      <c r="C864">
        <v>436794687</v>
      </c>
      <c r="D864">
        <v>482</v>
      </c>
      <c r="E864">
        <v>8</v>
      </c>
      <c r="F864">
        <v>1</v>
      </c>
      <c r="G864">
        <v>31.917506483006999</v>
      </c>
      <c r="H864">
        <v>3</v>
      </c>
      <c r="I864">
        <v>40</v>
      </c>
      <c r="K864" t="s">
        <v>724</v>
      </c>
      <c r="L864">
        <v>3</v>
      </c>
      <c r="M864" t="s">
        <v>1703</v>
      </c>
      <c r="N864" t="s">
        <v>726</v>
      </c>
      <c r="O864">
        <v>1</v>
      </c>
    </row>
    <row r="865" spans="1:15" x14ac:dyDescent="0.3">
      <c r="A865" t="s">
        <v>1701</v>
      </c>
      <c r="B865">
        <v>887</v>
      </c>
      <c r="C865">
        <v>436794687</v>
      </c>
      <c r="D865">
        <v>8</v>
      </c>
      <c r="E865">
        <v>482</v>
      </c>
      <c r="F865">
        <v>1</v>
      </c>
      <c r="G865">
        <v>31.917506483006999</v>
      </c>
      <c r="H865">
        <v>2</v>
      </c>
      <c r="I865">
        <v>40</v>
      </c>
      <c r="K865" t="s">
        <v>724</v>
      </c>
      <c r="L865">
        <v>3</v>
      </c>
      <c r="M865" t="s">
        <v>1704</v>
      </c>
      <c r="N865" t="s">
        <v>726</v>
      </c>
      <c r="O865">
        <v>1</v>
      </c>
    </row>
    <row r="866" spans="1:15" x14ac:dyDescent="0.3">
      <c r="A866" t="s">
        <v>1701</v>
      </c>
      <c r="B866">
        <v>888</v>
      </c>
      <c r="C866">
        <v>436794688</v>
      </c>
      <c r="D866">
        <v>8</v>
      </c>
      <c r="E866">
        <v>483</v>
      </c>
      <c r="F866">
        <v>1</v>
      </c>
      <c r="G866">
        <v>36.408649559788401</v>
      </c>
      <c r="H866">
        <v>2</v>
      </c>
      <c r="I866">
        <v>40</v>
      </c>
      <c r="K866" t="s">
        <v>724</v>
      </c>
      <c r="L866">
        <v>3</v>
      </c>
      <c r="M866" t="s">
        <v>1705</v>
      </c>
      <c r="N866" t="s">
        <v>726</v>
      </c>
      <c r="O866">
        <v>1</v>
      </c>
    </row>
    <row r="867" spans="1:15" x14ac:dyDescent="0.3">
      <c r="A867" t="s">
        <v>1701</v>
      </c>
      <c r="B867">
        <v>889</v>
      </c>
      <c r="C867">
        <v>436794688</v>
      </c>
      <c r="D867">
        <v>483</v>
      </c>
      <c r="E867">
        <v>8</v>
      </c>
      <c r="F867">
        <v>1</v>
      </c>
      <c r="G867">
        <v>36.408649559788401</v>
      </c>
      <c r="H867">
        <v>3</v>
      </c>
      <c r="I867">
        <v>40</v>
      </c>
      <c r="K867" t="s">
        <v>724</v>
      </c>
      <c r="L867">
        <v>3</v>
      </c>
      <c r="M867" t="s">
        <v>1706</v>
      </c>
      <c r="N867" t="s">
        <v>726</v>
      </c>
      <c r="O867">
        <v>1</v>
      </c>
    </row>
    <row r="868" spans="1:15" x14ac:dyDescent="0.3">
      <c r="A868" t="s">
        <v>1701</v>
      </c>
      <c r="B868">
        <v>890</v>
      </c>
      <c r="C868">
        <v>436794695</v>
      </c>
      <c r="D868">
        <v>486</v>
      </c>
      <c r="E868">
        <v>48</v>
      </c>
      <c r="F868">
        <v>1</v>
      </c>
      <c r="G868">
        <v>59.740768000736303</v>
      </c>
      <c r="H868">
        <v>3</v>
      </c>
      <c r="I868">
        <v>35</v>
      </c>
      <c r="K868" t="s">
        <v>724</v>
      </c>
      <c r="L868">
        <v>3</v>
      </c>
      <c r="M868" t="s">
        <v>1707</v>
      </c>
      <c r="N868" t="s">
        <v>726</v>
      </c>
      <c r="O868">
        <v>1</v>
      </c>
    </row>
    <row r="869" spans="1:15" x14ac:dyDescent="0.3">
      <c r="A869" t="s">
        <v>1701</v>
      </c>
      <c r="B869">
        <v>891</v>
      </c>
      <c r="C869">
        <v>436794695</v>
      </c>
      <c r="D869">
        <v>48</v>
      </c>
      <c r="E869">
        <v>486</v>
      </c>
      <c r="F869">
        <v>1</v>
      </c>
      <c r="G869">
        <v>59.740768000736303</v>
      </c>
      <c r="H869">
        <v>2</v>
      </c>
      <c r="I869">
        <v>35</v>
      </c>
      <c r="K869" t="s">
        <v>724</v>
      </c>
      <c r="L869">
        <v>3</v>
      </c>
      <c r="M869" t="s">
        <v>1708</v>
      </c>
      <c r="N869" t="s">
        <v>726</v>
      </c>
      <c r="O869">
        <v>1</v>
      </c>
    </row>
    <row r="870" spans="1:15" x14ac:dyDescent="0.3">
      <c r="A870" t="s">
        <v>1701</v>
      </c>
      <c r="B870">
        <v>892</v>
      </c>
      <c r="C870">
        <v>436794696</v>
      </c>
      <c r="D870">
        <v>487</v>
      </c>
      <c r="E870">
        <v>31</v>
      </c>
      <c r="F870">
        <v>1</v>
      </c>
      <c r="G870">
        <v>47.610576720599902</v>
      </c>
      <c r="H870">
        <v>2</v>
      </c>
      <c r="I870">
        <v>35</v>
      </c>
      <c r="K870" t="s">
        <v>724</v>
      </c>
      <c r="L870">
        <v>3</v>
      </c>
      <c r="M870" t="s">
        <v>1709</v>
      </c>
      <c r="N870" t="s">
        <v>726</v>
      </c>
      <c r="O870">
        <v>1</v>
      </c>
    </row>
    <row r="871" spans="1:15" x14ac:dyDescent="0.3">
      <c r="A871" t="s">
        <v>1701</v>
      </c>
      <c r="B871">
        <v>893</v>
      </c>
      <c r="C871">
        <v>436794696</v>
      </c>
      <c r="D871">
        <v>31</v>
      </c>
      <c r="E871">
        <v>487</v>
      </c>
      <c r="F871">
        <v>1</v>
      </c>
      <c r="G871">
        <v>47.610576720599902</v>
      </c>
      <c r="H871">
        <v>2</v>
      </c>
      <c r="I871">
        <v>35</v>
      </c>
      <c r="K871" t="s">
        <v>724</v>
      </c>
      <c r="L871">
        <v>3</v>
      </c>
      <c r="M871" t="s">
        <v>1710</v>
      </c>
      <c r="N871" t="s">
        <v>726</v>
      </c>
      <c r="O871">
        <v>1</v>
      </c>
    </row>
    <row r="872" spans="1:15" x14ac:dyDescent="0.3">
      <c r="A872" t="s">
        <v>1701</v>
      </c>
      <c r="B872">
        <v>894</v>
      </c>
      <c r="C872">
        <v>436794696</v>
      </c>
      <c r="D872">
        <v>31</v>
      </c>
      <c r="E872">
        <v>486</v>
      </c>
      <c r="F872">
        <v>1</v>
      </c>
      <c r="G872">
        <v>45.048784800661501</v>
      </c>
      <c r="H872">
        <v>2</v>
      </c>
      <c r="I872">
        <v>35</v>
      </c>
      <c r="K872" t="s">
        <v>724</v>
      </c>
      <c r="L872">
        <v>3</v>
      </c>
      <c r="M872" t="s">
        <v>1711</v>
      </c>
      <c r="N872" t="s">
        <v>726</v>
      </c>
      <c r="O872">
        <v>1</v>
      </c>
    </row>
    <row r="873" spans="1:15" x14ac:dyDescent="0.3">
      <c r="A873" t="s">
        <v>1701</v>
      </c>
      <c r="B873">
        <v>895</v>
      </c>
      <c r="C873">
        <v>436794696</v>
      </c>
      <c r="D873">
        <v>486</v>
      </c>
      <c r="E873">
        <v>31</v>
      </c>
      <c r="F873">
        <v>1</v>
      </c>
      <c r="G873">
        <v>45.048784800661501</v>
      </c>
      <c r="H873">
        <v>2</v>
      </c>
      <c r="I873">
        <v>35</v>
      </c>
      <c r="K873" t="s">
        <v>724</v>
      </c>
      <c r="L873">
        <v>3</v>
      </c>
      <c r="M873" t="s">
        <v>1712</v>
      </c>
      <c r="N873" t="s">
        <v>726</v>
      </c>
      <c r="O873">
        <v>1</v>
      </c>
    </row>
    <row r="874" spans="1:15" x14ac:dyDescent="0.3">
      <c r="A874" t="s">
        <v>1701</v>
      </c>
      <c r="B874">
        <v>896</v>
      </c>
      <c r="C874">
        <v>436794698</v>
      </c>
      <c r="D874">
        <v>48</v>
      </c>
      <c r="E874">
        <v>485</v>
      </c>
      <c r="F874">
        <v>1</v>
      </c>
      <c r="G874">
        <v>44.8724730000826</v>
      </c>
      <c r="H874">
        <v>2</v>
      </c>
      <c r="I874">
        <v>40</v>
      </c>
      <c r="K874" t="s">
        <v>724</v>
      </c>
      <c r="L874">
        <v>3</v>
      </c>
      <c r="M874" t="s">
        <v>1713</v>
      </c>
      <c r="N874" t="s">
        <v>726</v>
      </c>
      <c r="O874">
        <v>1</v>
      </c>
    </row>
    <row r="875" spans="1:15" x14ac:dyDescent="0.3">
      <c r="A875" t="s">
        <v>1701</v>
      </c>
      <c r="B875">
        <v>897</v>
      </c>
      <c r="C875">
        <v>436794698</v>
      </c>
      <c r="D875">
        <v>485</v>
      </c>
      <c r="E875">
        <v>48</v>
      </c>
      <c r="F875">
        <v>1</v>
      </c>
      <c r="G875">
        <v>44.8724730000826</v>
      </c>
      <c r="H875">
        <v>3</v>
      </c>
      <c r="I875">
        <v>40</v>
      </c>
      <c r="K875" t="s">
        <v>724</v>
      </c>
      <c r="L875">
        <v>3</v>
      </c>
      <c r="M875" t="s">
        <v>1714</v>
      </c>
      <c r="N875" t="s">
        <v>726</v>
      </c>
      <c r="O875">
        <v>1</v>
      </c>
    </row>
    <row r="876" spans="1:15" x14ac:dyDescent="0.3">
      <c r="A876" t="s">
        <v>1701</v>
      </c>
      <c r="B876">
        <v>898</v>
      </c>
      <c r="C876">
        <v>436794701</v>
      </c>
      <c r="D876">
        <v>1950</v>
      </c>
      <c r="E876">
        <v>488</v>
      </c>
      <c r="F876">
        <v>1</v>
      </c>
      <c r="G876">
        <v>57.556365503973602</v>
      </c>
      <c r="H876">
        <v>2</v>
      </c>
      <c r="I876">
        <v>35</v>
      </c>
      <c r="K876" t="s">
        <v>724</v>
      </c>
      <c r="L876">
        <v>3</v>
      </c>
      <c r="M876" t="s">
        <v>1715</v>
      </c>
      <c r="N876" t="s">
        <v>726</v>
      </c>
      <c r="O876">
        <v>1</v>
      </c>
    </row>
    <row r="877" spans="1:15" x14ac:dyDescent="0.3">
      <c r="A877" t="s">
        <v>1701</v>
      </c>
      <c r="B877">
        <v>899</v>
      </c>
      <c r="C877">
        <v>436794701</v>
      </c>
      <c r="D877">
        <v>488</v>
      </c>
      <c r="E877">
        <v>1950</v>
      </c>
      <c r="F877">
        <v>1</v>
      </c>
      <c r="G877">
        <v>57.556365503973602</v>
      </c>
      <c r="H877">
        <v>4</v>
      </c>
      <c r="I877">
        <v>35</v>
      </c>
      <c r="K877" t="s">
        <v>724</v>
      </c>
      <c r="L877">
        <v>3</v>
      </c>
      <c r="M877" t="s">
        <v>1716</v>
      </c>
      <c r="N877" t="s">
        <v>726</v>
      </c>
      <c r="O877">
        <v>1</v>
      </c>
    </row>
    <row r="878" spans="1:15" x14ac:dyDescent="0.3">
      <c r="A878" t="s">
        <v>1701</v>
      </c>
      <c r="B878">
        <v>900</v>
      </c>
      <c r="C878">
        <v>436794701</v>
      </c>
      <c r="D878">
        <v>488</v>
      </c>
      <c r="E878">
        <v>487</v>
      </c>
      <c r="F878">
        <v>1</v>
      </c>
      <c r="G878">
        <v>4.4377945025066401</v>
      </c>
      <c r="H878">
        <v>2</v>
      </c>
      <c r="I878">
        <v>35</v>
      </c>
      <c r="K878" t="s">
        <v>724</v>
      </c>
      <c r="L878">
        <v>3</v>
      </c>
      <c r="M878" t="s">
        <v>1717</v>
      </c>
      <c r="N878" t="s">
        <v>726</v>
      </c>
      <c r="O878">
        <v>1</v>
      </c>
    </row>
    <row r="879" spans="1:15" x14ac:dyDescent="0.3">
      <c r="A879" t="s">
        <v>1701</v>
      </c>
      <c r="B879">
        <v>901</v>
      </c>
      <c r="C879">
        <v>436794701</v>
      </c>
      <c r="D879">
        <v>487</v>
      </c>
      <c r="E879">
        <v>488</v>
      </c>
      <c r="F879">
        <v>1</v>
      </c>
      <c r="G879">
        <v>4.4377945025066401</v>
      </c>
      <c r="H879">
        <v>4</v>
      </c>
      <c r="I879">
        <v>35</v>
      </c>
      <c r="K879" t="s">
        <v>724</v>
      </c>
      <c r="L879">
        <v>3</v>
      </c>
      <c r="M879" t="s">
        <v>1718</v>
      </c>
      <c r="N879" t="s">
        <v>726</v>
      </c>
      <c r="O879">
        <v>1</v>
      </c>
    </row>
    <row r="880" spans="1:15" x14ac:dyDescent="0.3">
      <c r="A880" t="s">
        <v>1701</v>
      </c>
      <c r="B880">
        <v>902</v>
      </c>
      <c r="C880">
        <v>436794710</v>
      </c>
      <c r="D880">
        <v>482</v>
      </c>
      <c r="E880">
        <v>676</v>
      </c>
      <c r="F880">
        <v>1</v>
      </c>
      <c r="G880">
        <v>84.142574569379406</v>
      </c>
      <c r="H880">
        <v>2</v>
      </c>
      <c r="I880">
        <v>40</v>
      </c>
      <c r="K880" t="s">
        <v>724</v>
      </c>
      <c r="L880">
        <v>3</v>
      </c>
      <c r="M880" t="s">
        <v>1719</v>
      </c>
      <c r="N880" t="s">
        <v>726</v>
      </c>
      <c r="O880">
        <v>0</v>
      </c>
    </row>
    <row r="881" spans="1:15" x14ac:dyDescent="0.3">
      <c r="A881" t="s">
        <v>1216</v>
      </c>
      <c r="B881">
        <v>903</v>
      </c>
      <c r="C881">
        <v>436795888</v>
      </c>
      <c r="D881">
        <v>315</v>
      </c>
      <c r="E881">
        <v>611</v>
      </c>
      <c r="F881">
        <v>1</v>
      </c>
      <c r="G881">
        <v>70.176185781633095</v>
      </c>
      <c r="H881">
        <v>3</v>
      </c>
      <c r="I881">
        <v>35</v>
      </c>
      <c r="K881" t="s">
        <v>890</v>
      </c>
      <c r="L881">
        <v>4</v>
      </c>
      <c r="M881" t="s">
        <v>1720</v>
      </c>
      <c r="N881" t="s">
        <v>726</v>
      </c>
      <c r="O881">
        <v>0</v>
      </c>
    </row>
    <row r="882" spans="1:15" x14ac:dyDescent="0.3">
      <c r="A882" t="s">
        <v>1216</v>
      </c>
      <c r="B882">
        <v>904</v>
      </c>
      <c r="C882">
        <v>436795889</v>
      </c>
      <c r="D882">
        <v>1967</v>
      </c>
      <c r="E882">
        <v>517</v>
      </c>
      <c r="F882">
        <v>1</v>
      </c>
      <c r="G882">
        <v>741.35504585537001</v>
      </c>
      <c r="H882">
        <v>2</v>
      </c>
      <c r="I882">
        <v>40</v>
      </c>
      <c r="K882" t="s">
        <v>890</v>
      </c>
      <c r="L882">
        <v>4</v>
      </c>
      <c r="M882" t="s">
        <v>1721</v>
      </c>
      <c r="N882" t="s">
        <v>726</v>
      </c>
      <c r="O882">
        <v>0</v>
      </c>
    </row>
    <row r="883" spans="1:15" x14ac:dyDescent="0.3">
      <c r="A883" t="s">
        <v>1216</v>
      </c>
      <c r="B883">
        <v>905</v>
      </c>
      <c r="C883">
        <v>436795890</v>
      </c>
      <c r="D883">
        <v>501</v>
      </c>
      <c r="E883">
        <v>1942</v>
      </c>
      <c r="F883">
        <v>1</v>
      </c>
      <c r="G883">
        <v>83.858626876829405</v>
      </c>
      <c r="H883">
        <v>5</v>
      </c>
      <c r="I883">
        <v>35</v>
      </c>
      <c r="K883" t="s">
        <v>890</v>
      </c>
      <c r="L883">
        <v>4</v>
      </c>
      <c r="M883" t="s">
        <v>1722</v>
      </c>
      <c r="N883" t="s">
        <v>726</v>
      </c>
      <c r="O883">
        <v>0</v>
      </c>
    </row>
    <row r="884" spans="1:15" x14ac:dyDescent="0.3">
      <c r="A884" t="s">
        <v>1216</v>
      </c>
      <c r="B884">
        <v>906</v>
      </c>
      <c r="C884">
        <v>436795891</v>
      </c>
      <c r="D884">
        <v>503</v>
      </c>
      <c r="E884">
        <v>502</v>
      </c>
      <c r="F884">
        <v>1</v>
      </c>
      <c r="G884">
        <v>50.029800264474098</v>
      </c>
      <c r="H884">
        <v>3</v>
      </c>
      <c r="I884">
        <v>35</v>
      </c>
      <c r="K884" t="s">
        <v>890</v>
      </c>
      <c r="L884">
        <v>4</v>
      </c>
      <c r="M884" t="s">
        <v>1723</v>
      </c>
      <c r="N884" t="s">
        <v>726</v>
      </c>
      <c r="O884">
        <v>0</v>
      </c>
    </row>
    <row r="885" spans="1:15" x14ac:dyDescent="0.3">
      <c r="A885" t="s">
        <v>1216</v>
      </c>
      <c r="B885">
        <v>907</v>
      </c>
      <c r="C885">
        <v>436795892</v>
      </c>
      <c r="D885">
        <v>500</v>
      </c>
      <c r="E885">
        <v>1942</v>
      </c>
      <c r="F885">
        <v>1</v>
      </c>
      <c r="G885">
        <v>86.617193506900506</v>
      </c>
      <c r="H885">
        <v>5</v>
      </c>
      <c r="I885">
        <v>35</v>
      </c>
      <c r="K885" t="s">
        <v>890</v>
      </c>
      <c r="L885">
        <v>4</v>
      </c>
      <c r="M885" t="s">
        <v>1724</v>
      </c>
      <c r="N885" t="s">
        <v>726</v>
      </c>
      <c r="O885">
        <v>0</v>
      </c>
    </row>
    <row r="886" spans="1:15" x14ac:dyDescent="0.3">
      <c r="A886" t="s">
        <v>1216</v>
      </c>
      <c r="B886">
        <v>908</v>
      </c>
      <c r="C886">
        <v>436795893</v>
      </c>
      <c r="D886">
        <v>1942</v>
      </c>
      <c r="E886">
        <v>503</v>
      </c>
      <c r="F886">
        <v>1</v>
      </c>
      <c r="G886">
        <v>152.73631940917201</v>
      </c>
      <c r="H886">
        <v>2</v>
      </c>
      <c r="I886">
        <v>35</v>
      </c>
      <c r="K886" t="s">
        <v>890</v>
      </c>
      <c r="L886">
        <v>4</v>
      </c>
      <c r="M886" t="s">
        <v>1725</v>
      </c>
      <c r="N886" t="s">
        <v>726</v>
      </c>
      <c r="O886">
        <v>0</v>
      </c>
    </row>
    <row r="887" spans="1:15" x14ac:dyDescent="0.3">
      <c r="A887" t="s">
        <v>1216</v>
      </c>
      <c r="B887">
        <v>909</v>
      </c>
      <c r="C887">
        <v>436795894</v>
      </c>
      <c r="D887">
        <v>502</v>
      </c>
      <c r="E887">
        <v>1953</v>
      </c>
      <c r="F887">
        <v>1</v>
      </c>
      <c r="G887">
        <v>79.428022878669694</v>
      </c>
      <c r="H887">
        <v>5</v>
      </c>
      <c r="I887">
        <v>35</v>
      </c>
      <c r="K887" t="s">
        <v>890</v>
      </c>
      <c r="L887">
        <v>4</v>
      </c>
      <c r="M887" t="s">
        <v>1726</v>
      </c>
      <c r="N887" t="s">
        <v>726</v>
      </c>
      <c r="O887">
        <v>0</v>
      </c>
    </row>
    <row r="888" spans="1:15" x14ac:dyDescent="0.3">
      <c r="A888" t="s">
        <v>1216</v>
      </c>
      <c r="B888">
        <v>910</v>
      </c>
      <c r="C888">
        <v>436796010</v>
      </c>
      <c r="D888">
        <v>126</v>
      </c>
      <c r="E888">
        <v>504</v>
      </c>
      <c r="F888">
        <v>1</v>
      </c>
      <c r="G888">
        <v>3.2120952924600501</v>
      </c>
      <c r="H888">
        <v>5</v>
      </c>
      <c r="I888">
        <v>35</v>
      </c>
      <c r="K888" t="s">
        <v>890</v>
      </c>
      <c r="L888">
        <v>4</v>
      </c>
      <c r="M888" t="s">
        <v>1727</v>
      </c>
      <c r="N888" t="s">
        <v>726</v>
      </c>
      <c r="O888">
        <v>0</v>
      </c>
    </row>
    <row r="889" spans="1:15" x14ac:dyDescent="0.3">
      <c r="A889" t="s">
        <v>1216</v>
      </c>
      <c r="B889">
        <v>911</v>
      </c>
      <c r="C889">
        <v>436796011</v>
      </c>
      <c r="D889">
        <v>505</v>
      </c>
      <c r="E889">
        <v>506</v>
      </c>
      <c r="F889">
        <v>1</v>
      </c>
      <c r="G889">
        <v>8.5384268321585601</v>
      </c>
      <c r="H889">
        <v>3</v>
      </c>
      <c r="I889">
        <v>35</v>
      </c>
      <c r="K889" t="s">
        <v>890</v>
      </c>
      <c r="L889">
        <v>4</v>
      </c>
      <c r="M889" t="s">
        <v>1728</v>
      </c>
      <c r="N889" t="s">
        <v>726</v>
      </c>
      <c r="O889">
        <v>0</v>
      </c>
    </row>
    <row r="890" spans="1:15" x14ac:dyDescent="0.3">
      <c r="A890" t="s">
        <v>1216</v>
      </c>
      <c r="B890">
        <v>912</v>
      </c>
      <c r="C890">
        <v>436796012</v>
      </c>
      <c r="D890">
        <v>504</v>
      </c>
      <c r="E890">
        <v>1953</v>
      </c>
      <c r="F890">
        <v>1</v>
      </c>
      <c r="G890">
        <v>73.182962203432496</v>
      </c>
      <c r="H890">
        <v>5</v>
      </c>
      <c r="I890">
        <v>35</v>
      </c>
      <c r="K890" t="s">
        <v>890</v>
      </c>
      <c r="L890">
        <v>4</v>
      </c>
      <c r="M890" t="s">
        <v>1729</v>
      </c>
      <c r="N890" t="s">
        <v>726</v>
      </c>
      <c r="O890">
        <v>0</v>
      </c>
    </row>
    <row r="891" spans="1:15" x14ac:dyDescent="0.3">
      <c r="A891" t="s">
        <v>1216</v>
      </c>
      <c r="B891">
        <v>913</v>
      </c>
      <c r="C891">
        <v>436796013</v>
      </c>
      <c r="D891">
        <v>506</v>
      </c>
      <c r="E891">
        <v>335</v>
      </c>
      <c r="F891">
        <v>1</v>
      </c>
      <c r="G891">
        <v>62.022199566090897</v>
      </c>
      <c r="H891">
        <v>5</v>
      </c>
      <c r="I891">
        <v>35</v>
      </c>
      <c r="K891" t="s">
        <v>890</v>
      </c>
      <c r="L891">
        <v>4</v>
      </c>
      <c r="M891" t="s">
        <v>1730</v>
      </c>
      <c r="N891" t="s">
        <v>726</v>
      </c>
      <c r="O891">
        <v>0</v>
      </c>
    </row>
    <row r="892" spans="1:15" x14ac:dyDescent="0.3">
      <c r="A892" t="s">
        <v>1216</v>
      </c>
      <c r="B892">
        <v>914</v>
      </c>
      <c r="C892">
        <v>436796014</v>
      </c>
      <c r="D892">
        <v>1953</v>
      </c>
      <c r="E892">
        <v>500</v>
      </c>
      <c r="F892">
        <v>1</v>
      </c>
      <c r="G892">
        <v>195.77462998439901</v>
      </c>
      <c r="H892">
        <v>2</v>
      </c>
      <c r="I892">
        <v>35</v>
      </c>
      <c r="K892" t="s">
        <v>890</v>
      </c>
      <c r="L892">
        <v>4</v>
      </c>
      <c r="M892" t="s">
        <v>1731</v>
      </c>
      <c r="N892" t="s">
        <v>726</v>
      </c>
      <c r="O892">
        <v>0</v>
      </c>
    </row>
    <row r="893" spans="1:15" x14ac:dyDescent="0.3">
      <c r="A893" t="s">
        <v>1216</v>
      </c>
      <c r="B893">
        <v>915</v>
      </c>
      <c r="C893">
        <v>436796182</v>
      </c>
      <c r="D893">
        <v>340</v>
      </c>
      <c r="E893">
        <v>343</v>
      </c>
      <c r="F893">
        <v>1</v>
      </c>
      <c r="G893">
        <v>71.785947061760297</v>
      </c>
      <c r="H893">
        <v>2</v>
      </c>
      <c r="I893">
        <v>35</v>
      </c>
      <c r="K893" t="s">
        <v>890</v>
      </c>
      <c r="L893">
        <v>4</v>
      </c>
      <c r="M893" t="s">
        <v>1732</v>
      </c>
      <c r="N893" t="s">
        <v>726</v>
      </c>
      <c r="O893">
        <v>0</v>
      </c>
    </row>
    <row r="894" spans="1:15" x14ac:dyDescent="0.3">
      <c r="A894" t="s">
        <v>1216</v>
      </c>
      <c r="B894">
        <v>916</v>
      </c>
      <c r="C894">
        <v>436796183</v>
      </c>
      <c r="D894">
        <v>509</v>
      </c>
      <c r="E894">
        <v>508</v>
      </c>
      <c r="F894">
        <v>1</v>
      </c>
      <c r="G894">
        <v>10.1469245426775</v>
      </c>
      <c r="H894">
        <v>3</v>
      </c>
      <c r="I894">
        <v>35</v>
      </c>
      <c r="K894" t="s">
        <v>890</v>
      </c>
      <c r="L894">
        <v>4</v>
      </c>
      <c r="M894" t="s">
        <v>1733</v>
      </c>
      <c r="N894" t="s">
        <v>726</v>
      </c>
      <c r="O894">
        <v>0</v>
      </c>
    </row>
    <row r="895" spans="1:15" x14ac:dyDescent="0.3">
      <c r="A895" t="s">
        <v>1216</v>
      </c>
      <c r="B895">
        <v>917</v>
      </c>
      <c r="C895">
        <v>436796184</v>
      </c>
      <c r="D895">
        <v>507</v>
      </c>
      <c r="E895">
        <v>1943</v>
      </c>
      <c r="F895">
        <v>1</v>
      </c>
      <c r="G895">
        <v>77.901294764727595</v>
      </c>
      <c r="H895">
        <v>3</v>
      </c>
      <c r="I895">
        <v>35</v>
      </c>
      <c r="K895" t="s">
        <v>890</v>
      </c>
      <c r="L895">
        <v>4</v>
      </c>
      <c r="M895" t="s">
        <v>1734</v>
      </c>
      <c r="N895" t="s">
        <v>726</v>
      </c>
      <c r="O895">
        <v>0</v>
      </c>
    </row>
    <row r="896" spans="1:15" x14ac:dyDescent="0.3">
      <c r="A896" t="s">
        <v>1216</v>
      </c>
      <c r="B896">
        <v>918</v>
      </c>
      <c r="C896">
        <v>436796185</v>
      </c>
      <c r="D896">
        <v>508</v>
      </c>
      <c r="E896">
        <v>333</v>
      </c>
      <c r="F896">
        <v>1</v>
      </c>
      <c r="G896">
        <v>61.349251985298302</v>
      </c>
      <c r="H896">
        <v>4</v>
      </c>
      <c r="I896">
        <v>35</v>
      </c>
      <c r="K896" t="s">
        <v>890</v>
      </c>
      <c r="L896">
        <v>4</v>
      </c>
      <c r="M896" t="s">
        <v>1735</v>
      </c>
      <c r="N896" t="s">
        <v>726</v>
      </c>
      <c r="O896">
        <v>0</v>
      </c>
    </row>
    <row r="897" spans="1:15" x14ac:dyDescent="0.3">
      <c r="A897" t="s">
        <v>1216</v>
      </c>
      <c r="B897">
        <v>919</v>
      </c>
      <c r="C897">
        <v>436796186</v>
      </c>
      <c r="D897">
        <v>510</v>
      </c>
      <c r="E897">
        <v>342</v>
      </c>
      <c r="F897">
        <v>1</v>
      </c>
      <c r="G897">
        <v>65.295674060591793</v>
      </c>
      <c r="H897">
        <v>4</v>
      </c>
      <c r="I897">
        <v>35</v>
      </c>
      <c r="K897" t="s">
        <v>890</v>
      </c>
      <c r="L897">
        <v>4</v>
      </c>
      <c r="M897" t="s">
        <v>1736</v>
      </c>
      <c r="N897" t="s">
        <v>726</v>
      </c>
      <c r="O897">
        <v>0</v>
      </c>
    </row>
    <row r="898" spans="1:15" x14ac:dyDescent="0.3">
      <c r="A898" t="s">
        <v>1216</v>
      </c>
      <c r="B898">
        <v>920</v>
      </c>
      <c r="C898">
        <v>436796187</v>
      </c>
      <c r="D898">
        <v>333</v>
      </c>
      <c r="E898">
        <v>188</v>
      </c>
      <c r="F898">
        <v>1</v>
      </c>
      <c r="G898">
        <v>178.33713784169899</v>
      </c>
      <c r="H898">
        <v>2</v>
      </c>
      <c r="I898">
        <v>35</v>
      </c>
      <c r="K898" t="s">
        <v>890</v>
      </c>
      <c r="L898">
        <v>4</v>
      </c>
      <c r="M898" t="s">
        <v>1737</v>
      </c>
      <c r="N898" t="s">
        <v>726</v>
      </c>
      <c r="O898">
        <v>0</v>
      </c>
    </row>
    <row r="899" spans="1:15" x14ac:dyDescent="0.3">
      <c r="A899" t="s">
        <v>1288</v>
      </c>
      <c r="B899">
        <v>921</v>
      </c>
      <c r="C899">
        <v>436796415</v>
      </c>
      <c r="D899">
        <v>328</v>
      </c>
      <c r="E899">
        <v>256</v>
      </c>
      <c r="F899">
        <v>1</v>
      </c>
      <c r="G899">
        <v>12.1404027283904</v>
      </c>
      <c r="H899">
        <v>2</v>
      </c>
      <c r="K899" t="s">
        <v>890</v>
      </c>
      <c r="L899">
        <v>4</v>
      </c>
      <c r="M899" t="s">
        <v>1738</v>
      </c>
      <c r="N899" t="s">
        <v>726</v>
      </c>
      <c r="O899">
        <v>0</v>
      </c>
    </row>
    <row r="900" spans="1:15" x14ac:dyDescent="0.3">
      <c r="A900" t="s">
        <v>1288</v>
      </c>
      <c r="B900">
        <v>922</v>
      </c>
      <c r="C900">
        <v>436796416</v>
      </c>
      <c r="D900">
        <v>514</v>
      </c>
      <c r="E900">
        <v>191</v>
      </c>
      <c r="F900">
        <v>1</v>
      </c>
      <c r="G900">
        <v>11.323507654945001</v>
      </c>
      <c r="H900">
        <v>3</v>
      </c>
      <c r="K900" t="s">
        <v>890</v>
      </c>
      <c r="L900">
        <v>4</v>
      </c>
      <c r="M900" t="s">
        <v>1739</v>
      </c>
      <c r="N900" t="s">
        <v>726</v>
      </c>
      <c r="O900">
        <v>0</v>
      </c>
    </row>
    <row r="901" spans="1:15" x14ac:dyDescent="0.3">
      <c r="A901" t="s">
        <v>1288</v>
      </c>
      <c r="B901">
        <v>923</v>
      </c>
      <c r="C901">
        <v>436796417</v>
      </c>
      <c r="D901">
        <v>513</v>
      </c>
      <c r="E901">
        <v>512</v>
      </c>
      <c r="F901">
        <v>1</v>
      </c>
      <c r="G901">
        <v>27.2650834664774</v>
      </c>
      <c r="H901">
        <v>2</v>
      </c>
      <c r="I901">
        <v>35</v>
      </c>
      <c r="K901" t="s">
        <v>890</v>
      </c>
      <c r="L901">
        <v>4</v>
      </c>
      <c r="M901" t="s">
        <v>1740</v>
      </c>
      <c r="N901" t="s">
        <v>726</v>
      </c>
      <c r="O901">
        <v>0</v>
      </c>
    </row>
    <row r="902" spans="1:15" x14ac:dyDescent="0.3">
      <c r="A902" t="s">
        <v>1288</v>
      </c>
      <c r="B902">
        <v>924</v>
      </c>
      <c r="C902">
        <v>436796418</v>
      </c>
      <c r="D902">
        <v>511</v>
      </c>
      <c r="E902">
        <v>1943</v>
      </c>
      <c r="F902">
        <v>1</v>
      </c>
      <c r="G902">
        <v>55.691053396065797</v>
      </c>
      <c r="H902">
        <v>3</v>
      </c>
      <c r="I902">
        <v>35</v>
      </c>
      <c r="K902" t="s">
        <v>890</v>
      </c>
      <c r="L902">
        <v>4</v>
      </c>
      <c r="M902" t="s">
        <v>1741</v>
      </c>
      <c r="N902" t="s">
        <v>726</v>
      </c>
      <c r="O902">
        <v>0</v>
      </c>
    </row>
    <row r="903" spans="1:15" x14ac:dyDescent="0.3">
      <c r="A903" t="s">
        <v>1288</v>
      </c>
      <c r="B903">
        <v>925</v>
      </c>
      <c r="C903">
        <v>436796419</v>
      </c>
      <c r="D903">
        <v>1943</v>
      </c>
      <c r="E903">
        <v>334</v>
      </c>
      <c r="F903">
        <v>1</v>
      </c>
      <c r="G903">
        <v>76.806741184454495</v>
      </c>
      <c r="H903">
        <v>2</v>
      </c>
      <c r="I903">
        <v>35</v>
      </c>
      <c r="K903" t="s">
        <v>890</v>
      </c>
      <c r="L903">
        <v>4</v>
      </c>
      <c r="M903" t="s">
        <v>1742</v>
      </c>
      <c r="N903" t="s">
        <v>726</v>
      </c>
      <c r="O903">
        <v>0</v>
      </c>
    </row>
    <row r="904" spans="1:15" x14ac:dyDescent="0.3">
      <c r="A904" t="s">
        <v>1288</v>
      </c>
      <c r="B904">
        <v>926</v>
      </c>
      <c r="C904">
        <v>436796419</v>
      </c>
      <c r="D904">
        <v>334</v>
      </c>
      <c r="E904">
        <v>513</v>
      </c>
      <c r="F904">
        <v>1</v>
      </c>
      <c r="G904">
        <v>80.953647455332302</v>
      </c>
      <c r="H904">
        <v>2</v>
      </c>
      <c r="I904">
        <v>35</v>
      </c>
      <c r="K904" t="s">
        <v>890</v>
      </c>
      <c r="L904">
        <v>4</v>
      </c>
      <c r="M904" t="s">
        <v>1743</v>
      </c>
      <c r="N904" t="s">
        <v>726</v>
      </c>
      <c r="O904">
        <v>0</v>
      </c>
    </row>
    <row r="905" spans="1:15" x14ac:dyDescent="0.3">
      <c r="A905" t="s">
        <v>1288</v>
      </c>
      <c r="B905">
        <v>927</v>
      </c>
      <c r="C905">
        <v>436796607</v>
      </c>
      <c r="D905">
        <v>190</v>
      </c>
      <c r="E905">
        <v>516</v>
      </c>
      <c r="F905">
        <v>1</v>
      </c>
      <c r="G905">
        <v>7.8841651370680301</v>
      </c>
      <c r="H905">
        <v>2</v>
      </c>
      <c r="K905" t="s">
        <v>890</v>
      </c>
      <c r="L905">
        <v>4</v>
      </c>
      <c r="M905" t="s">
        <v>1744</v>
      </c>
      <c r="N905" t="s">
        <v>726</v>
      </c>
      <c r="O905">
        <v>0</v>
      </c>
    </row>
    <row r="906" spans="1:15" x14ac:dyDescent="0.3">
      <c r="A906" t="s">
        <v>1288</v>
      </c>
      <c r="B906">
        <v>928</v>
      </c>
      <c r="C906">
        <v>436796608</v>
      </c>
      <c r="D906">
        <v>254</v>
      </c>
      <c r="E906">
        <v>515</v>
      </c>
      <c r="F906">
        <v>1</v>
      </c>
      <c r="G906">
        <v>21.9821938918558</v>
      </c>
      <c r="H906">
        <v>2</v>
      </c>
      <c r="K906" t="s">
        <v>890</v>
      </c>
      <c r="L906">
        <v>4</v>
      </c>
      <c r="M906" t="s">
        <v>1745</v>
      </c>
      <c r="N906" t="s">
        <v>726</v>
      </c>
      <c r="O906">
        <v>0</v>
      </c>
    </row>
    <row r="907" spans="1:15" x14ac:dyDescent="0.3">
      <c r="A907" t="s">
        <v>1288</v>
      </c>
      <c r="B907">
        <v>929</v>
      </c>
      <c r="C907">
        <v>436796609</v>
      </c>
      <c r="D907">
        <v>516</v>
      </c>
      <c r="E907">
        <v>254</v>
      </c>
      <c r="F907">
        <v>1</v>
      </c>
      <c r="G907">
        <v>34.029741603319202</v>
      </c>
      <c r="H907">
        <v>3</v>
      </c>
      <c r="K907" t="s">
        <v>890</v>
      </c>
      <c r="L907">
        <v>4</v>
      </c>
      <c r="M907" t="s">
        <v>1746</v>
      </c>
      <c r="N907" t="s">
        <v>726</v>
      </c>
      <c r="O907">
        <v>0</v>
      </c>
    </row>
    <row r="908" spans="1:15" x14ac:dyDescent="0.3">
      <c r="A908" t="s">
        <v>1288</v>
      </c>
      <c r="B908">
        <v>930</v>
      </c>
      <c r="C908">
        <v>436796611</v>
      </c>
      <c r="D908">
        <v>801</v>
      </c>
      <c r="E908">
        <v>241</v>
      </c>
      <c r="F908">
        <v>1</v>
      </c>
      <c r="G908">
        <v>4.6340280369647902</v>
      </c>
      <c r="H908">
        <v>2</v>
      </c>
      <c r="K908" t="s">
        <v>890</v>
      </c>
      <c r="L908">
        <v>4</v>
      </c>
      <c r="M908" t="s">
        <v>1747</v>
      </c>
      <c r="N908" t="s">
        <v>726</v>
      </c>
      <c r="O908">
        <v>0</v>
      </c>
    </row>
    <row r="909" spans="1:15" x14ac:dyDescent="0.3">
      <c r="A909" t="s">
        <v>1216</v>
      </c>
      <c r="B909">
        <v>931</v>
      </c>
      <c r="C909">
        <v>436797312</v>
      </c>
      <c r="D909">
        <v>1942</v>
      </c>
      <c r="E909">
        <v>520</v>
      </c>
      <c r="F909">
        <v>1</v>
      </c>
      <c r="G909">
        <v>432.49266152278898</v>
      </c>
      <c r="H909">
        <v>2</v>
      </c>
      <c r="I909">
        <v>35</v>
      </c>
      <c r="K909" t="s">
        <v>890</v>
      </c>
      <c r="L909">
        <v>4</v>
      </c>
      <c r="M909" t="s">
        <v>1748</v>
      </c>
      <c r="N909" t="s">
        <v>726</v>
      </c>
      <c r="O909">
        <v>0</v>
      </c>
    </row>
    <row r="910" spans="1:15" x14ac:dyDescent="0.3">
      <c r="A910" t="s">
        <v>1216</v>
      </c>
      <c r="B910">
        <v>932</v>
      </c>
      <c r="C910">
        <v>436797314</v>
      </c>
      <c r="D910">
        <v>317</v>
      </c>
      <c r="E910">
        <v>501</v>
      </c>
      <c r="F910">
        <v>1</v>
      </c>
      <c r="G910">
        <v>133.14697985526601</v>
      </c>
      <c r="H910">
        <v>2</v>
      </c>
      <c r="I910">
        <v>35</v>
      </c>
      <c r="K910" t="s">
        <v>890</v>
      </c>
      <c r="L910">
        <v>4</v>
      </c>
      <c r="M910" t="s">
        <v>1749</v>
      </c>
      <c r="N910" t="s">
        <v>726</v>
      </c>
      <c r="O910">
        <v>0</v>
      </c>
    </row>
    <row r="911" spans="1:15" x14ac:dyDescent="0.3">
      <c r="A911" t="s">
        <v>1216</v>
      </c>
      <c r="B911">
        <v>933</v>
      </c>
      <c r="C911">
        <v>436797317</v>
      </c>
      <c r="D911">
        <v>520</v>
      </c>
      <c r="E911">
        <v>298</v>
      </c>
      <c r="F911">
        <v>1</v>
      </c>
      <c r="G911">
        <v>54.743121042402201</v>
      </c>
      <c r="H911">
        <v>3</v>
      </c>
      <c r="K911" t="s">
        <v>890</v>
      </c>
      <c r="L911">
        <v>4</v>
      </c>
      <c r="M911" t="s">
        <v>1750</v>
      </c>
      <c r="N911" t="s">
        <v>726</v>
      </c>
      <c r="O911">
        <v>0</v>
      </c>
    </row>
    <row r="912" spans="1:15" x14ac:dyDescent="0.3">
      <c r="A912" t="s">
        <v>1216</v>
      </c>
      <c r="B912">
        <v>934</v>
      </c>
      <c r="C912">
        <v>436797318</v>
      </c>
      <c r="D912">
        <v>519</v>
      </c>
      <c r="E912">
        <v>1967</v>
      </c>
      <c r="F912">
        <v>1</v>
      </c>
      <c r="G912">
        <v>62.705372826287203</v>
      </c>
      <c r="H912">
        <v>4</v>
      </c>
      <c r="K912" t="s">
        <v>890</v>
      </c>
      <c r="L912">
        <v>4</v>
      </c>
      <c r="M912" t="s">
        <v>1751</v>
      </c>
      <c r="N912" t="s">
        <v>726</v>
      </c>
      <c r="O912">
        <v>0</v>
      </c>
    </row>
    <row r="913" spans="1:15" x14ac:dyDescent="0.3">
      <c r="A913" t="s">
        <v>1216</v>
      </c>
      <c r="B913">
        <v>935</v>
      </c>
      <c r="C913">
        <v>436797320</v>
      </c>
      <c r="D913">
        <v>521</v>
      </c>
      <c r="E913">
        <v>1967</v>
      </c>
      <c r="F913">
        <v>1</v>
      </c>
      <c r="G913">
        <v>44.717003959163399</v>
      </c>
      <c r="H913">
        <v>3</v>
      </c>
      <c r="K913" t="s">
        <v>890</v>
      </c>
      <c r="L913">
        <v>4</v>
      </c>
      <c r="M913" t="s">
        <v>1752</v>
      </c>
      <c r="N913" t="s">
        <v>726</v>
      </c>
      <c r="O913">
        <v>0</v>
      </c>
    </row>
    <row r="914" spans="1:15" x14ac:dyDescent="0.3">
      <c r="A914" t="s">
        <v>1216</v>
      </c>
      <c r="B914">
        <v>936</v>
      </c>
      <c r="C914">
        <v>436797322</v>
      </c>
      <c r="D914">
        <v>298</v>
      </c>
      <c r="E914">
        <v>519</v>
      </c>
      <c r="F914">
        <v>1</v>
      </c>
      <c r="G914">
        <v>237.24794947850401</v>
      </c>
      <c r="H914">
        <v>2</v>
      </c>
      <c r="K914" t="s">
        <v>890</v>
      </c>
      <c r="L914">
        <v>4</v>
      </c>
      <c r="M914" t="s">
        <v>1753</v>
      </c>
      <c r="N914" t="s">
        <v>726</v>
      </c>
      <c r="O914">
        <v>0</v>
      </c>
    </row>
    <row r="915" spans="1:15" x14ac:dyDescent="0.3">
      <c r="A915" t="s">
        <v>1216</v>
      </c>
      <c r="B915">
        <v>937</v>
      </c>
      <c r="C915">
        <v>436797323</v>
      </c>
      <c r="D915">
        <v>517</v>
      </c>
      <c r="E915">
        <v>518</v>
      </c>
      <c r="F915">
        <v>1</v>
      </c>
      <c r="G915">
        <v>22.7538239224452</v>
      </c>
      <c r="H915">
        <v>3</v>
      </c>
      <c r="I915">
        <v>40</v>
      </c>
      <c r="K915" t="s">
        <v>890</v>
      </c>
      <c r="L915">
        <v>4</v>
      </c>
      <c r="M915" t="s">
        <v>1754</v>
      </c>
      <c r="N915" t="s">
        <v>726</v>
      </c>
      <c r="O915">
        <v>0</v>
      </c>
    </row>
    <row r="916" spans="1:15" x14ac:dyDescent="0.3">
      <c r="A916" t="s">
        <v>1216</v>
      </c>
      <c r="B916">
        <v>938</v>
      </c>
      <c r="C916">
        <v>436797325</v>
      </c>
      <c r="D916">
        <v>518</v>
      </c>
      <c r="E916">
        <v>1946</v>
      </c>
      <c r="F916">
        <v>1</v>
      </c>
      <c r="G916">
        <v>58.982409075228098</v>
      </c>
      <c r="H916">
        <v>5</v>
      </c>
      <c r="I916">
        <v>40</v>
      </c>
      <c r="K916" t="s">
        <v>890</v>
      </c>
      <c r="L916">
        <v>4</v>
      </c>
      <c r="M916" t="s">
        <v>1755</v>
      </c>
      <c r="N916" t="s">
        <v>726</v>
      </c>
      <c r="O916">
        <v>0</v>
      </c>
    </row>
    <row r="917" spans="1:15" x14ac:dyDescent="0.3">
      <c r="A917" t="s">
        <v>1216</v>
      </c>
      <c r="B917">
        <v>939</v>
      </c>
      <c r="C917">
        <v>436797605</v>
      </c>
      <c r="D917">
        <v>802</v>
      </c>
      <c r="E917">
        <v>329</v>
      </c>
      <c r="F917">
        <v>1</v>
      </c>
      <c r="G917">
        <v>64.450462303925605</v>
      </c>
      <c r="H917">
        <v>2</v>
      </c>
      <c r="K917" t="s">
        <v>890</v>
      </c>
      <c r="L917">
        <v>4</v>
      </c>
      <c r="M917" t="s">
        <v>1756</v>
      </c>
      <c r="N917" t="s">
        <v>726</v>
      </c>
      <c r="O917">
        <v>0</v>
      </c>
    </row>
    <row r="918" spans="1:15" x14ac:dyDescent="0.3">
      <c r="A918" t="s">
        <v>1216</v>
      </c>
      <c r="B918">
        <v>940</v>
      </c>
      <c r="C918">
        <v>436797606</v>
      </c>
      <c r="D918">
        <v>324</v>
      </c>
      <c r="E918">
        <v>322</v>
      </c>
      <c r="F918">
        <v>1</v>
      </c>
      <c r="G918">
        <v>437.32795527027702</v>
      </c>
      <c r="H918">
        <v>2</v>
      </c>
      <c r="K918" t="s">
        <v>890</v>
      </c>
      <c r="L918">
        <v>4</v>
      </c>
      <c r="M918" t="s">
        <v>1757</v>
      </c>
      <c r="N918" t="s">
        <v>726</v>
      </c>
      <c r="O918">
        <v>0</v>
      </c>
    </row>
    <row r="919" spans="1:15" x14ac:dyDescent="0.3">
      <c r="A919" t="s">
        <v>1216</v>
      </c>
      <c r="B919">
        <v>941</v>
      </c>
      <c r="C919">
        <v>436797606</v>
      </c>
      <c r="D919">
        <v>322</v>
      </c>
      <c r="E919">
        <v>521</v>
      </c>
      <c r="F919">
        <v>1</v>
      </c>
      <c r="G919">
        <v>9.0051840115760502</v>
      </c>
      <c r="H919">
        <v>2</v>
      </c>
      <c r="K919" t="s">
        <v>890</v>
      </c>
      <c r="L919">
        <v>4</v>
      </c>
      <c r="M919" t="s">
        <v>1758</v>
      </c>
      <c r="N919" t="s">
        <v>726</v>
      </c>
      <c r="O919">
        <v>0</v>
      </c>
    </row>
    <row r="920" spans="1:15" x14ac:dyDescent="0.3">
      <c r="A920" t="s">
        <v>1216</v>
      </c>
      <c r="B920">
        <v>942</v>
      </c>
      <c r="C920">
        <v>436797607</v>
      </c>
      <c r="D920">
        <v>329</v>
      </c>
      <c r="E920">
        <v>522</v>
      </c>
      <c r="F920">
        <v>1</v>
      </c>
      <c r="G920">
        <v>12.192951111345</v>
      </c>
      <c r="H920">
        <v>5</v>
      </c>
      <c r="K920" t="s">
        <v>890</v>
      </c>
      <c r="L920">
        <v>4</v>
      </c>
      <c r="M920" t="s">
        <v>1759</v>
      </c>
      <c r="N920" t="s">
        <v>726</v>
      </c>
      <c r="O920">
        <v>0</v>
      </c>
    </row>
    <row r="921" spans="1:15" x14ac:dyDescent="0.3">
      <c r="A921" t="s">
        <v>1216</v>
      </c>
      <c r="B921">
        <v>943</v>
      </c>
      <c r="C921">
        <v>436797609</v>
      </c>
      <c r="D921">
        <v>522</v>
      </c>
      <c r="E921">
        <v>1946</v>
      </c>
      <c r="F921">
        <v>1</v>
      </c>
      <c r="G921">
        <v>71.329200722987096</v>
      </c>
      <c r="H921">
        <v>5</v>
      </c>
      <c r="K921" t="s">
        <v>890</v>
      </c>
      <c r="L921">
        <v>4</v>
      </c>
      <c r="M921" t="s">
        <v>1760</v>
      </c>
      <c r="N921" t="s">
        <v>726</v>
      </c>
      <c r="O921">
        <v>0</v>
      </c>
    </row>
    <row r="922" spans="1:15" x14ac:dyDescent="0.3">
      <c r="A922" t="s">
        <v>988</v>
      </c>
      <c r="B922">
        <v>944</v>
      </c>
      <c r="C922">
        <v>436929551</v>
      </c>
      <c r="D922">
        <v>273</v>
      </c>
      <c r="E922">
        <v>681</v>
      </c>
      <c r="F922">
        <v>1</v>
      </c>
      <c r="G922">
        <v>35.4771264864766</v>
      </c>
      <c r="H922">
        <v>3</v>
      </c>
      <c r="I922">
        <v>45</v>
      </c>
      <c r="K922" t="s">
        <v>890</v>
      </c>
      <c r="L922">
        <v>4</v>
      </c>
      <c r="M922" t="s">
        <v>1761</v>
      </c>
      <c r="N922" t="s">
        <v>726</v>
      </c>
      <c r="O922">
        <v>0</v>
      </c>
    </row>
    <row r="923" spans="1:15" x14ac:dyDescent="0.3">
      <c r="A923" t="s">
        <v>988</v>
      </c>
      <c r="B923">
        <v>945</v>
      </c>
      <c r="C923">
        <v>436929551</v>
      </c>
      <c r="D923">
        <v>681</v>
      </c>
      <c r="E923">
        <v>803</v>
      </c>
      <c r="F923">
        <v>1</v>
      </c>
      <c r="G923">
        <v>97.743091392025093</v>
      </c>
      <c r="H923">
        <v>3</v>
      </c>
      <c r="I923">
        <v>45</v>
      </c>
      <c r="K923" t="s">
        <v>890</v>
      </c>
      <c r="L923">
        <v>4</v>
      </c>
      <c r="M923" t="s">
        <v>1762</v>
      </c>
      <c r="N923" t="s">
        <v>726</v>
      </c>
      <c r="O923">
        <v>0</v>
      </c>
    </row>
    <row r="924" spans="1:15" x14ac:dyDescent="0.3">
      <c r="A924" t="s">
        <v>988</v>
      </c>
      <c r="B924">
        <v>946</v>
      </c>
      <c r="C924">
        <v>436940270</v>
      </c>
      <c r="D924">
        <v>412</v>
      </c>
      <c r="E924">
        <v>693</v>
      </c>
      <c r="F924">
        <v>1</v>
      </c>
      <c r="G924">
        <v>56.105284124130598</v>
      </c>
      <c r="H924">
        <v>3</v>
      </c>
      <c r="K924" t="s">
        <v>890</v>
      </c>
      <c r="L924">
        <v>4</v>
      </c>
      <c r="M924" t="s">
        <v>1763</v>
      </c>
      <c r="N924" t="s">
        <v>726</v>
      </c>
      <c r="O924">
        <v>1</v>
      </c>
    </row>
    <row r="925" spans="1:15" x14ac:dyDescent="0.3">
      <c r="A925" t="s">
        <v>988</v>
      </c>
      <c r="B925">
        <v>947</v>
      </c>
      <c r="C925">
        <v>436940270</v>
      </c>
      <c r="D925">
        <v>693</v>
      </c>
      <c r="E925">
        <v>412</v>
      </c>
      <c r="F925">
        <v>1</v>
      </c>
      <c r="G925">
        <v>56.105284124130598</v>
      </c>
      <c r="H925">
        <v>4</v>
      </c>
      <c r="K925" t="s">
        <v>890</v>
      </c>
      <c r="L925">
        <v>4</v>
      </c>
      <c r="M925" t="s">
        <v>1764</v>
      </c>
      <c r="N925" t="s">
        <v>726</v>
      </c>
      <c r="O925">
        <v>1</v>
      </c>
    </row>
    <row r="926" spans="1:15" x14ac:dyDescent="0.3">
      <c r="A926" t="s">
        <v>988</v>
      </c>
      <c r="B926">
        <v>948</v>
      </c>
      <c r="C926">
        <v>436940271</v>
      </c>
      <c r="D926">
        <v>161</v>
      </c>
      <c r="E926">
        <v>527</v>
      </c>
      <c r="F926">
        <v>1</v>
      </c>
      <c r="G926">
        <v>45.254510531040403</v>
      </c>
      <c r="H926">
        <v>2</v>
      </c>
      <c r="K926" t="s">
        <v>890</v>
      </c>
      <c r="L926">
        <v>4</v>
      </c>
      <c r="M926" t="s">
        <v>1765</v>
      </c>
      <c r="N926" t="s">
        <v>726</v>
      </c>
      <c r="O926">
        <v>1</v>
      </c>
    </row>
    <row r="927" spans="1:15" x14ac:dyDescent="0.3">
      <c r="A927" t="s">
        <v>988</v>
      </c>
      <c r="B927">
        <v>949</v>
      </c>
      <c r="C927">
        <v>436940271</v>
      </c>
      <c r="D927">
        <v>527</v>
      </c>
      <c r="E927">
        <v>161</v>
      </c>
      <c r="F927">
        <v>1</v>
      </c>
      <c r="G927">
        <v>45.254510531040403</v>
      </c>
      <c r="H927">
        <v>3</v>
      </c>
      <c r="K927" t="s">
        <v>890</v>
      </c>
      <c r="L927">
        <v>4</v>
      </c>
      <c r="M927" t="s">
        <v>1766</v>
      </c>
      <c r="N927" t="s">
        <v>726</v>
      </c>
      <c r="O927">
        <v>1</v>
      </c>
    </row>
    <row r="928" spans="1:15" x14ac:dyDescent="0.3">
      <c r="A928" t="s">
        <v>988</v>
      </c>
      <c r="B928">
        <v>950</v>
      </c>
      <c r="C928">
        <v>436940272</v>
      </c>
      <c r="D928">
        <v>526</v>
      </c>
      <c r="E928">
        <v>161</v>
      </c>
      <c r="F928">
        <v>1</v>
      </c>
      <c r="G928">
        <v>47.653203775677497</v>
      </c>
      <c r="H928">
        <v>3</v>
      </c>
      <c r="K928" t="s">
        <v>890</v>
      </c>
      <c r="L928">
        <v>4</v>
      </c>
      <c r="M928" t="s">
        <v>1767</v>
      </c>
      <c r="N928" t="s">
        <v>726</v>
      </c>
      <c r="O928">
        <v>1</v>
      </c>
    </row>
    <row r="929" spans="1:15" x14ac:dyDescent="0.3">
      <c r="A929" t="s">
        <v>988</v>
      </c>
      <c r="B929">
        <v>951</v>
      </c>
      <c r="C929">
        <v>436940272</v>
      </c>
      <c r="D929">
        <v>161</v>
      </c>
      <c r="E929">
        <v>526</v>
      </c>
      <c r="F929">
        <v>1</v>
      </c>
      <c r="G929">
        <v>47.653203775677497</v>
      </c>
      <c r="H929">
        <v>2</v>
      </c>
      <c r="K929" t="s">
        <v>890</v>
      </c>
      <c r="L929">
        <v>4</v>
      </c>
      <c r="M929" t="s">
        <v>1768</v>
      </c>
      <c r="N929" t="s">
        <v>726</v>
      </c>
      <c r="O929">
        <v>1</v>
      </c>
    </row>
    <row r="930" spans="1:15" x14ac:dyDescent="0.3">
      <c r="A930" t="s">
        <v>988</v>
      </c>
      <c r="B930">
        <v>952</v>
      </c>
      <c r="C930">
        <v>436940273</v>
      </c>
      <c r="D930">
        <v>525</v>
      </c>
      <c r="E930">
        <v>692</v>
      </c>
      <c r="F930">
        <v>1</v>
      </c>
      <c r="G930">
        <v>40.8462037542606</v>
      </c>
      <c r="H930">
        <v>3</v>
      </c>
      <c r="K930" t="s">
        <v>890</v>
      </c>
      <c r="L930">
        <v>4</v>
      </c>
      <c r="M930" t="s">
        <v>1769</v>
      </c>
      <c r="N930" t="s">
        <v>726</v>
      </c>
      <c r="O930">
        <v>1</v>
      </c>
    </row>
    <row r="931" spans="1:15" x14ac:dyDescent="0.3">
      <c r="A931" t="s">
        <v>988</v>
      </c>
      <c r="B931">
        <v>953</v>
      </c>
      <c r="C931">
        <v>436940273</v>
      </c>
      <c r="D931">
        <v>692</v>
      </c>
      <c r="E931">
        <v>525</v>
      </c>
      <c r="F931">
        <v>1</v>
      </c>
      <c r="G931">
        <v>40.8462037542606</v>
      </c>
      <c r="H931">
        <v>2</v>
      </c>
      <c r="K931" t="s">
        <v>890</v>
      </c>
      <c r="L931">
        <v>4</v>
      </c>
      <c r="M931" t="s">
        <v>1770</v>
      </c>
      <c r="N931" t="s">
        <v>726</v>
      </c>
      <c r="O931">
        <v>1</v>
      </c>
    </row>
    <row r="932" spans="1:15" x14ac:dyDescent="0.3">
      <c r="A932" t="s">
        <v>858</v>
      </c>
      <c r="B932">
        <v>954</v>
      </c>
      <c r="C932">
        <v>436940274</v>
      </c>
      <c r="D932">
        <v>416</v>
      </c>
      <c r="E932">
        <v>523</v>
      </c>
      <c r="F932">
        <v>1</v>
      </c>
      <c r="G932">
        <v>6.7498501929688901</v>
      </c>
      <c r="H932">
        <v>2</v>
      </c>
      <c r="K932" t="s">
        <v>890</v>
      </c>
      <c r="L932">
        <v>4</v>
      </c>
      <c r="M932" t="s">
        <v>1771</v>
      </c>
      <c r="N932" t="s">
        <v>726</v>
      </c>
      <c r="O932">
        <v>0</v>
      </c>
    </row>
    <row r="933" spans="1:15" x14ac:dyDescent="0.3">
      <c r="A933" t="s">
        <v>858</v>
      </c>
      <c r="B933">
        <v>955</v>
      </c>
      <c r="C933">
        <v>436940278</v>
      </c>
      <c r="D933">
        <v>528</v>
      </c>
      <c r="E933">
        <v>115</v>
      </c>
      <c r="F933">
        <v>1</v>
      </c>
      <c r="G933">
        <v>68.980843664957007</v>
      </c>
      <c r="H933">
        <v>4</v>
      </c>
      <c r="I933">
        <v>35</v>
      </c>
      <c r="K933" t="s">
        <v>890</v>
      </c>
      <c r="L933">
        <v>4</v>
      </c>
      <c r="M933" t="s">
        <v>1772</v>
      </c>
      <c r="N933" t="s">
        <v>726</v>
      </c>
      <c r="O933">
        <v>0</v>
      </c>
    </row>
    <row r="934" spans="1:15" x14ac:dyDescent="0.3">
      <c r="A934" t="s">
        <v>983</v>
      </c>
      <c r="B934">
        <v>956</v>
      </c>
      <c r="C934">
        <v>436940284</v>
      </c>
      <c r="D934">
        <v>115</v>
      </c>
      <c r="E934">
        <v>596</v>
      </c>
      <c r="F934">
        <v>1</v>
      </c>
      <c r="G934">
        <v>24.2652541228418</v>
      </c>
      <c r="H934">
        <v>2</v>
      </c>
      <c r="K934" t="s">
        <v>890</v>
      </c>
      <c r="L934">
        <v>4</v>
      </c>
      <c r="M934" t="s">
        <v>1773</v>
      </c>
      <c r="N934" t="s">
        <v>726</v>
      </c>
      <c r="O934">
        <v>1</v>
      </c>
    </row>
    <row r="935" spans="1:15" x14ac:dyDescent="0.3">
      <c r="A935" t="s">
        <v>983</v>
      </c>
      <c r="B935">
        <v>957</v>
      </c>
      <c r="C935">
        <v>436940284</v>
      </c>
      <c r="D935">
        <v>596</v>
      </c>
      <c r="E935">
        <v>115</v>
      </c>
      <c r="F935">
        <v>1</v>
      </c>
      <c r="G935">
        <v>24.2652541228418</v>
      </c>
      <c r="H935">
        <v>5</v>
      </c>
      <c r="K935" t="s">
        <v>890</v>
      </c>
      <c r="L935">
        <v>4</v>
      </c>
      <c r="M935" t="s">
        <v>1774</v>
      </c>
      <c r="N935" t="s">
        <v>726</v>
      </c>
      <c r="O935">
        <v>1</v>
      </c>
    </row>
    <row r="936" spans="1:15" x14ac:dyDescent="0.3">
      <c r="A936" t="s">
        <v>827</v>
      </c>
      <c r="B936">
        <v>958</v>
      </c>
      <c r="C936">
        <v>436942346</v>
      </c>
      <c r="D936">
        <v>215</v>
      </c>
      <c r="E936">
        <v>447</v>
      </c>
      <c r="F936">
        <v>1</v>
      </c>
      <c r="G936">
        <v>120.168810053957</v>
      </c>
      <c r="H936">
        <v>2</v>
      </c>
      <c r="I936">
        <v>35</v>
      </c>
      <c r="K936" t="s">
        <v>724</v>
      </c>
      <c r="L936">
        <v>3</v>
      </c>
      <c r="M936" t="s">
        <v>1775</v>
      </c>
      <c r="N936" t="s">
        <v>726</v>
      </c>
      <c r="O936">
        <v>0</v>
      </c>
    </row>
    <row r="937" spans="1:15" x14ac:dyDescent="0.3">
      <c r="A937" t="s">
        <v>827</v>
      </c>
      <c r="B937">
        <v>959</v>
      </c>
      <c r="C937">
        <v>436942347</v>
      </c>
      <c r="D937">
        <v>532</v>
      </c>
      <c r="E937">
        <v>215</v>
      </c>
      <c r="F937">
        <v>1</v>
      </c>
      <c r="G937">
        <v>92.477587819880199</v>
      </c>
      <c r="H937">
        <v>3</v>
      </c>
      <c r="I937">
        <v>35</v>
      </c>
      <c r="K937" t="s">
        <v>724</v>
      </c>
      <c r="L937">
        <v>3</v>
      </c>
      <c r="M937" t="s">
        <v>1776</v>
      </c>
      <c r="N937" t="s">
        <v>726</v>
      </c>
      <c r="O937">
        <v>0</v>
      </c>
    </row>
    <row r="938" spans="1:15" x14ac:dyDescent="0.3">
      <c r="A938" t="s">
        <v>827</v>
      </c>
      <c r="B938">
        <v>960</v>
      </c>
      <c r="C938">
        <v>436942348</v>
      </c>
      <c r="D938">
        <v>804</v>
      </c>
      <c r="E938">
        <v>531</v>
      </c>
      <c r="F938">
        <v>1</v>
      </c>
      <c r="G938">
        <v>9.3007259723448907</v>
      </c>
      <c r="H938">
        <v>2</v>
      </c>
      <c r="I938">
        <v>35</v>
      </c>
      <c r="K938" t="s">
        <v>724</v>
      </c>
      <c r="L938">
        <v>3</v>
      </c>
      <c r="M938" t="s">
        <v>1777</v>
      </c>
      <c r="N938" t="s">
        <v>726</v>
      </c>
      <c r="O938">
        <v>0</v>
      </c>
    </row>
    <row r="939" spans="1:15" x14ac:dyDescent="0.3">
      <c r="A939" t="s">
        <v>889</v>
      </c>
      <c r="B939">
        <v>961</v>
      </c>
      <c r="C939">
        <v>436942349</v>
      </c>
      <c r="D939">
        <v>211</v>
      </c>
      <c r="E939">
        <v>371</v>
      </c>
      <c r="F939">
        <v>1</v>
      </c>
      <c r="G939">
        <v>80.952902725664799</v>
      </c>
      <c r="H939">
        <v>2</v>
      </c>
      <c r="I939">
        <v>40</v>
      </c>
      <c r="K939" t="s">
        <v>890</v>
      </c>
      <c r="L939">
        <v>4</v>
      </c>
      <c r="M939" t="s">
        <v>1778</v>
      </c>
      <c r="N939" t="s">
        <v>726</v>
      </c>
      <c r="O939">
        <v>1</v>
      </c>
    </row>
    <row r="940" spans="1:15" x14ac:dyDescent="0.3">
      <c r="A940" t="s">
        <v>889</v>
      </c>
      <c r="B940">
        <v>962</v>
      </c>
      <c r="C940">
        <v>436942349</v>
      </c>
      <c r="D940">
        <v>371</v>
      </c>
      <c r="E940">
        <v>211</v>
      </c>
      <c r="F940">
        <v>1</v>
      </c>
      <c r="G940">
        <v>80.952902725664899</v>
      </c>
      <c r="H940">
        <v>5</v>
      </c>
      <c r="I940">
        <v>40</v>
      </c>
      <c r="K940" t="s">
        <v>890</v>
      </c>
      <c r="L940">
        <v>4</v>
      </c>
      <c r="M940" t="s">
        <v>1779</v>
      </c>
      <c r="N940" t="s">
        <v>726</v>
      </c>
      <c r="O940">
        <v>1</v>
      </c>
    </row>
    <row r="941" spans="1:15" x14ac:dyDescent="0.3">
      <c r="A941" t="s">
        <v>1221</v>
      </c>
      <c r="B941">
        <v>963</v>
      </c>
      <c r="C941">
        <v>436942350</v>
      </c>
      <c r="D941">
        <v>1946</v>
      </c>
      <c r="E941">
        <v>550</v>
      </c>
      <c r="F941">
        <v>1</v>
      </c>
      <c r="G941">
        <v>70.408820483895994</v>
      </c>
      <c r="H941">
        <v>3</v>
      </c>
      <c r="I941">
        <v>40</v>
      </c>
      <c r="K941" t="s">
        <v>890</v>
      </c>
      <c r="L941">
        <v>4</v>
      </c>
      <c r="M941" t="s">
        <v>1780</v>
      </c>
      <c r="N941" t="s">
        <v>726</v>
      </c>
      <c r="O941">
        <v>1</v>
      </c>
    </row>
    <row r="942" spans="1:15" x14ac:dyDescent="0.3">
      <c r="A942" t="s">
        <v>1221</v>
      </c>
      <c r="B942">
        <v>964</v>
      </c>
      <c r="C942">
        <v>436942350</v>
      </c>
      <c r="D942">
        <v>550</v>
      </c>
      <c r="E942">
        <v>1946</v>
      </c>
      <c r="F942">
        <v>1</v>
      </c>
      <c r="G942">
        <v>70.408820483895994</v>
      </c>
      <c r="H942">
        <v>3</v>
      </c>
      <c r="I942">
        <v>40</v>
      </c>
      <c r="K942" t="s">
        <v>890</v>
      </c>
      <c r="L942">
        <v>4</v>
      </c>
      <c r="M942" t="s">
        <v>1781</v>
      </c>
      <c r="N942" t="s">
        <v>726</v>
      </c>
      <c r="O942">
        <v>1</v>
      </c>
    </row>
    <row r="943" spans="1:15" x14ac:dyDescent="0.3">
      <c r="A943" t="s">
        <v>1221</v>
      </c>
      <c r="B943">
        <v>965</v>
      </c>
      <c r="C943">
        <v>436942351</v>
      </c>
      <c r="D943">
        <v>90</v>
      </c>
      <c r="E943">
        <v>536</v>
      </c>
      <c r="F943">
        <v>1</v>
      </c>
      <c r="G943">
        <v>30.580233683485702</v>
      </c>
      <c r="H943">
        <v>3</v>
      </c>
      <c r="I943">
        <v>40</v>
      </c>
      <c r="K943" t="s">
        <v>890</v>
      </c>
      <c r="L943">
        <v>4</v>
      </c>
      <c r="M943" t="s">
        <v>1782</v>
      </c>
      <c r="N943" t="s">
        <v>726</v>
      </c>
      <c r="O943">
        <v>1</v>
      </c>
    </row>
    <row r="944" spans="1:15" x14ac:dyDescent="0.3">
      <c r="A944" t="s">
        <v>1221</v>
      </c>
      <c r="B944">
        <v>966</v>
      </c>
      <c r="C944">
        <v>436942351</v>
      </c>
      <c r="D944">
        <v>536</v>
      </c>
      <c r="E944">
        <v>90</v>
      </c>
      <c r="F944">
        <v>1</v>
      </c>
      <c r="G944">
        <v>30.580233683485702</v>
      </c>
      <c r="H944">
        <v>3</v>
      </c>
      <c r="I944">
        <v>40</v>
      </c>
      <c r="K944" t="s">
        <v>890</v>
      </c>
      <c r="L944">
        <v>4</v>
      </c>
      <c r="M944" t="s">
        <v>1783</v>
      </c>
      <c r="N944" t="s">
        <v>726</v>
      </c>
      <c r="O944">
        <v>1</v>
      </c>
    </row>
    <row r="945" spans="1:15" x14ac:dyDescent="0.3">
      <c r="A945" t="s">
        <v>1221</v>
      </c>
      <c r="B945">
        <v>969</v>
      </c>
      <c r="C945">
        <v>436942353</v>
      </c>
      <c r="D945">
        <v>539</v>
      </c>
      <c r="E945">
        <v>90</v>
      </c>
      <c r="F945">
        <v>1</v>
      </c>
      <c r="G945">
        <v>32.657951790205203</v>
      </c>
      <c r="H945">
        <v>4</v>
      </c>
      <c r="I945">
        <v>40</v>
      </c>
      <c r="K945" t="s">
        <v>890</v>
      </c>
      <c r="L945">
        <v>4</v>
      </c>
      <c r="M945" t="s">
        <v>1784</v>
      </c>
      <c r="N945" t="s">
        <v>726</v>
      </c>
      <c r="O945">
        <v>1</v>
      </c>
    </row>
    <row r="946" spans="1:15" x14ac:dyDescent="0.3">
      <c r="A946" t="s">
        <v>1221</v>
      </c>
      <c r="B946">
        <v>970</v>
      </c>
      <c r="C946">
        <v>436942353</v>
      </c>
      <c r="D946">
        <v>90</v>
      </c>
      <c r="E946">
        <v>539</v>
      </c>
      <c r="F946">
        <v>1</v>
      </c>
      <c r="G946">
        <v>32.657951790205203</v>
      </c>
      <c r="H946">
        <v>2</v>
      </c>
      <c r="I946">
        <v>40</v>
      </c>
      <c r="K946" t="s">
        <v>890</v>
      </c>
      <c r="L946">
        <v>4</v>
      </c>
      <c r="M946" t="s">
        <v>1785</v>
      </c>
      <c r="N946" t="s">
        <v>726</v>
      </c>
      <c r="O946">
        <v>1</v>
      </c>
    </row>
    <row r="947" spans="1:15" x14ac:dyDescent="0.3">
      <c r="A947" t="s">
        <v>1221</v>
      </c>
      <c r="B947">
        <v>971</v>
      </c>
      <c r="C947">
        <v>436942354</v>
      </c>
      <c r="D947">
        <v>372</v>
      </c>
      <c r="E947">
        <v>545</v>
      </c>
      <c r="F947">
        <v>1</v>
      </c>
      <c r="G947">
        <v>24.141205308782101</v>
      </c>
      <c r="H947">
        <v>3</v>
      </c>
      <c r="I947">
        <v>40</v>
      </c>
      <c r="K947" t="s">
        <v>890</v>
      </c>
      <c r="L947">
        <v>4</v>
      </c>
      <c r="M947" t="s">
        <v>1786</v>
      </c>
      <c r="N947" t="s">
        <v>726</v>
      </c>
      <c r="O947">
        <v>0</v>
      </c>
    </row>
    <row r="948" spans="1:15" x14ac:dyDescent="0.3">
      <c r="A948" t="s">
        <v>1221</v>
      </c>
      <c r="B948">
        <v>972</v>
      </c>
      <c r="C948">
        <v>436942355</v>
      </c>
      <c r="D948">
        <v>550</v>
      </c>
      <c r="E948">
        <v>86</v>
      </c>
      <c r="F948">
        <v>1</v>
      </c>
      <c r="G948">
        <v>128.888520014515</v>
      </c>
      <c r="H948">
        <v>3</v>
      </c>
      <c r="I948">
        <v>40</v>
      </c>
      <c r="K948" t="s">
        <v>890</v>
      </c>
      <c r="L948">
        <v>4</v>
      </c>
      <c r="M948" t="s">
        <v>1787</v>
      </c>
      <c r="N948" t="s">
        <v>726</v>
      </c>
      <c r="O948">
        <v>1</v>
      </c>
    </row>
    <row r="949" spans="1:15" x14ac:dyDescent="0.3">
      <c r="A949" t="s">
        <v>1221</v>
      </c>
      <c r="B949">
        <v>973</v>
      </c>
      <c r="C949">
        <v>436942355</v>
      </c>
      <c r="D949">
        <v>86</v>
      </c>
      <c r="E949">
        <v>550</v>
      </c>
      <c r="F949">
        <v>1</v>
      </c>
      <c r="G949">
        <v>128.888520014515</v>
      </c>
      <c r="H949">
        <v>2</v>
      </c>
      <c r="I949">
        <v>40</v>
      </c>
      <c r="K949" t="s">
        <v>890</v>
      </c>
      <c r="L949">
        <v>4</v>
      </c>
      <c r="M949" t="s">
        <v>1788</v>
      </c>
      <c r="N949" t="s">
        <v>726</v>
      </c>
      <c r="O949">
        <v>1</v>
      </c>
    </row>
    <row r="950" spans="1:15" x14ac:dyDescent="0.3">
      <c r="A950" t="s">
        <v>1221</v>
      </c>
      <c r="B950">
        <v>974</v>
      </c>
      <c r="C950">
        <v>436942355</v>
      </c>
      <c r="D950">
        <v>86</v>
      </c>
      <c r="E950">
        <v>547</v>
      </c>
      <c r="F950">
        <v>1</v>
      </c>
      <c r="G950">
        <v>504.38586456622198</v>
      </c>
      <c r="H950">
        <v>3</v>
      </c>
      <c r="I950">
        <v>40</v>
      </c>
      <c r="K950" t="s">
        <v>890</v>
      </c>
      <c r="L950">
        <v>4</v>
      </c>
      <c r="M950" t="s">
        <v>1789</v>
      </c>
      <c r="N950" t="s">
        <v>726</v>
      </c>
      <c r="O950">
        <v>1</v>
      </c>
    </row>
    <row r="951" spans="1:15" x14ac:dyDescent="0.3">
      <c r="A951" t="s">
        <v>1221</v>
      </c>
      <c r="B951">
        <v>975</v>
      </c>
      <c r="C951">
        <v>436942355</v>
      </c>
      <c r="D951">
        <v>547</v>
      </c>
      <c r="E951">
        <v>86</v>
      </c>
      <c r="F951">
        <v>1</v>
      </c>
      <c r="G951">
        <v>504.38586456622198</v>
      </c>
      <c r="H951">
        <v>2</v>
      </c>
      <c r="I951">
        <v>40</v>
      </c>
      <c r="K951" t="s">
        <v>890</v>
      </c>
      <c r="L951">
        <v>4</v>
      </c>
      <c r="M951" t="s">
        <v>1790</v>
      </c>
      <c r="N951" t="s">
        <v>726</v>
      </c>
      <c r="O951">
        <v>1</v>
      </c>
    </row>
    <row r="952" spans="1:15" x14ac:dyDescent="0.3">
      <c r="A952" t="s">
        <v>1221</v>
      </c>
      <c r="B952">
        <v>976</v>
      </c>
      <c r="C952">
        <v>436942356</v>
      </c>
      <c r="D952">
        <v>344</v>
      </c>
      <c r="E952">
        <v>530</v>
      </c>
      <c r="F952">
        <v>1</v>
      </c>
      <c r="G952">
        <v>55.497730744526301</v>
      </c>
      <c r="H952">
        <v>3</v>
      </c>
      <c r="I952">
        <v>40</v>
      </c>
      <c r="K952" t="s">
        <v>890</v>
      </c>
      <c r="L952">
        <v>4</v>
      </c>
      <c r="M952" t="s">
        <v>1791</v>
      </c>
      <c r="N952" t="s">
        <v>726</v>
      </c>
      <c r="O952">
        <v>1</v>
      </c>
    </row>
    <row r="953" spans="1:15" x14ac:dyDescent="0.3">
      <c r="A953" t="s">
        <v>1221</v>
      </c>
      <c r="B953">
        <v>977</v>
      </c>
      <c r="C953">
        <v>436942356</v>
      </c>
      <c r="D953">
        <v>530</v>
      </c>
      <c r="E953">
        <v>344</v>
      </c>
      <c r="F953">
        <v>1</v>
      </c>
      <c r="G953">
        <v>55.497730744526301</v>
      </c>
      <c r="H953">
        <v>4</v>
      </c>
      <c r="I953">
        <v>40</v>
      </c>
      <c r="K953" t="s">
        <v>890</v>
      </c>
      <c r="L953">
        <v>4</v>
      </c>
      <c r="M953" t="s">
        <v>1792</v>
      </c>
      <c r="N953" t="s">
        <v>726</v>
      </c>
      <c r="O953">
        <v>1</v>
      </c>
    </row>
    <row r="954" spans="1:15" x14ac:dyDescent="0.3">
      <c r="A954" t="s">
        <v>1221</v>
      </c>
      <c r="B954">
        <v>978</v>
      </c>
      <c r="C954">
        <v>436942357</v>
      </c>
      <c r="D954">
        <v>545</v>
      </c>
      <c r="E954">
        <v>345</v>
      </c>
      <c r="F954">
        <v>1</v>
      </c>
      <c r="G954">
        <v>42.841418872194303</v>
      </c>
      <c r="H954">
        <v>5</v>
      </c>
      <c r="I954">
        <v>40</v>
      </c>
      <c r="K954" t="s">
        <v>890</v>
      </c>
      <c r="L954">
        <v>4</v>
      </c>
      <c r="M954" t="s">
        <v>1793</v>
      </c>
      <c r="N954" t="s">
        <v>726</v>
      </c>
      <c r="O954">
        <v>0</v>
      </c>
    </row>
    <row r="955" spans="1:15" x14ac:dyDescent="0.3">
      <c r="A955" t="s">
        <v>1221</v>
      </c>
      <c r="B955">
        <v>979</v>
      </c>
      <c r="C955">
        <v>436942358</v>
      </c>
      <c r="D955">
        <v>88</v>
      </c>
      <c r="E955">
        <v>53</v>
      </c>
      <c r="F955">
        <v>1</v>
      </c>
      <c r="G955">
        <v>58.6796245317489</v>
      </c>
      <c r="H955">
        <v>3</v>
      </c>
      <c r="I955">
        <v>40</v>
      </c>
      <c r="K955" t="s">
        <v>890</v>
      </c>
      <c r="L955">
        <v>4</v>
      </c>
      <c r="M955" t="s">
        <v>1794</v>
      </c>
      <c r="N955" t="s">
        <v>726</v>
      </c>
      <c r="O955">
        <v>1</v>
      </c>
    </row>
    <row r="956" spans="1:15" x14ac:dyDescent="0.3">
      <c r="A956" t="s">
        <v>1221</v>
      </c>
      <c r="B956">
        <v>980</v>
      </c>
      <c r="C956">
        <v>436942358</v>
      </c>
      <c r="D956">
        <v>53</v>
      </c>
      <c r="E956">
        <v>88</v>
      </c>
      <c r="F956">
        <v>1</v>
      </c>
      <c r="G956">
        <v>58.6796245317489</v>
      </c>
      <c r="H956">
        <v>2</v>
      </c>
      <c r="I956">
        <v>40</v>
      </c>
      <c r="K956" t="s">
        <v>890</v>
      </c>
      <c r="L956">
        <v>4</v>
      </c>
      <c r="M956" t="s">
        <v>1795</v>
      </c>
      <c r="N956" t="s">
        <v>726</v>
      </c>
      <c r="O956">
        <v>1</v>
      </c>
    </row>
    <row r="957" spans="1:15" x14ac:dyDescent="0.3">
      <c r="A957" t="s">
        <v>1221</v>
      </c>
      <c r="B957">
        <v>981</v>
      </c>
      <c r="C957">
        <v>436942358</v>
      </c>
      <c r="D957">
        <v>53</v>
      </c>
      <c r="E957">
        <v>89</v>
      </c>
      <c r="F957">
        <v>1</v>
      </c>
      <c r="G957">
        <v>89.922257487401296</v>
      </c>
      <c r="H957">
        <v>3</v>
      </c>
      <c r="I957">
        <v>40</v>
      </c>
      <c r="K957" t="s">
        <v>890</v>
      </c>
      <c r="L957">
        <v>4</v>
      </c>
      <c r="M957" t="s">
        <v>1796</v>
      </c>
      <c r="N957" t="s">
        <v>726</v>
      </c>
      <c r="O957">
        <v>1</v>
      </c>
    </row>
    <row r="958" spans="1:15" x14ac:dyDescent="0.3">
      <c r="A958" t="s">
        <v>1221</v>
      </c>
      <c r="B958">
        <v>982</v>
      </c>
      <c r="C958">
        <v>436942358</v>
      </c>
      <c r="D958">
        <v>89</v>
      </c>
      <c r="E958">
        <v>53</v>
      </c>
      <c r="F958">
        <v>1</v>
      </c>
      <c r="G958">
        <v>89.922257487401296</v>
      </c>
      <c r="H958">
        <v>2</v>
      </c>
      <c r="I958">
        <v>40</v>
      </c>
      <c r="K958" t="s">
        <v>890</v>
      </c>
      <c r="L958">
        <v>4</v>
      </c>
      <c r="M958" t="s">
        <v>1797</v>
      </c>
      <c r="N958" t="s">
        <v>726</v>
      </c>
      <c r="O958">
        <v>1</v>
      </c>
    </row>
    <row r="959" spans="1:15" x14ac:dyDescent="0.3">
      <c r="A959" t="s">
        <v>1221</v>
      </c>
      <c r="B959">
        <v>983</v>
      </c>
      <c r="C959">
        <v>436942358</v>
      </c>
      <c r="D959">
        <v>89</v>
      </c>
      <c r="E959">
        <v>539</v>
      </c>
      <c r="F959">
        <v>1</v>
      </c>
      <c r="G959">
        <v>46.312747032292599</v>
      </c>
      <c r="H959">
        <v>3</v>
      </c>
      <c r="I959">
        <v>40</v>
      </c>
      <c r="K959" t="s">
        <v>890</v>
      </c>
      <c r="L959">
        <v>4</v>
      </c>
      <c r="M959" t="s">
        <v>1798</v>
      </c>
      <c r="N959" t="s">
        <v>726</v>
      </c>
      <c r="O959">
        <v>1</v>
      </c>
    </row>
    <row r="960" spans="1:15" x14ac:dyDescent="0.3">
      <c r="A960" t="s">
        <v>1221</v>
      </c>
      <c r="B960">
        <v>984</v>
      </c>
      <c r="C960">
        <v>436942358</v>
      </c>
      <c r="D960">
        <v>539</v>
      </c>
      <c r="E960">
        <v>89</v>
      </c>
      <c r="F960">
        <v>1</v>
      </c>
      <c r="G960">
        <v>46.312747032292599</v>
      </c>
      <c r="H960">
        <v>2</v>
      </c>
      <c r="I960">
        <v>40</v>
      </c>
      <c r="K960" t="s">
        <v>890</v>
      </c>
      <c r="L960">
        <v>4</v>
      </c>
      <c r="M960" t="s">
        <v>1799</v>
      </c>
      <c r="N960" t="s">
        <v>726</v>
      </c>
      <c r="O960">
        <v>1</v>
      </c>
    </row>
    <row r="961" spans="1:15" x14ac:dyDescent="0.3">
      <c r="A961" t="s">
        <v>1221</v>
      </c>
      <c r="B961">
        <v>985</v>
      </c>
      <c r="C961">
        <v>436942359</v>
      </c>
      <c r="D961">
        <v>385</v>
      </c>
      <c r="E961">
        <v>344</v>
      </c>
      <c r="F961">
        <v>1</v>
      </c>
      <c r="G961">
        <v>23.729063009423601</v>
      </c>
      <c r="H961">
        <v>3</v>
      </c>
      <c r="I961">
        <v>40</v>
      </c>
      <c r="K961" t="s">
        <v>890</v>
      </c>
      <c r="L961">
        <v>4</v>
      </c>
      <c r="M961" t="s">
        <v>1800</v>
      </c>
      <c r="N961" t="s">
        <v>726</v>
      </c>
      <c r="O961">
        <v>1</v>
      </c>
    </row>
    <row r="962" spans="1:15" x14ac:dyDescent="0.3">
      <c r="A962" t="s">
        <v>1221</v>
      </c>
      <c r="B962">
        <v>986</v>
      </c>
      <c r="C962">
        <v>436942359</v>
      </c>
      <c r="D962">
        <v>344</v>
      </c>
      <c r="E962">
        <v>385</v>
      </c>
      <c r="F962">
        <v>1</v>
      </c>
      <c r="G962">
        <v>23.729063009423601</v>
      </c>
      <c r="H962">
        <v>3</v>
      </c>
      <c r="I962">
        <v>40</v>
      </c>
      <c r="K962" t="s">
        <v>890</v>
      </c>
      <c r="L962">
        <v>4</v>
      </c>
      <c r="M962" t="s">
        <v>1801</v>
      </c>
      <c r="N962" t="s">
        <v>726</v>
      </c>
      <c r="O962">
        <v>1</v>
      </c>
    </row>
    <row r="963" spans="1:15" x14ac:dyDescent="0.3">
      <c r="A963" t="s">
        <v>1221</v>
      </c>
      <c r="B963">
        <v>987</v>
      </c>
      <c r="C963">
        <v>436942360</v>
      </c>
      <c r="D963">
        <v>552</v>
      </c>
      <c r="E963">
        <v>1946</v>
      </c>
      <c r="F963">
        <v>1</v>
      </c>
      <c r="G963">
        <v>100.625239048062</v>
      </c>
      <c r="H963">
        <v>5</v>
      </c>
      <c r="I963">
        <v>45</v>
      </c>
      <c r="K963" t="s">
        <v>890</v>
      </c>
      <c r="L963">
        <v>4</v>
      </c>
      <c r="M963" t="s">
        <v>1802</v>
      </c>
      <c r="N963" t="s">
        <v>726</v>
      </c>
      <c r="O963">
        <v>1</v>
      </c>
    </row>
    <row r="964" spans="1:15" x14ac:dyDescent="0.3">
      <c r="A964" t="s">
        <v>1221</v>
      </c>
      <c r="B964">
        <v>988</v>
      </c>
      <c r="C964">
        <v>436942360</v>
      </c>
      <c r="D964">
        <v>1946</v>
      </c>
      <c r="E964">
        <v>552</v>
      </c>
      <c r="F964">
        <v>1</v>
      </c>
      <c r="G964">
        <v>100.625239048062</v>
      </c>
      <c r="H964">
        <v>2</v>
      </c>
      <c r="I964">
        <v>45</v>
      </c>
      <c r="K964" t="s">
        <v>890</v>
      </c>
      <c r="L964">
        <v>4</v>
      </c>
      <c r="M964" t="s">
        <v>1803</v>
      </c>
      <c r="N964" t="s">
        <v>726</v>
      </c>
      <c r="O964">
        <v>1</v>
      </c>
    </row>
    <row r="965" spans="1:15" x14ac:dyDescent="0.3">
      <c r="A965" t="s">
        <v>1221</v>
      </c>
      <c r="B965">
        <v>989</v>
      </c>
      <c r="C965">
        <v>436942361</v>
      </c>
      <c r="D965">
        <v>536</v>
      </c>
      <c r="E965">
        <v>91</v>
      </c>
      <c r="F965">
        <v>1</v>
      </c>
      <c r="G965">
        <v>40.565965867927702</v>
      </c>
      <c r="H965">
        <v>3</v>
      </c>
      <c r="I965">
        <v>40</v>
      </c>
      <c r="K965" t="s">
        <v>890</v>
      </c>
      <c r="L965">
        <v>4</v>
      </c>
      <c r="M965" t="s">
        <v>1804</v>
      </c>
      <c r="N965" t="s">
        <v>726</v>
      </c>
      <c r="O965">
        <v>1</v>
      </c>
    </row>
    <row r="966" spans="1:15" x14ac:dyDescent="0.3">
      <c r="A966" t="s">
        <v>1221</v>
      </c>
      <c r="B966">
        <v>990</v>
      </c>
      <c r="C966">
        <v>436942361</v>
      </c>
      <c r="D966">
        <v>91</v>
      </c>
      <c r="E966">
        <v>536</v>
      </c>
      <c r="F966">
        <v>1</v>
      </c>
      <c r="G966">
        <v>40.565965867927702</v>
      </c>
      <c r="H966">
        <v>2</v>
      </c>
      <c r="I966">
        <v>40</v>
      </c>
      <c r="K966" t="s">
        <v>890</v>
      </c>
      <c r="L966">
        <v>4</v>
      </c>
      <c r="M966" t="s">
        <v>1805</v>
      </c>
      <c r="N966" t="s">
        <v>726</v>
      </c>
      <c r="O966">
        <v>1</v>
      </c>
    </row>
    <row r="967" spans="1:15" x14ac:dyDescent="0.3">
      <c r="A967" t="s">
        <v>1221</v>
      </c>
      <c r="B967">
        <v>991</v>
      </c>
      <c r="C967">
        <v>436942361</v>
      </c>
      <c r="D967">
        <v>91</v>
      </c>
      <c r="E967">
        <v>687</v>
      </c>
      <c r="F967">
        <v>1</v>
      </c>
      <c r="G967">
        <v>43.978597313552598</v>
      </c>
      <c r="H967">
        <v>3</v>
      </c>
      <c r="I967">
        <v>40</v>
      </c>
      <c r="K967" t="s">
        <v>890</v>
      </c>
      <c r="L967">
        <v>4</v>
      </c>
      <c r="M967" t="s">
        <v>1806</v>
      </c>
      <c r="N967" t="s">
        <v>726</v>
      </c>
      <c r="O967">
        <v>1</v>
      </c>
    </row>
    <row r="968" spans="1:15" x14ac:dyDescent="0.3">
      <c r="A968" t="s">
        <v>1221</v>
      </c>
      <c r="B968">
        <v>992</v>
      </c>
      <c r="C968">
        <v>436942361</v>
      </c>
      <c r="D968">
        <v>687</v>
      </c>
      <c r="E968">
        <v>91</v>
      </c>
      <c r="F968">
        <v>1</v>
      </c>
      <c r="G968">
        <v>43.978597313552598</v>
      </c>
      <c r="H968">
        <v>2</v>
      </c>
      <c r="I968">
        <v>40</v>
      </c>
      <c r="K968" t="s">
        <v>890</v>
      </c>
      <c r="L968">
        <v>4</v>
      </c>
      <c r="M968" t="s">
        <v>1807</v>
      </c>
      <c r="N968" t="s">
        <v>726</v>
      </c>
      <c r="O968">
        <v>1</v>
      </c>
    </row>
    <row r="969" spans="1:15" x14ac:dyDescent="0.3">
      <c r="A969" t="s">
        <v>1221</v>
      </c>
      <c r="B969">
        <v>993</v>
      </c>
      <c r="C969">
        <v>436942361</v>
      </c>
      <c r="D969">
        <v>687</v>
      </c>
      <c r="E969">
        <v>92</v>
      </c>
      <c r="F969">
        <v>1</v>
      </c>
      <c r="G969">
        <v>32.692067319721097</v>
      </c>
      <c r="H969">
        <v>3</v>
      </c>
      <c r="I969">
        <v>40</v>
      </c>
      <c r="K969" t="s">
        <v>890</v>
      </c>
      <c r="L969">
        <v>4</v>
      </c>
      <c r="M969" t="s">
        <v>1808</v>
      </c>
      <c r="N969" t="s">
        <v>726</v>
      </c>
      <c r="O969">
        <v>1</v>
      </c>
    </row>
    <row r="970" spans="1:15" x14ac:dyDescent="0.3">
      <c r="A970" t="s">
        <v>1221</v>
      </c>
      <c r="B970">
        <v>994</v>
      </c>
      <c r="C970">
        <v>436942361</v>
      </c>
      <c r="D970">
        <v>92</v>
      </c>
      <c r="E970">
        <v>687</v>
      </c>
      <c r="F970">
        <v>1</v>
      </c>
      <c r="G970">
        <v>32.692067319721097</v>
      </c>
      <c r="H970">
        <v>2</v>
      </c>
      <c r="I970">
        <v>40</v>
      </c>
      <c r="K970" t="s">
        <v>890</v>
      </c>
      <c r="L970">
        <v>4</v>
      </c>
      <c r="M970" t="s">
        <v>1809</v>
      </c>
      <c r="N970" t="s">
        <v>726</v>
      </c>
      <c r="O970">
        <v>1</v>
      </c>
    </row>
    <row r="971" spans="1:15" x14ac:dyDescent="0.3">
      <c r="A971" t="s">
        <v>1221</v>
      </c>
      <c r="B971">
        <v>995</v>
      </c>
      <c r="C971">
        <v>436942361</v>
      </c>
      <c r="D971">
        <v>92</v>
      </c>
      <c r="E971">
        <v>686</v>
      </c>
      <c r="F971">
        <v>1</v>
      </c>
      <c r="G971">
        <v>35.771505432763</v>
      </c>
      <c r="H971">
        <v>3</v>
      </c>
      <c r="I971">
        <v>40</v>
      </c>
      <c r="K971" t="s">
        <v>890</v>
      </c>
      <c r="L971">
        <v>4</v>
      </c>
      <c r="M971" t="s">
        <v>1810</v>
      </c>
      <c r="N971" t="s">
        <v>726</v>
      </c>
      <c r="O971">
        <v>1</v>
      </c>
    </row>
    <row r="972" spans="1:15" x14ac:dyDescent="0.3">
      <c r="A972" t="s">
        <v>1221</v>
      </c>
      <c r="B972">
        <v>996</v>
      </c>
      <c r="C972">
        <v>436942361</v>
      </c>
      <c r="D972">
        <v>686</v>
      </c>
      <c r="E972">
        <v>92</v>
      </c>
      <c r="F972">
        <v>1</v>
      </c>
      <c r="G972">
        <v>35.771505432763</v>
      </c>
      <c r="H972">
        <v>2</v>
      </c>
      <c r="I972">
        <v>40</v>
      </c>
      <c r="K972" t="s">
        <v>890</v>
      </c>
      <c r="L972">
        <v>4</v>
      </c>
      <c r="M972" t="s">
        <v>1811</v>
      </c>
      <c r="N972" t="s">
        <v>726</v>
      </c>
      <c r="O972">
        <v>1</v>
      </c>
    </row>
    <row r="973" spans="1:15" x14ac:dyDescent="0.3">
      <c r="A973" t="s">
        <v>1221</v>
      </c>
      <c r="B973">
        <v>997</v>
      </c>
      <c r="C973">
        <v>436942361</v>
      </c>
      <c r="D973">
        <v>686</v>
      </c>
      <c r="E973">
        <v>533</v>
      </c>
      <c r="F973">
        <v>1</v>
      </c>
      <c r="G973">
        <v>51.005308319692098</v>
      </c>
      <c r="H973">
        <v>3</v>
      </c>
      <c r="I973">
        <v>40</v>
      </c>
      <c r="K973" t="s">
        <v>890</v>
      </c>
      <c r="L973">
        <v>4</v>
      </c>
      <c r="M973" t="s">
        <v>1812</v>
      </c>
      <c r="N973" t="s">
        <v>726</v>
      </c>
      <c r="O973">
        <v>1</v>
      </c>
    </row>
    <row r="974" spans="1:15" x14ac:dyDescent="0.3">
      <c r="A974" t="s">
        <v>1221</v>
      </c>
      <c r="B974">
        <v>998</v>
      </c>
      <c r="C974">
        <v>436942361</v>
      </c>
      <c r="D974">
        <v>533</v>
      </c>
      <c r="E974">
        <v>686</v>
      </c>
      <c r="F974">
        <v>1</v>
      </c>
      <c r="G974">
        <v>51.005308319692098</v>
      </c>
      <c r="H974">
        <v>2</v>
      </c>
      <c r="I974">
        <v>40</v>
      </c>
      <c r="K974" t="s">
        <v>890</v>
      </c>
      <c r="L974">
        <v>4</v>
      </c>
      <c r="M974" t="s">
        <v>1813</v>
      </c>
      <c r="N974" t="s">
        <v>726</v>
      </c>
      <c r="O974">
        <v>1</v>
      </c>
    </row>
    <row r="975" spans="1:15" x14ac:dyDescent="0.3">
      <c r="A975" t="s">
        <v>1221</v>
      </c>
      <c r="B975">
        <v>999</v>
      </c>
      <c r="C975">
        <v>436942362</v>
      </c>
      <c r="D975">
        <v>533</v>
      </c>
      <c r="E975">
        <v>385</v>
      </c>
      <c r="F975">
        <v>1</v>
      </c>
      <c r="G975">
        <v>59.900882229035602</v>
      </c>
      <c r="H975">
        <v>5</v>
      </c>
      <c r="I975">
        <v>40</v>
      </c>
      <c r="K975" t="s">
        <v>890</v>
      </c>
      <c r="L975">
        <v>4</v>
      </c>
      <c r="M975" t="s">
        <v>1814</v>
      </c>
      <c r="N975" t="s">
        <v>726</v>
      </c>
      <c r="O975">
        <v>1</v>
      </c>
    </row>
    <row r="976" spans="1:15" x14ac:dyDescent="0.3">
      <c r="A976" t="s">
        <v>1221</v>
      </c>
      <c r="B976">
        <v>1000</v>
      </c>
      <c r="C976">
        <v>436942362</v>
      </c>
      <c r="D976">
        <v>385</v>
      </c>
      <c r="E976">
        <v>533</v>
      </c>
      <c r="F976">
        <v>1</v>
      </c>
      <c r="G976">
        <v>59.900882229035602</v>
      </c>
      <c r="H976">
        <v>2</v>
      </c>
      <c r="I976">
        <v>40</v>
      </c>
      <c r="K976" t="s">
        <v>890</v>
      </c>
      <c r="L976">
        <v>4</v>
      </c>
      <c r="M976" t="s">
        <v>1815</v>
      </c>
      <c r="N976" t="s">
        <v>726</v>
      </c>
      <c r="O976">
        <v>1</v>
      </c>
    </row>
    <row r="977" spans="1:15" x14ac:dyDescent="0.3">
      <c r="A977" t="s">
        <v>1362</v>
      </c>
      <c r="B977">
        <v>1001</v>
      </c>
      <c r="C977">
        <v>436942363</v>
      </c>
      <c r="D977">
        <v>585</v>
      </c>
      <c r="E977">
        <v>586</v>
      </c>
      <c r="F977">
        <v>1</v>
      </c>
      <c r="G977">
        <v>220.53629784449299</v>
      </c>
      <c r="H977">
        <v>3</v>
      </c>
      <c r="I977">
        <v>35</v>
      </c>
      <c r="K977" t="s">
        <v>724</v>
      </c>
      <c r="L977">
        <v>3</v>
      </c>
      <c r="M977" t="s">
        <v>1816</v>
      </c>
      <c r="N977" t="s">
        <v>726</v>
      </c>
      <c r="O977">
        <v>1</v>
      </c>
    </row>
    <row r="978" spans="1:15" x14ac:dyDescent="0.3">
      <c r="A978" t="s">
        <v>1362</v>
      </c>
      <c r="B978">
        <v>1002</v>
      </c>
      <c r="C978">
        <v>436942363</v>
      </c>
      <c r="D978">
        <v>586</v>
      </c>
      <c r="E978">
        <v>585</v>
      </c>
      <c r="F978">
        <v>1</v>
      </c>
      <c r="G978">
        <v>220.53629784449299</v>
      </c>
      <c r="H978">
        <v>3</v>
      </c>
      <c r="I978">
        <v>35</v>
      </c>
      <c r="K978" t="s">
        <v>724</v>
      </c>
      <c r="L978">
        <v>3</v>
      </c>
      <c r="M978" t="s">
        <v>1817</v>
      </c>
      <c r="N978" t="s">
        <v>726</v>
      </c>
      <c r="O978">
        <v>1</v>
      </c>
    </row>
    <row r="979" spans="1:15" x14ac:dyDescent="0.3">
      <c r="A979" t="s">
        <v>1362</v>
      </c>
      <c r="B979">
        <v>1003</v>
      </c>
      <c r="C979">
        <v>436942364</v>
      </c>
      <c r="D979">
        <v>540</v>
      </c>
      <c r="E979">
        <v>541</v>
      </c>
      <c r="F979">
        <v>1</v>
      </c>
      <c r="G979">
        <v>17.546856426394601</v>
      </c>
      <c r="H979">
        <v>3</v>
      </c>
      <c r="I979">
        <v>35</v>
      </c>
      <c r="K979" t="s">
        <v>724</v>
      </c>
      <c r="L979">
        <v>3</v>
      </c>
      <c r="M979" t="s">
        <v>1818</v>
      </c>
      <c r="N979" t="s">
        <v>726</v>
      </c>
      <c r="O979">
        <v>1</v>
      </c>
    </row>
    <row r="980" spans="1:15" x14ac:dyDescent="0.3">
      <c r="A980" t="s">
        <v>1362</v>
      </c>
      <c r="B980">
        <v>1004</v>
      </c>
      <c r="C980">
        <v>436942364</v>
      </c>
      <c r="D980">
        <v>541</v>
      </c>
      <c r="E980">
        <v>540</v>
      </c>
      <c r="F980">
        <v>1</v>
      </c>
      <c r="G980">
        <v>17.546856426394601</v>
      </c>
      <c r="H980">
        <v>3</v>
      </c>
      <c r="I980">
        <v>35</v>
      </c>
      <c r="K980" t="s">
        <v>724</v>
      </c>
      <c r="L980">
        <v>3</v>
      </c>
      <c r="M980" t="s">
        <v>1819</v>
      </c>
      <c r="N980" t="s">
        <v>726</v>
      </c>
      <c r="O980">
        <v>1</v>
      </c>
    </row>
    <row r="981" spans="1:15" x14ac:dyDescent="0.3">
      <c r="A981" t="s">
        <v>1362</v>
      </c>
      <c r="B981">
        <v>1005</v>
      </c>
      <c r="C981">
        <v>436942365</v>
      </c>
      <c r="D981">
        <v>534</v>
      </c>
      <c r="E981">
        <v>535</v>
      </c>
      <c r="F981">
        <v>1</v>
      </c>
      <c r="G981">
        <v>97.453795259719399</v>
      </c>
      <c r="H981">
        <v>3</v>
      </c>
      <c r="K981" t="s">
        <v>724</v>
      </c>
      <c r="L981">
        <v>3</v>
      </c>
      <c r="M981" t="s">
        <v>1820</v>
      </c>
      <c r="N981" t="s">
        <v>726</v>
      </c>
      <c r="O981">
        <v>1</v>
      </c>
    </row>
    <row r="982" spans="1:15" x14ac:dyDescent="0.3">
      <c r="A982" t="s">
        <v>1362</v>
      </c>
      <c r="B982">
        <v>1006</v>
      </c>
      <c r="C982">
        <v>436942365</v>
      </c>
      <c r="D982">
        <v>535</v>
      </c>
      <c r="E982">
        <v>534</v>
      </c>
      <c r="F982">
        <v>1</v>
      </c>
      <c r="G982">
        <v>97.453795259719399</v>
      </c>
      <c r="H982">
        <v>3</v>
      </c>
      <c r="K982" t="s">
        <v>724</v>
      </c>
      <c r="L982">
        <v>3</v>
      </c>
      <c r="M982" t="s">
        <v>1821</v>
      </c>
      <c r="N982" t="s">
        <v>726</v>
      </c>
      <c r="O982">
        <v>1</v>
      </c>
    </row>
    <row r="983" spans="1:15" x14ac:dyDescent="0.3">
      <c r="A983" t="s">
        <v>1362</v>
      </c>
      <c r="B983">
        <v>1009</v>
      </c>
      <c r="C983">
        <v>436942367</v>
      </c>
      <c r="D983">
        <v>537</v>
      </c>
      <c r="E983">
        <v>538</v>
      </c>
      <c r="F983">
        <v>1</v>
      </c>
      <c r="G983">
        <v>18.169288941926698</v>
      </c>
      <c r="H983">
        <v>3</v>
      </c>
      <c r="I983">
        <v>35</v>
      </c>
      <c r="K983" t="s">
        <v>724</v>
      </c>
      <c r="L983">
        <v>3</v>
      </c>
      <c r="M983" t="s">
        <v>1822</v>
      </c>
      <c r="N983" t="s">
        <v>726</v>
      </c>
      <c r="O983">
        <v>1</v>
      </c>
    </row>
    <row r="984" spans="1:15" x14ac:dyDescent="0.3">
      <c r="A984" t="s">
        <v>1362</v>
      </c>
      <c r="B984">
        <v>1010</v>
      </c>
      <c r="C984">
        <v>436942367</v>
      </c>
      <c r="D984">
        <v>538</v>
      </c>
      <c r="E984">
        <v>537</v>
      </c>
      <c r="F984">
        <v>1</v>
      </c>
      <c r="G984">
        <v>18.169288941926698</v>
      </c>
      <c r="H984">
        <v>3</v>
      </c>
      <c r="I984">
        <v>35</v>
      </c>
      <c r="K984" t="s">
        <v>724</v>
      </c>
      <c r="L984">
        <v>3</v>
      </c>
      <c r="M984" t="s">
        <v>1823</v>
      </c>
      <c r="N984" t="s">
        <v>726</v>
      </c>
      <c r="O984">
        <v>1</v>
      </c>
    </row>
    <row r="985" spans="1:15" x14ac:dyDescent="0.3">
      <c r="A985" t="s">
        <v>1362</v>
      </c>
      <c r="B985">
        <v>1013</v>
      </c>
      <c r="C985">
        <v>436942369</v>
      </c>
      <c r="D985">
        <v>55</v>
      </c>
      <c r="E985">
        <v>537</v>
      </c>
      <c r="F985">
        <v>1</v>
      </c>
      <c r="G985">
        <v>60.0014876822448</v>
      </c>
      <c r="H985">
        <v>3</v>
      </c>
      <c r="I985">
        <v>35</v>
      </c>
      <c r="K985" t="s">
        <v>724</v>
      </c>
      <c r="L985">
        <v>3</v>
      </c>
      <c r="M985" t="s">
        <v>1824</v>
      </c>
      <c r="N985" t="s">
        <v>726</v>
      </c>
      <c r="O985">
        <v>1</v>
      </c>
    </row>
    <row r="986" spans="1:15" x14ac:dyDescent="0.3">
      <c r="A986" t="s">
        <v>1362</v>
      </c>
      <c r="B986">
        <v>1014</v>
      </c>
      <c r="C986">
        <v>436942369</v>
      </c>
      <c r="D986">
        <v>537</v>
      </c>
      <c r="E986">
        <v>55</v>
      </c>
      <c r="F986">
        <v>1</v>
      </c>
      <c r="G986">
        <v>60.0014876822448</v>
      </c>
      <c r="H986">
        <v>4</v>
      </c>
      <c r="I986">
        <v>35</v>
      </c>
      <c r="K986" t="s">
        <v>724</v>
      </c>
      <c r="L986">
        <v>3</v>
      </c>
      <c r="M986" t="s">
        <v>1825</v>
      </c>
      <c r="N986" t="s">
        <v>726</v>
      </c>
      <c r="O986">
        <v>1</v>
      </c>
    </row>
    <row r="987" spans="1:15" x14ac:dyDescent="0.3">
      <c r="A987" t="s">
        <v>1362</v>
      </c>
      <c r="B987">
        <v>1015</v>
      </c>
      <c r="C987">
        <v>436942370</v>
      </c>
      <c r="D987">
        <v>313</v>
      </c>
      <c r="E987">
        <v>604</v>
      </c>
      <c r="F987">
        <v>1</v>
      </c>
      <c r="G987">
        <v>90.629011745325698</v>
      </c>
      <c r="H987">
        <v>3</v>
      </c>
      <c r="I987">
        <v>35</v>
      </c>
      <c r="K987" t="s">
        <v>724</v>
      </c>
      <c r="L987">
        <v>3</v>
      </c>
      <c r="M987" t="s">
        <v>1826</v>
      </c>
      <c r="N987" t="s">
        <v>726</v>
      </c>
      <c r="O987">
        <v>0</v>
      </c>
    </row>
    <row r="988" spans="1:15" x14ac:dyDescent="0.3">
      <c r="A988" t="s">
        <v>1362</v>
      </c>
      <c r="B988">
        <v>1016</v>
      </c>
      <c r="C988">
        <v>436942371</v>
      </c>
      <c r="D988">
        <v>546</v>
      </c>
      <c r="E988">
        <v>1966</v>
      </c>
      <c r="F988">
        <v>1</v>
      </c>
      <c r="G988">
        <v>80.0411579073279</v>
      </c>
      <c r="H988">
        <v>5</v>
      </c>
      <c r="I988">
        <v>35</v>
      </c>
      <c r="K988" t="s">
        <v>724</v>
      </c>
      <c r="L988">
        <v>3</v>
      </c>
      <c r="M988" t="s">
        <v>1827</v>
      </c>
      <c r="N988" t="s">
        <v>726</v>
      </c>
      <c r="O988">
        <v>0</v>
      </c>
    </row>
    <row r="989" spans="1:15" x14ac:dyDescent="0.3">
      <c r="A989" t="s">
        <v>1362</v>
      </c>
      <c r="B989">
        <v>1017</v>
      </c>
      <c r="C989">
        <v>436942372</v>
      </c>
      <c r="D989">
        <v>541</v>
      </c>
      <c r="E989">
        <v>56</v>
      </c>
      <c r="F989">
        <v>1</v>
      </c>
      <c r="G989">
        <v>61.747731709080597</v>
      </c>
      <c r="H989">
        <v>4</v>
      </c>
      <c r="I989">
        <v>35</v>
      </c>
      <c r="K989" t="s">
        <v>724</v>
      </c>
      <c r="L989">
        <v>3</v>
      </c>
      <c r="M989" t="s">
        <v>1828</v>
      </c>
      <c r="N989" t="s">
        <v>726</v>
      </c>
      <c r="O989">
        <v>1</v>
      </c>
    </row>
    <row r="990" spans="1:15" x14ac:dyDescent="0.3">
      <c r="A990" t="s">
        <v>1362</v>
      </c>
      <c r="B990">
        <v>1018</v>
      </c>
      <c r="C990">
        <v>436942372</v>
      </c>
      <c r="D990">
        <v>56</v>
      </c>
      <c r="E990">
        <v>541</v>
      </c>
      <c r="F990">
        <v>1</v>
      </c>
      <c r="G990">
        <v>61.747731709080597</v>
      </c>
      <c r="H990">
        <v>3</v>
      </c>
      <c r="I990">
        <v>35</v>
      </c>
      <c r="K990" t="s">
        <v>724</v>
      </c>
      <c r="L990">
        <v>3</v>
      </c>
      <c r="M990" t="s">
        <v>1829</v>
      </c>
      <c r="N990" t="s">
        <v>726</v>
      </c>
      <c r="O990">
        <v>1</v>
      </c>
    </row>
    <row r="991" spans="1:15" x14ac:dyDescent="0.3">
      <c r="A991" t="s">
        <v>1362</v>
      </c>
      <c r="B991">
        <v>1019</v>
      </c>
      <c r="C991">
        <v>436942373</v>
      </c>
      <c r="D991">
        <v>253</v>
      </c>
      <c r="E991">
        <v>306</v>
      </c>
      <c r="F991">
        <v>1</v>
      </c>
      <c r="G991">
        <v>5.2402488147102702</v>
      </c>
      <c r="H991">
        <v>3</v>
      </c>
      <c r="I991">
        <v>35</v>
      </c>
      <c r="K991" t="s">
        <v>724</v>
      </c>
      <c r="L991">
        <v>3</v>
      </c>
      <c r="M991" t="s">
        <v>1830</v>
      </c>
      <c r="N991" t="s">
        <v>726</v>
      </c>
      <c r="O991">
        <v>1</v>
      </c>
    </row>
    <row r="992" spans="1:15" x14ac:dyDescent="0.3">
      <c r="A992" t="s">
        <v>1362</v>
      </c>
      <c r="B992">
        <v>1020</v>
      </c>
      <c r="C992">
        <v>436942373</v>
      </c>
      <c r="D992">
        <v>306</v>
      </c>
      <c r="E992">
        <v>253</v>
      </c>
      <c r="F992">
        <v>1</v>
      </c>
      <c r="G992">
        <v>5.2402488147102702</v>
      </c>
      <c r="H992">
        <v>3</v>
      </c>
      <c r="I992">
        <v>35</v>
      </c>
      <c r="K992" t="s">
        <v>724</v>
      </c>
      <c r="L992">
        <v>3</v>
      </c>
      <c r="M992" t="s">
        <v>1831</v>
      </c>
      <c r="N992" t="s">
        <v>726</v>
      </c>
      <c r="O992">
        <v>1</v>
      </c>
    </row>
    <row r="993" spans="1:15" x14ac:dyDescent="0.3">
      <c r="A993" t="s">
        <v>1362</v>
      </c>
      <c r="B993">
        <v>1021</v>
      </c>
      <c r="C993">
        <v>436942374</v>
      </c>
      <c r="D993">
        <v>529</v>
      </c>
      <c r="E993">
        <v>1957</v>
      </c>
      <c r="F993">
        <v>1</v>
      </c>
      <c r="G993">
        <v>66.995288266480401</v>
      </c>
      <c r="H993">
        <v>5</v>
      </c>
      <c r="I993">
        <v>35</v>
      </c>
      <c r="K993" t="s">
        <v>724</v>
      </c>
      <c r="L993">
        <v>3</v>
      </c>
      <c r="M993" t="s">
        <v>1832</v>
      </c>
      <c r="N993" t="s">
        <v>726</v>
      </c>
      <c r="O993">
        <v>1</v>
      </c>
    </row>
    <row r="994" spans="1:15" x14ac:dyDescent="0.3">
      <c r="A994" t="s">
        <v>1362</v>
      </c>
      <c r="B994">
        <v>1022</v>
      </c>
      <c r="C994">
        <v>436942374</v>
      </c>
      <c r="D994">
        <v>1957</v>
      </c>
      <c r="E994">
        <v>529</v>
      </c>
      <c r="F994">
        <v>1</v>
      </c>
      <c r="G994">
        <v>66.995288266480401</v>
      </c>
      <c r="H994">
        <v>3</v>
      </c>
      <c r="I994">
        <v>35</v>
      </c>
      <c r="K994" t="s">
        <v>724</v>
      </c>
      <c r="L994">
        <v>3</v>
      </c>
      <c r="M994" t="s">
        <v>1833</v>
      </c>
      <c r="N994" t="s">
        <v>726</v>
      </c>
      <c r="O994">
        <v>1</v>
      </c>
    </row>
    <row r="995" spans="1:15" x14ac:dyDescent="0.3">
      <c r="A995" t="s">
        <v>1362</v>
      </c>
      <c r="B995">
        <v>1023</v>
      </c>
      <c r="C995">
        <v>436942375</v>
      </c>
      <c r="D995">
        <v>313</v>
      </c>
      <c r="E995">
        <v>1942</v>
      </c>
      <c r="F995">
        <v>1</v>
      </c>
      <c r="G995">
        <v>51.910703303998602</v>
      </c>
      <c r="H995">
        <v>4</v>
      </c>
      <c r="I995">
        <v>35</v>
      </c>
      <c r="K995" t="s">
        <v>724</v>
      </c>
      <c r="L995">
        <v>3</v>
      </c>
      <c r="M995" t="s">
        <v>1834</v>
      </c>
      <c r="N995" t="s">
        <v>726</v>
      </c>
      <c r="O995">
        <v>1</v>
      </c>
    </row>
    <row r="996" spans="1:15" x14ac:dyDescent="0.3">
      <c r="A996" t="s">
        <v>1362</v>
      </c>
      <c r="B996">
        <v>1024</v>
      </c>
      <c r="C996">
        <v>436942375</v>
      </c>
      <c r="D996">
        <v>1942</v>
      </c>
      <c r="E996">
        <v>313</v>
      </c>
      <c r="F996">
        <v>1</v>
      </c>
      <c r="G996">
        <v>51.910703303998602</v>
      </c>
      <c r="H996">
        <v>3</v>
      </c>
      <c r="I996">
        <v>35</v>
      </c>
      <c r="K996" t="s">
        <v>724</v>
      </c>
      <c r="L996">
        <v>3</v>
      </c>
      <c r="M996" t="s">
        <v>1835</v>
      </c>
      <c r="N996" t="s">
        <v>726</v>
      </c>
      <c r="O996">
        <v>1</v>
      </c>
    </row>
    <row r="997" spans="1:15" x14ac:dyDescent="0.3">
      <c r="A997" t="s">
        <v>1362</v>
      </c>
      <c r="B997">
        <v>1025</v>
      </c>
      <c r="C997">
        <v>436942376</v>
      </c>
      <c r="D997">
        <v>56</v>
      </c>
      <c r="E997">
        <v>542</v>
      </c>
      <c r="F997">
        <v>1</v>
      </c>
      <c r="G997">
        <v>45.0790206395124</v>
      </c>
      <c r="H997">
        <v>3</v>
      </c>
      <c r="I997">
        <v>35</v>
      </c>
      <c r="K997" t="s">
        <v>724</v>
      </c>
      <c r="L997">
        <v>3</v>
      </c>
      <c r="M997" t="s">
        <v>1836</v>
      </c>
      <c r="N997" t="s">
        <v>726</v>
      </c>
      <c r="O997">
        <v>1</v>
      </c>
    </row>
    <row r="998" spans="1:15" x14ac:dyDescent="0.3">
      <c r="A998" t="s">
        <v>1362</v>
      </c>
      <c r="B998">
        <v>1026</v>
      </c>
      <c r="C998">
        <v>436942376</v>
      </c>
      <c r="D998">
        <v>542</v>
      </c>
      <c r="E998">
        <v>56</v>
      </c>
      <c r="F998">
        <v>1</v>
      </c>
      <c r="G998">
        <v>45.0790206395124</v>
      </c>
      <c r="H998">
        <v>3</v>
      </c>
      <c r="I998">
        <v>35</v>
      </c>
      <c r="K998" t="s">
        <v>724</v>
      </c>
      <c r="L998">
        <v>3</v>
      </c>
      <c r="M998" t="s">
        <v>1837</v>
      </c>
      <c r="N998" t="s">
        <v>726</v>
      </c>
      <c r="O998">
        <v>1</v>
      </c>
    </row>
    <row r="999" spans="1:15" x14ac:dyDescent="0.3">
      <c r="A999" t="s">
        <v>1362</v>
      </c>
      <c r="B999">
        <v>1027</v>
      </c>
      <c r="C999">
        <v>436942377</v>
      </c>
      <c r="D999">
        <v>543</v>
      </c>
      <c r="E999">
        <v>275</v>
      </c>
      <c r="F999">
        <v>1</v>
      </c>
      <c r="G999">
        <v>59.948056628546603</v>
      </c>
      <c r="H999">
        <v>4</v>
      </c>
      <c r="I999">
        <v>35</v>
      </c>
      <c r="K999" t="s">
        <v>724</v>
      </c>
      <c r="L999">
        <v>3</v>
      </c>
      <c r="M999" t="s">
        <v>1838</v>
      </c>
      <c r="N999" t="s">
        <v>726</v>
      </c>
      <c r="O999">
        <v>0</v>
      </c>
    </row>
    <row r="1000" spans="1:15" x14ac:dyDescent="0.3">
      <c r="A1000" t="s">
        <v>723</v>
      </c>
      <c r="B1000">
        <v>1028</v>
      </c>
      <c r="C1000">
        <v>436942378</v>
      </c>
      <c r="D1000">
        <v>551</v>
      </c>
      <c r="E1000">
        <v>199</v>
      </c>
      <c r="F1000">
        <v>1</v>
      </c>
      <c r="G1000">
        <v>40.321075562383399</v>
      </c>
      <c r="H1000">
        <v>3</v>
      </c>
      <c r="I1000">
        <v>35</v>
      </c>
      <c r="K1000" t="s">
        <v>724</v>
      </c>
      <c r="L1000">
        <v>3</v>
      </c>
      <c r="M1000" t="s">
        <v>1839</v>
      </c>
      <c r="N1000" t="s">
        <v>726</v>
      </c>
      <c r="O1000">
        <v>1</v>
      </c>
    </row>
    <row r="1001" spans="1:15" x14ac:dyDescent="0.3">
      <c r="A1001" t="s">
        <v>723</v>
      </c>
      <c r="B1001">
        <v>1029</v>
      </c>
      <c r="C1001">
        <v>436942378</v>
      </c>
      <c r="D1001">
        <v>199</v>
      </c>
      <c r="E1001">
        <v>551</v>
      </c>
      <c r="F1001">
        <v>1</v>
      </c>
      <c r="G1001">
        <v>40.321075562383399</v>
      </c>
      <c r="H1001">
        <v>3</v>
      </c>
      <c r="I1001">
        <v>35</v>
      </c>
      <c r="K1001" t="s">
        <v>724</v>
      </c>
      <c r="L1001">
        <v>3</v>
      </c>
      <c r="M1001" t="s">
        <v>1840</v>
      </c>
      <c r="N1001" t="s">
        <v>726</v>
      </c>
      <c r="O1001">
        <v>1</v>
      </c>
    </row>
    <row r="1002" spans="1:15" x14ac:dyDescent="0.3">
      <c r="A1002" t="s">
        <v>1362</v>
      </c>
      <c r="B1002">
        <v>1030</v>
      </c>
      <c r="C1002">
        <v>436942379</v>
      </c>
      <c r="D1002">
        <v>548</v>
      </c>
      <c r="E1002">
        <v>1940</v>
      </c>
      <c r="F1002">
        <v>1</v>
      </c>
      <c r="G1002">
        <v>33.625500804326101</v>
      </c>
      <c r="H1002">
        <v>4</v>
      </c>
      <c r="I1002">
        <v>35</v>
      </c>
      <c r="K1002" t="s">
        <v>724</v>
      </c>
      <c r="L1002">
        <v>3</v>
      </c>
      <c r="M1002" t="s">
        <v>1841</v>
      </c>
      <c r="N1002" t="s">
        <v>726</v>
      </c>
      <c r="O1002">
        <v>0</v>
      </c>
    </row>
    <row r="1003" spans="1:15" x14ac:dyDescent="0.3">
      <c r="A1003" t="s">
        <v>1362</v>
      </c>
      <c r="B1003">
        <v>1031</v>
      </c>
      <c r="C1003">
        <v>436942380</v>
      </c>
      <c r="D1003">
        <v>544</v>
      </c>
      <c r="E1003">
        <v>347</v>
      </c>
      <c r="F1003">
        <v>1</v>
      </c>
      <c r="G1003">
        <v>50.416026887100699</v>
      </c>
      <c r="H1003">
        <v>5</v>
      </c>
      <c r="I1003">
        <v>35</v>
      </c>
      <c r="K1003" t="s">
        <v>724</v>
      </c>
      <c r="L1003">
        <v>3</v>
      </c>
      <c r="M1003" t="s">
        <v>1842</v>
      </c>
      <c r="N1003" t="s">
        <v>726</v>
      </c>
      <c r="O1003">
        <v>0</v>
      </c>
    </row>
    <row r="1004" spans="1:15" x14ac:dyDescent="0.3">
      <c r="A1004" t="s">
        <v>1362</v>
      </c>
      <c r="B1004">
        <v>1032</v>
      </c>
      <c r="C1004">
        <v>436942381</v>
      </c>
      <c r="D1004">
        <v>1957</v>
      </c>
      <c r="E1004">
        <v>534</v>
      </c>
      <c r="F1004">
        <v>1</v>
      </c>
      <c r="G1004">
        <v>73.129457455348202</v>
      </c>
      <c r="H1004">
        <v>3</v>
      </c>
      <c r="K1004" t="s">
        <v>724</v>
      </c>
      <c r="L1004">
        <v>3</v>
      </c>
      <c r="M1004" t="s">
        <v>1843</v>
      </c>
      <c r="N1004" t="s">
        <v>726</v>
      </c>
      <c r="O1004">
        <v>1</v>
      </c>
    </row>
    <row r="1005" spans="1:15" x14ac:dyDescent="0.3">
      <c r="A1005" t="s">
        <v>1362</v>
      </c>
      <c r="B1005">
        <v>1033</v>
      </c>
      <c r="C1005">
        <v>436942381</v>
      </c>
      <c r="D1005">
        <v>534</v>
      </c>
      <c r="E1005">
        <v>1957</v>
      </c>
      <c r="F1005">
        <v>1</v>
      </c>
      <c r="G1005">
        <v>73.129457455348202</v>
      </c>
      <c r="H1005">
        <v>5</v>
      </c>
      <c r="K1005" t="s">
        <v>724</v>
      </c>
      <c r="L1005">
        <v>3</v>
      </c>
      <c r="M1005" t="s">
        <v>1844</v>
      </c>
      <c r="N1005" t="s">
        <v>726</v>
      </c>
      <c r="O1005">
        <v>1</v>
      </c>
    </row>
    <row r="1006" spans="1:15" x14ac:dyDescent="0.3">
      <c r="A1006" t="s">
        <v>1362</v>
      </c>
      <c r="B1006">
        <v>1034</v>
      </c>
      <c r="C1006">
        <v>436942382</v>
      </c>
      <c r="D1006">
        <v>535</v>
      </c>
      <c r="E1006">
        <v>55</v>
      </c>
      <c r="F1006">
        <v>1</v>
      </c>
      <c r="G1006">
        <v>51.294878227293502</v>
      </c>
      <c r="H1006">
        <v>4</v>
      </c>
      <c r="K1006" t="s">
        <v>724</v>
      </c>
      <c r="L1006">
        <v>3</v>
      </c>
      <c r="M1006" t="s">
        <v>1845</v>
      </c>
      <c r="N1006" t="s">
        <v>726</v>
      </c>
      <c r="O1006">
        <v>1</v>
      </c>
    </row>
    <row r="1007" spans="1:15" x14ac:dyDescent="0.3">
      <c r="A1007" t="s">
        <v>1362</v>
      </c>
      <c r="B1007">
        <v>1035</v>
      </c>
      <c r="C1007">
        <v>436942382</v>
      </c>
      <c r="D1007">
        <v>55</v>
      </c>
      <c r="E1007">
        <v>535</v>
      </c>
      <c r="F1007">
        <v>1</v>
      </c>
      <c r="G1007">
        <v>51.294878227293502</v>
      </c>
      <c r="H1007">
        <v>3</v>
      </c>
      <c r="K1007" t="s">
        <v>724</v>
      </c>
      <c r="L1007">
        <v>3</v>
      </c>
      <c r="M1007" t="s">
        <v>1846</v>
      </c>
      <c r="N1007" t="s">
        <v>726</v>
      </c>
      <c r="O1007">
        <v>1</v>
      </c>
    </row>
    <row r="1008" spans="1:15" x14ac:dyDescent="0.3">
      <c r="A1008" t="s">
        <v>1362</v>
      </c>
      <c r="B1008">
        <v>1036</v>
      </c>
      <c r="C1008">
        <v>436942383</v>
      </c>
      <c r="D1008">
        <v>549</v>
      </c>
      <c r="E1008">
        <v>1940</v>
      </c>
      <c r="F1008">
        <v>1</v>
      </c>
      <c r="G1008">
        <v>55.753620312590002</v>
      </c>
      <c r="H1008">
        <v>4</v>
      </c>
      <c r="I1008">
        <v>35</v>
      </c>
      <c r="K1008" t="s">
        <v>724</v>
      </c>
      <c r="L1008">
        <v>3</v>
      </c>
      <c r="M1008" t="s">
        <v>1847</v>
      </c>
      <c r="N1008" t="s">
        <v>726</v>
      </c>
      <c r="O1008">
        <v>0</v>
      </c>
    </row>
    <row r="1009" spans="1:15" x14ac:dyDescent="0.3">
      <c r="A1009" t="s">
        <v>1362</v>
      </c>
      <c r="B1009">
        <v>1037</v>
      </c>
      <c r="C1009">
        <v>436942384</v>
      </c>
      <c r="D1009">
        <v>538</v>
      </c>
      <c r="E1009">
        <v>540</v>
      </c>
      <c r="F1009">
        <v>1</v>
      </c>
      <c r="G1009">
        <v>98.208413861588397</v>
      </c>
      <c r="H1009">
        <v>3</v>
      </c>
      <c r="I1009">
        <v>35</v>
      </c>
      <c r="K1009" t="s">
        <v>724</v>
      </c>
      <c r="L1009">
        <v>3</v>
      </c>
      <c r="M1009" t="s">
        <v>1848</v>
      </c>
      <c r="N1009" t="s">
        <v>726</v>
      </c>
      <c r="O1009">
        <v>1</v>
      </c>
    </row>
    <row r="1010" spans="1:15" x14ac:dyDescent="0.3">
      <c r="A1010" t="s">
        <v>1362</v>
      </c>
      <c r="B1010">
        <v>1038</v>
      </c>
      <c r="C1010">
        <v>436942384</v>
      </c>
      <c r="D1010">
        <v>540</v>
      </c>
      <c r="E1010">
        <v>538</v>
      </c>
      <c r="F1010">
        <v>1</v>
      </c>
      <c r="G1010">
        <v>98.208413861588397</v>
      </c>
      <c r="H1010">
        <v>3</v>
      </c>
      <c r="I1010">
        <v>35</v>
      </c>
      <c r="K1010" t="s">
        <v>724</v>
      </c>
      <c r="L1010">
        <v>3</v>
      </c>
      <c r="M1010" t="s">
        <v>1849</v>
      </c>
      <c r="N1010" t="s">
        <v>726</v>
      </c>
      <c r="O1010">
        <v>1</v>
      </c>
    </row>
    <row r="1011" spans="1:15" x14ac:dyDescent="0.3">
      <c r="A1011" t="s">
        <v>1362</v>
      </c>
      <c r="B1011">
        <v>1039</v>
      </c>
      <c r="C1011">
        <v>436942385</v>
      </c>
      <c r="D1011">
        <v>346</v>
      </c>
      <c r="E1011">
        <v>543</v>
      </c>
      <c r="F1011">
        <v>1</v>
      </c>
      <c r="G1011">
        <v>109.38066826011</v>
      </c>
      <c r="H1011">
        <v>3</v>
      </c>
      <c r="I1011">
        <v>35</v>
      </c>
      <c r="K1011" t="s">
        <v>724</v>
      </c>
      <c r="L1011">
        <v>3</v>
      </c>
      <c r="M1011" t="s">
        <v>1850</v>
      </c>
      <c r="N1011" t="s">
        <v>726</v>
      </c>
      <c r="O1011">
        <v>0</v>
      </c>
    </row>
    <row r="1012" spans="1:15" x14ac:dyDescent="0.3">
      <c r="A1012" t="s">
        <v>1362</v>
      </c>
      <c r="B1012">
        <v>1040</v>
      </c>
      <c r="C1012">
        <v>436942386</v>
      </c>
      <c r="D1012">
        <v>275</v>
      </c>
      <c r="E1012">
        <v>57</v>
      </c>
      <c r="F1012">
        <v>1</v>
      </c>
      <c r="G1012">
        <v>69.138609619464006</v>
      </c>
      <c r="H1012">
        <v>3</v>
      </c>
      <c r="I1012">
        <v>35</v>
      </c>
      <c r="K1012" t="s">
        <v>724</v>
      </c>
      <c r="L1012">
        <v>3</v>
      </c>
      <c r="M1012" t="s">
        <v>1851</v>
      </c>
      <c r="N1012" t="s">
        <v>726</v>
      </c>
      <c r="O1012">
        <v>0</v>
      </c>
    </row>
    <row r="1013" spans="1:15" x14ac:dyDescent="0.3">
      <c r="A1013" t="s">
        <v>1362</v>
      </c>
      <c r="B1013">
        <v>1041</v>
      </c>
      <c r="C1013">
        <v>436942386</v>
      </c>
      <c r="D1013">
        <v>57</v>
      </c>
      <c r="E1013">
        <v>544</v>
      </c>
      <c r="F1013">
        <v>1</v>
      </c>
      <c r="G1013">
        <v>50.182492137458901</v>
      </c>
      <c r="H1013">
        <v>3</v>
      </c>
      <c r="I1013">
        <v>35</v>
      </c>
      <c r="K1013" t="s">
        <v>724</v>
      </c>
      <c r="L1013">
        <v>3</v>
      </c>
      <c r="M1013" t="s">
        <v>1852</v>
      </c>
      <c r="N1013" t="s">
        <v>726</v>
      </c>
      <c r="O1013">
        <v>0</v>
      </c>
    </row>
    <row r="1014" spans="1:15" x14ac:dyDescent="0.3">
      <c r="A1014" t="s">
        <v>1362</v>
      </c>
      <c r="B1014">
        <v>1042</v>
      </c>
      <c r="C1014">
        <v>436942387</v>
      </c>
      <c r="D1014">
        <v>1966</v>
      </c>
      <c r="E1014">
        <v>308</v>
      </c>
      <c r="F1014">
        <v>1</v>
      </c>
      <c r="G1014">
        <v>89.7281305676958</v>
      </c>
      <c r="H1014">
        <v>3</v>
      </c>
      <c r="I1014">
        <v>35</v>
      </c>
      <c r="K1014" t="s">
        <v>724</v>
      </c>
      <c r="L1014">
        <v>3</v>
      </c>
      <c r="M1014" t="s">
        <v>1853</v>
      </c>
      <c r="N1014" t="s">
        <v>726</v>
      </c>
      <c r="O1014">
        <v>0</v>
      </c>
    </row>
    <row r="1015" spans="1:15" x14ac:dyDescent="0.3">
      <c r="A1015" t="s">
        <v>988</v>
      </c>
      <c r="B1015">
        <v>1043</v>
      </c>
      <c r="C1015">
        <v>436943711</v>
      </c>
      <c r="D1015">
        <v>433</v>
      </c>
      <c r="E1015">
        <v>576</v>
      </c>
      <c r="F1015">
        <v>1</v>
      </c>
      <c r="G1015">
        <v>146.20512892442801</v>
      </c>
      <c r="H1015">
        <v>3</v>
      </c>
      <c r="I1015">
        <v>45</v>
      </c>
      <c r="K1015" t="s">
        <v>890</v>
      </c>
      <c r="L1015">
        <v>4</v>
      </c>
      <c r="M1015" t="s">
        <v>1854</v>
      </c>
      <c r="N1015" t="s">
        <v>726</v>
      </c>
      <c r="O1015">
        <v>0</v>
      </c>
    </row>
    <row r="1016" spans="1:15" x14ac:dyDescent="0.3">
      <c r="A1016" t="s">
        <v>988</v>
      </c>
      <c r="B1016">
        <v>1044</v>
      </c>
      <c r="C1016">
        <v>436943712</v>
      </c>
      <c r="D1016">
        <v>571</v>
      </c>
      <c r="E1016">
        <v>421</v>
      </c>
      <c r="F1016">
        <v>1</v>
      </c>
      <c r="G1016">
        <v>55.554424928059703</v>
      </c>
      <c r="H1016">
        <v>4</v>
      </c>
      <c r="I1016">
        <v>45</v>
      </c>
      <c r="K1016" t="s">
        <v>890</v>
      </c>
      <c r="L1016">
        <v>4</v>
      </c>
      <c r="M1016" t="s">
        <v>1855</v>
      </c>
      <c r="N1016" t="s">
        <v>726</v>
      </c>
      <c r="O1016">
        <v>0</v>
      </c>
    </row>
    <row r="1017" spans="1:15" x14ac:dyDescent="0.3">
      <c r="A1017" t="s">
        <v>988</v>
      </c>
      <c r="B1017">
        <v>1045</v>
      </c>
      <c r="C1017">
        <v>436943716</v>
      </c>
      <c r="D1017">
        <v>564</v>
      </c>
      <c r="E1017">
        <v>560</v>
      </c>
      <c r="F1017">
        <v>1</v>
      </c>
      <c r="G1017">
        <v>79.679209659939701</v>
      </c>
      <c r="H1017">
        <v>3</v>
      </c>
      <c r="I1017">
        <v>40</v>
      </c>
      <c r="K1017" t="s">
        <v>890</v>
      </c>
      <c r="L1017">
        <v>4</v>
      </c>
      <c r="M1017" t="s">
        <v>1856</v>
      </c>
      <c r="N1017" t="s">
        <v>726</v>
      </c>
      <c r="O1017">
        <v>0</v>
      </c>
    </row>
    <row r="1018" spans="1:15" x14ac:dyDescent="0.3">
      <c r="A1018" t="s">
        <v>988</v>
      </c>
      <c r="B1018">
        <v>1046</v>
      </c>
      <c r="C1018">
        <v>436943717</v>
      </c>
      <c r="D1018">
        <v>575</v>
      </c>
      <c r="E1018">
        <v>433</v>
      </c>
      <c r="F1018">
        <v>1</v>
      </c>
      <c r="G1018">
        <v>56.232028221670298</v>
      </c>
      <c r="H1018">
        <v>4</v>
      </c>
      <c r="I1018">
        <v>45</v>
      </c>
      <c r="K1018" t="s">
        <v>890</v>
      </c>
      <c r="L1018">
        <v>4</v>
      </c>
      <c r="M1018" t="s">
        <v>1857</v>
      </c>
      <c r="N1018" t="s">
        <v>726</v>
      </c>
      <c r="O1018">
        <v>0</v>
      </c>
    </row>
    <row r="1019" spans="1:15" x14ac:dyDescent="0.3">
      <c r="A1019" t="s">
        <v>988</v>
      </c>
      <c r="B1019">
        <v>1047</v>
      </c>
      <c r="C1019">
        <v>436943718</v>
      </c>
      <c r="D1019">
        <v>435</v>
      </c>
      <c r="E1019">
        <v>555</v>
      </c>
      <c r="F1019">
        <v>1</v>
      </c>
      <c r="G1019">
        <v>121.152940526866</v>
      </c>
      <c r="H1019">
        <v>3</v>
      </c>
      <c r="I1019">
        <v>45</v>
      </c>
      <c r="K1019" t="s">
        <v>890</v>
      </c>
      <c r="L1019">
        <v>4</v>
      </c>
      <c r="M1019" t="s">
        <v>1858</v>
      </c>
      <c r="N1019" t="s">
        <v>726</v>
      </c>
      <c r="O1019">
        <v>0</v>
      </c>
    </row>
    <row r="1020" spans="1:15" x14ac:dyDescent="0.3">
      <c r="A1020" t="s">
        <v>988</v>
      </c>
      <c r="B1020">
        <v>1048</v>
      </c>
      <c r="C1020">
        <v>436943719</v>
      </c>
      <c r="D1020">
        <v>573</v>
      </c>
      <c r="E1020">
        <v>426</v>
      </c>
      <c r="F1020">
        <v>1</v>
      </c>
      <c r="G1020">
        <v>58.766291851493101</v>
      </c>
      <c r="H1020">
        <v>4</v>
      </c>
      <c r="I1020">
        <v>45</v>
      </c>
      <c r="K1020" t="s">
        <v>890</v>
      </c>
      <c r="L1020">
        <v>4</v>
      </c>
      <c r="M1020" t="s">
        <v>1859</v>
      </c>
      <c r="N1020" t="s">
        <v>726</v>
      </c>
      <c r="O1020">
        <v>0</v>
      </c>
    </row>
    <row r="1021" spans="1:15" x14ac:dyDescent="0.3">
      <c r="A1021" t="s">
        <v>988</v>
      </c>
      <c r="B1021">
        <v>1049</v>
      </c>
      <c r="C1021">
        <v>436943720</v>
      </c>
      <c r="D1021">
        <v>562</v>
      </c>
      <c r="E1021">
        <v>565</v>
      </c>
      <c r="F1021">
        <v>1</v>
      </c>
      <c r="G1021">
        <v>108.15724024198499</v>
      </c>
      <c r="H1021">
        <v>3</v>
      </c>
      <c r="I1021">
        <v>45</v>
      </c>
      <c r="K1021" t="s">
        <v>890</v>
      </c>
      <c r="L1021">
        <v>4</v>
      </c>
      <c r="M1021" t="s">
        <v>1860</v>
      </c>
      <c r="N1021" t="s">
        <v>726</v>
      </c>
      <c r="O1021">
        <v>0</v>
      </c>
    </row>
    <row r="1022" spans="1:15" x14ac:dyDescent="0.3">
      <c r="A1022" t="s">
        <v>988</v>
      </c>
      <c r="B1022">
        <v>1050</v>
      </c>
      <c r="C1022">
        <v>436943721</v>
      </c>
      <c r="D1022">
        <v>566</v>
      </c>
      <c r="E1022">
        <v>564</v>
      </c>
      <c r="F1022">
        <v>1</v>
      </c>
      <c r="G1022">
        <v>28.051087039444699</v>
      </c>
      <c r="H1022">
        <v>4</v>
      </c>
      <c r="I1022">
        <v>40</v>
      </c>
      <c r="K1022" t="s">
        <v>890</v>
      </c>
      <c r="L1022">
        <v>4</v>
      </c>
      <c r="M1022" t="s">
        <v>1861</v>
      </c>
      <c r="N1022" t="s">
        <v>726</v>
      </c>
      <c r="O1022">
        <v>0</v>
      </c>
    </row>
    <row r="1023" spans="1:15" x14ac:dyDescent="0.3">
      <c r="A1023" t="s">
        <v>988</v>
      </c>
      <c r="B1023">
        <v>1051</v>
      </c>
      <c r="C1023">
        <v>436943722</v>
      </c>
      <c r="D1023">
        <v>570</v>
      </c>
      <c r="E1023">
        <v>568</v>
      </c>
      <c r="F1023">
        <v>1</v>
      </c>
      <c r="G1023">
        <v>45.188534246076301</v>
      </c>
      <c r="H1023">
        <v>3</v>
      </c>
      <c r="I1023">
        <v>40</v>
      </c>
      <c r="K1023" t="s">
        <v>890</v>
      </c>
      <c r="L1023">
        <v>4</v>
      </c>
      <c r="M1023" t="s">
        <v>1862</v>
      </c>
      <c r="N1023" t="s">
        <v>726</v>
      </c>
      <c r="O1023">
        <v>0</v>
      </c>
    </row>
    <row r="1024" spans="1:15" x14ac:dyDescent="0.3">
      <c r="A1024" t="s">
        <v>988</v>
      </c>
      <c r="B1024">
        <v>1052</v>
      </c>
      <c r="C1024">
        <v>436943723</v>
      </c>
      <c r="D1024">
        <v>430</v>
      </c>
      <c r="E1024">
        <v>561</v>
      </c>
      <c r="F1024">
        <v>1</v>
      </c>
      <c r="G1024">
        <v>89.676200168077997</v>
      </c>
      <c r="H1024">
        <v>3</v>
      </c>
      <c r="I1024">
        <v>45</v>
      </c>
      <c r="K1024" t="s">
        <v>890</v>
      </c>
      <c r="L1024">
        <v>4</v>
      </c>
      <c r="M1024" t="s">
        <v>1863</v>
      </c>
      <c r="N1024" t="s">
        <v>726</v>
      </c>
      <c r="O1024">
        <v>0</v>
      </c>
    </row>
    <row r="1025" spans="1:15" x14ac:dyDescent="0.3">
      <c r="A1025" t="s">
        <v>988</v>
      </c>
      <c r="B1025">
        <v>1053</v>
      </c>
      <c r="C1025">
        <v>436943724</v>
      </c>
      <c r="D1025">
        <v>578</v>
      </c>
      <c r="E1025">
        <v>427</v>
      </c>
      <c r="F1025">
        <v>1</v>
      </c>
      <c r="G1025">
        <v>58.283748710781097</v>
      </c>
      <c r="H1025">
        <v>4</v>
      </c>
      <c r="I1025">
        <v>45</v>
      </c>
      <c r="K1025" t="s">
        <v>890</v>
      </c>
      <c r="L1025">
        <v>4</v>
      </c>
      <c r="M1025" t="s">
        <v>1864</v>
      </c>
      <c r="N1025" t="s">
        <v>726</v>
      </c>
      <c r="O1025">
        <v>0</v>
      </c>
    </row>
    <row r="1026" spans="1:15" x14ac:dyDescent="0.3">
      <c r="A1026" t="s">
        <v>988</v>
      </c>
      <c r="B1026">
        <v>1054</v>
      </c>
      <c r="C1026">
        <v>436943725</v>
      </c>
      <c r="D1026">
        <v>572</v>
      </c>
      <c r="E1026">
        <v>570</v>
      </c>
      <c r="F1026">
        <v>1</v>
      </c>
      <c r="G1026">
        <v>39.330613474686203</v>
      </c>
      <c r="H1026">
        <v>4</v>
      </c>
      <c r="I1026">
        <v>40</v>
      </c>
      <c r="K1026" t="s">
        <v>890</v>
      </c>
      <c r="L1026">
        <v>4</v>
      </c>
      <c r="M1026" t="s">
        <v>1865</v>
      </c>
      <c r="N1026" t="s">
        <v>726</v>
      </c>
      <c r="O1026">
        <v>0</v>
      </c>
    </row>
    <row r="1027" spans="1:15" x14ac:dyDescent="0.3">
      <c r="A1027" t="s">
        <v>988</v>
      </c>
      <c r="B1027">
        <v>1055</v>
      </c>
      <c r="C1027">
        <v>436943726</v>
      </c>
      <c r="D1027">
        <v>561</v>
      </c>
      <c r="E1027">
        <v>562</v>
      </c>
      <c r="F1027">
        <v>1</v>
      </c>
      <c r="G1027">
        <v>40.350119437111701</v>
      </c>
      <c r="H1027">
        <v>4</v>
      </c>
      <c r="I1027">
        <v>45</v>
      </c>
      <c r="K1027" t="s">
        <v>890</v>
      </c>
      <c r="L1027">
        <v>4</v>
      </c>
      <c r="M1027" t="s">
        <v>1866</v>
      </c>
      <c r="N1027" t="s">
        <v>726</v>
      </c>
      <c r="O1027">
        <v>0</v>
      </c>
    </row>
    <row r="1028" spans="1:15" x14ac:dyDescent="0.3">
      <c r="A1028" t="s">
        <v>988</v>
      </c>
      <c r="B1028">
        <v>1056</v>
      </c>
      <c r="C1028">
        <v>436943727</v>
      </c>
      <c r="D1028">
        <v>560</v>
      </c>
      <c r="E1028">
        <v>429</v>
      </c>
      <c r="F1028">
        <v>1</v>
      </c>
      <c r="G1028">
        <v>61.458064339168203</v>
      </c>
      <c r="H1028">
        <v>4</v>
      </c>
      <c r="I1028">
        <v>40</v>
      </c>
      <c r="K1028" t="s">
        <v>890</v>
      </c>
      <c r="L1028">
        <v>4</v>
      </c>
      <c r="M1028" t="s">
        <v>1867</v>
      </c>
      <c r="N1028" t="s">
        <v>726</v>
      </c>
      <c r="O1028">
        <v>0</v>
      </c>
    </row>
    <row r="1029" spans="1:15" x14ac:dyDescent="0.3">
      <c r="A1029" t="s">
        <v>988</v>
      </c>
      <c r="B1029">
        <v>1057</v>
      </c>
      <c r="C1029">
        <v>436943728</v>
      </c>
      <c r="D1029">
        <v>563</v>
      </c>
      <c r="E1029">
        <v>430</v>
      </c>
      <c r="F1029">
        <v>1</v>
      </c>
      <c r="G1029">
        <v>44.360095567670697</v>
      </c>
      <c r="H1029">
        <v>4</v>
      </c>
      <c r="I1029">
        <v>45</v>
      </c>
      <c r="K1029" t="s">
        <v>890</v>
      </c>
      <c r="L1029">
        <v>4</v>
      </c>
      <c r="M1029" t="s">
        <v>1868</v>
      </c>
      <c r="N1029" t="s">
        <v>726</v>
      </c>
      <c r="O1029">
        <v>0</v>
      </c>
    </row>
    <row r="1030" spans="1:15" x14ac:dyDescent="0.3">
      <c r="A1030" t="s">
        <v>988</v>
      </c>
      <c r="B1030">
        <v>1058</v>
      </c>
      <c r="C1030">
        <v>436943729</v>
      </c>
      <c r="D1030">
        <v>557</v>
      </c>
      <c r="E1030">
        <v>434</v>
      </c>
      <c r="F1030">
        <v>1</v>
      </c>
      <c r="G1030">
        <v>58.6455157283742</v>
      </c>
      <c r="H1030">
        <v>4</v>
      </c>
      <c r="I1030">
        <v>45</v>
      </c>
      <c r="K1030" t="s">
        <v>890</v>
      </c>
      <c r="L1030">
        <v>4</v>
      </c>
      <c r="M1030" t="s">
        <v>1869</v>
      </c>
      <c r="N1030" t="s">
        <v>726</v>
      </c>
      <c r="O1030">
        <v>0</v>
      </c>
    </row>
    <row r="1031" spans="1:15" x14ac:dyDescent="0.3">
      <c r="A1031" t="s">
        <v>988</v>
      </c>
      <c r="B1031">
        <v>1059</v>
      </c>
      <c r="C1031">
        <v>436943730</v>
      </c>
      <c r="D1031">
        <v>574</v>
      </c>
      <c r="E1031">
        <v>578</v>
      </c>
      <c r="F1031">
        <v>1</v>
      </c>
      <c r="G1031">
        <v>96.731165990369703</v>
      </c>
      <c r="H1031">
        <v>3</v>
      </c>
      <c r="I1031">
        <v>45</v>
      </c>
      <c r="K1031" t="s">
        <v>890</v>
      </c>
      <c r="L1031">
        <v>4</v>
      </c>
      <c r="M1031" t="s">
        <v>1870</v>
      </c>
      <c r="N1031" t="s">
        <v>726</v>
      </c>
      <c r="O1031">
        <v>0</v>
      </c>
    </row>
    <row r="1032" spans="1:15" x14ac:dyDescent="0.3">
      <c r="A1032" t="s">
        <v>988</v>
      </c>
      <c r="B1032">
        <v>1060</v>
      </c>
      <c r="C1032">
        <v>436943731</v>
      </c>
      <c r="D1032">
        <v>428</v>
      </c>
      <c r="E1032">
        <v>563</v>
      </c>
      <c r="F1032">
        <v>1</v>
      </c>
      <c r="G1032">
        <v>111.05337707416101</v>
      </c>
      <c r="H1032">
        <v>3</v>
      </c>
      <c r="I1032">
        <v>45</v>
      </c>
      <c r="K1032" t="s">
        <v>890</v>
      </c>
      <c r="L1032">
        <v>4</v>
      </c>
      <c r="M1032" t="s">
        <v>1871</v>
      </c>
      <c r="N1032" t="s">
        <v>726</v>
      </c>
      <c r="O1032">
        <v>0</v>
      </c>
    </row>
    <row r="1033" spans="1:15" x14ac:dyDescent="0.3">
      <c r="A1033" t="s">
        <v>988</v>
      </c>
      <c r="B1033">
        <v>1061</v>
      </c>
      <c r="C1033">
        <v>436943732</v>
      </c>
      <c r="D1033">
        <v>581</v>
      </c>
      <c r="E1033">
        <v>424</v>
      </c>
      <c r="F1033">
        <v>1</v>
      </c>
      <c r="G1033">
        <v>40.702781430982</v>
      </c>
      <c r="H1033">
        <v>4</v>
      </c>
      <c r="I1033">
        <v>40</v>
      </c>
      <c r="K1033" t="s">
        <v>890</v>
      </c>
      <c r="L1033">
        <v>4</v>
      </c>
      <c r="M1033" t="s">
        <v>1872</v>
      </c>
      <c r="N1033" t="s">
        <v>726</v>
      </c>
      <c r="O1033">
        <v>0</v>
      </c>
    </row>
    <row r="1034" spans="1:15" x14ac:dyDescent="0.3">
      <c r="A1034" t="s">
        <v>988</v>
      </c>
      <c r="B1034">
        <v>1062</v>
      </c>
      <c r="C1034">
        <v>436943733</v>
      </c>
      <c r="D1034">
        <v>577</v>
      </c>
      <c r="E1034">
        <v>579</v>
      </c>
      <c r="F1034">
        <v>1</v>
      </c>
      <c r="G1034">
        <v>55.090313014022101</v>
      </c>
      <c r="H1034">
        <v>4</v>
      </c>
      <c r="I1034">
        <v>45</v>
      </c>
      <c r="K1034" t="s">
        <v>890</v>
      </c>
      <c r="L1034">
        <v>4</v>
      </c>
      <c r="M1034" t="s">
        <v>1873</v>
      </c>
      <c r="N1034" t="s">
        <v>726</v>
      </c>
      <c r="O1034">
        <v>0</v>
      </c>
    </row>
    <row r="1035" spans="1:15" x14ac:dyDescent="0.3">
      <c r="A1035" t="s">
        <v>988</v>
      </c>
      <c r="B1035">
        <v>1063</v>
      </c>
      <c r="C1035">
        <v>436943734</v>
      </c>
      <c r="D1035">
        <v>424</v>
      </c>
      <c r="E1035">
        <v>572</v>
      </c>
      <c r="F1035">
        <v>1</v>
      </c>
      <c r="G1035">
        <v>97.681265716998993</v>
      </c>
      <c r="H1035">
        <v>3</v>
      </c>
      <c r="I1035">
        <v>40</v>
      </c>
      <c r="K1035" t="s">
        <v>890</v>
      </c>
      <c r="L1035">
        <v>4</v>
      </c>
      <c r="M1035" t="s">
        <v>1874</v>
      </c>
      <c r="N1035" t="s">
        <v>726</v>
      </c>
      <c r="O1035">
        <v>0</v>
      </c>
    </row>
    <row r="1036" spans="1:15" x14ac:dyDescent="0.3">
      <c r="A1036" t="s">
        <v>988</v>
      </c>
      <c r="B1036">
        <v>1064</v>
      </c>
      <c r="C1036">
        <v>436943735</v>
      </c>
      <c r="D1036">
        <v>432</v>
      </c>
      <c r="E1036">
        <v>557</v>
      </c>
      <c r="F1036">
        <v>1</v>
      </c>
      <c r="G1036">
        <v>147.17072893356499</v>
      </c>
      <c r="H1036">
        <v>3</v>
      </c>
      <c r="I1036">
        <v>45</v>
      </c>
      <c r="K1036" t="s">
        <v>890</v>
      </c>
      <c r="L1036">
        <v>4</v>
      </c>
      <c r="M1036" t="s">
        <v>1875</v>
      </c>
      <c r="N1036" t="s">
        <v>726</v>
      </c>
      <c r="O1036">
        <v>0</v>
      </c>
    </row>
    <row r="1037" spans="1:15" x14ac:dyDescent="0.3">
      <c r="A1037" t="s">
        <v>988</v>
      </c>
      <c r="B1037">
        <v>1065</v>
      </c>
      <c r="C1037">
        <v>436943736</v>
      </c>
      <c r="D1037">
        <v>559</v>
      </c>
      <c r="E1037">
        <v>428</v>
      </c>
      <c r="F1037">
        <v>1</v>
      </c>
      <c r="G1037">
        <v>42.513411159154998</v>
      </c>
      <c r="H1037">
        <v>4</v>
      </c>
      <c r="I1037">
        <v>40</v>
      </c>
      <c r="K1037" t="s">
        <v>890</v>
      </c>
      <c r="L1037">
        <v>4</v>
      </c>
      <c r="M1037" t="s">
        <v>1876</v>
      </c>
      <c r="N1037" t="s">
        <v>726</v>
      </c>
      <c r="O1037">
        <v>0</v>
      </c>
    </row>
    <row r="1038" spans="1:15" x14ac:dyDescent="0.3">
      <c r="A1038" t="s">
        <v>988</v>
      </c>
      <c r="B1038">
        <v>1066</v>
      </c>
      <c r="C1038">
        <v>436943737</v>
      </c>
      <c r="D1038">
        <v>427</v>
      </c>
      <c r="E1038">
        <v>581</v>
      </c>
      <c r="F1038">
        <v>1</v>
      </c>
      <c r="G1038">
        <v>62.311927503099398</v>
      </c>
      <c r="H1038">
        <v>3</v>
      </c>
      <c r="I1038">
        <v>40</v>
      </c>
      <c r="K1038" t="s">
        <v>890</v>
      </c>
      <c r="L1038">
        <v>4</v>
      </c>
      <c r="M1038" t="s">
        <v>1877</v>
      </c>
      <c r="N1038" t="s">
        <v>726</v>
      </c>
      <c r="O1038">
        <v>0</v>
      </c>
    </row>
    <row r="1039" spans="1:15" x14ac:dyDescent="0.3">
      <c r="A1039" t="s">
        <v>988</v>
      </c>
      <c r="B1039">
        <v>1067</v>
      </c>
      <c r="C1039">
        <v>436943738</v>
      </c>
      <c r="D1039">
        <v>580</v>
      </c>
      <c r="E1039">
        <v>574</v>
      </c>
      <c r="F1039">
        <v>1</v>
      </c>
      <c r="G1039">
        <v>43.0994631197579</v>
      </c>
      <c r="H1039">
        <v>4</v>
      </c>
      <c r="I1039">
        <v>45</v>
      </c>
      <c r="K1039" t="s">
        <v>890</v>
      </c>
      <c r="L1039">
        <v>4</v>
      </c>
      <c r="M1039" t="s">
        <v>1878</v>
      </c>
      <c r="N1039" t="s">
        <v>726</v>
      </c>
      <c r="O1039">
        <v>0</v>
      </c>
    </row>
    <row r="1040" spans="1:15" x14ac:dyDescent="0.3">
      <c r="A1040" t="s">
        <v>988</v>
      </c>
      <c r="B1040">
        <v>1068</v>
      </c>
      <c r="C1040">
        <v>436943739</v>
      </c>
      <c r="D1040">
        <v>579</v>
      </c>
      <c r="E1040">
        <v>580</v>
      </c>
      <c r="F1040">
        <v>1</v>
      </c>
      <c r="G1040">
        <v>87.912444961287207</v>
      </c>
      <c r="H1040">
        <v>3</v>
      </c>
      <c r="I1040">
        <v>45</v>
      </c>
      <c r="K1040" t="s">
        <v>890</v>
      </c>
      <c r="L1040">
        <v>4</v>
      </c>
      <c r="M1040" t="s">
        <v>1879</v>
      </c>
      <c r="N1040" t="s">
        <v>726</v>
      </c>
      <c r="O1040">
        <v>0</v>
      </c>
    </row>
    <row r="1041" spans="1:15" x14ac:dyDescent="0.3">
      <c r="A1041" t="s">
        <v>988</v>
      </c>
      <c r="B1041">
        <v>1069</v>
      </c>
      <c r="C1041">
        <v>436943740</v>
      </c>
      <c r="D1041">
        <v>558</v>
      </c>
      <c r="E1041">
        <v>432</v>
      </c>
      <c r="F1041">
        <v>1</v>
      </c>
      <c r="G1041">
        <v>62.135709872162501</v>
      </c>
      <c r="H1041">
        <v>4</v>
      </c>
      <c r="I1041">
        <v>45</v>
      </c>
      <c r="K1041" t="s">
        <v>890</v>
      </c>
      <c r="L1041">
        <v>4</v>
      </c>
      <c r="M1041" t="s">
        <v>1880</v>
      </c>
      <c r="N1041" t="s">
        <v>726</v>
      </c>
      <c r="O1041">
        <v>0</v>
      </c>
    </row>
    <row r="1042" spans="1:15" x14ac:dyDescent="0.3">
      <c r="A1042" t="s">
        <v>988</v>
      </c>
      <c r="B1042">
        <v>1070</v>
      </c>
      <c r="C1042">
        <v>436943741</v>
      </c>
      <c r="D1042">
        <v>434</v>
      </c>
      <c r="E1042">
        <v>556</v>
      </c>
      <c r="F1042">
        <v>1</v>
      </c>
      <c r="G1042">
        <v>122.897858082079</v>
      </c>
      <c r="H1042">
        <v>3</v>
      </c>
      <c r="I1042">
        <v>45</v>
      </c>
      <c r="K1042" t="s">
        <v>890</v>
      </c>
      <c r="L1042">
        <v>4</v>
      </c>
      <c r="M1042" t="s">
        <v>1881</v>
      </c>
      <c r="N1042" t="s">
        <v>726</v>
      </c>
      <c r="O1042">
        <v>0</v>
      </c>
    </row>
    <row r="1043" spans="1:15" x14ac:dyDescent="0.3">
      <c r="A1043" t="s">
        <v>988</v>
      </c>
      <c r="B1043">
        <v>1071</v>
      </c>
      <c r="C1043">
        <v>436943742</v>
      </c>
      <c r="D1043">
        <v>431</v>
      </c>
      <c r="E1043">
        <v>566</v>
      </c>
      <c r="F1043">
        <v>1</v>
      </c>
      <c r="G1043">
        <v>73.106826161740301</v>
      </c>
      <c r="H1043">
        <v>3</v>
      </c>
      <c r="I1043">
        <v>40</v>
      </c>
      <c r="K1043" t="s">
        <v>890</v>
      </c>
      <c r="L1043">
        <v>4</v>
      </c>
      <c r="M1043" t="s">
        <v>1882</v>
      </c>
      <c r="N1043" t="s">
        <v>726</v>
      </c>
      <c r="O1043">
        <v>0</v>
      </c>
    </row>
    <row r="1044" spans="1:15" x14ac:dyDescent="0.3">
      <c r="A1044" t="s">
        <v>988</v>
      </c>
      <c r="B1044">
        <v>1072</v>
      </c>
      <c r="C1044">
        <v>436943743</v>
      </c>
      <c r="D1044">
        <v>1968</v>
      </c>
      <c r="E1044">
        <v>571</v>
      </c>
      <c r="F1044">
        <v>1</v>
      </c>
      <c r="G1044">
        <v>141.656827543508</v>
      </c>
      <c r="H1044">
        <v>3</v>
      </c>
      <c r="I1044">
        <v>45</v>
      </c>
      <c r="K1044" t="s">
        <v>890</v>
      </c>
      <c r="L1044">
        <v>4</v>
      </c>
      <c r="M1044" t="s">
        <v>1883</v>
      </c>
      <c r="N1044" t="s">
        <v>726</v>
      </c>
      <c r="O1044">
        <v>0</v>
      </c>
    </row>
    <row r="1045" spans="1:15" x14ac:dyDescent="0.3">
      <c r="A1045" t="s">
        <v>988</v>
      </c>
      <c r="B1045">
        <v>1073</v>
      </c>
      <c r="C1045">
        <v>436943744</v>
      </c>
      <c r="D1045">
        <v>426</v>
      </c>
      <c r="E1045">
        <v>575</v>
      </c>
      <c r="F1045">
        <v>1</v>
      </c>
      <c r="G1045">
        <v>147.00339920782901</v>
      </c>
      <c r="H1045">
        <v>3</v>
      </c>
      <c r="I1045">
        <v>45</v>
      </c>
      <c r="K1045" t="s">
        <v>890</v>
      </c>
      <c r="L1045">
        <v>4</v>
      </c>
      <c r="M1045" t="s">
        <v>1884</v>
      </c>
      <c r="N1045" t="s">
        <v>726</v>
      </c>
      <c r="O1045">
        <v>0</v>
      </c>
    </row>
    <row r="1046" spans="1:15" x14ac:dyDescent="0.3">
      <c r="A1046" t="s">
        <v>988</v>
      </c>
      <c r="B1046">
        <v>1074</v>
      </c>
      <c r="C1046">
        <v>436943745</v>
      </c>
      <c r="D1046">
        <v>567</v>
      </c>
      <c r="E1046">
        <v>431</v>
      </c>
      <c r="F1046">
        <v>1</v>
      </c>
      <c r="G1046">
        <v>67.259643679115399</v>
      </c>
      <c r="H1046">
        <v>4</v>
      </c>
      <c r="I1046">
        <v>40</v>
      </c>
      <c r="K1046" t="s">
        <v>890</v>
      </c>
      <c r="L1046">
        <v>4</v>
      </c>
      <c r="M1046" t="s">
        <v>1885</v>
      </c>
      <c r="N1046" t="s">
        <v>726</v>
      </c>
      <c r="O1046">
        <v>1</v>
      </c>
    </row>
    <row r="1047" spans="1:15" x14ac:dyDescent="0.3">
      <c r="A1047" t="s">
        <v>988</v>
      </c>
      <c r="B1047">
        <v>1075</v>
      </c>
      <c r="C1047">
        <v>436943745</v>
      </c>
      <c r="D1047">
        <v>431</v>
      </c>
      <c r="E1047">
        <v>567</v>
      </c>
      <c r="F1047">
        <v>1</v>
      </c>
      <c r="G1047">
        <v>67.259643679115399</v>
      </c>
      <c r="H1047">
        <v>2</v>
      </c>
      <c r="I1047">
        <v>40</v>
      </c>
      <c r="K1047" t="s">
        <v>890</v>
      </c>
      <c r="L1047">
        <v>4</v>
      </c>
      <c r="M1047" t="s">
        <v>1886</v>
      </c>
      <c r="N1047" t="s">
        <v>726</v>
      </c>
      <c r="O1047">
        <v>1</v>
      </c>
    </row>
    <row r="1048" spans="1:15" x14ac:dyDescent="0.3">
      <c r="A1048" t="s">
        <v>988</v>
      </c>
      <c r="B1048">
        <v>1076</v>
      </c>
      <c r="C1048">
        <v>436943746</v>
      </c>
      <c r="D1048">
        <v>569</v>
      </c>
      <c r="E1048">
        <v>717</v>
      </c>
      <c r="F1048">
        <v>1</v>
      </c>
      <c r="G1048">
        <v>26.111158758776199</v>
      </c>
      <c r="H1048">
        <v>5</v>
      </c>
      <c r="I1048">
        <v>45</v>
      </c>
      <c r="K1048" t="s">
        <v>890</v>
      </c>
      <c r="L1048">
        <v>4</v>
      </c>
      <c r="M1048" t="s">
        <v>1887</v>
      </c>
      <c r="N1048" t="s">
        <v>726</v>
      </c>
      <c r="O1048">
        <v>0</v>
      </c>
    </row>
    <row r="1049" spans="1:15" x14ac:dyDescent="0.3">
      <c r="A1049" t="s">
        <v>988</v>
      </c>
      <c r="B1049">
        <v>1077</v>
      </c>
      <c r="C1049">
        <v>436943746</v>
      </c>
      <c r="D1049">
        <v>717</v>
      </c>
      <c r="E1049">
        <v>1968</v>
      </c>
      <c r="F1049">
        <v>1</v>
      </c>
      <c r="G1049">
        <v>52.167413661602097</v>
      </c>
      <c r="H1049">
        <v>5</v>
      </c>
      <c r="I1049">
        <v>45</v>
      </c>
      <c r="K1049" t="s">
        <v>890</v>
      </c>
      <c r="L1049">
        <v>4</v>
      </c>
      <c r="M1049" t="s">
        <v>1888</v>
      </c>
      <c r="N1049" t="s">
        <v>726</v>
      </c>
      <c r="O1049">
        <v>0</v>
      </c>
    </row>
    <row r="1050" spans="1:15" x14ac:dyDescent="0.3">
      <c r="A1050" t="s">
        <v>988</v>
      </c>
      <c r="B1050">
        <v>1078</v>
      </c>
      <c r="C1050">
        <v>436943747</v>
      </c>
      <c r="D1050">
        <v>565</v>
      </c>
      <c r="E1050">
        <v>1954</v>
      </c>
      <c r="F1050">
        <v>1</v>
      </c>
      <c r="G1050">
        <v>62.794692749388602</v>
      </c>
      <c r="H1050">
        <v>4</v>
      </c>
      <c r="I1050">
        <v>45</v>
      </c>
      <c r="K1050" t="s">
        <v>890</v>
      </c>
      <c r="L1050">
        <v>4</v>
      </c>
      <c r="M1050" t="s">
        <v>1889</v>
      </c>
      <c r="N1050" t="s">
        <v>726</v>
      </c>
      <c r="O1050">
        <v>0</v>
      </c>
    </row>
    <row r="1051" spans="1:15" x14ac:dyDescent="0.3">
      <c r="A1051" t="s">
        <v>988</v>
      </c>
      <c r="B1051">
        <v>1079</v>
      </c>
      <c r="C1051">
        <v>436943748</v>
      </c>
      <c r="D1051">
        <v>805</v>
      </c>
      <c r="E1051">
        <v>569</v>
      </c>
      <c r="F1051">
        <v>1</v>
      </c>
      <c r="G1051">
        <v>70.851963797057806</v>
      </c>
      <c r="H1051">
        <v>3</v>
      </c>
      <c r="I1051">
        <v>45</v>
      </c>
      <c r="K1051" t="s">
        <v>890</v>
      </c>
      <c r="L1051">
        <v>4</v>
      </c>
      <c r="M1051" t="s">
        <v>1890</v>
      </c>
      <c r="N1051" t="s">
        <v>726</v>
      </c>
      <c r="O1051">
        <v>0</v>
      </c>
    </row>
    <row r="1052" spans="1:15" x14ac:dyDescent="0.3">
      <c r="A1052" t="s">
        <v>988</v>
      </c>
      <c r="B1052">
        <v>1080</v>
      </c>
      <c r="C1052">
        <v>436943749</v>
      </c>
      <c r="D1052">
        <v>576</v>
      </c>
      <c r="E1052">
        <v>1954</v>
      </c>
      <c r="F1052">
        <v>1</v>
      </c>
      <c r="G1052">
        <v>63.4443560433564</v>
      </c>
      <c r="H1052">
        <v>4</v>
      </c>
      <c r="I1052">
        <v>45</v>
      </c>
      <c r="K1052" t="s">
        <v>890</v>
      </c>
      <c r="L1052">
        <v>4</v>
      </c>
      <c r="M1052" t="s">
        <v>1891</v>
      </c>
      <c r="N1052" t="s">
        <v>726</v>
      </c>
      <c r="O1052">
        <v>0</v>
      </c>
    </row>
    <row r="1053" spans="1:15" x14ac:dyDescent="0.3">
      <c r="A1053" t="s">
        <v>988</v>
      </c>
      <c r="B1053">
        <v>1081</v>
      </c>
      <c r="C1053">
        <v>436943750</v>
      </c>
      <c r="D1053">
        <v>555</v>
      </c>
      <c r="E1053">
        <v>1968</v>
      </c>
      <c r="F1053">
        <v>1</v>
      </c>
      <c r="G1053">
        <v>76.165271012958399</v>
      </c>
      <c r="H1053">
        <v>5</v>
      </c>
      <c r="I1053">
        <v>45</v>
      </c>
      <c r="K1053" t="s">
        <v>890</v>
      </c>
      <c r="L1053">
        <v>4</v>
      </c>
      <c r="M1053" t="s">
        <v>1892</v>
      </c>
      <c r="N1053" t="s">
        <v>726</v>
      </c>
      <c r="O1053">
        <v>0</v>
      </c>
    </row>
    <row r="1054" spans="1:15" x14ac:dyDescent="0.3">
      <c r="A1054" t="s">
        <v>988</v>
      </c>
      <c r="B1054">
        <v>1082</v>
      </c>
      <c r="C1054">
        <v>436943751</v>
      </c>
      <c r="D1054">
        <v>1954</v>
      </c>
      <c r="E1054">
        <v>577</v>
      </c>
      <c r="F1054">
        <v>1</v>
      </c>
      <c r="G1054">
        <v>115.13736833573699</v>
      </c>
      <c r="H1054">
        <v>3</v>
      </c>
      <c r="I1054">
        <v>45</v>
      </c>
      <c r="K1054" t="s">
        <v>890</v>
      </c>
      <c r="L1054">
        <v>4</v>
      </c>
      <c r="M1054" t="s">
        <v>1893</v>
      </c>
      <c r="N1054" t="s">
        <v>726</v>
      </c>
      <c r="O1054">
        <v>0</v>
      </c>
    </row>
    <row r="1055" spans="1:15" x14ac:dyDescent="0.3">
      <c r="A1055" t="s">
        <v>988</v>
      </c>
      <c r="B1055">
        <v>1083</v>
      </c>
      <c r="C1055">
        <v>436943752</v>
      </c>
      <c r="D1055">
        <v>556</v>
      </c>
      <c r="E1055">
        <v>435</v>
      </c>
      <c r="F1055">
        <v>1</v>
      </c>
      <c r="G1055">
        <v>64.372743391307793</v>
      </c>
      <c r="H1055">
        <v>4</v>
      </c>
      <c r="I1055">
        <v>45</v>
      </c>
      <c r="K1055" t="s">
        <v>890</v>
      </c>
      <c r="L1055">
        <v>4</v>
      </c>
      <c r="M1055" t="s">
        <v>1894</v>
      </c>
      <c r="N1055" t="s">
        <v>726</v>
      </c>
      <c r="O1055">
        <v>0</v>
      </c>
    </row>
    <row r="1056" spans="1:15" x14ac:dyDescent="0.3">
      <c r="A1056" t="s">
        <v>988</v>
      </c>
      <c r="B1056">
        <v>1084</v>
      </c>
      <c r="C1056">
        <v>436943753</v>
      </c>
      <c r="D1056">
        <v>421</v>
      </c>
      <c r="E1056">
        <v>573</v>
      </c>
      <c r="F1056">
        <v>1</v>
      </c>
      <c r="G1056">
        <v>128.58774542059999</v>
      </c>
      <c r="H1056">
        <v>3</v>
      </c>
      <c r="I1056">
        <v>45</v>
      </c>
      <c r="K1056" t="s">
        <v>890</v>
      </c>
      <c r="L1056">
        <v>4</v>
      </c>
      <c r="M1056" t="s">
        <v>1895</v>
      </c>
      <c r="N1056" t="s">
        <v>726</v>
      </c>
      <c r="O1056">
        <v>0</v>
      </c>
    </row>
    <row r="1057" spans="1:15" x14ac:dyDescent="0.3">
      <c r="A1057" t="s">
        <v>988</v>
      </c>
      <c r="B1057">
        <v>1085</v>
      </c>
      <c r="C1057">
        <v>436943754</v>
      </c>
      <c r="D1057">
        <v>1954</v>
      </c>
      <c r="E1057">
        <v>558</v>
      </c>
      <c r="F1057">
        <v>1</v>
      </c>
      <c r="G1057">
        <v>145.06413670329999</v>
      </c>
      <c r="H1057">
        <v>3</v>
      </c>
      <c r="I1057">
        <v>45</v>
      </c>
      <c r="K1057" t="s">
        <v>890</v>
      </c>
      <c r="L1057">
        <v>4</v>
      </c>
      <c r="M1057" t="s">
        <v>1896</v>
      </c>
      <c r="N1057" t="s">
        <v>726</v>
      </c>
      <c r="O1057">
        <v>0</v>
      </c>
    </row>
    <row r="1058" spans="1:15" x14ac:dyDescent="0.3">
      <c r="A1058" t="s">
        <v>1221</v>
      </c>
      <c r="B1058">
        <v>1086</v>
      </c>
      <c r="C1058">
        <v>436943756</v>
      </c>
      <c r="D1058">
        <v>584</v>
      </c>
      <c r="E1058">
        <v>582</v>
      </c>
      <c r="F1058">
        <v>1</v>
      </c>
      <c r="G1058">
        <v>32.969990816821401</v>
      </c>
      <c r="H1058">
        <v>4</v>
      </c>
      <c r="I1058">
        <v>40</v>
      </c>
      <c r="K1058" t="s">
        <v>890</v>
      </c>
      <c r="L1058">
        <v>4</v>
      </c>
      <c r="M1058" t="s">
        <v>1897</v>
      </c>
      <c r="N1058" t="s">
        <v>726</v>
      </c>
      <c r="O1058">
        <v>1</v>
      </c>
    </row>
    <row r="1059" spans="1:15" x14ac:dyDescent="0.3">
      <c r="A1059" t="s">
        <v>1221</v>
      </c>
      <c r="B1059">
        <v>1087</v>
      </c>
      <c r="C1059">
        <v>436943756</v>
      </c>
      <c r="D1059">
        <v>582</v>
      </c>
      <c r="E1059">
        <v>584</v>
      </c>
      <c r="F1059">
        <v>1</v>
      </c>
      <c r="G1059">
        <v>32.969990816821401</v>
      </c>
      <c r="H1059">
        <v>2</v>
      </c>
      <c r="I1059">
        <v>40</v>
      </c>
      <c r="K1059" t="s">
        <v>890</v>
      </c>
      <c r="L1059">
        <v>4</v>
      </c>
      <c r="M1059" t="s">
        <v>1898</v>
      </c>
      <c r="N1059" t="s">
        <v>726</v>
      </c>
      <c r="O1059">
        <v>1</v>
      </c>
    </row>
    <row r="1060" spans="1:15" x14ac:dyDescent="0.3">
      <c r="A1060" t="s">
        <v>1221</v>
      </c>
      <c r="B1060">
        <v>1088</v>
      </c>
      <c r="C1060">
        <v>436943757</v>
      </c>
      <c r="D1060">
        <v>1968</v>
      </c>
      <c r="E1060">
        <v>554</v>
      </c>
      <c r="F1060">
        <v>1</v>
      </c>
      <c r="G1060">
        <v>64.374639185721406</v>
      </c>
      <c r="H1060">
        <v>3</v>
      </c>
      <c r="I1060">
        <v>40</v>
      </c>
      <c r="K1060" t="s">
        <v>890</v>
      </c>
      <c r="L1060">
        <v>4</v>
      </c>
      <c r="M1060" t="s">
        <v>1899</v>
      </c>
      <c r="N1060" t="s">
        <v>726</v>
      </c>
      <c r="O1060">
        <v>1</v>
      </c>
    </row>
    <row r="1061" spans="1:15" x14ac:dyDescent="0.3">
      <c r="A1061" t="s">
        <v>1221</v>
      </c>
      <c r="B1061">
        <v>1089</v>
      </c>
      <c r="C1061">
        <v>436943757</v>
      </c>
      <c r="D1061">
        <v>554</v>
      </c>
      <c r="E1061">
        <v>1968</v>
      </c>
      <c r="F1061">
        <v>1</v>
      </c>
      <c r="G1061">
        <v>64.374639185721406</v>
      </c>
      <c r="H1061">
        <v>4</v>
      </c>
      <c r="I1061">
        <v>40</v>
      </c>
      <c r="K1061" t="s">
        <v>890</v>
      </c>
      <c r="L1061">
        <v>4</v>
      </c>
      <c r="M1061" t="s">
        <v>1900</v>
      </c>
      <c r="N1061" t="s">
        <v>726</v>
      </c>
      <c r="O1061">
        <v>1</v>
      </c>
    </row>
    <row r="1062" spans="1:15" x14ac:dyDescent="0.3">
      <c r="A1062" t="s">
        <v>1221</v>
      </c>
      <c r="B1062">
        <v>1090</v>
      </c>
      <c r="C1062">
        <v>436943762</v>
      </c>
      <c r="D1062">
        <v>582</v>
      </c>
      <c r="E1062">
        <v>1968</v>
      </c>
      <c r="F1062">
        <v>1</v>
      </c>
      <c r="G1062">
        <v>72.399397050196995</v>
      </c>
      <c r="H1062">
        <v>6</v>
      </c>
      <c r="I1062">
        <v>40</v>
      </c>
      <c r="K1062" t="s">
        <v>890</v>
      </c>
      <c r="L1062">
        <v>4</v>
      </c>
      <c r="M1062" t="s">
        <v>1901</v>
      </c>
      <c r="N1062" t="s">
        <v>726</v>
      </c>
      <c r="O1062">
        <v>1</v>
      </c>
    </row>
    <row r="1063" spans="1:15" x14ac:dyDescent="0.3">
      <c r="A1063" t="s">
        <v>1221</v>
      </c>
      <c r="B1063">
        <v>1091</v>
      </c>
      <c r="C1063">
        <v>436943762</v>
      </c>
      <c r="D1063">
        <v>1968</v>
      </c>
      <c r="E1063">
        <v>582</v>
      </c>
      <c r="F1063">
        <v>1</v>
      </c>
      <c r="G1063">
        <v>72.399397050196995</v>
      </c>
      <c r="H1063">
        <v>2</v>
      </c>
      <c r="I1063">
        <v>40</v>
      </c>
      <c r="K1063" t="s">
        <v>890</v>
      </c>
      <c r="L1063">
        <v>4</v>
      </c>
      <c r="M1063" t="s">
        <v>1902</v>
      </c>
      <c r="N1063" t="s">
        <v>726</v>
      </c>
      <c r="O1063">
        <v>1</v>
      </c>
    </row>
    <row r="1064" spans="1:15" x14ac:dyDescent="0.3">
      <c r="A1064" t="s">
        <v>1362</v>
      </c>
      <c r="B1064">
        <v>1094</v>
      </c>
      <c r="C1064">
        <v>436943770</v>
      </c>
      <c r="D1064">
        <v>587</v>
      </c>
      <c r="E1064">
        <v>529</v>
      </c>
      <c r="F1064">
        <v>1</v>
      </c>
      <c r="G1064">
        <v>106.958924620763</v>
      </c>
      <c r="H1064">
        <v>3</v>
      </c>
      <c r="I1064">
        <v>35</v>
      </c>
      <c r="K1064" t="s">
        <v>724</v>
      </c>
      <c r="L1064">
        <v>3</v>
      </c>
      <c r="M1064" t="s">
        <v>1903</v>
      </c>
      <c r="N1064" t="s">
        <v>726</v>
      </c>
      <c r="O1064">
        <v>1</v>
      </c>
    </row>
    <row r="1065" spans="1:15" x14ac:dyDescent="0.3">
      <c r="A1065" t="s">
        <v>1362</v>
      </c>
      <c r="B1065">
        <v>1095</v>
      </c>
      <c r="C1065">
        <v>436943770</v>
      </c>
      <c r="D1065">
        <v>529</v>
      </c>
      <c r="E1065">
        <v>587</v>
      </c>
      <c r="F1065">
        <v>1</v>
      </c>
      <c r="G1065">
        <v>106.958924620763</v>
      </c>
      <c r="H1065">
        <v>3</v>
      </c>
      <c r="I1065">
        <v>35</v>
      </c>
      <c r="K1065" t="s">
        <v>724</v>
      </c>
      <c r="L1065">
        <v>3</v>
      </c>
      <c r="M1065" t="s">
        <v>1904</v>
      </c>
      <c r="N1065" t="s">
        <v>726</v>
      </c>
      <c r="O1065">
        <v>1</v>
      </c>
    </row>
    <row r="1066" spans="1:15" x14ac:dyDescent="0.3">
      <c r="A1066" t="s">
        <v>1362</v>
      </c>
      <c r="B1066">
        <v>1096</v>
      </c>
      <c r="C1066">
        <v>436943774</v>
      </c>
      <c r="D1066">
        <v>431</v>
      </c>
      <c r="E1066">
        <v>677</v>
      </c>
      <c r="F1066">
        <v>1</v>
      </c>
      <c r="G1066">
        <v>50.1215357326464</v>
      </c>
      <c r="H1066">
        <v>3</v>
      </c>
      <c r="I1066">
        <v>35</v>
      </c>
      <c r="K1066" t="s">
        <v>724</v>
      </c>
      <c r="L1066">
        <v>3</v>
      </c>
      <c r="M1066" t="s">
        <v>1905</v>
      </c>
      <c r="N1066" t="s">
        <v>726</v>
      </c>
      <c r="O1066">
        <v>1</v>
      </c>
    </row>
    <row r="1067" spans="1:15" x14ac:dyDescent="0.3">
      <c r="A1067" t="s">
        <v>1362</v>
      </c>
      <c r="B1067">
        <v>1097</v>
      </c>
      <c r="C1067">
        <v>436943774</v>
      </c>
      <c r="D1067">
        <v>677</v>
      </c>
      <c r="E1067">
        <v>431</v>
      </c>
      <c r="F1067">
        <v>1</v>
      </c>
      <c r="G1067">
        <v>50.1215357326464</v>
      </c>
      <c r="H1067">
        <v>5</v>
      </c>
      <c r="I1067">
        <v>35</v>
      </c>
      <c r="K1067" t="s">
        <v>724</v>
      </c>
      <c r="L1067">
        <v>3</v>
      </c>
      <c r="M1067" t="s">
        <v>1906</v>
      </c>
      <c r="N1067" t="s">
        <v>726</v>
      </c>
      <c r="O1067">
        <v>1</v>
      </c>
    </row>
    <row r="1068" spans="1:15" x14ac:dyDescent="0.3">
      <c r="A1068" t="s">
        <v>1362</v>
      </c>
      <c r="B1068">
        <v>1098</v>
      </c>
      <c r="C1068">
        <v>436943776</v>
      </c>
      <c r="D1068">
        <v>553</v>
      </c>
      <c r="E1068">
        <v>431</v>
      </c>
      <c r="F1068">
        <v>1</v>
      </c>
      <c r="G1068">
        <v>97.768200895611798</v>
      </c>
      <c r="H1068">
        <v>5</v>
      </c>
      <c r="I1068">
        <v>35</v>
      </c>
      <c r="K1068" t="s">
        <v>724</v>
      </c>
      <c r="L1068">
        <v>3</v>
      </c>
      <c r="M1068" t="s">
        <v>1907</v>
      </c>
      <c r="N1068" t="s">
        <v>726</v>
      </c>
      <c r="O1068">
        <v>1</v>
      </c>
    </row>
    <row r="1069" spans="1:15" x14ac:dyDescent="0.3">
      <c r="A1069" t="s">
        <v>1362</v>
      </c>
      <c r="B1069">
        <v>1099</v>
      </c>
      <c r="C1069">
        <v>436943776</v>
      </c>
      <c r="D1069">
        <v>431</v>
      </c>
      <c r="E1069">
        <v>553</v>
      </c>
      <c r="F1069">
        <v>1</v>
      </c>
      <c r="G1069">
        <v>97.768200895611798</v>
      </c>
      <c r="H1069">
        <v>3</v>
      </c>
      <c r="I1069">
        <v>35</v>
      </c>
      <c r="K1069" t="s">
        <v>724</v>
      </c>
      <c r="L1069">
        <v>3</v>
      </c>
      <c r="M1069" t="s">
        <v>1908</v>
      </c>
      <c r="N1069" t="s">
        <v>726</v>
      </c>
      <c r="O1069">
        <v>1</v>
      </c>
    </row>
    <row r="1070" spans="1:15" x14ac:dyDescent="0.3">
      <c r="A1070" t="s">
        <v>1362</v>
      </c>
      <c r="B1070">
        <v>1100</v>
      </c>
      <c r="C1070">
        <v>436943780</v>
      </c>
      <c r="D1070">
        <v>586</v>
      </c>
      <c r="E1070">
        <v>54</v>
      </c>
      <c r="F1070">
        <v>1</v>
      </c>
      <c r="G1070">
        <v>42.945813532042102</v>
      </c>
      <c r="H1070">
        <v>4</v>
      </c>
      <c r="I1070">
        <v>35</v>
      </c>
      <c r="K1070" t="s">
        <v>724</v>
      </c>
      <c r="L1070">
        <v>3</v>
      </c>
      <c r="M1070" t="s">
        <v>1909</v>
      </c>
      <c r="N1070" t="s">
        <v>726</v>
      </c>
      <c r="O1070">
        <v>1</v>
      </c>
    </row>
    <row r="1071" spans="1:15" x14ac:dyDescent="0.3">
      <c r="A1071" t="s">
        <v>1362</v>
      </c>
      <c r="B1071">
        <v>1101</v>
      </c>
      <c r="C1071">
        <v>436943780</v>
      </c>
      <c r="D1071">
        <v>54</v>
      </c>
      <c r="E1071">
        <v>586</v>
      </c>
      <c r="F1071">
        <v>1</v>
      </c>
      <c r="G1071">
        <v>42.945813532042102</v>
      </c>
      <c r="H1071">
        <v>3</v>
      </c>
      <c r="I1071">
        <v>35</v>
      </c>
      <c r="K1071" t="s">
        <v>724</v>
      </c>
      <c r="L1071">
        <v>3</v>
      </c>
      <c r="M1071" t="s">
        <v>1910</v>
      </c>
      <c r="N1071" t="s">
        <v>726</v>
      </c>
      <c r="O1071">
        <v>1</v>
      </c>
    </row>
    <row r="1072" spans="1:15" x14ac:dyDescent="0.3">
      <c r="A1072" t="s">
        <v>1362</v>
      </c>
      <c r="B1072">
        <v>1102</v>
      </c>
      <c r="C1072">
        <v>436943781</v>
      </c>
      <c r="D1072">
        <v>54</v>
      </c>
      <c r="E1072">
        <v>587</v>
      </c>
      <c r="F1072">
        <v>1</v>
      </c>
      <c r="G1072">
        <v>27.433726994489401</v>
      </c>
      <c r="H1072">
        <v>3</v>
      </c>
      <c r="I1072">
        <v>35</v>
      </c>
      <c r="K1072" t="s">
        <v>724</v>
      </c>
      <c r="L1072">
        <v>3</v>
      </c>
      <c r="M1072" t="s">
        <v>1911</v>
      </c>
      <c r="N1072" t="s">
        <v>726</v>
      </c>
      <c r="O1072">
        <v>1</v>
      </c>
    </row>
    <row r="1073" spans="1:15" x14ac:dyDescent="0.3">
      <c r="A1073" t="s">
        <v>1362</v>
      </c>
      <c r="B1073">
        <v>1103</v>
      </c>
      <c r="C1073">
        <v>436943781</v>
      </c>
      <c r="D1073">
        <v>587</v>
      </c>
      <c r="E1073">
        <v>54</v>
      </c>
      <c r="F1073">
        <v>1</v>
      </c>
      <c r="G1073">
        <v>27.433726994489401</v>
      </c>
      <c r="H1073">
        <v>4</v>
      </c>
      <c r="I1073">
        <v>35</v>
      </c>
      <c r="K1073" t="s">
        <v>724</v>
      </c>
      <c r="L1073">
        <v>3</v>
      </c>
      <c r="M1073" t="s">
        <v>1912</v>
      </c>
      <c r="N1073" t="s">
        <v>726</v>
      </c>
      <c r="O1073">
        <v>1</v>
      </c>
    </row>
    <row r="1074" spans="1:15" x14ac:dyDescent="0.3">
      <c r="A1074" t="s">
        <v>1362</v>
      </c>
      <c r="B1074">
        <v>1104</v>
      </c>
      <c r="C1074">
        <v>436943782</v>
      </c>
      <c r="D1074">
        <v>678</v>
      </c>
      <c r="E1074">
        <v>721</v>
      </c>
      <c r="F1074">
        <v>1</v>
      </c>
      <c r="G1074">
        <v>9.3741045533482001</v>
      </c>
      <c r="H1074">
        <v>3</v>
      </c>
      <c r="I1074">
        <v>35</v>
      </c>
      <c r="K1074" t="s">
        <v>724</v>
      </c>
      <c r="L1074">
        <v>3</v>
      </c>
      <c r="M1074" t="s">
        <v>1913</v>
      </c>
      <c r="N1074" t="s">
        <v>726</v>
      </c>
      <c r="O1074">
        <v>1</v>
      </c>
    </row>
    <row r="1075" spans="1:15" x14ac:dyDescent="0.3">
      <c r="A1075" t="s">
        <v>1362</v>
      </c>
      <c r="B1075">
        <v>1105</v>
      </c>
      <c r="C1075">
        <v>436943782</v>
      </c>
      <c r="D1075">
        <v>721</v>
      </c>
      <c r="E1075">
        <v>678</v>
      </c>
      <c r="F1075">
        <v>1</v>
      </c>
      <c r="G1075">
        <v>9.3741045533482001</v>
      </c>
      <c r="H1075">
        <v>3</v>
      </c>
      <c r="I1075">
        <v>35</v>
      </c>
      <c r="K1075" t="s">
        <v>724</v>
      </c>
      <c r="L1075">
        <v>3</v>
      </c>
      <c r="M1075" t="s">
        <v>1914</v>
      </c>
      <c r="N1075" t="s">
        <v>726</v>
      </c>
      <c r="O1075">
        <v>1</v>
      </c>
    </row>
    <row r="1076" spans="1:15" x14ac:dyDescent="0.3">
      <c r="A1076" t="s">
        <v>1362</v>
      </c>
      <c r="B1076">
        <v>1106</v>
      </c>
      <c r="C1076">
        <v>436943782</v>
      </c>
      <c r="D1076">
        <v>721</v>
      </c>
      <c r="E1076">
        <v>722</v>
      </c>
      <c r="F1076">
        <v>1</v>
      </c>
      <c r="G1076">
        <v>18.259063928835399</v>
      </c>
      <c r="H1076">
        <v>3</v>
      </c>
      <c r="I1076">
        <v>35</v>
      </c>
      <c r="K1076" t="s">
        <v>724</v>
      </c>
      <c r="L1076">
        <v>3</v>
      </c>
      <c r="M1076" t="s">
        <v>1915</v>
      </c>
      <c r="N1076" t="s">
        <v>726</v>
      </c>
      <c r="O1076">
        <v>1</v>
      </c>
    </row>
    <row r="1077" spans="1:15" x14ac:dyDescent="0.3">
      <c r="A1077" t="s">
        <v>1362</v>
      </c>
      <c r="B1077">
        <v>1107</v>
      </c>
      <c r="C1077">
        <v>436943782</v>
      </c>
      <c r="D1077">
        <v>722</v>
      </c>
      <c r="E1077">
        <v>721</v>
      </c>
      <c r="F1077">
        <v>1</v>
      </c>
      <c r="G1077">
        <v>18.259063928835399</v>
      </c>
      <c r="H1077">
        <v>3</v>
      </c>
      <c r="I1077">
        <v>35</v>
      </c>
      <c r="K1077" t="s">
        <v>724</v>
      </c>
      <c r="L1077">
        <v>3</v>
      </c>
      <c r="M1077" t="s">
        <v>1916</v>
      </c>
      <c r="N1077" t="s">
        <v>726</v>
      </c>
      <c r="O1077">
        <v>1</v>
      </c>
    </row>
    <row r="1078" spans="1:15" x14ac:dyDescent="0.3">
      <c r="A1078" t="s">
        <v>1362</v>
      </c>
      <c r="B1078">
        <v>1108</v>
      </c>
      <c r="C1078">
        <v>436943782</v>
      </c>
      <c r="D1078">
        <v>722</v>
      </c>
      <c r="E1078">
        <v>723</v>
      </c>
      <c r="F1078">
        <v>1</v>
      </c>
      <c r="G1078">
        <v>6.5609208973775104</v>
      </c>
      <c r="H1078">
        <v>3</v>
      </c>
      <c r="I1078">
        <v>35</v>
      </c>
      <c r="K1078" t="s">
        <v>724</v>
      </c>
      <c r="L1078">
        <v>3</v>
      </c>
      <c r="M1078" t="s">
        <v>1917</v>
      </c>
      <c r="N1078" t="s">
        <v>726</v>
      </c>
      <c r="O1078">
        <v>1</v>
      </c>
    </row>
    <row r="1079" spans="1:15" x14ac:dyDescent="0.3">
      <c r="A1079" t="s">
        <v>1362</v>
      </c>
      <c r="B1079">
        <v>1109</v>
      </c>
      <c r="C1079">
        <v>436943782</v>
      </c>
      <c r="D1079">
        <v>723</v>
      </c>
      <c r="E1079">
        <v>722</v>
      </c>
      <c r="F1079">
        <v>1</v>
      </c>
      <c r="G1079">
        <v>6.5609208973775104</v>
      </c>
      <c r="H1079">
        <v>3</v>
      </c>
      <c r="I1079">
        <v>35</v>
      </c>
      <c r="K1079" t="s">
        <v>724</v>
      </c>
      <c r="L1079">
        <v>3</v>
      </c>
      <c r="M1079" t="s">
        <v>1918</v>
      </c>
      <c r="N1079" t="s">
        <v>726</v>
      </c>
      <c r="O1079">
        <v>1</v>
      </c>
    </row>
    <row r="1080" spans="1:15" x14ac:dyDescent="0.3">
      <c r="A1080" t="s">
        <v>1362</v>
      </c>
      <c r="B1080">
        <v>1110</v>
      </c>
      <c r="C1080">
        <v>436943782</v>
      </c>
      <c r="D1080">
        <v>723</v>
      </c>
      <c r="E1080">
        <v>585</v>
      </c>
      <c r="F1080">
        <v>1</v>
      </c>
      <c r="G1080">
        <v>39.965838747487197</v>
      </c>
      <c r="H1080">
        <v>3</v>
      </c>
      <c r="I1080">
        <v>35</v>
      </c>
      <c r="K1080" t="s">
        <v>724</v>
      </c>
      <c r="L1080">
        <v>3</v>
      </c>
      <c r="M1080" t="s">
        <v>1919</v>
      </c>
      <c r="N1080" t="s">
        <v>726</v>
      </c>
      <c r="O1080">
        <v>1</v>
      </c>
    </row>
    <row r="1081" spans="1:15" x14ac:dyDescent="0.3">
      <c r="A1081" t="s">
        <v>1362</v>
      </c>
      <c r="B1081">
        <v>1111</v>
      </c>
      <c r="C1081">
        <v>436943782</v>
      </c>
      <c r="D1081">
        <v>585</v>
      </c>
      <c r="E1081">
        <v>723</v>
      </c>
      <c r="F1081">
        <v>1</v>
      </c>
      <c r="G1081">
        <v>39.965838747487197</v>
      </c>
      <c r="H1081">
        <v>3</v>
      </c>
      <c r="I1081">
        <v>35</v>
      </c>
      <c r="K1081" t="s">
        <v>724</v>
      </c>
      <c r="L1081">
        <v>3</v>
      </c>
      <c r="M1081" t="s">
        <v>1920</v>
      </c>
      <c r="N1081" t="s">
        <v>726</v>
      </c>
      <c r="O1081">
        <v>1</v>
      </c>
    </row>
    <row r="1082" spans="1:15" x14ac:dyDescent="0.3">
      <c r="B1082">
        <v>1112</v>
      </c>
      <c r="C1082">
        <v>436943784</v>
      </c>
      <c r="D1082">
        <v>562</v>
      </c>
      <c r="E1082">
        <v>579</v>
      </c>
      <c r="F1082">
        <v>1</v>
      </c>
      <c r="G1082">
        <v>14.8029979138221</v>
      </c>
      <c r="H1082">
        <v>1</v>
      </c>
      <c r="K1082" t="s">
        <v>890</v>
      </c>
      <c r="L1082">
        <v>4</v>
      </c>
      <c r="M1082" t="s">
        <v>1921</v>
      </c>
      <c r="N1082" t="s">
        <v>726</v>
      </c>
      <c r="O1082">
        <v>1</v>
      </c>
    </row>
    <row r="1083" spans="1:15" x14ac:dyDescent="0.3">
      <c r="B1083">
        <v>1113</v>
      </c>
      <c r="C1083">
        <v>436943784</v>
      </c>
      <c r="D1083">
        <v>579</v>
      </c>
      <c r="E1083">
        <v>562</v>
      </c>
      <c r="F1083">
        <v>1</v>
      </c>
      <c r="G1083">
        <v>14.8029979138221</v>
      </c>
      <c r="H1083">
        <v>1</v>
      </c>
      <c r="K1083" t="s">
        <v>890</v>
      </c>
      <c r="L1083">
        <v>4</v>
      </c>
      <c r="M1083" t="s">
        <v>1922</v>
      </c>
      <c r="N1083" t="s">
        <v>726</v>
      </c>
      <c r="O1083">
        <v>1</v>
      </c>
    </row>
    <row r="1084" spans="1:15" x14ac:dyDescent="0.3">
      <c r="B1084">
        <v>1114</v>
      </c>
      <c r="C1084">
        <v>436943785</v>
      </c>
      <c r="D1084">
        <v>272</v>
      </c>
      <c r="E1084">
        <v>574</v>
      </c>
      <c r="F1084">
        <v>1</v>
      </c>
      <c r="G1084">
        <v>5.3621991380643799</v>
      </c>
      <c r="H1084">
        <v>1</v>
      </c>
      <c r="K1084" t="s">
        <v>890</v>
      </c>
      <c r="L1084">
        <v>4</v>
      </c>
      <c r="M1084" t="s">
        <v>1923</v>
      </c>
      <c r="N1084" t="s">
        <v>726</v>
      </c>
      <c r="O1084">
        <v>1</v>
      </c>
    </row>
    <row r="1085" spans="1:15" x14ac:dyDescent="0.3">
      <c r="B1085">
        <v>1115</v>
      </c>
      <c r="C1085">
        <v>436943785</v>
      </c>
      <c r="D1085">
        <v>574</v>
      </c>
      <c r="E1085">
        <v>272</v>
      </c>
      <c r="F1085">
        <v>1</v>
      </c>
      <c r="G1085">
        <v>5.3621991380643799</v>
      </c>
      <c r="H1085">
        <v>1</v>
      </c>
      <c r="K1085" t="s">
        <v>890</v>
      </c>
      <c r="L1085">
        <v>4</v>
      </c>
      <c r="M1085" t="s">
        <v>1924</v>
      </c>
      <c r="N1085" t="s">
        <v>726</v>
      </c>
      <c r="O1085">
        <v>1</v>
      </c>
    </row>
    <row r="1086" spans="1:15" x14ac:dyDescent="0.3">
      <c r="B1086">
        <v>1116</v>
      </c>
      <c r="C1086">
        <v>436943786</v>
      </c>
      <c r="D1086">
        <v>564</v>
      </c>
      <c r="E1086">
        <v>570</v>
      </c>
      <c r="F1086">
        <v>1</v>
      </c>
      <c r="G1086">
        <v>13.791369964843501</v>
      </c>
      <c r="H1086">
        <v>1</v>
      </c>
      <c r="K1086" t="s">
        <v>890</v>
      </c>
      <c r="L1086">
        <v>4</v>
      </c>
      <c r="M1086" t="s">
        <v>1925</v>
      </c>
      <c r="N1086" t="s">
        <v>726</v>
      </c>
      <c r="O1086">
        <v>1</v>
      </c>
    </row>
    <row r="1087" spans="1:15" x14ac:dyDescent="0.3">
      <c r="B1087">
        <v>1117</v>
      </c>
      <c r="C1087">
        <v>436943786</v>
      </c>
      <c r="D1087">
        <v>570</v>
      </c>
      <c r="E1087">
        <v>564</v>
      </c>
      <c r="F1087">
        <v>1</v>
      </c>
      <c r="G1087">
        <v>13.791369964843501</v>
      </c>
      <c r="H1087">
        <v>1</v>
      </c>
      <c r="K1087" t="s">
        <v>890</v>
      </c>
      <c r="L1087">
        <v>4</v>
      </c>
      <c r="M1087" t="s">
        <v>1926</v>
      </c>
      <c r="N1087" t="s">
        <v>726</v>
      </c>
      <c r="O1087">
        <v>1</v>
      </c>
    </row>
    <row r="1088" spans="1:15" x14ac:dyDescent="0.3">
      <c r="A1088" t="s">
        <v>1221</v>
      </c>
      <c r="B1088">
        <v>1118</v>
      </c>
      <c r="C1088">
        <v>436944801</v>
      </c>
      <c r="D1088">
        <v>588</v>
      </c>
      <c r="E1088">
        <v>1965</v>
      </c>
      <c r="F1088">
        <v>1</v>
      </c>
      <c r="G1088">
        <v>45.757335860808098</v>
      </c>
      <c r="H1088">
        <v>5</v>
      </c>
      <c r="K1088" t="s">
        <v>890</v>
      </c>
      <c r="L1088">
        <v>4</v>
      </c>
      <c r="M1088" t="s">
        <v>1927</v>
      </c>
      <c r="N1088" t="s">
        <v>726</v>
      </c>
      <c r="O1088">
        <v>1</v>
      </c>
    </row>
    <row r="1089" spans="1:15" x14ac:dyDescent="0.3">
      <c r="A1089" t="s">
        <v>1221</v>
      </c>
      <c r="B1089">
        <v>1119</v>
      </c>
      <c r="C1089">
        <v>436944801</v>
      </c>
      <c r="D1089">
        <v>1965</v>
      </c>
      <c r="E1089">
        <v>588</v>
      </c>
      <c r="F1089">
        <v>1</v>
      </c>
      <c r="G1089">
        <v>45.757335860808098</v>
      </c>
      <c r="H1089">
        <v>2</v>
      </c>
      <c r="K1089" t="s">
        <v>890</v>
      </c>
      <c r="L1089">
        <v>4</v>
      </c>
      <c r="M1089" t="s">
        <v>1928</v>
      </c>
      <c r="N1089" t="s">
        <v>726</v>
      </c>
      <c r="O1089">
        <v>1</v>
      </c>
    </row>
    <row r="1090" spans="1:15" x14ac:dyDescent="0.3">
      <c r="B1090">
        <v>1120</v>
      </c>
      <c r="C1090">
        <v>439081931</v>
      </c>
      <c r="D1090">
        <v>310</v>
      </c>
      <c r="E1090">
        <v>240</v>
      </c>
      <c r="F1090">
        <v>1</v>
      </c>
      <c r="G1090">
        <v>67.314612888071096</v>
      </c>
      <c r="H1090">
        <v>1</v>
      </c>
      <c r="K1090" t="s">
        <v>724</v>
      </c>
      <c r="L1090">
        <v>3</v>
      </c>
      <c r="M1090" t="s">
        <v>1929</v>
      </c>
      <c r="N1090" t="s">
        <v>726</v>
      </c>
      <c r="O1090">
        <v>0</v>
      </c>
    </row>
    <row r="1091" spans="1:15" x14ac:dyDescent="0.3">
      <c r="A1091" t="s">
        <v>898</v>
      </c>
      <c r="B1091">
        <v>1121</v>
      </c>
      <c r="C1091">
        <v>442598424</v>
      </c>
      <c r="D1091">
        <v>653</v>
      </c>
      <c r="E1091">
        <v>399</v>
      </c>
      <c r="F1091">
        <v>1</v>
      </c>
      <c r="G1091">
        <v>14.284501933014299</v>
      </c>
      <c r="H1091">
        <v>1</v>
      </c>
      <c r="K1091" t="s">
        <v>729</v>
      </c>
      <c r="L1091">
        <v>6</v>
      </c>
      <c r="M1091" t="s">
        <v>1930</v>
      </c>
      <c r="N1091" t="s">
        <v>726</v>
      </c>
      <c r="O1091">
        <v>0</v>
      </c>
    </row>
    <row r="1092" spans="1:15" x14ac:dyDescent="0.3">
      <c r="A1092" t="s">
        <v>1216</v>
      </c>
      <c r="B1092">
        <v>1122</v>
      </c>
      <c r="C1092">
        <v>458468177</v>
      </c>
      <c r="D1092">
        <v>436</v>
      </c>
      <c r="E1092">
        <v>126</v>
      </c>
      <c r="F1092">
        <v>1</v>
      </c>
      <c r="G1092">
        <v>114.657859288228</v>
      </c>
      <c r="H1092">
        <v>2</v>
      </c>
      <c r="I1092">
        <v>35</v>
      </c>
      <c r="K1092" t="s">
        <v>890</v>
      </c>
      <c r="L1092">
        <v>4</v>
      </c>
      <c r="M1092" t="s">
        <v>1931</v>
      </c>
      <c r="N1092" t="s">
        <v>726</v>
      </c>
      <c r="O1092">
        <v>0</v>
      </c>
    </row>
    <row r="1093" spans="1:15" x14ac:dyDescent="0.3">
      <c r="A1093" t="s">
        <v>827</v>
      </c>
      <c r="B1093">
        <v>1123</v>
      </c>
      <c r="C1093">
        <v>458485326</v>
      </c>
      <c r="D1093">
        <v>388</v>
      </c>
      <c r="E1093">
        <v>444</v>
      </c>
      <c r="F1093">
        <v>1</v>
      </c>
      <c r="G1093">
        <v>29.496734478154899</v>
      </c>
      <c r="H1093">
        <v>2</v>
      </c>
      <c r="I1093">
        <v>35</v>
      </c>
      <c r="K1093" t="s">
        <v>724</v>
      </c>
      <c r="L1093">
        <v>3</v>
      </c>
      <c r="M1093" t="s">
        <v>1932</v>
      </c>
      <c r="N1093" t="s">
        <v>726</v>
      </c>
      <c r="O1093">
        <v>0</v>
      </c>
    </row>
    <row r="1094" spans="1:15" x14ac:dyDescent="0.3">
      <c r="A1094" t="s">
        <v>827</v>
      </c>
      <c r="B1094">
        <v>1124</v>
      </c>
      <c r="C1094">
        <v>458485327</v>
      </c>
      <c r="D1094">
        <v>386</v>
      </c>
      <c r="E1094">
        <v>387</v>
      </c>
      <c r="F1094">
        <v>1</v>
      </c>
      <c r="G1094">
        <v>24.486694582566699</v>
      </c>
      <c r="H1094">
        <v>2</v>
      </c>
      <c r="I1094">
        <v>35</v>
      </c>
      <c r="K1094" t="s">
        <v>724</v>
      </c>
      <c r="L1094">
        <v>3</v>
      </c>
      <c r="M1094" t="s">
        <v>1933</v>
      </c>
      <c r="N1094" t="s">
        <v>726</v>
      </c>
      <c r="O1094">
        <v>0</v>
      </c>
    </row>
    <row r="1095" spans="1:15" x14ac:dyDescent="0.3">
      <c r="A1095" t="s">
        <v>827</v>
      </c>
      <c r="B1095">
        <v>1125</v>
      </c>
      <c r="C1095">
        <v>458485328</v>
      </c>
      <c r="D1095">
        <v>387</v>
      </c>
      <c r="E1095">
        <v>214</v>
      </c>
      <c r="F1095">
        <v>1</v>
      </c>
      <c r="G1095">
        <v>103.072488131247</v>
      </c>
      <c r="H1095">
        <v>2</v>
      </c>
      <c r="I1095">
        <v>35</v>
      </c>
      <c r="K1095" t="s">
        <v>724</v>
      </c>
      <c r="L1095">
        <v>3</v>
      </c>
      <c r="M1095" t="s">
        <v>1934</v>
      </c>
      <c r="N1095" t="s">
        <v>726</v>
      </c>
      <c r="O1095">
        <v>0</v>
      </c>
    </row>
    <row r="1096" spans="1:15" x14ac:dyDescent="0.3">
      <c r="A1096" t="s">
        <v>1362</v>
      </c>
      <c r="B1096">
        <v>1126</v>
      </c>
      <c r="C1096">
        <v>458486756</v>
      </c>
      <c r="D1096">
        <v>1966</v>
      </c>
      <c r="E1096">
        <v>346</v>
      </c>
      <c r="F1096">
        <v>1</v>
      </c>
      <c r="G1096">
        <v>17.0796315057007</v>
      </c>
      <c r="H1096">
        <v>3</v>
      </c>
      <c r="I1096">
        <v>35</v>
      </c>
      <c r="K1096" t="s">
        <v>724</v>
      </c>
      <c r="L1096">
        <v>3</v>
      </c>
      <c r="M1096" t="s">
        <v>1935</v>
      </c>
      <c r="N1096" t="s">
        <v>726</v>
      </c>
      <c r="O1096">
        <v>0</v>
      </c>
    </row>
    <row r="1097" spans="1:15" x14ac:dyDescent="0.3">
      <c r="A1097" t="s">
        <v>1362</v>
      </c>
      <c r="B1097">
        <v>1127</v>
      </c>
      <c r="C1097">
        <v>458486757</v>
      </c>
      <c r="D1097">
        <v>347</v>
      </c>
      <c r="E1097">
        <v>1966</v>
      </c>
      <c r="F1097">
        <v>1</v>
      </c>
      <c r="G1097">
        <v>16.4354591612855</v>
      </c>
      <c r="H1097">
        <v>5</v>
      </c>
      <c r="I1097">
        <v>35</v>
      </c>
      <c r="K1097" t="s">
        <v>724</v>
      </c>
      <c r="L1097">
        <v>3</v>
      </c>
      <c r="M1097" t="s">
        <v>1936</v>
      </c>
      <c r="N1097" t="s">
        <v>726</v>
      </c>
      <c r="O1097">
        <v>0</v>
      </c>
    </row>
    <row r="1098" spans="1:15" x14ac:dyDescent="0.3">
      <c r="B1098">
        <v>1128</v>
      </c>
      <c r="C1098">
        <v>472037661</v>
      </c>
      <c r="D1098">
        <v>340</v>
      </c>
      <c r="E1098">
        <v>339</v>
      </c>
      <c r="F1098">
        <v>1</v>
      </c>
      <c r="G1098">
        <v>35.042712721147197</v>
      </c>
      <c r="H1098">
        <v>1</v>
      </c>
      <c r="K1098" t="s">
        <v>890</v>
      </c>
      <c r="L1098">
        <v>4</v>
      </c>
      <c r="M1098" t="s">
        <v>1937</v>
      </c>
      <c r="N1098" t="s">
        <v>726</v>
      </c>
      <c r="O1098">
        <v>0</v>
      </c>
    </row>
    <row r="1099" spans="1:15" x14ac:dyDescent="0.3">
      <c r="A1099" t="s">
        <v>938</v>
      </c>
      <c r="B1099">
        <v>1129</v>
      </c>
      <c r="C1099">
        <v>472156131</v>
      </c>
      <c r="D1099">
        <v>122</v>
      </c>
      <c r="E1099">
        <v>635</v>
      </c>
      <c r="F1099">
        <v>1</v>
      </c>
      <c r="G1099">
        <v>48.069654744406002</v>
      </c>
      <c r="H1099">
        <v>1</v>
      </c>
      <c r="I1099">
        <v>25</v>
      </c>
      <c r="K1099" t="s">
        <v>711</v>
      </c>
      <c r="L1099">
        <v>5</v>
      </c>
      <c r="M1099" t="s">
        <v>1938</v>
      </c>
      <c r="N1099" t="s">
        <v>726</v>
      </c>
      <c r="O1099">
        <v>1</v>
      </c>
    </row>
    <row r="1100" spans="1:15" x14ac:dyDescent="0.3">
      <c r="A1100" t="s">
        <v>938</v>
      </c>
      <c r="B1100">
        <v>1130</v>
      </c>
      <c r="C1100">
        <v>472156131</v>
      </c>
      <c r="D1100">
        <v>635</v>
      </c>
      <c r="E1100">
        <v>122</v>
      </c>
      <c r="F1100">
        <v>1</v>
      </c>
      <c r="G1100">
        <v>48.069654744406002</v>
      </c>
      <c r="H1100">
        <v>3</v>
      </c>
      <c r="I1100">
        <v>25</v>
      </c>
      <c r="K1100" t="s">
        <v>711</v>
      </c>
      <c r="L1100">
        <v>5</v>
      </c>
      <c r="M1100" t="s">
        <v>1939</v>
      </c>
      <c r="N1100" t="s">
        <v>726</v>
      </c>
      <c r="O1100">
        <v>1</v>
      </c>
    </row>
    <row r="1101" spans="1:15" x14ac:dyDescent="0.3">
      <c r="A1101" t="s">
        <v>1362</v>
      </c>
      <c r="B1101">
        <v>1131</v>
      </c>
      <c r="C1101">
        <v>472156132</v>
      </c>
      <c r="D1101">
        <v>306</v>
      </c>
      <c r="E1101">
        <v>275</v>
      </c>
      <c r="F1101">
        <v>1</v>
      </c>
      <c r="G1101">
        <v>8.6515676543831308</v>
      </c>
      <c r="H1101">
        <v>3</v>
      </c>
      <c r="I1101">
        <v>35</v>
      </c>
      <c r="K1101" t="s">
        <v>724</v>
      </c>
      <c r="L1101">
        <v>3</v>
      </c>
      <c r="M1101" t="s">
        <v>1940</v>
      </c>
      <c r="N1101" t="s">
        <v>726</v>
      </c>
      <c r="O1101">
        <v>1</v>
      </c>
    </row>
    <row r="1102" spans="1:15" x14ac:dyDescent="0.3">
      <c r="A1102" t="s">
        <v>1362</v>
      </c>
      <c r="B1102">
        <v>1132</v>
      </c>
      <c r="C1102">
        <v>472156132</v>
      </c>
      <c r="D1102">
        <v>275</v>
      </c>
      <c r="E1102">
        <v>306</v>
      </c>
      <c r="F1102">
        <v>1</v>
      </c>
      <c r="G1102">
        <v>8.6515676543831308</v>
      </c>
      <c r="H1102">
        <v>3</v>
      </c>
      <c r="I1102">
        <v>35</v>
      </c>
      <c r="K1102" t="s">
        <v>724</v>
      </c>
      <c r="L1102">
        <v>3</v>
      </c>
      <c r="M1102" t="s">
        <v>1941</v>
      </c>
      <c r="N1102" t="s">
        <v>726</v>
      </c>
      <c r="O1102">
        <v>1</v>
      </c>
    </row>
    <row r="1103" spans="1:15" x14ac:dyDescent="0.3">
      <c r="B1103">
        <v>1133</v>
      </c>
      <c r="C1103">
        <v>478386471</v>
      </c>
      <c r="D1103">
        <v>754</v>
      </c>
      <c r="E1103">
        <v>594</v>
      </c>
      <c r="F1103">
        <v>1</v>
      </c>
      <c r="G1103">
        <v>64.127371602491706</v>
      </c>
      <c r="H1103">
        <v>1</v>
      </c>
      <c r="K1103" t="s">
        <v>729</v>
      </c>
      <c r="L1103">
        <v>6</v>
      </c>
      <c r="M1103" t="s">
        <v>1942</v>
      </c>
      <c r="N1103" t="s">
        <v>726</v>
      </c>
      <c r="O1103">
        <v>1</v>
      </c>
    </row>
    <row r="1104" spans="1:15" x14ac:dyDescent="0.3">
      <c r="B1104">
        <v>1134</v>
      </c>
      <c r="C1104">
        <v>478386471</v>
      </c>
      <c r="D1104">
        <v>594</v>
      </c>
      <c r="E1104">
        <v>754</v>
      </c>
      <c r="F1104">
        <v>1</v>
      </c>
      <c r="G1104">
        <v>64.127371602491706</v>
      </c>
      <c r="H1104">
        <v>1</v>
      </c>
      <c r="K1104" t="s">
        <v>729</v>
      </c>
      <c r="L1104">
        <v>6</v>
      </c>
      <c r="M1104" t="s">
        <v>1943</v>
      </c>
      <c r="N1104" t="s">
        <v>726</v>
      </c>
      <c r="O1104">
        <v>1</v>
      </c>
    </row>
    <row r="1105" spans="1:15" x14ac:dyDescent="0.3">
      <c r="B1105">
        <v>1135</v>
      </c>
      <c r="C1105">
        <v>478386472</v>
      </c>
      <c r="D1105">
        <v>594</v>
      </c>
      <c r="E1105">
        <v>595</v>
      </c>
      <c r="F1105">
        <v>1</v>
      </c>
      <c r="G1105">
        <v>235.028031727637</v>
      </c>
      <c r="H1105">
        <v>1</v>
      </c>
      <c r="K1105" t="s">
        <v>729</v>
      </c>
      <c r="L1105">
        <v>6</v>
      </c>
      <c r="M1105" t="s">
        <v>1944</v>
      </c>
      <c r="N1105" t="s">
        <v>726</v>
      </c>
      <c r="O1105">
        <v>1</v>
      </c>
    </row>
    <row r="1106" spans="1:15" x14ac:dyDescent="0.3">
      <c r="B1106">
        <v>1136</v>
      </c>
      <c r="C1106">
        <v>478386472</v>
      </c>
      <c r="D1106">
        <v>595</v>
      </c>
      <c r="E1106">
        <v>594</v>
      </c>
      <c r="F1106">
        <v>1</v>
      </c>
      <c r="G1106">
        <v>235.028031727637</v>
      </c>
      <c r="H1106">
        <v>1</v>
      </c>
      <c r="K1106" t="s">
        <v>729</v>
      </c>
      <c r="L1106">
        <v>6</v>
      </c>
      <c r="M1106" t="s">
        <v>1945</v>
      </c>
      <c r="N1106" t="s">
        <v>726</v>
      </c>
      <c r="O1106">
        <v>1</v>
      </c>
    </row>
    <row r="1107" spans="1:15" x14ac:dyDescent="0.3">
      <c r="B1107">
        <v>1137</v>
      </c>
      <c r="C1107">
        <v>478386474</v>
      </c>
      <c r="D1107">
        <v>595</v>
      </c>
      <c r="E1107">
        <v>96</v>
      </c>
      <c r="F1107">
        <v>1</v>
      </c>
      <c r="G1107">
        <v>148.34491769182</v>
      </c>
      <c r="H1107">
        <v>1</v>
      </c>
      <c r="K1107" t="s">
        <v>729</v>
      </c>
      <c r="L1107">
        <v>6</v>
      </c>
      <c r="M1107" t="s">
        <v>1946</v>
      </c>
      <c r="N1107" t="s">
        <v>726</v>
      </c>
      <c r="O1107">
        <v>1</v>
      </c>
    </row>
    <row r="1108" spans="1:15" x14ac:dyDescent="0.3">
      <c r="B1108">
        <v>1138</v>
      </c>
      <c r="C1108">
        <v>478386474</v>
      </c>
      <c r="D1108">
        <v>96</v>
      </c>
      <c r="E1108">
        <v>595</v>
      </c>
      <c r="F1108">
        <v>1</v>
      </c>
      <c r="G1108">
        <v>148.34491769182</v>
      </c>
      <c r="H1108">
        <v>1</v>
      </c>
      <c r="K1108" t="s">
        <v>729</v>
      </c>
      <c r="L1108">
        <v>6</v>
      </c>
      <c r="M1108" t="s">
        <v>1947</v>
      </c>
      <c r="N1108" t="s">
        <v>726</v>
      </c>
      <c r="O1108">
        <v>1</v>
      </c>
    </row>
    <row r="1109" spans="1:15" x14ac:dyDescent="0.3">
      <c r="A1109" t="s">
        <v>1362</v>
      </c>
      <c r="B1109">
        <v>1139</v>
      </c>
      <c r="C1109">
        <v>512810351</v>
      </c>
      <c r="D1109">
        <v>583</v>
      </c>
      <c r="E1109">
        <v>720</v>
      </c>
      <c r="F1109">
        <v>1</v>
      </c>
      <c r="G1109">
        <v>125.96356380364401</v>
      </c>
      <c r="H1109">
        <v>3</v>
      </c>
      <c r="I1109">
        <v>35</v>
      </c>
      <c r="K1109" t="s">
        <v>724</v>
      </c>
      <c r="L1109">
        <v>3</v>
      </c>
      <c r="M1109" t="s">
        <v>1948</v>
      </c>
      <c r="N1109" t="s">
        <v>726</v>
      </c>
      <c r="O1109">
        <v>1</v>
      </c>
    </row>
    <row r="1110" spans="1:15" x14ac:dyDescent="0.3">
      <c r="A1110" t="s">
        <v>1362</v>
      </c>
      <c r="B1110">
        <v>1140</v>
      </c>
      <c r="C1110">
        <v>512810351</v>
      </c>
      <c r="D1110">
        <v>720</v>
      </c>
      <c r="E1110">
        <v>583</v>
      </c>
      <c r="F1110">
        <v>1</v>
      </c>
      <c r="G1110">
        <v>125.96356380364401</v>
      </c>
      <c r="H1110">
        <v>3</v>
      </c>
      <c r="I1110">
        <v>35</v>
      </c>
      <c r="K1110" t="s">
        <v>724</v>
      </c>
      <c r="L1110">
        <v>3</v>
      </c>
      <c r="M1110" t="s">
        <v>1949</v>
      </c>
      <c r="N1110" t="s">
        <v>726</v>
      </c>
      <c r="O1110">
        <v>1</v>
      </c>
    </row>
    <row r="1111" spans="1:15" x14ac:dyDescent="0.3">
      <c r="A1111" t="s">
        <v>1362</v>
      </c>
      <c r="B1111">
        <v>1141</v>
      </c>
      <c r="C1111">
        <v>512810351</v>
      </c>
      <c r="D1111">
        <v>720</v>
      </c>
      <c r="E1111">
        <v>678</v>
      </c>
      <c r="F1111">
        <v>1</v>
      </c>
      <c r="G1111">
        <v>39.919254924875098</v>
      </c>
      <c r="H1111">
        <v>3</v>
      </c>
      <c r="I1111">
        <v>35</v>
      </c>
      <c r="K1111" t="s">
        <v>724</v>
      </c>
      <c r="L1111">
        <v>3</v>
      </c>
      <c r="M1111" t="s">
        <v>1950</v>
      </c>
      <c r="N1111" t="s">
        <v>726</v>
      </c>
      <c r="O1111">
        <v>1</v>
      </c>
    </row>
    <row r="1112" spans="1:15" x14ac:dyDescent="0.3">
      <c r="A1112" t="s">
        <v>1362</v>
      </c>
      <c r="B1112">
        <v>1142</v>
      </c>
      <c r="C1112">
        <v>512810351</v>
      </c>
      <c r="D1112">
        <v>678</v>
      </c>
      <c r="E1112">
        <v>720</v>
      </c>
      <c r="F1112">
        <v>1</v>
      </c>
      <c r="G1112">
        <v>39.919254924875098</v>
      </c>
      <c r="H1112">
        <v>3</v>
      </c>
      <c r="I1112">
        <v>35</v>
      </c>
      <c r="K1112" t="s">
        <v>724</v>
      </c>
      <c r="L1112">
        <v>3</v>
      </c>
      <c r="M1112" t="s">
        <v>1951</v>
      </c>
      <c r="N1112" t="s">
        <v>726</v>
      </c>
      <c r="O1112">
        <v>1</v>
      </c>
    </row>
    <row r="1113" spans="1:15" x14ac:dyDescent="0.3">
      <c r="A1113" t="s">
        <v>827</v>
      </c>
      <c r="B1113">
        <v>1143</v>
      </c>
      <c r="C1113">
        <v>512811687</v>
      </c>
      <c r="D1113">
        <v>224</v>
      </c>
      <c r="E1113">
        <v>593</v>
      </c>
      <c r="F1113">
        <v>1</v>
      </c>
      <c r="G1113">
        <v>141.06210012753999</v>
      </c>
      <c r="H1113">
        <v>2</v>
      </c>
      <c r="I1113">
        <v>35</v>
      </c>
      <c r="K1113" t="s">
        <v>724</v>
      </c>
      <c r="L1113">
        <v>3</v>
      </c>
      <c r="M1113" t="s">
        <v>1952</v>
      </c>
      <c r="N1113" t="s">
        <v>726</v>
      </c>
      <c r="O1113">
        <v>0</v>
      </c>
    </row>
    <row r="1114" spans="1:15" x14ac:dyDescent="0.3">
      <c r="A1114" t="s">
        <v>827</v>
      </c>
      <c r="B1114">
        <v>1144</v>
      </c>
      <c r="C1114">
        <v>512811693</v>
      </c>
      <c r="D1114">
        <v>592</v>
      </c>
      <c r="E1114">
        <v>455</v>
      </c>
      <c r="F1114">
        <v>1</v>
      </c>
      <c r="G1114">
        <v>80.530194412653003</v>
      </c>
      <c r="H1114">
        <v>2</v>
      </c>
      <c r="I1114">
        <v>35</v>
      </c>
      <c r="K1114" t="s">
        <v>724</v>
      </c>
      <c r="L1114">
        <v>3</v>
      </c>
      <c r="M1114" t="s">
        <v>1953</v>
      </c>
      <c r="N1114" t="s">
        <v>726</v>
      </c>
      <c r="O1114">
        <v>0</v>
      </c>
    </row>
    <row r="1115" spans="1:15" x14ac:dyDescent="0.3">
      <c r="A1115" t="s">
        <v>1216</v>
      </c>
      <c r="B1115">
        <v>1145</v>
      </c>
      <c r="C1115">
        <v>512813406</v>
      </c>
      <c r="D1115">
        <v>1967</v>
      </c>
      <c r="E1115">
        <v>326</v>
      </c>
      <c r="F1115">
        <v>1</v>
      </c>
      <c r="G1115">
        <v>160.29783294340299</v>
      </c>
      <c r="H1115">
        <v>2</v>
      </c>
      <c r="K1115" t="s">
        <v>890</v>
      </c>
      <c r="L1115">
        <v>4</v>
      </c>
      <c r="M1115" t="s">
        <v>1954</v>
      </c>
      <c r="N1115" t="s">
        <v>726</v>
      </c>
      <c r="O1115">
        <v>0</v>
      </c>
    </row>
    <row r="1116" spans="1:15" x14ac:dyDescent="0.3">
      <c r="A1116" t="s">
        <v>858</v>
      </c>
      <c r="B1116">
        <v>1148</v>
      </c>
      <c r="C1116">
        <v>519448767</v>
      </c>
      <c r="D1116">
        <v>412</v>
      </c>
      <c r="E1116">
        <v>413</v>
      </c>
      <c r="F1116">
        <v>1</v>
      </c>
      <c r="G1116">
        <v>139.504952741838</v>
      </c>
      <c r="H1116">
        <v>2</v>
      </c>
      <c r="I1116">
        <v>35</v>
      </c>
      <c r="K1116" t="s">
        <v>890</v>
      </c>
      <c r="L1116">
        <v>4</v>
      </c>
      <c r="M1116" t="s">
        <v>1955</v>
      </c>
      <c r="N1116" t="s">
        <v>726</v>
      </c>
      <c r="O1116">
        <v>0</v>
      </c>
    </row>
    <row r="1117" spans="1:15" x14ac:dyDescent="0.3">
      <c r="B1117">
        <v>1149</v>
      </c>
      <c r="C1117">
        <v>521234620</v>
      </c>
      <c r="D1117">
        <v>601</v>
      </c>
      <c r="E1117">
        <v>600</v>
      </c>
      <c r="F1117">
        <v>1</v>
      </c>
      <c r="G1117">
        <v>51.255296391349397</v>
      </c>
      <c r="H1117">
        <v>1</v>
      </c>
      <c r="K1117" t="s">
        <v>724</v>
      </c>
      <c r="L1117">
        <v>3</v>
      </c>
      <c r="M1117" t="s">
        <v>1956</v>
      </c>
      <c r="N1117" t="s">
        <v>726</v>
      </c>
      <c r="O1117">
        <v>0</v>
      </c>
    </row>
    <row r="1118" spans="1:15" x14ac:dyDescent="0.3">
      <c r="B1118">
        <v>1150</v>
      </c>
      <c r="C1118">
        <v>521256034</v>
      </c>
      <c r="D1118">
        <v>421</v>
      </c>
      <c r="E1118">
        <v>435</v>
      </c>
      <c r="F1118">
        <v>1</v>
      </c>
      <c r="G1118">
        <v>14.7336454147736</v>
      </c>
      <c r="H1118">
        <v>1</v>
      </c>
      <c r="K1118" t="s">
        <v>890</v>
      </c>
      <c r="L1118">
        <v>4</v>
      </c>
      <c r="M1118" t="s">
        <v>1957</v>
      </c>
      <c r="N1118" t="s">
        <v>726</v>
      </c>
      <c r="O1118">
        <v>1</v>
      </c>
    </row>
    <row r="1119" spans="1:15" x14ac:dyDescent="0.3">
      <c r="B1119">
        <v>1151</v>
      </c>
      <c r="C1119">
        <v>521256034</v>
      </c>
      <c r="D1119">
        <v>435</v>
      </c>
      <c r="E1119">
        <v>421</v>
      </c>
      <c r="F1119">
        <v>1</v>
      </c>
      <c r="G1119">
        <v>14.7336454147736</v>
      </c>
      <c r="H1119">
        <v>1</v>
      </c>
      <c r="K1119" t="s">
        <v>890</v>
      </c>
      <c r="L1119">
        <v>4</v>
      </c>
      <c r="M1119" t="s">
        <v>1958</v>
      </c>
      <c r="N1119" t="s">
        <v>726</v>
      </c>
      <c r="O1119">
        <v>1</v>
      </c>
    </row>
    <row r="1120" spans="1:15" x14ac:dyDescent="0.3">
      <c r="B1120">
        <v>1152</v>
      </c>
      <c r="C1120">
        <v>521256037</v>
      </c>
      <c r="D1120">
        <v>103</v>
      </c>
      <c r="E1120">
        <v>434</v>
      </c>
      <c r="F1120">
        <v>1</v>
      </c>
      <c r="G1120">
        <v>8.1509263913611694</v>
      </c>
      <c r="H1120">
        <v>1</v>
      </c>
      <c r="K1120" t="s">
        <v>890</v>
      </c>
      <c r="L1120">
        <v>4</v>
      </c>
      <c r="M1120" t="s">
        <v>1959</v>
      </c>
      <c r="N1120" t="s">
        <v>726</v>
      </c>
      <c r="O1120">
        <v>1</v>
      </c>
    </row>
    <row r="1121" spans="1:15" x14ac:dyDescent="0.3">
      <c r="B1121">
        <v>1153</v>
      </c>
      <c r="C1121">
        <v>521256037</v>
      </c>
      <c r="D1121">
        <v>434</v>
      </c>
      <c r="E1121">
        <v>103</v>
      </c>
      <c r="F1121">
        <v>1</v>
      </c>
      <c r="G1121">
        <v>8.1509263913611694</v>
      </c>
      <c r="H1121">
        <v>1</v>
      </c>
      <c r="K1121" t="s">
        <v>890</v>
      </c>
      <c r="L1121">
        <v>4</v>
      </c>
      <c r="M1121" t="s">
        <v>1960</v>
      </c>
      <c r="N1121" t="s">
        <v>726</v>
      </c>
      <c r="O1121">
        <v>1</v>
      </c>
    </row>
    <row r="1122" spans="1:15" x14ac:dyDescent="0.3">
      <c r="B1122">
        <v>1154</v>
      </c>
      <c r="C1122">
        <v>521256038</v>
      </c>
      <c r="D1122">
        <v>426</v>
      </c>
      <c r="E1122">
        <v>103</v>
      </c>
      <c r="F1122">
        <v>1</v>
      </c>
      <c r="G1122">
        <v>6.7945236143747598</v>
      </c>
      <c r="H1122">
        <v>1</v>
      </c>
      <c r="K1122" t="s">
        <v>890</v>
      </c>
      <c r="L1122">
        <v>4</v>
      </c>
      <c r="M1122" t="s">
        <v>1961</v>
      </c>
      <c r="N1122" t="s">
        <v>726</v>
      </c>
      <c r="O1122">
        <v>1</v>
      </c>
    </row>
    <row r="1123" spans="1:15" x14ac:dyDescent="0.3">
      <c r="B1123">
        <v>1155</v>
      </c>
      <c r="C1123">
        <v>521256038</v>
      </c>
      <c r="D1123">
        <v>103</v>
      </c>
      <c r="E1123">
        <v>426</v>
      </c>
      <c r="F1123">
        <v>1</v>
      </c>
      <c r="G1123">
        <v>6.7945236143747598</v>
      </c>
      <c r="H1123">
        <v>1</v>
      </c>
      <c r="K1123" t="s">
        <v>890</v>
      </c>
      <c r="L1123">
        <v>4</v>
      </c>
      <c r="M1123" t="s">
        <v>1962</v>
      </c>
      <c r="N1123" t="s">
        <v>726</v>
      </c>
      <c r="O1123">
        <v>1</v>
      </c>
    </row>
    <row r="1124" spans="1:15" x14ac:dyDescent="0.3">
      <c r="B1124">
        <v>1156</v>
      </c>
      <c r="C1124">
        <v>521256040</v>
      </c>
      <c r="D1124">
        <v>433</v>
      </c>
      <c r="E1124">
        <v>393</v>
      </c>
      <c r="F1124">
        <v>1</v>
      </c>
      <c r="G1124">
        <v>7.6299975540788898</v>
      </c>
      <c r="H1124">
        <v>1</v>
      </c>
      <c r="K1124" t="s">
        <v>890</v>
      </c>
      <c r="L1124">
        <v>4</v>
      </c>
      <c r="M1124" t="s">
        <v>1963</v>
      </c>
      <c r="N1124" t="s">
        <v>726</v>
      </c>
      <c r="O1124">
        <v>1</v>
      </c>
    </row>
    <row r="1125" spans="1:15" x14ac:dyDescent="0.3">
      <c r="B1125">
        <v>1157</v>
      </c>
      <c r="C1125">
        <v>521256040</v>
      </c>
      <c r="D1125">
        <v>393</v>
      </c>
      <c r="E1125">
        <v>433</v>
      </c>
      <c r="F1125">
        <v>1</v>
      </c>
      <c r="G1125">
        <v>7.6299975540788898</v>
      </c>
      <c r="H1125">
        <v>1</v>
      </c>
      <c r="K1125" t="s">
        <v>890</v>
      </c>
      <c r="L1125">
        <v>4</v>
      </c>
      <c r="M1125" t="s">
        <v>1964</v>
      </c>
      <c r="N1125" t="s">
        <v>726</v>
      </c>
      <c r="O1125">
        <v>1</v>
      </c>
    </row>
    <row r="1126" spans="1:15" x14ac:dyDescent="0.3">
      <c r="B1126">
        <v>1158</v>
      </c>
      <c r="C1126">
        <v>521256041</v>
      </c>
      <c r="D1126">
        <v>430</v>
      </c>
      <c r="E1126">
        <v>272</v>
      </c>
      <c r="F1126">
        <v>1</v>
      </c>
      <c r="G1126">
        <v>9.1225233627044293</v>
      </c>
      <c r="H1126">
        <v>1</v>
      </c>
      <c r="K1126" t="s">
        <v>890</v>
      </c>
      <c r="L1126">
        <v>4</v>
      </c>
      <c r="M1126" t="s">
        <v>1965</v>
      </c>
      <c r="N1126" t="s">
        <v>726</v>
      </c>
      <c r="O1126">
        <v>1</v>
      </c>
    </row>
    <row r="1127" spans="1:15" x14ac:dyDescent="0.3">
      <c r="B1127">
        <v>1159</v>
      </c>
      <c r="C1127">
        <v>521256041</v>
      </c>
      <c r="D1127">
        <v>272</v>
      </c>
      <c r="E1127">
        <v>430</v>
      </c>
      <c r="F1127">
        <v>1</v>
      </c>
      <c r="G1127">
        <v>9.1225233627044293</v>
      </c>
      <c r="H1127">
        <v>1</v>
      </c>
      <c r="K1127" t="s">
        <v>890</v>
      </c>
      <c r="L1127">
        <v>4</v>
      </c>
      <c r="M1127" t="s">
        <v>1966</v>
      </c>
      <c r="N1127" t="s">
        <v>726</v>
      </c>
      <c r="O1127">
        <v>1</v>
      </c>
    </row>
    <row r="1128" spans="1:15" x14ac:dyDescent="0.3">
      <c r="B1128">
        <v>1160</v>
      </c>
      <c r="C1128">
        <v>521256042</v>
      </c>
      <c r="D1128">
        <v>73</v>
      </c>
      <c r="E1128">
        <v>428</v>
      </c>
      <c r="F1128">
        <v>1</v>
      </c>
      <c r="G1128">
        <v>7.6516524224553901</v>
      </c>
      <c r="H1128">
        <v>1</v>
      </c>
      <c r="K1128" t="s">
        <v>890</v>
      </c>
      <c r="L1128">
        <v>4</v>
      </c>
      <c r="M1128" t="s">
        <v>1967</v>
      </c>
      <c r="N1128" t="s">
        <v>726</v>
      </c>
      <c r="O1128">
        <v>1</v>
      </c>
    </row>
    <row r="1129" spans="1:15" x14ac:dyDescent="0.3">
      <c r="B1129">
        <v>1161</v>
      </c>
      <c r="C1129">
        <v>521256042</v>
      </c>
      <c r="D1129">
        <v>428</v>
      </c>
      <c r="E1129">
        <v>73</v>
      </c>
      <c r="F1129">
        <v>1</v>
      </c>
      <c r="G1129">
        <v>7.6516524224553901</v>
      </c>
      <c r="H1129">
        <v>1</v>
      </c>
      <c r="K1129" t="s">
        <v>890</v>
      </c>
      <c r="L1129">
        <v>4</v>
      </c>
      <c r="M1129" t="s">
        <v>1968</v>
      </c>
      <c r="N1129" t="s">
        <v>726</v>
      </c>
      <c r="O1129">
        <v>1</v>
      </c>
    </row>
    <row r="1130" spans="1:15" x14ac:dyDescent="0.3">
      <c r="B1130">
        <v>1162</v>
      </c>
      <c r="C1130">
        <v>521256043</v>
      </c>
      <c r="D1130">
        <v>427</v>
      </c>
      <c r="E1130">
        <v>73</v>
      </c>
      <c r="F1130">
        <v>1</v>
      </c>
      <c r="G1130">
        <v>7.1843676517325497</v>
      </c>
      <c r="H1130">
        <v>1</v>
      </c>
      <c r="K1130" t="s">
        <v>890</v>
      </c>
      <c r="L1130">
        <v>4</v>
      </c>
      <c r="M1130" t="s">
        <v>1969</v>
      </c>
      <c r="N1130" t="s">
        <v>726</v>
      </c>
      <c r="O1130">
        <v>1</v>
      </c>
    </row>
    <row r="1131" spans="1:15" x14ac:dyDescent="0.3">
      <c r="B1131">
        <v>1163</v>
      </c>
      <c r="C1131">
        <v>521256043</v>
      </c>
      <c r="D1131">
        <v>73</v>
      </c>
      <c r="E1131">
        <v>427</v>
      </c>
      <c r="F1131">
        <v>1</v>
      </c>
      <c r="G1131">
        <v>7.1843676517325497</v>
      </c>
      <c r="H1131">
        <v>1</v>
      </c>
      <c r="K1131" t="s">
        <v>890</v>
      </c>
      <c r="L1131">
        <v>4</v>
      </c>
      <c r="M1131" t="s">
        <v>1970</v>
      </c>
      <c r="N1131" t="s">
        <v>726</v>
      </c>
      <c r="O1131">
        <v>1</v>
      </c>
    </row>
    <row r="1132" spans="1:15" x14ac:dyDescent="0.3">
      <c r="B1132">
        <v>1164</v>
      </c>
      <c r="C1132">
        <v>521256044</v>
      </c>
      <c r="D1132">
        <v>429</v>
      </c>
      <c r="E1132">
        <v>163</v>
      </c>
      <c r="F1132">
        <v>1</v>
      </c>
      <c r="G1132">
        <v>8.8510255316680198</v>
      </c>
      <c r="H1132">
        <v>1</v>
      </c>
      <c r="K1132" t="s">
        <v>890</v>
      </c>
      <c r="L1132">
        <v>4</v>
      </c>
      <c r="M1132" t="s">
        <v>1971</v>
      </c>
      <c r="N1132" t="s">
        <v>726</v>
      </c>
      <c r="O1132">
        <v>1</v>
      </c>
    </row>
    <row r="1133" spans="1:15" x14ac:dyDescent="0.3">
      <c r="B1133">
        <v>1165</v>
      </c>
      <c r="C1133">
        <v>521256044</v>
      </c>
      <c r="D1133">
        <v>163</v>
      </c>
      <c r="E1133">
        <v>429</v>
      </c>
      <c r="F1133">
        <v>1</v>
      </c>
      <c r="G1133">
        <v>8.8510255316680198</v>
      </c>
      <c r="H1133">
        <v>1</v>
      </c>
      <c r="K1133" t="s">
        <v>890</v>
      </c>
      <c r="L1133">
        <v>4</v>
      </c>
      <c r="M1133" t="s">
        <v>1972</v>
      </c>
      <c r="N1133" t="s">
        <v>726</v>
      </c>
      <c r="O1133">
        <v>1</v>
      </c>
    </row>
    <row r="1134" spans="1:15" x14ac:dyDescent="0.3">
      <c r="B1134">
        <v>1166</v>
      </c>
      <c r="C1134">
        <v>521256045</v>
      </c>
      <c r="D1134">
        <v>163</v>
      </c>
      <c r="E1134">
        <v>424</v>
      </c>
      <c r="F1134">
        <v>1</v>
      </c>
      <c r="G1134">
        <v>6.8082133028029101</v>
      </c>
      <c r="H1134">
        <v>1</v>
      </c>
      <c r="K1134" t="s">
        <v>890</v>
      </c>
      <c r="L1134">
        <v>4</v>
      </c>
      <c r="M1134" t="s">
        <v>1973</v>
      </c>
      <c r="N1134" t="s">
        <v>726</v>
      </c>
      <c r="O1134">
        <v>1</v>
      </c>
    </row>
    <row r="1135" spans="1:15" x14ac:dyDescent="0.3">
      <c r="B1135">
        <v>1167</v>
      </c>
      <c r="C1135">
        <v>521256045</v>
      </c>
      <c r="D1135">
        <v>424</v>
      </c>
      <c r="E1135">
        <v>163</v>
      </c>
      <c r="F1135">
        <v>1</v>
      </c>
      <c r="G1135">
        <v>6.8082133028029101</v>
      </c>
      <c r="H1135">
        <v>1</v>
      </c>
      <c r="K1135" t="s">
        <v>890</v>
      </c>
      <c r="L1135">
        <v>4</v>
      </c>
      <c r="M1135" t="s">
        <v>1974</v>
      </c>
      <c r="N1135" t="s">
        <v>726</v>
      </c>
      <c r="O1135">
        <v>1</v>
      </c>
    </row>
    <row r="1136" spans="1:15" x14ac:dyDescent="0.3">
      <c r="A1136" t="s">
        <v>756</v>
      </c>
      <c r="B1136">
        <v>1168</v>
      </c>
      <c r="C1136">
        <v>521443954</v>
      </c>
      <c r="D1136">
        <v>603</v>
      </c>
      <c r="E1136">
        <v>602</v>
      </c>
      <c r="F1136">
        <v>1</v>
      </c>
      <c r="G1136">
        <v>52.470274688321197</v>
      </c>
      <c r="H1136">
        <v>1</v>
      </c>
      <c r="K1136" t="s">
        <v>729</v>
      </c>
      <c r="L1136">
        <v>6</v>
      </c>
      <c r="M1136" t="s">
        <v>1975</v>
      </c>
      <c r="N1136" t="s">
        <v>726</v>
      </c>
      <c r="O1136">
        <v>1</v>
      </c>
    </row>
    <row r="1137" spans="1:15" x14ac:dyDescent="0.3">
      <c r="A1137" t="s">
        <v>756</v>
      </c>
      <c r="B1137">
        <v>1169</v>
      </c>
      <c r="C1137">
        <v>521443954</v>
      </c>
      <c r="D1137">
        <v>602</v>
      </c>
      <c r="E1137">
        <v>603</v>
      </c>
      <c r="F1137">
        <v>1</v>
      </c>
      <c r="G1137">
        <v>52.470274688321197</v>
      </c>
      <c r="H1137">
        <v>1</v>
      </c>
      <c r="K1137" t="s">
        <v>729</v>
      </c>
      <c r="L1137">
        <v>6</v>
      </c>
      <c r="M1137" t="s">
        <v>1976</v>
      </c>
      <c r="N1137" t="s">
        <v>726</v>
      </c>
      <c r="O1137">
        <v>1</v>
      </c>
    </row>
    <row r="1138" spans="1:15" x14ac:dyDescent="0.3">
      <c r="A1138" t="s">
        <v>1166</v>
      </c>
      <c r="B1138">
        <v>1170</v>
      </c>
      <c r="C1138">
        <v>521443955</v>
      </c>
      <c r="D1138">
        <v>602</v>
      </c>
      <c r="E1138">
        <v>1949</v>
      </c>
      <c r="F1138">
        <v>1</v>
      </c>
      <c r="G1138">
        <v>157.61580736080501</v>
      </c>
      <c r="H1138">
        <v>1</v>
      </c>
      <c r="I1138">
        <v>25</v>
      </c>
      <c r="K1138" t="s">
        <v>729</v>
      </c>
      <c r="L1138">
        <v>6</v>
      </c>
      <c r="M1138" t="s">
        <v>1977</v>
      </c>
      <c r="N1138" t="s">
        <v>726</v>
      </c>
      <c r="O1138">
        <v>1</v>
      </c>
    </row>
    <row r="1139" spans="1:15" x14ac:dyDescent="0.3">
      <c r="A1139" t="s">
        <v>1166</v>
      </c>
      <c r="B1139">
        <v>1171</v>
      </c>
      <c r="C1139">
        <v>521443955</v>
      </c>
      <c r="D1139">
        <v>1949</v>
      </c>
      <c r="E1139">
        <v>602</v>
      </c>
      <c r="F1139">
        <v>1</v>
      </c>
      <c r="G1139">
        <v>157.61580736080501</v>
      </c>
      <c r="H1139">
        <v>1</v>
      </c>
      <c r="I1139">
        <v>25</v>
      </c>
      <c r="K1139" t="s">
        <v>729</v>
      </c>
      <c r="L1139">
        <v>6</v>
      </c>
      <c r="M1139" t="s">
        <v>1978</v>
      </c>
      <c r="N1139" t="s">
        <v>726</v>
      </c>
      <c r="O1139">
        <v>1</v>
      </c>
    </row>
    <row r="1140" spans="1:15" x14ac:dyDescent="0.3">
      <c r="A1140" t="s">
        <v>1362</v>
      </c>
      <c r="B1140">
        <v>1174</v>
      </c>
      <c r="C1140">
        <v>528165155</v>
      </c>
      <c r="D1140">
        <v>604</v>
      </c>
      <c r="E1140">
        <v>549</v>
      </c>
      <c r="F1140">
        <v>1</v>
      </c>
      <c r="G1140">
        <v>278.61161623155101</v>
      </c>
      <c r="H1140">
        <v>3</v>
      </c>
      <c r="I1140">
        <v>35</v>
      </c>
      <c r="K1140" t="s">
        <v>724</v>
      </c>
      <c r="L1140">
        <v>3</v>
      </c>
      <c r="M1140" t="s">
        <v>1979</v>
      </c>
      <c r="N1140" t="s">
        <v>726</v>
      </c>
      <c r="O1140">
        <v>0</v>
      </c>
    </row>
    <row r="1141" spans="1:15" x14ac:dyDescent="0.3">
      <c r="A1141" t="s">
        <v>1362</v>
      </c>
      <c r="B1141">
        <v>1175</v>
      </c>
      <c r="C1141">
        <v>528165156</v>
      </c>
      <c r="D1141">
        <v>605</v>
      </c>
      <c r="E1141">
        <v>313</v>
      </c>
      <c r="F1141">
        <v>1</v>
      </c>
      <c r="G1141">
        <v>90.573449332541799</v>
      </c>
      <c r="H1141">
        <v>3</v>
      </c>
      <c r="I1141">
        <v>35</v>
      </c>
      <c r="K1141" t="s">
        <v>724</v>
      </c>
      <c r="L1141">
        <v>3</v>
      </c>
      <c r="M1141" t="s">
        <v>1980</v>
      </c>
      <c r="N1141" t="s">
        <v>726</v>
      </c>
      <c r="O1141">
        <v>0</v>
      </c>
    </row>
    <row r="1142" spans="1:15" x14ac:dyDescent="0.3">
      <c r="A1142" t="s">
        <v>1288</v>
      </c>
      <c r="B1142">
        <v>1176</v>
      </c>
      <c r="C1142">
        <v>528199780</v>
      </c>
      <c r="D1142">
        <v>734</v>
      </c>
      <c r="E1142">
        <v>330</v>
      </c>
      <c r="F1142">
        <v>1</v>
      </c>
      <c r="G1142">
        <v>29.011574422982999</v>
      </c>
      <c r="H1142">
        <v>2</v>
      </c>
      <c r="I1142">
        <v>30</v>
      </c>
      <c r="K1142" t="s">
        <v>890</v>
      </c>
      <c r="L1142">
        <v>4</v>
      </c>
      <c r="M1142" t="s">
        <v>1981</v>
      </c>
      <c r="N1142" t="s">
        <v>726</v>
      </c>
      <c r="O1142">
        <v>0</v>
      </c>
    </row>
    <row r="1143" spans="1:15" x14ac:dyDescent="0.3">
      <c r="A1143" t="s">
        <v>767</v>
      </c>
      <c r="B1143">
        <v>1177</v>
      </c>
      <c r="C1143">
        <v>528199781</v>
      </c>
      <c r="D1143">
        <v>51</v>
      </c>
      <c r="E1143">
        <v>319</v>
      </c>
      <c r="F1143">
        <v>1</v>
      </c>
      <c r="G1143">
        <v>79.610051122317699</v>
      </c>
      <c r="H1143">
        <v>3</v>
      </c>
      <c r="I1143">
        <v>30</v>
      </c>
      <c r="K1143" t="s">
        <v>711</v>
      </c>
      <c r="L1143">
        <v>5</v>
      </c>
      <c r="M1143" t="s">
        <v>1982</v>
      </c>
      <c r="N1143" t="s">
        <v>726</v>
      </c>
      <c r="O1143">
        <v>0</v>
      </c>
    </row>
    <row r="1144" spans="1:15" x14ac:dyDescent="0.3">
      <c r="A1144" t="s">
        <v>1701</v>
      </c>
      <c r="B1144">
        <v>1178</v>
      </c>
      <c r="C1144">
        <v>531917599</v>
      </c>
      <c r="D1144">
        <v>485</v>
      </c>
      <c r="E1144">
        <v>676</v>
      </c>
      <c r="F1144">
        <v>1</v>
      </c>
      <c r="G1144">
        <v>15.3043465291111</v>
      </c>
      <c r="H1144">
        <v>2</v>
      </c>
      <c r="I1144">
        <v>40</v>
      </c>
      <c r="K1144" t="s">
        <v>724</v>
      </c>
      <c r="L1144">
        <v>3</v>
      </c>
      <c r="M1144" t="s">
        <v>1983</v>
      </c>
      <c r="N1144" t="s">
        <v>726</v>
      </c>
      <c r="O1144">
        <v>1</v>
      </c>
    </row>
    <row r="1145" spans="1:15" x14ac:dyDescent="0.3">
      <c r="A1145" t="s">
        <v>1701</v>
      </c>
      <c r="B1145">
        <v>1179</v>
      </c>
      <c r="C1145">
        <v>531917599</v>
      </c>
      <c r="D1145">
        <v>676</v>
      </c>
      <c r="E1145">
        <v>485</v>
      </c>
      <c r="F1145">
        <v>1</v>
      </c>
      <c r="G1145">
        <v>15.3043465291111</v>
      </c>
      <c r="H1145">
        <v>2</v>
      </c>
      <c r="I1145">
        <v>40</v>
      </c>
      <c r="K1145" t="s">
        <v>724</v>
      </c>
      <c r="L1145">
        <v>3</v>
      </c>
      <c r="M1145" t="s">
        <v>1984</v>
      </c>
      <c r="N1145" t="s">
        <v>726</v>
      </c>
      <c r="O1145">
        <v>1</v>
      </c>
    </row>
    <row r="1146" spans="1:15" x14ac:dyDescent="0.3">
      <c r="A1146" t="s">
        <v>767</v>
      </c>
      <c r="B1146">
        <v>1180</v>
      </c>
      <c r="C1146">
        <v>531940962</v>
      </c>
      <c r="D1146">
        <v>49</v>
      </c>
      <c r="E1146">
        <v>607</v>
      </c>
      <c r="F1146">
        <v>1</v>
      </c>
      <c r="G1146">
        <v>60.825405122999598</v>
      </c>
      <c r="H1146">
        <v>1</v>
      </c>
      <c r="I1146">
        <v>30</v>
      </c>
      <c r="K1146" t="s">
        <v>711</v>
      </c>
      <c r="L1146">
        <v>5</v>
      </c>
      <c r="M1146" t="s">
        <v>1985</v>
      </c>
      <c r="N1146" t="s">
        <v>726</v>
      </c>
      <c r="O1146">
        <v>1</v>
      </c>
    </row>
    <row r="1147" spans="1:15" x14ac:dyDescent="0.3">
      <c r="A1147" t="s">
        <v>767</v>
      </c>
      <c r="B1147">
        <v>1181</v>
      </c>
      <c r="C1147">
        <v>531940962</v>
      </c>
      <c r="D1147">
        <v>607</v>
      </c>
      <c r="E1147">
        <v>49</v>
      </c>
      <c r="F1147">
        <v>1</v>
      </c>
      <c r="G1147">
        <v>60.825405122999598</v>
      </c>
      <c r="H1147">
        <v>3</v>
      </c>
      <c r="I1147">
        <v>30</v>
      </c>
      <c r="K1147" t="s">
        <v>711</v>
      </c>
      <c r="L1147">
        <v>5</v>
      </c>
      <c r="M1147" t="s">
        <v>1986</v>
      </c>
      <c r="N1147" t="s">
        <v>726</v>
      </c>
      <c r="O1147">
        <v>1</v>
      </c>
    </row>
    <row r="1148" spans="1:15" x14ac:dyDescent="0.3">
      <c r="A1148" t="s">
        <v>767</v>
      </c>
      <c r="B1148">
        <v>1182</v>
      </c>
      <c r="C1148">
        <v>531940963</v>
      </c>
      <c r="D1148">
        <v>608</v>
      </c>
      <c r="E1148">
        <v>50</v>
      </c>
      <c r="F1148">
        <v>1</v>
      </c>
      <c r="G1148">
        <v>48.228641178635598</v>
      </c>
      <c r="H1148">
        <v>2</v>
      </c>
      <c r="I1148">
        <v>30</v>
      </c>
      <c r="K1148" t="s">
        <v>711</v>
      </c>
      <c r="L1148">
        <v>5</v>
      </c>
      <c r="M1148" t="s">
        <v>1987</v>
      </c>
      <c r="N1148" t="s">
        <v>726</v>
      </c>
      <c r="O1148">
        <v>1</v>
      </c>
    </row>
    <row r="1149" spans="1:15" x14ac:dyDescent="0.3">
      <c r="A1149" t="s">
        <v>767</v>
      </c>
      <c r="B1149">
        <v>1183</v>
      </c>
      <c r="C1149">
        <v>531940963</v>
      </c>
      <c r="D1149">
        <v>50</v>
      </c>
      <c r="E1149">
        <v>608</v>
      </c>
      <c r="F1149">
        <v>1</v>
      </c>
      <c r="G1149">
        <v>48.228641178635499</v>
      </c>
      <c r="H1149">
        <v>1</v>
      </c>
      <c r="I1149">
        <v>30</v>
      </c>
      <c r="K1149" t="s">
        <v>711</v>
      </c>
      <c r="L1149">
        <v>5</v>
      </c>
      <c r="M1149" t="s">
        <v>1988</v>
      </c>
      <c r="N1149" t="s">
        <v>726</v>
      </c>
      <c r="O1149">
        <v>1</v>
      </c>
    </row>
    <row r="1150" spans="1:15" x14ac:dyDescent="0.3">
      <c r="A1150" t="s">
        <v>767</v>
      </c>
      <c r="B1150">
        <v>1184</v>
      </c>
      <c r="C1150">
        <v>531940964</v>
      </c>
      <c r="D1150">
        <v>50</v>
      </c>
      <c r="E1150">
        <v>609</v>
      </c>
      <c r="F1150">
        <v>1</v>
      </c>
      <c r="G1150">
        <v>47.569978448732797</v>
      </c>
      <c r="H1150">
        <v>1</v>
      </c>
      <c r="I1150">
        <v>30</v>
      </c>
      <c r="K1150" t="s">
        <v>711</v>
      </c>
      <c r="L1150">
        <v>5</v>
      </c>
      <c r="M1150" t="s">
        <v>1989</v>
      </c>
      <c r="N1150" t="s">
        <v>726</v>
      </c>
      <c r="O1150">
        <v>1</v>
      </c>
    </row>
    <row r="1151" spans="1:15" x14ac:dyDescent="0.3">
      <c r="A1151" t="s">
        <v>767</v>
      </c>
      <c r="B1151">
        <v>1185</v>
      </c>
      <c r="C1151">
        <v>531940964</v>
      </c>
      <c r="D1151">
        <v>609</v>
      </c>
      <c r="E1151">
        <v>50</v>
      </c>
      <c r="F1151">
        <v>1</v>
      </c>
      <c r="G1151">
        <v>47.569978448732797</v>
      </c>
      <c r="H1151">
        <v>2</v>
      </c>
      <c r="I1151">
        <v>30</v>
      </c>
      <c r="K1151" t="s">
        <v>711</v>
      </c>
      <c r="L1151">
        <v>5</v>
      </c>
      <c r="M1151" t="s">
        <v>1990</v>
      </c>
      <c r="N1151" t="s">
        <v>726</v>
      </c>
      <c r="O1151">
        <v>1</v>
      </c>
    </row>
    <row r="1152" spans="1:15" x14ac:dyDescent="0.3">
      <c r="A1152" t="s">
        <v>767</v>
      </c>
      <c r="B1152">
        <v>1186</v>
      </c>
      <c r="C1152">
        <v>531940965</v>
      </c>
      <c r="D1152">
        <v>52</v>
      </c>
      <c r="E1152">
        <v>51</v>
      </c>
      <c r="F1152">
        <v>1</v>
      </c>
      <c r="G1152">
        <v>61.453111303843102</v>
      </c>
      <c r="H1152">
        <v>1</v>
      </c>
      <c r="I1152">
        <v>30</v>
      </c>
      <c r="K1152" t="s">
        <v>711</v>
      </c>
      <c r="L1152">
        <v>5</v>
      </c>
      <c r="M1152" t="s">
        <v>1991</v>
      </c>
      <c r="N1152" t="s">
        <v>726</v>
      </c>
      <c r="O1152">
        <v>0</v>
      </c>
    </row>
    <row r="1153" spans="1:15" x14ac:dyDescent="0.3">
      <c r="A1153" t="s">
        <v>767</v>
      </c>
      <c r="B1153">
        <v>1187</v>
      </c>
      <c r="C1153">
        <v>531940966</v>
      </c>
      <c r="D1153">
        <v>736</v>
      </c>
      <c r="E1153">
        <v>52</v>
      </c>
      <c r="F1153">
        <v>1</v>
      </c>
      <c r="G1153">
        <v>16.193251198696299</v>
      </c>
      <c r="H1153">
        <v>1</v>
      </c>
      <c r="I1153">
        <v>30</v>
      </c>
      <c r="K1153" t="s">
        <v>711</v>
      </c>
      <c r="L1153">
        <v>5</v>
      </c>
      <c r="M1153" t="s">
        <v>1992</v>
      </c>
      <c r="N1153" t="s">
        <v>726</v>
      </c>
      <c r="O1153">
        <v>0</v>
      </c>
    </row>
    <row r="1154" spans="1:15" x14ac:dyDescent="0.3">
      <c r="A1154" t="s">
        <v>827</v>
      </c>
      <c r="B1154">
        <v>1188</v>
      </c>
      <c r="C1154">
        <v>531950082</v>
      </c>
      <c r="D1154">
        <v>79</v>
      </c>
      <c r="E1154">
        <v>1955</v>
      </c>
      <c r="F1154">
        <v>1</v>
      </c>
      <c r="G1154">
        <v>99.386852587784304</v>
      </c>
      <c r="H1154">
        <v>3</v>
      </c>
      <c r="K1154" t="s">
        <v>724</v>
      </c>
      <c r="L1154">
        <v>3</v>
      </c>
      <c r="M1154" t="s">
        <v>1993</v>
      </c>
      <c r="N1154" t="s">
        <v>726</v>
      </c>
      <c r="O1154">
        <v>0</v>
      </c>
    </row>
    <row r="1155" spans="1:15" x14ac:dyDescent="0.3">
      <c r="A1155" t="s">
        <v>1216</v>
      </c>
      <c r="B1155">
        <v>1189</v>
      </c>
      <c r="C1155">
        <v>531955796</v>
      </c>
      <c r="D1155">
        <v>1953</v>
      </c>
      <c r="E1155">
        <v>315</v>
      </c>
      <c r="F1155">
        <v>1</v>
      </c>
      <c r="G1155">
        <v>45.424706057024999</v>
      </c>
      <c r="H1155">
        <v>2</v>
      </c>
      <c r="I1155">
        <v>35</v>
      </c>
      <c r="K1155" t="s">
        <v>890</v>
      </c>
      <c r="L1155">
        <v>4</v>
      </c>
      <c r="M1155" t="s">
        <v>1994</v>
      </c>
      <c r="N1155" t="s">
        <v>726</v>
      </c>
      <c r="O1155">
        <v>0</v>
      </c>
    </row>
    <row r="1156" spans="1:15" x14ac:dyDescent="0.3">
      <c r="A1156" t="s">
        <v>1216</v>
      </c>
      <c r="B1156">
        <v>1190</v>
      </c>
      <c r="C1156">
        <v>531955797</v>
      </c>
      <c r="D1156">
        <v>318</v>
      </c>
      <c r="E1156">
        <v>331</v>
      </c>
      <c r="F1156">
        <v>1</v>
      </c>
      <c r="G1156">
        <v>97.361474319307206</v>
      </c>
      <c r="H1156">
        <v>2</v>
      </c>
      <c r="I1156">
        <v>35</v>
      </c>
      <c r="K1156" t="s">
        <v>890</v>
      </c>
      <c r="L1156">
        <v>4</v>
      </c>
      <c r="M1156" t="s">
        <v>1995</v>
      </c>
      <c r="N1156" t="s">
        <v>726</v>
      </c>
      <c r="O1156">
        <v>0</v>
      </c>
    </row>
    <row r="1157" spans="1:15" x14ac:dyDescent="0.3">
      <c r="A1157" t="s">
        <v>1216</v>
      </c>
      <c r="B1157">
        <v>1191</v>
      </c>
      <c r="C1157">
        <v>531955800</v>
      </c>
      <c r="D1157">
        <v>188</v>
      </c>
      <c r="E1157">
        <v>436</v>
      </c>
      <c r="F1157">
        <v>1</v>
      </c>
      <c r="G1157">
        <v>86.822979171417003</v>
      </c>
      <c r="H1157">
        <v>3</v>
      </c>
      <c r="I1157">
        <v>35</v>
      </c>
      <c r="K1157" t="s">
        <v>890</v>
      </c>
      <c r="L1157">
        <v>4</v>
      </c>
      <c r="M1157" t="s">
        <v>1996</v>
      </c>
      <c r="N1157" t="s">
        <v>726</v>
      </c>
      <c r="O1157">
        <v>0</v>
      </c>
    </row>
    <row r="1158" spans="1:15" x14ac:dyDescent="0.3">
      <c r="A1158" t="s">
        <v>1216</v>
      </c>
      <c r="B1158">
        <v>1192</v>
      </c>
      <c r="C1158">
        <v>531955801</v>
      </c>
      <c r="D1158">
        <v>331</v>
      </c>
      <c r="E1158">
        <v>505</v>
      </c>
      <c r="F1158">
        <v>1</v>
      </c>
      <c r="G1158">
        <v>95.447788242291907</v>
      </c>
      <c r="H1158">
        <v>3</v>
      </c>
      <c r="I1158">
        <v>35</v>
      </c>
      <c r="K1158" t="s">
        <v>890</v>
      </c>
      <c r="L1158">
        <v>4</v>
      </c>
      <c r="M1158" t="s">
        <v>1997</v>
      </c>
      <c r="N1158" t="s">
        <v>726</v>
      </c>
      <c r="O1158">
        <v>0</v>
      </c>
    </row>
    <row r="1159" spans="1:15" x14ac:dyDescent="0.3">
      <c r="A1159" t="s">
        <v>1216</v>
      </c>
      <c r="B1159">
        <v>1193</v>
      </c>
      <c r="C1159">
        <v>531955802</v>
      </c>
      <c r="D1159">
        <v>343</v>
      </c>
      <c r="E1159">
        <v>510</v>
      </c>
      <c r="F1159">
        <v>1</v>
      </c>
      <c r="G1159">
        <v>99.294153016922195</v>
      </c>
      <c r="H1159">
        <v>3</v>
      </c>
      <c r="I1159">
        <v>35</v>
      </c>
      <c r="K1159" t="s">
        <v>890</v>
      </c>
      <c r="L1159">
        <v>4</v>
      </c>
      <c r="M1159" t="s">
        <v>1998</v>
      </c>
      <c r="N1159" t="s">
        <v>726</v>
      </c>
      <c r="O1159">
        <v>0</v>
      </c>
    </row>
    <row r="1160" spans="1:15" x14ac:dyDescent="0.3">
      <c r="A1160" t="s">
        <v>1216</v>
      </c>
      <c r="B1160">
        <v>1194</v>
      </c>
      <c r="C1160">
        <v>531955803</v>
      </c>
      <c r="D1160">
        <v>610</v>
      </c>
      <c r="E1160">
        <v>341</v>
      </c>
      <c r="F1160">
        <v>1</v>
      </c>
      <c r="G1160">
        <v>83.959899457766696</v>
      </c>
      <c r="H1160">
        <v>3</v>
      </c>
      <c r="I1160">
        <v>35</v>
      </c>
      <c r="K1160" t="s">
        <v>890</v>
      </c>
      <c r="L1160">
        <v>4</v>
      </c>
      <c r="M1160" t="s">
        <v>1999</v>
      </c>
      <c r="N1160" t="s">
        <v>726</v>
      </c>
      <c r="O1160">
        <v>0</v>
      </c>
    </row>
    <row r="1161" spans="1:15" x14ac:dyDescent="0.3">
      <c r="A1161" t="s">
        <v>1216</v>
      </c>
      <c r="B1161">
        <v>1195</v>
      </c>
      <c r="C1161">
        <v>531955804</v>
      </c>
      <c r="D1161">
        <v>1943</v>
      </c>
      <c r="E1161">
        <v>610</v>
      </c>
      <c r="F1161">
        <v>1</v>
      </c>
      <c r="G1161">
        <v>175.96716259125699</v>
      </c>
      <c r="H1161">
        <v>2</v>
      </c>
      <c r="I1161">
        <v>35</v>
      </c>
      <c r="K1161" t="s">
        <v>890</v>
      </c>
      <c r="L1161">
        <v>4</v>
      </c>
      <c r="M1161" t="s">
        <v>2000</v>
      </c>
      <c r="N1161" t="s">
        <v>726</v>
      </c>
      <c r="O1161">
        <v>0</v>
      </c>
    </row>
    <row r="1162" spans="1:15" x14ac:dyDescent="0.3">
      <c r="A1162" t="s">
        <v>1221</v>
      </c>
      <c r="B1162">
        <v>1196</v>
      </c>
      <c r="C1162">
        <v>531969913</v>
      </c>
      <c r="D1162">
        <v>373</v>
      </c>
      <c r="E1162">
        <v>374</v>
      </c>
      <c r="F1162">
        <v>1</v>
      </c>
      <c r="G1162">
        <v>34.486193918153198</v>
      </c>
      <c r="H1162">
        <v>4</v>
      </c>
      <c r="I1162">
        <v>40</v>
      </c>
      <c r="K1162" t="s">
        <v>890</v>
      </c>
      <c r="L1162">
        <v>4</v>
      </c>
      <c r="M1162" t="s">
        <v>2001</v>
      </c>
      <c r="N1162" t="s">
        <v>726</v>
      </c>
      <c r="O1162">
        <v>0</v>
      </c>
    </row>
    <row r="1163" spans="1:15" x14ac:dyDescent="0.3">
      <c r="A1163" t="s">
        <v>1221</v>
      </c>
      <c r="B1163">
        <v>1197</v>
      </c>
      <c r="C1163">
        <v>531969915</v>
      </c>
      <c r="D1163">
        <v>345</v>
      </c>
      <c r="E1163">
        <v>373</v>
      </c>
      <c r="F1163">
        <v>1</v>
      </c>
      <c r="G1163">
        <v>75.265333856824995</v>
      </c>
      <c r="H1163">
        <v>3</v>
      </c>
      <c r="I1163">
        <v>40</v>
      </c>
      <c r="K1163" t="s">
        <v>890</v>
      </c>
      <c r="L1163">
        <v>4</v>
      </c>
      <c r="M1163" t="s">
        <v>2002</v>
      </c>
      <c r="N1163" t="s">
        <v>726</v>
      </c>
      <c r="O1163">
        <v>0</v>
      </c>
    </row>
    <row r="1164" spans="1:15" x14ac:dyDescent="0.3">
      <c r="A1164" t="s">
        <v>1216</v>
      </c>
      <c r="B1164">
        <v>1198</v>
      </c>
      <c r="C1164">
        <v>532207269</v>
      </c>
      <c r="D1164">
        <v>338</v>
      </c>
      <c r="E1164">
        <v>340</v>
      </c>
      <c r="F1164">
        <v>1</v>
      </c>
      <c r="G1164">
        <v>86.886610173597205</v>
      </c>
      <c r="H1164">
        <v>3</v>
      </c>
      <c r="I1164">
        <v>35</v>
      </c>
      <c r="K1164" t="s">
        <v>890</v>
      </c>
      <c r="L1164">
        <v>4</v>
      </c>
      <c r="M1164" t="s">
        <v>2003</v>
      </c>
      <c r="N1164" t="s">
        <v>726</v>
      </c>
      <c r="O1164">
        <v>0</v>
      </c>
    </row>
    <row r="1165" spans="1:15" x14ac:dyDescent="0.3">
      <c r="A1165" t="s">
        <v>1216</v>
      </c>
      <c r="B1165">
        <v>1199</v>
      </c>
      <c r="C1165">
        <v>532207270</v>
      </c>
      <c r="D1165">
        <v>335</v>
      </c>
      <c r="E1165">
        <v>338</v>
      </c>
      <c r="F1165">
        <v>1</v>
      </c>
      <c r="G1165">
        <v>39.1901346479616</v>
      </c>
      <c r="H1165">
        <v>2</v>
      </c>
      <c r="I1165">
        <v>35</v>
      </c>
      <c r="K1165" t="s">
        <v>890</v>
      </c>
      <c r="L1165">
        <v>4</v>
      </c>
      <c r="M1165" t="s">
        <v>2004</v>
      </c>
      <c r="N1165" t="s">
        <v>726</v>
      </c>
      <c r="O1165">
        <v>0</v>
      </c>
    </row>
    <row r="1166" spans="1:15" x14ac:dyDescent="0.3">
      <c r="A1166" t="s">
        <v>1216</v>
      </c>
      <c r="B1166">
        <v>1200</v>
      </c>
      <c r="C1166">
        <v>532207271</v>
      </c>
      <c r="D1166">
        <v>611</v>
      </c>
      <c r="E1166">
        <v>318</v>
      </c>
      <c r="F1166">
        <v>1</v>
      </c>
      <c r="G1166">
        <v>70.585290686468795</v>
      </c>
      <c r="H1166">
        <v>4</v>
      </c>
      <c r="I1166">
        <v>35</v>
      </c>
      <c r="K1166" t="s">
        <v>890</v>
      </c>
      <c r="L1166">
        <v>4</v>
      </c>
      <c r="M1166" t="s">
        <v>2005</v>
      </c>
      <c r="N1166" t="s">
        <v>726</v>
      </c>
      <c r="O1166">
        <v>0</v>
      </c>
    </row>
    <row r="1167" spans="1:15" x14ac:dyDescent="0.3">
      <c r="A1167" t="s">
        <v>1216</v>
      </c>
      <c r="B1167">
        <v>1201</v>
      </c>
      <c r="C1167">
        <v>532207272</v>
      </c>
      <c r="D1167">
        <v>321</v>
      </c>
      <c r="E1167">
        <v>317</v>
      </c>
      <c r="F1167">
        <v>1</v>
      </c>
      <c r="G1167">
        <v>71.469511052654795</v>
      </c>
      <c r="H1167">
        <v>3</v>
      </c>
      <c r="K1167" t="s">
        <v>890</v>
      </c>
      <c r="L1167">
        <v>4</v>
      </c>
      <c r="M1167" t="s">
        <v>2006</v>
      </c>
      <c r="N1167" t="s">
        <v>726</v>
      </c>
      <c r="O1167">
        <v>0</v>
      </c>
    </row>
    <row r="1168" spans="1:15" x14ac:dyDescent="0.3">
      <c r="A1168" t="s">
        <v>1216</v>
      </c>
      <c r="B1168">
        <v>1202</v>
      </c>
      <c r="C1168">
        <v>532207273</v>
      </c>
      <c r="D1168">
        <v>326</v>
      </c>
      <c r="E1168">
        <v>327</v>
      </c>
      <c r="F1168">
        <v>1</v>
      </c>
      <c r="G1168">
        <v>140.29152381572999</v>
      </c>
      <c r="H1168">
        <v>2</v>
      </c>
      <c r="K1168" t="s">
        <v>890</v>
      </c>
      <c r="L1168">
        <v>4</v>
      </c>
      <c r="M1168" t="s">
        <v>2007</v>
      </c>
      <c r="N1168" t="s">
        <v>726</v>
      </c>
      <c r="O1168">
        <v>0</v>
      </c>
    </row>
    <row r="1169" spans="1:15" x14ac:dyDescent="0.3">
      <c r="A1169" t="s">
        <v>1216</v>
      </c>
      <c r="B1169">
        <v>1203</v>
      </c>
      <c r="C1169">
        <v>532207273</v>
      </c>
      <c r="D1169">
        <v>327</v>
      </c>
      <c r="E1169">
        <v>321</v>
      </c>
      <c r="F1169">
        <v>1</v>
      </c>
      <c r="G1169">
        <v>199.45682998992999</v>
      </c>
      <c r="H1169">
        <v>2</v>
      </c>
      <c r="K1169" t="s">
        <v>890</v>
      </c>
      <c r="L1169">
        <v>4</v>
      </c>
      <c r="M1169" t="s">
        <v>2008</v>
      </c>
      <c r="N1169" t="s">
        <v>726</v>
      </c>
      <c r="O1169">
        <v>0</v>
      </c>
    </row>
    <row r="1170" spans="1:15" x14ac:dyDescent="0.3">
      <c r="A1170" t="s">
        <v>1216</v>
      </c>
      <c r="B1170">
        <v>1204</v>
      </c>
      <c r="C1170">
        <v>532207274</v>
      </c>
      <c r="D1170">
        <v>320</v>
      </c>
      <c r="E1170">
        <v>324</v>
      </c>
      <c r="F1170">
        <v>1</v>
      </c>
      <c r="G1170">
        <v>68.055714343107397</v>
      </c>
      <c r="H1170">
        <v>3</v>
      </c>
      <c r="K1170" t="s">
        <v>890</v>
      </c>
      <c r="L1170">
        <v>4</v>
      </c>
      <c r="M1170" t="s">
        <v>2009</v>
      </c>
      <c r="N1170" t="s">
        <v>726</v>
      </c>
      <c r="O1170">
        <v>0</v>
      </c>
    </row>
    <row r="1171" spans="1:15" x14ac:dyDescent="0.3">
      <c r="A1171" t="s">
        <v>1216</v>
      </c>
      <c r="B1171">
        <v>1205</v>
      </c>
      <c r="C1171">
        <v>532207275</v>
      </c>
      <c r="D1171">
        <v>1946</v>
      </c>
      <c r="E1171">
        <v>320</v>
      </c>
      <c r="F1171">
        <v>1</v>
      </c>
      <c r="G1171">
        <v>262.93601464501501</v>
      </c>
      <c r="H1171">
        <v>2</v>
      </c>
      <c r="K1171" t="s">
        <v>890</v>
      </c>
      <c r="L1171">
        <v>4</v>
      </c>
      <c r="M1171" t="s">
        <v>2010</v>
      </c>
      <c r="N1171" t="s">
        <v>726</v>
      </c>
      <c r="O1171">
        <v>0</v>
      </c>
    </row>
    <row r="1172" spans="1:15" x14ac:dyDescent="0.3">
      <c r="B1172">
        <v>1206</v>
      </c>
      <c r="C1172">
        <v>532207303</v>
      </c>
      <c r="D1172">
        <v>298</v>
      </c>
      <c r="E1172">
        <v>327</v>
      </c>
      <c r="F1172">
        <v>1</v>
      </c>
      <c r="G1172">
        <v>11.542406440308801</v>
      </c>
      <c r="H1172">
        <v>1</v>
      </c>
      <c r="K1172" t="s">
        <v>880</v>
      </c>
      <c r="L1172">
        <v>11</v>
      </c>
      <c r="M1172" t="s">
        <v>2011</v>
      </c>
      <c r="N1172" t="s">
        <v>726</v>
      </c>
      <c r="O1172">
        <v>1</v>
      </c>
    </row>
    <row r="1173" spans="1:15" x14ac:dyDescent="0.3">
      <c r="B1173">
        <v>1207</v>
      </c>
      <c r="C1173">
        <v>532207303</v>
      </c>
      <c r="D1173">
        <v>327</v>
      </c>
      <c r="E1173">
        <v>298</v>
      </c>
      <c r="F1173">
        <v>1</v>
      </c>
      <c r="G1173">
        <v>11.542406440308801</v>
      </c>
      <c r="H1173">
        <v>1</v>
      </c>
      <c r="K1173" t="s">
        <v>880</v>
      </c>
      <c r="L1173">
        <v>11</v>
      </c>
      <c r="M1173" t="s">
        <v>2012</v>
      </c>
      <c r="N1173" t="s">
        <v>726</v>
      </c>
      <c r="O1173">
        <v>1</v>
      </c>
    </row>
    <row r="1174" spans="1:15" x14ac:dyDescent="0.3">
      <c r="A1174" t="s">
        <v>889</v>
      </c>
      <c r="B1174">
        <v>1208</v>
      </c>
      <c r="C1174">
        <v>532215357</v>
      </c>
      <c r="D1174">
        <v>498</v>
      </c>
      <c r="E1174">
        <v>354</v>
      </c>
      <c r="F1174">
        <v>1</v>
      </c>
      <c r="G1174">
        <v>48.853870073593697</v>
      </c>
      <c r="H1174">
        <v>2</v>
      </c>
      <c r="I1174">
        <v>40</v>
      </c>
      <c r="K1174" t="s">
        <v>890</v>
      </c>
      <c r="L1174">
        <v>4</v>
      </c>
      <c r="M1174" t="s">
        <v>2013</v>
      </c>
      <c r="N1174" t="s">
        <v>726</v>
      </c>
      <c r="O1174">
        <v>1</v>
      </c>
    </row>
    <row r="1175" spans="1:15" x14ac:dyDescent="0.3">
      <c r="A1175" t="s">
        <v>889</v>
      </c>
      <c r="B1175">
        <v>1209</v>
      </c>
      <c r="C1175">
        <v>532215357</v>
      </c>
      <c r="D1175">
        <v>354</v>
      </c>
      <c r="E1175">
        <v>498</v>
      </c>
      <c r="F1175">
        <v>1</v>
      </c>
      <c r="G1175">
        <v>48.853870073593697</v>
      </c>
      <c r="H1175">
        <v>3</v>
      </c>
      <c r="I1175">
        <v>40</v>
      </c>
      <c r="K1175" t="s">
        <v>890</v>
      </c>
      <c r="L1175">
        <v>4</v>
      </c>
      <c r="M1175" t="s">
        <v>2014</v>
      </c>
      <c r="N1175" t="s">
        <v>726</v>
      </c>
      <c r="O1175">
        <v>1</v>
      </c>
    </row>
    <row r="1176" spans="1:15" x14ac:dyDescent="0.3">
      <c r="A1176" t="s">
        <v>1078</v>
      </c>
      <c r="B1176">
        <v>1210</v>
      </c>
      <c r="C1176">
        <v>532227830</v>
      </c>
      <c r="D1176">
        <v>215</v>
      </c>
      <c r="E1176">
        <v>227</v>
      </c>
      <c r="F1176">
        <v>1</v>
      </c>
      <c r="G1176">
        <v>26.654143666444</v>
      </c>
      <c r="H1176">
        <v>1</v>
      </c>
      <c r="I1176">
        <v>25</v>
      </c>
      <c r="K1176" t="s">
        <v>711</v>
      </c>
      <c r="L1176">
        <v>5</v>
      </c>
      <c r="M1176" t="s">
        <v>2015</v>
      </c>
      <c r="N1176" t="s">
        <v>726</v>
      </c>
      <c r="O1176">
        <v>1</v>
      </c>
    </row>
    <row r="1177" spans="1:15" x14ac:dyDescent="0.3">
      <c r="A1177" t="s">
        <v>1078</v>
      </c>
      <c r="B1177">
        <v>1211</v>
      </c>
      <c r="C1177">
        <v>532227830</v>
      </c>
      <c r="D1177">
        <v>227</v>
      </c>
      <c r="E1177">
        <v>215</v>
      </c>
      <c r="F1177">
        <v>1</v>
      </c>
      <c r="G1177">
        <v>26.654143666444</v>
      </c>
      <c r="H1177">
        <v>1</v>
      </c>
      <c r="I1177">
        <v>25</v>
      </c>
      <c r="K1177" t="s">
        <v>711</v>
      </c>
      <c r="L1177">
        <v>5</v>
      </c>
      <c r="M1177" t="s">
        <v>2016</v>
      </c>
      <c r="N1177" t="s">
        <v>726</v>
      </c>
      <c r="O1177">
        <v>1</v>
      </c>
    </row>
    <row r="1178" spans="1:15" x14ac:dyDescent="0.3">
      <c r="A1178" t="s">
        <v>827</v>
      </c>
      <c r="B1178">
        <v>1212</v>
      </c>
      <c r="C1178">
        <v>532227834</v>
      </c>
      <c r="D1178">
        <v>369</v>
      </c>
      <c r="E1178">
        <v>446</v>
      </c>
      <c r="F1178">
        <v>1</v>
      </c>
      <c r="G1178">
        <v>77.194356979093797</v>
      </c>
      <c r="H1178">
        <v>2</v>
      </c>
      <c r="I1178">
        <v>35</v>
      </c>
      <c r="K1178" t="s">
        <v>724</v>
      </c>
      <c r="L1178">
        <v>3</v>
      </c>
      <c r="M1178" t="s">
        <v>2017</v>
      </c>
      <c r="N1178" t="s">
        <v>726</v>
      </c>
      <c r="O1178">
        <v>0</v>
      </c>
    </row>
    <row r="1179" spans="1:15" x14ac:dyDescent="0.3">
      <c r="A1179" t="s">
        <v>827</v>
      </c>
      <c r="B1179">
        <v>1213</v>
      </c>
      <c r="C1179">
        <v>532227836</v>
      </c>
      <c r="D1179">
        <v>612</v>
      </c>
      <c r="E1179">
        <v>369</v>
      </c>
      <c r="F1179">
        <v>1</v>
      </c>
      <c r="G1179">
        <v>38.651457837533997</v>
      </c>
      <c r="H1179">
        <v>3</v>
      </c>
      <c r="I1179">
        <v>35</v>
      </c>
      <c r="K1179" t="s">
        <v>724</v>
      </c>
      <c r="L1179">
        <v>3</v>
      </c>
      <c r="M1179" t="s">
        <v>2018</v>
      </c>
      <c r="N1179" t="s">
        <v>726</v>
      </c>
      <c r="O1179">
        <v>0</v>
      </c>
    </row>
    <row r="1180" spans="1:15" x14ac:dyDescent="0.3">
      <c r="A1180" t="s">
        <v>847</v>
      </c>
      <c r="B1180">
        <v>1214</v>
      </c>
      <c r="C1180">
        <v>532227838</v>
      </c>
      <c r="D1180">
        <v>1956</v>
      </c>
      <c r="E1180">
        <v>1959</v>
      </c>
      <c r="F1180">
        <v>1</v>
      </c>
      <c r="G1180">
        <v>20.4871550018417</v>
      </c>
      <c r="H1180">
        <v>1</v>
      </c>
      <c r="I1180">
        <v>25</v>
      </c>
      <c r="K1180" t="s">
        <v>729</v>
      </c>
      <c r="L1180">
        <v>6</v>
      </c>
      <c r="M1180" t="s">
        <v>2019</v>
      </c>
      <c r="N1180" t="s">
        <v>726</v>
      </c>
      <c r="O1180">
        <v>1</v>
      </c>
    </row>
    <row r="1181" spans="1:15" x14ac:dyDescent="0.3">
      <c r="A1181" t="s">
        <v>847</v>
      </c>
      <c r="B1181">
        <v>1215</v>
      </c>
      <c r="C1181">
        <v>532227838</v>
      </c>
      <c r="D1181">
        <v>1959</v>
      </c>
      <c r="E1181">
        <v>1956</v>
      </c>
      <c r="F1181">
        <v>1</v>
      </c>
      <c r="G1181">
        <v>20.4871550018417</v>
      </c>
      <c r="H1181">
        <v>1</v>
      </c>
      <c r="I1181">
        <v>25</v>
      </c>
      <c r="K1181" t="s">
        <v>729</v>
      </c>
      <c r="L1181">
        <v>6</v>
      </c>
      <c r="M1181" t="s">
        <v>2020</v>
      </c>
      <c r="N1181" t="s">
        <v>726</v>
      </c>
      <c r="O1181">
        <v>1</v>
      </c>
    </row>
    <row r="1182" spans="1:15" x14ac:dyDescent="0.3">
      <c r="A1182" t="s">
        <v>1362</v>
      </c>
      <c r="B1182">
        <v>1216</v>
      </c>
      <c r="C1182">
        <v>533371299</v>
      </c>
      <c r="D1182">
        <v>308</v>
      </c>
      <c r="E1182">
        <v>309</v>
      </c>
      <c r="F1182">
        <v>1</v>
      </c>
      <c r="G1182">
        <v>56.0103731112793</v>
      </c>
      <c r="H1182">
        <v>3</v>
      </c>
      <c r="I1182">
        <v>35</v>
      </c>
      <c r="K1182" t="s">
        <v>724</v>
      </c>
      <c r="L1182">
        <v>3</v>
      </c>
      <c r="M1182" t="s">
        <v>2021</v>
      </c>
      <c r="N1182" t="s">
        <v>726</v>
      </c>
      <c r="O1182">
        <v>0</v>
      </c>
    </row>
    <row r="1183" spans="1:15" x14ac:dyDescent="0.3">
      <c r="A1183" t="s">
        <v>1362</v>
      </c>
      <c r="B1183">
        <v>1217</v>
      </c>
      <c r="C1183">
        <v>533371300</v>
      </c>
      <c r="D1183">
        <v>309</v>
      </c>
      <c r="E1183">
        <v>240</v>
      </c>
      <c r="F1183">
        <v>1</v>
      </c>
      <c r="G1183">
        <v>52.862577284814002</v>
      </c>
      <c r="H1183">
        <v>3</v>
      </c>
      <c r="I1183">
        <v>35</v>
      </c>
      <c r="K1183" t="s">
        <v>724</v>
      </c>
      <c r="L1183">
        <v>3</v>
      </c>
      <c r="M1183" t="s">
        <v>2022</v>
      </c>
      <c r="N1183" t="s">
        <v>726</v>
      </c>
      <c r="O1183">
        <v>0</v>
      </c>
    </row>
    <row r="1184" spans="1:15" x14ac:dyDescent="0.3">
      <c r="A1184" t="s">
        <v>1362</v>
      </c>
      <c r="B1184">
        <v>1218</v>
      </c>
      <c r="C1184">
        <v>533371300</v>
      </c>
      <c r="D1184">
        <v>240</v>
      </c>
      <c r="E1184">
        <v>548</v>
      </c>
      <c r="F1184">
        <v>1</v>
      </c>
      <c r="G1184">
        <v>42.854721686472701</v>
      </c>
      <c r="H1184">
        <v>3</v>
      </c>
      <c r="I1184">
        <v>35</v>
      </c>
      <c r="K1184" t="s">
        <v>724</v>
      </c>
      <c r="L1184">
        <v>3</v>
      </c>
      <c r="M1184" t="s">
        <v>2023</v>
      </c>
      <c r="N1184" t="s">
        <v>726</v>
      </c>
      <c r="O1184">
        <v>0</v>
      </c>
    </row>
    <row r="1185" spans="1:15" x14ac:dyDescent="0.3">
      <c r="A1185" t="s">
        <v>898</v>
      </c>
      <c r="B1185">
        <v>1219</v>
      </c>
      <c r="C1185">
        <v>533371301</v>
      </c>
      <c r="D1185">
        <v>77</v>
      </c>
      <c r="E1185">
        <v>274</v>
      </c>
      <c r="F1185">
        <v>1</v>
      </c>
      <c r="G1185">
        <v>174.50594630380101</v>
      </c>
      <c r="H1185">
        <v>1</v>
      </c>
      <c r="K1185" t="s">
        <v>729</v>
      </c>
      <c r="L1185">
        <v>6</v>
      </c>
      <c r="M1185" t="s">
        <v>2024</v>
      </c>
      <c r="N1185" t="s">
        <v>726</v>
      </c>
      <c r="O1185">
        <v>1</v>
      </c>
    </row>
    <row r="1186" spans="1:15" x14ac:dyDescent="0.3">
      <c r="A1186" t="s">
        <v>898</v>
      </c>
      <c r="B1186">
        <v>1220</v>
      </c>
      <c r="C1186">
        <v>533371301</v>
      </c>
      <c r="D1186">
        <v>274</v>
      </c>
      <c r="E1186">
        <v>77</v>
      </c>
      <c r="F1186">
        <v>1</v>
      </c>
      <c r="G1186">
        <v>174.50594630380101</v>
      </c>
      <c r="H1186">
        <v>1</v>
      </c>
      <c r="K1186" t="s">
        <v>729</v>
      </c>
      <c r="L1186">
        <v>6</v>
      </c>
      <c r="M1186" t="s">
        <v>2025</v>
      </c>
      <c r="N1186" t="s">
        <v>726</v>
      </c>
      <c r="O1186">
        <v>1</v>
      </c>
    </row>
    <row r="1187" spans="1:15" x14ac:dyDescent="0.3">
      <c r="A1187" t="s">
        <v>827</v>
      </c>
      <c r="B1187">
        <v>1221</v>
      </c>
      <c r="C1187">
        <v>533371302</v>
      </c>
      <c r="D1187">
        <v>606</v>
      </c>
      <c r="E1187">
        <v>451</v>
      </c>
      <c r="F1187">
        <v>1</v>
      </c>
      <c r="G1187">
        <v>57.921158825381603</v>
      </c>
      <c r="H1187">
        <v>2</v>
      </c>
      <c r="I1187">
        <v>35</v>
      </c>
      <c r="K1187" t="s">
        <v>724</v>
      </c>
      <c r="L1187">
        <v>3</v>
      </c>
      <c r="M1187" t="s">
        <v>2026</v>
      </c>
      <c r="N1187" t="s">
        <v>726</v>
      </c>
      <c r="O1187">
        <v>0</v>
      </c>
    </row>
    <row r="1188" spans="1:15" x14ac:dyDescent="0.3">
      <c r="A1188" t="s">
        <v>827</v>
      </c>
      <c r="B1188">
        <v>1222</v>
      </c>
      <c r="C1188">
        <v>533371303</v>
      </c>
      <c r="D1188">
        <v>599</v>
      </c>
      <c r="E1188">
        <v>592</v>
      </c>
      <c r="F1188">
        <v>1</v>
      </c>
      <c r="G1188">
        <v>165.09485276534599</v>
      </c>
      <c r="H1188">
        <v>2</v>
      </c>
      <c r="I1188">
        <v>35</v>
      </c>
      <c r="K1188" t="s">
        <v>724</v>
      </c>
      <c r="L1188">
        <v>3</v>
      </c>
      <c r="M1188" t="s">
        <v>2027</v>
      </c>
      <c r="N1188" t="s">
        <v>726</v>
      </c>
      <c r="O1188">
        <v>0</v>
      </c>
    </row>
    <row r="1189" spans="1:15" x14ac:dyDescent="0.3">
      <c r="A1189" t="s">
        <v>801</v>
      </c>
      <c r="B1189">
        <v>1223</v>
      </c>
      <c r="C1189">
        <v>533371305</v>
      </c>
      <c r="D1189">
        <v>216</v>
      </c>
      <c r="E1189">
        <v>226</v>
      </c>
      <c r="F1189">
        <v>1</v>
      </c>
      <c r="G1189">
        <v>20.275116584541198</v>
      </c>
      <c r="H1189">
        <v>1</v>
      </c>
      <c r="K1189" t="s">
        <v>711</v>
      </c>
      <c r="L1189">
        <v>5</v>
      </c>
      <c r="M1189" t="s">
        <v>2028</v>
      </c>
      <c r="N1189" t="s">
        <v>726</v>
      </c>
      <c r="O1189">
        <v>0</v>
      </c>
    </row>
    <row r="1190" spans="1:15" x14ac:dyDescent="0.3">
      <c r="A1190" t="s">
        <v>801</v>
      </c>
      <c r="B1190">
        <v>1224</v>
      </c>
      <c r="C1190">
        <v>533371306</v>
      </c>
      <c r="D1190">
        <v>226</v>
      </c>
      <c r="E1190">
        <v>235</v>
      </c>
      <c r="F1190">
        <v>1</v>
      </c>
      <c r="G1190">
        <v>20.754093850268099</v>
      </c>
      <c r="H1190">
        <v>1</v>
      </c>
      <c r="K1190" t="s">
        <v>711</v>
      </c>
      <c r="L1190">
        <v>5</v>
      </c>
      <c r="M1190" t="s">
        <v>2029</v>
      </c>
      <c r="N1190" t="s">
        <v>726</v>
      </c>
      <c r="O1190">
        <v>0</v>
      </c>
    </row>
    <row r="1191" spans="1:15" x14ac:dyDescent="0.3">
      <c r="A1191" t="s">
        <v>941</v>
      </c>
      <c r="B1191">
        <v>1225</v>
      </c>
      <c r="C1191">
        <v>533573771</v>
      </c>
      <c r="D1191">
        <v>114</v>
      </c>
      <c r="E1191">
        <v>144</v>
      </c>
      <c r="F1191">
        <v>1</v>
      </c>
      <c r="G1191">
        <v>261.83385315579699</v>
      </c>
      <c r="H1191">
        <v>1</v>
      </c>
      <c r="K1191" t="s">
        <v>729</v>
      </c>
      <c r="L1191">
        <v>6</v>
      </c>
      <c r="M1191" t="s">
        <v>2030</v>
      </c>
      <c r="N1191" t="s">
        <v>726</v>
      </c>
      <c r="O1191">
        <v>1</v>
      </c>
    </row>
    <row r="1192" spans="1:15" x14ac:dyDescent="0.3">
      <c r="A1192" t="s">
        <v>941</v>
      </c>
      <c r="B1192">
        <v>1226</v>
      </c>
      <c r="C1192">
        <v>533573771</v>
      </c>
      <c r="D1192">
        <v>144</v>
      </c>
      <c r="E1192">
        <v>114</v>
      </c>
      <c r="F1192">
        <v>1</v>
      </c>
      <c r="G1192">
        <v>261.83385315579699</v>
      </c>
      <c r="H1192">
        <v>1</v>
      </c>
      <c r="K1192" t="s">
        <v>729</v>
      </c>
      <c r="L1192">
        <v>6</v>
      </c>
      <c r="M1192" t="s">
        <v>2031</v>
      </c>
      <c r="N1192" t="s">
        <v>726</v>
      </c>
      <c r="O1192">
        <v>1</v>
      </c>
    </row>
    <row r="1193" spans="1:15" x14ac:dyDescent="0.3">
      <c r="A1193" t="s">
        <v>858</v>
      </c>
      <c r="B1193">
        <v>1227</v>
      </c>
      <c r="C1193">
        <v>533573774</v>
      </c>
      <c r="D1193">
        <v>114</v>
      </c>
      <c r="E1193">
        <v>688</v>
      </c>
      <c r="F1193">
        <v>1</v>
      </c>
      <c r="G1193">
        <v>48.243274008329301</v>
      </c>
      <c r="H1193">
        <v>2</v>
      </c>
      <c r="I1193">
        <v>35</v>
      </c>
      <c r="K1193" t="s">
        <v>890</v>
      </c>
      <c r="L1193">
        <v>4</v>
      </c>
      <c r="M1193" t="s">
        <v>2032</v>
      </c>
      <c r="N1193" t="s">
        <v>726</v>
      </c>
      <c r="O1193">
        <v>1</v>
      </c>
    </row>
    <row r="1194" spans="1:15" x14ac:dyDescent="0.3">
      <c r="A1194" t="s">
        <v>858</v>
      </c>
      <c r="B1194">
        <v>1228</v>
      </c>
      <c r="C1194">
        <v>533573774</v>
      </c>
      <c r="D1194">
        <v>688</v>
      </c>
      <c r="E1194">
        <v>114</v>
      </c>
      <c r="F1194">
        <v>1</v>
      </c>
      <c r="G1194">
        <v>48.243274008329301</v>
      </c>
      <c r="H1194">
        <v>2</v>
      </c>
      <c r="I1194">
        <v>35</v>
      </c>
      <c r="K1194" t="s">
        <v>890</v>
      </c>
      <c r="L1194">
        <v>4</v>
      </c>
      <c r="M1194" t="s">
        <v>2033</v>
      </c>
      <c r="N1194" t="s">
        <v>726</v>
      </c>
      <c r="O1194">
        <v>1</v>
      </c>
    </row>
    <row r="1195" spans="1:15" x14ac:dyDescent="0.3">
      <c r="A1195" t="s">
        <v>858</v>
      </c>
      <c r="B1195">
        <v>1229</v>
      </c>
      <c r="C1195">
        <v>533573775</v>
      </c>
      <c r="D1195">
        <v>113</v>
      </c>
      <c r="E1195">
        <v>114</v>
      </c>
      <c r="F1195">
        <v>1</v>
      </c>
      <c r="G1195">
        <v>13.799668092482101</v>
      </c>
      <c r="H1195">
        <v>2</v>
      </c>
      <c r="I1195">
        <v>35</v>
      </c>
      <c r="K1195" t="s">
        <v>890</v>
      </c>
      <c r="L1195">
        <v>4</v>
      </c>
      <c r="M1195" t="s">
        <v>2034</v>
      </c>
      <c r="N1195" t="s">
        <v>726</v>
      </c>
      <c r="O1195">
        <v>1</v>
      </c>
    </row>
    <row r="1196" spans="1:15" x14ac:dyDescent="0.3">
      <c r="A1196" t="s">
        <v>858</v>
      </c>
      <c r="B1196">
        <v>1230</v>
      </c>
      <c r="C1196">
        <v>533573775</v>
      </c>
      <c r="D1196">
        <v>114</v>
      </c>
      <c r="E1196">
        <v>113</v>
      </c>
      <c r="F1196">
        <v>1</v>
      </c>
      <c r="G1196">
        <v>13.799668092482101</v>
      </c>
      <c r="H1196">
        <v>2</v>
      </c>
      <c r="I1196">
        <v>35</v>
      </c>
      <c r="K1196" t="s">
        <v>890</v>
      </c>
      <c r="L1196">
        <v>4</v>
      </c>
      <c r="M1196" t="s">
        <v>2035</v>
      </c>
      <c r="N1196" t="s">
        <v>726</v>
      </c>
      <c r="O1196">
        <v>1</v>
      </c>
    </row>
    <row r="1197" spans="1:15" x14ac:dyDescent="0.3">
      <c r="A1197" t="s">
        <v>889</v>
      </c>
      <c r="B1197">
        <v>1231</v>
      </c>
      <c r="C1197">
        <v>533573776</v>
      </c>
      <c r="D1197">
        <v>1950</v>
      </c>
      <c r="E1197">
        <v>1964</v>
      </c>
      <c r="F1197">
        <v>1</v>
      </c>
      <c r="G1197">
        <v>162.17576359500001</v>
      </c>
      <c r="H1197">
        <v>2</v>
      </c>
      <c r="K1197" t="s">
        <v>890</v>
      </c>
      <c r="L1197">
        <v>4</v>
      </c>
      <c r="M1197" t="s">
        <v>2036</v>
      </c>
      <c r="N1197" t="s">
        <v>726</v>
      </c>
      <c r="O1197">
        <v>0</v>
      </c>
    </row>
    <row r="1198" spans="1:15" x14ac:dyDescent="0.3">
      <c r="A1198" t="s">
        <v>1101</v>
      </c>
      <c r="B1198">
        <v>1234</v>
      </c>
      <c r="C1198">
        <v>533573778</v>
      </c>
      <c r="D1198">
        <v>180</v>
      </c>
      <c r="E1198">
        <v>1964</v>
      </c>
      <c r="F1198">
        <v>1</v>
      </c>
      <c r="G1198">
        <v>133.908122836366</v>
      </c>
      <c r="H1198">
        <v>1</v>
      </c>
      <c r="K1198" t="s">
        <v>729</v>
      </c>
      <c r="L1198">
        <v>6</v>
      </c>
      <c r="M1198" t="s">
        <v>2037</v>
      </c>
      <c r="N1198" t="s">
        <v>726</v>
      </c>
      <c r="O1198">
        <v>1</v>
      </c>
    </row>
    <row r="1199" spans="1:15" x14ac:dyDescent="0.3">
      <c r="A1199" t="s">
        <v>1101</v>
      </c>
      <c r="B1199">
        <v>1235</v>
      </c>
      <c r="C1199">
        <v>533573778</v>
      </c>
      <c r="D1199">
        <v>1964</v>
      </c>
      <c r="E1199">
        <v>180</v>
      </c>
      <c r="F1199">
        <v>1</v>
      </c>
      <c r="G1199">
        <v>133.908122836366</v>
      </c>
      <c r="H1199">
        <v>1</v>
      </c>
      <c r="K1199" t="s">
        <v>729</v>
      </c>
      <c r="L1199">
        <v>6</v>
      </c>
      <c r="M1199" t="s">
        <v>2038</v>
      </c>
      <c r="N1199" t="s">
        <v>726</v>
      </c>
      <c r="O1199">
        <v>1</v>
      </c>
    </row>
    <row r="1200" spans="1:15" x14ac:dyDescent="0.3">
      <c r="A1200" t="s">
        <v>889</v>
      </c>
      <c r="B1200">
        <v>1236</v>
      </c>
      <c r="C1200">
        <v>533573779</v>
      </c>
      <c r="D1200">
        <v>1964</v>
      </c>
      <c r="E1200">
        <v>489</v>
      </c>
      <c r="F1200">
        <v>1</v>
      </c>
      <c r="G1200">
        <v>81.041401075193207</v>
      </c>
      <c r="H1200">
        <v>2</v>
      </c>
      <c r="I1200">
        <v>35</v>
      </c>
      <c r="K1200" t="s">
        <v>890</v>
      </c>
      <c r="L1200">
        <v>4</v>
      </c>
      <c r="M1200" t="s">
        <v>2039</v>
      </c>
      <c r="N1200" t="s">
        <v>726</v>
      </c>
      <c r="O1200">
        <v>0</v>
      </c>
    </row>
    <row r="1201" spans="1:15" x14ac:dyDescent="0.3">
      <c r="A1201" t="s">
        <v>858</v>
      </c>
      <c r="B1201">
        <v>1237</v>
      </c>
      <c r="C1201">
        <v>533573780</v>
      </c>
      <c r="D1201">
        <v>1962</v>
      </c>
      <c r="E1201">
        <v>461</v>
      </c>
      <c r="F1201">
        <v>1</v>
      </c>
      <c r="G1201">
        <v>117.518119113344</v>
      </c>
      <c r="H1201">
        <v>3</v>
      </c>
      <c r="I1201">
        <v>30</v>
      </c>
      <c r="K1201" t="s">
        <v>724</v>
      </c>
      <c r="L1201">
        <v>3</v>
      </c>
      <c r="M1201" t="s">
        <v>2040</v>
      </c>
      <c r="N1201" t="s">
        <v>726</v>
      </c>
      <c r="O1201">
        <v>0</v>
      </c>
    </row>
    <row r="1202" spans="1:15" x14ac:dyDescent="0.3">
      <c r="A1202" t="s">
        <v>767</v>
      </c>
      <c r="B1202">
        <v>1241</v>
      </c>
      <c r="C1202">
        <v>533573786</v>
      </c>
      <c r="D1202">
        <v>251</v>
      </c>
      <c r="E1202">
        <v>48</v>
      </c>
      <c r="F1202">
        <v>1</v>
      </c>
      <c r="G1202">
        <v>78.339037561634399</v>
      </c>
      <c r="H1202">
        <v>1</v>
      </c>
      <c r="K1202" t="s">
        <v>729</v>
      </c>
      <c r="L1202">
        <v>6</v>
      </c>
      <c r="M1202" t="s">
        <v>2041</v>
      </c>
      <c r="N1202" t="s">
        <v>726</v>
      </c>
      <c r="O1202">
        <v>1</v>
      </c>
    </row>
    <row r="1203" spans="1:15" x14ac:dyDescent="0.3">
      <c r="A1203" t="s">
        <v>767</v>
      </c>
      <c r="B1203">
        <v>1242</v>
      </c>
      <c r="C1203">
        <v>533573786</v>
      </c>
      <c r="D1203">
        <v>48</v>
      </c>
      <c r="E1203">
        <v>251</v>
      </c>
      <c r="F1203">
        <v>1</v>
      </c>
      <c r="G1203">
        <v>78.339037561634399</v>
      </c>
      <c r="H1203">
        <v>1</v>
      </c>
      <c r="K1203" t="s">
        <v>729</v>
      </c>
      <c r="L1203">
        <v>6</v>
      </c>
      <c r="M1203" t="s">
        <v>2042</v>
      </c>
      <c r="N1203" t="s">
        <v>726</v>
      </c>
      <c r="O1203">
        <v>1</v>
      </c>
    </row>
    <row r="1204" spans="1:15" x14ac:dyDescent="0.3">
      <c r="A1204" t="s">
        <v>889</v>
      </c>
      <c r="B1204">
        <v>1243</v>
      </c>
      <c r="C1204">
        <v>533573787</v>
      </c>
      <c r="D1204">
        <v>493</v>
      </c>
      <c r="E1204">
        <v>1969</v>
      </c>
      <c r="F1204">
        <v>1</v>
      </c>
      <c r="G1204">
        <v>108.983483028474</v>
      </c>
      <c r="H1204">
        <v>2</v>
      </c>
      <c r="I1204">
        <v>35</v>
      </c>
      <c r="K1204" t="s">
        <v>890</v>
      </c>
      <c r="L1204">
        <v>4</v>
      </c>
      <c r="M1204" t="s">
        <v>2043</v>
      </c>
      <c r="N1204" t="s">
        <v>726</v>
      </c>
      <c r="O1204">
        <v>0</v>
      </c>
    </row>
    <row r="1205" spans="1:15" x14ac:dyDescent="0.3">
      <c r="A1205" t="s">
        <v>1109</v>
      </c>
      <c r="B1205">
        <v>1244</v>
      </c>
      <c r="C1205">
        <v>533573788</v>
      </c>
      <c r="D1205">
        <v>250</v>
      </c>
      <c r="E1205">
        <v>1958</v>
      </c>
      <c r="F1205">
        <v>1</v>
      </c>
      <c r="G1205">
        <v>35.760172588011997</v>
      </c>
      <c r="H1205">
        <v>2</v>
      </c>
      <c r="K1205" t="s">
        <v>711</v>
      </c>
      <c r="L1205">
        <v>5</v>
      </c>
      <c r="M1205" t="s">
        <v>2044</v>
      </c>
      <c r="N1205" t="s">
        <v>726</v>
      </c>
      <c r="O1205">
        <v>0</v>
      </c>
    </row>
    <row r="1206" spans="1:15" x14ac:dyDescent="0.3">
      <c r="A1206" t="s">
        <v>827</v>
      </c>
      <c r="B1206">
        <v>1245</v>
      </c>
      <c r="C1206">
        <v>533573789</v>
      </c>
      <c r="D1206">
        <v>1958</v>
      </c>
      <c r="E1206">
        <v>449</v>
      </c>
      <c r="F1206">
        <v>1</v>
      </c>
      <c r="G1206">
        <v>133.21219829109199</v>
      </c>
      <c r="H1206">
        <v>2</v>
      </c>
      <c r="I1206">
        <v>35</v>
      </c>
      <c r="K1206" t="s">
        <v>724</v>
      </c>
      <c r="L1206">
        <v>3</v>
      </c>
      <c r="M1206" t="s">
        <v>2045</v>
      </c>
      <c r="N1206" t="s">
        <v>726</v>
      </c>
      <c r="O1206">
        <v>0</v>
      </c>
    </row>
    <row r="1207" spans="1:15" x14ac:dyDescent="0.3">
      <c r="A1207" t="s">
        <v>858</v>
      </c>
      <c r="B1207">
        <v>1248</v>
      </c>
      <c r="C1207">
        <v>533573793</v>
      </c>
      <c r="D1207">
        <v>416</v>
      </c>
      <c r="E1207">
        <v>806</v>
      </c>
      <c r="F1207">
        <v>1</v>
      </c>
      <c r="G1207">
        <v>41.1352942441601</v>
      </c>
      <c r="H1207">
        <v>2</v>
      </c>
      <c r="I1207">
        <v>40</v>
      </c>
      <c r="K1207" t="s">
        <v>890</v>
      </c>
      <c r="L1207">
        <v>4</v>
      </c>
      <c r="M1207" t="s">
        <v>2046</v>
      </c>
      <c r="N1207" t="s">
        <v>726</v>
      </c>
      <c r="O1207">
        <v>1</v>
      </c>
    </row>
    <row r="1208" spans="1:15" x14ac:dyDescent="0.3">
      <c r="A1208" t="s">
        <v>858</v>
      </c>
      <c r="B1208">
        <v>1249</v>
      </c>
      <c r="C1208">
        <v>533573793</v>
      </c>
      <c r="D1208">
        <v>806</v>
      </c>
      <c r="E1208">
        <v>416</v>
      </c>
      <c r="F1208">
        <v>1</v>
      </c>
      <c r="G1208">
        <v>41.1352942441601</v>
      </c>
      <c r="H1208">
        <v>2</v>
      </c>
      <c r="I1208">
        <v>40</v>
      </c>
      <c r="K1208" t="s">
        <v>890</v>
      </c>
      <c r="L1208">
        <v>4</v>
      </c>
      <c r="M1208" t="s">
        <v>2047</v>
      </c>
      <c r="N1208" t="s">
        <v>726</v>
      </c>
      <c r="O1208">
        <v>1</v>
      </c>
    </row>
    <row r="1209" spans="1:15" x14ac:dyDescent="0.3">
      <c r="A1209" t="s">
        <v>1213</v>
      </c>
      <c r="B1209">
        <v>1250</v>
      </c>
      <c r="C1209">
        <v>536863178</v>
      </c>
      <c r="D1209">
        <v>4</v>
      </c>
      <c r="E1209">
        <v>614</v>
      </c>
      <c r="F1209">
        <v>1</v>
      </c>
      <c r="G1209">
        <v>44.573029090492902</v>
      </c>
      <c r="H1209">
        <v>1</v>
      </c>
      <c r="K1209" t="s">
        <v>711</v>
      </c>
      <c r="L1209">
        <v>5</v>
      </c>
      <c r="M1209" t="s">
        <v>2048</v>
      </c>
      <c r="N1209" t="s">
        <v>726</v>
      </c>
      <c r="O1209">
        <v>1</v>
      </c>
    </row>
    <row r="1210" spans="1:15" x14ac:dyDescent="0.3">
      <c r="A1210" t="s">
        <v>1213</v>
      </c>
      <c r="B1210">
        <v>1251</v>
      </c>
      <c r="C1210">
        <v>536863178</v>
      </c>
      <c r="D1210">
        <v>614</v>
      </c>
      <c r="E1210">
        <v>4</v>
      </c>
      <c r="F1210">
        <v>1</v>
      </c>
      <c r="G1210">
        <v>44.573029090492902</v>
      </c>
      <c r="H1210">
        <v>2</v>
      </c>
      <c r="K1210" t="s">
        <v>711</v>
      </c>
      <c r="L1210">
        <v>5</v>
      </c>
      <c r="M1210" t="s">
        <v>2049</v>
      </c>
      <c r="N1210" t="s">
        <v>726</v>
      </c>
      <c r="O1210">
        <v>1</v>
      </c>
    </row>
    <row r="1211" spans="1:15" x14ac:dyDescent="0.3">
      <c r="A1211" t="s">
        <v>1078</v>
      </c>
      <c r="B1211">
        <v>1252</v>
      </c>
      <c r="C1211">
        <v>536925019</v>
      </c>
      <c r="D1211">
        <v>615</v>
      </c>
      <c r="E1211">
        <v>215</v>
      </c>
      <c r="F1211">
        <v>1</v>
      </c>
      <c r="G1211">
        <v>34.0681928382267</v>
      </c>
      <c r="H1211">
        <v>2</v>
      </c>
      <c r="I1211">
        <v>25</v>
      </c>
      <c r="K1211" t="s">
        <v>711</v>
      </c>
      <c r="L1211">
        <v>5</v>
      </c>
      <c r="M1211" t="s">
        <v>2050</v>
      </c>
      <c r="N1211" t="s">
        <v>726</v>
      </c>
      <c r="O1211">
        <v>1</v>
      </c>
    </row>
    <row r="1212" spans="1:15" x14ac:dyDescent="0.3">
      <c r="A1212" t="s">
        <v>1078</v>
      </c>
      <c r="B1212">
        <v>1253</v>
      </c>
      <c r="C1212">
        <v>536925019</v>
      </c>
      <c r="D1212">
        <v>215</v>
      </c>
      <c r="E1212">
        <v>615</v>
      </c>
      <c r="F1212">
        <v>1</v>
      </c>
      <c r="G1212">
        <v>34.0681928382267</v>
      </c>
      <c r="H1212">
        <v>1</v>
      </c>
      <c r="I1212">
        <v>25</v>
      </c>
      <c r="K1212" t="s">
        <v>711</v>
      </c>
      <c r="L1212">
        <v>5</v>
      </c>
      <c r="M1212" t="s">
        <v>2051</v>
      </c>
      <c r="N1212" t="s">
        <v>726</v>
      </c>
      <c r="O1212">
        <v>1</v>
      </c>
    </row>
    <row r="1213" spans="1:15" x14ac:dyDescent="0.3">
      <c r="A1213" t="s">
        <v>1078</v>
      </c>
      <c r="B1213">
        <v>1254</v>
      </c>
      <c r="C1213">
        <v>536925022</v>
      </c>
      <c r="D1213">
        <v>617</v>
      </c>
      <c r="E1213">
        <v>616</v>
      </c>
      <c r="F1213">
        <v>1</v>
      </c>
      <c r="G1213">
        <v>181.22787388811599</v>
      </c>
      <c r="H1213">
        <v>1</v>
      </c>
      <c r="I1213">
        <v>25</v>
      </c>
      <c r="K1213" t="s">
        <v>711</v>
      </c>
      <c r="L1213">
        <v>5</v>
      </c>
      <c r="M1213" t="s">
        <v>2052</v>
      </c>
      <c r="N1213" t="s">
        <v>726</v>
      </c>
      <c r="O1213">
        <v>1</v>
      </c>
    </row>
    <row r="1214" spans="1:15" x14ac:dyDescent="0.3">
      <c r="A1214" t="s">
        <v>1078</v>
      </c>
      <c r="B1214">
        <v>1255</v>
      </c>
      <c r="C1214">
        <v>536925022</v>
      </c>
      <c r="D1214">
        <v>616</v>
      </c>
      <c r="E1214">
        <v>617</v>
      </c>
      <c r="F1214">
        <v>1</v>
      </c>
      <c r="G1214">
        <v>181.22787388811599</v>
      </c>
      <c r="H1214">
        <v>1</v>
      </c>
      <c r="I1214">
        <v>25</v>
      </c>
      <c r="K1214" t="s">
        <v>711</v>
      </c>
      <c r="L1214">
        <v>5</v>
      </c>
      <c r="M1214" t="s">
        <v>2053</v>
      </c>
      <c r="N1214" t="s">
        <v>726</v>
      </c>
      <c r="O1214">
        <v>1</v>
      </c>
    </row>
    <row r="1215" spans="1:15" x14ac:dyDescent="0.3">
      <c r="A1215" t="s">
        <v>1078</v>
      </c>
      <c r="B1215">
        <v>1256</v>
      </c>
      <c r="C1215">
        <v>536925025</v>
      </c>
      <c r="D1215">
        <v>123</v>
      </c>
      <c r="E1215">
        <v>617</v>
      </c>
      <c r="F1215">
        <v>1</v>
      </c>
      <c r="G1215">
        <v>40.508418611324402</v>
      </c>
      <c r="H1215">
        <v>1</v>
      </c>
      <c r="I1215">
        <v>25</v>
      </c>
      <c r="K1215" t="s">
        <v>711</v>
      </c>
      <c r="L1215">
        <v>5</v>
      </c>
      <c r="M1215" t="s">
        <v>2054</v>
      </c>
      <c r="N1215" t="s">
        <v>726</v>
      </c>
      <c r="O1215">
        <v>1</v>
      </c>
    </row>
    <row r="1216" spans="1:15" x14ac:dyDescent="0.3">
      <c r="A1216" t="s">
        <v>1078</v>
      </c>
      <c r="B1216">
        <v>1257</v>
      </c>
      <c r="C1216">
        <v>536925025</v>
      </c>
      <c r="D1216">
        <v>617</v>
      </c>
      <c r="E1216">
        <v>123</v>
      </c>
      <c r="F1216">
        <v>1</v>
      </c>
      <c r="G1216">
        <v>40.508418611324402</v>
      </c>
      <c r="H1216">
        <v>2</v>
      </c>
      <c r="I1216">
        <v>25</v>
      </c>
      <c r="K1216" t="s">
        <v>711</v>
      </c>
      <c r="L1216">
        <v>5</v>
      </c>
      <c r="M1216" t="s">
        <v>2055</v>
      </c>
      <c r="N1216" t="s">
        <v>726</v>
      </c>
      <c r="O1216">
        <v>1</v>
      </c>
    </row>
    <row r="1217" spans="1:15" x14ac:dyDescent="0.3">
      <c r="A1217" t="s">
        <v>1078</v>
      </c>
      <c r="B1217">
        <v>1258</v>
      </c>
      <c r="C1217">
        <v>536925027</v>
      </c>
      <c r="D1217">
        <v>618</v>
      </c>
      <c r="E1217">
        <v>123</v>
      </c>
      <c r="F1217">
        <v>1</v>
      </c>
      <c r="G1217">
        <v>23.5633987941257</v>
      </c>
      <c r="H1217">
        <v>2</v>
      </c>
      <c r="K1217" t="s">
        <v>711</v>
      </c>
      <c r="L1217">
        <v>5</v>
      </c>
      <c r="M1217" t="s">
        <v>2056</v>
      </c>
      <c r="N1217" t="s">
        <v>726</v>
      </c>
      <c r="O1217">
        <v>1</v>
      </c>
    </row>
    <row r="1218" spans="1:15" x14ac:dyDescent="0.3">
      <c r="A1218" t="s">
        <v>1078</v>
      </c>
      <c r="B1218">
        <v>1259</v>
      </c>
      <c r="C1218">
        <v>536925027</v>
      </c>
      <c r="D1218">
        <v>123</v>
      </c>
      <c r="E1218">
        <v>618</v>
      </c>
      <c r="F1218">
        <v>1</v>
      </c>
      <c r="G1218">
        <v>23.5633987941257</v>
      </c>
      <c r="H1218">
        <v>1</v>
      </c>
      <c r="K1218" t="s">
        <v>711</v>
      </c>
      <c r="L1218">
        <v>5</v>
      </c>
      <c r="M1218" t="s">
        <v>2057</v>
      </c>
      <c r="N1218" t="s">
        <v>726</v>
      </c>
      <c r="O1218">
        <v>1</v>
      </c>
    </row>
    <row r="1219" spans="1:15" x14ac:dyDescent="0.3">
      <c r="A1219" t="s">
        <v>1078</v>
      </c>
      <c r="B1219">
        <v>1260</v>
      </c>
      <c r="C1219">
        <v>536925028</v>
      </c>
      <c r="D1219">
        <v>365</v>
      </c>
      <c r="E1219">
        <v>618</v>
      </c>
      <c r="F1219">
        <v>1</v>
      </c>
      <c r="G1219">
        <v>166.173548183073</v>
      </c>
      <c r="H1219">
        <v>1</v>
      </c>
      <c r="K1219" t="s">
        <v>711</v>
      </c>
      <c r="L1219">
        <v>5</v>
      </c>
      <c r="M1219" t="s">
        <v>2058</v>
      </c>
      <c r="N1219" t="s">
        <v>726</v>
      </c>
      <c r="O1219">
        <v>1</v>
      </c>
    </row>
    <row r="1220" spans="1:15" x14ac:dyDescent="0.3">
      <c r="A1220" t="s">
        <v>1078</v>
      </c>
      <c r="B1220">
        <v>1261</v>
      </c>
      <c r="C1220">
        <v>536925028</v>
      </c>
      <c r="D1220">
        <v>618</v>
      </c>
      <c r="E1220">
        <v>365</v>
      </c>
      <c r="F1220">
        <v>1</v>
      </c>
      <c r="G1220">
        <v>166.173548183073</v>
      </c>
      <c r="H1220">
        <v>1</v>
      </c>
      <c r="K1220" t="s">
        <v>711</v>
      </c>
      <c r="L1220">
        <v>5</v>
      </c>
      <c r="M1220" t="s">
        <v>2059</v>
      </c>
      <c r="N1220" t="s">
        <v>726</v>
      </c>
      <c r="O1220">
        <v>1</v>
      </c>
    </row>
    <row r="1221" spans="1:15" x14ac:dyDescent="0.3">
      <c r="A1221" t="s">
        <v>1078</v>
      </c>
      <c r="B1221">
        <v>1262</v>
      </c>
      <c r="C1221">
        <v>536925030</v>
      </c>
      <c r="D1221">
        <v>619</v>
      </c>
      <c r="E1221">
        <v>620</v>
      </c>
      <c r="F1221">
        <v>1</v>
      </c>
      <c r="G1221">
        <v>135.81082501756401</v>
      </c>
      <c r="H1221">
        <v>1</v>
      </c>
      <c r="K1221" t="s">
        <v>711</v>
      </c>
      <c r="L1221">
        <v>5</v>
      </c>
      <c r="M1221" t="s">
        <v>2060</v>
      </c>
      <c r="N1221" t="s">
        <v>726</v>
      </c>
      <c r="O1221">
        <v>1</v>
      </c>
    </row>
    <row r="1222" spans="1:15" x14ac:dyDescent="0.3">
      <c r="A1222" t="s">
        <v>1078</v>
      </c>
      <c r="B1222">
        <v>1263</v>
      </c>
      <c r="C1222">
        <v>536925030</v>
      </c>
      <c r="D1222">
        <v>620</v>
      </c>
      <c r="E1222">
        <v>619</v>
      </c>
      <c r="F1222">
        <v>1</v>
      </c>
      <c r="G1222">
        <v>135.81082501756401</v>
      </c>
      <c r="H1222">
        <v>1</v>
      </c>
      <c r="K1222" t="s">
        <v>711</v>
      </c>
      <c r="L1222">
        <v>5</v>
      </c>
      <c r="M1222" t="s">
        <v>2061</v>
      </c>
      <c r="N1222" t="s">
        <v>726</v>
      </c>
      <c r="O1222">
        <v>1</v>
      </c>
    </row>
    <row r="1223" spans="1:15" x14ac:dyDescent="0.3">
      <c r="A1223" t="s">
        <v>1078</v>
      </c>
      <c r="B1223">
        <v>1264</v>
      </c>
      <c r="C1223">
        <v>536925031</v>
      </c>
      <c r="D1223">
        <v>620</v>
      </c>
      <c r="E1223">
        <v>1954</v>
      </c>
      <c r="F1223">
        <v>1</v>
      </c>
      <c r="G1223">
        <v>47.460741255939503</v>
      </c>
      <c r="H1223">
        <v>2</v>
      </c>
      <c r="K1223" t="s">
        <v>711</v>
      </c>
      <c r="L1223">
        <v>5</v>
      </c>
      <c r="M1223" t="s">
        <v>2062</v>
      </c>
      <c r="N1223" t="s">
        <v>726</v>
      </c>
      <c r="O1223">
        <v>1</v>
      </c>
    </row>
    <row r="1224" spans="1:15" x14ac:dyDescent="0.3">
      <c r="A1224" t="s">
        <v>1078</v>
      </c>
      <c r="B1224">
        <v>1265</v>
      </c>
      <c r="C1224">
        <v>536925031</v>
      </c>
      <c r="D1224">
        <v>1954</v>
      </c>
      <c r="E1224">
        <v>620</v>
      </c>
      <c r="F1224">
        <v>1</v>
      </c>
      <c r="G1224">
        <v>47.460741255939503</v>
      </c>
      <c r="H1224">
        <v>1</v>
      </c>
      <c r="K1224" t="s">
        <v>711</v>
      </c>
      <c r="L1224">
        <v>5</v>
      </c>
      <c r="M1224" t="s">
        <v>2063</v>
      </c>
      <c r="N1224" t="s">
        <v>726</v>
      </c>
      <c r="O1224">
        <v>1</v>
      </c>
    </row>
    <row r="1225" spans="1:15" x14ac:dyDescent="0.3">
      <c r="A1225" t="s">
        <v>1078</v>
      </c>
      <c r="B1225">
        <v>1268</v>
      </c>
      <c r="C1225">
        <v>536925032</v>
      </c>
      <c r="D1225">
        <v>394</v>
      </c>
      <c r="E1225">
        <v>177</v>
      </c>
      <c r="F1225">
        <v>1</v>
      </c>
      <c r="G1225">
        <v>87.466556450645598</v>
      </c>
      <c r="H1225">
        <v>1</v>
      </c>
      <c r="K1225" t="s">
        <v>711</v>
      </c>
      <c r="L1225">
        <v>5</v>
      </c>
      <c r="M1225" t="s">
        <v>2064</v>
      </c>
      <c r="N1225" t="s">
        <v>726</v>
      </c>
      <c r="O1225">
        <v>1</v>
      </c>
    </row>
    <row r="1226" spans="1:15" x14ac:dyDescent="0.3">
      <c r="A1226" t="s">
        <v>1078</v>
      </c>
      <c r="B1226">
        <v>1269</v>
      </c>
      <c r="C1226">
        <v>536925032</v>
      </c>
      <c r="D1226">
        <v>177</v>
      </c>
      <c r="E1226">
        <v>394</v>
      </c>
      <c r="F1226">
        <v>1</v>
      </c>
      <c r="G1226">
        <v>87.466556450645598</v>
      </c>
      <c r="H1226">
        <v>1</v>
      </c>
      <c r="K1226" t="s">
        <v>711</v>
      </c>
      <c r="L1226">
        <v>5</v>
      </c>
      <c r="M1226" t="s">
        <v>2065</v>
      </c>
      <c r="N1226" t="s">
        <v>726</v>
      </c>
      <c r="O1226">
        <v>1</v>
      </c>
    </row>
    <row r="1227" spans="1:15" x14ac:dyDescent="0.3">
      <c r="A1227" t="s">
        <v>1078</v>
      </c>
      <c r="B1227">
        <v>1270</v>
      </c>
      <c r="C1227">
        <v>536925032</v>
      </c>
      <c r="D1227">
        <v>177</v>
      </c>
      <c r="E1227">
        <v>807</v>
      </c>
      <c r="F1227">
        <v>1</v>
      </c>
      <c r="G1227">
        <v>1.01191640772027</v>
      </c>
      <c r="H1227">
        <v>1</v>
      </c>
      <c r="K1227" t="s">
        <v>711</v>
      </c>
      <c r="L1227">
        <v>5</v>
      </c>
      <c r="M1227" t="s">
        <v>2066</v>
      </c>
      <c r="N1227" t="s">
        <v>726</v>
      </c>
      <c r="O1227">
        <v>1</v>
      </c>
    </row>
    <row r="1228" spans="1:15" x14ac:dyDescent="0.3">
      <c r="A1228" t="s">
        <v>1078</v>
      </c>
      <c r="B1228">
        <v>1271</v>
      </c>
      <c r="C1228">
        <v>536925032</v>
      </c>
      <c r="D1228">
        <v>807</v>
      </c>
      <c r="E1228">
        <v>177</v>
      </c>
      <c r="F1228">
        <v>1</v>
      </c>
      <c r="G1228">
        <v>1.01191640772027</v>
      </c>
      <c r="H1228">
        <v>1</v>
      </c>
      <c r="K1228" t="s">
        <v>711</v>
      </c>
      <c r="L1228">
        <v>5</v>
      </c>
      <c r="M1228" t="s">
        <v>2067</v>
      </c>
      <c r="N1228" t="s">
        <v>726</v>
      </c>
      <c r="O1228">
        <v>1</v>
      </c>
    </row>
    <row r="1229" spans="1:15" x14ac:dyDescent="0.3">
      <c r="A1229" t="s">
        <v>767</v>
      </c>
      <c r="B1229">
        <v>1272</v>
      </c>
      <c r="C1229">
        <v>536925040</v>
      </c>
      <c r="D1229">
        <v>48</v>
      </c>
      <c r="E1229">
        <v>621</v>
      </c>
      <c r="F1229">
        <v>1</v>
      </c>
      <c r="G1229">
        <v>61.695973038421798</v>
      </c>
      <c r="H1229">
        <v>1</v>
      </c>
      <c r="I1229">
        <v>30</v>
      </c>
      <c r="K1229" t="s">
        <v>711</v>
      </c>
      <c r="L1229">
        <v>5</v>
      </c>
      <c r="M1229" t="s">
        <v>2068</v>
      </c>
      <c r="N1229" t="s">
        <v>726</v>
      </c>
      <c r="O1229">
        <v>1</v>
      </c>
    </row>
    <row r="1230" spans="1:15" x14ac:dyDescent="0.3">
      <c r="A1230" t="s">
        <v>767</v>
      </c>
      <c r="B1230">
        <v>1273</v>
      </c>
      <c r="C1230">
        <v>536925040</v>
      </c>
      <c r="D1230">
        <v>621</v>
      </c>
      <c r="E1230">
        <v>48</v>
      </c>
      <c r="F1230">
        <v>1</v>
      </c>
      <c r="G1230">
        <v>61.695973038421798</v>
      </c>
      <c r="H1230">
        <v>2</v>
      </c>
      <c r="I1230">
        <v>30</v>
      </c>
      <c r="K1230" t="s">
        <v>711</v>
      </c>
      <c r="L1230">
        <v>5</v>
      </c>
      <c r="M1230" t="s">
        <v>2069</v>
      </c>
      <c r="N1230" t="s">
        <v>726</v>
      </c>
      <c r="O1230">
        <v>1</v>
      </c>
    </row>
    <row r="1231" spans="1:15" x14ac:dyDescent="0.3">
      <c r="A1231" t="s">
        <v>767</v>
      </c>
      <c r="B1231">
        <v>1274</v>
      </c>
      <c r="C1231">
        <v>536925041</v>
      </c>
      <c r="D1231">
        <v>622</v>
      </c>
      <c r="E1231">
        <v>49</v>
      </c>
      <c r="F1231">
        <v>1</v>
      </c>
      <c r="G1231">
        <v>59.5908213405678</v>
      </c>
      <c r="H1231">
        <v>2</v>
      </c>
      <c r="I1231">
        <v>30</v>
      </c>
      <c r="K1231" t="s">
        <v>711</v>
      </c>
      <c r="L1231">
        <v>5</v>
      </c>
      <c r="M1231" t="s">
        <v>2070</v>
      </c>
      <c r="N1231" t="s">
        <v>726</v>
      </c>
      <c r="O1231">
        <v>1</v>
      </c>
    </row>
    <row r="1232" spans="1:15" x14ac:dyDescent="0.3">
      <c r="A1232" t="s">
        <v>767</v>
      </c>
      <c r="B1232">
        <v>1275</v>
      </c>
      <c r="C1232">
        <v>536925041</v>
      </c>
      <c r="D1232">
        <v>49</v>
      </c>
      <c r="E1232">
        <v>622</v>
      </c>
      <c r="F1232">
        <v>1</v>
      </c>
      <c r="G1232">
        <v>59.5908213405678</v>
      </c>
      <c r="H1232">
        <v>1</v>
      </c>
      <c r="I1232">
        <v>30</v>
      </c>
      <c r="K1232" t="s">
        <v>711</v>
      </c>
      <c r="L1232">
        <v>5</v>
      </c>
      <c r="M1232" t="s">
        <v>2071</v>
      </c>
      <c r="N1232" t="s">
        <v>726</v>
      </c>
      <c r="O1232">
        <v>1</v>
      </c>
    </row>
    <row r="1233" spans="1:15" x14ac:dyDescent="0.3">
      <c r="A1233" t="s">
        <v>1109</v>
      </c>
      <c r="B1233">
        <v>1276</v>
      </c>
      <c r="C1233">
        <v>536925042</v>
      </c>
      <c r="D1233">
        <v>161</v>
      </c>
      <c r="E1233">
        <v>623</v>
      </c>
      <c r="F1233">
        <v>1</v>
      </c>
      <c r="G1233">
        <v>38.151121372924599</v>
      </c>
      <c r="H1233">
        <v>1</v>
      </c>
      <c r="K1233" t="s">
        <v>711</v>
      </c>
      <c r="L1233">
        <v>5</v>
      </c>
      <c r="M1233" t="s">
        <v>2072</v>
      </c>
      <c r="N1233" t="s">
        <v>726</v>
      </c>
      <c r="O1233">
        <v>1</v>
      </c>
    </row>
    <row r="1234" spans="1:15" x14ac:dyDescent="0.3">
      <c r="A1234" t="s">
        <v>1109</v>
      </c>
      <c r="B1234">
        <v>1277</v>
      </c>
      <c r="C1234">
        <v>536925042</v>
      </c>
      <c r="D1234">
        <v>623</v>
      </c>
      <c r="E1234">
        <v>161</v>
      </c>
      <c r="F1234">
        <v>1</v>
      </c>
      <c r="G1234">
        <v>38.151121372924599</v>
      </c>
      <c r="H1234">
        <v>2</v>
      </c>
      <c r="K1234" t="s">
        <v>711</v>
      </c>
      <c r="L1234">
        <v>5</v>
      </c>
      <c r="M1234" t="s">
        <v>2073</v>
      </c>
      <c r="N1234" t="s">
        <v>726</v>
      </c>
      <c r="O1234">
        <v>1</v>
      </c>
    </row>
    <row r="1235" spans="1:15" x14ac:dyDescent="0.3">
      <c r="A1235" t="s">
        <v>1109</v>
      </c>
      <c r="B1235">
        <v>1278</v>
      </c>
      <c r="C1235">
        <v>536925043</v>
      </c>
      <c r="D1235">
        <v>624</v>
      </c>
      <c r="E1235">
        <v>161</v>
      </c>
      <c r="F1235">
        <v>1</v>
      </c>
      <c r="G1235">
        <v>60.202466377902098</v>
      </c>
      <c r="H1235">
        <v>2</v>
      </c>
      <c r="K1235" t="s">
        <v>711</v>
      </c>
      <c r="L1235">
        <v>5</v>
      </c>
      <c r="M1235" t="s">
        <v>2074</v>
      </c>
      <c r="N1235" t="s">
        <v>726</v>
      </c>
      <c r="O1235">
        <v>1</v>
      </c>
    </row>
    <row r="1236" spans="1:15" x14ac:dyDescent="0.3">
      <c r="A1236" t="s">
        <v>1109</v>
      </c>
      <c r="B1236">
        <v>1279</v>
      </c>
      <c r="C1236">
        <v>536925043</v>
      </c>
      <c r="D1236">
        <v>161</v>
      </c>
      <c r="E1236">
        <v>624</v>
      </c>
      <c r="F1236">
        <v>1</v>
      </c>
      <c r="G1236">
        <v>60.202466377902098</v>
      </c>
      <c r="H1236">
        <v>1</v>
      </c>
      <c r="K1236" t="s">
        <v>711</v>
      </c>
      <c r="L1236">
        <v>5</v>
      </c>
      <c r="M1236" t="s">
        <v>2075</v>
      </c>
      <c r="N1236" t="s">
        <v>726</v>
      </c>
      <c r="O1236">
        <v>1</v>
      </c>
    </row>
    <row r="1237" spans="1:15" x14ac:dyDescent="0.3">
      <c r="A1237" t="s">
        <v>1109</v>
      </c>
      <c r="B1237">
        <v>1280</v>
      </c>
      <c r="C1237">
        <v>536925044</v>
      </c>
      <c r="D1237">
        <v>400</v>
      </c>
      <c r="E1237">
        <v>624</v>
      </c>
      <c r="F1237">
        <v>1</v>
      </c>
      <c r="G1237">
        <v>154.36238697489</v>
      </c>
      <c r="H1237">
        <v>1</v>
      </c>
      <c r="K1237" t="s">
        <v>711</v>
      </c>
      <c r="L1237">
        <v>5</v>
      </c>
      <c r="M1237" t="s">
        <v>2076</v>
      </c>
      <c r="N1237" t="s">
        <v>726</v>
      </c>
      <c r="O1237">
        <v>1</v>
      </c>
    </row>
    <row r="1238" spans="1:15" x14ac:dyDescent="0.3">
      <c r="A1238" t="s">
        <v>1109</v>
      </c>
      <c r="B1238">
        <v>1281</v>
      </c>
      <c r="C1238">
        <v>536925044</v>
      </c>
      <c r="D1238">
        <v>624</v>
      </c>
      <c r="E1238">
        <v>400</v>
      </c>
      <c r="F1238">
        <v>1</v>
      </c>
      <c r="G1238">
        <v>154.36238697489</v>
      </c>
      <c r="H1238">
        <v>1</v>
      </c>
      <c r="K1238" t="s">
        <v>711</v>
      </c>
      <c r="L1238">
        <v>5</v>
      </c>
      <c r="M1238" t="s">
        <v>2077</v>
      </c>
      <c r="N1238" t="s">
        <v>726</v>
      </c>
      <c r="O1238">
        <v>1</v>
      </c>
    </row>
    <row r="1239" spans="1:15" x14ac:dyDescent="0.3">
      <c r="A1239" t="s">
        <v>1109</v>
      </c>
      <c r="B1239">
        <v>1282</v>
      </c>
      <c r="C1239">
        <v>536925045</v>
      </c>
      <c r="D1239">
        <v>1958</v>
      </c>
      <c r="E1239">
        <v>625</v>
      </c>
      <c r="F1239">
        <v>1</v>
      </c>
      <c r="G1239">
        <v>33.440798451421898</v>
      </c>
      <c r="H1239">
        <v>1</v>
      </c>
      <c r="I1239">
        <v>25</v>
      </c>
      <c r="K1239" t="s">
        <v>711</v>
      </c>
      <c r="L1239">
        <v>5</v>
      </c>
      <c r="M1239" t="s">
        <v>2078</v>
      </c>
      <c r="N1239" t="s">
        <v>726</v>
      </c>
      <c r="O1239">
        <v>1</v>
      </c>
    </row>
    <row r="1240" spans="1:15" x14ac:dyDescent="0.3">
      <c r="A1240" t="s">
        <v>1109</v>
      </c>
      <c r="B1240">
        <v>1283</v>
      </c>
      <c r="C1240">
        <v>536925045</v>
      </c>
      <c r="D1240">
        <v>625</v>
      </c>
      <c r="E1240">
        <v>1958</v>
      </c>
      <c r="F1240">
        <v>1</v>
      </c>
      <c r="G1240">
        <v>33.440798451421898</v>
      </c>
      <c r="H1240">
        <v>2</v>
      </c>
      <c r="I1240">
        <v>25</v>
      </c>
      <c r="K1240" t="s">
        <v>711</v>
      </c>
      <c r="L1240">
        <v>5</v>
      </c>
      <c r="M1240" t="s">
        <v>2079</v>
      </c>
      <c r="N1240" t="s">
        <v>726</v>
      </c>
      <c r="O1240">
        <v>1</v>
      </c>
    </row>
    <row r="1241" spans="1:15" x14ac:dyDescent="0.3">
      <c r="A1241" t="s">
        <v>1109</v>
      </c>
      <c r="B1241">
        <v>1284</v>
      </c>
      <c r="C1241">
        <v>536925046</v>
      </c>
      <c r="D1241">
        <v>626</v>
      </c>
      <c r="E1241">
        <v>250</v>
      </c>
      <c r="F1241">
        <v>1</v>
      </c>
      <c r="G1241">
        <v>47.891663000149101</v>
      </c>
      <c r="H1241">
        <v>2</v>
      </c>
      <c r="K1241" t="s">
        <v>711</v>
      </c>
      <c r="L1241">
        <v>5</v>
      </c>
      <c r="M1241" t="s">
        <v>2080</v>
      </c>
      <c r="N1241" t="s">
        <v>726</v>
      </c>
      <c r="O1241">
        <v>0</v>
      </c>
    </row>
    <row r="1242" spans="1:15" x14ac:dyDescent="0.3">
      <c r="A1242" t="s">
        <v>801</v>
      </c>
      <c r="B1242">
        <v>1285</v>
      </c>
      <c r="C1242">
        <v>537091884</v>
      </c>
      <c r="D1242">
        <v>628</v>
      </c>
      <c r="E1242">
        <v>216</v>
      </c>
      <c r="F1242">
        <v>1</v>
      </c>
      <c r="G1242">
        <v>87.802132893239502</v>
      </c>
      <c r="H1242">
        <v>2</v>
      </c>
      <c r="I1242">
        <v>25</v>
      </c>
      <c r="K1242" t="s">
        <v>711</v>
      </c>
      <c r="L1242">
        <v>5</v>
      </c>
      <c r="M1242" t="s">
        <v>2081</v>
      </c>
      <c r="N1242" t="s">
        <v>726</v>
      </c>
      <c r="O1242">
        <v>0</v>
      </c>
    </row>
    <row r="1243" spans="1:15" x14ac:dyDescent="0.3">
      <c r="A1243" t="s">
        <v>801</v>
      </c>
      <c r="B1243">
        <v>1286</v>
      </c>
      <c r="C1243">
        <v>537091885</v>
      </c>
      <c r="D1243">
        <v>629</v>
      </c>
      <c r="E1243">
        <v>306</v>
      </c>
      <c r="F1243">
        <v>1</v>
      </c>
      <c r="G1243">
        <v>109.471028095421</v>
      </c>
      <c r="H1243">
        <v>2</v>
      </c>
      <c r="K1243" t="s">
        <v>711</v>
      </c>
      <c r="L1243">
        <v>5</v>
      </c>
      <c r="M1243" t="s">
        <v>2082</v>
      </c>
      <c r="N1243" t="s">
        <v>726</v>
      </c>
      <c r="O1243">
        <v>0</v>
      </c>
    </row>
    <row r="1244" spans="1:15" x14ac:dyDescent="0.3">
      <c r="A1244" t="s">
        <v>938</v>
      </c>
      <c r="B1244">
        <v>1287</v>
      </c>
      <c r="C1244">
        <v>537091886</v>
      </c>
      <c r="D1244">
        <v>218</v>
      </c>
      <c r="E1244">
        <v>82</v>
      </c>
      <c r="F1244">
        <v>1</v>
      </c>
      <c r="G1244">
        <v>5.5278455176471404</v>
      </c>
      <c r="H1244">
        <v>1</v>
      </c>
      <c r="I1244">
        <v>25</v>
      </c>
      <c r="K1244" t="s">
        <v>711</v>
      </c>
      <c r="L1244">
        <v>5</v>
      </c>
      <c r="M1244" t="s">
        <v>2083</v>
      </c>
      <c r="N1244" t="s">
        <v>726</v>
      </c>
      <c r="O1244">
        <v>1</v>
      </c>
    </row>
    <row r="1245" spans="1:15" x14ac:dyDescent="0.3">
      <c r="A1245" t="s">
        <v>938</v>
      </c>
      <c r="B1245">
        <v>1288</v>
      </c>
      <c r="C1245">
        <v>537091886</v>
      </c>
      <c r="D1245">
        <v>82</v>
      </c>
      <c r="E1245">
        <v>218</v>
      </c>
      <c r="F1245">
        <v>1</v>
      </c>
      <c r="G1245">
        <v>5.5278455176471404</v>
      </c>
      <c r="H1245">
        <v>1</v>
      </c>
      <c r="I1245">
        <v>25</v>
      </c>
      <c r="K1245" t="s">
        <v>711</v>
      </c>
      <c r="L1245">
        <v>5</v>
      </c>
      <c r="M1245" t="s">
        <v>2084</v>
      </c>
      <c r="N1245" t="s">
        <v>726</v>
      </c>
      <c r="O1245">
        <v>1</v>
      </c>
    </row>
    <row r="1246" spans="1:15" x14ac:dyDescent="0.3">
      <c r="A1246" t="s">
        <v>938</v>
      </c>
      <c r="B1246">
        <v>1289</v>
      </c>
      <c r="C1246">
        <v>537091887</v>
      </c>
      <c r="D1246">
        <v>218</v>
      </c>
      <c r="E1246">
        <v>630</v>
      </c>
      <c r="F1246">
        <v>1</v>
      </c>
      <c r="G1246">
        <v>53.6178502939118</v>
      </c>
      <c r="H1246">
        <v>2</v>
      </c>
      <c r="I1246">
        <v>25</v>
      </c>
      <c r="K1246" t="s">
        <v>711</v>
      </c>
      <c r="L1246">
        <v>5</v>
      </c>
      <c r="M1246" t="s">
        <v>2085</v>
      </c>
      <c r="N1246" t="s">
        <v>726</v>
      </c>
      <c r="O1246">
        <v>0</v>
      </c>
    </row>
    <row r="1247" spans="1:15" x14ac:dyDescent="0.3">
      <c r="A1247" t="s">
        <v>938</v>
      </c>
      <c r="B1247">
        <v>1290</v>
      </c>
      <c r="C1247">
        <v>537091888</v>
      </c>
      <c r="D1247">
        <v>630</v>
      </c>
      <c r="E1247">
        <v>96</v>
      </c>
      <c r="F1247">
        <v>1</v>
      </c>
      <c r="G1247">
        <v>190.17867319019999</v>
      </c>
      <c r="H1247">
        <v>1</v>
      </c>
      <c r="I1247">
        <v>25</v>
      </c>
      <c r="K1247" t="s">
        <v>711</v>
      </c>
      <c r="L1247">
        <v>5</v>
      </c>
      <c r="M1247" t="s">
        <v>2086</v>
      </c>
      <c r="N1247" t="s">
        <v>726</v>
      </c>
      <c r="O1247">
        <v>0</v>
      </c>
    </row>
    <row r="1248" spans="1:15" x14ac:dyDescent="0.3">
      <c r="A1248" t="s">
        <v>938</v>
      </c>
      <c r="B1248">
        <v>1291</v>
      </c>
      <c r="C1248">
        <v>537091889</v>
      </c>
      <c r="D1248">
        <v>648</v>
      </c>
      <c r="E1248">
        <v>631</v>
      </c>
      <c r="F1248">
        <v>1</v>
      </c>
      <c r="G1248">
        <v>43.5114305786853</v>
      </c>
      <c r="H1248">
        <v>1</v>
      </c>
      <c r="I1248">
        <v>25</v>
      </c>
      <c r="K1248" t="s">
        <v>711</v>
      </c>
      <c r="L1248">
        <v>5</v>
      </c>
      <c r="M1248" t="s">
        <v>2087</v>
      </c>
      <c r="N1248" t="s">
        <v>726</v>
      </c>
      <c r="O1248">
        <v>1</v>
      </c>
    </row>
    <row r="1249" spans="1:15" x14ac:dyDescent="0.3">
      <c r="A1249" t="s">
        <v>938</v>
      </c>
      <c r="B1249">
        <v>1292</v>
      </c>
      <c r="C1249">
        <v>537091889</v>
      </c>
      <c r="D1249">
        <v>631</v>
      </c>
      <c r="E1249">
        <v>648</v>
      </c>
      <c r="F1249">
        <v>1</v>
      </c>
      <c r="G1249">
        <v>43.5114305786853</v>
      </c>
      <c r="H1249">
        <v>2</v>
      </c>
      <c r="I1249">
        <v>25</v>
      </c>
      <c r="K1249" t="s">
        <v>711</v>
      </c>
      <c r="L1249">
        <v>5</v>
      </c>
      <c r="M1249" t="s">
        <v>2088</v>
      </c>
      <c r="N1249" t="s">
        <v>726</v>
      </c>
      <c r="O1249">
        <v>1</v>
      </c>
    </row>
    <row r="1250" spans="1:15" x14ac:dyDescent="0.3">
      <c r="A1250" t="s">
        <v>938</v>
      </c>
      <c r="B1250">
        <v>1293</v>
      </c>
      <c r="C1250">
        <v>537091890</v>
      </c>
      <c r="D1250">
        <v>632</v>
      </c>
      <c r="E1250">
        <v>648</v>
      </c>
      <c r="F1250">
        <v>1</v>
      </c>
      <c r="G1250">
        <v>127.89586532132699</v>
      </c>
      <c r="H1250">
        <v>1</v>
      </c>
      <c r="I1250">
        <v>25</v>
      </c>
      <c r="K1250" t="s">
        <v>711</v>
      </c>
      <c r="L1250">
        <v>5</v>
      </c>
      <c r="M1250" t="s">
        <v>2089</v>
      </c>
      <c r="N1250" t="s">
        <v>726</v>
      </c>
      <c r="O1250">
        <v>1</v>
      </c>
    </row>
    <row r="1251" spans="1:15" x14ac:dyDescent="0.3">
      <c r="A1251" t="s">
        <v>938</v>
      </c>
      <c r="B1251">
        <v>1294</v>
      </c>
      <c r="C1251">
        <v>537091890</v>
      </c>
      <c r="D1251">
        <v>648</v>
      </c>
      <c r="E1251">
        <v>632</v>
      </c>
      <c r="F1251">
        <v>1</v>
      </c>
      <c r="G1251">
        <v>127.89586532132699</v>
      </c>
      <c r="H1251">
        <v>1</v>
      </c>
      <c r="I1251">
        <v>25</v>
      </c>
      <c r="K1251" t="s">
        <v>711</v>
      </c>
      <c r="L1251">
        <v>5</v>
      </c>
      <c r="M1251" t="s">
        <v>2090</v>
      </c>
      <c r="N1251" t="s">
        <v>726</v>
      </c>
      <c r="O1251">
        <v>1</v>
      </c>
    </row>
    <row r="1252" spans="1:15" x14ac:dyDescent="0.3">
      <c r="A1252" t="s">
        <v>938</v>
      </c>
      <c r="B1252">
        <v>1295</v>
      </c>
      <c r="C1252">
        <v>537091891</v>
      </c>
      <c r="D1252">
        <v>633</v>
      </c>
      <c r="E1252">
        <v>632</v>
      </c>
      <c r="F1252">
        <v>1</v>
      </c>
      <c r="G1252">
        <v>51.475058694437699</v>
      </c>
      <c r="H1252">
        <v>1</v>
      </c>
      <c r="I1252">
        <v>25</v>
      </c>
      <c r="K1252" t="s">
        <v>711</v>
      </c>
      <c r="L1252">
        <v>5</v>
      </c>
      <c r="M1252" t="s">
        <v>2091</v>
      </c>
      <c r="N1252" t="s">
        <v>726</v>
      </c>
      <c r="O1252">
        <v>1</v>
      </c>
    </row>
    <row r="1253" spans="1:15" x14ac:dyDescent="0.3">
      <c r="A1253" t="s">
        <v>938</v>
      </c>
      <c r="B1253">
        <v>1296</v>
      </c>
      <c r="C1253">
        <v>537091891</v>
      </c>
      <c r="D1253">
        <v>632</v>
      </c>
      <c r="E1253">
        <v>633</v>
      </c>
      <c r="F1253">
        <v>1</v>
      </c>
      <c r="G1253">
        <v>51.475058694437699</v>
      </c>
      <c r="H1253">
        <v>1</v>
      </c>
      <c r="I1253">
        <v>25</v>
      </c>
      <c r="K1253" t="s">
        <v>711</v>
      </c>
      <c r="L1253">
        <v>5</v>
      </c>
      <c r="M1253" t="s">
        <v>2092</v>
      </c>
      <c r="N1253" t="s">
        <v>726</v>
      </c>
      <c r="O1253">
        <v>1</v>
      </c>
    </row>
    <row r="1254" spans="1:15" x14ac:dyDescent="0.3">
      <c r="A1254" t="s">
        <v>938</v>
      </c>
      <c r="B1254">
        <v>1297</v>
      </c>
      <c r="C1254">
        <v>537091892</v>
      </c>
      <c r="D1254">
        <v>142</v>
      </c>
      <c r="E1254">
        <v>633</v>
      </c>
      <c r="F1254">
        <v>1</v>
      </c>
      <c r="G1254">
        <v>24.616177760803399</v>
      </c>
      <c r="H1254">
        <v>1</v>
      </c>
      <c r="I1254">
        <v>25</v>
      </c>
      <c r="K1254" t="s">
        <v>711</v>
      </c>
      <c r="L1254">
        <v>5</v>
      </c>
      <c r="M1254" t="s">
        <v>2093</v>
      </c>
      <c r="N1254" t="s">
        <v>726</v>
      </c>
      <c r="O1254">
        <v>1</v>
      </c>
    </row>
    <row r="1255" spans="1:15" x14ac:dyDescent="0.3">
      <c r="A1255" t="s">
        <v>938</v>
      </c>
      <c r="B1255">
        <v>1298</v>
      </c>
      <c r="C1255">
        <v>537091892</v>
      </c>
      <c r="D1255">
        <v>633</v>
      </c>
      <c r="E1255">
        <v>142</v>
      </c>
      <c r="F1255">
        <v>1</v>
      </c>
      <c r="G1255">
        <v>24.616177760803399</v>
      </c>
      <c r="H1255">
        <v>2</v>
      </c>
      <c r="I1255">
        <v>25</v>
      </c>
      <c r="K1255" t="s">
        <v>711</v>
      </c>
      <c r="L1255">
        <v>5</v>
      </c>
      <c r="M1255" t="s">
        <v>2094</v>
      </c>
      <c r="N1255" t="s">
        <v>726</v>
      </c>
      <c r="O1255">
        <v>1</v>
      </c>
    </row>
    <row r="1256" spans="1:15" x14ac:dyDescent="0.3">
      <c r="A1256" t="s">
        <v>938</v>
      </c>
      <c r="B1256">
        <v>1299</v>
      </c>
      <c r="C1256">
        <v>537091893</v>
      </c>
      <c r="D1256">
        <v>634</v>
      </c>
      <c r="E1256">
        <v>142</v>
      </c>
      <c r="F1256">
        <v>1</v>
      </c>
      <c r="G1256">
        <v>66.781422624839493</v>
      </c>
      <c r="H1256">
        <v>2</v>
      </c>
      <c r="I1256">
        <v>25</v>
      </c>
      <c r="K1256" t="s">
        <v>711</v>
      </c>
      <c r="L1256">
        <v>5</v>
      </c>
      <c r="M1256" t="s">
        <v>2095</v>
      </c>
      <c r="N1256" t="s">
        <v>726</v>
      </c>
      <c r="O1256">
        <v>1</v>
      </c>
    </row>
    <row r="1257" spans="1:15" x14ac:dyDescent="0.3">
      <c r="A1257" t="s">
        <v>938</v>
      </c>
      <c r="B1257">
        <v>1300</v>
      </c>
      <c r="C1257">
        <v>537091893</v>
      </c>
      <c r="D1257">
        <v>142</v>
      </c>
      <c r="E1257">
        <v>634</v>
      </c>
      <c r="F1257">
        <v>1</v>
      </c>
      <c r="G1257">
        <v>66.781422624839493</v>
      </c>
      <c r="H1257">
        <v>1</v>
      </c>
      <c r="I1257">
        <v>25</v>
      </c>
      <c r="K1257" t="s">
        <v>711</v>
      </c>
      <c r="L1257">
        <v>5</v>
      </c>
      <c r="M1257" t="s">
        <v>2096</v>
      </c>
      <c r="N1257" t="s">
        <v>726</v>
      </c>
      <c r="O1257">
        <v>1</v>
      </c>
    </row>
    <row r="1258" spans="1:15" x14ac:dyDescent="0.3">
      <c r="A1258" t="s">
        <v>938</v>
      </c>
      <c r="B1258">
        <v>1301</v>
      </c>
      <c r="C1258">
        <v>537091894</v>
      </c>
      <c r="D1258">
        <v>305</v>
      </c>
      <c r="E1258">
        <v>710</v>
      </c>
      <c r="F1258">
        <v>1</v>
      </c>
      <c r="G1258">
        <v>2.9499521947765999</v>
      </c>
      <c r="H1258">
        <v>1</v>
      </c>
      <c r="I1258">
        <v>25</v>
      </c>
      <c r="K1258" t="s">
        <v>711</v>
      </c>
      <c r="L1258">
        <v>5</v>
      </c>
      <c r="M1258" t="s">
        <v>2097</v>
      </c>
      <c r="N1258" t="s">
        <v>726</v>
      </c>
      <c r="O1258">
        <v>1</v>
      </c>
    </row>
    <row r="1259" spans="1:15" x14ac:dyDescent="0.3">
      <c r="A1259" t="s">
        <v>938</v>
      </c>
      <c r="B1259">
        <v>1302</v>
      </c>
      <c r="C1259">
        <v>537091894</v>
      </c>
      <c r="D1259">
        <v>710</v>
      </c>
      <c r="E1259">
        <v>305</v>
      </c>
      <c r="F1259">
        <v>1</v>
      </c>
      <c r="G1259">
        <v>2.9499521947765999</v>
      </c>
      <c r="H1259">
        <v>1</v>
      </c>
      <c r="I1259">
        <v>25</v>
      </c>
      <c r="K1259" t="s">
        <v>711</v>
      </c>
      <c r="L1259">
        <v>5</v>
      </c>
      <c r="M1259" t="s">
        <v>2098</v>
      </c>
      <c r="N1259" t="s">
        <v>726</v>
      </c>
      <c r="O1259">
        <v>1</v>
      </c>
    </row>
    <row r="1260" spans="1:15" x14ac:dyDescent="0.3">
      <c r="A1260" t="s">
        <v>938</v>
      </c>
      <c r="B1260">
        <v>1303</v>
      </c>
      <c r="C1260">
        <v>537091895</v>
      </c>
      <c r="D1260">
        <v>635</v>
      </c>
      <c r="E1260">
        <v>305</v>
      </c>
      <c r="F1260">
        <v>1</v>
      </c>
      <c r="G1260">
        <v>39.785664054944597</v>
      </c>
      <c r="H1260">
        <v>1</v>
      </c>
      <c r="I1260">
        <v>25</v>
      </c>
      <c r="K1260" t="s">
        <v>711</v>
      </c>
      <c r="L1260">
        <v>5</v>
      </c>
      <c r="M1260" t="s">
        <v>2099</v>
      </c>
      <c r="N1260" t="s">
        <v>726</v>
      </c>
      <c r="O1260">
        <v>1</v>
      </c>
    </row>
    <row r="1261" spans="1:15" x14ac:dyDescent="0.3">
      <c r="A1261" t="s">
        <v>938</v>
      </c>
      <c r="B1261">
        <v>1304</v>
      </c>
      <c r="C1261">
        <v>537091895</v>
      </c>
      <c r="D1261">
        <v>305</v>
      </c>
      <c r="E1261">
        <v>635</v>
      </c>
      <c r="F1261">
        <v>1</v>
      </c>
      <c r="G1261">
        <v>39.785664054944597</v>
      </c>
      <c r="H1261">
        <v>1</v>
      </c>
      <c r="I1261">
        <v>25</v>
      </c>
      <c r="K1261" t="s">
        <v>711</v>
      </c>
      <c r="L1261">
        <v>5</v>
      </c>
      <c r="M1261" t="s">
        <v>2100</v>
      </c>
      <c r="N1261" t="s">
        <v>726</v>
      </c>
      <c r="O1261">
        <v>1</v>
      </c>
    </row>
    <row r="1262" spans="1:15" x14ac:dyDescent="0.3">
      <c r="A1262" t="s">
        <v>1264</v>
      </c>
      <c r="B1262">
        <v>1305</v>
      </c>
      <c r="C1262">
        <v>537091896</v>
      </c>
      <c r="D1262">
        <v>637</v>
      </c>
      <c r="E1262">
        <v>636</v>
      </c>
      <c r="F1262">
        <v>1</v>
      </c>
      <c r="G1262">
        <v>21.781776769146401</v>
      </c>
      <c r="H1262">
        <v>2</v>
      </c>
      <c r="I1262">
        <v>30</v>
      </c>
      <c r="K1262" t="s">
        <v>711</v>
      </c>
      <c r="L1262">
        <v>5</v>
      </c>
      <c r="M1262" t="s">
        <v>2101</v>
      </c>
      <c r="N1262" t="s">
        <v>726</v>
      </c>
      <c r="O1262">
        <v>1</v>
      </c>
    </row>
    <row r="1263" spans="1:15" x14ac:dyDescent="0.3">
      <c r="A1263" t="s">
        <v>1264</v>
      </c>
      <c r="B1263">
        <v>1306</v>
      </c>
      <c r="C1263">
        <v>537091896</v>
      </c>
      <c r="D1263">
        <v>636</v>
      </c>
      <c r="E1263">
        <v>637</v>
      </c>
      <c r="F1263">
        <v>1</v>
      </c>
      <c r="G1263">
        <v>21.781776769146401</v>
      </c>
      <c r="H1263">
        <v>1</v>
      </c>
      <c r="I1263">
        <v>30</v>
      </c>
      <c r="K1263" t="s">
        <v>711</v>
      </c>
      <c r="L1263">
        <v>5</v>
      </c>
      <c r="M1263" t="s">
        <v>2102</v>
      </c>
      <c r="N1263" t="s">
        <v>726</v>
      </c>
      <c r="O1263">
        <v>1</v>
      </c>
    </row>
    <row r="1264" spans="1:15" x14ac:dyDescent="0.3">
      <c r="A1264" t="s">
        <v>1264</v>
      </c>
      <c r="B1264">
        <v>1307</v>
      </c>
      <c r="C1264">
        <v>537091897</v>
      </c>
      <c r="D1264">
        <v>636</v>
      </c>
      <c r="E1264">
        <v>639</v>
      </c>
      <c r="F1264">
        <v>1</v>
      </c>
      <c r="G1264">
        <v>25.6123816703122</v>
      </c>
      <c r="H1264">
        <v>1</v>
      </c>
      <c r="I1264">
        <v>30</v>
      </c>
      <c r="K1264" t="s">
        <v>711</v>
      </c>
      <c r="L1264">
        <v>5</v>
      </c>
      <c r="M1264" t="s">
        <v>2103</v>
      </c>
      <c r="N1264" t="s">
        <v>726</v>
      </c>
      <c r="O1264">
        <v>1</v>
      </c>
    </row>
    <row r="1265" spans="1:15" x14ac:dyDescent="0.3">
      <c r="A1265" t="s">
        <v>1264</v>
      </c>
      <c r="B1265">
        <v>1308</v>
      </c>
      <c r="C1265">
        <v>537091897</v>
      </c>
      <c r="D1265">
        <v>639</v>
      </c>
      <c r="E1265">
        <v>636</v>
      </c>
      <c r="F1265">
        <v>1</v>
      </c>
      <c r="G1265">
        <v>25.612381670312299</v>
      </c>
      <c r="H1265">
        <v>1</v>
      </c>
      <c r="I1265">
        <v>30</v>
      </c>
      <c r="K1265" t="s">
        <v>711</v>
      </c>
      <c r="L1265">
        <v>5</v>
      </c>
      <c r="M1265" t="s">
        <v>2104</v>
      </c>
      <c r="N1265" t="s">
        <v>726</v>
      </c>
      <c r="O1265">
        <v>1</v>
      </c>
    </row>
    <row r="1266" spans="1:15" x14ac:dyDescent="0.3">
      <c r="A1266" t="s">
        <v>1264</v>
      </c>
      <c r="B1266">
        <v>1309</v>
      </c>
      <c r="C1266">
        <v>537091898</v>
      </c>
      <c r="D1266">
        <v>639</v>
      </c>
      <c r="E1266">
        <v>638</v>
      </c>
      <c r="F1266">
        <v>1</v>
      </c>
      <c r="G1266">
        <v>11.279113438802099</v>
      </c>
      <c r="H1266">
        <v>2</v>
      </c>
      <c r="I1266">
        <v>30</v>
      </c>
      <c r="K1266" t="s">
        <v>711</v>
      </c>
      <c r="L1266">
        <v>5</v>
      </c>
      <c r="M1266" t="s">
        <v>2105</v>
      </c>
      <c r="N1266" t="s">
        <v>726</v>
      </c>
      <c r="O1266">
        <v>1</v>
      </c>
    </row>
    <row r="1267" spans="1:15" x14ac:dyDescent="0.3">
      <c r="A1267" t="s">
        <v>1264</v>
      </c>
      <c r="B1267">
        <v>1310</v>
      </c>
      <c r="C1267">
        <v>537091898</v>
      </c>
      <c r="D1267">
        <v>638</v>
      </c>
      <c r="E1267">
        <v>639</v>
      </c>
      <c r="F1267">
        <v>1</v>
      </c>
      <c r="G1267">
        <v>11.279113438802099</v>
      </c>
      <c r="H1267">
        <v>1</v>
      </c>
      <c r="I1267">
        <v>30</v>
      </c>
      <c r="K1267" t="s">
        <v>711</v>
      </c>
      <c r="L1267">
        <v>5</v>
      </c>
      <c r="M1267" t="s">
        <v>2106</v>
      </c>
      <c r="N1267" t="s">
        <v>726</v>
      </c>
      <c r="O1267">
        <v>1</v>
      </c>
    </row>
    <row r="1268" spans="1:15" x14ac:dyDescent="0.3">
      <c r="A1268" t="s">
        <v>1264</v>
      </c>
      <c r="B1268">
        <v>1311</v>
      </c>
      <c r="C1268">
        <v>537091900</v>
      </c>
      <c r="D1268">
        <v>638</v>
      </c>
      <c r="E1268">
        <v>122</v>
      </c>
      <c r="F1268">
        <v>1</v>
      </c>
      <c r="G1268">
        <v>43.069610959917398</v>
      </c>
      <c r="H1268">
        <v>3</v>
      </c>
      <c r="I1268">
        <v>30</v>
      </c>
      <c r="K1268" t="s">
        <v>711</v>
      </c>
      <c r="L1268">
        <v>5</v>
      </c>
      <c r="M1268" t="s">
        <v>2107</v>
      </c>
      <c r="N1268" t="s">
        <v>726</v>
      </c>
      <c r="O1268">
        <v>1</v>
      </c>
    </row>
    <row r="1269" spans="1:15" x14ac:dyDescent="0.3">
      <c r="A1269" t="s">
        <v>1264</v>
      </c>
      <c r="B1269">
        <v>1312</v>
      </c>
      <c r="C1269">
        <v>537091900</v>
      </c>
      <c r="D1269">
        <v>122</v>
      </c>
      <c r="E1269">
        <v>638</v>
      </c>
      <c r="F1269">
        <v>1</v>
      </c>
      <c r="G1269">
        <v>43.069610959917398</v>
      </c>
      <c r="H1269">
        <v>1</v>
      </c>
      <c r="I1269">
        <v>30</v>
      </c>
      <c r="K1269" t="s">
        <v>711</v>
      </c>
      <c r="L1269">
        <v>5</v>
      </c>
      <c r="M1269" t="s">
        <v>2108</v>
      </c>
      <c r="N1269" t="s">
        <v>726</v>
      </c>
      <c r="O1269">
        <v>1</v>
      </c>
    </row>
    <row r="1270" spans="1:15" x14ac:dyDescent="0.3">
      <c r="A1270" t="s">
        <v>1264</v>
      </c>
      <c r="B1270">
        <v>1313</v>
      </c>
      <c r="C1270">
        <v>537091901</v>
      </c>
      <c r="D1270">
        <v>640</v>
      </c>
      <c r="E1270">
        <v>129</v>
      </c>
      <c r="F1270">
        <v>1</v>
      </c>
      <c r="G1270">
        <v>100.241619282306</v>
      </c>
      <c r="H1270">
        <v>2</v>
      </c>
      <c r="I1270">
        <v>30</v>
      </c>
      <c r="K1270" t="s">
        <v>711</v>
      </c>
      <c r="L1270">
        <v>5</v>
      </c>
      <c r="M1270" t="s">
        <v>2109</v>
      </c>
      <c r="N1270" t="s">
        <v>726</v>
      </c>
      <c r="O1270">
        <v>0</v>
      </c>
    </row>
    <row r="1271" spans="1:15" x14ac:dyDescent="0.3">
      <c r="A1271" t="s">
        <v>1264</v>
      </c>
      <c r="B1271">
        <v>1314</v>
      </c>
      <c r="C1271">
        <v>537091902</v>
      </c>
      <c r="D1271">
        <v>237</v>
      </c>
      <c r="E1271">
        <v>25</v>
      </c>
      <c r="F1271">
        <v>1</v>
      </c>
      <c r="G1271">
        <v>82.507587584569094</v>
      </c>
      <c r="H1271">
        <v>2</v>
      </c>
      <c r="I1271">
        <v>30</v>
      </c>
      <c r="K1271" t="s">
        <v>711</v>
      </c>
      <c r="L1271">
        <v>5</v>
      </c>
      <c r="M1271" t="s">
        <v>2110</v>
      </c>
      <c r="N1271" t="s">
        <v>726</v>
      </c>
      <c r="O1271">
        <v>0</v>
      </c>
    </row>
    <row r="1272" spans="1:15" x14ac:dyDescent="0.3">
      <c r="A1272" t="s">
        <v>911</v>
      </c>
      <c r="B1272">
        <v>1315</v>
      </c>
      <c r="C1272">
        <v>537091903</v>
      </c>
      <c r="D1272">
        <v>641</v>
      </c>
      <c r="E1272">
        <v>196</v>
      </c>
      <c r="F1272">
        <v>1</v>
      </c>
      <c r="G1272">
        <v>44.893726382362999</v>
      </c>
      <c r="H1272">
        <v>2</v>
      </c>
      <c r="K1272" t="s">
        <v>711</v>
      </c>
      <c r="L1272">
        <v>5</v>
      </c>
      <c r="M1272" t="s">
        <v>2111</v>
      </c>
      <c r="N1272" t="s">
        <v>726</v>
      </c>
      <c r="O1272">
        <v>1</v>
      </c>
    </row>
    <row r="1273" spans="1:15" x14ac:dyDescent="0.3">
      <c r="A1273" t="s">
        <v>911</v>
      </c>
      <c r="B1273">
        <v>1316</v>
      </c>
      <c r="C1273">
        <v>537091903</v>
      </c>
      <c r="D1273">
        <v>196</v>
      </c>
      <c r="E1273">
        <v>641</v>
      </c>
      <c r="F1273">
        <v>1</v>
      </c>
      <c r="G1273">
        <v>44.893726382362999</v>
      </c>
      <c r="H1273">
        <v>1</v>
      </c>
      <c r="K1273" t="s">
        <v>711</v>
      </c>
      <c r="L1273">
        <v>5</v>
      </c>
      <c r="M1273" t="s">
        <v>2112</v>
      </c>
      <c r="N1273" t="s">
        <v>726</v>
      </c>
      <c r="O1273">
        <v>1</v>
      </c>
    </row>
    <row r="1274" spans="1:15" x14ac:dyDescent="0.3">
      <c r="A1274" t="s">
        <v>911</v>
      </c>
      <c r="B1274">
        <v>1317</v>
      </c>
      <c r="C1274">
        <v>537091904</v>
      </c>
      <c r="D1274">
        <v>1948</v>
      </c>
      <c r="E1274">
        <v>242</v>
      </c>
      <c r="F1274">
        <v>1</v>
      </c>
      <c r="G1274">
        <v>50.534998922575902</v>
      </c>
      <c r="H1274">
        <v>1</v>
      </c>
      <c r="I1274">
        <v>30</v>
      </c>
      <c r="K1274" t="s">
        <v>711</v>
      </c>
      <c r="L1274">
        <v>5</v>
      </c>
      <c r="M1274" t="s">
        <v>2113</v>
      </c>
      <c r="N1274" t="s">
        <v>726</v>
      </c>
      <c r="O1274">
        <v>1</v>
      </c>
    </row>
    <row r="1275" spans="1:15" x14ac:dyDescent="0.3">
      <c r="A1275" t="s">
        <v>911</v>
      </c>
      <c r="B1275">
        <v>1318</v>
      </c>
      <c r="C1275">
        <v>537091904</v>
      </c>
      <c r="D1275">
        <v>242</v>
      </c>
      <c r="E1275">
        <v>1948</v>
      </c>
      <c r="F1275">
        <v>1</v>
      </c>
      <c r="G1275">
        <v>50.534998922575902</v>
      </c>
      <c r="H1275">
        <v>2</v>
      </c>
      <c r="I1275">
        <v>30</v>
      </c>
      <c r="K1275" t="s">
        <v>711</v>
      </c>
      <c r="L1275">
        <v>5</v>
      </c>
      <c r="M1275" t="s">
        <v>2114</v>
      </c>
      <c r="N1275" t="s">
        <v>726</v>
      </c>
      <c r="O1275">
        <v>1</v>
      </c>
    </row>
    <row r="1276" spans="1:15" x14ac:dyDescent="0.3">
      <c r="A1276" t="s">
        <v>858</v>
      </c>
      <c r="B1276">
        <v>1319</v>
      </c>
      <c r="C1276">
        <v>540970794</v>
      </c>
      <c r="D1276">
        <v>361</v>
      </c>
      <c r="E1276">
        <v>499</v>
      </c>
      <c r="F1276">
        <v>1</v>
      </c>
      <c r="G1276">
        <v>12.8081758649188</v>
      </c>
      <c r="H1276">
        <v>2</v>
      </c>
      <c r="I1276">
        <v>30</v>
      </c>
      <c r="K1276" t="s">
        <v>724</v>
      </c>
      <c r="L1276">
        <v>3</v>
      </c>
      <c r="M1276" t="s">
        <v>2115</v>
      </c>
      <c r="N1276" t="s">
        <v>726</v>
      </c>
      <c r="O1276">
        <v>0</v>
      </c>
    </row>
    <row r="1277" spans="1:15" x14ac:dyDescent="0.3">
      <c r="A1277" t="s">
        <v>756</v>
      </c>
      <c r="B1277">
        <v>1320</v>
      </c>
      <c r="C1277">
        <v>543992493</v>
      </c>
      <c r="D1277">
        <v>602</v>
      </c>
      <c r="E1277">
        <v>360</v>
      </c>
      <c r="F1277">
        <v>1</v>
      </c>
      <c r="G1277">
        <v>63.329560590398401</v>
      </c>
      <c r="H1277">
        <v>1</v>
      </c>
      <c r="K1277" t="s">
        <v>729</v>
      </c>
      <c r="L1277">
        <v>6</v>
      </c>
      <c r="M1277" t="s">
        <v>2116</v>
      </c>
      <c r="N1277" t="s">
        <v>726</v>
      </c>
      <c r="O1277">
        <v>1</v>
      </c>
    </row>
    <row r="1278" spans="1:15" x14ac:dyDescent="0.3">
      <c r="A1278" t="s">
        <v>756</v>
      </c>
      <c r="B1278">
        <v>1321</v>
      </c>
      <c r="C1278">
        <v>543992493</v>
      </c>
      <c r="D1278">
        <v>360</v>
      </c>
      <c r="E1278">
        <v>602</v>
      </c>
      <c r="F1278">
        <v>1</v>
      </c>
      <c r="G1278">
        <v>63.329560590398501</v>
      </c>
      <c r="H1278">
        <v>1</v>
      </c>
      <c r="K1278" t="s">
        <v>729</v>
      </c>
      <c r="L1278">
        <v>6</v>
      </c>
      <c r="M1278" t="s">
        <v>2117</v>
      </c>
      <c r="N1278" t="s">
        <v>726</v>
      </c>
      <c r="O1278">
        <v>1</v>
      </c>
    </row>
    <row r="1279" spans="1:15" x14ac:dyDescent="0.3">
      <c r="B1279">
        <v>1322</v>
      </c>
      <c r="C1279">
        <v>543992494</v>
      </c>
      <c r="D1279">
        <v>360</v>
      </c>
      <c r="E1279">
        <v>642</v>
      </c>
      <c r="F1279">
        <v>1</v>
      </c>
      <c r="G1279">
        <v>195.503502789061</v>
      </c>
      <c r="H1279">
        <v>1</v>
      </c>
      <c r="K1279" t="s">
        <v>729</v>
      </c>
      <c r="L1279">
        <v>6</v>
      </c>
      <c r="M1279" t="s">
        <v>2118</v>
      </c>
      <c r="N1279" t="s">
        <v>726</v>
      </c>
      <c r="O1279">
        <v>1</v>
      </c>
    </row>
    <row r="1280" spans="1:15" x14ac:dyDescent="0.3">
      <c r="B1280">
        <v>1323</v>
      </c>
      <c r="C1280">
        <v>543992494</v>
      </c>
      <c r="D1280">
        <v>642</v>
      </c>
      <c r="E1280">
        <v>360</v>
      </c>
      <c r="F1280">
        <v>1</v>
      </c>
      <c r="G1280">
        <v>195.503502789061</v>
      </c>
      <c r="H1280">
        <v>1</v>
      </c>
      <c r="K1280" t="s">
        <v>729</v>
      </c>
      <c r="L1280">
        <v>6</v>
      </c>
      <c r="M1280" t="s">
        <v>2119</v>
      </c>
      <c r="N1280" t="s">
        <v>726</v>
      </c>
      <c r="O1280">
        <v>1</v>
      </c>
    </row>
    <row r="1281" spans="1:15" x14ac:dyDescent="0.3">
      <c r="B1281">
        <v>1324</v>
      </c>
      <c r="C1281">
        <v>544243011</v>
      </c>
      <c r="D1281">
        <v>643</v>
      </c>
      <c r="E1281">
        <v>644</v>
      </c>
      <c r="F1281">
        <v>1</v>
      </c>
      <c r="G1281">
        <v>35.576677438573498</v>
      </c>
      <c r="H1281">
        <v>1</v>
      </c>
      <c r="K1281" t="s">
        <v>2120</v>
      </c>
      <c r="L1281">
        <v>9</v>
      </c>
      <c r="M1281" t="s">
        <v>2121</v>
      </c>
      <c r="N1281" t="s">
        <v>726</v>
      </c>
      <c r="O1281">
        <v>0</v>
      </c>
    </row>
    <row r="1282" spans="1:15" x14ac:dyDescent="0.3">
      <c r="B1282">
        <v>1325</v>
      </c>
      <c r="C1282">
        <v>544243011</v>
      </c>
      <c r="D1282">
        <v>644</v>
      </c>
      <c r="E1282">
        <v>659</v>
      </c>
      <c r="F1282">
        <v>1</v>
      </c>
      <c r="G1282">
        <v>54.959632764372202</v>
      </c>
      <c r="H1282">
        <v>1</v>
      </c>
      <c r="K1282" t="s">
        <v>2120</v>
      </c>
      <c r="L1282">
        <v>9</v>
      </c>
      <c r="M1282" t="s">
        <v>2122</v>
      </c>
      <c r="N1282" t="s">
        <v>726</v>
      </c>
      <c r="O1282">
        <v>0</v>
      </c>
    </row>
    <row r="1283" spans="1:15" x14ac:dyDescent="0.3">
      <c r="B1283">
        <v>1326</v>
      </c>
      <c r="C1283">
        <v>544243012</v>
      </c>
      <c r="D1283">
        <v>644</v>
      </c>
      <c r="E1283">
        <v>646</v>
      </c>
      <c r="F1283">
        <v>1</v>
      </c>
      <c r="G1283">
        <v>51.372668894197901</v>
      </c>
      <c r="H1283">
        <v>1</v>
      </c>
      <c r="K1283" t="s">
        <v>2120</v>
      </c>
      <c r="L1283">
        <v>9</v>
      </c>
      <c r="M1283" t="s">
        <v>2123</v>
      </c>
      <c r="N1283" t="s">
        <v>726</v>
      </c>
      <c r="O1283">
        <v>0</v>
      </c>
    </row>
    <row r="1284" spans="1:15" x14ac:dyDescent="0.3">
      <c r="A1284" t="s">
        <v>746</v>
      </c>
      <c r="B1284">
        <v>1327</v>
      </c>
      <c r="C1284">
        <v>544548410</v>
      </c>
      <c r="D1284">
        <v>26</v>
      </c>
      <c r="E1284">
        <v>0</v>
      </c>
      <c r="F1284">
        <v>1</v>
      </c>
      <c r="G1284">
        <v>147.81700692942999</v>
      </c>
      <c r="H1284">
        <v>1</v>
      </c>
      <c r="K1284" t="s">
        <v>729</v>
      </c>
      <c r="L1284">
        <v>6</v>
      </c>
      <c r="M1284" t="s">
        <v>2124</v>
      </c>
      <c r="N1284" t="s">
        <v>726</v>
      </c>
      <c r="O1284">
        <v>1</v>
      </c>
    </row>
    <row r="1285" spans="1:15" x14ac:dyDescent="0.3">
      <c r="A1285" t="s">
        <v>746</v>
      </c>
      <c r="B1285">
        <v>1328</v>
      </c>
      <c r="C1285">
        <v>544548410</v>
      </c>
      <c r="D1285">
        <v>0</v>
      </c>
      <c r="E1285">
        <v>26</v>
      </c>
      <c r="F1285">
        <v>1</v>
      </c>
      <c r="G1285">
        <v>147.81700692942999</v>
      </c>
      <c r="H1285">
        <v>1</v>
      </c>
      <c r="K1285" t="s">
        <v>729</v>
      </c>
      <c r="L1285">
        <v>6</v>
      </c>
      <c r="M1285" t="s">
        <v>2125</v>
      </c>
      <c r="N1285" t="s">
        <v>726</v>
      </c>
      <c r="O1285">
        <v>1</v>
      </c>
    </row>
    <row r="1286" spans="1:15" x14ac:dyDescent="0.3">
      <c r="A1286" t="s">
        <v>746</v>
      </c>
      <c r="B1286">
        <v>1329</v>
      </c>
      <c r="C1286">
        <v>544548410</v>
      </c>
      <c r="D1286">
        <v>0</v>
      </c>
      <c r="E1286">
        <v>1940</v>
      </c>
      <c r="F1286">
        <v>1</v>
      </c>
      <c r="G1286">
        <v>105.168765852009</v>
      </c>
      <c r="H1286">
        <v>1</v>
      </c>
      <c r="K1286" t="s">
        <v>729</v>
      </c>
      <c r="L1286">
        <v>6</v>
      </c>
      <c r="M1286" t="s">
        <v>2126</v>
      </c>
      <c r="N1286" t="s">
        <v>726</v>
      </c>
      <c r="O1286">
        <v>1</v>
      </c>
    </row>
    <row r="1287" spans="1:15" x14ac:dyDescent="0.3">
      <c r="A1287" t="s">
        <v>746</v>
      </c>
      <c r="B1287">
        <v>1330</v>
      </c>
      <c r="C1287">
        <v>544548410</v>
      </c>
      <c r="D1287">
        <v>1940</v>
      </c>
      <c r="E1287">
        <v>0</v>
      </c>
      <c r="F1287">
        <v>1</v>
      </c>
      <c r="G1287">
        <v>105.168765852009</v>
      </c>
      <c r="H1287">
        <v>1</v>
      </c>
      <c r="K1287" t="s">
        <v>729</v>
      </c>
      <c r="L1287">
        <v>6</v>
      </c>
      <c r="M1287" t="s">
        <v>2127</v>
      </c>
      <c r="N1287" t="s">
        <v>726</v>
      </c>
      <c r="O1287">
        <v>1</v>
      </c>
    </row>
    <row r="1288" spans="1:15" x14ac:dyDescent="0.3">
      <c r="A1288" t="s">
        <v>938</v>
      </c>
      <c r="B1288">
        <v>1335</v>
      </c>
      <c r="C1288">
        <v>545478719</v>
      </c>
      <c r="D1288">
        <v>82</v>
      </c>
      <c r="E1288">
        <v>224</v>
      </c>
      <c r="F1288">
        <v>1</v>
      </c>
      <c r="G1288">
        <v>8.1694756786751892</v>
      </c>
      <c r="H1288">
        <v>1</v>
      </c>
      <c r="I1288">
        <v>25</v>
      </c>
      <c r="K1288" t="s">
        <v>711</v>
      </c>
      <c r="L1288">
        <v>5</v>
      </c>
      <c r="M1288" t="s">
        <v>2128</v>
      </c>
      <c r="N1288" t="s">
        <v>726</v>
      </c>
      <c r="O1288">
        <v>1</v>
      </c>
    </row>
    <row r="1289" spans="1:15" x14ac:dyDescent="0.3">
      <c r="A1289" t="s">
        <v>938</v>
      </c>
      <c r="B1289">
        <v>1336</v>
      </c>
      <c r="C1289">
        <v>545478719</v>
      </c>
      <c r="D1289">
        <v>224</v>
      </c>
      <c r="E1289">
        <v>82</v>
      </c>
      <c r="F1289">
        <v>1</v>
      </c>
      <c r="G1289">
        <v>8.1694756786751892</v>
      </c>
      <c r="H1289">
        <v>1</v>
      </c>
      <c r="I1289">
        <v>25</v>
      </c>
      <c r="K1289" t="s">
        <v>711</v>
      </c>
      <c r="L1289">
        <v>5</v>
      </c>
      <c r="M1289" t="s">
        <v>2129</v>
      </c>
      <c r="N1289" t="s">
        <v>726</v>
      </c>
      <c r="O1289">
        <v>1</v>
      </c>
    </row>
    <row r="1290" spans="1:15" x14ac:dyDescent="0.3">
      <c r="A1290" t="s">
        <v>2130</v>
      </c>
      <c r="B1290">
        <v>1337</v>
      </c>
      <c r="C1290">
        <v>546382872</v>
      </c>
      <c r="D1290">
        <v>195</v>
      </c>
      <c r="E1290">
        <v>56</v>
      </c>
      <c r="F1290">
        <v>1</v>
      </c>
      <c r="G1290">
        <v>68.425546104486997</v>
      </c>
      <c r="H1290">
        <v>2</v>
      </c>
      <c r="K1290" t="s">
        <v>729</v>
      </c>
      <c r="L1290">
        <v>6</v>
      </c>
      <c r="M1290" t="s">
        <v>2131</v>
      </c>
      <c r="N1290" t="s">
        <v>726</v>
      </c>
      <c r="O1290">
        <v>0</v>
      </c>
    </row>
    <row r="1291" spans="1:15" x14ac:dyDescent="0.3">
      <c r="B1291">
        <v>1340</v>
      </c>
      <c r="C1291">
        <v>561642294</v>
      </c>
      <c r="D1291">
        <v>658</v>
      </c>
      <c r="E1291">
        <v>645</v>
      </c>
      <c r="F1291">
        <v>1</v>
      </c>
      <c r="G1291">
        <v>35.869223921079197</v>
      </c>
      <c r="H1291">
        <v>1</v>
      </c>
      <c r="K1291" t="s">
        <v>2120</v>
      </c>
      <c r="L1291">
        <v>9</v>
      </c>
      <c r="M1291" t="s">
        <v>2132</v>
      </c>
      <c r="N1291" t="s">
        <v>726</v>
      </c>
      <c r="O1291">
        <v>0</v>
      </c>
    </row>
    <row r="1292" spans="1:15" x14ac:dyDescent="0.3">
      <c r="B1292">
        <v>1341</v>
      </c>
      <c r="C1292">
        <v>561642296</v>
      </c>
      <c r="D1292">
        <v>659</v>
      </c>
      <c r="E1292">
        <v>658</v>
      </c>
      <c r="F1292">
        <v>1</v>
      </c>
      <c r="G1292">
        <v>31.0596779419581</v>
      </c>
      <c r="H1292">
        <v>1</v>
      </c>
      <c r="K1292" t="s">
        <v>2120</v>
      </c>
      <c r="L1292">
        <v>9</v>
      </c>
      <c r="M1292" t="s">
        <v>2133</v>
      </c>
      <c r="N1292" t="s">
        <v>726</v>
      </c>
      <c r="O1292">
        <v>0</v>
      </c>
    </row>
    <row r="1293" spans="1:15" x14ac:dyDescent="0.3">
      <c r="A1293" t="s">
        <v>858</v>
      </c>
      <c r="B1293">
        <v>1342</v>
      </c>
      <c r="C1293">
        <v>572306358</v>
      </c>
      <c r="D1293">
        <v>359</v>
      </c>
      <c r="E1293">
        <v>105</v>
      </c>
      <c r="F1293">
        <v>1</v>
      </c>
      <c r="G1293">
        <v>195.44650917197299</v>
      </c>
      <c r="H1293">
        <v>2</v>
      </c>
      <c r="I1293">
        <v>35</v>
      </c>
      <c r="K1293" t="s">
        <v>724</v>
      </c>
      <c r="L1293">
        <v>3</v>
      </c>
      <c r="M1293" t="s">
        <v>2134</v>
      </c>
      <c r="N1293" t="s">
        <v>726</v>
      </c>
      <c r="O1293">
        <v>0</v>
      </c>
    </row>
    <row r="1294" spans="1:15" x14ac:dyDescent="0.3">
      <c r="B1294">
        <v>1343</v>
      </c>
      <c r="C1294">
        <v>590151119</v>
      </c>
      <c r="D1294">
        <v>663</v>
      </c>
      <c r="E1294">
        <v>662</v>
      </c>
      <c r="F1294">
        <v>1</v>
      </c>
      <c r="G1294">
        <v>35.2437995238299</v>
      </c>
      <c r="H1294">
        <v>1</v>
      </c>
      <c r="K1294" t="s">
        <v>729</v>
      </c>
      <c r="L1294">
        <v>6</v>
      </c>
      <c r="M1294" t="s">
        <v>2135</v>
      </c>
      <c r="N1294" t="s">
        <v>726</v>
      </c>
      <c r="O1294">
        <v>0</v>
      </c>
    </row>
    <row r="1295" spans="1:15" x14ac:dyDescent="0.3">
      <c r="B1295">
        <v>1344</v>
      </c>
      <c r="C1295">
        <v>590151124</v>
      </c>
      <c r="D1295">
        <v>664</v>
      </c>
      <c r="E1295">
        <v>663</v>
      </c>
      <c r="F1295">
        <v>1</v>
      </c>
      <c r="G1295">
        <v>34.9379404223425</v>
      </c>
      <c r="H1295">
        <v>1</v>
      </c>
      <c r="K1295" t="s">
        <v>729</v>
      </c>
      <c r="L1295">
        <v>6</v>
      </c>
      <c r="M1295" t="s">
        <v>2136</v>
      </c>
      <c r="N1295" t="s">
        <v>726</v>
      </c>
      <c r="O1295">
        <v>0</v>
      </c>
    </row>
    <row r="1296" spans="1:15" x14ac:dyDescent="0.3">
      <c r="B1296">
        <v>1345</v>
      </c>
      <c r="C1296">
        <v>590151125</v>
      </c>
      <c r="D1296">
        <v>703</v>
      </c>
      <c r="E1296">
        <v>808</v>
      </c>
      <c r="F1296">
        <v>1</v>
      </c>
      <c r="G1296">
        <v>5.96064257292098</v>
      </c>
      <c r="H1296">
        <v>1</v>
      </c>
      <c r="K1296" t="s">
        <v>729</v>
      </c>
      <c r="L1296">
        <v>6</v>
      </c>
      <c r="M1296" t="s">
        <v>2137</v>
      </c>
      <c r="N1296" t="s">
        <v>726</v>
      </c>
      <c r="O1296">
        <v>1</v>
      </c>
    </row>
    <row r="1297" spans="2:15" x14ac:dyDescent="0.3">
      <c r="B1297">
        <v>1346</v>
      </c>
      <c r="C1297">
        <v>590151125</v>
      </c>
      <c r="D1297">
        <v>808</v>
      </c>
      <c r="E1297">
        <v>703</v>
      </c>
      <c r="F1297">
        <v>1</v>
      </c>
      <c r="G1297">
        <v>5.96064257292098</v>
      </c>
      <c r="H1297">
        <v>1</v>
      </c>
      <c r="K1297" t="s">
        <v>729</v>
      </c>
      <c r="L1297">
        <v>6</v>
      </c>
      <c r="M1297" t="s">
        <v>2138</v>
      </c>
      <c r="N1297" t="s">
        <v>726</v>
      </c>
      <c r="O1297">
        <v>1</v>
      </c>
    </row>
    <row r="1298" spans="2:15" x14ac:dyDescent="0.3">
      <c r="B1298">
        <v>1347</v>
      </c>
      <c r="C1298">
        <v>590151125</v>
      </c>
      <c r="D1298">
        <v>809</v>
      </c>
      <c r="E1298">
        <v>666</v>
      </c>
      <c r="F1298">
        <v>1</v>
      </c>
      <c r="G1298">
        <v>19.9155925650998</v>
      </c>
      <c r="H1298">
        <v>1</v>
      </c>
      <c r="K1298" t="s">
        <v>729</v>
      </c>
      <c r="L1298">
        <v>6</v>
      </c>
      <c r="M1298" t="s">
        <v>2139</v>
      </c>
      <c r="N1298" t="s">
        <v>726</v>
      </c>
      <c r="O1298">
        <v>1</v>
      </c>
    </row>
    <row r="1299" spans="2:15" x14ac:dyDescent="0.3">
      <c r="B1299">
        <v>1348</v>
      </c>
      <c r="C1299">
        <v>590151125</v>
      </c>
      <c r="D1299">
        <v>666</v>
      </c>
      <c r="E1299">
        <v>809</v>
      </c>
      <c r="F1299">
        <v>1</v>
      </c>
      <c r="G1299">
        <v>19.9155925650998</v>
      </c>
      <c r="H1299">
        <v>1</v>
      </c>
      <c r="K1299" t="s">
        <v>729</v>
      </c>
      <c r="L1299">
        <v>6</v>
      </c>
      <c r="M1299" t="s">
        <v>2140</v>
      </c>
      <c r="N1299" t="s">
        <v>726</v>
      </c>
      <c r="O1299">
        <v>1</v>
      </c>
    </row>
    <row r="1300" spans="2:15" x14ac:dyDescent="0.3">
      <c r="B1300">
        <v>1349</v>
      </c>
      <c r="C1300">
        <v>590151126</v>
      </c>
      <c r="D1300">
        <v>665</v>
      </c>
      <c r="E1300">
        <v>667</v>
      </c>
      <c r="F1300">
        <v>1</v>
      </c>
      <c r="G1300">
        <v>18.639450780308199</v>
      </c>
      <c r="H1300">
        <v>1</v>
      </c>
      <c r="K1300" t="s">
        <v>729</v>
      </c>
      <c r="L1300">
        <v>6</v>
      </c>
      <c r="M1300" t="s">
        <v>2141</v>
      </c>
      <c r="N1300" t="s">
        <v>726</v>
      </c>
      <c r="O1300">
        <v>1</v>
      </c>
    </row>
    <row r="1301" spans="2:15" x14ac:dyDescent="0.3">
      <c r="B1301">
        <v>1350</v>
      </c>
      <c r="C1301">
        <v>590151126</v>
      </c>
      <c r="D1301">
        <v>667</v>
      </c>
      <c r="E1301">
        <v>665</v>
      </c>
      <c r="F1301">
        <v>1</v>
      </c>
      <c r="G1301">
        <v>18.639450780308199</v>
      </c>
      <c r="H1301">
        <v>1</v>
      </c>
      <c r="K1301" t="s">
        <v>729</v>
      </c>
      <c r="L1301">
        <v>6</v>
      </c>
      <c r="M1301" t="s">
        <v>2142</v>
      </c>
      <c r="N1301" t="s">
        <v>726</v>
      </c>
      <c r="O1301">
        <v>1</v>
      </c>
    </row>
    <row r="1302" spans="2:15" x14ac:dyDescent="0.3">
      <c r="B1302">
        <v>1351</v>
      </c>
      <c r="C1302">
        <v>590151127</v>
      </c>
      <c r="D1302">
        <v>668</v>
      </c>
      <c r="E1302">
        <v>667</v>
      </c>
      <c r="F1302">
        <v>1</v>
      </c>
      <c r="G1302">
        <v>24.153978599478101</v>
      </c>
      <c r="H1302">
        <v>1</v>
      </c>
      <c r="K1302" t="s">
        <v>729</v>
      </c>
      <c r="L1302">
        <v>6</v>
      </c>
      <c r="M1302" t="s">
        <v>2143</v>
      </c>
      <c r="N1302" t="s">
        <v>726</v>
      </c>
      <c r="O1302">
        <v>1</v>
      </c>
    </row>
    <row r="1303" spans="2:15" x14ac:dyDescent="0.3">
      <c r="B1303">
        <v>1352</v>
      </c>
      <c r="C1303">
        <v>590151127</v>
      </c>
      <c r="D1303">
        <v>667</v>
      </c>
      <c r="E1303">
        <v>668</v>
      </c>
      <c r="F1303">
        <v>1</v>
      </c>
      <c r="G1303">
        <v>24.153978599478101</v>
      </c>
      <c r="H1303">
        <v>1</v>
      </c>
      <c r="K1303" t="s">
        <v>729</v>
      </c>
      <c r="L1303">
        <v>6</v>
      </c>
      <c r="M1303" t="s">
        <v>2144</v>
      </c>
      <c r="N1303" t="s">
        <v>726</v>
      </c>
      <c r="O1303">
        <v>1</v>
      </c>
    </row>
    <row r="1304" spans="2:15" x14ac:dyDescent="0.3">
      <c r="B1304">
        <v>1353</v>
      </c>
      <c r="C1304">
        <v>590151127</v>
      </c>
      <c r="D1304">
        <v>667</v>
      </c>
      <c r="E1304">
        <v>669</v>
      </c>
      <c r="F1304">
        <v>1</v>
      </c>
      <c r="G1304">
        <v>41.0754226739556</v>
      </c>
      <c r="H1304">
        <v>1</v>
      </c>
      <c r="K1304" t="s">
        <v>729</v>
      </c>
      <c r="L1304">
        <v>6</v>
      </c>
      <c r="M1304" t="s">
        <v>2145</v>
      </c>
      <c r="N1304" t="s">
        <v>726</v>
      </c>
      <c r="O1304">
        <v>1</v>
      </c>
    </row>
    <row r="1305" spans="2:15" x14ac:dyDescent="0.3">
      <c r="B1305">
        <v>1354</v>
      </c>
      <c r="C1305">
        <v>590151127</v>
      </c>
      <c r="D1305">
        <v>669</v>
      </c>
      <c r="E1305">
        <v>667</v>
      </c>
      <c r="F1305">
        <v>1</v>
      </c>
      <c r="G1305">
        <v>41.0754226739556</v>
      </c>
      <c r="H1305">
        <v>1</v>
      </c>
      <c r="K1305" t="s">
        <v>729</v>
      </c>
      <c r="L1305">
        <v>6</v>
      </c>
      <c r="M1305" t="s">
        <v>2146</v>
      </c>
      <c r="N1305" t="s">
        <v>726</v>
      </c>
      <c r="O1305">
        <v>1</v>
      </c>
    </row>
    <row r="1306" spans="2:15" x14ac:dyDescent="0.3">
      <c r="B1306">
        <v>1355</v>
      </c>
      <c r="C1306">
        <v>591758322</v>
      </c>
      <c r="D1306">
        <v>741</v>
      </c>
      <c r="E1306">
        <v>738</v>
      </c>
      <c r="F1306">
        <v>1</v>
      </c>
      <c r="G1306">
        <v>37.4818214651876</v>
      </c>
      <c r="H1306">
        <v>1</v>
      </c>
      <c r="K1306" t="s">
        <v>729</v>
      </c>
      <c r="L1306">
        <v>6</v>
      </c>
      <c r="M1306" t="s">
        <v>2147</v>
      </c>
      <c r="N1306" t="s">
        <v>726</v>
      </c>
      <c r="O1306">
        <v>0</v>
      </c>
    </row>
    <row r="1307" spans="2:15" x14ac:dyDescent="0.3">
      <c r="B1307">
        <v>1356</v>
      </c>
      <c r="C1307">
        <v>591758323</v>
      </c>
      <c r="D1307">
        <v>739</v>
      </c>
      <c r="E1307">
        <v>671</v>
      </c>
      <c r="F1307">
        <v>1</v>
      </c>
      <c r="G1307">
        <v>13.2675415095578</v>
      </c>
      <c r="H1307">
        <v>1</v>
      </c>
      <c r="K1307" t="s">
        <v>729</v>
      </c>
      <c r="L1307">
        <v>6</v>
      </c>
      <c r="M1307" t="s">
        <v>2148</v>
      </c>
      <c r="N1307" t="s">
        <v>726</v>
      </c>
      <c r="O1307">
        <v>1</v>
      </c>
    </row>
    <row r="1308" spans="2:15" x14ac:dyDescent="0.3">
      <c r="B1308">
        <v>1357</v>
      </c>
      <c r="C1308">
        <v>591758323</v>
      </c>
      <c r="D1308">
        <v>671</v>
      </c>
      <c r="E1308">
        <v>739</v>
      </c>
      <c r="F1308">
        <v>1</v>
      </c>
      <c r="G1308">
        <v>13.2675415095578</v>
      </c>
      <c r="H1308">
        <v>1</v>
      </c>
      <c r="K1308" t="s">
        <v>729</v>
      </c>
      <c r="L1308">
        <v>6</v>
      </c>
      <c r="M1308" t="s">
        <v>2149</v>
      </c>
      <c r="N1308" t="s">
        <v>726</v>
      </c>
      <c r="O1308">
        <v>1</v>
      </c>
    </row>
    <row r="1309" spans="2:15" x14ac:dyDescent="0.3">
      <c r="B1309">
        <v>1358</v>
      </c>
      <c r="C1309">
        <v>591758323</v>
      </c>
      <c r="D1309">
        <v>671</v>
      </c>
      <c r="E1309">
        <v>740</v>
      </c>
      <c r="F1309">
        <v>1</v>
      </c>
      <c r="G1309">
        <v>38.435525182896498</v>
      </c>
      <c r="H1309">
        <v>1</v>
      </c>
      <c r="K1309" t="s">
        <v>729</v>
      </c>
      <c r="L1309">
        <v>6</v>
      </c>
      <c r="M1309" t="s">
        <v>2150</v>
      </c>
      <c r="N1309" t="s">
        <v>726</v>
      </c>
      <c r="O1309">
        <v>1</v>
      </c>
    </row>
    <row r="1310" spans="2:15" x14ac:dyDescent="0.3">
      <c r="B1310">
        <v>1359</v>
      </c>
      <c r="C1310">
        <v>591758323</v>
      </c>
      <c r="D1310">
        <v>740</v>
      </c>
      <c r="E1310">
        <v>671</v>
      </c>
      <c r="F1310">
        <v>1</v>
      </c>
      <c r="G1310">
        <v>38.435525182896498</v>
      </c>
      <c r="H1310">
        <v>1</v>
      </c>
      <c r="K1310" t="s">
        <v>729</v>
      </c>
      <c r="L1310">
        <v>6</v>
      </c>
      <c r="M1310" t="s">
        <v>2151</v>
      </c>
      <c r="N1310" t="s">
        <v>726</v>
      </c>
      <c r="O1310">
        <v>1</v>
      </c>
    </row>
    <row r="1311" spans="2:15" x14ac:dyDescent="0.3">
      <c r="B1311">
        <v>1360</v>
      </c>
      <c r="C1311">
        <v>591758323</v>
      </c>
      <c r="D1311">
        <v>740</v>
      </c>
      <c r="E1311">
        <v>738</v>
      </c>
      <c r="F1311">
        <v>1</v>
      </c>
      <c r="G1311">
        <v>7.6218624871339697</v>
      </c>
      <c r="H1311">
        <v>1</v>
      </c>
      <c r="K1311" t="s">
        <v>729</v>
      </c>
      <c r="L1311">
        <v>6</v>
      </c>
      <c r="M1311" t="s">
        <v>2152</v>
      </c>
      <c r="N1311" t="s">
        <v>726</v>
      </c>
      <c r="O1311">
        <v>1</v>
      </c>
    </row>
    <row r="1312" spans="2:15" x14ac:dyDescent="0.3">
      <c r="B1312">
        <v>1361</v>
      </c>
      <c r="C1312">
        <v>591758323</v>
      </c>
      <c r="D1312">
        <v>738</v>
      </c>
      <c r="E1312">
        <v>740</v>
      </c>
      <c r="F1312">
        <v>1</v>
      </c>
      <c r="G1312">
        <v>7.6218624871339697</v>
      </c>
      <c r="H1312">
        <v>1</v>
      </c>
      <c r="K1312" t="s">
        <v>729</v>
      </c>
      <c r="L1312">
        <v>6</v>
      </c>
      <c r="M1312" t="s">
        <v>2153</v>
      </c>
      <c r="N1312" t="s">
        <v>726</v>
      </c>
      <c r="O1312">
        <v>1</v>
      </c>
    </row>
    <row r="1313" spans="1:15" x14ac:dyDescent="0.3">
      <c r="B1313">
        <v>1362</v>
      </c>
      <c r="C1313">
        <v>591758323</v>
      </c>
      <c r="D1313">
        <v>738</v>
      </c>
      <c r="E1313">
        <v>672</v>
      </c>
      <c r="F1313">
        <v>1</v>
      </c>
      <c r="G1313">
        <v>12.657136390379399</v>
      </c>
      <c r="H1313">
        <v>1</v>
      </c>
      <c r="K1313" t="s">
        <v>729</v>
      </c>
      <c r="L1313">
        <v>6</v>
      </c>
      <c r="M1313" t="s">
        <v>2154</v>
      </c>
      <c r="N1313" t="s">
        <v>726</v>
      </c>
      <c r="O1313">
        <v>1</v>
      </c>
    </row>
    <row r="1314" spans="1:15" x14ac:dyDescent="0.3">
      <c r="B1314">
        <v>1363</v>
      </c>
      <c r="C1314">
        <v>591758323</v>
      </c>
      <c r="D1314">
        <v>672</v>
      </c>
      <c r="E1314">
        <v>738</v>
      </c>
      <c r="F1314">
        <v>1</v>
      </c>
      <c r="G1314">
        <v>12.657136390379399</v>
      </c>
      <c r="H1314">
        <v>1</v>
      </c>
      <c r="K1314" t="s">
        <v>729</v>
      </c>
      <c r="L1314">
        <v>6</v>
      </c>
      <c r="M1314" t="s">
        <v>2155</v>
      </c>
      <c r="N1314" t="s">
        <v>726</v>
      </c>
      <c r="O1314">
        <v>1</v>
      </c>
    </row>
    <row r="1315" spans="1:15" x14ac:dyDescent="0.3">
      <c r="B1315">
        <v>1364</v>
      </c>
      <c r="C1315">
        <v>591758323</v>
      </c>
      <c r="D1315">
        <v>672</v>
      </c>
      <c r="E1315">
        <v>739</v>
      </c>
      <c r="F1315">
        <v>1</v>
      </c>
      <c r="G1315">
        <v>8.8527947322092793</v>
      </c>
      <c r="H1315">
        <v>1</v>
      </c>
      <c r="K1315" t="s">
        <v>729</v>
      </c>
      <c r="L1315">
        <v>6</v>
      </c>
      <c r="M1315" t="s">
        <v>2156</v>
      </c>
      <c r="N1315" t="s">
        <v>726</v>
      </c>
      <c r="O1315">
        <v>1</v>
      </c>
    </row>
    <row r="1316" spans="1:15" x14ac:dyDescent="0.3">
      <c r="B1316">
        <v>1365</v>
      </c>
      <c r="C1316">
        <v>591758323</v>
      </c>
      <c r="D1316">
        <v>739</v>
      </c>
      <c r="E1316">
        <v>672</v>
      </c>
      <c r="F1316">
        <v>1</v>
      </c>
      <c r="G1316">
        <v>8.8527947322092793</v>
      </c>
      <c r="H1316">
        <v>1</v>
      </c>
      <c r="K1316" t="s">
        <v>729</v>
      </c>
      <c r="L1316">
        <v>6</v>
      </c>
      <c r="M1316" t="s">
        <v>2157</v>
      </c>
      <c r="N1316" t="s">
        <v>726</v>
      </c>
      <c r="O1316">
        <v>1</v>
      </c>
    </row>
    <row r="1317" spans="1:15" x14ac:dyDescent="0.3">
      <c r="B1317">
        <v>1366</v>
      </c>
      <c r="C1317">
        <v>591930310</v>
      </c>
      <c r="D1317">
        <v>674</v>
      </c>
      <c r="E1317">
        <v>675</v>
      </c>
      <c r="F1317">
        <v>1</v>
      </c>
      <c r="G1317">
        <v>234.333059403893</v>
      </c>
      <c r="H1317">
        <v>1</v>
      </c>
      <c r="K1317" t="s">
        <v>729</v>
      </c>
      <c r="L1317">
        <v>6</v>
      </c>
      <c r="M1317" t="s">
        <v>2158</v>
      </c>
      <c r="N1317" t="s">
        <v>726</v>
      </c>
      <c r="O1317">
        <v>1</v>
      </c>
    </row>
    <row r="1318" spans="1:15" x14ac:dyDescent="0.3">
      <c r="B1318">
        <v>1367</v>
      </c>
      <c r="C1318">
        <v>591930310</v>
      </c>
      <c r="D1318">
        <v>675</v>
      </c>
      <c r="E1318">
        <v>674</v>
      </c>
      <c r="F1318">
        <v>1</v>
      </c>
      <c r="G1318">
        <v>234.333059403893</v>
      </c>
      <c r="H1318">
        <v>1</v>
      </c>
      <c r="K1318" t="s">
        <v>729</v>
      </c>
      <c r="L1318">
        <v>6</v>
      </c>
      <c r="M1318" t="s">
        <v>2159</v>
      </c>
      <c r="N1318" t="s">
        <v>726</v>
      </c>
      <c r="O1318">
        <v>1</v>
      </c>
    </row>
    <row r="1319" spans="1:15" x14ac:dyDescent="0.3">
      <c r="A1319" t="s">
        <v>759</v>
      </c>
      <c r="B1319">
        <v>1368</v>
      </c>
      <c r="C1319">
        <v>594384220</v>
      </c>
      <c r="D1319">
        <v>679</v>
      </c>
      <c r="E1319">
        <v>680</v>
      </c>
      <c r="F1319">
        <v>1</v>
      </c>
      <c r="G1319">
        <v>21.0896595156863</v>
      </c>
      <c r="H1319">
        <v>1</v>
      </c>
      <c r="K1319" t="s">
        <v>711</v>
      </c>
      <c r="L1319">
        <v>5</v>
      </c>
      <c r="M1319" t="s">
        <v>2160</v>
      </c>
      <c r="N1319" t="s">
        <v>726</v>
      </c>
      <c r="O1319">
        <v>1</v>
      </c>
    </row>
    <row r="1320" spans="1:15" x14ac:dyDescent="0.3">
      <c r="A1320" t="s">
        <v>759</v>
      </c>
      <c r="B1320">
        <v>1369</v>
      </c>
      <c r="C1320">
        <v>594384220</v>
      </c>
      <c r="D1320">
        <v>680</v>
      </c>
      <c r="E1320">
        <v>679</v>
      </c>
      <c r="F1320">
        <v>1</v>
      </c>
      <c r="G1320">
        <v>21.0896595156863</v>
      </c>
      <c r="H1320">
        <v>1</v>
      </c>
      <c r="K1320" t="s">
        <v>711</v>
      </c>
      <c r="L1320">
        <v>5</v>
      </c>
      <c r="M1320" t="s">
        <v>2161</v>
      </c>
      <c r="N1320" t="s">
        <v>726</v>
      </c>
      <c r="O1320">
        <v>1</v>
      </c>
    </row>
    <row r="1321" spans="1:15" x14ac:dyDescent="0.3">
      <c r="A1321" t="s">
        <v>759</v>
      </c>
      <c r="B1321">
        <v>1370</v>
      </c>
      <c r="C1321">
        <v>594384223</v>
      </c>
      <c r="D1321">
        <v>680</v>
      </c>
      <c r="E1321">
        <v>248</v>
      </c>
      <c r="F1321">
        <v>1</v>
      </c>
      <c r="G1321">
        <v>187.949576128807</v>
      </c>
      <c r="H1321">
        <v>1</v>
      </c>
      <c r="K1321" t="s">
        <v>711</v>
      </c>
      <c r="L1321">
        <v>5</v>
      </c>
      <c r="M1321" t="s">
        <v>2162</v>
      </c>
      <c r="N1321" t="s">
        <v>726</v>
      </c>
      <c r="O1321">
        <v>1</v>
      </c>
    </row>
    <row r="1322" spans="1:15" x14ac:dyDescent="0.3">
      <c r="A1322" t="s">
        <v>759</v>
      </c>
      <c r="B1322">
        <v>1371</v>
      </c>
      <c r="C1322">
        <v>594384223</v>
      </c>
      <c r="D1322">
        <v>248</v>
      </c>
      <c r="E1322">
        <v>680</v>
      </c>
      <c r="F1322">
        <v>1</v>
      </c>
      <c r="G1322">
        <v>187.949576128807</v>
      </c>
      <c r="H1322">
        <v>1</v>
      </c>
      <c r="K1322" t="s">
        <v>711</v>
      </c>
      <c r="L1322">
        <v>5</v>
      </c>
      <c r="M1322" t="s">
        <v>2163</v>
      </c>
      <c r="N1322" t="s">
        <v>726</v>
      </c>
      <c r="O1322">
        <v>1</v>
      </c>
    </row>
    <row r="1323" spans="1:15" x14ac:dyDescent="0.3">
      <c r="A1323" t="s">
        <v>759</v>
      </c>
      <c r="B1323">
        <v>1372</v>
      </c>
      <c r="C1323">
        <v>594384223</v>
      </c>
      <c r="D1323">
        <v>248</v>
      </c>
      <c r="E1323">
        <v>38</v>
      </c>
      <c r="F1323">
        <v>1</v>
      </c>
      <c r="G1323">
        <v>554.964796260291</v>
      </c>
      <c r="H1323">
        <v>1</v>
      </c>
      <c r="K1323" t="s">
        <v>711</v>
      </c>
      <c r="L1323">
        <v>5</v>
      </c>
      <c r="M1323" t="s">
        <v>2164</v>
      </c>
      <c r="N1323" t="s">
        <v>726</v>
      </c>
      <c r="O1323">
        <v>1</v>
      </c>
    </row>
    <row r="1324" spans="1:15" x14ac:dyDescent="0.3">
      <c r="A1324" t="s">
        <v>759</v>
      </c>
      <c r="B1324">
        <v>1373</v>
      </c>
      <c r="C1324">
        <v>594384223</v>
      </c>
      <c r="D1324">
        <v>38</v>
      </c>
      <c r="E1324">
        <v>248</v>
      </c>
      <c r="F1324">
        <v>1</v>
      </c>
      <c r="G1324">
        <v>554.964796260291</v>
      </c>
      <c r="H1324">
        <v>1</v>
      </c>
      <c r="K1324" t="s">
        <v>711</v>
      </c>
      <c r="L1324">
        <v>5</v>
      </c>
      <c r="M1324" t="s">
        <v>2165</v>
      </c>
      <c r="N1324" t="s">
        <v>726</v>
      </c>
      <c r="O1324">
        <v>1</v>
      </c>
    </row>
    <row r="1325" spans="1:15" x14ac:dyDescent="0.3">
      <c r="A1325" t="s">
        <v>983</v>
      </c>
      <c r="B1325">
        <v>1374</v>
      </c>
      <c r="C1325">
        <v>597312446</v>
      </c>
      <c r="D1325">
        <v>596</v>
      </c>
      <c r="E1325">
        <v>524</v>
      </c>
      <c r="F1325">
        <v>1</v>
      </c>
      <c r="G1325">
        <v>42.550558398293703</v>
      </c>
      <c r="H1325">
        <v>2</v>
      </c>
      <c r="K1325" t="s">
        <v>890</v>
      </c>
      <c r="L1325">
        <v>4</v>
      </c>
      <c r="M1325" t="s">
        <v>2166</v>
      </c>
      <c r="N1325" t="s">
        <v>726</v>
      </c>
      <c r="O1325">
        <v>1</v>
      </c>
    </row>
    <row r="1326" spans="1:15" x14ac:dyDescent="0.3">
      <c r="A1326" t="s">
        <v>983</v>
      </c>
      <c r="B1326">
        <v>1375</v>
      </c>
      <c r="C1326">
        <v>597312446</v>
      </c>
      <c r="D1326">
        <v>524</v>
      </c>
      <c r="E1326">
        <v>596</v>
      </c>
      <c r="F1326">
        <v>1</v>
      </c>
      <c r="G1326">
        <v>42.550558398293703</v>
      </c>
      <c r="H1326">
        <v>5</v>
      </c>
      <c r="K1326" t="s">
        <v>890</v>
      </c>
      <c r="L1326">
        <v>4</v>
      </c>
      <c r="M1326" t="s">
        <v>2167</v>
      </c>
      <c r="N1326" t="s">
        <v>726</v>
      </c>
      <c r="O1326">
        <v>1</v>
      </c>
    </row>
    <row r="1327" spans="1:15" x14ac:dyDescent="0.3">
      <c r="B1327">
        <v>1376</v>
      </c>
      <c r="C1327">
        <v>597324977</v>
      </c>
      <c r="D1327">
        <v>740</v>
      </c>
      <c r="E1327">
        <v>741</v>
      </c>
      <c r="F1327">
        <v>1</v>
      </c>
      <c r="G1327">
        <v>37.111801704474097</v>
      </c>
      <c r="H1327">
        <v>1</v>
      </c>
      <c r="K1327" t="s">
        <v>729</v>
      </c>
      <c r="L1327">
        <v>6</v>
      </c>
      <c r="M1327" t="s">
        <v>2168</v>
      </c>
      <c r="N1327" t="s">
        <v>726</v>
      </c>
      <c r="O1327">
        <v>0</v>
      </c>
    </row>
    <row r="1328" spans="1:15" x14ac:dyDescent="0.3">
      <c r="B1328">
        <v>1377</v>
      </c>
      <c r="C1328">
        <v>597571863</v>
      </c>
      <c r="D1328">
        <v>672</v>
      </c>
      <c r="E1328">
        <v>810</v>
      </c>
      <c r="F1328">
        <v>1</v>
      </c>
      <c r="G1328">
        <v>217.090067109637</v>
      </c>
      <c r="H1328">
        <v>1</v>
      </c>
      <c r="K1328" t="s">
        <v>729</v>
      </c>
      <c r="L1328">
        <v>6</v>
      </c>
      <c r="M1328" t="s">
        <v>2169</v>
      </c>
      <c r="N1328" t="s">
        <v>726</v>
      </c>
      <c r="O1328">
        <v>1</v>
      </c>
    </row>
    <row r="1329" spans="1:15" x14ac:dyDescent="0.3">
      <c r="B1329">
        <v>1378</v>
      </c>
      <c r="C1329">
        <v>597571863</v>
      </c>
      <c r="D1329">
        <v>810</v>
      </c>
      <c r="E1329">
        <v>672</v>
      </c>
      <c r="F1329">
        <v>1</v>
      </c>
      <c r="G1329">
        <v>217.090067109637</v>
      </c>
      <c r="H1329">
        <v>1</v>
      </c>
      <c r="K1329" t="s">
        <v>729</v>
      </c>
      <c r="L1329">
        <v>6</v>
      </c>
      <c r="M1329" t="s">
        <v>2170</v>
      </c>
      <c r="N1329" t="s">
        <v>726</v>
      </c>
      <c r="O1329">
        <v>1</v>
      </c>
    </row>
    <row r="1330" spans="1:15" x14ac:dyDescent="0.3">
      <c r="A1330" t="s">
        <v>941</v>
      </c>
      <c r="B1330">
        <v>1379</v>
      </c>
      <c r="C1330">
        <v>597596575</v>
      </c>
      <c r="D1330">
        <v>145</v>
      </c>
      <c r="E1330">
        <v>146</v>
      </c>
      <c r="F1330">
        <v>1</v>
      </c>
      <c r="G1330">
        <v>200.06344595925501</v>
      </c>
      <c r="H1330">
        <v>1</v>
      </c>
      <c r="K1330" t="s">
        <v>729</v>
      </c>
      <c r="L1330">
        <v>6</v>
      </c>
      <c r="M1330" t="s">
        <v>2171</v>
      </c>
      <c r="N1330" t="s">
        <v>726</v>
      </c>
      <c r="O1330">
        <v>1</v>
      </c>
    </row>
    <row r="1331" spans="1:15" x14ac:dyDescent="0.3">
      <c r="A1331" t="s">
        <v>941</v>
      </c>
      <c r="B1331">
        <v>1380</v>
      </c>
      <c r="C1331">
        <v>597596575</v>
      </c>
      <c r="D1331">
        <v>146</v>
      </c>
      <c r="E1331">
        <v>145</v>
      </c>
      <c r="F1331">
        <v>1</v>
      </c>
      <c r="G1331">
        <v>200.06344595925501</v>
      </c>
      <c r="H1331">
        <v>1</v>
      </c>
      <c r="K1331" t="s">
        <v>729</v>
      </c>
      <c r="L1331">
        <v>6</v>
      </c>
      <c r="M1331" t="s">
        <v>2172</v>
      </c>
      <c r="N1331" t="s">
        <v>726</v>
      </c>
      <c r="O1331">
        <v>1</v>
      </c>
    </row>
    <row r="1332" spans="1:15" x14ac:dyDescent="0.3">
      <c r="A1332" t="s">
        <v>941</v>
      </c>
      <c r="B1332">
        <v>1381</v>
      </c>
      <c r="C1332">
        <v>597596575</v>
      </c>
      <c r="D1332">
        <v>146</v>
      </c>
      <c r="E1332">
        <v>143</v>
      </c>
      <c r="F1332">
        <v>1</v>
      </c>
      <c r="G1332">
        <v>192.600790837494</v>
      </c>
      <c r="H1332">
        <v>1</v>
      </c>
      <c r="K1332" t="s">
        <v>729</v>
      </c>
      <c r="L1332">
        <v>6</v>
      </c>
      <c r="M1332" t="s">
        <v>2173</v>
      </c>
      <c r="N1332" t="s">
        <v>726</v>
      </c>
      <c r="O1332">
        <v>1</v>
      </c>
    </row>
    <row r="1333" spans="1:15" x14ac:dyDescent="0.3">
      <c r="A1333" t="s">
        <v>941</v>
      </c>
      <c r="B1333">
        <v>1382</v>
      </c>
      <c r="C1333">
        <v>597596575</v>
      </c>
      <c r="D1333">
        <v>143</v>
      </c>
      <c r="E1333">
        <v>146</v>
      </c>
      <c r="F1333">
        <v>1</v>
      </c>
      <c r="G1333">
        <v>192.600790837494</v>
      </c>
      <c r="H1333">
        <v>1</v>
      </c>
      <c r="K1333" t="s">
        <v>729</v>
      </c>
      <c r="L1333">
        <v>6</v>
      </c>
      <c r="M1333" t="s">
        <v>2174</v>
      </c>
      <c r="N1333" t="s">
        <v>726</v>
      </c>
      <c r="O1333">
        <v>1</v>
      </c>
    </row>
    <row r="1334" spans="1:15" x14ac:dyDescent="0.3">
      <c r="A1334" t="s">
        <v>1109</v>
      </c>
      <c r="B1334">
        <v>1383</v>
      </c>
      <c r="C1334">
        <v>597596576</v>
      </c>
      <c r="D1334">
        <v>145</v>
      </c>
      <c r="E1334">
        <v>67</v>
      </c>
      <c r="F1334">
        <v>1</v>
      </c>
      <c r="G1334">
        <v>174.49165660265601</v>
      </c>
      <c r="H1334">
        <v>1</v>
      </c>
      <c r="K1334" t="s">
        <v>711</v>
      </c>
      <c r="L1334">
        <v>5</v>
      </c>
      <c r="M1334" t="s">
        <v>2175</v>
      </c>
      <c r="N1334" t="s">
        <v>726</v>
      </c>
      <c r="O1334">
        <v>1</v>
      </c>
    </row>
    <row r="1335" spans="1:15" x14ac:dyDescent="0.3">
      <c r="A1335" t="s">
        <v>1109</v>
      </c>
      <c r="B1335">
        <v>1384</v>
      </c>
      <c r="C1335">
        <v>597596576</v>
      </c>
      <c r="D1335">
        <v>67</v>
      </c>
      <c r="E1335">
        <v>145</v>
      </c>
      <c r="F1335">
        <v>1</v>
      </c>
      <c r="G1335">
        <v>174.49165660265601</v>
      </c>
      <c r="H1335">
        <v>1</v>
      </c>
      <c r="K1335" t="s">
        <v>711</v>
      </c>
      <c r="L1335">
        <v>5</v>
      </c>
      <c r="M1335" t="s">
        <v>2176</v>
      </c>
      <c r="N1335" t="s">
        <v>726</v>
      </c>
      <c r="O1335">
        <v>1</v>
      </c>
    </row>
    <row r="1336" spans="1:15" x14ac:dyDescent="0.3">
      <c r="A1336" t="s">
        <v>1109</v>
      </c>
      <c r="B1336">
        <v>1385</v>
      </c>
      <c r="C1336">
        <v>597596576</v>
      </c>
      <c r="D1336">
        <v>67</v>
      </c>
      <c r="E1336">
        <v>657</v>
      </c>
      <c r="F1336">
        <v>1</v>
      </c>
      <c r="G1336">
        <v>183.10523026103701</v>
      </c>
      <c r="H1336">
        <v>1</v>
      </c>
      <c r="K1336" t="s">
        <v>711</v>
      </c>
      <c r="L1336">
        <v>5</v>
      </c>
      <c r="M1336" t="s">
        <v>2177</v>
      </c>
      <c r="N1336" t="s">
        <v>726</v>
      </c>
      <c r="O1336">
        <v>1</v>
      </c>
    </row>
    <row r="1337" spans="1:15" x14ac:dyDescent="0.3">
      <c r="A1337" t="s">
        <v>1109</v>
      </c>
      <c r="B1337">
        <v>1386</v>
      </c>
      <c r="C1337">
        <v>597596576</v>
      </c>
      <c r="D1337">
        <v>657</v>
      </c>
      <c r="E1337">
        <v>67</v>
      </c>
      <c r="F1337">
        <v>1</v>
      </c>
      <c r="G1337">
        <v>183.10523026103701</v>
      </c>
      <c r="H1337">
        <v>1</v>
      </c>
      <c r="K1337" t="s">
        <v>711</v>
      </c>
      <c r="L1337">
        <v>5</v>
      </c>
      <c r="M1337" t="s">
        <v>2178</v>
      </c>
      <c r="N1337" t="s">
        <v>726</v>
      </c>
      <c r="O1337">
        <v>1</v>
      </c>
    </row>
    <row r="1338" spans="1:15" x14ac:dyDescent="0.3">
      <c r="B1338">
        <v>1387</v>
      </c>
      <c r="C1338">
        <v>598636948</v>
      </c>
      <c r="D1338">
        <v>683</v>
      </c>
      <c r="E1338">
        <v>684</v>
      </c>
      <c r="F1338">
        <v>1</v>
      </c>
      <c r="G1338">
        <v>28.274624246036101</v>
      </c>
      <c r="H1338">
        <v>1</v>
      </c>
      <c r="K1338" t="s">
        <v>729</v>
      </c>
      <c r="L1338">
        <v>6</v>
      </c>
      <c r="M1338" t="s">
        <v>2179</v>
      </c>
      <c r="N1338" t="s">
        <v>726</v>
      </c>
      <c r="O1338">
        <v>0</v>
      </c>
    </row>
    <row r="1339" spans="1:15" x14ac:dyDescent="0.3">
      <c r="B1339">
        <v>1388</v>
      </c>
      <c r="C1339">
        <v>598636948</v>
      </c>
      <c r="D1339">
        <v>684</v>
      </c>
      <c r="E1339">
        <v>685</v>
      </c>
      <c r="F1339">
        <v>1</v>
      </c>
      <c r="G1339">
        <v>28.593401329804401</v>
      </c>
      <c r="H1339">
        <v>1</v>
      </c>
      <c r="K1339" t="s">
        <v>729</v>
      </c>
      <c r="L1339">
        <v>6</v>
      </c>
      <c r="M1339" t="s">
        <v>2180</v>
      </c>
      <c r="N1339" t="s">
        <v>726</v>
      </c>
      <c r="O1339">
        <v>0</v>
      </c>
    </row>
    <row r="1340" spans="1:15" x14ac:dyDescent="0.3">
      <c r="B1340">
        <v>1389</v>
      </c>
      <c r="C1340">
        <v>599084823</v>
      </c>
      <c r="D1340">
        <v>686</v>
      </c>
      <c r="E1340">
        <v>687</v>
      </c>
      <c r="F1340">
        <v>1</v>
      </c>
      <c r="G1340">
        <v>317.93078805115903</v>
      </c>
      <c r="H1340">
        <v>1</v>
      </c>
      <c r="K1340" t="s">
        <v>729</v>
      </c>
      <c r="L1340">
        <v>6</v>
      </c>
      <c r="M1340" t="s">
        <v>2181</v>
      </c>
      <c r="N1340" t="s">
        <v>726</v>
      </c>
      <c r="O1340">
        <v>1</v>
      </c>
    </row>
    <row r="1341" spans="1:15" x14ac:dyDescent="0.3">
      <c r="B1341">
        <v>1390</v>
      </c>
      <c r="C1341">
        <v>599084823</v>
      </c>
      <c r="D1341">
        <v>687</v>
      </c>
      <c r="E1341">
        <v>686</v>
      </c>
      <c r="F1341">
        <v>1</v>
      </c>
      <c r="G1341">
        <v>317.93078805115903</v>
      </c>
      <c r="H1341">
        <v>1</v>
      </c>
      <c r="K1341" t="s">
        <v>729</v>
      </c>
      <c r="L1341">
        <v>6</v>
      </c>
      <c r="M1341" t="s">
        <v>2182</v>
      </c>
      <c r="N1341" t="s">
        <v>726</v>
      </c>
      <c r="O1341">
        <v>1</v>
      </c>
    </row>
    <row r="1342" spans="1:15" x14ac:dyDescent="0.3">
      <c r="A1342" t="s">
        <v>1288</v>
      </c>
      <c r="B1342">
        <v>1391</v>
      </c>
      <c r="C1342">
        <v>613675425</v>
      </c>
      <c r="D1342">
        <v>258</v>
      </c>
      <c r="E1342">
        <v>259</v>
      </c>
      <c r="F1342">
        <v>1</v>
      </c>
      <c r="G1342">
        <v>67.593867579561504</v>
      </c>
      <c r="H1342">
        <v>2</v>
      </c>
      <c r="K1342" t="s">
        <v>890</v>
      </c>
      <c r="L1342">
        <v>4</v>
      </c>
      <c r="M1342" t="s">
        <v>2183</v>
      </c>
      <c r="N1342" t="s">
        <v>726</v>
      </c>
      <c r="O1342">
        <v>0</v>
      </c>
    </row>
    <row r="1343" spans="1:15" x14ac:dyDescent="0.3">
      <c r="A1343" t="s">
        <v>1288</v>
      </c>
      <c r="B1343">
        <v>1392</v>
      </c>
      <c r="C1343">
        <v>613675426</v>
      </c>
      <c r="D1343">
        <v>438</v>
      </c>
      <c r="E1343">
        <v>258</v>
      </c>
      <c r="F1343">
        <v>1</v>
      </c>
      <c r="G1343">
        <v>56.2427420273333</v>
      </c>
      <c r="H1343">
        <v>2</v>
      </c>
      <c r="K1343" t="s">
        <v>890</v>
      </c>
      <c r="L1343">
        <v>4</v>
      </c>
      <c r="M1343" t="s">
        <v>2184</v>
      </c>
      <c r="N1343" t="s">
        <v>726</v>
      </c>
      <c r="O1343">
        <v>0</v>
      </c>
    </row>
    <row r="1344" spans="1:15" x14ac:dyDescent="0.3">
      <c r="A1344" t="s">
        <v>1362</v>
      </c>
      <c r="B1344">
        <v>1393</v>
      </c>
      <c r="C1344">
        <v>613687451</v>
      </c>
      <c r="D1344">
        <v>677</v>
      </c>
      <c r="E1344">
        <v>583</v>
      </c>
      <c r="F1344">
        <v>1</v>
      </c>
      <c r="G1344">
        <v>44.066714643803401</v>
      </c>
      <c r="H1344">
        <v>3</v>
      </c>
      <c r="I1344">
        <v>35</v>
      </c>
      <c r="K1344" t="s">
        <v>724</v>
      </c>
      <c r="L1344">
        <v>3</v>
      </c>
      <c r="M1344" t="s">
        <v>2185</v>
      </c>
      <c r="N1344" t="s">
        <v>726</v>
      </c>
      <c r="O1344">
        <v>1</v>
      </c>
    </row>
    <row r="1345" spans="1:15" x14ac:dyDescent="0.3">
      <c r="A1345" t="s">
        <v>1362</v>
      </c>
      <c r="B1345">
        <v>1394</v>
      </c>
      <c r="C1345">
        <v>613687451</v>
      </c>
      <c r="D1345">
        <v>583</v>
      </c>
      <c r="E1345">
        <v>677</v>
      </c>
      <c r="F1345">
        <v>1</v>
      </c>
      <c r="G1345">
        <v>44.066714643803401</v>
      </c>
      <c r="H1345">
        <v>5</v>
      </c>
      <c r="I1345">
        <v>35</v>
      </c>
      <c r="K1345" t="s">
        <v>724</v>
      </c>
      <c r="L1345">
        <v>3</v>
      </c>
      <c r="M1345" t="s">
        <v>2186</v>
      </c>
      <c r="N1345" t="s">
        <v>726</v>
      </c>
      <c r="O1345">
        <v>1</v>
      </c>
    </row>
    <row r="1346" spans="1:15" x14ac:dyDescent="0.3">
      <c r="A1346" t="s">
        <v>938</v>
      </c>
      <c r="B1346">
        <v>1395</v>
      </c>
      <c r="C1346">
        <v>613698108</v>
      </c>
      <c r="D1346">
        <v>96</v>
      </c>
      <c r="E1346">
        <v>218</v>
      </c>
      <c r="F1346">
        <v>1</v>
      </c>
      <c r="G1346">
        <v>249.63411611759901</v>
      </c>
      <c r="H1346">
        <v>2</v>
      </c>
      <c r="I1346">
        <v>25</v>
      </c>
      <c r="K1346" t="s">
        <v>711</v>
      </c>
      <c r="L1346">
        <v>5</v>
      </c>
      <c r="M1346" t="s">
        <v>2187</v>
      </c>
      <c r="N1346" t="s">
        <v>726</v>
      </c>
      <c r="O1346">
        <v>0</v>
      </c>
    </row>
    <row r="1347" spans="1:15" x14ac:dyDescent="0.3">
      <c r="B1347">
        <v>1396</v>
      </c>
      <c r="C1347">
        <v>634351294</v>
      </c>
      <c r="D1347">
        <v>691</v>
      </c>
      <c r="E1347">
        <v>488</v>
      </c>
      <c r="F1347">
        <v>1</v>
      </c>
      <c r="G1347">
        <v>69.582816259404495</v>
      </c>
      <c r="H1347">
        <v>1</v>
      </c>
      <c r="K1347" t="s">
        <v>2188</v>
      </c>
      <c r="L1347">
        <v>7</v>
      </c>
      <c r="M1347" t="s">
        <v>2189</v>
      </c>
      <c r="N1347" t="s">
        <v>726</v>
      </c>
      <c r="O1347">
        <v>0</v>
      </c>
    </row>
    <row r="1348" spans="1:15" x14ac:dyDescent="0.3">
      <c r="A1348" t="s">
        <v>988</v>
      </c>
      <c r="B1348">
        <v>1397</v>
      </c>
      <c r="C1348">
        <v>643913497</v>
      </c>
      <c r="D1348">
        <v>693</v>
      </c>
      <c r="E1348">
        <v>525</v>
      </c>
      <c r="F1348">
        <v>1</v>
      </c>
      <c r="G1348">
        <v>15.9612801554914</v>
      </c>
      <c r="H1348">
        <v>3</v>
      </c>
      <c r="K1348" t="s">
        <v>890</v>
      </c>
      <c r="L1348">
        <v>4</v>
      </c>
      <c r="M1348" t="s">
        <v>2190</v>
      </c>
      <c r="N1348" t="s">
        <v>726</v>
      </c>
      <c r="O1348">
        <v>1</v>
      </c>
    </row>
    <row r="1349" spans="1:15" x14ac:dyDescent="0.3">
      <c r="A1349" t="s">
        <v>988</v>
      </c>
      <c r="B1349">
        <v>1398</v>
      </c>
      <c r="C1349">
        <v>643913497</v>
      </c>
      <c r="D1349">
        <v>525</v>
      </c>
      <c r="E1349">
        <v>693</v>
      </c>
      <c r="F1349">
        <v>1</v>
      </c>
      <c r="G1349">
        <v>15.9612801554914</v>
      </c>
      <c r="H1349">
        <v>4</v>
      </c>
      <c r="K1349" t="s">
        <v>890</v>
      </c>
      <c r="L1349">
        <v>4</v>
      </c>
      <c r="M1349" t="s">
        <v>2191</v>
      </c>
      <c r="N1349" t="s">
        <v>726</v>
      </c>
      <c r="O1349">
        <v>1</v>
      </c>
    </row>
    <row r="1350" spans="1:15" x14ac:dyDescent="0.3">
      <c r="A1350" t="s">
        <v>1133</v>
      </c>
      <c r="B1350">
        <v>1399</v>
      </c>
      <c r="C1350">
        <v>656385562</v>
      </c>
      <c r="D1350">
        <v>234</v>
      </c>
      <c r="E1350">
        <v>208</v>
      </c>
      <c r="F1350">
        <v>1</v>
      </c>
      <c r="G1350">
        <v>300.05577343070598</v>
      </c>
      <c r="H1350">
        <v>1</v>
      </c>
      <c r="K1350" t="s">
        <v>729</v>
      </c>
      <c r="L1350">
        <v>6</v>
      </c>
      <c r="M1350" t="s">
        <v>2192</v>
      </c>
      <c r="N1350" t="s">
        <v>726</v>
      </c>
      <c r="O1350">
        <v>1</v>
      </c>
    </row>
    <row r="1351" spans="1:15" x14ac:dyDescent="0.3">
      <c r="A1351" t="s">
        <v>1133</v>
      </c>
      <c r="B1351">
        <v>1400</v>
      </c>
      <c r="C1351">
        <v>656385562</v>
      </c>
      <c r="D1351">
        <v>208</v>
      </c>
      <c r="E1351">
        <v>234</v>
      </c>
      <c r="F1351">
        <v>1</v>
      </c>
      <c r="G1351">
        <v>300.05577343070598</v>
      </c>
      <c r="H1351">
        <v>1</v>
      </c>
      <c r="K1351" t="s">
        <v>729</v>
      </c>
      <c r="L1351">
        <v>6</v>
      </c>
      <c r="M1351" t="s">
        <v>2193</v>
      </c>
      <c r="N1351" t="s">
        <v>726</v>
      </c>
      <c r="O1351">
        <v>1</v>
      </c>
    </row>
    <row r="1352" spans="1:15" x14ac:dyDescent="0.3">
      <c r="A1352" t="s">
        <v>1133</v>
      </c>
      <c r="B1352">
        <v>1401</v>
      </c>
      <c r="C1352">
        <v>656385562</v>
      </c>
      <c r="D1352">
        <v>208</v>
      </c>
      <c r="E1352">
        <v>124</v>
      </c>
      <c r="F1352">
        <v>1</v>
      </c>
      <c r="G1352">
        <v>181.49188440743899</v>
      </c>
      <c r="H1352">
        <v>1</v>
      </c>
      <c r="K1352" t="s">
        <v>729</v>
      </c>
      <c r="L1352">
        <v>6</v>
      </c>
      <c r="M1352" t="s">
        <v>2194</v>
      </c>
      <c r="N1352" t="s">
        <v>726</v>
      </c>
      <c r="O1352">
        <v>1</v>
      </c>
    </row>
    <row r="1353" spans="1:15" x14ac:dyDescent="0.3">
      <c r="A1353" t="s">
        <v>1133</v>
      </c>
      <c r="B1353">
        <v>1402</v>
      </c>
      <c r="C1353">
        <v>656385562</v>
      </c>
      <c r="D1353">
        <v>124</v>
      </c>
      <c r="E1353">
        <v>208</v>
      </c>
      <c r="F1353">
        <v>1</v>
      </c>
      <c r="G1353">
        <v>181.49188440743899</v>
      </c>
      <c r="H1353">
        <v>1</v>
      </c>
      <c r="K1353" t="s">
        <v>729</v>
      </c>
      <c r="L1353">
        <v>6</v>
      </c>
      <c r="M1353" t="s">
        <v>2195</v>
      </c>
      <c r="N1353" t="s">
        <v>726</v>
      </c>
      <c r="O1353">
        <v>1</v>
      </c>
    </row>
    <row r="1354" spans="1:15" x14ac:dyDescent="0.3">
      <c r="A1354" t="s">
        <v>1133</v>
      </c>
      <c r="B1354">
        <v>1403</v>
      </c>
      <c r="C1354">
        <v>656385562</v>
      </c>
      <c r="D1354">
        <v>124</v>
      </c>
      <c r="E1354">
        <v>176</v>
      </c>
      <c r="F1354">
        <v>1</v>
      </c>
      <c r="G1354">
        <v>88.7166305614045</v>
      </c>
      <c r="H1354">
        <v>1</v>
      </c>
      <c r="K1354" t="s">
        <v>729</v>
      </c>
      <c r="L1354">
        <v>6</v>
      </c>
      <c r="M1354" t="s">
        <v>2196</v>
      </c>
      <c r="N1354" t="s">
        <v>726</v>
      </c>
      <c r="O1354">
        <v>1</v>
      </c>
    </row>
    <row r="1355" spans="1:15" x14ac:dyDescent="0.3">
      <c r="A1355" t="s">
        <v>1133</v>
      </c>
      <c r="B1355">
        <v>1404</v>
      </c>
      <c r="C1355">
        <v>656385562</v>
      </c>
      <c r="D1355">
        <v>176</v>
      </c>
      <c r="E1355">
        <v>124</v>
      </c>
      <c r="F1355">
        <v>1</v>
      </c>
      <c r="G1355">
        <v>88.7166305614045</v>
      </c>
      <c r="H1355">
        <v>1</v>
      </c>
      <c r="K1355" t="s">
        <v>729</v>
      </c>
      <c r="L1355">
        <v>6</v>
      </c>
      <c r="M1355" t="s">
        <v>2197</v>
      </c>
      <c r="N1355" t="s">
        <v>726</v>
      </c>
      <c r="O1355">
        <v>1</v>
      </c>
    </row>
    <row r="1356" spans="1:15" x14ac:dyDescent="0.3">
      <c r="A1356" t="s">
        <v>801</v>
      </c>
      <c r="B1356">
        <v>1405</v>
      </c>
      <c r="C1356">
        <v>656385563</v>
      </c>
      <c r="D1356">
        <v>234</v>
      </c>
      <c r="E1356">
        <v>629</v>
      </c>
      <c r="F1356">
        <v>1</v>
      </c>
      <c r="G1356">
        <v>312.37477448884999</v>
      </c>
      <c r="H1356">
        <v>1</v>
      </c>
      <c r="I1356">
        <v>25</v>
      </c>
      <c r="K1356" t="s">
        <v>711</v>
      </c>
      <c r="L1356">
        <v>5</v>
      </c>
      <c r="M1356" t="s">
        <v>2198</v>
      </c>
      <c r="N1356" t="s">
        <v>726</v>
      </c>
      <c r="O1356">
        <v>0</v>
      </c>
    </row>
    <row r="1357" spans="1:15" x14ac:dyDescent="0.3">
      <c r="A1357" t="s">
        <v>1701</v>
      </c>
      <c r="B1357">
        <v>1406</v>
      </c>
      <c r="C1357">
        <v>656408740</v>
      </c>
      <c r="D1357">
        <v>676</v>
      </c>
      <c r="E1357">
        <v>482</v>
      </c>
      <c r="F1357">
        <v>1</v>
      </c>
      <c r="G1357">
        <v>83.615232824557694</v>
      </c>
      <c r="H1357">
        <v>2</v>
      </c>
      <c r="I1357">
        <v>40</v>
      </c>
      <c r="K1357" t="s">
        <v>724</v>
      </c>
      <c r="L1357">
        <v>3</v>
      </c>
      <c r="M1357" t="s">
        <v>2199</v>
      </c>
      <c r="N1357" t="s">
        <v>726</v>
      </c>
      <c r="O1357">
        <v>0</v>
      </c>
    </row>
    <row r="1358" spans="1:15" x14ac:dyDescent="0.3">
      <c r="A1358" t="s">
        <v>827</v>
      </c>
      <c r="B1358">
        <v>1407</v>
      </c>
      <c r="C1358">
        <v>658317842</v>
      </c>
      <c r="D1358">
        <v>214</v>
      </c>
      <c r="E1358">
        <v>532</v>
      </c>
      <c r="F1358">
        <v>1</v>
      </c>
      <c r="G1358">
        <v>180.38357513202001</v>
      </c>
      <c r="H1358">
        <v>2</v>
      </c>
      <c r="I1358">
        <v>35</v>
      </c>
      <c r="K1358" t="s">
        <v>724</v>
      </c>
      <c r="L1358">
        <v>3</v>
      </c>
      <c r="M1358" t="s">
        <v>2200</v>
      </c>
      <c r="N1358" t="s">
        <v>726</v>
      </c>
      <c r="O1358">
        <v>0</v>
      </c>
    </row>
    <row r="1359" spans="1:15" x14ac:dyDescent="0.3">
      <c r="A1359" t="s">
        <v>827</v>
      </c>
      <c r="B1359">
        <v>1408</v>
      </c>
      <c r="C1359">
        <v>658317844</v>
      </c>
      <c r="D1359">
        <v>384</v>
      </c>
      <c r="E1359">
        <v>443</v>
      </c>
      <c r="F1359">
        <v>1</v>
      </c>
      <c r="G1359">
        <v>47.4762376181436</v>
      </c>
      <c r="H1359">
        <v>2</v>
      </c>
      <c r="I1359">
        <v>35</v>
      </c>
      <c r="K1359" t="s">
        <v>724</v>
      </c>
      <c r="L1359">
        <v>3</v>
      </c>
      <c r="M1359" t="s">
        <v>2201</v>
      </c>
      <c r="N1359" t="s">
        <v>726</v>
      </c>
      <c r="O1359">
        <v>0</v>
      </c>
    </row>
    <row r="1360" spans="1:15" x14ac:dyDescent="0.3">
      <c r="A1360" t="s">
        <v>827</v>
      </c>
      <c r="B1360">
        <v>1409</v>
      </c>
      <c r="C1360">
        <v>658319722</v>
      </c>
      <c r="D1360">
        <v>370</v>
      </c>
      <c r="E1360">
        <v>601</v>
      </c>
      <c r="F1360">
        <v>1</v>
      </c>
      <c r="G1360">
        <v>183.22751228036</v>
      </c>
      <c r="H1360">
        <v>2</v>
      </c>
      <c r="I1360">
        <v>35</v>
      </c>
      <c r="K1360" t="s">
        <v>724</v>
      </c>
      <c r="L1360">
        <v>3</v>
      </c>
      <c r="M1360" t="s">
        <v>2202</v>
      </c>
      <c r="N1360" t="s">
        <v>726</v>
      </c>
      <c r="O1360">
        <v>0</v>
      </c>
    </row>
    <row r="1361" spans="1:15" x14ac:dyDescent="0.3">
      <c r="A1361" t="s">
        <v>827</v>
      </c>
      <c r="B1361">
        <v>1410</v>
      </c>
      <c r="C1361">
        <v>658319722</v>
      </c>
      <c r="D1361">
        <v>601</v>
      </c>
      <c r="E1361">
        <v>456</v>
      </c>
      <c r="F1361">
        <v>1</v>
      </c>
      <c r="G1361">
        <v>169.087678764656</v>
      </c>
      <c r="H1361">
        <v>2</v>
      </c>
      <c r="I1361">
        <v>35</v>
      </c>
      <c r="K1361" t="s">
        <v>724</v>
      </c>
      <c r="L1361">
        <v>3</v>
      </c>
      <c r="M1361" t="s">
        <v>2203</v>
      </c>
      <c r="N1361" t="s">
        <v>726</v>
      </c>
      <c r="O1361">
        <v>0</v>
      </c>
    </row>
    <row r="1362" spans="1:15" x14ac:dyDescent="0.3">
      <c r="A1362" t="s">
        <v>858</v>
      </c>
      <c r="B1362">
        <v>1411</v>
      </c>
      <c r="C1362">
        <v>658319978</v>
      </c>
      <c r="D1362">
        <v>357</v>
      </c>
      <c r="E1362">
        <v>189</v>
      </c>
      <c r="F1362">
        <v>1</v>
      </c>
      <c r="G1362">
        <v>116.13004656774299</v>
      </c>
      <c r="H1362">
        <v>2</v>
      </c>
      <c r="I1362">
        <v>30</v>
      </c>
      <c r="K1362" t="s">
        <v>724</v>
      </c>
      <c r="L1362">
        <v>3</v>
      </c>
      <c r="M1362" t="s">
        <v>2204</v>
      </c>
      <c r="N1362" t="s">
        <v>726</v>
      </c>
      <c r="O1362">
        <v>0</v>
      </c>
    </row>
    <row r="1363" spans="1:15" x14ac:dyDescent="0.3">
      <c r="A1363" t="s">
        <v>1161</v>
      </c>
      <c r="B1363">
        <v>1412</v>
      </c>
      <c r="C1363">
        <v>663021916</v>
      </c>
      <c r="D1363">
        <v>590</v>
      </c>
      <c r="E1363">
        <v>1962</v>
      </c>
      <c r="F1363">
        <v>1</v>
      </c>
      <c r="G1363">
        <v>15.2274936887246</v>
      </c>
      <c r="H1363">
        <v>1</v>
      </c>
      <c r="I1363">
        <v>25</v>
      </c>
      <c r="K1363" t="s">
        <v>729</v>
      </c>
      <c r="L1363">
        <v>6</v>
      </c>
      <c r="M1363" t="s">
        <v>2205</v>
      </c>
      <c r="N1363" t="s">
        <v>726</v>
      </c>
      <c r="O1363">
        <v>1</v>
      </c>
    </row>
    <row r="1364" spans="1:15" x14ac:dyDescent="0.3">
      <c r="A1364" t="s">
        <v>1161</v>
      </c>
      <c r="B1364">
        <v>1413</v>
      </c>
      <c r="C1364">
        <v>663021916</v>
      </c>
      <c r="D1364">
        <v>1962</v>
      </c>
      <c r="E1364">
        <v>590</v>
      </c>
      <c r="F1364">
        <v>1</v>
      </c>
      <c r="G1364">
        <v>15.2274936887246</v>
      </c>
      <c r="H1364">
        <v>1</v>
      </c>
      <c r="I1364">
        <v>25</v>
      </c>
      <c r="K1364" t="s">
        <v>729</v>
      </c>
      <c r="L1364">
        <v>6</v>
      </c>
      <c r="M1364" t="s">
        <v>2206</v>
      </c>
      <c r="N1364" t="s">
        <v>726</v>
      </c>
      <c r="O1364">
        <v>1</v>
      </c>
    </row>
    <row r="1365" spans="1:15" x14ac:dyDescent="0.3">
      <c r="A1365" t="s">
        <v>1161</v>
      </c>
      <c r="B1365">
        <v>1416</v>
      </c>
      <c r="C1365">
        <v>663021916</v>
      </c>
      <c r="D1365">
        <v>1962</v>
      </c>
      <c r="E1365">
        <v>729</v>
      </c>
      <c r="F1365">
        <v>1</v>
      </c>
      <c r="G1365">
        <v>105.820269444716</v>
      </c>
      <c r="H1365">
        <v>1</v>
      </c>
      <c r="I1365">
        <v>25</v>
      </c>
      <c r="K1365" t="s">
        <v>729</v>
      </c>
      <c r="L1365">
        <v>6</v>
      </c>
      <c r="M1365" t="s">
        <v>2207</v>
      </c>
      <c r="N1365" t="s">
        <v>726</v>
      </c>
      <c r="O1365">
        <v>1</v>
      </c>
    </row>
    <row r="1366" spans="1:15" x14ac:dyDescent="0.3">
      <c r="A1366" t="s">
        <v>1161</v>
      </c>
      <c r="B1366">
        <v>1417</v>
      </c>
      <c r="C1366">
        <v>663021916</v>
      </c>
      <c r="D1366">
        <v>729</v>
      </c>
      <c r="E1366">
        <v>1962</v>
      </c>
      <c r="F1366">
        <v>1</v>
      </c>
      <c r="G1366">
        <v>105.820269444716</v>
      </c>
      <c r="H1366">
        <v>1</v>
      </c>
      <c r="I1366">
        <v>25</v>
      </c>
      <c r="K1366" t="s">
        <v>729</v>
      </c>
      <c r="L1366">
        <v>6</v>
      </c>
      <c r="M1366" t="s">
        <v>2208</v>
      </c>
      <c r="N1366" t="s">
        <v>726</v>
      </c>
      <c r="O1366">
        <v>1</v>
      </c>
    </row>
    <row r="1367" spans="1:15" x14ac:dyDescent="0.3">
      <c r="A1367" t="s">
        <v>1161</v>
      </c>
      <c r="B1367">
        <v>1418</v>
      </c>
      <c r="C1367">
        <v>663021917</v>
      </c>
      <c r="D1367">
        <v>752</v>
      </c>
      <c r="E1367">
        <v>590</v>
      </c>
      <c r="F1367">
        <v>1</v>
      </c>
      <c r="G1367">
        <v>47.982514632282502</v>
      </c>
      <c r="H1367">
        <v>1</v>
      </c>
      <c r="I1367">
        <v>25</v>
      </c>
      <c r="K1367" t="s">
        <v>729</v>
      </c>
      <c r="L1367">
        <v>6</v>
      </c>
      <c r="M1367" t="s">
        <v>2209</v>
      </c>
      <c r="N1367" t="s">
        <v>726</v>
      </c>
      <c r="O1367">
        <v>1</v>
      </c>
    </row>
    <row r="1368" spans="1:15" x14ac:dyDescent="0.3">
      <c r="A1368" t="s">
        <v>1161</v>
      </c>
      <c r="B1368">
        <v>1419</v>
      </c>
      <c r="C1368">
        <v>663021917</v>
      </c>
      <c r="D1368">
        <v>590</v>
      </c>
      <c r="E1368">
        <v>752</v>
      </c>
      <c r="F1368">
        <v>1</v>
      </c>
      <c r="G1368">
        <v>47.982514632282502</v>
      </c>
      <c r="H1368">
        <v>1</v>
      </c>
      <c r="I1368">
        <v>25</v>
      </c>
      <c r="K1368" t="s">
        <v>729</v>
      </c>
      <c r="L1368">
        <v>6</v>
      </c>
      <c r="M1368" t="s">
        <v>2210</v>
      </c>
      <c r="N1368" t="s">
        <v>726</v>
      </c>
      <c r="O1368">
        <v>1</v>
      </c>
    </row>
    <row r="1369" spans="1:15" x14ac:dyDescent="0.3">
      <c r="A1369" t="s">
        <v>1352</v>
      </c>
      <c r="B1369">
        <v>1420</v>
      </c>
      <c r="C1369">
        <v>670986088</v>
      </c>
      <c r="D1369">
        <v>696</v>
      </c>
      <c r="E1369">
        <v>326</v>
      </c>
      <c r="F1369">
        <v>1</v>
      </c>
      <c r="G1369">
        <v>23.677859383596399</v>
      </c>
      <c r="H1369">
        <v>1</v>
      </c>
      <c r="K1369" t="s">
        <v>880</v>
      </c>
      <c r="L1369">
        <v>11</v>
      </c>
      <c r="M1369" t="s">
        <v>2211</v>
      </c>
      <c r="N1369" t="s">
        <v>726</v>
      </c>
      <c r="O1369">
        <v>1</v>
      </c>
    </row>
    <row r="1370" spans="1:15" x14ac:dyDescent="0.3">
      <c r="A1370" t="s">
        <v>1352</v>
      </c>
      <c r="B1370">
        <v>1421</v>
      </c>
      <c r="C1370">
        <v>670986088</v>
      </c>
      <c r="D1370">
        <v>326</v>
      </c>
      <c r="E1370">
        <v>696</v>
      </c>
      <c r="F1370">
        <v>1</v>
      </c>
      <c r="G1370">
        <v>23.677859383596399</v>
      </c>
      <c r="H1370">
        <v>1</v>
      </c>
      <c r="K1370" t="s">
        <v>880</v>
      </c>
      <c r="L1370">
        <v>11</v>
      </c>
      <c r="M1370" t="s">
        <v>2212</v>
      </c>
      <c r="N1370" t="s">
        <v>726</v>
      </c>
      <c r="O1370">
        <v>1</v>
      </c>
    </row>
    <row r="1371" spans="1:15" x14ac:dyDescent="0.3">
      <c r="A1371" t="s">
        <v>1352</v>
      </c>
      <c r="B1371">
        <v>1422</v>
      </c>
      <c r="C1371">
        <v>670986089</v>
      </c>
      <c r="D1371">
        <v>299</v>
      </c>
      <c r="E1371">
        <v>695</v>
      </c>
      <c r="F1371">
        <v>1</v>
      </c>
      <c r="G1371">
        <v>16.186056582820299</v>
      </c>
      <c r="H1371">
        <v>1</v>
      </c>
      <c r="K1371" t="s">
        <v>880</v>
      </c>
      <c r="L1371">
        <v>11</v>
      </c>
      <c r="M1371" t="s">
        <v>2213</v>
      </c>
      <c r="N1371" t="s">
        <v>726</v>
      </c>
      <c r="O1371">
        <v>1</v>
      </c>
    </row>
    <row r="1372" spans="1:15" x14ac:dyDescent="0.3">
      <c r="A1372" t="s">
        <v>1352</v>
      </c>
      <c r="B1372">
        <v>1423</v>
      </c>
      <c r="C1372">
        <v>670986089</v>
      </c>
      <c r="D1372">
        <v>695</v>
      </c>
      <c r="E1372">
        <v>299</v>
      </c>
      <c r="F1372">
        <v>1</v>
      </c>
      <c r="G1372">
        <v>16.186056582820299</v>
      </c>
      <c r="H1372">
        <v>1</v>
      </c>
      <c r="K1372" t="s">
        <v>880</v>
      </c>
      <c r="L1372">
        <v>11</v>
      </c>
      <c r="M1372" t="s">
        <v>2214</v>
      </c>
      <c r="N1372" t="s">
        <v>726</v>
      </c>
      <c r="O1372">
        <v>1</v>
      </c>
    </row>
    <row r="1373" spans="1:15" x14ac:dyDescent="0.3">
      <c r="A1373" t="s">
        <v>1349</v>
      </c>
      <c r="B1373">
        <v>1424</v>
      </c>
      <c r="C1373">
        <v>670986090</v>
      </c>
      <c r="D1373">
        <v>300</v>
      </c>
      <c r="E1373">
        <v>698</v>
      </c>
      <c r="F1373">
        <v>1</v>
      </c>
      <c r="G1373">
        <v>29.3931736890843</v>
      </c>
      <c r="H1373">
        <v>1</v>
      </c>
      <c r="K1373" t="s">
        <v>880</v>
      </c>
      <c r="L1373">
        <v>11</v>
      </c>
      <c r="M1373" t="s">
        <v>2215</v>
      </c>
      <c r="N1373" t="s">
        <v>726</v>
      </c>
      <c r="O1373">
        <v>1</v>
      </c>
    </row>
    <row r="1374" spans="1:15" x14ac:dyDescent="0.3">
      <c r="A1374" t="s">
        <v>1349</v>
      </c>
      <c r="B1374">
        <v>1425</v>
      </c>
      <c r="C1374">
        <v>670986090</v>
      </c>
      <c r="D1374">
        <v>698</v>
      </c>
      <c r="E1374">
        <v>300</v>
      </c>
      <c r="F1374">
        <v>1</v>
      </c>
      <c r="G1374">
        <v>29.3931736890843</v>
      </c>
      <c r="H1374">
        <v>1</v>
      </c>
      <c r="K1374" t="s">
        <v>880</v>
      </c>
      <c r="L1374">
        <v>11</v>
      </c>
      <c r="M1374" t="s">
        <v>2216</v>
      </c>
      <c r="N1374" t="s">
        <v>726</v>
      </c>
      <c r="O1374">
        <v>1</v>
      </c>
    </row>
    <row r="1375" spans="1:15" x14ac:dyDescent="0.3">
      <c r="A1375" t="s">
        <v>1349</v>
      </c>
      <c r="B1375">
        <v>1426</v>
      </c>
      <c r="C1375">
        <v>670986091</v>
      </c>
      <c r="D1375">
        <v>697</v>
      </c>
      <c r="E1375">
        <v>1967</v>
      </c>
      <c r="F1375">
        <v>1</v>
      </c>
      <c r="G1375">
        <v>12.263923278636801</v>
      </c>
      <c r="H1375">
        <v>1</v>
      </c>
      <c r="K1375" t="s">
        <v>880</v>
      </c>
      <c r="L1375">
        <v>11</v>
      </c>
      <c r="M1375" t="s">
        <v>2217</v>
      </c>
      <c r="N1375" t="s">
        <v>726</v>
      </c>
      <c r="O1375">
        <v>1</v>
      </c>
    </row>
    <row r="1376" spans="1:15" x14ac:dyDescent="0.3">
      <c r="A1376" t="s">
        <v>1349</v>
      </c>
      <c r="B1376">
        <v>1427</v>
      </c>
      <c r="C1376">
        <v>670986091</v>
      </c>
      <c r="D1376">
        <v>1967</v>
      </c>
      <c r="E1376">
        <v>697</v>
      </c>
      <c r="F1376">
        <v>1</v>
      </c>
      <c r="G1376">
        <v>12.263923278636801</v>
      </c>
      <c r="H1376">
        <v>1</v>
      </c>
      <c r="K1376" t="s">
        <v>880</v>
      </c>
      <c r="L1376">
        <v>11</v>
      </c>
      <c r="M1376" t="s">
        <v>2218</v>
      </c>
      <c r="N1376" t="s">
        <v>726</v>
      </c>
      <c r="O1376">
        <v>1</v>
      </c>
    </row>
    <row r="1377" spans="1:15" x14ac:dyDescent="0.3">
      <c r="A1377" t="s">
        <v>1346</v>
      </c>
      <c r="B1377">
        <v>1428</v>
      </c>
      <c r="C1377">
        <v>670986092</v>
      </c>
      <c r="D1377">
        <v>699</v>
      </c>
      <c r="E1377">
        <v>302</v>
      </c>
      <c r="F1377">
        <v>1</v>
      </c>
      <c r="G1377">
        <v>14.933703179731401</v>
      </c>
      <c r="H1377">
        <v>1</v>
      </c>
      <c r="K1377" t="s">
        <v>880</v>
      </c>
      <c r="L1377">
        <v>11</v>
      </c>
      <c r="M1377" t="s">
        <v>2219</v>
      </c>
      <c r="N1377" t="s">
        <v>726</v>
      </c>
      <c r="O1377">
        <v>1</v>
      </c>
    </row>
    <row r="1378" spans="1:15" x14ac:dyDescent="0.3">
      <c r="A1378" t="s">
        <v>1346</v>
      </c>
      <c r="B1378">
        <v>1429</v>
      </c>
      <c r="C1378">
        <v>670986092</v>
      </c>
      <c r="D1378">
        <v>302</v>
      </c>
      <c r="E1378">
        <v>699</v>
      </c>
      <c r="F1378">
        <v>1</v>
      </c>
      <c r="G1378">
        <v>14.933703179731401</v>
      </c>
      <c r="H1378">
        <v>1</v>
      </c>
      <c r="K1378" t="s">
        <v>880</v>
      </c>
      <c r="L1378">
        <v>11</v>
      </c>
      <c r="M1378" t="s">
        <v>2220</v>
      </c>
      <c r="N1378" t="s">
        <v>726</v>
      </c>
      <c r="O1378">
        <v>1</v>
      </c>
    </row>
    <row r="1379" spans="1:15" x14ac:dyDescent="0.3">
      <c r="A1379" t="s">
        <v>1346</v>
      </c>
      <c r="B1379">
        <v>1430</v>
      </c>
      <c r="C1379">
        <v>670986093</v>
      </c>
      <c r="D1379">
        <v>301</v>
      </c>
      <c r="E1379">
        <v>700</v>
      </c>
      <c r="F1379">
        <v>1</v>
      </c>
      <c r="G1379">
        <v>14.6298797675349</v>
      </c>
      <c r="H1379">
        <v>1</v>
      </c>
      <c r="K1379" t="s">
        <v>880</v>
      </c>
      <c r="L1379">
        <v>11</v>
      </c>
      <c r="M1379" t="s">
        <v>2221</v>
      </c>
      <c r="N1379" t="s">
        <v>726</v>
      </c>
      <c r="O1379">
        <v>1</v>
      </c>
    </row>
    <row r="1380" spans="1:15" x14ac:dyDescent="0.3">
      <c r="A1380" t="s">
        <v>1346</v>
      </c>
      <c r="B1380">
        <v>1431</v>
      </c>
      <c r="C1380">
        <v>670986093</v>
      </c>
      <c r="D1380">
        <v>700</v>
      </c>
      <c r="E1380">
        <v>301</v>
      </c>
      <c r="F1380">
        <v>1</v>
      </c>
      <c r="G1380">
        <v>14.6298797675349</v>
      </c>
      <c r="H1380">
        <v>1</v>
      </c>
      <c r="K1380" t="s">
        <v>880</v>
      </c>
      <c r="L1380">
        <v>11</v>
      </c>
      <c r="M1380" t="s">
        <v>2222</v>
      </c>
      <c r="N1380" t="s">
        <v>726</v>
      </c>
      <c r="O1380">
        <v>1</v>
      </c>
    </row>
    <row r="1381" spans="1:15" x14ac:dyDescent="0.3">
      <c r="B1381">
        <v>1432</v>
      </c>
      <c r="C1381">
        <v>687275943</v>
      </c>
      <c r="D1381">
        <v>701</v>
      </c>
      <c r="E1381">
        <v>665</v>
      </c>
      <c r="F1381">
        <v>1</v>
      </c>
      <c r="G1381">
        <v>149.602842736577</v>
      </c>
      <c r="H1381">
        <v>1</v>
      </c>
      <c r="K1381" t="s">
        <v>729</v>
      </c>
      <c r="L1381">
        <v>6</v>
      </c>
      <c r="M1381" t="s">
        <v>2223</v>
      </c>
      <c r="N1381" t="s">
        <v>726</v>
      </c>
      <c r="O1381">
        <v>1</v>
      </c>
    </row>
    <row r="1382" spans="1:15" x14ac:dyDescent="0.3">
      <c r="B1382">
        <v>1433</v>
      </c>
      <c r="C1382">
        <v>687275943</v>
      </c>
      <c r="D1382">
        <v>665</v>
      </c>
      <c r="E1382">
        <v>701</v>
      </c>
      <c r="F1382">
        <v>1</v>
      </c>
      <c r="G1382">
        <v>149.602842736577</v>
      </c>
      <c r="H1382">
        <v>1</v>
      </c>
      <c r="K1382" t="s">
        <v>729</v>
      </c>
      <c r="L1382">
        <v>6</v>
      </c>
      <c r="M1382" t="s">
        <v>2224</v>
      </c>
      <c r="N1382" t="s">
        <v>726</v>
      </c>
      <c r="O1382">
        <v>1</v>
      </c>
    </row>
    <row r="1383" spans="1:15" x14ac:dyDescent="0.3">
      <c r="B1383">
        <v>1434</v>
      </c>
      <c r="C1383">
        <v>687275943</v>
      </c>
      <c r="D1383">
        <v>665</v>
      </c>
      <c r="E1383">
        <v>702</v>
      </c>
      <c r="F1383">
        <v>1</v>
      </c>
      <c r="G1383">
        <v>17.915571596022598</v>
      </c>
      <c r="H1383">
        <v>1</v>
      </c>
      <c r="K1383" t="s">
        <v>729</v>
      </c>
      <c r="L1383">
        <v>6</v>
      </c>
      <c r="M1383" t="s">
        <v>2225</v>
      </c>
      <c r="N1383" t="s">
        <v>726</v>
      </c>
      <c r="O1383">
        <v>1</v>
      </c>
    </row>
    <row r="1384" spans="1:15" x14ac:dyDescent="0.3">
      <c r="B1384">
        <v>1435</v>
      </c>
      <c r="C1384">
        <v>687275943</v>
      </c>
      <c r="D1384">
        <v>702</v>
      </c>
      <c r="E1384">
        <v>665</v>
      </c>
      <c r="F1384">
        <v>1</v>
      </c>
      <c r="G1384">
        <v>17.915571596022598</v>
      </c>
      <c r="H1384">
        <v>1</v>
      </c>
      <c r="K1384" t="s">
        <v>729</v>
      </c>
      <c r="L1384">
        <v>6</v>
      </c>
      <c r="M1384" t="s">
        <v>2226</v>
      </c>
      <c r="N1384" t="s">
        <v>726</v>
      </c>
      <c r="O1384">
        <v>1</v>
      </c>
    </row>
    <row r="1385" spans="1:15" x14ac:dyDescent="0.3">
      <c r="B1385">
        <v>1436</v>
      </c>
      <c r="C1385">
        <v>687275944</v>
      </c>
      <c r="D1385">
        <v>702</v>
      </c>
      <c r="E1385">
        <v>684</v>
      </c>
      <c r="F1385">
        <v>1</v>
      </c>
      <c r="G1385">
        <v>18.699198454288101</v>
      </c>
      <c r="H1385">
        <v>1</v>
      </c>
      <c r="K1385" t="s">
        <v>729</v>
      </c>
      <c r="L1385">
        <v>6</v>
      </c>
      <c r="M1385" t="s">
        <v>2227</v>
      </c>
      <c r="N1385" t="s">
        <v>726</v>
      </c>
      <c r="O1385">
        <v>1</v>
      </c>
    </row>
    <row r="1386" spans="1:15" x14ac:dyDescent="0.3">
      <c r="B1386">
        <v>1437</v>
      </c>
      <c r="C1386">
        <v>687275944</v>
      </c>
      <c r="D1386">
        <v>684</v>
      </c>
      <c r="E1386">
        <v>702</v>
      </c>
      <c r="F1386">
        <v>1</v>
      </c>
      <c r="G1386">
        <v>18.699198454288101</v>
      </c>
      <c r="H1386">
        <v>1</v>
      </c>
      <c r="K1386" t="s">
        <v>729</v>
      </c>
      <c r="L1386">
        <v>6</v>
      </c>
      <c r="M1386" t="s">
        <v>2228</v>
      </c>
      <c r="N1386" t="s">
        <v>726</v>
      </c>
      <c r="O1386">
        <v>1</v>
      </c>
    </row>
    <row r="1387" spans="1:15" x14ac:dyDescent="0.3">
      <c r="B1387">
        <v>1438</v>
      </c>
      <c r="C1387">
        <v>687275944</v>
      </c>
      <c r="D1387">
        <v>684</v>
      </c>
      <c r="E1387">
        <v>703</v>
      </c>
      <c r="F1387">
        <v>1</v>
      </c>
      <c r="G1387">
        <v>21.567342494613399</v>
      </c>
      <c r="H1387">
        <v>1</v>
      </c>
      <c r="K1387" t="s">
        <v>729</v>
      </c>
      <c r="L1387">
        <v>6</v>
      </c>
      <c r="M1387" t="s">
        <v>2229</v>
      </c>
      <c r="N1387" t="s">
        <v>726</v>
      </c>
      <c r="O1387">
        <v>1</v>
      </c>
    </row>
    <row r="1388" spans="1:15" x14ac:dyDescent="0.3">
      <c r="B1388">
        <v>1439</v>
      </c>
      <c r="C1388">
        <v>687275944</v>
      </c>
      <c r="D1388">
        <v>703</v>
      </c>
      <c r="E1388">
        <v>684</v>
      </c>
      <c r="F1388">
        <v>1</v>
      </c>
      <c r="G1388">
        <v>21.567342494613399</v>
      </c>
      <c r="H1388">
        <v>1</v>
      </c>
      <c r="K1388" t="s">
        <v>729</v>
      </c>
      <c r="L1388">
        <v>6</v>
      </c>
      <c r="M1388" t="s">
        <v>2230</v>
      </c>
      <c r="N1388" t="s">
        <v>726</v>
      </c>
      <c r="O1388">
        <v>1</v>
      </c>
    </row>
    <row r="1389" spans="1:15" x14ac:dyDescent="0.3">
      <c r="B1389">
        <v>1440</v>
      </c>
      <c r="C1389">
        <v>687275945</v>
      </c>
      <c r="D1389">
        <v>666</v>
      </c>
      <c r="E1389">
        <v>663</v>
      </c>
      <c r="F1389">
        <v>1</v>
      </c>
      <c r="G1389">
        <v>9.9394897635479307</v>
      </c>
      <c r="H1389">
        <v>1</v>
      </c>
      <c r="K1389" t="s">
        <v>729</v>
      </c>
      <c r="L1389">
        <v>6</v>
      </c>
      <c r="M1389" t="s">
        <v>2231</v>
      </c>
      <c r="N1389" t="s">
        <v>726</v>
      </c>
      <c r="O1389">
        <v>1</v>
      </c>
    </row>
    <row r="1390" spans="1:15" x14ac:dyDescent="0.3">
      <c r="B1390">
        <v>1441</v>
      </c>
      <c r="C1390">
        <v>687275945</v>
      </c>
      <c r="D1390">
        <v>663</v>
      </c>
      <c r="E1390">
        <v>666</v>
      </c>
      <c r="F1390">
        <v>1</v>
      </c>
      <c r="G1390">
        <v>9.9394897635479307</v>
      </c>
      <c r="H1390">
        <v>1</v>
      </c>
      <c r="K1390" t="s">
        <v>729</v>
      </c>
      <c r="L1390">
        <v>6</v>
      </c>
      <c r="M1390" t="s">
        <v>2232</v>
      </c>
      <c r="N1390" t="s">
        <v>726</v>
      </c>
      <c r="O1390">
        <v>1</v>
      </c>
    </row>
    <row r="1391" spans="1:15" x14ac:dyDescent="0.3">
      <c r="B1391">
        <v>1442</v>
      </c>
      <c r="C1391">
        <v>687275945</v>
      </c>
      <c r="D1391">
        <v>663</v>
      </c>
      <c r="E1391">
        <v>701</v>
      </c>
      <c r="F1391">
        <v>1</v>
      </c>
      <c r="G1391">
        <v>9.2800442690538301</v>
      </c>
      <c r="H1391">
        <v>1</v>
      </c>
      <c r="K1391" t="s">
        <v>729</v>
      </c>
      <c r="L1391">
        <v>6</v>
      </c>
      <c r="M1391" t="s">
        <v>2233</v>
      </c>
      <c r="N1391" t="s">
        <v>726</v>
      </c>
      <c r="O1391">
        <v>1</v>
      </c>
    </row>
    <row r="1392" spans="1:15" x14ac:dyDescent="0.3">
      <c r="B1392">
        <v>1443</v>
      </c>
      <c r="C1392">
        <v>687275945</v>
      </c>
      <c r="D1392">
        <v>701</v>
      </c>
      <c r="E1392">
        <v>663</v>
      </c>
      <c r="F1392">
        <v>1</v>
      </c>
      <c r="G1392">
        <v>9.2800442690538301</v>
      </c>
      <c r="H1392">
        <v>1</v>
      </c>
      <c r="K1392" t="s">
        <v>729</v>
      </c>
      <c r="L1392">
        <v>6</v>
      </c>
      <c r="M1392" t="s">
        <v>2234</v>
      </c>
      <c r="N1392" t="s">
        <v>726</v>
      </c>
      <c r="O1392">
        <v>1</v>
      </c>
    </row>
    <row r="1393" spans="1:15" x14ac:dyDescent="0.3">
      <c r="A1393" t="s">
        <v>988</v>
      </c>
      <c r="B1393">
        <v>1444</v>
      </c>
      <c r="C1393">
        <v>692089611</v>
      </c>
      <c r="D1393">
        <v>76</v>
      </c>
      <c r="E1393">
        <v>567</v>
      </c>
      <c r="F1393">
        <v>1</v>
      </c>
      <c r="G1393">
        <v>90.3746880745026</v>
      </c>
      <c r="H1393">
        <v>3</v>
      </c>
      <c r="K1393" t="s">
        <v>890</v>
      </c>
      <c r="L1393">
        <v>4</v>
      </c>
      <c r="M1393" t="s">
        <v>2235</v>
      </c>
      <c r="N1393" t="s">
        <v>726</v>
      </c>
      <c r="O1393">
        <v>1</v>
      </c>
    </row>
    <row r="1394" spans="1:15" x14ac:dyDescent="0.3">
      <c r="A1394" t="s">
        <v>988</v>
      </c>
      <c r="B1394">
        <v>1445</v>
      </c>
      <c r="C1394">
        <v>692089611</v>
      </c>
      <c r="D1394">
        <v>567</v>
      </c>
      <c r="E1394">
        <v>76</v>
      </c>
      <c r="F1394">
        <v>1</v>
      </c>
      <c r="G1394">
        <v>90.3746880745026</v>
      </c>
      <c r="H1394">
        <v>2</v>
      </c>
      <c r="K1394" t="s">
        <v>890</v>
      </c>
      <c r="L1394">
        <v>4</v>
      </c>
      <c r="M1394" t="s">
        <v>2236</v>
      </c>
      <c r="N1394" t="s">
        <v>726</v>
      </c>
      <c r="O1394">
        <v>1</v>
      </c>
    </row>
    <row r="1395" spans="1:15" x14ac:dyDescent="0.3">
      <c r="A1395" t="s">
        <v>988</v>
      </c>
      <c r="B1395">
        <v>1446</v>
      </c>
      <c r="C1395">
        <v>692089612</v>
      </c>
      <c r="D1395">
        <v>76</v>
      </c>
      <c r="E1395">
        <v>162</v>
      </c>
      <c r="F1395">
        <v>1</v>
      </c>
      <c r="G1395">
        <v>98.542754326385307</v>
      </c>
      <c r="H1395">
        <v>3</v>
      </c>
      <c r="K1395" t="s">
        <v>890</v>
      </c>
      <c r="L1395">
        <v>4</v>
      </c>
      <c r="M1395" t="s">
        <v>2237</v>
      </c>
      <c r="N1395" t="s">
        <v>726</v>
      </c>
      <c r="O1395">
        <v>0</v>
      </c>
    </row>
    <row r="1396" spans="1:15" x14ac:dyDescent="0.3">
      <c r="A1396" t="s">
        <v>988</v>
      </c>
      <c r="B1396">
        <v>1447</v>
      </c>
      <c r="C1396">
        <v>692089612</v>
      </c>
      <c r="D1396">
        <v>162</v>
      </c>
      <c r="E1396">
        <v>149</v>
      </c>
      <c r="F1396">
        <v>1</v>
      </c>
      <c r="G1396">
        <v>101.454665706046</v>
      </c>
      <c r="H1396">
        <v>3</v>
      </c>
      <c r="K1396" t="s">
        <v>890</v>
      </c>
      <c r="L1396">
        <v>4</v>
      </c>
      <c r="M1396" t="s">
        <v>2238</v>
      </c>
      <c r="N1396" t="s">
        <v>726</v>
      </c>
      <c r="O1396">
        <v>0</v>
      </c>
    </row>
    <row r="1397" spans="1:15" x14ac:dyDescent="0.3">
      <c r="A1397" t="s">
        <v>988</v>
      </c>
      <c r="B1397">
        <v>1448</v>
      </c>
      <c r="C1397">
        <v>692089612</v>
      </c>
      <c r="D1397">
        <v>149</v>
      </c>
      <c r="E1397">
        <v>60</v>
      </c>
      <c r="F1397">
        <v>1</v>
      </c>
      <c r="G1397">
        <v>94.299745967307103</v>
      </c>
      <c r="H1397">
        <v>3</v>
      </c>
      <c r="K1397" t="s">
        <v>890</v>
      </c>
      <c r="L1397">
        <v>4</v>
      </c>
      <c r="M1397" t="s">
        <v>2239</v>
      </c>
      <c r="N1397" t="s">
        <v>726</v>
      </c>
      <c r="O1397">
        <v>0</v>
      </c>
    </row>
    <row r="1398" spans="1:15" x14ac:dyDescent="0.3">
      <c r="A1398" t="s">
        <v>988</v>
      </c>
      <c r="B1398">
        <v>1449</v>
      </c>
      <c r="C1398">
        <v>692089612</v>
      </c>
      <c r="D1398">
        <v>60</v>
      </c>
      <c r="E1398">
        <v>706</v>
      </c>
      <c r="F1398">
        <v>1</v>
      </c>
      <c r="G1398">
        <v>272.92142460147602</v>
      </c>
      <c r="H1398">
        <v>3</v>
      </c>
      <c r="K1398" t="s">
        <v>890</v>
      </c>
      <c r="L1398">
        <v>4</v>
      </c>
      <c r="M1398" t="s">
        <v>2240</v>
      </c>
      <c r="N1398" t="s">
        <v>726</v>
      </c>
      <c r="O1398">
        <v>0</v>
      </c>
    </row>
    <row r="1399" spans="1:15" x14ac:dyDescent="0.3">
      <c r="A1399" t="s">
        <v>988</v>
      </c>
      <c r="B1399">
        <v>1450</v>
      </c>
      <c r="C1399">
        <v>692089613</v>
      </c>
      <c r="D1399">
        <v>706</v>
      </c>
      <c r="E1399">
        <v>708</v>
      </c>
      <c r="F1399">
        <v>1</v>
      </c>
      <c r="G1399">
        <v>272.72713448394501</v>
      </c>
      <c r="H1399">
        <v>2</v>
      </c>
      <c r="K1399" t="s">
        <v>890</v>
      </c>
      <c r="L1399">
        <v>4</v>
      </c>
      <c r="M1399" t="s">
        <v>2241</v>
      </c>
      <c r="N1399" t="s">
        <v>726</v>
      </c>
      <c r="O1399">
        <v>0</v>
      </c>
    </row>
    <row r="1400" spans="1:15" x14ac:dyDescent="0.3">
      <c r="A1400" t="s">
        <v>988</v>
      </c>
      <c r="B1400">
        <v>1451</v>
      </c>
      <c r="C1400">
        <v>692089613</v>
      </c>
      <c r="D1400">
        <v>708</v>
      </c>
      <c r="E1400">
        <v>707</v>
      </c>
      <c r="F1400">
        <v>1</v>
      </c>
      <c r="G1400">
        <v>195.87870709148001</v>
      </c>
      <c r="H1400">
        <v>2</v>
      </c>
      <c r="K1400" t="s">
        <v>890</v>
      </c>
      <c r="L1400">
        <v>4</v>
      </c>
      <c r="M1400" t="s">
        <v>2242</v>
      </c>
      <c r="N1400" t="s">
        <v>726</v>
      </c>
      <c r="O1400">
        <v>0</v>
      </c>
    </row>
    <row r="1401" spans="1:15" x14ac:dyDescent="0.3">
      <c r="A1401" t="s">
        <v>988</v>
      </c>
      <c r="B1401">
        <v>1452</v>
      </c>
      <c r="C1401">
        <v>692089613</v>
      </c>
      <c r="D1401">
        <v>707</v>
      </c>
      <c r="E1401">
        <v>76</v>
      </c>
      <c r="F1401">
        <v>1</v>
      </c>
      <c r="G1401">
        <v>98.645948406860597</v>
      </c>
      <c r="H1401">
        <v>2</v>
      </c>
      <c r="K1401" t="s">
        <v>890</v>
      </c>
      <c r="L1401">
        <v>4</v>
      </c>
      <c r="M1401" t="s">
        <v>2243</v>
      </c>
      <c r="N1401" t="s">
        <v>726</v>
      </c>
      <c r="O1401">
        <v>0</v>
      </c>
    </row>
    <row r="1402" spans="1:15" x14ac:dyDescent="0.3">
      <c r="A1402" t="s">
        <v>1062</v>
      </c>
      <c r="B1402">
        <v>1453</v>
      </c>
      <c r="C1402">
        <v>692089614</v>
      </c>
      <c r="D1402">
        <v>709</v>
      </c>
      <c r="E1402">
        <v>248</v>
      </c>
      <c r="F1402">
        <v>1</v>
      </c>
      <c r="G1402">
        <v>244.17862336394401</v>
      </c>
      <c r="H1402">
        <v>1</v>
      </c>
      <c r="K1402" t="s">
        <v>729</v>
      </c>
      <c r="L1402">
        <v>6</v>
      </c>
      <c r="M1402" t="s">
        <v>2244</v>
      </c>
      <c r="N1402" t="s">
        <v>726</v>
      </c>
      <c r="O1402">
        <v>1</v>
      </c>
    </row>
    <row r="1403" spans="1:15" x14ac:dyDescent="0.3">
      <c r="A1403" t="s">
        <v>1062</v>
      </c>
      <c r="B1403">
        <v>1454</v>
      </c>
      <c r="C1403">
        <v>692089614</v>
      </c>
      <c r="D1403">
        <v>248</v>
      </c>
      <c r="E1403">
        <v>709</v>
      </c>
      <c r="F1403">
        <v>1</v>
      </c>
      <c r="G1403">
        <v>244.17862336394401</v>
      </c>
      <c r="H1403">
        <v>1</v>
      </c>
      <c r="K1403" t="s">
        <v>729</v>
      </c>
      <c r="L1403">
        <v>6</v>
      </c>
      <c r="M1403" t="s">
        <v>2245</v>
      </c>
      <c r="N1403" t="s">
        <v>726</v>
      </c>
      <c r="O1403">
        <v>1</v>
      </c>
    </row>
    <row r="1404" spans="1:15" x14ac:dyDescent="0.3">
      <c r="A1404" t="s">
        <v>1062</v>
      </c>
      <c r="B1404">
        <v>1455</v>
      </c>
      <c r="C1404">
        <v>692089615</v>
      </c>
      <c r="D1404">
        <v>709</v>
      </c>
      <c r="E1404">
        <v>424</v>
      </c>
      <c r="F1404">
        <v>1</v>
      </c>
      <c r="G1404">
        <v>44.706923914857299</v>
      </c>
      <c r="H1404">
        <v>1</v>
      </c>
      <c r="I1404">
        <v>25</v>
      </c>
      <c r="K1404" t="s">
        <v>729</v>
      </c>
      <c r="L1404">
        <v>6</v>
      </c>
      <c r="M1404" t="s">
        <v>2246</v>
      </c>
      <c r="N1404" t="s">
        <v>726</v>
      </c>
      <c r="O1404">
        <v>0</v>
      </c>
    </row>
    <row r="1405" spans="1:15" x14ac:dyDescent="0.3">
      <c r="A1405" t="s">
        <v>988</v>
      </c>
      <c r="B1405">
        <v>1456</v>
      </c>
      <c r="C1405">
        <v>692089616</v>
      </c>
      <c r="D1405">
        <v>378</v>
      </c>
      <c r="E1405">
        <v>160</v>
      </c>
      <c r="F1405">
        <v>1</v>
      </c>
      <c r="G1405">
        <v>49.661373376623601</v>
      </c>
      <c r="H1405">
        <v>3</v>
      </c>
      <c r="K1405" t="s">
        <v>890</v>
      </c>
      <c r="L1405">
        <v>4</v>
      </c>
      <c r="M1405" t="s">
        <v>2247</v>
      </c>
      <c r="N1405" t="s">
        <v>726</v>
      </c>
      <c r="O1405">
        <v>1</v>
      </c>
    </row>
    <row r="1406" spans="1:15" x14ac:dyDescent="0.3">
      <c r="A1406" t="s">
        <v>988</v>
      </c>
      <c r="B1406">
        <v>1457</v>
      </c>
      <c r="C1406">
        <v>692089616</v>
      </c>
      <c r="D1406">
        <v>160</v>
      </c>
      <c r="E1406">
        <v>378</v>
      </c>
      <c r="F1406">
        <v>1</v>
      </c>
      <c r="G1406">
        <v>49.661373376623601</v>
      </c>
      <c r="H1406">
        <v>2</v>
      </c>
      <c r="K1406" t="s">
        <v>890</v>
      </c>
      <c r="L1406">
        <v>4</v>
      </c>
      <c r="M1406" t="s">
        <v>2248</v>
      </c>
      <c r="N1406" t="s">
        <v>726</v>
      </c>
      <c r="O1406">
        <v>1</v>
      </c>
    </row>
    <row r="1407" spans="1:15" x14ac:dyDescent="0.3">
      <c r="A1407" t="s">
        <v>988</v>
      </c>
      <c r="B1407">
        <v>1458</v>
      </c>
      <c r="C1407">
        <v>692089616</v>
      </c>
      <c r="D1407">
        <v>160</v>
      </c>
      <c r="E1407">
        <v>526</v>
      </c>
      <c r="F1407">
        <v>1</v>
      </c>
      <c r="G1407">
        <v>50.729761895615297</v>
      </c>
      <c r="H1407">
        <v>3</v>
      </c>
      <c r="K1407" t="s">
        <v>890</v>
      </c>
      <c r="L1407">
        <v>4</v>
      </c>
      <c r="M1407" t="s">
        <v>2249</v>
      </c>
      <c r="N1407" t="s">
        <v>726</v>
      </c>
      <c r="O1407">
        <v>1</v>
      </c>
    </row>
    <row r="1408" spans="1:15" x14ac:dyDescent="0.3">
      <c r="A1408" t="s">
        <v>988</v>
      </c>
      <c r="B1408">
        <v>1459</v>
      </c>
      <c r="C1408">
        <v>692089616</v>
      </c>
      <c r="D1408">
        <v>526</v>
      </c>
      <c r="E1408">
        <v>160</v>
      </c>
      <c r="F1408">
        <v>1</v>
      </c>
      <c r="G1408">
        <v>50.729761895615297</v>
      </c>
      <c r="H1408">
        <v>2</v>
      </c>
      <c r="K1408" t="s">
        <v>890</v>
      </c>
      <c r="L1408">
        <v>4</v>
      </c>
      <c r="M1408" t="s">
        <v>2250</v>
      </c>
      <c r="N1408" t="s">
        <v>726</v>
      </c>
      <c r="O1408">
        <v>1</v>
      </c>
    </row>
    <row r="1409" spans="1:15" x14ac:dyDescent="0.3">
      <c r="A1409" t="s">
        <v>988</v>
      </c>
      <c r="B1409">
        <v>1460</v>
      </c>
      <c r="C1409">
        <v>692089617</v>
      </c>
      <c r="D1409">
        <v>692</v>
      </c>
      <c r="E1409">
        <v>159</v>
      </c>
      <c r="F1409">
        <v>1</v>
      </c>
      <c r="G1409">
        <v>21.120402214464701</v>
      </c>
      <c r="H1409">
        <v>3</v>
      </c>
      <c r="K1409" t="s">
        <v>890</v>
      </c>
      <c r="L1409">
        <v>4</v>
      </c>
      <c r="M1409" t="s">
        <v>2251</v>
      </c>
      <c r="N1409" t="s">
        <v>726</v>
      </c>
      <c r="O1409">
        <v>1</v>
      </c>
    </row>
    <row r="1410" spans="1:15" x14ac:dyDescent="0.3">
      <c r="A1410" t="s">
        <v>988</v>
      </c>
      <c r="B1410">
        <v>1461</v>
      </c>
      <c r="C1410">
        <v>692089617</v>
      </c>
      <c r="D1410">
        <v>159</v>
      </c>
      <c r="E1410">
        <v>692</v>
      </c>
      <c r="F1410">
        <v>1</v>
      </c>
      <c r="G1410">
        <v>21.120402214464701</v>
      </c>
      <c r="H1410">
        <v>2</v>
      </c>
      <c r="K1410" t="s">
        <v>890</v>
      </c>
      <c r="L1410">
        <v>4</v>
      </c>
      <c r="M1410" t="s">
        <v>2252</v>
      </c>
      <c r="N1410" t="s">
        <v>726</v>
      </c>
      <c r="O1410">
        <v>1</v>
      </c>
    </row>
    <row r="1411" spans="1:15" x14ac:dyDescent="0.3">
      <c r="A1411" t="s">
        <v>988</v>
      </c>
      <c r="B1411">
        <v>1462</v>
      </c>
      <c r="C1411">
        <v>692089618</v>
      </c>
      <c r="D1411">
        <v>378</v>
      </c>
      <c r="E1411">
        <v>159</v>
      </c>
      <c r="F1411">
        <v>1</v>
      </c>
      <c r="G1411">
        <v>170.29841041752701</v>
      </c>
      <c r="H1411">
        <v>2</v>
      </c>
      <c r="K1411" t="s">
        <v>890</v>
      </c>
      <c r="L1411">
        <v>4</v>
      </c>
      <c r="M1411" t="s">
        <v>2253</v>
      </c>
      <c r="N1411" t="s">
        <v>726</v>
      </c>
      <c r="O1411">
        <v>0</v>
      </c>
    </row>
    <row r="1412" spans="1:15" x14ac:dyDescent="0.3">
      <c r="A1412" t="s">
        <v>988</v>
      </c>
      <c r="B1412">
        <v>1463</v>
      </c>
      <c r="C1412">
        <v>692089619</v>
      </c>
      <c r="D1412">
        <v>159</v>
      </c>
      <c r="E1412">
        <v>378</v>
      </c>
      <c r="F1412">
        <v>1</v>
      </c>
      <c r="G1412">
        <v>170.698366511507</v>
      </c>
      <c r="H1412">
        <v>2</v>
      </c>
      <c r="K1412" t="s">
        <v>890</v>
      </c>
      <c r="L1412">
        <v>4</v>
      </c>
      <c r="M1412" t="s">
        <v>2254</v>
      </c>
      <c r="N1412" t="s">
        <v>726</v>
      </c>
      <c r="O1412">
        <v>0</v>
      </c>
    </row>
    <row r="1413" spans="1:15" x14ac:dyDescent="0.3">
      <c r="B1413">
        <v>1464</v>
      </c>
      <c r="C1413">
        <v>712721427</v>
      </c>
      <c r="D1413">
        <v>711</v>
      </c>
      <c r="E1413">
        <v>712</v>
      </c>
      <c r="F1413">
        <v>1</v>
      </c>
      <c r="G1413">
        <v>157.07206276731301</v>
      </c>
      <c r="H1413">
        <v>1</v>
      </c>
      <c r="K1413" t="s">
        <v>729</v>
      </c>
      <c r="L1413">
        <v>6</v>
      </c>
      <c r="M1413" t="s">
        <v>2255</v>
      </c>
      <c r="N1413" t="s">
        <v>726</v>
      </c>
      <c r="O1413">
        <v>0</v>
      </c>
    </row>
    <row r="1414" spans="1:15" x14ac:dyDescent="0.3">
      <c r="B1414">
        <v>1465</v>
      </c>
      <c r="C1414">
        <v>712721428</v>
      </c>
      <c r="D1414">
        <v>712</v>
      </c>
      <c r="E1414">
        <v>713</v>
      </c>
      <c r="F1414">
        <v>1</v>
      </c>
      <c r="G1414">
        <v>154.53350022160001</v>
      </c>
      <c r="H1414">
        <v>1</v>
      </c>
      <c r="K1414" t="s">
        <v>729</v>
      </c>
      <c r="L1414">
        <v>6</v>
      </c>
      <c r="M1414" t="s">
        <v>2256</v>
      </c>
      <c r="N1414" t="s">
        <v>726</v>
      </c>
      <c r="O1414">
        <v>0</v>
      </c>
    </row>
    <row r="1415" spans="1:15" x14ac:dyDescent="0.3">
      <c r="B1415">
        <v>1466</v>
      </c>
      <c r="C1415">
        <v>712721429</v>
      </c>
      <c r="D1415">
        <v>712</v>
      </c>
      <c r="E1415">
        <v>714</v>
      </c>
      <c r="F1415">
        <v>1</v>
      </c>
      <c r="G1415">
        <v>67.755973933957307</v>
      </c>
      <c r="H1415">
        <v>1</v>
      </c>
      <c r="K1415" t="s">
        <v>729</v>
      </c>
      <c r="L1415">
        <v>6</v>
      </c>
      <c r="M1415" t="s">
        <v>2257</v>
      </c>
      <c r="N1415" t="s">
        <v>726</v>
      </c>
      <c r="O1415">
        <v>1</v>
      </c>
    </row>
    <row r="1416" spans="1:15" x14ac:dyDescent="0.3">
      <c r="B1416">
        <v>1467</v>
      </c>
      <c r="C1416">
        <v>712721429</v>
      </c>
      <c r="D1416">
        <v>714</v>
      </c>
      <c r="E1416">
        <v>712</v>
      </c>
      <c r="F1416">
        <v>1</v>
      </c>
      <c r="G1416">
        <v>67.755973933957307</v>
      </c>
      <c r="H1416">
        <v>1</v>
      </c>
      <c r="K1416" t="s">
        <v>729</v>
      </c>
      <c r="L1416">
        <v>6</v>
      </c>
      <c r="M1416" t="s">
        <v>2258</v>
      </c>
      <c r="N1416" t="s">
        <v>726</v>
      </c>
      <c r="O1416">
        <v>1</v>
      </c>
    </row>
    <row r="1417" spans="1:15" x14ac:dyDescent="0.3">
      <c r="A1417" t="s">
        <v>911</v>
      </c>
      <c r="B1417">
        <v>1468</v>
      </c>
      <c r="C1417">
        <v>723559140</v>
      </c>
      <c r="D1417">
        <v>715</v>
      </c>
      <c r="E1417">
        <v>641</v>
      </c>
      <c r="F1417">
        <v>1</v>
      </c>
      <c r="G1417">
        <v>44.865898309201903</v>
      </c>
      <c r="H1417">
        <v>1</v>
      </c>
      <c r="K1417" t="s">
        <v>711</v>
      </c>
      <c r="L1417">
        <v>5</v>
      </c>
      <c r="M1417" t="s">
        <v>2259</v>
      </c>
      <c r="N1417" t="s">
        <v>726</v>
      </c>
      <c r="O1417">
        <v>1</v>
      </c>
    </row>
    <row r="1418" spans="1:15" x14ac:dyDescent="0.3">
      <c r="A1418" t="s">
        <v>911</v>
      </c>
      <c r="B1418">
        <v>1469</v>
      </c>
      <c r="C1418">
        <v>723559140</v>
      </c>
      <c r="D1418">
        <v>641</v>
      </c>
      <c r="E1418">
        <v>715</v>
      </c>
      <c r="F1418">
        <v>1</v>
      </c>
      <c r="G1418">
        <v>44.865898309201903</v>
      </c>
      <c r="H1418">
        <v>1</v>
      </c>
      <c r="K1418" t="s">
        <v>711</v>
      </c>
      <c r="L1418">
        <v>5</v>
      </c>
      <c r="M1418" t="s">
        <v>2260</v>
      </c>
      <c r="N1418" t="s">
        <v>726</v>
      </c>
      <c r="O1418">
        <v>1</v>
      </c>
    </row>
    <row r="1419" spans="1:15" x14ac:dyDescent="0.3">
      <c r="A1419" t="s">
        <v>858</v>
      </c>
      <c r="B1419">
        <v>1470</v>
      </c>
      <c r="C1419">
        <v>723559141</v>
      </c>
      <c r="D1419">
        <v>287</v>
      </c>
      <c r="E1419">
        <v>288</v>
      </c>
      <c r="F1419">
        <v>1</v>
      </c>
      <c r="G1419">
        <v>18.237954168841998</v>
      </c>
      <c r="H1419">
        <v>2</v>
      </c>
      <c r="K1419" t="s">
        <v>724</v>
      </c>
      <c r="L1419">
        <v>3</v>
      </c>
      <c r="M1419" t="s">
        <v>2261</v>
      </c>
      <c r="N1419" t="s">
        <v>726</v>
      </c>
      <c r="O1419">
        <v>0</v>
      </c>
    </row>
    <row r="1420" spans="1:15" x14ac:dyDescent="0.3">
      <c r="A1420" t="s">
        <v>1278</v>
      </c>
      <c r="B1420">
        <v>1471</v>
      </c>
      <c r="C1420">
        <v>723559142</v>
      </c>
      <c r="D1420">
        <v>288</v>
      </c>
      <c r="E1420">
        <v>111</v>
      </c>
      <c r="F1420">
        <v>1</v>
      </c>
      <c r="G1420">
        <v>16.5933553007862</v>
      </c>
      <c r="H1420">
        <v>1</v>
      </c>
      <c r="I1420">
        <v>15</v>
      </c>
      <c r="K1420" t="s">
        <v>729</v>
      </c>
      <c r="L1420">
        <v>6</v>
      </c>
      <c r="M1420" t="s">
        <v>2262</v>
      </c>
      <c r="N1420" t="s">
        <v>726</v>
      </c>
      <c r="O1420">
        <v>0</v>
      </c>
    </row>
    <row r="1421" spans="1:15" x14ac:dyDescent="0.3">
      <c r="A1421" t="s">
        <v>858</v>
      </c>
      <c r="B1421">
        <v>1474</v>
      </c>
      <c r="C1421">
        <v>723559144</v>
      </c>
      <c r="D1421">
        <v>286</v>
      </c>
      <c r="E1421">
        <v>287</v>
      </c>
      <c r="F1421">
        <v>1</v>
      </c>
      <c r="G1421">
        <v>46.992461623841898</v>
      </c>
      <c r="H1421">
        <v>2</v>
      </c>
      <c r="K1421" t="s">
        <v>724</v>
      </c>
      <c r="L1421">
        <v>3</v>
      </c>
      <c r="M1421" t="s">
        <v>2263</v>
      </c>
      <c r="N1421" t="s">
        <v>726</v>
      </c>
      <c r="O1421">
        <v>0</v>
      </c>
    </row>
    <row r="1422" spans="1:15" x14ac:dyDescent="0.3">
      <c r="A1422" t="s">
        <v>858</v>
      </c>
      <c r="B1422">
        <v>1475</v>
      </c>
      <c r="C1422">
        <v>723559145</v>
      </c>
      <c r="D1422">
        <v>210</v>
      </c>
      <c r="E1422">
        <v>457</v>
      </c>
      <c r="F1422">
        <v>1</v>
      </c>
      <c r="G1422">
        <v>3.0973574005701598</v>
      </c>
      <c r="H1422">
        <v>3</v>
      </c>
      <c r="I1422">
        <v>30</v>
      </c>
      <c r="K1422" t="s">
        <v>724</v>
      </c>
      <c r="L1422">
        <v>3</v>
      </c>
      <c r="M1422" t="s">
        <v>2264</v>
      </c>
      <c r="N1422" t="s">
        <v>726</v>
      </c>
      <c r="O1422">
        <v>0</v>
      </c>
    </row>
    <row r="1423" spans="1:15" x14ac:dyDescent="0.3">
      <c r="A1423" t="s">
        <v>1018</v>
      </c>
      <c r="B1423">
        <v>1476</v>
      </c>
      <c r="C1423">
        <v>723559146</v>
      </c>
      <c r="D1423">
        <v>651</v>
      </c>
      <c r="E1423">
        <v>649</v>
      </c>
      <c r="F1423">
        <v>1</v>
      </c>
      <c r="G1423">
        <v>18.926798836842199</v>
      </c>
      <c r="H1423">
        <v>1</v>
      </c>
      <c r="I1423">
        <v>15</v>
      </c>
      <c r="K1423" t="s">
        <v>729</v>
      </c>
      <c r="L1423">
        <v>6</v>
      </c>
      <c r="M1423" t="s">
        <v>2265</v>
      </c>
      <c r="N1423" t="s">
        <v>726</v>
      </c>
      <c r="O1423">
        <v>1</v>
      </c>
    </row>
    <row r="1424" spans="1:15" x14ac:dyDescent="0.3">
      <c r="A1424" t="s">
        <v>1018</v>
      </c>
      <c r="B1424">
        <v>1477</v>
      </c>
      <c r="C1424">
        <v>723559146</v>
      </c>
      <c r="D1424">
        <v>649</v>
      </c>
      <c r="E1424">
        <v>651</v>
      </c>
      <c r="F1424">
        <v>1</v>
      </c>
      <c r="G1424">
        <v>18.926798836842199</v>
      </c>
      <c r="H1424">
        <v>1</v>
      </c>
      <c r="I1424">
        <v>15</v>
      </c>
      <c r="K1424" t="s">
        <v>729</v>
      </c>
      <c r="L1424">
        <v>6</v>
      </c>
      <c r="M1424" t="s">
        <v>2266</v>
      </c>
      <c r="N1424" t="s">
        <v>726</v>
      </c>
      <c r="O1424">
        <v>1</v>
      </c>
    </row>
    <row r="1425" spans="1:15" x14ac:dyDescent="0.3">
      <c r="A1425" t="s">
        <v>746</v>
      </c>
      <c r="B1425">
        <v>1478</v>
      </c>
      <c r="C1425">
        <v>724631640</v>
      </c>
      <c r="D1425">
        <v>716</v>
      </c>
      <c r="E1425">
        <v>304</v>
      </c>
      <c r="F1425">
        <v>1</v>
      </c>
      <c r="G1425">
        <v>15.9816709492214</v>
      </c>
      <c r="H1425">
        <v>1</v>
      </c>
      <c r="I1425">
        <v>25</v>
      </c>
      <c r="K1425" t="s">
        <v>729</v>
      </c>
      <c r="L1425">
        <v>6</v>
      </c>
      <c r="M1425" t="s">
        <v>2267</v>
      </c>
      <c r="N1425" t="s">
        <v>726</v>
      </c>
      <c r="O1425">
        <v>0</v>
      </c>
    </row>
    <row r="1426" spans="1:15" x14ac:dyDescent="0.3">
      <c r="A1426" t="s">
        <v>746</v>
      </c>
      <c r="B1426">
        <v>1479</v>
      </c>
      <c r="C1426">
        <v>724631640</v>
      </c>
      <c r="D1426">
        <v>304</v>
      </c>
      <c r="E1426">
        <v>716</v>
      </c>
      <c r="F1426">
        <v>1</v>
      </c>
      <c r="G1426">
        <v>43.390966351145401</v>
      </c>
      <c r="H1426">
        <v>1</v>
      </c>
      <c r="I1426">
        <v>25</v>
      </c>
      <c r="K1426" t="s">
        <v>729</v>
      </c>
      <c r="L1426">
        <v>6</v>
      </c>
      <c r="M1426" t="s">
        <v>2268</v>
      </c>
      <c r="N1426" t="s">
        <v>726</v>
      </c>
      <c r="O1426">
        <v>0</v>
      </c>
    </row>
    <row r="1427" spans="1:15" x14ac:dyDescent="0.3">
      <c r="B1427">
        <v>1480</v>
      </c>
      <c r="C1427">
        <v>735455777</v>
      </c>
      <c r="D1427">
        <v>717</v>
      </c>
      <c r="E1427">
        <v>681</v>
      </c>
      <c r="F1427">
        <v>1</v>
      </c>
      <c r="G1427">
        <v>15.3202761411082</v>
      </c>
      <c r="H1427">
        <v>1</v>
      </c>
      <c r="K1427" t="s">
        <v>890</v>
      </c>
      <c r="L1427">
        <v>4</v>
      </c>
      <c r="M1427" t="s">
        <v>2269</v>
      </c>
      <c r="N1427" t="s">
        <v>726</v>
      </c>
      <c r="O1427">
        <v>1</v>
      </c>
    </row>
    <row r="1428" spans="1:15" x14ac:dyDescent="0.3">
      <c r="B1428">
        <v>1481</v>
      </c>
      <c r="C1428">
        <v>735455777</v>
      </c>
      <c r="D1428">
        <v>681</v>
      </c>
      <c r="E1428">
        <v>717</v>
      </c>
      <c r="F1428">
        <v>1</v>
      </c>
      <c r="G1428">
        <v>15.3202761411082</v>
      </c>
      <c r="H1428">
        <v>1</v>
      </c>
      <c r="K1428" t="s">
        <v>890</v>
      </c>
      <c r="L1428">
        <v>4</v>
      </c>
      <c r="M1428" t="s">
        <v>2270</v>
      </c>
      <c r="N1428" t="s">
        <v>726</v>
      </c>
      <c r="O1428">
        <v>1</v>
      </c>
    </row>
    <row r="1429" spans="1:15" x14ac:dyDescent="0.3">
      <c r="A1429" t="s">
        <v>831</v>
      </c>
      <c r="B1429">
        <v>1482</v>
      </c>
      <c r="C1429">
        <v>762550584</v>
      </c>
      <c r="D1429">
        <v>84</v>
      </c>
      <c r="E1429">
        <v>718</v>
      </c>
      <c r="F1429">
        <v>1</v>
      </c>
      <c r="G1429">
        <v>43.516967466633197</v>
      </c>
      <c r="H1429">
        <v>1</v>
      </c>
      <c r="K1429" t="s">
        <v>729</v>
      </c>
      <c r="L1429">
        <v>6</v>
      </c>
      <c r="M1429" t="s">
        <v>2271</v>
      </c>
      <c r="N1429" t="s">
        <v>726</v>
      </c>
      <c r="O1429">
        <v>1</v>
      </c>
    </row>
    <row r="1430" spans="1:15" x14ac:dyDescent="0.3">
      <c r="A1430" t="s">
        <v>831</v>
      </c>
      <c r="B1430">
        <v>1483</v>
      </c>
      <c r="C1430">
        <v>762550584</v>
      </c>
      <c r="D1430">
        <v>718</v>
      </c>
      <c r="E1430">
        <v>84</v>
      </c>
      <c r="F1430">
        <v>1</v>
      </c>
      <c r="G1430">
        <v>43.516967466633197</v>
      </c>
      <c r="H1430">
        <v>1</v>
      </c>
      <c r="K1430" t="s">
        <v>729</v>
      </c>
      <c r="L1430">
        <v>6</v>
      </c>
      <c r="M1430" t="s">
        <v>2272</v>
      </c>
      <c r="N1430" t="s">
        <v>726</v>
      </c>
      <c r="O1430">
        <v>1</v>
      </c>
    </row>
    <row r="1431" spans="1:15" x14ac:dyDescent="0.3">
      <c r="A1431" t="s">
        <v>756</v>
      </c>
      <c r="B1431">
        <v>1484</v>
      </c>
      <c r="C1431">
        <v>762550585</v>
      </c>
      <c r="D1431">
        <v>718</v>
      </c>
      <c r="E1431">
        <v>719</v>
      </c>
      <c r="F1431">
        <v>1</v>
      </c>
      <c r="G1431">
        <v>36.463102872350703</v>
      </c>
      <c r="H1431">
        <v>1</v>
      </c>
      <c r="K1431" t="s">
        <v>729</v>
      </c>
      <c r="L1431">
        <v>6</v>
      </c>
      <c r="M1431" t="s">
        <v>2273</v>
      </c>
      <c r="N1431" t="s">
        <v>726</v>
      </c>
      <c r="O1431">
        <v>0</v>
      </c>
    </row>
    <row r="1432" spans="1:15" x14ac:dyDescent="0.3">
      <c r="B1432">
        <v>1485</v>
      </c>
      <c r="C1432">
        <v>776139342</v>
      </c>
      <c r="D1432">
        <v>274</v>
      </c>
      <c r="E1432">
        <v>720</v>
      </c>
      <c r="F1432">
        <v>1</v>
      </c>
      <c r="G1432">
        <v>37.7436991429947</v>
      </c>
      <c r="H1432">
        <v>1</v>
      </c>
      <c r="K1432" t="s">
        <v>729</v>
      </c>
      <c r="L1432">
        <v>6</v>
      </c>
      <c r="M1432" t="s">
        <v>2274</v>
      </c>
      <c r="N1432" t="s">
        <v>726</v>
      </c>
      <c r="O1432">
        <v>0</v>
      </c>
    </row>
    <row r="1433" spans="1:15" x14ac:dyDescent="0.3">
      <c r="B1433">
        <v>1486</v>
      </c>
      <c r="C1433">
        <v>776139343</v>
      </c>
      <c r="D1433">
        <v>721</v>
      </c>
      <c r="E1433">
        <v>274</v>
      </c>
      <c r="F1433">
        <v>1</v>
      </c>
      <c r="G1433">
        <v>29.508080848257698</v>
      </c>
      <c r="H1433">
        <v>1</v>
      </c>
      <c r="K1433" t="s">
        <v>729</v>
      </c>
      <c r="L1433">
        <v>6</v>
      </c>
      <c r="M1433" t="s">
        <v>2275</v>
      </c>
      <c r="N1433" t="s">
        <v>726</v>
      </c>
      <c r="O1433">
        <v>0</v>
      </c>
    </row>
    <row r="1434" spans="1:15" x14ac:dyDescent="0.3">
      <c r="A1434" t="s">
        <v>759</v>
      </c>
      <c r="B1434">
        <v>1487</v>
      </c>
      <c r="C1434">
        <v>776139346</v>
      </c>
      <c r="D1434">
        <v>722</v>
      </c>
      <c r="E1434">
        <v>679</v>
      </c>
      <c r="F1434">
        <v>1</v>
      </c>
      <c r="G1434">
        <v>47.2710428207833</v>
      </c>
      <c r="H1434">
        <v>2</v>
      </c>
      <c r="K1434" t="s">
        <v>711</v>
      </c>
      <c r="L1434">
        <v>5</v>
      </c>
      <c r="M1434" t="s">
        <v>2276</v>
      </c>
      <c r="N1434" t="s">
        <v>726</v>
      </c>
      <c r="O1434">
        <v>0</v>
      </c>
    </row>
    <row r="1435" spans="1:15" x14ac:dyDescent="0.3">
      <c r="A1435" t="s">
        <v>759</v>
      </c>
      <c r="B1435">
        <v>1488</v>
      </c>
      <c r="C1435">
        <v>776139347</v>
      </c>
      <c r="D1435">
        <v>679</v>
      </c>
      <c r="E1435">
        <v>723</v>
      </c>
      <c r="F1435">
        <v>1</v>
      </c>
      <c r="G1435">
        <v>46.0537898297151</v>
      </c>
      <c r="H1435">
        <v>2</v>
      </c>
      <c r="K1435" t="s">
        <v>711</v>
      </c>
      <c r="L1435">
        <v>5</v>
      </c>
      <c r="M1435" t="s">
        <v>2277</v>
      </c>
      <c r="N1435" t="s">
        <v>726</v>
      </c>
      <c r="O1435">
        <v>0</v>
      </c>
    </row>
    <row r="1436" spans="1:15" x14ac:dyDescent="0.3">
      <c r="A1436" t="s">
        <v>938</v>
      </c>
      <c r="B1436">
        <v>1489</v>
      </c>
      <c r="C1436">
        <v>777220833</v>
      </c>
      <c r="D1436">
        <v>710</v>
      </c>
      <c r="E1436">
        <v>634</v>
      </c>
      <c r="F1436">
        <v>1</v>
      </c>
      <c r="G1436">
        <v>37.103407270233703</v>
      </c>
      <c r="H1436">
        <v>1</v>
      </c>
      <c r="I1436">
        <v>25</v>
      </c>
      <c r="K1436" t="s">
        <v>711</v>
      </c>
      <c r="L1436">
        <v>5</v>
      </c>
      <c r="M1436" t="s">
        <v>2278</v>
      </c>
      <c r="N1436" t="s">
        <v>726</v>
      </c>
      <c r="O1436">
        <v>1</v>
      </c>
    </row>
    <row r="1437" spans="1:15" x14ac:dyDescent="0.3">
      <c r="A1437" t="s">
        <v>938</v>
      </c>
      <c r="B1437">
        <v>1490</v>
      </c>
      <c r="C1437">
        <v>777220833</v>
      </c>
      <c r="D1437">
        <v>634</v>
      </c>
      <c r="E1437">
        <v>710</v>
      </c>
      <c r="F1437">
        <v>1</v>
      </c>
      <c r="G1437">
        <v>37.103407270233703</v>
      </c>
      <c r="H1437">
        <v>1</v>
      </c>
      <c r="I1437">
        <v>25</v>
      </c>
      <c r="K1437" t="s">
        <v>711</v>
      </c>
      <c r="L1437">
        <v>5</v>
      </c>
      <c r="M1437" t="s">
        <v>2279</v>
      </c>
      <c r="N1437" t="s">
        <v>726</v>
      </c>
      <c r="O1437">
        <v>1</v>
      </c>
    </row>
    <row r="1438" spans="1:15" x14ac:dyDescent="0.3">
      <c r="A1438" t="s">
        <v>983</v>
      </c>
      <c r="B1438">
        <v>1491</v>
      </c>
      <c r="C1438">
        <v>778399534</v>
      </c>
      <c r="D1438">
        <v>249</v>
      </c>
      <c r="E1438">
        <v>24</v>
      </c>
      <c r="F1438">
        <v>1</v>
      </c>
      <c r="G1438">
        <v>6.8506597022571301</v>
      </c>
      <c r="H1438">
        <v>2</v>
      </c>
      <c r="K1438" t="s">
        <v>890</v>
      </c>
      <c r="L1438">
        <v>4</v>
      </c>
      <c r="M1438" t="s">
        <v>2280</v>
      </c>
      <c r="N1438" t="s">
        <v>726</v>
      </c>
      <c r="O1438">
        <v>1</v>
      </c>
    </row>
    <row r="1439" spans="1:15" x14ac:dyDescent="0.3">
      <c r="A1439" t="s">
        <v>983</v>
      </c>
      <c r="B1439">
        <v>1492</v>
      </c>
      <c r="C1439">
        <v>778399534</v>
      </c>
      <c r="D1439">
        <v>24</v>
      </c>
      <c r="E1439">
        <v>249</v>
      </c>
      <c r="F1439">
        <v>1</v>
      </c>
      <c r="G1439">
        <v>6.8506597022571301</v>
      </c>
      <c r="H1439">
        <v>3</v>
      </c>
      <c r="K1439" t="s">
        <v>890</v>
      </c>
      <c r="L1439">
        <v>4</v>
      </c>
      <c r="M1439" t="s">
        <v>2281</v>
      </c>
      <c r="N1439" t="s">
        <v>726</v>
      </c>
      <c r="O1439">
        <v>1</v>
      </c>
    </row>
    <row r="1440" spans="1:15" x14ac:dyDescent="0.3">
      <c r="A1440" t="s">
        <v>983</v>
      </c>
      <c r="B1440">
        <v>1493</v>
      </c>
      <c r="C1440">
        <v>778399534</v>
      </c>
      <c r="D1440">
        <v>24</v>
      </c>
      <c r="E1440">
        <v>811</v>
      </c>
      <c r="F1440">
        <v>1</v>
      </c>
      <c r="G1440">
        <v>137.235542491665</v>
      </c>
      <c r="H1440">
        <v>2</v>
      </c>
      <c r="K1440" t="s">
        <v>890</v>
      </c>
      <c r="L1440">
        <v>4</v>
      </c>
      <c r="M1440" t="s">
        <v>2282</v>
      </c>
      <c r="N1440" t="s">
        <v>726</v>
      </c>
      <c r="O1440">
        <v>1</v>
      </c>
    </row>
    <row r="1441" spans="1:15" x14ac:dyDescent="0.3">
      <c r="A1441" t="s">
        <v>983</v>
      </c>
      <c r="B1441">
        <v>1494</v>
      </c>
      <c r="C1441">
        <v>778399534</v>
      </c>
      <c r="D1441">
        <v>811</v>
      </c>
      <c r="E1441">
        <v>24</v>
      </c>
      <c r="F1441">
        <v>1</v>
      </c>
      <c r="G1441">
        <v>137.235542491665</v>
      </c>
      <c r="H1441">
        <v>3</v>
      </c>
      <c r="K1441" t="s">
        <v>890</v>
      </c>
      <c r="L1441">
        <v>4</v>
      </c>
      <c r="M1441" t="s">
        <v>2283</v>
      </c>
      <c r="N1441" t="s">
        <v>726</v>
      </c>
      <c r="O1441">
        <v>1</v>
      </c>
    </row>
    <row r="1442" spans="1:15" x14ac:dyDescent="0.3">
      <c r="A1442" t="s">
        <v>983</v>
      </c>
      <c r="B1442">
        <v>1495</v>
      </c>
      <c r="C1442">
        <v>778399535</v>
      </c>
      <c r="D1442">
        <v>406</v>
      </c>
      <c r="E1442">
        <v>249</v>
      </c>
      <c r="F1442">
        <v>1</v>
      </c>
      <c r="G1442">
        <v>52.744314816297504</v>
      </c>
      <c r="H1442">
        <v>2</v>
      </c>
      <c r="K1442" t="s">
        <v>890</v>
      </c>
      <c r="L1442">
        <v>4</v>
      </c>
      <c r="M1442" t="s">
        <v>2284</v>
      </c>
      <c r="N1442" t="s">
        <v>726</v>
      </c>
      <c r="O1442">
        <v>0</v>
      </c>
    </row>
    <row r="1443" spans="1:15" x14ac:dyDescent="0.3">
      <c r="A1443" t="s">
        <v>983</v>
      </c>
      <c r="B1443">
        <v>1496</v>
      </c>
      <c r="C1443">
        <v>778399536</v>
      </c>
      <c r="D1443">
        <v>249</v>
      </c>
      <c r="E1443">
        <v>406</v>
      </c>
      <c r="F1443">
        <v>1</v>
      </c>
      <c r="G1443">
        <v>53.846308908332901</v>
      </c>
      <c r="H1443">
        <v>3</v>
      </c>
      <c r="K1443" t="s">
        <v>890</v>
      </c>
      <c r="L1443">
        <v>4</v>
      </c>
      <c r="M1443" t="s">
        <v>2285</v>
      </c>
      <c r="N1443" t="s">
        <v>726</v>
      </c>
      <c r="O1443">
        <v>0</v>
      </c>
    </row>
    <row r="1444" spans="1:15" x14ac:dyDescent="0.3">
      <c r="B1444">
        <v>1497</v>
      </c>
      <c r="C1444">
        <v>778414507</v>
      </c>
      <c r="D1444">
        <v>724</v>
      </c>
      <c r="E1444">
        <v>47</v>
      </c>
      <c r="F1444">
        <v>1</v>
      </c>
      <c r="G1444">
        <v>5.1458631985090504</v>
      </c>
      <c r="H1444">
        <v>1</v>
      </c>
      <c r="K1444" t="s">
        <v>729</v>
      </c>
      <c r="L1444">
        <v>6</v>
      </c>
      <c r="M1444" t="s">
        <v>2286</v>
      </c>
      <c r="N1444" t="s">
        <v>726</v>
      </c>
      <c r="O1444">
        <v>0</v>
      </c>
    </row>
    <row r="1445" spans="1:15" x14ac:dyDescent="0.3">
      <c r="B1445">
        <v>1498</v>
      </c>
      <c r="C1445">
        <v>778414507</v>
      </c>
      <c r="D1445">
        <v>47</v>
      </c>
      <c r="E1445">
        <v>725</v>
      </c>
      <c r="F1445">
        <v>1</v>
      </c>
      <c r="G1445">
        <v>7.0235350328899298</v>
      </c>
      <c r="H1445">
        <v>1</v>
      </c>
      <c r="K1445" t="s">
        <v>729</v>
      </c>
      <c r="L1445">
        <v>6</v>
      </c>
      <c r="M1445" t="s">
        <v>2287</v>
      </c>
      <c r="N1445" t="s">
        <v>726</v>
      </c>
      <c r="O1445">
        <v>0</v>
      </c>
    </row>
    <row r="1446" spans="1:15" x14ac:dyDescent="0.3">
      <c r="B1446">
        <v>1499</v>
      </c>
      <c r="C1446">
        <v>778414507</v>
      </c>
      <c r="D1446">
        <v>725</v>
      </c>
      <c r="E1446">
        <v>732</v>
      </c>
      <c r="F1446">
        <v>1</v>
      </c>
      <c r="G1446">
        <v>6.50322136448571</v>
      </c>
      <c r="H1446">
        <v>1</v>
      </c>
      <c r="K1446" t="s">
        <v>729</v>
      </c>
      <c r="L1446">
        <v>6</v>
      </c>
      <c r="M1446" t="s">
        <v>2288</v>
      </c>
      <c r="N1446" t="s">
        <v>726</v>
      </c>
      <c r="O1446">
        <v>0</v>
      </c>
    </row>
    <row r="1447" spans="1:15" x14ac:dyDescent="0.3">
      <c r="B1447">
        <v>1500</v>
      </c>
      <c r="C1447">
        <v>778414507</v>
      </c>
      <c r="D1447">
        <v>732</v>
      </c>
      <c r="E1447">
        <v>727</v>
      </c>
      <c r="F1447">
        <v>1</v>
      </c>
      <c r="G1447">
        <v>7.0127380091297997</v>
      </c>
      <c r="H1447">
        <v>1</v>
      </c>
      <c r="K1447" t="s">
        <v>729</v>
      </c>
      <c r="L1447">
        <v>6</v>
      </c>
      <c r="M1447" t="s">
        <v>2289</v>
      </c>
      <c r="N1447" t="s">
        <v>726</v>
      </c>
      <c r="O1447">
        <v>0</v>
      </c>
    </row>
    <row r="1448" spans="1:15" x14ac:dyDescent="0.3">
      <c r="B1448">
        <v>1501</v>
      </c>
      <c r="C1448">
        <v>778414507</v>
      </c>
      <c r="D1448">
        <v>727</v>
      </c>
      <c r="E1448">
        <v>724</v>
      </c>
      <c r="F1448">
        <v>1</v>
      </c>
      <c r="G1448">
        <v>1.2854693251990901</v>
      </c>
      <c r="H1448">
        <v>1</v>
      </c>
      <c r="K1448" t="s">
        <v>729</v>
      </c>
      <c r="L1448">
        <v>6</v>
      </c>
      <c r="M1448" t="s">
        <v>2290</v>
      </c>
      <c r="N1448" t="s">
        <v>726</v>
      </c>
      <c r="O1448">
        <v>0</v>
      </c>
    </row>
    <row r="1449" spans="1:15" x14ac:dyDescent="0.3">
      <c r="A1449" t="s">
        <v>1161</v>
      </c>
      <c r="B1449">
        <v>1502</v>
      </c>
      <c r="C1449">
        <v>778414508</v>
      </c>
      <c r="D1449">
        <v>725</v>
      </c>
      <c r="E1449">
        <v>10</v>
      </c>
      <c r="F1449">
        <v>1</v>
      </c>
      <c r="G1449">
        <v>171.670877699122</v>
      </c>
      <c r="H1449">
        <v>1</v>
      </c>
      <c r="I1449">
        <v>25</v>
      </c>
      <c r="K1449" t="s">
        <v>729</v>
      </c>
      <c r="L1449">
        <v>6</v>
      </c>
      <c r="M1449" t="s">
        <v>2291</v>
      </c>
      <c r="N1449" t="s">
        <v>726</v>
      </c>
      <c r="O1449">
        <v>1</v>
      </c>
    </row>
    <row r="1450" spans="1:15" x14ac:dyDescent="0.3">
      <c r="A1450" t="s">
        <v>1161</v>
      </c>
      <c r="B1450">
        <v>1503</v>
      </c>
      <c r="C1450">
        <v>778414508</v>
      </c>
      <c r="D1450">
        <v>10</v>
      </c>
      <c r="E1450">
        <v>725</v>
      </c>
      <c r="F1450">
        <v>1</v>
      </c>
      <c r="G1450">
        <v>171.670877699122</v>
      </c>
      <c r="H1450">
        <v>1</v>
      </c>
      <c r="I1450">
        <v>25</v>
      </c>
      <c r="K1450" t="s">
        <v>729</v>
      </c>
      <c r="L1450">
        <v>6</v>
      </c>
      <c r="M1450" t="s">
        <v>2292</v>
      </c>
      <c r="N1450" t="s">
        <v>726</v>
      </c>
      <c r="O1450">
        <v>1</v>
      </c>
    </row>
    <row r="1451" spans="1:15" x14ac:dyDescent="0.3">
      <c r="B1451">
        <v>1504</v>
      </c>
      <c r="C1451">
        <v>778414509</v>
      </c>
      <c r="D1451">
        <v>726</v>
      </c>
      <c r="E1451">
        <v>731</v>
      </c>
      <c r="F1451">
        <v>1</v>
      </c>
      <c r="G1451">
        <v>5.8450459204241199</v>
      </c>
      <c r="H1451">
        <v>1</v>
      </c>
      <c r="K1451" t="s">
        <v>729</v>
      </c>
      <c r="L1451">
        <v>6</v>
      </c>
      <c r="M1451" t="s">
        <v>2293</v>
      </c>
      <c r="N1451" t="s">
        <v>726</v>
      </c>
      <c r="O1451">
        <v>0</v>
      </c>
    </row>
    <row r="1452" spans="1:15" x14ac:dyDescent="0.3">
      <c r="B1452">
        <v>1505</v>
      </c>
      <c r="C1452">
        <v>778414509</v>
      </c>
      <c r="D1452">
        <v>731</v>
      </c>
      <c r="E1452">
        <v>728</v>
      </c>
      <c r="F1452">
        <v>1</v>
      </c>
      <c r="G1452">
        <v>7.06074477371744</v>
      </c>
      <c r="H1452">
        <v>1</v>
      </c>
      <c r="K1452" t="s">
        <v>729</v>
      </c>
      <c r="L1452">
        <v>6</v>
      </c>
      <c r="M1452" t="s">
        <v>2294</v>
      </c>
      <c r="N1452" t="s">
        <v>726</v>
      </c>
      <c r="O1452">
        <v>0</v>
      </c>
    </row>
    <row r="1453" spans="1:15" x14ac:dyDescent="0.3">
      <c r="B1453">
        <v>1506</v>
      </c>
      <c r="C1453">
        <v>778414509</v>
      </c>
      <c r="D1453">
        <v>728</v>
      </c>
      <c r="E1453">
        <v>730</v>
      </c>
      <c r="F1453">
        <v>1</v>
      </c>
      <c r="G1453">
        <v>6.9019475685613703</v>
      </c>
      <c r="H1453">
        <v>1</v>
      </c>
      <c r="K1453" t="s">
        <v>729</v>
      </c>
      <c r="L1453">
        <v>6</v>
      </c>
      <c r="M1453" t="s">
        <v>2295</v>
      </c>
      <c r="N1453" t="s">
        <v>726</v>
      </c>
      <c r="O1453">
        <v>0</v>
      </c>
    </row>
    <row r="1454" spans="1:15" x14ac:dyDescent="0.3">
      <c r="B1454">
        <v>1507</v>
      </c>
      <c r="C1454">
        <v>778414509</v>
      </c>
      <c r="D1454">
        <v>730</v>
      </c>
      <c r="E1454">
        <v>729</v>
      </c>
      <c r="F1454">
        <v>1</v>
      </c>
      <c r="G1454">
        <v>6.4297508621625097</v>
      </c>
      <c r="H1454">
        <v>1</v>
      </c>
      <c r="K1454" t="s">
        <v>729</v>
      </c>
      <c r="L1454">
        <v>6</v>
      </c>
      <c r="M1454" t="s">
        <v>2296</v>
      </c>
      <c r="N1454" t="s">
        <v>726</v>
      </c>
      <c r="O1454">
        <v>0</v>
      </c>
    </row>
    <row r="1455" spans="1:15" x14ac:dyDescent="0.3">
      <c r="B1455">
        <v>1508</v>
      </c>
      <c r="C1455">
        <v>778414509</v>
      </c>
      <c r="D1455">
        <v>729</v>
      </c>
      <c r="E1455">
        <v>726</v>
      </c>
      <c r="F1455">
        <v>1</v>
      </c>
      <c r="G1455">
        <v>0.71188956177039597</v>
      </c>
      <c r="H1455">
        <v>1</v>
      </c>
      <c r="K1455" t="s">
        <v>729</v>
      </c>
      <c r="L1455">
        <v>6</v>
      </c>
      <c r="M1455" t="s">
        <v>2297</v>
      </c>
      <c r="N1455" t="s">
        <v>726</v>
      </c>
      <c r="O1455">
        <v>0</v>
      </c>
    </row>
    <row r="1456" spans="1:15" x14ac:dyDescent="0.3">
      <c r="A1456" t="s">
        <v>1161</v>
      </c>
      <c r="B1456">
        <v>1509</v>
      </c>
      <c r="C1456">
        <v>778414510</v>
      </c>
      <c r="D1456">
        <v>728</v>
      </c>
      <c r="E1456">
        <v>727</v>
      </c>
      <c r="F1456">
        <v>1</v>
      </c>
      <c r="G1456">
        <v>97.339496594713793</v>
      </c>
      <c r="H1456">
        <v>1</v>
      </c>
      <c r="I1456">
        <v>25</v>
      </c>
      <c r="K1456" t="s">
        <v>729</v>
      </c>
      <c r="L1456">
        <v>6</v>
      </c>
      <c r="M1456" t="s">
        <v>2298</v>
      </c>
      <c r="N1456" t="s">
        <v>726</v>
      </c>
      <c r="O1456">
        <v>1</v>
      </c>
    </row>
    <row r="1457" spans="1:15" x14ac:dyDescent="0.3">
      <c r="A1457" t="s">
        <v>1161</v>
      </c>
      <c r="B1457">
        <v>1510</v>
      </c>
      <c r="C1457">
        <v>778414510</v>
      </c>
      <c r="D1457">
        <v>727</v>
      </c>
      <c r="E1457">
        <v>728</v>
      </c>
      <c r="F1457">
        <v>1</v>
      </c>
      <c r="G1457">
        <v>97.339496594713793</v>
      </c>
      <c r="H1457">
        <v>1</v>
      </c>
      <c r="I1457">
        <v>25</v>
      </c>
      <c r="K1457" t="s">
        <v>729</v>
      </c>
      <c r="L1457">
        <v>6</v>
      </c>
      <c r="M1457" t="s">
        <v>2299</v>
      </c>
      <c r="N1457" t="s">
        <v>726</v>
      </c>
      <c r="O1457">
        <v>1</v>
      </c>
    </row>
    <row r="1458" spans="1:15" x14ac:dyDescent="0.3">
      <c r="A1458" t="s">
        <v>756</v>
      </c>
      <c r="B1458">
        <v>1511</v>
      </c>
      <c r="C1458">
        <v>778414511</v>
      </c>
      <c r="D1458">
        <v>730</v>
      </c>
      <c r="E1458">
        <v>32</v>
      </c>
      <c r="F1458">
        <v>1</v>
      </c>
      <c r="G1458">
        <v>154.43812909417801</v>
      </c>
      <c r="H1458">
        <v>1</v>
      </c>
      <c r="K1458" t="s">
        <v>729</v>
      </c>
      <c r="L1458">
        <v>6</v>
      </c>
      <c r="M1458" t="s">
        <v>2300</v>
      </c>
      <c r="N1458" t="s">
        <v>726</v>
      </c>
      <c r="O1458">
        <v>1</v>
      </c>
    </row>
    <row r="1459" spans="1:15" x14ac:dyDescent="0.3">
      <c r="A1459" t="s">
        <v>756</v>
      </c>
      <c r="B1459">
        <v>1512</v>
      </c>
      <c r="C1459">
        <v>778414511</v>
      </c>
      <c r="D1459">
        <v>32</v>
      </c>
      <c r="E1459">
        <v>730</v>
      </c>
      <c r="F1459">
        <v>1</v>
      </c>
      <c r="G1459">
        <v>154.43812909417801</v>
      </c>
      <c r="H1459">
        <v>1</v>
      </c>
      <c r="K1459" t="s">
        <v>729</v>
      </c>
      <c r="L1459">
        <v>6</v>
      </c>
      <c r="M1459" t="s">
        <v>2301</v>
      </c>
      <c r="N1459" t="s">
        <v>726</v>
      </c>
      <c r="O1459">
        <v>1</v>
      </c>
    </row>
    <row r="1460" spans="1:15" x14ac:dyDescent="0.3">
      <c r="A1460" t="s">
        <v>756</v>
      </c>
      <c r="B1460">
        <v>1513</v>
      </c>
      <c r="C1460">
        <v>778414511</v>
      </c>
      <c r="D1460">
        <v>32</v>
      </c>
      <c r="E1460">
        <v>33</v>
      </c>
      <c r="F1460">
        <v>1</v>
      </c>
      <c r="G1460">
        <v>159.834300957766</v>
      </c>
      <c r="H1460">
        <v>1</v>
      </c>
      <c r="K1460" t="s">
        <v>729</v>
      </c>
      <c r="L1460">
        <v>6</v>
      </c>
      <c r="M1460" t="s">
        <v>2302</v>
      </c>
      <c r="N1460" t="s">
        <v>726</v>
      </c>
      <c r="O1460">
        <v>1</v>
      </c>
    </row>
    <row r="1461" spans="1:15" x14ac:dyDescent="0.3">
      <c r="A1461" t="s">
        <v>756</v>
      </c>
      <c r="B1461">
        <v>1514</v>
      </c>
      <c r="C1461">
        <v>778414511</v>
      </c>
      <c r="D1461">
        <v>33</v>
      </c>
      <c r="E1461">
        <v>32</v>
      </c>
      <c r="F1461">
        <v>1</v>
      </c>
      <c r="G1461">
        <v>159.834300957766</v>
      </c>
      <c r="H1461">
        <v>1</v>
      </c>
      <c r="K1461" t="s">
        <v>729</v>
      </c>
      <c r="L1461">
        <v>6</v>
      </c>
      <c r="M1461" t="s">
        <v>2303</v>
      </c>
      <c r="N1461" t="s">
        <v>726</v>
      </c>
      <c r="O1461">
        <v>1</v>
      </c>
    </row>
    <row r="1462" spans="1:15" x14ac:dyDescent="0.3">
      <c r="A1462" t="s">
        <v>756</v>
      </c>
      <c r="B1462">
        <v>1515</v>
      </c>
      <c r="C1462">
        <v>778414511</v>
      </c>
      <c r="D1462">
        <v>33</v>
      </c>
      <c r="E1462">
        <v>34</v>
      </c>
      <c r="F1462">
        <v>1</v>
      </c>
      <c r="G1462">
        <v>157.41352067318499</v>
      </c>
      <c r="H1462">
        <v>1</v>
      </c>
      <c r="K1462" t="s">
        <v>729</v>
      </c>
      <c r="L1462">
        <v>6</v>
      </c>
      <c r="M1462" t="s">
        <v>2304</v>
      </c>
      <c r="N1462" t="s">
        <v>726</v>
      </c>
      <c r="O1462">
        <v>1</v>
      </c>
    </row>
    <row r="1463" spans="1:15" x14ac:dyDescent="0.3">
      <c r="A1463" t="s">
        <v>756</v>
      </c>
      <c r="B1463">
        <v>1516</v>
      </c>
      <c r="C1463">
        <v>778414511</v>
      </c>
      <c r="D1463">
        <v>34</v>
      </c>
      <c r="E1463">
        <v>33</v>
      </c>
      <c r="F1463">
        <v>1</v>
      </c>
      <c r="G1463">
        <v>157.41352067318499</v>
      </c>
      <c r="H1463">
        <v>1</v>
      </c>
      <c r="K1463" t="s">
        <v>729</v>
      </c>
      <c r="L1463">
        <v>6</v>
      </c>
      <c r="M1463" t="s">
        <v>2305</v>
      </c>
      <c r="N1463" t="s">
        <v>726</v>
      </c>
      <c r="O1463">
        <v>1</v>
      </c>
    </row>
    <row r="1464" spans="1:15" x14ac:dyDescent="0.3">
      <c r="A1464" t="s">
        <v>756</v>
      </c>
      <c r="B1464">
        <v>1517</v>
      </c>
      <c r="C1464">
        <v>778414511</v>
      </c>
      <c r="D1464">
        <v>34</v>
      </c>
      <c r="E1464">
        <v>35</v>
      </c>
      <c r="F1464">
        <v>1</v>
      </c>
      <c r="G1464">
        <v>162.31769233183999</v>
      </c>
      <c r="H1464">
        <v>1</v>
      </c>
      <c r="K1464" t="s">
        <v>729</v>
      </c>
      <c r="L1464">
        <v>6</v>
      </c>
      <c r="M1464" t="s">
        <v>2306</v>
      </c>
      <c r="N1464" t="s">
        <v>726</v>
      </c>
      <c r="O1464">
        <v>1</v>
      </c>
    </row>
    <row r="1465" spans="1:15" x14ac:dyDescent="0.3">
      <c r="A1465" t="s">
        <v>756</v>
      </c>
      <c r="B1465">
        <v>1518</v>
      </c>
      <c r="C1465">
        <v>778414511</v>
      </c>
      <c r="D1465">
        <v>35</v>
      </c>
      <c r="E1465">
        <v>34</v>
      </c>
      <c r="F1465">
        <v>1</v>
      </c>
      <c r="G1465">
        <v>162.31769233183999</v>
      </c>
      <c r="H1465">
        <v>1</v>
      </c>
      <c r="K1465" t="s">
        <v>729</v>
      </c>
      <c r="L1465">
        <v>6</v>
      </c>
      <c r="M1465" t="s">
        <v>2307</v>
      </c>
      <c r="N1465" t="s">
        <v>726</v>
      </c>
      <c r="O1465">
        <v>1</v>
      </c>
    </row>
    <row r="1466" spans="1:15" x14ac:dyDescent="0.3">
      <c r="A1466" t="s">
        <v>767</v>
      </c>
      <c r="B1466">
        <v>1519</v>
      </c>
      <c r="C1466">
        <v>778414513</v>
      </c>
      <c r="D1466">
        <v>47</v>
      </c>
      <c r="E1466">
        <v>251</v>
      </c>
      <c r="F1466">
        <v>1</v>
      </c>
      <c r="G1466">
        <v>79.523598224946099</v>
      </c>
      <c r="H1466">
        <v>1</v>
      </c>
      <c r="K1466" t="s">
        <v>729</v>
      </c>
      <c r="L1466">
        <v>6</v>
      </c>
      <c r="M1466" t="s">
        <v>2308</v>
      </c>
      <c r="N1466" t="s">
        <v>726</v>
      </c>
      <c r="O1466">
        <v>1</v>
      </c>
    </row>
    <row r="1467" spans="1:15" x14ac:dyDescent="0.3">
      <c r="A1467" t="s">
        <v>767</v>
      </c>
      <c r="B1467">
        <v>1520</v>
      </c>
      <c r="C1467">
        <v>778414513</v>
      </c>
      <c r="D1467">
        <v>251</v>
      </c>
      <c r="E1467">
        <v>47</v>
      </c>
      <c r="F1467">
        <v>1</v>
      </c>
      <c r="G1467">
        <v>79.523598224946099</v>
      </c>
      <c r="H1467">
        <v>1</v>
      </c>
      <c r="K1467" t="s">
        <v>729</v>
      </c>
      <c r="L1467">
        <v>6</v>
      </c>
      <c r="M1467" t="s">
        <v>2309</v>
      </c>
      <c r="N1467" t="s">
        <v>726</v>
      </c>
      <c r="O1467">
        <v>1</v>
      </c>
    </row>
    <row r="1468" spans="1:15" x14ac:dyDescent="0.3">
      <c r="A1468" t="s">
        <v>988</v>
      </c>
      <c r="B1468">
        <v>1521</v>
      </c>
      <c r="C1468">
        <v>785501002</v>
      </c>
      <c r="D1468">
        <v>395</v>
      </c>
      <c r="E1468">
        <v>706</v>
      </c>
      <c r="F1468">
        <v>1</v>
      </c>
      <c r="G1468">
        <v>27.967713365349901</v>
      </c>
      <c r="H1468">
        <v>3</v>
      </c>
      <c r="K1468" t="s">
        <v>890</v>
      </c>
      <c r="L1468">
        <v>4</v>
      </c>
      <c r="M1468" t="s">
        <v>2310</v>
      </c>
      <c r="N1468" t="s">
        <v>726</v>
      </c>
      <c r="O1468">
        <v>1</v>
      </c>
    </row>
    <row r="1469" spans="1:15" x14ac:dyDescent="0.3">
      <c r="A1469" t="s">
        <v>988</v>
      </c>
      <c r="B1469">
        <v>1522</v>
      </c>
      <c r="C1469">
        <v>785501002</v>
      </c>
      <c r="D1469">
        <v>706</v>
      </c>
      <c r="E1469">
        <v>395</v>
      </c>
      <c r="F1469">
        <v>1</v>
      </c>
      <c r="G1469">
        <v>27.967713365349901</v>
      </c>
      <c r="H1469">
        <v>2</v>
      </c>
      <c r="K1469" t="s">
        <v>890</v>
      </c>
      <c r="L1469">
        <v>4</v>
      </c>
      <c r="M1469" t="s">
        <v>2311</v>
      </c>
      <c r="N1469" t="s">
        <v>726</v>
      </c>
      <c r="O1469">
        <v>1</v>
      </c>
    </row>
    <row r="1470" spans="1:15" x14ac:dyDescent="0.3">
      <c r="A1470" t="s">
        <v>1197</v>
      </c>
      <c r="B1470">
        <v>1523</v>
      </c>
      <c r="C1470">
        <v>812683553</v>
      </c>
      <c r="D1470">
        <v>49</v>
      </c>
      <c r="E1470">
        <v>5</v>
      </c>
      <c r="F1470">
        <v>1</v>
      </c>
      <c r="G1470">
        <v>89.400739026308301</v>
      </c>
      <c r="H1470">
        <v>2</v>
      </c>
      <c r="K1470" t="s">
        <v>729</v>
      </c>
      <c r="L1470">
        <v>6</v>
      </c>
      <c r="M1470" t="s">
        <v>2312</v>
      </c>
      <c r="N1470" t="s">
        <v>726</v>
      </c>
      <c r="O1470">
        <v>0</v>
      </c>
    </row>
    <row r="1471" spans="1:15" x14ac:dyDescent="0.3">
      <c r="A1471" t="s">
        <v>1197</v>
      </c>
      <c r="B1471">
        <v>1524</v>
      </c>
      <c r="C1471">
        <v>812683571</v>
      </c>
      <c r="D1471">
        <v>704</v>
      </c>
      <c r="E1471">
        <v>812</v>
      </c>
      <c r="F1471">
        <v>1</v>
      </c>
      <c r="G1471">
        <v>30.3865437554119</v>
      </c>
      <c r="H1471">
        <v>1</v>
      </c>
      <c r="I1471">
        <v>25</v>
      </c>
      <c r="K1471" t="s">
        <v>729</v>
      </c>
      <c r="L1471">
        <v>6</v>
      </c>
      <c r="M1471" t="s">
        <v>2313</v>
      </c>
      <c r="N1471" t="s">
        <v>726</v>
      </c>
      <c r="O1471">
        <v>1</v>
      </c>
    </row>
    <row r="1472" spans="1:15" x14ac:dyDescent="0.3">
      <c r="A1472" t="s">
        <v>1197</v>
      </c>
      <c r="B1472">
        <v>1525</v>
      </c>
      <c r="C1472">
        <v>812683571</v>
      </c>
      <c r="D1472">
        <v>812</v>
      </c>
      <c r="E1472">
        <v>704</v>
      </c>
      <c r="F1472">
        <v>1</v>
      </c>
      <c r="G1472">
        <v>30.3865437554119</v>
      </c>
      <c r="H1472">
        <v>1</v>
      </c>
      <c r="I1472">
        <v>25</v>
      </c>
      <c r="K1472" t="s">
        <v>729</v>
      </c>
      <c r="L1472">
        <v>6</v>
      </c>
      <c r="M1472" t="s">
        <v>2314</v>
      </c>
      <c r="N1472" t="s">
        <v>726</v>
      </c>
      <c r="O1472">
        <v>1</v>
      </c>
    </row>
    <row r="1473" spans="1:15" x14ac:dyDescent="0.3">
      <c r="A1473" t="s">
        <v>1197</v>
      </c>
      <c r="B1473">
        <v>1526</v>
      </c>
      <c r="C1473">
        <v>812683572</v>
      </c>
      <c r="D1473">
        <v>705</v>
      </c>
      <c r="E1473">
        <v>704</v>
      </c>
      <c r="F1473">
        <v>1</v>
      </c>
      <c r="G1473">
        <v>38.184652329824601</v>
      </c>
      <c r="H1473">
        <v>1</v>
      </c>
      <c r="I1473">
        <v>25</v>
      </c>
      <c r="K1473" t="s">
        <v>729</v>
      </c>
      <c r="L1473">
        <v>6</v>
      </c>
      <c r="M1473" t="s">
        <v>2315</v>
      </c>
      <c r="N1473" t="s">
        <v>726</v>
      </c>
      <c r="O1473">
        <v>0</v>
      </c>
    </row>
    <row r="1474" spans="1:15" x14ac:dyDescent="0.3">
      <c r="A1474" t="s">
        <v>1197</v>
      </c>
      <c r="B1474">
        <v>1527</v>
      </c>
      <c r="C1474">
        <v>812683573</v>
      </c>
      <c r="D1474">
        <v>704</v>
      </c>
      <c r="E1474">
        <v>705</v>
      </c>
      <c r="F1474">
        <v>1</v>
      </c>
      <c r="G1474">
        <v>38.046496012683598</v>
      </c>
      <c r="H1474">
        <v>1</v>
      </c>
      <c r="I1474">
        <v>25</v>
      </c>
      <c r="K1474" t="s">
        <v>729</v>
      </c>
      <c r="L1474">
        <v>6</v>
      </c>
      <c r="M1474" t="s">
        <v>2316</v>
      </c>
      <c r="N1474" t="s">
        <v>726</v>
      </c>
      <c r="O1474">
        <v>0</v>
      </c>
    </row>
    <row r="1475" spans="1:15" x14ac:dyDescent="0.3">
      <c r="A1475" t="s">
        <v>1221</v>
      </c>
      <c r="B1475">
        <v>1528</v>
      </c>
      <c r="C1475">
        <v>845775034</v>
      </c>
      <c r="D1475">
        <v>530</v>
      </c>
      <c r="E1475">
        <v>733</v>
      </c>
      <c r="F1475">
        <v>1</v>
      </c>
      <c r="G1475">
        <v>49.125990877609397</v>
      </c>
      <c r="H1475">
        <v>3</v>
      </c>
      <c r="I1475">
        <v>40</v>
      </c>
      <c r="K1475" t="s">
        <v>890</v>
      </c>
      <c r="L1475">
        <v>4</v>
      </c>
      <c r="M1475" t="s">
        <v>2317</v>
      </c>
      <c r="N1475" t="s">
        <v>726</v>
      </c>
      <c r="O1475">
        <v>1</v>
      </c>
    </row>
    <row r="1476" spans="1:15" x14ac:dyDescent="0.3">
      <c r="A1476" t="s">
        <v>1221</v>
      </c>
      <c r="B1476">
        <v>1529</v>
      </c>
      <c r="C1476">
        <v>845775034</v>
      </c>
      <c r="D1476">
        <v>733</v>
      </c>
      <c r="E1476">
        <v>530</v>
      </c>
      <c r="F1476">
        <v>1</v>
      </c>
      <c r="G1476">
        <v>49.125990877609397</v>
      </c>
      <c r="H1476">
        <v>2</v>
      </c>
      <c r="I1476">
        <v>40</v>
      </c>
      <c r="K1476" t="s">
        <v>890</v>
      </c>
      <c r="L1476">
        <v>4</v>
      </c>
      <c r="M1476" t="s">
        <v>2318</v>
      </c>
      <c r="N1476" t="s">
        <v>726</v>
      </c>
      <c r="O1476">
        <v>1</v>
      </c>
    </row>
    <row r="1477" spans="1:15" x14ac:dyDescent="0.3">
      <c r="A1477" t="s">
        <v>1445</v>
      </c>
      <c r="B1477">
        <v>1530</v>
      </c>
      <c r="C1477">
        <v>853293824</v>
      </c>
      <c r="D1477">
        <v>223</v>
      </c>
      <c r="E1477">
        <v>146</v>
      </c>
      <c r="F1477">
        <v>1</v>
      </c>
      <c r="G1477">
        <v>119.580484660053</v>
      </c>
      <c r="H1477">
        <v>1</v>
      </c>
      <c r="K1477" t="s">
        <v>729</v>
      </c>
      <c r="L1477">
        <v>6</v>
      </c>
      <c r="M1477" t="s">
        <v>2319</v>
      </c>
      <c r="N1477" t="s">
        <v>726</v>
      </c>
      <c r="O1477">
        <v>1</v>
      </c>
    </row>
    <row r="1478" spans="1:15" x14ac:dyDescent="0.3">
      <c r="A1478" t="s">
        <v>1445</v>
      </c>
      <c r="B1478">
        <v>1531</v>
      </c>
      <c r="C1478">
        <v>853293824</v>
      </c>
      <c r="D1478">
        <v>146</v>
      </c>
      <c r="E1478">
        <v>223</v>
      </c>
      <c r="F1478">
        <v>1</v>
      </c>
      <c r="G1478">
        <v>119.580484660053</v>
      </c>
      <c r="H1478">
        <v>1</v>
      </c>
      <c r="K1478" t="s">
        <v>729</v>
      </c>
      <c r="L1478">
        <v>6</v>
      </c>
      <c r="M1478" t="s">
        <v>2320</v>
      </c>
      <c r="N1478" t="s">
        <v>726</v>
      </c>
      <c r="O1478">
        <v>1</v>
      </c>
    </row>
    <row r="1479" spans="1:15" x14ac:dyDescent="0.3">
      <c r="A1479" t="s">
        <v>1288</v>
      </c>
      <c r="B1479">
        <v>1532</v>
      </c>
      <c r="C1479">
        <v>860490575</v>
      </c>
      <c r="D1479">
        <v>734</v>
      </c>
      <c r="E1479">
        <v>255</v>
      </c>
      <c r="F1479">
        <v>1</v>
      </c>
      <c r="G1479">
        <v>7.9911153726401496</v>
      </c>
      <c r="H1479">
        <v>2</v>
      </c>
      <c r="I1479">
        <v>35</v>
      </c>
      <c r="K1479" t="s">
        <v>890</v>
      </c>
      <c r="L1479">
        <v>4</v>
      </c>
      <c r="M1479" t="s">
        <v>2321</v>
      </c>
      <c r="N1479" t="s">
        <v>726</v>
      </c>
      <c r="O1479">
        <v>0</v>
      </c>
    </row>
    <row r="1480" spans="1:15" x14ac:dyDescent="0.3">
      <c r="A1480" t="s">
        <v>767</v>
      </c>
      <c r="B1480">
        <v>1533</v>
      </c>
      <c r="C1480">
        <v>860490576</v>
      </c>
      <c r="D1480">
        <v>51</v>
      </c>
      <c r="E1480">
        <v>609</v>
      </c>
      <c r="F1480">
        <v>1</v>
      </c>
      <c r="G1480">
        <v>56.411617528768303</v>
      </c>
      <c r="H1480">
        <v>1</v>
      </c>
      <c r="I1480">
        <v>30</v>
      </c>
      <c r="K1480" t="s">
        <v>711</v>
      </c>
      <c r="L1480">
        <v>5</v>
      </c>
      <c r="M1480" t="s">
        <v>2322</v>
      </c>
      <c r="N1480" t="s">
        <v>726</v>
      </c>
      <c r="O1480">
        <v>1</v>
      </c>
    </row>
    <row r="1481" spans="1:15" x14ac:dyDescent="0.3">
      <c r="A1481" t="s">
        <v>767</v>
      </c>
      <c r="B1481">
        <v>1534</v>
      </c>
      <c r="C1481">
        <v>860490576</v>
      </c>
      <c r="D1481">
        <v>609</v>
      </c>
      <c r="E1481">
        <v>51</v>
      </c>
      <c r="F1481">
        <v>1</v>
      </c>
      <c r="G1481">
        <v>56.411617528768303</v>
      </c>
      <c r="H1481">
        <v>1</v>
      </c>
      <c r="I1481">
        <v>30</v>
      </c>
      <c r="K1481" t="s">
        <v>711</v>
      </c>
      <c r="L1481">
        <v>5</v>
      </c>
      <c r="M1481" t="s">
        <v>2323</v>
      </c>
      <c r="N1481" t="s">
        <v>726</v>
      </c>
      <c r="O1481">
        <v>1</v>
      </c>
    </row>
    <row r="1482" spans="1:15" x14ac:dyDescent="0.3">
      <c r="A1482" t="s">
        <v>1288</v>
      </c>
      <c r="B1482">
        <v>1535</v>
      </c>
      <c r="C1482">
        <v>860490577</v>
      </c>
      <c r="D1482">
        <v>735</v>
      </c>
      <c r="E1482">
        <v>734</v>
      </c>
      <c r="F1482">
        <v>1</v>
      </c>
      <c r="G1482">
        <v>26.0876221473521</v>
      </c>
      <c r="H1482">
        <v>2</v>
      </c>
      <c r="I1482">
        <v>35</v>
      </c>
      <c r="K1482" t="s">
        <v>890</v>
      </c>
      <c r="L1482">
        <v>4</v>
      </c>
      <c r="M1482" t="s">
        <v>2324</v>
      </c>
      <c r="N1482" t="s">
        <v>726</v>
      </c>
      <c r="O1482">
        <v>0</v>
      </c>
    </row>
    <row r="1483" spans="1:15" x14ac:dyDescent="0.3">
      <c r="A1483" t="s">
        <v>767</v>
      </c>
      <c r="B1483">
        <v>1536</v>
      </c>
      <c r="C1483">
        <v>860490578</v>
      </c>
      <c r="D1483">
        <v>735</v>
      </c>
      <c r="E1483">
        <v>736</v>
      </c>
      <c r="F1483">
        <v>1</v>
      </c>
      <c r="G1483">
        <v>11.729029138999699</v>
      </c>
      <c r="H1483">
        <v>1</v>
      </c>
      <c r="I1483">
        <v>30</v>
      </c>
      <c r="K1483" t="s">
        <v>711</v>
      </c>
      <c r="L1483">
        <v>5</v>
      </c>
      <c r="M1483" t="s">
        <v>2325</v>
      </c>
      <c r="N1483" t="s">
        <v>726</v>
      </c>
      <c r="O1483">
        <v>0</v>
      </c>
    </row>
    <row r="1484" spans="1:15" x14ac:dyDescent="0.3">
      <c r="A1484" t="s">
        <v>1288</v>
      </c>
      <c r="B1484">
        <v>1537</v>
      </c>
      <c r="C1484">
        <v>860784817</v>
      </c>
      <c r="D1484">
        <v>257</v>
      </c>
      <c r="E1484">
        <v>438</v>
      </c>
      <c r="F1484">
        <v>1</v>
      </c>
      <c r="G1484">
        <v>30.306734861177599</v>
      </c>
      <c r="H1484">
        <v>2</v>
      </c>
      <c r="I1484">
        <v>30</v>
      </c>
      <c r="K1484" t="s">
        <v>890</v>
      </c>
      <c r="L1484">
        <v>4</v>
      </c>
      <c r="M1484" t="s">
        <v>2326</v>
      </c>
      <c r="N1484" t="s">
        <v>726</v>
      </c>
      <c r="O1484">
        <v>0</v>
      </c>
    </row>
    <row r="1485" spans="1:15" x14ac:dyDescent="0.3">
      <c r="A1485" t="s">
        <v>1213</v>
      </c>
      <c r="B1485">
        <v>1538</v>
      </c>
      <c r="C1485">
        <v>860784818</v>
      </c>
      <c r="D1485">
        <v>191</v>
      </c>
      <c r="E1485">
        <v>356</v>
      </c>
      <c r="F1485">
        <v>1</v>
      </c>
      <c r="G1485">
        <v>37.863438318048502</v>
      </c>
      <c r="H1485">
        <v>1</v>
      </c>
      <c r="K1485" t="s">
        <v>711</v>
      </c>
      <c r="L1485">
        <v>5</v>
      </c>
      <c r="M1485" t="s">
        <v>2327</v>
      </c>
      <c r="N1485" t="s">
        <v>726</v>
      </c>
      <c r="O1485">
        <v>0</v>
      </c>
    </row>
    <row r="1486" spans="1:15" x14ac:dyDescent="0.3">
      <c r="A1486" t="s">
        <v>1213</v>
      </c>
      <c r="B1486">
        <v>1539</v>
      </c>
      <c r="C1486">
        <v>860784819</v>
      </c>
      <c r="D1486">
        <v>356</v>
      </c>
      <c r="E1486">
        <v>737</v>
      </c>
      <c r="F1486">
        <v>1</v>
      </c>
      <c r="G1486">
        <v>41.655587083318103</v>
      </c>
      <c r="H1486">
        <v>1</v>
      </c>
      <c r="K1486" t="s">
        <v>711</v>
      </c>
      <c r="L1486">
        <v>5</v>
      </c>
      <c r="M1486" t="s">
        <v>2328</v>
      </c>
      <c r="N1486" t="s">
        <v>726</v>
      </c>
      <c r="O1486">
        <v>0</v>
      </c>
    </row>
    <row r="1487" spans="1:15" x14ac:dyDescent="0.3">
      <c r="A1487" t="s">
        <v>1213</v>
      </c>
      <c r="B1487">
        <v>1540</v>
      </c>
      <c r="C1487">
        <v>860784820</v>
      </c>
      <c r="D1487">
        <v>257</v>
      </c>
      <c r="E1487">
        <v>191</v>
      </c>
      <c r="F1487">
        <v>1</v>
      </c>
      <c r="G1487">
        <v>25.188965713972401</v>
      </c>
      <c r="H1487">
        <v>1</v>
      </c>
      <c r="K1487" t="s">
        <v>711</v>
      </c>
      <c r="L1487">
        <v>5</v>
      </c>
      <c r="M1487" t="s">
        <v>2329</v>
      </c>
      <c r="N1487" t="s">
        <v>726</v>
      </c>
      <c r="O1487">
        <v>0</v>
      </c>
    </row>
    <row r="1488" spans="1:15" x14ac:dyDescent="0.3">
      <c r="B1488">
        <v>1541</v>
      </c>
      <c r="C1488">
        <v>867320103</v>
      </c>
      <c r="D1488">
        <v>813</v>
      </c>
      <c r="E1488">
        <v>671</v>
      </c>
      <c r="F1488">
        <v>1</v>
      </c>
      <c r="G1488">
        <v>41.803678687396598</v>
      </c>
      <c r="H1488">
        <v>1</v>
      </c>
      <c r="K1488" t="s">
        <v>729</v>
      </c>
      <c r="L1488">
        <v>6</v>
      </c>
      <c r="M1488" t="s">
        <v>2330</v>
      </c>
      <c r="N1488" t="s">
        <v>726</v>
      </c>
      <c r="O1488">
        <v>1</v>
      </c>
    </row>
    <row r="1489" spans="1:15" x14ac:dyDescent="0.3">
      <c r="B1489">
        <v>1542</v>
      </c>
      <c r="C1489">
        <v>867320103</v>
      </c>
      <c r="D1489">
        <v>671</v>
      </c>
      <c r="E1489">
        <v>813</v>
      </c>
      <c r="F1489">
        <v>1</v>
      </c>
      <c r="G1489">
        <v>41.803678687396598</v>
      </c>
      <c r="H1489">
        <v>1</v>
      </c>
      <c r="K1489" t="s">
        <v>729</v>
      </c>
      <c r="L1489">
        <v>6</v>
      </c>
      <c r="M1489" t="s">
        <v>2331</v>
      </c>
      <c r="N1489" t="s">
        <v>726</v>
      </c>
      <c r="O1489">
        <v>1</v>
      </c>
    </row>
    <row r="1490" spans="1:15" x14ac:dyDescent="0.3">
      <c r="B1490">
        <v>1543</v>
      </c>
      <c r="C1490">
        <v>867320104</v>
      </c>
      <c r="D1490">
        <v>741</v>
      </c>
      <c r="E1490">
        <v>562</v>
      </c>
      <c r="F1490">
        <v>1</v>
      </c>
      <c r="G1490">
        <v>16.899594192523701</v>
      </c>
      <c r="H1490">
        <v>1</v>
      </c>
      <c r="K1490" t="s">
        <v>729</v>
      </c>
      <c r="L1490">
        <v>6</v>
      </c>
      <c r="M1490" t="s">
        <v>2332</v>
      </c>
      <c r="N1490" t="s">
        <v>726</v>
      </c>
      <c r="O1490">
        <v>1</v>
      </c>
    </row>
    <row r="1491" spans="1:15" x14ac:dyDescent="0.3">
      <c r="B1491">
        <v>1544</v>
      </c>
      <c r="C1491">
        <v>867320104</v>
      </c>
      <c r="D1491">
        <v>562</v>
      </c>
      <c r="E1491">
        <v>741</v>
      </c>
      <c r="F1491">
        <v>1</v>
      </c>
      <c r="G1491">
        <v>16.899594192523701</v>
      </c>
      <c r="H1491">
        <v>1</v>
      </c>
      <c r="K1491" t="s">
        <v>729</v>
      </c>
      <c r="L1491">
        <v>6</v>
      </c>
      <c r="M1491" t="s">
        <v>2333</v>
      </c>
      <c r="N1491" t="s">
        <v>726</v>
      </c>
      <c r="O1491">
        <v>1</v>
      </c>
    </row>
    <row r="1492" spans="1:15" x14ac:dyDescent="0.3">
      <c r="A1492" t="s">
        <v>1355</v>
      </c>
      <c r="B1492">
        <v>1545</v>
      </c>
      <c r="C1492">
        <v>871746178</v>
      </c>
      <c r="D1492">
        <v>742</v>
      </c>
      <c r="E1492">
        <v>694</v>
      </c>
      <c r="F1492">
        <v>1</v>
      </c>
      <c r="G1492">
        <v>14.5901504230927</v>
      </c>
      <c r="H1492">
        <v>1</v>
      </c>
      <c r="K1492" t="s">
        <v>880</v>
      </c>
      <c r="L1492">
        <v>11</v>
      </c>
      <c r="M1492" t="s">
        <v>2334</v>
      </c>
      <c r="N1492" t="s">
        <v>726</v>
      </c>
      <c r="O1492">
        <v>1</v>
      </c>
    </row>
    <row r="1493" spans="1:15" x14ac:dyDescent="0.3">
      <c r="A1493" t="s">
        <v>1355</v>
      </c>
      <c r="B1493">
        <v>1546</v>
      </c>
      <c r="C1493">
        <v>871746178</v>
      </c>
      <c r="D1493">
        <v>694</v>
      </c>
      <c r="E1493">
        <v>742</v>
      </c>
      <c r="F1493">
        <v>1</v>
      </c>
      <c r="G1493">
        <v>14.5901504230927</v>
      </c>
      <c r="H1493">
        <v>1</v>
      </c>
      <c r="K1493" t="s">
        <v>880</v>
      </c>
      <c r="L1493">
        <v>11</v>
      </c>
      <c r="M1493" t="s">
        <v>2335</v>
      </c>
      <c r="N1493" t="s">
        <v>726</v>
      </c>
      <c r="O1493">
        <v>1</v>
      </c>
    </row>
    <row r="1494" spans="1:15" x14ac:dyDescent="0.3">
      <c r="A1494" t="s">
        <v>1355</v>
      </c>
      <c r="B1494">
        <v>1547</v>
      </c>
      <c r="C1494">
        <v>871746178</v>
      </c>
      <c r="D1494">
        <v>694</v>
      </c>
      <c r="E1494">
        <v>742</v>
      </c>
      <c r="F1494">
        <v>1</v>
      </c>
      <c r="G1494">
        <v>42.026232182149798</v>
      </c>
      <c r="H1494">
        <v>1</v>
      </c>
      <c r="K1494" t="s">
        <v>880</v>
      </c>
      <c r="L1494">
        <v>11</v>
      </c>
      <c r="M1494" t="s">
        <v>2336</v>
      </c>
      <c r="N1494" t="s">
        <v>726</v>
      </c>
      <c r="O1494">
        <v>1</v>
      </c>
    </row>
    <row r="1495" spans="1:15" x14ac:dyDescent="0.3">
      <c r="A1495" t="s">
        <v>1355</v>
      </c>
      <c r="B1495">
        <v>1548</v>
      </c>
      <c r="C1495">
        <v>871746178</v>
      </c>
      <c r="D1495">
        <v>742</v>
      </c>
      <c r="E1495">
        <v>694</v>
      </c>
      <c r="F1495">
        <v>1</v>
      </c>
      <c r="G1495">
        <v>42.026232182149798</v>
      </c>
      <c r="H1495">
        <v>1</v>
      </c>
      <c r="K1495" t="s">
        <v>880</v>
      </c>
      <c r="L1495">
        <v>11</v>
      </c>
      <c r="M1495" t="s">
        <v>2337</v>
      </c>
      <c r="N1495" t="s">
        <v>726</v>
      </c>
      <c r="O1495">
        <v>1</v>
      </c>
    </row>
    <row r="1496" spans="1:15" x14ac:dyDescent="0.3">
      <c r="A1496" t="s">
        <v>2338</v>
      </c>
      <c r="B1496">
        <v>1549</v>
      </c>
      <c r="C1496">
        <v>872138141</v>
      </c>
      <c r="D1496">
        <v>26</v>
      </c>
      <c r="E1496">
        <v>744</v>
      </c>
      <c r="F1496">
        <v>1</v>
      </c>
      <c r="G1496">
        <v>213.38654422602099</v>
      </c>
      <c r="H1496">
        <v>1</v>
      </c>
      <c r="K1496" t="s">
        <v>880</v>
      </c>
      <c r="L1496">
        <v>11</v>
      </c>
      <c r="M1496" t="s">
        <v>2339</v>
      </c>
      <c r="N1496" t="s">
        <v>726</v>
      </c>
      <c r="O1496">
        <v>1</v>
      </c>
    </row>
    <row r="1497" spans="1:15" x14ac:dyDescent="0.3">
      <c r="A1497" t="s">
        <v>2338</v>
      </c>
      <c r="B1497">
        <v>1550</v>
      </c>
      <c r="C1497">
        <v>872138141</v>
      </c>
      <c r="D1497">
        <v>744</v>
      </c>
      <c r="E1497">
        <v>26</v>
      </c>
      <c r="F1497">
        <v>1</v>
      </c>
      <c r="G1497">
        <v>213.38654422602099</v>
      </c>
      <c r="H1497">
        <v>1</v>
      </c>
      <c r="K1497" t="s">
        <v>880</v>
      </c>
      <c r="L1497">
        <v>11</v>
      </c>
      <c r="M1497" t="s">
        <v>2340</v>
      </c>
      <c r="N1497" t="s">
        <v>726</v>
      </c>
      <c r="O1497">
        <v>1</v>
      </c>
    </row>
    <row r="1498" spans="1:15" x14ac:dyDescent="0.3">
      <c r="A1498" t="s">
        <v>2338</v>
      </c>
      <c r="B1498">
        <v>1551</v>
      </c>
      <c r="C1498">
        <v>872138141</v>
      </c>
      <c r="D1498">
        <v>744</v>
      </c>
      <c r="E1498">
        <v>743</v>
      </c>
      <c r="F1498">
        <v>1</v>
      </c>
      <c r="G1498">
        <v>103.62819583369399</v>
      </c>
      <c r="H1498">
        <v>1</v>
      </c>
      <c r="K1498" t="s">
        <v>880</v>
      </c>
      <c r="L1498">
        <v>11</v>
      </c>
      <c r="M1498" t="s">
        <v>2341</v>
      </c>
      <c r="N1498" t="s">
        <v>726</v>
      </c>
      <c r="O1498">
        <v>1</v>
      </c>
    </row>
    <row r="1499" spans="1:15" x14ac:dyDescent="0.3">
      <c r="A1499" t="s">
        <v>2338</v>
      </c>
      <c r="B1499">
        <v>1552</v>
      </c>
      <c r="C1499">
        <v>872138141</v>
      </c>
      <c r="D1499">
        <v>743</v>
      </c>
      <c r="E1499">
        <v>744</v>
      </c>
      <c r="F1499">
        <v>1</v>
      </c>
      <c r="G1499">
        <v>103.62819583369399</v>
      </c>
      <c r="H1499">
        <v>1</v>
      </c>
      <c r="K1499" t="s">
        <v>880</v>
      </c>
      <c r="L1499">
        <v>11</v>
      </c>
      <c r="M1499" t="s">
        <v>2342</v>
      </c>
      <c r="N1499" t="s">
        <v>726</v>
      </c>
      <c r="O1499">
        <v>1</v>
      </c>
    </row>
    <row r="1500" spans="1:15" x14ac:dyDescent="0.3">
      <c r="A1500" t="s">
        <v>2343</v>
      </c>
      <c r="B1500">
        <v>1553</v>
      </c>
      <c r="C1500">
        <v>872138142</v>
      </c>
      <c r="D1500">
        <v>0</v>
      </c>
      <c r="E1500">
        <v>744</v>
      </c>
      <c r="F1500">
        <v>1</v>
      </c>
      <c r="G1500">
        <v>129.42047327510599</v>
      </c>
      <c r="H1500">
        <v>1</v>
      </c>
      <c r="K1500" t="s">
        <v>880</v>
      </c>
      <c r="L1500">
        <v>11</v>
      </c>
      <c r="M1500" t="s">
        <v>2344</v>
      </c>
      <c r="N1500" t="s">
        <v>726</v>
      </c>
      <c r="O1500">
        <v>1</v>
      </c>
    </row>
    <row r="1501" spans="1:15" x14ac:dyDescent="0.3">
      <c r="A1501" t="s">
        <v>2343</v>
      </c>
      <c r="B1501">
        <v>1554</v>
      </c>
      <c r="C1501">
        <v>872138142</v>
      </c>
      <c r="D1501">
        <v>744</v>
      </c>
      <c r="E1501">
        <v>0</v>
      </c>
      <c r="F1501">
        <v>1</v>
      </c>
      <c r="G1501">
        <v>129.42047327510599</v>
      </c>
      <c r="H1501">
        <v>1</v>
      </c>
      <c r="K1501" t="s">
        <v>880</v>
      </c>
      <c r="L1501">
        <v>11</v>
      </c>
      <c r="M1501" t="s">
        <v>2345</v>
      </c>
      <c r="N1501" t="s">
        <v>726</v>
      </c>
      <c r="O1501">
        <v>1</v>
      </c>
    </row>
    <row r="1502" spans="1:15" x14ac:dyDescent="0.3">
      <c r="A1502" t="s">
        <v>2343</v>
      </c>
      <c r="B1502">
        <v>1555</v>
      </c>
      <c r="C1502">
        <v>872138142</v>
      </c>
      <c r="D1502">
        <v>744</v>
      </c>
      <c r="E1502">
        <v>353</v>
      </c>
      <c r="F1502">
        <v>1</v>
      </c>
      <c r="G1502">
        <v>147.25173738593699</v>
      </c>
      <c r="H1502">
        <v>1</v>
      </c>
      <c r="K1502" t="s">
        <v>880</v>
      </c>
      <c r="L1502">
        <v>11</v>
      </c>
      <c r="M1502" t="s">
        <v>2346</v>
      </c>
      <c r="N1502" t="s">
        <v>726</v>
      </c>
      <c r="O1502">
        <v>1</v>
      </c>
    </row>
    <row r="1503" spans="1:15" x14ac:dyDescent="0.3">
      <c r="A1503" t="s">
        <v>2343</v>
      </c>
      <c r="B1503">
        <v>1556</v>
      </c>
      <c r="C1503">
        <v>872138142</v>
      </c>
      <c r="D1503">
        <v>353</v>
      </c>
      <c r="E1503">
        <v>744</v>
      </c>
      <c r="F1503">
        <v>1</v>
      </c>
      <c r="G1503">
        <v>147.25173738593699</v>
      </c>
      <c r="H1503">
        <v>1</v>
      </c>
      <c r="K1503" t="s">
        <v>880</v>
      </c>
      <c r="L1503">
        <v>11</v>
      </c>
      <c r="M1503" t="s">
        <v>2347</v>
      </c>
      <c r="N1503" t="s">
        <v>726</v>
      </c>
      <c r="O1503">
        <v>1</v>
      </c>
    </row>
    <row r="1504" spans="1:15" x14ac:dyDescent="0.3">
      <c r="B1504">
        <v>1557</v>
      </c>
      <c r="C1504">
        <v>889439248</v>
      </c>
      <c r="D1504">
        <v>746</v>
      </c>
      <c r="E1504">
        <v>647</v>
      </c>
      <c r="F1504">
        <v>1</v>
      </c>
      <c r="G1504">
        <v>9.8655047358450396</v>
      </c>
      <c r="H1504">
        <v>1</v>
      </c>
      <c r="K1504" t="s">
        <v>890</v>
      </c>
      <c r="L1504">
        <v>4</v>
      </c>
      <c r="M1504" t="s">
        <v>2348</v>
      </c>
      <c r="N1504" t="s">
        <v>726</v>
      </c>
      <c r="O1504">
        <v>1</v>
      </c>
    </row>
    <row r="1505" spans="1:15" x14ac:dyDescent="0.3">
      <c r="B1505">
        <v>1558</v>
      </c>
      <c r="C1505">
        <v>889439248</v>
      </c>
      <c r="D1505">
        <v>647</v>
      </c>
      <c r="E1505">
        <v>746</v>
      </c>
      <c r="F1505">
        <v>1</v>
      </c>
      <c r="G1505">
        <v>9.8655047358450396</v>
      </c>
      <c r="H1505">
        <v>1</v>
      </c>
      <c r="K1505" t="s">
        <v>890</v>
      </c>
      <c r="L1505">
        <v>4</v>
      </c>
      <c r="M1505" t="s">
        <v>2349</v>
      </c>
      <c r="N1505" t="s">
        <v>726</v>
      </c>
      <c r="O1505">
        <v>1</v>
      </c>
    </row>
    <row r="1506" spans="1:15" x14ac:dyDescent="0.3">
      <c r="A1506" t="s">
        <v>889</v>
      </c>
      <c r="B1506">
        <v>1559</v>
      </c>
      <c r="C1506">
        <v>889439249</v>
      </c>
      <c r="D1506">
        <v>1969</v>
      </c>
      <c r="E1506">
        <v>493</v>
      </c>
      <c r="F1506">
        <v>1</v>
      </c>
      <c r="G1506">
        <v>109.390961915227</v>
      </c>
      <c r="H1506">
        <v>2</v>
      </c>
      <c r="I1506">
        <v>35</v>
      </c>
      <c r="K1506" t="s">
        <v>890</v>
      </c>
      <c r="L1506">
        <v>4</v>
      </c>
      <c r="M1506" t="s">
        <v>2350</v>
      </c>
      <c r="N1506" t="s">
        <v>726</v>
      </c>
      <c r="O1506">
        <v>0</v>
      </c>
    </row>
    <row r="1507" spans="1:15" x14ac:dyDescent="0.3">
      <c r="A1507" t="s">
        <v>889</v>
      </c>
      <c r="B1507">
        <v>1560</v>
      </c>
      <c r="C1507">
        <v>889439250</v>
      </c>
      <c r="D1507">
        <v>1952</v>
      </c>
      <c r="E1507">
        <v>746</v>
      </c>
      <c r="F1507">
        <v>1</v>
      </c>
      <c r="G1507">
        <v>91.019980304940205</v>
      </c>
      <c r="H1507">
        <v>2</v>
      </c>
      <c r="I1507">
        <v>35</v>
      </c>
      <c r="K1507" t="s">
        <v>890</v>
      </c>
      <c r="L1507">
        <v>4</v>
      </c>
      <c r="M1507" t="s">
        <v>2351</v>
      </c>
      <c r="N1507" t="s">
        <v>726</v>
      </c>
      <c r="O1507">
        <v>0</v>
      </c>
    </row>
    <row r="1508" spans="1:15" x14ac:dyDescent="0.3">
      <c r="A1508" t="s">
        <v>889</v>
      </c>
      <c r="B1508">
        <v>1561</v>
      </c>
      <c r="C1508">
        <v>889439250</v>
      </c>
      <c r="D1508">
        <v>746</v>
      </c>
      <c r="E1508">
        <v>1969</v>
      </c>
      <c r="F1508">
        <v>1</v>
      </c>
      <c r="G1508">
        <v>299.39489438462198</v>
      </c>
      <c r="H1508">
        <v>2</v>
      </c>
      <c r="I1508">
        <v>35</v>
      </c>
      <c r="K1508" t="s">
        <v>890</v>
      </c>
      <c r="L1508">
        <v>4</v>
      </c>
      <c r="M1508" t="s">
        <v>2352</v>
      </c>
      <c r="N1508" t="s">
        <v>726</v>
      </c>
      <c r="O1508">
        <v>0</v>
      </c>
    </row>
    <row r="1509" spans="1:15" x14ac:dyDescent="0.3">
      <c r="A1509" t="s">
        <v>1143</v>
      </c>
      <c r="B1509">
        <v>1565</v>
      </c>
      <c r="C1509">
        <v>909473840</v>
      </c>
      <c r="D1509">
        <v>1963</v>
      </c>
      <c r="E1509">
        <v>418</v>
      </c>
      <c r="F1509">
        <v>1</v>
      </c>
      <c r="G1509">
        <v>63.5840437398437</v>
      </c>
      <c r="H1509">
        <v>1</v>
      </c>
      <c r="K1509" t="s">
        <v>729</v>
      </c>
      <c r="L1509">
        <v>6</v>
      </c>
      <c r="M1509" t="s">
        <v>2353</v>
      </c>
      <c r="N1509" t="s">
        <v>726</v>
      </c>
      <c r="O1509">
        <v>0</v>
      </c>
    </row>
    <row r="1510" spans="1:15" x14ac:dyDescent="0.3">
      <c r="A1510" t="s">
        <v>2130</v>
      </c>
      <c r="B1510">
        <v>1566</v>
      </c>
      <c r="C1510">
        <v>909486469</v>
      </c>
      <c r="D1510">
        <v>56</v>
      </c>
      <c r="E1510">
        <v>748</v>
      </c>
      <c r="F1510">
        <v>1</v>
      </c>
      <c r="G1510">
        <v>134.21203601363001</v>
      </c>
      <c r="H1510">
        <v>1</v>
      </c>
      <c r="K1510" t="s">
        <v>729</v>
      </c>
      <c r="L1510">
        <v>6</v>
      </c>
      <c r="M1510" t="s">
        <v>2354</v>
      </c>
      <c r="N1510" t="s">
        <v>726</v>
      </c>
      <c r="O1510">
        <v>0</v>
      </c>
    </row>
    <row r="1511" spans="1:15" x14ac:dyDescent="0.3">
      <c r="A1511" t="s">
        <v>2130</v>
      </c>
      <c r="B1511">
        <v>1567</v>
      </c>
      <c r="C1511">
        <v>909486470</v>
      </c>
      <c r="D1511">
        <v>591</v>
      </c>
      <c r="E1511">
        <v>748</v>
      </c>
      <c r="F1511">
        <v>1</v>
      </c>
      <c r="G1511">
        <v>14.5364141054595</v>
      </c>
      <c r="H1511">
        <v>1</v>
      </c>
      <c r="K1511" t="s">
        <v>729</v>
      </c>
      <c r="L1511">
        <v>6</v>
      </c>
      <c r="M1511" t="s">
        <v>2355</v>
      </c>
      <c r="N1511" t="s">
        <v>726</v>
      </c>
      <c r="O1511">
        <v>1</v>
      </c>
    </row>
    <row r="1512" spans="1:15" x14ac:dyDescent="0.3">
      <c r="A1512" t="s">
        <v>2130</v>
      </c>
      <c r="B1512">
        <v>1568</v>
      </c>
      <c r="C1512">
        <v>909486470</v>
      </c>
      <c r="D1512">
        <v>748</v>
      </c>
      <c r="E1512">
        <v>591</v>
      </c>
      <c r="F1512">
        <v>1</v>
      </c>
      <c r="G1512">
        <v>14.5364141054595</v>
      </c>
      <c r="H1512">
        <v>1</v>
      </c>
      <c r="K1512" t="s">
        <v>729</v>
      </c>
      <c r="L1512">
        <v>6</v>
      </c>
      <c r="M1512" t="s">
        <v>2356</v>
      </c>
      <c r="N1512" t="s">
        <v>726</v>
      </c>
      <c r="O1512">
        <v>1</v>
      </c>
    </row>
    <row r="1513" spans="1:15" x14ac:dyDescent="0.3">
      <c r="A1513" t="s">
        <v>2130</v>
      </c>
      <c r="B1513">
        <v>1569</v>
      </c>
      <c r="C1513">
        <v>909486471</v>
      </c>
      <c r="D1513">
        <v>748</v>
      </c>
      <c r="E1513">
        <v>195</v>
      </c>
      <c r="F1513">
        <v>1</v>
      </c>
      <c r="G1513">
        <v>59.300026118163103</v>
      </c>
      <c r="H1513">
        <v>1</v>
      </c>
      <c r="K1513" t="s">
        <v>729</v>
      </c>
      <c r="L1513">
        <v>6</v>
      </c>
      <c r="M1513" t="s">
        <v>2357</v>
      </c>
      <c r="N1513" t="s">
        <v>726</v>
      </c>
      <c r="O1513">
        <v>0</v>
      </c>
    </row>
    <row r="1514" spans="1:15" x14ac:dyDescent="0.3">
      <c r="A1514" t="s">
        <v>834</v>
      </c>
      <c r="B1514">
        <v>1570</v>
      </c>
      <c r="C1514">
        <v>909486473</v>
      </c>
      <c r="D1514">
        <v>96</v>
      </c>
      <c r="E1514">
        <v>55</v>
      </c>
      <c r="F1514">
        <v>1</v>
      </c>
      <c r="G1514">
        <v>291.08121113595899</v>
      </c>
      <c r="H1514">
        <v>1</v>
      </c>
      <c r="K1514" t="s">
        <v>729</v>
      </c>
      <c r="L1514">
        <v>6</v>
      </c>
      <c r="M1514" t="s">
        <v>2358</v>
      </c>
      <c r="N1514" t="s">
        <v>726</v>
      </c>
      <c r="O1514">
        <v>1</v>
      </c>
    </row>
    <row r="1515" spans="1:15" x14ac:dyDescent="0.3">
      <c r="A1515" t="s">
        <v>834</v>
      </c>
      <c r="B1515">
        <v>1571</v>
      </c>
      <c r="C1515">
        <v>909486473</v>
      </c>
      <c r="D1515">
        <v>55</v>
      </c>
      <c r="E1515">
        <v>96</v>
      </c>
      <c r="F1515">
        <v>1</v>
      </c>
      <c r="G1515">
        <v>291.08121113595899</v>
      </c>
      <c r="H1515">
        <v>1</v>
      </c>
      <c r="K1515" t="s">
        <v>729</v>
      </c>
      <c r="L1515">
        <v>6</v>
      </c>
      <c r="M1515" t="s">
        <v>2359</v>
      </c>
      <c r="N1515" t="s">
        <v>726</v>
      </c>
      <c r="O1515">
        <v>1</v>
      </c>
    </row>
    <row r="1516" spans="1:15" x14ac:dyDescent="0.3">
      <c r="A1516" t="s">
        <v>834</v>
      </c>
      <c r="B1516">
        <v>1572</v>
      </c>
      <c r="C1516">
        <v>909486474</v>
      </c>
      <c r="D1516">
        <v>55</v>
      </c>
      <c r="E1516">
        <v>670</v>
      </c>
      <c r="F1516">
        <v>1</v>
      </c>
      <c r="G1516">
        <v>82.423914543324699</v>
      </c>
      <c r="H1516">
        <v>1</v>
      </c>
      <c r="K1516" t="s">
        <v>729</v>
      </c>
      <c r="L1516">
        <v>6</v>
      </c>
      <c r="M1516" t="s">
        <v>2360</v>
      </c>
      <c r="N1516" t="s">
        <v>726</v>
      </c>
      <c r="O1516">
        <v>1</v>
      </c>
    </row>
    <row r="1517" spans="1:15" x14ac:dyDescent="0.3">
      <c r="A1517" t="s">
        <v>834</v>
      </c>
      <c r="B1517">
        <v>1573</v>
      </c>
      <c r="C1517">
        <v>909486474</v>
      </c>
      <c r="D1517">
        <v>670</v>
      </c>
      <c r="E1517">
        <v>55</v>
      </c>
      <c r="F1517">
        <v>1</v>
      </c>
      <c r="G1517">
        <v>82.423914543324699</v>
      </c>
      <c r="H1517">
        <v>1</v>
      </c>
      <c r="K1517" t="s">
        <v>729</v>
      </c>
      <c r="L1517">
        <v>6</v>
      </c>
      <c r="M1517" t="s">
        <v>2361</v>
      </c>
      <c r="N1517" t="s">
        <v>726</v>
      </c>
      <c r="O1517">
        <v>1</v>
      </c>
    </row>
    <row r="1518" spans="1:15" x14ac:dyDescent="0.3">
      <c r="A1518" t="s">
        <v>1018</v>
      </c>
      <c r="B1518">
        <v>1574</v>
      </c>
      <c r="C1518">
        <v>909501716</v>
      </c>
      <c r="D1518">
        <v>749</v>
      </c>
      <c r="E1518">
        <v>1951</v>
      </c>
      <c r="F1518">
        <v>1</v>
      </c>
      <c r="G1518">
        <v>41.410212429570002</v>
      </c>
      <c r="H1518">
        <v>1</v>
      </c>
      <c r="I1518">
        <v>25</v>
      </c>
      <c r="K1518" t="s">
        <v>729</v>
      </c>
      <c r="L1518">
        <v>6</v>
      </c>
      <c r="M1518" t="s">
        <v>2362</v>
      </c>
      <c r="N1518" t="s">
        <v>726</v>
      </c>
      <c r="O1518">
        <v>1</v>
      </c>
    </row>
    <row r="1519" spans="1:15" x14ac:dyDescent="0.3">
      <c r="A1519" t="s">
        <v>1018</v>
      </c>
      <c r="B1519">
        <v>1575</v>
      </c>
      <c r="C1519">
        <v>909501716</v>
      </c>
      <c r="D1519">
        <v>1951</v>
      </c>
      <c r="E1519">
        <v>749</v>
      </c>
      <c r="F1519">
        <v>1</v>
      </c>
      <c r="G1519">
        <v>41.410212429570002</v>
      </c>
      <c r="H1519">
        <v>1</v>
      </c>
      <c r="I1519">
        <v>25</v>
      </c>
      <c r="K1519" t="s">
        <v>729</v>
      </c>
      <c r="L1519">
        <v>6</v>
      </c>
      <c r="M1519" t="s">
        <v>2363</v>
      </c>
      <c r="N1519" t="s">
        <v>726</v>
      </c>
      <c r="O1519">
        <v>1</v>
      </c>
    </row>
    <row r="1520" spans="1:15" x14ac:dyDescent="0.3">
      <c r="A1520" t="s">
        <v>1018</v>
      </c>
      <c r="B1520">
        <v>1578</v>
      </c>
      <c r="C1520">
        <v>909501716</v>
      </c>
      <c r="D1520">
        <v>1951</v>
      </c>
      <c r="E1520">
        <v>282</v>
      </c>
      <c r="F1520">
        <v>1</v>
      </c>
      <c r="G1520">
        <v>68.602303500460494</v>
      </c>
      <c r="H1520">
        <v>1</v>
      </c>
      <c r="I1520">
        <v>25</v>
      </c>
      <c r="K1520" t="s">
        <v>729</v>
      </c>
      <c r="L1520">
        <v>6</v>
      </c>
      <c r="M1520" t="s">
        <v>2364</v>
      </c>
      <c r="N1520" t="s">
        <v>726</v>
      </c>
      <c r="O1520">
        <v>1</v>
      </c>
    </row>
    <row r="1521" spans="1:15" x14ac:dyDescent="0.3">
      <c r="A1521" t="s">
        <v>1018</v>
      </c>
      <c r="B1521">
        <v>1579</v>
      </c>
      <c r="C1521">
        <v>909501716</v>
      </c>
      <c r="D1521">
        <v>282</v>
      </c>
      <c r="E1521">
        <v>1951</v>
      </c>
      <c r="F1521">
        <v>1</v>
      </c>
      <c r="G1521">
        <v>68.602303500460494</v>
      </c>
      <c r="H1521">
        <v>1</v>
      </c>
      <c r="I1521">
        <v>25</v>
      </c>
      <c r="K1521" t="s">
        <v>729</v>
      </c>
      <c r="L1521">
        <v>6</v>
      </c>
      <c r="M1521" t="s">
        <v>2365</v>
      </c>
      <c r="N1521" t="s">
        <v>726</v>
      </c>
      <c r="O1521">
        <v>1</v>
      </c>
    </row>
    <row r="1522" spans="1:15" x14ac:dyDescent="0.3">
      <c r="A1522" t="s">
        <v>746</v>
      </c>
      <c r="B1522">
        <v>1580</v>
      </c>
      <c r="C1522">
        <v>909501729</v>
      </c>
      <c r="D1522">
        <v>750</v>
      </c>
      <c r="E1522">
        <v>29</v>
      </c>
      <c r="F1522">
        <v>1</v>
      </c>
      <c r="G1522">
        <v>23.487230485891899</v>
      </c>
      <c r="H1522">
        <v>1</v>
      </c>
      <c r="K1522" t="s">
        <v>729</v>
      </c>
      <c r="L1522">
        <v>6</v>
      </c>
      <c r="M1522" t="s">
        <v>2366</v>
      </c>
      <c r="N1522" t="s">
        <v>726</v>
      </c>
      <c r="O1522">
        <v>0</v>
      </c>
    </row>
    <row r="1523" spans="1:15" x14ac:dyDescent="0.3">
      <c r="A1523" t="s">
        <v>746</v>
      </c>
      <c r="B1523">
        <v>1581</v>
      </c>
      <c r="C1523">
        <v>909501729</v>
      </c>
      <c r="D1523">
        <v>29</v>
      </c>
      <c r="E1523">
        <v>750</v>
      </c>
      <c r="F1523">
        <v>1</v>
      </c>
      <c r="G1523">
        <v>42.777575727109102</v>
      </c>
      <c r="H1523">
        <v>1</v>
      </c>
      <c r="K1523" t="s">
        <v>729</v>
      </c>
      <c r="L1523">
        <v>6</v>
      </c>
      <c r="M1523" t="s">
        <v>2367</v>
      </c>
      <c r="N1523" t="s">
        <v>726</v>
      </c>
      <c r="O1523">
        <v>0</v>
      </c>
    </row>
    <row r="1524" spans="1:15" x14ac:dyDescent="0.3">
      <c r="A1524" t="s">
        <v>1701</v>
      </c>
      <c r="B1524">
        <v>1582</v>
      </c>
      <c r="C1524">
        <v>909501763</v>
      </c>
      <c r="D1524">
        <v>751</v>
      </c>
      <c r="E1524">
        <v>484</v>
      </c>
      <c r="F1524">
        <v>1</v>
      </c>
      <c r="G1524">
        <v>19.721737779911301</v>
      </c>
      <c r="H1524">
        <v>2</v>
      </c>
      <c r="I1524">
        <v>40</v>
      </c>
      <c r="K1524" t="s">
        <v>724</v>
      </c>
      <c r="L1524">
        <v>3</v>
      </c>
      <c r="M1524" t="s">
        <v>2368</v>
      </c>
      <c r="N1524" t="s">
        <v>726</v>
      </c>
      <c r="O1524">
        <v>1</v>
      </c>
    </row>
    <row r="1525" spans="1:15" x14ac:dyDescent="0.3">
      <c r="A1525" t="s">
        <v>1701</v>
      </c>
      <c r="B1525">
        <v>1583</v>
      </c>
      <c r="C1525">
        <v>909501763</v>
      </c>
      <c r="D1525">
        <v>484</v>
      </c>
      <c r="E1525">
        <v>751</v>
      </c>
      <c r="F1525">
        <v>1</v>
      </c>
      <c r="G1525">
        <v>19.721737779911301</v>
      </c>
      <c r="H1525">
        <v>2</v>
      </c>
      <c r="I1525">
        <v>40</v>
      </c>
      <c r="K1525" t="s">
        <v>724</v>
      </c>
      <c r="L1525">
        <v>3</v>
      </c>
      <c r="M1525" t="s">
        <v>2369</v>
      </c>
      <c r="N1525" t="s">
        <v>726</v>
      </c>
      <c r="O1525">
        <v>1</v>
      </c>
    </row>
    <row r="1526" spans="1:15" x14ac:dyDescent="0.3">
      <c r="A1526" t="s">
        <v>1701</v>
      </c>
      <c r="B1526">
        <v>1584</v>
      </c>
      <c r="C1526">
        <v>909501764</v>
      </c>
      <c r="D1526">
        <v>751</v>
      </c>
      <c r="E1526">
        <v>483</v>
      </c>
      <c r="F1526">
        <v>1</v>
      </c>
      <c r="G1526">
        <v>44.525565346172797</v>
      </c>
      <c r="H1526">
        <v>2</v>
      </c>
      <c r="I1526">
        <v>40</v>
      </c>
      <c r="K1526" t="s">
        <v>724</v>
      </c>
      <c r="L1526">
        <v>3</v>
      </c>
      <c r="M1526" t="s">
        <v>2370</v>
      </c>
      <c r="N1526" t="s">
        <v>726</v>
      </c>
      <c r="O1526">
        <v>0</v>
      </c>
    </row>
    <row r="1527" spans="1:15" x14ac:dyDescent="0.3">
      <c r="B1527">
        <v>1585</v>
      </c>
      <c r="C1527">
        <v>909767547</v>
      </c>
      <c r="D1527">
        <v>753</v>
      </c>
      <c r="E1527">
        <v>589</v>
      </c>
      <c r="F1527">
        <v>1</v>
      </c>
      <c r="G1527">
        <v>9.0567274032577103</v>
      </c>
      <c r="H1527">
        <v>1</v>
      </c>
      <c r="K1527" t="s">
        <v>729</v>
      </c>
      <c r="L1527">
        <v>6</v>
      </c>
      <c r="M1527" t="s">
        <v>2371</v>
      </c>
      <c r="N1527" t="s">
        <v>726</v>
      </c>
      <c r="O1527">
        <v>0</v>
      </c>
    </row>
    <row r="1528" spans="1:15" x14ac:dyDescent="0.3">
      <c r="B1528">
        <v>1586</v>
      </c>
      <c r="C1528">
        <v>909767547</v>
      </c>
      <c r="D1528">
        <v>589</v>
      </c>
      <c r="E1528">
        <v>752</v>
      </c>
      <c r="F1528">
        <v>1</v>
      </c>
      <c r="G1528">
        <v>39.527457869174597</v>
      </c>
      <c r="H1528">
        <v>1</v>
      </c>
      <c r="K1528" t="s">
        <v>729</v>
      </c>
      <c r="L1528">
        <v>6</v>
      </c>
      <c r="M1528" t="s">
        <v>2372</v>
      </c>
      <c r="N1528" t="s">
        <v>726</v>
      </c>
      <c r="O1528">
        <v>0</v>
      </c>
    </row>
    <row r="1529" spans="1:15" x14ac:dyDescent="0.3">
      <c r="B1529">
        <v>1587</v>
      </c>
      <c r="C1529">
        <v>909767547</v>
      </c>
      <c r="D1529">
        <v>752</v>
      </c>
      <c r="E1529">
        <v>753</v>
      </c>
      <c r="F1529">
        <v>1</v>
      </c>
      <c r="G1529">
        <v>40.805915176308197</v>
      </c>
      <c r="H1529">
        <v>1</v>
      </c>
      <c r="K1529" t="s">
        <v>729</v>
      </c>
      <c r="L1529">
        <v>6</v>
      </c>
      <c r="M1529" t="s">
        <v>2373</v>
      </c>
      <c r="N1529" t="s">
        <v>726</v>
      </c>
      <c r="O1529">
        <v>0</v>
      </c>
    </row>
    <row r="1530" spans="1:15" x14ac:dyDescent="0.3">
      <c r="B1530">
        <v>1588</v>
      </c>
      <c r="C1530">
        <v>909767560</v>
      </c>
      <c r="D1530">
        <v>204</v>
      </c>
      <c r="E1530">
        <v>754</v>
      </c>
      <c r="F1530">
        <v>1</v>
      </c>
      <c r="G1530">
        <v>30.511399037491799</v>
      </c>
      <c r="H1530">
        <v>1</v>
      </c>
      <c r="K1530" t="s">
        <v>729</v>
      </c>
      <c r="L1530">
        <v>6</v>
      </c>
      <c r="M1530" t="s">
        <v>2374</v>
      </c>
      <c r="N1530" t="s">
        <v>726</v>
      </c>
      <c r="O1530">
        <v>1</v>
      </c>
    </row>
    <row r="1531" spans="1:15" x14ac:dyDescent="0.3">
      <c r="B1531">
        <v>1589</v>
      </c>
      <c r="C1531">
        <v>909767560</v>
      </c>
      <c r="D1531">
        <v>754</v>
      </c>
      <c r="E1531">
        <v>204</v>
      </c>
      <c r="F1531">
        <v>1</v>
      </c>
      <c r="G1531">
        <v>30.511399037491799</v>
      </c>
      <c r="H1531">
        <v>1</v>
      </c>
      <c r="K1531" t="s">
        <v>729</v>
      </c>
      <c r="L1531">
        <v>6</v>
      </c>
      <c r="M1531" t="s">
        <v>2375</v>
      </c>
      <c r="N1531" t="s">
        <v>726</v>
      </c>
      <c r="O1531">
        <v>1</v>
      </c>
    </row>
    <row r="1532" spans="1:15" x14ac:dyDescent="0.3">
      <c r="A1532" t="s">
        <v>889</v>
      </c>
      <c r="B1532">
        <v>1590</v>
      </c>
      <c r="C1532">
        <v>909817906</v>
      </c>
      <c r="D1532">
        <v>350</v>
      </c>
      <c r="E1532">
        <v>1964</v>
      </c>
      <c r="F1532">
        <v>1</v>
      </c>
      <c r="G1532">
        <v>129.11561687815399</v>
      </c>
      <c r="H1532">
        <v>2</v>
      </c>
      <c r="I1532">
        <v>35</v>
      </c>
      <c r="K1532" t="s">
        <v>890</v>
      </c>
      <c r="L1532">
        <v>4</v>
      </c>
      <c r="M1532" t="s">
        <v>2376</v>
      </c>
      <c r="N1532" t="s">
        <v>726</v>
      </c>
      <c r="O1532">
        <v>0</v>
      </c>
    </row>
    <row r="1533" spans="1:15" x14ac:dyDescent="0.3">
      <c r="A1533" t="s">
        <v>1221</v>
      </c>
      <c r="B1533">
        <v>1591</v>
      </c>
      <c r="C1533">
        <v>909831620</v>
      </c>
      <c r="D1533">
        <v>757</v>
      </c>
      <c r="E1533">
        <v>755</v>
      </c>
      <c r="F1533">
        <v>1</v>
      </c>
      <c r="G1533">
        <v>163.56177925272701</v>
      </c>
      <c r="H1533">
        <v>2</v>
      </c>
      <c r="I1533">
        <v>40</v>
      </c>
      <c r="K1533" t="s">
        <v>890</v>
      </c>
      <c r="L1533">
        <v>4</v>
      </c>
      <c r="M1533" t="s">
        <v>2377</v>
      </c>
      <c r="N1533" t="s">
        <v>726</v>
      </c>
      <c r="O1533">
        <v>0</v>
      </c>
    </row>
    <row r="1534" spans="1:15" x14ac:dyDescent="0.3">
      <c r="A1534" t="s">
        <v>1221</v>
      </c>
      <c r="B1534">
        <v>1592</v>
      </c>
      <c r="C1534">
        <v>909831621</v>
      </c>
      <c r="D1534">
        <v>755</v>
      </c>
      <c r="E1534">
        <v>756</v>
      </c>
      <c r="F1534">
        <v>1</v>
      </c>
      <c r="G1534">
        <v>107.103225231488</v>
      </c>
      <c r="H1534">
        <v>3</v>
      </c>
      <c r="I1534">
        <v>40</v>
      </c>
      <c r="K1534" t="s">
        <v>890</v>
      </c>
      <c r="L1534">
        <v>4</v>
      </c>
      <c r="M1534" t="s">
        <v>2378</v>
      </c>
      <c r="N1534" t="s">
        <v>726</v>
      </c>
      <c r="O1534">
        <v>0</v>
      </c>
    </row>
    <row r="1535" spans="1:15" x14ac:dyDescent="0.3">
      <c r="A1535" t="s">
        <v>1221</v>
      </c>
      <c r="B1535">
        <v>1593</v>
      </c>
      <c r="C1535">
        <v>911576955</v>
      </c>
      <c r="D1535">
        <v>757</v>
      </c>
      <c r="E1535">
        <v>584</v>
      </c>
      <c r="F1535">
        <v>1</v>
      </c>
      <c r="G1535">
        <v>60.780412908191401</v>
      </c>
      <c r="H1535">
        <v>3</v>
      </c>
      <c r="I1535">
        <v>40</v>
      </c>
      <c r="K1535" t="s">
        <v>890</v>
      </c>
      <c r="L1535">
        <v>4</v>
      </c>
      <c r="M1535" t="s">
        <v>2379</v>
      </c>
      <c r="N1535" t="s">
        <v>726</v>
      </c>
      <c r="O1535">
        <v>1</v>
      </c>
    </row>
    <row r="1536" spans="1:15" x14ac:dyDescent="0.3">
      <c r="A1536" t="s">
        <v>1221</v>
      </c>
      <c r="B1536">
        <v>1594</v>
      </c>
      <c r="C1536">
        <v>911576955</v>
      </c>
      <c r="D1536">
        <v>584</v>
      </c>
      <c r="E1536">
        <v>757</v>
      </c>
      <c r="F1536">
        <v>1</v>
      </c>
      <c r="G1536">
        <v>60.780412908191401</v>
      </c>
      <c r="H1536">
        <v>2</v>
      </c>
      <c r="I1536">
        <v>40</v>
      </c>
      <c r="K1536" t="s">
        <v>890</v>
      </c>
      <c r="L1536">
        <v>4</v>
      </c>
      <c r="M1536" t="s">
        <v>2380</v>
      </c>
      <c r="N1536" t="s">
        <v>726</v>
      </c>
      <c r="O1536">
        <v>1</v>
      </c>
    </row>
    <row r="1537" spans="1:15" x14ac:dyDescent="0.3">
      <c r="A1537" t="s">
        <v>1221</v>
      </c>
      <c r="B1537">
        <v>1595</v>
      </c>
      <c r="C1537">
        <v>911576956</v>
      </c>
      <c r="D1537">
        <v>758</v>
      </c>
      <c r="E1537">
        <v>757</v>
      </c>
      <c r="F1537">
        <v>1</v>
      </c>
      <c r="G1537">
        <v>163.34517999180699</v>
      </c>
      <c r="H1537">
        <v>2</v>
      </c>
      <c r="I1537">
        <v>40</v>
      </c>
      <c r="K1537" t="s">
        <v>890</v>
      </c>
      <c r="L1537">
        <v>4</v>
      </c>
      <c r="M1537" t="s">
        <v>2381</v>
      </c>
      <c r="N1537" t="s">
        <v>726</v>
      </c>
      <c r="O1537">
        <v>0</v>
      </c>
    </row>
    <row r="1538" spans="1:15" x14ac:dyDescent="0.3">
      <c r="A1538" t="s">
        <v>1221</v>
      </c>
      <c r="B1538">
        <v>1596</v>
      </c>
      <c r="C1538">
        <v>911576957</v>
      </c>
      <c r="D1538">
        <v>759</v>
      </c>
      <c r="E1538">
        <v>758</v>
      </c>
      <c r="F1538">
        <v>1</v>
      </c>
      <c r="G1538">
        <v>107.08073407035999</v>
      </c>
      <c r="H1538">
        <v>3</v>
      </c>
      <c r="I1538">
        <v>40</v>
      </c>
      <c r="K1538" t="s">
        <v>890</v>
      </c>
      <c r="L1538">
        <v>4</v>
      </c>
      <c r="M1538" t="s">
        <v>2382</v>
      </c>
      <c r="N1538" t="s">
        <v>726</v>
      </c>
      <c r="O1538">
        <v>0</v>
      </c>
    </row>
    <row r="1539" spans="1:15" x14ac:dyDescent="0.3">
      <c r="A1539" t="s">
        <v>1221</v>
      </c>
      <c r="B1539">
        <v>1597</v>
      </c>
      <c r="C1539">
        <v>911576959</v>
      </c>
      <c r="D1539">
        <v>760</v>
      </c>
      <c r="E1539">
        <v>759</v>
      </c>
      <c r="F1539">
        <v>1</v>
      </c>
      <c r="G1539">
        <v>109.660529812611</v>
      </c>
      <c r="H1539">
        <v>3</v>
      </c>
      <c r="I1539">
        <v>40</v>
      </c>
      <c r="K1539" t="s">
        <v>890</v>
      </c>
      <c r="L1539">
        <v>4</v>
      </c>
      <c r="M1539" t="s">
        <v>2383</v>
      </c>
      <c r="N1539" t="s">
        <v>726</v>
      </c>
      <c r="O1539">
        <v>0</v>
      </c>
    </row>
    <row r="1540" spans="1:15" x14ac:dyDescent="0.3">
      <c r="A1540" t="s">
        <v>1221</v>
      </c>
      <c r="B1540">
        <v>1598</v>
      </c>
      <c r="C1540">
        <v>911576960</v>
      </c>
      <c r="D1540">
        <v>756</v>
      </c>
      <c r="E1540">
        <v>760</v>
      </c>
      <c r="F1540">
        <v>1</v>
      </c>
      <c r="G1540">
        <v>109.257863906976</v>
      </c>
      <c r="H1540">
        <v>3</v>
      </c>
      <c r="I1540">
        <v>40</v>
      </c>
      <c r="K1540" t="s">
        <v>890</v>
      </c>
      <c r="L1540">
        <v>4</v>
      </c>
      <c r="M1540" t="s">
        <v>2384</v>
      </c>
      <c r="N1540" t="s">
        <v>726</v>
      </c>
      <c r="O1540">
        <v>0</v>
      </c>
    </row>
    <row r="1541" spans="1:15" x14ac:dyDescent="0.3">
      <c r="A1541" t="s">
        <v>1288</v>
      </c>
      <c r="B1541">
        <v>1601</v>
      </c>
      <c r="C1541">
        <v>929363192</v>
      </c>
      <c r="D1541">
        <v>191</v>
      </c>
      <c r="E1541">
        <v>737</v>
      </c>
      <c r="F1541">
        <v>1</v>
      </c>
      <c r="G1541">
        <v>8.3098728872374608</v>
      </c>
      <c r="H1541">
        <v>3</v>
      </c>
      <c r="K1541" t="s">
        <v>890</v>
      </c>
      <c r="L1541">
        <v>4</v>
      </c>
      <c r="M1541" t="s">
        <v>2385</v>
      </c>
      <c r="N1541" t="s">
        <v>726</v>
      </c>
      <c r="O1541">
        <v>0</v>
      </c>
    </row>
    <row r="1542" spans="1:15" x14ac:dyDescent="0.3">
      <c r="B1542">
        <v>1602</v>
      </c>
      <c r="D1542">
        <v>814</v>
      </c>
      <c r="E1542">
        <v>0</v>
      </c>
      <c r="F1542">
        <v>1</v>
      </c>
      <c r="G1542">
        <v>78.957097683801507</v>
      </c>
      <c r="H1542">
        <v>2</v>
      </c>
      <c r="I1542">
        <v>59</v>
      </c>
      <c r="K1542" t="s">
        <v>2386</v>
      </c>
      <c r="L1542">
        <v>20</v>
      </c>
      <c r="M1542" t="s">
        <v>2387</v>
      </c>
      <c r="N1542" t="s">
        <v>2388</v>
      </c>
      <c r="O1542">
        <v>1</v>
      </c>
    </row>
    <row r="1543" spans="1:15" x14ac:dyDescent="0.3">
      <c r="B1543">
        <v>1603</v>
      </c>
      <c r="D1543">
        <v>0</v>
      </c>
      <c r="E1543">
        <v>814</v>
      </c>
      <c r="F1543">
        <v>1</v>
      </c>
      <c r="G1543">
        <v>78.957097683801507</v>
      </c>
      <c r="H1543">
        <v>2</v>
      </c>
      <c r="I1543">
        <v>59</v>
      </c>
      <c r="K1543" t="s">
        <v>2386</v>
      </c>
      <c r="L1543">
        <v>20</v>
      </c>
      <c r="M1543" t="s">
        <v>2389</v>
      </c>
      <c r="N1543" t="s">
        <v>2388</v>
      </c>
      <c r="O1543">
        <v>1</v>
      </c>
    </row>
    <row r="1544" spans="1:15" x14ac:dyDescent="0.3">
      <c r="B1544">
        <v>1604</v>
      </c>
      <c r="D1544">
        <v>815</v>
      </c>
      <c r="E1544">
        <v>26</v>
      </c>
      <c r="F1544">
        <v>1</v>
      </c>
      <c r="G1544">
        <v>138.21583687016999</v>
      </c>
      <c r="H1544">
        <v>2</v>
      </c>
      <c r="I1544">
        <v>59</v>
      </c>
      <c r="K1544" t="s">
        <v>2386</v>
      </c>
      <c r="L1544">
        <v>20</v>
      </c>
      <c r="M1544" t="s">
        <v>2390</v>
      </c>
      <c r="N1544" t="s">
        <v>2388</v>
      </c>
      <c r="O1544">
        <v>1</v>
      </c>
    </row>
    <row r="1545" spans="1:15" x14ac:dyDescent="0.3">
      <c r="B1545">
        <v>1605</v>
      </c>
      <c r="D1545">
        <v>26</v>
      </c>
      <c r="E1545">
        <v>815</v>
      </c>
      <c r="F1545">
        <v>1</v>
      </c>
      <c r="G1545">
        <v>138.21583687016999</v>
      </c>
      <c r="H1545">
        <v>2</v>
      </c>
      <c r="I1545">
        <v>59</v>
      </c>
      <c r="K1545" t="s">
        <v>2386</v>
      </c>
      <c r="L1545">
        <v>20</v>
      </c>
      <c r="M1545" t="s">
        <v>2391</v>
      </c>
      <c r="N1545" t="s">
        <v>2388</v>
      </c>
      <c r="O1545">
        <v>1</v>
      </c>
    </row>
    <row r="1546" spans="1:15" x14ac:dyDescent="0.3">
      <c r="B1546">
        <v>1606</v>
      </c>
      <c r="D1546">
        <v>816</v>
      </c>
      <c r="E1546">
        <v>640</v>
      </c>
      <c r="F1546">
        <v>1</v>
      </c>
      <c r="G1546">
        <v>140.57763763640199</v>
      </c>
      <c r="H1546">
        <v>2</v>
      </c>
      <c r="I1546">
        <v>59</v>
      </c>
      <c r="K1546" t="s">
        <v>2386</v>
      </c>
      <c r="L1546">
        <v>20</v>
      </c>
      <c r="M1546" t="s">
        <v>2392</v>
      </c>
      <c r="N1546" t="s">
        <v>2388</v>
      </c>
      <c r="O1546">
        <v>1</v>
      </c>
    </row>
    <row r="1547" spans="1:15" x14ac:dyDescent="0.3">
      <c r="B1547">
        <v>1607</v>
      </c>
      <c r="D1547">
        <v>640</v>
      </c>
      <c r="E1547">
        <v>816</v>
      </c>
      <c r="F1547">
        <v>1</v>
      </c>
      <c r="G1547">
        <v>140.57763763640199</v>
      </c>
      <c r="H1547">
        <v>2</v>
      </c>
      <c r="I1547">
        <v>59</v>
      </c>
      <c r="K1547" t="s">
        <v>2386</v>
      </c>
      <c r="L1547">
        <v>20</v>
      </c>
      <c r="M1547" t="s">
        <v>2393</v>
      </c>
      <c r="N1547" t="s">
        <v>2388</v>
      </c>
      <c r="O1547">
        <v>1</v>
      </c>
    </row>
    <row r="1548" spans="1:15" x14ac:dyDescent="0.3">
      <c r="B1548">
        <v>1608</v>
      </c>
      <c r="D1548">
        <v>817</v>
      </c>
      <c r="E1548">
        <v>237</v>
      </c>
      <c r="F1548">
        <v>1</v>
      </c>
      <c r="G1548">
        <v>130.43198186473501</v>
      </c>
      <c r="H1548">
        <v>2</v>
      </c>
      <c r="I1548">
        <v>59</v>
      </c>
      <c r="K1548" t="s">
        <v>2386</v>
      </c>
      <c r="L1548">
        <v>20</v>
      </c>
      <c r="M1548" t="s">
        <v>2394</v>
      </c>
      <c r="N1548" t="s">
        <v>2388</v>
      </c>
      <c r="O1548">
        <v>1</v>
      </c>
    </row>
    <row r="1549" spans="1:15" x14ac:dyDescent="0.3">
      <c r="B1549">
        <v>1609</v>
      </c>
      <c r="D1549">
        <v>237</v>
      </c>
      <c r="E1549">
        <v>817</v>
      </c>
      <c r="F1549">
        <v>1</v>
      </c>
      <c r="G1549">
        <v>130.43198186473501</v>
      </c>
      <c r="H1549">
        <v>2</v>
      </c>
      <c r="I1549">
        <v>59</v>
      </c>
      <c r="K1549" t="s">
        <v>2386</v>
      </c>
      <c r="L1549">
        <v>20</v>
      </c>
      <c r="M1549" t="s">
        <v>2395</v>
      </c>
      <c r="N1549" t="s">
        <v>2388</v>
      </c>
      <c r="O1549">
        <v>1</v>
      </c>
    </row>
    <row r="1550" spans="1:15" x14ac:dyDescent="0.3">
      <c r="B1550">
        <v>1610</v>
      </c>
      <c r="D1550">
        <v>818</v>
      </c>
      <c r="E1550">
        <v>382</v>
      </c>
      <c r="F1550">
        <v>1</v>
      </c>
      <c r="G1550">
        <v>93.924844950830803</v>
      </c>
      <c r="H1550">
        <v>2</v>
      </c>
      <c r="I1550">
        <v>59</v>
      </c>
      <c r="K1550" t="s">
        <v>2386</v>
      </c>
      <c r="L1550">
        <v>20</v>
      </c>
      <c r="M1550" t="s">
        <v>2396</v>
      </c>
      <c r="N1550" t="s">
        <v>2388</v>
      </c>
      <c r="O1550">
        <v>1</v>
      </c>
    </row>
    <row r="1551" spans="1:15" x14ac:dyDescent="0.3">
      <c r="B1551">
        <v>1611</v>
      </c>
      <c r="D1551">
        <v>382</v>
      </c>
      <c r="E1551">
        <v>818</v>
      </c>
      <c r="F1551">
        <v>1</v>
      </c>
      <c r="G1551">
        <v>93.924844950830803</v>
      </c>
      <c r="H1551">
        <v>2</v>
      </c>
      <c r="I1551">
        <v>59</v>
      </c>
      <c r="K1551" t="s">
        <v>2386</v>
      </c>
      <c r="L1551">
        <v>20</v>
      </c>
      <c r="M1551" t="s">
        <v>2397</v>
      </c>
      <c r="N1551" t="s">
        <v>2388</v>
      </c>
      <c r="O1551">
        <v>1</v>
      </c>
    </row>
    <row r="1552" spans="1:15" x14ac:dyDescent="0.3">
      <c r="B1552">
        <v>1612</v>
      </c>
      <c r="D1552">
        <v>819</v>
      </c>
      <c r="E1552">
        <v>640</v>
      </c>
      <c r="F1552">
        <v>1</v>
      </c>
      <c r="G1552">
        <v>152.07749720151801</v>
      </c>
      <c r="H1552">
        <v>2</v>
      </c>
      <c r="I1552">
        <v>59</v>
      </c>
      <c r="K1552" t="s">
        <v>2386</v>
      </c>
      <c r="L1552">
        <v>20</v>
      </c>
      <c r="M1552" t="s">
        <v>2398</v>
      </c>
      <c r="N1552" t="s">
        <v>2388</v>
      </c>
      <c r="O1552">
        <v>1</v>
      </c>
    </row>
    <row r="1553" spans="2:15" x14ac:dyDescent="0.3">
      <c r="B1553">
        <v>1613</v>
      </c>
      <c r="D1553">
        <v>640</v>
      </c>
      <c r="E1553">
        <v>819</v>
      </c>
      <c r="F1553">
        <v>1</v>
      </c>
      <c r="G1553">
        <v>152.07749720151801</v>
      </c>
      <c r="H1553">
        <v>2</v>
      </c>
      <c r="I1553">
        <v>59</v>
      </c>
      <c r="K1553" t="s">
        <v>2386</v>
      </c>
      <c r="L1553">
        <v>20</v>
      </c>
      <c r="M1553" t="s">
        <v>2399</v>
      </c>
      <c r="N1553" t="s">
        <v>2388</v>
      </c>
      <c r="O1553">
        <v>1</v>
      </c>
    </row>
    <row r="1554" spans="2:15" x14ac:dyDescent="0.3">
      <c r="B1554">
        <v>1614</v>
      </c>
      <c r="D1554">
        <v>820</v>
      </c>
      <c r="E1554">
        <v>184</v>
      </c>
      <c r="F1554">
        <v>1</v>
      </c>
      <c r="G1554">
        <v>73.350551711740096</v>
      </c>
      <c r="H1554">
        <v>2</v>
      </c>
      <c r="I1554">
        <v>59</v>
      </c>
      <c r="K1554" t="s">
        <v>2386</v>
      </c>
      <c r="L1554">
        <v>20</v>
      </c>
      <c r="M1554" t="s">
        <v>2400</v>
      </c>
      <c r="N1554" t="s">
        <v>2388</v>
      </c>
      <c r="O1554">
        <v>1</v>
      </c>
    </row>
    <row r="1555" spans="2:15" x14ac:dyDescent="0.3">
      <c r="B1555">
        <v>1615</v>
      </c>
      <c r="D1555">
        <v>184</v>
      </c>
      <c r="E1555">
        <v>820</v>
      </c>
      <c r="F1555">
        <v>1</v>
      </c>
      <c r="G1555">
        <v>73.350551711740096</v>
      </c>
      <c r="H1555">
        <v>2</v>
      </c>
      <c r="I1555">
        <v>59</v>
      </c>
      <c r="K1555" t="s">
        <v>2386</v>
      </c>
      <c r="L1555">
        <v>20</v>
      </c>
      <c r="M1555" t="s">
        <v>2401</v>
      </c>
      <c r="N1555" t="s">
        <v>2388</v>
      </c>
      <c r="O1555">
        <v>1</v>
      </c>
    </row>
    <row r="1556" spans="2:15" x14ac:dyDescent="0.3">
      <c r="B1556">
        <v>1616</v>
      </c>
      <c r="D1556">
        <v>821</v>
      </c>
      <c r="E1556">
        <v>627</v>
      </c>
      <c r="F1556">
        <v>1</v>
      </c>
      <c r="G1556">
        <v>65.677804659492807</v>
      </c>
      <c r="H1556">
        <v>2</v>
      </c>
      <c r="I1556">
        <v>59</v>
      </c>
      <c r="K1556" t="s">
        <v>2386</v>
      </c>
      <c r="L1556">
        <v>20</v>
      </c>
      <c r="M1556" t="s">
        <v>2402</v>
      </c>
      <c r="N1556" t="s">
        <v>2388</v>
      </c>
      <c r="O1556">
        <v>1</v>
      </c>
    </row>
    <row r="1557" spans="2:15" x14ac:dyDescent="0.3">
      <c r="B1557">
        <v>1617</v>
      </c>
      <c r="D1557">
        <v>627</v>
      </c>
      <c r="E1557">
        <v>821</v>
      </c>
      <c r="F1557">
        <v>1</v>
      </c>
      <c r="G1557">
        <v>65.677804659492807</v>
      </c>
      <c r="H1557">
        <v>2</v>
      </c>
      <c r="I1557">
        <v>59</v>
      </c>
      <c r="K1557" t="s">
        <v>2386</v>
      </c>
      <c r="L1557">
        <v>20</v>
      </c>
      <c r="M1557" t="s">
        <v>2403</v>
      </c>
      <c r="N1557" t="s">
        <v>2388</v>
      </c>
      <c r="O1557">
        <v>1</v>
      </c>
    </row>
    <row r="1558" spans="2:15" x14ac:dyDescent="0.3">
      <c r="B1558">
        <v>1618</v>
      </c>
      <c r="D1558">
        <v>822</v>
      </c>
      <c r="E1558">
        <v>627</v>
      </c>
      <c r="F1558">
        <v>1</v>
      </c>
      <c r="G1558">
        <v>68.153527661021798</v>
      </c>
      <c r="H1558">
        <v>2</v>
      </c>
      <c r="I1558">
        <v>59</v>
      </c>
      <c r="K1558" t="s">
        <v>2386</v>
      </c>
      <c r="L1558">
        <v>20</v>
      </c>
      <c r="M1558" t="s">
        <v>2404</v>
      </c>
      <c r="N1558" t="s">
        <v>2388</v>
      </c>
      <c r="O1558">
        <v>1</v>
      </c>
    </row>
    <row r="1559" spans="2:15" x14ac:dyDescent="0.3">
      <c r="B1559">
        <v>1619</v>
      </c>
      <c r="D1559">
        <v>627</v>
      </c>
      <c r="E1559">
        <v>822</v>
      </c>
      <c r="F1559">
        <v>1</v>
      </c>
      <c r="G1559">
        <v>68.153527661021798</v>
      </c>
      <c r="H1559">
        <v>2</v>
      </c>
      <c r="I1559">
        <v>59</v>
      </c>
      <c r="K1559" t="s">
        <v>2386</v>
      </c>
      <c r="L1559">
        <v>20</v>
      </c>
      <c r="M1559" t="s">
        <v>2405</v>
      </c>
      <c r="N1559" t="s">
        <v>2388</v>
      </c>
      <c r="O1559">
        <v>1</v>
      </c>
    </row>
    <row r="1560" spans="2:15" x14ac:dyDescent="0.3">
      <c r="B1560">
        <v>1620</v>
      </c>
      <c r="D1560">
        <v>823</v>
      </c>
      <c r="E1560">
        <v>649</v>
      </c>
      <c r="F1560">
        <v>1</v>
      </c>
      <c r="G1560">
        <v>67.850903794472998</v>
      </c>
      <c r="H1560">
        <v>2</v>
      </c>
      <c r="I1560">
        <v>59</v>
      </c>
      <c r="K1560" t="s">
        <v>2386</v>
      </c>
      <c r="L1560">
        <v>20</v>
      </c>
      <c r="M1560" t="s">
        <v>2406</v>
      </c>
      <c r="N1560" t="s">
        <v>2388</v>
      </c>
      <c r="O1560">
        <v>1</v>
      </c>
    </row>
    <row r="1561" spans="2:15" x14ac:dyDescent="0.3">
      <c r="B1561">
        <v>1621</v>
      </c>
      <c r="D1561">
        <v>649</v>
      </c>
      <c r="E1561">
        <v>823</v>
      </c>
      <c r="F1561">
        <v>1</v>
      </c>
      <c r="G1561">
        <v>67.850903794472998</v>
      </c>
      <c r="H1561">
        <v>2</v>
      </c>
      <c r="I1561">
        <v>59</v>
      </c>
      <c r="K1561" t="s">
        <v>2386</v>
      </c>
      <c r="L1561">
        <v>20</v>
      </c>
      <c r="M1561" t="s">
        <v>2407</v>
      </c>
      <c r="N1561" t="s">
        <v>2388</v>
      </c>
      <c r="O1561">
        <v>1</v>
      </c>
    </row>
    <row r="1562" spans="2:15" x14ac:dyDescent="0.3">
      <c r="B1562">
        <v>1622</v>
      </c>
      <c r="D1562">
        <v>824</v>
      </c>
      <c r="E1562">
        <v>649</v>
      </c>
      <c r="F1562">
        <v>1</v>
      </c>
      <c r="G1562">
        <v>99.293955757685097</v>
      </c>
      <c r="H1562">
        <v>2</v>
      </c>
      <c r="I1562">
        <v>59</v>
      </c>
      <c r="K1562" t="s">
        <v>2386</v>
      </c>
      <c r="L1562">
        <v>20</v>
      </c>
      <c r="M1562" t="s">
        <v>2408</v>
      </c>
      <c r="N1562" t="s">
        <v>2388</v>
      </c>
      <c r="O1562">
        <v>1</v>
      </c>
    </row>
    <row r="1563" spans="2:15" x14ac:dyDescent="0.3">
      <c r="B1563">
        <v>1623</v>
      </c>
      <c r="D1563">
        <v>649</v>
      </c>
      <c r="E1563">
        <v>824</v>
      </c>
      <c r="F1563">
        <v>1</v>
      </c>
      <c r="G1563">
        <v>99.293955757685097</v>
      </c>
      <c r="H1563">
        <v>2</v>
      </c>
      <c r="I1563">
        <v>59</v>
      </c>
      <c r="K1563" t="s">
        <v>2386</v>
      </c>
      <c r="L1563">
        <v>20</v>
      </c>
      <c r="M1563" t="s">
        <v>2409</v>
      </c>
      <c r="N1563" t="s">
        <v>2388</v>
      </c>
      <c r="O1563">
        <v>1</v>
      </c>
    </row>
    <row r="1564" spans="2:15" x14ac:dyDescent="0.3">
      <c r="B1564">
        <v>1624</v>
      </c>
      <c r="D1564">
        <v>825</v>
      </c>
      <c r="E1564">
        <v>651</v>
      </c>
      <c r="F1564">
        <v>1</v>
      </c>
      <c r="G1564">
        <v>107.710900151449</v>
      </c>
      <c r="H1564">
        <v>2</v>
      </c>
      <c r="I1564">
        <v>59</v>
      </c>
      <c r="K1564" t="s">
        <v>2386</v>
      </c>
      <c r="L1564">
        <v>20</v>
      </c>
      <c r="M1564" t="s">
        <v>2410</v>
      </c>
      <c r="N1564" t="s">
        <v>2388</v>
      </c>
      <c r="O1564">
        <v>1</v>
      </c>
    </row>
    <row r="1565" spans="2:15" x14ac:dyDescent="0.3">
      <c r="B1565">
        <v>1625</v>
      </c>
      <c r="D1565">
        <v>651</v>
      </c>
      <c r="E1565">
        <v>825</v>
      </c>
      <c r="F1565">
        <v>1</v>
      </c>
      <c r="G1565">
        <v>107.710900151449</v>
      </c>
      <c r="H1565">
        <v>2</v>
      </c>
      <c r="I1565">
        <v>59</v>
      </c>
      <c r="K1565" t="s">
        <v>2386</v>
      </c>
      <c r="L1565">
        <v>20</v>
      </c>
      <c r="M1565" t="s">
        <v>2411</v>
      </c>
      <c r="N1565" t="s">
        <v>2388</v>
      </c>
      <c r="O1565">
        <v>1</v>
      </c>
    </row>
    <row r="1566" spans="2:15" x14ac:dyDescent="0.3">
      <c r="B1566">
        <v>1626</v>
      </c>
      <c r="D1566">
        <v>826</v>
      </c>
      <c r="E1566">
        <v>651</v>
      </c>
      <c r="F1566">
        <v>1</v>
      </c>
      <c r="G1566">
        <v>55.726248246881198</v>
      </c>
      <c r="H1566">
        <v>2</v>
      </c>
      <c r="I1566">
        <v>59</v>
      </c>
      <c r="K1566" t="s">
        <v>2386</v>
      </c>
      <c r="L1566">
        <v>20</v>
      </c>
      <c r="M1566" t="s">
        <v>2412</v>
      </c>
      <c r="N1566" t="s">
        <v>2388</v>
      </c>
      <c r="O1566">
        <v>1</v>
      </c>
    </row>
    <row r="1567" spans="2:15" x14ac:dyDescent="0.3">
      <c r="B1567">
        <v>1627</v>
      </c>
      <c r="D1567">
        <v>651</v>
      </c>
      <c r="E1567">
        <v>826</v>
      </c>
      <c r="F1567">
        <v>1</v>
      </c>
      <c r="G1567">
        <v>55.726248246881198</v>
      </c>
      <c r="H1567">
        <v>2</v>
      </c>
      <c r="I1567">
        <v>59</v>
      </c>
      <c r="K1567" t="s">
        <v>2386</v>
      </c>
      <c r="L1567">
        <v>20</v>
      </c>
      <c r="M1567" t="s">
        <v>2413</v>
      </c>
      <c r="N1567" t="s">
        <v>2388</v>
      </c>
      <c r="O1567">
        <v>1</v>
      </c>
    </row>
    <row r="1568" spans="2:15" x14ac:dyDescent="0.3">
      <c r="B1568">
        <v>1628</v>
      </c>
      <c r="D1568">
        <v>827</v>
      </c>
      <c r="E1568">
        <v>651</v>
      </c>
      <c r="F1568">
        <v>1</v>
      </c>
      <c r="G1568">
        <v>115.363866439462</v>
      </c>
      <c r="H1568">
        <v>2</v>
      </c>
      <c r="I1568">
        <v>59</v>
      </c>
      <c r="K1568" t="s">
        <v>2386</v>
      </c>
      <c r="L1568">
        <v>20</v>
      </c>
      <c r="M1568" t="s">
        <v>2414</v>
      </c>
      <c r="N1568" t="s">
        <v>2388</v>
      </c>
      <c r="O1568">
        <v>1</v>
      </c>
    </row>
    <row r="1569" spans="2:15" x14ac:dyDescent="0.3">
      <c r="B1569">
        <v>1629</v>
      </c>
      <c r="D1569">
        <v>651</v>
      </c>
      <c r="E1569">
        <v>827</v>
      </c>
      <c r="F1569">
        <v>1</v>
      </c>
      <c r="G1569">
        <v>115.363866439462</v>
      </c>
      <c r="H1569">
        <v>2</v>
      </c>
      <c r="I1569">
        <v>59</v>
      </c>
      <c r="K1569" t="s">
        <v>2386</v>
      </c>
      <c r="L1569">
        <v>20</v>
      </c>
      <c r="M1569" t="s">
        <v>2415</v>
      </c>
      <c r="N1569" t="s">
        <v>2388</v>
      </c>
      <c r="O1569">
        <v>1</v>
      </c>
    </row>
    <row r="1570" spans="2:15" x14ac:dyDescent="0.3">
      <c r="B1570">
        <v>1630</v>
      </c>
      <c r="D1570">
        <v>828</v>
      </c>
      <c r="E1570">
        <v>377</v>
      </c>
      <c r="F1570">
        <v>1</v>
      </c>
      <c r="G1570">
        <v>63.702649305485998</v>
      </c>
      <c r="H1570">
        <v>2</v>
      </c>
      <c r="I1570">
        <v>59</v>
      </c>
      <c r="K1570" t="s">
        <v>2386</v>
      </c>
      <c r="L1570">
        <v>20</v>
      </c>
      <c r="M1570" t="s">
        <v>2416</v>
      </c>
      <c r="N1570" t="s">
        <v>2388</v>
      </c>
      <c r="O1570">
        <v>1</v>
      </c>
    </row>
    <row r="1571" spans="2:15" x14ac:dyDescent="0.3">
      <c r="B1571">
        <v>1631</v>
      </c>
      <c r="D1571">
        <v>377</v>
      </c>
      <c r="E1571">
        <v>828</v>
      </c>
      <c r="F1571">
        <v>1</v>
      </c>
      <c r="G1571">
        <v>63.702649305485998</v>
      </c>
      <c r="H1571">
        <v>2</v>
      </c>
      <c r="I1571">
        <v>59</v>
      </c>
      <c r="K1571" t="s">
        <v>2386</v>
      </c>
      <c r="L1571">
        <v>20</v>
      </c>
      <c r="M1571" t="s">
        <v>2417</v>
      </c>
      <c r="N1571" t="s">
        <v>2388</v>
      </c>
      <c r="O1571">
        <v>1</v>
      </c>
    </row>
    <row r="1572" spans="2:15" x14ac:dyDescent="0.3">
      <c r="B1572">
        <v>1632</v>
      </c>
      <c r="D1572">
        <v>829</v>
      </c>
      <c r="E1572">
        <v>288</v>
      </c>
      <c r="F1572">
        <v>1</v>
      </c>
      <c r="G1572">
        <v>88.660730907019101</v>
      </c>
      <c r="H1572">
        <v>2</v>
      </c>
      <c r="I1572">
        <v>59</v>
      </c>
      <c r="K1572" t="s">
        <v>2386</v>
      </c>
      <c r="L1572">
        <v>20</v>
      </c>
      <c r="M1572" t="s">
        <v>2418</v>
      </c>
      <c r="N1572" t="s">
        <v>2388</v>
      </c>
      <c r="O1572">
        <v>1</v>
      </c>
    </row>
    <row r="1573" spans="2:15" x14ac:dyDescent="0.3">
      <c r="B1573">
        <v>1633</v>
      </c>
      <c r="D1573">
        <v>288</v>
      </c>
      <c r="E1573">
        <v>829</v>
      </c>
      <c r="F1573">
        <v>1</v>
      </c>
      <c r="G1573">
        <v>88.660730907019101</v>
      </c>
      <c r="H1573">
        <v>2</v>
      </c>
      <c r="I1573">
        <v>59</v>
      </c>
      <c r="K1573" t="s">
        <v>2386</v>
      </c>
      <c r="L1573">
        <v>20</v>
      </c>
      <c r="M1573" t="s">
        <v>2419</v>
      </c>
      <c r="N1573" t="s">
        <v>2388</v>
      </c>
      <c r="O1573">
        <v>1</v>
      </c>
    </row>
    <row r="1574" spans="2:15" x14ac:dyDescent="0.3">
      <c r="B1574">
        <v>1634</v>
      </c>
      <c r="D1574">
        <v>830</v>
      </c>
      <c r="E1574">
        <v>460</v>
      </c>
      <c r="F1574">
        <v>1</v>
      </c>
      <c r="G1574">
        <v>42.647137342935302</v>
      </c>
      <c r="H1574">
        <v>2</v>
      </c>
      <c r="I1574">
        <v>59</v>
      </c>
      <c r="K1574" t="s">
        <v>2386</v>
      </c>
      <c r="L1574">
        <v>20</v>
      </c>
      <c r="M1574" t="s">
        <v>2420</v>
      </c>
      <c r="N1574" t="s">
        <v>2388</v>
      </c>
      <c r="O1574">
        <v>1</v>
      </c>
    </row>
    <row r="1575" spans="2:15" x14ac:dyDescent="0.3">
      <c r="B1575">
        <v>1635</v>
      </c>
      <c r="D1575">
        <v>460</v>
      </c>
      <c r="E1575">
        <v>830</v>
      </c>
      <c r="F1575">
        <v>1</v>
      </c>
      <c r="G1575">
        <v>42.647137342935302</v>
      </c>
      <c r="H1575">
        <v>2</v>
      </c>
      <c r="I1575">
        <v>59</v>
      </c>
      <c r="K1575" t="s">
        <v>2386</v>
      </c>
      <c r="L1575">
        <v>20</v>
      </c>
      <c r="M1575" t="s">
        <v>2421</v>
      </c>
      <c r="N1575" t="s">
        <v>2388</v>
      </c>
      <c r="O1575">
        <v>1</v>
      </c>
    </row>
    <row r="1576" spans="2:15" x14ac:dyDescent="0.3">
      <c r="B1576">
        <v>1636</v>
      </c>
      <c r="D1576">
        <v>831</v>
      </c>
      <c r="E1576">
        <v>383</v>
      </c>
      <c r="F1576">
        <v>1</v>
      </c>
      <c r="G1576">
        <v>48.034398022391699</v>
      </c>
      <c r="H1576">
        <v>2</v>
      </c>
      <c r="I1576">
        <v>59</v>
      </c>
      <c r="K1576" t="s">
        <v>2386</v>
      </c>
      <c r="L1576">
        <v>20</v>
      </c>
      <c r="M1576" t="s">
        <v>2422</v>
      </c>
      <c r="N1576" t="s">
        <v>2388</v>
      </c>
      <c r="O1576">
        <v>1</v>
      </c>
    </row>
    <row r="1577" spans="2:15" x14ac:dyDescent="0.3">
      <c r="B1577">
        <v>1637</v>
      </c>
      <c r="D1577">
        <v>383</v>
      </c>
      <c r="E1577">
        <v>831</v>
      </c>
      <c r="F1577">
        <v>1</v>
      </c>
      <c r="G1577">
        <v>48.034398022391699</v>
      </c>
      <c r="H1577">
        <v>2</v>
      </c>
      <c r="I1577">
        <v>59</v>
      </c>
      <c r="K1577" t="s">
        <v>2386</v>
      </c>
      <c r="L1577">
        <v>20</v>
      </c>
      <c r="M1577" t="s">
        <v>2423</v>
      </c>
      <c r="N1577" t="s">
        <v>2388</v>
      </c>
      <c r="O1577">
        <v>1</v>
      </c>
    </row>
    <row r="1578" spans="2:15" x14ac:dyDescent="0.3">
      <c r="B1578">
        <v>1638</v>
      </c>
      <c r="D1578">
        <v>832</v>
      </c>
      <c r="E1578">
        <v>377</v>
      </c>
      <c r="F1578">
        <v>1</v>
      </c>
      <c r="G1578">
        <v>97.082628229720996</v>
      </c>
      <c r="H1578">
        <v>2</v>
      </c>
      <c r="I1578">
        <v>59</v>
      </c>
      <c r="K1578" t="s">
        <v>2386</v>
      </c>
      <c r="L1578">
        <v>20</v>
      </c>
      <c r="M1578" t="s">
        <v>2424</v>
      </c>
      <c r="N1578" t="s">
        <v>2388</v>
      </c>
      <c r="O1578">
        <v>1</v>
      </c>
    </row>
    <row r="1579" spans="2:15" x14ac:dyDescent="0.3">
      <c r="B1579">
        <v>1639</v>
      </c>
      <c r="D1579">
        <v>377</v>
      </c>
      <c r="E1579">
        <v>832</v>
      </c>
      <c r="F1579">
        <v>1</v>
      </c>
      <c r="G1579">
        <v>97.082628229720996</v>
      </c>
      <c r="H1579">
        <v>2</v>
      </c>
      <c r="I1579">
        <v>59</v>
      </c>
      <c r="K1579" t="s">
        <v>2386</v>
      </c>
      <c r="L1579">
        <v>20</v>
      </c>
      <c r="M1579" t="s">
        <v>2425</v>
      </c>
      <c r="N1579" t="s">
        <v>2388</v>
      </c>
      <c r="O1579">
        <v>1</v>
      </c>
    </row>
    <row r="1580" spans="2:15" x14ac:dyDescent="0.3">
      <c r="B1580">
        <v>1640</v>
      </c>
      <c r="D1580">
        <v>833</v>
      </c>
      <c r="E1580">
        <v>283</v>
      </c>
      <c r="F1580">
        <v>1</v>
      </c>
      <c r="G1580">
        <v>109.166021094794</v>
      </c>
      <c r="H1580">
        <v>2</v>
      </c>
      <c r="I1580">
        <v>59</v>
      </c>
      <c r="K1580" t="s">
        <v>2386</v>
      </c>
      <c r="L1580">
        <v>20</v>
      </c>
      <c r="M1580" t="s">
        <v>2426</v>
      </c>
      <c r="N1580" t="s">
        <v>2388</v>
      </c>
      <c r="O1580">
        <v>1</v>
      </c>
    </row>
    <row r="1581" spans="2:15" x14ac:dyDescent="0.3">
      <c r="B1581">
        <v>1641</v>
      </c>
      <c r="D1581">
        <v>283</v>
      </c>
      <c r="E1581">
        <v>833</v>
      </c>
      <c r="F1581">
        <v>1</v>
      </c>
      <c r="G1581">
        <v>109.166021094794</v>
      </c>
      <c r="H1581">
        <v>2</v>
      </c>
      <c r="I1581">
        <v>59</v>
      </c>
      <c r="K1581" t="s">
        <v>2386</v>
      </c>
      <c r="L1581">
        <v>20</v>
      </c>
      <c r="M1581" t="s">
        <v>2427</v>
      </c>
      <c r="N1581" t="s">
        <v>2388</v>
      </c>
      <c r="O1581">
        <v>1</v>
      </c>
    </row>
    <row r="1582" spans="2:15" x14ac:dyDescent="0.3">
      <c r="B1582">
        <v>1642</v>
      </c>
      <c r="D1582">
        <v>834</v>
      </c>
      <c r="E1582">
        <v>383</v>
      </c>
      <c r="F1582">
        <v>1</v>
      </c>
      <c r="G1582">
        <v>73.343198723358896</v>
      </c>
      <c r="H1582">
        <v>2</v>
      </c>
      <c r="I1582">
        <v>59</v>
      </c>
      <c r="K1582" t="s">
        <v>2386</v>
      </c>
      <c r="L1582">
        <v>20</v>
      </c>
      <c r="M1582" t="s">
        <v>2428</v>
      </c>
      <c r="N1582" t="s">
        <v>2388</v>
      </c>
      <c r="O1582">
        <v>1</v>
      </c>
    </row>
    <row r="1583" spans="2:15" x14ac:dyDescent="0.3">
      <c r="B1583">
        <v>1643</v>
      </c>
      <c r="D1583">
        <v>383</v>
      </c>
      <c r="E1583">
        <v>834</v>
      </c>
      <c r="F1583">
        <v>1</v>
      </c>
      <c r="G1583">
        <v>73.343198723358896</v>
      </c>
      <c r="H1583">
        <v>2</v>
      </c>
      <c r="I1583">
        <v>59</v>
      </c>
      <c r="K1583" t="s">
        <v>2386</v>
      </c>
      <c r="L1583">
        <v>20</v>
      </c>
      <c r="M1583" t="s">
        <v>2429</v>
      </c>
      <c r="N1583" t="s">
        <v>2388</v>
      </c>
      <c r="O1583">
        <v>1</v>
      </c>
    </row>
    <row r="1584" spans="2:15" x14ac:dyDescent="0.3">
      <c r="B1584">
        <v>1644</v>
      </c>
      <c r="D1584">
        <v>835</v>
      </c>
      <c r="E1584">
        <v>383</v>
      </c>
      <c r="F1584">
        <v>1</v>
      </c>
      <c r="G1584">
        <v>52.924999071301499</v>
      </c>
      <c r="H1584">
        <v>2</v>
      </c>
      <c r="I1584">
        <v>59</v>
      </c>
      <c r="K1584" t="s">
        <v>2386</v>
      </c>
      <c r="L1584">
        <v>20</v>
      </c>
      <c r="M1584" t="s">
        <v>2430</v>
      </c>
      <c r="N1584" t="s">
        <v>2388</v>
      </c>
      <c r="O1584">
        <v>1</v>
      </c>
    </row>
    <row r="1585" spans="2:15" x14ac:dyDescent="0.3">
      <c r="B1585">
        <v>1645</v>
      </c>
      <c r="D1585">
        <v>383</v>
      </c>
      <c r="E1585">
        <v>835</v>
      </c>
      <c r="F1585">
        <v>1</v>
      </c>
      <c r="G1585">
        <v>52.924999071301499</v>
      </c>
      <c r="H1585">
        <v>2</v>
      </c>
      <c r="I1585">
        <v>59</v>
      </c>
      <c r="K1585" t="s">
        <v>2386</v>
      </c>
      <c r="L1585">
        <v>20</v>
      </c>
      <c r="M1585" t="s">
        <v>2431</v>
      </c>
      <c r="N1585" t="s">
        <v>2388</v>
      </c>
      <c r="O1585">
        <v>1</v>
      </c>
    </row>
    <row r="1586" spans="2:15" x14ac:dyDescent="0.3">
      <c r="B1586">
        <v>1646</v>
      </c>
      <c r="D1586">
        <v>836</v>
      </c>
      <c r="E1586">
        <v>1964</v>
      </c>
      <c r="F1586">
        <v>1</v>
      </c>
      <c r="G1586">
        <v>66.443033041492399</v>
      </c>
      <c r="H1586">
        <v>2</v>
      </c>
      <c r="I1586">
        <v>59</v>
      </c>
      <c r="K1586" t="s">
        <v>2386</v>
      </c>
      <c r="L1586">
        <v>20</v>
      </c>
      <c r="M1586" t="s">
        <v>2432</v>
      </c>
      <c r="N1586" t="s">
        <v>2388</v>
      </c>
      <c r="O1586">
        <v>1</v>
      </c>
    </row>
    <row r="1587" spans="2:15" x14ac:dyDescent="0.3">
      <c r="B1587">
        <v>1647</v>
      </c>
      <c r="D1587">
        <v>1964</v>
      </c>
      <c r="E1587">
        <v>836</v>
      </c>
      <c r="F1587">
        <v>1</v>
      </c>
      <c r="G1587">
        <v>66.443033041492399</v>
      </c>
      <c r="H1587">
        <v>2</v>
      </c>
      <c r="I1587">
        <v>59</v>
      </c>
      <c r="K1587" t="s">
        <v>2386</v>
      </c>
      <c r="L1587">
        <v>20</v>
      </c>
      <c r="M1587" t="s">
        <v>2433</v>
      </c>
      <c r="N1587" t="s">
        <v>2388</v>
      </c>
      <c r="O1587">
        <v>1</v>
      </c>
    </row>
    <row r="1588" spans="2:15" x14ac:dyDescent="0.3">
      <c r="B1588">
        <v>1648</v>
      </c>
      <c r="D1588">
        <v>837</v>
      </c>
      <c r="E1588">
        <v>1964</v>
      </c>
      <c r="F1588">
        <v>1</v>
      </c>
      <c r="G1588">
        <v>39.716170200548802</v>
      </c>
      <c r="H1588">
        <v>2</v>
      </c>
      <c r="I1588">
        <v>59</v>
      </c>
      <c r="K1588" t="s">
        <v>2386</v>
      </c>
      <c r="L1588">
        <v>20</v>
      </c>
      <c r="M1588" t="s">
        <v>2434</v>
      </c>
      <c r="N1588" t="s">
        <v>2388</v>
      </c>
      <c r="O1588">
        <v>1</v>
      </c>
    </row>
    <row r="1589" spans="2:15" x14ac:dyDescent="0.3">
      <c r="B1589">
        <v>1649</v>
      </c>
      <c r="D1589">
        <v>1964</v>
      </c>
      <c r="E1589">
        <v>837</v>
      </c>
      <c r="F1589">
        <v>1</v>
      </c>
      <c r="G1589">
        <v>39.716170200548802</v>
      </c>
      <c r="H1589">
        <v>2</v>
      </c>
      <c r="I1589">
        <v>59</v>
      </c>
      <c r="K1589" t="s">
        <v>2386</v>
      </c>
      <c r="L1589">
        <v>20</v>
      </c>
      <c r="M1589" t="s">
        <v>2435</v>
      </c>
      <c r="N1589" t="s">
        <v>2388</v>
      </c>
      <c r="O1589">
        <v>1</v>
      </c>
    </row>
    <row r="1590" spans="2:15" x14ac:dyDescent="0.3">
      <c r="B1590">
        <v>1650</v>
      </c>
      <c r="D1590">
        <v>838</v>
      </c>
      <c r="E1590">
        <v>283</v>
      </c>
      <c r="F1590">
        <v>1</v>
      </c>
      <c r="G1590">
        <v>45.758841942331003</v>
      </c>
      <c r="H1590">
        <v>2</v>
      </c>
      <c r="I1590">
        <v>59</v>
      </c>
      <c r="K1590" t="s">
        <v>2386</v>
      </c>
      <c r="L1590">
        <v>20</v>
      </c>
      <c r="M1590" t="s">
        <v>2436</v>
      </c>
      <c r="N1590" t="s">
        <v>2388</v>
      </c>
      <c r="O1590">
        <v>1</v>
      </c>
    </row>
    <row r="1591" spans="2:15" x14ac:dyDescent="0.3">
      <c r="B1591">
        <v>1651</v>
      </c>
      <c r="D1591">
        <v>283</v>
      </c>
      <c r="E1591">
        <v>838</v>
      </c>
      <c r="F1591">
        <v>1</v>
      </c>
      <c r="G1591">
        <v>45.758841942331003</v>
      </c>
      <c r="H1591">
        <v>2</v>
      </c>
      <c r="I1591">
        <v>59</v>
      </c>
      <c r="K1591" t="s">
        <v>2386</v>
      </c>
      <c r="L1591">
        <v>20</v>
      </c>
      <c r="M1591" t="s">
        <v>2437</v>
      </c>
      <c r="N1591" t="s">
        <v>2388</v>
      </c>
      <c r="O1591">
        <v>1</v>
      </c>
    </row>
    <row r="1592" spans="2:15" x14ac:dyDescent="0.3">
      <c r="B1592">
        <v>1652</v>
      </c>
      <c r="D1592">
        <v>839</v>
      </c>
      <c r="E1592">
        <v>283</v>
      </c>
      <c r="F1592">
        <v>1</v>
      </c>
      <c r="G1592">
        <v>48.5283899101494</v>
      </c>
      <c r="H1592">
        <v>2</v>
      </c>
      <c r="I1592">
        <v>59</v>
      </c>
      <c r="K1592" t="s">
        <v>2386</v>
      </c>
      <c r="L1592">
        <v>20</v>
      </c>
      <c r="M1592" t="s">
        <v>2438</v>
      </c>
      <c r="N1592" t="s">
        <v>2388</v>
      </c>
      <c r="O1592">
        <v>1</v>
      </c>
    </row>
    <row r="1593" spans="2:15" x14ac:dyDescent="0.3">
      <c r="B1593">
        <v>1653</v>
      </c>
      <c r="D1593">
        <v>283</v>
      </c>
      <c r="E1593">
        <v>839</v>
      </c>
      <c r="F1593">
        <v>1</v>
      </c>
      <c r="G1593">
        <v>48.5283899101494</v>
      </c>
      <c r="H1593">
        <v>2</v>
      </c>
      <c r="I1593">
        <v>59</v>
      </c>
      <c r="K1593" t="s">
        <v>2386</v>
      </c>
      <c r="L1593">
        <v>20</v>
      </c>
      <c r="M1593" t="s">
        <v>2439</v>
      </c>
      <c r="N1593" t="s">
        <v>2388</v>
      </c>
      <c r="O1593">
        <v>1</v>
      </c>
    </row>
    <row r="1594" spans="2:15" x14ac:dyDescent="0.3">
      <c r="B1594">
        <v>1654</v>
      </c>
      <c r="D1594">
        <v>840</v>
      </c>
      <c r="E1594">
        <v>42</v>
      </c>
      <c r="F1594">
        <v>1</v>
      </c>
      <c r="G1594">
        <v>96.476849124660205</v>
      </c>
      <c r="H1594">
        <v>2</v>
      </c>
      <c r="I1594">
        <v>59</v>
      </c>
      <c r="K1594" t="s">
        <v>2386</v>
      </c>
      <c r="L1594">
        <v>20</v>
      </c>
      <c r="M1594" t="s">
        <v>2440</v>
      </c>
      <c r="N1594" t="s">
        <v>2388</v>
      </c>
      <c r="O1594">
        <v>1</v>
      </c>
    </row>
    <row r="1595" spans="2:15" x14ac:dyDescent="0.3">
      <c r="B1595">
        <v>1655</v>
      </c>
      <c r="D1595">
        <v>42</v>
      </c>
      <c r="E1595">
        <v>840</v>
      </c>
      <c r="F1595">
        <v>1</v>
      </c>
      <c r="G1595">
        <v>96.476849124660205</v>
      </c>
      <c r="H1595">
        <v>2</v>
      </c>
      <c r="I1595">
        <v>59</v>
      </c>
      <c r="K1595" t="s">
        <v>2386</v>
      </c>
      <c r="L1595">
        <v>20</v>
      </c>
      <c r="M1595" t="s">
        <v>2441</v>
      </c>
      <c r="N1595" t="s">
        <v>2388</v>
      </c>
      <c r="O1595">
        <v>1</v>
      </c>
    </row>
    <row r="1596" spans="2:15" x14ac:dyDescent="0.3">
      <c r="B1596">
        <v>1656</v>
      </c>
      <c r="D1596">
        <v>841</v>
      </c>
      <c r="E1596">
        <v>415</v>
      </c>
      <c r="F1596">
        <v>1</v>
      </c>
      <c r="G1596">
        <v>86.911752047830007</v>
      </c>
      <c r="H1596">
        <v>2</v>
      </c>
      <c r="I1596">
        <v>59</v>
      </c>
      <c r="K1596" t="s">
        <v>2386</v>
      </c>
      <c r="L1596">
        <v>20</v>
      </c>
      <c r="M1596" t="s">
        <v>2442</v>
      </c>
      <c r="N1596" t="s">
        <v>2388</v>
      </c>
      <c r="O1596">
        <v>1</v>
      </c>
    </row>
    <row r="1597" spans="2:15" x14ac:dyDescent="0.3">
      <c r="B1597">
        <v>1657</v>
      </c>
      <c r="D1597">
        <v>415</v>
      </c>
      <c r="E1597">
        <v>841</v>
      </c>
      <c r="F1597">
        <v>1</v>
      </c>
      <c r="G1597">
        <v>86.911752047830007</v>
      </c>
      <c r="H1597">
        <v>2</v>
      </c>
      <c r="I1597">
        <v>59</v>
      </c>
      <c r="K1597" t="s">
        <v>2386</v>
      </c>
      <c r="L1597">
        <v>20</v>
      </c>
      <c r="M1597" t="s">
        <v>2443</v>
      </c>
      <c r="N1597" t="s">
        <v>2388</v>
      </c>
      <c r="O1597">
        <v>1</v>
      </c>
    </row>
    <row r="1598" spans="2:15" x14ac:dyDescent="0.3">
      <c r="B1598">
        <v>1658</v>
      </c>
      <c r="D1598">
        <v>842</v>
      </c>
      <c r="E1598">
        <v>452</v>
      </c>
      <c r="F1598">
        <v>1</v>
      </c>
      <c r="G1598">
        <v>52.183444685979197</v>
      </c>
      <c r="H1598">
        <v>2</v>
      </c>
      <c r="I1598">
        <v>59</v>
      </c>
      <c r="K1598" t="s">
        <v>2386</v>
      </c>
      <c r="L1598">
        <v>20</v>
      </c>
      <c r="M1598" t="s">
        <v>2444</v>
      </c>
      <c r="N1598" t="s">
        <v>2388</v>
      </c>
      <c r="O1598">
        <v>1</v>
      </c>
    </row>
    <row r="1599" spans="2:15" x14ac:dyDescent="0.3">
      <c r="B1599">
        <v>1659</v>
      </c>
      <c r="D1599">
        <v>452</v>
      </c>
      <c r="E1599">
        <v>842</v>
      </c>
      <c r="F1599">
        <v>1</v>
      </c>
      <c r="G1599">
        <v>52.183444685979197</v>
      </c>
      <c r="H1599">
        <v>2</v>
      </c>
      <c r="I1599">
        <v>59</v>
      </c>
      <c r="K1599" t="s">
        <v>2386</v>
      </c>
      <c r="L1599">
        <v>20</v>
      </c>
      <c r="M1599" t="s">
        <v>2445</v>
      </c>
      <c r="N1599" t="s">
        <v>2388</v>
      </c>
      <c r="O1599">
        <v>1</v>
      </c>
    </row>
    <row r="1600" spans="2:15" x14ac:dyDescent="0.3">
      <c r="B1600">
        <v>1660</v>
      </c>
      <c r="D1600">
        <v>843</v>
      </c>
      <c r="E1600">
        <v>204</v>
      </c>
      <c r="F1600">
        <v>1</v>
      </c>
      <c r="G1600">
        <v>70.374867841542795</v>
      </c>
      <c r="H1600">
        <v>2</v>
      </c>
      <c r="I1600">
        <v>59</v>
      </c>
      <c r="K1600" t="s">
        <v>2386</v>
      </c>
      <c r="L1600">
        <v>20</v>
      </c>
      <c r="M1600" t="s">
        <v>2446</v>
      </c>
      <c r="N1600" t="s">
        <v>2388</v>
      </c>
      <c r="O1600">
        <v>1</v>
      </c>
    </row>
    <row r="1601" spans="2:15" x14ac:dyDescent="0.3">
      <c r="B1601">
        <v>1661</v>
      </c>
      <c r="D1601">
        <v>204</v>
      </c>
      <c r="E1601">
        <v>843</v>
      </c>
      <c r="F1601">
        <v>1</v>
      </c>
      <c r="G1601">
        <v>70.374867841542795</v>
      </c>
      <c r="H1601">
        <v>2</v>
      </c>
      <c r="I1601">
        <v>59</v>
      </c>
      <c r="K1601" t="s">
        <v>2386</v>
      </c>
      <c r="L1601">
        <v>20</v>
      </c>
      <c r="M1601" t="s">
        <v>2447</v>
      </c>
      <c r="N1601" t="s">
        <v>2388</v>
      </c>
      <c r="O1601">
        <v>1</v>
      </c>
    </row>
    <row r="1602" spans="2:15" x14ac:dyDescent="0.3">
      <c r="B1602">
        <v>1662</v>
      </c>
      <c r="D1602">
        <v>844</v>
      </c>
      <c r="E1602">
        <v>185</v>
      </c>
      <c r="F1602">
        <v>1</v>
      </c>
      <c r="G1602">
        <v>93.565059890813401</v>
      </c>
      <c r="H1602">
        <v>2</v>
      </c>
      <c r="I1602">
        <v>59</v>
      </c>
      <c r="K1602" t="s">
        <v>2386</v>
      </c>
      <c r="L1602">
        <v>20</v>
      </c>
      <c r="M1602" t="s">
        <v>2448</v>
      </c>
      <c r="N1602" t="s">
        <v>2388</v>
      </c>
      <c r="O1602">
        <v>1</v>
      </c>
    </row>
    <row r="1603" spans="2:15" x14ac:dyDescent="0.3">
      <c r="B1603">
        <v>1663</v>
      </c>
      <c r="D1603">
        <v>185</v>
      </c>
      <c r="E1603">
        <v>844</v>
      </c>
      <c r="F1603">
        <v>1</v>
      </c>
      <c r="G1603">
        <v>93.565059890813401</v>
      </c>
      <c r="H1603">
        <v>2</v>
      </c>
      <c r="I1603">
        <v>59</v>
      </c>
      <c r="K1603" t="s">
        <v>2386</v>
      </c>
      <c r="L1603">
        <v>20</v>
      </c>
      <c r="M1603" t="s">
        <v>2449</v>
      </c>
      <c r="N1603" t="s">
        <v>2388</v>
      </c>
      <c r="O1603">
        <v>1</v>
      </c>
    </row>
    <row r="1604" spans="2:15" x14ac:dyDescent="0.3">
      <c r="B1604">
        <v>1664</v>
      </c>
      <c r="D1604">
        <v>845</v>
      </c>
      <c r="E1604">
        <v>377</v>
      </c>
      <c r="F1604">
        <v>1</v>
      </c>
      <c r="G1604">
        <v>126.348010927088</v>
      </c>
      <c r="H1604">
        <v>2</v>
      </c>
      <c r="I1604">
        <v>59</v>
      </c>
      <c r="K1604" t="s">
        <v>2386</v>
      </c>
      <c r="L1604">
        <v>20</v>
      </c>
      <c r="M1604" t="s">
        <v>2450</v>
      </c>
      <c r="N1604" t="s">
        <v>2388</v>
      </c>
      <c r="O1604">
        <v>1</v>
      </c>
    </row>
    <row r="1605" spans="2:15" x14ac:dyDescent="0.3">
      <c r="B1605">
        <v>1665</v>
      </c>
      <c r="D1605">
        <v>377</v>
      </c>
      <c r="E1605">
        <v>845</v>
      </c>
      <c r="F1605">
        <v>1</v>
      </c>
      <c r="G1605">
        <v>126.348010927088</v>
      </c>
      <c r="H1605">
        <v>2</v>
      </c>
      <c r="I1605">
        <v>59</v>
      </c>
      <c r="K1605" t="s">
        <v>2386</v>
      </c>
      <c r="L1605">
        <v>20</v>
      </c>
      <c r="M1605" t="s">
        <v>2451</v>
      </c>
      <c r="N1605" t="s">
        <v>2388</v>
      </c>
      <c r="O1605">
        <v>1</v>
      </c>
    </row>
    <row r="1606" spans="2:15" x14ac:dyDescent="0.3">
      <c r="B1606">
        <v>1666</v>
      </c>
      <c r="D1606">
        <v>846</v>
      </c>
      <c r="E1606">
        <v>185</v>
      </c>
      <c r="F1606">
        <v>1</v>
      </c>
      <c r="G1606">
        <v>126.41401406022599</v>
      </c>
      <c r="H1606">
        <v>2</v>
      </c>
      <c r="I1606">
        <v>59</v>
      </c>
      <c r="K1606" t="s">
        <v>2386</v>
      </c>
      <c r="L1606">
        <v>20</v>
      </c>
      <c r="M1606" t="s">
        <v>2452</v>
      </c>
      <c r="N1606" t="s">
        <v>2388</v>
      </c>
      <c r="O1606">
        <v>1</v>
      </c>
    </row>
    <row r="1607" spans="2:15" x14ac:dyDescent="0.3">
      <c r="B1607">
        <v>1667</v>
      </c>
      <c r="D1607">
        <v>185</v>
      </c>
      <c r="E1607">
        <v>846</v>
      </c>
      <c r="F1607">
        <v>1</v>
      </c>
      <c r="G1607">
        <v>126.41401406022599</v>
      </c>
      <c r="H1607">
        <v>2</v>
      </c>
      <c r="I1607">
        <v>59</v>
      </c>
      <c r="K1607" t="s">
        <v>2386</v>
      </c>
      <c r="L1607">
        <v>20</v>
      </c>
      <c r="M1607" t="s">
        <v>2453</v>
      </c>
      <c r="N1607" t="s">
        <v>2388</v>
      </c>
      <c r="O1607">
        <v>1</v>
      </c>
    </row>
    <row r="1608" spans="2:15" x14ac:dyDescent="0.3">
      <c r="B1608">
        <v>1668</v>
      </c>
      <c r="D1608">
        <v>847</v>
      </c>
      <c r="E1608">
        <v>377</v>
      </c>
      <c r="F1608">
        <v>1</v>
      </c>
      <c r="G1608">
        <v>85.8914885696325</v>
      </c>
      <c r="H1608">
        <v>2</v>
      </c>
      <c r="I1608">
        <v>59</v>
      </c>
      <c r="K1608" t="s">
        <v>2386</v>
      </c>
      <c r="L1608">
        <v>20</v>
      </c>
      <c r="M1608" t="s">
        <v>2454</v>
      </c>
      <c r="N1608" t="s">
        <v>2388</v>
      </c>
      <c r="O1608">
        <v>1</v>
      </c>
    </row>
    <row r="1609" spans="2:15" x14ac:dyDescent="0.3">
      <c r="B1609">
        <v>1669</v>
      </c>
      <c r="D1609">
        <v>377</v>
      </c>
      <c r="E1609">
        <v>847</v>
      </c>
      <c r="F1609">
        <v>1</v>
      </c>
      <c r="G1609">
        <v>85.8914885696325</v>
      </c>
      <c r="H1609">
        <v>2</v>
      </c>
      <c r="I1609">
        <v>59</v>
      </c>
      <c r="K1609" t="s">
        <v>2386</v>
      </c>
      <c r="L1609">
        <v>20</v>
      </c>
      <c r="M1609" t="s">
        <v>2455</v>
      </c>
      <c r="N1609" t="s">
        <v>2388</v>
      </c>
      <c r="O1609">
        <v>1</v>
      </c>
    </row>
    <row r="1610" spans="2:15" x14ac:dyDescent="0.3">
      <c r="B1610">
        <v>1670</v>
      </c>
      <c r="D1610">
        <v>848</v>
      </c>
      <c r="E1610">
        <v>377</v>
      </c>
      <c r="F1610">
        <v>1</v>
      </c>
      <c r="G1610">
        <v>69.641137553054804</v>
      </c>
      <c r="H1610">
        <v>2</v>
      </c>
      <c r="I1610">
        <v>59</v>
      </c>
      <c r="K1610" t="s">
        <v>2386</v>
      </c>
      <c r="L1610">
        <v>20</v>
      </c>
      <c r="M1610" t="s">
        <v>2456</v>
      </c>
      <c r="N1610" t="s">
        <v>2388</v>
      </c>
      <c r="O1610">
        <v>1</v>
      </c>
    </row>
    <row r="1611" spans="2:15" x14ac:dyDescent="0.3">
      <c r="B1611">
        <v>1671</v>
      </c>
      <c r="D1611">
        <v>377</v>
      </c>
      <c r="E1611">
        <v>848</v>
      </c>
      <c r="F1611">
        <v>1</v>
      </c>
      <c r="G1611">
        <v>69.641137553054804</v>
      </c>
      <c r="H1611">
        <v>2</v>
      </c>
      <c r="I1611">
        <v>59</v>
      </c>
      <c r="K1611" t="s">
        <v>2386</v>
      </c>
      <c r="L1611">
        <v>20</v>
      </c>
      <c r="M1611" t="s">
        <v>2457</v>
      </c>
      <c r="N1611" t="s">
        <v>2388</v>
      </c>
      <c r="O1611">
        <v>1</v>
      </c>
    </row>
    <row r="1612" spans="2:15" x14ac:dyDescent="0.3">
      <c r="B1612">
        <v>1672</v>
      </c>
      <c r="D1612">
        <v>849</v>
      </c>
      <c r="E1612">
        <v>377</v>
      </c>
      <c r="F1612">
        <v>1</v>
      </c>
      <c r="G1612">
        <v>32.065307170645603</v>
      </c>
      <c r="H1612">
        <v>2</v>
      </c>
      <c r="I1612">
        <v>59</v>
      </c>
      <c r="K1612" t="s">
        <v>2386</v>
      </c>
      <c r="L1612">
        <v>20</v>
      </c>
      <c r="M1612" t="s">
        <v>2458</v>
      </c>
      <c r="N1612" t="s">
        <v>2388</v>
      </c>
      <c r="O1612">
        <v>1</v>
      </c>
    </row>
    <row r="1613" spans="2:15" x14ac:dyDescent="0.3">
      <c r="B1613">
        <v>1673</v>
      </c>
      <c r="D1613">
        <v>377</v>
      </c>
      <c r="E1613">
        <v>849</v>
      </c>
      <c r="F1613">
        <v>1</v>
      </c>
      <c r="G1613">
        <v>32.065307170645603</v>
      </c>
      <c r="H1613">
        <v>2</v>
      </c>
      <c r="I1613">
        <v>59</v>
      </c>
      <c r="K1613" t="s">
        <v>2386</v>
      </c>
      <c r="L1613">
        <v>20</v>
      </c>
      <c r="M1613" t="s">
        <v>2459</v>
      </c>
      <c r="N1613" t="s">
        <v>2388</v>
      </c>
      <c r="O1613">
        <v>1</v>
      </c>
    </row>
    <row r="1614" spans="2:15" x14ac:dyDescent="0.3">
      <c r="B1614">
        <v>1674</v>
      </c>
      <c r="D1614">
        <v>850</v>
      </c>
      <c r="E1614">
        <v>377</v>
      </c>
      <c r="F1614">
        <v>1</v>
      </c>
      <c r="G1614">
        <v>122.40005791194901</v>
      </c>
      <c r="H1614">
        <v>2</v>
      </c>
      <c r="I1614">
        <v>59</v>
      </c>
      <c r="K1614" t="s">
        <v>2386</v>
      </c>
      <c r="L1614">
        <v>20</v>
      </c>
      <c r="M1614" t="s">
        <v>2460</v>
      </c>
      <c r="N1614" t="s">
        <v>2388</v>
      </c>
      <c r="O1614">
        <v>1</v>
      </c>
    </row>
    <row r="1615" spans="2:15" x14ac:dyDescent="0.3">
      <c r="B1615">
        <v>1675</v>
      </c>
      <c r="D1615">
        <v>377</v>
      </c>
      <c r="E1615">
        <v>850</v>
      </c>
      <c r="F1615">
        <v>1</v>
      </c>
      <c r="G1615">
        <v>122.40005791194901</v>
      </c>
      <c r="H1615">
        <v>2</v>
      </c>
      <c r="I1615">
        <v>59</v>
      </c>
      <c r="K1615" t="s">
        <v>2386</v>
      </c>
      <c r="L1615">
        <v>20</v>
      </c>
      <c r="M1615" t="s">
        <v>2461</v>
      </c>
      <c r="N1615" t="s">
        <v>2388</v>
      </c>
      <c r="O1615">
        <v>1</v>
      </c>
    </row>
    <row r="1616" spans="2:15" x14ac:dyDescent="0.3">
      <c r="B1616">
        <v>1676</v>
      </c>
      <c r="D1616">
        <v>851</v>
      </c>
      <c r="E1616">
        <v>377</v>
      </c>
      <c r="F1616">
        <v>1</v>
      </c>
      <c r="G1616">
        <v>141.53756640453801</v>
      </c>
      <c r="H1616">
        <v>2</v>
      </c>
      <c r="I1616">
        <v>59</v>
      </c>
      <c r="K1616" t="s">
        <v>2386</v>
      </c>
      <c r="L1616">
        <v>20</v>
      </c>
      <c r="M1616" t="s">
        <v>2462</v>
      </c>
      <c r="N1616" t="s">
        <v>2388</v>
      </c>
      <c r="O1616">
        <v>1</v>
      </c>
    </row>
    <row r="1617" spans="2:15" x14ac:dyDescent="0.3">
      <c r="B1617">
        <v>1677</v>
      </c>
      <c r="D1617">
        <v>377</v>
      </c>
      <c r="E1617">
        <v>851</v>
      </c>
      <c r="F1617">
        <v>1</v>
      </c>
      <c r="G1617">
        <v>141.53756640453801</v>
      </c>
      <c r="H1617">
        <v>2</v>
      </c>
      <c r="I1617">
        <v>59</v>
      </c>
      <c r="K1617" t="s">
        <v>2386</v>
      </c>
      <c r="L1617">
        <v>20</v>
      </c>
      <c r="M1617" t="s">
        <v>2463</v>
      </c>
      <c r="N1617" t="s">
        <v>2388</v>
      </c>
      <c r="O1617">
        <v>1</v>
      </c>
    </row>
    <row r="1618" spans="2:15" x14ac:dyDescent="0.3">
      <c r="B1618">
        <v>1678</v>
      </c>
      <c r="D1618">
        <v>852</v>
      </c>
      <c r="E1618">
        <v>282</v>
      </c>
      <c r="F1618">
        <v>1</v>
      </c>
      <c r="G1618">
        <v>86.4299798263974</v>
      </c>
      <c r="H1618">
        <v>2</v>
      </c>
      <c r="I1618">
        <v>59</v>
      </c>
      <c r="K1618" t="s">
        <v>2386</v>
      </c>
      <c r="L1618">
        <v>20</v>
      </c>
      <c r="M1618" t="s">
        <v>2464</v>
      </c>
      <c r="N1618" t="s">
        <v>2388</v>
      </c>
      <c r="O1618">
        <v>1</v>
      </c>
    </row>
    <row r="1619" spans="2:15" x14ac:dyDescent="0.3">
      <c r="B1619">
        <v>1679</v>
      </c>
      <c r="D1619">
        <v>282</v>
      </c>
      <c r="E1619">
        <v>852</v>
      </c>
      <c r="F1619">
        <v>1</v>
      </c>
      <c r="G1619">
        <v>86.4299798263974</v>
      </c>
      <c r="H1619">
        <v>2</v>
      </c>
      <c r="I1619">
        <v>59</v>
      </c>
      <c r="K1619" t="s">
        <v>2386</v>
      </c>
      <c r="L1619">
        <v>20</v>
      </c>
      <c r="M1619" t="s">
        <v>2465</v>
      </c>
      <c r="N1619" t="s">
        <v>2388</v>
      </c>
      <c r="O1619">
        <v>1</v>
      </c>
    </row>
    <row r="1620" spans="2:15" x14ac:dyDescent="0.3">
      <c r="B1620">
        <v>1680</v>
      </c>
      <c r="D1620">
        <v>853</v>
      </c>
      <c r="E1620">
        <v>282</v>
      </c>
      <c r="F1620">
        <v>1</v>
      </c>
      <c r="G1620">
        <v>45.972222019249799</v>
      </c>
      <c r="H1620">
        <v>2</v>
      </c>
      <c r="I1620">
        <v>59</v>
      </c>
      <c r="K1620" t="s">
        <v>2386</v>
      </c>
      <c r="L1620">
        <v>20</v>
      </c>
      <c r="M1620" t="s">
        <v>2466</v>
      </c>
      <c r="N1620" t="s">
        <v>2388</v>
      </c>
      <c r="O1620">
        <v>1</v>
      </c>
    </row>
    <row r="1621" spans="2:15" x14ac:dyDescent="0.3">
      <c r="B1621">
        <v>1681</v>
      </c>
      <c r="D1621">
        <v>282</v>
      </c>
      <c r="E1621">
        <v>853</v>
      </c>
      <c r="F1621">
        <v>1</v>
      </c>
      <c r="G1621">
        <v>45.972222019249799</v>
      </c>
      <c r="H1621">
        <v>2</v>
      </c>
      <c r="I1621">
        <v>59</v>
      </c>
      <c r="K1621" t="s">
        <v>2386</v>
      </c>
      <c r="L1621">
        <v>20</v>
      </c>
      <c r="M1621" t="s">
        <v>2467</v>
      </c>
      <c r="N1621" t="s">
        <v>2388</v>
      </c>
      <c r="O1621">
        <v>1</v>
      </c>
    </row>
    <row r="1622" spans="2:15" x14ac:dyDescent="0.3">
      <c r="B1622">
        <v>1682</v>
      </c>
      <c r="D1622">
        <v>854</v>
      </c>
      <c r="E1622">
        <v>647</v>
      </c>
      <c r="F1622">
        <v>1</v>
      </c>
      <c r="G1622">
        <v>52.502734422069899</v>
      </c>
      <c r="H1622">
        <v>2</v>
      </c>
      <c r="I1622">
        <v>59</v>
      </c>
      <c r="K1622" t="s">
        <v>2386</v>
      </c>
      <c r="L1622">
        <v>20</v>
      </c>
      <c r="M1622" t="s">
        <v>2468</v>
      </c>
      <c r="N1622" t="s">
        <v>2388</v>
      </c>
      <c r="O1622">
        <v>1</v>
      </c>
    </row>
    <row r="1623" spans="2:15" x14ac:dyDescent="0.3">
      <c r="B1623">
        <v>1683</v>
      </c>
      <c r="D1623">
        <v>647</v>
      </c>
      <c r="E1623">
        <v>854</v>
      </c>
      <c r="F1623">
        <v>1</v>
      </c>
      <c r="G1623">
        <v>52.502734422069899</v>
      </c>
      <c r="H1623">
        <v>2</v>
      </c>
      <c r="I1623">
        <v>59</v>
      </c>
      <c r="K1623" t="s">
        <v>2386</v>
      </c>
      <c r="L1623">
        <v>20</v>
      </c>
      <c r="M1623" t="s">
        <v>2469</v>
      </c>
      <c r="N1623" t="s">
        <v>2388</v>
      </c>
      <c r="O1623">
        <v>1</v>
      </c>
    </row>
    <row r="1624" spans="2:15" x14ac:dyDescent="0.3">
      <c r="B1624">
        <v>1684</v>
      </c>
      <c r="D1624">
        <v>855</v>
      </c>
      <c r="E1624">
        <v>646</v>
      </c>
      <c r="F1624">
        <v>1</v>
      </c>
      <c r="G1624">
        <v>171.304147444145</v>
      </c>
      <c r="H1624">
        <v>2</v>
      </c>
      <c r="I1624">
        <v>59</v>
      </c>
      <c r="K1624" t="s">
        <v>2386</v>
      </c>
      <c r="L1624">
        <v>20</v>
      </c>
      <c r="M1624" t="s">
        <v>2470</v>
      </c>
      <c r="N1624" t="s">
        <v>2388</v>
      </c>
      <c r="O1624">
        <v>1</v>
      </c>
    </row>
    <row r="1625" spans="2:15" x14ac:dyDescent="0.3">
      <c r="B1625">
        <v>1685</v>
      </c>
      <c r="D1625">
        <v>646</v>
      </c>
      <c r="E1625">
        <v>855</v>
      </c>
      <c r="F1625">
        <v>1</v>
      </c>
      <c r="G1625">
        <v>171.304147444145</v>
      </c>
      <c r="H1625">
        <v>2</v>
      </c>
      <c r="I1625">
        <v>59</v>
      </c>
      <c r="K1625" t="s">
        <v>2386</v>
      </c>
      <c r="L1625">
        <v>20</v>
      </c>
      <c r="M1625" t="s">
        <v>2471</v>
      </c>
      <c r="N1625" t="s">
        <v>2388</v>
      </c>
      <c r="O1625">
        <v>1</v>
      </c>
    </row>
    <row r="1626" spans="2:15" x14ac:dyDescent="0.3">
      <c r="B1626">
        <v>1686</v>
      </c>
      <c r="D1626">
        <v>856</v>
      </c>
      <c r="E1626">
        <v>646</v>
      </c>
      <c r="F1626">
        <v>1</v>
      </c>
      <c r="G1626">
        <v>153.28303237458201</v>
      </c>
      <c r="H1626">
        <v>2</v>
      </c>
      <c r="I1626">
        <v>59</v>
      </c>
      <c r="K1626" t="s">
        <v>2386</v>
      </c>
      <c r="L1626">
        <v>20</v>
      </c>
      <c r="M1626" t="s">
        <v>2472</v>
      </c>
      <c r="N1626" t="s">
        <v>2388</v>
      </c>
      <c r="O1626">
        <v>1</v>
      </c>
    </row>
    <row r="1627" spans="2:15" x14ac:dyDescent="0.3">
      <c r="B1627">
        <v>1687</v>
      </c>
      <c r="D1627">
        <v>646</v>
      </c>
      <c r="E1627">
        <v>856</v>
      </c>
      <c r="F1627">
        <v>1</v>
      </c>
      <c r="G1627">
        <v>153.28303237458201</v>
      </c>
      <c r="H1627">
        <v>2</v>
      </c>
      <c r="I1627">
        <v>59</v>
      </c>
      <c r="K1627" t="s">
        <v>2386</v>
      </c>
      <c r="L1627">
        <v>20</v>
      </c>
      <c r="M1627" t="s">
        <v>2473</v>
      </c>
      <c r="N1627" t="s">
        <v>2388</v>
      </c>
      <c r="O1627">
        <v>1</v>
      </c>
    </row>
    <row r="1628" spans="2:15" x14ac:dyDescent="0.3">
      <c r="B1628">
        <v>1688</v>
      </c>
      <c r="D1628">
        <v>857</v>
      </c>
      <c r="E1628">
        <v>595</v>
      </c>
      <c r="F1628">
        <v>1</v>
      </c>
      <c r="G1628">
        <v>125.23314659520901</v>
      </c>
      <c r="H1628">
        <v>2</v>
      </c>
      <c r="I1628">
        <v>59</v>
      </c>
      <c r="K1628" t="s">
        <v>2386</v>
      </c>
      <c r="L1628">
        <v>20</v>
      </c>
      <c r="M1628" t="s">
        <v>2474</v>
      </c>
      <c r="N1628" t="s">
        <v>2388</v>
      </c>
      <c r="O1628">
        <v>1</v>
      </c>
    </row>
    <row r="1629" spans="2:15" x14ac:dyDescent="0.3">
      <c r="B1629">
        <v>1689</v>
      </c>
      <c r="D1629">
        <v>595</v>
      </c>
      <c r="E1629">
        <v>857</v>
      </c>
      <c r="F1629">
        <v>1</v>
      </c>
      <c r="G1629">
        <v>125.23314659520901</v>
      </c>
      <c r="H1629">
        <v>2</v>
      </c>
      <c r="I1629">
        <v>59</v>
      </c>
      <c r="K1629" t="s">
        <v>2386</v>
      </c>
      <c r="L1629">
        <v>20</v>
      </c>
      <c r="M1629" t="s">
        <v>2475</v>
      </c>
      <c r="N1629" t="s">
        <v>2388</v>
      </c>
      <c r="O1629">
        <v>1</v>
      </c>
    </row>
    <row r="1630" spans="2:15" x14ac:dyDescent="0.3">
      <c r="B1630">
        <v>1690</v>
      </c>
      <c r="D1630">
        <v>858</v>
      </c>
      <c r="E1630">
        <v>634</v>
      </c>
      <c r="F1630">
        <v>1</v>
      </c>
      <c r="G1630">
        <v>61.349846037954897</v>
      </c>
      <c r="H1630">
        <v>2</v>
      </c>
      <c r="I1630">
        <v>59</v>
      </c>
      <c r="K1630" t="s">
        <v>2386</v>
      </c>
      <c r="L1630">
        <v>20</v>
      </c>
      <c r="M1630" t="s">
        <v>2476</v>
      </c>
      <c r="N1630" t="s">
        <v>2388</v>
      </c>
      <c r="O1630">
        <v>1</v>
      </c>
    </row>
    <row r="1631" spans="2:15" x14ac:dyDescent="0.3">
      <c r="B1631">
        <v>1691</v>
      </c>
      <c r="D1631">
        <v>634</v>
      </c>
      <c r="E1631">
        <v>858</v>
      </c>
      <c r="F1631">
        <v>1</v>
      </c>
      <c r="G1631">
        <v>61.349846037954897</v>
      </c>
      <c r="H1631">
        <v>2</v>
      </c>
      <c r="I1631">
        <v>59</v>
      </c>
      <c r="K1631" t="s">
        <v>2386</v>
      </c>
      <c r="L1631">
        <v>20</v>
      </c>
      <c r="M1631" t="s">
        <v>2477</v>
      </c>
      <c r="N1631" t="s">
        <v>2388</v>
      </c>
      <c r="O1631">
        <v>1</v>
      </c>
    </row>
    <row r="1632" spans="2:15" x14ac:dyDescent="0.3">
      <c r="B1632">
        <v>1692</v>
      </c>
      <c r="D1632">
        <v>859</v>
      </c>
      <c r="E1632">
        <v>634</v>
      </c>
      <c r="F1632">
        <v>1</v>
      </c>
      <c r="G1632">
        <v>61.724950226944799</v>
      </c>
      <c r="H1632">
        <v>2</v>
      </c>
      <c r="I1632">
        <v>59</v>
      </c>
      <c r="K1632" t="s">
        <v>2386</v>
      </c>
      <c r="L1632">
        <v>20</v>
      </c>
      <c r="M1632" t="s">
        <v>2478</v>
      </c>
      <c r="N1632" t="s">
        <v>2388</v>
      </c>
      <c r="O1632">
        <v>1</v>
      </c>
    </row>
    <row r="1633" spans="2:15" x14ac:dyDescent="0.3">
      <c r="B1633">
        <v>1693</v>
      </c>
      <c r="D1633">
        <v>634</v>
      </c>
      <c r="E1633">
        <v>859</v>
      </c>
      <c r="F1633">
        <v>1</v>
      </c>
      <c r="G1633">
        <v>61.724950226944799</v>
      </c>
      <c r="H1633">
        <v>2</v>
      </c>
      <c r="I1633">
        <v>59</v>
      </c>
      <c r="K1633" t="s">
        <v>2386</v>
      </c>
      <c r="L1633">
        <v>20</v>
      </c>
      <c r="M1633" t="s">
        <v>2479</v>
      </c>
      <c r="N1633" t="s">
        <v>2388</v>
      </c>
      <c r="O1633">
        <v>1</v>
      </c>
    </row>
    <row r="1634" spans="2:15" x14ac:dyDescent="0.3">
      <c r="B1634">
        <v>1694</v>
      </c>
      <c r="D1634">
        <v>860</v>
      </c>
      <c r="E1634">
        <v>754</v>
      </c>
      <c r="F1634">
        <v>1</v>
      </c>
      <c r="G1634">
        <v>62.414692190929898</v>
      </c>
      <c r="H1634">
        <v>2</v>
      </c>
      <c r="I1634">
        <v>59</v>
      </c>
      <c r="K1634" t="s">
        <v>2386</v>
      </c>
      <c r="L1634">
        <v>20</v>
      </c>
      <c r="M1634" t="s">
        <v>2480</v>
      </c>
      <c r="N1634" t="s">
        <v>2388</v>
      </c>
      <c r="O1634">
        <v>1</v>
      </c>
    </row>
    <row r="1635" spans="2:15" x14ac:dyDescent="0.3">
      <c r="B1635">
        <v>1695</v>
      </c>
      <c r="D1635">
        <v>754</v>
      </c>
      <c r="E1635">
        <v>860</v>
      </c>
      <c r="F1635">
        <v>1</v>
      </c>
      <c r="G1635">
        <v>62.414692190929898</v>
      </c>
      <c r="H1635">
        <v>2</v>
      </c>
      <c r="I1635">
        <v>59</v>
      </c>
      <c r="K1635" t="s">
        <v>2386</v>
      </c>
      <c r="L1635">
        <v>20</v>
      </c>
      <c r="M1635" t="s">
        <v>2481</v>
      </c>
      <c r="N1635" t="s">
        <v>2388</v>
      </c>
      <c r="O1635">
        <v>1</v>
      </c>
    </row>
    <row r="1636" spans="2:15" x14ac:dyDescent="0.3">
      <c r="B1636">
        <v>1696</v>
      </c>
      <c r="D1636">
        <v>861</v>
      </c>
      <c r="E1636">
        <v>594</v>
      </c>
      <c r="F1636">
        <v>1</v>
      </c>
      <c r="G1636">
        <v>59.233730982249703</v>
      </c>
      <c r="H1636">
        <v>2</v>
      </c>
      <c r="I1636">
        <v>59</v>
      </c>
      <c r="K1636" t="s">
        <v>2386</v>
      </c>
      <c r="L1636">
        <v>20</v>
      </c>
      <c r="M1636" t="s">
        <v>2482</v>
      </c>
      <c r="N1636" t="s">
        <v>2388</v>
      </c>
      <c r="O1636">
        <v>1</v>
      </c>
    </row>
    <row r="1637" spans="2:15" x14ac:dyDescent="0.3">
      <c r="B1637">
        <v>1697</v>
      </c>
      <c r="D1637">
        <v>594</v>
      </c>
      <c r="E1637">
        <v>861</v>
      </c>
      <c r="F1637">
        <v>1</v>
      </c>
      <c r="G1637">
        <v>59.233730982249703</v>
      </c>
      <c r="H1637">
        <v>2</v>
      </c>
      <c r="I1637">
        <v>59</v>
      </c>
      <c r="K1637" t="s">
        <v>2386</v>
      </c>
      <c r="L1637">
        <v>20</v>
      </c>
      <c r="M1637" t="s">
        <v>2483</v>
      </c>
      <c r="N1637" t="s">
        <v>2388</v>
      </c>
      <c r="O1637">
        <v>1</v>
      </c>
    </row>
    <row r="1638" spans="2:15" x14ac:dyDescent="0.3">
      <c r="B1638">
        <v>1698</v>
      </c>
      <c r="D1638">
        <v>862</v>
      </c>
      <c r="E1638">
        <v>594</v>
      </c>
      <c r="F1638">
        <v>1</v>
      </c>
      <c r="G1638">
        <v>91.618431638303704</v>
      </c>
      <c r="H1638">
        <v>2</v>
      </c>
      <c r="I1638">
        <v>59</v>
      </c>
      <c r="K1638" t="s">
        <v>2386</v>
      </c>
      <c r="L1638">
        <v>20</v>
      </c>
      <c r="M1638" t="s">
        <v>2484</v>
      </c>
      <c r="N1638" t="s">
        <v>2388</v>
      </c>
      <c r="O1638">
        <v>1</v>
      </c>
    </row>
    <row r="1639" spans="2:15" x14ac:dyDescent="0.3">
      <c r="B1639">
        <v>1699</v>
      </c>
      <c r="D1639">
        <v>594</v>
      </c>
      <c r="E1639">
        <v>862</v>
      </c>
      <c r="F1639">
        <v>1</v>
      </c>
      <c r="G1639">
        <v>91.618431638303704</v>
      </c>
      <c r="H1639">
        <v>2</v>
      </c>
      <c r="I1639">
        <v>59</v>
      </c>
      <c r="K1639" t="s">
        <v>2386</v>
      </c>
      <c r="L1639">
        <v>20</v>
      </c>
      <c r="M1639" t="s">
        <v>2485</v>
      </c>
      <c r="N1639" t="s">
        <v>2388</v>
      </c>
      <c r="O1639">
        <v>1</v>
      </c>
    </row>
    <row r="1640" spans="2:15" x14ac:dyDescent="0.3">
      <c r="B1640">
        <v>1700</v>
      </c>
      <c r="D1640">
        <v>863</v>
      </c>
      <c r="E1640">
        <v>595</v>
      </c>
      <c r="F1640">
        <v>1</v>
      </c>
      <c r="G1640">
        <v>75.416802480950096</v>
      </c>
      <c r="H1640">
        <v>2</v>
      </c>
      <c r="I1640">
        <v>59</v>
      </c>
      <c r="K1640" t="s">
        <v>2386</v>
      </c>
      <c r="L1640">
        <v>20</v>
      </c>
      <c r="M1640" t="s">
        <v>2486</v>
      </c>
      <c r="N1640" t="s">
        <v>2388</v>
      </c>
      <c r="O1640">
        <v>1</v>
      </c>
    </row>
    <row r="1641" spans="2:15" x14ac:dyDescent="0.3">
      <c r="B1641">
        <v>1701</v>
      </c>
      <c r="D1641">
        <v>595</v>
      </c>
      <c r="E1641">
        <v>863</v>
      </c>
      <c r="F1641">
        <v>1</v>
      </c>
      <c r="G1641">
        <v>75.416802480950096</v>
      </c>
      <c r="H1641">
        <v>2</v>
      </c>
      <c r="I1641">
        <v>59</v>
      </c>
      <c r="K1641" t="s">
        <v>2386</v>
      </c>
      <c r="L1641">
        <v>20</v>
      </c>
      <c r="M1641" t="s">
        <v>2487</v>
      </c>
      <c r="N1641" t="s">
        <v>2388</v>
      </c>
      <c r="O1641">
        <v>1</v>
      </c>
    </row>
    <row r="1642" spans="2:15" x14ac:dyDescent="0.3">
      <c r="B1642">
        <v>1702</v>
      </c>
      <c r="D1642">
        <v>864</v>
      </c>
      <c r="E1642">
        <v>595</v>
      </c>
      <c r="F1642">
        <v>1</v>
      </c>
      <c r="G1642">
        <v>55.675809144322997</v>
      </c>
      <c r="H1642">
        <v>2</v>
      </c>
      <c r="I1642">
        <v>59</v>
      </c>
      <c r="K1642" t="s">
        <v>2386</v>
      </c>
      <c r="L1642">
        <v>20</v>
      </c>
      <c r="M1642" t="s">
        <v>2488</v>
      </c>
      <c r="N1642" t="s">
        <v>2388</v>
      </c>
      <c r="O1642">
        <v>1</v>
      </c>
    </row>
    <row r="1643" spans="2:15" x14ac:dyDescent="0.3">
      <c r="B1643">
        <v>1703</v>
      </c>
      <c r="D1643">
        <v>595</v>
      </c>
      <c r="E1643">
        <v>864</v>
      </c>
      <c r="F1643">
        <v>1</v>
      </c>
      <c r="G1643">
        <v>55.675809144322997</v>
      </c>
      <c r="H1643">
        <v>2</v>
      </c>
      <c r="I1643">
        <v>59</v>
      </c>
      <c r="K1643" t="s">
        <v>2386</v>
      </c>
      <c r="L1643">
        <v>20</v>
      </c>
      <c r="M1643" t="s">
        <v>2489</v>
      </c>
      <c r="N1643" t="s">
        <v>2388</v>
      </c>
      <c r="O1643">
        <v>1</v>
      </c>
    </row>
    <row r="1644" spans="2:15" x14ac:dyDescent="0.3">
      <c r="B1644">
        <v>1704</v>
      </c>
      <c r="D1644">
        <v>865</v>
      </c>
      <c r="E1644">
        <v>631</v>
      </c>
      <c r="F1644">
        <v>1</v>
      </c>
      <c r="G1644">
        <v>61.118984722385001</v>
      </c>
      <c r="H1644">
        <v>2</v>
      </c>
      <c r="I1644">
        <v>59</v>
      </c>
      <c r="K1644" t="s">
        <v>2386</v>
      </c>
      <c r="L1644">
        <v>20</v>
      </c>
      <c r="M1644" t="s">
        <v>2490</v>
      </c>
      <c r="N1644" t="s">
        <v>2388</v>
      </c>
      <c r="O1644">
        <v>1</v>
      </c>
    </row>
    <row r="1645" spans="2:15" x14ac:dyDescent="0.3">
      <c r="B1645">
        <v>1705</v>
      </c>
      <c r="D1645">
        <v>631</v>
      </c>
      <c r="E1645">
        <v>865</v>
      </c>
      <c r="F1645">
        <v>1</v>
      </c>
      <c r="G1645">
        <v>61.118984722385001</v>
      </c>
      <c r="H1645">
        <v>2</v>
      </c>
      <c r="I1645">
        <v>59</v>
      </c>
      <c r="K1645" t="s">
        <v>2386</v>
      </c>
      <c r="L1645">
        <v>20</v>
      </c>
      <c r="M1645" t="s">
        <v>2491</v>
      </c>
      <c r="N1645" t="s">
        <v>2388</v>
      </c>
      <c r="O1645">
        <v>1</v>
      </c>
    </row>
    <row r="1646" spans="2:15" x14ac:dyDescent="0.3">
      <c r="B1646">
        <v>1706</v>
      </c>
      <c r="D1646">
        <v>866</v>
      </c>
      <c r="E1646">
        <v>538</v>
      </c>
      <c r="F1646">
        <v>1</v>
      </c>
      <c r="G1646">
        <v>87.566226795979105</v>
      </c>
      <c r="H1646">
        <v>2</v>
      </c>
      <c r="I1646">
        <v>59</v>
      </c>
      <c r="K1646" t="s">
        <v>2386</v>
      </c>
      <c r="L1646">
        <v>20</v>
      </c>
      <c r="M1646" t="s">
        <v>2492</v>
      </c>
      <c r="N1646" t="s">
        <v>2388</v>
      </c>
      <c r="O1646">
        <v>1</v>
      </c>
    </row>
    <row r="1647" spans="2:15" x14ac:dyDescent="0.3">
      <c r="B1647">
        <v>1707</v>
      </c>
      <c r="D1647">
        <v>538</v>
      </c>
      <c r="E1647">
        <v>866</v>
      </c>
      <c r="F1647">
        <v>1</v>
      </c>
      <c r="G1647">
        <v>87.566226795979105</v>
      </c>
      <c r="H1647">
        <v>2</v>
      </c>
      <c r="I1647">
        <v>59</v>
      </c>
      <c r="K1647" t="s">
        <v>2386</v>
      </c>
      <c r="L1647">
        <v>20</v>
      </c>
      <c r="M1647" t="s">
        <v>2493</v>
      </c>
      <c r="N1647" t="s">
        <v>2388</v>
      </c>
      <c r="O1647">
        <v>1</v>
      </c>
    </row>
    <row r="1648" spans="2:15" x14ac:dyDescent="0.3">
      <c r="B1648">
        <v>1708</v>
      </c>
      <c r="D1648">
        <v>867</v>
      </c>
      <c r="E1648">
        <v>419</v>
      </c>
      <c r="F1648">
        <v>1</v>
      </c>
      <c r="G1648">
        <v>212.560422861071</v>
      </c>
      <c r="H1648">
        <v>2</v>
      </c>
      <c r="I1648">
        <v>59</v>
      </c>
      <c r="K1648" t="s">
        <v>2386</v>
      </c>
      <c r="L1648">
        <v>20</v>
      </c>
      <c r="M1648" t="s">
        <v>2494</v>
      </c>
      <c r="N1648" t="s">
        <v>2388</v>
      </c>
      <c r="O1648">
        <v>1</v>
      </c>
    </row>
    <row r="1649" spans="2:15" x14ac:dyDescent="0.3">
      <c r="B1649">
        <v>1709</v>
      </c>
      <c r="D1649">
        <v>419</v>
      </c>
      <c r="E1649">
        <v>867</v>
      </c>
      <c r="F1649">
        <v>1</v>
      </c>
      <c r="G1649">
        <v>212.560422861071</v>
      </c>
      <c r="H1649">
        <v>2</v>
      </c>
      <c r="I1649">
        <v>59</v>
      </c>
      <c r="K1649" t="s">
        <v>2386</v>
      </c>
      <c r="L1649">
        <v>20</v>
      </c>
      <c r="M1649" t="s">
        <v>2495</v>
      </c>
      <c r="N1649" t="s">
        <v>2388</v>
      </c>
      <c r="O1649">
        <v>1</v>
      </c>
    </row>
    <row r="1650" spans="2:15" x14ac:dyDescent="0.3">
      <c r="B1650">
        <v>1710</v>
      </c>
      <c r="D1650">
        <v>868</v>
      </c>
      <c r="E1650">
        <v>1952</v>
      </c>
      <c r="F1650">
        <v>1</v>
      </c>
      <c r="G1650">
        <v>115.669725623067</v>
      </c>
      <c r="H1650">
        <v>2</v>
      </c>
      <c r="I1650">
        <v>59</v>
      </c>
      <c r="K1650" t="s">
        <v>2386</v>
      </c>
      <c r="L1650">
        <v>20</v>
      </c>
      <c r="M1650" t="s">
        <v>2496</v>
      </c>
      <c r="N1650" t="s">
        <v>2388</v>
      </c>
      <c r="O1650">
        <v>1</v>
      </c>
    </row>
    <row r="1651" spans="2:15" x14ac:dyDescent="0.3">
      <c r="B1651">
        <v>1711</v>
      </c>
      <c r="D1651">
        <v>1952</v>
      </c>
      <c r="E1651">
        <v>868</v>
      </c>
      <c r="F1651">
        <v>1</v>
      </c>
      <c r="G1651">
        <v>115.669725623067</v>
      </c>
      <c r="H1651">
        <v>2</v>
      </c>
      <c r="I1651">
        <v>59</v>
      </c>
      <c r="K1651" t="s">
        <v>2386</v>
      </c>
      <c r="L1651">
        <v>20</v>
      </c>
      <c r="M1651" t="s">
        <v>2497</v>
      </c>
      <c r="N1651" t="s">
        <v>2388</v>
      </c>
      <c r="O1651">
        <v>1</v>
      </c>
    </row>
    <row r="1652" spans="2:15" x14ac:dyDescent="0.3">
      <c r="B1652">
        <v>1712</v>
      </c>
      <c r="D1652">
        <v>869</v>
      </c>
      <c r="E1652">
        <v>203</v>
      </c>
      <c r="F1652">
        <v>1</v>
      </c>
      <c r="G1652">
        <v>88.609330490712395</v>
      </c>
      <c r="H1652">
        <v>2</v>
      </c>
      <c r="I1652">
        <v>59</v>
      </c>
      <c r="K1652" t="s">
        <v>2386</v>
      </c>
      <c r="L1652">
        <v>20</v>
      </c>
      <c r="M1652" t="s">
        <v>2498</v>
      </c>
      <c r="N1652" t="s">
        <v>2388</v>
      </c>
      <c r="O1652">
        <v>1</v>
      </c>
    </row>
    <row r="1653" spans="2:15" x14ac:dyDescent="0.3">
      <c r="B1653">
        <v>1713</v>
      </c>
      <c r="D1653">
        <v>203</v>
      </c>
      <c r="E1653">
        <v>869</v>
      </c>
      <c r="F1653">
        <v>1</v>
      </c>
      <c r="G1653">
        <v>88.609330490712395</v>
      </c>
      <c r="H1653">
        <v>2</v>
      </c>
      <c r="I1653">
        <v>59</v>
      </c>
      <c r="K1653" t="s">
        <v>2386</v>
      </c>
      <c r="L1653">
        <v>20</v>
      </c>
      <c r="M1653" t="s">
        <v>2499</v>
      </c>
      <c r="N1653" t="s">
        <v>2388</v>
      </c>
      <c r="O1653">
        <v>1</v>
      </c>
    </row>
    <row r="1654" spans="2:15" x14ac:dyDescent="0.3">
      <c r="B1654">
        <v>1714</v>
      </c>
      <c r="D1654">
        <v>870</v>
      </c>
      <c r="E1654">
        <v>185</v>
      </c>
      <c r="F1654">
        <v>1</v>
      </c>
      <c r="G1654">
        <v>130.58746474512</v>
      </c>
      <c r="H1654">
        <v>2</v>
      </c>
      <c r="I1654">
        <v>59</v>
      </c>
      <c r="K1654" t="s">
        <v>2386</v>
      </c>
      <c r="L1654">
        <v>20</v>
      </c>
      <c r="M1654" t="s">
        <v>2500</v>
      </c>
      <c r="N1654" t="s">
        <v>2388</v>
      </c>
      <c r="O1654">
        <v>1</v>
      </c>
    </row>
    <row r="1655" spans="2:15" x14ac:dyDescent="0.3">
      <c r="B1655">
        <v>1715</v>
      </c>
      <c r="D1655">
        <v>185</v>
      </c>
      <c r="E1655">
        <v>870</v>
      </c>
      <c r="F1655">
        <v>1</v>
      </c>
      <c r="G1655">
        <v>130.58746474512</v>
      </c>
      <c r="H1655">
        <v>2</v>
      </c>
      <c r="I1655">
        <v>59</v>
      </c>
      <c r="K1655" t="s">
        <v>2386</v>
      </c>
      <c r="L1655">
        <v>20</v>
      </c>
      <c r="M1655" t="s">
        <v>2501</v>
      </c>
      <c r="N1655" t="s">
        <v>2388</v>
      </c>
      <c r="O1655">
        <v>1</v>
      </c>
    </row>
    <row r="1656" spans="2:15" x14ac:dyDescent="0.3">
      <c r="B1656">
        <v>1716</v>
      </c>
      <c r="D1656">
        <v>871</v>
      </c>
      <c r="E1656">
        <v>185</v>
      </c>
      <c r="F1656">
        <v>1</v>
      </c>
      <c r="G1656">
        <v>185.705180432247</v>
      </c>
      <c r="H1656">
        <v>2</v>
      </c>
      <c r="I1656">
        <v>59</v>
      </c>
      <c r="K1656" t="s">
        <v>2386</v>
      </c>
      <c r="L1656">
        <v>20</v>
      </c>
      <c r="M1656" t="s">
        <v>2502</v>
      </c>
      <c r="N1656" t="s">
        <v>2388</v>
      </c>
      <c r="O1656">
        <v>1</v>
      </c>
    </row>
    <row r="1657" spans="2:15" x14ac:dyDescent="0.3">
      <c r="B1657">
        <v>1717</v>
      </c>
      <c r="D1657">
        <v>185</v>
      </c>
      <c r="E1657">
        <v>871</v>
      </c>
      <c r="F1657">
        <v>1</v>
      </c>
      <c r="G1657">
        <v>185.705180432247</v>
      </c>
      <c r="H1657">
        <v>2</v>
      </c>
      <c r="I1657">
        <v>59</v>
      </c>
      <c r="K1657" t="s">
        <v>2386</v>
      </c>
      <c r="L1657">
        <v>20</v>
      </c>
      <c r="M1657" t="s">
        <v>2503</v>
      </c>
      <c r="N1657" t="s">
        <v>2388</v>
      </c>
      <c r="O1657">
        <v>1</v>
      </c>
    </row>
    <row r="1658" spans="2:15" x14ac:dyDescent="0.3">
      <c r="B1658">
        <v>1718</v>
      </c>
      <c r="D1658">
        <v>872</v>
      </c>
      <c r="E1658">
        <v>646</v>
      </c>
      <c r="F1658">
        <v>1</v>
      </c>
      <c r="G1658">
        <v>44.832703131239398</v>
      </c>
      <c r="H1658">
        <v>2</v>
      </c>
      <c r="I1658">
        <v>59</v>
      </c>
      <c r="K1658" t="s">
        <v>2386</v>
      </c>
      <c r="L1658">
        <v>20</v>
      </c>
      <c r="M1658" t="s">
        <v>2504</v>
      </c>
      <c r="N1658" t="s">
        <v>2388</v>
      </c>
      <c r="O1658">
        <v>1</v>
      </c>
    </row>
    <row r="1659" spans="2:15" x14ac:dyDescent="0.3">
      <c r="B1659">
        <v>1719</v>
      </c>
      <c r="D1659">
        <v>646</v>
      </c>
      <c r="E1659">
        <v>872</v>
      </c>
      <c r="F1659">
        <v>1</v>
      </c>
      <c r="G1659">
        <v>44.832703131239398</v>
      </c>
      <c r="H1659">
        <v>2</v>
      </c>
      <c r="I1659">
        <v>59</v>
      </c>
      <c r="K1659" t="s">
        <v>2386</v>
      </c>
      <c r="L1659">
        <v>20</v>
      </c>
      <c r="M1659" t="s">
        <v>2505</v>
      </c>
      <c r="N1659" t="s">
        <v>2388</v>
      </c>
      <c r="O1659">
        <v>1</v>
      </c>
    </row>
    <row r="1660" spans="2:15" x14ac:dyDescent="0.3">
      <c r="B1660">
        <v>1720</v>
      </c>
      <c r="D1660">
        <v>873</v>
      </c>
      <c r="E1660">
        <v>646</v>
      </c>
      <c r="F1660">
        <v>1</v>
      </c>
      <c r="G1660">
        <v>65.724042276570998</v>
      </c>
      <c r="H1660">
        <v>2</v>
      </c>
      <c r="I1660">
        <v>59</v>
      </c>
      <c r="K1660" t="s">
        <v>2386</v>
      </c>
      <c r="L1660">
        <v>20</v>
      </c>
      <c r="M1660" t="s">
        <v>2506</v>
      </c>
      <c r="N1660" t="s">
        <v>2388</v>
      </c>
      <c r="O1660">
        <v>1</v>
      </c>
    </row>
    <row r="1661" spans="2:15" x14ac:dyDescent="0.3">
      <c r="B1661">
        <v>1721</v>
      </c>
      <c r="D1661">
        <v>646</v>
      </c>
      <c r="E1661">
        <v>873</v>
      </c>
      <c r="F1661">
        <v>1</v>
      </c>
      <c r="G1661">
        <v>65.724042276570998</v>
      </c>
      <c r="H1661">
        <v>2</v>
      </c>
      <c r="I1661">
        <v>59</v>
      </c>
      <c r="K1661" t="s">
        <v>2386</v>
      </c>
      <c r="L1661">
        <v>20</v>
      </c>
      <c r="M1661" t="s">
        <v>2507</v>
      </c>
      <c r="N1661" t="s">
        <v>2388</v>
      </c>
      <c r="O1661">
        <v>1</v>
      </c>
    </row>
    <row r="1662" spans="2:15" x14ac:dyDescent="0.3">
      <c r="B1662">
        <v>1722</v>
      </c>
      <c r="D1662">
        <v>874</v>
      </c>
      <c r="E1662">
        <v>594</v>
      </c>
      <c r="F1662">
        <v>1</v>
      </c>
      <c r="G1662">
        <v>150.07310831811199</v>
      </c>
      <c r="H1662">
        <v>2</v>
      </c>
      <c r="I1662">
        <v>59</v>
      </c>
      <c r="K1662" t="s">
        <v>2386</v>
      </c>
      <c r="L1662">
        <v>20</v>
      </c>
      <c r="M1662" t="s">
        <v>2508</v>
      </c>
      <c r="N1662" t="s">
        <v>2388</v>
      </c>
      <c r="O1662">
        <v>1</v>
      </c>
    </row>
    <row r="1663" spans="2:15" x14ac:dyDescent="0.3">
      <c r="B1663">
        <v>1723</v>
      </c>
      <c r="D1663">
        <v>594</v>
      </c>
      <c r="E1663">
        <v>874</v>
      </c>
      <c r="F1663">
        <v>1</v>
      </c>
      <c r="G1663">
        <v>150.07310831811199</v>
      </c>
      <c r="H1663">
        <v>2</v>
      </c>
      <c r="I1663">
        <v>59</v>
      </c>
      <c r="K1663" t="s">
        <v>2386</v>
      </c>
      <c r="L1663">
        <v>20</v>
      </c>
      <c r="M1663" t="s">
        <v>2509</v>
      </c>
      <c r="N1663" t="s">
        <v>2388</v>
      </c>
      <c r="O1663">
        <v>1</v>
      </c>
    </row>
    <row r="1664" spans="2:15" x14ac:dyDescent="0.3">
      <c r="B1664">
        <v>1724</v>
      </c>
      <c r="D1664">
        <v>875</v>
      </c>
      <c r="E1664">
        <v>203</v>
      </c>
      <c r="F1664">
        <v>1</v>
      </c>
      <c r="G1664">
        <v>144.825435239521</v>
      </c>
      <c r="H1664">
        <v>2</v>
      </c>
      <c r="I1664">
        <v>59</v>
      </c>
      <c r="K1664" t="s">
        <v>2386</v>
      </c>
      <c r="L1664">
        <v>20</v>
      </c>
      <c r="M1664" t="s">
        <v>2510</v>
      </c>
      <c r="N1664" t="s">
        <v>2388</v>
      </c>
      <c r="O1664">
        <v>1</v>
      </c>
    </row>
    <row r="1665" spans="2:15" x14ac:dyDescent="0.3">
      <c r="B1665">
        <v>1725</v>
      </c>
      <c r="D1665">
        <v>203</v>
      </c>
      <c r="E1665">
        <v>875</v>
      </c>
      <c r="F1665">
        <v>1</v>
      </c>
      <c r="G1665">
        <v>144.825435239521</v>
      </c>
      <c r="H1665">
        <v>2</v>
      </c>
      <c r="I1665">
        <v>59</v>
      </c>
      <c r="K1665" t="s">
        <v>2386</v>
      </c>
      <c r="L1665">
        <v>20</v>
      </c>
      <c r="M1665" t="s">
        <v>2511</v>
      </c>
      <c r="N1665" t="s">
        <v>2388</v>
      </c>
      <c r="O1665">
        <v>1</v>
      </c>
    </row>
    <row r="1666" spans="2:15" x14ac:dyDescent="0.3">
      <c r="B1666">
        <v>1726</v>
      </c>
      <c r="D1666">
        <v>876</v>
      </c>
      <c r="E1666">
        <v>646</v>
      </c>
      <c r="F1666">
        <v>1</v>
      </c>
      <c r="G1666">
        <v>155.42283635096999</v>
      </c>
      <c r="H1666">
        <v>2</v>
      </c>
      <c r="I1666">
        <v>59</v>
      </c>
      <c r="K1666" t="s">
        <v>2386</v>
      </c>
      <c r="L1666">
        <v>20</v>
      </c>
      <c r="M1666" t="s">
        <v>2512</v>
      </c>
      <c r="N1666" t="s">
        <v>2388</v>
      </c>
      <c r="O1666">
        <v>1</v>
      </c>
    </row>
    <row r="1667" spans="2:15" x14ac:dyDescent="0.3">
      <c r="B1667">
        <v>1727</v>
      </c>
      <c r="D1667">
        <v>646</v>
      </c>
      <c r="E1667">
        <v>876</v>
      </c>
      <c r="F1667">
        <v>1</v>
      </c>
      <c r="G1667">
        <v>155.42283635096999</v>
      </c>
      <c r="H1667">
        <v>2</v>
      </c>
      <c r="I1667">
        <v>59</v>
      </c>
      <c r="K1667" t="s">
        <v>2386</v>
      </c>
      <c r="L1667">
        <v>20</v>
      </c>
      <c r="M1667" t="s">
        <v>2513</v>
      </c>
      <c r="N1667" t="s">
        <v>2388</v>
      </c>
      <c r="O1667">
        <v>1</v>
      </c>
    </row>
    <row r="1668" spans="2:15" x14ac:dyDescent="0.3">
      <c r="B1668">
        <v>1728</v>
      </c>
      <c r="D1668">
        <v>877</v>
      </c>
      <c r="E1668">
        <v>646</v>
      </c>
      <c r="F1668">
        <v>1</v>
      </c>
      <c r="G1668">
        <v>136.489023080892</v>
      </c>
      <c r="H1668">
        <v>2</v>
      </c>
      <c r="I1668">
        <v>59</v>
      </c>
      <c r="K1668" t="s">
        <v>2386</v>
      </c>
      <c r="L1668">
        <v>20</v>
      </c>
      <c r="M1668" t="s">
        <v>2514</v>
      </c>
      <c r="N1668" t="s">
        <v>2388</v>
      </c>
      <c r="O1668">
        <v>1</v>
      </c>
    </row>
    <row r="1669" spans="2:15" x14ac:dyDescent="0.3">
      <c r="B1669">
        <v>1729</v>
      </c>
      <c r="D1669">
        <v>646</v>
      </c>
      <c r="E1669">
        <v>877</v>
      </c>
      <c r="F1669">
        <v>1</v>
      </c>
      <c r="G1669">
        <v>136.489023080892</v>
      </c>
      <c r="H1669">
        <v>2</v>
      </c>
      <c r="I1669">
        <v>59</v>
      </c>
      <c r="K1669" t="s">
        <v>2386</v>
      </c>
      <c r="L1669">
        <v>20</v>
      </c>
      <c r="M1669" t="s">
        <v>2515</v>
      </c>
      <c r="N1669" t="s">
        <v>2388</v>
      </c>
      <c r="O1669">
        <v>1</v>
      </c>
    </row>
    <row r="1670" spans="2:15" x14ac:dyDescent="0.3">
      <c r="B1670">
        <v>1730</v>
      </c>
      <c r="D1670">
        <v>878</v>
      </c>
      <c r="E1670">
        <v>646</v>
      </c>
      <c r="F1670">
        <v>1</v>
      </c>
      <c r="G1670">
        <v>119.56729388947601</v>
      </c>
      <c r="H1670">
        <v>2</v>
      </c>
      <c r="I1670">
        <v>59</v>
      </c>
      <c r="K1670" t="s">
        <v>2386</v>
      </c>
      <c r="L1670">
        <v>20</v>
      </c>
      <c r="M1670" t="s">
        <v>2516</v>
      </c>
      <c r="N1670" t="s">
        <v>2388</v>
      </c>
      <c r="O1670">
        <v>1</v>
      </c>
    </row>
    <row r="1671" spans="2:15" x14ac:dyDescent="0.3">
      <c r="B1671">
        <v>1731</v>
      </c>
      <c r="D1671">
        <v>646</v>
      </c>
      <c r="E1671">
        <v>878</v>
      </c>
      <c r="F1671">
        <v>1</v>
      </c>
      <c r="G1671">
        <v>119.56729388947601</v>
      </c>
      <c r="H1671">
        <v>2</v>
      </c>
      <c r="I1671">
        <v>59</v>
      </c>
      <c r="K1671" t="s">
        <v>2386</v>
      </c>
      <c r="L1671">
        <v>20</v>
      </c>
      <c r="M1671" t="s">
        <v>2517</v>
      </c>
      <c r="N1671" t="s">
        <v>2388</v>
      </c>
      <c r="O1671">
        <v>1</v>
      </c>
    </row>
    <row r="1672" spans="2:15" x14ac:dyDescent="0.3">
      <c r="B1672">
        <v>1732</v>
      </c>
      <c r="D1672">
        <v>879</v>
      </c>
      <c r="E1672">
        <v>646</v>
      </c>
      <c r="F1672">
        <v>1</v>
      </c>
      <c r="G1672">
        <v>99.583307405243403</v>
      </c>
      <c r="H1672">
        <v>2</v>
      </c>
      <c r="I1672">
        <v>59</v>
      </c>
      <c r="K1672" t="s">
        <v>2386</v>
      </c>
      <c r="L1672">
        <v>20</v>
      </c>
      <c r="M1672" t="s">
        <v>2518</v>
      </c>
      <c r="N1672" t="s">
        <v>2388</v>
      </c>
      <c r="O1672">
        <v>1</v>
      </c>
    </row>
    <row r="1673" spans="2:15" x14ac:dyDescent="0.3">
      <c r="B1673">
        <v>1733</v>
      </c>
      <c r="D1673">
        <v>646</v>
      </c>
      <c r="E1673">
        <v>879</v>
      </c>
      <c r="F1673">
        <v>1</v>
      </c>
      <c r="G1673">
        <v>99.583307405243403</v>
      </c>
      <c r="H1673">
        <v>2</v>
      </c>
      <c r="I1673">
        <v>59</v>
      </c>
      <c r="K1673" t="s">
        <v>2386</v>
      </c>
      <c r="L1673">
        <v>20</v>
      </c>
      <c r="M1673" t="s">
        <v>2519</v>
      </c>
      <c r="N1673" t="s">
        <v>2388</v>
      </c>
      <c r="O1673">
        <v>1</v>
      </c>
    </row>
    <row r="1674" spans="2:15" x14ac:dyDescent="0.3">
      <c r="B1674">
        <v>1734</v>
      </c>
      <c r="D1674">
        <v>880</v>
      </c>
      <c r="E1674">
        <v>646</v>
      </c>
      <c r="F1674">
        <v>1</v>
      </c>
      <c r="G1674">
        <v>85.417904798600205</v>
      </c>
      <c r="H1674">
        <v>2</v>
      </c>
      <c r="I1674">
        <v>59</v>
      </c>
      <c r="K1674" t="s">
        <v>2386</v>
      </c>
      <c r="L1674">
        <v>20</v>
      </c>
      <c r="M1674" t="s">
        <v>2520</v>
      </c>
      <c r="N1674" t="s">
        <v>2388</v>
      </c>
      <c r="O1674">
        <v>1</v>
      </c>
    </row>
    <row r="1675" spans="2:15" x14ac:dyDescent="0.3">
      <c r="B1675">
        <v>1735</v>
      </c>
      <c r="D1675">
        <v>646</v>
      </c>
      <c r="E1675">
        <v>880</v>
      </c>
      <c r="F1675">
        <v>1</v>
      </c>
      <c r="G1675">
        <v>85.417904798600205</v>
      </c>
      <c r="H1675">
        <v>2</v>
      </c>
      <c r="I1675">
        <v>59</v>
      </c>
      <c r="K1675" t="s">
        <v>2386</v>
      </c>
      <c r="L1675">
        <v>20</v>
      </c>
      <c r="M1675" t="s">
        <v>2521</v>
      </c>
      <c r="N1675" t="s">
        <v>2388</v>
      </c>
      <c r="O1675">
        <v>1</v>
      </c>
    </row>
    <row r="1676" spans="2:15" x14ac:dyDescent="0.3">
      <c r="B1676">
        <v>1736</v>
      </c>
      <c r="D1676">
        <v>881</v>
      </c>
      <c r="E1676">
        <v>633</v>
      </c>
      <c r="F1676">
        <v>1</v>
      </c>
      <c r="G1676">
        <v>62.801078644166701</v>
      </c>
      <c r="H1676">
        <v>2</v>
      </c>
      <c r="I1676">
        <v>59</v>
      </c>
      <c r="K1676" t="s">
        <v>2386</v>
      </c>
      <c r="L1676">
        <v>20</v>
      </c>
      <c r="M1676" t="s">
        <v>2522</v>
      </c>
      <c r="N1676" t="s">
        <v>2388</v>
      </c>
      <c r="O1676">
        <v>1</v>
      </c>
    </row>
    <row r="1677" spans="2:15" x14ac:dyDescent="0.3">
      <c r="B1677">
        <v>1737</v>
      </c>
      <c r="D1677">
        <v>633</v>
      </c>
      <c r="E1677">
        <v>881</v>
      </c>
      <c r="F1677">
        <v>1</v>
      </c>
      <c r="G1677">
        <v>62.801078644166701</v>
      </c>
      <c r="H1677">
        <v>2</v>
      </c>
      <c r="I1677">
        <v>59</v>
      </c>
      <c r="K1677" t="s">
        <v>2386</v>
      </c>
      <c r="L1677">
        <v>20</v>
      </c>
      <c r="M1677" t="s">
        <v>2523</v>
      </c>
      <c r="N1677" t="s">
        <v>2388</v>
      </c>
      <c r="O1677">
        <v>1</v>
      </c>
    </row>
    <row r="1678" spans="2:15" x14ac:dyDescent="0.3">
      <c r="B1678">
        <v>1738</v>
      </c>
      <c r="D1678">
        <v>882</v>
      </c>
      <c r="E1678">
        <v>282</v>
      </c>
      <c r="F1678">
        <v>1</v>
      </c>
      <c r="G1678">
        <v>132.16834324529299</v>
      </c>
      <c r="H1678">
        <v>2</v>
      </c>
      <c r="I1678">
        <v>59</v>
      </c>
      <c r="K1678" t="s">
        <v>2386</v>
      </c>
      <c r="L1678">
        <v>20</v>
      </c>
      <c r="M1678" t="s">
        <v>2524</v>
      </c>
      <c r="N1678" t="s">
        <v>2388</v>
      </c>
      <c r="O1678">
        <v>1</v>
      </c>
    </row>
    <row r="1679" spans="2:15" x14ac:dyDescent="0.3">
      <c r="B1679">
        <v>1739</v>
      </c>
      <c r="D1679">
        <v>282</v>
      </c>
      <c r="E1679">
        <v>882</v>
      </c>
      <c r="F1679">
        <v>1</v>
      </c>
      <c r="G1679">
        <v>132.16834324529299</v>
      </c>
      <c r="H1679">
        <v>2</v>
      </c>
      <c r="I1679">
        <v>59</v>
      </c>
      <c r="K1679" t="s">
        <v>2386</v>
      </c>
      <c r="L1679">
        <v>20</v>
      </c>
      <c r="M1679" t="s">
        <v>2525</v>
      </c>
      <c r="N1679" t="s">
        <v>2388</v>
      </c>
      <c r="O1679">
        <v>1</v>
      </c>
    </row>
    <row r="1680" spans="2:15" x14ac:dyDescent="0.3">
      <c r="B1680">
        <v>1740</v>
      </c>
      <c r="D1680">
        <v>883</v>
      </c>
      <c r="E1680">
        <v>631</v>
      </c>
      <c r="F1680">
        <v>1</v>
      </c>
      <c r="G1680">
        <v>77.723186424326997</v>
      </c>
      <c r="H1680">
        <v>2</v>
      </c>
      <c r="I1680">
        <v>59</v>
      </c>
      <c r="K1680" t="s">
        <v>2386</v>
      </c>
      <c r="L1680">
        <v>20</v>
      </c>
      <c r="M1680" t="s">
        <v>2526</v>
      </c>
      <c r="N1680" t="s">
        <v>2388</v>
      </c>
      <c r="O1680">
        <v>1</v>
      </c>
    </row>
    <row r="1681" spans="2:15" x14ac:dyDescent="0.3">
      <c r="B1681">
        <v>1741</v>
      </c>
      <c r="D1681">
        <v>631</v>
      </c>
      <c r="E1681">
        <v>883</v>
      </c>
      <c r="F1681">
        <v>1</v>
      </c>
      <c r="G1681">
        <v>77.723186424326997</v>
      </c>
      <c r="H1681">
        <v>2</v>
      </c>
      <c r="I1681">
        <v>59</v>
      </c>
      <c r="K1681" t="s">
        <v>2386</v>
      </c>
      <c r="L1681">
        <v>20</v>
      </c>
      <c r="M1681" t="s">
        <v>2527</v>
      </c>
      <c r="N1681" t="s">
        <v>2388</v>
      </c>
      <c r="O1681">
        <v>1</v>
      </c>
    </row>
    <row r="1682" spans="2:15" x14ac:dyDescent="0.3">
      <c r="B1682">
        <v>1742</v>
      </c>
      <c r="D1682">
        <v>884</v>
      </c>
      <c r="E1682">
        <v>660</v>
      </c>
      <c r="F1682">
        <v>1</v>
      </c>
      <c r="G1682">
        <v>62.307995216920197</v>
      </c>
      <c r="H1682">
        <v>2</v>
      </c>
      <c r="I1682">
        <v>59</v>
      </c>
      <c r="K1682" t="s">
        <v>2386</v>
      </c>
      <c r="L1682">
        <v>20</v>
      </c>
      <c r="M1682" t="s">
        <v>2528</v>
      </c>
      <c r="N1682" t="s">
        <v>2388</v>
      </c>
      <c r="O1682">
        <v>1</v>
      </c>
    </row>
    <row r="1683" spans="2:15" x14ac:dyDescent="0.3">
      <c r="B1683">
        <v>1743</v>
      </c>
      <c r="D1683">
        <v>660</v>
      </c>
      <c r="E1683">
        <v>884</v>
      </c>
      <c r="F1683">
        <v>1</v>
      </c>
      <c r="G1683">
        <v>62.307995216920197</v>
      </c>
      <c r="H1683">
        <v>2</v>
      </c>
      <c r="I1683">
        <v>59</v>
      </c>
      <c r="K1683" t="s">
        <v>2386</v>
      </c>
      <c r="L1683">
        <v>20</v>
      </c>
      <c r="M1683" t="s">
        <v>2529</v>
      </c>
      <c r="N1683" t="s">
        <v>2388</v>
      </c>
      <c r="O1683">
        <v>1</v>
      </c>
    </row>
    <row r="1684" spans="2:15" x14ac:dyDescent="0.3">
      <c r="B1684">
        <v>1744</v>
      </c>
      <c r="D1684">
        <v>885</v>
      </c>
      <c r="E1684">
        <v>80</v>
      </c>
      <c r="F1684">
        <v>1</v>
      </c>
      <c r="G1684">
        <v>90.013932832793003</v>
      </c>
      <c r="H1684">
        <v>2</v>
      </c>
      <c r="I1684">
        <v>59</v>
      </c>
      <c r="K1684" t="s">
        <v>2386</v>
      </c>
      <c r="L1684">
        <v>20</v>
      </c>
      <c r="M1684" t="s">
        <v>2530</v>
      </c>
      <c r="N1684" t="s">
        <v>2388</v>
      </c>
      <c r="O1684">
        <v>1</v>
      </c>
    </row>
    <row r="1685" spans="2:15" x14ac:dyDescent="0.3">
      <c r="B1685">
        <v>1745</v>
      </c>
      <c r="D1685">
        <v>80</v>
      </c>
      <c r="E1685">
        <v>885</v>
      </c>
      <c r="F1685">
        <v>1</v>
      </c>
      <c r="G1685">
        <v>90.013932832793003</v>
      </c>
      <c r="H1685">
        <v>2</v>
      </c>
      <c r="I1685">
        <v>59</v>
      </c>
      <c r="K1685" t="s">
        <v>2386</v>
      </c>
      <c r="L1685">
        <v>20</v>
      </c>
      <c r="M1685" t="s">
        <v>2531</v>
      </c>
      <c r="N1685" t="s">
        <v>2388</v>
      </c>
      <c r="O1685">
        <v>1</v>
      </c>
    </row>
    <row r="1686" spans="2:15" x14ac:dyDescent="0.3">
      <c r="B1686">
        <v>1746</v>
      </c>
      <c r="D1686">
        <v>886</v>
      </c>
      <c r="E1686">
        <v>286</v>
      </c>
      <c r="F1686">
        <v>1</v>
      </c>
      <c r="G1686">
        <v>89.232976540036901</v>
      </c>
      <c r="H1686">
        <v>2</v>
      </c>
      <c r="I1686">
        <v>59</v>
      </c>
      <c r="K1686" t="s">
        <v>2386</v>
      </c>
      <c r="L1686">
        <v>20</v>
      </c>
      <c r="M1686" t="s">
        <v>2532</v>
      </c>
      <c r="N1686" t="s">
        <v>2388</v>
      </c>
      <c r="O1686">
        <v>1</v>
      </c>
    </row>
    <row r="1687" spans="2:15" x14ac:dyDescent="0.3">
      <c r="B1687">
        <v>1747</v>
      </c>
      <c r="D1687">
        <v>286</v>
      </c>
      <c r="E1687">
        <v>886</v>
      </c>
      <c r="F1687">
        <v>1</v>
      </c>
      <c r="G1687">
        <v>89.232976540036901</v>
      </c>
      <c r="H1687">
        <v>2</v>
      </c>
      <c r="I1687">
        <v>59</v>
      </c>
      <c r="K1687" t="s">
        <v>2386</v>
      </c>
      <c r="L1687">
        <v>20</v>
      </c>
      <c r="M1687" t="s">
        <v>2533</v>
      </c>
      <c r="N1687" t="s">
        <v>2388</v>
      </c>
      <c r="O1687">
        <v>1</v>
      </c>
    </row>
    <row r="1688" spans="2:15" x14ac:dyDescent="0.3">
      <c r="B1688">
        <v>1748</v>
      </c>
      <c r="D1688">
        <v>887</v>
      </c>
      <c r="E1688">
        <v>1952</v>
      </c>
      <c r="F1688">
        <v>1</v>
      </c>
      <c r="G1688">
        <v>55.5188781610658</v>
      </c>
      <c r="H1688">
        <v>2</v>
      </c>
      <c r="I1688">
        <v>59</v>
      </c>
      <c r="K1688" t="s">
        <v>2386</v>
      </c>
      <c r="L1688">
        <v>20</v>
      </c>
      <c r="M1688" t="s">
        <v>2534</v>
      </c>
      <c r="N1688" t="s">
        <v>2388</v>
      </c>
      <c r="O1688">
        <v>1</v>
      </c>
    </row>
    <row r="1689" spans="2:15" x14ac:dyDescent="0.3">
      <c r="B1689">
        <v>1749</v>
      </c>
      <c r="D1689">
        <v>1952</v>
      </c>
      <c r="E1689">
        <v>887</v>
      </c>
      <c r="F1689">
        <v>1</v>
      </c>
      <c r="G1689">
        <v>55.5188781610658</v>
      </c>
      <c r="H1689">
        <v>2</v>
      </c>
      <c r="I1689">
        <v>59</v>
      </c>
      <c r="K1689" t="s">
        <v>2386</v>
      </c>
      <c r="L1689">
        <v>20</v>
      </c>
      <c r="M1689" t="s">
        <v>2535</v>
      </c>
      <c r="N1689" t="s">
        <v>2388</v>
      </c>
      <c r="O1689">
        <v>1</v>
      </c>
    </row>
    <row r="1690" spans="2:15" x14ac:dyDescent="0.3">
      <c r="B1690">
        <v>1750</v>
      </c>
      <c r="D1690">
        <v>888</v>
      </c>
      <c r="E1690">
        <v>282</v>
      </c>
      <c r="F1690">
        <v>1</v>
      </c>
      <c r="G1690">
        <v>103.51241800218899</v>
      </c>
      <c r="H1690">
        <v>2</v>
      </c>
      <c r="I1690">
        <v>59</v>
      </c>
      <c r="K1690" t="s">
        <v>2386</v>
      </c>
      <c r="L1690">
        <v>20</v>
      </c>
      <c r="M1690" t="s">
        <v>2536</v>
      </c>
      <c r="N1690" t="s">
        <v>2388</v>
      </c>
      <c r="O1690">
        <v>1</v>
      </c>
    </row>
    <row r="1691" spans="2:15" x14ac:dyDescent="0.3">
      <c r="B1691">
        <v>1751</v>
      </c>
      <c r="D1691">
        <v>282</v>
      </c>
      <c r="E1691">
        <v>888</v>
      </c>
      <c r="F1691">
        <v>1</v>
      </c>
      <c r="G1691">
        <v>103.51241800218899</v>
      </c>
      <c r="H1691">
        <v>2</v>
      </c>
      <c r="I1691">
        <v>59</v>
      </c>
      <c r="K1691" t="s">
        <v>2386</v>
      </c>
      <c r="L1691">
        <v>20</v>
      </c>
      <c r="M1691" t="s">
        <v>2537</v>
      </c>
      <c r="N1691" t="s">
        <v>2388</v>
      </c>
      <c r="O1691">
        <v>1</v>
      </c>
    </row>
    <row r="1692" spans="2:15" x14ac:dyDescent="0.3">
      <c r="B1692">
        <v>1752</v>
      </c>
      <c r="D1692">
        <v>889</v>
      </c>
      <c r="E1692">
        <v>282</v>
      </c>
      <c r="F1692">
        <v>1</v>
      </c>
      <c r="G1692">
        <v>52.648493823332501</v>
      </c>
      <c r="H1692">
        <v>2</v>
      </c>
      <c r="I1692">
        <v>59</v>
      </c>
      <c r="K1692" t="s">
        <v>2386</v>
      </c>
      <c r="L1692">
        <v>20</v>
      </c>
      <c r="M1692" t="s">
        <v>2538</v>
      </c>
      <c r="N1692" t="s">
        <v>2388</v>
      </c>
      <c r="O1692">
        <v>1</v>
      </c>
    </row>
    <row r="1693" spans="2:15" x14ac:dyDescent="0.3">
      <c r="B1693">
        <v>1753</v>
      </c>
      <c r="D1693">
        <v>282</v>
      </c>
      <c r="E1693">
        <v>889</v>
      </c>
      <c r="F1693">
        <v>1</v>
      </c>
      <c r="G1693">
        <v>52.648493823332501</v>
      </c>
      <c r="H1693">
        <v>2</v>
      </c>
      <c r="I1693">
        <v>59</v>
      </c>
      <c r="K1693" t="s">
        <v>2386</v>
      </c>
      <c r="L1693">
        <v>20</v>
      </c>
      <c r="M1693" t="s">
        <v>2539</v>
      </c>
      <c r="N1693" t="s">
        <v>2388</v>
      </c>
      <c r="O1693">
        <v>1</v>
      </c>
    </row>
    <row r="1694" spans="2:15" x14ac:dyDescent="0.3">
      <c r="B1694">
        <v>1754</v>
      </c>
      <c r="D1694">
        <v>890</v>
      </c>
      <c r="E1694">
        <v>1951</v>
      </c>
      <c r="F1694">
        <v>1</v>
      </c>
      <c r="G1694">
        <v>35.729928455788901</v>
      </c>
      <c r="H1694">
        <v>2</v>
      </c>
      <c r="I1694">
        <v>59</v>
      </c>
      <c r="K1694" t="s">
        <v>2386</v>
      </c>
      <c r="L1694">
        <v>20</v>
      </c>
      <c r="M1694" t="s">
        <v>2540</v>
      </c>
      <c r="N1694" t="s">
        <v>2388</v>
      </c>
      <c r="O1694">
        <v>1</v>
      </c>
    </row>
    <row r="1695" spans="2:15" x14ac:dyDescent="0.3">
      <c r="B1695">
        <v>1755</v>
      </c>
      <c r="D1695">
        <v>1951</v>
      </c>
      <c r="E1695">
        <v>890</v>
      </c>
      <c r="F1695">
        <v>1</v>
      </c>
      <c r="G1695">
        <v>35.729928455788901</v>
      </c>
      <c r="H1695">
        <v>2</v>
      </c>
      <c r="I1695">
        <v>59</v>
      </c>
      <c r="K1695" t="s">
        <v>2386</v>
      </c>
      <c r="L1695">
        <v>20</v>
      </c>
      <c r="M1695" t="s">
        <v>2541</v>
      </c>
      <c r="N1695" t="s">
        <v>2388</v>
      </c>
      <c r="O1695">
        <v>1</v>
      </c>
    </row>
    <row r="1696" spans="2:15" x14ac:dyDescent="0.3">
      <c r="B1696">
        <v>1756</v>
      </c>
      <c r="D1696">
        <v>891</v>
      </c>
      <c r="E1696">
        <v>746</v>
      </c>
      <c r="F1696">
        <v>1</v>
      </c>
      <c r="G1696">
        <v>151.012322953416</v>
      </c>
      <c r="H1696">
        <v>2</v>
      </c>
      <c r="I1696">
        <v>59</v>
      </c>
      <c r="K1696" t="s">
        <v>2386</v>
      </c>
      <c r="L1696">
        <v>20</v>
      </c>
      <c r="M1696" t="s">
        <v>2542</v>
      </c>
      <c r="N1696" t="s">
        <v>2388</v>
      </c>
      <c r="O1696">
        <v>1</v>
      </c>
    </row>
    <row r="1697" spans="2:15" x14ac:dyDescent="0.3">
      <c r="B1697">
        <v>1757</v>
      </c>
      <c r="D1697">
        <v>746</v>
      </c>
      <c r="E1697">
        <v>891</v>
      </c>
      <c r="F1697">
        <v>1</v>
      </c>
      <c r="G1697">
        <v>151.012322953416</v>
      </c>
      <c r="H1697">
        <v>2</v>
      </c>
      <c r="I1697">
        <v>59</v>
      </c>
      <c r="K1697" t="s">
        <v>2386</v>
      </c>
      <c r="L1697">
        <v>20</v>
      </c>
      <c r="M1697" t="s">
        <v>2543</v>
      </c>
      <c r="N1697" t="s">
        <v>2388</v>
      </c>
      <c r="O1697">
        <v>1</v>
      </c>
    </row>
    <row r="1698" spans="2:15" x14ac:dyDescent="0.3">
      <c r="B1698">
        <v>1758</v>
      </c>
      <c r="D1698">
        <v>892</v>
      </c>
      <c r="E1698">
        <v>746</v>
      </c>
      <c r="F1698">
        <v>1</v>
      </c>
      <c r="G1698">
        <v>114.122654803188</v>
      </c>
      <c r="H1698">
        <v>2</v>
      </c>
      <c r="I1698">
        <v>59</v>
      </c>
      <c r="K1698" t="s">
        <v>2386</v>
      </c>
      <c r="L1698">
        <v>20</v>
      </c>
      <c r="M1698" t="s">
        <v>2544</v>
      </c>
      <c r="N1698" t="s">
        <v>2388</v>
      </c>
      <c r="O1698">
        <v>1</v>
      </c>
    </row>
    <row r="1699" spans="2:15" x14ac:dyDescent="0.3">
      <c r="B1699">
        <v>1759</v>
      </c>
      <c r="D1699">
        <v>746</v>
      </c>
      <c r="E1699">
        <v>892</v>
      </c>
      <c r="F1699">
        <v>1</v>
      </c>
      <c r="G1699">
        <v>114.122654803188</v>
      </c>
      <c r="H1699">
        <v>2</v>
      </c>
      <c r="I1699">
        <v>59</v>
      </c>
      <c r="K1699" t="s">
        <v>2386</v>
      </c>
      <c r="L1699">
        <v>20</v>
      </c>
      <c r="M1699" t="s">
        <v>2545</v>
      </c>
      <c r="N1699" t="s">
        <v>2388</v>
      </c>
      <c r="O1699">
        <v>1</v>
      </c>
    </row>
    <row r="1700" spans="2:15" x14ac:dyDescent="0.3">
      <c r="B1700">
        <v>1760</v>
      </c>
      <c r="D1700">
        <v>893</v>
      </c>
      <c r="E1700">
        <v>746</v>
      </c>
      <c r="F1700">
        <v>1</v>
      </c>
      <c r="G1700">
        <v>105.905816428872</v>
      </c>
      <c r="H1700">
        <v>2</v>
      </c>
      <c r="I1700">
        <v>59</v>
      </c>
      <c r="K1700" t="s">
        <v>2386</v>
      </c>
      <c r="L1700">
        <v>20</v>
      </c>
      <c r="M1700" t="s">
        <v>2546</v>
      </c>
      <c r="N1700" t="s">
        <v>2388</v>
      </c>
      <c r="O1700">
        <v>1</v>
      </c>
    </row>
    <row r="1701" spans="2:15" x14ac:dyDescent="0.3">
      <c r="B1701">
        <v>1761</v>
      </c>
      <c r="D1701">
        <v>746</v>
      </c>
      <c r="E1701">
        <v>893</v>
      </c>
      <c r="F1701">
        <v>1</v>
      </c>
      <c r="G1701">
        <v>105.905816428872</v>
      </c>
      <c r="H1701">
        <v>2</v>
      </c>
      <c r="I1701">
        <v>59</v>
      </c>
      <c r="K1701" t="s">
        <v>2386</v>
      </c>
      <c r="L1701">
        <v>20</v>
      </c>
      <c r="M1701" t="s">
        <v>2547</v>
      </c>
      <c r="N1701" t="s">
        <v>2388</v>
      </c>
      <c r="O1701">
        <v>1</v>
      </c>
    </row>
    <row r="1702" spans="2:15" x14ac:dyDescent="0.3">
      <c r="B1702">
        <v>1762</v>
      </c>
      <c r="D1702">
        <v>894</v>
      </c>
      <c r="E1702">
        <v>644</v>
      </c>
      <c r="F1702">
        <v>1</v>
      </c>
      <c r="G1702">
        <v>127.11575453169699</v>
      </c>
      <c r="H1702">
        <v>2</v>
      </c>
      <c r="I1702">
        <v>59</v>
      </c>
      <c r="K1702" t="s">
        <v>2386</v>
      </c>
      <c r="L1702">
        <v>20</v>
      </c>
      <c r="M1702" t="s">
        <v>2548</v>
      </c>
      <c r="N1702" t="s">
        <v>2388</v>
      </c>
      <c r="O1702">
        <v>1</v>
      </c>
    </row>
    <row r="1703" spans="2:15" x14ac:dyDescent="0.3">
      <c r="B1703">
        <v>1763</v>
      </c>
      <c r="D1703">
        <v>644</v>
      </c>
      <c r="E1703">
        <v>894</v>
      </c>
      <c r="F1703">
        <v>1</v>
      </c>
      <c r="G1703">
        <v>127.11575453169699</v>
      </c>
      <c r="H1703">
        <v>2</v>
      </c>
      <c r="I1703">
        <v>59</v>
      </c>
      <c r="K1703" t="s">
        <v>2386</v>
      </c>
      <c r="L1703">
        <v>20</v>
      </c>
      <c r="M1703" t="s">
        <v>2549</v>
      </c>
      <c r="N1703" t="s">
        <v>2388</v>
      </c>
      <c r="O1703">
        <v>1</v>
      </c>
    </row>
    <row r="1704" spans="2:15" x14ac:dyDescent="0.3">
      <c r="B1704">
        <v>1764</v>
      </c>
      <c r="D1704">
        <v>895</v>
      </c>
      <c r="E1704">
        <v>643</v>
      </c>
      <c r="F1704">
        <v>1</v>
      </c>
      <c r="G1704">
        <v>34.683445570351203</v>
      </c>
      <c r="H1704">
        <v>2</v>
      </c>
      <c r="I1704">
        <v>59</v>
      </c>
      <c r="K1704" t="s">
        <v>2386</v>
      </c>
      <c r="L1704">
        <v>20</v>
      </c>
      <c r="M1704" t="s">
        <v>2550</v>
      </c>
      <c r="N1704" t="s">
        <v>2388</v>
      </c>
      <c r="O1704">
        <v>1</v>
      </c>
    </row>
    <row r="1705" spans="2:15" x14ac:dyDescent="0.3">
      <c r="B1705">
        <v>1765</v>
      </c>
      <c r="D1705">
        <v>643</v>
      </c>
      <c r="E1705">
        <v>895</v>
      </c>
      <c r="F1705">
        <v>1</v>
      </c>
      <c r="G1705">
        <v>34.683445570351203</v>
      </c>
      <c r="H1705">
        <v>2</v>
      </c>
      <c r="I1705">
        <v>59</v>
      </c>
      <c r="K1705" t="s">
        <v>2386</v>
      </c>
      <c r="L1705">
        <v>20</v>
      </c>
      <c r="M1705" t="s">
        <v>2551</v>
      </c>
      <c r="N1705" t="s">
        <v>2388</v>
      </c>
      <c r="O1705">
        <v>1</v>
      </c>
    </row>
    <row r="1706" spans="2:15" x14ac:dyDescent="0.3">
      <c r="B1706">
        <v>1766</v>
      </c>
      <c r="D1706">
        <v>896</v>
      </c>
      <c r="E1706">
        <v>658</v>
      </c>
      <c r="F1706">
        <v>1</v>
      </c>
      <c r="G1706">
        <v>25.492762753234601</v>
      </c>
      <c r="H1706">
        <v>2</v>
      </c>
      <c r="I1706">
        <v>59</v>
      </c>
      <c r="K1706" t="s">
        <v>2386</v>
      </c>
      <c r="L1706">
        <v>20</v>
      </c>
      <c r="M1706" t="s">
        <v>2552</v>
      </c>
      <c r="N1706" t="s">
        <v>2388</v>
      </c>
      <c r="O1706">
        <v>1</v>
      </c>
    </row>
    <row r="1707" spans="2:15" x14ac:dyDescent="0.3">
      <c r="B1707">
        <v>1767</v>
      </c>
      <c r="D1707">
        <v>658</v>
      </c>
      <c r="E1707">
        <v>896</v>
      </c>
      <c r="F1707">
        <v>1</v>
      </c>
      <c r="G1707">
        <v>25.492762753234601</v>
      </c>
      <c r="H1707">
        <v>2</v>
      </c>
      <c r="I1707">
        <v>59</v>
      </c>
      <c r="K1707" t="s">
        <v>2386</v>
      </c>
      <c r="L1707">
        <v>20</v>
      </c>
      <c r="M1707" t="s">
        <v>2553</v>
      </c>
      <c r="N1707" t="s">
        <v>2388</v>
      </c>
      <c r="O1707">
        <v>1</v>
      </c>
    </row>
    <row r="1708" spans="2:15" x14ac:dyDescent="0.3">
      <c r="B1708">
        <v>1768</v>
      </c>
      <c r="D1708">
        <v>897</v>
      </c>
      <c r="E1708">
        <v>658</v>
      </c>
      <c r="F1708">
        <v>1</v>
      </c>
      <c r="G1708">
        <v>38.963809659962003</v>
      </c>
      <c r="H1708">
        <v>2</v>
      </c>
      <c r="I1708">
        <v>59</v>
      </c>
      <c r="K1708" t="s">
        <v>2386</v>
      </c>
      <c r="L1708">
        <v>20</v>
      </c>
      <c r="M1708" t="s">
        <v>2554</v>
      </c>
      <c r="N1708" t="s">
        <v>2388</v>
      </c>
      <c r="O1708">
        <v>1</v>
      </c>
    </row>
    <row r="1709" spans="2:15" x14ac:dyDescent="0.3">
      <c r="B1709">
        <v>1769</v>
      </c>
      <c r="D1709">
        <v>658</v>
      </c>
      <c r="E1709">
        <v>897</v>
      </c>
      <c r="F1709">
        <v>1</v>
      </c>
      <c r="G1709">
        <v>38.963809659962003</v>
      </c>
      <c r="H1709">
        <v>2</v>
      </c>
      <c r="I1709">
        <v>59</v>
      </c>
      <c r="K1709" t="s">
        <v>2386</v>
      </c>
      <c r="L1709">
        <v>20</v>
      </c>
      <c r="M1709" t="s">
        <v>2555</v>
      </c>
      <c r="N1709" t="s">
        <v>2388</v>
      </c>
      <c r="O1709">
        <v>1</v>
      </c>
    </row>
    <row r="1710" spans="2:15" x14ac:dyDescent="0.3">
      <c r="B1710">
        <v>1770</v>
      </c>
      <c r="D1710">
        <v>898</v>
      </c>
      <c r="E1710">
        <v>658</v>
      </c>
      <c r="F1710">
        <v>1</v>
      </c>
      <c r="G1710">
        <v>40.596014084671701</v>
      </c>
      <c r="H1710">
        <v>2</v>
      </c>
      <c r="I1710">
        <v>59</v>
      </c>
      <c r="K1710" t="s">
        <v>2386</v>
      </c>
      <c r="L1710">
        <v>20</v>
      </c>
      <c r="M1710" t="s">
        <v>2556</v>
      </c>
      <c r="N1710" t="s">
        <v>2388</v>
      </c>
      <c r="O1710">
        <v>1</v>
      </c>
    </row>
    <row r="1711" spans="2:15" x14ac:dyDescent="0.3">
      <c r="B1711">
        <v>1771</v>
      </c>
      <c r="D1711">
        <v>658</v>
      </c>
      <c r="E1711">
        <v>898</v>
      </c>
      <c r="F1711">
        <v>1</v>
      </c>
      <c r="G1711">
        <v>40.596014084671701</v>
      </c>
      <c r="H1711">
        <v>2</v>
      </c>
      <c r="I1711">
        <v>59</v>
      </c>
      <c r="K1711" t="s">
        <v>2386</v>
      </c>
      <c r="L1711">
        <v>20</v>
      </c>
      <c r="M1711" t="s">
        <v>2557</v>
      </c>
      <c r="N1711" t="s">
        <v>2388</v>
      </c>
      <c r="O1711">
        <v>1</v>
      </c>
    </row>
    <row r="1712" spans="2:15" x14ac:dyDescent="0.3">
      <c r="B1712">
        <v>1772</v>
      </c>
      <c r="D1712">
        <v>899</v>
      </c>
      <c r="E1712">
        <v>659</v>
      </c>
      <c r="F1712">
        <v>1</v>
      </c>
      <c r="G1712">
        <v>47.323100474069498</v>
      </c>
      <c r="H1712">
        <v>2</v>
      </c>
      <c r="I1712">
        <v>59</v>
      </c>
      <c r="K1712" t="s">
        <v>2386</v>
      </c>
      <c r="L1712">
        <v>20</v>
      </c>
      <c r="M1712" t="s">
        <v>2558</v>
      </c>
      <c r="N1712" t="s">
        <v>2388</v>
      </c>
      <c r="O1712">
        <v>1</v>
      </c>
    </row>
    <row r="1713" spans="2:15" x14ac:dyDescent="0.3">
      <c r="B1713">
        <v>1773</v>
      </c>
      <c r="D1713">
        <v>659</v>
      </c>
      <c r="E1713">
        <v>899</v>
      </c>
      <c r="F1713">
        <v>1</v>
      </c>
      <c r="G1713">
        <v>47.323100474069498</v>
      </c>
      <c r="H1713">
        <v>2</v>
      </c>
      <c r="I1713">
        <v>59</v>
      </c>
      <c r="K1713" t="s">
        <v>2386</v>
      </c>
      <c r="L1713">
        <v>20</v>
      </c>
      <c r="M1713" t="s">
        <v>2559</v>
      </c>
      <c r="N1713" t="s">
        <v>2388</v>
      </c>
      <c r="O1713">
        <v>1</v>
      </c>
    </row>
    <row r="1714" spans="2:15" x14ac:dyDescent="0.3">
      <c r="B1714">
        <v>1774</v>
      </c>
      <c r="D1714">
        <v>900</v>
      </c>
      <c r="E1714">
        <v>659</v>
      </c>
      <c r="F1714">
        <v>1</v>
      </c>
      <c r="G1714">
        <v>49.832962723869997</v>
      </c>
      <c r="H1714">
        <v>2</v>
      </c>
      <c r="I1714">
        <v>59</v>
      </c>
      <c r="K1714" t="s">
        <v>2386</v>
      </c>
      <c r="L1714">
        <v>20</v>
      </c>
      <c r="M1714" t="s">
        <v>2560</v>
      </c>
      <c r="N1714" t="s">
        <v>2388</v>
      </c>
      <c r="O1714">
        <v>1</v>
      </c>
    </row>
    <row r="1715" spans="2:15" x14ac:dyDescent="0.3">
      <c r="B1715">
        <v>1775</v>
      </c>
      <c r="D1715">
        <v>659</v>
      </c>
      <c r="E1715">
        <v>900</v>
      </c>
      <c r="F1715">
        <v>1</v>
      </c>
      <c r="G1715">
        <v>49.832962723869997</v>
      </c>
      <c r="H1715">
        <v>2</v>
      </c>
      <c r="I1715">
        <v>59</v>
      </c>
      <c r="K1715" t="s">
        <v>2386</v>
      </c>
      <c r="L1715">
        <v>20</v>
      </c>
      <c r="M1715" t="s">
        <v>2561</v>
      </c>
      <c r="N1715" t="s">
        <v>2388</v>
      </c>
      <c r="O1715">
        <v>1</v>
      </c>
    </row>
    <row r="1716" spans="2:15" x14ac:dyDescent="0.3">
      <c r="B1716">
        <v>1776</v>
      </c>
      <c r="D1716">
        <v>901</v>
      </c>
      <c r="E1716">
        <v>644</v>
      </c>
      <c r="F1716">
        <v>1</v>
      </c>
      <c r="G1716">
        <v>42.188082835135702</v>
      </c>
      <c r="H1716">
        <v>2</v>
      </c>
      <c r="I1716">
        <v>59</v>
      </c>
      <c r="K1716" t="s">
        <v>2386</v>
      </c>
      <c r="L1716">
        <v>20</v>
      </c>
      <c r="M1716" t="s">
        <v>2562</v>
      </c>
      <c r="N1716" t="s">
        <v>2388</v>
      </c>
      <c r="O1716">
        <v>1</v>
      </c>
    </row>
    <row r="1717" spans="2:15" x14ac:dyDescent="0.3">
      <c r="B1717">
        <v>1777</v>
      </c>
      <c r="D1717">
        <v>644</v>
      </c>
      <c r="E1717">
        <v>901</v>
      </c>
      <c r="F1717">
        <v>1</v>
      </c>
      <c r="G1717">
        <v>42.188082835135702</v>
      </c>
      <c r="H1717">
        <v>2</v>
      </c>
      <c r="I1717">
        <v>59</v>
      </c>
      <c r="K1717" t="s">
        <v>2386</v>
      </c>
      <c r="L1717">
        <v>20</v>
      </c>
      <c r="M1717" t="s">
        <v>2563</v>
      </c>
      <c r="N1717" t="s">
        <v>2388</v>
      </c>
      <c r="O1717">
        <v>1</v>
      </c>
    </row>
    <row r="1718" spans="2:15" x14ac:dyDescent="0.3">
      <c r="B1718">
        <v>1778</v>
      </c>
      <c r="D1718">
        <v>902</v>
      </c>
      <c r="E1718">
        <v>644</v>
      </c>
      <c r="F1718">
        <v>1</v>
      </c>
      <c r="G1718">
        <v>64.671605628397103</v>
      </c>
      <c r="H1718">
        <v>2</v>
      </c>
      <c r="I1718">
        <v>59</v>
      </c>
      <c r="K1718" t="s">
        <v>2386</v>
      </c>
      <c r="L1718">
        <v>20</v>
      </c>
      <c r="M1718" t="s">
        <v>2564</v>
      </c>
      <c r="N1718" t="s">
        <v>2388</v>
      </c>
      <c r="O1718">
        <v>1</v>
      </c>
    </row>
    <row r="1719" spans="2:15" x14ac:dyDescent="0.3">
      <c r="B1719">
        <v>1779</v>
      </c>
      <c r="D1719">
        <v>644</v>
      </c>
      <c r="E1719">
        <v>902</v>
      </c>
      <c r="F1719">
        <v>1</v>
      </c>
      <c r="G1719">
        <v>64.671605628397103</v>
      </c>
      <c r="H1719">
        <v>2</v>
      </c>
      <c r="I1719">
        <v>59</v>
      </c>
      <c r="K1719" t="s">
        <v>2386</v>
      </c>
      <c r="L1719">
        <v>20</v>
      </c>
      <c r="M1719" t="s">
        <v>2565</v>
      </c>
      <c r="N1719" t="s">
        <v>2388</v>
      </c>
      <c r="O1719">
        <v>1</v>
      </c>
    </row>
    <row r="1720" spans="2:15" x14ac:dyDescent="0.3">
      <c r="B1720">
        <v>1780</v>
      </c>
      <c r="D1720">
        <v>903</v>
      </c>
      <c r="E1720">
        <v>644</v>
      </c>
      <c r="F1720">
        <v>1</v>
      </c>
      <c r="G1720">
        <v>28.720242744285901</v>
      </c>
      <c r="H1720">
        <v>2</v>
      </c>
      <c r="I1720">
        <v>59</v>
      </c>
      <c r="K1720" t="s">
        <v>2386</v>
      </c>
      <c r="L1720">
        <v>20</v>
      </c>
      <c r="M1720" t="s">
        <v>2566</v>
      </c>
      <c r="N1720" t="s">
        <v>2388</v>
      </c>
      <c r="O1720">
        <v>1</v>
      </c>
    </row>
    <row r="1721" spans="2:15" x14ac:dyDescent="0.3">
      <c r="B1721">
        <v>1781</v>
      </c>
      <c r="D1721">
        <v>644</v>
      </c>
      <c r="E1721">
        <v>903</v>
      </c>
      <c r="F1721">
        <v>1</v>
      </c>
      <c r="G1721">
        <v>28.720242744285901</v>
      </c>
      <c r="H1721">
        <v>2</v>
      </c>
      <c r="I1721">
        <v>59</v>
      </c>
      <c r="K1721" t="s">
        <v>2386</v>
      </c>
      <c r="L1721">
        <v>20</v>
      </c>
      <c r="M1721" t="s">
        <v>2567</v>
      </c>
      <c r="N1721" t="s">
        <v>2388</v>
      </c>
      <c r="O1721">
        <v>1</v>
      </c>
    </row>
    <row r="1722" spans="2:15" x14ac:dyDescent="0.3">
      <c r="B1722">
        <v>1782</v>
      </c>
      <c r="D1722">
        <v>904</v>
      </c>
      <c r="E1722">
        <v>643</v>
      </c>
      <c r="F1722">
        <v>1</v>
      </c>
      <c r="G1722">
        <v>34.759018514965199</v>
      </c>
      <c r="H1722">
        <v>2</v>
      </c>
      <c r="I1722">
        <v>59</v>
      </c>
      <c r="K1722" t="s">
        <v>2386</v>
      </c>
      <c r="L1722">
        <v>20</v>
      </c>
      <c r="M1722" t="s">
        <v>2568</v>
      </c>
      <c r="N1722" t="s">
        <v>2388</v>
      </c>
      <c r="O1722">
        <v>1</v>
      </c>
    </row>
    <row r="1723" spans="2:15" x14ac:dyDescent="0.3">
      <c r="B1723">
        <v>1783</v>
      </c>
      <c r="D1723">
        <v>643</v>
      </c>
      <c r="E1723">
        <v>904</v>
      </c>
      <c r="F1723">
        <v>1</v>
      </c>
      <c r="G1723">
        <v>34.759018514965199</v>
      </c>
      <c r="H1723">
        <v>2</v>
      </c>
      <c r="I1723">
        <v>59</v>
      </c>
      <c r="K1723" t="s">
        <v>2386</v>
      </c>
      <c r="L1723">
        <v>20</v>
      </c>
      <c r="M1723" t="s">
        <v>2569</v>
      </c>
      <c r="N1723" t="s">
        <v>2388</v>
      </c>
      <c r="O1723">
        <v>1</v>
      </c>
    </row>
    <row r="1724" spans="2:15" x14ac:dyDescent="0.3">
      <c r="B1724">
        <v>1784</v>
      </c>
      <c r="D1724">
        <v>905</v>
      </c>
      <c r="E1724">
        <v>643</v>
      </c>
      <c r="F1724">
        <v>1</v>
      </c>
      <c r="G1724">
        <v>83.267167806582606</v>
      </c>
      <c r="H1724">
        <v>2</v>
      </c>
      <c r="I1724">
        <v>59</v>
      </c>
      <c r="K1724" t="s">
        <v>2386</v>
      </c>
      <c r="L1724">
        <v>20</v>
      </c>
      <c r="M1724" t="s">
        <v>2570</v>
      </c>
      <c r="N1724" t="s">
        <v>2388</v>
      </c>
      <c r="O1724">
        <v>1</v>
      </c>
    </row>
    <row r="1725" spans="2:15" x14ac:dyDescent="0.3">
      <c r="B1725">
        <v>1785</v>
      </c>
      <c r="D1725">
        <v>643</v>
      </c>
      <c r="E1725">
        <v>905</v>
      </c>
      <c r="F1725">
        <v>1</v>
      </c>
      <c r="G1725">
        <v>83.267167806582606</v>
      </c>
      <c r="H1725">
        <v>2</v>
      </c>
      <c r="I1725">
        <v>59</v>
      </c>
      <c r="K1725" t="s">
        <v>2386</v>
      </c>
      <c r="L1725">
        <v>20</v>
      </c>
      <c r="M1725" t="s">
        <v>2571</v>
      </c>
      <c r="N1725" t="s">
        <v>2388</v>
      </c>
      <c r="O1725">
        <v>1</v>
      </c>
    </row>
    <row r="1726" spans="2:15" x14ac:dyDescent="0.3">
      <c r="B1726">
        <v>1786</v>
      </c>
      <c r="D1726">
        <v>906</v>
      </c>
      <c r="E1726">
        <v>305</v>
      </c>
      <c r="F1726">
        <v>1</v>
      </c>
      <c r="G1726">
        <v>44.133850534357997</v>
      </c>
      <c r="H1726">
        <v>2</v>
      </c>
      <c r="I1726">
        <v>59</v>
      </c>
      <c r="K1726" t="s">
        <v>2386</v>
      </c>
      <c r="L1726">
        <v>20</v>
      </c>
      <c r="M1726" t="s">
        <v>2572</v>
      </c>
      <c r="N1726" t="s">
        <v>2388</v>
      </c>
      <c r="O1726">
        <v>1</v>
      </c>
    </row>
    <row r="1727" spans="2:15" x14ac:dyDescent="0.3">
      <c r="B1727">
        <v>1787</v>
      </c>
      <c r="D1727">
        <v>305</v>
      </c>
      <c r="E1727">
        <v>906</v>
      </c>
      <c r="F1727">
        <v>1</v>
      </c>
      <c r="G1727">
        <v>44.133850534357997</v>
      </c>
      <c r="H1727">
        <v>2</v>
      </c>
      <c r="I1727">
        <v>59</v>
      </c>
      <c r="K1727" t="s">
        <v>2386</v>
      </c>
      <c r="L1727">
        <v>20</v>
      </c>
      <c r="M1727" t="s">
        <v>2573</v>
      </c>
      <c r="N1727" t="s">
        <v>2388</v>
      </c>
      <c r="O1727">
        <v>1</v>
      </c>
    </row>
    <row r="1728" spans="2:15" x14ac:dyDescent="0.3">
      <c r="B1728">
        <v>1788</v>
      </c>
      <c r="D1728">
        <v>907</v>
      </c>
      <c r="E1728">
        <v>493</v>
      </c>
      <c r="F1728">
        <v>1</v>
      </c>
      <c r="G1728">
        <v>45.367909147964603</v>
      </c>
      <c r="H1728">
        <v>2</v>
      </c>
      <c r="I1728">
        <v>59</v>
      </c>
      <c r="K1728" t="s">
        <v>2386</v>
      </c>
      <c r="L1728">
        <v>20</v>
      </c>
      <c r="M1728" t="s">
        <v>2574</v>
      </c>
      <c r="N1728" t="s">
        <v>2388</v>
      </c>
      <c r="O1728">
        <v>1</v>
      </c>
    </row>
    <row r="1729" spans="2:15" x14ac:dyDescent="0.3">
      <c r="B1729">
        <v>1789</v>
      </c>
      <c r="D1729">
        <v>493</v>
      </c>
      <c r="E1729">
        <v>907</v>
      </c>
      <c r="F1729">
        <v>1</v>
      </c>
      <c r="G1729">
        <v>45.367909147964603</v>
      </c>
      <c r="H1729">
        <v>2</v>
      </c>
      <c r="I1729">
        <v>59</v>
      </c>
      <c r="K1729" t="s">
        <v>2386</v>
      </c>
      <c r="L1729">
        <v>20</v>
      </c>
      <c r="M1729" t="s">
        <v>2575</v>
      </c>
      <c r="N1729" t="s">
        <v>2388</v>
      </c>
      <c r="O1729">
        <v>1</v>
      </c>
    </row>
    <row r="1730" spans="2:15" x14ac:dyDescent="0.3">
      <c r="B1730">
        <v>1790</v>
      </c>
      <c r="D1730">
        <v>908</v>
      </c>
      <c r="E1730">
        <v>635</v>
      </c>
      <c r="F1730">
        <v>1</v>
      </c>
      <c r="G1730">
        <v>49.631355863828396</v>
      </c>
      <c r="H1730">
        <v>2</v>
      </c>
      <c r="I1730">
        <v>59</v>
      </c>
      <c r="K1730" t="s">
        <v>2386</v>
      </c>
      <c r="L1730">
        <v>20</v>
      </c>
      <c r="M1730" t="s">
        <v>2576</v>
      </c>
      <c r="N1730" t="s">
        <v>2388</v>
      </c>
      <c r="O1730">
        <v>1</v>
      </c>
    </row>
    <row r="1731" spans="2:15" x14ac:dyDescent="0.3">
      <c r="B1731">
        <v>1791</v>
      </c>
      <c r="D1731">
        <v>635</v>
      </c>
      <c r="E1731">
        <v>908</v>
      </c>
      <c r="F1731">
        <v>1</v>
      </c>
      <c r="G1731">
        <v>49.631355863828396</v>
      </c>
      <c r="H1731">
        <v>2</v>
      </c>
      <c r="I1731">
        <v>59</v>
      </c>
      <c r="K1731" t="s">
        <v>2386</v>
      </c>
      <c r="L1731">
        <v>20</v>
      </c>
      <c r="M1731" t="s">
        <v>2577</v>
      </c>
      <c r="N1731" t="s">
        <v>2388</v>
      </c>
      <c r="O1731">
        <v>1</v>
      </c>
    </row>
    <row r="1732" spans="2:15" x14ac:dyDescent="0.3">
      <c r="B1732">
        <v>1792</v>
      </c>
      <c r="D1732">
        <v>909</v>
      </c>
      <c r="E1732">
        <v>591</v>
      </c>
      <c r="F1732">
        <v>1</v>
      </c>
      <c r="G1732">
        <v>72.360895585098504</v>
      </c>
      <c r="H1732">
        <v>2</v>
      </c>
      <c r="I1732">
        <v>59</v>
      </c>
      <c r="K1732" t="s">
        <v>2386</v>
      </c>
      <c r="L1732">
        <v>20</v>
      </c>
      <c r="M1732" t="s">
        <v>2578</v>
      </c>
      <c r="N1732" t="s">
        <v>2388</v>
      </c>
      <c r="O1732">
        <v>1</v>
      </c>
    </row>
    <row r="1733" spans="2:15" x14ac:dyDescent="0.3">
      <c r="B1733">
        <v>1793</v>
      </c>
      <c r="D1733">
        <v>591</v>
      </c>
      <c r="E1733">
        <v>909</v>
      </c>
      <c r="F1733">
        <v>1</v>
      </c>
      <c r="G1733">
        <v>72.360895585098504</v>
      </c>
      <c r="H1733">
        <v>2</v>
      </c>
      <c r="I1733">
        <v>59</v>
      </c>
      <c r="K1733" t="s">
        <v>2386</v>
      </c>
      <c r="L1733">
        <v>20</v>
      </c>
      <c r="M1733" t="s">
        <v>2579</v>
      </c>
      <c r="N1733" t="s">
        <v>2388</v>
      </c>
      <c r="O1733">
        <v>1</v>
      </c>
    </row>
    <row r="1734" spans="2:15" x14ac:dyDescent="0.3">
      <c r="B1734">
        <v>1794</v>
      </c>
      <c r="D1734">
        <v>910</v>
      </c>
      <c r="E1734">
        <v>182</v>
      </c>
      <c r="F1734">
        <v>1</v>
      </c>
      <c r="G1734">
        <v>63.079792672388798</v>
      </c>
      <c r="H1734">
        <v>2</v>
      </c>
      <c r="I1734">
        <v>59</v>
      </c>
      <c r="K1734" t="s">
        <v>2386</v>
      </c>
      <c r="L1734">
        <v>20</v>
      </c>
      <c r="M1734" t="s">
        <v>2580</v>
      </c>
      <c r="N1734" t="s">
        <v>2388</v>
      </c>
      <c r="O1734">
        <v>1</v>
      </c>
    </row>
    <row r="1735" spans="2:15" x14ac:dyDescent="0.3">
      <c r="B1735">
        <v>1795</v>
      </c>
      <c r="D1735">
        <v>182</v>
      </c>
      <c r="E1735">
        <v>910</v>
      </c>
      <c r="F1735">
        <v>1</v>
      </c>
      <c r="G1735">
        <v>63.079792672388798</v>
      </c>
      <c r="H1735">
        <v>2</v>
      </c>
      <c r="I1735">
        <v>59</v>
      </c>
      <c r="K1735" t="s">
        <v>2386</v>
      </c>
      <c r="L1735">
        <v>20</v>
      </c>
      <c r="M1735" t="s">
        <v>2581</v>
      </c>
      <c r="N1735" t="s">
        <v>2388</v>
      </c>
      <c r="O1735">
        <v>1</v>
      </c>
    </row>
    <row r="1736" spans="2:15" x14ac:dyDescent="0.3">
      <c r="B1736">
        <v>1796</v>
      </c>
      <c r="D1736">
        <v>911</v>
      </c>
      <c r="E1736">
        <v>182</v>
      </c>
      <c r="F1736">
        <v>1</v>
      </c>
      <c r="G1736">
        <v>49.818888318271298</v>
      </c>
      <c r="H1736">
        <v>2</v>
      </c>
      <c r="I1736">
        <v>59</v>
      </c>
      <c r="K1736" t="s">
        <v>2386</v>
      </c>
      <c r="L1736">
        <v>20</v>
      </c>
      <c r="M1736" t="s">
        <v>2582</v>
      </c>
      <c r="N1736" t="s">
        <v>2388</v>
      </c>
      <c r="O1736">
        <v>1</v>
      </c>
    </row>
    <row r="1737" spans="2:15" x14ac:dyDescent="0.3">
      <c r="B1737">
        <v>1797</v>
      </c>
      <c r="D1737">
        <v>182</v>
      </c>
      <c r="E1737">
        <v>911</v>
      </c>
      <c r="F1737">
        <v>1</v>
      </c>
      <c r="G1737">
        <v>49.818888318271298</v>
      </c>
      <c r="H1737">
        <v>2</v>
      </c>
      <c r="I1737">
        <v>59</v>
      </c>
      <c r="K1737" t="s">
        <v>2386</v>
      </c>
      <c r="L1737">
        <v>20</v>
      </c>
      <c r="M1737" t="s">
        <v>2583</v>
      </c>
      <c r="N1737" t="s">
        <v>2388</v>
      </c>
      <c r="O1737">
        <v>1</v>
      </c>
    </row>
    <row r="1738" spans="2:15" x14ac:dyDescent="0.3">
      <c r="B1738">
        <v>1798</v>
      </c>
      <c r="D1738">
        <v>912</v>
      </c>
      <c r="E1738">
        <v>650</v>
      </c>
      <c r="F1738">
        <v>1</v>
      </c>
      <c r="G1738">
        <v>128.790784550311</v>
      </c>
      <c r="H1738">
        <v>2</v>
      </c>
      <c r="I1738">
        <v>59</v>
      </c>
      <c r="K1738" t="s">
        <v>2386</v>
      </c>
      <c r="L1738">
        <v>20</v>
      </c>
      <c r="M1738" t="s">
        <v>2584</v>
      </c>
      <c r="N1738" t="s">
        <v>2388</v>
      </c>
      <c r="O1738">
        <v>1</v>
      </c>
    </row>
    <row r="1739" spans="2:15" x14ac:dyDescent="0.3">
      <c r="B1739">
        <v>1799</v>
      </c>
      <c r="D1739">
        <v>650</v>
      </c>
      <c r="E1739">
        <v>912</v>
      </c>
      <c r="F1739">
        <v>1</v>
      </c>
      <c r="G1739">
        <v>128.790784550311</v>
      </c>
      <c r="H1739">
        <v>2</v>
      </c>
      <c r="I1739">
        <v>59</v>
      </c>
      <c r="K1739" t="s">
        <v>2386</v>
      </c>
      <c r="L1739">
        <v>20</v>
      </c>
      <c r="M1739" t="s">
        <v>2585</v>
      </c>
      <c r="N1739" t="s">
        <v>2388</v>
      </c>
      <c r="O1739">
        <v>1</v>
      </c>
    </row>
    <row r="1740" spans="2:15" x14ac:dyDescent="0.3">
      <c r="B1740">
        <v>1800</v>
      </c>
      <c r="D1740">
        <v>913</v>
      </c>
      <c r="E1740">
        <v>219</v>
      </c>
      <c r="F1740">
        <v>1</v>
      </c>
      <c r="G1740">
        <v>91.393211263552104</v>
      </c>
      <c r="H1740">
        <v>2</v>
      </c>
      <c r="I1740">
        <v>59</v>
      </c>
      <c r="K1740" t="s">
        <v>2386</v>
      </c>
      <c r="L1740">
        <v>20</v>
      </c>
      <c r="M1740" t="s">
        <v>2586</v>
      </c>
      <c r="N1740" t="s">
        <v>2388</v>
      </c>
      <c r="O1740">
        <v>1</v>
      </c>
    </row>
    <row r="1741" spans="2:15" x14ac:dyDescent="0.3">
      <c r="B1741">
        <v>1801</v>
      </c>
      <c r="D1741">
        <v>219</v>
      </c>
      <c r="E1741">
        <v>913</v>
      </c>
      <c r="F1741">
        <v>1</v>
      </c>
      <c r="G1741">
        <v>91.393211263552104</v>
      </c>
      <c r="H1741">
        <v>2</v>
      </c>
      <c r="I1741">
        <v>59</v>
      </c>
      <c r="K1741" t="s">
        <v>2386</v>
      </c>
      <c r="L1741">
        <v>20</v>
      </c>
      <c r="M1741" t="s">
        <v>2587</v>
      </c>
      <c r="N1741" t="s">
        <v>2388</v>
      </c>
      <c r="O1741">
        <v>1</v>
      </c>
    </row>
    <row r="1742" spans="2:15" x14ac:dyDescent="0.3">
      <c r="B1742">
        <v>1802</v>
      </c>
      <c r="D1742">
        <v>914</v>
      </c>
      <c r="E1742">
        <v>452</v>
      </c>
      <c r="F1742">
        <v>1</v>
      </c>
      <c r="G1742">
        <v>54.755672087781797</v>
      </c>
      <c r="H1742">
        <v>2</v>
      </c>
      <c r="I1742">
        <v>59</v>
      </c>
      <c r="K1742" t="s">
        <v>2386</v>
      </c>
      <c r="L1742">
        <v>20</v>
      </c>
      <c r="M1742" t="s">
        <v>2588</v>
      </c>
      <c r="N1742" t="s">
        <v>2388</v>
      </c>
      <c r="O1742">
        <v>1</v>
      </c>
    </row>
    <row r="1743" spans="2:15" x14ac:dyDescent="0.3">
      <c r="B1743">
        <v>1803</v>
      </c>
      <c r="D1743">
        <v>452</v>
      </c>
      <c r="E1743">
        <v>914</v>
      </c>
      <c r="F1743">
        <v>1</v>
      </c>
      <c r="G1743">
        <v>54.755672087781797</v>
      </c>
      <c r="H1743">
        <v>2</v>
      </c>
      <c r="I1743">
        <v>59</v>
      </c>
      <c r="K1743" t="s">
        <v>2386</v>
      </c>
      <c r="L1743">
        <v>20</v>
      </c>
      <c r="M1743" t="s">
        <v>2589</v>
      </c>
      <c r="N1743" t="s">
        <v>2388</v>
      </c>
      <c r="O1743">
        <v>1</v>
      </c>
    </row>
    <row r="1744" spans="2:15" x14ac:dyDescent="0.3">
      <c r="B1744">
        <v>1804</v>
      </c>
      <c r="D1744">
        <v>915</v>
      </c>
      <c r="E1744">
        <v>452</v>
      </c>
      <c r="F1744">
        <v>1</v>
      </c>
      <c r="G1744">
        <v>76.102582631868302</v>
      </c>
      <c r="H1744">
        <v>2</v>
      </c>
      <c r="I1744">
        <v>59</v>
      </c>
      <c r="K1744" t="s">
        <v>2386</v>
      </c>
      <c r="L1744">
        <v>20</v>
      </c>
      <c r="M1744" t="s">
        <v>2590</v>
      </c>
      <c r="N1744" t="s">
        <v>2388</v>
      </c>
      <c r="O1744">
        <v>1</v>
      </c>
    </row>
    <row r="1745" spans="2:15" x14ac:dyDescent="0.3">
      <c r="B1745">
        <v>1805</v>
      </c>
      <c r="D1745">
        <v>452</v>
      </c>
      <c r="E1745">
        <v>915</v>
      </c>
      <c r="F1745">
        <v>1</v>
      </c>
      <c r="G1745">
        <v>76.102582631868302</v>
      </c>
      <c r="H1745">
        <v>2</v>
      </c>
      <c r="I1745">
        <v>59</v>
      </c>
      <c r="K1745" t="s">
        <v>2386</v>
      </c>
      <c r="L1745">
        <v>20</v>
      </c>
      <c r="M1745" t="s">
        <v>2591</v>
      </c>
      <c r="N1745" t="s">
        <v>2388</v>
      </c>
      <c r="O1745">
        <v>1</v>
      </c>
    </row>
    <row r="1746" spans="2:15" x14ac:dyDescent="0.3">
      <c r="B1746">
        <v>1806</v>
      </c>
      <c r="D1746">
        <v>916</v>
      </c>
      <c r="E1746">
        <v>650</v>
      </c>
      <c r="F1746">
        <v>1</v>
      </c>
      <c r="G1746">
        <v>55.9001997640516</v>
      </c>
      <c r="H1746">
        <v>2</v>
      </c>
      <c r="I1746">
        <v>59</v>
      </c>
      <c r="K1746" t="s">
        <v>2386</v>
      </c>
      <c r="L1746">
        <v>20</v>
      </c>
      <c r="M1746" t="s">
        <v>2592</v>
      </c>
      <c r="N1746" t="s">
        <v>2388</v>
      </c>
      <c r="O1746">
        <v>1</v>
      </c>
    </row>
    <row r="1747" spans="2:15" x14ac:dyDescent="0.3">
      <c r="B1747">
        <v>1807</v>
      </c>
      <c r="D1747">
        <v>650</v>
      </c>
      <c r="E1747">
        <v>916</v>
      </c>
      <c r="F1747">
        <v>1</v>
      </c>
      <c r="G1747">
        <v>55.9001997640516</v>
      </c>
      <c r="H1747">
        <v>2</v>
      </c>
      <c r="I1747">
        <v>59</v>
      </c>
      <c r="K1747" t="s">
        <v>2386</v>
      </c>
      <c r="L1747">
        <v>20</v>
      </c>
      <c r="M1747" t="s">
        <v>2593</v>
      </c>
      <c r="N1747" t="s">
        <v>2388</v>
      </c>
      <c r="O1747">
        <v>1</v>
      </c>
    </row>
    <row r="1748" spans="2:15" x14ac:dyDescent="0.3">
      <c r="B1748">
        <v>1808</v>
      </c>
      <c r="D1748">
        <v>917</v>
      </c>
      <c r="E1748">
        <v>650</v>
      </c>
      <c r="F1748">
        <v>1</v>
      </c>
      <c r="G1748">
        <v>76.583168510379807</v>
      </c>
      <c r="H1748">
        <v>2</v>
      </c>
      <c r="I1748">
        <v>59</v>
      </c>
      <c r="K1748" t="s">
        <v>2386</v>
      </c>
      <c r="L1748">
        <v>20</v>
      </c>
      <c r="M1748" t="s">
        <v>2594</v>
      </c>
      <c r="N1748" t="s">
        <v>2388</v>
      </c>
      <c r="O1748">
        <v>1</v>
      </c>
    </row>
    <row r="1749" spans="2:15" x14ac:dyDescent="0.3">
      <c r="B1749">
        <v>1809</v>
      </c>
      <c r="D1749">
        <v>650</v>
      </c>
      <c r="E1749">
        <v>917</v>
      </c>
      <c r="F1749">
        <v>1</v>
      </c>
      <c r="G1749">
        <v>76.583168510379807</v>
      </c>
      <c r="H1749">
        <v>2</v>
      </c>
      <c r="I1749">
        <v>59</v>
      </c>
      <c r="K1749" t="s">
        <v>2386</v>
      </c>
      <c r="L1749">
        <v>20</v>
      </c>
      <c r="M1749" t="s">
        <v>2595</v>
      </c>
      <c r="N1749" t="s">
        <v>2388</v>
      </c>
      <c r="O1749">
        <v>1</v>
      </c>
    </row>
    <row r="1750" spans="2:15" x14ac:dyDescent="0.3">
      <c r="B1750">
        <v>1810</v>
      </c>
      <c r="D1750">
        <v>918</v>
      </c>
      <c r="E1750">
        <v>626</v>
      </c>
      <c r="F1750">
        <v>1</v>
      </c>
      <c r="G1750">
        <v>85.314242725863295</v>
      </c>
      <c r="H1750">
        <v>2</v>
      </c>
      <c r="I1750">
        <v>59</v>
      </c>
      <c r="K1750" t="s">
        <v>2386</v>
      </c>
      <c r="L1750">
        <v>20</v>
      </c>
      <c r="M1750" t="s">
        <v>2596</v>
      </c>
      <c r="N1750" t="s">
        <v>2388</v>
      </c>
      <c r="O1750">
        <v>1</v>
      </c>
    </row>
    <row r="1751" spans="2:15" x14ac:dyDescent="0.3">
      <c r="B1751">
        <v>1811</v>
      </c>
      <c r="D1751">
        <v>626</v>
      </c>
      <c r="E1751">
        <v>918</v>
      </c>
      <c r="F1751">
        <v>1</v>
      </c>
      <c r="G1751">
        <v>85.314242725863295</v>
      </c>
      <c r="H1751">
        <v>2</v>
      </c>
      <c r="I1751">
        <v>59</v>
      </c>
      <c r="K1751" t="s">
        <v>2386</v>
      </c>
      <c r="L1751">
        <v>20</v>
      </c>
      <c r="M1751" t="s">
        <v>2597</v>
      </c>
      <c r="N1751" t="s">
        <v>2388</v>
      </c>
      <c r="O1751">
        <v>1</v>
      </c>
    </row>
    <row r="1752" spans="2:15" x14ac:dyDescent="0.3">
      <c r="B1752">
        <v>1812</v>
      </c>
      <c r="D1752">
        <v>919</v>
      </c>
      <c r="E1752">
        <v>626</v>
      </c>
      <c r="F1752">
        <v>1</v>
      </c>
      <c r="G1752">
        <v>34.0613169003867</v>
      </c>
      <c r="H1752">
        <v>2</v>
      </c>
      <c r="I1752">
        <v>59</v>
      </c>
      <c r="K1752" t="s">
        <v>2386</v>
      </c>
      <c r="L1752">
        <v>20</v>
      </c>
      <c r="M1752" t="s">
        <v>2598</v>
      </c>
      <c r="N1752" t="s">
        <v>2388</v>
      </c>
      <c r="O1752">
        <v>1</v>
      </c>
    </row>
    <row r="1753" spans="2:15" x14ac:dyDescent="0.3">
      <c r="B1753">
        <v>1813</v>
      </c>
      <c r="D1753">
        <v>626</v>
      </c>
      <c r="E1753">
        <v>919</v>
      </c>
      <c r="F1753">
        <v>1</v>
      </c>
      <c r="G1753">
        <v>34.0613169003867</v>
      </c>
      <c r="H1753">
        <v>2</v>
      </c>
      <c r="I1753">
        <v>59</v>
      </c>
      <c r="K1753" t="s">
        <v>2386</v>
      </c>
      <c r="L1753">
        <v>20</v>
      </c>
      <c r="M1753" t="s">
        <v>2599</v>
      </c>
      <c r="N1753" t="s">
        <v>2388</v>
      </c>
      <c r="O1753">
        <v>1</v>
      </c>
    </row>
    <row r="1754" spans="2:15" x14ac:dyDescent="0.3">
      <c r="B1754">
        <v>1814</v>
      </c>
      <c r="D1754">
        <v>920</v>
      </c>
      <c r="E1754">
        <v>455</v>
      </c>
      <c r="F1754">
        <v>1</v>
      </c>
      <c r="G1754">
        <v>26.096708032588101</v>
      </c>
      <c r="H1754">
        <v>2</v>
      </c>
      <c r="I1754">
        <v>59</v>
      </c>
      <c r="K1754" t="s">
        <v>2386</v>
      </c>
      <c r="L1754">
        <v>20</v>
      </c>
      <c r="M1754" t="s">
        <v>2600</v>
      </c>
      <c r="N1754" t="s">
        <v>2388</v>
      </c>
      <c r="O1754">
        <v>1</v>
      </c>
    </row>
    <row r="1755" spans="2:15" x14ac:dyDescent="0.3">
      <c r="B1755">
        <v>1815</v>
      </c>
      <c r="D1755">
        <v>455</v>
      </c>
      <c r="E1755">
        <v>920</v>
      </c>
      <c r="F1755">
        <v>1</v>
      </c>
      <c r="G1755">
        <v>26.096708032588101</v>
      </c>
      <c r="H1755">
        <v>2</v>
      </c>
      <c r="I1755">
        <v>59</v>
      </c>
      <c r="K1755" t="s">
        <v>2386</v>
      </c>
      <c r="L1755">
        <v>20</v>
      </c>
      <c r="M1755" t="s">
        <v>2601</v>
      </c>
      <c r="N1755" t="s">
        <v>2388</v>
      </c>
      <c r="O1755">
        <v>1</v>
      </c>
    </row>
    <row r="1756" spans="2:15" x14ac:dyDescent="0.3">
      <c r="B1756">
        <v>1816</v>
      </c>
      <c r="D1756">
        <v>921</v>
      </c>
      <c r="E1756">
        <v>630</v>
      </c>
      <c r="F1756">
        <v>1</v>
      </c>
      <c r="G1756">
        <v>47.1320276602967</v>
      </c>
      <c r="H1756">
        <v>2</v>
      </c>
      <c r="I1756">
        <v>59</v>
      </c>
      <c r="K1756" t="s">
        <v>2386</v>
      </c>
      <c r="L1756">
        <v>20</v>
      </c>
      <c r="M1756" t="s">
        <v>2602</v>
      </c>
      <c r="N1756" t="s">
        <v>2388</v>
      </c>
      <c r="O1756">
        <v>1</v>
      </c>
    </row>
    <row r="1757" spans="2:15" x14ac:dyDescent="0.3">
      <c r="B1757">
        <v>1817</v>
      </c>
      <c r="D1757">
        <v>630</v>
      </c>
      <c r="E1757">
        <v>921</v>
      </c>
      <c r="F1757">
        <v>1</v>
      </c>
      <c r="G1757">
        <v>47.1320276602967</v>
      </c>
      <c r="H1757">
        <v>2</v>
      </c>
      <c r="I1757">
        <v>59</v>
      </c>
      <c r="K1757" t="s">
        <v>2386</v>
      </c>
      <c r="L1757">
        <v>20</v>
      </c>
      <c r="M1757" t="s">
        <v>2603</v>
      </c>
      <c r="N1757" t="s">
        <v>2388</v>
      </c>
      <c r="O1757">
        <v>1</v>
      </c>
    </row>
    <row r="1758" spans="2:15" x14ac:dyDescent="0.3">
      <c r="B1758">
        <v>1818</v>
      </c>
      <c r="D1758">
        <v>922</v>
      </c>
      <c r="E1758">
        <v>592</v>
      </c>
      <c r="F1758">
        <v>1</v>
      </c>
      <c r="G1758">
        <v>45.2577277376014</v>
      </c>
      <c r="H1758">
        <v>2</v>
      </c>
      <c r="I1758">
        <v>59</v>
      </c>
      <c r="K1758" t="s">
        <v>2386</v>
      </c>
      <c r="L1758">
        <v>20</v>
      </c>
      <c r="M1758" t="s">
        <v>2604</v>
      </c>
      <c r="N1758" t="s">
        <v>2388</v>
      </c>
      <c r="O1758">
        <v>1</v>
      </c>
    </row>
    <row r="1759" spans="2:15" x14ac:dyDescent="0.3">
      <c r="B1759">
        <v>1819</v>
      </c>
      <c r="D1759">
        <v>592</v>
      </c>
      <c r="E1759">
        <v>922</v>
      </c>
      <c r="F1759">
        <v>1</v>
      </c>
      <c r="G1759">
        <v>45.2577277376014</v>
      </c>
      <c r="H1759">
        <v>2</v>
      </c>
      <c r="I1759">
        <v>59</v>
      </c>
      <c r="K1759" t="s">
        <v>2386</v>
      </c>
      <c r="L1759">
        <v>20</v>
      </c>
      <c r="M1759" t="s">
        <v>2605</v>
      </c>
      <c r="N1759" t="s">
        <v>2388</v>
      </c>
      <c r="O1759">
        <v>1</v>
      </c>
    </row>
    <row r="1760" spans="2:15" x14ac:dyDescent="0.3">
      <c r="B1760">
        <v>1820</v>
      </c>
      <c r="D1760">
        <v>923</v>
      </c>
      <c r="E1760">
        <v>592</v>
      </c>
      <c r="F1760">
        <v>1</v>
      </c>
      <c r="G1760">
        <v>80.504818332557804</v>
      </c>
      <c r="H1760">
        <v>2</v>
      </c>
      <c r="I1760">
        <v>59</v>
      </c>
      <c r="K1760" t="s">
        <v>2386</v>
      </c>
      <c r="L1760">
        <v>20</v>
      </c>
      <c r="M1760" t="s">
        <v>2606</v>
      </c>
      <c r="N1760" t="s">
        <v>2388</v>
      </c>
      <c r="O1760">
        <v>1</v>
      </c>
    </row>
    <row r="1761" spans="2:15" x14ac:dyDescent="0.3">
      <c r="B1761">
        <v>1821</v>
      </c>
      <c r="D1761">
        <v>592</v>
      </c>
      <c r="E1761">
        <v>923</v>
      </c>
      <c r="F1761">
        <v>1</v>
      </c>
      <c r="G1761">
        <v>80.504818332557804</v>
      </c>
      <c r="H1761">
        <v>2</v>
      </c>
      <c r="I1761">
        <v>59</v>
      </c>
      <c r="K1761" t="s">
        <v>2386</v>
      </c>
      <c r="L1761">
        <v>20</v>
      </c>
      <c r="M1761" t="s">
        <v>2607</v>
      </c>
      <c r="N1761" t="s">
        <v>2388</v>
      </c>
      <c r="O1761">
        <v>1</v>
      </c>
    </row>
    <row r="1762" spans="2:15" x14ac:dyDescent="0.3">
      <c r="B1762">
        <v>1822</v>
      </c>
      <c r="D1762">
        <v>924</v>
      </c>
      <c r="E1762">
        <v>96</v>
      </c>
      <c r="F1762">
        <v>1</v>
      </c>
      <c r="G1762">
        <v>95.865453540174798</v>
      </c>
      <c r="H1762">
        <v>2</v>
      </c>
      <c r="I1762">
        <v>59</v>
      </c>
      <c r="K1762" t="s">
        <v>2386</v>
      </c>
      <c r="L1762">
        <v>20</v>
      </c>
      <c r="M1762" t="s">
        <v>2608</v>
      </c>
      <c r="N1762" t="s">
        <v>2388</v>
      </c>
      <c r="O1762">
        <v>1</v>
      </c>
    </row>
    <row r="1763" spans="2:15" x14ac:dyDescent="0.3">
      <c r="B1763">
        <v>1823</v>
      </c>
      <c r="D1763">
        <v>96</v>
      </c>
      <c r="E1763">
        <v>924</v>
      </c>
      <c r="F1763">
        <v>1</v>
      </c>
      <c r="G1763">
        <v>95.865453540174798</v>
      </c>
      <c r="H1763">
        <v>2</v>
      </c>
      <c r="I1763">
        <v>59</v>
      </c>
      <c r="K1763" t="s">
        <v>2386</v>
      </c>
      <c r="L1763">
        <v>20</v>
      </c>
      <c r="M1763" t="s">
        <v>2609</v>
      </c>
      <c r="N1763" t="s">
        <v>2388</v>
      </c>
      <c r="O1763">
        <v>1</v>
      </c>
    </row>
    <row r="1764" spans="2:15" x14ac:dyDescent="0.3">
      <c r="B1764">
        <v>1824</v>
      </c>
      <c r="D1764">
        <v>925</v>
      </c>
      <c r="E1764">
        <v>586</v>
      </c>
      <c r="F1764">
        <v>1</v>
      </c>
      <c r="G1764">
        <v>116.291397244799</v>
      </c>
      <c r="H1764">
        <v>2</v>
      </c>
      <c r="I1764">
        <v>59</v>
      </c>
      <c r="K1764" t="s">
        <v>2386</v>
      </c>
      <c r="L1764">
        <v>20</v>
      </c>
      <c r="M1764" t="s">
        <v>2610</v>
      </c>
      <c r="N1764" t="s">
        <v>2388</v>
      </c>
      <c r="O1764">
        <v>1</v>
      </c>
    </row>
    <row r="1765" spans="2:15" x14ac:dyDescent="0.3">
      <c r="B1765">
        <v>1825</v>
      </c>
      <c r="D1765">
        <v>586</v>
      </c>
      <c r="E1765">
        <v>925</v>
      </c>
      <c r="F1765">
        <v>1</v>
      </c>
      <c r="G1765">
        <v>116.291397244799</v>
      </c>
      <c r="H1765">
        <v>2</v>
      </c>
      <c r="I1765">
        <v>59</v>
      </c>
      <c r="K1765" t="s">
        <v>2386</v>
      </c>
      <c r="L1765">
        <v>20</v>
      </c>
      <c r="M1765" t="s">
        <v>2611</v>
      </c>
      <c r="N1765" t="s">
        <v>2388</v>
      </c>
      <c r="O1765">
        <v>1</v>
      </c>
    </row>
    <row r="1766" spans="2:15" x14ac:dyDescent="0.3">
      <c r="B1766">
        <v>1826</v>
      </c>
      <c r="D1766">
        <v>926</v>
      </c>
      <c r="E1766">
        <v>675</v>
      </c>
      <c r="F1766">
        <v>1</v>
      </c>
      <c r="G1766">
        <v>150.38198381728</v>
      </c>
      <c r="H1766">
        <v>2</v>
      </c>
      <c r="I1766">
        <v>59</v>
      </c>
      <c r="K1766" t="s">
        <v>2386</v>
      </c>
      <c r="L1766">
        <v>20</v>
      </c>
      <c r="M1766" t="s">
        <v>2612</v>
      </c>
      <c r="N1766" t="s">
        <v>2388</v>
      </c>
      <c r="O1766">
        <v>1</v>
      </c>
    </row>
    <row r="1767" spans="2:15" x14ac:dyDescent="0.3">
      <c r="B1767">
        <v>1827</v>
      </c>
      <c r="D1767">
        <v>675</v>
      </c>
      <c r="E1767">
        <v>926</v>
      </c>
      <c r="F1767">
        <v>1</v>
      </c>
      <c r="G1767">
        <v>150.38198381728</v>
      </c>
      <c r="H1767">
        <v>2</v>
      </c>
      <c r="I1767">
        <v>59</v>
      </c>
      <c r="K1767" t="s">
        <v>2386</v>
      </c>
      <c r="L1767">
        <v>20</v>
      </c>
      <c r="M1767" t="s">
        <v>2613</v>
      </c>
      <c r="N1767" t="s">
        <v>2388</v>
      </c>
      <c r="O1767">
        <v>1</v>
      </c>
    </row>
    <row r="1768" spans="2:15" x14ac:dyDescent="0.3">
      <c r="B1768">
        <v>1828</v>
      </c>
      <c r="D1768">
        <v>927</v>
      </c>
      <c r="E1768">
        <v>675</v>
      </c>
      <c r="F1768">
        <v>1</v>
      </c>
      <c r="G1768">
        <v>106.74956765300399</v>
      </c>
      <c r="H1768">
        <v>2</v>
      </c>
      <c r="I1768">
        <v>59</v>
      </c>
      <c r="K1768" t="s">
        <v>2386</v>
      </c>
      <c r="L1768">
        <v>20</v>
      </c>
      <c r="M1768" t="s">
        <v>2614</v>
      </c>
      <c r="N1768" t="s">
        <v>2388</v>
      </c>
      <c r="O1768">
        <v>1</v>
      </c>
    </row>
    <row r="1769" spans="2:15" x14ac:dyDescent="0.3">
      <c r="B1769">
        <v>1829</v>
      </c>
      <c r="D1769">
        <v>675</v>
      </c>
      <c r="E1769">
        <v>927</v>
      </c>
      <c r="F1769">
        <v>1</v>
      </c>
      <c r="G1769">
        <v>106.74956765300399</v>
      </c>
      <c r="H1769">
        <v>2</v>
      </c>
      <c r="I1769">
        <v>59</v>
      </c>
      <c r="K1769" t="s">
        <v>2386</v>
      </c>
      <c r="L1769">
        <v>20</v>
      </c>
      <c r="M1769" t="s">
        <v>2615</v>
      </c>
      <c r="N1769" t="s">
        <v>2388</v>
      </c>
      <c r="O1769">
        <v>1</v>
      </c>
    </row>
    <row r="1770" spans="2:15" x14ac:dyDescent="0.3">
      <c r="B1770">
        <v>1830</v>
      </c>
      <c r="D1770">
        <v>928</v>
      </c>
      <c r="E1770">
        <v>30</v>
      </c>
      <c r="F1770">
        <v>1</v>
      </c>
      <c r="G1770">
        <v>65.266977058576302</v>
      </c>
      <c r="H1770">
        <v>2</v>
      </c>
      <c r="I1770">
        <v>59</v>
      </c>
      <c r="K1770" t="s">
        <v>2386</v>
      </c>
      <c r="L1770">
        <v>20</v>
      </c>
      <c r="M1770" t="s">
        <v>2616</v>
      </c>
      <c r="N1770" t="s">
        <v>2388</v>
      </c>
      <c r="O1770">
        <v>1</v>
      </c>
    </row>
    <row r="1771" spans="2:15" x14ac:dyDescent="0.3">
      <c r="B1771">
        <v>1831</v>
      </c>
      <c r="D1771">
        <v>30</v>
      </c>
      <c r="E1771">
        <v>928</v>
      </c>
      <c r="F1771">
        <v>1</v>
      </c>
      <c r="G1771">
        <v>65.266977058576302</v>
      </c>
      <c r="H1771">
        <v>2</v>
      </c>
      <c r="I1771">
        <v>59</v>
      </c>
      <c r="K1771" t="s">
        <v>2386</v>
      </c>
      <c r="L1771">
        <v>20</v>
      </c>
      <c r="M1771" t="s">
        <v>2617</v>
      </c>
      <c r="N1771" t="s">
        <v>2388</v>
      </c>
      <c r="O1771">
        <v>1</v>
      </c>
    </row>
    <row r="1772" spans="2:15" x14ac:dyDescent="0.3">
      <c r="B1772">
        <v>1832</v>
      </c>
      <c r="D1772">
        <v>929</v>
      </c>
      <c r="E1772">
        <v>1969</v>
      </c>
      <c r="F1772">
        <v>1</v>
      </c>
      <c r="G1772">
        <v>69.600441555784798</v>
      </c>
      <c r="H1772">
        <v>2</v>
      </c>
      <c r="I1772">
        <v>59</v>
      </c>
      <c r="K1772" t="s">
        <v>2386</v>
      </c>
      <c r="L1772">
        <v>20</v>
      </c>
      <c r="M1772" t="s">
        <v>2618</v>
      </c>
      <c r="N1772" t="s">
        <v>2388</v>
      </c>
      <c r="O1772">
        <v>1</v>
      </c>
    </row>
    <row r="1773" spans="2:15" x14ac:dyDescent="0.3">
      <c r="B1773">
        <v>1833</v>
      </c>
      <c r="D1773">
        <v>1969</v>
      </c>
      <c r="E1773">
        <v>929</v>
      </c>
      <c r="F1773">
        <v>1</v>
      </c>
      <c r="G1773">
        <v>69.600441555784798</v>
      </c>
      <c r="H1773">
        <v>2</v>
      </c>
      <c r="I1773">
        <v>59</v>
      </c>
      <c r="K1773" t="s">
        <v>2386</v>
      </c>
      <c r="L1773">
        <v>20</v>
      </c>
      <c r="M1773" t="s">
        <v>2619</v>
      </c>
      <c r="N1773" t="s">
        <v>2388</v>
      </c>
      <c r="O1773">
        <v>1</v>
      </c>
    </row>
    <row r="1774" spans="2:15" x14ac:dyDescent="0.3">
      <c r="B1774">
        <v>1834</v>
      </c>
      <c r="D1774">
        <v>930</v>
      </c>
      <c r="E1774">
        <v>25</v>
      </c>
      <c r="F1774">
        <v>1</v>
      </c>
      <c r="G1774">
        <v>35.059915603463303</v>
      </c>
      <c r="H1774">
        <v>2</v>
      </c>
      <c r="I1774">
        <v>59</v>
      </c>
      <c r="K1774" t="s">
        <v>2386</v>
      </c>
      <c r="L1774">
        <v>20</v>
      </c>
      <c r="M1774" t="s">
        <v>2620</v>
      </c>
      <c r="N1774" t="s">
        <v>2388</v>
      </c>
      <c r="O1774">
        <v>1</v>
      </c>
    </row>
    <row r="1775" spans="2:15" x14ac:dyDescent="0.3">
      <c r="B1775">
        <v>1835</v>
      </c>
      <c r="D1775">
        <v>25</v>
      </c>
      <c r="E1775">
        <v>930</v>
      </c>
      <c r="F1775">
        <v>1</v>
      </c>
      <c r="G1775">
        <v>35.059915603463303</v>
      </c>
      <c r="H1775">
        <v>2</v>
      </c>
      <c r="I1775">
        <v>59</v>
      </c>
      <c r="K1775" t="s">
        <v>2386</v>
      </c>
      <c r="L1775">
        <v>20</v>
      </c>
      <c r="M1775" t="s">
        <v>2621</v>
      </c>
      <c r="N1775" t="s">
        <v>2388</v>
      </c>
      <c r="O1775">
        <v>1</v>
      </c>
    </row>
    <row r="1776" spans="2:15" x14ac:dyDescent="0.3">
      <c r="B1776">
        <v>1836</v>
      </c>
      <c r="D1776">
        <v>931</v>
      </c>
      <c r="E1776">
        <v>194</v>
      </c>
      <c r="F1776">
        <v>1</v>
      </c>
      <c r="G1776">
        <v>57.991069681705</v>
      </c>
      <c r="H1776">
        <v>2</v>
      </c>
      <c r="I1776">
        <v>59</v>
      </c>
      <c r="K1776" t="s">
        <v>2386</v>
      </c>
      <c r="L1776">
        <v>20</v>
      </c>
      <c r="M1776" t="s">
        <v>2622</v>
      </c>
      <c r="N1776" t="s">
        <v>2388</v>
      </c>
      <c r="O1776">
        <v>1</v>
      </c>
    </row>
    <row r="1777" spans="2:15" x14ac:dyDescent="0.3">
      <c r="B1777">
        <v>1837</v>
      </c>
      <c r="D1777">
        <v>194</v>
      </c>
      <c r="E1777">
        <v>931</v>
      </c>
      <c r="F1777">
        <v>1</v>
      </c>
      <c r="G1777">
        <v>57.991069681705</v>
      </c>
      <c r="H1777">
        <v>2</v>
      </c>
      <c r="I1777">
        <v>59</v>
      </c>
      <c r="K1777" t="s">
        <v>2386</v>
      </c>
      <c r="L1777">
        <v>20</v>
      </c>
      <c r="M1777" t="s">
        <v>2623</v>
      </c>
      <c r="N1777" t="s">
        <v>2388</v>
      </c>
      <c r="O1777">
        <v>1</v>
      </c>
    </row>
    <row r="1778" spans="2:15" x14ac:dyDescent="0.3">
      <c r="B1778">
        <v>1838</v>
      </c>
      <c r="D1778">
        <v>932</v>
      </c>
      <c r="E1778">
        <v>194</v>
      </c>
      <c r="F1778">
        <v>1</v>
      </c>
      <c r="G1778">
        <v>93.272125847282894</v>
      </c>
      <c r="H1778">
        <v>2</v>
      </c>
      <c r="I1778">
        <v>59</v>
      </c>
      <c r="K1778" t="s">
        <v>2386</v>
      </c>
      <c r="L1778">
        <v>20</v>
      </c>
      <c r="M1778" t="s">
        <v>2624</v>
      </c>
      <c r="N1778" t="s">
        <v>2388</v>
      </c>
      <c r="O1778">
        <v>1</v>
      </c>
    </row>
    <row r="1779" spans="2:15" x14ac:dyDescent="0.3">
      <c r="B1779">
        <v>1839</v>
      </c>
      <c r="D1779">
        <v>194</v>
      </c>
      <c r="E1779">
        <v>932</v>
      </c>
      <c r="F1779">
        <v>1</v>
      </c>
      <c r="G1779">
        <v>93.272125847282894</v>
      </c>
      <c r="H1779">
        <v>2</v>
      </c>
      <c r="I1779">
        <v>59</v>
      </c>
      <c r="K1779" t="s">
        <v>2386</v>
      </c>
      <c r="L1779">
        <v>20</v>
      </c>
      <c r="M1779" t="s">
        <v>2625</v>
      </c>
      <c r="N1779" t="s">
        <v>2388</v>
      </c>
      <c r="O1779">
        <v>1</v>
      </c>
    </row>
    <row r="1780" spans="2:15" x14ac:dyDescent="0.3">
      <c r="B1780">
        <v>1840</v>
      </c>
      <c r="D1780">
        <v>933</v>
      </c>
      <c r="E1780">
        <v>0</v>
      </c>
      <c r="F1780">
        <v>1</v>
      </c>
      <c r="G1780">
        <v>37.455452908865297</v>
      </c>
      <c r="H1780">
        <v>2</v>
      </c>
      <c r="I1780">
        <v>59</v>
      </c>
      <c r="K1780" t="s">
        <v>2386</v>
      </c>
      <c r="L1780">
        <v>20</v>
      </c>
      <c r="M1780" t="s">
        <v>2626</v>
      </c>
      <c r="N1780" t="s">
        <v>2388</v>
      </c>
      <c r="O1780">
        <v>1</v>
      </c>
    </row>
    <row r="1781" spans="2:15" x14ac:dyDescent="0.3">
      <c r="B1781">
        <v>1841</v>
      </c>
      <c r="D1781">
        <v>0</v>
      </c>
      <c r="E1781">
        <v>933</v>
      </c>
      <c r="F1781">
        <v>1</v>
      </c>
      <c r="G1781">
        <v>37.455452908865297</v>
      </c>
      <c r="H1781">
        <v>2</v>
      </c>
      <c r="I1781">
        <v>59</v>
      </c>
      <c r="K1781" t="s">
        <v>2386</v>
      </c>
      <c r="L1781">
        <v>20</v>
      </c>
      <c r="M1781" t="s">
        <v>2627</v>
      </c>
      <c r="N1781" t="s">
        <v>2388</v>
      </c>
      <c r="O1781">
        <v>1</v>
      </c>
    </row>
    <row r="1782" spans="2:15" x14ac:dyDescent="0.3">
      <c r="B1782">
        <v>1842</v>
      </c>
      <c r="D1782">
        <v>934</v>
      </c>
      <c r="E1782">
        <v>0</v>
      </c>
      <c r="F1782">
        <v>1</v>
      </c>
      <c r="G1782">
        <v>82.341851718521198</v>
      </c>
      <c r="H1782">
        <v>2</v>
      </c>
      <c r="I1782">
        <v>59</v>
      </c>
      <c r="K1782" t="s">
        <v>2386</v>
      </c>
      <c r="L1782">
        <v>20</v>
      </c>
      <c r="M1782" t="s">
        <v>2628</v>
      </c>
      <c r="N1782" t="s">
        <v>2388</v>
      </c>
      <c r="O1782">
        <v>1</v>
      </c>
    </row>
    <row r="1783" spans="2:15" x14ac:dyDescent="0.3">
      <c r="B1783">
        <v>1843</v>
      </c>
      <c r="D1783">
        <v>0</v>
      </c>
      <c r="E1783">
        <v>934</v>
      </c>
      <c r="F1783">
        <v>1</v>
      </c>
      <c r="G1783">
        <v>82.341851718521198</v>
      </c>
      <c r="H1783">
        <v>2</v>
      </c>
      <c r="I1783">
        <v>59</v>
      </c>
      <c r="K1783" t="s">
        <v>2386</v>
      </c>
      <c r="L1783">
        <v>20</v>
      </c>
      <c r="M1783" t="s">
        <v>2629</v>
      </c>
      <c r="N1783" t="s">
        <v>2388</v>
      </c>
      <c r="O1783">
        <v>1</v>
      </c>
    </row>
    <row r="1784" spans="2:15" x14ac:dyDescent="0.3">
      <c r="B1784">
        <v>1844</v>
      </c>
      <c r="D1784">
        <v>935</v>
      </c>
      <c r="E1784">
        <v>502</v>
      </c>
      <c r="F1784">
        <v>1</v>
      </c>
      <c r="G1784">
        <v>49.515140026796502</v>
      </c>
      <c r="H1784">
        <v>2</v>
      </c>
      <c r="I1784">
        <v>59</v>
      </c>
      <c r="K1784" t="s">
        <v>2386</v>
      </c>
      <c r="L1784">
        <v>20</v>
      </c>
      <c r="M1784" t="s">
        <v>2630</v>
      </c>
      <c r="N1784" t="s">
        <v>2388</v>
      </c>
      <c r="O1784">
        <v>1</v>
      </c>
    </row>
    <row r="1785" spans="2:15" x14ac:dyDescent="0.3">
      <c r="B1785">
        <v>1845</v>
      </c>
      <c r="D1785">
        <v>502</v>
      </c>
      <c r="E1785">
        <v>935</v>
      </c>
      <c r="F1785">
        <v>1</v>
      </c>
      <c r="G1785">
        <v>49.515140026796502</v>
      </c>
      <c r="H1785">
        <v>2</v>
      </c>
      <c r="I1785">
        <v>59</v>
      </c>
      <c r="K1785" t="s">
        <v>2386</v>
      </c>
      <c r="L1785">
        <v>20</v>
      </c>
      <c r="M1785" t="s">
        <v>2631</v>
      </c>
      <c r="N1785" t="s">
        <v>2388</v>
      </c>
      <c r="O1785">
        <v>1</v>
      </c>
    </row>
    <row r="1786" spans="2:15" x14ac:dyDescent="0.3">
      <c r="B1786">
        <v>1846</v>
      </c>
      <c r="D1786">
        <v>936</v>
      </c>
      <c r="E1786">
        <v>503</v>
      </c>
      <c r="F1786">
        <v>1</v>
      </c>
      <c r="G1786">
        <v>139.174630366424</v>
      </c>
      <c r="H1786">
        <v>2</v>
      </c>
      <c r="I1786">
        <v>59</v>
      </c>
      <c r="K1786" t="s">
        <v>2386</v>
      </c>
      <c r="L1786">
        <v>20</v>
      </c>
      <c r="M1786" t="s">
        <v>2632</v>
      </c>
      <c r="N1786" t="s">
        <v>2388</v>
      </c>
      <c r="O1786">
        <v>1</v>
      </c>
    </row>
    <row r="1787" spans="2:15" x14ac:dyDescent="0.3">
      <c r="B1787">
        <v>1847</v>
      </c>
      <c r="D1787">
        <v>503</v>
      </c>
      <c r="E1787">
        <v>936</v>
      </c>
      <c r="F1787">
        <v>1</v>
      </c>
      <c r="G1787">
        <v>139.174630366424</v>
      </c>
      <c r="H1787">
        <v>2</v>
      </c>
      <c r="I1787">
        <v>59</v>
      </c>
      <c r="K1787" t="s">
        <v>2386</v>
      </c>
      <c r="L1787">
        <v>20</v>
      </c>
      <c r="M1787" t="s">
        <v>2633</v>
      </c>
      <c r="N1787" t="s">
        <v>2388</v>
      </c>
      <c r="O1787">
        <v>1</v>
      </c>
    </row>
    <row r="1788" spans="2:15" x14ac:dyDescent="0.3">
      <c r="B1788">
        <v>1848</v>
      </c>
      <c r="D1788">
        <v>937</v>
      </c>
      <c r="E1788">
        <v>188</v>
      </c>
      <c r="F1788">
        <v>1</v>
      </c>
      <c r="G1788">
        <v>111.16160431219799</v>
      </c>
      <c r="H1788">
        <v>2</v>
      </c>
      <c r="I1788">
        <v>59</v>
      </c>
      <c r="K1788" t="s">
        <v>2386</v>
      </c>
      <c r="L1788">
        <v>20</v>
      </c>
      <c r="M1788" t="s">
        <v>2634</v>
      </c>
      <c r="N1788" t="s">
        <v>2388</v>
      </c>
      <c r="O1788">
        <v>1</v>
      </c>
    </row>
    <row r="1789" spans="2:15" x14ac:dyDescent="0.3">
      <c r="B1789">
        <v>1849</v>
      </c>
      <c r="D1789">
        <v>188</v>
      </c>
      <c r="E1789">
        <v>937</v>
      </c>
      <c r="F1789">
        <v>1</v>
      </c>
      <c r="G1789">
        <v>111.16160431219799</v>
      </c>
      <c r="H1789">
        <v>2</v>
      </c>
      <c r="I1789">
        <v>59</v>
      </c>
      <c r="K1789" t="s">
        <v>2386</v>
      </c>
      <c r="L1789">
        <v>20</v>
      </c>
      <c r="M1789" t="s">
        <v>2635</v>
      </c>
      <c r="N1789" t="s">
        <v>2388</v>
      </c>
      <c r="O1789">
        <v>1</v>
      </c>
    </row>
    <row r="1790" spans="2:15" x14ac:dyDescent="0.3">
      <c r="B1790">
        <v>1850</v>
      </c>
      <c r="D1790">
        <v>938</v>
      </c>
      <c r="E1790">
        <v>26</v>
      </c>
      <c r="F1790">
        <v>1</v>
      </c>
      <c r="G1790">
        <v>162.65726523377501</v>
      </c>
      <c r="H1790">
        <v>2</v>
      </c>
      <c r="I1790">
        <v>59</v>
      </c>
      <c r="K1790" t="s">
        <v>2386</v>
      </c>
      <c r="L1790">
        <v>20</v>
      </c>
      <c r="M1790" t="s">
        <v>2636</v>
      </c>
      <c r="N1790" t="s">
        <v>2388</v>
      </c>
      <c r="O1790">
        <v>1</v>
      </c>
    </row>
    <row r="1791" spans="2:15" x14ac:dyDescent="0.3">
      <c r="B1791">
        <v>1851</v>
      </c>
      <c r="D1791">
        <v>26</v>
      </c>
      <c r="E1791">
        <v>938</v>
      </c>
      <c r="F1791">
        <v>1</v>
      </c>
      <c r="G1791">
        <v>162.65726523377501</v>
      </c>
      <c r="H1791">
        <v>2</v>
      </c>
      <c r="I1791">
        <v>59</v>
      </c>
      <c r="K1791" t="s">
        <v>2386</v>
      </c>
      <c r="L1791">
        <v>20</v>
      </c>
      <c r="M1791" t="s">
        <v>2637</v>
      </c>
      <c r="N1791" t="s">
        <v>2388</v>
      </c>
      <c r="O1791">
        <v>1</v>
      </c>
    </row>
    <row r="1792" spans="2:15" x14ac:dyDescent="0.3">
      <c r="B1792">
        <v>1852</v>
      </c>
      <c r="D1792">
        <v>939</v>
      </c>
      <c r="E1792">
        <v>243</v>
      </c>
      <c r="F1792">
        <v>1</v>
      </c>
      <c r="G1792">
        <v>97.715013393204103</v>
      </c>
      <c r="H1792">
        <v>2</v>
      </c>
      <c r="I1792">
        <v>59</v>
      </c>
      <c r="K1792" t="s">
        <v>2386</v>
      </c>
      <c r="L1792">
        <v>20</v>
      </c>
      <c r="M1792" t="s">
        <v>2638</v>
      </c>
      <c r="N1792" t="s">
        <v>2388</v>
      </c>
      <c r="O1792">
        <v>1</v>
      </c>
    </row>
    <row r="1793" spans="2:15" x14ac:dyDescent="0.3">
      <c r="B1793">
        <v>1853</v>
      </c>
      <c r="D1793">
        <v>243</v>
      </c>
      <c r="E1793">
        <v>939</v>
      </c>
      <c r="F1793">
        <v>1</v>
      </c>
      <c r="G1793">
        <v>97.715013393204103</v>
      </c>
      <c r="H1793">
        <v>2</v>
      </c>
      <c r="I1793">
        <v>59</v>
      </c>
      <c r="K1793" t="s">
        <v>2386</v>
      </c>
      <c r="L1793">
        <v>20</v>
      </c>
      <c r="M1793" t="s">
        <v>2639</v>
      </c>
      <c r="N1793" t="s">
        <v>2388</v>
      </c>
      <c r="O1793">
        <v>1</v>
      </c>
    </row>
    <row r="1794" spans="2:15" x14ac:dyDescent="0.3">
      <c r="B1794">
        <v>1854</v>
      </c>
      <c r="D1794">
        <v>940</v>
      </c>
      <c r="E1794">
        <v>1940</v>
      </c>
      <c r="F1794">
        <v>1</v>
      </c>
      <c r="G1794">
        <v>124.199798458787</v>
      </c>
      <c r="H1794">
        <v>2</v>
      </c>
      <c r="I1794">
        <v>59</v>
      </c>
      <c r="K1794" t="s">
        <v>2386</v>
      </c>
      <c r="L1794">
        <v>20</v>
      </c>
      <c r="M1794" t="s">
        <v>2640</v>
      </c>
      <c r="N1794" t="s">
        <v>2388</v>
      </c>
      <c r="O1794">
        <v>1</v>
      </c>
    </row>
    <row r="1795" spans="2:15" x14ac:dyDescent="0.3">
      <c r="B1795">
        <v>1855</v>
      </c>
      <c r="D1795">
        <v>1940</v>
      </c>
      <c r="E1795">
        <v>940</v>
      </c>
      <c r="F1795">
        <v>1</v>
      </c>
      <c r="G1795">
        <v>124.199798458787</v>
      </c>
      <c r="H1795">
        <v>2</v>
      </c>
      <c r="I1795">
        <v>59</v>
      </c>
      <c r="K1795" t="s">
        <v>2386</v>
      </c>
      <c r="L1795">
        <v>20</v>
      </c>
      <c r="M1795" t="s">
        <v>2641</v>
      </c>
      <c r="N1795" t="s">
        <v>2388</v>
      </c>
      <c r="O1795">
        <v>1</v>
      </c>
    </row>
    <row r="1796" spans="2:15" x14ac:dyDescent="0.3">
      <c r="B1796">
        <v>1856</v>
      </c>
      <c r="D1796">
        <v>941</v>
      </c>
      <c r="E1796">
        <v>549</v>
      </c>
      <c r="F1796">
        <v>1</v>
      </c>
      <c r="G1796">
        <v>221.862160845956</v>
      </c>
      <c r="H1796">
        <v>2</v>
      </c>
      <c r="I1796">
        <v>59</v>
      </c>
      <c r="K1796" t="s">
        <v>2386</v>
      </c>
      <c r="L1796">
        <v>20</v>
      </c>
      <c r="M1796" t="s">
        <v>2642</v>
      </c>
      <c r="N1796" t="s">
        <v>2388</v>
      </c>
      <c r="O1796">
        <v>1</v>
      </c>
    </row>
    <row r="1797" spans="2:15" x14ac:dyDescent="0.3">
      <c r="B1797">
        <v>1857</v>
      </c>
      <c r="D1797">
        <v>549</v>
      </c>
      <c r="E1797">
        <v>941</v>
      </c>
      <c r="F1797">
        <v>1</v>
      </c>
      <c r="G1797">
        <v>221.862160845956</v>
      </c>
      <c r="H1797">
        <v>2</v>
      </c>
      <c r="I1797">
        <v>59</v>
      </c>
      <c r="K1797" t="s">
        <v>2386</v>
      </c>
      <c r="L1797">
        <v>20</v>
      </c>
      <c r="M1797" t="s">
        <v>2643</v>
      </c>
      <c r="N1797" t="s">
        <v>2388</v>
      </c>
      <c r="O1797">
        <v>1</v>
      </c>
    </row>
    <row r="1798" spans="2:15" x14ac:dyDescent="0.3">
      <c r="B1798">
        <v>1858</v>
      </c>
      <c r="D1798">
        <v>942</v>
      </c>
      <c r="E1798">
        <v>243</v>
      </c>
      <c r="F1798">
        <v>1</v>
      </c>
      <c r="G1798">
        <v>94.634617441046899</v>
      </c>
      <c r="H1798">
        <v>2</v>
      </c>
      <c r="I1798">
        <v>59</v>
      </c>
      <c r="K1798" t="s">
        <v>2386</v>
      </c>
      <c r="L1798">
        <v>20</v>
      </c>
      <c r="M1798" t="s">
        <v>2644</v>
      </c>
      <c r="N1798" t="s">
        <v>2388</v>
      </c>
      <c r="O1798">
        <v>1</v>
      </c>
    </row>
    <row r="1799" spans="2:15" x14ac:dyDescent="0.3">
      <c r="B1799">
        <v>1859</v>
      </c>
      <c r="D1799">
        <v>243</v>
      </c>
      <c r="E1799">
        <v>942</v>
      </c>
      <c r="F1799">
        <v>1</v>
      </c>
      <c r="G1799">
        <v>94.634617441046899</v>
      </c>
      <c r="H1799">
        <v>2</v>
      </c>
      <c r="I1799">
        <v>59</v>
      </c>
      <c r="K1799" t="s">
        <v>2386</v>
      </c>
      <c r="L1799">
        <v>20</v>
      </c>
      <c r="M1799" t="s">
        <v>2645</v>
      </c>
      <c r="N1799" t="s">
        <v>2388</v>
      </c>
      <c r="O1799">
        <v>1</v>
      </c>
    </row>
    <row r="1800" spans="2:15" x14ac:dyDescent="0.3">
      <c r="B1800">
        <v>1860</v>
      </c>
      <c r="D1800">
        <v>943</v>
      </c>
      <c r="E1800">
        <v>243</v>
      </c>
      <c r="F1800">
        <v>1</v>
      </c>
      <c r="G1800">
        <v>179.990373171041</v>
      </c>
      <c r="H1800">
        <v>2</v>
      </c>
      <c r="I1800">
        <v>59</v>
      </c>
      <c r="K1800" t="s">
        <v>2386</v>
      </c>
      <c r="L1800">
        <v>20</v>
      </c>
      <c r="M1800" t="s">
        <v>2646</v>
      </c>
      <c r="N1800" t="s">
        <v>2388</v>
      </c>
      <c r="O1800">
        <v>1</v>
      </c>
    </row>
    <row r="1801" spans="2:15" x14ac:dyDescent="0.3">
      <c r="B1801">
        <v>1861</v>
      </c>
      <c r="D1801">
        <v>243</v>
      </c>
      <c r="E1801">
        <v>943</v>
      </c>
      <c r="F1801">
        <v>1</v>
      </c>
      <c r="G1801">
        <v>179.990373171041</v>
      </c>
      <c r="H1801">
        <v>2</v>
      </c>
      <c r="I1801">
        <v>59</v>
      </c>
      <c r="K1801" t="s">
        <v>2386</v>
      </c>
      <c r="L1801">
        <v>20</v>
      </c>
      <c r="M1801" t="s">
        <v>2647</v>
      </c>
      <c r="N1801" t="s">
        <v>2388</v>
      </c>
      <c r="O1801">
        <v>1</v>
      </c>
    </row>
    <row r="1802" spans="2:15" x14ac:dyDescent="0.3">
      <c r="B1802">
        <v>1862</v>
      </c>
      <c r="D1802">
        <v>944</v>
      </c>
      <c r="E1802">
        <v>243</v>
      </c>
      <c r="F1802">
        <v>1</v>
      </c>
      <c r="G1802">
        <v>272.76034497295302</v>
      </c>
      <c r="H1802">
        <v>2</v>
      </c>
      <c r="I1802">
        <v>59</v>
      </c>
      <c r="K1802" t="s">
        <v>2386</v>
      </c>
      <c r="L1802">
        <v>20</v>
      </c>
      <c r="M1802" t="s">
        <v>2648</v>
      </c>
      <c r="N1802" t="s">
        <v>2388</v>
      </c>
      <c r="O1802">
        <v>1</v>
      </c>
    </row>
    <row r="1803" spans="2:15" x14ac:dyDescent="0.3">
      <c r="B1803">
        <v>1863</v>
      </c>
      <c r="D1803">
        <v>243</v>
      </c>
      <c r="E1803">
        <v>944</v>
      </c>
      <c r="F1803">
        <v>1</v>
      </c>
      <c r="G1803">
        <v>272.76034497295302</v>
      </c>
      <c r="H1803">
        <v>2</v>
      </c>
      <c r="I1803">
        <v>59</v>
      </c>
      <c r="K1803" t="s">
        <v>2386</v>
      </c>
      <c r="L1803">
        <v>20</v>
      </c>
      <c r="M1803" t="s">
        <v>2649</v>
      </c>
      <c r="N1803" t="s">
        <v>2388</v>
      </c>
      <c r="O1803">
        <v>1</v>
      </c>
    </row>
    <row r="1804" spans="2:15" x14ac:dyDescent="0.3">
      <c r="B1804">
        <v>1864</v>
      </c>
      <c r="D1804">
        <v>945</v>
      </c>
      <c r="E1804">
        <v>605</v>
      </c>
      <c r="F1804">
        <v>1</v>
      </c>
      <c r="G1804">
        <v>257.95994681402499</v>
      </c>
      <c r="H1804">
        <v>2</v>
      </c>
      <c r="I1804">
        <v>59</v>
      </c>
      <c r="K1804" t="s">
        <v>2386</v>
      </c>
      <c r="L1804">
        <v>20</v>
      </c>
      <c r="M1804" t="s">
        <v>2650</v>
      </c>
      <c r="N1804" t="s">
        <v>2388</v>
      </c>
      <c r="O1804">
        <v>1</v>
      </c>
    </row>
    <row r="1805" spans="2:15" x14ac:dyDescent="0.3">
      <c r="B1805">
        <v>1865</v>
      </c>
      <c r="D1805">
        <v>605</v>
      </c>
      <c r="E1805">
        <v>945</v>
      </c>
      <c r="F1805">
        <v>1</v>
      </c>
      <c r="G1805">
        <v>257.95994681402499</v>
      </c>
      <c r="H1805">
        <v>2</v>
      </c>
      <c r="I1805">
        <v>59</v>
      </c>
      <c r="K1805" t="s">
        <v>2386</v>
      </c>
      <c r="L1805">
        <v>20</v>
      </c>
      <c r="M1805" t="s">
        <v>2651</v>
      </c>
      <c r="N1805" t="s">
        <v>2388</v>
      </c>
      <c r="O1805">
        <v>1</v>
      </c>
    </row>
    <row r="1806" spans="2:15" x14ac:dyDescent="0.3">
      <c r="B1806">
        <v>1866</v>
      </c>
      <c r="D1806">
        <v>946</v>
      </c>
      <c r="E1806">
        <v>317</v>
      </c>
      <c r="F1806">
        <v>1</v>
      </c>
      <c r="G1806">
        <v>261.46419694898401</v>
      </c>
      <c r="H1806">
        <v>2</v>
      </c>
      <c r="I1806">
        <v>59</v>
      </c>
      <c r="K1806" t="s">
        <v>2386</v>
      </c>
      <c r="L1806">
        <v>20</v>
      </c>
      <c r="M1806" t="s">
        <v>2652</v>
      </c>
      <c r="N1806" t="s">
        <v>2388</v>
      </c>
      <c r="O1806">
        <v>1</v>
      </c>
    </row>
    <row r="1807" spans="2:15" x14ac:dyDescent="0.3">
      <c r="B1807">
        <v>1867</v>
      </c>
      <c r="D1807">
        <v>317</v>
      </c>
      <c r="E1807">
        <v>946</v>
      </c>
      <c r="F1807">
        <v>1</v>
      </c>
      <c r="G1807">
        <v>261.46419694898401</v>
      </c>
      <c r="H1807">
        <v>2</v>
      </c>
      <c r="I1807">
        <v>59</v>
      </c>
      <c r="K1807" t="s">
        <v>2386</v>
      </c>
      <c r="L1807">
        <v>20</v>
      </c>
      <c r="M1807" t="s">
        <v>2653</v>
      </c>
      <c r="N1807" t="s">
        <v>2388</v>
      </c>
      <c r="O1807">
        <v>1</v>
      </c>
    </row>
    <row r="1808" spans="2:15" x14ac:dyDescent="0.3">
      <c r="B1808">
        <v>1868</v>
      </c>
      <c r="D1808">
        <v>947</v>
      </c>
      <c r="E1808">
        <v>520</v>
      </c>
      <c r="F1808">
        <v>1</v>
      </c>
      <c r="G1808">
        <v>147.32418496291001</v>
      </c>
      <c r="H1808">
        <v>2</v>
      </c>
      <c r="I1808">
        <v>59</v>
      </c>
      <c r="K1808" t="s">
        <v>2386</v>
      </c>
      <c r="L1808">
        <v>20</v>
      </c>
      <c r="M1808" t="s">
        <v>2654</v>
      </c>
      <c r="N1808" t="s">
        <v>2388</v>
      </c>
      <c r="O1808">
        <v>1</v>
      </c>
    </row>
    <row r="1809" spans="2:15" x14ac:dyDescent="0.3">
      <c r="B1809">
        <v>1869</v>
      </c>
      <c r="D1809">
        <v>520</v>
      </c>
      <c r="E1809">
        <v>947</v>
      </c>
      <c r="F1809">
        <v>1</v>
      </c>
      <c r="G1809">
        <v>147.32418496291001</v>
      </c>
      <c r="H1809">
        <v>2</v>
      </c>
      <c r="I1809">
        <v>59</v>
      </c>
      <c r="K1809" t="s">
        <v>2386</v>
      </c>
      <c r="L1809">
        <v>20</v>
      </c>
      <c r="M1809" t="s">
        <v>2655</v>
      </c>
      <c r="N1809" t="s">
        <v>2388</v>
      </c>
      <c r="O1809">
        <v>1</v>
      </c>
    </row>
    <row r="1810" spans="2:15" x14ac:dyDescent="0.3">
      <c r="B1810">
        <v>1870</v>
      </c>
      <c r="D1810">
        <v>948</v>
      </c>
      <c r="E1810">
        <v>243</v>
      </c>
      <c r="F1810">
        <v>1</v>
      </c>
      <c r="G1810">
        <v>131.47710530521499</v>
      </c>
      <c r="H1810">
        <v>2</v>
      </c>
      <c r="I1810">
        <v>59</v>
      </c>
      <c r="K1810" t="s">
        <v>2386</v>
      </c>
      <c r="L1810">
        <v>20</v>
      </c>
      <c r="M1810" t="s">
        <v>2656</v>
      </c>
      <c r="N1810" t="s">
        <v>2388</v>
      </c>
      <c r="O1810">
        <v>1</v>
      </c>
    </row>
    <row r="1811" spans="2:15" x14ac:dyDescent="0.3">
      <c r="B1811">
        <v>1871</v>
      </c>
      <c r="D1811">
        <v>243</v>
      </c>
      <c r="E1811">
        <v>948</v>
      </c>
      <c r="F1811">
        <v>1</v>
      </c>
      <c r="G1811">
        <v>131.47710530521499</v>
      </c>
      <c r="H1811">
        <v>2</v>
      </c>
      <c r="I1811">
        <v>59</v>
      </c>
      <c r="K1811" t="s">
        <v>2386</v>
      </c>
      <c r="L1811">
        <v>20</v>
      </c>
      <c r="M1811" t="s">
        <v>2657</v>
      </c>
      <c r="N1811" t="s">
        <v>2388</v>
      </c>
      <c r="O1811">
        <v>1</v>
      </c>
    </row>
    <row r="1812" spans="2:15" x14ac:dyDescent="0.3">
      <c r="B1812">
        <v>1872</v>
      </c>
      <c r="D1812">
        <v>949</v>
      </c>
      <c r="E1812">
        <v>243</v>
      </c>
      <c r="F1812">
        <v>1</v>
      </c>
      <c r="G1812">
        <v>115.22291361533399</v>
      </c>
      <c r="H1812">
        <v>2</v>
      </c>
      <c r="I1812">
        <v>59</v>
      </c>
      <c r="K1812" t="s">
        <v>2386</v>
      </c>
      <c r="L1812">
        <v>20</v>
      </c>
      <c r="M1812" t="s">
        <v>2658</v>
      </c>
      <c r="N1812" t="s">
        <v>2388</v>
      </c>
      <c r="O1812">
        <v>1</v>
      </c>
    </row>
    <row r="1813" spans="2:15" x14ac:dyDescent="0.3">
      <c r="B1813">
        <v>1873</v>
      </c>
      <c r="D1813">
        <v>243</v>
      </c>
      <c r="E1813">
        <v>949</v>
      </c>
      <c r="F1813">
        <v>1</v>
      </c>
      <c r="G1813">
        <v>115.22291361533399</v>
      </c>
      <c r="H1813">
        <v>2</v>
      </c>
      <c r="I1813">
        <v>59</v>
      </c>
      <c r="K1813" t="s">
        <v>2386</v>
      </c>
      <c r="L1813">
        <v>20</v>
      </c>
      <c r="M1813" t="s">
        <v>2659</v>
      </c>
      <c r="N1813" t="s">
        <v>2388</v>
      </c>
      <c r="O1813">
        <v>1</v>
      </c>
    </row>
    <row r="1814" spans="2:15" x14ac:dyDescent="0.3">
      <c r="B1814">
        <v>1874</v>
      </c>
      <c r="D1814">
        <v>950</v>
      </c>
      <c r="E1814">
        <v>243</v>
      </c>
      <c r="F1814">
        <v>1</v>
      </c>
      <c r="G1814">
        <v>172.65622967704201</v>
      </c>
      <c r="H1814">
        <v>2</v>
      </c>
      <c r="I1814">
        <v>59</v>
      </c>
      <c r="K1814" t="s">
        <v>2386</v>
      </c>
      <c r="L1814">
        <v>20</v>
      </c>
      <c r="M1814" t="s">
        <v>2660</v>
      </c>
      <c r="N1814" t="s">
        <v>2388</v>
      </c>
      <c r="O1814">
        <v>1</v>
      </c>
    </row>
    <row r="1815" spans="2:15" x14ac:dyDescent="0.3">
      <c r="B1815">
        <v>1875</v>
      </c>
      <c r="D1815">
        <v>243</v>
      </c>
      <c r="E1815">
        <v>950</v>
      </c>
      <c r="F1815">
        <v>1</v>
      </c>
      <c r="G1815">
        <v>172.65622967704201</v>
      </c>
      <c r="H1815">
        <v>2</v>
      </c>
      <c r="I1815">
        <v>59</v>
      </c>
      <c r="K1815" t="s">
        <v>2386</v>
      </c>
      <c r="L1815">
        <v>20</v>
      </c>
      <c r="M1815" t="s">
        <v>2661</v>
      </c>
      <c r="N1815" t="s">
        <v>2388</v>
      </c>
      <c r="O1815">
        <v>1</v>
      </c>
    </row>
    <row r="1816" spans="2:15" x14ac:dyDescent="0.3">
      <c r="B1816">
        <v>1876</v>
      </c>
      <c r="D1816">
        <v>951</v>
      </c>
      <c r="E1816">
        <v>317</v>
      </c>
      <c r="F1816">
        <v>1</v>
      </c>
      <c r="G1816">
        <v>70.790984413519993</v>
      </c>
      <c r="H1816">
        <v>2</v>
      </c>
      <c r="I1816">
        <v>59</v>
      </c>
      <c r="K1816" t="s">
        <v>2386</v>
      </c>
      <c r="L1816">
        <v>20</v>
      </c>
      <c r="M1816" t="s">
        <v>2662</v>
      </c>
      <c r="N1816" t="s">
        <v>2388</v>
      </c>
      <c r="O1816">
        <v>1</v>
      </c>
    </row>
    <row r="1817" spans="2:15" x14ac:dyDescent="0.3">
      <c r="B1817">
        <v>1877</v>
      </c>
      <c r="D1817">
        <v>317</v>
      </c>
      <c r="E1817">
        <v>951</v>
      </c>
      <c r="F1817">
        <v>1</v>
      </c>
      <c r="G1817">
        <v>70.790984413519993</v>
      </c>
      <c r="H1817">
        <v>2</v>
      </c>
      <c r="I1817">
        <v>59</v>
      </c>
      <c r="K1817" t="s">
        <v>2386</v>
      </c>
      <c r="L1817">
        <v>20</v>
      </c>
      <c r="M1817" t="s">
        <v>2663</v>
      </c>
      <c r="N1817" t="s">
        <v>2388</v>
      </c>
      <c r="O1817">
        <v>1</v>
      </c>
    </row>
    <row r="1818" spans="2:15" x14ac:dyDescent="0.3">
      <c r="B1818">
        <v>1878</v>
      </c>
      <c r="D1818">
        <v>952</v>
      </c>
      <c r="E1818">
        <v>641</v>
      </c>
      <c r="F1818">
        <v>1</v>
      </c>
      <c r="G1818">
        <v>214.96944345043701</v>
      </c>
      <c r="H1818">
        <v>2</v>
      </c>
      <c r="I1818">
        <v>59</v>
      </c>
      <c r="K1818" t="s">
        <v>2386</v>
      </c>
      <c r="L1818">
        <v>20</v>
      </c>
      <c r="M1818" t="s">
        <v>2664</v>
      </c>
      <c r="N1818" t="s">
        <v>2388</v>
      </c>
      <c r="O1818">
        <v>1</v>
      </c>
    </row>
    <row r="1819" spans="2:15" x14ac:dyDescent="0.3">
      <c r="B1819">
        <v>1879</v>
      </c>
      <c r="D1819">
        <v>641</v>
      </c>
      <c r="E1819">
        <v>952</v>
      </c>
      <c r="F1819">
        <v>1</v>
      </c>
      <c r="G1819">
        <v>214.96944345043701</v>
      </c>
      <c r="H1819">
        <v>2</v>
      </c>
      <c r="I1819">
        <v>59</v>
      </c>
      <c r="K1819" t="s">
        <v>2386</v>
      </c>
      <c r="L1819">
        <v>20</v>
      </c>
      <c r="M1819" t="s">
        <v>2665</v>
      </c>
      <c r="N1819" t="s">
        <v>2388</v>
      </c>
      <c r="O1819">
        <v>1</v>
      </c>
    </row>
    <row r="1820" spans="2:15" x14ac:dyDescent="0.3">
      <c r="B1820">
        <v>1880</v>
      </c>
      <c r="D1820">
        <v>953</v>
      </c>
      <c r="E1820">
        <v>196</v>
      </c>
      <c r="F1820">
        <v>1</v>
      </c>
      <c r="G1820">
        <v>205.12126592410701</v>
      </c>
      <c r="H1820">
        <v>2</v>
      </c>
      <c r="I1820">
        <v>59</v>
      </c>
      <c r="K1820" t="s">
        <v>2386</v>
      </c>
      <c r="L1820">
        <v>20</v>
      </c>
      <c r="M1820" t="s">
        <v>2666</v>
      </c>
      <c r="N1820" t="s">
        <v>2388</v>
      </c>
      <c r="O1820">
        <v>1</v>
      </c>
    </row>
    <row r="1821" spans="2:15" x14ac:dyDescent="0.3">
      <c r="B1821">
        <v>1881</v>
      </c>
      <c r="D1821">
        <v>196</v>
      </c>
      <c r="E1821">
        <v>953</v>
      </c>
      <c r="F1821">
        <v>1</v>
      </c>
      <c r="G1821">
        <v>205.12126592410701</v>
      </c>
      <c r="H1821">
        <v>2</v>
      </c>
      <c r="I1821">
        <v>59</v>
      </c>
      <c r="K1821" t="s">
        <v>2386</v>
      </c>
      <c r="L1821">
        <v>20</v>
      </c>
      <c r="M1821" t="s">
        <v>2667</v>
      </c>
      <c r="N1821" t="s">
        <v>2388</v>
      </c>
      <c r="O1821">
        <v>1</v>
      </c>
    </row>
    <row r="1822" spans="2:15" x14ac:dyDescent="0.3">
      <c r="B1822">
        <v>1882</v>
      </c>
      <c r="D1822">
        <v>954</v>
      </c>
      <c r="E1822">
        <v>453</v>
      </c>
      <c r="F1822">
        <v>1</v>
      </c>
      <c r="G1822">
        <v>83.521682364590703</v>
      </c>
      <c r="H1822">
        <v>2</v>
      </c>
      <c r="I1822">
        <v>59</v>
      </c>
      <c r="K1822" t="s">
        <v>2386</v>
      </c>
      <c r="L1822">
        <v>20</v>
      </c>
      <c r="M1822" t="s">
        <v>2668</v>
      </c>
      <c r="N1822" t="s">
        <v>2388</v>
      </c>
      <c r="O1822">
        <v>1</v>
      </c>
    </row>
    <row r="1823" spans="2:15" x14ac:dyDescent="0.3">
      <c r="B1823">
        <v>1883</v>
      </c>
      <c r="D1823">
        <v>453</v>
      </c>
      <c r="E1823">
        <v>954</v>
      </c>
      <c r="F1823">
        <v>1</v>
      </c>
      <c r="G1823">
        <v>83.521682364590703</v>
      </c>
      <c r="H1823">
        <v>2</v>
      </c>
      <c r="I1823">
        <v>59</v>
      </c>
      <c r="K1823" t="s">
        <v>2386</v>
      </c>
      <c r="L1823">
        <v>20</v>
      </c>
      <c r="M1823" t="s">
        <v>2669</v>
      </c>
      <c r="N1823" t="s">
        <v>2388</v>
      </c>
      <c r="O1823">
        <v>1</v>
      </c>
    </row>
    <row r="1824" spans="2:15" x14ac:dyDescent="0.3">
      <c r="B1824">
        <v>1884</v>
      </c>
      <c r="D1824">
        <v>955</v>
      </c>
      <c r="E1824">
        <v>627</v>
      </c>
      <c r="F1824">
        <v>1</v>
      </c>
      <c r="G1824">
        <v>71.791419604439795</v>
      </c>
      <c r="H1824">
        <v>2</v>
      </c>
      <c r="I1824">
        <v>59</v>
      </c>
      <c r="K1824" t="s">
        <v>2386</v>
      </c>
      <c r="L1824">
        <v>20</v>
      </c>
      <c r="M1824" t="s">
        <v>2670</v>
      </c>
      <c r="N1824" t="s">
        <v>2388</v>
      </c>
      <c r="O1824">
        <v>1</v>
      </c>
    </row>
    <row r="1825" spans="2:15" x14ac:dyDescent="0.3">
      <c r="B1825">
        <v>1885</v>
      </c>
      <c r="D1825">
        <v>627</v>
      </c>
      <c r="E1825">
        <v>955</v>
      </c>
      <c r="F1825">
        <v>1</v>
      </c>
      <c r="G1825">
        <v>71.791419604439795</v>
      </c>
      <c r="H1825">
        <v>2</v>
      </c>
      <c r="I1825">
        <v>59</v>
      </c>
      <c r="K1825" t="s">
        <v>2386</v>
      </c>
      <c r="L1825">
        <v>20</v>
      </c>
      <c r="M1825" t="s">
        <v>2671</v>
      </c>
      <c r="N1825" t="s">
        <v>2388</v>
      </c>
      <c r="O1825">
        <v>1</v>
      </c>
    </row>
    <row r="1826" spans="2:15" x14ac:dyDescent="0.3">
      <c r="B1826">
        <v>1886</v>
      </c>
      <c r="D1826">
        <v>956</v>
      </c>
      <c r="E1826">
        <v>449</v>
      </c>
      <c r="F1826">
        <v>1</v>
      </c>
      <c r="G1826">
        <v>34.122115102310097</v>
      </c>
      <c r="H1826">
        <v>2</v>
      </c>
      <c r="I1826">
        <v>59</v>
      </c>
      <c r="K1826" t="s">
        <v>2386</v>
      </c>
      <c r="L1826">
        <v>20</v>
      </c>
      <c r="M1826" t="s">
        <v>2672</v>
      </c>
      <c r="N1826" t="s">
        <v>2388</v>
      </c>
      <c r="O1826">
        <v>1</v>
      </c>
    </row>
    <row r="1827" spans="2:15" x14ac:dyDescent="0.3">
      <c r="B1827">
        <v>1887</v>
      </c>
      <c r="D1827">
        <v>449</v>
      </c>
      <c r="E1827">
        <v>956</v>
      </c>
      <c r="F1827">
        <v>1</v>
      </c>
      <c r="G1827">
        <v>34.122115102310097</v>
      </c>
      <c r="H1827">
        <v>2</v>
      </c>
      <c r="I1827">
        <v>59</v>
      </c>
      <c r="K1827" t="s">
        <v>2386</v>
      </c>
      <c r="L1827">
        <v>20</v>
      </c>
      <c r="M1827" t="s">
        <v>2673</v>
      </c>
      <c r="N1827" t="s">
        <v>2388</v>
      </c>
      <c r="O1827">
        <v>1</v>
      </c>
    </row>
    <row r="1828" spans="2:15" x14ac:dyDescent="0.3">
      <c r="B1828">
        <v>1888</v>
      </c>
      <c r="D1828">
        <v>957</v>
      </c>
      <c r="E1828">
        <v>641</v>
      </c>
      <c r="F1828">
        <v>1</v>
      </c>
      <c r="G1828">
        <v>42.3380200702547</v>
      </c>
      <c r="H1828">
        <v>2</v>
      </c>
      <c r="I1828">
        <v>59</v>
      </c>
      <c r="K1828" t="s">
        <v>2386</v>
      </c>
      <c r="L1828">
        <v>20</v>
      </c>
      <c r="M1828" t="s">
        <v>2674</v>
      </c>
      <c r="N1828" t="s">
        <v>2388</v>
      </c>
      <c r="O1828">
        <v>1</v>
      </c>
    </row>
    <row r="1829" spans="2:15" x14ac:dyDescent="0.3">
      <c r="B1829">
        <v>1889</v>
      </c>
      <c r="D1829">
        <v>641</v>
      </c>
      <c r="E1829">
        <v>957</v>
      </c>
      <c r="F1829">
        <v>1</v>
      </c>
      <c r="G1829">
        <v>42.3380200702547</v>
      </c>
      <c r="H1829">
        <v>2</v>
      </c>
      <c r="I1829">
        <v>59</v>
      </c>
      <c r="K1829" t="s">
        <v>2386</v>
      </c>
      <c r="L1829">
        <v>20</v>
      </c>
      <c r="M1829" t="s">
        <v>2675</v>
      </c>
      <c r="N1829" t="s">
        <v>2388</v>
      </c>
      <c r="O1829">
        <v>1</v>
      </c>
    </row>
    <row r="1830" spans="2:15" x14ac:dyDescent="0.3">
      <c r="B1830">
        <v>1890</v>
      </c>
      <c r="D1830">
        <v>958</v>
      </c>
      <c r="E1830">
        <v>650</v>
      </c>
      <c r="F1830">
        <v>1</v>
      </c>
      <c r="G1830">
        <v>71.066567656745903</v>
      </c>
      <c r="H1830">
        <v>2</v>
      </c>
      <c r="I1830">
        <v>59</v>
      </c>
      <c r="K1830" t="s">
        <v>2386</v>
      </c>
      <c r="L1830">
        <v>20</v>
      </c>
      <c r="M1830" t="s">
        <v>2676</v>
      </c>
      <c r="N1830" t="s">
        <v>2388</v>
      </c>
      <c r="O1830">
        <v>1</v>
      </c>
    </row>
    <row r="1831" spans="2:15" x14ac:dyDescent="0.3">
      <c r="B1831">
        <v>1891</v>
      </c>
      <c r="D1831">
        <v>650</v>
      </c>
      <c r="E1831">
        <v>958</v>
      </c>
      <c r="F1831">
        <v>1</v>
      </c>
      <c r="G1831">
        <v>71.066567656745903</v>
      </c>
      <c r="H1831">
        <v>2</v>
      </c>
      <c r="I1831">
        <v>59</v>
      </c>
      <c r="K1831" t="s">
        <v>2386</v>
      </c>
      <c r="L1831">
        <v>20</v>
      </c>
      <c r="M1831" t="s">
        <v>2677</v>
      </c>
      <c r="N1831" t="s">
        <v>2388</v>
      </c>
      <c r="O1831">
        <v>1</v>
      </c>
    </row>
    <row r="1832" spans="2:15" x14ac:dyDescent="0.3">
      <c r="B1832">
        <v>1892</v>
      </c>
      <c r="D1832">
        <v>959</v>
      </c>
      <c r="E1832">
        <v>259</v>
      </c>
      <c r="F1832">
        <v>1</v>
      </c>
      <c r="G1832">
        <v>125.15540622723699</v>
      </c>
      <c r="H1832">
        <v>2</v>
      </c>
      <c r="I1832">
        <v>59</v>
      </c>
      <c r="K1832" t="s">
        <v>2386</v>
      </c>
      <c r="L1832">
        <v>20</v>
      </c>
      <c r="M1832" t="s">
        <v>2678</v>
      </c>
      <c r="N1832" t="s">
        <v>2388</v>
      </c>
      <c r="O1832">
        <v>1</v>
      </c>
    </row>
    <row r="1833" spans="2:15" x14ac:dyDescent="0.3">
      <c r="B1833">
        <v>1893</v>
      </c>
      <c r="D1833">
        <v>259</v>
      </c>
      <c r="E1833">
        <v>959</v>
      </c>
      <c r="F1833">
        <v>1</v>
      </c>
      <c r="G1833">
        <v>125.15540622723699</v>
      </c>
      <c r="H1833">
        <v>2</v>
      </c>
      <c r="I1833">
        <v>59</v>
      </c>
      <c r="K1833" t="s">
        <v>2386</v>
      </c>
      <c r="L1833">
        <v>20</v>
      </c>
      <c r="M1833" t="s">
        <v>2679</v>
      </c>
      <c r="N1833" t="s">
        <v>2388</v>
      </c>
      <c r="O1833">
        <v>1</v>
      </c>
    </row>
    <row r="1834" spans="2:15" x14ac:dyDescent="0.3">
      <c r="B1834">
        <v>1894</v>
      </c>
      <c r="D1834">
        <v>960</v>
      </c>
      <c r="E1834">
        <v>438</v>
      </c>
      <c r="F1834">
        <v>1</v>
      </c>
      <c r="G1834">
        <v>34.231854682095602</v>
      </c>
      <c r="H1834">
        <v>2</v>
      </c>
      <c r="I1834">
        <v>59</v>
      </c>
      <c r="K1834" t="s">
        <v>2386</v>
      </c>
      <c r="L1834">
        <v>20</v>
      </c>
      <c r="M1834" t="s">
        <v>2680</v>
      </c>
      <c r="N1834" t="s">
        <v>2388</v>
      </c>
      <c r="O1834">
        <v>1</v>
      </c>
    </row>
    <row r="1835" spans="2:15" x14ac:dyDescent="0.3">
      <c r="B1835">
        <v>1895</v>
      </c>
      <c r="D1835">
        <v>438</v>
      </c>
      <c r="E1835">
        <v>960</v>
      </c>
      <c r="F1835">
        <v>1</v>
      </c>
      <c r="G1835">
        <v>34.231854682095602</v>
      </c>
      <c r="H1835">
        <v>2</v>
      </c>
      <c r="I1835">
        <v>59</v>
      </c>
      <c r="K1835" t="s">
        <v>2386</v>
      </c>
      <c r="L1835">
        <v>20</v>
      </c>
      <c r="M1835" t="s">
        <v>2681</v>
      </c>
      <c r="N1835" t="s">
        <v>2388</v>
      </c>
      <c r="O1835">
        <v>1</v>
      </c>
    </row>
    <row r="1836" spans="2:15" x14ac:dyDescent="0.3">
      <c r="B1836">
        <v>1896</v>
      </c>
      <c r="D1836">
        <v>961</v>
      </c>
      <c r="E1836">
        <v>257</v>
      </c>
      <c r="F1836">
        <v>1</v>
      </c>
      <c r="G1836">
        <v>20.2576291939173</v>
      </c>
      <c r="H1836">
        <v>2</v>
      </c>
      <c r="I1836">
        <v>59</v>
      </c>
      <c r="K1836" t="s">
        <v>2386</v>
      </c>
      <c r="L1836">
        <v>20</v>
      </c>
      <c r="M1836" t="s">
        <v>2682</v>
      </c>
      <c r="N1836" t="s">
        <v>2388</v>
      </c>
      <c r="O1836">
        <v>1</v>
      </c>
    </row>
    <row r="1837" spans="2:15" x14ac:dyDescent="0.3">
      <c r="B1837">
        <v>1897</v>
      </c>
      <c r="D1837">
        <v>257</v>
      </c>
      <c r="E1837">
        <v>961</v>
      </c>
      <c r="F1837">
        <v>1</v>
      </c>
      <c r="G1837">
        <v>20.2576291939173</v>
      </c>
      <c r="H1837">
        <v>2</v>
      </c>
      <c r="I1837">
        <v>59</v>
      </c>
      <c r="K1837" t="s">
        <v>2386</v>
      </c>
      <c r="L1837">
        <v>20</v>
      </c>
      <c r="M1837" t="s">
        <v>2683</v>
      </c>
      <c r="N1837" t="s">
        <v>2388</v>
      </c>
      <c r="O1837">
        <v>1</v>
      </c>
    </row>
    <row r="1838" spans="2:15" x14ac:dyDescent="0.3">
      <c r="B1838">
        <v>1898</v>
      </c>
      <c r="D1838">
        <v>962</v>
      </c>
      <c r="E1838">
        <v>258</v>
      </c>
      <c r="F1838">
        <v>1</v>
      </c>
      <c r="G1838">
        <v>28.006242607869801</v>
      </c>
      <c r="H1838">
        <v>2</v>
      </c>
      <c r="I1838">
        <v>59</v>
      </c>
      <c r="K1838" t="s">
        <v>2386</v>
      </c>
      <c r="L1838">
        <v>20</v>
      </c>
      <c r="M1838" t="s">
        <v>2684</v>
      </c>
      <c r="N1838" t="s">
        <v>2388</v>
      </c>
      <c r="O1838">
        <v>1</v>
      </c>
    </row>
    <row r="1839" spans="2:15" x14ac:dyDescent="0.3">
      <c r="B1839">
        <v>1899</v>
      </c>
      <c r="D1839">
        <v>258</v>
      </c>
      <c r="E1839">
        <v>962</v>
      </c>
      <c r="F1839">
        <v>1</v>
      </c>
      <c r="G1839">
        <v>28.006242607869801</v>
      </c>
      <c r="H1839">
        <v>2</v>
      </c>
      <c r="I1839">
        <v>59</v>
      </c>
      <c r="K1839" t="s">
        <v>2386</v>
      </c>
      <c r="L1839">
        <v>20</v>
      </c>
      <c r="M1839" t="s">
        <v>2685</v>
      </c>
      <c r="N1839" t="s">
        <v>2388</v>
      </c>
      <c r="O1839">
        <v>1</v>
      </c>
    </row>
    <row r="1840" spans="2:15" x14ac:dyDescent="0.3">
      <c r="B1840">
        <v>1900</v>
      </c>
      <c r="D1840">
        <v>963</v>
      </c>
      <c r="E1840">
        <v>197</v>
      </c>
      <c r="F1840">
        <v>1</v>
      </c>
      <c r="G1840">
        <v>122.644298751886</v>
      </c>
      <c r="H1840">
        <v>2</v>
      </c>
      <c r="I1840">
        <v>59</v>
      </c>
      <c r="K1840" t="s">
        <v>2386</v>
      </c>
      <c r="L1840">
        <v>20</v>
      </c>
      <c r="M1840" t="s">
        <v>2686</v>
      </c>
      <c r="N1840" t="s">
        <v>2388</v>
      </c>
      <c r="O1840">
        <v>1</v>
      </c>
    </row>
    <row r="1841" spans="2:15" x14ac:dyDescent="0.3">
      <c r="B1841">
        <v>1901</v>
      </c>
      <c r="D1841">
        <v>197</v>
      </c>
      <c r="E1841">
        <v>963</v>
      </c>
      <c r="F1841">
        <v>1</v>
      </c>
      <c r="G1841">
        <v>122.644298751886</v>
      </c>
      <c r="H1841">
        <v>2</v>
      </c>
      <c r="I1841">
        <v>59</v>
      </c>
      <c r="K1841" t="s">
        <v>2386</v>
      </c>
      <c r="L1841">
        <v>20</v>
      </c>
      <c r="M1841" t="s">
        <v>2687</v>
      </c>
      <c r="N1841" t="s">
        <v>2388</v>
      </c>
      <c r="O1841">
        <v>1</v>
      </c>
    </row>
    <row r="1842" spans="2:15" x14ac:dyDescent="0.3">
      <c r="B1842">
        <v>1902</v>
      </c>
      <c r="D1842">
        <v>964</v>
      </c>
      <c r="E1842">
        <v>469</v>
      </c>
      <c r="F1842">
        <v>1</v>
      </c>
      <c r="G1842">
        <v>52.315132097632301</v>
      </c>
      <c r="H1842">
        <v>2</v>
      </c>
      <c r="I1842">
        <v>59</v>
      </c>
      <c r="K1842" t="s">
        <v>2386</v>
      </c>
      <c r="L1842">
        <v>20</v>
      </c>
      <c r="M1842" t="s">
        <v>2688</v>
      </c>
      <c r="N1842" t="s">
        <v>2388</v>
      </c>
      <c r="O1842">
        <v>1</v>
      </c>
    </row>
    <row r="1843" spans="2:15" x14ac:dyDescent="0.3">
      <c r="B1843">
        <v>1903</v>
      </c>
      <c r="D1843">
        <v>469</v>
      </c>
      <c r="E1843">
        <v>964</v>
      </c>
      <c r="F1843">
        <v>1</v>
      </c>
      <c r="G1843">
        <v>52.315132097632301</v>
      </c>
      <c r="H1843">
        <v>2</v>
      </c>
      <c r="I1843">
        <v>59</v>
      </c>
      <c r="K1843" t="s">
        <v>2386</v>
      </c>
      <c r="L1843">
        <v>20</v>
      </c>
      <c r="M1843" t="s">
        <v>2689</v>
      </c>
      <c r="N1843" t="s">
        <v>2388</v>
      </c>
      <c r="O1843">
        <v>1</v>
      </c>
    </row>
    <row r="1844" spans="2:15" x14ac:dyDescent="0.3">
      <c r="B1844">
        <v>1904</v>
      </c>
      <c r="D1844">
        <v>965</v>
      </c>
      <c r="E1844">
        <v>603</v>
      </c>
      <c r="F1844">
        <v>1</v>
      </c>
      <c r="G1844">
        <v>63.876304411177202</v>
      </c>
      <c r="H1844">
        <v>2</v>
      </c>
      <c r="I1844">
        <v>59</v>
      </c>
      <c r="K1844" t="s">
        <v>2386</v>
      </c>
      <c r="L1844">
        <v>20</v>
      </c>
      <c r="M1844" t="s">
        <v>2690</v>
      </c>
      <c r="N1844" t="s">
        <v>2388</v>
      </c>
      <c r="O1844">
        <v>1</v>
      </c>
    </row>
    <row r="1845" spans="2:15" x14ac:dyDescent="0.3">
      <c r="B1845">
        <v>1905</v>
      </c>
      <c r="D1845">
        <v>603</v>
      </c>
      <c r="E1845">
        <v>965</v>
      </c>
      <c r="F1845">
        <v>1</v>
      </c>
      <c r="G1845">
        <v>63.876304411177202</v>
      </c>
      <c r="H1845">
        <v>2</v>
      </c>
      <c r="I1845">
        <v>59</v>
      </c>
      <c r="K1845" t="s">
        <v>2386</v>
      </c>
      <c r="L1845">
        <v>20</v>
      </c>
      <c r="M1845" t="s">
        <v>2691</v>
      </c>
      <c r="N1845" t="s">
        <v>2388</v>
      </c>
      <c r="O1845">
        <v>1</v>
      </c>
    </row>
    <row r="1846" spans="2:15" x14ac:dyDescent="0.3">
      <c r="B1846">
        <v>1906</v>
      </c>
      <c r="D1846">
        <v>966</v>
      </c>
      <c r="E1846">
        <v>603</v>
      </c>
      <c r="F1846">
        <v>1</v>
      </c>
      <c r="G1846">
        <v>53.733046324434198</v>
      </c>
      <c r="H1846">
        <v>2</v>
      </c>
      <c r="I1846">
        <v>59</v>
      </c>
      <c r="K1846" t="s">
        <v>2386</v>
      </c>
      <c r="L1846">
        <v>20</v>
      </c>
      <c r="M1846" t="s">
        <v>2692</v>
      </c>
      <c r="N1846" t="s">
        <v>2388</v>
      </c>
      <c r="O1846">
        <v>1</v>
      </c>
    </row>
    <row r="1847" spans="2:15" x14ac:dyDescent="0.3">
      <c r="B1847">
        <v>1907</v>
      </c>
      <c r="D1847">
        <v>603</v>
      </c>
      <c r="E1847">
        <v>966</v>
      </c>
      <c r="F1847">
        <v>1</v>
      </c>
      <c r="G1847">
        <v>53.733046324434198</v>
      </c>
      <c r="H1847">
        <v>2</v>
      </c>
      <c r="I1847">
        <v>59</v>
      </c>
      <c r="K1847" t="s">
        <v>2386</v>
      </c>
      <c r="L1847">
        <v>20</v>
      </c>
      <c r="M1847" t="s">
        <v>2693</v>
      </c>
      <c r="N1847" t="s">
        <v>2388</v>
      </c>
      <c r="O1847">
        <v>1</v>
      </c>
    </row>
    <row r="1848" spans="2:15" x14ac:dyDescent="0.3">
      <c r="B1848">
        <v>1908</v>
      </c>
      <c r="D1848">
        <v>967</v>
      </c>
      <c r="E1848">
        <v>622</v>
      </c>
      <c r="F1848">
        <v>1</v>
      </c>
      <c r="G1848">
        <v>45.102453923387102</v>
      </c>
      <c r="H1848">
        <v>2</v>
      </c>
      <c r="I1848">
        <v>59</v>
      </c>
      <c r="K1848" t="s">
        <v>2386</v>
      </c>
      <c r="L1848">
        <v>20</v>
      </c>
      <c r="M1848" t="s">
        <v>2694</v>
      </c>
      <c r="N1848" t="s">
        <v>2388</v>
      </c>
      <c r="O1848">
        <v>1</v>
      </c>
    </row>
    <row r="1849" spans="2:15" x14ac:dyDescent="0.3">
      <c r="B1849">
        <v>1909</v>
      </c>
      <c r="D1849">
        <v>622</v>
      </c>
      <c r="E1849">
        <v>967</v>
      </c>
      <c r="F1849">
        <v>1</v>
      </c>
      <c r="G1849">
        <v>45.102453923387102</v>
      </c>
      <c r="H1849">
        <v>2</v>
      </c>
      <c r="I1849">
        <v>59</v>
      </c>
      <c r="K1849" t="s">
        <v>2386</v>
      </c>
      <c r="L1849">
        <v>20</v>
      </c>
      <c r="M1849" t="s">
        <v>2695</v>
      </c>
      <c r="N1849" t="s">
        <v>2388</v>
      </c>
      <c r="O1849">
        <v>1</v>
      </c>
    </row>
    <row r="1850" spans="2:15" x14ac:dyDescent="0.3">
      <c r="B1850">
        <v>1910</v>
      </c>
      <c r="D1850">
        <v>968</v>
      </c>
      <c r="E1850">
        <v>643</v>
      </c>
      <c r="F1850">
        <v>1</v>
      </c>
      <c r="G1850">
        <v>102.150214445478</v>
      </c>
      <c r="H1850">
        <v>2</v>
      </c>
      <c r="I1850">
        <v>59</v>
      </c>
      <c r="K1850" t="s">
        <v>2386</v>
      </c>
      <c r="L1850">
        <v>20</v>
      </c>
      <c r="M1850" t="s">
        <v>2696</v>
      </c>
      <c r="N1850" t="s">
        <v>2388</v>
      </c>
      <c r="O1850">
        <v>1</v>
      </c>
    </row>
    <row r="1851" spans="2:15" x14ac:dyDescent="0.3">
      <c r="B1851">
        <v>1911</v>
      </c>
      <c r="D1851">
        <v>643</v>
      </c>
      <c r="E1851">
        <v>968</v>
      </c>
      <c r="F1851">
        <v>1</v>
      </c>
      <c r="G1851">
        <v>102.150214445478</v>
      </c>
      <c r="H1851">
        <v>2</v>
      </c>
      <c r="I1851">
        <v>59</v>
      </c>
      <c r="K1851" t="s">
        <v>2386</v>
      </c>
      <c r="L1851">
        <v>20</v>
      </c>
      <c r="M1851" t="s">
        <v>2697</v>
      </c>
      <c r="N1851" t="s">
        <v>2388</v>
      </c>
      <c r="O1851">
        <v>1</v>
      </c>
    </row>
    <row r="1852" spans="2:15" x14ac:dyDescent="0.3">
      <c r="B1852">
        <v>1912</v>
      </c>
      <c r="D1852">
        <v>969</v>
      </c>
      <c r="E1852">
        <v>750</v>
      </c>
      <c r="F1852">
        <v>1</v>
      </c>
      <c r="G1852">
        <v>55.456751417962003</v>
      </c>
      <c r="H1852">
        <v>2</v>
      </c>
      <c r="I1852">
        <v>59</v>
      </c>
      <c r="K1852" t="s">
        <v>2386</v>
      </c>
      <c r="L1852">
        <v>20</v>
      </c>
      <c r="M1852" t="s">
        <v>2698</v>
      </c>
      <c r="N1852" t="s">
        <v>2388</v>
      </c>
      <c r="O1852">
        <v>1</v>
      </c>
    </row>
    <row r="1853" spans="2:15" x14ac:dyDescent="0.3">
      <c r="B1853">
        <v>1913</v>
      </c>
      <c r="D1853">
        <v>750</v>
      </c>
      <c r="E1853">
        <v>969</v>
      </c>
      <c r="F1853">
        <v>1</v>
      </c>
      <c r="G1853">
        <v>55.456751417962003</v>
      </c>
      <c r="H1853">
        <v>2</v>
      </c>
      <c r="I1853">
        <v>59</v>
      </c>
      <c r="K1853" t="s">
        <v>2386</v>
      </c>
      <c r="L1853">
        <v>20</v>
      </c>
      <c r="M1853" t="s">
        <v>2699</v>
      </c>
      <c r="N1853" t="s">
        <v>2388</v>
      </c>
      <c r="O1853">
        <v>1</v>
      </c>
    </row>
    <row r="1854" spans="2:15" x14ac:dyDescent="0.3">
      <c r="B1854">
        <v>1914</v>
      </c>
      <c r="D1854">
        <v>970</v>
      </c>
      <c r="E1854">
        <v>50</v>
      </c>
      <c r="F1854">
        <v>1</v>
      </c>
      <c r="G1854">
        <v>57.501894339472599</v>
      </c>
      <c r="H1854">
        <v>2</v>
      </c>
      <c r="I1854">
        <v>59</v>
      </c>
      <c r="K1854" t="s">
        <v>2386</v>
      </c>
      <c r="L1854">
        <v>20</v>
      </c>
      <c r="M1854" t="s">
        <v>2700</v>
      </c>
      <c r="N1854" t="s">
        <v>2388</v>
      </c>
      <c r="O1854">
        <v>1</v>
      </c>
    </row>
    <row r="1855" spans="2:15" x14ac:dyDescent="0.3">
      <c r="B1855">
        <v>1915</v>
      </c>
      <c r="D1855">
        <v>50</v>
      </c>
      <c r="E1855">
        <v>970</v>
      </c>
      <c r="F1855">
        <v>1</v>
      </c>
      <c r="G1855">
        <v>57.501894339472599</v>
      </c>
      <c r="H1855">
        <v>2</v>
      </c>
      <c r="I1855">
        <v>59</v>
      </c>
      <c r="K1855" t="s">
        <v>2386</v>
      </c>
      <c r="L1855">
        <v>20</v>
      </c>
      <c r="M1855" t="s">
        <v>2701</v>
      </c>
      <c r="N1855" t="s">
        <v>2388</v>
      </c>
      <c r="O1855">
        <v>1</v>
      </c>
    </row>
    <row r="1856" spans="2:15" x14ac:dyDescent="0.3">
      <c r="B1856">
        <v>1916</v>
      </c>
      <c r="D1856">
        <v>971</v>
      </c>
      <c r="E1856">
        <v>7</v>
      </c>
      <c r="F1856">
        <v>1</v>
      </c>
      <c r="G1856">
        <v>106.585111321459</v>
      </c>
      <c r="H1856">
        <v>2</v>
      </c>
      <c r="I1856">
        <v>59</v>
      </c>
      <c r="K1856" t="s">
        <v>2386</v>
      </c>
      <c r="L1856">
        <v>20</v>
      </c>
      <c r="M1856" t="s">
        <v>2702</v>
      </c>
      <c r="N1856" t="s">
        <v>2388</v>
      </c>
      <c r="O1856">
        <v>1</v>
      </c>
    </row>
    <row r="1857" spans="2:15" x14ac:dyDescent="0.3">
      <c r="B1857">
        <v>1917</v>
      </c>
      <c r="D1857">
        <v>7</v>
      </c>
      <c r="E1857">
        <v>971</v>
      </c>
      <c r="F1857">
        <v>1</v>
      </c>
      <c r="G1857">
        <v>106.585111321459</v>
      </c>
      <c r="H1857">
        <v>2</v>
      </c>
      <c r="I1857">
        <v>59</v>
      </c>
      <c r="K1857" t="s">
        <v>2386</v>
      </c>
      <c r="L1857">
        <v>20</v>
      </c>
      <c r="M1857" t="s">
        <v>2703</v>
      </c>
      <c r="N1857" t="s">
        <v>2388</v>
      </c>
      <c r="O1857">
        <v>1</v>
      </c>
    </row>
    <row r="1858" spans="2:15" x14ac:dyDescent="0.3">
      <c r="B1858">
        <v>1918</v>
      </c>
      <c r="D1858">
        <v>972</v>
      </c>
      <c r="E1858">
        <v>486</v>
      </c>
      <c r="F1858">
        <v>1</v>
      </c>
      <c r="G1858">
        <v>39.419475561648603</v>
      </c>
      <c r="H1858">
        <v>2</v>
      </c>
      <c r="I1858">
        <v>59</v>
      </c>
      <c r="K1858" t="s">
        <v>2386</v>
      </c>
      <c r="L1858">
        <v>20</v>
      </c>
      <c r="M1858" t="s">
        <v>2704</v>
      </c>
      <c r="N1858" t="s">
        <v>2388</v>
      </c>
      <c r="O1858">
        <v>1</v>
      </c>
    </row>
    <row r="1859" spans="2:15" x14ac:dyDescent="0.3">
      <c r="B1859">
        <v>1919</v>
      </c>
      <c r="D1859">
        <v>486</v>
      </c>
      <c r="E1859">
        <v>972</v>
      </c>
      <c r="F1859">
        <v>1</v>
      </c>
      <c r="G1859">
        <v>39.419475561648603</v>
      </c>
      <c r="H1859">
        <v>2</v>
      </c>
      <c r="I1859">
        <v>59</v>
      </c>
      <c r="K1859" t="s">
        <v>2386</v>
      </c>
      <c r="L1859">
        <v>20</v>
      </c>
      <c r="M1859" t="s">
        <v>2705</v>
      </c>
      <c r="N1859" t="s">
        <v>2388</v>
      </c>
      <c r="O1859">
        <v>1</v>
      </c>
    </row>
    <row r="1860" spans="2:15" x14ac:dyDescent="0.3">
      <c r="B1860">
        <v>1920</v>
      </c>
      <c r="D1860">
        <v>973</v>
      </c>
      <c r="E1860">
        <v>1955</v>
      </c>
      <c r="F1860">
        <v>1</v>
      </c>
      <c r="G1860">
        <v>69.961099101282201</v>
      </c>
      <c r="H1860">
        <v>2</v>
      </c>
      <c r="I1860">
        <v>59</v>
      </c>
      <c r="K1860" t="s">
        <v>2386</v>
      </c>
      <c r="L1860">
        <v>20</v>
      </c>
      <c r="M1860" t="s">
        <v>2706</v>
      </c>
      <c r="N1860" t="s">
        <v>2388</v>
      </c>
      <c r="O1860">
        <v>1</v>
      </c>
    </row>
    <row r="1861" spans="2:15" x14ac:dyDescent="0.3">
      <c r="B1861">
        <v>1921</v>
      </c>
      <c r="D1861">
        <v>1955</v>
      </c>
      <c r="E1861">
        <v>973</v>
      </c>
      <c r="F1861">
        <v>1</v>
      </c>
      <c r="G1861">
        <v>69.961099101282201</v>
      </c>
      <c r="H1861">
        <v>2</v>
      </c>
      <c r="I1861">
        <v>59</v>
      </c>
      <c r="K1861" t="s">
        <v>2386</v>
      </c>
      <c r="L1861">
        <v>20</v>
      </c>
      <c r="M1861" t="s">
        <v>2707</v>
      </c>
      <c r="N1861" t="s">
        <v>2388</v>
      </c>
      <c r="O1861">
        <v>1</v>
      </c>
    </row>
    <row r="1862" spans="2:15" x14ac:dyDescent="0.3">
      <c r="B1862">
        <v>1922</v>
      </c>
      <c r="D1862">
        <v>974</v>
      </c>
      <c r="E1862">
        <v>354</v>
      </c>
      <c r="F1862">
        <v>1</v>
      </c>
      <c r="G1862">
        <v>78.722770139152502</v>
      </c>
      <c r="H1862">
        <v>2</v>
      </c>
      <c r="I1862">
        <v>59</v>
      </c>
      <c r="K1862" t="s">
        <v>2386</v>
      </c>
      <c r="L1862">
        <v>20</v>
      </c>
      <c r="M1862" t="s">
        <v>2708</v>
      </c>
      <c r="N1862" t="s">
        <v>2388</v>
      </c>
      <c r="O1862">
        <v>1</v>
      </c>
    </row>
    <row r="1863" spans="2:15" x14ac:dyDescent="0.3">
      <c r="B1863">
        <v>1923</v>
      </c>
      <c r="D1863">
        <v>354</v>
      </c>
      <c r="E1863">
        <v>974</v>
      </c>
      <c r="F1863">
        <v>1</v>
      </c>
      <c r="G1863">
        <v>78.722770139152502</v>
      </c>
      <c r="H1863">
        <v>2</v>
      </c>
      <c r="I1863">
        <v>59</v>
      </c>
      <c r="K1863" t="s">
        <v>2386</v>
      </c>
      <c r="L1863">
        <v>20</v>
      </c>
      <c r="M1863" t="s">
        <v>2709</v>
      </c>
      <c r="N1863" t="s">
        <v>2388</v>
      </c>
      <c r="O1863">
        <v>1</v>
      </c>
    </row>
    <row r="1864" spans="2:15" x14ac:dyDescent="0.3">
      <c r="B1864">
        <v>1924</v>
      </c>
      <c r="D1864">
        <v>975</v>
      </c>
      <c r="E1864">
        <v>382</v>
      </c>
      <c r="F1864">
        <v>1</v>
      </c>
      <c r="G1864">
        <v>67.798047973798504</v>
      </c>
      <c r="H1864">
        <v>2</v>
      </c>
      <c r="I1864">
        <v>59</v>
      </c>
      <c r="K1864" t="s">
        <v>2386</v>
      </c>
      <c r="L1864">
        <v>20</v>
      </c>
      <c r="M1864" t="s">
        <v>2710</v>
      </c>
      <c r="N1864" t="s">
        <v>2388</v>
      </c>
      <c r="O1864">
        <v>1</v>
      </c>
    </row>
    <row r="1865" spans="2:15" x14ac:dyDescent="0.3">
      <c r="B1865">
        <v>1925</v>
      </c>
      <c r="D1865">
        <v>382</v>
      </c>
      <c r="E1865">
        <v>975</v>
      </c>
      <c r="F1865">
        <v>1</v>
      </c>
      <c r="G1865">
        <v>67.798047973798504</v>
      </c>
      <c r="H1865">
        <v>2</v>
      </c>
      <c r="I1865">
        <v>59</v>
      </c>
      <c r="K1865" t="s">
        <v>2386</v>
      </c>
      <c r="L1865">
        <v>20</v>
      </c>
      <c r="M1865" t="s">
        <v>2711</v>
      </c>
      <c r="N1865" t="s">
        <v>2388</v>
      </c>
      <c r="O1865">
        <v>1</v>
      </c>
    </row>
    <row r="1866" spans="2:15" x14ac:dyDescent="0.3">
      <c r="B1866">
        <v>1926</v>
      </c>
      <c r="D1866">
        <v>976</v>
      </c>
      <c r="E1866">
        <v>631</v>
      </c>
      <c r="F1866">
        <v>1</v>
      </c>
      <c r="G1866">
        <v>41.697084768745498</v>
      </c>
      <c r="H1866">
        <v>2</v>
      </c>
      <c r="I1866">
        <v>59</v>
      </c>
      <c r="K1866" t="s">
        <v>2386</v>
      </c>
      <c r="L1866">
        <v>20</v>
      </c>
      <c r="M1866" t="s">
        <v>2712</v>
      </c>
      <c r="N1866" t="s">
        <v>2388</v>
      </c>
      <c r="O1866">
        <v>1</v>
      </c>
    </row>
    <row r="1867" spans="2:15" x14ac:dyDescent="0.3">
      <c r="B1867">
        <v>1927</v>
      </c>
      <c r="D1867">
        <v>631</v>
      </c>
      <c r="E1867">
        <v>976</v>
      </c>
      <c r="F1867">
        <v>1</v>
      </c>
      <c r="G1867">
        <v>41.697084768745498</v>
      </c>
      <c r="H1867">
        <v>2</v>
      </c>
      <c r="I1867">
        <v>59</v>
      </c>
      <c r="K1867" t="s">
        <v>2386</v>
      </c>
      <c r="L1867">
        <v>20</v>
      </c>
      <c r="M1867" t="s">
        <v>2713</v>
      </c>
      <c r="N1867" t="s">
        <v>2388</v>
      </c>
      <c r="O1867">
        <v>1</v>
      </c>
    </row>
    <row r="1868" spans="2:15" x14ac:dyDescent="0.3">
      <c r="B1868">
        <v>1928</v>
      </c>
      <c r="D1868">
        <v>977</v>
      </c>
      <c r="E1868">
        <v>648</v>
      </c>
      <c r="F1868">
        <v>1</v>
      </c>
      <c r="G1868">
        <v>72.622902308610406</v>
      </c>
      <c r="H1868">
        <v>2</v>
      </c>
      <c r="I1868">
        <v>59</v>
      </c>
      <c r="K1868" t="s">
        <v>2386</v>
      </c>
      <c r="L1868">
        <v>20</v>
      </c>
      <c r="M1868" t="s">
        <v>2714</v>
      </c>
      <c r="N1868" t="s">
        <v>2388</v>
      </c>
      <c r="O1868">
        <v>1</v>
      </c>
    </row>
    <row r="1869" spans="2:15" x14ac:dyDescent="0.3">
      <c r="B1869">
        <v>1929</v>
      </c>
      <c r="D1869">
        <v>648</v>
      </c>
      <c r="E1869">
        <v>977</v>
      </c>
      <c r="F1869">
        <v>1</v>
      </c>
      <c r="G1869">
        <v>72.622902308610406</v>
      </c>
      <c r="H1869">
        <v>2</v>
      </c>
      <c r="I1869">
        <v>59</v>
      </c>
      <c r="K1869" t="s">
        <v>2386</v>
      </c>
      <c r="L1869">
        <v>20</v>
      </c>
      <c r="M1869" t="s">
        <v>2715</v>
      </c>
      <c r="N1869" t="s">
        <v>2388</v>
      </c>
      <c r="O1869">
        <v>1</v>
      </c>
    </row>
    <row r="1870" spans="2:15" x14ac:dyDescent="0.3">
      <c r="B1870">
        <v>1930</v>
      </c>
      <c r="D1870">
        <v>978</v>
      </c>
      <c r="E1870">
        <v>632</v>
      </c>
      <c r="F1870">
        <v>1</v>
      </c>
      <c r="G1870">
        <v>65.388207307238105</v>
      </c>
      <c r="H1870">
        <v>2</v>
      </c>
      <c r="I1870">
        <v>59</v>
      </c>
      <c r="K1870" t="s">
        <v>2386</v>
      </c>
      <c r="L1870">
        <v>20</v>
      </c>
      <c r="M1870" t="s">
        <v>2716</v>
      </c>
      <c r="N1870" t="s">
        <v>2388</v>
      </c>
      <c r="O1870">
        <v>1</v>
      </c>
    </row>
    <row r="1871" spans="2:15" x14ac:dyDescent="0.3">
      <c r="B1871">
        <v>1931</v>
      </c>
      <c r="D1871">
        <v>632</v>
      </c>
      <c r="E1871">
        <v>978</v>
      </c>
      <c r="F1871">
        <v>1</v>
      </c>
      <c r="G1871">
        <v>65.388207307238105</v>
      </c>
      <c r="H1871">
        <v>2</v>
      </c>
      <c r="I1871">
        <v>59</v>
      </c>
      <c r="K1871" t="s">
        <v>2386</v>
      </c>
      <c r="L1871">
        <v>20</v>
      </c>
      <c r="M1871" t="s">
        <v>2717</v>
      </c>
      <c r="N1871" t="s">
        <v>2388</v>
      </c>
      <c r="O1871">
        <v>1</v>
      </c>
    </row>
    <row r="1872" spans="2:15" x14ac:dyDescent="0.3">
      <c r="B1872">
        <v>1932</v>
      </c>
      <c r="D1872">
        <v>979</v>
      </c>
      <c r="E1872">
        <v>276</v>
      </c>
      <c r="F1872">
        <v>1</v>
      </c>
      <c r="G1872">
        <v>23.664128655348598</v>
      </c>
      <c r="H1872">
        <v>2</v>
      </c>
      <c r="I1872">
        <v>59</v>
      </c>
      <c r="K1872" t="s">
        <v>2386</v>
      </c>
      <c r="L1872">
        <v>20</v>
      </c>
      <c r="M1872" t="s">
        <v>2718</v>
      </c>
      <c r="N1872" t="s">
        <v>2388</v>
      </c>
      <c r="O1872">
        <v>1</v>
      </c>
    </row>
    <row r="1873" spans="2:15" x14ac:dyDescent="0.3">
      <c r="B1873">
        <v>1933</v>
      </c>
      <c r="D1873">
        <v>276</v>
      </c>
      <c r="E1873">
        <v>979</v>
      </c>
      <c r="F1873">
        <v>1</v>
      </c>
      <c r="G1873">
        <v>23.664128655348598</v>
      </c>
      <c r="H1873">
        <v>2</v>
      </c>
      <c r="I1873">
        <v>59</v>
      </c>
      <c r="K1873" t="s">
        <v>2386</v>
      </c>
      <c r="L1873">
        <v>20</v>
      </c>
      <c r="M1873" t="s">
        <v>2719</v>
      </c>
      <c r="N1873" t="s">
        <v>2388</v>
      </c>
      <c r="O1873">
        <v>1</v>
      </c>
    </row>
    <row r="1874" spans="2:15" x14ac:dyDescent="0.3">
      <c r="B1874">
        <v>1934</v>
      </c>
      <c r="D1874">
        <v>980</v>
      </c>
      <c r="E1874">
        <v>276</v>
      </c>
      <c r="F1874">
        <v>1</v>
      </c>
      <c r="G1874">
        <v>41.642813328062203</v>
      </c>
      <c r="H1874">
        <v>2</v>
      </c>
      <c r="I1874">
        <v>59</v>
      </c>
      <c r="K1874" t="s">
        <v>2386</v>
      </c>
      <c r="L1874">
        <v>20</v>
      </c>
      <c r="M1874" t="s">
        <v>2720</v>
      </c>
      <c r="N1874" t="s">
        <v>2388</v>
      </c>
      <c r="O1874">
        <v>1</v>
      </c>
    </row>
    <row r="1875" spans="2:15" x14ac:dyDescent="0.3">
      <c r="B1875">
        <v>1935</v>
      </c>
      <c r="D1875">
        <v>276</v>
      </c>
      <c r="E1875">
        <v>980</v>
      </c>
      <c r="F1875">
        <v>1</v>
      </c>
      <c r="G1875">
        <v>41.642813328062203</v>
      </c>
      <c r="H1875">
        <v>2</v>
      </c>
      <c r="I1875">
        <v>59</v>
      </c>
      <c r="K1875" t="s">
        <v>2386</v>
      </c>
      <c r="L1875">
        <v>20</v>
      </c>
      <c r="M1875" t="s">
        <v>2721</v>
      </c>
      <c r="N1875" t="s">
        <v>2388</v>
      </c>
      <c r="O1875">
        <v>1</v>
      </c>
    </row>
    <row r="1876" spans="2:15" x14ac:dyDescent="0.3">
      <c r="B1876">
        <v>1936</v>
      </c>
      <c r="D1876">
        <v>981</v>
      </c>
      <c r="E1876">
        <v>277</v>
      </c>
      <c r="F1876">
        <v>1</v>
      </c>
      <c r="G1876">
        <v>65.888792613134996</v>
      </c>
      <c r="H1876">
        <v>2</v>
      </c>
      <c r="I1876">
        <v>59</v>
      </c>
      <c r="K1876" t="s">
        <v>2386</v>
      </c>
      <c r="L1876">
        <v>20</v>
      </c>
      <c r="M1876" t="s">
        <v>2722</v>
      </c>
      <c r="N1876" t="s">
        <v>2388</v>
      </c>
      <c r="O1876">
        <v>1</v>
      </c>
    </row>
    <row r="1877" spans="2:15" x14ac:dyDescent="0.3">
      <c r="B1877">
        <v>1937</v>
      </c>
      <c r="D1877">
        <v>277</v>
      </c>
      <c r="E1877">
        <v>981</v>
      </c>
      <c r="F1877">
        <v>1</v>
      </c>
      <c r="G1877">
        <v>65.888792613134996</v>
      </c>
      <c r="H1877">
        <v>2</v>
      </c>
      <c r="I1877">
        <v>59</v>
      </c>
      <c r="K1877" t="s">
        <v>2386</v>
      </c>
      <c r="L1877">
        <v>20</v>
      </c>
      <c r="M1877" t="s">
        <v>2723</v>
      </c>
      <c r="N1877" t="s">
        <v>2388</v>
      </c>
      <c r="O1877">
        <v>1</v>
      </c>
    </row>
    <row r="1878" spans="2:15" x14ac:dyDescent="0.3">
      <c r="B1878">
        <v>1938</v>
      </c>
      <c r="D1878">
        <v>982</v>
      </c>
      <c r="E1878">
        <v>463</v>
      </c>
      <c r="F1878">
        <v>1</v>
      </c>
      <c r="G1878">
        <v>77.1827587292495</v>
      </c>
      <c r="H1878">
        <v>2</v>
      </c>
      <c r="I1878">
        <v>59</v>
      </c>
      <c r="K1878" t="s">
        <v>2386</v>
      </c>
      <c r="L1878">
        <v>20</v>
      </c>
      <c r="M1878" t="s">
        <v>2724</v>
      </c>
      <c r="N1878" t="s">
        <v>2388</v>
      </c>
      <c r="O1878">
        <v>1</v>
      </c>
    </row>
    <row r="1879" spans="2:15" x14ac:dyDescent="0.3">
      <c r="B1879">
        <v>1939</v>
      </c>
      <c r="D1879">
        <v>463</v>
      </c>
      <c r="E1879">
        <v>982</v>
      </c>
      <c r="F1879">
        <v>1</v>
      </c>
      <c r="G1879">
        <v>77.1827587292495</v>
      </c>
      <c r="H1879">
        <v>2</v>
      </c>
      <c r="I1879">
        <v>59</v>
      </c>
      <c r="K1879" t="s">
        <v>2386</v>
      </c>
      <c r="L1879">
        <v>20</v>
      </c>
      <c r="M1879" t="s">
        <v>2725</v>
      </c>
      <c r="N1879" t="s">
        <v>2388</v>
      </c>
      <c r="O1879">
        <v>1</v>
      </c>
    </row>
    <row r="1880" spans="2:15" x14ac:dyDescent="0.3">
      <c r="B1880">
        <v>1940</v>
      </c>
      <c r="D1880">
        <v>983</v>
      </c>
      <c r="E1880">
        <v>811</v>
      </c>
      <c r="F1880">
        <v>1</v>
      </c>
      <c r="G1880">
        <v>87.328591400302003</v>
      </c>
      <c r="H1880">
        <v>2</v>
      </c>
      <c r="I1880">
        <v>59</v>
      </c>
      <c r="K1880" t="s">
        <v>2386</v>
      </c>
      <c r="L1880">
        <v>20</v>
      </c>
      <c r="M1880" t="s">
        <v>2726</v>
      </c>
      <c r="N1880" t="s">
        <v>2388</v>
      </c>
      <c r="O1880">
        <v>1</v>
      </c>
    </row>
    <row r="1881" spans="2:15" x14ac:dyDescent="0.3">
      <c r="B1881">
        <v>1941</v>
      </c>
      <c r="D1881">
        <v>811</v>
      </c>
      <c r="E1881">
        <v>983</v>
      </c>
      <c r="F1881">
        <v>1</v>
      </c>
      <c r="G1881">
        <v>87.328591400302003</v>
      </c>
      <c r="H1881">
        <v>2</v>
      </c>
      <c r="I1881">
        <v>59</v>
      </c>
      <c r="K1881" t="s">
        <v>2386</v>
      </c>
      <c r="L1881">
        <v>20</v>
      </c>
      <c r="M1881" t="s">
        <v>2727</v>
      </c>
      <c r="N1881" t="s">
        <v>2388</v>
      </c>
      <c r="O1881">
        <v>1</v>
      </c>
    </row>
    <row r="1882" spans="2:15" x14ac:dyDescent="0.3">
      <c r="B1882">
        <v>1942</v>
      </c>
      <c r="D1882">
        <v>984</v>
      </c>
      <c r="E1882">
        <v>24</v>
      </c>
      <c r="F1882">
        <v>1</v>
      </c>
      <c r="G1882">
        <v>53.087596195330399</v>
      </c>
      <c r="H1882">
        <v>2</v>
      </c>
      <c r="I1882">
        <v>59</v>
      </c>
      <c r="K1882" t="s">
        <v>2386</v>
      </c>
      <c r="L1882">
        <v>20</v>
      </c>
      <c r="M1882" t="s">
        <v>2728</v>
      </c>
      <c r="N1882" t="s">
        <v>2388</v>
      </c>
      <c r="O1882">
        <v>1</v>
      </c>
    </row>
    <row r="1883" spans="2:15" x14ac:dyDescent="0.3">
      <c r="B1883">
        <v>1943</v>
      </c>
      <c r="D1883">
        <v>24</v>
      </c>
      <c r="E1883">
        <v>984</v>
      </c>
      <c r="F1883">
        <v>1</v>
      </c>
      <c r="G1883">
        <v>53.087596195330399</v>
      </c>
      <c r="H1883">
        <v>2</v>
      </c>
      <c r="I1883">
        <v>59</v>
      </c>
      <c r="K1883" t="s">
        <v>2386</v>
      </c>
      <c r="L1883">
        <v>20</v>
      </c>
      <c r="M1883" t="s">
        <v>2729</v>
      </c>
      <c r="N1883" t="s">
        <v>2388</v>
      </c>
      <c r="O1883">
        <v>1</v>
      </c>
    </row>
    <row r="1884" spans="2:15" x14ac:dyDescent="0.3">
      <c r="B1884">
        <v>1944</v>
      </c>
      <c r="D1884">
        <v>985</v>
      </c>
      <c r="E1884">
        <v>23</v>
      </c>
      <c r="F1884">
        <v>1</v>
      </c>
      <c r="G1884">
        <v>67.1542527280467</v>
      </c>
      <c r="H1884">
        <v>2</v>
      </c>
      <c r="I1884">
        <v>59</v>
      </c>
      <c r="K1884" t="s">
        <v>2386</v>
      </c>
      <c r="L1884">
        <v>20</v>
      </c>
      <c r="M1884" t="s">
        <v>2730</v>
      </c>
      <c r="N1884" t="s">
        <v>2388</v>
      </c>
      <c r="O1884">
        <v>1</v>
      </c>
    </row>
    <row r="1885" spans="2:15" x14ac:dyDescent="0.3">
      <c r="B1885">
        <v>1945</v>
      </c>
      <c r="D1885">
        <v>23</v>
      </c>
      <c r="E1885">
        <v>985</v>
      </c>
      <c r="F1885">
        <v>1</v>
      </c>
      <c r="G1885">
        <v>67.1542527280467</v>
      </c>
      <c r="H1885">
        <v>2</v>
      </c>
      <c r="I1885">
        <v>59</v>
      </c>
      <c r="K1885" t="s">
        <v>2386</v>
      </c>
      <c r="L1885">
        <v>20</v>
      </c>
      <c r="M1885" t="s">
        <v>2731</v>
      </c>
      <c r="N1885" t="s">
        <v>2388</v>
      </c>
      <c r="O1885">
        <v>1</v>
      </c>
    </row>
    <row r="1886" spans="2:15" x14ac:dyDescent="0.3">
      <c r="B1886">
        <v>1946</v>
      </c>
      <c r="D1886">
        <v>986</v>
      </c>
      <c r="E1886">
        <v>811</v>
      </c>
      <c r="F1886">
        <v>1</v>
      </c>
      <c r="G1886">
        <v>90.884002774846607</v>
      </c>
      <c r="H1886">
        <v>2</v>
      </c>
      <c r="I1886">
        <v>59</v>
      </c>
      <c r="K1886" t="s">
        <v>2386</v>
      </c>
      <c r="L1886">
        <v>20</v>
      </c>
      <c r="M1886" t="s">
        <v>2732</v>
      </c>
      <c r="N1886" t="s">
        <v>2388</v>
      </c>
      <c r="O1886">
        <v>1</v>
      </c>
    </row>
    <row r="1887" spans="2:15" x14ac:dyDescent="0.3">
      <c r="B1887">
        <v>1947</v>
      </c>
      <c r="D1887">
        <v>811</v>
      </c>
      <c r="E1887">
        <v>986</v>
      </c>
      <c r="F1887">
        <v>1</v>
      </c>
      <c r="G1887">
        <v>90.884002774846607</v>
      </c>
      <c r="H1887">
        <v>2</v>
      </c>
      <c r="I1887">
        <v>59</v>
      </c>
      <c r="K1887" t="s">
        <v>2386</v>
      </c>
      <c r="L1887">
        <v>20</v>
      </c>
      <c r="M1887" t="s">
        <v>2733</v>
      </c>
      <c r="N1887" t="s">
        <v>2388</v>
      </c>
      <c r="O1887">
        <v>1</v>
      </c>
    </row>
    <row r="1888" spans="2:15" x14ac:dyDescent="0.3">
      <c r="B1888">
        <v>1948</v>
      </c>
      <c r="D1888">
        <v>987</v>
      </c>
      <c r="E1888">
        <v>602</v>
      </c>
      <c r="F1888">
        <v>1</v>
      </c>
      <c r="G1888">
        <v>52.740142308351402</v>
      </c>
      <c r="H1888">
        <v>2</v>
      </c>
      <c r="I1888">
        <v>59</v>
      </c>
      <c r="K1888" t="s">
        <v>2386</v>
      </c>
      <c r="L1888">
        <v>20</v>
      </c>
      <c r="M1888" t="s">
        <v>2734</v>
      </c>
      <c r="N1888" t="s">
        <v>2388</v>
      </c>
      <c r="O1888">
        <v>1</v>
      </c>
    </row>
    <row r="1889" spans="2:15" x14ac:dyDescent="0.3">
      <c r="B1889">
        <v>1949</v>
      </c>
      <c r="D1889">
        <v>602</v>
      </c>
      <c r="E1889">
        <v>987</v>
      </c>
      <c r="F1889">
        <v>1</v>
      </c>
      <c r="G1889">
        <v>52.740142308351402</v>
      </c>
      <c r="H1889">
        <v>2</v>
      </c>
      <c r="I1889">
        <v>59</v>
      </c>
      <c r="K1889" t="s">
        <v>2386</v>
      </c>
      <c r="L1889">
        <v>20</v>
      </c>
      <c r="M1889" t="s">
        <v>2735</v>
      </c>
      <c r="N1889" t="s">
        <v>2388</v>
      </c>
      <c r="O1889">
        <v>1</v>
      </c>
    </row>
    <row r="1890" spans="2:15" x14ac:dyDescent="0.3">
      <c r="B1890">
        <v>1950</v>
      </c>
      <c r="D1890">
        <v>988</v>
      </c>
      <c r="E1890">
        <v>603</v>
      </c>
      <c r="F1890">
        <v>1</v>
      </c>
      <c r="G1890">
        <v>54.842710745286901</v>
      </c>
      <c r="H1890">
        <v>2</v>
      </c>
      <c r="I1890">
        <v>59</v>
      </c>
      <c r="K1890" t="s">
        <v>2386</v>
      </c>
      <c r="L1890">
        <v>20</v>
      </c>
      <c r="M1890" t="s">
        <v>2736</v>
      </c>
      <c r="N1890" t="s">
        <v>2388</v>
      </c>
      <c r="O1890">
        <v>1</v>
      </c>
    </row>
    <row r="1891" spans="2:15" x14ac:dyDescent="0.3">
      <c r="B1891">
        <v>1951</v>
      </c>
      <c r="D1891">
        <v>603</v>
      </c>
      <c r="E1891">
        <v>988</v>
      </c>
      <c r="F1891">
        <v>1</v>
      </c>
      <c r="G1891">
        <v>54.842710745286901</v>
      </c>
      <c r="H1891">
        <v>2</v>
      </c>
      <c r="I1891">
        <v>59</v>
      </c>
      <c r="K1891" t="s">
        <v>2386</v>
      </c>
      <c r="L1891">
        <v>20</v>
      </c>
      <c r="M1891" t="s">
        <v>2737</v>
      </c>
      <c r="N1891" t="s">
        <v>2388</v>
      </c>
      <c r="O1891">
        <v>1</v>
      </c>
    </row>
    <row r="1892" spans="2:15" x14ac:dyDescent="0.3">
      <c r="B1892">
        <v>1952</v>
      </c>
      <c r="D1892">
        <v>989</v>
      </c>
      <c r="E1892">
        <v>180</v>
      </c>
      <c r="F1892">
        <v>1</v>
      </c>
      <c r="G1892">
        <v>39.673119193104803</v>
      </c>
      <c r="H1892">
        <v>2</v>
      </c>
      <c r="I1892">
        <v>59</v>
      </c>
      <c r="K1892" t="s">
        <v>2386</v>
      </c>
      <c r="L1892">
        <v>20</v>
      </c>
      <c r="M1892" t="s">
        <v>2738</v>
      </c>
      <c r="N1892" t="s">
        <v>2388</v>
      </c>
      <c r="O1892">
        <v>1</v>
      </c>
    </row>
    <row r="1893" spans="2:15" x14ac:dyDescent="0.3">
      <c r="B1893">
        <v>1953</v>
      </c>
      <c r="D1893">
        <v>180</v>
      </c>
      <c r="E1893">
        <v>989</v>
      </c>
      <c r="F1893">
        <v>1</v>
      </c>
      <c r="G1893">
        <v>39.673119193104803</v>
      </c>
      <c r="H1893">
        <v>2</v>
      </c>
      <c r="I1893">
        <v>59</v>
      </c>
      <c r="K1893" t="s">
        <v>2386</v>
      </c>
      <c r="L1893">
        <v>20</v>
      </c>
      <c r="M1893" t="s">
        <v>2739</v>
      </c>
      <c r="N1893" t="s">
        <v>2388</v>
      </c>
      <c r="O1893">
        <v>1</v>
      </c>
    </row>
    <row r="1894" spans="2:15" x14ac:dyDescent="0.3">
      <c r="B1894">
        <v>1954</v>
      </c>
      <c r="D1894">
        <v>990</v>
      </c>
      <c r="E1894">
        <v>180</v>
      </c>
      <c r="F1894">
        <v>1</v>
      </c>
      <c r="G1894">
        <v>56.984117639626298</v>
      </c>
      <c r="H1894">
        <v>2</v>
      </c>
      <c r="I1894">
        <v>59</v>
      </c>
      <c r="K1894" t="s">
        <v>2386</v>
      </c>
      <c r="L1894">
        <v>20</v>
      </c>
      <c r="M1894" t="s">
        <v>2740</v>
      </c>
      <c r="N1894" t="s">
        <v>2388</v>
      </c>
      <c r="O1894">
        <v>1</v>
      </c>
    </row>
    <row r="1895" spans="2:15" x14ac:dyDescent="0.3">
      <c r="B1895">
        <v>1955</v>
      </c>
      <c r="D1895">
        <v>180</v>
      </c>
      <c r="E1895">
        <v>990</v>
      </c>
      <c r="F1895">
        <v>1</v>
      </c>
      <c r="G1895">
        <v>56.984117639626298</v>
      </c>
      <c r="H1895">
        <v>2</v>
      </c>
      <c r="I1895">
        <v>59</v>
      </c>
      <c r="K1895" t="s">
        <v>2386</v>
      </c>
      <c r="L1895">
        <v>20</v>
      </c>
      <c r="M1895" t="s">
        <v>2741</v>
      </c>
      <c r="N1895" t="s">
        <v>2388</v>
      </c>
      <c r="O1895">
        <v>1</v>
      </c>
    </row>
    <row r="1896" spans="2:15" x14ac:dyDescent="0.3">
      <c r="B1896">
        <v>1956</v>
      </c>
      <c r="D1896">
        <v>991</v>
      </c>
      <c r="E1896">
        <v>180</v>
      </c>
      <c r="F1896">
        <v>1</v>
      </c>
      <c r="G1896">
        <v>79.977284567025706</v>
      </c>
      <c r="H1896">
        <v>2</v>
      </c>
      <c r="I1896">
        <v>59</v>
      </c>
      <c r="K1896" t="s">
        <v>2386</v>
      </c>
      <c r="L1896">
        <v>20</v>
      </c>
      <c r="M1896" t="s">
        <v>2742</v>
      </c>
      <c r="N1896" t="s">
        <v>2388</v>
      </c>
      <c r="O1896">
        <v>1</v>
      </c>
    </row>
    <row r="1897" spans="2:15" x14ac:dyDescent="0.3">
      <c r="B1897">
        <v>1957</v>
      </c>
      <c r="D1897">
        <v>180</v>
      </c>
      <c r="E1897">
        <v>991</v>
      </c>
      <c r="F1897">
        <v>1</v>
      </c>
      <c r="G1897">
        <v>79.977284567025706</v>
      </c>
      <c r="H1897">
        <v>2</v>
      </c>
      <c r="I1897">
        <v>59</v>
      </c>
      <c r="K1897" t="s">
        <v>2386</v>
      </c>
      <c r="L1897">
        <v>20</v>
      </c>
      <c r="M1897" t="s">
        <v>2743</v>
      </c>
      <c r="N1897" t="s">
        <v>2388</v>
      </c>
      <c r="O1897">
        <v>1</v>
      </c>
    </row>
    <row r="1898" spans="2:15" x14ac:dyDescent="0.3">
      <c r="B1898">
        <v>1958</v>
      </c>
      <c r="D1898">
        <v>992</v>
      </c>
      <c r="E1898">
        <v>472</v>
      </c>
      <c r="F1898">
        <v>1</v>
      </c>
      <c r="G1898">
        <v>33.4943639590877</v>
      </c>
      <c r="H1898">
        <v>2</v>
      </c>
      <c r="I1898">
        <v>59</v>
      </c>
      <c r="K1898" t="s">
        <v>2386</v>
      </c>
      <c r="L1898">
        <v>20</v>
      </c>
      <c r="M1898" t="s">
        <v>2744</v>
      </c>
      <c r="N1898" t="s">
        <v>2388</v>
      </c>
      <c r="O1898">
        <v>1</v>
      </c>
    </row>
    <row r="1899" spans="2:15" x14ac:dyDescent="0.3">
      <c r="B1899">
        <v>1959</v>
      </c>
      <c r="D1899">
        <v>472</v>
      </c>
      <c r="E1899">
        <v>992</v>
      </c>
      <c r="F1899">
        <v>1</v>
      </c>
      <c r="G1899">
        <v>33.4943639590877</v>
      </c>
      <c r="H1899">
        <v>2</v>
      </c>
      <c r="I1899">
        <v>59</v>
      </c>
      <c r="K1899" t="s">
        <v>2386</v>
      </c>
      <c r="L1899">
        <v>20</v>
      </c>
      <c r="M1899" t="s">
        <v>2745</v>
      </c>
      <c r="N1899" t="s">
        <v>2388</v>
      </c>
      <c r="O1899">
        <v>1</v>
      </c>
    </row>
    <row r="1900" spans="2:15" x14ac:dyDescent="0.3">
      <c r="B1900">
        <v>1960</v>
      </c>
      <c r="D1900">
        <v>993</v>
      </c>
      <c r="E1900">
        <v>513</v>
      </c>
      <c r="F1900">
        <v>1</v>
      </c>
      <c r="G1900">
        <v>64.590351886869996</v>
      </c>
      <c r="H1900">
        <v>2</v>
      </c>
      <c r="I1900">
        <v>59</v>
      </c>
      <c r="K1900" t="s">
        <v>2386</v>
      </c>
      <c r="L1900">
        <v>20</v>
      </c>
      <c r="M1900" t="s">
        <v>2746</v>
      </c>
      <c r="N1900" t="s">
        <v>2388</v>
      </c>
      <c r="O1900">
        <v>1</v>
      </c>
    </row>
    <row r="1901" spans="2:15" x14ac:dyDescent="0.3">
      <c r="B1901">
        <v>1961</v>
      </c>
      <c r="D1901">
        <v>513</v>
      </c>
      <c r="E1901">
        <v>993</v>
      </c>
      <c r="F1901">
        <v>1</v>
      </c>
      <c r="G1901">
        <v>64.590351886869996</v>
      </c>
      <c r="H1901">
        <v>2</v>
      </c>
      <c r="I1901">
        <v>59</v>
      </c>
      <c r="K1901" t="s">
        <v>2386</v>
      </c>
      <c r="L1901">
        <v>20</v>
      </c>
      <c r="M1901" t="s">
        <v>2747</v>
      </c>
      <c r="N1901" t="s">
        <v>2388</v>
      </c>
      <c r="O1901">
        <v>1</v>
      </c>
    </row>
    <row r="1902" spans="2:15" x14ac:dyDescent="0.3">
      <c r="B1902">
        <v>1962</v>
      </c>
      <c r="D1902">
        <v>994</v>
      </c>
      <c r="E1902">
        <v>468</v>
      </c>
      <c r="F1902">
        <v>1</v>
      </c>
      <c r="G1902">
        <v>40.029358873033701</v>
      </c>
      <c r="H1902">
        <v>2</v>
      </c>
      <c r="I1902">
        <v>59</v>
      </c>
      <c r="K1902" t="s">
        <v>2386</v>
      </c>
      <c r="L1902">
        <v>20</v>
      </c>
      <c r="M1902" t="s">
        <v>2748</v>
      </c>
      <c r="N1902" t="s">
        <v>2388</v>
      </c>
      <c r="O1902">
        <v>1</v>
      </c>
    </row>
    <row r="1903" spans="2:15" x14ac:dyDescent="0.3">
      <c r="B1903">
        <v>1963</v>
      </c>
      <c r="D1903">
        <v>468</v>
      </c>
      <c r="E1903">
        <v>994</v>
      </c>
      <c r="F1903">
        <v>1</v>
      </c>
      <c r="G1903">
        <v>40.029358873033701</v>
      </c>
      <c r="H1903">
        <v>2</v>
      </c>
      <c r="I1903">
        <v>59</v>
      </c>
      <c r="K1903" t="s">
        <v>2386</v>
      </c>
      <c r="L1903">
        <v>20</v>
      </c>
      <c r="M1903" t="s">
        <v>2749</v>
      </c>
      <c r="N1903" t="s">
        <v>2388</v>
      </c>
      <c r="O1903">
        <v>1</v>
      </c>
    </row>
    <row r="1904" spans="2:15" x14ac:dyDescent="0.3">
      <c r="B1904">
        <v>1964</v>
      </c>
      <c r="D1904">
        <v>995</v>
      </c>
      <c r="E1904">
        <v>1950</v>
      </c>
      <c r="F1904">
        <v>1</v>
      </c>
      <c r="G1904">
        <v>34.653032815630603</v>
      </c>
      <c r="H1904">
        <v>2</v>
      </c>
      <c r="I1904">
        <v>59</v>
      </c>
      <c r="K1904" t="s">
        <v>2386</v>
      </c>
      <c r="L1904">
        <v>20</v>
      </c>
      <c r="M1904" t="s">
        <v>2750</v>
      </c>
      <c r="N1904" t="s">
        <v>2388</v>
      </c>
      <c r="O1904">
        <v>1</v>
      </c>
    </row>
    <row r="1905" spans="2:15" x14ac:dyDescent="0.3">
      <c r="B1905">
        <v>1965</v>
      </c>
      <c r="D1905">
        <v>1950</v>
      </c>
      <c r="E1905">
        <v>995</v>
      </c>
      <c r="F1905">
        <v>1</v>
      </c>
      <c r="G1905">
        <v>34.653032815630603</v>
      </c>
      <c r="H1905">
        <v>2</v>
      </c>
      <c r="I1905">
        <v>59</v>
      </c>
      <c r="K1905" t="s">
        <v>2386</v>
      </c>
      <c r="L1905">
        <v>20</v>
      </c>
      <c r="M1905" t="s">
        <v>2751</v>
      </c>
      <c r="N1905" t="s">
        <v>2388</v>
      </c>
      <c r="O1905">
        <v>1</v>
      </c>
    </row>
    <row r="1906" spans="2:15" x14ac:dyDescent="0.3">
      <c r="B1906">
        <v>1966</v>
      </c>
      <c r="D1906">
        <v>996</v>
      </c>
      <c r="E1906">
        <v>489</v>
      </c>
      <c r="F1906">
        <v>1</v>
      </c>
      <c r="G1906">
        <v>56.094298299460199</v>
      </c>
      <c r="H1906">
        <v>2</v>
      </c>
      <c r="I1906">
        <v>59</v>
      </c>
      <c r="K1906" t="s">
        <v>2386</v>
      </c>
      <c r="L1906">
        <v>20</v>
      </c>
      <c r="M1906" t="s">
        <v>2752</v>
      </c>
      <c r="N1906" t="s">
        <v>2388</v>
      </c>
      <c r="O1906">
        <v>1</v>
      </c>
    </row>
    <row r="1907" spans="2:15" x14ac:dyDescent="0.3">
      <c r="B1907">
        <v>1967</v>
      </c>
      <c r="D1907">
        <v>489</v>
      </c>
      <c r="E1907">
        <v>996</v>
      </c>
      <c r="F1907">
        <v>1</v>
      </c>
      <c r="G1907">
        <v>56.094298299460199</v>
      </c>
      <c r="H1907">
        <v>2</v>
      </c>
      <c r="I1907">
        <v>59</v>
      </c>
      <c r="K1907" t="s">
        <v>2386</v>
      </c>
      <c r="L1907">
        <v>20</v>
      </c>
      <c r="M1907" t="s">
        <v>2753</v>
      </c>
      <c r="N1907" t="s">
        <v>2388</v>
      </c>
      <c r="O1907">
        <v>1</v>
      </c>
    </row>
    <row r="1908" spans="2:15" x14ac:dyDescent="0.3">
      <c r="B1908">
        <v>1968</v>
      </c>
      <c r="D1908">
        <v>997</v>
      </c>
      <c r="E1908">
        <v>489</v>
      </c>
      <c r="F1908">
        <v>1</v>
      </c>
      <c r="G1908">
        <v>28.141802492754</v>
      </c>
      <c r="H1908">
        <v>2</v>
      </c>
      <c r="I1908">
        <v>59</v>
      </c>
      <c r="K1908" t="s">
        <v>2386</v>
      </c>
      <c r="L1908">
        <v>20</v>
      </c>
      <c r="M1908" t="s">
        <v>2754</v>
      </c>
      <c r="N1908" t="s">
        <v>2388</v>
      </c>
      <c r="O1908">
        <v>1</v>
      </c>
    </row>
    <row r="1909" spans="2:15" x14ac:dyDescent="0.3">
      <c r="B1909">
        <v>1969</v>
      </c>
      <c r="D1909">
        <v>489</v>
      </c>
      <c r="E1909">
        <v>997</v>
      </c>
      <c r="F1909">
        <v>1</v>
      </c>
      <c r="G1909">
        <v>28.141802492754</v>
      </c>
      <c r="H1909">
        <v>2</v>
      </c>
      <c r="I1909">
        <v>59</v>
      </c>
      <c r="K1909" t="s">
        <v>2386</v>
      </c>
      <c r="L1909">
        <v>20</v>
      </c>
      <c r="M1909" t="s">
        <v>2755</v>
      </c>
      <c r="N1909" t="s">
        <v>2388</v>
      </c>
      <c r="O1909">
        <v>1</v>
      </c>
    </row>
    <row r="1910" spans="2:15" x14ac:dyDescent="0.3">
      <c r="B1910">
        <v>1970</v>
      </c>
      <c r="D1910">
        <v>998</v>
      </c>
      <c r="E1910">
        <v>749</v>
      </c>
      <c r="F1910">
        <v>1</v>
      </c>
      <c r="G1910">
        <v>27.358101173620799</v>
      </c>
      <c r="H1910">
        <v>2</v>
      </c>
      <c r="I1910">
        <v>59</v>
      </c>
      <c r="K1910" t="s">
        <v>2386</v>
      </c>
      <c r="L1910">
        <v>20</v>
      </c>
      <c r="M1910" t="s">
        <v>2756</v>
      </c>
      <c r="N1910" t="s">
        <v>2388</v>
      </c>
      <c r="O1910">
        <v>1</v>
      </c>
    </row>
    <row r="1911" spans="2:15" x14ac:dyDescent="0.3">
      <c r="B1911">
        <v>1971</v>
      </c>
      <c r="D1911">
        <v>749</v>
      </c>
      <c r="E1911">
        <v>998</v>
      </c>
      <c r="F1911">
        <v>1</v>
      </c>
      <c r="G1911">
        <v>27.358101173620799</v>
      </c>
      <c r="H1911">
        <v>2</v>
      </c>
      <c r="I1911">
        <v>59</v>
      </c>
      <c r="K1911" t="s">
        <v>2386</v>
      </c>
      <c r="L1911">
        <v>20</v>
      </c>
      <c r="M1911" t="s">
        <v>2757</v>
      </c>
      <c r="N1911" t="s">
        <v>2388</v>
      </c>
      <c r="O1911">
        <v>1</v>
      </c>
    </row>
    <row r="1912" spans="2:15" x14ac:dyDescent="0.3">
      <c r="B1912">
        <v>1972</v>
      </c>
      <c r="D1912">
        <v>999</v>
      </c>
      <c r="E1912">
        <v>749</v>
      </c>
      <c r="F1912">
        <v>1</v>
      </c>
      <c r="G1912">
        <v>39.608380504830201</v>
      </c>
      <c r="H1912">
        <v>2</v>
      </c>
      <c r="I1912">
        <v>59</v>
      </c>
      <c r="K1912" t="s">
        <v>2386</v>
      </c>
      <c r="L1912">
        <v>20</v>
      </c>
      <c r="M1912" t="s">
        <v>2758</v>
      </c>
      <c r="N1912" t="s">
        <v>2388</v>
      </c>
      <c r="O1912">
        <v>1</v>
      </c>
    </row>
    <row r="1913" spans="2:15" x14ac:dyDescent="0.3">
      <c r="B1913">
        <v>1973</v>
      </c>
      <c r="D1913">
        <v>749</v>
      </c>
      <c r="E1913">
        <v>999</v>
      </c>
      <c r="F1913">
        <v>1</v>
      </c>
      <c r="G1913">
        <v>39.608380504830201</v>
      </c>
      <c r="H1913">
        <v>2</v>
      </c>
      <c r="I1913">
        <v>59</v>
      </c>
      <c r="K1913" t="s">
        <v>2386</v>
      </c>
      <c r="L1913">
        <v>20</v>
      </c>
      <c r="M1913" t="s">
        <v>2759</v>
      </c>
      <c r="N1913" t="s">
        <v>2388</v>
      </c>
      <c r="O1913">
        <v>1</v>
      </c>
    </row>
    <row r="1914" spans="2:15" x14ac:dyDescent="0.3">
      <c r="B1914">
        <v>1974</v>
      </c>
      <c r="D1914">
        <v>1000</v>
      </c>
      <c r="E1914">
        <v>182</v>
      </c>
      <c r="F1914">
        <v>1</v>
      </c>
      <c r="G1914">
        <v>47.4905754775696</v>
      </c>
      <c r="H1914">
        <v>2</v>
      </c>
      <c r="I1914">
        <v>59</v>
      </c>
      <c r="K1914" t="s">
        <v>2386</v>
      </c>
      <c r="L1914">
        <v>20</v>
      </c>
      <c r="M1914" t="s">
        <v>2760</v>
      </c>
      <c r="N1914" t="s">
        <v>2388</v>
      </c>
      <c r="O1914">
        <v>1</v>
      </c>
    </row>
    <row r="1915" spans="2:15" x14ac:dyDescent="0.3">
      <c r="B1915">
        <v>1975</v>
      </c>
      <c r="D1915">
        <v>182</v>
      </c>
      <c r="E1915">
        <v>1000</v>
      </c>
      <c r="F1915">
        <v>1</v>
      </c>
      <c r="G1915">
        <v>47.4905754775696</v>
      </c>
      <c r="H1915">
        <v>2</v>
      </c>
      <c r="I1915">
        <v>59</v>
      </c>
      <c r="K1915" t="s">
        <v>2386</v>
      </c>
      <c r="L1915">
        <v>20</v>
      </c>
      <c r="M1915" t="s">
        <v>2761</v>
      </c>
      <c r="N1915" t="s">
        <v>2388</v>
      </c>
      <c r="O1915">
        <v>1</v>
      </c>
    </row>
    <row r="1916" spans="2:15" x14ac:dyDescent="0.3">
      <c r="B1916">
        <v>1976</v>
      </c>
      <c r="D1916">
        <v>1001</v>
      </c>
      <c r="E1916">
        <v>637</v>
      </c>
      <c r="F1916">
        <v>1</v>
      </c>
      <c r="G1916">
        <v>61.846259382649599</v>
      </c>
      <c r="H1916">
        <v>2</v>
      </c>
      <c r="I1916">
        <v>59</v>
      </c>
      <c r="K1916" t="s">
        <v>2386</v>
      </c>
      <c r="L1916">
        <v>20</v>
      </c>
      <c r="M1916" t="s">
        <v>2762</v>
      </c>
      <c r="N1916" t="s">
        <v>2388</v>
      </c>
      <c r="O1916">
        <v>1</v>
      </c>
    </row>
    <row r="1917" spans="2:15" x14ac:dyDescent="0.3">
      <c r="B1917">
        <v>1977</v>
      </c>
      <c r="D1917">
        <v>637</v>
      </c>
      <c r="E1917">
        <v>1001</v>
      </c>
      <c r="F1917">
        <v>1</v>
      </c>
      <c r="G1917">
        <v>61.846259382649599</v>
      </c>
      <c r="H1917">
        <v>2</v>
      </c>
      <c r="I1917">
        <v>59</v>
      </c>
      <c r="K1917" t="s">
        <v>2386</v>
      </c>
      <c r="L1917">
        <v>20</v>
      </c>
      <c r="M1917" t="s">
        <v>2763</v>
      </c>
      <c r="N1917" t="s">
        <v>2388</v>
      </c>
      <c r="O1917">
        <v>1</v>
      </c>
    </row>
    <row r="1918" spans="2:15" x14ac:dyDescent="0.3">
      <c r="B1918">
        <v>1978</v>
      </c>
      <c r="D1918">
        <v>1002</v>
      </c>
      <c r="E1918">
        <v>674</v>
      </c>
      <c r="F1918">
        <v>1</v>
      </c>
      <c r="G1918">
        <v>49.986919763156799</v>
      </c>
      <c r="H1918">
        <v>2</v>
      </c>
      <c r="I1918">
        <v>59</v>
      </c>
      <c r="K1918" t="s">
        <v>2386</v>
      </c>
      <c r="L1918">
        <v>20</v>
      </c>
      <c r="M1918" t="s">
        <v>2764</v>
      </c>
      <c r="N1918" t="s">
        <v>2388</v>
      </c>
      <c r="O1918">
        <v>1</v>
      </c>
    </row>
    <row r="1919" spans="2:15" x14ac:dyDescent="0.3">
      <c r="B1919">
        <v>1979</v>
      </c>
      <c r="D1919">
        <v>674</v>
      </c>
      <c r="E1919">
        <v>1002</v>
      </c>
      <c r="F1919">
        <v>1</v>
      </c>
      <c r="G1919">
        <v>49.986919763156799</v>
      </c>
      <c r="H1919">
        <v>2</v>
      </c>
      <c r="I1919">
        <v>59</v>
      </c>
      <c r="K1919" t="s">
        <v>2386</v>
      </c>
      <c r="L1919">
        <v>20</v>
      </c>
      <c r="M1919" t="s">
        <v>2765</v>
      </c>
      <c r="N1919" t="s">
        <v>2388</v>
      </c>
      <c r="O1919">
        <v>1</v>
      </c>
    </row>
    <row r="1920" spans="2:15" x14ac:dyDescent="0.3">
      <c r="B1920">
        <v>1980</v>
      </c>
      <c r="D1920">
        <v>1003</v>
      </c>
      <c r="E1920">
        <v>674</v>
      </c>
      <c r="F1920">
        <v>1</v>
      </c>
      <c r="G1920">
        <v>91.001922945962903</v>
      </c>
      <c r="H1920">
        <v>2</v>
      </c>
      <c r="I1920">
        <v>59</v>
      </c>
      <c r="K1920" t="s">
        <v>2386</v>
      </c>
      <c r="L1920">
        <v>20</v>
      </c>
      <c r="M1920" t="s">
        <v>2766</v>
      </c>
      <c r="N1920" t="s">
        <v>2388</v>
      </c>
      <c r="O1920">
        <v>1</v>
      </c>
    </row>
    <row r="1921" spans="2:15" x14ac:dyDescent="0.3">
      <c r="B1921">
        <v>1981</v>
      </c>
      <c r="D1921">
        <v>674</v>
      </c>
      <c r="E1921">
        <v>1003</v>
      </c>
      <c r="F1921">
        <v>1</v>
      </c>
      <c r="G1921">
        <v>91.001922945962903</v>
      </c>
      <c r="H1921">
        <v>2</v>
      </c>
      <c r="I1921">
        <v>59</v>
      </c>
      <c r="K1921" t="s">
        <v>2386</v>
      </c>
      <c r="L1921">
        <v>20</v>
      </c>
      <c r="M1921" t="s">
        <v>2767</v>
      </c>
      <c r="N1921" t="s">
        <v>2388</v>
      </c>
      <c r="O1921">
        <v>1</v>
      </c>
    </row>
    <row r="1922" spans="2:15" x14ac:dyDescent="0.3">
      <c r="B1922">
        <v>1982</v>
      </c>
      <c r="D1922">
        <v>1004</v>
      </c>
      <c r="E1922">
        <v>599</v>
      </c>
      <c r="F1922">
        <v>1</v>
      </c>
      <c r="G1922">
        <v>43.636529252581603</v>
      </c>
      <c r="H1922">
        <v>2</v>
      </c>
      <c r="I1922">
        <v>59</v>
      </c>
      <c r="K1922" t="s">
        <v>2386</v>
      </c>
      <c r="L1922">
        <v>20</v>
      </c>
      <c r="M1922" t="s">
        <v>2768</v>
      </c>
      <c r="N1922" t="s">
        <v>2388</v>
      </c>
      <c r="O1922">
        <v>1</v>
      </c>
    </row>
    <row r="1923" spans="2:15" x14ac:dyDescent="0.3">
      <c r="B1923">
        <v>1983</v>
      </c>
      <c r="D1923">
        <v>599</v>
      </c>
      <c r="E1923">
        <v>1004</v>
      </c>
      <c r="F1923">
        <v>1</v>
      </c>
      <c r="G1923">
        <v>43.636529252581603</v>
      </c>
      <c r="H1923">
        <v>2</v>
      </c>
      <c r="I1923">
        <v>59</v>
      </c>
      <c r="K1923" t="s">
        <v>2386</v>
      </c>
      <c r="L1923">
        <v>20</v>
      </c>
      <c r="M1923" t="s">
        <v>2769</v>
      </c>
      <c r="N1923" t="s">
        <v>2388</v>
      </c>
      <c r="O1923">
        <v>1</v>
      </c>
    </row>
    <row r="1924" spans="2:15" x14ac:dyDescent="0.3">
      <c r="B1924">
        <v>1984</v>
      </c>
      <c r="D1924">
        <v>1005</v>
      </c>
      <c r="E1924">
        <v>599</v>
      </c>
      <c r="F1924">
        <v>1</v>
      </c>
      <c r="G1924">
        <v>61.228963705760599</v>
      </c>
      <c r="H1924">
        <v>2</v>
      </c>
      <c r="I1924">
        <v>59</v>
      </c>
      <c r="K1924" t="s">
        <v>2386</v>
      </c>
      <c r="L1924">
        <v>20</v>
      </c>
      <c r="M1924" t="s">
        <v>2770</v>
      </c>
      <c r="N1924" t="s">
        <v>2388</v>
      </c>
      <c r="O1924">
        <v>1</v>
      </c>
    </row>
    <row r="1925" spans="2:15" x14ac:dyDescent="0.3">
      <c r="B1925">
        <v>1985</v>
      </c>
      <c r="D1925">
        <v>599</v>
      </c>
      <c r="E1925">
        <v>1005</v>
      </c>
      <c r="F1925">
        <v>1</v>
      </c>
      <c r="G1925">
        <v>61.228963705760599</v>
      </c>
      <c r="H1925">
        <v>2</v>
      </c>
      <c r="I1925">
        <v>59</v>
      </c>
      <c r="K1925" t="s">
        <v>2386</v>
      </c>
      <c r="L1925">
        <v>20</v>
      </c>
      <c r="M1925" t="s">
        <v>2771</v>
      </c>
      <c r="N1925" t="s">
        <v>2388</v>
      </c>
      <c r="O1925">
        <v>1</v>
      </c>
    </row>
    <row r="1926" spans="2:15" x14ac:dyDescent="0.3">
      <c r="B1926">
        <v>1986</v>
      </c>
      <c r="D1926">
        <v>1006</v>
      </c>
      <c r="E1926">
        <v>224</v>
      </c>
      <c r="F1926">
        <v>1</v>
      </c>
      <c r="G1926">
        <v>61.096801320576802</v>
      </c>
      <c r="H1926">
        <v>2</v>
      </c>
      <c r="I1926">
        <v>59</v>
      </c>
      <c r="K1926" t="s">
        <v>2386</v>
      </c>
      <c r="L1926">
        <v>20</v>
      </c>
      <c r="M1926" t="s">
        <v>2772</v>
      </c>
      <c r="N1926" t="s">
        <v>2388</v>
      </c>
      <c r="O1926">
        <v>1</v>
      </c>
    </row>
    <row r="1927" spans="2:15" x14ac:dyDescent="0.3">
      <c r="B1927">
        <v>1987</v>
      </c>
      <c r="D1927">
        <v>224</v>
      </c>
      <c r="E1927">
        <v>1006</v>
      </c>
      <c r="F1927">
        <v>1</v>
      </c>
      <c r="G1927">
        <v>61.096801320576802</v>
      </c>
      <c r="H1927">
        <v>2</v>
      </c>
      <c r="I1927">
        <v>59</v>
      </c>
      <c r="K1927" t="s">
        <v>2386</v>
      </c>
      <c r="L1927">
        <v>20</v>
      </c>
      <c r="M1927" t="s">
        <v>2773</v>
      </c>
      <c r="N1927" t="s">
        <v>2388</v>
      </c>
      <c r="O1927">
        <v>1</v>
      </c>
    </row>
    <row r="1928" spans="2:15" x14ac:dyDescent="0.3">
      <c r="B1928">
        <v>1988</v>
      </c>
      <c r="D1928">
        <v>1007</v>
      </c>
      <c r="E1928">
        <v>593</v>
      </c>
      <c r="F1928">
        <v>1</v>
      </c>
      <c r="G1928">
        <v>56.821365402922602</v>
      </c>
      <c r="H1928">
        <v>2</v>
      </c>
      <c r="I1928">
        <v>59</v>
      </c>
      <c r="K1928" t="s">
        <v>2386</v>
      </c>
      <c r="L1928">
        <v>20</v>
      </c>
      <c r="M1928" t="s">
        <v>2774</v>
      </c>
      <c r="N1928" t="s">
        <v>2388</v>
      </c>
      <c r="O1928">
        <v>1</v>
      </c>
    </row>
    <row r="1929" spans="2:15" x14ac:dyDescent="0.3">
      <c r="B1929">
        <v>1989</v>
      </c>
      <c r="D1929">
        <v>593</v>
      </c>
      <c r="E1929">
        <v>1007</v>
      </c>
      <c r="F1929">
        <v>1</v>
      </c>
      <c r="G1929">
        <v>56.821365402922602</v>
      </c>
      <c r="H1929">
        <v>2</v>
      </c>
      <c r="I1929">
        <v>59</v>
      </c>
      <c r="K1929" t="s">
        <v>2386</v>
      </c>
      <c r="L1929">
        <v>20</v>
      </c>
      <c r="M1929" t="s">
        <v>2775</v>
      </c>
      <c r="N1929" t="s">
        <v>2388</v>
      </c>
      <c r="O1929">
        <v>1</v>
      </c>
    </row>
    <row r="1930" spans="2:15" x14ac:dyDescent="0.3">
      <c r="B1930">
        <v>1990</v>
      </c>
      <c r="D1930">
        <v>1008</v>
      </c>
      <c r="E1930">
        <v>143</v>
      </c>
      <c r="F1930">
        <v>1</v>
      </c>
      <c r="G1930">
        <v>44.285355781422297</v>
      </c>
      <c r="H1930">
        <v>2</v>
      </c>
      <c r="I1930">
        <v>59</v>
      </c>
      <c r="K1930" t="s">
        <v>2386</v>
      </c>
      <c r="L1930">
        <v>20</v>
      </c>
      <c r="M1930" t="s">
        <v>2776</v>
      </c>
      <c r="N1930" t="s">
        <v>2388</v>
      </c>
      <c r="O1930">
        <v>1</v>
      </c>
    </row>
    <row r="1931" spans="2:15" x14ac:dyDescent="0.3">
      <c r="B1931">
        <v>1991</v>
      </c>
      <c r="D1931">
        <v>143</v>
      </c>
      <c r="E1931">
        <v>1008</v>
      </c>
      <c r="F1931">
        <v>1</v>
      </c>
      <c r="G1931">
        <v>44.285355781422297</v>
      </c>
      <c r="H1931">
        <v>2</v>
      </c>
      <c r="I1931">
        <v>59</v>
      </c>
      <c r="K1931" t="s">
        <v>2386</v>
      </c>
      <c r="L1931">
        <v>20</v>
      </c>
      <c r="M1931" t="s">
        <v>2777</v>
      </c>
      <c r="N1931" t="s">
        <v>2388</v>
      </c>
      <c r="O1931">
        <v>1</v>
      </c>
    </row>
    <row r="1932" spans="2:15" x14ac:dyDescent="0.3">
      <c r="B1932">
        <v>1992</v>
      </c>
      <c r="D1932">
        <v>1009</v>
      </c>
      <c r="E1932">
        <v>143</v>
      </c>
      <c r="F1932">
        <v>1</v>
      </c>
      <c r="G1932">
        <v>103.935826346122</v>
      </c>
      <c r="H1932">
        <v>2</v>
      </c>
      <c r="I1932">
        <v>59</v>
      </c>
      <c r="K1932" t="s">
        <v>2386</v>
      </c>
      <c r="L1932">
        <v>20</v>
      </c>
      <c r="M1932" t="s">
        <v>2778</v>
      </c>
      <c r="N1932" t="s">
        <v>2388</v>
      </c>
      <c r="O1932">
        <v>1</v>
      </c>
    </row>
    <row r="1933" spans="2:15" x14ac:dyDescent="0.3">
      <c r="B1933">
        <v>1993</v>
      </c>
      <c r="D1933">
        <v>143</v>
      </c>
      <c r="E1933">
        <v>1009</v>
      </c>
      <c r="F1933">
        <v>1</v>
      </c>
      <c r="G1933">
        <v>103.935826346122</v>
      </c>
      <c r="H1933">
        <v>2</v>
      </c>
      <c r="I1933">
        <v>59</v>
      </c>
      <c r="K1933" t="s">
        <v>2386</v>
      </c>
      <c r="L1933">
        <v>20</v>
      </c>
      <c r="M1933" t="s">
        <v>2779</v>
      </c>
      <c r="N1933" t="s">
        <v>2388</v>
      </c>
      <c r="O1933">
        <v>1</v>
      </c>
    </row>
    <row r="1934" spans="2:15" x14ac:dyDescent="0.3">
      <c r="B1934">
        <v>1994</v>
      </c>
      <c r="D1934">
        <v>1010</v>
      </c>
      <c r="E1934">
        <v>593</v>
      </c>
      <c r="F1934">
        <v>1</v>
      </c>
      <c r="G1934">
        <v>52.210320790744099</v>
      </c>
      <c r="H1934">
        <v>2</v>
      </c>
      <c r="I1934">
        <v>59</v>
      </c>
      <c r="K1934" t="s">
        <v>2386</v>
      </c>
      <c r="L1934">
        <v>20</v>
      </c>
      <c r="M1934" t="s">
        <v>2780</v>
      </c>
      <c r="N1934" t="s">
        <v>2388</v>
      </c>
      <c r="O1934">
        <v>1</v>
      </c>
    </row>
    <row r="1935" spans="2:15" x14ac:dyDescent="0.3">
      <c r="B1935">
        <v>1995</v>
      </c>
      <c r="D1935">
        <v>593</v>
      </c>
      <c r="E1935">
        <v>1010</v>
      </c>
      <c r="F1935">
        <v>1</v>
      </c>
      <c r="G1935">
        <v>52.210320790744099</v>
      </c>
      <c r="H1935">
        <v>2</v>
      </c>
      <c r="I1935">
        <v>59</v>
      </c>
      <c r="K1935" t="s">
        <v>2386</v>
      </c>
      <c r="L1935">
        <v>20</v>
      </c>
      <c r="M1935" t="s">
        <v>2781</v>
      </c>
      <c r="N1935" t="s">
        <v>2388</v>
      </c>
      <c r="O1935">
        <v>1</v>
      </c>
    </row>
    <row r="1936" spans="2:15" x14ac:dyDescent="0.3">
      <c r="B1936">
        <v>1996</v>
      </c>
      <c r="D1936">
        <v>1011</v>
      </c>
      <c r="E1936">
        <v>593</v>
      </c>
      <c r="F1936">
        <v>1</v>
      </c>
      <c r="G1936">
        <v>104.997701816161</v>
      </c>
      <c r="H1936">
        <v>2</v>
      </c>
      <c r="I1936">
        <v>59</v>
      </c>
      <c r="K1936" t="s">
        <v>2386</v>
      </c>
      <c r="L1936">
        <v>20</v>
      </c>
      <c r="M1936" t="s">
        <v>2782</v>
      </c>
      <c r="N1936" t="s">
        <v>2388</v>
      </c>
      <c r="O1936">
        <v>1</v>
      </c>
    </row>
    <row r="1937" spans="2:15" x14ac:dyDescent="0.3">
      <c r="B1937">
        <v>1997</v>
      </c>
      <c r="D1937">
        <v>593</v>
      </c>
      <c r="E1937">
        <v>1011</v>
      </c>
      <c r="F1937">
        <v>1</v>
      </c>
      <c r="G1937">
        <v>104.997701816161</v>
      </c>
      <c r="H1937">
        <v>2</v>
      </c>
      <c r="I1937">
        <v>59</v>
      </c>
      <c r="K1937" t="s">
        <v>2386</v>
      </c>
      <c r="L1937">
        <v>20</v>
      </c>
      <c r="M1937" t="s">
        <v>2783</v>
      </c>
      <c r="N1937" t="s">
        <v>2388</v>
      </c>
      <c r="O1937">
        <v>1</v>
      </c>
    </row>
    <row r="1938" spans="2:15" x14ac:dyDescent="0.3">
      <c r="B1938">
        <v>1998</v>
      </c>
      <c r="D1938">
        <v>1012</v>
      </c>
      <c r="E1938">
        <v>143</v>
      </c>
      <c r="F1938">
        <v>1</v>
      </c>
      <c r="G1938">
        <v>83.544341348746897</v>
      </c>
      <c r="H1938">
        <v>2</v>
      </c>
      <c r="I1938">
        <v>59</v>
      </c>
      <c r="K1938" t="s">
        <v>2386</v>
      </c>
      <c r="L1938">
        <v>20</v>
      </c>
      <c r="M1938" t="s">
        <v>2784</v>
      </c>
      <c r="N1938" t="s">
        <v>2388</v>
      </c>
      <c r="O1938">
        <v>1</v>
      </c>
    </row>
    <row r="1939" spans="2:15" x14ac:dyDescent="0.3">
      <c r="B1939">
        <v>1999</v>
      </c>
      <c r="D1939">
        <v>143</v>
      </c>
      <c r="E1939">
        <v>1012</v>
      </c>
      <c r="F1939">
        <v>1</v>
      </c>
      <c r="G1939">
        <v>83.544341348746897</v>
      </c>
      <c r="H1939">
        <v>2</v>
      </c>
      <c r="I1939">
        <v>59</v>
      </c>
      <c r="K1939" t="s">
        <v>2386</v>
      </c>
      <c r="L1939">
        <v>20</v>
      </c>
      <c r="M1939" t="s">
        <v>2785</v>
      </c>
      <c r="N1939" t="s">
        <v>2388</v>
      </c>
      <c r="O1939">
        <v>1</v>
      </c>
    </row>
    <row r="1940" spans="2:15" x14ac:dyDescent="0.3">
      <c r="B1940">
        <v>2000</v>
      </c>
      <c r="D1940">
        <v>1013</v>
      </c>
      <c r="E1940">
        <v>675</v>
      </c>
      <c r="F1940">
        <v>1</v>
      </c>
      <c r="G1940">
        <v>88.5967321522254</v>
      </c>
      <c r="H1940">
        <v>2</v>
      </c>
      <c r="I1940">
        <v>59</v>
      </c>
      <c r="K1940" t="s">
        <v>2386</v>
      </c>
      <c r="L1940">
        <v>20</v>
      </c>
      <c r="M1940" t="s">
        <v>2786</v>
      </c>
      <c r="N1940" t="s">
        <v>2388</v>
      </c>
      <c r="O1940">
        <v>1</v>
      </c>
    </row>
    <row r="1941" spans="2:15" x14ac:dyDescent="0.3">
      <c r="B1941">
        <v>2001</v>
      </c>
      <c r="D1941">
        <v>675</v>
      </c>
      <c r="E1941">
        <v>1013</v>
      </c>
      <c r="F1941">
        <v>1</v>
      </c>
      <c r="G1941">
        <v>88.5967321522254</v>
      </c>
      <c r="H1941">
        <v>2</v>
      </c>
      <c r="I1941">
        <v>59</v>
      </c>
      <c r="K1941" t="s">
        <v>2386</v>
      </c>
      <c r="L1941">
        <v>20</v>
      </c>
      <c r="M1941" t="s">
        <v>2787</v>
      </c>
      <c r="N1941" t="s">
        <v>2388</v>
      </c>
      <c r="O1941">
        <v>1</v>
      </c>
    </row>
    <row r="1942" spans="2:15" x14ac:dyDescent="0.3">
      <c r="B1942">
        <v>2002</v>
      </c>
      <c r="D1942">
        <v>1014</v>
      </c>
      <c r="E1942">
        <v>68</v>
      </c>
      <c r="F1942">
        <v>1</v>
      </c>
      <c r="G1942">
        <v>59.797414422950901</v>
      </c>
      <c r="H1942">
        <v>2</v>
      </c>
      <c r="I1942">
        <v>59</v>
      </c>
      <c r="K1942" t="s">
        <v>2386</v>
      </c>
      <c r="L1942">
        <v>20</v>
      </c>
      <c r="M1942" t="s">
        <v>2788</v>
      </c>
      <c r="N1942" t="s">
        <v>2388</v>
      </c>
      <c r="O1942">
        <v>1</v>
      </c>
    </row>
    <row r="1943" spans="2:15" x14ac:dyDescent="0.3">
      <c r="B1943">
        <v>2003</v>
      </c>
      <c r="D1943">
        <v>68</v>
      </c>
      <c r="E1943">
        <v>1014</v>
      </c>
      <c r="F1943">
        <v>1</v>
      </c>
      <c r="G1943">
        <v>59.797414422950901</v>
      </c>
      <c r="H1943">
        <v>2</v>
      </c>
      <c r="I1943">
        <v>59</v>
      </c>
      <c r="K1943" t="s">
        <v>2386</v>
      </c>
      <c r="L1943">
        <v>20</v>
      </c>
      <c r="M1943" t="s">
        <v>2789</v>
      </c>
      <c r="N1943" t="s">
        <v>2388</v>
      </c>
      <c r="O1943">
        <v>1</v>
      </c>
    </row>
    <row r="1944" spans="2:15" x14ac:dyDescent="0.3">
      <c r="B1944">
        <v>2004</v>
      </c>
      <c r="D1944">
        <v>1015</v>
      </c>
      <c r="E1944">
        <v>68</v>
      </c>
      <c r="F1944">
        <v>1</v>
      </c>
      <c r="G1944">
        <v>110.46120827753499</v>
      </c>
      <c r="H1944">
        <v>2</v>
      </c>
      <c r="I1944">
        <v>59</v>
      </c>
      <c r="K1944" t="s">
        <v>2386</v>
      </c>
      <c r="L1944">
        <v>20</v>
      </c>
      <c r="M1944" t="s">
        <v>2790</v>
      </c>
      <c r="N1944" t="s">
        <v>2388</v>
      </c>
      <c r="O1944">
        <v>1</v>
      </c>
    </row>
    <row r="1945" spans="2:15" x14ac:dyDescent="0.3">
      <c r="B1945">
        <v>2005</v>
      </c>
      <c r="D1945">
        <v>68</v>
      </c>
      <c r="E1945">
        <v>1015</v>
      </c>
      <c r="F1945">
        <v>1</v>
      </c>
      <c r="G1945">
        <v>110.46120827753499</v>
      </c>
      <c r="H1945">
        <v>2</v>
      </c>
      <c r="I1945">
        <v>59</v>
      </c>
      <c r="K1945" t="s">
        <v>2386</v>
      </c>
      <c r="L1945">
        <v>20</v>
      </c>
      <c r="M1945" t="s">
        <v>2791</v>
      </c>
      <c r="N1945" t="s">
        <v>2388</v>
      </c>
      <c r="O1945">
        <v>1</v>
      </c>
    </row>
    <row r="1946" spans="2:15" x14ac:dyDescent="0.3">
      <c r="B1946">
        <v>2006</v>
      </c>
      <c r="D1946">
        <v>1016</v>
      </c>
      <c r="E1946">
        <v>239</v>
      </c>
      <c r="F1946">
        <v>1</v>
      </c>
      <c r="G1946">
        <v>42.5937391042578</v>
      </c>
      <c r="H1946">
        <v>2</v>
      </c>
      <c r="I1946">
        <v>59</v>
      </c>
      <c r="K1946" t="s">
        <v>2386</v>
      </c>
      <c r="L1946">
        <v>20</v>
      </c>
      <c r="M1946" t="s">
        <v>2792</v>
      </c>
      <c r="N1946" t="s">
        <v>2388</v>
      </c>
      <c r="O1946">
        <v>1</v>
      </c>
    </row>
    <row r="1947" spans="2:15" x14ac:dyDescent="0.3">
      <c r="B1947">
        <v>2007</v>
      </c>
      <c r="D1947">
        <v>239</v>
      </c>
      <c r="E1947">
        <v>1016</v>
      </c>
      <c r="F1947">
        <v>1</v>
      </c>
      <c r="G1947">
        <v>42.5937391042578</v>
      </c>
      <c r="H1947">
        <v>2</v>
      </c>
      <c r="I1947">
        <v>59</v>
      </c>
      <c r="K1947" t="s">
        <v>2386</v>
      </c>
      <c r="L1947">
        <v>20</v>
      </c>
      <c r="M1947" t="s">
        <v>2793</v>
      </c>
      <c r="N1947" t="s">
        <v>2388</v>
      </c>
      <c r="O1947">
        <v>1</v>
      </c>
    </row>
    <row r="1948" spans="2:15" x14ac:dyDescent="0.3">
      <c r="B1948">
        <v>2008</v>
      </c>
      <c r="D1948">
        <v>1017</v>
      </c>
      <c r="E1948">
        <v>239</v>
      </c>
      <c r="F1948">
        <v>1</v>
      </c>
      <c r="G1948">
        <v>93.633474587545194</v>
      </c>
      <c r="H1948">
        <v>2</v>
      </c>
      <c r="I1948">
        <v>59</v>
      </c>
      <c r="K1948" t="s">
        <v>2386</v>
      </c>
      <c r="L1948">
        <v>20</v>
      </c>
      <c r="M1948" t="s">
        <v>2794</v>
      </c>
      <c r="N1948" t="s">
        <v>2388</v>
      </c>
      <c r="O1948">
        <v>1</v>
      </c>
    </row>
    <row r="1949" spans="2:15" x14ac:dyDescent="0.3">
      <c r="B1949">
        <v>2009</v>
      </c>
      <c r="D1949">
        <v>239</v>
      </c>
      <c r="E1949">
        <v>1017</v>
      </c>
      <c r="F1949">
        <v>1</v>
      </c>
      <c r="G1949">
        <v>93.633474587545194</v>
      </c>
      <c r="H1949">
        <v>2</v>
      </c>
      <c r="I1949">
        <v>59</v>
      </c>
      <c r="K1949" t="s">
        <v>2386</v>
      </c>
      <c r="L1949">
        <v>20</v>
      </c>
      <c r="M1949" t="s">
        <v>2795</v>
      </c>
      <c r="N1949" t="s">
        <v>2388</v>
      </c>
      <c r="O1949">
        <v>1</v>
      </c>
    </row>
    <row r="1950" spans="2:15" x14ac:dyDescent="0.3">
      <c r="B1950">
        <v>2010</v>
      </c>
      <c r="D1950">
        <v>1018</v>
      </c>
      <c r="E1950">
        <v>675</v>
      </c>
      <c r="F1950">
        <v>1</v>
      </c>
      <c r="G1950">
        <v>78.915219022033497</v>
      </c>
      <c r="H1950">
        <v>2</v>
      </c>
      <c r="I1950">
        <v>59</v>
      </c>
      <c r="K1950" t="s">
        <v>2386</v>
      </c>
      <c r="L1950">
        <v>20</v>
      </c>
      <c r="M1950" t="s">
        <v>2796</v>
      </c>
      <c r="N1950" t="s">
        <v>2388</v>
      </c>
      <c r="O1950">
        <v>1</v>
      </c>
    </row>
    <row r="1951" spans="2:15" x14ac:dyDescent="0.3">
      <c r="B1951">
        <v>2011</v>
      </c>
      <c r="D1951">
        <v>675</v>
      </c>
      <c r="E1951">
        <v>1018</v>
      </c>
      <c r="F1951">
        <v>1</v>
      </c>
      <c r="G1951">
        <v>78.915219022033497</v>
      </c>
      <c r="H1951">
        <v>2</v>
      </c>
      <c r="I1951">
        <v>59</v>
      </c>
      <c r="K1951" t="s">
        <v>2386</v>
      </c>
      <c r="L1951">
        <v>20</v>
      </c>
      <c r="M1951" t="s">
        <v>2797</v>
      </c>
      <c r="N1951" t="s">
        <v>2388</v>
      </c>
      <c r="O1951">
        <v>1</v>
      </c>
    </row>
    <row r="1952" spans="2:15" x14ac:dyDescent="0.3">
      <c r="B1952">
        <v>2012</v>
      </c>
      <c r="D1952">
        <v>1019</v>
      </c>
      <c r="E1952">
        <v>678</v>
      </c>
      <c r="F1952">
        <v>1</v>
      </c>
      <c r="G1952">
        <v>33.539198867605997</v>
      </c>
      <c r="H1952">
        <v>2</v>
      </c>
      <c r="I1952">
        <v>59</v>
      </c>
      <c r="K1952" t="s">
        <v>2386</v>
      </c>
      <c r="L1952">
        <v>20</v>
      </c>
      <c r="M1952" t="s">
        <v>2798</v>
      </c>
      <c r="N1952" t="s">
        <v>2388</v>
      </c>
      <c r="O1952">
        <v>1</v>
      </c>
    </row>
    <row r="1953" spans="2:15" x14ac:dyDescent="0.3">
      <c r="B1953">
        <v>2013</v>
      </c>
      <c r="D1953">
        <v>678</v>
      </c>
      <c r="E1953">
        <v>1019</v>
      </c>
      <c r="F1953">
        <v>1</v>
      </c>
      <c r="G1953">
        <v>33.539198867605997</v>
      </c>
      <c r="H1953">
        <v>2</v>
      </c>
      <c r="I1953">
        <v>59</v>
      </c>
      <c r="K1953" t="s">
        <v>2386</v>
      </c>
      <c r="L1953">
        <v>20</v>
      </c>
      <c r="M1953" t="s">
        <v>2799</v>
      </c>
      <c r="N1953" t="s">
        <v>2388</v>
      </c>
      <c r="O1953">
        <v>1</v>
      </c>
    </row>
    <row r="1954" spans="2:15" x14ac:dyDescent="0.3">
      <c r="B1954">
        <v>2014</v>
      </c>
      <c r="D1954">
        <v>1020</v>
      </c>
      <c r="E1954">
        <v>674</v>
      </c>
      <c r="F1954">
        <v>1</v>
      </c>
      <c r="G1954">
        <v>60.407546773659803</v>
      </c>
      <c r="H1954">
        <v>2</v>
      </c>
      <c r="I1954">
        <v>59</v>
      </c>
      <c r="K1954" t="s">
        <v>2386</v>
      </c>
      <c r="L1954">
        <v>20</v>
      </c>
      <c r="M1954" t="s">
        <v>2800</v>
      </c>
      <c r="N1954" t="s">
        <v>2388</v>
      </c>
      <c r="O1954">
        <v>1</v>
      </c>
    </row>
    <row r="1955" spans="2:15" x14ac:dyDescent="0.3">
      <c r="B1955">
        <v>2015</v>
      </c>
      <c r="D1955">
        <v>674</v>
      </c>
      <c r="E1955">
        <v>1020</v>
      </c>
      <c r="F1955">
        <v>1</v>
      </c>
      <c r="G1955">
        <v>60.407546773659803</v>
      </c>
      <c r="H1955">
        <v>2</v>
      </c>
      <c r="I1955">
        <v>59</v>
      </c>
      <c r="K1955" t="s">
        <v>2386</v>
      </c>
      <c r="L1955">
        <v>20</v>
      </c>
      <c r="M1955" t="s">
        <v>2801</v>
      </c>
      <c r="N1955" t="s">
        <v>2388</v>
      </c>
      <c r="O1955">
        <v>1</v>
      </c>
    </row>
    <row r="1956" spans="2:15" x14ac:dyDescent="0.3">
      <c r="B1956">
        <v>2016</v>
      </c>
      <c r="D1956">
        <v>1021</v>
      </c>
      <c r="E1956">
        <v>606</v>
      </c>
      <c r="F1956">
        <v>1</v>
      </c>
      <c r="G1956">
        <v>39.960203481837397</v>
      </c>
      <c r="H1956">
        <v>2</v>
      </c>
      <c r="I1956">
        <v>59</v>
      </c>
      <c r="K1956" t="s">
        <v>2386</v>
      </c>
      <c r="L1956">
        <v>20</v>
      </c>
      <c r="M1956" t="s">
        <v>2802</v>
      </c>
      <c r="N1956" t="s">
        <v>2388</v>
      </c>
      <c r="O1956">
        <v>1</v>
      </c>
    </row>
    <row r="1957" spans="2:15" x14ac:dyDescent="0.3">
      <c r="B1957">
        <v>2017</v>
      </c>
      <c r="D1957">
        <v>606</v>
      </c>
      <c r="E1957">
        <v>1021</v>
      </c>
      <c r="F1957">
        <v>1</v>
      </c>
      <c r="G1957">
        <v>39.960203481837397</v>
      </c>
      <c r="H1957">
        <v>2</v>
      </c>
      <c r="I1957">
        <v>59</v>
      </c>
      <c r="K1957" t="s">
        <v>2386</v>
      </c>
      <c r="L1957">
        <v>20</v>
      </c>
      <c r="M1957" t="s">
        <v>2803</v>
      </c>
      <c r="N1957" t="s">
        <v>2388</v>
      </c>
      <c r="O1957">
        <v>1</v>
      </c>
    </row>
    <row r="1958" spans="2:15" x14ac:dyDescent="0.3">
      <c r="B1958">
        <v>2018</v>
      </c>
      <c r="D1958">
        <v>1022</v>
      </c>
      <c r="E1958">
        <v>606</v>
      </c>
      <c r="F1958">
        <v>1</v>
      </c>
      <c r="G1958">
        <v>67.997863603558997</v>
      </c>
      <c r="H1958">
        <v>2</v>
      </c>
      <c r="I1958">
        <v>59</v>
      </c>
      <c r="K1958" t="s">
        <v>2386</v>
      </c>
      <c r="L1958">
        <v>20</v>
      </c>
      <c r="M1958" t="s">
        <v>2804</v>
      </c>
      <c r="N1958" t="s">
        <v>2388</v>
      </c>
      <c r="O1958">
        <v>1</v>
      </c>
    </row>
    <row r="1959" spans="2:15" x14ac:dyDescent="0.3">
      <c r="B1959">
        <v>2019</v>
      </c>
      <c r="D1959">
        <v>606</v>
      </c>
      <c r="E1959">
        <v>1022</v>
      </c>
      <c r="F1959">
        <v>1</v>
      </c>
      <c r="G1959">
        <v>67.997863603558997</v>
      </c>
      <c r="H1959">
        <v>2</v>
      </c>
      <c r="I1959">
        <v>59</v>
      </c>
      <c r="K1959" t="s">
        <v>2386</v>
      </c>
      <c r="L1959">
        <v>20</v>
      </c>
      <c r="M1959" t="s">
        <v>2805</v>
      </c>
      <c r="N1959" t="s">
        <v>2388</v>
      </c>
      <c r="O1959">
        <v>1</v>
      </c>
    </row>
    <row r="1960" spans="2:15" x14ac:dyDescent="0.3">
      <c r="B1960">
        <v>2020</v>
      </c>
      <c r="D1960">
        <v>1023</v>
      </c>
      <c r="E1960">
        <v>606</v>
      </c>
      <c r="F1960">
        <v>1</v>
      </c>
      <c r="G1960">
        <v>109.832895364576</v>
      </c>
      <c r="H1960">
        <v>2</v>
      </c>
      <c r="I1960">
        <v>59</v>
      </c>
      <c r="K1960" t="s">
        <v>2386</v>
      </c>
      <c r="L1960">
        <v>20</v>
      </c>
      <c r="M1960" t="s">
        <v>2806</v>
      </c>
      <c r="N1960" t="s">
        <v>2388</v>
      </c>
      <c r="O1960">
        <v>1</v>
      </c>
    </row>
    <row r="1961" spans="2:15" x14ac:dyDescent="0.3">
      <c r="B1961">
        <v>2021</v>
      </c>
      <c r="D1961">
        <v>606</v>
      </c>
      <c r="E1961">
        <v>1023</v>
      </c>
      <c r="F1961">
        <v>1</v>
      </c>
      <c r="G1961">
        <v>109.832895364576</v>
      </c>
      <c r="H1961">
        <v>2</v>
      </c>
      <c r="I1961">
        <v>59</v>
      </c>
      <c r="K1961" t="s">
        <v>2386</v>
      </c>
      <c r="L1961">
        <v>20</v>
      </c>
      <c r="M1961" t="s">
        <v>2807</v>
      </c>
      <c r="N1961" t="s">
        <v>2388</v>
      </c>
      <c r="O1961">
        <v>1</v>
      </c>
    </row>
    <row r="1962" spans="2:15" x14ac:dyDescent="0.3">
      <c r="B1962">
        <v>2022</v>
      </c>
      <c r="D1962">
        <v>1024</v>
      </c>
      <c r="E1962">
        <v>675</v>
      </c>
      <c r="F1962">
        <v>1</v>
      </c>
      <c r="G1962">
        <v>80.103639798832205</v>
      </c>
      <c r="H1962">
        <v>2</v>
      </c>
      <c r="I1962">
        <v>59</v>
      </c>
      <c r="K1962" t="s">
        <v>2386</v>
      </c>
      <c r="L1962">
        <v>20</v>
      </c>
      <c r="M1962" t="s">
        <v>2808</v>
      </c>
      <c r="N1962" t="s">
        <v>2388</v>
      </c>
      <c r="O1962">
        <v>1</v>
      </c>
    </row>
    <row r="1963" spans="2:15" x14ac:dyDescent="0.3">
      <c r="B1963">
        <v>2023</v>
      </c>
      <c r="D1963">
        <v>675</v>
      </c>
      <c r="E1963">
        <v>1024</v>
      </c>
      <c r="F1963">
        <v>1</v>
      </c>
      <c r="G1963">
        <v>80.103639798832205</v>
      </c>
      <c r="H1963">
        <v>2</v>
      </c>
      <c r="I1963">
        <v>59</v>
      </c>
      <c r="K1963" t="s">
        <v>2386</v>
      </c>
      <c r="L1963">
        <v>20</v>
      </c>
      <c r="M1963" t="s">
        <v>2809</v>
      </c>
      <c r="N1963" t="s">
        <v>2388</v>
      </c>
      <c r="O1963">
        <v>1</v>
      </c>
    </row>
    <row r="1964" spans="2:15" x14ac:dyDescent="0.3">
      <c r="B1964">
        <v>2024</v>
      </c>
      <c r="D1964">
        <v>1025</v>
      </c>
      <c r="E1964">
        <v>675</v>
      </c>
      <c r="F1964">
        <v>1</v>
      </c>
      <c r="G1964">
        <v>77.475336543209394</v>
      </c>
      <c r="H1964">
        <v>2</v>
      </c>
      <c r="I1964">
        <v>59</v>
      </c>
      <c r="K1964" t="s">
        <v>2386</v>
      </c>
      <c r="L1964">
        <v>20</v>
      </c>
      <c r="M1964" t="s">
        <v>2810</v>
      </c>
      <c r="N1964" t="s">
        <v>2388</v>
      </c>
      <c r="O1964">
        <v>1</v>
      </c>
    </row>
    <row r="1965" spans="2:15" x14ac:dyDescent="0.3">
      <c r="B1965">
        <v>2025</v>
      </c>
      <c r="D1965">
        <v>675</v>
      </c>
      <c r="E1965">
        <v>1025</v>
      </c>
      <c r="F1965">
        <v>1</v>
      </c>
      <c r="G1965">
        <v>77.475336543209394</v>
      </c>
      <c r="H1965">
        <v>2</v>
      </c>
      <c r="I1965">
        <v>59</v>
      </c>
      <c r="K1965" t="s">
        <v>2386</v>
      </c>
      <c r="L1965">
        <v>20</v>
      </c>
      <c r="M1965" t="s">
        <v>2811</v>
      </c>
      <c r="N1965" t="s">
        <v>2388</v>
      </c>
      <c r="O1965">
        <v>1</v>
      </c>
    </row>
    <row r="1966" spans="2:15" x14ac:dyDescent="0.3">
      <c r="B1966">
        <v>2026</v>
      </c>
      <c r="D1966">
        <v>1026</v>
      </c>
      <c r="E1966">
        <v>675</v>
      </c>
      <c r="F1966">
        <v>1</v>
      </c>
      <c r="G1966">
        <v>91.885970521546597</v>
      </c>
      <c r="H1966">
        <v>2</v>
      </c>
      <c r="I1966">
        <v>59</v>
      </c>
      <c r="K1966" t="s">
        <v>2386</v>
      </c>
      <c r="L1966">
        <v>20</v>
      </c>
      <c r="M1966" t="s">
        <v>2812</v>
      </c>
      <c r="N1966" t="s">
        <v>2388</v>
      </c>
      <c r="O1966">
        <v>1</v>
      </c>
    </row>
    <row r="1967" spans="2:15" x14ac:dyDescent="0.3">
      <c r="B1967">
        <v>2027</v>
      </c>
      <c r="D1967">
        <v>675</v>
      </c>
      <c r="E1967">
        <v>1026</v>
      </c>
      <c r="F1967">
        <v>1</v>
      </c>
      <c r="G1967">
        <v>91.885970521546597</v>
      </c>
      <c r="H1967">
        <v>2</v>
      </c>
      <c r="I1967">
        <v>59</v>
      </c>
      <c r="K1967" t="s">
        <v>2386</v>
      </c>
      <c r="L1967">
        <v>20</v>
      </c>
      <c r="M1967" t="s">
        <v>2813</v>
      </c>
      <c r="N1967" t="s">
        <v>2388</v>
      </c>
      <c r="O1967">
        <v>1</v>
      </c>
    </row>
    <row r="1968" spans="2:15" x14ac:dyDescent="0.3">
      <c r="B1968">
        <v>2028</v>
      </c>
      <c r="D1968">
        <v>1027</v>
      </c>
      <c r="E1968">
        <v>587</v>
      </c>
      <c r="F1968">
        <v>1</v>
      </c>
      <c r="G1968">
        <v>80.230727102929094</v>
      </c>
      <c r="H1968">
        <v>2</v>
      </c>
      <c r="I1968">
        <v>59</v>
      </c>
      <c r="K1968" t="s">
        <v>2386</v>
      </c>
      <c r="L1968">
        <v>20</v>
      </c>
      <c r="M1968" t="s">
        <v>2814</v>
      </c>
      <c r="N1968" t="s">
        <v>2388</v>
      </c>
      <c r="O1968">
        <v>1</v>
      </c>
    </row>
    <row r="1969" spans="2:15" x14ac:dyDescent="0.3">
      <c r="B1969">
        <v>2029</v>
      </c>
      <c r="D1969">
        <v>587</v>
      </c>
      <c r="E1969">
        <v>1027</v>
      </c>
      <c r="F1969">
        <v>1</v>
      </c>
      <c r="G1969">
        <v>80.230727102929094</v>
      </c>
      <c r="H1969">
        <v>2</v>
      </c>
      <c r="I1969">
        <v>59</v>
      </c>
      <c r="K1969" t="s">
        <v>2386</v>
      </c>
      <c r="L1969">
        <v>20</v>
      </c>
      <c r="M1969" t="s">
        <v>2815</v>
      </c>
      <c r="N1969" t="s">
        <v>2388</v>
      </c>
      <c r="O1969">
        <v>1</v>
      </c>
    </row>
    <row r="1970" spans="2:15" x14ac:dyDescent="0.3">
      <c r="B1970">
        <v>2030</v>
      </c>
      <c r="D1970">
        <v>1028</v>
      </c>
      <c r="E1970">
        <v>675</v>
      </c>
      <c r="F1970">
        <v>1</v>
      </c>
      <c r="G1970">
        <v>118.022425155813</v>
      </c>
      <c r="H1970">
        <v>2</v>
      </c>
      <c r="I1970">
        <v>59</v>
      </c>
      <c r="K1970" t="s">
        <v>2386</v>
      </c>
      <c r="L1970">
        <v>20</v>
      </c>
      <c r="M1970" t="s">
        <v>2816</v>
      </c>
      <c r="N1970" t="s">
        <v>2388</v>
      </c>
      <c r="O1970">
        <v>1</v>
      </c>
    </row>
    <row r="1971" spans="2:15" x14ac:dyDescent="0.3">
      <c r="B1971">
        <v>2031</v>
      </c>
      <c r="D1971">
        <v>675</v>
      </c>
      <c r="E1971">
        <v>1028</v>
      </c>
      <c r="F1971">
        <v>1</v>
      </c>
      <c r="G1971">
        <v>118.022425155813</v>
      </c>
      <c r="H1971">
        <v>2</v>
      </c>
      <c r="I1971">
        <v>59</v>
      </c>
      <c r="K1971" t="s">
        <v>2386</v>
      </c>
      <c r="L1971">
        <v>20</v>
      </c>
      <c r="M1971" t="s">
        <v>2817</v>
      </c>
      <c r="N1971" t="s">
        <v>2388</v>
      </c>
      <c r="O1971">
        <v>1</v>
      </c>
    </row>
    <row r="1972" spans="2:15" x14ac:dyDescent="0.3">
      <c r="B1972">
        <v>2032</v>
      </c>
      <c r="D1972">
        <v>1029</v>
      </c>
      <c r="E1972">
        <v>451</v>
      </c>
      <c r="F1972">
        <v>1</v>
      </c>
      <c r="G1972">
        <v>27.269308826256299</v>
      </c>
      <c r="H1972">
        <v>2</v>
      </c>
      <c r="I1972">
        <v>59</v>
      </c>
      <c r="K1972" t="s">
        <v>2386</v>
      </c>
      <c r="L1972">
        <v>20</v>
      </c>
      <c r="M1972" t="s">
        <v>2818</v>
      </c>
      <c r="N1972" t="s">
        <v>2388</v>
      </c>
      <c r="O1972">
        <v>1</v>
      </c>
    </row>
    <row r="1973" spans="2:15" x14ac:dyDescent="0.3">
      <c r="B1973">
        <v>2033</v>
      </c>
      <c r="D1973">
        <v>451</v>
      </c>
      <c r="E1973">
        <v>1029</v>
      </c>
      <c r="F1973">
        <v>1</v>
      </c>
      <c r="G1973">
        <v>27.269308826256299</v>
      </c>
      <c r="H1973">
        <v>2</v>
      </c>
      <c r="I1973">
        <v>59</v>
      </c>
      <c r="K1973" t="s">
        <v>2386</v>
      </c>
      <c r="L1973">
        <v>20</v>
      </c>
      <c r="M1973" t="s">
        <v>2819</v>
      </c>
      <c r="N1973" t="s">
        <v>2388</v>
      </c>
      <c r="O1973">
        <v>1</v>
      </c>
    </row>
    <row r="1974" spans="2:15" x14ac:dyDescent="0.3">
      <c r="B1974">
        <v>2034</v>
      </c>
      <c r="D1974">
        <v>1030</v>
      </c>
      <c r="E1974">
        <v>451</v>
      </c>
      <c r="F1974">
        <v>1</v>
      </c>
      <c r="G1974">
        <v>48.777775039124997</v>
      </c>
      <c r="H1974">
        <v>2</v>
      </c>
      <c r="I1974">
        <v>59</v>
      </c>
      <c r="K1974" t="s">
        <v>2386</v>
      </c>
      <c r="L1974">
        <v>20</v>
      </c>
      <c r="M1974" t="s">
        <v>2820</v>
      </c>
      <c r="N1974" t="s">
        <v>2388</v>
      </c>
      <c r="O1974">
        <v>1</v>
      </c>
    </row>
    <row r="1975" spans="2:15" x14ac:dyDescent="0.3">
      <c r="B1975">
        <v>2035</v>
      </c>
      <c r="D1975">
        <v>451</v>
      </c>
      <c r="E1975">
        <v>1030</v>
      </c>
      <c r="F1975">
        <v>1</v>
      </c>
      <c r="G1975">
        <v>48.777775039124997</v>
      </c>
      <c r="H1975">
        <v>2</v>
      </c>
      <c r="I1975">
        <v>59</v>
      </c>
      <c r="K1975" t="s">
        <v>2386</v>
      </c>
      <c r="L1975">
        <v>20</v>
      </c>
      <c r="M1975" t="s">
        <v>2821</v>
      </c>
      <c r="N1975" t="s">
        <v>2388</v>
      </c>
      <c r="O1975">
        <v>1</v>
      </c>
    </row>
    <row r="1976" spans="2:15" x14ac:dyDescent="0.3">
      <c r="B1976">
        <v>2036</v>
      </c>
      <c r="D1976">
        <v>1031</v>
      </c>
      <c r="E1976">
        <v>606</v>
      </c>
      <c r="F1976">
        <v>1</v>
      </c>
      <c r="G1976">
        <v>30.785071910948101</v>
      </c>
      <c r="H1976">
        <v>2</v>
      </c>
      <c r="I1976">
        <v>59</v>
      </c>
      <c r="K1976" t="s">
        <v>2386</v>
      </c>
      <c r="L1976">
        <v>20</v>
      </c>
      <c r="M1976" t="s">
        <v>2822</v>
      </c>
      <c r="N1976" t="s">
        <v>2388</v>
      </c>
      <c r="O1976">
        <v>1</v>
      </c>
    </row>
    <row r="1977" spans="2:15" x14ac:dyDescent="0.3">
      <c r="B1977">
        <v>2037</v>
      </c>
      <c r="D1977">
        <v>606</v>
      </c>
      <c r="E1977">
        <v>1031</v>
      </c>
      <c r="F1977">
        <v>1</v>
      </c>
      <c r="G1977">
        <v>30.785071910948101</v>
      </c>
      <c r="H1977">
        <v>2</v>
      </c>
      <c r="I1977">
        <v>59</v>
      </c>
      <c r="K1977" t="s">
        <v>2386</v>
      </c>
      <c r="L1977">
        <v>20</v>
      </c>
      <c r="M1977" t="s">
        <v>2823</v>
      </c>
      <c r="N1977" t="s">
        <v>2388</v>
      </c>
      <c r="O1977">
        <v>1</v>
      </c>
    </row>
    <row r="1978" spans="2:15" x14ac:dyDescent="0.3">
      <c r="B1978">
        <v>2038</v>
      </c>
      <c r="D1978">
        <v>1032</v>
      </c>
      <c r="E1978">
        <v>689</v>
      </c>
      <c r="F1978">
        <v>1</v>
      </c>
      <c r="G1978">
        <v>60.000757713915903</v>
      </c>
      <c r="H1978">
        <v>2</v>
      </c>
      <c r="I1978">
        <v>59</v>
      </c>
      <c r="K1978" t="s">
        <v>2386</v>
      </c>
      <c r="L1978">
        <v>20</v>
      </c>
      <c r="M1978" t="s">
        <v>2824</v>
      </c>
      <c r="N1978" t="s">
        <v>2388</v>
      </c>
      <c r="O1978">
        <v>1</v>
      </c>
    </row>
    <row r="1979" spans="2:15" x14ac:dyDescent="0.3">
      <c r="B1979">
        <v>2039</v>
      </c>
      <c r="D1979">
        <v>689</v>
      </c>
      <c r="E1979">
        <v>1032</v>
      </c>
      <c r="F1979">
        <v>1</v>
      </c>
      <c r="G1979">
        <v>60.000757713915903</v>
      </c>
      <c r="H1979">
        <v>2</v>
      </c>
      <c r="I1979">
        <v>59</v>
      </c>
      <c r="K1979" t="s">
        <v>2386</v>
      </c>
      <c r="L1979">
        <v>20</v>
      </c>
      <c r="M1979" t="s">
        <v>2825</v>
      </c>
      <c r="N1979" t="s">
        <v>2388</v>
      </c>
      <c r="O1979">
        <v>1</v>
      </c>
    </row>
    <row r="1980" spans="2:15" x14ac:dyDescent="0.3">
      <c r="B1980">
        <v>2040</v>
      </c>
      <c r="D1980">
        <v>1033</v>
      </c>
      <c r="E1980">
        <v>165</v>
      </c>
      <c r="F1980">
        <v>1</v>
      </c>
      <c r="G1980">
        <v>127.98158103531399</v>
      </c>
      <c r="H1980">
        <v>2</v>
      </c>
      <c r="I1980">
        <v>59</v>
      </c>
      <c r="K1980" t="s">
        <v>2386</v>
      </c>
      <c r="L1980">
        <v>20</v>
      </c>
      <c r="M1980" t="s">
        <v>2826</v>
      </c>
      <c r="N1980" t="s">
        <v>2388</v>
      </c>
      <c r="O1980">
        <v>1</v>
      </c>
    </row>
    <row r="1981" spans="2:15" x14ac:dyDescent="0.3">
      <c r="B1981">
        <v>2041</v>
      </c>
      <c r="D1981">
        <v>165</v>
      </c>
      <c r="E1981">
        <v>1033</v>
      </c>
      <c r="F1981">
        <v>1</v>
      </c>
      <c r="G1981">
        <v>127.98158103531399</v>
      </c>
      <c r="H1981">
        <v>2</v>
      </c>
      <c r="I1981">
        <v>59</v>
      </c>
      <c r="K1981" t="s">
        <v>2386</v>
      </c>
      <c r="L1981">
        <v>20</v>
      </c>
      <c r="M1981" t="s">
        <v>2827</v>
      </c>
      <c r="N1981" t="s">
        <v>2388</v>
      </c>
      <c r="O1981">
        <v>1</v>
      </c>
    </row>
    <row r="1982" spans="2:15" x14ac:dyDescent="0.3">
      <c r="B1982">
        <v>2042</v>
      </c>
      <c r="D1982">
        <v>1034</v>
      </c>
      <c r="E1982">
        <v>165</v>
      </c>
      <c r="F1982">
        <v>1</v>
      </c>
      <c r="G1982">
        <v>50.938345460934499</v>
      </c>
      <c r="H1982">
        <v>2</v>
      </c>
      <c r="I1982">
        <v>59</v>
      </c>
      <c r="K1982" t="s">
        <v>2386</v>
      </c>
      <c r="L1982">
        <v>20</v>
      </c>
      <c r="M1982" t="s">
        <v>2828</v>
      </c>
      <c r="N1982" t="s">
        <v>2388</v>
      </c>
      <c r="O1982">
        <v>1</v>
      </c>
    </row>
    <row r="1983" spans="2:15" x14ac:dyDescent="0.3">
      <c r="B1983">
        <v>2043</v>
      </c>
      <c r="D1983">
        <v>165</v>
      </c>
      <c r="E1983">
        <v>1034</v>
      </c>
      <c r="F1983">
        <v>1</v>
      </c>
      <c r="G1983">
        <v>50.938345460934499</v>
      </c>
      <c r="H1983">
        <v>2</v>
      </c>
      <c r="I1983">
        <v>59</v>
      </c>
      <c r="K1983" t="s">
        <v>2386</v>
      </c>
      <c r="L1983">
        <v>20</v>
      </c>
      <c r="M1983" t="s">
        <v>2829</v>
      </c>
      <c r="N1983" t="s">
        <v>2388</v>
      </c>
      <c r="O1983">
        <v>1</v>
      </c>
    </row>
    <row r="1984" spans="2:15" x14ac:dyDescent="0.3">
      <c r="B1984">
        <v>2044</v>
      </c>
      <c r="D1984">
        <v>1035</v>
      </c>
      <c r="E1984">
        <v>165</v>
      </c>
      <c r="F1984">
        <v>1</v>
      </c>
      <c r="G1984">
        <v>79.138105119615403</v>
      </c>
      <c r="H1984">
        <v>2</v>
      </c>
      <c r="I1984">
        <v>59</v>
      </c>
      <c r="K1984" t="s">
        <v>2386</v>
      </c>
      <c r="L1984">
        <v>20</v>
      </c>
      <c r="M1984" t="s">
        <v>2830</v>
      </c>
      <c r="N1984" t="s">
        <v>2388</v>
      </c>
      <c r="O1984">
        <v>1</v>
      </c>
    </row>
    <row r="1985" spans="2:15" x14ac:dyDescent="0.3">
      <c r="B1985">
        <v>2045</v>
      </c>
      <c r="D1985">
        <v>165</v>
      </c>
      <c r="E1985">
        <v>1035</v>
      </c>
      <c r="F1985">
        <v>1</v>
      </c>
      <c r="G1985">
        <v>79.138105119615403</v>
      </c>
      <c r="H1985">
        <v>2</v>
      </c>
      <c r="I1985">
        <v>59</v>
      </c>
      <c r="K1985" t="s">
        <v>2386</v>
      </c>
      <c r="L1985">
        <v>20</v>
      </c>
      <c r="M1985" t="s">
        <v>2831</v>
      </c>
      <c r="N1985" t="s">
        <v>2388</v>
      </c>
      <c r="O1985">
        <v>1</v>
      </c>
    </row>
    <row r="1986" spans="2:15" x14ac:dyDescent="0.3">
      <c r="B1986">
        <v>2046</v>
      </c>
      <c r="D1986">
        <v>1036</v>
      </c>
      <c r="E1986">
        <v>165</v>
      </c>
      <c r="F1986">
        <v>1</v>
      </c>
      <c r="G1986">
        <v>137.263787497132</v>
      </c>
      <c r="H1986">
        <v>2</v>
      </c>
      <c r="I1986">
        <v>59</v>
      </c>
      <c r="K1986" t="s">
        <v>2386</v>
      </c>
      <c r="L1986">
        <v>20</v>
      </c>
      <c r="M1986" t="s">
        <v>2832</v>
      </c>
      <c r="N1986" t="s">
        <v>2388</v>
      </c>
      <c r="O1986">
        <v>1</v>
      </c>
    </row>
    <row r="1987" spans="2:15" x14ac:dyDescent="0.3">
      <c r="B1987">
        <v>2047</v>
      </c>
      <c r="D1987">
        <v>165</v>
      </c>
      <c r="E1987">
        <v>1036</v>
      </c>
      <c r="F1987">
        <v>1</v>
      </c>
      <c r="G1987">
        <v>137.263787497132</v>
      </c>
      <c r="H1987">
        <v>2</v>
      </c>
      <c r="I1987">
        <v>59</v>
      </c>
      <c r="K1987" t="s">
        <v>2386</v>
      </c>
      <c r="L1987">
        <v>20</v>
      </c>
      <c r="M1987" t="s">
        <v>2833</v>
      </c>
      <c r="N1987" t="s">
        <v>2388</v>
      </c>
      <c r="O1987">
        <v>1</v>
      </c>
    </row>
    <row r="1988" spans="2:15" x14ac:dyDescent="0.3">
      <c r="B1988">
        <v>2048</v>
      </c>
      <c r="D1988">
        <v>1037</v>
      </c>
      <c r="E1988">
        <v>616</v>
      </c>
      <c r="F1988">
        <v>1</v>
      </c>
      <c r="G1988">
        <v>39.158607537009502</v>
      </c>
      <c r="H1988">
        <v>2</v>
      </c>
      <c r="I1988">
        <v>59</v>
      </c>
      <c r="K1988" t="s">
        <v>2386</v>
      </c>
      <c r="L1988">
        <v>20</v>
      </c>
      <c r="M1988" t="s">
        <v>2834</v>
      </c>
      <c r="N1988" t="s">
        <v>2388</v>
      </c>
      <c r="O1988">
        <v>1</v>
      </c>
    </row>
    <row r="1989" spans="2:15" x14ac:dyDescent="0.3">
      <c r="B1989">
        <v>2049</v>
      </c>
      <c r="D1989">
        <v>616</v>
      </c>
      <c r="E1989">
        <v>1037</v>
      </c>
      <c r="F1989">
        <v>1</v>
      </c>
      <c r="G1989">
        <v>39.158607537009502</v>
      </c>
      <c r="H1989">
        <v>2</v>
      </c>
      <c r="I1989">
        <v>59</v>
      </c>
      <c r="K1989" t="s">
        <v>2386</v>
      </c>
      <c r="L1989">
        <v>20</v>
      </c>
      <c r="M1989" t="s">
        <v>2835</v>
      </c>
      <c r="N1989" t="s">
        <v>2388</v>
      </c>
      <c r="O1989">
        <v>1</v>
      </c>
    </row>
    <row r="1990" spans="2:15" x14ac:dyDescent="0.3">
      <c r="B1990">
        <v>2050</v>
      </c>
      <c r="D1990">
        <v>1038</v>
      </c>
      <c r="E1990">
        <v>616</v>
      </c>
      <c r="F1990">
        <v>1</v>
      </c>
      <c r="G1990">
        <v>104.550106079618</v>
      </c>
      <c r="H1990">
        <v>2</v>
      </c>
      <c r="I1990">
        <v>59</v>
      </c>
      <c r="K1990" t="s">
        <v>2386</v>
      </c>
      <c r="L1990">
        <v>20</v>
      </c>
      <c r="M1990" t="s">
        <v>2836</v>
      </c>
      <c r="N1990" t="s">
        <v>2388</v>
      </c>
      <c r="O1990">
        <v>1</v>
      </c>
    </row>
    <row r="1991" spans="2:15" x14ac:dyDescent="0.3">
      <c r="B1991">
        <v>2051</v>
      </c>
      <c r="D1991">
        <v>616</v>
      </c>
      <c r="E1991">
        <v>1038</v>
      </c>
      <c r="F1991">
        <v>1</v>
      </c>
      <c r="G1991">
        <v>104.550106079618</v>
      </c>
      <c r="H1991">
        <v>2</v>
      </c>
      <c r="I1991">
        <v>59</v>
      </c>
      <c r="K1991" t="s">
        <v>2386</v>
      </c>
      <c r="L1991">
        <v>20</v>
      </c>
      <c r="M1991" t="s">
        <v>2837</v>
      </c>
      <c r="N1991" t="s">
        <v>2388</v>
      </c>
      <c r="O1991">
        <v>1</v>
      </c>
    </row>
    <row r="1992" spans="2:15" x14ac:dyDescent="0.3">
      <c r="B1992">
        <v>2052</v>
      </c>
      <c r="D1992">
        <v>1039</v>
      </c>
      <c r="E1992">
        <v>616</v>
      </c>
      <c r="F1992">
        <v>1</v>
      </c>
      <c r="G1992">
        <v>141.12074336994201</v>
      </c>
      <c r="H1992">
        <v>2</v>
      </c>
      <c r="I1992">
        <v>59</v>
      </c>
      <c r="K1992" t="s">
        <v>2386</v>
      </c>
      <c r="L1992">
        <v>20</v>
      </c>
      <c r="M1992" t="s">
        <v>2838</v>
      </c>
      <c r="N1992" t="s">
        <v>2388</v>
      </c>
      <c r="O1992">
        <v>1</v>
      </c>
    </row>
    <row r="1993" spans="2:15" x14ac:dyDescent="0.3">
      <c r="B1993">
        <v>2053</v>
      </c>
      <c r="D1993">
        <v>616</v>
      </c>
      <c r="E1993">
        <v>1039</v>
      </c>
      <c r="F1993">
        <v>1</v>
      </c>
      <c r="G1993">
        <v>141.12074336994201</v>
      </c>
      <c r="H1993">
        <v>2</v>
      </c>
      <c r="I1993">
        <v>59</v>
      </c>
      <c r="K1993" t="s">
        <v>2386</v>
      </c>
      <c r="L1993">
        <v>20</v>
      </c>
      <c r="M1993" t="s">
        <v>2839</v>
      </c>
      <c r="N1993" t="s">
        <v>2388</v>
      </c>
      <c r="O1993">
        <v>1</v>
      </c>
    </row>
    <row r="1994" spans="2:15" x14ac:dyDescent="0.3">
      <c r="B1994">
        <v>2054</v>
      </c>
      <c r="D1994">
        <v>1040</v>
      </c>
      <c r="E1994">
        <v>616</v>
      </c>
      <c r="F1994">
        <v>1</v>
      </c>
      <c r="G1994">
        <v>156.181404459221</v>
      </c>
      <c r="H1994">
        <v>2</v>
      </c>
      <c r="I1994">
        <v>59</v>
      </c>
      <c r="K1994" t="s">
        <v>2386</v>
      </c>
      <c r="L1994">
        <v>20</v>
      </c>
      <c r="M1994" t="s">
        <v>2840</v>
      </c>
      <c r="N1994" t="s">
        <v>2388</v>
      </c>
      <c r="O1994">
        <v>1</v>
      </c>
    </row>
    <row r="1995" spans="2:15" x14ac:dyDescent="0.3">
      <c r="B1995">
        <v>2055</v>
      </c>
      <c r="D1995">
        <v>616</v>
      </c>
      <c r="E1995">
        <v>1040</v>
      </c>
      <c r="F1995">
        <v>1</v>
      </c>
      <c r="G1995">
        <v>156.181404459221</v>
      </c>
      <c r="H1995">
        <v>2</v>
      </c>
      <c r="I1995">
        <v>59</v>
      </c>
      <c r="K1995" t="s">
        <v>2386</v>
      </c>
      <c r="L1995">
        <v>20</v>
      </c>
      <c r="M1995" t="s">
        <v>2841</v>
      </c>
      <c r="N1995" t="s">
        <v>2388</v>
      </c>
      <c r="O1995">
        <v>1</v>
      </c>
    </row>
    <row r="1996" spans="2:15" x14ac:dyDescent="0.3">
      <c r="B1996">
        <v>2056</v>
      </c>
      <c r="D1996">
        <v>1041</v>
      </c>
      <c r="E1996">
        <v>616</v>
      </c>
      <c r="F1996">
        <v>1</v>
      </c>
      <c r="G1996">
        <v>100.57378167522999</v>
      </c>
      <c r="H1996">
        <v>2</v>
      </c>
      <c r="I1996">
        <v>59</v>
      </c>
      <c r="K1996" t="s">
        <v>2386</v>
      </c>
      <c r="L1996">
        <v>20</v>
      </c>
      <c r="M1996" t="s">
        <v>2842</v>
      </c>
      <c r="N1996" t="s">
        <v>2388</v>
      </c>
      <c r="O1996">
        <v>1</v>
      </c>
    </row>
    <row r="1997" spans="2:15" x14ac:dyDescent="0.3">
      <c r="B1997">
        <v>2057</v>
      </c>
      <c r="D1997">
        <v>616</v>
      </c>
      <c r="E1997">
        <v>1041</v>
      </c>
      <c r="F1997">
        <v>1</v>
      </c>
      <c r="G1997">
        <v>100.57378167522999</v>
      </c>
      <c r="H1997">
        <v>2</v>
      </c>
      <c r="I1997">
        <v>59</v>
      </c>
      <c r="K1997" t="s">
        <v>2386</v>
      </c>
      <c r="L1997">
        <v>20</v>
      </c>
      <c r="M1997" t="s">
        <v>2843</v>
      </c>
      <c r="N1997" t="s">
        <v>2388</v>
      </c>
      <c r="O1997">
        <v>1</v>
      </c>
    </row>
    <row r="1998" spans="2:15" x14ac:dyDescent="0.3">
      <c r="B1998">
        <v>2058</v>
      </c>
      <c r="D1998">
        <v>1042</v>
      </c>
      <c r="E1998">
        <v>616</v>
      </c>
      <c r="F1998">
        <v>1</v>
      </c>
      <c r="G1998">
        <v>62.218216567417201</v>
      </c>
      <c r="H1998">
        <v>2</v>
      </c>
      <c r="I1998">
        <v>59</v>
      </c>
      <c r="K1998" t="s">
        <v>2386</v>
      </c>
      <c r="L1998">
        <v>20</v>
      </c>
      <c r="M1998" t="s">
        <v>2844</v>
      </c>
      <c r="N1998" t="s">
        <v>2388</v>
      </c>
      <c r="O1998">
        <v>1</v>
      </c>
    </row>
    <row r="1999" spans="2:15" x14ac:dyDescent="0.3">
      <c r="B1999">
        <v>2059</v>
      </c>
      <c r="D1999">
        <v>616</v>
      </c>
      <c r="E1999">
        <v>1042</v>
      </c>
      <c r="F1999">
        <v>1</v>
      </c>
      <c r="G1999">
        <v>62.218216567417201</v>
      </c>
      <c r="H1999">
        <v>2</v>
      </c>
      <c r="I1999">
        <v>59</v>
      </c>
      <c r="K1999" t="s">
        <v>2386</v>
      </c>
      <c r="L1999">
        <v>20</v>
      </c>
      <c r="M1999" t="s">
        <v>2845</v>
      </c>
      <c r="N1999" t="s">
        <v>2388</v>
      </c>
      <c r="O1999">
        <v>1</v>
      </c>
    </row>
    <row r="2000" spans="2:15" x14ac:dyDescent="0.3">
      <c r="B2000">
        <v>2060</v>
      </c>
      <c r="D2000">
        <v>1043</v>
      </c>
      <c r="E2000">
        <v>494</v>
      </c>
      <c r="F2000">
        <v>1</v>
      </c>
      <c r="G2000">
        <v>120.946521891572</v>
      </c>
      <c r="H2000">
        <v>2</v>
      </c>
      <c r="I2000">
        <v>59</v>
      </c>
      <c r="K2000" t="s">
        <v>2386</v>
      </c>
      <c r="L2000">
        <v>20</v>
      </c>
      <c r="M2000" t="s">
        <v>2846</v>
      </c>
      <c r="N2000" t="s">
        <v>2388</v>
      </c>
      <c r="O2000">
        <v>1</v>
      </c>
    </row>
    <row r="2001" spans="2:15" x14ac:dyDescent="0.3">
      <c r="B2001">
        <v>2061</v>
      </c>
      <c r="D2001">
        <v>494</v>
      </c>
      <c r="E2001">
        <v>1043</v>
      </c>
      <c r="F2001">
        <v>1</v>
      </c>
      <c r="G2001">
        <v>120.946521891572</v>
      </c>
      <c r="H2001">
        <v>2</v>
      </c>
      <c r="I2001">
        <v>59</v>
      </c>
      <c r="K2001" t="s">
        <v>2386</v>
      </c>
      <c r="L2001">
        <v>20</v>
      </c>
      <c r="M2001" t="s">
        <v>2847</v>
      </c>
      <c r="N2001" t="s">
        <v>2388</v>
      </c>
      <c r="O2001">
        <v>1</v>
      </c>
    </row>
    <row r="2002" spans="2:15" x14ac:dyDescent="0.3">
      <c r="B2002">
        <v>2062</v>
      </c>
      <c r="D2002">
        <v>1044</v>
      </c>
      <c r="E2002">
        <v>617</v>
      </c>
      <c r="F2002">
        <v>1</v>
      </c>
      <c r="G2002">
        <v>83.615942160984005</v>
      </c>
      <c r="H2002">
        <v>2</v>
      </c>
      <c r="I2002">
        <v>59</v>
      </c>
      <c r="K2002" t="s">
        <v>2386</v>
      </c>
      <c r="L2002">
        <v>20</v>
      </c>
      <c r="M2002" t="s">
        <v>2848</v>
      </c>
      <c r="N2002" t="s">
        <v>2388</v>
      </c>
      <c r="O2002">
        <v>1</v>
      </c>
    </row>
    <row r="2003" spans="2:15" x14ac:dyDescent="0.3">
      <c r="B2003">
        <v>2063</v>
      </c>
      <c r="D2003">
        <v>617</v>
      </c>
      <c r="E2003">
        <v>1044</v>
      </c>
      <c r="F2003">
        <v>1</v>
      </c>
      <c r="G2003">
        <v>83.615942160984005</v>
      </c>
      <c r="H2003">
        <v>2</v>
      </c>
      <c r="I2003">
        <v>59</v>
      </c>
      <c r="K2003" t="s">
        <v>2386</v>
      </c>
      <c r="L2003">
        <v>20</v>
      </c>
      <c r="M2003" t="s">
        <v>2849</v>
      </c>
      <c r="N2003" t="s">
        <v>2388</v>
      </c>
      <c r="O2003">
        <v>1</v>
      </c>
    </row>
    <row r="2004" spans="2:15" x14ac:dyDescent="0.3">
      <c r="B2004">
        <v>2064</v>
      </c>
      <c r="D2004">
        <v>1045</v>
      </c>
      <c r="E2004">
        <v>494</v>
      </c>
      <c r="F2004">
        <v>1</v>
      </c>
      <c r="G2004">
        <v>164.701994595</v>
      </c>
      <c r="H2004">
        <v>2</v>
      </c>
      <c r="I2004">
        <v>59</v>
      </c>
      <c r="K2004" t="s">
        <v>2386</v>
      </c>
      <c r="L2004">
        <v>20</v>
      </c>
      <c r="M2004" t="s">
        <v>2850</v>
      </c>
      <c r="N2004" t="s">
        <v>2388</v>
      </c>
      <c r="O2004">
        <v>1</v>
      </c>
    </row>
    <row r="2005" spans="2:15" x14ac:dyDescent="0.3">
      <c r="B2005">
        <v>2065</v>
      </c>
      <c r="D2005">
        <v>494</v>
      </c>
      <c r="E2005">
        <v>1045</v>
      </c>
      <c r="F2005">
        <v>1</v>
      </c>
      <c r="G2005">
        <v>164.701994595</v>
      </c>
      <c r="H2005">
        <v>2</v>
      </c>
      <c r="I2005">
        <v>59</v>
      </c>
      <c r="K2005" t="s">
        <v>2386</v>
      </c>
      <c r="L2005">
        <v>20</v>
      </c>
      <c r="M2005" t="s">
        <v>2851</v>
      </c>
      <c r="N2005" t="s">
        <v>2388</v>
      </c>
      <c r="O2005">
        <v>1</v>
      </c>
    </row>
    <row r="2006" spans="2:15" x14ac:dyDescent="0.3">
      <c r="B2006">
        <v>2066</v>
      </c>
      <c r="D2006">
        <v>1046</v>
      </c>
      <c r="E2006">
        <v>165</v>
      </c>
      <c r="F2006">
        <v>1</v>
      </c>
      <c r="G2006">
        <v>196.75148013665299</v>
      </c>
      <c r="H2006">
        <v>2</v>
      </c>
      <c r="I2006">
        <v>59</v>
      </c>
      <c r="K2006" t="s">
        <v>2386</v>
      </c>
      <c r="L2006">
        <v>20</v>
      </c>
      <c r="M2006" t="s">
        <v>2852</v>
      </c>
      <c r="N2006" t="s">
        <v>2388</v>
      </c>
      <c r="O2006">
        <v>1</v>
      </c>
    </row>
    <row r="2007" spans="2:15" x14ac:dyDescent="0.3">
      <c r="B2007">
        <v>2067</v>
      </c>
      <c r="D2007">
        <v>165</v>
      </c>
      <c r="E2007">
        <v>1046</v>
      </c>
      <c r="F2007">
        <v>1</v>
      </c>
      <c r="G2007">
        <v>196.75148013665299</v>
      </c>
      <c r="H2007">
        <v>2</v>
      </c>
      <c r="I2007">
        <v>59</v>
      </c>
      <c r="K2007" t="s">
        <v>2386</v>
      </c>
      <c r="L2007">
        <v>20</v>
      </c>
      <c r="M2007" t="s">
        <v>2853</v>
      </c>
      <c r="N2007" t="s">
        <v>2388</v>
      </c>
      <c r="O2007">
        <v>1</v>
      </c>
    </row>
    <row r="2008" spans="2:15" x14ac:dyDescent="0.3">
      <c r="B2008">
        <v>2068</v>
      </c>
      <c r="D2008">
        <v>1047</v>
      </c>
      <c r="E2008">
        <v>165</v>
      </c>
      <c r="F2008">
        <v>1</v>
      </c>
      <c r="G2008">
        <v>76.804837720050898</v>
      </c>
      <c r="H2008">
        <v>2</v>
      </c>
      <c r="I2008">
        <v>59</v>
      </c>
      <c r="K2008" t="s">
        <v>2386</v>
      </c>
      <c r="L2008">
        <v>20</v>
      </c>
      <c r="M2008" t="s">
        <v>2854</v>
      </c>
      <c r="N2008" t="s">
        <v>2388</v>
      </c>
      <c r="O2008">
        <v>1</v>
      </c>
    </row>
    <row r="2009" spans="2:15" x14ac:dyDescent="0.3">
      <c r="B2009">
        <v>2069</v>
      </c>
      <c r="D2009">
        <v>165</v>
      </c>
      <c r="E2009">
        <v>1047</v>
      </c>
      <c r="F2009">
        <v>1</v>
      </c>
      <c r="G2009">
        <v>76.804837720050898</v>
      </c>
      <c r="H2009">
        <v>2</v>
      </c>
      <c r="I2009">
        <v>59</v>
      </c>
      <c r="K2009" t="s">
        <v>2386</v>
      </c>
      <c r="L2009">
        <v>20</v>
      </c>
      <c r="M2009" t="s">
        <v>2855</v>
      </c>
      <c r="N2009" t="s">
        <v>2388</v>
      </c>
      <c r="O2009">
        <v>1</v>
      </c>
    </row>
    <row r="2010" spans="2:15" x14ac:dyDescent="0.3">
      <c r="B2010">
        <v>2070</v>
      </c>
      <c r="D2010">
        <v>1048</v>
      </c>
      <c r="E2010">
        <v>165</v>
      </c>
      <c r="F2010">
        <v>1</v>
      </c>
      <c r="G2010">
        <v>106.68773108159</v>
      </c>
      <c r="H2010">
        <v>2</v>
      </c>
      <c r="I2010">
        <v>59</v>
      </c>
      <c r="K2010" t="s">
        <v>2386</v>
      </c>
      <c r="L2010">
        <v>20</v>
      </c>
      <c r="M2010" t="s">
        <v>2856</v>
      </c>
      <c r="N2010" t="s">
        <v>2388</v>
      </c>
      <c r="O2010">
        <v>1</v>
      </c>
    </row>
    <row r="2011" spans="2:15" x14ac:dyDescent="0.3">
      <c r="B2011">
        <v>2071</v>
      </c>
      <c r="D2011">
        <v>165</v>
      </c>
      <c r="E2011">
        <v>1048</v>
      </c>
      <c r="F2011">
        <v>1</v>
      </c>
      <c r="G2011">
        <v>106.68773108159</v>
      </c>
      <c r="H2011">
        <v>2</v>
      </c>
      <c r="I2011">
        <v>59</v>
      </c>
      <c r="K2011" t="s">
        <v>2386</v>
      </c>
      <c r="L2011">
        <v>20</v>
      </c>
      <c r="M2011" t="s">
        <v>2857</v>
      </c>
      <c r="N2011" t="s">
        <v>2388</v>
      </c>
      <c r="O2011">
        <v>1</v>
      </c>
    </row>
    <row r="2012" spans="2:15" x14ac:dyDescent="0.3">
      <c r="B2012">
        <v>2072</v>
      </c>
      <c r="D2012">
        <v>1049</v>
      </c>
      <c r="E2012">
        <v>165</v>
      </c>
      <c r="F2012">
        <v>1</v>
      </c>
      <c r="G2012">
        <v>219.39012839275</v>
      </c>
      <c r="H2012">
        <v>2</v>
      </c>
      <c r="I2012">
        <v>59</v>
      </c>
      <c r="K2012" t="s">
        <v>2386</v>
      </c>
      <c r="L2012">
        <v>20</v>
      </c>
      <c r="M2012" t="s">
        <v>2858</v>
      </c>
      <c r="N2012" t="s">
        <v>2388</v>
      </c>
      <c r="O2012">
        <v>1</v>
      </c>
    </row>
    <row r="2013" spans="2:15" x14ac:dyDescent="0.3">
      <c r="B2013">
        <v>2073</v>
      </c>
      <c r="D2013">
        <v>165</v>
      </c>
      <c r="E2013">
        <v>1049</v>
      </c>
      <c r="F2013">
        <v>1</v>
      </c>
      <c r="G2013">
        <v>219.39012839275</v>
      </c>
      <c r="H2013">
        <v>2</v>
      </c>
      <c r="I2013">
        <v>59</v>
      </c>
      <c r="K2013" t="s">
        <v>2386</v>
      </c>
      <c r="L2013">
        <v>20</v>
      </c>
      <c r="M2013" t="s">
        <v>2859</v>
      </c>
      <c r="N2013" t="s">
        <v>2388</v>
      </c>
      <c r="O2013">
        <v>1</v>
      </c>
    </row>
    <row r="2014" spans="2:15" x14ac:dyDescent="0.3">
      <c r="B2014">
        <v>2074</v>
      </c>
      <c r="D2014">
        <v>1050</v>
      </c>
      <c r="E2014">
        <v>165</v>
      </c>
      <c r="F2014">
        <v>1</v>
      </c>
      <c r="G2014">
        <v>232.959148381944</v>
      </c>
      <c r="H2014">
        <v>2</v>
      </c>
      <c r="I2014">
        <v>59</v>
      </c>
      <c r="K2014" t="s">
        <v>2386</v>
      </c>
      <c r="L2014">
        <v>20</v>
      </c>
      <c r="M2014" t="s">
        <v>2860</v>
      </c>
      <c r="N2014" t="s">
        <v>2388</v>
      </c>
      <c r="O2014">
        <v>1</v>
      </c>
    </row>
    <row r="2015" spans="2:15" x14ac:dyDescent="0.3">
      <c r="B2015">
        <v>2075</v>
      </c>
      <c r="D2015">
        <v>165</v>
      </c>
      <c r="E2015">
        <v>1050</v>
      </c>
      <c r="F2015">
        <v>1</v>
      </c>
      <c r="G2015">
        <v>232.959148381944</v>
      </c>
      <c r="H2015">
        <v>2</v>
      </c>
      <c r="I2015">
        <v>59</v>
      </c>
      <c r="K2015" t="s">
        <v>2386</v>
      </c>
      <c r="L2015">
        <v>20</v>
      </c>
      <c r="M2015" t="s">
        <v>2861</v>
      </c>
      <c r="N2015" t="s">
        <v>2388</v>
      </c>
      <c r="O2015">
        <v>1</v>
      </c>
    </row>
    <row r="2016" spans="2:15" x14ac:dyDescent="0.3">
      <c r="B2016">
        <v>2076</v>
      </c>
      <c r="D2016">
        <v>1051</v>
      </c>
      <c r="E2016">
        <v>165</v>
      </c>
      <c r="F2016">
        <v>1</v>
      </c>
      <c r="G2016">
        <v>168.32076906954899</v>
      </c>
      <c r="H2016">
        <v>2</v>
      </c>
      <c r="I2016">
        <v>59</v>
      </c>
      <c r="K2016" t="s">
        <v>2386</v>
      </c>
      <c r="L2016">
        <v>20</v>
      </c>
      <c r="M2016" t="s">
        <v>2862</v>
      </c>
      <c r="N2016" t="s">
        <v>2388</v>
      </c>
      <c r="O2016">
        <v>1</v>
      </c>
    </row>
    <row r="2017" spans="2:15" x14ac:dyDescent="0.3">
      <c r="B2017">
        <v>2077</v>
      </c>
      <c r="D2017">
        <v>165</v>
      </c>
      <c r="E2017">
        <v>1051</v>
      </c>
      <c r="F2017">
        <v>1</v>
      </c>
      <c r="G2017">
        <v>168.32076906954899</v>
      </c>
      <c r="H2017">
        <v>2</v>
      </c>
      <c r="I2017">
        <v>59</v>
      </c>
      <c r="K2017" t="s">
        <v>2386</v>
      </c>
      <c r="L2017">
        <v>20</v>
      </c>
      <c r="M2017" t="s">
        <v>2863</v>
      </c>
      <c r="N2017" t="s">
        <v>2388</v>
      </c>
      <c r="O2017">
        <v>1</v>
      </c>
    </row>
    <row r="2018" spans="2:15" x14ac:dyDescent="0.3">
      <c r="B2018">
        <v>2078</v>
      </c>
      <c r="D2018">
        <v>1052</v>
      </c>
      <c r="E2018">
        <v>165</v>
      </c>
      <c r="F2018">
        <v>1</v>
      </c>
      <c r="G2018">
        <v>187.673614939435</v>
      </c>
      <c r="H2018">
        <v>2</v>
      </c>
      <c r="I2018">
        <v>59</v>
      </c>
      <c r="K2018" t="s">
        <v>2386</v>
      </c>
      <c r="L2018">
        <v>20</v>
      </c>
      <c r="M2018" t="s">
        <v>2864</v>
      </c>
      <c r="N2018" t="s">
        <v>2388</v>
      </c>
      <c r="O2018">
        <v>1</v>
      </c>
    </row>
    <row r="2019" spans="2:15" x14ac:dyDescent="0.3">
      <c r="B2019">
        <v>2079</v>
      </c>
      <c r="D2019">
        <v>165</v>
      </c>
      <c r="E2019">
        <v>1052</v>
      </c>
      <c r="F2019">
        <v>1</v>
      </c>
      <c r="G2019">
        <v>187.673614939435</v>
      </c>
      <c r="H2019">
        <v>2</v>
      </c>
      <c r="I2019">
        <v>59</v>
      </c>
      <c r="K2019" t="s">
        <v>2386</v>
      </c>
      <c r="L2019">
        <v>20</v>
      </c>
      <c r="M2019" t="s">
        <v>2865</v>
      </c>
      <c r="N2019" t="s">
        <v>2388</v>
      </c>
      <c r="O2019">
        <v>1</v>
      </c>
    </row>
    <row r="2020" spans="2:15" x14ac:dyDescent="0.3">
      <c r="B2020">
        <v>2080</v>
      </c>
      <c r="D2020">
        <v>1053</v>
      </c>
      <c r="E2020">
        <v>243</v>
      </c>
      <c r="F2020">
        <v>1</v>
      </c>
      <c r="G2020">
        <v>243.24017940838201</v>
      </c>
      <c r="H2020">
        <v>2</v>
      </c>
      <c r="I2020">
        <v>59</v>
      </c>
      <c r="K2020" t="s">
        <v>2386</v>
      </c>
      <c r="L2020">
        <v>20</v>
      </c>
      <c r="M2020" t="s">
        <v>2866</v>
      </c>
      <c r="N2020" t="s">
        <v>2388</v>
      </c>
      <c r="O2020">
        <v>1</v>
      </c>
    </row>
    <row r="2021" spans="2:15" x14ac:dyDescent="0.3">
      <c r="B2021">
        <v>2081</v>
      </c>
      <c r="D2021">
        <v>243</v>
      </c>
      <c r="E2021">
        <v>1053</v>
      </c>
      <c r="F2021">
        <v>1</v>
      </c>
      <c r="G2021">
        <v>243.24017940838201</v>
      </c>
      <c r="H2021">
        <v>2</v>
      </c>
      <c r="I2021">
        <v>59</v>
      </c>
      <c r="K2021" t="s">
        <v>2386</v>
      </c>
      <c r="L2021">
        <v>20</v>
      </c>
      <c r="M2021" t="s">
        <v>2867</v>
      </c>
      <c r="N2021" t="s">
        <v>2388</v>
      </c>
      <c r="O2021">
        <v>1</v>
      </c>
    </row>
    <row r="2022" spans="2:15" x14ac:dyDescent="0.3">
      <c r="B2022">
        <v>2082</v>
      </c>
      <c r="D2022">
        <v>1054</v>
      </c>
      <c r="E2022">
        <v>497</v>
      </c>
      <c r="F2022">
        <v>1</v>
      </c>
      <c r="G2022">
        <v>171.50425129777699</v>
      </c>
      <c r="H2022">
        <v>2</v>
      </c>
      <c r="I2022">
        <v>59</v>
      </c>
      <c r="K2022" t="s">
        <v>2386</v>
      </c>
      <c r="L2022">
        <v>20</v>
      </c>
      <c r="M2022" t="s">
        <v>2868</v>
      </c>
      <c r="N2022" t="s">
        <v>2388</v>
      </c>
      <c r="O2022">
        <v>1</v>
      </c>
    </row>
    <row r="2023" spans="2:15" x14ac:dyDescent="0.3">
      <c r="B2023">
        <v>2083</v>
      </c>
      <c r="D2023">
        <v>497</v>
      </c>
      <c r="E2023">
        <v>1054</v>
      </c>
      <c r="F2023">
        <v>1</v>
      </c>
      <c r="G2023">
        <v>171.50425129777699</v>
      </c>
      <c r="H2023">
        <v>2</v>
      </c>
      <c r="I2023">
        <v>59</v>
      </c>
      <c r="K2023" t="s">
        <v>2386</v>
      </c>
      <c r="L2023">
        <v>20</v>
      </c>
      <c r="M2023" t="s">
        <v>2869</v>
      </c>
      <c r="N2023" t="s">
        <v>2388</v>
      </c>
      <c r="O2023">
        <v>1</v>
      </c>
    </row>
    <row r="2024" spans="2:15" x14ac:dyDescent="0.3">
      <c r="B2024">
        <v>2084</v>
      </c>
      <c r="D2024">
        <v>1055</v>
      </c>
      <c r="E2024">
        <v>661</v>
      </c>
      <c r="F2024">
        <v>1</v>
      </c>
      <c r="G2024">
        <v>87.625855674901601</v>
      </c>
      <c r="H2024">
        <v>2</v>
      </c>
      <c r="I2024">
        <v>59</v>
      </c>
      <c r="K2024" t="s">
        <v>2386</v>
      </c>
      <c r="L2024">
        <v>20</v>
      </c>
      <c r="M2024" t="s">
        <v>2870</v>
      </c>
      <c r="N2024" t="s">
        <v>2388</v>
      </c>
      <c r="O2024">
        <v>1</v>
      </c>
    </row>
    <row r="2025" spans="2:15" x14ac:dyDescent="0.3">
      <c r="B2025">
        <v>2085</v>
      </c>
      <c r="D2025">
        <v>661</v>
      </c>
      <c r="E2025">
        <v>1055</v>
      </c>
      <c r="F2025">
        <v>1</v>
      </c>
      <c r="G2025">
        <v>87.625855674901601</v>
      </c>
      <c r="H2025">
        <v>2</v>
      </c>
      <c r="I2025">
        <v>59</v>
      </c>
      <c r="K2025" t="s">
        <v>2386</v>
      </c>
      <c r="L2025">
        <v>20</v>
      </c>
      <c r="M2025" t="s">
        <v>2871</v>
      </c>
      <c r="N2025" t="s">
        <v>2388</v>
      </c>
      <c r="O2025">
        <v>1</v>
      </c>
    </row>
    <row r="2026" spans="2:15" x14ac:dyDescent="0.3">
      <c r="B2026">
        <v>2086</v>
      </c>
      <c r="D2026">
        <v>1056</v>
      </c>
      <c r="E2026">
        <v>354</v>
      </c>
      <c r="F2026">
        <v>1</v>
      </c>
      <c r="G2026">
        <v>63.312895043208997</v>
      </c>
      <c r="H2026">
        <v>2</v>
      </c>
      <c r="I2026">
        <v>59</v>
      </c>
      <c r="K2026" t="s">
        <v>2386</v>
      </c>
      <c r="L2026">
        <v>20</v>
      </c>
      <c r="M2026" t="s">
        <v>2872</v>
      </c>
      <c r="N2026" t="s">
        <v>2388</v>
      </c>
      <c r="O2026">
        <v>1</v>
      </c>
    </row>
    <row r="2027" spans="2:15" x14ac:dyDescent="0.3">
      <c r="B2027">
        <v>2087</v>
      </c>
      <c r="D2027">
        <v>354</v>
      </c>
      <c r="E2027">
        <v>1056</v>
      </c>
      <c r="F2027">
        <v>1</v>
      </c>
      <c r="G2027">
        <v>63.312895043208997</v>
      </c>
      <c r="H2027">
        <v>2</v>
      </c>
      <c r="I2027">
        <v>59</v>
      </c>
      <c r="K2027" t="s">
        <v>2386</v>
      </c>
      <c r="L2027">
        <v>20</v>
      </c>
      <c r="M2027" t="s">
        <v>2873</v>
      </c>
      <c r="N2027" t="s">
        <v>2388</v>
      </c>
      <c r="O2027">
        <v>1</v>
      </c>
    </row>
    <row r="2028" spans="2:15" x14ac:dyDescent="0.3">
      <c r="B2028">
        <v>2088</v>
      </c>
      <c r="D2028">
        <v>1057</v>
      </c>
      <c r="E2028">
        <v>498</v>
      </c>
      <c r="F2028">
        <v>1</v>
      </c>
      <c r="G2028">
        <v>42.623071997413</v>
      </c>
      <c r="H2028">
        <v>2</v>
      </c>
      <c r="I2028">
        <v>59</v>
      </c>
      <c r="K2028" t="s">
        <v>2386</v>
      </c>
      <c r="L2028">
        <v>20</v>
      </c>
      <c r="M2028" t="s">
        <v>2874</v>
      </c>
      <c r="N2028" t="s">
        <v>2388</v>
      </c>
      <c r="O2028">
        <v>1</v>
      </c>
    </row>
    <row r="2029" spans="2:15" x14ac:dyDescent="0.3">
      <c r="B2029">
        <v>2089</v>
      </c>
      <c r="D2029">
        <v>498</v>
      </c>
      <c r="E2029">
        <v>1057</v>
      </c>
      <c r="F2029">
        <v>1</v>
      </c>
      <c r="G2029">
        <v>42.623071997413</v>
      </c>
      <c r="H2029">
        <v>2</v>
      </c>
      <c r="I2029">
        <v>59</v>
      </c>
      <c r="K2029" t="s">
        <v>2386</v>
      </c>
      <c r="L2029">
        <v>20</v>
      </c>
      <c r="M2029" t="s">
        <v>2875</v>
      </c>
      <c r="N2029" t="s">
        <v>2388</v>
      </c>
      <c r="O2029">
        <v>1</v>
      </c>
    </row>
    <row r="2030" spans="2:15" x14ac:dyDescent="0.3">
      <c r="B2030">
        <v>2090</v>
      </c>
      <c r="D2030">
        <v>1058</v>
      </c>
      <c r="E2030">
        <v>308</v>
      </c>
      <c r="F2030">
        <v>1</v>
      </c>
      <c r="G2030">
        <v>36.098610708838201</v>
      </c>
      <c r="H2030">
        <v>2</v>
      </c>
      <c r="I2030">
        <v>59</v>
      </c>
      <c r="K2030" t="s">
        <v>2386</v>
      </c>
      <c r="L2030">
        <v>20</v>
      </c>
      <c r="M2030" t="s">
        <v>2876</v>
      </c>
      <c r="N2030" t="s">
        <v>2388</v>
      </c>
      <c r="O2030">
        <v>1</v>
      </c>
    </row>
    <row r="2031" spans="2:15" x14ac:dyDescent="0.3">
      <c r="B2031">
        <v>2091</v>
      </c>
      <c r="D2031">
        <v>308</v>
      </c>
      <c r="E2031">
        <v>1058</v>
      </c>
      <c r="F2031">
        <v>1</v>
      </c>
      <c r="G2031">
        <v>36.098610708838201</v>
      </c>
      <c r="H2031">
        <v>2</v>
      </c>
      <c r="I2031">
        <v>59</v>
      </c>
      <c r="K2031" t="s">
        <v>2386</v>
      </c>
      <c r="L2031">
        <v>20</v>
      </c>
      <c r="M2031" t="s">
        <v>2877</v>
      </c>
      <c r="N2031" t="s">
        <v>2388</v>
      </c>
      <c r="O2031">
        <v>1</v>
      </c>
    </row>
    <row r="2032" spans="2:15" x14ac:dyDescent="0.3">
      <c r="B2032">
        <v>2092</v>
      </c>
      <c r="D2032">
        <v>1059</v>
      </c>
      <c r="E2032">
        <v>310</v>
      </c>
      <c r="F2032">
        <v>1</v>
      </c>
      <c r="G2032">
        <v>20.243379697340401</v>
      </c>
      <c r="H2032">
        <v>2</v>
      </c>
      <c r="I2032">
        <v>59</v>
      </c>
      <c r="K2032" t="s">
        <v>2386</v>
      </c>
      <c r="L2032">
        <v>20</v>
      </c>
      <c r="M2032" t="s">
        <v>2878</v>
      </c>
      <c r="N2032" t="s">
        <v>2388</v>
      </c>
      <c r="O2032">
        <v>1</v>
      </c>
    </row>
    <row r="2033" spans="2:15" x14ac:dyDescent="0.3">
      <c r="B2033">
        <v>2093</v>
      </c>
      <c r="D2033">
        <v>310</v>
      </c>
      <c r="E2033">
        <v>1059</v>
      </c>
      <c r="F2033">
        <v>1</v>
      </c>
      <c r="G2033">
        <v>20.243379697340401</v>
      </c>
      <c r="H2033">
        <v>2</v>
      </c>
      <c r="I2033">
        <v>59</v>
      </c>
      <c r="K2033" t="s">
        <v>2386</v>
      </c>
      <c r="L2033">
        <v>20</v>
      </c>
      <c r="M2033" t="s">
        <v>2879</v>
      </c>
      <c r="N2033" t="s">
        <v>2388</v>
      </c>
      <c r="O2033">
        <v>1</v>
      </c>
    </row>
    <row r="2034" spans="2:15" x14ac:dyDescent="0.3">
      <c r="B2034">
        <v>2094</v>
      </c>
      <c r="D2034">
        <v>1060</v>
      </c>
      <c r="E2034">
        <v>310</v>
      </c>
      <c r="F2034">
        <v>1</v>
      </c>
      <c r="G2034">
        <v>26.970488852372199</v>
      </c>
      <c r="H2034">
        <v>2</v>
      </c>
      <c r="I2034">
        <v>59</v>
      </c>
      <c r="K2034" t="s">
        <v>2386</v>
      </c>
      <c r="L2034">
        <v>20</v>
      </c>
      <c r="M2034" t="s">
        <v>2880</v>
      </c>
      <c r="N2034" t="s">
        <v>2388</v>
      </c>
      <c r="O2034">
        <v>1</v>
      </c>
    </row>
    <row r="2035" spans="2:15" x14ac:dyDescent="0.3">
      <c r="B2035">
        <v>2095</v>
      </c>
      <c r="D2035">
        <v>310</v>
      </c>
      <c r="E2035">
        <v>1060</v>
      </c>
      <c r="F2035">
        <v>1</v>
      </c>
      <c r="G2035">
        <v>26.970488852372199</v>
      </c>
      <c r="H2035">
        <v>2</v>
      </c>
      <c r="I2035">
        <v>59</v>
      </c>
      <c r="K2035" t="s">
        <v>2386</v>
      </c>
      <c r="L2035">
        <v>20</v>
      </c>
      <c r="M2035" t="s">
        <v>2881</v>
      </c>
      <c r="N2035" t="s">
        <v>2388</v>
      </c>
      <c r="O2035">
        <v>1</v>
      </c>
    </row>
    <row r="2036" spans="2:15" x14ac:dyDescent="0.3">
      <c r="B2036">
        <v>2096</v>
      </c>
      <c r="D2036">
        <v>1061</v>
      </c>
      <c r="E2036">
        <v>243</v>
      </c>
      <c r="F2036">
        <v>1</v>
      </c>
      <c r="G2036">
        <v>121.28169600147299</v>
      </c>
      <c r="H2036">
        <v>2</v>
      </c>
      <c r="I2036">
        <v>59</v>
      </c>
      <c r="K2036" t="s">
        <v>2386</v>
      </c>
      <c r="L2036">
        <v>20</v>
      </c>
      <c r="M2036" t="s">
        <v>2882</v>
      </c>
      <c r="N2036" t="s">
        <v>2388</v>
      </c>
      <c r="O2036">
        <v>1</v>
      </c>
    </row>
    <row r="2037" spans="2:15" x14ac:dyDescent="0.3">
      <c r="B2037">
        <v>2097</v>
      </c>
      <c r="D2037">
        <v>243</v>
      </c>
      <c r="E2037">
        <v>1061</v>
      </c>
      <c r="F2037">
        <v>1</v>
      </c>
      <c r="G2037">
        <v>121.28169600147299</v>
      </c>
      <c r="H2037">
        <v>2</v>
      </c>
      <c r="I2037">
        <v>59</v>
      </c>
      <c r="K2037" t="s">
        <v>2386</v>
      </c>
      <c r="L2037">
        <v>20</v>
      </c>
      <c r="M2037" t="s">
        <v>2883</v>
      </c>
      <c r="N2037" t="s">
        <v>2388</v>
      </c>
      <c r="O2037">
        <v>1</v>
      </c>
    </row>
    <row r="2038" spans="2:15" x14ac:dyDescent="0.3">
      <c r="B2038">
        <v>2098</v>
      </c>
      <c r="D2038">
        <v>1062</v>
      </c>
      <c r="E2038">
        <v>470</v>
      </c>
      <c r="F2038">
        <v>1</v>
      </c>
      <c r="G2038">
        <v>34.823612673046597</v>
      </c>
      <c r="H2038">
        <v>2</v>
      </c>
      <c r="I2038">
        <v>59</v>
      </c>
      <c r="K2038" t="s">
        <v>2386</v>
      </c>
      <c r="L2038">
        <v>20</v>
      </c>
      <c r="M2038" t="s">
        <v>2884</v>
      </c>
      <c r="N2038" t="s">
        <v>2388</v>
      </c>
      <c r="O2038">
        <v>1</v>
      </c>
    </row>
    <row r="2039" spans="2:15" x14ac:dyDescent="0.3">
      <c r="B2039">
        <v>2099</v>
      </c>
      <c r="D2039">
        <v>470</v>
      </c>
      <c r="E2039">
        <v>1062</v>
      </c>
      <c r="F2039">
        <v>1</v>
      </c>
      <c r="G2039">
        <v>34.823612673046597</v>
      </c>
      <c r="H2039">
        <v>2</v>
      </c>
      <c r="I2039">
        <v>59</v>
      </c>
      <c r="K2039" t="s">
        <v>2386</v>
      </c>
      <c r="L2039">
        <v>20</v>
      </c>
      <c r="M2039" t="s">
        <v>2885</v>
      </c>
      <c r="N2039" t="s">
        <v>2388</v>
      </c>
      <c r="O2039">
        <v>1</v>
      </c>
    </row>
    <row r="2040" spans="2:15" x14ac:dyDescent="0.3">
      <c r="B2040">
        <v>2100</v>
      </c>
      <c r="D2040">
        <v>1063</v>
      </c>
      <c r="E2040">
        <v>29</v>
      </c>
      <c r="F2040">
        <v>1</v>
      </c>
      <c r="G2040">
        <v>43.4570978885491</v>
      </c>
      <c r="H2040">
        <v>2</v>
      </c>
      <c r="I2040">
        <v>59</v>
      </c>
      <c r="K2040" t="s">
        <v>2386</v>
      </c>
      <c r="L2040">
        <v>20</v>
      </c>
      <c r="M2040" t="s">
        <v>2886</v>
      </c>
      <c r="N2040" t="s">
        <v>2388</v>
      </c>
      <c r="O2040">
        <v>1</v>
      </c>
    </row>
    <row r="2041" spans="2:15" x14ac:dyDescent="0.3">
      <c r="B2041">
        <v>2101</v>
      </c>
      <c r="D2041">
        <v>29</v>
      </c>
      <c r="E2041">
        <v>1063</v>
      </c>
      <c r="F2041">
        <v>1</v>
      </c>
      <c r="G2041">
        <v>43.4570978885491</v>
      </c>
      <c r="H2041">
        <v>2</v>
      </c>
      <c r="I2041">
        <v>59</v>
      </c>
      <c r="K2041" t="s">
        <v>2386</v>
      </c>
      <c r="L2041">
        <v>20</v>
      </c>
      <c r="M2041" t="s">
        <v>2887</v>
      </c>
      <c r="N2041" t="s">
        <v>2388</v>
      </c>
      <c r="O2041">
        <v>1</v>
      </c>
    </row>
    <row r="2042" spans="2:15" x14ac:dyDescent="0.3">
      <c r="B2042">
        <v>2102</v>
      </c>
      <c r="D2042">
        <v>1064</v>
      </c>
      <c r="E2042">
        <v>472</v>
      </c>
      <c r="F2042">
        <v>1</v>
      </c>
      <c r="G2042">
        <v>30.991649589942298</v>
      </c>
      <c r="H2042">
        <v>2</v>
      </c>
      <c r="I2042">
        <v>59</v>
      </c>
      <c r="K2042" t="s">
        <v>2386</v>
      </c>
      <c r="L2042">
        <v>20</v>
      </c>
      <c r="M2042" t="s">
        <v>2888</v>
      </c>
      <c r="N2042" t="s">
        <v>2388</v>
      </c>
      <c r="O2042">
        <v>1</v>
      </c>
    </row>
    <row r="2043" spans="2:15" x14ac:dyDescent="0.3">
      <c r="B2043">
        <v>2103</v>
      </c>
      <c r="D2043">
        <v>472</v>
      </c>
      <c r="E2043">
        <v>1064</v>
      </c>
      <c r="F2043">
        <v>1</v>
      </c>
      <c r="G2043">
        <v>30.991649589942298</v>
      </c>
      <c r="H2043">
        <v>2</v>
      </c>
      <c r="I2043">
        <v>59</v>
      </c>
      <c r="K2043" t="s">
        <v>2386</v>
      </c>
      <c r="L2043">
        <v>20</v>
      </c>
      <c r="M2043" t="s">
        <v>2889</v>
      </c>
      <c r="N2043" t="s">
        <v>2388</v>
      </c>
      <c r="O2043">
        <v>1</v>
      </c>
    </row>
    <row r="2044" spans="2:15" x14ac:dyDescent="0.3">
      <c r="B2044">
        <v>2104</v>
      </c>
      <c r="D2044">
        <v>1065</v>
      </c>
      <c r="E2044">
        <v>471</v>
      </c>
      <c r="F2044">
        <v>1</v>
      </c>
      <c r="G2044">
        <v>33.502632773219503</v>
      </c>
      <c r="H2044">
        <v>2</v>
      </c>
      <c r="I2044">
        <v>59</v>
      </c>
      <c r="K2044" t="s">
        <v>2386</v>
      </c>
      <c r="L2044">
        <v>20</v>
      </c>
      <c r="M2044" t="s">
        <v>2890</v>
      </c>
      <c r="N2044" t="s">
        <v>2388</v>
      </c>
      <c r="O2044">
        <v>1</v>
      </c>
    </row>
    <row r="2045" spans="2:15" x14ac:dyDescent="0.3">
      <c r="B2045">
        <v>2105</v>
      </c>
      <c r="D2045">
        <v>471</v>
      </c>
      <c r="E2045">
        <v>1065</v>
      </c>
      <c r="F2045">
        <v>1</v>
      </c>
      <c r="G2045">
        <v>33.502632773219503</v>
      </c>
      <c r="H2045">
        <v>2</v>
      </c>
      <c r="I2045">
        <v>59</v>
      </c>
      <c r="K2045" t="s">
        <v>2386</v>
      </c>
      <c r="L2045">
        <v>20</v>
      </c>
      <c r="M2045" t="s">
        <v>2891</v>
      </c>
      <c r="N2045" t="s">
        <v>2388</v>
      </c>
      <c r="O2045">
        <v>1</v>
      </c>
    </row>
    <row r="2046" spans="2:15" x14ac:dyDescent="0.3">
      <c r="B2046">
        <v>2106</v>
      </c>
      <c r="D2046">
        <v>1066</v>
      </c>
      <c r="E2046">
        <v>358</v>
      </c>
      <c r="F2046">
        <v>1</v>
      </c>
      <c r="G2046">
        <v>49.986460811374002</v>
      </c>
      <c r="H2046">
        <v>2</v>
      </c>
      <c r="I2046">
        <v>59</v>
      </c>
      <c r="K2046" t="s">
        <v>2386</v>
      </c>
      <c r="L2046">
        <v>20</v>
      </c>
      <c r="M2046" t="s">
        <v>2892</v>
      </c>
      <c r="N2046" t="s">
        <v>2388</v>
      </c>
      <c r="O2046">
        <v>1</v>
      </c>
    </row>
    <row r="2047" spans="2:15" x14ac:dyDescent="0.3">
      <c r="B2047">
        <v>2107</v>
      </c>
      <c r="D2047">
        <v>358</v>
      </c>
      <c r="E2047">
        <v>1066</v>
      </c>
      <c r="F2047">
        <v>1</v>
      </c>
      <c r="G2047">
        <v>49.986460811374002</v>
      </c>
      <c r="H2047">
        <v>2</v>
      </c>
      <c r="I2047">
        <v>59</v>
      </c>
      <c r="K2047" t="s">
        <v>2386</v>
      </c>
      <c r="L2047">
        <v>20</v>
      </c>
      <c r="M2047" t="s">
        <v>2893</v>
      </c>
      <c r="N2047" t="s">
        <v>2388</v>
      </c>
      <c r="O2047">
        <v>1</v>
      </c>
    </row>
    <row r="2048" spans="2:15" x14ac:dyDescent="0.3">
      <c r="B2048">
        <v>2108</v>
      </c>
      <c r="D2048">
        <v>1067</v>
      </c>
      <c r="E2048">
        <v>360</v>
      </c>
      <c r="F2048">
        <v>1</v>
      </c>
      <c r="G2048">
        <v>35.462334208628398</v>
      </c>
      <c r="H2048">
        <v>2</v>
      </c>
      <c r="I2048">
        <v>59</v>
      </c>
      <c r="K2048" t="s">
        <v>2386</v>
      </c>
      <c r="L2048">
        <v>20</v>
      </c>
      <c r="M2048" t="s">
        <v>2894</v>
      </c>
      <c r="N2048" t="s">
        <v>2388</v>
      </c>
      <c r="O2048">
        <v>1</v>
      </c>
    </row>
    <row r="2049" spans="2:15" x14ac:dyDescent="0.3">
      <c r="B2049">
        <v>2109</v>
      </c>
      <c r="D2049">
        <v>360</v>
      </c>
      <c r="E2049">
        <v>1067</v>
      </c>
      <c r="F2049">
        <v>1</v>
      </c>
      <c r="G2049">
        <v>35.462334208628398</v>
      </c>
      <c r="H2049">
        <v>2</v>
      </c>
      <c r="I2049">
        <v>59</v>
      </c>
      <c r="K2049" t="s">
        <v>2386</v>
      </c>
      <c r="L2049">
        <v>20</v>
      </c>
      <c r="M2049" t="s">
        <v>2895</v>
      </c>
      <c r="N2049" t="s">
        <v>2388</v>
      </c>
      <c r="O2049">
        <v>1</v>
      </c>
    </row>
    <row r="2050" spans="2:15" x14ac:dyDescent="0.3">
      <c r="B2050">
        <v>2110</v>
      </c>
      <c r="D2050">
        <v>1068</v>
      </c>
      <c r="E2050">
        <v>568</v>
      </c>
      <c r="F2050">
        <v>1</v>
      </c>
      <c r="G2050">
        <v>41.0785982394043</v>
      </c>
      <c r="H2050">
        <v>2</v>
      </c>
      <c r="I2050">
        <v>59</v>
      </c>
      <c r="K2050" t="s">
        <v>2386</v>
      </c>
      <c r="L2050">
        <v>20</v>
      </c>
      <c r="M2050" t="s">
        <v>2896</v>
      </c>
      <c r="N2050" t="s">
        <v>2388</v>
      </c>
      <c r="O2050">
        <v>1</v>
      </c>
    </row>
    <row r="2051" spans="2:15" x14ac:dyDescent="0.3">
      <c r="B2051">
        <v>2111</v>
      </c>
      <c r="D2051">
        <v>568</v>
      </c>
      <c r="E2051">
        <v>1068</v>
      </c>
      <c r="F2051">
        <v>1</v>
      </c>
      <c r="G2051">
        <v>41.0785982394043</v>
      </c>
      <c r="H2051">
        <v>2</v>
      </c>
      <c r="I2051">
        <v>59</v>
      </c>
      <c r="K2051" t="s">
        <v>2386</v>
      </c>
      <c r="L2051">
        <v>20</v>
      </c>
      <c r="M2051" t="s">
        <v>2897</v>
      </c>
      <c r="N2051" t="s">
        <v>2388</v>
      </c>
      <c r="O2051">
        <v>1</v>
      </c>
    </row>
    <row r="2052" spans="2:15" x14ac:dyDescent="0.3">
      <c r="B2052">
        <v>2112</v>
      </c>
      <c r="D2052">
        <v>1069</v>
      </c>
      <c r="E2052">
        <v>587</v>
      </c>
      <c r="F2052">
        <v>1</v>
      </c>
      <c r="G2052">
        <v>36.972049639295101</v>
      </c>
      <c r="H2052">
        <v>2</v>
      </c>
      <c r="I2052">
        <v>59</v>
      </c>
      <c r="K2052" t="s">
        <v>2386</v>
      </c>
      <c r="L2052">
        <v>20</v>
      </c>
      <c r="M2052" t="s">
        <v>2898</v>
      </c>
      <c r="N2052" t="s">
        <v>2388</v>
      </c>
      <c r="O2052">
        <v>1</v>
      </c>
    </row>
    <row r="2053" spans="2:15" x14ac:dyDescent="0.3">
      <c r="B2053">
        <v>2113</v>
      </c>
      <c r="D2053">
        <v>587</v>
      </c>
      <c r="E2053">
        <v>1069</v>
      </c>
      <c r="F2053">
        <v>1</v>
      </c>
      <c r="G2053">
        <v>36.972049639295101</v>
      </c>
      <c r="H2053">
        <v>2</v>
      </c>
      <c r="I2053">
        <v>59</v>
      </c>
      <c r="K2053" t="s">
        <v>2386</v>
      </c>
      <c r="L2053">
        <v>20</v>
      </c>
      <c r="M2053" t="s">
        <v>2899</v>
      </c>
      <c r="N2053" t="s">
        <v>2388</v>
      </c>
      <c r="O2053">
        <v>1</v>
      </c>
    </row>
    <row r="2054" spans="2:15" x14ac:dyDescent="0.3">
      <c r="B2054">
        <v>2114</v>
      </c>
      <c r="D2054">
        <v>1070</v>
      </c>
      <c r="E2054">
        <v>529</v>
      </c>
      <c r="F2054">
        <v>1</v>
      </c>
      <c r="G2054">
        <v>41.750286277418802</v>
      </c>
      <c r="H2054">
        <v>2</v>
      </c>
      <c r="I2054">
        <v>59</v>
      </c>
      <c r="K2054" t="s">
        <v>2386</v>
      </c>
      <c r="L2054">
        <v>20</v>
      </c>
      <c r="M2054" t="s">
        <v>2900</v>
      </c>
      <c r="N2054" t="s">
        <v>2388</v>
      </c>
      <c r="O2054">
        <v>1</v>
      </c>
    </row>
    <row r="2055" spans="2:15" x14ac:dyDescent="0.3">
      <c r="B2055">
        <v>2115</v>
      </c>
      <c r="D2055">
        <v>529</v>
      </c>
      <c r="E2055">
        <v>1070</v>
      </c>
      <c r="F2055">
        <v>1</v>
      </c>
      <c r="G2055">
        <v>41.750286277418802</v>
      </c>
      <c r="H2055">
        <v>2</v>
      </c>
      <c r="I2055">
        <v>59</v>
      </c>
      <c r="K2055" t="s">
        <v>2386</v>
      </c>
      <c r="L2055">
        <v>20</v>
      </c>
      <c r="M2055" t="s">
        <v>2901</v>
      </c>
      <c r="N2055" t="s">
        <v>2388</v>
      </c>
      <c r="O2055">
        <v>1</v>
      </c>
    </row>
    <row r="2056" spans="2:15" x14ac:dyDescent="0.3">
      <c r="B2056">
        <v>2116</v>
      </c>
      <c r="D2056">
        <v>1071</v>
      </c>
      <c r="E2056">
        <v>437</v>
      </c>
      <c r="F2056">
        <v>1</v>
      </c>
      <c r="G2056">
        <v>36.383870981762897</v>
      </c>
      <c r="H2056">
        <v>2</v>
      </c>
      <c r="I2056">
        <v>59</v>
      </c>
      <c r="K2056" t="s">
        <v>2386</v>
      </c>
      <c r="L2056">
        <v>20</v>
      </c>
      <c r="M2056" t="s">
        <v>2902</v>
      </c>
      <c r="N2056" t="s">
        <v>2388</v>
      </c>
      <c r="O2056">
        <v>1</v>
      </c>
    </row>
    <row r="2057" spans="2:15" x14ac:dyDescent="0.3">
      <c r="B2057">
        <v>2117</v>
      </c>
      <c r="D2057">
        <v>437</v>
      </c>
      <c r="E2057">
        <v>1071</v>
      </c>
      <c r="F2057">
        <v>1</v>
      </c>
      <c r="G2057">
        <v>36.383870981762897</v>
      </c>
      <c r="H2057">
        <v>2</v>
      </c>
      <c r="I2057">
        <v>59</v>
      </c>
      <c r="K2057" t="s">
        <v>2386</v>
      </c>
      <c r="L2057">
        <v>20</v>
      </c>
      <c r="M2057" t="s">
        <v>2903</v>
      </c>
      <c r="N2057" t="s">
        <v>2388</v>
      </c>
      <c r="O2057">
        <v>1</v>
      </c>
    </row>
    <row r="2058" spans="2:15" x14ac:dyDescent="0.3">
      <c r="B2058">
        <v>2118</v>
      </c>
      <c r="D2058">
        <v>1072</v>
      </c>
      <c r="E2058">
        <v>513</v>
      </c>
      <c r="F2058">
        <v>1</v>
      </c>
      <c r="G2058">
        <v>64.899031463411504</v>
      </c>
      <c r="H2058">
        <v>2</v>
      </c>
      <c r="I2058">
        <v>59</v>
      </c>
      <c r="K2058" t="s">
        <v>2386</v>
      </c>
      <c r="L2058">
        <v>20</v>
      </c>
      <c r="M2058" t="s">
        <v>2904</v>
      </c>
      <c r="N2058" t="s">
        <v>2388</v>
      </c>
      <c r="O2058">
        <v>1</v>
      </c>
    </row>
    <row r="2059" spans="2:15" x14ac:dyDescent="0.3">
      <c r="B2059">
        <v>2119</v>
      </c>
      <c r="D2059">
        <v>513</v>
      </c>
      <c r="E2059">
        <v>1072</v>
      </c>
      <c r="F2059">
        <v>1</v>
      </c>
      <c r="G2059">
        <v>64.899031463411504</v>
      </c>
      <c r="H2059">
        <v>2</v>
      </c>
      <c r="I2059">
        <v>59</v>
      </c>
      <c r="K2059" t="s">
        <v>2386</v>
      </c>
      <c r="L2059">
        <v>20</v>
      </c>
      <c r="M2059" t="s">
        <v>2905</v>
      </c>
      <c r="N2059" t="s">
        <v>2388</v>
      </c>
      <c r="O2059">
        <v>1</v>
      </c>
    </row>
    <row r="2060" spans="2:15" x14ac:dyDescent="0.3">
      <c r="B2060">
        <v>2120</v>
      </c>
      <c r="D2060">
        <v>1073</v>
      </c>
      <c r="E2060">
        <v>538</v>
      </c>
      <c r="F2060">
        <v>1</v>
      </c>
      <c r="G2060">
        <v>50.1150445409193</v>
      </c>
      <c r="H2060">
        <v>2</v>
      </c>
      <c r="I2060">
        <v>59</v>
      </c>
      <c r="K2060" t="s">
        <v>2386</v>
      </c>
      <c r="L2060">
        <v>20</v>
      </c>
      <c r="M2060" t="s">
        <v>2906</v>
      </c>
      <c r="N2060" t="s">
        <v>2388</v>
      </c>
      <c r="O2060">
        <v>1</v>
      </c>
    </row>
    <row r="2061" spans="2:15" x14ac:dyDescent="0.3">
      <c r="B2061">
        <v>2121</v>
      </c>
      <c r="D2061">
        <v>538</v>
      </c>
      <c r="E2061">
        <v>1073</v>
      </c>
      <c r="F2061">
        <v>1</v>
      </c>
      <c r="G2061">
        <v>50.1150445409193</v>
      </c>
      <c r="H2061">
        <v>2</v>
      </c>
      <c r="I2061">
        <v>59</v>
      </c>
      <c r="K2061" t="s">
        <v>2386</v>
      </c>
      <c r="L2061">
        <v>20</v>
      </c>
      <c r="M2061" t="s">
        <v>2907</v>
      </c>
      <c r="N2061" t="s">
        <v>2388</v>
      </c>
      <c r="O2061">
        <v>1</v>
      </c>
    </row>
    <row r="2062" spans="2:15" x14ac:dyDescent="0.3">
      <c r="B2062">
        <v>2122</v>
      </c>
      <c r="D2062">
        <v>1074</v>
      </c>
      <c r="E2062">
        <v>538</v>
      </c>
      <c r="F2062">
        <v>1</v>
      </c>
      <c r="G2062">
        <v>32.881872322103099</v>
      </c>
      <c r="H2062">
        <v>2</v>
      </c>
      <c r="I2062">
        <v>59</v>
      </c>
      <c r="K2062" t="s">
        <v>2386</v>
      </c>
      <c r="L2062">
        <v>20</v>
      </c>
      <c r="M2062" t="s">
        <v>2908</v>
      </c>
      <c r="N2062" t="s">
        <v>2388</v>
      </c>
      <c r="O2062">
        <v>1</v>
      </c>
    </row>
    <row r="2063" spans="2:15" x14ac:dyDescent="0.3">
      <c r="B2063">
        <v>2123</v>
      </c>
      <c r="D2063">
        <v>538</v>
      </c>
      <c r="E2063">
        <v>1074</v>
      </c>
      <c r="F2063">
        <v>1</v>
      </c>
      <c r="G2063">
        <v>32.881872322103099</v>
      </c>
      <c r="H2063">
        <v>2</v>
      </c>
      <c r="I2063">
        <v>59</v>
      </c>
      <c r="K2063" t="s">
        <v>2386</v>
      </c>
      <c r="L2063">
        <v>20</v>
      </c>
      <c r="M2063" t="s">
        <v>2909</v>
      </c>
      <c r="N2063" t="s">
        <v>2388</v>
      </c>
      <c r="O2063">
        <v>1</v>
      </c>
    </row>
    <row r="2064" spans="2:15" x14ac:dyDescent="0.3">
      <c r="B2064">
        <v>2124</v>
      </c>
      <c r="D2064">
        <v>1075</v>
      </c>
      <c r="E2064">
        <v>670</v>
      </c>
      <c r="F2064">
        <v>1</v>
      </c>
      <c r="G2064">
        <v>68.247447300632999</v>
      </c>
      <c r="H2064">
        <v>2</v>
      </c>
      <c r="I2064">
        <v>59</v>
      </c>
      <c r="K2064" t="s">
        <v>2386</v>
      </c>
      <c r="L2064">
        <v>20</v>
      </c>
      <c r="M2064" t="s">
        <v>2910</v>
      </c>
      <c r="N2064" t="s">
        <v>2388</v>
      </c>
      <c r="O2064">
        <v>1</v>
      </c>
    </row>
    <row r="2065" spans="2:15" x14ac:dyDescent="0.3">
      <c r="B2065">
        <v>2125</v>
      </c>
      <c r="D2065">
        <v>670</v>
      </c>
      <c r="E2065">
        <v>1075</v>
      </c>
      <c r="F2065">
        <v>1</v>
      </c>
      <c r="G2065">
        <v>68.247447300632999</v>
      </c>
      <c r="H2065">
        <v>2</v>
      </c>
      <c r="I2065">
        <v>59</v>
      </c>
      <c r="K2065" t="s">
        <v>2386</v>
      </c>
      <c r="L2065">
        <v>20</v>
      </c>
      <c r="M2065" t="s">
        <v>2911</v>
      </c>
      <c r="N2065" t="s">
        <v>2388</v>
      </c>
      <c r="O2065">
        <v>1</v>
      </c>
    </row>
    <row r="2066" spans="2:15" x14ac:dyDescent="0.3">
      <c r="B2066">
        <v>2126</v>
      </c>
      <c r="D2066">
        <v>1076</v>
      </c>
      <c r="E2066">
        <v>670</v>
      </c>
      <c r="F2066">
        <v>1</v>
      </c>
      <c r="G2066">
        <v>100.665059249186</v>
      </c>
      <c r="H2066">
        <v>2</v>
      </c>
      <c r="I2066">
        <v>59</v>
      </c>
      <c r="K2066" t="s">
        <v>2386</v>
      </c>
      <c r="L2066">
        <v>20</v>
      </c>
      <c r="M2066" t="s">
        <v>2912</v>
      </c>
      <c r="N2066" t="s">
        <v>2388</v>
      </c>
      <c r="O2066">
        <v>1</v>
      </c>
    </row>
    <row r="2067" spans="2:15" x14ac:dyDescent="0.3">
      <c r="B2067">
        <v>2127</v>
      </c>
      <c r="D2067">
        <v>670</v>
      </c>
      <c r="E2067">
        <v>1076</v>
      </c>
      <c r="F2067">
        <v>1</v>
      </c>
      <c r="G2067">
        <v>100.665059249186</v>
      </c>
      <c r="H2067">
        <v>2</v>
      </c>
      <c r="I2067">
        <v>59</v>
      </c>
      <c r="K2067" t="s">
        <v>2386</v>
      </c>
      <c r="L2067">
        <v>20</v>
      </c>
      <c r="M2067" t="s">
        <v>2913</v>
      </c>
      <c r="N2067" t="s">
        <v>2388</v>
      </c>
      <c r="O2067">
        <v>1</v>
      </c>
    </row>
    <row r="2068" spans="2:15" x14ac:dyDescent="0.3">
      <c r="B2068">
        <v>2128</v>
      </c>
      <c r="D2068">
        <v>1077</v>
      </c>
      <c r="E2068">
        <v>670</v>
      </c>
      <c r="F2068">
        <v>1</v>
      </c>
      <c r="G2068">
        <v>48.508988096713303</v>
      </c>
      <c r="H2068">
        <v>2</v>
      </c>
      <c r="I2068">
        <v>59</v>
      </c>
      <c r="K2068" t="s">
        <v>2386</v>
      </c>
      <c r="L2068">
        <v>20</v>
      </c>
      <c r="M2068" t="s">
        <v>2914</v>
      </c>
      <c r="N2068" t="s">
        <v>2388</v>
      </c>
      <c r="O2068">
        <v>1</v>
      </c>
    </row>
    <row r="2069" spans="2:15" x14ac:dyDescent="0.3">
      <c r="B2069">
        <v>2129</v>
      </c>
      <c r="D2069">
        <v>670</v>
      </c>
      <c r="E2069">
        <v>1077</v>
      </c>
      <c r="F2069">
        <v>1</v>
      </c>
      <c r="G2069">
        <v>48.508988096713303</v>
      </c>
      <c r="H2069">
        <v>2</v>
      </c>
      <c r="I2069">
        <v>59</v>
      </c>
      <c r="K2069" t="s">
        <v>2386</v>
      </c>
      <c r="L2069">
        <v>20</v>
      </c>
      <c r="M2069" t="s">
        <v>2915</v>
      </c>
      <c r="N2069" t="s">
        <v>2388</v>
      </c>
      <c r="O2069">
        <v>1</v>
      </c>
    </row>
    <row r="2070" spans="2:15" x14ac:dyDescent="0.3">
      <c r="B2070">
        <v>2130</v>
      </c>
      <c r="D2070">
        <v>1078</v>
      </c>
      <c r="E2070">
        <v>670</v>
      </c>
      <c r="F2070">
        <v>1</v>
      </c>
      <c r="G2070">
        <v>90.302031554485495</v>
      </c>
      <c r="H2070">
        <v>2</v>
      </c>
      <c r="I2070">
        <v>59</v>
      </c>
      <c r="K2070" t="s">
        <v>2386</v>
      </c>
      <c r="L2070">
        <v>20</v>
      </c>
      <c r="M2070" t="s">
        <v>2916</v>
      </c>
      <c r="N2070" t="s">
        <v>2388</v>
      </c>
      <c r="O2070">
        <v>1</v>
      </c>
    </row>
    <row r="2071" spans="2:15" x14ac:dyDescent="0.3">
      <c r="B2071">
        <v>2131</v>
      </c>
      <c r="D2071">
        <v>670</v>
      </c>
      <c r="E2071">
        <v>1078</v>
      </c>
      <c r="F2071">
        <v>1</v>
      </c>
      <c r="G2071">
        <v>90.302031554485495</v>
      </c>
      <c r="H2071">
        <v>2</v>
      </c>
      <c r="I2071">
        <v>59</v>
      </c>
      <c r="K2071" t="s">
        <v>2386</v>
      </c>
      <c r="L2071">
        <v>20</v>
      </c>
      <c r="M2071" t="s">
        <v>2917</v>
      </c>
      <c r="N2071" t="s">
        <v>2388</v>
      </c>
      <c r="O2071">
        <v>1</v>
      </c>
    </row>
    <row r="2072" spans="2:15" x14ac:dyDescent="0.3">
      <c r="B2072">
        <v>2132</v>
      </c>
      <c r="D2072">
        <v>1079</v>
      </c>
      <c r="E2072">
        <v>347</v>
      </c>
      <c r="F2072">
        <v>1</v>
      </c>
      <c r="G2072">
        <v>39.168833900166703</v>
      </c>
      <c r="H2072">
        <v>2</v>
      </c>
      <c r="I2072">
        <v>59</v>
      </c>
      <c r="K2072" t="s">
        <v>2386</v>
      </c>
      <c r="L2072">
        <v>20</v>
      </c>
      <c r="M2072" t="s">
        <v>2918</v>
      </c>
      <c r="N2072" t="s">
        <v>2388</v>
      </c>
      <c r="O2072">
        <v>1</v>
      </c>
    </row>
    <row r="2073" spans="2:15" x14ac:dyDescent="0.3">
      <c r="B2073">
        <v>2133</v>
      </c>
      <c r="D2073">
        <v>347</v>
      </c>
      <c r="E2073">
        <v>1079</v>
      </c>
      <c r="F2073">
        <v>1</v>
      </c>
      <c r="G2073">
        <v>39.168833900166703</v>
      </c>
      <c r="H2073">
        <v>2</v>
      </c>
      <c r="I2073">
        <v>59</v>
      </c>
      <c r="K2073" t="s">
        <v>2386</v>
      </c>
      <c r="L2073">
        <v>20</v>
      </c>
      <c r="M2073" t="s">
        <v>2919</v>
      </c>
      <c r="N2073" t="s">
        <v>2388</v>
      </c>
      <c r="O2073">
        <v>1</v>
      </c>
    </row>
    <row r="2074" spans="2:15" x14ac:dyDescent="0.3">
      <c r="B2074">
        <v>2134</v>
      </c>
      <c r="D2074">
        <v>1080</v>
      </c>
      <c r="E2074">
        <v>544</v>
      </c>
      <c r="F2074">
        <v>1</v>
      </c>
      <c r="G2074">
        <v>38.087474409361597</v>
      </c>
      <c r="H2074">
        <v>2</v>
      </c>
      <c r="I2074">
        <v>59</v>
      </c>
      <c r="K2074" t="s">
        <v>2386</v>
      </c>
      <c r="L2074">
        <v>20</v>
      </c>
      <c r="M2074" t="s">
        <v>2920</v>
      </c>
      <c r="N2074" t="s">
        <v>2388</v>
      </c>
      <c r="O2074">
        <v>1</v>
      </c>
    </row>
    <row r="2075" spans="2:15" x14ac:dyDescent="0.3">
      <c r="B2075">
        <v>2135</v>
      </c>
      <c r="D2075">
        <v>544</v>
      </c>
      <c r="E2075">
        <v>1080</v>
      </c>
      <c r="F2075">
        <v>1</v>
      </c>
      <c r="G2075">
        <v>38.087474409361597</v>
      </c>
      <c r="H2075">
        <v>2</v>
      </c>
      <c r="I2075">
        <v>59</v>
      </c>
      <c r="K2075" t="s">
        <v>2386</v>
      </c>
      <c r="L2075">
        <v>20</v>
      </c>
      <c r="M2075" t="s">
        <v>2921</v>
      </c>
      <c r="N2075" t="s">
        <v>2388</v>
      </c>
      <c r="O2075">
        <v>1</v>
      </c>
    </row>
    <row r="2076" spans="2:15" x14ac:dyDescent="0.3">
      <c r="B2076">
        <v>2136</v>
      </c>
      <c r="D2076">
        <v>1081</v>
      </c>
      <c r="E2076">
        <v>498</v>
      </c>
      <c r="F2076">
        <v>1</v>
      </c>
      <c r="G2076">
        <v>41.325893522557799</v>
      </c>
      <c r="H2076">
        <v>2</v>
      </c>
      <c r="I2076">
        <v>59</v>
      </c>
      <c r="K2076" t="s">
        <v>2386</v>
      </c>
      <c r="L2076">
        <v>20</v>
      </c>
      <c r="M2076" t="s">
        <v>2922</v>
      </c>
      <c r="N2076" t="s">
        <v>2388</v>
      </c>
      <c r="O2076">
        <v>1</v>
      </c>
    </row>
    <row r="2077" spans="2:15" x14ac:dyDescent="0.3">
      <c r="B2077">
        <v>2137</v>
      </c>
      <c r="D2077">
        <v>498</v>
      </c>
      <c r="E2077">
        <v>1081</v>
      </c>
      <c r="F2077">
        <v>1</v>
      </c>
      <c r="G2077">
        <v>41.325893522557799</v>
      </c>
      <c r="H2077">
        <v>2</v>
      </c>
      <c r="I2077">
        <v>59</v>
      </c>
      <c r="K2077" t="s">
        <v>2386</v>
      </c>
      <c r="L2077">
        <v>20</v>
      </c>
      <c r="M2077" t="s">
        <v>2923</v>
      </c>
      <c r="N2077" t="s">
        <v>2388</v>
      </c>
      <c r="O2077">
        <v>1</v>
      </c>
    </row>
    <row r="2078" spans="2:15" x14ac:dyDescent="0.3">
      <c r="B2078">
        <v>2138</v>
      </c>
      <c r="D2078">
        <v>1082</v>
      </c>
      <c r="E2078">
        <v>498</v>
      </c>
      <c r="F2078">
        <v>1</v>
      </c>
      <c r="G2078">
        <v>45.550094139295801</v>
      </c>
      <c r="H2078">
        <v>2</v>
      </c>
      <c r="I2078">
        <v>59</v>
      </c>
      <c r="K2078" t="s">
        <v>2386</v>
      </c>
      <c r="L2078">
        <v>20</v>
      </c>
      <c r="M2078" t="s">
        <v>2924</v>
      </c>
      <c r="N2078" t="s">
        <v>2388</v>
      </c>
      <c r="O2078">
        <v>1</v>
      </c>
    </row>
    <row r="2079" spans="2:15" x14ac:dyDescent="0.3">
      <c r="B2079">
        <v>2139</v>
      </c>
      <c r="D2079">
        <v>498</v>
      </c>
      <c r="E2079">
        <v>1082</v>
      </c>
      <c r="F2079">
        <v>1</v>
      </c>
      <c r="G2079">
        <v>45.550094139295801</v>
      </c>
      <c r="H2079">
        <v>2</v>
      </c>
      <c r="I2079">
        <v>59</v>
      </c>
      <c r="K2079" t="s">
        <v>2386</v>
      </c>
      <c r="L2079">
        <v>20</v>
      </c>
      <c r="M2079" t="s">
        <v>2925</v>
      </c>
      <c r="N2079" t="s">
        <v>2388</v>
      </c>
      <c r="O2079">
        <v>1</v>
      </c>
    </row>
    <row r="2080" spans="2:15" x14ac:dyDescent="0.3">
      <c r="B2080">
        <v>2140</v>
      </c>
      <c r="D2080">
        <v>1083</v>
      </c>
      <c r="E2080">
        <v>498</v>
      </c>
      <c r="F2080">
        <v>1</v>
      </c>
      <c r="G2080">
        <v>70.487170948533304</v>
      </c>
      <c r="H2080">
        <v>2</v>
      </c>
      <c r="I2080">
        <v>59</v>
      </c>
      <c r="K2080" t="s">
        <v>2386</v>
      </c>
      <c r="L2080">
        <v>20</v>
      </c>
      <c r="M2080" t="s">
        <v>2926</v>
      </c>
      <c r="N2080" t="s">
        <v>2388</v>
      </c>
      <c r="O2080">
        <v>1</v>
      </c>
    </row>
    <row r="2081" spans="2:15" x14ac:dyDescent="0.3">
      <c r="B2081">
        <v>2141</v>
      </c>
      <c r="D2081">
        <v>498</v>
      </c>
      <c r="E2081">
        <v>1083</v>
      </c>
      <c r="F2081">
        <v>1</v>
      </c>
      <c r="G2081">
        <v>70.487170948533304</v>
      </c>
      <c r="H2081">
        <v>2</v>
      </c>
      <c r="I2081">
        <v>59</v>
      </c>
      <c r="K2081" t="s">
        <v>2386</v>
      </c>
      <c r="L2081">
        <v>20</v>
      </c>
      <c r="M2081" t="s">
        <v>2927</v>
      </c>
      <c r="N2081" t="s">
        <v>2388</v>
      </c>
      <c r="O2081">
        <v>1</v>
      </c>
    </row>
    <row r="2082" spans="2:15" x14ac:dyDescent="0.3">
      <c r="B2082">
        <v>2142</v>
      </c>
      <c r="D2082">
        <v>1084</v>
      </c>
      <c r="E2082">
        <v>354</v>
      </c>
      <c r="F2082">
        <v>1</v>
      </c>
      <c r="G2082">
        <v>63.587188409258701</v>
      </c>
      <c r="H2082">
        <v>2</v>
      </c>
      <c r="I2082">
        <v>59</v>
      </c>
      <c r="K2082" t="s">
        <v>2386</v>
      </c>
      <c r="L2082">
        <v>20</v>
      </c>
      <c r="M2082" t="s">
        <v>2928</v>
      </c>
      <c r="N2082" t="s">
        <v>2388</v>
      </c>
      <c r="O2082">
        <v>1</v>
      </c>
    </row>
    <row r="2083" spans="2:15" x14ac:dyDescent="0.3">
      <c r="B2083">
        <v>2143</v>
      </c>
      <c r="D2083">
        <v>354</v>
      </c>
      <c r="E2083">
        <v>1084</v>
      </c>
      <c r="F2083">
        <v>1</v>
      </c>
      <c r="G2083">
        <v>63.587188409258701</v>
      </c>
      <c r="H2083">
        <v>2</v>
      </c>
      <c r="I2083">
        <v>59</v>
      </c>
      <c r="K2083" t="s">
        <v>2386</v>
      </c>
      <c r="L2083">
        <v>20</v>
      </c>
      <c r="M2083" t="s">
        <v>2929</v>
      </c>
      <c r="N2083" t="s">
        <v>2388</v>
      </c>
      <c r="O2083">
        <v>1</v>
      </c>
    </row>
    <row r="2084" spans="2:15" x14ac:dyDescent="0.3">
      <c r="B2084">
        <v>2144</v>
      </c>
      <c r="D2084">
        <v>1085</v>
      </c>
      <c r="E2084">
        <v>354</v>
      </c>
      <c r="F2084">
        <v>1</v>
      </c>
      <c r="G2084">
        <v>107.14877682367501</v>
      </c>
      <c r="H2084">
        <v>2</v>
      </c>
      <c r="I2084">
        <v>59</v>
      </c>
      <c r="K2084" t="s">
        <v>2386</v>
      </c>
      <c r="L2084">
        <v>20</v>
      </c>
      <c r="M2084" t="s">
        <v>2930</v>
      </c>
      <c r="N2084" t="s">
        <v>2388</v>
      </c>
      <c r="O2084">
        <v>1</v>
      </c>
    </row>
    <row r="2085" spans="2:15" x14ac:dyDescent="0.3">
      <c r="B2085">
        <v>2145</v>
      </c>
      <c r="D2085">
        <v>354</v>
      </c>
      <c r="E2085">
        <v>1085</v>
      </c>
      <c r="F2085">
        <v>1</v>
      </c>
      <c r="G2085">
        <v>107.14877682367501</v>
      </c>
      <c r="H2085">
        <v>2</v>
      </c>
      <c r="I2085">
        <v>59</v>
      </c>
      <c r="K2085" t="s">
        <v>2386</v>
      </c>
      <c r="L2085">
        <v>20</v>
      </c>
      <c r="M2085" t="s">
        <v>2931</v>
      </c>
      <c r="N2085" t="s">
        <v>2388</v>
      </c>
      <c r="O2085">
        <v>1</v>
      </c>
    </row>
    <row r="2086" spans="2:15" x14ac:dyDescent="0.3">
      <c r="B2086">
        <v>2146</v>
      </c>
      <c r="D2086">
        <v>1086</v>
      </c>
      <c r="E2086">
        <v>629</v>
      </c>
      <c r="F2086">
        <v>1</v>
      </c>
      <c r="G2086">
        <v>50.198040386575997</v>
      </c>
      <c r="H2086">
        <v>2</v>
      </c>
      <c r="I2086">
        <v>59</v>
      </c>
      <c r="K2086" t="s">
        <v>2386</v>
      </c>
      <c r="L2086">
        <v>20</v>
      </c>
      <c r="M2086" t="s">
        <v>2932</v>
      </c>
      <c r="N2086" t="s">
        <v>2388</v>
      </c>
      <c r="O2086">
        <v>1</v>
      </c>
    </row>
    <row r="2087" spans="2:15" x14ac:dyDescent="0.3">
      <c r="B2087">
        <v>2147</v>
      </c>
      <c r="D2087">
        <v>629</v>
      </c>
      <c r="E2087">
        <v>1086</v>
      </c>
      <c r="F2087">
        <v>1</v>
      </c>
      <c r="G2087">
        <v>50.198040386575997</v>
      </c>
      <c r="H2087">
        <v>2</v>
      </c>
      <c r="I2087">
        <v>59</v>
      </c>
      <c r="K2087" t="s">
        <v>2386</v>
      </c>
      <c r="L2087">
        <v>20</v>
      </c>
      <c r="M2087" t="s">
        <v>2933</v>
      </c>
      <c r="N2087" t="s">
        <v>2388</v>
      </c>
      <c r="O2087">
        <v>1</v>
      </c>
    </row>
    <row r="2088" spans="2:15" x14ac:dyDescent="0.3">
      <c r="B2088">
        <v>2148</v>
      </c>
      <c r="D2088">
        <v>1087</v>
      </c>
      <c r="E2088">
        <v>234</v>
      </c>
      <c r="F2088">
        <v>1</v>
      </c>
      <c r="G2088">
        <v>152.42496266443101</v>
      </c>
      <c r="H2088">
        <v>2</v>
      </c>
      <c r="I2088">
        <v>59</v>
      </c>
      <c r="K2088" t="s">
        <v>2386</v>
      </c>
      <c r="L2088">
        <v>20</v>
      </c>
      <c r="M2088" t="s">
        <v>2934</v>
      </c>
      <c r="N2088" t="s">
        <v>2388</v>
      </c>
      <c r="O2088">
        <v>1</v>
      </c>
    </row>
    <row r="2089" spans="2:15" x14ac:dyDescent="0.3">
      <c r="B2089">
        <v>2149</v>
      </c>
      <c r="D2089">
        <v>234</v>
      </c>
      <c r="E2089">
        <v>1087</v>
      </c>
      <c r="F2089">
        <v>1</v>
      </c>
      <c r="G2089">
        <v>152.42496266443101</v>
      </c>
      <c r="H2089">
        <v>2</v>
      </c>
      <c r="I2089">
        <v>59</v>
      </c>
      <c r="K2089" t="s">
        <v>2386</v>
      </c>
      <c r="L2089">
        <v>20</v>
      </c>
      <c r="M2089" t="s">
        <v>2935</v>
      </c>
      <c r="N2089" t="s">
        <v>2388</v>
      </c>
      <c r="O2089">
        <v>1</v>
      </c>
    </row>
    <row r="2090" spans="2:15" x14ac:dyDescent="0.3">
      <c r="B2090">
        <v>2150</v>
      </c>
      <c r="D2090">
        <v>1088</v>
      </c>
      <c r="E2090">
        <v>208</v>
      </c>
      <c r="F2090">
        <v>1</v>
      </c>
      <c r="G2090">
        <v>201.253745229141</v>
      </c>
      <c r="H2090">
        <v>2</v>
      </c>
      <c r="I2090">
        <v>59</v>
      </c>
      <c r="K2090" t="s">
        <v>2386</v>
      </c>
      <c r="L2090">
        <v>20</v>
      </c>
      <c r="M2090" t="s">
        <v>2936</v>
      </c>
      <c r="N2090" t="s">
        <v>2388</v>
      </c>
      <c r="O2090">
        <v>1</v>
      </c>
    </row>
    <row r="2091" spans="2:15" x14ac:dyDescent="0.3">
      <c r="B2091">
        <v>2151</v>
      </c>
      <c r="D2091">
        <v>208</v>
      </c>
      <c r="E2091">
        <v>1088</v>
      </c>
      <c r="F2091">
        <v>1</v>
      </c>
      <c r="G2091">
        <v>201.253745229141</v>
      </c>
      <c r="H2091">
        <v>2</v>
      </c>
      <c r="I2091">
        <v>59</v>
      </c>
      <c r="K2091" t="s">
        <v>2386</v>
      </c>
      <c r="L2091">
        <v>20</v>
      </c>
      <c r="M2091" t="s">
        <v>2937</v>
      </c>
      <c r="N2091" t="s">
        <v>2388</v>
      </c>
      <c r="O2091">
        <v>1</v>
      </c>
    </row>
    <row r="2092" spans="2:15" x14ac:dyDescent="0.3">
      <c r="B2092">
        <v>2152</v>
      </c>
      <c r="D2092">
        <v>1089</v>
      </c>
      <c r="E2092">
        <v>234</v>
      </c>
      <c r="F2092">
        <v>1</v>
      </c>
      <c r="G2092">
        <v>182.57941965551299</v>
      </c>
      <c r="H2092">
        <v>2</v>
      </c>
      <c r="I2092">
        <v>59</v>
      </c>
      <c r="K2092" t="s">
        <v>2386</v>
      </c>
      <c r="L2092">
        <v>20</v>
      </c>
      <c r="M2092" t="s">
        <v>2938</v>
      </c>
      <c r="N2092" t="s">
        <v>2388</v>
      </c>
      <c r="O2092">
        <v>1</v>
      </c>
    </row>
    <row r="2093" spans="2:15" x14ac:dyDescent="0.3">
      <c r="B2093">
        <v>2153</v>
      </c>
      <c r="D2093">
        <v>234</v>
      </c>
      <c r="E2093">
        <v>1089</v>
      </c>
      <c r="F2093">
        <v>1</v>
      </c>
      <c r="G2093">
        <v>182.57941965551299</v>
      </c>
      <c r="H2093">
        <v>2</v>
      </c>
      <c r="I2093">
        <v>59</v>
      </c>
      <c r="K2093" t="s">
        <v>2386</v>
      </c>
      <c r="L2093">
        <v>20</v>
      </c>
      <c r="M2093" t="s">
        <v>2939</v>
      </c>
      <c r="N2093" t="s">
        <v>2388</v>
      </c>
      <c r="O2093">
        <v>1</v>
      </c>
    </row>
    <row r="2094" spans="2:15" x14ac:dyDescent="0.3">
      <c r="B2094">
        <v>2154</v>
      </c>
      <c r="D2094">
        <v>1090</v>
      </c>
      <c r="E2094">
        <v>234</v>
      </c>
      <c r="F2094">
        <v>1</v>
      </c>
      <c r="G2094">
        <v>198.743512850342</v>
      </c>
      <c r="H2094">
        <v>2</v>
      </c>
      <c r="I2094">
        <v>59</v>
      </c>
      <c r="K2094" t="s">
        <v>2386</v>
      </c>
      <c r="L2094">
        <v>20</v>
      </c>
      <c r="M2094" t="s">
        <v>2940</v>
      </c>
      <c r="N2094" t="s">
        <v>2388</v>
      </c>
      <c r="O2094">
        <v>1</v>
      </c>
    </row>
    <row r="2095" spans="2:15" x14ac:dyDescent="0.3">
      <c r="B2095">
        <v>2155</v>
      </c>
      <c r="D2095">
        <v>234</v>
      </c>
      <c r="E2095">
        <v>1090</v>
      </c>
      <c r="F2095">
        <v>1</v>
      </c>
      <c r="G2095">
        <v>198.743512850342</v>
      </c>
      <c r="H2095">
        <v>2</v>
      </c>
      <c r="I2095">
        <v>59</v>
      </c>
      <c r="K2095" t="s">
        <v>2386</v>
      </c>
      <c r="L2095">
        <v>20</v>
      </c>
      <c r="M2095" t="s">
        <v>2941</v>
      </c>
      <c r="N2095" t="s">
        <v>2388</v>
      </c>
      <c r="O2095">
        <v>1</v>
      </c>
    </row>
    <row r="2096" spans="2:15" x14ac:dyDescent="0.3">
      <c r="B2096">
        <v>2156</v>
      </c>
      <c r="D2096">
        <v>1091</v>
      </c>
      <c r="E2096">
        <v>234</v>
      </c>
      <c r="F2096">
        <v>1</v>
      </c>
      <c r="G2096">
        <v>171.17694402727</v>
      </c>
      <c r="H2096">
        <v>2</v>
      </c>
      <c r="I2096">
        <v>59</v>
      </c>
      <c r="K2096" t="s">
        <v>2386</v>
      </c>
      <c r="L2096">
        <v>20</v>
      </c>
      <c r="M2096" t="s">
        <v>2942</v>
      </c>
      <c r="N2096" t="s">
        <v>2388</v>
      </c>
      <c r="O2096">
        <v>1</v>
      </c>
    </row>
    <row r="2097" spans="2:15" x14ac:dyDescent="0.3">
      <c r="B2097">
        <v>2157</v>
      </c>
      <c r="D2097">
        <v>234</v>
      </c>
      <c r="E2097">
        <v>1091</v>
      </c>
      <c r="F2097">
        <v>1</v>
      </c>
      <c r="G2097">
        <v>171.17694402727</v>
      </c>
      <c r="H2097">
        <v>2</v>
      </c>
      <c r="I2097">
        <v>59</v>
      </c>
      <c r="K2097" t="s">
        <v>2386</v>
      </c>
      <c r="L2097">
        <v>20</v>
      </c>
      <c r="M2097" t="s">
        <v>2943</v>
      </c>
      <c r="N2097" t="s">
        <v>2388</v>
      </c>
      <c r="O2097">
        <v>1</v>
      </c>
    </row>
    <row r="2098" spans="2:15" x14ac:dyDescent="0.3">
      <c r="B2098">
        <v>2158</v>
      </c>
      <c r="D2098">
        <v>1092</v>
      </c>
      <c r="E2098">
        <v>234</v>
      </c>
      <c r="F2098">
        <v>1</v>
      </c>
      <c r="G2098">
        <v>103.088770897147</v>
      </c>
      <c r="H2098">
        <v>2</v>
      </c>
      <c r="I2098">
        <v>59</v>
      </c>
      <c r="K2098" t="s">
        <v>2386</v>
      </c>
      <c r="L2098">
        <v>20</v>
      </c>
      <c r="M2098" t="s">
        <v>2944</v>
      </c>
      <c r="N2098" t="s">
        <v>2388</v>
      </c>
      <c r="O2098">
        <v>1</v>
      </c>
    </row>
    <row r="2099" spans="2:15" x14ac:dyDescent="0.3">
      <c r="B2099">
        <v>2159</v>
      </c>
      <c r="D2099">
        <v>234</v>
      </c>
      <c r="E2099">
        <v>1092</v>
      </c>
      <c r="F2099">
        <v>1</v>
      </c>
      <c r="G2099">
        <v>103.088770897147</v>
      </c>
      <c r="H2099">
        <v>2</v>
      </c>
      <c r="I2099">
        <v>59</v>
      </c>
      <c r="K2099" t="s">
        <v>2386</v>
      </c>
      <c r="L2099">
        <v>20</v>
      </c>
      <c r="M2099" t="s">
        <v>2945</v>
      </c>
      <c r="N2099" t="s">
        <v>2388</v>
      </c>
      <c r="O2099">
        <v>1</v>
      </c>
    </row>
    <row r="2100" spans="2:15" x14ac:dyDescent="0.3">
      <c r="B2100">
        <v>2160</v>
      </c>
      <c r="D2100">
        <v>1093</v>
      </c>
      <c r="E2100">
        <v>629</v>
      </c>
      <c r="F2100">
        <v>1</v>
      </c>
      <c r="G2100">
        <v>173.04378598892399</v>
      </c>
      <c r="H2100">
        <v>2</v>
      </c>
      <c r="I2100">
        <v>59</v>
      </c>
      <c r="K2100" t="s">
        <v>2386</v>
      </c>
      <c r="L2100">
        <v>20</v>
      </c>
      <c r="M2100" t="s">
        <v>2946</v>
      </c>
      <c r="N2100" t="s">
        <v>2388</v>
      </c>
      <c r="O2100">
        <v>1</v>
      </c>
    </row>
    <row r="2101" spans="2:15" x14ac:dyDescent="0.3">
      <c r="B2101">
        <v>2161</v>
      </c>
      <c r="D2101">
        <v>629</v>
      </c>
      <c r="E2101">
        <v>1093</v>
      </c>
      <c r="F2101">
        <v>1</v>
      </c>
      <c r="G2101">
        <v>173.04378598892399</v>
      </c>
      <c r="H2101">
        <v>2</v>
      </c>
      <c r="I2101">
        <v>59</v>
      </c>
      <c r="K2101" t="s">
        <v>2386</v>
      </c>
      <c r="L2101">
        <v>20</v>
      </c>
      <c r="M2101" t="s">
        <v>2947</v>
      </c>
      <c r="N2101" t="s">
        <v>2388</v>
      </c>
      <c r="O2101">
        <v>1</v>
      </c>
    </row>
    <row r="2102" spans="2:15" x14ac:dyDescent="0.3">
      <c r="B2102">
        <v>2162</v>
      </c>
      <c r="D2102">
        <v>1094</v>
      </c>
      <c r="E2102">
        <v>661</v>
      </c>
      <c r="F2102">
        <v>1</v>
      </c>
      <c r="G2102">
        <v>232.10679151513901</v>
      </c>
      <c r="H2102">
        <v>2</v>
      </c>
      <c r="I2102">
        <v>59</v>
      </c>
      <c r="K2102" t="s">
        <v>2386</v>
      </c>
      <c r="L2102">
        <v>20</v>
      </c>
      <c r="M2102" t="s">
        <v>2948</v>
      </c>
      <c r="N2102" t="s">
        <v>2388</v>
      </c>
      <c r="O2102">
        <v>1</v>
      </c>
    </row>
    <row r="2103" spans="2:15" x14ac:dyDescent="0.3">
      <c r="B2103">
        <v>2163</v>
      </c>
      <c r="D2103">
        <v>661</v>
      </c>
      <c r="E2103">
        <v>1094</v>
      </c>
      <c r="F2103">
        <v>1</v>
      </c>
      <c r="G2103">
        <v>232.10679151513901</v>
      </c>
      <c r="H2103">
        <v>2</v>
      </c>
      <c r="I2103">
        <v>59</v>
      </c>
      <c r="K2103" t="s">
        <v>2386</v>
      </c>
      <c r="L2103">
        <v>20</v>
      </c>
      <c r="M2103" t="s">
        <v>2949</v>
      </c>
      <c r="N2103" t="s">
        <v>2388</v>
      </c>
      <c r="O2103">
        <v>1</v>
      </c>
    </row>
    <row r="2104" spans="2:15" x14ac:dyDescent="0.3">
      <c r="B2104">
        <v>2164</v>
      </c>
      <c r="D2104">
        <v>1095</v>
      </c>
      <c r="E2104">
        <v>208</v>
      </c>
      <c r="F2104">
        <v>1</v>
      </c>
      <c r="G2104">
        <v>168.21719749885301</v>
      </c>
      <c r="H2104">
        <v>2</v>
      </c>
      <c r="I2104">
        <v>59</v>
      </c>
      <c r="K2104" t="s">
        <v>2386</v>
      </c>
      <c r="L2104">
        <v>20</v>
      </c>
      <c r="M2104" t="s">
        <v>2950</v>
      </c>
      <c r="N2104" t="s">
        <v>2388</v>
      </c>
      <c r="O2104">
        <v>1</v>
      </c>
    </row>
    <row r="2105" spans="2:15" x14ac:dyDescent="0.3">
      <c r="B2105">
        <v>2165</v>
      </c>
      <c r="D2105">
        <v>208</v>
      </c>
      <c r="E2105">
        <v>1095</v>
      </c>
      <c r="F2105">
        <v>1</v>
      </c>
      <c r="G2105">
        <v>168.21719749885301</v>
      </c>
      <c r="H2105">
        <v>2</v>
      </c>
      <c r="I2105">
        <v>59</v>
      </c>
      <c r="K2105" t="s">
        <v>2386</v>
      </c>
      <c r="L2105">
        <v>20</v>
      </c>
      <c r="M2105" t="s">
        <v>2951</v>
      </c>
      <c r="N2105" t="s">
        <v>2388</v>
      </c>
      <c r="O2105">
        <v>1</v>
      </c>
    </row>
    <row r="2106" spans="2:15" x14ac:dyDescent="0.3">
      <c r="B2106">
        <v>2166</v>
      </c>
      <c r="D2106">
        <v>1096</v>
      </c>
      <c r="E2106">
        <v>208</v>
      </c>
      <c r="F2106">
        <v>1</v>
      </c>
      <c r="G2106">
        <v>148.371971500282</v>
      </c>
      <c r="H2106">
        <v>2</v>
      </c>
      <c r="I2106">
        <v>59</v>
      </c>
      <c r="K2106" t="s">
        <v>2386</v>
      </c>
      <c r="L2106">
        <v>20</v>
      </c>
      <c r="M2106" t="s">
        <v>2952</v>
      </c>
      <c r="N2106" t="s">
        <v>2388</v>
      </c>
      <c r="O2106">
        <v>1</v>
      </c>
    </row>
    <row r="2107" spans="2:15" x14ac:dyDescent="0.3">
      <c r="B2107">
        <v>2167</v>
      </c>
      <c r="D2107">
        <v>208</v>
      </c>
      <c r="E2107">
        <v>1096</v>
      </c>
      <c r="F2107">
        <v>1</v>
      </c>
      <c r="G2107">
        <v>148.371971500282</v>
      </c>
      <c r="H2107">
        <v>2</v>
      </c>
      <c r="I2107">
        <v>59</v>
      </c>
      <c r="K2107" t="s">
        <v>2386</v>
      </c>
      <c r="L2107">
        <v>20</v>
      </c>
      <c r="M2107" t="s">
        <v>2953</v>
      </c>
      <c r="N2107" t="s">
        <v>2388</v>
      </c>
      <c r="O2107">
        <v>1</v>
      </c>
    </row>
    <row r="2108" spans="2:15" x14ac:dyDescent="0.3">
      <c r="B2108">
        <v>2168</v>
      </c>
      <c r="D2108">
        <v>1097</v>
      </c>
      <c r="E2108">
        <v>208</v>
      </c>
      <c r="F2108">
        <v>1</v>
      </c>
      <c r="G2108">
        <v>186.379115053074</v>
      </c>
      <c r="H2108">
        <v>2</v>
      </c>
      <c r="I2108">
        <v>59</v>
      </c>
      <c r="K2108" t="s">
        <v>2386</v>
      </c>
      <c r="L2108">
        <v>20</v>
      </c>
      <c r="M2108" t="s">
        <v>2954</v>
      </c>
      <c r="N2108" t="s">
        <v>2388</v>
      </c>
      <c r="O2108">
        <v>1</v>
      </c>
    </row>
    <row r="2109" spans="2:15" x14ac:dyDescent="0.3">
      <c r="B2109">
        <v>2169</v>
      </c>
      <c r="D2109">
        <v>208</v>
      </c>
      <c r="E2109">
        <v>1097</v>
      </c>
      <c r="F2109">
        <v>1</v>
      </c>
      <c r="G2109">
        <v>186.379115053074</v>
      </c>
      <c r="H2109">
        <v>2</v>
      </c>
      <c r="I2109">
        <v>59</v>
      </c>
      <c r="K2109" t="s">
        <v>2386</v>
      </c>
      <c r="L2109">
        <v>20</v>
      </c>
      <c r="M2109" t="s">
        <v>2955</v>
      </c>
      <c r="N2109" t="s">
        <v>2388</v>
      </c>
      <c r="O2109">
        <v>1</v>
      </c>
    </row>
    <row r="2110" spans="2:15" x14ac:dyDescent="0.3">
      <c r="B2110">
        <v>2170</v>
      </c>
      <c r="D2110">
        <v>1098</v>
      </c>
      <c r="E2110">
        <v>208</v>
      </c>
      <c r="F2110">
        <v>1</v>
      </c>
      <c r="G2110">
        <v>222.39264540026201</v>
      </c>
      <c r="H2110">
        <v>2</v>
      </c>
      <c r="I2110">
        <v>59</v>
      </c>
      <c r="K2110" t="s">
        <v>2386</v>
      </c>
      <c r="L2110">
        <v>20</v>
      </c>
      <c r="M2110" t="s">
        <v>2956</v>
      </c>
      <c r="N2110" t="s">
        <v>2388</v>
      </c>
      <c r="O2110">
        <v>1</v>
      </c>
    </row>
    <row r="2111" spans="2:15" x14ac:dyDescent="0.3">
      <c r="B2111">
        <v>2171</v>
      </c>
      <c r="D2111">
        <v>208</v>
      </c>
      <c r="E2111">
        <v>1098</v>
      </c>
      <c r="F2111">
        <v>1</v>
      </c>
      <c r="G2111">
        <v>222.39264540026201</v>
      </c>
      <c r="H2111">
        <v>2</v>
      </c>
      <c r="I2111">
        <v>59</v>
      </c>
      <c r="K2111" t="s">
        <v>2386</v>
      </c>
      <c r="L2111">
        <v>20</v>
      </c>
      <c r="M2111" t="s">
        <v>2957</v>
      </c>
      <c r="N2111" t="s">
        <v>2388</v>
      </c>
      <c r="O2111">
        <v>1</v>
      </c>
    </row>
    <row r="2112" spans="2:15" x14ac:dyDescent="0.3">
      <c r="B2112">
        <v>2172</v>
      </c>
      <c r="D2112">
        <v>1099</v>
      </c>
      <c r="E2112">
        <v>242</v>
      </c>
      <c r="F2112">
        <v>1</v>
      </c>
      <c r="G2112">
        <v>36.0291654005525</v>
      </c>
      <c r="H2112">
        <v>2</v>
      </c>
      <c r="I2112">
        <v>59</v>
      </c>
      <c r="K2112" t="s">
        <v>2386</v>
      </c>
      <c r="L2112">
        <v>20</v>
      </c>
      <c r="M2112" t="s">
        <v>2958</v>
      </c>
      <c r="N2112" t="s">
        <v>2388</v>
      </c>
      <c r="O2112">
        <v>1</v>
      </c>
    </row>
    <row r="2113" spans="2:15" x14ac:dyDescent="0.3">
      <c r="B2113">
        <v>2173</v>
      </c>
      <c r="D2113">
        <v>242</v>
      </c>
      <c r="E2113">
        <v>1099</v>
      </c>
      <c r="F2113">
        <v>1</v>
      </c>
      <c r="G2113">
        <v>36.0291654005525</v>
      </c>
      <c r="H2113">
        <v>2</v>
      </c>
      <c r="I2113">
        <v>59</v>
      </c>
      <c r="K2113" t="s">
        <v>2386</v>
      </c>
      <c r="L2113">
        <v>20</v>
      </c>
      <c r="M2113" t="s">
        <v>2959</v>
      </c>
      <c r="N2113" t="s">
        <v>2388</v>
      </c>
      <c r="O2113">
        <v>1</v>
      </c>
    </row>
    <row r="2114" spans="2:15" x14ac:dyDescent="0.3">
      <c r="B2114">
        <v>2174</v>
      </c>
      <c r="D2114">
        <v>1100</v>
      </c>
      <c r="E2114">
        <v>680</v>
      </c>
      <c r="F2114">
        <v>1</v>
      </c>
      <c r="G2114">
        <v>63.713180432421197</v>
      </c>
      <c r="H2114">
        <v>2</v>
      </c>
      <c r="I2114">
        <v>59</v>
      </c>
      <c r="K2114" t="s">
        <v>2386</v>
      </c>
      <c r="L2114">
        <v>20</v>
      </c>
      <c r="M2114" t="s">
        <v>2960</v>
      </c>
      <c r="N2114" t="s">
        <v>2388</v>
      </c>
      <c r="O2114">
        <v>1</v>
      </c>
    </row>
    <row r="2115" spans="2:15" x14ac:dyDescent="0.3">
      <c r="B2115">
        <v>2175</v>
      </c>
      <c r="D2115">
        <v>680</v>
      </c>
      <c r="E2115">
        <v>1100</v>
      </c>
      <c r="F2115">
        <v>1</v>
      </c>
      <c r="G2115">
        <v>63.713180432421197</v>
      </c>
      <c r="H2115">
        <v>2</v>
      </c>
      <c r="I2115">
        <v>59</v>
      </c>
      <c r="K2115" t="s">
        <v>2386</v>
      </c>
      <c r="L2115">
        <v>20</v>
      </c>
      <c r="M2115" t="s">
        <v>2961</v>
      </c>
      <c r="N2115" t="s">
        <v>2388</v>
      </c>
      <c r="O2115">
        <v>1</v>
      </c>
    </row>
    <row r="2116" spans="2:15" x14ac:dyDescent="0.3">
      <c r="B2116">
        <v>2176</v>
      </c>
      <c r="D2116">
        <v>1101</v>
      </c>
      <c r="E2116">
        <v>578</v>
      </c>
      <c r="F2116">
        <v>1</v>
      </c>
      <c r="G2116">
        <v>71.654779544057902</v>
      </c>
      <c r="H2116">
        <v>2</v>
      </c>
      <c r="I2116">
        <v>59</v>
      </c>
      <c r="K2116" t="s">
        <v>2386</v>
      </c>
      <c r="L2116">
        <v>20</v>
      </c>
      <c r="M2116" t="s">
        <v>2962</v>
      </c>
      <c r="N2116" t="s">
        <v>2388</v>
      </c>
      <c r="O2116">
        <v>1</v>
      </c>
    </row>
    <row r="2117" spans="2:15" x14ac:dyDescent="0.3">
      <c r="B2117">
        <v>2177</v>
      </c>
      <c r="D2117">
        <v>578</v>
      </c>
      <c r="E2117">
        <v>1101</v>
      </c>
      <c r="F2117">
        <v>1</v>
      </c>
      <c r="G2117">
        <v>71.654779544057902</v>
      </c>
      <c r="H2117">
        <v>2</v>
      </c>
      <c r="I2117">
        <v>59</v>
      </c>
      <c r="K2117" t="s">
        <v>2386</v>
      </c>
      <c r="L2117">
        <v>20</v>
      </c>
      <c r="M2117" t="s">
        <v>2963</v>
      </c>
      <c r="N2117" t="s">
        <v>2388</v>
      </c>
      <c r="O2117">
        <v>1</v>
      </c>
    </row>
    <row r="2118" spans="2:15" x14ac:dyDescent="0.3">
      <c r="B2118">
        <v>2178</v>
      </c>
      <c r="D2118">
        <v>1102</v>
      </c>
      <c r="E2118">
        <v>720</v>
      </c>
      <c r="F2118">
        <v>1</v>
      </c>
      <c r="G2118">
        <v>100.560219269454</v>
      </c>
      <c r="H2118">
        <v>2</v>
      </c>
      <c r="I2118">
        <v>59</v>
      </c>
      <c r="K2118" t="s">
        <v>2386</v>
      </c>
      <c r="L2118">
        <v>20</v>
      </c>
      <c r="M2118" t="s">
        <v>2964</v>
      </c>
      <c r="N2118" t="s">
        <v>2388</v>
      </c>
      <c r="O2118">
        <v>1</v>
      </c>
    </row>
    <row r="2119" spans="2:15" x14ac:dyDescent="0.3">
      <c r="B2119">
        <v>2179</v>
      </c>
      <c r="D2119">
        <v>720</v>
      </c>
      <c r="E2119">
        <v>1102</v>
      </c>
      <c r="F2119">
        <v>1</v>
      </c>
      <c r="G2119">
        <v>100.560219269454</v>
      </c>
      <c r="H2119">
        <v>2</v>
      </c>
      <c r="I2119">
        <v>59</v>
      </c>
      <c r="K2119" t="s">
        <v>2386</v>
      </c>
      <c r="L2119">
        <v>20</v>
      </c>
      <c r="M2119" t="s">
        <v>2965</v>
      </c>
      <c r="N2119" t="s">
        <v>2388</v>
      </c>
      <c r="O2119">
        <v>1</v>
      </c>
    </row>
    <row r="2120" spans="2:15" x14ac:dyDescent="0.3">
      <c r="B2120">
        <v>2180</v>
      </c>
      <c r="D2120">
        <v>1103</v>
      </c>
      <c r="E2120">
        <v>578</v>
      </c>
      <c r="F2120">
        <v>1</v>
      </c>
      <c r="G2120">
        <v>40.040276088484703</v>
      </c>
      <c r="H2120">
        <v>2</v>
      </c>
      <c r="I2120">
        <v>59</v>
      </c>
      <c r="K2120" t="s">
        <v>2386</v>
      </c>
      <c r="L2120">
        <v>20</v>
      </c>
      <c r="M2120" t="s">
        <v>2966</v>
      </c>
      <c r="N2120" t="s">
        <v>2388</v>
      </c>
      <c r="O2120">
        <v>1</v>
      </c>
    </row>
    <row r="2121" spans="2:15" x14ac:dyDescent="0.3">
      <c r="B2121">
        <v>2181</v>
      </c>
      <c r="D2121">
        <v>578</v>
      </c>
      <c r="E2121">
        <v>1103</v>
      </c>
      <c r="F2121">
        <v>1</v>
      </c>
      <c r="G2121">
        <v>40.040276088484703</v>
      </c>
      <c r="H2121">
        <v>2</v>
      </c>
      <c r="I2121">
        <v>59</v>
      </c>
      <c r="K2121" t="s">
        <v>2386</v>
      </c>
      <c r="L2121">
        <v>20</v>
      </c>
      <c r="M2121" t="s">
        <v>2967</v>
      </c>
      <c r="N2121" t="s">
        <v>2388</v>
      </c>
      <c r="O2121">
        <v>1</v>
      </c>
    </row>
    <row r="2122" spans="2:15" x14ac:dyDescent="0.3">
      <c r="B2122">
        <v>2182</v>
      </c>
      <c r="D2122">
        <v>1104</v>
      </c>
      <c r="E2122">
        <v>248</v>
      </c>
      <c r="F2122">
        <v>1</v>
      </c>
      <c r="G2122">
        <v>132.745847543764</v>
      </c>
      <c r="H2122">
        <v>2</v>
      </c>
      <c r="I2122">
        <v>59</v>
      </c>
      <c r="K2122" t="s">
        <v>2386</v>
      </c>
      <c r="L2122">
        <v>20</v>
      </c>
      <c r="M2122" t="s">
        <v>2968</v>
      </c>
      <c r="N2122" t="s">
        <v>2388</v>
      </c>
      <c r="O2122">
        <v>1</v>
      </c>
    </row>
    <row r="2123" spans="2:15" x14ac:dyDescent="0.3">
      <c r="B2123">
        <v>2183</v>
      </c>
      <c r="D2123">
        <v>248</v>
      </c>
      <c r="E2123">
        <v>1104</v>
      </c>
      <c r="F2123">
        <v>1</v>
      </c>
      <c r="G2123">
        <v>132.745847543764</v>
      </c>
      <c r="H2123">
        <v>2</v>
      </c>
      <c r="I2123">
        <v>59</v>
      </c>
      <c r="K2123" t="s">
        <v>2386</v>
      </c>
      <c r="L2123">
        <v>20</v>
      </c>
      <c r="M2123" t="s">
        <v>2969</v>
      </c>
      <c r="N2123" t="s">
        <v>2388</v>
      </c>
      <c r="O2123">
        <v>1</v>
      </c>
    </row>
    <row r="2124" spans="2:15" x14ac:dyDescent="0.3">
      <c r="B2124">
        <v>2184</v>
      </c>
      <c r="D2124">
        <v>1105</v>
      </c>
      <c r="E2124">
        <v>248</v>
      </c>
      <c r="F2124">
        <v>1</v>
      </c>
      <c r="G2124">
        <v>78.483927827180395</v>
      </c>
      <c r="H2124">
        <v>2</v>
      </c>
      <c r="I2124">
        <v>59</v>
      </c>
      <c r="K2124" t="s">
        <v>2386</v>
      </c>
      <c r="L2124">
        <v>20</v>
      </c>
      <c r="M2124" t="s">
        <v>2970</v>
      </c>
      <c r="N2124" t="s">
        <v>2388</v>
      </c>
      <c r="O2124">
        <v>1</v>
      </c>
    </row>
    <row r="2125" spans="2:15" x14ac:dyDescent="0.3">
      <c r="B2125">
        <v>2185</v>
      </c>
      <c r="D2125">
        <v>248</v>
      </c>
      <c r="E2125">
        <v>1105</v>
      </c>
      <c r="F2125">
        <v>1</v>
      </c>
      <c r="G2125">
        <v>78.483927827180395</v>
      </c>
      <c r="H2125">
        <v>2</v>
      </c>
      <c r="I2125">
        <v>59</v>
      </c>
      <c r="K2125" t="s">
        <v>2386</v>
      </c>
      <c r="L2125">
        <v>20</v>
      </c>
      <c r="M2125" t="s">
        <v>2971</v>
      </c>
      <c r="N2125" t="s">
        <v>2388</v>
      </c>
      <c r="O2125">
        <v>1</v>
      </c>
    </row>
    <row r="2126" spans="2:15" x14ac:dyDescent="0.3">
      <c r="B2126">
        <v>2186</v>
      </c>
      <c r="D2126">
        <v>1106</v>
      </c>
      <c r="E2126">
        <v>248</v>
      </c>
      <c r="F2126">
        <v>1</v>
      </c>
      <c r="G2126">
        <v>81.641769657150903</v>
      </c>
      <c r="H2126">
        <v>2</v>
      </c>
      <c r="I2126">
        <v>59</v>
      </c>
      <c r="K2126" t="s">
        <v>2386</v>
      </c>
      <c r="L2126">
        <v>20</v>
      </c>
      <c r="M2126" t="s">
        <v>2972</v>
      </c>
      <c r="N2126" t="s">
        <v>2388</v>
      </c>
      <c r="O2126">
        <v>1</v>
      </c>
    </row>
    <row r="2127" spans="2:15" x14ac:dyDescent="0.3">
      <c r="B2127">
        <v>2187</v>
      </c>
      <c r="D2127">
        <v>248</v>
      </c>
      <c r="E2127">
        <v>1106</v>
      </c>
      <c r="F2127">
        <v>1</v>
      </c>
      <c r="G2127">
        <v>81.641769657150903</v>
      </c>
      <c r="H2127">
        <v>2</v>
      </c>
      <c r="I2127">
        <v>59</v>
      </c>
      <c r="K2127" t="s">
        <v>2386</v>
      </c>
      <c r="L2127">
        <v>20</v>
      </c>
      <c r="M2127" t="s">
        <v>2973</v>
      </c>
      <c r="N2127" t="s">
        <v>2388</v>
      </c>
      <c r="O2127">
        <v>1</v>
      </c>
    </row>
    <row r="2128" spans="2:15" x14ac:dyDescent="0.3">
      <c r="B2128">
        <v>2188</v>
      </c>
      <c r="D2128">
        <v>1107</v>
      </c>
      <c r="E2128">
        <v>534</v>
      </c>
      <c r="F2128">
        <v>1</v>
      </c>
      <c r="G2128">
        <v>34.0605875849851</v>
      </c>
      <c r="H2128">
        <v>2</v>
      </c>
      <c r="I2128">
        <v>59</v>
      </c>
      <c r="K2128" t="s">
        <v>2386</v>
      </c>
      <c r="L2128">
        <v>20</v>
      </c>
      <c r="M2128" t="s">
        <v>2974</v>
      </c>
      <c r="N2128" t="s">
        <v>2388</v>
      </c>
      <c r="O2128">
        <v>1</v>
      </c>
    </row>
    <row r="2129" spans="2:15" x14ac:dyDescent="0.3">
      <c r="B2129">
        <v>2189</v>
      </c>
      <c r="D2129">
        <v>534</v>
      </c>
      <c r="E2129">
        <v>1107</v>
      </c>
      <c r="F2129">
        <v>1</v>
      </c>
      <c r="G2129">
        <v>34.0605875849851</v>
      </c>
      <c r="H2129">
        <v>2</v>
      </c>
      <c r="I2129">
        <v>59</v>
      </c>
      <c r="K2129" t="s">
        <v>2386</v>
      </c>
      <c r="L2129">
        <v>20</v>
      </c>
      <c r="M2129" t="s">
        <v>2975</v>
      </c>
      <c r="N2129" t="s">
        <v>2388</v>
      </c>
      <c r="O2129">
        <v>1</v>
      </c>
    </row>
    <row r="2130" spans="2:15" x14ac:dyDescent="0.3">
      <c r="B2130">
        <v>2190</v>
      </c>
      <c r="D2130">
        <v>1108</v>
      </c>
      <c r="E2130">
        <v>535</v>
      </c>
      <c r="F2130">
        <v>1</v>
      </c>
      <c r="G2130">
        <v>31.754623876258101</v>
      </c>
      <c r="H2130">
        <v>2</v>
      </c>
      <c r="I2130">
        <v>59</v>
      </c>
      <c r="K2130" t="s">
        <v>2386</v>
      </c>
      <c r="L2130">
        <v>20</v>
      </c>
      <c r="M2130" t="s">
        <v>2976</v>
      </c>
      <c r="N2130" t="s">
        <v>2388</v>
      </c>
      <c r="O2130">
        <v>1</v>
      </c>
    </row>
    <row r="2131" spans="2:15" x14ac:dyDescent="0.3">
      <c r="B2131">
        <v>2191</v>
      </c>
      <c r="D2131">
        <v>535</v>
      </c>
      <c r="E2131">
        <v>1108</v>
      </c>
      <c r="F2131">
        <v>1</v>
      </c>
      <c r="G2131">
        <v>31.754623876258101</v>
      </c>
      <c r="H2131">
        <v>2</v>
      </c>
      <c r="I2131">
        <v>59</v>
      </c>
      <c r="K2131" t="s">
        <v>2386</v>
      </c>
      <c r="L2131">
        <v>20</v>
      </c>
      <c r="M2131" t="s">
        <v>2977</v>
      </c>
      <c r="N2131" t="s">
        <v>2388</v>
      </c>
      <c r="O2131">
        <v>1</v>
      </c>
    </row>
    <row r="2132" spans="2:15" x14ac:dyDescent="0.3">
      <c r="B2132">
        <v>2192</v>
      </c>
      <c r="D2132">
        <v>1109</v>
      </c>
      <c r="E2132">
        <v>535</v>
      </c>
      <c r="F2132">
        <v>1</v>
      </c>
      <c r="G2132">
        <v>65.4230013441247</v>
      </c>
      <c r="H2132">
        <v>2</v>
      </c>
      <c r="I2132">
        <v>59</v>
      </c>
      <c r="K2132" t="s">
        <v>2386</v>
      </c>
      <c r="L2132">
        <v>20</v>
      </c>
      <c r="M2132" t="s">
        <v>2978</v>
      </c>
      <c r="N2132" t="s">
        <v>2388</v>
      </c>
      <c r="O2132">
        <v>1</v>
      </c>
    </row>
    <row r="2133" spans="2:15" x14ac:dyDescent="0.3">
      <c r="B2133">
        <v>2193</v>
      </c>
      <c r="D2133">
        <v>535</v>
      </c>
      <c r="E2133">
        <v>1109</v>
      </c>
      <c r="F2133">
        <v>1</v>
      </c>
      <c r="G2133">
        <v>65.4230013441247</v>
      </c>
      <c r="H2133">
        <v>2</v>
      </c>
      <c r="I2133">
        <v>59</v>
      </c>
      <c r="K2133" t="s">
        <v>2386</v>
      </c>
      <c r="L2133">
        <v>20</v>
      </c>
      <c r="M2133" t="s">
        <v>2979</v>
      </c>
      <c r="N2133" t="s">
        <v>2388</v>
      </c>
      <c r="O2133">
        <v>1</v>
      </c>
    </row>
    <row r="2134" spans="2:15" x14ac:dyDescent="0.3">
      <c r="B2134">
        <v>2194</v>
      </c>
      <c r="D2134">
        <v>1110</v>
      </c>
      <c r="E2134">
        <v>30</v>
      </c>
      <c r="F2134">
        <v>1</v>
      </c>
      <c r="G2134">
        <v>51.062838508788197</v>
      </c>
      <c r="H2134">
        <v>2</v>
      </c>
      <c r="I2134">
        <v>59</v>
      </c>
      <c r="K2134" t="s">
        <v>2386</v>
      </c>
      <c r="L2134">
        <v>20</v>
      </c>
      <c r="M2134" t="s">
        <v>2980</v>
      </c>
      <c r="N2134" t="s">
        <v>2388</v>
      </c>
      <c r="O2134">
        <v>1</v>
      </c>
    </row>
    <row r="2135" spans="2:15" x14ac:dyDescent="0.3">
      <c r="B2135">
        <v>2195</v>
      </c>
      <c r="D2135">
        <v>30</v>
      </c>
      <c r="E2135">
        <v>1110</v>
      </c>
      <c r="F2135">
        <v>1</v>
      </c>
      <c r="G2135">
        <v>51.062838508788197</v>
      </c>
      <c r="H2135">
        <v>2</v>
      </c>
      <c r="I2135">
        <v>59</v>
      </c>
      <c r="K2135" t="s">
        <v>2386</v>
      </c>
      <c r="L2135">
        <v>20</v>
      </c>
      <c r="M2135" t="s">
        <v>2981</v>
      </c>
      <c r="N2135" t="s">
        <v>2388</v>
      </c>
      <c r="O2135">
        <v>1</v>
      </c>
    </row>
    <row r="2136" spans="2:15" x14ac:dyDescent="0.3">
      <c r="B2136">
        <v>2196</v>
      </c>
      <c r="D2136">
        <v>1111</v>
      </c>
      <c r="E2136">
        <v>754</v>
      </c>
      <c r="F2136">
        <v>1</v>
      </c>
      <c r="G2136">
        <v>63.456866573891197</v>
      </c>
      <c r="H2136">
        <v>2</v>
      </c>
      <c r="I2136">
        <v>59</v>
      </c>
      <c r="K2136" t="s">
        <v>2386</v>
      </c>
      <c r="L2136">
        <v>20</v>
      </c>
      <c r="M2136" t="s">
        <v>2982</v>
      </c>
      <c r="N2136" t="s">
        <v>2388</v>
      </c>
      <c r="O2136">
        <v>1</v>
      </c>
    </row>
    <row r="2137" spans="2:15" x14ac:dyDescent="0.3">
      <c r="B2137">
        <v>2197</v>
      </c>
      <c r="D2137">
        <v>754</v>
      </c>
      <c r="E2137">
        <v>1111</v>
      </c>
      <c r="F2137">
        <v>1</v>
      </c>
      <c r="G2137">
        <v>63.456866573891197</v>
      </c>
      <c r="H2137">
        <v>2</v>
      </c>
      <c r="I2137">
        <v>59</v>
      </c>
      <c r="K2137" t="s">
        <v>2386</v>
      </c>
      <c r="L2137">
        <v>20</v>
      </c>
      <c r="M2137" t="s">
        <v>2983</v>
      </c>
      <c r="N2137" t="s">
        <v>2388</v>
      </c>
      <c r="O2137">
        <v>1</v>
      </c>
    </row>
    <row r="2138" spans="2:15" x14ac:dyDescent="0.3">
      <c r="B2138">
        <v>2198</v>
      </c>
      <c r="D2138">
        <v>1112</v>
      </c>
      <c r="E2138">
        <v>195</v>
      </c>
      <c r="F2138">
        <v>1</v>
      </c>
      <c r="G2138">
        <v>54.950762673052502</v>
      </c>
      <c r="H2138">
        <v>2</v>
      </c>
      <c r="I2138">
        <v>59</v>
      </c>
      <c r="K2138" t="s">
        <v>2386</v>
      </c>
      <c r="L2138">
        <v>20</v>
      </c>
      <c r="M2138" t="s">
        <v>2984</v>
      </c>
      <c r="N2138" t="s">
        <v>2388</v>
      </c>
      <c r="O2138">
        <v>1</v>
      </c>
    </row>
    <row r="2139" spans="2:15" x14ac:dyDescent="0.3">
      <c r="B2139">
        <v>2199</v>
      </c>
      <c r="D2139">
        <v>195</v>
      </c>
      <c r="E2139">
        <v>1112</v>
      </c>
      <c r="F2139">
        <v>1</v>
      </c>
      <c r="G2139">
        <v>54.950762673052502</v>
      </c>
      <c r="H2139">
        <v>2</v>
      </c>
      <c r="I2139">
        <v>59</v>
      </c>
      <c r="K2139" t="s">
        <v>2386</v>
      </c>
      <c r="L2139">
        <v>20</v>
      </c>
      <c r="M2139" t="s">
        <v>2985</v>
      </c>
      <c r="N2139" t="s">
        <v>2388</v>
      </c>
      <c r="O2139">
        <v>1</v>
      </c>
    </row>
    <row r="2140" spans="2:15" x14ac:dyDescent="0.3">
      <c r="B2140">
        <v>2200</v>
      </c>
      <c r="D2140">
        <v>1113</v>
      </c>
      <c r="E2140">
        <v>205</v>
      </c>
      <c r="F2140">
        <v>1</v>
      </c>
      <c r="G2140">
        <v>36.4169597104828</v>
      </c>
      <c r="H2140">
        <v>2</v>
      </c>
      <c r="I2140">
        <v>59</v>
      </c>
      <c r="K2140" t="s">
        <v>2386</v>
      </c>
      <c r="L2140">
        <v>20</v>
      </c>
      <c r="M2140" t="s">
        <v>2986</v>
      </c>
      <c r="N2140" t="s">
        <v>2388</v>
      </c>
      <c r="O2140">
        <v>1</v>
      </c>
    </row>
    <row r="2141" spans="2:15" x14ac:dyDescent="0.3">
      <c r="B2141">
        <v>2201</v>
      </c>
      <c r="D2141">
        <v>205</v>
      </c>
      <c r="E2141">
        <v>1113</v>
      </c>
      <c r="F2141">
        <v>1</v>
      </c>
      <c r="G2141">
        <v>36.4169597104828</v>
      </c>
      <c r="H2141">
        <v>2</v>
      </c>
      <c r="I2141">
        <v>59</v>
      </c>
      <c r="K2141" t="s">
        <v>2386</v>
      </c>
      <c r="L2141">
        <v>20</v>
      </c>
      <c r="M2141" t="s">
        <v>2987</v>
      </c>
      <c r="N2141" t="s">
        <v>2388</v>
      </c>
      <c r="O2141">
        <v>1</v>
      </c>
    </row>
    <row r="2142" spans="2:15" x14ac:dyDescent="0.3">
      <c r="B2142">
        <v>2202</v>
      </c>
      <c r="D2142">
        <v>1114</v>
      </c>
      <c r="E2142">
        <v>625</v>
      </c>
      <c r="F2142">
        <v>1</v>
      </c>
      <c r="G2142">
        <v>42.087762198581302</v>
      </c>
      <c r="H2142">
        <v>2</v>
      </c>
      <c r="I2142">
        <v>59</v>
      </c>
      <c r="K2142" t="s">
        <v>2386</v>
      </c>
      <c r="L2142">
        <v>20</v>
      </c>
      <c r="M2142" t="s">
        <v>2988</v>
      </c>
      <c r="N2142" t="s">
        <v>2388</v>
      </c>
      <c r="O2142">
        <v>1</v>
      </c>
    </row>
    <row r="2143" spans="2:15" x14ac:dyDescent="0.3">
      <c r="B2143">
        <v>2203</v>
      </c>
      <c r="D2143">
        <v>625</v>
      </c>
      <c r="E2143">
        <v>1114</v>
      </c>
      <c r="F2143">
        <v>1</v>
      </c>
      <c r="G2143">
        <v>42.087762198581302</v>
      </c>
      <c r="H2143">
        <v>2</v>
      </c>
      <c r="I2143">
        <v>59</v>
      </c>
      <c r="K2143" t="s">
        <v>2386</v>
      </c>
      <c r="L2143">
        <v>20</v>
      </c>
      <c r="M2143" t="s">
        <v>2989</v>
      </c>
      <c r="N2143" t="s">
        <v>2388</v>
      </c>
      <c r="O2143">
        <v>1</v>
      </c>
    </row>
    <row r="2144" spans="2:15" x14ac:dyDescent="0.3">
      <c r="B2144">
        <v>2204</v>
      </c>
      <c r="D2144">
        <v>1115</v>
      </c>
      <c r="E2144">
        <v>86</v>
      </c>
      <c r="F2144">
        <v>1</v>
      </c>
      <c r="G2144">
        <v>302.10527380914101</v>
      </c>
      <c r="H2144">
        <v>2</v>
      </c>
      <c r="I2144">
        <v>59</v>
      </c>
      <c r="K2144" t="s">
        <v>2386</v>
      </c>
      <c r="L2144">
        <v>20</v>
      </c>
      <c r="M2144" t="s">
        <v>2990</v>
      </c>
      <c r="N2144" t="s">
        <v>2388</v>
      </c>
      <c r="O2144">
        <v>1</v>
      </c>
    </row>
    <row r="2145" spans="2:15" x14ac:dyDescent="0.3">
      <c r="B2145">
        <v>2205</v>
      </c>
      <c r="D2145">
        <v>86</v>
      </c>
      <c r="E2145">
        <v>1115</v>
      </c>
      <c r="F2145">
        <v>1</v>
      </c>
      <c r="G2145">
        <v>302.10527380914101</v>
      </c>
      <c r="H2145">
        <v>2</v>
      </c>
      <c r="I2145">
        <v>59</v>
      </c>
      <c r="K2145" t="s">
        <v>2386</v>
      </c>
      <c r="L2145">
        <v>20</v>
      </c>
      <c r="M2145" t="s">
        <v>2991</v>
      </c>
      <c r="N2145" t="s">
        <v>2388</v>
      </c>
      <c r="O2145">
        <v>1</v>
      </c>
    </row>
    <row r="2146" spans="2:15" x14ac:dyDescent="0.3">
      <c r="B2146">
        <v>2206</v>
      </c>
      <c r="D2146">
        <v>1116</v>
      </c>
      <c r="E2146">
        <v>618</v>
      </c>
      <c r="F2146">
        <v>1</v>
      </c>
      <c r="G2146">
        <v>63.5899490988323</v>
      </c>
      <c r="H2146">
        <v>2</v>
      </c>
      <c r="I2146">
        <v>59</v>
      </c>
      <c r="K2146" t="s">
        <v>2386</v>
      </c>
      <c r="L2146">
        <v>20</v>
      </c>
      <c r="M2146" t="s">
        <v>2992</v>
      </c>
      <c r="N2146" t="s">
        <v>2388</v>
      </c>
      <c r="O2146">
        <v>1</v>
      </c>
    </row>
    <row r="2147" spans="2:15" x14ac:dyDescent="0.3">
      <c r="B2147">
        <v>2207</v>
      </c>
      <c r="D2147">
        <v>618</v>
      </c>
      <c r="E2147">
        <v>1116</v>
      </c>
      <c r="F2147">
        <v>1</v>
      </c>
      <c r="G2147">
        <v>63.5899490988323</v>
      </c>
      <c r="H2147">
        <v>2</v>
      </c>
      <c r="I2147">
        <v>59</v>
      </c>
      <c r="K2147" t="s">
        <v>2386</v>
      </c>
      <c r="L2147">
        <v>20</v>
      </c>
      <c r="M2147" t="s">
        <v>2993</v>
      </c>
      <c r="N2147" t="s">
        <v>2388</v>
      </c>
      <c r="O2147">
        <v>1</v>
      </c>
    </row>
    <row r="2148" spans="2:15" x14ac:dyDescent="0.3">
      <c r="B2148">
        <v>2208</v>
      </c>
      <c r="D2148">
        <v>1117</v>
      </c>
      <c r="E2148">
        <v>491</v>
      </c>
      <c r="F2148">
        <v>1</v>
      </c>
      <c r="G2148">
        <v>315.10321116154302</v>
      </c>
      <c r="H2148">
        <v>2</v>
      </c>
      <c r="I2148">
        <v>59</v>
      </c>
      <c r="K2148" t="s">
        <v>2386</v>
      </c>
      <c r="L2148">
        <v>20</v>
      </c>
      <c r="M2148" t="s">
        <v>2994</v>
      </c>
      <c r="N2148" t="s">
        <v>2388</v>
      </c>
      <c r="O2148">
        <v>1</v>
      </c>
    </row>
    <row r="2149" spans="2:15" x14ac:dyDescent="0.3">
      <c r="B2149">
        <v>2209</v>
      </c>
      <c r="D2149">
        <v>491</v>
      </c>
      <c r="E2149">
        <v>1117</v>
      </c>
      <c r="F2149">
        <v>1</v>
      </c>
      <c r="G2149">
        <v>315.10321116154302</v>
      </c>
      <c r="H2149">
        <v>2</v>
      </c>
      <c r="I2149">
        <v>59</v>
      </c>
      <c r="K2149" t="s">
        <v>2386</v>
      </c>
      <c r="L2149">
        <v>20</v>
      </c>
      <c r="M2149" t="s">
        <v>2995</v>
      </c>
      <c r="N2149" t="s">
        <v>2388</v>
      </c>
      <c r="O2149">
        <v>1</v>
      </c>
    </row>
    <row r="2150" spans="2:15" x14ac:dyDescent="0.3">
      <c r="B2150">
        <v>2210</v>
      </c>
      <c r="D2150">
        <v>1118</v>
      </c>
      <c r="E2150">
        <v>86</v>
      </c>
      <c r="F2150">
        <v>1</v>
      </c>
      <c r="G2150">
        <v>323.3182013238</v>
      </c>
      <c r="H2150">
        <v>2</v>
      </c>
      <c r="I2150">
        <v>59</v>
      </c>
      <c r="K2150" t="s">
        <v>2386</v>
      </c>
      <c r="L2150">
        <v>20</v>
      </c>
      <c r="M2150" t="s">
        <v>2996</v>
      </c>
      <c r="N2150" t="s">
        <v>2388</v>
      </c>
      <c r="O2150">
        <v>1</v>
      </c>
    </row>
    <row r="2151" spans="2:15" x14ac:dyDescent="0.3">
      <c r="B2151">
        <v>2211</v>
      </c>
      <c r="D2151">
        <v>86</v>
      </c>
      <c r="E2151">
        <v>1118</v>
      </c>
      <c r="F2151">
        <v>1</v>
      </c>
      <c r="G2151">
        <v>323.3182013238</v>
      </c>
      <c r="H2151">
        <v>2</v>
      </c>
      <c r="I2151">
        <v>59</v>
      </c>
      <c r="K2151" t="s">
        <v>2386</v>
      </c>
      <c r="L2151">
        <v>20</v>
      </c>
      <c r="M2151" t="s">
        <v>2997</v>
      </c>
      <c r="N2151" t="s">
        <v>2388</v>
      </c>
      <c r="O2151">
        <v>1</v>
      </c>
    </row>
    <row r="2152" spans="2:15" x14ac:dyDescent="0.3">
      <c r="B2152">
        <v>2212</v>
      </c>
      <c r="D2152">
        <v>1119</v>
      </c>
      <c r="E2152">
        <v>365</v>
      </c>
      <c r="F2152">
        <v>1</v>
      </c>
      <c r="G2152">
        <v>109.322686077771</v>
      </c>
      <c r="H2152">
        <v>2</v>
      </c>
      <c r="I2152">
        <v>59</v>
      </c>
      <c r="K2152" t="s">
        <v>2386</v>
      </c>
      <c r="L2152">
        <v>20</v>
      </c>
      <c r="M2152" t="s">
        <v>2998</v>
      </c>
      <c r="N2152" t="s">
        <v>2388</v>
      </c>
      <c r="O2152">
        <v>1</v>
      </c>
    </row>
    <row r="2153" spans="2:15" x14ac:dyDescent="0.3">
      <c r="B2153">
        <v>2213</v>
      </c>
      <c r="D2153">
        <v>365</v>
      </c>
      <c r="E2153">
        <v>1119</v>
      </c>
      <c r="F2153">
        <v>1</v>
      </c>
      <c r="G2153">
        <v>109.322686077771</v>
      </c>
      <c r="H2153">
        <v>2</v>
      </c>
      <c r="I2153">
        <v>59</v>
      </c>
      <c r="K2153" t="s">
        <v>2386</v>
      </c>
      <c r="L2153">
        <v>20</v>
      </c>
      <c r="M2153" t="s">
        <v>2999</v>
      </c>
      <c r="N2153" t="s">
        <v>2388</v>
      </c>
      <c r="O2153">
        <v>1</v>
      </c>
    </row>
    <row r="2154" spans="2:15" x14ac:dyDescent="0.3">
      <c r="B2154">
        <v>2214</v>
      </c>
      <c r="D2154">
        <v>1120</v>
      </c>
      <c r="E2154">
        <v>491</v>
      </c>
      <c r="F2154">
        <v>1</v>
      </c>
      <c r="G2154">
        <v>245.17775779735001</v>
      </c>
      <c r="H2154">
        <v>2</v>
      </c>
      <c r="I2154">
        <v>59</v>
      </c>
      <c r="K2154" t="s">
        <v>2386</v>
      </c>
      <c r="L2154">
        <v>20</v>
      </c>
      <c r="M2154" t="s">
        <v>3000</v>
      </c>
      <c r="N2154" t="s">
        <v>2388</v>
      </c>
      <c r="O2154">
        <v>1</v>
      </c>
    </row>
    <row r="2155" spans="2:15" x14ac:dyDescent="0.3">
      <c r="B2155">
        <v>2215</v>
      </c>
      <c r="D2155">
        <v>491</v>
      </c>
      <c r="E2155">
        <v>1120</v>
      </c>
      <c r="F2155">
        <v>1</v>
      </c>
      <c r="G2155">
        <v>245.17775779735001</v>
      </c>
      <c r="H2155">
        <v>2</v>
      </c>
      <c r="I2155">
        <v>59</v>
      </c>
      <c r="K2155" t="s">
        <v>2386</v>
      </c>
      <c r="L2155">
        <v>20</v>
      </c>
      <c r="M2155" t="s">
        <v>3001</v>
      </c>
      <c r="N2155" t="s">
        <v>2388</v>
      </c>
      <c r="O2155">
        <v>1</v>
      </c>
    </row>
    <row r="2156" spans="2:15" x14ac:dyDescent="0.3">
      <c r="B2156">
        <v>2216</v>
      </c>
      <c r="D2156">
        <v>1121</v>
      </c>
      <c r="E2156">
        <v>365</v>
      </c>
      <c r="F2156">
        <v>1</v>
      </c>
      <c r="G2156">
        <v>122.90946608368201</v>
      </c>
      <c r="H2156">
        <v>2</v>
      </c>
      <c r="I2156">
        <v>59</v>
      </c>
      <c r="K2156" t="s">
        <v>2386</v>
      </c>
      <c r="L2156">
        <v>20</v>
      </c>
      <c r="M2156" t="s">
        <v>3002</v>
      </c>
      <c r="N2156" t="s">
        <v>2388</v>
      </c>
      <c r="O2156">
        <v>1</v>
      </c>
    </row>
    <row r="2157" spans="2:15" x14ac:dyDescent="0.3">
      <c r="B2157">
        <v>2217</v>
      </c>
      <c r="D2157">
        <v>365</v>
      </c>
      <c r="E2157">
        <v>1121</v>
      </c>
      <c r="F2157">
        <v>1</v>
      </c>
      <c r="G2157">
        <v>122.90946608368201</v>
      </c>
      <c r="H2157">
        <v>2</v>
      </c>
      <c r="I2157">
        <v>59</v>
      </c>
      <c r="K2157" t="s">
        <v>2386</v>
      </c>
      <c r="L2157">
        <v>20</v>
      </c>
      <c r="M2157" t="s">
        <v>3003</v>
      </c>
      <c r="N2157" t="s">
        <v>2388</v>
      </c>
      <c r="O2157">
        <v>1</v>
      </c>
    </row>
    <row r="2158" spans="2:15" x14ac:dyDescent="0.3">
      <c r="B2158">
        <v>2218</v>
      </c>
      <c r="D2158">
        <v>1122</v>
      </c>
      <c r="E2158">
        <v>491</v>
      </c>
      <c r="F2158">
        <v>1</v>
      </c>
      <c r="G2158">
        <v>319.83644653938501</v>
      </c>
      <c r="H2158">
        <v>2</v>
      </c>
      <c r="I2158">
        <v>59</v>
      </c>
      <c r="K2158" t="s">
        <v>2386</v>
      </c>
      <c r="L2158">
        <v>20</v>
      </c>
      <c r="M2158" t="s">
        <v>3004</v>
      </c>
      <c r="N2158" t="s">
        <v>2388</v>
      </c>
      <c r="O2158">
        <v>1</v>
      </c>
    </row>
    <row r="2159" spans="2:15" x14ac:dyDescent="0.3">
      <c r="B2159">
        <v>2219</v>
      </c>
      <c r="D2159">
        <v>491</v>
      </c>
      <c r="E2159">
        <v>1122</v>
      </c>
      <c r="F2159">
        <v>1</v>
      </c>
      <c r="G2159">
        <v>319.83644653938501</v>
      </c>
      <c r="H2159">
        <v>2</v>
      </c>
      <c r="I2159">
        <v>59</v>
      </c>
      <c r="K2159" t="s">
        <v>2386</v>
      </c>
      <c r="L2159">
        <v>20</v>
      </c>
      <c r="M2159" t="s">
        <v>3005</v>
      </c>
      <c r="N2159" t="s">
        <v>2388</v>
      </c>
      <c r="O2159">
        <v>1</v>
      </c>
    </row>
    <row r="2160" spans="2:15" x14ac:dyDescent="0.3">
      <c r="B2160">
        <v>2220</v>
      </c>
      <c r="D2160">
        <v>1123</v>
      </c>
      <c r="E2160">
        <v>491</v>
      </c>
      <c r="F2160">
        <v>1</v>
      </c>
      <c r="G2160">
        <v>228.848896672612</v>
      </c>
      <c r="H2160">
        <v>2</v>
      </c>
      <c r="I2160">
        <v>59</v>
      </c>
      <c r="K2160" t="s">
        <v>2386</v>
      </c>
      <c r="L2160">
        <v>20</v>
      </c>
      <c r="M2160" t="s">
        <v>3006</v>
      </c>
      <c r="N2160" t="s">
        <v>2388</v>
      </c>
      <c r="O2160">
        <v>1</v>
      </c>
    </row>
    <row r="2161" spans="2:15" x14ac:dyDescent="0.3">
      <c r="B2161">
        <v>2221</v>
      </c>
      <c r="D2161">
        <v>491</v>
      </c>
      <c r="E2161">
        <v>1123</v>
      </c>
      <c r="F2161">
        <v>1</v>
      </c>
      <c r="G2161">
        <v>228.848896672612</v>
      </c>
      <c r="H2161">
        <v>2</v>
      </c>
      <c r="I2161">
        <v>59</v>
      </c>
      <c r="K2161" t="s">
        <v>2386</v>
      </c>
      <c r="L2161">
        <v>20</v>
      </c>
      <c r="M2161" t="s">
        <v>3007</v>
      </c>
      <c r="N2161" t="s">
        <v>2388</v>
      </c>
      <c r="O2161">
        <v>1</v>
      </c>
    </row>
    <row r="2162" spans="2:15" x14ac:dyDescent="0.3">
      <c r="B2162">
        <v>2222</v>
      </c>
      <c r="D2162">
        <v>1124</v>
      </c>
      <c r="E2162">
        <v>324</v>
      </c>
      <c r="F2162">
        <v>1</v>
      </c>
      <c r="G2162">
        <v>408.79929079214497</v>
      </c>
      <c r="H2162">
        <v>2</v>
      </c>
      <c r="I2162">
        <v>59</v>
      </c>
      <c r="K2162" t="s">
        <v>2386</v>
      </c>
      <c r="L2162">
        <v>20</v>
      </c>
      <c r="M2162" t="s">
        <v>3008</v>
      </c>
      <c r="N2162" t="s">
        <v>2388</v>
      </c>
      <c r="O2162">
        <v>1</v>
      </c>
    </row>
    <row r="2163" spans="2:15" x14ac:dyDescent="0.3">
      <c r="B2163">
        <v>2223</v>
      </c>
      <c r="D2163">
        <v>324</v>
      </c>
      <c r="E2163">
        <v>1124</v>
      </c>
      <c r="F2163">
        <v>1</v>
      </c>
      <c r="G2163">
        <v>408.79929079214497</v>
      </c>
      <c r="H2163">
        <v>2</v>
      </c>
      <c r="I2163">
        <v>59</v>
      </c>
      <c r="K2163" t="s">
        <v>2386</v>
      </c>
      <c r="L2163">
        <v>20</v>
      </c>
      <c r="M2163" t="s">
        <v>3009</v>
      </c>
      <c r="N2163" t="s">
        <v>2388</v>
      </c>
      <c r="O2163">
        <v>1</v>
      </c>
    </row>
    <row r="2164" spans="2:15" x14ac:dyDescent="0.3">
      <c r="B2164">
        <v>2224</v>
      </c>
      <c r="D2164">
        <v>1125</v>
      </c>
      <c r="E2164">
        <v>491</v>
      </c>
      <c r="F2164">
        <v>1</v>
      </c>
      <c r="G2164">
        <v>325.84996297916803</v>
      </c>
      <c r="H2164">
        <v>2</v>
      </c>
      <c r="I2164">
        <v>59</v>
      </c>
      <c r="K2164" t="s">
        <v>2386</v>
      </c>
      <c r="L2164">
        <v>20</v>
      </c>
      <c r="M2164" t="s">
        <v>3010</v>
      </c>
      <c r="N2164" t="s">
        <v>2388</v>
      </c>
      <c r="O2164">
        <v>1</v>
      </c>
    </row>
    <row r="2165" spans="2:15" x14ac:dyDescent="0.3">
      <c r="B2165">
        <v>2225</v>
      </c>
      <c r="D2165">
        <v>491</v>
      </c>
      <c r="E2165">
        <v>1125</v>
      </c>
      <c r="F2165">
        <v>1</v>
      </c>
      <c r="G2165">
        <v>325.84996297916803</v>
      </c>
      <c r="H2165">
        <v>2</v>
      </c>
      <c r="I2165">
        <v>59</v>
      </c>
      <c r="K2165" t="s">
        <v>2386</v>
      </c>
      <c r="L2165">
        <v>20</v>
      </c>
      <c r="M2165" t="s">
        <v>3011</v>
      </c>
      <c r="N2165" t="s">
        <v>2388</v>
      </c>
      <c r="O2165">
        <v>1</v>
      </c>
    </row>
    <row r="2166" spans="2:15" x14ac:dyDescent="0.3">
      <c r="B2166">
        <v>2226</v>
      </c>
      <c r="D2166">
        <v>1126</v>
      </c>
      <c r="E2166">
        <v>547</v>
      </c>
      <c r="F2166">
        <v>1</v>
      </c>
      <c r="G2166">
        <v>169.55680796452799</v>
      </c>
      <c r="H2166">
        <v>2</v>
      </c>
      <c r="I2166">
        <v>59</v>
      </c>
      <c r="K2166" t="s">
        <v>2386</v>
      </c>
      <c r="L2166">
        <v>20</v>
      </c>
      <c r="M2166" t="s">
        <v>3012</v>
      </c>
      <c r="N2166" t="s">
        <v>2388</v>
      </c>
      <c r="O2166">
        <v>1</v>
      </c>
    </row>
    <row r="2167" spans="2:15" x14ac:dyDescent="0.3">
      <c r="B2167">
        <v>2227</v>
      </c>
      <c r="D2167">
        <v>547</v>
      </c>
      <c r="E2167">
        <v>1126</v>
      </c>
      <c r="F2167">
        <v>1</v>
      </c>
      <c r="G2167">
        <v>169.55680796452799</v>
      </c>
      <c r="H2167">
        <v>2</v>
      </c>
      <c r="I2167">
        <v>59</v>
      </c>
      <c r="K2167" t="s">
        <v>2386</v>
      </c>
      <c r="L2167">
        <v>20</v>
      </c>
      <c r="M2167" t="s">
        <v>3013</v>
      </c>
      <c r="N2167" t="s">
        <v>2388</v>
      </c>
      <c r="O2167">
        <v>1</v>
      </c>
    </row>
    <row r="2168" spans="2:15" x14ac:dyDescent="0.3">
      <c r="B2168">
        <v>2228</v>
      </c>
      <c r="D2168">
        <v>1127</v>
      </c>
      <c r="E2168">
        <v>365</v>
      </c>
      <c r="F2168">
        <v>1</v>
      </c>
      <c r="G2168">
        <v>46.757429383473699</v>
      </c>
      <c r="H2168">
        <v>2</v>
      </c>
      <c r="I2168">
        <v>59</v>
      </c>
      <c r="K2168" t="s">
        <v>2386</v>
      </c>
      <c r="L2168">
        <v>20</v>
      </c>
      <c r="M2168" t="s">
        <v>3014</v>
      </c>
      <c r="N2168" t="s">
        <v>2388</v>
      </c>
      <c r="O2168">
        <v>1</v>
      </c>
    </row>
    <row r="2169" spans="2:15" x14ac:dyDescent="0.3">
      <c r="B2169">
        <v>2229</v>
      </c>
      <c r="D2169">
        <v>365</v>
      </c>
      <c r="E2169">
        <v>1127</v>
      </c>
      <c r="F2169">
        <v>1</v>
      </c>
      <c r="G2169">
        <v>46.757429383473699</v>
      </c>
      <c r="H2169">
        <v>2</v>
      </c>
      <c r="I2169">
        <v>59</v>
      </c>
      <c r="K2169" t="s">
        <v>2386</v>
      </c>
      <c r="L2169">
        <v>20</v>
      </c>
      <c r="M2169" t="s">
        <v>3015</v>
      </c>
      <c r="N2169" t="s">
        <v>2388</v>
      </c>
      <c r="O2169">
        <v>1</v>
      </c>
    </row>
    <row r="2170" spans="2:15" x14ac:dyDescent="0.3">
      <c r="B2170">
        <v>2230</v>
      </c>
      <c r="D2170">
        <v>1128</v>
      </c>
      <c r="E2170">
        <v>365</v>
      </c>
      <c r="F2170">
        <v>1</v>
      </c>
      <c r="G2170">
        <v>424.957368445204</v>
      </c>
      <c r="H2170">
        <v>2</v>
      </c>
      <c r="I2170">
        <v>59</v>
      </c>
      <c r="K2170" t="s">
        <v>2386</v>
      </c>
      <c r="L2170">
        <v>20</v>
      </c>
      <c r="M2170" t="s">
        <v>3016</v>
      </c>
      <c r="N2170" t="s">
        <v>2388</v>
      </c>
      <c r="O2170">
        <v>1</v>
      </c>
    </row>
    <row r="2171" spans="2:15" x14ac:dyDescent="0.3">
      <c r="B2171">
        <v>2231</v>
      </c>
      <c r="D2171">
        <v>365</v>
      </c>
      <c r="E2171">
        <v>1128</v>
      </c>
      <c r="F2171">
        <v>1</v>
      </c>
      <c r="G2171">
        <v>424.957368445204</v>
      </c>
      <c r="H2171">
        <v>2</v>
      </c>
      <c r="I2171">
        <v>59</v>
      </c>
      <c r="K2171" t="s">
        <v>2386</v>
      </c>
      <c r="L2171">
        <v>20</v>
      </c>
      <c r="M2171" t="s">
        <v>3017</v>
      </c>
      <c r="N2171" t="s">
        <v>2388</v>
      </c>
      <c r="O2171">
        <v>1</v>
      </c>
    </row>
    <row r="2172" spans="2:15" x14ac:dyDescent="0.3">
      <c r="B2172">
        <v>2232</v>
      </c>
      <c r="D2172">
        <v>1129</v>
      </c>
      <c r="E2172">
        <v>491</v>
      </c>
      <c r="F2172">
        <v>1</v>
      </c>
      <c r="G2172">
        <v>408.47853375685202</v>
      </c>
      <c r="H2172">
        <v>2</v>
      </c>
      <c r="I2172">
        <v>59</v>
      </c>
      <c r="K2172" t="s">
        <v>2386</v>
      </c>
      <c r="L2172">
        <v>20</v>
      </c>
      <c r="M2172" t="s">
        <v>3018</v>
      </c>
      <c r="N2172" t="s">
        <v>2388</v>
      </c>
      <c r="O2172">
        <v>1</v>
      </c>
    </row>
    <row r="2173" spans="2:15" x14ac:dyDescent="0.3">
      <c r="B2173">
        <v>2233</v>
      </c>
      <c r="D2173">
        <v>491</v>
      </c>
      <c r="E2173">
        <v>1129</v>
      </c>
      <c r="F2173">
        <v>1</v>
      </c>
      <c r="G2173">
        <v>408.47853375685202</v>
      </c>
      <c r="H2173">
        <v>2</v>
      </c>
      <c r="I2173">
        <v>59</v>
      </c>
      <c r="K2173" t="s">
        <v>2386</v>
      </c>
      <c r="L2173">
        <v>20</v>
      </c>
      <c r="M2173" t="s">
        <v>3019</v>
      </c>
      <c r="N2173" t="s">
        <v>2388</v>
      </c>
      <c r="O2173">
        <v>1</v>
      </c>
    </row>
    <row r="2174" spans="2:15" x14ac:dyDescent="0.3">
      <c r="B2174">
        <v>2234</v>
      </c>
      <c r="D2174">
        <v>1130</v>
      </c>
      <c r="E2174">
        <v>491</v>
      </c>
      <c r="F2174">
        <v>1</v>
      </c>
      <c r="G2174">
        <v>420.75887177502699</v>
      </c>
      <c r="H2174">
        <v>2</v>
      </c>
      <c r="I2174">
        <v>59</v>
      </c>
      <c r="K2174" t="s">
        <v>2386</v>
      </c>
      <c r="L2174">
        <v>20</v>
      </c>
      <c r="M2174" t="s">
        <v>3020</v>
      </c>
      <c r="N2174" t="s">
        <v>2388</v>
      </c>
      <c r="O2174">
        <v>1</v>
      </c>
    </row>
    <row r="2175" spans="2:15" x14ac:dyDescent="0.3">
      <c r="B2175">
        <v>2235</v>
      </c>
      <c r="D2175">
        <v>491</v>
      </c>
      <c r="E2175">
        <v>1130</v>
      </c>
      <c r="F2175">
        <v>1</v>
      </c>
      <c r="G2175">
        <v>420.75887177502699</v>
      </c>
      <c r="H2175">
        <v>2</v>
      </c>
      <c r="I2175">
        <v>59</v>
      </c>
      <c r="K2175" t="s">
        <v>2386</v>
      </c>
      <c r="L2175">
        <v>20</v>
      </c>
      <c r="M2175" t="s">
        <v>3021</v>
      </c>
      <c r="N2175" t="s">
        <v>2388</v>
      </c>
      <c r="O2175">
        <v>1</v>
      </c>
    </row>
    <row r="2176" spans="2:15" x14ac:dyDescent="0.3">
      <c r="B2176">
        <v>2236</v>
      </c>
      <c r="D2176">
        <v>1131</v>
      </c>
      <c r="E2176">
        <v>86</v>
      </c>
      <c r="F2176">
        <v>1</v>
      </c>
      <c r="G2176">
        <v>294.44889291866298</v>
      </c>
      <c r="H2176">
        <v>2</v>
      </c>
      <c r="I2176">
        <v>59</v>
      </c>
      <c r="K2176" t="s">
        <v>2386</v>
      </c>
      <c r="L2176">
        <v>20</v>
      </c>
      <c r="M2176" t="s">
        <v>3022</v>
      </c>
      <c r="N2176" t="s">
        <v>2388</v>
      </c>
      <c r="O2176">
        <v>1</v>
      </c>
    </row>
    <row r="2177" spans="2:15" x14ac:dyDescent="0.3">
      <c r="B2177">
        <v>2237</v>
      </c>
      <c r="D2177">
        <v>86</v>
      </c>
      <c r="E2177">
        <v>1131</v>
      </c>
      <c r="F2177">
        <v>1</v>
      </c>
      <c r="G2177">
        <v>294.44889291866298</v>
      </c>
      <c r="H2177">
        <v>2</v>
      </c>
      <c r="I2177">
        <v>59</v>
      </c>
      <c r="K2177" t="s">
        <v>2386</v>
      </c>
      <c r="L2177">
        <v>20</v>
      </c>
      <c r="M2177" t="s">
        <v>3023</v>
      </c>
      <c r="N2177" t="s">
        <v>2388</v>
      </c>
      <c r="O2177">
        <v>1</v>
      </c>
    </row>
    <row r="2178" spans="2:15" x14ac:dyDescent="0.3">
      <c r="B2178">
        <v>2238</v>
      </c>
      <c r="D2178">
        <v>1132</v>
      </c>
      <c r="E2178">
        <v>494</v>
      </c>
      <c r="F2178">
        <v>1</v>
      </c>
      <c r="G2178">
        <v>122.48756495487901</v>
      </c>
      <c r="H2178">
        <v>2</v>
      </c>
      <c r="I2178">
        <v>59</v>
      </c>
      <c r="K2178" t="s">
        <v>2386</v>
      </c>
      <c r="L2178">
        <v>20</v>
      </c>
      <c r="M2178" t="s">
        <v>3024</v>
      </c>
      <c r="N2178" t="s">
        <v>2388</v>
      </c>
      <c r="O2178">
        <v>1</v>
      </c>
    </row>
    <row r="2179" spans="2:15" x14ac:dyDescent="0.3">
      <c r="B2179">
        <v>2239</v>
      </c>
      <c r="D2179">
        <v>494</v>
      </c>
      <c r="E2179">
        <v>1132</v>
      </c>
      <c r="F2179">
        <v>1</v>
      </c>
      <c r="G2179">
        <v>122.48756495487901</v>
      </c>
      <c r="H2179">
        <v>2</v>
      </c>
      <c r="I2179">
        <v>59</v>
      </c>
      <c r="K2179" t="s">
        <v>2386</v>
      </c>
      <c r="L2179">
        <v>20</v>
      </c>
      <c r="M2179" t="s">
        <v>3025</v>
      </c>
      <c r="N2179" t="s">
        <v>2388</v>
      </c>
      <c r="O2179">
        <v>1</v>
      </c>
    </row>
    <row r="2180" spans="2:15" x14ac:dyDescent="0.3">
      <c r="B2180">
        <v>2240</v>
      </c>
      <c r="D2180">
        <v>1133</v>
      </c>
      <c r="E2180">
        <v>365</v>
      </c>
      <c r="F2180">
        <v>1</v>
      </c>
      <c r="G2180">
        <v>161.00200320751901</v>
      </c>
      <c r="H2180">
        <v>2</v>
      </c>
      <c r="I2180">
        <v>59</v>
      </c>
      <c r="K2180" t="s">
        <v>2386</v>
      </c>
      <c r="L2180">
        <v>20</v>
      </c>
      <c r="M2180" t="s">
        <v>3026</v>
      </c>
      <c r="N2180" t="s">
        <v>2388</v>
      </c>
      <c r="O2180">
        <v>1</v>
      </c>
    </row>
    <row r="2181" spans="2:15" x14ac:dyDescent="0.3">
      <c r="B2181">
        <v>2241</v>
      </c>
      <c r="D2181">
        <v>365</v>
      </c>
      <c r="E2181">
        <v>1133</v>
      </c>
      <c r="F2181">
        <v>1</v>
      </c>
      <c r="G2181">
        <v>161.00200320751901</v>
      </c>
      <c r="H2181">
        <v>2</v>
      </c>
      <c r="I2181">
        <v>59</v>
      </c>
      <c r="K2181" t="s">
        <v>2386</v>
      </c>
      <c r="L2181">
        <v>20</v>
      </c>
      <c r="M2181" t="s">
        <v>3027</v>
      </c>
      <c r="N2181" t="s">
        <v>2388</v>
      </c>
      <c r="O2181">
        <v>1</v>
      </c>
    </row>
    <row r="2182" spans="2:15" x14ac:dyDescent="0.3">
      <c r="B2182">
        <v>2242</v>
      </c>
      <c r="D2182">
        <v>1134</v>
      </c>
      <c r="E2182">
        <v>86</v>
      </c>
      <c r="F2182">
        <v>1</v>
      </c>
      <c r="G2182">
        <v>353.79131457071401</v>
      </c>
      <c r="H2182">
        <v>2</v>
      </c>
      <c r="I2182">
        <v>59</v>
      </c>
      <c r="K2182" t="s">
        <v>2386</v>
      </c>
      <c r="L2182">
        <v>20</v>
      </c>
      <c r="M2182" t="s">
        <v>3028</v>
      </c>
      <c r="N2182" t="s">
        <v>2388</v>
      </c>
      <c r="O2182">
        <v>1</v>
      </c>
    </row>
    <row r="2183" spans="2:15" x14ac:dyDescent="0.3">
      <c r="B2183">
        <v>2243</v>
      </c>
      <c r="D2183">
        <v>86</v>
      </c>
      <c r="E2183">
        <v>1134</v>
      </c>
      <c r="F2183">
        <v>1</v>
      </c>
      <c r="G2183">
        <v>353.79131457071401</v>
      </c>
      <c r="H2183">
        <v>2</v>
      </c>
      <c r="I2183">
        <v>59</v>
      </c>
      <c r="K2183" t="s">
        <v>2386</v>
      </c>
      <c r="L2183">
        <v>20</v>
      </c>
      <c r="M2183" t="s">
        <v>3029</v>
      </c>
      <c r="N2183" t="s">
        <v>2388</v>
      </c>
      <c r="O2183">
        <v>1</v>
      </c>
    </row>
    <row r="2184" spans="2:15" x14ac:dyDescent="0.3">
      <c r="B2184">
        <v>2244</v>
      </c>
      <c r="D2184">
        <v>1135</v>
      </c>
      <c r="E2184">
        <v>494</v>
      </c>
      <c r="F2184">
        <v>1</v>
      </c>
      <c r="G2184">
        <v>99.331283941391902</v>
      </c>
      <c r="H2184">
        <v>2</v>
      </c>
      <c r="I2184">
        <v>59</v>
      </c>
      <c r="K2184" t="s">
        <v>2386</v>
      </c>
      <c r="L2184">
        <v>20</v>
      </c>
      <c r="M2184" t="s">
        <v>3030</v>
      </c>
      <c r="N2184" t="s">
        <v>2388</v>
      </c>
      <c r="O2184">
        <v>1</v>
      </c>
    </row>
    <row r="2185" spans="2:15" x14ac:dyDescent="0.3">
      <c r="B2185">
        <v>2245</v>
      </c>
      <c r="D2185">
        <v>494</v>
      </c>
      <c r="E2185">
        <v>1135</v>
      </c>
      <c r="F2185">
        <v>1</v>
      </c>
      <c r="G2185">
        <v>99.331283941391902</v>
      </c>
      <c r="H2185">
        <v>2</v>
      </c>
      <c r="I2185">
        <v>59</v>
      </c>
      <c r="K2185" t="s">
        <v>2386</v>
      </c>
      <c r="L2185">
        <v>20</v>
      </c>
      <c r="M2185" t="s">
        <v>3031</v>
      </c>
      <c r="N2185" t="s">
        <v>2388</v>
      </c>
      <c r="O2185">
        <v>1</v>
      </c>
    </row>
    <row r="2186" spans="2:15" x14ac:dyDescent="0.3">
      <c r="B2186">
        <v>2246</v>
      </c>
      <c r="D2186">
        <v>1136</v>
      </c>
      <c r="E2186">
        <v>365</v>
      </c>
      <c r="F2186">
        <v>1</v>
      </c>
      <c r="G2186">
        <v>87.7825170780375</v>
      </c>
      <c r="H2186">
        <v>2</v>
      </c>
      <c r="I2186">
        <v>59</v>
      </c>
      <c r="K2186" t="s">
        <v>2386</v>
      </c>
      <c r="L2186">
        <v>20</v>
      </c>
      <c r="M2186" t="s">
        <v>3032</v>
      </c>
      <c r="N2186" t="s">
        <v>2388</v>
      </c>
      <c r="O2186">
        <v>1</v>
      </c>
    </row>
    <row r="2187" spans="2:15" x14ac:dyDescent="0.3">
      <c r="B2187">
        <v>2247</v>
      </c>
      <c r="D2187">
        <v>365</v>
      </c>
      <c r="E2187">
        <v>1136</v>
      </c>
      <c r="F2187">
        <v>1</v>
      </c>
      <c r="G2187">
        <v>87.7825170780375</v>
      </c>
      <c r="H2187">
        <v>2</v>
      </c>
      <c r="I2187">
        <v>59</v>
      </c>
      <c r="K2187" t="s">
        <v>2386</v>
      </c>
      <c r="L2187">
        <v>20</v>
      </c>
      <c r="M2187" t="s">
        <v>3033</v>
      </c>
      <c r="N2187" t="s">
        <v>2388</v>
      </c>
      <c r="O2187">
        <v>1</v>
      </c>
    </row>
    <row r="2188" spans="2:15" x14ac:dyDescent="0.3">
      <c r="B2188">
        <v>2248</v>
      </c>
      <c r="D2188">
        <v>1137</v>
      </c>
      <c r="E2188">
        <v>491</v>
      </c>
      <c r="F2188">
        <v>1</v>
      </c>
      <c r="G2188">
        <v>380.39275658969098</v>
      </c>
      <c r="H2188">
        <v>2</v>
      </c>
      <c r="I2188">
        <v>59</v>
      </c>
      <c r="K2188" t="s">
        <v>2386</v>
      </c>
      <c r="L2188">
        <v>20</v>
      </c>
      <c r="M2188" t="s">
        <v>3034</v>
      </c>
      <c r="N2188" t="s">
        <v>2388</v>
      </c>
      <c r="O2188">
        <v>1</v>
      </c>
    </row>
    <row r="2189" spans="2:15" x14ac:dyDescent="0.3">
      <c r="B2189">
        <v>2249</v>
      </c>
      <c r="D2189">
        <v>491</v>
      </c>
      <c r="E2189">
        <v>1137</v>
      </c>
      <c r="F2189">
        <v>1</v>
      </c>
      <c r="G2189">
        <v>380.39275658969098</v>
      </c>
      <c r="H2189">
        <v>2</v>
      </c>
      <c r="I2189">
        <v>59</v>
      </c>
      <c r="K2189" t="s">
        <v>2386</v>
      </c>
      <c r="L2189">
        <v>20</v>
      </c>
      <c r="M2189" t="s">
        <v>3035</v>
      </c>
      <c r="N2189" t="s">
        <v>2388</v>
      </c>
      <c r="O2189">
        <v>1</v>
      </c>
    </row>
    <row r="2190" spans="2:15" x14ac:dyDescent="0.3">
      <c r="B2190">
        <v>2250</v>
      </c>
      <c r="D2190">
        <v>1138</v>
      </c>
      <c r="E2190">
        <v>491</v>
      </c>
      <c r="F2190">
        <v>1</v>
      </c>
      <c r="G2190">
        <v>237.80544162163599</v>
      </c>
      <c r="H2190">
        <v>2</v>
      </c>
      <c r="I2190">
        <v>59</v>
      </c>
      <c r="K2190" t="s">
        <v>2386</v>
      </c>
      <c r="L2190">
        <v>20</v>
      </c>
      <c r="M2190" t="s">
        <v>3036</v>
      </c>
      <c r="N2190" t="s">
        <v>2388</v>
      </c>
      <c r="O2190">
        <v>1</v>
      </c>
    </row>
    <row r="2191" spans="2:15" x14ac:dyDescent="0.3">
      <c r="B2191">
        <v>2251</v>
      </c>
      <c r="D2191">
        <v>491</v>
      </c>
      <c r="E2191">
        <v>1138</v>
      </c>
      <c r="F2191">
        <v>1</v>
      </c>
      <c r="G2191">
        <v>237.80544162163599</v>
      </c>
      <c r="H2191">
        <v>2</v>
      </c>
      <c r="I2191">
        <v>59</v>
      </c>
      <c r="K2191" t="s">
        <v>2386</v>
      </c>
      <c r="L2191">
        <v>20</v>
      </c>
      <c r="M2191" t="s">
        <v>3037</v>
      </c>
      <c r="N2191" t="s">
        <v>2388</v>
      </c>
      <c r="O2191">
        <v>1</v>
      </c>
    </row>
    <row r="2192" spans="2:15" x14ac:dyDescent="0.3">
      <c r="B2192">
        <v>2252</v>
      </c>
      <c r="D2192">
        <v>1139</v>
      </c>
      <c r="E2192">
        <v>320</v>
      </c>
      <c r="F2192">
        <v>1</v>
      </c>
      <c r="G2192">
        <v>303.11272053395197</v>
      </c>
      <c r="H2192">
        <v>2</v>
      </c>
      <c r="I2192">
        <v>59</v>
      </c>
      <c r="K2192" t="s">
        <v>2386</v>
      </c>
      <c r="L2192">
        <v>20</v>
      </c>
      <c r="M2192" t="s">
        <v>3038</v>
      </c>
      <c r="N2192" t="s">
        <v>2388</v>
      </c>
      <c r="O2192">
        <v>1</v>
      </c>
    </row>
    <row r="2193" spans="2:15" x14ac:dyDescent="0.3">
      <c r="B2193">
        <v>2253</v>
      </c>
      <c r="D2193">
        <v>320</v>
      </c>
      <c r="E2193">
        <v>1139</v>
      </c>
      <c r="F2193">
        <v>1</v>
      </c>
      <c r="G2193">
        <v>303.11272053395197</v>
      </c>
      <c r="H2193">
        <v>2</v>
      </c>
      <c r="I2193">
        <v>59</v>
      </c>
      <c r="K2193" t="s">
        <v>2386</v>
      </c>
      <c r="L2193">
        <v>20</v>
      </c>
      <c r="M2193" t="s">
        <v>3039</v>
      </c>
      <c r="N2193" t="s">
        <v>2388</v>
      </c>
      <c r="O2193">
        <v>1</v>
      </c>
    </row>
    <row r="2194" spans="2:15" x14ac:dyDescent="0.3">
      <c r="B2194">
        <v>2254</v>
      </c>
      <c r="D2194">
        <v>1140</v>
      </c>
      <c r="E2194">
        <v>365</v>
      </c>
      <c r="F2194">
        <v>1</v>
      </c>
      <c r="G2194">
        <v>48.006608054892801</v>
      </c>
      <c r="H2194">
        <v>2</v>
      </c>
      <c r="I2194">
        <v>59</v>
      </c>
      <c r="K2194" t="s">
        <v>2386</v>
      </c>
      <c r="L2194">
        <v>20</v>
      </c>
      <c r="M2194" t="s">
        <v>3040</v>
      </c>
      <c r="N2194" t="s">
        <v>2388</v>
      </c>
      <c r="O2194">
        <v>1</v>
      </c>
    </row>
    <row r="2195" spans="2:15" x14ac:dyDescent="0.3">
      <c r="B2195">
        <v>2255</v>
      </c>
      <c r="D2195">
        <v>365</v>
      </c>
      <c r="E2195">
        <v>1140</v>
      </c>
      <c r="F2195">
        <v>1</v>
      </c>
      <c r="G2195">
        <v>48.006608054892801</v>
      </c>
      <c r="H2195">
        <v>2</v>
      </c>
      <c r="I2195">
        <v>59</v>
      </c>
      <c r="K2195" t="s">
        <v>2386</v>
      </c>
      <c r="L2195">
        <v>20</v>
      </c>
      <c r="M2195" t="s">
        <v>3041</v>
      </c>
      <c r="N2195" t="s">
        <v>2388</v>
      </c>
      <c r="O2195">
        <v>1</v>
      </c>
    </row>
    <row r="2196" spans="2:15" x14ac:dyDescent="0.3">
      <c r="B2196">
        <v>2256</v>
      </c>
      <c r="D2196">
        <v>1141</v>
      </c>
      <c r="E2196">
        <v>491</v>
      </c>
      <c r="F2196">
        <v>1</v>
      </c>
      <c r="G2196">
        <v>262.57212607136501</v>
      </c>
      <c r="H2196">
        <v>2</v>
      </c>
      <c r="I2196">
        <v>59</v>
      </c>
      <c r="K2196" t="s">
        <v>2386</v>
      </c>
      <c r="L2196">
        <v>20</v>
      </c>
      <c r="M2196" t="s">
        <v>3042</v>
      </c>
      <c r="N2196" t="s">
        <v>2388</v>
      </c>
      <c r="O2196">
        <v>1</v>
      </c>
    </row>
    <row r="2197" spans="2:15" x14ac:dyDescent="0.3">
      <c r="B2197">
        <v>2257</v>
      </c>
      <c r="D2197">
        <v>491</v>
      </c>
      <c r="E2197">
        <v>1141</v>
      </c>
      <c r="F2197">
        <v>1</v>
      </c>
      <c r="G2197">
        <v>262.57212607136501</v>
      </c>
      <c r="H2197">
        <v>2</v>
      </c>
      <c r="I2197">
        <v>59</v>
      </c>
      <c r="K2197" t="s">
        <v>2386</v>
      </c>
      <c r="L2197">
        <v>20</v>
      </c>
      <c r="M2197" t="s">
        <v>3043</v>
      </c>
      <c r="N2197" t="s">
        <v>2388</v>
      </c>
      <c r="O2197">
        <v>1</v>
      </c>
    </row>
    <row r="2198" spans="2:15" x14ac:dyDescent="0.3">
      <c r="B2198">
        <v>2258</v>
      </c>
      <c r="D2198">
        <v>1142</v>
      </c>
      <c r="E2198">
        <v>491</v>
      </c>
      <c r="F2198">
        <v>1</v>
      </c>
      <c r="G2198">
        <v>353.00762507880302</v>
      </c>
      <c r="H2198">
        <v>2</v>
      </c>
      <c r="I2198">
        <v>59</v>
      </c>
      <c r="K2198" t="s">
        <v>2386</v>
      </c>
      <c r="L2198">
        <v>20</v>
      </c>
      <c r="M2198" t="s">
        <v>3044</v>
      </c>
      <c r="N2198" t="s">
        <v>2388</v>
      </c>
      <c r="O2198">
        <v>1</v>
      </c>
    </row>
    <row r="2199" spans="2:15" x14ac:dyDescent="0.3">
      <c r="B2199">
        <v>2259</v>
      </c>
      <c r="D2199">
        <v>491</v>
      </c>
      <c r="E2199">
        <v>1142</v>
      </c>
      <c r="F2199">
        <v>1</v>
      </c>
      <c r="G2199">
        <v>353.00762507880302</v>
      </c>
      <c r="H2199">
        <v>2</v>
      </c>
      <c r="I2199">
        <v>59</v>
      </c>
      <c r="K2199" t="s">
        <v>2386</v>
      </c>
      <c r="L2199">
        <v>20</v>
      </c>
      <c r="M2199" t="s">
        <v>3045</v>
      </c>
      <c r="N2199" t="s">
        <v>2388</v>
      </c>
      <c r="O2199">
        <v>1</v>
      </c>
    </row>
    <row r="2200" spans="2:15" x14ac:dyDescent="0.3">
      <c r="B2200">
        <v>2260</v>
      </c>
      <c r="D2200">
        <v>1143</v>
      </c>
      <c r="E2200">
        <v>320</v>
      </c>
      <c r="F2200">
        <v>1</v>
      </c>
      <c r="G2200">
        <v>232.636153881187</v>
      </c>
      <c r="H2200">
        <v>2</v>
      </c>
      <c r="I2200">
        <v>59</v>
      </c>
      <c r="K2200" t="s">
        <v>2386</v>
      </c>
      <c r="L2200">
        <v>20</v>
      </c>
      <c r="M2200" t="s">
        <v>3046</v>
      </c>
      <c r="N2200" t="s">
        <v>2388</v>
      </c>
      <c r="O2200">
        <v>1</v>
      </c>
    </row>
    <row r="2201" spans="2:15" x14ac:dyDescent="0.3">
      <c r="B2201">
        <v>2261</v>
      </c>
      <c r="D2201">
        <v>320</v>
      </c>
      <c r="E2201">
        <v>1143</v>
      </c>
      <c r="F2201">
        <v>1</v>
      </c>
      <c r="G2201">
        <v>232.636153881187</v>
      </c>
      <c r="H2201">
        <v>2</v>
      </c>
      <c r="I2201">
        <v>59</v>
      </c>
      <c r="K2201" t="s">
        <v>2386</v>
      </c>
      <c r="L2201">
        <v>20</v>
      </c>
      <c r="M2201" t="s">
        <v>3047</v>
      </c>
      <c r="N2201" t="s">
        <v>2388</v>
      </c>
      <c r="O2201">
        <v>1</v>
      </c>
    </row>
    <row r="2202" spans="2:15" x14ac:dyDescent="0.3">
      <c r="B2202">
        <v>2262</v>
      </c>
      <c r="D2202">
        <v>1144</v>
      </c>
      <c r="E2202">
        <v>664</v>
      </c>
      <c r="F2202">
        <v>1</v>
      </c>
      <c r="G2202">
        <v>41.533344170316703</v>
      </c>
      <c r="H2202">
        <v>2</v>
      </c>
      <c r="I2202">
        <v>59</v>
      </c>
      <c r="K2202" t="s">
        <v>2386</v>
      </c>
      <c r="L2202">
        <v>20</v>
      </c>
      <c r="M2202" t="s">
        <v>3048</v>
      </c>
      <c r="N2202" t="s">
        <v>2388</v>
      </c>
      <c r="O2202">
        <v>1</v>
      </c>
    </row>
    <row r="2203" spans="2:15" x14ac:dyDescent="0.3">
      <c r="B2203">
        <v>2263</v>
      </c>
      <c r="D2203">
        <v>664</v>
      </c>
      <c r="E2203">
        <v>1144</v>
      </c>
      <c r="F2203">
        <v>1</v>
      </c>
      <c r="G2203">
        <v>41.533344170316703</v>
      </c>
      <c r="H2203">
        <v>2</v>
      </c>
      <c r="I2203">
        <v>59</v>
      </c>
      <c r="K2203" t="s">
        <v>2386</v>
      </c>
      <c r="L2203">
        <v>20</v>
      </c>
      <c r="M2203" t="s">
        <v>3049</v>
      </c>
      <c r="N2203" t="s">
        <v>2388</v>
      </c>
      <c r="O2203">
        <v>1</v>
      </c>
    </row>
    <row r="2204" spans="2:15" x14ac:dyDescent="0.3">
      <c r="B2204">
        <v>2264</v>
      </c>
      <c r="D2204">
        <v>1145</v>
      </c>
      <c r="E2204">
        <v>88</v>
      </c>
      <c r="F2204">
        <v>1</v>
      </c>
      <c r="G2204">
        <v>77.319318261863401</v>
      </c>
      <c r="H2204">
        <v>2</v>
      </c>
      <c r="I2204">
        <v>59</v>
      </c>
      <c r="K2204" t="s">
        <v>2386</v>
      </c>
      <c r="L2204">
        <v>20</v>
      </c>
      <c r="M2204" t="s">
        <v>3050</v>
      </c>
      <c r="N2204" t="s">
        <v>2388</v>
      </c>
      <c r="O2204">
        <v>1</v>
      </c>
    </row>
    <row r="2205" spans="2:15" x14ac:dyDescent="0.3">
      <c r="B2205">
        <v>2265</v>
      </c>
      <c r="D2205">
        <v>88</v>
      </c>
      <c r="E2205">
        <v>1145</v>
      </c>
      <c r="F2205">
        <v>1</v>
      </c>
      <c r="G2205">
        <v>77.319318261863401</v>
      </c>
      <c r="H2205">
        <v>2</v>
      </c>
      <c r="I2205">
        <v>59</v>
      </c>
      <c r="K2205" t="s">
        <v>2386</v>
      </c>
      <c r="L2205">
        <v>20</v>
      </c>
      <c r="M2205" t="s">
        <v>3051</v>
      </c>
      <c r="N2205" t="s">
        <v>2388</v>
      </c>
      <c r="O2205">
        <v>1</v>
      </c>
    </row>
    <row r="2206" spans="2:15" x14ac:dyDescent="0.3">
      <c r="B2206">
        <v>2266</v>
      </c>
      <c r="D2206">
        <v>1146</v>
      </c>
      <c r="E2206">
        <v>595</v>
      </c>
      <c r="F2206">
        <v>1</v>
      </c>
      <c r="G2206">
        <v>44.956880495876803</v>
      </c>
      <c r="H2206">
        <v>2</v>
      </c>
      <c r="I2206">
        <v>59</v>
      </c>
      <c r="K2206" t="s">
        <v>2386</v>
      </c>
      <c r="L2206">
        <v>20</v>
      </c>
      <c r="M2206" t="s">
        <v>3052</v>
      </c>
      <c r="N2206" t="s">
        <v>2388</v>
      </c>
      <c r="O2206">
        <v>1</v>
      </c>
    </row>
    <row r="2207" spans="2:15" x14ac:dyDescent="0.3">
      <c r="B2207">
        <v>2267</v>
      </c>
      <c r="D2207">
        <v>595</v>
      </c>
      <c r="E2207">
        <v>1146</v>
      </c>
      <c r="F2207">
        <v>1</v>
      </c>
      <c r="G2207">
        <v>44.956880495876803</v>
      </c>
      <c r="H2207">
        <v>2</v>
      </c>
      <c r="I2207">
        <v>59</v>
      </c>
      <c r="K2207" t="s">
        <v>2386</v>
      </c>
      <c r="L2207">
        <v>20</v>
      </c>
      <c r="M2207" t="s">
        <v>3053</v>
      </c>
      <c r="N2207" t="s">
        <v>2388</v>
      </c>
      <c r="O2207">
        <v>1</v>
      </c>
    </row>
    <row r="2208" spans="2:15" x14ac:dyDescent="0.3">
      <c r="B2208">
        <v>2268</v>
      </c>
      <c r="D2208">
        <v>1147</v>
      </c>
      <c r="E2208">
        <v>453</v>
      </c>
      <c r="F2208">
        <v>1</v>
      </c>
      <c r="G2208">
        <v>61.396398301024</v>
      </c>
      <c r="H2208">
        <v>2</v>
      </c>
      <c r="I2208">
        <v>59</v>
      </c>
      <c r="K2208" t="s">
        <v>2386</v>
      </c>
      <c r="L2208">
        <v>20</v>
      </c>
      <c r="M2208" t="s">
        <v>3054</v>
      </c>
      <c r="N2208" t="s">
        <v>2388</v>
      </c>
      <c r="O2208">
        <v>1</v>
      </c>
    </row>
    <row r="2209" spans="2:15" x14ac:dyDescent="0.3">
      <c r="B2209">
        <v>2269</v>
      </c>
      <c r="D2209">
        <v>453</v>
      </c>
      <c r="E2209">
        <v>1147</v>
      </c>
      <c r="F2209">
        <v>1</v>
      </c>
      <c r="G2209">
        <v>61.396398301024</v>
      </c>
      <c r="H2209">
        <v>2</v>
      </c>
      <c r="I2209">
        <v>59</v>
      </c>
      <c r="K2209" t="s">
        <v>2386</v>
      </c>
      <c r="L2209">
        <v>20</v>
      </c>
      <c r="M2209" t="s">
        <v>3055</v>
      </c>
      <c r="N2209" t="s">
        <v>2388</v>
      </c>
      <c r="O2209">
        <v>1</v>
      </c>
    </row>
    <row r="2210" spans="2:15" x14ac:dyDescent="0.3">
      <c r="B2210">
        <v>2270</v>
      </c>
      <c r="D2210">
        <v>1148</v>
      </c>
      <c r="E2210">
        <v>184</v>
      </c>
      <c r="F2210">
        <v>1</v>
      </c>
      <c r="G2210">
        <v>77.906442382151894</v>
      </c>
      <c r="H2210">
        <v>2</v>
      </c>
      <c r="I2210">
        <v>59</v>
      </c>
      <c r="K2210" t="s">
        <v>2386</v>
      </c>
      <c r="L2210">
        <v>20</v>
      </c>
      <c r="M2210" t="s">
        <v>3056</v>
      </c>
      <c r="N2210" t="s">
        <v>2388</v>
      </c>
      <c r="O2210">
        <v>1</v>
      </c>
    </row>
    <row r="2211" spans="2:15" x14ac:dyDescent="0.3">
      <c r="B2211">
        <v>2271</v>
      </c>
      <c r="D2211">
        <v>184</v>
      </c>
      <c r="E2211">
        <v>1148</v>
      </c>
      <c r="F2211">
        <v>1</v>
      </c>
      <c r="G2211">
        <v>77.906442382151894</v>
      </c>
      <c r="H2211">
        <v>2</v>
      </c>
      <c r="I2211">
        <v>59</v>
      </c>
      <c r="K2211" t="s">
        <v>2386</v>
      </c>
      <c r="L2211">
        <v>20</v>
      </c>
      <c r="M2211" t="s">
        <v>3057</v>
      </c>
      <c r="N2211" t="s">
        <v>2388</v>
      </c>
      <c r="O2211">
        <v>1</v>
      </c>
    </row>
    <row r="2212" spans="2:15" x14ac:dyDescent="0.3">
      <c r="B2212">
        <v>2272</v>
      </c>
      <c r="D2212">
        <v>1149</v>
      </c>
      <c r="E2212">
        <v>537</v>
      </c>
      <c r="F2212">
        <v>1</v>
      </c>
      <c r="G2212">
        <v>115.84082180383299</v>
      </c>
      <c r="H2212">
        <v>2</v>
      </c>
      <c r="I2212">
        <v>59</v>
      </c>
      <c r="K2212" t="s">
        <v>2386</v>
      </c>
      <c r="L2212">
        <v>20</v>
      </c>
      <c r="M2212" t="s">
        <v>3058</v>
      </c>
      <c r="N2212" t="s">
        <v>2388</v>
      </c>
      <c r="O2212">
        <v>1</v>
      </c>
    </row>
    <row r="2213" spans="2:15" x14ac:dyDescent="0.3">
      <c r="B2213">
        <v>2273</v>
      </c>
      <c r="D2213">
        <v>537</v>
      </c>
      <c r="E2213">
        <v>1149</v>
      </c>
      <c r="F2213">
        <v>1</v>
      </c>
      <c r="G2213">
        <v>115.84082180383299</v>
      </c>
      <c r="H2213">
        <v>2</v>
      </c>
      <c r="I2213">
        <v>59</v>
      </c>
      <c r="K2213" t="s">
        <v>2386</v>
      </c>
      <c r="L2213">
        <v>20</v>
      </c>
      <c r="M2213" t="s">
        <v>3059</v>
      </c>
      <c r="N2213" t="s">
        <v>2388</v>
      </c>
      <c r="O2213">
        <v>1</v>
      </c>
    </row>
    <row r="2214" spans="2:15" x14ac:dyDescent="0.3">
      <c r="B2214">
        <v>2274</v>
      </c>
      <c r="D2214">
        <v>1150</v>
      </c>
      <c r="E2214">
        <v>538</v>
      </c>
      <c r="F2214">
        <v>1</v>
      </c>
      <c r="G2214">
        <v>58.508554475724601</v>
      </c>
      <c r="H2214">
        <v>2</v>
      </c>
      <c r="I2214">
        <v>59</v>
      </c>
      <c r="K2214" t="s">
        <v>2386</v>
      </c>
      <c r="L2214">
        <v>20</v>
      </c>
      <c r="M2214" t="s">
        <v>3060</v>
      </c>
      <c r="N2214" t="s">
        <v>2388</v>
      </c>
      <c r="O2214">
        <v>1</v>
      </c>
    </row>
    <row r="2215" spans="2:15" x14ac:dyDescent="0.3">
      <c r="B2215">
        <v>2275</v>
      </c>
      <c r="D2215">
        <v>538</v>
      </c>
      <c r="E2215">
        <v>1150</v>
      </c>
      <c r="F2215">
        <v>1</v>
      </c>
      <c r="G2215">
        <v>58.508554475724601</v>
      </c>
      <c r="H2215">
        <v>2</v>
      </c>
      <c r="I2215">
        <v>59</v>
      </c>
      <c r="K2215" t="s">
        <v>2386</v>
      </c>
      <c r="L2215">
        <v>20</v>
      </c>
      <c r="M2215" t="s">
        <v>3061</v>
      </c>
      <c r="N2215" t="s">
        <v>2388</v>
      </c>
      <c r="O2215">
        <v>1</v>
      </c>
    </row>
    <row r="2216" spans="2:15" x14ac:dyDescent="0.3">
      <c r="B2216">
        <v>2276</v>
      </c>
      <c r="D2216">
        <v>1151</v>
      </c>
      <c r="E2216">
        <v>746</v>
      </c>
      <c r="F2216">
        <v>1</v>
      </c>
      <c r="G2216">
        <v>108.401094578499</v>
      </c>
      <c r="H2216">
        <v>2</v>
      </c>
      <c r="I2216">
        <v>59</v>
      </c>
      <c r="K2216" t="s">
        <v>2386</v>
      </c>
      <c r="L2216">
        <v>20</v>
      </c>
      <c r="M2216" t="s">
        <v>3062</v>
      </c>
      <c r="N2216" t="s">
        <v>2388</v>
      </c>
      <c r="O2216">
        <v>1</v>
      </c>
    </row>
    <row r="2217" spans="2:15" x14ac:dyDescent="0.3">
      <c r="B2217">
        <v>2277</v>
      </c>
      <c r="D2217">
        <v>746</v>
      </c>
      <c r="E2217">
        <v>1151</v>
      </c>
      <c r="F2217">
        <v>1</v>
      </c>
      <c r="G2217">
        <v>108.401094578499</v>
      </c>
      <c r="H2217">
        <v>2</v>
      </c>
      <c r="I2217">
        <v>59</v>
      </c>
      <c r="K2217" t="s">
        <v>2386</v>
      </c>
      <c r="L2217">
        <v>20</v>
      </c>
      <c r="M2217" t="s">
        <v>3063</v>
      </c>
      <c r="N2217" t="s">
        <v>2388</v>
      </c>
      <c r="O2217">
        <v>1</v>
      </c>
    </row>
    <row r="2218" spans="2:15" x14ac:dyDescent="0.3">
      <c r="B2218">
        <v>2278</v>
      </c>
      <c r="D2218">
        <v>1152</v>
      </c>
      <c r="E2218">
        <v>26</v>
      </c>
      <c r="F2218">
        <v>1</v>
      </c>
      <c r="G2218">
        <v>74.187967000279897</v>
      </c>
      <c r="H2218">
        <v>2</v>
      </c>
      <c r="I2218">
        <v>59</v>
      </c>
      <c r="K2218" t="s">
        <v>2386</v>
      </c>
      <c r="L2218">
        <v>20</v>
      </c>
      <c r="M2218" t="s">
        <v>3064</v>
      </c>
      <c r="N2218" t="s">
        <v>2388</v>
      </c>
      <c r="O2218">
        <v>1</v>
      </c>
    </row>
    <row r="2219" spans="2:15" x14ac:dyDescent="0.3">
      <c r="B2219">
        <v>2279</v>
      </c>
      <c r="D2219">
        <v>26</v>
      </c>
      <c r="E2219">
        <v>1152</v>
      </c>
      <c r="F2219">
        <v>1</v>
      </c>
      <c r="G2219">
        <v>74.187967000279897</v>
      </c>
      <c r="H2219">
        <v>2</v>
      </c>
      <c r="I2219">
        <v>59</v>
      </c>
      <c r="K2219" t="s">
        <v>2386</v>
      </c>
      <c r="L2219">
        <v>20</v>
      </c>
      <c r="M2219" t="s">
        <v>3065</v>
      </c>
      <c r="N2219" t="s">
        <v>2388</v>
      </c>
      <c r="O2219">
        <v>1</v>
      </c>
    </row>
    <row r="2220" spans="2:15" x14ac:dyDescent="0.3">
      <c r="B2220">
        <v>2280</v>
      </c>
      <c r="D2220">
        <v>1153</v>
      </c>
      <c r="E2220">
        <v>243</v>
      </c>
      <c r="F2220">
        <v>1</v>
      </c>
      <c r="G2220">
        <v>145.23245490079501</v>
      </c>
      <c r="H2220">
        <v>2</v>
      </c>
      <c r="I2220">
        <v>59</v>
      </c>
      <c r="K2220" t="s">
        <v>2386</v>
      </c>
      <c r="L2220">
        <v>20</v>
      </c>
      <c r="M2220" t="s">
        <v>3066</v>
      </c>
      <c r="N2220" t="s">
        <v>2388</v>
      </c>
      <c r="O2220">
        <v>1</v>
      </c>
    </row>
    <row r="2221" spans="2:15" x14ac:dyDescent="0.3">
      <c r="B2221">
        <v>2281</v>
      </c>
      <c r="D2221">
        <v>243</v>
      </c>
      <c r="E2221">
        <v>1153</v>
      </c>
      <c r="F2221">
        <v>1</v>
      </c>
      <c r="G2221">
        <v>145.23245490079501</v>
      </c>
      <c r="H2221">
        <v>2</v>
      </c>
      <c r="I2221">
        <v>59</v>
      </c>
      <c r="K2221" t="s">
        <v>2386</v>
      </c>
      <c r="L2221">
        <v>20</v>
      </c>
      <c r="M2221" t="s">
        <v>3067</v>
      </c>
      <c r="N2221" t="s">
        <v>2388</v>
      </c>
      <c r="O2221">
        <v>1</v>
      </c>
    </row>
    <row r="2222" spans="2:15" x14ac:dyDescent="0.3">
      <c r="B2222">
        <v>2282</v>
      </c>
      <c r="D2222">
        <v>1154</v>
      </c>
      <c r="E2222">
        <v>243</v>
      </c>
      <c r="F2222">
        <v>1</v>
      </c>
      <c r="G2222">
        <v>157.100925351179</v>
      </c>
      <c r="H2222">
        <v>2</v>
      </c>
      <c r="I2222">
        <v>59</v>
      </c>
      <c r="K2222" t="s">
        <v>2386</v>
      </c>
      <c r="L2222">
        <v>20</v>
      </c>
      <c r="M2222" t="s">
        <v>3068</v>
      </c>
      <c r="N2222" t="s">
        <v>2388</v>
      </c>
      <c r="O2222">
        <v>1</v>
      </c>
    </row>
    <row r="2223" spans="2:15" x14ac:dyDescent="0.3">
      <c r="B2223">
        <v>2283</v>
      </c>
      <c r="D2223">
        <v>243</v>
      </c>
      <c r="E2223">
        <v>1154</v>
      </c>
      <c r="F2223">
        <v>1</v>
      </c>
      <c r="G2223">
        <v>157.100925351179</v>
      </c>
      <c r="H2223">
        <v>2</v>
      </c>
      <c r="I2223">
        <v>59</v>
      </c>
      <c r="K2223" t="s">
        <v>2386</v>
      </c>
      <c r="L2223">
        <v>20</v>
      </c>
      <c r="M2223" t="s">
        <v>3069</v>
      </c>
      <c r="N2223" t="s">
        <v>2388</v>
      </c>
      <c r="O2223">
        <v>1</v>
      </c>
    </row>
    <row r="2224" spans="2:15" x14ac:dyDescent="0.3">
      <c r="B2224">
        <v>2284</v>
      </c>
      <c r="D2224">
        <v>1155</v>
      </c>
      <c r="E2224">
        <v>661</v>
      </c>
      <c r="F2224">
        <v>1</v>
      </c>
      <c r="G2224">
        <v>159.10382563520801</v>
      </c>
      <c r="H2224">
        <v>2</v>
      </c>
      <c r="I2224">
        <v>59</v>
      </c>
      <c r="K2224" t="s">
        <v>2386</v>
      </c>
      <c r="L2224">
        <v>20</v>
      </c>
      <c r="M2224" t="s">
        <v>3070</v>
      </c>
      <c r="N2224" t="s">
        <v>2388</v>
      </c>
      <c r="O2224">
        <v>1</v>
      </c>
    </row>
    <row r="2225" spans="2:15" x14ac:dyDescent="0.3">
      <c r="B2225">
        <v>2285</v>
      </c>
      <c r="D2225">
        <v>661</v>
      </c>
      <c r="E2225">
        <v>1155</v>
      </c>
      <c r="F2225">
        <v>1</v>
      </c>
      <c r="G2225">
        <v>159.10382563520801</v>
      </c>
      <c r="H2225">
        <v>2</v>
      </c>
      <c r="I2225">
        <v>59</v>
      </c>
      <c r="K2225" t="s">
        <v>2386</v>
      </c>
      <c r="L2225">
        <v>20</v>
      </c>
      <c r="M2225" t="s">
        <v>3071</v>
      </c>
      <c r="N2225" t="s">
        <v>2388</v>
      </c>
      <c r="O2225">
        <v>1</v>
      </c>
    </row>
    <row r="2226" spans="2:15" x14ac:dyDescent="0.3">
      <c r="B2226">
        <v>2286</v>
      </c>
      <c r="D2226">
        <v>1156</v>
      </c>
      <c r="E2226">
        <v>661</v>
      </c>
      <c r="F2226">
        <v>1</v>
      </c>
      <c r="G2226">
        <v>153.608439776305</v>
      </c>
      <c r="H2226">
        <v>2</v>
      </c>
      <c r="I2226">
        <v>59</v>
      </c>
      <c r="K2226" t="s">
        <v>2386</v>
      </c>
      <c r="L2226">
        <v>20</v>
      </c>
      <c r="M2226" t="s">
        <v>3072</v>
      </c>
      <c r="N2226" t="s">
        <v>2388</v>
      </c>
      <c r="O2226">
        <v>1</v>
      </c>
    </row>
    <row r="2227" spans="2:15" x14ac:dyDescent="0.3">
      <c r="B2227">
        <v>2287</v>
      </c>
      <c r="D2227">
        <v>661</v>
      </c>
      <c r="E2227">
        <v>1156</v>
      </c>
      <c r="F2227">
        <v>1</v>
      </c>
      <c r="G2227">
        <v>153.608439776305</v>
      </c>
      <c r="H2227">
        <v>2</v>
      </c>
      <c r="I2227">
        <v>59</v>
      </c>
      <c r="K2227" t="s">
        <v>2386</v>
      </c>
      <c r="L2227">
        <v>20</v>
      </c>
      <c r="M2227" t="s">
        <v>3073</v>
      </c>
      <c r="N2227" t="s">
        <v>2388</v>
      </c>
      <c r="O2227">
        <v>1</v>
      </c>
    </row>
    <row r="2228" spans="2:15" x14ac:dyDescent="0.3">
      <c r="B2228">
        <v>2288</v>
      </c>
      <c r="D2228">
        <v>1157</v>
      </c>
      <c r="E2228">
        <v>661</v>
      </c>
      <c r="F2228">
        <v>1</v>
      </c>
      <c r="G2228">
        <v>150.83219103135801</v>
      </c>
      <c r="H2228">
        <v>2</v>
      </c>
      <c r="I2228">
        <v>59</v>
      </c>
      <c r="K2228" t="s">
        <v>2386</v>
      </c>
      <c r="L2228">
        <v>20</v>
      </c>
      <c r="M2228" t="s">
        <v>3074</v>
      </c>
      <c r="N2228" t="s">
        <v>2388</v>
      </c>
      <c r="O2228">
        <v>1</v>
      </c>
    </row>
    <row r="2229" spans="2:15" x14ac:dyDescent="0.3">
      <c r="B2229">
        <v>2289</v>
      </c>
      <c r="D2229">
        <v>661</v>
      </c>
      <c r="E2229">
        <v>1157</v>
      </c>
      <c r="F2229">
        <v>1</v>
      </c>
      <c r="G2229">
        <v>150.83219103135801</v>
      </c>
      <c r="H2229">
        <v>2</v>
      </c>
      <c r="I2229">
        <v>59</v>
      </c>
      <c r="K2229" t="s">
        <v>2386</v>
      </c>
      <c r="L2229">
        <v>20</v>
      </c>
      <c r="M2229" t="s">
        <v>3075</v>
      </c>
      <c r="N2229" t="s">
        <v>2388</v>
      </c>
      <c r="O2229">
        <v>1</v>
      </c>
    </row>
    <row r="2230" spans="2:15" x14ac:dyDescent="0.3">
      <c r="B2230">
        <v>2290</v>
      </c>
      <c r="D2230">
        <v>1158</v>
      </c>
      <c r="E2230">
        <v>497</v>
      </c>
      <c r="F2230">
        <v>1</v>
      </c>
      <c r="G2230">
        <v>214.8233241236</v>
      </c>
      <c r="H2230">
        <v>2</v>
      </c>
      <c r="I2230">
        <v>59</v>
      </c>
      <c r="K2230" t="s">
        <v>2386</v>
      </c>
      <c r="L2230">
        <v>20</v>
      </c>
      <c r="M2230" t="s">
        <v>3076</v>
      </c>
      <c r="N2230" t="s">
        <v>2388</v>
      </c>
      <c r="O2230">
        <v>1</v>
      </c>
    </row>
    <row r="2231" spans="2:15" x14ac:dyDescent="0.3">
      <c r="B2231">
        <v>2291</v>
      </c>
      <c r="D2231">
        <v>497</v>
      </c>
      <c r="E2231">
        <v>1158</v>
      </c>
      <c r="F2231">
        <v>1</v>
      </c>
      <c r="G2231">
        <v>214.8233241236</v>
      </c>
      <c r="H2231">
        <v>2</v>
      </c>
      <c r="I2231">
        <v>59</v>
      </c>
      <c r="K2231" t="s">
        <v>2386</v>
      </c>
      <c r="L2231">
        <v>20</v>
      </c>
      <c r="M2231" t="s">
        <v>3077</v>
      </c>
      <c r="N2231" t="s">
        <v>2388</v>
      </c>
      <c r="O2231">
        <v>1</v>
      </c>
    </row>
    <row r="2232" spans="2:15" x14ac:dyDescent="0.3">
      <c r="B2232">
        <v>2292</v>
      </c>
      <c r="D2232">
        <v>1159</v>
      </c>
      <c r="E2232">
        <v>497</v>
      </c>
      <c r="F2232">
        <v>1</v>
      </c>
      <c r="G2232">
        <v>209.24713010623</v>
      </c>
      <c r="H2232">
        <v>2</v>
      </c>
      <c r="I2232">
        <v>59</v>
      </c>
      <c r="K2232" t="s">
        <v>2386</v>
      </c>
      <c r="L2232">
        <v>20</v>
      </c>
      <c r="M2232" t="s">
        <v>3078</v>
      </c>
      <c r="N2232" t="s">
        <v>2388</v>
      </c>
      <c r="O2232">
        <v>1</v>
      </c>
    </row>
    <row r="2233" spans="2:15" x14ac:dyDescent="0.3">
      <c r="B2233">
        <v>2293</v>
      </c>
      <c r="D2233">
        <v>497</v>
      </c>
      <c r="E2233">
        <v>1159</v>
      </c>
      <c r="F2233">
        <v>1</v>
      </c>
      <c r="G2233">
        <v>209.24713010623</v>
      </c>
      <c r="H2233">
        <v>2</v>
      </c>
      <c r="I2233">
        <v>59</v>
      </c>
      <c r="K2233" t="s">
        <v>2386</v>
      </c>
      <c r="L2233">
        <v>20</v>
      </c>
      <c r="M2233" t="s">
        <v>3079</v>
      </c>
      <c r="N2233" t="s">
        <v>2388</v>
      </c>
      <c r="O2233">
        <v>1</v>
      </c>
    </row>
    <row r="2234" spans="2:15" x14ac:dyDescent="0.3">
      <c r="B2234">
        <v>2294</v>
      </c>
      <c r="D2234">
        <v>1160</v>
      </c>
      <c r="E2234">
        <v>497</v>
      </c>
      <c r="F2234">
        <v>1</v>
      </c>
      <c r="G2234">
        <v>210.28125983914501</v>
      </c>
      <c r="H2234">
        <v>2</v>
      </c>
      <c r="I2234">
        <v>59</v>
      </c>
      <c r="K2234" t="s">
        <v>2386</v>
      </c>
      <c r="L2234">
        <v>20</v>
      </c>
      <c r="M2234" t="s">
        <v>3080</v>
      </c>
      <c r="N2234" t="s">
        <v>2388</v>
      </c>
      <c r="O2234">
        <v>1</v>
      </c>
    </row>
    <row r="2235" spans="2:15" x14ac:dyDescent="0.3">
      <c r="B2235">
        <v>2295</v>
      </c>
      <c r="D2235">
        <v>497</v>
      </c>
      <c r="E2235">
        <v>1160</v>
      </c>
      <c r="F2235">
        <v>1</v>
      </c>
      <c r="G2235">
        <v>210.28125983914501</v>
      </c>
      <c r="H2235">
        <v>2</v>
      </c>
      <c r="I2235">
        <v>59</v>
      </c>
      <c r="K2235" t="s">
        <v>2386</v>
      </c>
      <c r="L2235">
        <v>20</v>
      </c>
      <c r="M2235" t="s">
        <v>3081</v>
      </c>
      <c r="N2235" t="s">
        <v>2388</v>
      </c>
      <c r="O2235">
        <v>1</v>
      </c>
    </row>
    <row r="2236" spans="2:15" x14ac:dyDescent="0.3">
      <c r="B2236">
        <v>2296</v>
      </c>
      <c r="D2236">
        <v>1161</v>
      </c>
      <c r="E2236">
        <v>497</v>
      </c>
      <c r="F2236">
        <v>1</v>
      </c>
      <c r="G2236">
        <v>210.28125983914501</v>
      </c>
      <c r="H2236">
        <v>2</v>
      </c>
      <c r="I2236">
        <v>59</v>
      </c>
      <c r="K2236" t="s">
        <v>2386</v>
      </c>
      <c r="L2236">
        <v>20</v>
      </c>
      <c r="M2236" t="s">
        <v>3080</v>
      </c>
      <c r="N2236" t="s">
        <v>2388</v>
      </c>
      <c r="O2236">
        <v>1</v>
      </c>
    </row>
    <row r="2237" spans="2:15" x14ac:dyDescent="0.3">
      <c r="B2237">
        <v>2297</v>
      </c>
      <c r="D2237">
        <v>497</v>
      </c>
      <c r="E2237">
        <v>1161</v>
      </c>
      <c r="F2237">
        <v>1</v>
      </c>
      <c r="G2237">
        <v>210.28125983914501</v>
      </c>
      <c r="H2237">
        <v>2</v>
      </c>
      <c r="I2237">
        <v>59</v>
      </c>
      <c r="K2237" t="s">
        <v>2386</v>
      </c>
      <c r="L2237">
        <v>20</v>
      </c>
      <c r="M2237" t="s">
        <v>3081</v>
      </c>
      <c r="N2237" t="s">
        <v>2388</v>
      </c>
      <c r="O2237">
        <v>1</v>
      </c>
    </row>
    <row r="2238" spans="2:15" x14ac:dyDescent="0.3">
      <c r="B2238">
        <v>2298</v>
      </c>
      <c r="D2238">
        <v>1162</v>
      </c>
      <c r="E2238">
        <v>497</v>
      </c>
      <c r="F2238">
        <v>1</v>
      </c>
      <c r="G2238">
        <v>201.491821024676</v>
      </c>
      <c r="H2238">
        <v>2</v>
      </c>
      <c r="I2238">
        <v>59</v>
      </c>
      <c r="K2238" t="s">
        <v>2386</v>
      </c>
      <c r="L2238">
        <v>20</v>
      </c>
      <c r="M2238" t="s">
        <v>3082</v>
      </c>
      <c r="N2238" t="s">
        <v>2388</v>
      </c>
      <c r="O2238">
        <v>1</v>
      </c>
    </row>
    <row r="2239" spans="2:15" x14ac:dyDescent="0.3">
      <c r="B2239">
        <v>2299</v>
      </c>
      <c r="D2239">
        <v>497</v>
      </c>
      <c r="E2239">
        <v>1162</v>
      </c>
      <c r="F2239">
        <v>1</v>
      </c>
      <c r="G2239">
        <v>201.491821024676</v>
      </c>
      <c r="H2239">
        <v>2</v>
      </c>
      <c r="I2239">
        <v>59</v>
      </c>
      <c r="K2239" t="s">
        <v>2386</v>
      </c>
      <c r="L2239">
        <v>20</v>
      </c>
      <c r="M2239" t="s">
        <v>3083</v>
      </c>
      <c r="N2239" t="s">
        <v>2388</v>
      </c>
      <c r="O2239">
        <v>1</v>
      </c>
    </row>
    <row r="2240" spans="2:15" x14ac:dyDescent="0.3">
      <c r="B2240">
        <v>2300</v>
      </c>
      <c r="D2240">
        <v>1163</v>
      </c>
      <c r="E2240">
        <v>243</v>
      </c>
      <c r="F2240">
        <v>1</v>
      </c>
      <c r="G2240">
        <v>154.01827791708399</v>
      </c>
      <c r="H2240">
        <v>2</v>
      </c>
      <c r="I2240">
        <v>59</v>
      </c>
      <c r="K2240" t="s">
        <v>2386</v>
      </c>
      <c r="L2240">
        <v>20</v>
      </c>
      <c r="M2240" t="s">
        <v>3084</v>
      </c>
      <c r="N2240" t="s">
        <v>2388</v>
      </c>
      <c r="O2240">
        <v>1</v>
      </c>
    </row>
    <row r="2241" spans="2:15" x14ac:dyDescent="0.3">
      <c r="B2241">
        <v>2301</v>
      </c>
      <c r="D2241">
        <v>243</v>
      </c>
      <c r="E2241">
        <v>1163</v>
      </c>
      <c r="F2241">
        <v>1</v>
      </c>
      <c r="G2241">
        <v>154.01827791708399</v>
      </c>
      <c r="H2241">
        <v>2</v>
      </c>
      <c r="I2241">
        <v>59</v>
      </c>
      <c r="K2241" t="s">
        <v>2386</v>
      </c>
      <c r="L2241">
        <v>20</v>
      </c>
      <c r="M2241" t="s">
        <v>3085</v>
      </c>
      <c r="N2241" t="s">
        <v>2388</v>
      </c>
      <c r="O2241">
        <v>1</v>
      </c>
    </row>
    <row r="2242" spans="2:15" x14ac:dyDescent="0.3">
      <c r="B2242">
        <v>2302</v>
      </c>
      <c r="D2242">
        <v>1164</v>
      </c>
      <c r="E2242">
        <v>243</v>
      </c>
      <c r="F2242">
        <v>1</v>
      </c>
      <c r="G2242">
        <v>199.847994728869</v>
      </c>
      <c r="H2242">
        <v>2</v>
      </c>
      <c r="I2242">
        <v>59</v>
      </c>
      <c r="K2242" t="s">
        <v>2386</v>
      </c>
      <c r="L2242">
        <v>20</v>
      </c>
      <c r="M2242" t="s">
        <v>3086</v>
      </c>
      <c r="N2242" t="s">
        <v>2388</v>
      </c>
      <c r="O2242">
        <v>1</v>
      </c>
    </row>
    <row r="2243" spans="2:15" x14ac:dyDescent="0.3">
      <c r="B2243">
        <v>2303</v>
      </c>
      <c r="D2243">
        <v>243</v>
      </c>
      <c r="E2243">
        <v>1164</v>
      </c>
      <c r="F2243">
        <v>1</v>
      </c>
      <c r="G2243">
        <v>199.847994728869</v>
      </c>
      <c r="H2243">
        <v>2</v>
      </c>
      <c r="I2243">
        <v>59</v>
      </c>
      <c r="K2243" t="s">
        <v>2386</v>
      </c>
      <c r="L2243">
        <v>20</v>
      </c>
      <c r="M2243" t="s">
        <v>3087</v>
      </c>
      <c r="N2243" t="s">
        <v>2388</v>
      </c>
      <c r="O2243">
        <v>1</v>
      </c>
    </row>
    <row r="2244" spans="2:15" x14ac:dyDescent="0.3">
      <c r="B2244">
        <v>2304</v>
      </c>
      <c r="D2244">
        <v>1165</v>
      </c>
      <c r="E2244">
        <v>185</v>
      </c>
      <c r="F2244">
        <v>1</v>
      </c>
      <c r="G2244">
        <v>64.013025685668794</v>
      </c>
      <c r="H2244">
        <v>2</v>
      </c>
      <c r="I2244">
        <v>59</v>
      </c>
      <c r="K2244" t="s">
        <v>2386</v>
      </c>
      <c r="L2244">
        <v>20</v>
      </c>
      <c r="M2244" t="s">
        <v>3088</v>
      </c>
      <c r="N2244" t="s">
        <v>2388</v>
      </c>
      <c r="O2244">
        <v>1</v>
      </c>
    </row>
    <row r="2245" spans="2:15" x14ac:dyDescent="0.3">
      <c r="B2245">
        <v>2305</v>
      </c>
      <c r="D2245">
        <v>185</v>
      </c>
      <c r="E2245">
        <v>1165</v>
      </c>
      <c r="F2245">
        <v>1</v>
      </c>
      <c r="G2245">
        <v>64.013025685668794</v>
      </c>
      <c r="H2245">
        <v>2</v>
      </c>
      <c r="I2245">
        <v>59</v>
      </c>
      <c r="K2245" t="s">
        <v>2386</v>
      </c>
      <c r="L2245">
        <v>20</v>
      </c>
      <c r="M2245" t="s">
        <v>3089</v>
      </c>
      <c r="N2245" t="s">
        <v>2388</v>
      </c>
      <c r="O2245">
        <v>1</v>
      </c>
    </row>
    <row r="2246" spans="2:15" x14ac:dyDescent="0.3">
      <c r="B2246">
        <v>2306</v>
      </c>
      <c r="D2246">
        <v>1166</v>
      </c>
      <c r="E2246">
        <v>185</v>
      </c>
      <c r="F2246">
        <v>1</v>
      </c>
      <c r="G2246">
        <v>106.602729963431</v>
      </c>
      <c r="H2246">
        <v>2</v>
      </c>
      <c r="I2246">
        <v>59</v>
      </c>
      <c r="K2246" t="s">
        <v>2386</v>
      </c>
      <c r="L2246">
        <v>20</v>
      </c>
      <c r="M2246" t="s">
        <v>3090</v>
      </c>
      <c r="N2246" t="s">
        <v>2388</v>
      </c>
      <c r="O2246">
        <v>1</v>
      </c>
    </row>
    <row r="2247" spans="2:15" x14ac:dyDescent="0.3">
      <c r="B2247">
        <v>2307</v>
      </c>
      <c r="D2247">
        <v>185</v>
      </c>
      <c r="E2247">
        <v>1166</v>
      </c>
      <c r="F2247">
        <v>1</v>
      </c>
      <c r="G2247">
        <v>106.602729963431</v>
      </c>
      <c r="H2247">
        <v>2</v>
      </c>
      <c r="I2247">
        <v>59</v>
      </c>
      <c r="K2247" t="s">
        <v>2386</v>
      </c>
      <c r="L2247">
        <v>20</v>
      </c>
      <c r="M2247" t="s">
        <v>3091</v>
      </c>
      <c r="N2247" t="s">
        <v>2388</v>
      </c>
      <c r="O2247">
        <v>1</v>
      </c>
    </row>
    <row r="2248" spans="2:15" x14ac:dyDescent="0.3">
      <c r="B2248">
        <v>2308</v>
      </c>
      <c r="D2248">
        <v>1167</v>
      </c>
      <c r="E2248">
        <v>1953</v>
      </c>
      <c r="F2248">
        <v>1</v>
      </c>
      <c r="G2248">
        <v>74.481268342083695</v>
      </c>
      <c r="H2248">
        <v>2</v>
      </c>
      <c r="I2248">
        <v>59</v>
      </c>
      <c r="K2248" t="s">
        <v>2386</v>
      </c>
      <c r="L2248">
        <v>20</v>
      </c>
      <c r="M2248" t="s">
        <v>3092</v>
      </c>
      <c r="N2248" t="s">
        <v>2388</v>
      </c>
      <c r="O2248">
        <v>1</v>
      </c>
    </row>
    <row r="2249" spans="2:15" x14ac:dyDescent="0.3">
      <c r="B2249">
        <v>2309</v>
      </c>
      <c r="D2249">
        <v>1953</v>
      </c>
      <c r="E2249">
        <v>1167</v>
      </c>
      <c r="F2249">
        <v>1</v>
      </c>
      <c r="G2249">
        <v>74.481268342083695</v>
      </c>
      <c r="H2249">
        <v>2</v>
      </c>
      <c r="I2249">
        <v>59</v>
      </c>
      <c r="K2249" t="s">
        <v>2386</v>
      </c>
      <c r="L2249">
        <v>20</v>
      </c>
      <c r="M2249" t="s">
        <v>3093</v>
      </c>
      <c r="N2249" t="s">
        <v>2388</v>
      </c>
      <c r="O2249">
        <v>1</v>
      </c>
    </row>
    <row r="2250" spans="2:15" x14ac:dyDescent="0.3">
      <c r="B2250">
        <v>2310</v>
      </c>
      <c r="D2250">
        <v>1168</v>
      </c>
      <c r="E2250">
        <v>504</v>
      </c>
      <c r="F2250">
        <v>1</v>
      </c>
      <c r="G2250">
        <v>65.954797534530698</v>
      </c>
      <c r="H2250">
        <v>2</v>
      </c>
      <c r="I2250">
        <v>59</v>
      </c>
      <c r="K2250" t="s">
        <v>2386</v>
      </c>
      <c r="L2250">
        <v>20</v>
      </c>
      <c r="M2250" t="s">
        <v>3094</v>
      </c>
      <c r="N2250" t="s">
        <v>2388</v>
      </c>
      <c r="O2250">
        <v>1</v>
      </c>
    </row>
    <row r="2251" spans="2:15" x14ac:dyDescent="0.3">
      <c r="B2251">
        <v>2311</v>
      </c>
      <c r="D2251">
        <v>504</v>
      </c>
      <c r="E2251">
        <v>1168</v>
      </c>
      <c r="F2251">
        <v>1</v>
      </c>
      <c r="G2251">
        <v>65.954797534530698</v>
      </c>
      <c r="H2251">
        <v>2</v>
      </c>
      <c r="I2251">
        <v>59</v>
      </c>
      <c r="K2251" t="s">
        <v>2386</v>
      </c>
      <c r="L2251">
        <v>20</v>
      </c>
      <c r="M2251" t="s">
        <v>3095</v>
      </c>
      <c r="N2251" t="s">
        <v>2388</v>
      </c>
      <c r="O2251">
        <v>1</v>
      </c>
    </row>
    <row r="2252" spans="2:15" x14ac:dyDescent="0.3">
      <c r="B2252">
        <v>2312</v>
      </c>
      <c r="D2252">
        <v>1169</v>
      </c>
      <c r="E2252">
        <v>1953</v>
      </c>
      <c r="F2252">
        <v>1</v>
      </c>
      <c r="G2252">
        <v>136.41794461384401</v>
      </c>
      <c r="H2252">
        <v>2</v>
      </c>
      <c r="I2252">
        <v>59</v>
      </c>
      <c r="K2252" t="s">
        <v>2386</v>
      </c>
      <c r="L2252">
        <v>20</v>
      </c>
      <c r="M2252" t="s">
        <v>3096</v>
      </c>
      <c r="N2252" t="s">
        <v>2388</v>
      </c>
      <c r="O2252">
        <v>1</v>
      </c>
    </row>
    <row r="2253" spans="2:15" x14ac:dyDescent="0.3">
      <c r="B2253">
        <v>2313</v>
      </c>
      <c r="D2253">
        <v>1953</v>
      </c>
      <c r="E2253">
        <v>1169</v>
      </c>
      <c r="F2253">
        <v>1</v>
      </c>
      <c r="G2253">
        <v>136.41794461384401</v>
      </c>
      <c r="H2253">
        <v>2</v>
      </c>
      <c r="I2253">
        <v>59</v>
      </c>
      <c r="K2253" t="s">
        <v>2386</v>
      </c>
      <c r="L2253">
        <v>20</v>
      </c>
      <c r="M2253" t="s">
        <v>3097</v>
      </c>
      <c r="N2253" t="s">
        <v>2388</v>
      </c>
      <c r="O2253">
        <v>1</v>
      </c>
    </row>
    <row r="2254" spans="2:15" x14ac:dyDescent="0.3">
      <c r="B2254">
        <v>2314</v>
      </c>
      <c r="D2254">
        <v>1170</v>
      </c>
      <c r="E2254">
        <v>1953</v>
      </c>
      <c r="F2254">
        <v>1</v>
      </c>
      <c r="G2254">
        <v>138.138846762057</v>
      </c>
      <c r="H2254">
        <v>2</v>
      </c>
      <c r="I2254">
        <v>59</v>
      </c>
      <c r="K2254" t="s">
        <v>2386</v>
      </c>
      <c r="L2254">
        <v>20</v>
      </c>
      <c r="M2254" t="s">
        <v>3098</v>
      </c>
      <c r="N2254" t="s">
        <v>2388</v>
      </c>
      <c r="O2254">
        <v>1</v>
      </c>
    </row>
    <row r="2255" spans="2:15" x14ac:dyDescent="0.3">
      <c r="B2255">
        <v>2315</v>
      </c>
      <c r="D2255">
        <v>1953</v>
      </c>
      <c r="E2255">
        <v>1170</v>
      </c>
      <c r="F2255">
        <v>1</v>
      </c>
      <c r="G2255">
        <v>138.138846762057</v>
      </c>
      <c r="H2255">
        <v>2</v>
      </c>
      <c r="I2255">
        <v>59</v>
      </c>
      <c r="K2255" t="s">
        <v>2386</v>
      </c>
      <c r="L2255">
        <v>20</v>
      </c>
      <c r="M2255" t="s">
        <v>3099</v>
      </c>
      <c r="N2255" t="s">
        <v>2388</v>
      </c>
      <c r="O2255">
        <v>1</v>
      </c>
    </row>
    <row r="2256" spans="2:15" x14ac:dyDescent="0.3">
      <c r="B2256">
        <v>2316</v>
      </c>
      <c r="D2256">
        <v>1171</v>
      </c>
      <c r="E2256">
        <v>555</v>
      </c>
      <c r="F2256">
        <v>1</v>
      </c>
      <c r="G2256">
        <v>50.264091844027298</v>
      </c>
      <c r="H2256">
        <v>2</v>
      </c>
      <c r="I2256">
        <v>59</v>
      </c>
      <c r="K2256" t="s">
        <v>2386</v>
      </c>
      <c r="L2256">
        <v>20</v>
      </c>
      <c r="M2256" t="s">
        <v>3100</v>
      </c>
      <c r="N2256" t="s">
        <v>2388</v>
      </c>
      <c r="O2256">
        <v>1</v>
      </c>
    </row>
    <row r="2257" spans="2:15" x14ac:dyDescent="0.3">
      <c r="B2257">
        <v>2317</v>
      </c>
      <c r="D2257">
        <v>555</v>
      </c>
      <c r="E2257">
        <v>1171</v>
      </c>
      <c r="F2257">
        <v>1</v>
      </c>
      <c r="G2257">
        <v>50.264091844027298</v>
      </c>
      <c r="H2257">
        <v>2</v>
      </c>
      <c r="I2257">
        <v>59</v>
      </c>
      <c r="K2257" t="s">
        <v>2386</v>
      </c>
      <c r="L2257">
        <v>20</v>
      </c>
      <c r="M2257" t="s">
        <v>3101</v>
      </c>
      <c r="N2257" t="s">
        <v>2388</v>
      </c>
      <c r="O2257">
        <v>1</v>
      </c>
    </row>
    <row r="2258" spans="2:15" x14ac:dyDescent="0.3">
      <c r="B2258">
        <v>2318</v>
      </c>
      <c r="D2258">
        <v>1172</v>
      </c>
      <c r="E2258">
        <v>582</v>
      </c>
      <c r="F2258">
        <v>1</v>
      </c>
      <c r="G2258">
        <v>46.807592977425102</v>
      </c>
      <c r="H2258">
        <v>2</v>
      </c>
      <c r="I2258">
        <v>59</v>
      </c>
      <c r="K2258" t="s">
        <v>2386</v>
      </c>
      <c r="L2258">
        <v>20</v>
      </c>
      <c r="M2258" t="s">
        <v>3102</v>
      </c>
      <c r="N2258" t="s">
        <v>2388</v>
      </c>
      <c r="O2258">
        <v>1</v>
      </c>
    </row>
    <row r="2259" spans="2:15" x14ac:dyDescent="0.3">
      <c r="B2259">
        <v>2319</v>
      </c>
      <c r="D2259">
        <v>582</v>
      </c>
      <c r="E2259">
        <v>1172</v>
      </c>
      <c r="F2259">
        <v>1</v>
      </c>
      <c r="G2259">
        <v>46.807592977425102</v>
      </c>
      <c r="H2259">
        <v>2</v>
      </c>
      <c r="I2259">
        <v>59</v>
      </c>
      <c r="K2259" t="s">
        <v>2386</v>
      </c>
      <c r="L2259">
        <v>20</v>
      </c>
      <c r="M2259" t="s">
        <v>3103</v>
      </c>
      <c r="N2259" t="s">
        <v>2388</v>
      </c>
      <c r="O2259">
        <v>1</v>
      </c>
    </row>
    <row r="2260" spans="2:15" x14ac:dyDescent="0.3">
      <c r="B2260">
        <v>2320</v>
      </c>
      <c r="D2260">
        <v>1173</v>
      </c>
      <c r="E2260">
        <v>556</v>
      </c>
      <c r="F2260">
        <v>1</v>
      </c>
      <c r="G2260">
        <v>71.720853624559894</v>
      </c>
      <c r="H2260">
        <v>2</v>
      </c>
      <c r="I2260">
        <v>59</v>
      </c>
      <c r="K2260" t="s">
        <v>2386</v>
      </c>
      <c r="L2260">
        <v>20</v>
      </c>
      <c r="M2260" t="s">
        <v>3104</v>
      </c>
      <c r="N2260" t="s">
        <v>2388</v>
      </c>
      <c r="O2260">
        <v>1</v>
      </c>
    </row>
    <row r="2261" spans="2:15" x14ac:dyDescent="0.3">
      <c r="B2261">
        <v>2321</v>
      </c>
      <c r="D2261">
        <v>556</v>
      </c>
      <c r="E2261">
        <v>1173</v>
      </c>
      <c r="F2261">
        <v>1</v>
      </c>
      <c r="G2261">
        <v>71.720853624559894</v>
      </c>
      <c r="H2261">
        <v>2</v>
      </c>
      <c r="I2261">
        <v>59</v>
      </c>
      <c r="K2261" t="s">
        <v>2386</v>
      </c>
      <c r="L2261">
        <v>20</v>
      </c>
      <c r="M2261" t="s">
        <v>3105</v>
      </c>
      <c r="N2261" t="s">
        <v>2388</v>
      </c>
      <c r="O2261">
        <v>1</v>
      </c>
    </row>
    <row r="2262" spans="2:15" x14ac:dyDescent="0.3">
      <c r="B2262">
        <v>2322</v>
      </c>
      <c r="D2262">
        <v>1174</v>
      </c>
      <c r="E2262">
        <v>522</v>
      </c>
      <c r="F2262">
        <v>1</v>
      </c>
      <c r="G2262">
        <v>55.861541452593698</v>
      </c>
      <c r="H2262">
        <v>2</v>
      </c>
      <c r="I2262">
        <v>59</v>
      </c>
      <c r="K2262" t="s">
        <v>2386</v>
      </c>
      <c r="L2262">
        <v>20</v>
      </c>
      <c r="M2262" t="s">
        <v>3106</v>
      </c>
      <c r="N2262" t="s">
        <v>2388</v>
      </c>
      <c r="O2262">
        <v>1</v>
      </c>
    </row>
    <row r="2263" spans="2:15" x14ac:dyDescent="0.3">
      <c r="B2263">
        <v>2323</v>
      </c>
      <c r="D2263">
        <v>522</v>
      </c>
      <c r="E2263">
        <v>1174</v>
      </c>
      <c r="F2263">
        <v>1</v>
      </c>
      <c r="G2263">
        <v>55.861541452593698</v>
      </c>
      <c r="H2263">
        <v>2</v>
      </c>
      <c r="I2263">
        <v>59</v>
      </c>
      <c r="K2263" t="s">
        <v>2386</v>
      </c>
      <c r="L2263">
        <v>20</v>
      </c>
      <c r="M2263" t="s">
        <v>3107</v>
      </c>
      <c r="N2263" t="s">
        <v>2388</v>
      </c>
      <c r="O2263">
        <v>1</v>
      </c>
    </row>
    <row r="2264" spans="2:15" x14ac:dyDescent="0.3">
      <c r="B2264">
        <v>2324</v>
      </c>
      <c r="D2264">
        <v>1175</v>
      </c>
      <c r="E2264">
        <v>487</v>
      </c>
      <c r="F2264">
        <v>1</v>
      </c>
      <c r="G2264">
        <v>31.5567471881591</v>
      </c>
      <c r="H2264">
        <v>2</v>
      </c>
      <c r="I2264">
        <v>59</v>
      </c>
      <c r="K2264" t="s">
        <v>2386</v>
      </c>
      <c r="L2264">
        <v>20</v>
      </c>
      <c r="M2264" t="s">
        <v>3108</v>
      </c>
      <c r="N2264" t="s">
        <v>2388</v>
      </c>
      <c r="O2264">
        <v>1</v>
      </c>
    </row>
    <row r="2265" spans="2:15" x14ac:dyDescent="0.3">
      <c r="B2265">
        <v>2325</v>
      </c>
      <c r="D2265">
        <v>487</v>
      </c>
      <c r="E2265">
        <v>1175</v>
      </c>
      <c r="F2265">
        <v>1</v>
      </c>
      <c r="G2265">
        <v>31.5567471881591</v>
      </c>
      <c r="H2265">
        <v>2</v>
      </c>
      <c r="I2265">
        <v>59</v>
      </c>
      <c r="K2265" t="s">
        <v>2386</v>
      </c>
      <c r="L2265">
        <v>20</v>
      </c>
      <c r="M2265" t="s">
        <v>3109</v>
      </c>
      <c r="N2265" t="s">
        <v>2388</v>
      </c>
      <c r="O2265">
        <v>1</v>
      </c>
    </row>
    <row r="2266" spans="2:15" x14ac:dyDescent="0.3">
      <c r="B2266">
        <v>2326</v>
      </c>
      <c r="D2266">
        <v>1176</v>
      </c>
      <c r="E2266">
        <v>798</v>
      </c>
      <c r="F2266">
        <v>1</v>
      </c>
      <c r="G2266">
        <v>162399.0979511</v>
      </c>
      <c r="H2266">
        <v>2</v>
      </c>
      <c r="I2266">
        <v>59</v>
      </c>
      <c r="K2266" t="s">
        <v>2386</v>
      </c>
      <c r="L2266">
        <v>20</v>
      </c>
      <c r="M2266" t="s">
        <v>3110</v>
      </c>
      <c r="N2266" t="s">
        <v>2388</v>
      </c>
      <c r="O2266">
        <v>1</v>
      </c>
    </row>
    <row r="2267" spans="2:15" x14ac:dyDescent="0.3">
      <c r="B2267">
        <v>2327</v>
      </c>
      <c r="D2267">
        <v>798</v>
      </c>
      <c r="E2267">
        <v>1176</v>
      </c>
      <c r="F2267">
        <v>1</v>
      </c>
      <c r="G2267">
        <v>162399.0979511</v>
      </c>
      <c r="H2267">
        <v>2</v>
      </c>
      <c r="I2267">
        <v>59</v>
      </c>
      <c r="K2267" t="s">
        <v>2386</v>
      </c>
      <c r="L2267">
        <v>20</v>
      </c>
      <c r="M2267" t="s">
        <v>3111</v>
      </c>
      <c r="N2267" t="s">
        <v>2388</v>
      </c>
      <c r="O2267">
        <v>1</v>
      </c>
    </row>
    <row r="2268" spans="2:15" x14ac:dyDescent="0.3">
      <c r="B2268">
        <v>2328</v>
      </c>
      <c r="D2268">
        <v>1177</v>
      </c>
      <c r="E2268">
        <v>331</v>
      </c>
      <c r="F2268">
        <v>1</v>
      </c>
      <c r="G2268">
        <v>56.732833622423001</v>
      </c>
      <c r="H2268">
        <v>2</v>
      </c>
      <c r="I2268">
        <v>59</v>
      </c>
      <c r="K2268" t="s">
        <v>2386</v>
      </c>
      <c r="L2268">
        <v>20</v>
      </c>
      <c r="M2268" t="s">
        <v>3112</v>
      </c>
      <c r="N2268" t="s">
        <v>2388</v>
      </c>
      <c r="O2268">
        <v>1</v>
      </c>
    </row>
    <row r="2269" spans="2:15" x14ac:dyDescent="0.3">
      <c r="B2269">
        <v>2329</v>
      </c>
      <c r="D2269">
        <v>331</v>
      </c>
      <c r="E2269">
        <v>1177</v>
      </c>
      <c r="F2269">
        <v>1</v>
      </c>
      <c r="G2269">
        <v>56.732833622423001</v>
      </c>
      <c r="H2269">
        <v>2</v>
      </c>
      <c r="I2269">
        <v>59</v>
      </c>
      <c r="K2269" t="s">
        <v>2386</v>
      </c>
      <c r="L2269">
        <v>20</v>
      </c>
      <c r="M2269" t="s">
        <v>3113</v>
      </c>
      <c r="N2269" t="s">
        <v>2388</v>
      </c>
      <c r="O2269">
        <v>1</v>
      </c>
    </row>
    <row r="2270" spans="2:15" x14ac:dyDescent="0.3">
      <c r="B2270">
        <v>2330</v>
      </c>
      <c r="D2270">
        <v>1178</v>
      </c>
      <c r="E2270">
        <v>226</v>
      </c>
      <c r="F2270">
        <v>1</v>
      </c>
      <c r="G2270">
        <v>39.860138237083</v>
      </c>
      <c r="H2270">
        <v>2</v>
      </c>
      <c r="I2270">
        <v>59</v>
      </c>
      <c r="K2270" t="s">
        <v>2386</v>
      </c>
      <c r="L2270">
        <v>20</v>
      </c>
      <c r="M2270" t="s">
        <v>3114</v>
      </c>
      <c r="N2270" t="s">
        <v>2388</v>
      </c>
      <c r="O2270">
        <v>1</v>
      </c>
    </row>
    <row r="2271" spans="2:15" x14ac:dyDescent="0.3">
      <c r="B2271">
        <v>2331</v>
      </c>
      <c r="D2271">
        <v>226</v>
      </c>
      <c r="E2271">
        <v>1178</v>
      </c>
      <c r="F2271">
        <v>1</v>
      </c>
      <c r="G2271">
        <v>39.860138237083</v>
      </c>
      <c r="H2271">
        <v>2</v>
      </c>
      <c r="I2271">
        <v>59</v>
      </c>
      <c r="K2271" t="s">
        <v>2386</v>
      </c>
      <c r="L2271">
        <v>20</v>
      </c>
      <c r="M2271" t="s">
        <v>3115</v>
      </c>
      <c r="N2271" t="s">
        <v>2388</v>
      </c>
      <c r="O2271">
        <v>1</v>
      </c>
    </row>
    <row r="2272" spans="2:15" x14ac:dyDescent="0.3">
      <c r="B2272">
        <v>2332</v>
      </c>
      <c r="D2272">
        <v>1179</v>
      </c>
      <c r="E2272">
        <v>98</v>
      </c>
      <c r="F2272">
        <v>1</v>
      </c>
      <c r="G2272">
        <v>78.539527689473402</v>
      </c>
      <c r="H2272">
        <v>2</v>
      </c>
      <c r="I2272">
        <v>59</v>
      </c>
      <c r="K2272" t="s">
        <v>2386</v>
      </c>
      <c r="L2272">
        <v>20</v>
      </c>
      <c r="M2272" t="s">
        <v>3116</v>
      </c>
      <c r="N2272" t="s">
        <v>2388</v>
      </c>
      <c r="O2272">
        <v>1</v>
      </c>
    </row>
    <row r="2273" spans="2:15" x14ac:dyDescent="0.3">
      <c r="B2273">
        <v>2333</v>
      </c>
      <c r="D2273">
        <v>98</v>
      </c>
      <c r="E2273">
        <v>1179</v>
      </c>
      <c r="F2273">
        <v>1</v>
      </c>
      <c r="G2273">
        <v>78.539527689473402</v>
      </c>
      <c r="H2273">
        <v>2</v>
      </c>
      <c r="I2273">
        <v>59</v>
      </c>
      <c r="K2273" t="s">
        <v>2386</v>
      </c>
      <c r="L2273">
        <v>20</v>
      </c>
      <c r="M2273" t="s">
        <v>3117</v>
      </c>
      <c r="N2273" t="s">
        <v>2388</v>
      </c>
      <c r="O2273">
        <v>1</v>
      </c>
    </row>
    <row r="2274" spans="2:15" x14ac:dyDescent="0.3">
      <c r="B2274">
        <v>2334</v>
      </c>
      <c r="D2274">
        <v>1180</v>
      </c>
      <c r="E2274">
        <v>615</v>
      </c>
      <c r="F2274">
        <v>1</v>
      </c>
      <c r="G2274">
        <v>50.305321108210798</v>
      </c>
      <c r="H2274">
        <v>2</v>
      </c>
      <c r="I2274">
        <v>59</v>
      </c>
      <c r="K2274" t="s">
        <v>2386</v>
      </c>
      <c r="L2274">
        <v>20</v>
      </c>
      <c r="M2274" t="s">
        <v>3118</v>
      </c>
      <c r="N2274" t="s">
        <v>2388</v>
      </c>
      <c r="O2274">
        <v>1</v>
      </c>
    </row>
    <row r="2275" spans="2:15" x14ac:dyDescent="0.3">
      <c r="B2275">
        <v>2335</v>
      </c>
      <c r="D2275">
        <v>615</v>
      </c>
      <c r="E2275">
        <v>1180</v>
      </c>
      <c r="F2275">
        <v>1</v>
      </c>
      <c r="G2275">
        <v>50.305321108210798</v>
      </c>
      <c r="H2275">
        <v>2</v>
      </c>
      <c r="I2275">
        <v>59</v>
      </c>
      <c r="K2275" t="s">
        <v>2386</v>
      </c>
      <c r="L2275">
        <v>20</v>
      </c>
      <c r="M2275" t="s">
        <v>3119</v>
      </c>
      <c r="N2275" t="s">
        <v>2388</v>
      </c>
      <c r="O2275">
        <v>1</v>
      </c>
    </row>
    <row r="2276" spans="2:15" x14ac:dyDescent="0.3">
      <c r="B2276">
        <v>2336</v>
      </c>
      <c r="D2276">
        <v>1181</v>
      </c>
      <c r="E2276">
        <v>415</v>
      </c>
      <c r="F2276">
        <v>1</v>
      </c>
      <c r="G2276">
        <v>113.246802482604</v>
      </c>
      <c r="H2276">
        <v>2</v>
      </c>
      <c r="I2276">
        <v>59</v>
      </c>
      <c r="K2276" t="s">
        <v>2386</v>
      </c>
      <c r="L2276">
        <v>20</v>
      </c>
      <c r="M2276" t="s">
        <v>3120</v>
      </c>
      <c r="N2276" t="s">
        <v>2388</v>
      </c>
      <c r="O2276">
        <v>1</v>
      </c>
    </row>
    <row r="2277" spans="2:15" x14ac:dyDescent="0.3">
      <c r="B2277">
        <v>2337</v>
      </c>
      <c r="D2277">
        <v>415</v>
      </c>
      <c r="E2277">
        <v>1181</v>
      </c>
      <c r="F2277">
        <v>1</v>
      </c>
      <c r="G2277">
        <v>113.246802482604</v>
      </c>
      <c r="H2277">
        <v>2</v>
      </c>
      <c r="I2277">
        <v>59</v>
      </c>
      <c r="K2277" t="s">
        <v>2386</v>
      </c>
      <c r="L2277">
        <v>20</v>
      </c>
      <c r="M2277" t="s">
        <v>3121</v>
      </c>
      <c r="N2277" t="s">
        <v>2388</v>
      </c>
      <c r="O2277">
        <v>1</v>
      </c>
    </row>
    <row r="2278" spans="2:15" x14ac:dyDescent="0.3">
      <c r="B2278">
        <v>2338</v>
      </c>
      <c r="D2278">
        <v>1182</v>
      </c>
      <c r="E2278">
        <v>656</v>
      </c>
      <c r="F2278">
        <v>1</v>
      </c>
      <c r="G2278">
        <v>106.97102253824301</v>
      </c>
      <c r="H2278">
        <v>2</v>
      </c>
      <c r="I2278">
        <v>59</v>
      </c>
      <c r="K2278" t="s">
        <v>2386</v>
      </c>
      <c r="L2278">
        <v>20</v>
      </c>
      <c r="M2278" t="s">
        <v>3122</v>
      </c>
      <c r="N2278" t="s">
        <v>2388</v>
      </c>
      <c r="O2278">
        <v>1</v>
      </c>
    </row>
    <row r="2279" spans="2:15" x14ac:dyDescent="0.3">
      <c r="B2279">
        <v>2339</v>
      </c>
      <c r="D2279">
        <v>656</v>
      </c>
      <c r="E2279">
        <v>1182</v>
      </c>
      <c r="F2279">
        <v>1</v>
      </c>
      <c r="G2279">
        <v>106.97102253824301</v>
      </c>
      <c r="H2279">
        <v>2</v>
      </c>
      <c r="I2279">
        <v>59</v>
      </c>
      <c r="K2279" t="s">
        <v>2386</v>
      </c>
      <c r="L2279">
        <v>20</v>
      </c>
      <c r="M2279" t="s">
        <v>3123</v>
      </c>
      <c r="N2279" t="s">
        <v>2388</v>
      </c>
      <c r="O2279">
        <v>1</v>
      </c>
    </row>
    <row r="2280" spans="2:15" x14ac:dyDescent="0.3">
      <c r="B2280">
        <v>2340</v>
      </c>
      <c r="D2280">
        <v>1183</v>
      </c>
      <c r="E2280">
        <v>1969</v>
      </c>
      <c r="F2280">
        <v>1</v>
      </c>
      <c r="G2280">
        <v>69.079681238966799</v>
      </c>
      <c r="H2280">
        <v>2</v>
      </c>
      <c r="I2280">
        <v>59</v>
      </c>
      <c r="K2280" t="s">
        <v>2386</v>
      </c>
      <c r="L2280">
        <v>20</v>
      </c>
      <c r="M2280" t="s">
        <v>3124</v>
      </c>
      <c r="N2280" t="s">
        <v>2388</v>
      </c>
      <c r="O2280">
        <v>1</v>
      </c>
    </row>
    <row r="2281" spans="2:15" x14ac:dyDescent="0.3">
      <c r="B2281">
        <v>2341</v>
      </c>
      <c r="D2281">
        <v>1969</v>
      </c>
      <c r="E2281">
        <v>1183</v>
      </c>
      <c r="F2281">
        <v>1</v>
      </c>
      <c r="G2281">
        <v>69.079681238966799</v>
      </c>
      <c r="H2281">
        <v>2</v>
      </c>
      <c r="I2281">
        <v>59</v>
      </c>
      <c r="K2281" t="s">
        <v>2386</v>
      </c>
      <c r="L2281">
        <v>20</v>
      </c>
      <c r="M2281" t="s">
        <v>3125</v>
      </c>
      <c r="N2281" t="s">
        <v>2388</v>
      </c>
      <c r="O2281">
        <v>1</v>
      </c>
    </row>
    <row r="2282" spans="2:15" x14ac:dyDescent="0.3">
      <c r="B2282">
        <v>2342</v>
      </c>
      <c r="D2282">
        <v>1184</v>
      </c>
      <c r="E2282">
        <v>251</v>
      </c>
      <c r="F2282">
        <v>1</v>
      </c>
      <c r="G2282">
        <v>62.335511370244099</v>
      </c>
      <c r="H2282">
        <v>2</v>
      </c>
      <c r="I2282">
        <v>59</v>
      </c>
      <c r="K2282" t="s">
        <v>2386</v>
      </c>
      <c r="L2282">
        <v>20</v>
      </c>
      <c r="M2282" t="s">
        <v>3126</v>
      </c>
      <c r="N2282" t="s">
        <v>2388</v>
      </c>
      <c r="O2282">
        <v>1</v>
      </c>
    </row>
    <row r="2283" spans="2:15" x14ac:dyDescent="0.3">
      <c r="B2283">
        <v>2343</v>
      </c>
      <c r="D2283">
        <v>251</v>
      </c>
      <c r="E2283">
        <v>1184</v>
      </c>
      <c r="F2283">
        <v>1</v>
      </c>
      <c r="G2283">
        <v>62.335511370244099</v>
      </c>
      <c r="H2283">
        <v>2</v>
      </c>
      <c r="I2283">
        <v>59</v>
      </c>
      <c r="K2283" t="s">
        <v>2386</v>
      </c>
      <c r="L2283">
        <v>20</v>
      </c>
      <c r="M2283" t="s">
        <v>3127</v>
      </c>
      <c r="N2283" t="s">
        <v>2388</v>
      </c>
      <c r="O2283">
        <v>1</v>
      </c>
    </row>
    <row r="2284" spans="2:15" x14ac:dyDescent="0.3">
      <c r="B2284">
        <v>2344</v>
      </c>
      <c r="D2284">
        <v>1185</v>
      </c>
      <c r="E2284">
        <v>251</v>
      </c>
      <c r="F2284">
        <v>1</v>
      </c>
      <c r="G2284">
        <v>43.387080337379601</v>
      </c>
      <c r="H2284">
        <v>2</v>
      </c>
      <c r="I2284">
        <v>59</v>
      </c>
      <c r="K2284" t="s">
        <v>2386</v>
      </c>
      <c r="L2284">
        <v>20</v>
      </c>
      <c r="M2284" t="s">
        <v>3128</v>
      </c>
      <c r="N2284" t="s">
        <v>2388</v>
      </c>
      <c r="O2284">
        <v>1</v>
      </c>
    </row>
    <row r="2285" spans="2:15" x14ac:dyDescent="0.3">
      <c r="B2285">
        <v>2345</v>
      </c>
      <c r="D2285">
        <v>251</v>
      </c>
      <c r="E2285">
        <v>1185</v>
      </c>
      <c r="F2285">
        <v>1</v>
      </c>
      <c r="G2285">
        <v>43.387080337379601</v>
      </c>
      <c r="H2285">
        <v>2</v>
      </c>
      <c r="I2285">
        <v>59</v>
      </c>
      <c r="K2285" t="s">
        <v>2386</v>
      </c>
      <c r="L2285">
        <v>20</v>
      </c>
      <c r="M2285" t="s">
        <v>3129</v>
      </c>
      <c r="N2285" t="s">
        <v>2388</v>
      </c>
      <c r="O2285">
        <v>1</v>
      </c>
    </row>
    <row r="2286" spans="2:15" x14ac:dyDescent="0.3">
      <c r="B2286">
        <v>2346</v>
      </c>
      <c r="D2286">
        <v>1186</v>
      </c>
      <c r="E2286">
        <v>482</v>
      </c>
      <c r="F2286">
        <v>1</v>
      </c>
      <c r="G2286">
        <v>32.886388093803099</v>
      </c>
      <c r="H2286">
        <v>2</v>
      </c>
      <c r="I2286">
        <v>59</v>
      </c>
      <c r="K2286" t="s">
        <v>2386</v>
      </c>
      <c r="L2286">
        <v>20</v>
      </c>
      <c r="M2286" t="s">
        <v>3130</v>
      </c>
      <c r="N2286" t="s">
        <v>2388</v>
      </c>
      <c r="O2286">
        <v>1</v>
      </c>
    </row>
    <row r="2287" spans="2:15" x14ac:dyDescent="0.3">
      <c r="B2287">
        <v>2347</v>
      </c>
      <c r="D2287">
        <v>482</v>
      </c>
      <c r="E2287">
        <v>1186</v>
      </c>
      <c r="F2287">
        <v>1</v>
      </c>
      <c r="G2287">
        <v>32.886388093803099</v>
      </c>
      <c r="H2287">
        <v>2</v>
      </c>
      <c r="I2287">
        <v>59</v>
      </c>
      <c r="K2287" t="s">
        <v>2386</v>
      </c>
      <c r="L2287">
        <v>20</v>
      </c>
      <c r="M2287" t="s">
        <v>3131</v>
      </c>
      <c r="N2287" t="s">
        <v>2388</v>
      </c>
      <c r="O2287">
        <v>1</v>
      </c>
    </row>
    <row r="2288" spans="2:15" x14ac:dyDescent="0.3">
      <c r="B2288">
        <v>2348</v>
      </c>
      <c r="D2288">
        <v>1187</v>
      </c>
      <c r="E2288">
        <v>691</v>
      </c>
      <c r="F2288">
        <v>1</v>
      </c>
      <c r="G2288">
        <v>42.9304159190253</v>
      </c>
      <c r="H2288">
        <v>2</v>
      </c>
      <c r="I2288">
        <v>59</v>
      </c>
      <c r="K2288" t="s">
        <v>2386</v>
      </c>
      <c r="L2288">
        <v>20</v>
      </c>
      <c r="M2288" t="s">
        <v>3132</v>
      </c>
      <c r="N2288" t="s">
        <v>2388</v>
      </c>
      <c r="O2288">
        <v>1</v>
      </c>
    </row>
    <row r="2289" spans="2:15" x14ac:dyDescent="0.3">
      <c r="B2289">
        <v>2349</v>
      </c>
      <c r="D2289">
        <v>691</v>
      </c>
      <c r="E2289">
        <v>1187</v>
      </c>
      <c r="F2289">
        <v>1</v>
      </c>
      <c r="G2289">
        <v>42.9304159190253</v>
      </c>
      <c r="H2289">
        <v>2</v>
      </c>
      <c r="I2289">
        <v>59</v>
      </c>
      <c r="K2289" t="s">
        <v>2386</v>
      </c>
      <c r="L2289">
        <v>20</v>
      </c>
      <c r="M2289" t="s">
        <v>3133</v>
      </c>
      <c r="N2289" t="s">
        <v>2388</v>
      </c>
      <c r="O2289">
        <v>1</v>
      </c>
    </row>
    <row r="2290" spans="2:15" x14ac:dyDescent="0.3">
      <c r="B2290">
        <v>2350</v>
      </c>
      <c r="D2290">
        <v>1188</v>
      </c>
      <c r="E2290">
        <v>416</v>
      </c>
      <c r="F2290">
        <v>1</v>
      </c>
      <c r="G2290">
        <v>57.799188007972198</v>
      </c>
      <c r="H2290">
        <v>2</v>
      </c>
      <c r="I2290">
        <v>59</v>
      </c>
      <c r="K2290" t="s">
        <v>2386</v>
      </c>
      <c r="L2290">
        <v>20</v>
      </c>
      <c r="M2290" t="s">
        <v>3134</v>
      </c>
      <c r="N2290" t="s">
        <v>2388</v>
      </c>
      <c r="O2290">
        <v>1</v>
      </c>
    </row>
    <row r="2291" spans="2:15" x14ac:dyDescent="0.3">
      <c r="B2291">
        <v>2351</v>
      </c>
      <c r="D2291">
        <v>416</v>
      </c>
      <c r="E2291">
        <v>1188</v>
      </c>
      <c r="F2291">
        <v>1</v>
      </c>
      <c r="G2291">
        <v>57.799188007972198</v>
      </c>
      <c r="H2291">
        <v>2</v>
      </c>
      <c r="I2291">
        <v>59</v>
      </c>
      <c r="K2291" t="s">
        <v>2386</v>
      </c>
      <c r="L2291">
        <v>20</v>
      </c>
      <c r="M2291" t="s">
        <v>3135</v>
      </c>
      <c r="N2291" t="s">
        <v>2388</v>
      </c>
      <c r="O2291">
        <v>1</v>
      </c>
    </row>
    <row r="2292" spans="2:15" x14ac:dyDescent="0.3">
      <c r="B2292">
        <v>2352</v>
      </c>
      <c r="D2292">
        <v>1189</v>
      </c>
      <c r="E2292">
        <v>525</v>
      </c>
      <c r="F2292">
        <v>1</v>
      </c>
      <c r="G2292">
        <v>77.346461506861203</v>
      </c>
      <c r="H2292">
        <v>2</v>
      </c>
      <c r="I2292">
        <v>59</v>
      </c>
      <c r="K2292" t="s">
        <v>2386</v>
      </c>
      <c r="L2292">
        <v>20</v>
      </c>
      <c r="M2292" t="s">
        <v>3136</v>
      </c>
      <c r="N2292" t="s">
        <v>2388</v>
      </c>
      <c r="O2292">
        <v>1</v>
      </c>
    </row>
    <row r="2293" spans="2:15" x14ac:dyDescent="0.3">
      <c r="B2293">
        <v>2353</v>
      </c>
      <c r="D2293">
        <v>525</v>
      </c>
      <c r="E2293">
        <v>1189</v>
      </c>
      <c r="F2293">
        <v>1</v>
      </c>
      <c r="G2293">
        <v>77.346461506861203</v>
      </c>
      <c r="H2293">
        <v>2</v>
      </c>
      <c r="I2293">
        <v>59</v>
      </c>
      <c r="K2293" t="s">
        <v>2386</v>
      </c>
      <c r="L2293">
        <v>20</v>
      </c>
      <c r="M2293" t="s">
        <v>3137</v>
      </c>
      <c r="N2293" t="s">
        <v>2388</v>
      </c>
      <c r="O2293">
        <v>1</v>
      </c>
    </row>
    <row r="2294" spans="2:15" x14ac:dyDescent="0.3">
      <c r="B2294">
        <v>2354</v>
      </c>
      <c r="D2294">
        <v>1190</v>
      </c>
      <c r="E2294">
        <v>609</v>
      </c>
      <c r="F2294">
        <v>1</v>
      </c>
      <c r="G2294">
        <v>81.279671105152403</v>
      </c>
      <c r="H2294">
        <v>2</v>
      </c>
      <c r="I2294">
        <v>59</v>
      </c>
      <c r="K2294" t="s">
        <v>2386</v>
      </c>
      <c r="L2294">
        <v>20</v>
      </c>
      <c r="M2294" t="s">
        <v>3138</v>
      </c>
      <c r="N2294" t="s">
        <v>2388</v>
      </c>
      <c r="O2294">
        <v>1</v>
      </c>
    </row>
    <row r="2295" spans="2:15" x14ac:dyDescent="0.3">
      <c r="B2295">
        <v>2355</v>
      </c>
      <c r="D2295">
        <v>609</v>
      </c>
      <c r="E2295">
        <v>1190</v>
      </c>
      <c r="F2295">
        <v>1</v>
      </c>
      <c r="G2295">
        <v>81.279671105152403</v>
      </c>
      <c r="H2295">
        <v>2</v>
      </c>
      <c r="I2295">
        <v>59</v>
      </c>
      <c r="K2295" t="s">
        <v>2386</v>
      </c>
      <c r="L2295">
        <v>20</v>
      </c>
      <c r="M2295" t="s">
        <v>3139</v>
      </c>
      <c r="N2295" t="s">
        <v>2388</v>
      </c>
      <c r="O2295">
        <v>1</v>
      </c>
    </row>
    <row r="2296" spans="2:15" x14ac:dyDescent="0.3">
      <c r="B2296">
        <v>2356</v>
      </c>
      <c r="D2296">
        <v>1191</v>
      </c>
      <c r="E2296">
        <v>478</v>
      </c>
      <c r="F2296">
        <v>1</v>
      </c>
      <c r="G2296">
        <v>44.655091139884497</v>
      </c>
      <c r="H2296">
        <v>2</v>
      </c>
      <c r="I2296">
        <v>59</v>
      </c>
      <c r="K2296" t="s">
        <v>2386</v>
      </c>
      <c r="L2296">
        <v>20</v>
      </c>
      <c r="M2296" t="s">
        <v>3140</v>
      </c>
      <c r="N2296" t="s">
        <v>2388</v>
      </c>
      <c r="O2296">
        <v>1</v>
      </c>
    </row>
    <row r="2297" spans="2:15" x14ac:dyDescent="0.3">
      <c r="B2297">
        <v>2357</v>
      </c>
      <c r="D2297">
        <v>478</v>
      </c>
      <c r="E2297">
        <v>1191</v>
      </c>
      <c r="F2297">
        <v>1</v>
      </c>
      <c r="G2297">
        <v>44.655091139884497</v>
      </c>
      <c r="H2297">
        <v>2</v>
      </c>
      <c r="I2297">
        <v>59</v>
      </c>
      <c r="K2297" t="s">
        <v>2386</v>
      </c>
      <c r="L2297">
        <v>20</v>
      </c>
      <c r="M2297" t="s">
        <v>3141</v>
      </c>
      <c r="N2297" t="s">
        <v>2388</v>
      </c>
      <c r="O2297">
        <v>1</v>
      </c>
    </row>
    <row r="2298" spans="2:15" x14ac:dyDescent="0.3">
      <c r="B2298">
        <v>2358</v>
      </c>
      <c r="D2298">
        <v>1192</v>
      </c>
      <c r="E2298">
        <v>406</v>
      </c>
      <c r="F2298">
        <v>1</v>
      </c>
      <c r="G2298">
        <v>141.497872328863</v>
      </c>
      <c r="H2298">
        <v>2</v>
      </c>
      <c r="I2298">
        <v>59</v>
      </c>
      <c r="K2298" t="s">
        <v>2386</v>
      </c>
      <c r="L2298">
        <v>20</v>
      </c>
      <c r="M2298" t="s">
        <v>3142</v>
      </c>
      <c r="N2298" t="s">
        <v>2388</v>
      </c>
      <c r="O2298">
        <v>1</v>
      </c>
    </row>
    <row r="2299" spans="2:15" x14ac:dyDescent="0.3">
      <c r="B2299">
        <v>2359</v>
      </c>
      <c r="D2299">
        <v>406</v>
      </c>
      <c r="E2299">
        <v>1192</v>
      </c>
      <c r="F2299">
        <v>1</v>
      </c>
      <c r="G2299">
        <v>141.497872328863</v>
      </c>
      <c r="H2299">
        <v>2</v>
      </c>
      <c r="I2299">
        <v>59</v>
      </c>
      <c r="K2299" t="s">
        <v>2386</v>
      </c>
      <c r="L2299">
        <v>20</v>
      </c>
      <c r="M2299" t="s">
        <v>3143</v>
      </c>
      <c r="N2299" t="s">
        <v>2388</v>
      </c>
      <c r="O2299">
        <v>1</v>
      </c>
    </row>
    <row r="2300" spans="2:15" x14ac:dyDescent="0.3">
      <c r="B2300">
        <v>2360</v>
      </c>
      <c r="D2300">
        <v>1193</v>
      </c>
      <c r="E2300">
        <v>158</v>
      </c>
      <c r="F2300">
        <v>1</v>
      </c>
      <c r="G2300">
        <v>36.753729099780102</v>
      </c>
      <c r="H2300">
        <v>2</v>
      </c>
      <c r="I2300">
        <v>59</v>
      </c>
      <c r="K2300" t="s">
        <v>2386</v>
      </c>
      <c r="L2300">
        <v>20</v>
      </c>
      <c r="M2300" t="s">
        <v>3144</v>
      </c>
      <c r="N2300" t="s">
        <v>2388</v>
      </c>
      <c r="O2300">
        <v>1</v>
      </c>
    </row>
    <row r="2301" spans="2:15" x14ac:dyDescent="0.3">
      <c r="B2301">
        <v>2361</v>
      </c>
      <c r="D2301">
        <v>158</v>
      </c>
      <c r="E2301">
        <v>1193</v>
      </c>
      <c r="F2301">
        <v>1</v>
      </c>
      <c r="G2301">
        <v>36.753729099780102</v>
      </c>
      <c r="H2301">
        <v>2</v>
      </c>
      <c r="I2301">
        <v>59</v>
      </c>
      <c r="K2301" t="s">
        <v>2386</v>
      </c>
      <c r="L2301">
        <v>20</v>
      </c>
      <c r="M2301" t="s">
        <v>3145</v>
      </c>
      <c r="N2301" t="s">
        <v>2388</v>
      </c>
      <c r="O2301">
        <v>1</v>
      </c>
    </row>
    <row r="2302" spans="2:15" x14ac:dyDescent="0.3">
      <c r="B2302">
        <v>2362</v>
      </c>
      <c r="D2302">
        <v>1194</v>
      </c>
      <c r="E2302">
        <v>406</v>
      </c>
      <c r="F2302">
        <v>1</v>
      </c>
      <c r="G2302">
        <v>16.759328835884499</v>
      </c>
      <c r="H2302">
        <v>2</v>
      </c>
      <c r="I2302">
        <v>59</v>
      </c>
      <c r="K2302" t="s">
        <v>2386</v>
      </c>
      <c r="L2302">
        <v>20</v>
      </c>
      <c r="M2302" t="s">
        <v>3146</v>
      </c>
      <c r="N2302" t="s">
        <v>2388</v>
      </c>
      <c r="O2302">
        <v>1</v>
      </c>
    </row>
    <row r="2303" spans="2:15" x14ac:dyDescent="0.3">
      <c r="B2303">
        <v>2363</v>
      </c>
      <c r="D2303">
        <v>406</v>
      </c>
      <c r="E2303">
        <v>1194</v>
      </c>
      <c r="F2303">
        <v>1</v>
      </c>
      <c r="G2303">
        <v>16.759328835884499</v>
      </c>
      <c r="H2303">
        <v>2</v>
      </c>
      <c r="I2303">
        <v>59</v>
      </c>
      <c r="K2303" t="s">
        <v>2386</v>
      </c>
      <c r="L2303">
        <v>20</v>
      </c>
      <c r="M2303" t="s">
        <v>3147</v>
      </c>
      <c r="N2303" t="s">
        <v>2388</v>
      </c>
      <c r="O2303">
        <v>1</v>
      </c>
    </row>
    <row r="2304" spans="2:15" x14ac:dyDescent="0.3">
      <c r="B2304">
        <v>2364</v>
      </c>
      <c r="D2304">
        <v>1195</v>
      </c>
      <c r="E2304">
        <v>406</v>
      </c>
      <c r="F2304">
        <v>1</v>
      </c>
      <c r="G2304">
        <v>56.431295146806498</v>
      </c>
      <c r="H2304">
        <v>2</v>
      </c>
      <c r="I2304">
        <v>59</v>
      </c>
      <c r="K2304" t="s">
        <v>2386</v>
      </c>
      <c r="L2304">
        <v>20</v>
      </c>
      <c r="M2304" t="s">
        <v>3148</v>
      </c>
      <c r="N2304" t="s">
        <v>2388</v>
      </c>
      <c r="O2304">
        <v>1</v>
      </c>
    </row>
    <row r="2305" spans="2:15" x14ac:dyDescent="0.3">
      <c r="B2305">
        <v>2365</v>
      </c>
      <c r="D2305">
        <v>406</v>
      </c>
      <c r="E2305">
        <v>1195</v>
      </c>
      <c r="F2305">
        <v>1</v>
      </c>
      <c r="G2305">
        <v>56.431295146806498</v>
      </c>
      <c r="H2305">
        <v>2</v>
      </c>
      <c r="I2305">
        <v>59</v>
      </c>
      <c r="K2305" t="s">
        <v>2386</v>
      </c>
      <c r="L2305">
        <v>20</v>
      </c>
      <c r="M2305" t="s">
        <v>3149</v>
      </c>
      <c r="N2305" t="s">
        <v>2388</v>
      </c>
      <c r="O2305">
        <v>1</v>
      </c>
    </row>
    <row r="2306" spans="2:15" x14ac:dyDescent="0.3">
      <c r="B2306">
        <v>2366</v>
      </c>
      <c r="D2306">
        <v>1196</v>
      </c>
      <c r="E2306">
        <v>406</v>
      </c>
      <c r="F2306">
        <v>1</v>
      </c>
      <c r="G2306">
        <v>68.920061278186097</v>
      </c>
      <c r="H2306">
        <v>2</v>
      </c>
      <c r="I2306">
        <v>59</v>
      </c>
      <c r="K2306" t="s">
        <v>2386</v>
      </c>
      <c r="L2306">
        <v>20</v>
      </c>
      <c r="M2306" t="s">
        <v>3150</v>
      </c>
      <c r="N2306" t="s">
        <v>2388</v>
      </c>
      <c r="O2306">
        <v>1</v>
      </c>
    </row>
    <row r="2307" spans="2:15" x14ac:dyDescent="0.3">
      <c r="B2307">
        <v>2367</v>
      </c>
      <c r="D2307">
        <v>406</v>
      </c>
      <c r="E2307">
        <v>1196</v>
      </c>
      <c r="F2307">
        <v>1</v>
      </c>
      <c r="G2307">
        <v>68.920061278186097</v>
      </c>
      <c r="H2307">
        <v>2</v>
      </c>
      <c r="I2307">
        <v>59</v>
      </c>
      <c r="K2307" t="s">
        <v>2386</v>
      </c>
      <c r="L2307">
        <v>20</v>
      </c>
      <c r="M2307" t="s">
        <v>3151</v>
      </c>
      <c r="N2307" t="s">
        <v>2388</v>
      </c>
      <c r="O2307">
        <v>1</v>
      </c>
    </row>
    <row r="2308" spans="2:15" x14ac:dyDescent="0.3">
      <c r="B2308">
        <v>2368</v>
      </c>
      <c r="D2308">
        <v>1197</v>
      </c>
      <c r="E2308">
        <v>406</v>
      </c>
      <c r="F2308">
        <v>1</v>
      </c>
      <c r="G2308">
        <v>79.454805561480896</v>
      </c>
      <c r="H2308">
        <v>2</v>
      </c>
      <c r="I2308">
        <v>59</v>
      </c>
      <c r="K2308" t="s">
        <v>2386</v>
      </c>
      <c r="L2308">
        <v>20</v>
      </c>
      <c r="M2308" t="s">
        <v>3152</v>
      </c>
      <c r="N2308" t="s">
        <v>2388</v>
      </c>
      <c r="O2308">
        <v>1</v>
      </c>
    </row>
    <row r="2309" spans="2:15" x14ac:dyDescent="0.3">
      <c r="B2309">
        <v>2369</v>
      </c>
      <c r="D2309">
        <v>406</v>
      </c>
      <c r="E2309">
        <v>1197</v>
      </c>
      <c r="F2309">
        <v>1</v>
      </c>
      <c r="G2309">
        <v>79.454805561480896</v>
      </c>
      <c r="H2309">
        <v>2</v>
      </c>
      <c r="I2309">
        <v>59</v>
      </c>
      <c r="K2309" t="s">
        <v>2386</v>
      </c>
      <c r="L2309">
        <v>20</v>
      </c>
      <c r="M2309" t="s">
        <v>3153</v>
      </c>
      <c r="N2309" t="s">
        <v>2388</v>
      </c>
      <c r="O2309">
        <v>1</v>
      </c>
    </row>
    <row r="2310" spans="2:15" x14ac:dyDescent="0.3">
      <c r="B2310">
        <v>2370</v>
      </c>
      <c r="D2310">
        <v>1198</v>
      </c>
      <c r="E2310">
        <v>158</v>
      </c>
      <c r="F2310">
        <v>1</v>
      </c>
      <c r="G2310">
        <v>69.667317523731001</v>
      </c>
      <c r="H2310">
        <v>2</v>
      </c>
      <c r="I2310">
        <v>59</v>
      </c>
      <c r="K2310" t="s">
        <v>2386</v>
      </c>
      <c r="L2310">
        <v>20</v>
      </c>
      <c r="M2310" t="s">
        <v>3154</v>
      </c>
      <c r="N2310" t="s">
        <v>2388</v>
      </c>
      <c r="O2310">
        <v>1</v>
      </c>
    </row>
    <row r="2311" spans="2:15" x14ac:dyDescent="0.3">
      <c r="B2311">
        <v>2371</v>
      </c>
      <c r="D2311">
        <v>158</v>
      </c>
      <c r="E2311">
        <v>1198</v>
      </c>
      <c r="F2311">
        <v>1</v>
      </c>
      <c r="G2311">
        <v>69.667317523731001</v>
      </c>
      <c r="H2311">
        <v>2</v>
      </c>
      <c r="I2311">
        <v>59</v>
      </c>
      <c r="K2311" t="s">
        <v>2386</v>
      </c>
      <c r="L2311">
        <v>20</v>
      </c>
      <c r="M2311" t="s">
        <v>3155</v>
      </c>
      <c r="N2311" t="s">
        <v>2388</v>
      </c>
      <c r="O2311">
        <v>1</v>
      </c>
    </row>
    <row r="2312" spans="2:15" x14ac:dyDescent="0.3">
      <c r="B2312">
        <v>2372</v>
      </c>
      <c r="D2312">
        <v>1199</v>
      </c>
      <c r="E2312">
        <v>524</v>
      </c>
      <c r="F2312">
        <v>1</v>
      </c>
      <c r="G2312">
        <v>73.827860194976296</v>
      </c>
      <c r="H2312">
        <v>2</v>
      </c>
      <c r="I2312">
        <v>59</v>
      </c>
      <c r="K2312" t="s">
        <v>2386</v>
      </c>
      <c r="L2312">
        <v>20</v>
      </c>
      <c r="M2312" t="s">
        <v>3156</v>
      </c>
      <c r="N2312" t="s">
        <v>2388</v>
      </c>
      <c r="O2312">
        <v>1</v>
      </c>
    </row>
    <row r="2313" spans="2:15" x14ac:dyDescent="0.3">
      <c r="B2313">
        <v>2373</v>
      </c>
      <c r="D2313">
        <v>524</v>
      </c>
      <c r="E2313">
        <v>1199</v>
      </c>
      <c r="F2313">
        <v>1</v>
      </c>
      <c r="G2313">
        <v>73.827860194976296</v>
      </c>
      <c r="H2313">
        <v>2</v>
      </c>
      <c r="I2313">
        <v>59</v>
      </c>
      <c r="K2313" t="s">
        <v>2386</v>
      </c>
      <c r="L2313">
        <v>20</v>
      </c>
      <c r="M2313" t="s">
        <v>3157</v>
      </c>
      <c r="N2313" t="s">
        <v>2388</v>
      </c>
      <c r="O2313">
        <v>1</v>
      </c>
    </row>
    <row r="2314" spans="2:15" x14ac:dyDescent="0.3">
      <c r="B2314">
        <v>2374</v>
      </c>
      <c r="D2314">
        <v>1200</v>
      </c>
      <c r="E2314">
        <v>528</v>
      </c>
      <c r="F2314">
        <v>1</v>
      </c>
      <c r="G2314">
        <v>63.455069461041496</v>
      </c>
      <c r="H2314">
        <v>2</v>
      </c>
      <c r="I2314">
        <v>59</v>
      </c>
      <c r="K2314" t="s">
        <v>2386</v>
      </c>
      <c r="L2314">
        <v>20</v>
      </c>
      <c r="M2314" t="s">
        <v>3158</v>
      </c>
      <c r="N2314" t="s">
        <v>2388</v>
      </c>
      <c r="O2314">
        <v>1</v>
      </c>
    </row>
    <row r="2315" spans="2:15" x14ac:dyDescent="0.3">
      <c r="B2315">
        <v>2375</v>
      </c>
      <c r="D2315">
        <v>528</v>
      </c>
      <c r="E2315">
        <v>1200</v>
      </c>
      <c r="F2315">
        <v>1</v>
      </c>
      <c r="G2315">
        <v>63.455069461041496</v>
      </c>
      <c r="H2315">
        <v>2</v>
      </c>
      <c r="I2315">
        <v>59</v>
      </c>
      <c r="K2315" t="s">
        <v>2386</v>
      </c>
      <c r="L2315">
        <v>20</v>
      </c>
      <c r="M2315" t="s">
        <v>3159</v>
      </c>
      <c r="N2315" t="s">
        <v>2388</v>
      </c>
      <c r="O2315">
        <v>1</v>
      </c>
    </row>
    <row r="2316" spans="2:15" x14ac:dyDescent="0.3">
      <c r="B2316">
        <v>2376</v>
      </c>
      <c r="D2316">
        <v>1201</v>
      </c>
      <c r="E2316">
        <v>524</v>
      </c>
      <c r="F2316">
        <v>1</v>
      </c>
      <c r="G2316">
        <v>36.360971405812599</v>
      </c>
      <c r="H2316">
        <v>2</v>
      </c>
      <c r="I2316">
        <v>59</v>
      </c>
      <c r="K2316" t="s">
        <v>2386</v>
      </c>
      <c r="L2316">
        <v>20</v>
      </c>
      <c r="M2316" t="s">
        <v>3160</v>
      </c>
      <c r="N2316" t="s">
        <v>2388</v>
      </c>
      <c r="O2316">
        <v>1</v>
      </c>
    </row>
    <row r="2317" spans="2:15" x14ac:dyDescent="0.3">
      <c r="B2317">
        <v>2377</v>
      </c>
      <c r="D2317">
        <v>524</v>
      </c>
      <c r="E2317">
        <v>1201</v>
      </c>
      <c r="F2317">
        <v>1</v>
      </c>
      <c r="G2317">
        <v>36.360971405812599</v>
      </c>
      <c r="H2317">
        <v>2</v>
      </c>
      <c r="I2317">
        <v>59</v>
      </c>
      <c r="K2317" t="s">
        <v>2386</v>
      </c>
      <c r="L2317">
        <v>20</v>
      </c>
      <c r="M2317" t="s">
        <v>3161</v>
      </c>
      <c r="N2317" t="s">
        <v>2388</v>
      </c>
      <c r="O2317">
        <v>1</v>
      </c>
    </row>
    <row r="2318" spans="2:15" x14ac:dyDescent="0.3">
      <c r="B2318">
        <v>2378</v>
      </c>
      <c r="D2318">
        <v>1202</v>
      </c>
      <c r="E2318">
        <v>74</v>
      </c>
      <c r="F2318">
        <v>1</v>
      </c>
      <c r="G2318">
        <v>91.206845409846693</v>
      </c>
      <c r="H2318">
        <v>2</v>
      </c>
      <c r="I2318">
        <v>59</v>
      </c>
      <c r="K2318" t="s">
        <v>2386</v>
      </c>
      <c r="L2318">
        <v>20</v>
      </c>
      <c r="M2318" t="s">
        <v>3162</v>
      </c>
      <c r="N2318" t="s">
        <v>2388</v>
      </c>
      <c r="O2318">
        <v>1</v>
      </c>
    </row>
    <row r="2319" spans="2:15" x14ac:dyDescent="0.3">
      <c r="B2319">
        <v>2379</v>
      </c>
      <c r="D2319">
        <v>74</v>
      </c>
      <c r="E2319">
        <v>1202</v>
      </c>
      <c r="F2319">
        <v>1</v>
      </c>
      <c r="G2319">
        <v>91.206845409846693</v>
      </c>
      <c r="H2319">
        <v>2</v>
      </c>
      <c r="I2319">
        <v>59</v>
      </c>
      <c r="K2319" t="s">
        <v>2386</v>
      </c>
      <c r="L2319">
        <v>20</v>
      </c>
      <c r="M2319" t="s">
        <v>3163</v>
      </c>
      <c r="N2319" t="s">
        <v>2388</v>
      </c>
      <c r="O2319">
        <v>1</v>
      </c>
    </row>
    <row r="2320" spans="2:15" x14ac:dyDescent="0.3">
      <c r="B2320">
        <v>2380</v>
      </c>
      <c r="D2320">
        <v>1203</v>
      </c>
      <c r="E2320">
        <v>158</v>
      </c>
      <c r="F2320">
        <v>1</v>
      </c>
      <c r="G2320">
        <v>123.484858175941</v>
      </c>
      <c r="H2320">
        <v>2</v>
      </c>
      <c r="I2320">
        <v>59</v>
      </c>
      <c r="K2320" t="s">
        <v>2386</v>
      </c>
      <c r="L2320">
        <v>20</v>
      </c>
      <c r="M2320" t="s">
        <v>3164</v>
      </c>
      <c r="N2320" t="s">
        <v>2388</v>
      </c>
      <c r="O2320">
        <v>1</v>
      </c>
    </row>
    <row r="2321" spans="2:15" x14ac:dyDescent="0.3">
      <c r="B2321">
        <v>2381</v>
      </c>
      <c r="D2321">
        <v>158</v>
      </c>
      <c r="E2321">
        <v>1203</v>
      </c>
      <c r="F2321">
        <v>1</v>
      </c>
      <c r="G2321">
        <v>123.484858175941</v>
      </c>
      <c r="H2321">
        <v>2</v>
      </c>
      <c r="I2321">
        <v>59</v>
      </c>
      <c r="K2321" t="s">
        <v>2386</v>
      </c>
      <c r="L2321">
        <v>20</v>
      </c>
      <c r="M2321" t="s">
        <v>3165</v>
      </c>
      <c r="N2321" t="s">
        <v>2388</v>
      </c>
      <c r="O2321">
        <v>1</v>
      </c>
    </row>
    <row r="2322" spans="2:15" x14ac:dyDescent="0.3">
      <c r="B2322">
        <v>2382</v>
      </c>
      <c r="D2322">
        <v>1204</v>
      </c>
      <c r="E2322">
        <v>74</v>
      </c>
      <c r="F2322">
        <v>1</v>
      </c>
      <c r="G2322">
        <v>86.413150321650903</v>
      </c>
      <c r="H2322">
        <v>2</v>
      </c>
      <c r="I2322">
        <v>59</v>
      </c>
      <c r="K2322" t="s">
        <v>2386</v>
      </c>
      <c r="L2322">
        <v>20</v>
      </c>
      <c r="M2322" t="s">
        <v>3166</v>
      </c>
      <c r="N2322" t="s">
        <v>2388</v>
      </c>
      <c r="O2322">
        <v>1</v>
      </c>
    </row>
    <row r="2323" spans="2:15" x14ac:dyDescent="0.3">
      <c r="B2323">
        <v>2383</v>
      </c>
      <c r="D2323">
        <v>74</v>
      </c>
      <c r="E2323">
        <v>1204</v>
      </c>
      <c r="F2323">
        <v>1</v>
      </c>
      <c r="G2323">
        <v>86.413150321650903</v>
      </c>
      <c r="H2323">
        <v>2</v>
      </c>
      <c r="I2323">
        <v>59</v>
      </c>
      <c r="K2323" t="s">
        <v>2386</v>
      </c>
      <c r="L2323">
        <v>20</v>
      </c>
      <c r="M2323" t="s">
        <v>3167</v>
      </c>
      <c r="N2323" t="s">
        <v>2388</v>
      </c>
      <c r="O2323">
        <v>1</v>
      </c>
    </row>
    <row r="2324" spans="2:15" x14ac:dyDescent="0.3">
      <c r="B2324">
        <v>2384</v>
      </c>
      <c r="D2324">
        <v>1205</v>
      </c>
      <c r="E2324">
        <v>74</v>
      </c>
      <c r="F2324">
        <v>1</v>
      </c>
      <c r="G2324">
        <v>151.23914894380201</v>
      </c>
      <c r="H2324">
        <v>2</v>
      </c>
      <c r="I2324">
        <v>59</v>
      </c>
      <c r="K2324" t="s">
        <v>2386</v>
      </c>
      <c r="L2324">
        <v>20</v>
      </c>
      <c r="M2324" t="s">
        <v>3168</v>
      </c>
      <c r="N2324" t="s">
        <v>2388</v>
      </c>
      <c r="O2324">
        <v>1</v>
      </c>
    </row>
    <row r="2325" spans="2:15" x14ac:dyDescent="0.3">
      <c r="B2325">
        <v>2385</v>
      </c>
      <c r="D2325">
        <v>74</v>
      </c>
      <c r="E2325">
        <v>1205</v>
      </c>
      <c r="F2325">
        <v>1</v>
      </c>
      <c r="G2325">
        <v>151.23914894380201</v>
      </c>
      <c r="H2325">
        <v>2</v>
      </c>
      <c r="I2325">
        <v>59</v>
      </c>
      <c r="K2325" t="s">
        <v>2386</v>
      </c>
      <c r="L2325">
        <v>20</v>
      </c>
      <c r="M2325" t="s">
        <v>3169</v>
      </c>
      <c r="N2325" t="s">
        <v>2388</v>
      </c>
      <c r="O2325">
        <v>1</v>
      </c>
    </row>
    <row r="2326" spans="2:15" x14ac:dyDescent="0.3">
      <c r="B2326">
        <v>2386</v>
      </c>
      <c r="D2326">
        <v>1206</v>
      </c>
      <c r="E2326">
        <v>74</v>
      </c>
      <c r="F2326">
        <v>1</v>
      </c>
      <c r="G2326">
        <v>91.403184993151598</v>
      </c>
      <c r="H2326">
        <v>2</v>
      </c>
      <c r="I2326">
        <v>59</v>
      </c>
      <c r="K2326" t="s">
        <v>2386</v>
      </c>
      <c r="L2326">
        <v>20</v>
      </c>
      <c r="M2326" t="s">
        <v>3170</v>
      </c>
      <c r="N2326" t="s">
        <v>2388</v>
      </c>
      <c r="O2326">
        <v>1</v>
      </c>
    </row>
    <row r="2327" spans="2:15" x14ac:dyDescent="0.3">
      <c r="B2327">
        <v>2387</v>
      </c>
      <c r="D2327">
        <v>74</v>
      </c>
      <c r="E2327">
        <v>1206</v>
      </c>
      <c r="F2327">
        <v>1</v>
      </c>
      <c r="G2327">
        <v>91.403184993151598</v>
      </c>
      <c r="H2327">
        <v>2</v>
      </c>
      <c r="I2327">
        <v>59</v>
      </c>
      <c r="K2327" t="s">
        <v>2386</v>
      </c>
      <c r="L2327">
        <v>20</v>
      </c>
      <c r="M2327" t="s">
        <v>3171</v>
      </c>
      <c r="N2327" t="s">
        <v>2388</v>
      </c>
      <c r="O2327">
        <v>1</v>
      </c>
    </row>
    <row r="2328" spans="2:15" x14ac:dyDescent="0.3">
      <c r="B2328">
        <v>2388</v>
      </c>
      <c r="D2328">
        <v>1207</v>
      </c>
      <c r="E2328">
        <v>74</v>
      </c>
      <c r="F2328">
        <v>1</v>
      </c>
      <c r="G2328">
        <v>158.07187753263901</v>
      </c>
      <c r="H2328">
        <v>2</v>
      </c>
      <c r="I2328">
        <v>59</v>
      </c>
      <c r="K2328" t="s">
        <v>2386</v>
      </c>
      <c r="L2328">
        <v>20</v>
      </c>
      <c r="M2328" t="s">
        <v>3172</v>
      </c>
      <c r="N2328" t="s">
        <v>2388</v>
      </c>
      <c r="O2328">
        <v>1</v>
      </c>
    </row>
    <row r="2329" spans="2:15" x14ac:dyDescent="0.3">
      <c r="B2329">
        <v>2389</v>
      </c>
      <c r="D2329">
        <v>74</v>
      </c>
      <c r="E2329">
        <v>1207</v>
      </c>
      <c r="F2329">
        <v>1</v>
      </c>
      <c r="G2329">
        <v>158.07187753263901</v>
      </c>
      <c r="H2329">
        <v>2</v>
      </c>
      <c r="I2329">
        <v>59</v>
      </c>
      <c r="K2329" t="s">
        <v>2386</v>
      </c>
      <c r="L2329">
        <v>20</v>
      </c>
      <c r="M2329" t="s">
        <v>3173</v>
      </c>
      <c r="N2329" t="s">
        <v>2388</v>
      </c>
      <c r="O2329">
        <v>1</v>
      </c>
    </row>
    <row r="2330" spans="2:15" x14ac:dyDescent="0.3">
      <c r="B2330">
        <v>2390</v>
      </c>
      <c r="D2330">
        <v>1208</v>
      </c>
      <c r="E2330">
        <v>74</v>
      </c>
      <c r="F2330">
        <v>1</v>
      </c>
      <c r="G2330">
        <v>109.170142806388</v>
      </c>
      <c r="H2330">
        <v>2</v>
      </c>
      <c r="I2330">
        <v>59</v>
      </c>
      <c r="K2330" t="s">
        <v>2386</v>
      </c>
      <c r="L2330">
        <v>20</v>
      </c>
      <c r="M2330" t="s">
        <v>3174</v>
      </c>
      <c r="N2330" t="s">
        <v>2388</v>
      </c>
      <c r="O2330">
        <v>1</v>
      </c>
    </row>
    <row r="2331" spans="2:15" x14ac:dyDescent="0.3">
      <c r="B2331">
        <v>2391</v>
      </c>
      <c r="D2331">
        <v>74</v>
      </c>
      <c r="E2331">
        <v>1208</v>
      </c>
      <c r="F2331">
        <v>1</v>
      </c>
      <c r="G2331">
        <v>109.170142806388</v>
      </c>
      <c r="H2331">
        <v>2</v>
      </c>
      <c r="I2331">
        <v>59</v>
      </c>
      <c r="K2331" t="s">
        <v>2386</v>
      </c>
      <c r="L2331">
        <v>20</v>
      </c>
      <c r="M2331" t="s">
        <v>3175</v>
      </c>
      <c r="N2331" t="s">
        <v>2388</v>
      </c>
      <c r="O2331">
        <v>1</v>
      </c>
    </row>
    <row r="2332" spans="2:15" x14ac:dyDescent="0.3">
      <c r="B2332">
        <v>2392</v>
      </c>
      <c r="D2332">
        <v>1209</v>
      </c>
      <c r="E2332">
        <v>158</v>
      </c>
      <c r="F2332">
        <v>1</v>
      </c>
      <c r="G2332">
        <v>164.69232137099601</v>
      </c>
      <c r="H2332">
        <v>2</v>
      </c>
      <c r="I2332">
        <v>59</v>
      </c>
      <c r="K2332" t="s">
        <v>2386</v>
      </c>
      <c r="L2332">
        <v>20</v>
      </c>
      <c r="M2332" t="s">
        <v>3176</v>
      </c>
      <c r="N2332" t="s">
        <v>2388</v>
      </c>
      <c r="O2332">
        <v>1</v>
      </c>
    </row>
    <row r="2333" spans="2:15" x14ac:dyDescent="0.3">
      <c r="B2333">
        <v>2393</v>
      </c>
      <c r="D2333">
        <v>158</v>
      </c>
      <c r="E2333">
        <v>1209</v>
      </c>
      <c r="F2333">
        <v>1</v>
      </c>
      <c r="G2333">
        <v>164.69232137099601</v>
      </c>
      <c r="H2333">
        <v>2</v>
      </c>
      <c r="I2333">
        <v>59</v>
      </c>
      <c r="K2333" t="s">
        <v>2386</v>
      </c>
      <c r="L2333">
        <v>20</v>
      </c>
      <c r="M2333" t="s">
        <v>3177</v>
      </c>
      <c r="N2333" t="s">
        <v>2388</v>
      </c>
      <c r="O2333">
        <v>1</v>
      </c>
    </row>
    <row r="2334" spans="2:15" x14ac:dyDescent="0.3">
      <c r="B2334">
        <v>2394</v>
      </c>
      <c r="D2334">
        <v>1210</v>
      </c>
      <c r="E2334">
        <v>74</v>
      </c>
      <c r="F2334">
        <v>1</v>
      </c>
      <c r="G2334">
        <v>208.49598567714801</v>
      </c>
      <c r="H2334">
        <v>2</v>
      </c>
      <c r="I2334">
        <v>59</v>
      </c>
      <c r="K2334" t="s">
        <v>2386</v>
      </c>
      <c r="L2334">
        <v>20</v>
      </c>
      <c r="M2334" t="s">
        <v>3178</v>
      </c>
      <c r="N2334" t="s">
        <v>2388</v>
      </c>
      <c r="O2334">
        <v>1</v>
      </c>
    </row>
    <row r="2335" spans="2:15" x14ac:dyDescent="0.3">
      <c r="B2335">
        <v>2395</v>
      </c>
      <c r="D2335">
        <v>74</v>
      </c>
      <c r="E2335">
        <v>1210</v>
      </c>
      <c r="F2335">
        <v>1</v>
      </c>
      <c r="G2335">
        <v>208.49598567714801</v>
      </c>
      <c r="H2335">
        <v>2</v>
      </c>
      <c r="I2335">
        <v>59</v>
      </c>
      <c r="K2335" t="s">
        <v>2386</v>
      </c>
      <c r="L2335">
        <v>20</v>
      </c>
      <c r="M2335" t="s">
        <v>3179</v>
      </c>
      <c r="N2335" t="s">
        <v>2388</v>
      </c>
      <c r="O2335">
        <v>1</v>
      </c>
    </row>
    <row r="2336" spans="2:15" x14ac:dyDescent="0.3">
      <c r="B2336">
        <v>2396</v>
      </c>
      <c r="D2336">
        <v>1211</v>
      </c>
      <c r="E2336">
        <v>419</v>
      </c>
      <c r="F2336">
        <v>1</v>
      </c>
      <c r="G2336">
        <v>172.78707177638401</v>
      </c>
      <c r="H2336">
        <v>2</v>
      </c>
      <c r="I2336">
        <v>59</v>
      </c>
      <c r="K2336" t="s">
        <v>2386</v>
      </c>
      <c r="L2336">
        <v>20</v>
      </c>
      <c r="M2336" t="s">
        <v>3180</v>
      </c>
      <c r="N2336" t="s">
        <v>2388</v>
      </c>
      <c r="O2336">
        <v>1</v>
      </c>
    </row>
    <row r="2337" spans="2:15" x14ac:dyDescent="0.3">
      <c r="B2337">
        <v>2397</v>
      </c>
      <c r="D2337">
        <v>419</v>
      </c>
      <c r="E2337">
        <v>1211</v>
      </c>
      <c r="F2337">
        <v>1</v>
      </c>
      <c r="G2337">
        <v>172.78707177638401</v>
      </c>
      <c r="H2337">
        <v>2</v>
      </c>
      <c r="I2337">
        <v>59</v>
      </c>
      <c r="K2337" t="s">
        <v>2386</v>
      </c>
      <c r="L2337">
        <v>20</v>
      </c>
      <c r="M2337" t="s">
        <v>3181</v>
      </c>
      <c r="N2337" t="s">
        <v>2388</v>
      </c>
      <c r="O2337">
        <v>1</v>
      </c>
    </row>
    <row r="2338" spans="2:15" x14ac:dyDescent="0.3">
      <c r="B2338">
        <v>2398</v>
      </c>
      <c r="D2338">
        <v>1212</v>
      </c>
      <c r="E2338">
        <v>209</v>
      </c>
      <c r="F2338">
        <v>1</v>
      </c>
      <c r="G2338">
        <v>158.08953922992799</v>
      </c>
      <c r="H2338">
        <v>2</v>
      </c>
      <c r="I2338">
        <v>59</v>
      </c>
      <c r="K2338" t="s">
        <v>2386</v>
      </c>
      <c r="L2338">
        <v>20</v>
      </c>
      <c r="M2338" t="s">
        <v>3182</v>
      </c>
      <c r="N2338" t="s">
        <v>2388</v>
      </c>
      <c r="O2338">
        <v>1</v>
      </c>
    </row>
    <row r="2339" spans="2:15" x14ac:dyDescent="0.3">
      <c r="B2339">
        <v>2399</v>
      </c>
      <c r="D2339">
        <v>209</v>
      </c>
      <c r="E2339">
        <v>1212</v>
      </c>
      <c r="F2339">
        <v>1</v>
      </c>
      <c r="G2339">
        <v>158.08953922992799</v>
      </c>
      <c r="H2339">
        <v>2</v>
      </c>
      <c r="I2339">
        <v>59</v>
      </c>
      <c r="K2339" t="s">
        <v>2386</v>
      </c>
      <c r="L2339">
        <v>20</v>
      </c>
      <c r="M2339" t="s">
        <v>3183</v>
      </c>
      <c r="N2339" t="s">
        <v>2388</v>
      </c>
      <c r="O2339">
        <v>1</v>
      </c>
    </row>
    <row r="2340" spans="2:15" x14ac:dyDescent="0.3">
      <c r="B2340">
        <v>2400</v>
      </c>
      <c r="D2340">
        <v>1213</v>
      </c>
      <c r="E2340">
        <v>209</v>
      </c>
      <c r="F2340">
        <v>1</v>
      </c>
      <c r="G2340">
        <v>175.28257025238099</v>
      </c>
      <c r="H2340">
        <v>2</v>
      </c>
      <c r="I2340">
        <v>59</v>
      </c>
      <c r="K2340" t="s">
        <v>2386</v>
      </c>
      <c r="L2340">
        <v>20</v>
      </c>
      <c r="M2340" t="s">
        <v>3184</v>
      </c>
      <c r="N2340" t="s">
        <v>2388</v>
      </c>
      <c r="O2340">
        <v>1</v>
      </c>
    </row>
    <row r="2341" spans="2:15" x14ac:dyDescent="0.3">
      <c r="B2341">
        <v>2401</v>
      </c>
      <c r="D2341">
        <v>209</v>
      </c>
      <c r="E2341">
        <v>1213</v>
      </c>
      <c r="F2341">
        <v>1</v>
      </c>
      <c r="G2341">
        <v>175.28257025238099</v>
      </c>
      <c r="H2341">
        <v>2</v>
      </c>
      <c r="I2341">
        <v>59</v>
      </c>
      <c r="K2341" t="s">
        <v>2386</v>
      </c>
      <c r="L2341">
        <v>20</v>
      </c>
      <c r="M2341" t="s">
        <v>3185</v>
      </c>
      <c r="N2341" t="s">
        <v>2388</v>
      </c>
      <c r="O2341">
        <v>1</v>
      </c>
    </row>
    <row r="2342" spans="2:15" x14ac:dyDescent="0.3">
      <c r="B2342">
        <v>2402</v>
      </c>
      <c r="D2342">
        <v>1214</v>
      </c>
      <c r="E2342">
        <v>98</v>
      </c>
      <c r="F2342">
        <v>1</v>
      </c>
      <c r="G2342">
        <v>69.114440775514893</v>
      </c>
      <c r="H2342">
        <v>2</v>
      </c>
      <c r="I2342">
        <v>59</v>
      </c>
      <c r="K2342" t="s">
        <v>2386</v>
      </c>
      <c r="L2342">
        <v>20</v>
      </c>
      <c r="M2342" t="s">
        <v>3186</v>
      </c>
      <c r="N2342" t="s">
        <v>2388</v>
      </c>
      <c r="O2342">
        <v>1</v>
      </c>
    </row>
    <row r="2343" spans="2:15" x14ac:dyDescent="0.3">
      <c r="B2343">
        <v>2403</v>
      </c>
      <c r="D2343">
        <v>98</v>
      </c>
      <c r="E2343">
        <v>1214</v>
      </c>
      <c r="F2343">
        <v>1</v>
      </c>
      <c r="G2343">
        <v>69.114440775514893</v>
      </c>
      <c r="H2343">
        <v>2</v>
      </c>
      <c r="I2343">
        <v>59</v>
      </c>
      <c r="K2343" t="s">
        <v>2386</v>
      </c>
      <c r="L2343">
        <v>20</v>
      </c>
      <c r="M2343" t="s">
        <v>3187</v>
      </c>
      <c r="N2343" t="s">
        <v>2388</v>
      </c>
      <c r="O2343">
        <v>1</v>
      </c>
    </row>
    <row r="2344" spans="2:15" x14ac:dyDescent="0.3">
      <c r="B2344">
        <v>2404</v>
      </c>
      <c r="D2344">
        <v>1215</v>
      </c>
      <c r="E2344">
        <v>615</v>
      </c>
      <c r="F2344">
        <v>1</v>
      </c>
      <c r="G2344">
        <v>70.880732111010104</v>
      </c>
      <c r="H2344">
        <v>2</v>
      </c>
      <c r="I2344">
        <v>59</v>
      </c>
      <c r="K2344" t="s">
        <v>2386</v>
      </c>
      <c r="L2344">
        <v>20</v>
      </c>
      <c r="M2344" t="s">
        <v>3188</v>
      </c>
      <c r="N2344" t="s">
        <v>2388</v>
      </c>
      <c r="O2344">
        <v>1</v>
      </c>
    </row>
    <row r="2345" spans="2:15" x14ac:dyDescent="0.3">
      <c r="B2345">
        <v>2405</v>
      </c>
      <c r="D2345">
        <v>615</v>
      </c>
      <c r="E2345">
        <v>1215</v>
      </c>
      <c r="F2345">
        <v>1</v>
      </c>
      <c r="G2345">
        <v>70.880732111010104</v>
      </c>
      <c r="H2345">
        <v>2</v>
      </c>
      <c r="I2345">
        <v>59</v>
      </c>
      <c r="K2345" t="s">
        <v>2386</v>
      </c>
      <c r="L2345">
        <v>20</v>
      </c>
      <c r="M2345" t="s">
        <v>3189</v>
      </c>
      <c r="N2345" t="s">
        <v>2388</v>
      </c>
      <c r="O2345">
        <v>1</v>
      </c>
    </row>
    <row r="2346" spans="2:15" x14ac:dyDescent="0.3">
      <c r="B2346">
        <v>2406</v>
      </c>
      <c r="D2346">
        <v>1216</v>
      </c>
      <c r="E2346">
        <v>447</v>
      </c>
      <c r="F2346">
        <v>1</v>
      </c>
      <c r="G2346">
        <v>50.814669402574197</v>
      </c>
      <c r="H2346">
        <v>2</v>
      </c>
      <c r="I2346">
        <v>59</v>
      </c>
      <c r="K2346" t="s">
        <v>2386</v>
      </c>
      <c r="L2346">
        <v>20</v>
      </c>
      <c r="M2346" t="s">
        <v>3190</v>
      </c>
      <c r="N2346" t="s">
        <v>2388</v>
      </c>
      <c r="O2346">
        <v>1</v>
      </c>
    </row>
    <row r="2347" spans="2:15" x14ac:dyDescent="0.3">
      <c r="B2347">
        <v>2407</v>
      </c>
      <c r="D2347">
        <v>447</v>
      </c>
      <c r="E2347">
        <v>1216</v>
      </c>
      <c r="F2347">
        <v>1</v>
      </c>
      <c r="G2347">
        <v>50.814669402574197</v>
      </c>
      <c r="H2347">
        <v>2</v>
      </c>
      <c r="I2347">
        <v>59</v>
      </c>
      <c r="K2347" t="s">
        <v>2386</v>
      </c>
      <c r="L2347">
        <v>20</v>
      </c>
      <c r="M2347" t="s">
        <v>3191</v>
      </c>
      <c r="N2347" t="s">
        <v>2388</v>
      </c>
      <c r="O2347">
        <v>1</v>
      </c>
    </row>
    <row r="2348" spans="2:15" x14ac:dyDescent="0.3">
      <c r="B2348">
        <v>2408</v>
      </c>
      <c r="D2348">
        <v>1217</v>
      </c>
      <c r="E2348">
        <v>610</v>
      </c>
      <c r="F2348">
        <v>1</v>
      </c>
      <c r="G2348">
        <v>70.470399736009497</v>
      </c>
      <c r="H2348">
        <v>2</v>
      </c>
      <c r="I2348">
        <v>59</v>
      </c>
      <c r="K2348" t="s">
        <v>2386</v>
      </c>
      <c r="L2348">
        <v>20</v>
      </c>
      <c r="M2348" t="s">
        <v>3192</v>
      </c>
      <c r="N2348" t="s">
        <v>2388</v>
      </c>
      <c r="O2348">
        <v>1</v>
      </c>
    </row>
    <row r="2349" spans="2:15" x14ac:dyDescent="0.3">
      <c r="B2349">
        <v>2409</v>
      </c>
      <c r="D2349">
        <v>610</v>
      </c>
      <c r="E2349">
        <v>1217</v>
      </c>
      <c r="F2349">
        <v>1</v>
      </c>
      <c r="G2349">
        <v>70.470399736009497</v>
      </c>
      <c r="H2349">
        <v>2</v>
      </c>
      <c r="I2349">
        <v>59</v>
      </c>
      <c r="K2349" t="s">
        <v>2386</v>
      </c>
      <c r="L2349">
        <v>20</v>
      </c>
      <c r="M2349" t="s">
        <v>3193</v>
      </c>
      <c r="N2349" t="s">
        <v>2388</v>
      </c>
      <c r="O2349">
        <v>1</v>
      </c>
    </row>
    <row r="2350" spans="2:15" x14ac:dyDescent="0.3">
      <c r="B2350">
        <v>2410</v>
      </c>
      <c r="D2350">
        <v>1218</v>
      </c>
      <c r="E2350">
        <v>357</v>
      </c>
      <c r="F2350">
        <v>1</v>
      </c>
      <c r="G2350">
        <v>43.302241926371998</v>
      </c>
      <c r="H2350">
        <v>2</v>
      </c>
      <c r="I2350">
        <v>59</v>
      </c>
      <c r="K2350" t="s">
        <v>2386</v>
      </c>
      <c r="L2350">
        <v>20</v>
      </c>
      <c r="M2350" t="s">
        <v>3194</v>
      </c>
      <c r="N2350" t="s">
        <v>2388</v>
      </c>
      <c r="O2350">
        <v>1</v>
      </c>
    </row>
    <row r="2351" spans="2:15" x14ac:dyDescent="0.3">
      <c r="B2351">
        <v>2411</v>
      </c>
      <c r="D2351">
        <v>357</v>
      </c>
      <c r="E2351">
        <v>1218</v>
      </c>
      <c r="F2351">
        <v>1</v>
      </c>
      <c r="G2351">
        <v>43.302241926371998</v>
      </c>
      <c r="H2351">
        <v>2</v>
      </c>
      <c r="I2351">
        <v>59</v>
      </c>
      <c r="K2351" t="s">
        <v>2386</v>
      </c>
      <c r="L2351">
        <v>20</v>
      </c>
      <c r="M2351" t="s">
        <v>3195</v>
      </c>
      <c r="N2351" t="s">
        <v>2388</v>
      </c>
      <c r="O2351">
        <v>1</v>
      </c>
    </row>
    <row r="2352" spans="2:15" x14ac:dyDescent="0.3">
      <c r="B2352">
        <v>2412</v>
      </c>
      <c r="D2352">
        <v>1219</v>
      </c>
      <c r="E2352">
        <v>189</v>
      </c>
      <c r="F2352">
        <v>1</v>
      </c>
      <c r="G2352">
        <v>53.8488739063244</v>
      </c>
      <c r="H2352">
        <v>2</v>
      </c>
      <c r="I2352">
        <v>59</v>
      </c>
      <c r="K2352" t="s">
        <v>2386</v>
      </c>
      <c r="L2352">
        <v>20</v>
      </c>
      <c r="M2352" t="s">
        <v>3196</v>
      </c>
      <c r="N2352" t="s">
        <v>2388</v>
      </c>
      <c r="O2352">
        <v>1</v>
      </c>
    </row>
    <row r="2353" spans="2:15" x14ac:dyDescent="0.3">
      <c r="B2353">
        <v>2413</v>
      </c>
      <c r="D2353">
        <v>189</v>
      </c>
      <c r="E2353">
        <v>1219</v>
      </c>
      <c r="F2353">
        <v>1</v>
      </c>
      <c r="G2353">
        <v>53.8488739063244</v>
      </c>
      <c r="H2353">
        <v>2</v>
      </c>
      <c r="I2353">
        <v>59</v>
      </c>
      <c r="K2353" t="s">
        <v>2386</v>
      </c>
      <c r="L2353">
        <v>20</v>
      </c>
      <c r="M2353" t="s">
        <v>3197</v>
      </c>
      <c r="N2353" t="s">
        <v>2388</v>
      </c>
      <c r="O2353">
        <v>1</v>
      </c>
    </row>
    <row r="2354" spans="2:15" x14ac:dyDescent="0.3">
      <c r="B2354">
        <v>2414</v>
      </c>
      <c r="D2354">
        <v>1220</v>
      </c>
      <c r="E2354">
        <v>342</v>
      </c>
      <c r="F2354">
        <v>1</v>
      </c>
      <c r="G2354">
        <v>133.682000124643</v>
      </c>
      <c r="H2354">
        <v>2</v>
      </c>
      <c r="I2354">
        <v>59</v>
      </c>
      <c r="K2354" t="s">
        <v>2386</v>
      </c>
      <c r="L2354">
        <v>20</v>
      </c>
      <c r="M2354" t="s">
        <v>3198</v>
      </c>
      <c r="N2354" t="s">
        <v>2388</v>
      </c>
      <c r="O2354">
        <v>1</v>
      </c>
    </row>
    <row r="2355" spans="2:15" x14ac:dyDescent="0.3">
      <c r="B2355">
        <v>2415</v>
      </c>
      <c r="D2355">
        <v>342</v>
      </c>
      <c r="E2355">
        <v>1220</v>
      </c>
      <c r="F2355">
        <v>1</v>
      </c>
      <c r="G2355">
        <v>133.682000124643</v>
      </c>
      <c r="H2355">
        <v>2</v>
      </c>
      <c r="I2355">
        <v>59</v>
      </c>
      <c r="K2355" t="s">
        <v>2386</v>
      </c>
      <c r="L2355">
        <v>20</v>
      </c>
      <c r="M2355" t="s">
        <v>3199</v>
      </c>
      <c r="N2355" t="s">
        <v>2388</v>
      </c>
      <c r="O2355">
        <v>1</v>
      </c>
    </row>
    <row r="2356" spans="2:15" x14ac:dyDescent="0.3">
      <c r="B2356">
        <v>2416</v>
      </c>
      <c r="D2356">
        <v>1221</v>
      </c>
      <c r="E2356">
        <v>510</v>
      </c>
      <c r="F2356">
        <v>1</v>
      </c>
      <c r="G2356">
        <v>101.31408081345501</v>
      </c>
      <c r="H2356">
        <v>2</v>
      </c>
      <c r="I2356">
        <v>59</v>
      </c>
      <c r="K2356" t="s">
        <v>2386</v>
      </c>
      <c r="L2356">
        <v>20</v>
      </c>
      <c r="M2356" t="s">
        <v>3200</v>
      </c>
      <c r="N2356" t="s">
        <v>2388</v>
      </c>
      <c r="O2356">
        <v>1</v>
      </c>
    </row>
    <row r="2357" spans="2:15" x14ac:dyDescent="0.3">
      <c r="B2357">
        <v>2417</v>
      </c>
      <c r="D2357">
        <v>510</v>
      </c>
      <c r="E2357">
        <v>1221</v>
      </c>
      <c r="F2357">
        <v>1</v>
      </c>
      <c r="G2357">
        <v>101.31408081345501</v>
      </c>
      <c r="H2357">
        <v>2</v>
      </c>
      <c r="I2357">
        <v>59</v>
      </c>
      <c r="K2357" t="s">
        <v>2386</v>
      </c>
      <c r="L2357">
        <v>20</v>
      </c>
      <c r="M2357" t="s">
        <v>3201</v>
      </c>
      <c r="N2357" t="s">
        <v>2388</v>
      </c>
      <c r="O2357">
        <v>1</v>
      </c>
    </row>
    <row r="2358" spans="2:15" x14ac:dyDescent="0.3">
      <c r="B2358">
        <v>2418</v>
      </c>
      <c r="D2358">
        <v>1222</v>
      </c>
      <c r="E2358">
        <v>615</v>
      </c>
      <c r="F2358">
        <v>1</v>
      </c>
      <c r="G2358">
        <v>33.130414001372003</v>
      </c>
      <c r="H2358">
        <v>2</v>
      </c>
      <c r="I2358">
        <v>59</v>
      </c>
      <c r="K2358" t="s">
        <v>2386</v>
      </c>
      <c r="L2358">
        <v>20</v>
      </c>
      <c r="M2358" t="s">
        <v>3202</v>
      </c>
      <c r="N2358" t="s">
        <v>2388</v>
      </c>
      <c r="O2358">
        <v>1</v>
      </c>
    </row>
    <row r="2359" spans="2:15" x14ac:dyDescent="0.3">
      <c r="B2359">
        <v>2419</v>
      </c>
      <c r="D2359">
        <v>615</v>
      </c>
      <c r="E2359">
        <v>1222</v>
      </c>
      <c r="F2359">
        <v>1</v>
      </c>
      <c r="G2359">
        <v>33.130414001372003</v>
      </c>
      <c r="H2359">
        <v>2</v>
      </c>
      <c r="I2359">
        <v>59</v>
      </c>
      <c r="K2359" t="s">
        <v>2386</v>
      </c>
      <c r="L2359">
        <v>20</v>
      </c>
      <c r="M2359" t="s">
        <v>3203</v>
      </c>
      <c r="N2359" t="s">
        <v>2388</v>
      </c>
      <c r="O2359">
        <v>1</v>
      </c>
    </row>
    <row r="2360" spans="2:15" x14ac:dyDescent="0.3">
      <c r="B2360">
        <v>2420</v>
      </c>
      <c r="D2360">
        <v>1223</v>
      </c>
      <c r="E2360">
        <v>97</v>
      </c>
      <c r="F2360">
        <v>1</v>
      </c>
      <c r="G2360">
        <v>68.346824904982299</v>
      </c>
      <c r="H2360">
        <v>2</v>
      </c>
      <c r="I2360">
        <v>59</v>
      </c>
      <c r="K2360" t="s">
        <v>2386</v>
      </c>
      <c r="L2360">
        <v>20</v>
      </c>
      <c r="M2360" t="s">
        <v>3204</v>
      </c>
      <c r="N2360" t="s">
        <v>2388</v>
      </c>
      <c r="O2360">
        <v>1</v>
      </c>
    </row>
    <row r="2361" spans="2:15" x14ac:dyDescent="0.3">
      <c r="B2361">
        <v>2421</v>
      </c>
      <c r="D2361">
        <v>97</v>
      </c>
      <c r="E2361">
        <v>1223</v>
      </c>
      <c r="F2361">
        <v>1</v>
      </c>
      <c r="G2361">
        <v>68.346824904982299</v>
      </c>
      <c r="H2361">
        <v>2</v>
      </c>
      <c r="I2361">
        <v>59</v>
      </c>
      <c r="K2361" t="s">
        <v>2386</v>
      </c>
      <c r="L2361">
        <v>20</v>
      </c>
      <c r="M2361" t="s">
        <v>3205</v>
      </c>
      <c r="N2361" t="s">
        <v>2388</v>
      </c>
      <c r="O2361">
        <v>1</v>
      </c>
    </row>
    <row r="2362" spans="2:15" x14ac:dyDescent="0.3">
      <c r="B2362">
        <v>2422</v>
      </c>
      <c r="D2362">
        <v>1224</v>
      </c>
      <c r="E2362">
        <v>679</v>
      </c>
      <c r="F2362">
        <v>1</v>
      </c>
      <c r="G2362">
        <v>33.633961879490101</v>
      </c>
      <c r="H2362">
        <v>2</v>
      </c>
      <c r="I2362">
        <v>59</v>
      </c>
      <c r="K2362" t="s">
        <v>2386</v>
      </c>
      <c r="L2362">
        <v>20</v>
      </c>
      <c r="M2362" t="s">
        <v>3206</v>
      </c>
      <c r="N2362" t="s">
        <v>2388</v>
      </c>
      <c r="O2362">
        <v>1</v>
      </c>
    </row>
    <row r="2363" spans="2:15" x14ac:dyDescent="0.3">
      <c r="B2363">
        <v>2423</v>
      </c>
      <c r="D2363">
        <v>679</v>
      </c>
      <c r="E2363">
        <v>1224</v>
      </c>
      <c r="F2363">
        <v>1</v>
      </c>
      <c r="G2363">
        <v>33.633961879490101</v>
      </c>
      <c r="H2363">
        <v>2</v>
      </c>
      <c r="I2363">
        <v>59</v>
      </c>
      <c r="K2363" t="s">
        <v>2386</v>
      </c>
      <c r="L2363">
        <v>20</v>
      </c>
      <c r="M2363" t="s">
        <v>3207</v>
      </c>
      <c r="N2363" t="s">
        <v>2388</v>
      </c>
      <c r="O2363">
        <v>1</v>
      </c>
    </row>
    <row r="2364" spans="2:15" x14ac:dyDescent="0.3">
      <c r="B2364">
        <v>2424</v>
      </c>
      <c r="D2364">
        <v>1225</v>
      </c>
      <c r="E2364">
        <v>655</v>
      </c>
      <c r="F2364">
        <v>1</v>
      </c>
      <c r="G2364">
        <v>40.373516071516498</v>
      </c>
      <c r="H2364">
        <v>2</v>
      </c>
      <c r="I2364">
        <v>59</v>
      </c>
      <c r="K2364" t="s">
        <v>2386</v>
      </c>
      <c r="L2364">
        <v>20</v>
      </c>
      <c r="M2364" t="s">
        <v>3208</v>
      </c>
      <c r="N2364" t="s">
        <v>2388</v>
      </c>
      <c r="O2364">
        <v>1</v>
      </c>
    </row>
    <row r="2365" spans="2:15" x14ac:dyDescent="0.3">
      <c r="B2365">
        <v>2425</v>
      </c>
      <c r="D2365">
        <v>655</v>
      </c>
      <c r="E2365">
        <v>1225</v>
      </c>
      <c r="F2365">
        <v>1</v>
      </c>
      <c r="G2365">
        <v>40.373516071516498</v>
      </c>
      <c r="H2365">
        <v>2</v>
      </c>
      <c r="I2365">
        <v>59</v>
      </c>
      <c r="K2365" t="s">
        <v>2386</v>
      </c>
      <c r="L2365">
        <v>20</v>
      </c>
      <c r="M2365" t="s">
        <v>3209</v>
      </c>
      <c r="N2365" t="s">
        <v>2388</v>
      </c>
      <c r="O2365">
        <v>1</v>
      </c>
    </row>
    <row r="2366" spans="2:15" x14ac:dyDescent="0.3">
      <c r="B2366">
        <v>2426</v>
      </c>
      <c r="D2366">
        <v>1226</v>
      </c>
      <c r="E2366">
        <v>705</v>
      </c>
      <c r="F2366">
        <v>1</v>
      </c>
      <c r="G2366">
        <v>63.351112137034796</v>
      </c>
      <c r="H2366">
        <v>2</v>
      </c>
      <c r="I2366">
        <v>59</v>
      </c>
      <c r="K2366" t="s">
        <v>2386</v>
      </c>
      <c r="L2366">
        <v>20</v>
      </c>
      <c r="M2366" t="s">
        <v>3210</v>
      </c>
      <c r="N2366" t="s">
        <v>2388</v>
      </c>
      <c r="O2366">
        <v>1</v>
      </c>
    </row>
    <row r="2367" spans="2:15" x14ac:dyDescent="0.3">
      <c r="B2367">
        <v>2427</v>
      </c>
      <c r="D2367">
        <v>705</v>
      </c>
      <c r="E2367">
        <v>1226</v>
      </c>
      <c r="F2367">
        <v>1</v>
      </c>
      <c r="G2367">
        <v>63.351112137034796</v>
      </c>
      <c r="H2367">
        <v>2</v>
      </c>
      <c r="I2367">
        <v>59</v>
      </c>
      <c r="K2367" t="s">
        <v>2386</v>
      </c>
      <c r="L2367">
        <v>20</v>
      </c>
      <c r="M2367" t="s">
        <v>3211</v>
      </c>
      <c r="N2367" t="s">
        <v>2388</v>
      </c>
      <c r="O2367">
        <v>1</v>
      </c>
    </row>
    <row r="2368" spans="2:15" x14ac:dyDescent="0.3">
      <c r="B2368">
        <v>2428</v>
      </c>
      <c r="D2368">
        <v>1227</v>
      </c>
      <c r="E2368">
        <v>602</v>
      </c>
      <c r="F2368">
        <v>1</v>
      </c>
      <c r="G2368">
        <v>25.149404881919398</v>
      </c>
      <c r="H2368">
        <v>2</v>
      </c>
      <c r="I2368">
        <v>59</v>
      </c>
      <c r="K2368" t="s">
        <v>2386</v>
      </c>
      <c r="L2368">
        <v>20</v>
      </c>
      <c r="M2368" t="s">
        <v>3212</v>
      </c>
      <c r="N2368" t="s">
        <v>2388</v>
      </c>
      <c r="O2368">
        <v>1</v>
      </c>
    </row>
    <row r="2369" spans="2:15" x14ac:dyDescent="0.3">
      <c r="B2369">
        <v>2429</v>
      </c>
      <c r="D2369">
        <v>602</v>
      </c>
      <c r="E2369">
        <v>1227</v>
      </c>
      <c r="F2369">
        <v>1</v>
      </c>
      <c r="G2369">
        <v>25.149404881919398</v>
      </c>
      <c r="H2369">
        <v>2</v>
      </c>
      <c r="I2369">
        <v>59</v>
      </c>
      <c r="K2369" t="s">
        <v>2386</v>
      </c>
      <c r="L2369">
        <v>20</v>
      </c>
      <c r="M2369" t="s">
        <v>3213</v>
      </c>
      <c r="N2369" t="s">
        <v>2388</v>
      </c>
      <c r="O2369">
        <v>1</v>
      </c>
    </row>
    <row r="2370" spans="2:15" x14ac:dyDescent="0.3">
      <c r="B2370">
        <v>2430</v>
      </c>
      <c r="D2370">
        <v>1228</v>
      </c>
      <c r="E2370">
        <v>602</v>
      </c>
      <c r="F2370">
        <v>1</v>
      </c>
      <c r="G2370">
        <v>52.775405420933197</v>
      </c>
      <c r="H2370">
        <v>2</v>
      </c>
      <c r="I2370">
        <v>59</v>
      </c>
      <c r="K2370" t="s">
        <v>2386</v>
      </c>
      <c r="L2370">
        <v>20</v>
      </c>
      <c r="M2370" t="s">
        <v>3214</v>
      </c>
      <c r="N2370" t="s">
        <v>2388</v>
      </c>
      <c r="O2370">
        <v>1</v>
      </c>
    </row>
    <row r="2371" spans="2:15" x14ac:dyDescent="0.3">
      <c r="B2371">
        <v>2431</v>
      </c>
      <c r="D2371">
        <v>602</v>
      </c>
      <c r="E2371">
        <v>1228</v>
      </c>
      <c r="F2371">
        <v>1</v>
      </c>
      <c r="G2371">
        <v>52.775405420933197</v>
      </c>
      <c r="H2371">
        <v>2</v>
      </c>
      <c r="I2371">
        <v>59</v>
      </c>
      <c r="K2371" t="s">
        <v>2386</v>
      </c>
      <c r="L2371">
        <v>20</v>
      </c>
      <c r="M2371" t="s">
        <v>3215</v>
      </c>
      <c r="N2371" t="s">
        <v>2388</v>
      </c>
      <c r="O2371">
        <v>1</v>
      </c>
    </row>
    <row r="2372" spans="2:15" x14ac:dyDescent="0.3">
      <c r="B2372">
        <v>2432</v>
      </c>
      <c r="D2372">
        <v>1229</v>
      </c>
      <c r="E2372">
        <v>469</v>
      </c>
      <c r="F2372">
        <v>1</v>
      </c>
      <c r="G2372">
        <v>37.796880995226601</v>
      </c>
      <c r="H2372">
        <v>2</v>
      </c>
      <c r="I2372">
        <v>59</v>
      </c>
      <c r="K2372" t="s">
        <v>2386</v>
      </c>
      <c r="L2372">
        <v>20</v>
      </c>
      <c r="M2372" t="s">
        <v>3216</v>
      </c>
      <c r="N2372" t="s">
        <v>2388</v>
      </c>
      <c r="O2372">
        <v>1</v>
      </c>
    </row>
    <row r="2373" spans="2:15" x14ac:dyDescent="0.3">
      <c r="B2373">
        <v>2433</v>
      </c>
      <c r="D2373">
        <v>469</v>
      </c>
      <c r="E2373">
        <v>1229</v>
      </c>
      <c r="F2373">
        <v>1</v>
      </c>
      <c r="G2373">
        <v>37.796880995226601</v>
      </c>
      <c r="H2373">
        <v>2</v>
      </c>
      <c r="I2373">
        <v>59</v>
      </c>
      <c r="K2373" t="s">
        <v>2386</v>
      </c>
      <c r="L2373">
        <v>20</v>
      </c>
      <c r="M2373" t="s">
        <v>3217</v>
      </c>
      <c r="N2373" t="s">
        <v>2388</v>
      </c>
      <c r="O2373">
        <v>1</v>
      </c>
    </row>
    <row r="2374" spans="2:15" x14ac:dyDescent="0.3">
      <c r="B2374">
        <v>2434</v>
      </c>
      <c r="D2374">
        <v>1230</v>
      </c>
      <c r="E2374">
        <v>470</v>
      </c>
      <c r="F2374">
        <v>1</v>
      </c>
      <c r="G2374">
        <v>36.578367945482903</v>
      </c>
      <c r="H2374">
        <v>2</v>
      </c>
      <c r="I2374">
        <v>59</v>
      </c>
      <c r="K2374" t="s">
        <v>2386</v>
      </c>
      <c r="L2374">
        <v>20</v>
      </c>
      <c r="M2374" t="s">
        <v>3218</v>
      </c>
      <c r="N2374" t="s">
        <v>2388</v>
      </c>
      <c r="O2374">
        <v>1</v>
      </c>
    </row>
    <row r="2375" spans="2:15" x14ac:dyDescent="0.3">
      <c r="B2375">
        <v>2435</v>
      </c>
      <c r="D2375">
        <v>470</v>
      </c>
      <c r="E2375">
        <v>1230</v>
      </c>
      <c r="F2375">
        <v>1</v>
      </c>
      <c r="G2375">
        <v>36.578367945482903</v>
      </c>
      <c r="H2375">
        <v>2</v>
      </c>
      <c r="I2375">
        <v>59</v>
      </c>
      <c r="K2375" t="s">
        <v>2386</v>
      </c>
      <c r="L2375">
        <v>20</v>
      </c>
      <c r="M2375" t="s">
        <v>3219</v>
      </c>
      <c r="N2375" t="s">
        <v>2388</v>
      </c>
      <c r="O2375">
        <v>1</v>
      </c>
    </row>
    <row r="2376" spans="2:15" x14ac:dyDescent="0.3">
      <c r="B2376">
        <v>2436</v>
      </c>
      <c r="D2376">
        <v>1231</v>
      </c>
      <c r="E2376">
        <v>1941</v>
      </c>
      <c r="F2376">
        <v>1</v>
      </c>
      <c r="G2376">
        <v>51.880232457848997</v>
      </c>
      <c r="H2376">
        <v>2</v>
      </c>
      <c r="I2376">
        <v>59</v>
      </c>
      <c r="K2376" t="s">
        <v>2386</v>
      </c>
      <c r="L2376">
        <v>20</v>
      </c>
      <c r="M2376" t="s">
        <v>3220</v>
      </c>
      <c r="N2376" t="s">
        <v>2388</v>
      </c>
      <c r="O2376">
        <v>1</v>
      </c>
    </row>
    <row r="2377" spans="2:15" x14ac:dyDescent="0.3">
      <c r="B2377">
        <v>2437</v>
      </c>
      <c r="D2377">
        <v>1941</v>
      </c>
      <c r="E2377">
        <v>1231</v>
      </c>
      <c r="F2377">
        <v>1</v>
      </c>
      <c r="G2377">
        <v>51.880232457848997</v>
      </c>
      <c r="H2377">
        <v>2</v>
      </c>
      <c r="I2377">
        <v>59</v>
      </c>
      <c r="K2377" t="s">
        <v>2386</v>
      </c>
      <c r="L2377">
        <v>20</v>
      </c>
      <c r="M2377" t="s">
        <v>3221</v>
      </c>
      <c r="N2377" t="s">
        <v>2388</v>
      </c>
      <c r="O2377">
        <v>1</v>
      </c>
    </row>
    <row r="2378" spans="2:15" x14ac:dyDescent="0.3">
      <c r="B2378">
        <v>2438</v>
      </c>
      <c r="D2378">
        <v>1232</v>
      </c>
      <c r="E2378">
        <v>487</v>
      </c>
      <c r="F2378">
        <v>1</v>
      </c>
      <c r="G2378">
        <v>58.399022625874302</v>
      </c>
      <c r="H2378">
        <v>2</v>
      </c>
      <c r="I2378">
        <v>59</v>
      </c>
      <c r="K2378" t="s">
        <v>2386</v>
      </c>
      <c r="L2378">
        <v>20</v>
      </c>
      <c r="M2378" t="s">
        <v>3222</v>
      </c>
      <c r="N2378" t="s">
        <v>2388</v>
      </c>
      <c r="O2378">
        <v>1</v>
      </c>
    </row>
    <row r="2379" spans="2:15" x14ac:dyDescent="0.3">
      <c r="B2379">
        <v>2439</v>
      </c>
      <c r="D2379">
        <v>487</v>
      </c>
      <c r="E2379">
        <v>1232</v>
      </c>
      <c r="F2379">
        <v>1</v>
      </c>
      <c r="G2379">
        <v>58.399022625874302</v>
      </c>
      <c r="H2379">
        <v>2</v>
      </c>
      <c r="I2379">
        <v>59</v>
      </c>
      <c r="K2379" t="s">
        <v>2386</v>
      </c>
      <c r="L2379">
        <v>20</v>
      </c>
      <c r="M2379" t="s">
        <v>3223</v>
      </c>
      <c r="N2379" t="s">
        <v>2388</v>
      </c>
      <c r="O2379">
        <v>1</v>
      </c>
    </row>
    <row r="2380" spans="2:15" x14ac:dyDescent="0.3">
      <c r="B2380">
        <v>2440</v>
      </c>
      <c r="D2380">
        <v>1233</v>
      </c>
      <c r="E2380">
        <v>468</v>
      </c>
      <c r="F2380">
        <v>1</v>
      </c>
      <c r="G2380">
        <v>36.959661595668898</v>
      </c>
      <c r="H2380">
        <v>2</v>
      </c>
      <c r="I2380">
        <v>59</v>
      </c>
      <c r="K2380" t="s">
        <v>2386</v>
      </c>
      <c r="L2380">
        <v>20</v>
      </c>
      <c r="M2380" t="s">
        <v>3224</v>
      </c>
      <c r="N2380" t="s">
        <v>2388</v>
      </c>
      <c r="O2380">
        <v>1</v>
      </c>
    </row>
    <row r="2381" spans="2:15" x14ac:dyDescent="0.3">
      <c r="B2381">
        <v>2441</v>
      </c>
      <c r="D2381">
        <v>468</v>
      </c>
      <c r="E2381">
        <v>1233</v>
      </c>
      <c r="F2381">
        <v>1</v>
      </c>
      <c r="G2381">
        <v>36.959661595668898</v>
      </c>
      <c r="H2381">
        <v>2</v>
      </c>
      <c r="I2381">
        <v>59</v>
      </c>
      <c r="K2381" t="s">
        <v>2386</v>
      </c>
      <c r="L2381">
        <v>20</v>
      </c>
      <c r="M2381" t="s">
        <v>3225</v>
      </c>
      <c r="N2381" t="s">
        <v>2388</v>
      </c>
      <c r="O2381">
        <v>1</v>
      </c>
    </row>
    <row r="2382" spans="2:15" x14ac:dyDescent="0.3">
      <c r="B2382">
        <v>2442</v>
      </c>
      <c r="D2382">
        <v>1234</v>
      </c>
      <c r="E2382">
        <v>753</v>
      </c>
      <c r="F2382">
        <v>1</v>
      </c>
      <c r="G2382">
        <v>31.258022382880799</v>
      </c>
      <c r="H2382">
        <v>2</v>
      </c>
      <c r="I2382">
        <v>59</v>
      </c>
      <c r="K2382" t="s">
        <v>2386</v>
      </c>
      <c r="L2382">
        <v>20</v>
      </c>
      <c r="M2382" t="s">
        <v>3226</v>
      </c>
      <c r="N2382" t="s">
        <v>2388</v>
      </c>
      <c r="O2382">
        <v>1</v>
      </c>
    </row>
    <row r="2383" spans="2:15" x14ac:dyDescent="0.3">
      <c r="B2383">
        <v>2443</v>
      </c>
      <c r="D2383">
        <v>753</v>
      </c>
      <c r="E2383">
        <v>1234</v>
      </c>
      <c r="F2383">
        <v>1</v>
      </c>
      <c r="G2383">
        <v>31.258022382880799</v>
      </c>
      <c r="H2383">
        <v>2</v>
      </c>
      <c r="I2383">
        <v>59</v>
      </c>
      <c r="K2383" t="s">
        <v>2386</v>
      </c>
      <c r="L2383">
        <v>20</v>
      </c>
      <c r="M2383" t="s">
        <v>3227</v>
      </c>
      <c r="N2383" t="s">
        <v>2388</v>
      </c>
      <c r="O2383">
        <v>1</v>
      </c>
    </row>
    <row r="2384" spans="2:15" x14ac:dyDescent="0.3">
      <c r="B2384">
        <v>2444</v>
      </c>
      <c r="D2384">
        <v>1235</v>
      </c>
      <c r="E2384">
        <v>1952</v>
      </c>
      <c r="F2384">
        <v>1</v>
      </c>
      <c r="G2384">
        <v>82.612364953920206</v>
      </c>
      <c r="H2384">
        <v>2</v>
      </c>
      <c r="I2384">
        <v>59</v>
      </c>
      <c r="K2384" t="s">
        <v>2386</v>
      </c>
      <c r="L2384">
        <v>20</v>
      </c>
      <c r="M2384" t="s">
        <v>3228</v>
      </c>
      <c r="N2384" t="s">
        <v>2388</v>
      </c>
      <c r="O2384">
        <v>1</v>
      </c>
    </row>
    <row r="2385" spans="2:15" x14ac:dyDescent="0.3">
      <c r="B2385">
        <v>2445</v>
      </c>
      <c r="D2385">
        <v>1952</v>
      </c>
      <c r="E2385">
        <v>1235</v>
      </c>
      <c r="F2385">
        <v>1</v>
      </c>
      <c r="G2385">
        <v>82.612364953920206</v>
      </c>
      <c r="H2385">
        <v>2</v>
      </c>
      <c r="I2385">
        <v>59</v>
      </c>
      <c r="K2385" t="s">
        <v>2386</v>
      </c>
      <c r="L2385">
        <v>20</v>
      </c>
      <c r="M2385" t="s">
        <v>3229</v>
      </c>
      <c r="N2385" t="s">
        <v>2388</v>
      </c>
      <c r="O2385">
        <v>1</v>
      </c>
    </row>
    <row r="2386" spans="2:15" x14ac:dyDescent="0.3">
      <c r="B2386">
        <v>2446</v>
      </c>
      <c r="D2386">
        <v>1236</v>
      </c>
      <c r="E2386">
        <v>537</v>
      </c>
      <c r="F2386">
        <v>1</v>
      </c>
      <c r="G2386">
        <v>49.729408528003198</v>
      </c>
      <c r="H2386">
        <v>2</v>
      </c>
      <c r="I2386">
        <v>59</v>
      </c>
      <c r="K2386" t="s">
        <v>2386</v>
      </c>
      <c r="L2386">
        <v>20</v>
      </c>
      <c r="M2386" t="s">
        <v>3230</v>
      </c>
      <c r="N2386" t="s">
        <v>2388</v>
      </c>
      <c r="O2386">
        <v>1</v>
      </c>
    </row>
    <row r="2387" spans="2:15" x14ac:dyDescent="0.3">
      <c r="B2387">
        <v>2447</v>
      </c>
      <c r="D2387">
        <v>537</v>
      </c>
      <c r="E2387">
        <v>1236</v>
      </c>
      <c r="F2387">
        <v>1</v>
      </c>
      <c r="G2387">
        <v>49.729408528003198</v>
      </c>
      <c r="H2387">
        <v>2</v>
      </c>
      <c r="I2387">
        <v>59</v>
      </c>
      <c r="K2387" t="s">
        <v>2386</v>
      </c>
      <c r="L2387">
        <v>20</v>
      </c>
      <c r="M2387" t="s">
        <v>3231</v>
      </c>
      <c r="N2387" t="s">
        <v>2388</v>
      </c>
      <c r="O2387">
        <v>1</v>
      </c>
    </row>
    <row r="2388" spans="2:15" x14ac:dyDescent="0.3">
      <c r="B2388">
        <v>2448</v>
      </c>
      <c r="D2388">
        <v>1237</v>
      </c>
      <c r="E2388">
        <v>535</v>
      </c>
      <c r="F2388">
        <v>1</v>
      </c>
      <c r="G2388">
        <v>38.114344220084597</v>
      </c>
      <c r="H2388">
        <v>2</v>
      </c>
      <c r="I2388">
        <v>59</v>
      </c>
      <c r="K2388" t="s">
        <v>2386</v>
      </c>
      <c r="L2388">
        <v>20</v>
      </c>
      <c r="M2388" t="s">
        <v>3232</v>
      </c>
      <c r="N2388" t="s">
        <v>2388</v>
      </c>
      <c r="O2388">
        <v>1</v>
      </c>
    </row>
    <row r="2389" spans="2:15" x14ac:dyDescent="0.3">
      <c r="B2389">
        <v>2449</v>
      </c>
      <c r="D2389">
        <v>535</v>
      </c>
      <c r="E2389">
        <v>1237</v>
      </c>
      <c r="F2389">
        <v>1</v>
      </c>
      <c r="G2389">
        <v>38.114344220084597</v>
      </c>
      <c r="H2389">
        <v>2</v>
      </c>
      <c r="I2389">
        <v>59</v>
      </c>
      <c r="K2389" t="s">
        <v>2386</v>
      </c>
      <c r="L2389">
        <v>20</v>
      </c>
      <c r="M2389" t="s">
        <v>3233</v>
      </c>
      <c r="N2389" t="s">
        <v>2388</v>
      </c>
      <c r="O2389">
        <v>1</v>
      </c>
    </row>
    <row r="2390" spans="2:15" x14ac:dyDescent="0.3">
      <c r="B2390">
        <v>2450</v>
      </c>
      <c r="D2390">
        <v>1238</v>
      </c>
      <c r="E2390">
        <v>55</v>
      </c>
      <c r="F2390">
        <v>1</v>
      </c>
      <c r="G2390">
        <v>42.2608506008483</v>
      </c>
      <c r="H2390">
        <v>2</v>
      </c>
      <c r="I2390">
        <v>59</v>
      </c>
      <c r="K2390" t="s">
        <v>2386</v>
      </c>
      <c r="L2390">
        <v>20</v>
      </c>
      <c r="M2390" t="s">
        <v>3234</v>
      </c>
      <c r="N2390" t="s">
        <v>2388</v>
      </c>
      <c r="O2390">
        <v>1</v>
      </c>
    </row>
    <row r="2391" spans="2:15" x14ac:dyDescent="0.3">
      <c r="B2391">
        <v>2451</v>
      </c>
      <c r="D2391">
        <v>55</v>
      </c>
      <c r="E2391">
        <v>1238</v>
      </c>
      <c r="F2391">
        <v>1</v>
      </c>
      <c r="G2391">
        <v>42.2608506008483</v>
      </c>
      <c r="H2391">
        <v>2</v>
      </c>
      <c r="I2391">
        <v>59</v>
      </c>
      <c r="K2391" t="s">
        <v>2386</v>
      </c>
      <c r="L2391">
        <v>20</v>
      </c>
      <c r="M2391" t="s">
        <v>3235</v>
      </c>
      <c r="N2391" t="s">
        <v>2388</v>
      </c>
      <c r="O2391">
        <v>1</v>
      </c>
    </row>
    <row r="2392" spans="2:15" x14ac:dyDescent="0.3">
      <c r="B2392">
        <v>2452</v>
      </c>
      <c r="D2392">
        <v>1239</v>
      </c>
      <c r="E2392">
        <v>534</v>
      </c>
      <c r="F2392">
        <v>1</v>
      </c>
      <c r="G2392">
        <v>46.5147392915325</v>
      </c>
      <c r="H2392">
        <v>2</v>
      </c>
      <c r="I2392">
        <v>59</v>
      </c>
      <c r="K2392" t="s">
        <v>2386</v>
      </c>
      <c r="L2392">
        <v>20</v>
      </c>
      <c r="M2392" t="s">
        <v>3236</v>
      </c>
      <c r="N2392" t="s">
        <v>2388</v>
      </c>
      <c r="O2392">
        <v>1</v>
      </c>
    </row>
    <row r="2393" spans="2:15" x14ac:dyDescent="0.3">
      <c r="B2393">
        <v>2453</v>
      </c>
      <c r="D2393">
        <v>534</v>
      </c>
      <c r="E2393">
        <v>1239</v>
      </c>
      <c r="F2393">
        <v>1</v>
      </c>
      <c r="G2393">
        <v>46.5147392915325</v>
      </c>
      <c r="H2393">
        <v>2</v>
      </c>
      <c r="I2393">
        <v>59</v>
      </c>
      <c r="K2393" t="s">
        <v>2386</v>
      </c>
      <c r="L2393">
        <v>20</v>
      </c>
      <c r="M2393" t="s">
        <v>3237</v>
      </c>
      <c r="N2393" t="s">
        <v>2388</v>
      </c>
      <c r="O2393">
        <v>1</v>
      </c>
    </row>
    <row r="2394" spans="2:15" x14ac:dyDescent="0.3">
      <c r="B2394">
        <v>2454</v>
      </c>
      <c r="D2394">
        <v>1240</v>
      </c>
      <c r="E2394">
        <v>534</v>
      </c>
      <c r="F2394">
        <v>1</v>
      </c>
      <c r="G2394">
        <v>56.712429152877903</v>
      </c>
      <c r="H2394">
        <v>2</v>
      </c>
      <c r="I2394">
        <v>59</v>
      </c>
      <c r="K2394" t="s">
        <v>2386</v>
      </c>
      <c r="L2394">
        <v>20</v>
      </c>
      <c r="M2394" t="s">
        <v>3238</v>
      </c>
      <c r="N2394" t="s">
        <v>2388</v>
      </c>
      <c r="O2394">
        <v>1</v>
      </c>
    </row>
    <row r="2395" spans="2:15" x14ac:dyDescent="0.3">
      <c r="B2395">
        <v>2455</v>
      </c>
      <c r="D2395">
        <v>534</v>
      </c>
      <c r="E2395">
        <v>1240</v>
      </c>
      <c r="F2395">
        <v>1</v>
      </c>
      <c r="G2395">
        <v>56.712429152877903</v>
      </c>
      <c r="H2395">
        <v>2</v>
      </c>
      <c r="I2395">
        <v>59</v>
      </c>
      <c r="K2395" t="s">
        <v>2386</v>
      </c>
      <c r="L2395">
        <v>20</v>
      </c>
      <c r="M2395" t="s">
        <v>3239</v>
      </c>
      <c r="N2395" t="s">
        <v>2388</v>
      </c>
      <c r="O2395">
        <v>1</v>
      </c>
    </row>
    <row r="2396" spans="2:15" x14ac:dyDescent="0.3">
      <c r="B2396">
        <v>2456</v>
      </c>
      <c r="D2396">
        <v>1241</v>
      </c>
      <c r="E2396">
        <v>535</v>
      </c>
      <c r="F2396">
        <v>1</v>
      </c>
      <c r="G2396">
        <v>57.833264248317498</v>
      </c>
      <c r="H2396">
        <v>2</v>
      </c>
      <c r="I2396">
        <v>59</v>
      </c>
      <c r="K2396" t="s">
        <v>2386</v>
      </c>
      <c r="L2396">
        <v>20</v>
      </c>
      <c r="M2396" t="s">
        <v>3240</v>
      </c>
      <c r="N2396" t="s">
        <v>2388</v>
      </c>
      <c r="O2396">
        <v>1</v>
      </c>
    </row>
    <row r="2397" spans="2:15" x14ac:dyDescent="0.3">
      <c r="B2397">
        <v>2457</v>
      </c>
      <c r="D2397">
        <v>535</v>
      </c>
      <c r="E2397">
        <v>1241</v>
      </c>
      <c r="F2397">
        <v>1</v>
      </c>
      <c r="G2397">
        <v>57.833264248317498</v>
      </c>
      <c r="H2397">
        <v>2</v>
      </c>
      <c r="I2397">
        <v>59</v>
      </c>
      <c r="K2397" t="s">
        <v>2386</v>
      </c>
      <c r="L2397">
        <v>20</v>
      </c>
      <c r="M2397" t="s">
        <v>3241</v>
      </c>
      <c r="N2397" t="s">
        <v>2388</v>
      </c>
      <c r="O2397">
        <v>1</v>
      </c>
    </row>
    <row r="2398" spans="2:15" x14ac:dyDescent="0.3">
      <c r="B2398">
        <v>2458</v>
      </c>
      <c r="D2398">
        <v>1242</v>
      </c>
      <c r="E2398">
        <v>629</v>
      </c>
      <c r="F2398">
        <v>1</v>
      </c>
      <c r="G2398">
        <v>46.4430032948557</v>
      </c>
      <c r="H2398">
        <v>2</v>
      </c>
      <c r="I2398">
        <v>59</v>
      </c>
      <c r="K2398" t="s">
        <v>2386</v>
      </c>
      <c r="L2398">
        <v>20</v>
      </c>
      <c r="M2398" t="s">
        <v>3242</v>
      </c>
      <c r="N2398" t="s">
        <v>2388</v>
      </c>
      <c r="O2398">
        <v>1</v>
      </c>
    </row>
    <row r="2399" spans="2:15" x14ac:dyDescent="0.3">
      <c r="B2399">
        <v>2459</v>
      </c>
      <c r="D2399">
        <v>629</v>
      </c>
      <c r="E2399">
        <v>1242</v>
      </c>
      <c r="F2399">
        <v>1</v>
      </c>
      <c r="G2399">
        <v>46.4430032948557</v>
      </c>
      <c r="H2399">
        <v>2</v>
      </c>
      <c r="I2399">
        <v>59</v>
      </c>
      <c r="K2399" t="s">
        <v>2386</v>
      </c>
      <c r="L2399">
        <v>20</v>
      </c>
      <c r="M2399" t="s">
        <v>3243</v>
      </c>
      <c r="N2399" t="s">
        <v>2388</v>
      </c>
      <c r="O2399">
        <v>1</v>
      </c>
    </row>
    <row r="2400" spans="2:15" x14ac:dyDescent="0.3">
      <c r="B2400">
        <v>2460</v>
      </c>
      <c r="D2400">
        <v>1243</v>
      </c>
      <c r="E2400">
        <v>670</v>
      </c>
      <c r="F2400">
        <v>1</v>
      </c>
      <c r="G2400">
        <v>68.603172080439194</v>
      </c>
      <c r="H2400">
        <v>2</v>
      </c>
      <c r="I2400">
        <v>59</v>
      </c>
      <c r="K2400" t="s">
        <v>2386</v>
      </c>
      <c r="L2400">
        <v>20</v>
      </c>
      <c r="M2400" t="s">
        <v>3244</v>
      </c>
      <c r="N2400" t="s">
        <v>2388</v>
      </c>
      <c r="O2400">
        <v>1</v>
      </c>
    </row>
    <row r="2401" spans="2:15" x14ac:dyDescent="0.3">
      <c r="B2401">
        <v>2461</v>
      </c>
      <c r="D2401">
        <v>670</v>
      </c>
      <c r="E2401">
        <v>1243</v>
      </c>
      <c r="F2401">
        <v>1</v>
      </c>
      <c r="G2401">
        <v>68.603172080439194</v>
      </c>
      <c r="H2401">
        <v>2</v>
      </c>
      <c r="I2401">
        <v>59</v>
      </c>
      <c r="K2401" t="s">
        <v>2386</v>
      </c>
      <c r="L2401">
        <v>20</v>
      </c>
      <c r="M2401" t="s">
        <v>3245</v>
      </c>
      <c r="N2401" t="s">
        <v>2388</v>
      </c>
      <c r="O2401">
        <v>1</v>
      </c>
    </row>
    <row r="2402" spans="2:15" x14ac:dyDescent="0.3">
      <c r="B2402">
        <v>2462</v>
      </c>
      <c r="D2402">
        <v>1244</v>
      </c>
      <c r="E2402">
        <v>670</v>
      </c>
      <c r="F2402">
        <v>1</v>
      </c>
      <c r="G2402">
        <v>83.834937077147401</v>
      </c>
      <c r="H2402">
        <v>2</v>
      </c>
      <c r="I2402">
        <v>59</v>
      </c>
      <c r="K2402" t="s">
        <v>2386</v>
      </c>
      <c r="L2402">
        <v>20</v>
      </c>
      <c r="M2402" t="s">
        <v>3246</v>
      </c>
      <c r="N2402" t="s">
        <v>2388</v>
      </c>
      <c r="O2402">
        <v>1</v>
      </c>
    </row>
    <row r="2403" spans="2:15" x14ac:dyDescent="0.3">
      <c r="B2403">
        <v>2463</v>
      </c>
      <c r="D2403">
        <v>670</v>
      </c>
      <c r="E2403">
        <v>1244</v>
      </c>
      <c r="F2403">
        <v>1</v>
      </c>
      <c r="G2403">
        <v>83.834937077147401</v>
      </c>
      <c r="H2403">
        <v>2</v>
      </c>
      <c r="I2403">
        <v>59</v>
      </c>
      <c r="K2403" t="s">
        <v>2386</v>
      </c>
      <c r="L2403">
        <v>20</v>
      </c>
      <c r="M2403" t="s">
        <v>3247</v>
      </c>
      <c r="N2403" t="s">
        <v>2388</v>
      </c>
      <c r="O2403">
        <v>1</v>
      </c>
    </row>
    <row r="2404" spans="2:15" x14ac:dyDescent="0.3">
      <c r="B2404">
        <v>2464</v>
      </c>
      <c r="D2404">
        <v>1245</v>
      </c>
      <c r="E2404">
        <v>287</v>
      </c>
      <c r="F2404">
        <v>1</v>
      </c>
      <c r="G2404">
        <v>87.619828236720906</v>
      </c>
      <c r="H2404">
        <v>2</v>
      </c>
      <c r="I2404">
        <v>59</v>
      </c>
      <c r="K2404" t="s">
        <v>2386</v>
      </c>
      <c r="L2404">
        <v>20</v>
      </c>
      <c r="M2404" t="s">
        <v>3248</v>
      </c>
      <c r="N2404" t="s">
        <v>2388</v>
      </c>
      <c r="O2404">
        <v>1</v>
      </c>
    </row>
    <row r="2405" spans="2:15" x14ac:dyDescent="0.3">
      <c r="B2405">
        <v>2465</v>
      </c>
      <c r="D2405">
        <v>287</v>
      </c>
      <c r="E2405">
        <v>1245</v>
      </c>
      <c r="F2405">
        <v>1</v>
      </c>
      <c r="G2405">
        <v>87.619828236720906</v>
      </c>
      <c r="H2405">
        <v>2</v>
      </c>
      <c r="I2405">
        <v>59</v>
      </c>
      <c r="K2405" t="s">
        <v>2386</v>
      </c>
      <c r="L2405">
        <v>20</v>
      </c>
      <c r="M2405" t="s">
        <v>3249</v>
      </c>
      <c r="N2405" t="s">
        <v>2388</v>
      </c>
      <c r="O2405">
        <v>1</v>
      </c>
    </row>
    <row r="2406" spans="2:15" x14ac:dyDescent="0.3">
      <c r="B2406">
        <v>2466</v>
      </c>
      <c r="D2406">
        <v>1246</v>
      </c>
      <c r="E2406">
        <v>460</v>
      </c>
      <c r="F2406">
        <v>1</v>
      </c>
      <c r="G2406">
        <v>77.831025879750598</v>
      </c>
      <c r="H2406">
        <v>2</v>
      </c>
      <c r="I2406">
        <v>59</v>
      </c>
      <c r="K2406" t="s">
        <v>2386</v>
      </c>
      <c r="L2406">
        <v>20</v>
      </c>
      <c r="M2406" t="s">
        <v>3250</v>
      </c>
      <c r="N2406" t="s">
        <v>2388</v>
      </c>
      <c r="O2406">
        <v>1</v>
      </c>
    </row>
    <row r="2407" spans="2:15" x14ac:dyDescent="0.3">
      <c r="B2407">
        <v>2467</v>
      </c>
      <c r="D2407">
        <v>460</v>
      </c>
      <c r="E2407">
        <v>1246</v>
      </c>
      <c r="F2407">
        <v>1</v>
      </c>
      <c r="G2407">
        <v>77.831025879750598</v>
      </c>
      <c r="H2407">
        <v>2</v>
      </c>
      <c r="I2407">
        <v>59</v>
      </c>
      <c r="K2407" t="s">
        <v>2386</v>
      </c>
      <c r="L2407">
        <v>20</v>
      </c>
      <c r="M2407" t="s">
        <v>3251</v>
      </c>
      <c r="N2407" t="s">
        <v>2388</v>
      </c>
      <c r="O2407">
        <v>1</v>
      </c>
    </row>
    <row r="2408" spans="2:15" x14ac:dyDescent="0.3">
      <c r="B2408">
        <v>2468</v>
      </c>
      <c r="D2408">
        <v>1247</v>
      </c>
      <c r="E2408">
        <v>310</v>
      </c>
      <c r="F2408">
        <v>1</v>
      </c>
      <c r="G2408">
        <v>78.408473989136894</v>
      </c>
      <c r="H2408">
        <v>2</v>
      </c>
      <c r="I2408">
        <v>59</v>
      </c>
      <c r="K2408" t="s">
        <v>2386</v>
      </c>
      <c r="L2408">
        <v>20</v>
      </c>
      <c r="M2408" t="s">
        <v>3252</v>
      </c>
      <c r="N2408" t="s">
        <v>2388</v>
      </c>
      <c r="O2408">
        <v>1</v>
      </c>
    </row>
    <row r="2409" spans="2:15" x14ac:dyDescent="0.3">
      <c r="B2409">
        <v>2469</v>
      </c>
      <c r="D2409">
        <v>310</v>
      </c>
      <c r="E2409">
        <v>1247</v>
      </c>
      <c r="F2409">
        <v>1</v>
      </c>
      <c r="G2409">
        <v>78.408473989136894</v>
      </c>
      <c r="H2409">
        <v>2</v>
      </c>
      <c r="I2409">
        <v>59</v>
      </c>
      <c r="K2409" t="s">
        <v>2386</v>
      </c>
      <c r="L2409">
        <v>20</v>
      </c>
      <c r="M2409" t="s">
        <v>3253</v>
      </c>
      <c r="N2409" t="s">
        <v>2388</v>
      </c>
      <c r="O2409">
        <v>1</v>
      </c>
    </row>
    <row r="2410" spans="2:15" x14ac:dyDescent="0.3">
      <c r="B2410">
        <v>2470</v>
      </c>
      <c r="D2410">
        <v>1248</v>
      </c>
      <c r="E2410">
        <v>243</v>
      </c>
      <c r="F2410">
        <v>1</v>
      </c>
      <c r="G2410">
        <v>146.53377424700599</v>
      </c>
      <c r="H2410">
        <v>2</v>
      </c>
      <c r="I2410">
        <v>59</v>
      </c>
      <c r="K2410" t="s">
        <v>2386</v>
      </c>
      <c r="L2410">
        <v>20</v>
      </c>
      <c r="M2410" t="s">
        <v>3254</v>
      </c>
      <c r="N2410" t="s">
        <v>2388</v>
      </c>
      <c r="O2410">
        <v>1</v>
      </c>
    </row>
    <row r="2411" spans="2:15" x14ac:dyDescent="0.3">
      <c r="B2411">
        <v>2471</v>
      </c>
      <c r="D2411">
        <v>243</v>
      </c>
      <c r="E2411">
        <v>1248</v>
      </c>
      <c r="F2411">
        <v>1</v>
      </c>
      <c r="G2411">
        <v>146.53377424700599</v>
      </c>
      <c r="H2411">
        <v>2</v>
      </c>
      <c r="I2411">
        <v>59</v>
      </c>
      <c r="K2411" t="s">
        <v>2386</v>
      </c>
      <c r="L2411">
        <v>20</v>
      </c>
      <c r="M2411" t="s">
        <v>3255</v>
      </c>
      <c r="N2411" t="s">
        <v>2388</v>
      </c>
      <c r="O2411">
        <v>1</v>
      </c>
    </row>
    <row r="2412" spans="2:15" x14ac:dyDescent="0.3">
      <c r="B2412">
        <v>2472</v>
      </c>
      <c r="D2412">
        <v>1249</v>
      </c>
      <c r="E2412">
        <v>549</v>
      </c>
      <c r="F2412">
        <v>1</v>
      </c>
      <c r="G2412">
        <v>83.598301746934098</v>
      </c>
      <c r="H2412">
        <v>2</v>
      </c>
      <c r="I2412">
        <v>59</v>
      </c>
      <c r="K2412" t="s">
        <v>2386</v>
      </c>
      <c r="L2412">
        <v>20</v>
      </c>
      <c r="M2412" t="s">
        <v>3256</v>
      </c>
      <c r="N2412" t="s">
        <v>2388</v>
      </c>
      <c r="O2412">
        <v>1</v>
      </c>
    </row>
    <row r="2413" spans="2:15" x14ac:dyDescent="0.3">
      <c r="B2413">
        <v>2473</v>
      </c>
      <c r="D2413">
        <v>549</v>
      </c>
      <c r="E2413">
        <v>1249</v>
      </c>
      <c r="F2413">
        <v>1</v>
      </c>
      <c r="G2413">
        <v>83.598301746934098</v>
      </c>
      <c r="H2413">
        <v>2</v>
      </c>
      <c r="I2413">
        <v>59</v>
      </c>
      <c r="K2413" t="s">
        <v>2386</v>
      </c>
      <c r="L2413">
        <v>20</v>
      </c>
      <c r="M2413" t="s">
        <v>3257</v>
      </c>
      <c r="N2413" t="s">
        <v>2388</v>
      </c>
      <c r="O2413">
        <v>1</v>
      </c>
    </row>
    <row r="2414" spans="2:15" x14ac:dyDescent="0.3">
      <c r="B2414">
        <v>2474</v>
      </c>
      <c r="D2414">
        <v>1250</v>
      </c>
      <c r="E2414">
        <v>243</v>
      </c>
      <c r="F2414">
        <v>1</v>
      </c>
      <c r="G2414">
        <v>54.192687408396601</v>
      </c>
      <c r="H2414">
        <v>2</v>
      </c>
      <c r="I2414">
        <v>59</v>
      </c>
      <c r="K2414" t="s">
        <v>2386</v>
      </c>
      <c r="L2414">
        <v>20</v>
      </c>
      <c r="M2414" t="s">
        <v>3258</v>
      </c>
      <c r="N2414" t="s">
        <v>2388</v>
      </c>
      <c r="O2414">
        <v>1</v>
      </c>
    </row>
    <row r="2415" spans="2:15" x14ac:dyDescent="0.3">
      <c r="B2415">
        <v>2475</v>
      </c>
      <c r="D2415">
        <v>243</v>
      </c>
      <c r="E2415">
        <v>1250</v>
      </c>
      <c r="F2415">
        <v>1</v>
      </c>
      <c r="G2415">
        <v>54.192687408396601</v>
      </c>
      <c r="H2415">
        <v>2</v>
      </c>
      <c r="I2415">
        <v>59</v>
      </c>
      <c r="K2415" t="s">
        <v>2386</v>
      </c>
      <c r="L2415">
        <v>20</v>
      </c>
      <c r="M2415" t="s">
        <v>3259</v>
      </c>
      <c r="N2415" t="s">
        <v>2388</v>
      </c>
      <c r="O2415">
        <v>1</v>
      </c>
    </row>
    <row r="2416" spans="2:15" x14ac:dyDescent="0.3">
      <c r="B2416">
        <v>2476</v>
      </c>
      <c r="D2416">
        <v>1251</v>
      </c>
      <c r="E2416">
        <v>605</v>
      </c>
      <c r="F2416">
        <v>1</v>
      </c>
      <c r="G2416">
        <v>238.09537258595299</v>
      </c>
      <c r="H2416">
        <v>2</v>
      </c>
      <c r="I2416">
        <v>59</v>
      </c>
      <c r="K2416" t="s">
        <v>2386</v>
      </c>
      <c r="L2416">
        <v>20</v>
      </c>
      <c r="M2416" t="s">
        <v>3260</v>
      </c>
      <c r="N2416" t="s">
        <v>2388</v>
      </c>
      <c r="O2416">
        <v>1</v>
      </c>
    </row>
    <row r="2417" spans="2:15" x14ac:dyDescent="0.3">
      <c r="B2417">
        <v>2477</v>
      </c>
      <c r="D2417">
        <v>605</v>
      </c>
      <c r="E2417">
        <v>1251</v>
      </c>
      <c r="F2417">
        <v>1</v>
      </c>
      <c r="G2417">
        <v>238.09537258595299</v>
      </c>
      <c r="H2417">
        <v>2</v>
      </c>
      <c r="I2417">
        <v>59</v>
      </c>
      <c r="K2417" t="s">
        <v>2386</v>
      </c>
      <c r="L2417">
        <v>20</v>
      </c>
      <c r="M2417" t="s">
        <v>3261</v>
      </c>
      <c r="N2417" t="s">
        <v>2388</v>
      </c>
      <c r="O2417">
        <v>1</v>
      </c>
    </row>
    <row r="2418" spans="2:15" x14ac:dyDescent="0.3">
      <c r="B2418">
        <v>2478</v>
      </c>
      <c r="D2418">
        <v>1252</v>
      </c>
      <c r="E2418">
        <v>317</v>
      </c>
      <c r="F2418">
        <v>1</v>
      </c>
      <c r="G2418">
        <v>280.39302080915502</v>
      </c>
      <c r="H2418">
        <v>2</v>
      </c>
      <c r="I2418">
        <v>59</v>
      </c>
      <c r="K2418" t="s">
        <v>2386</v>
      </c>
      <c r="L2418">
        <v>20</v>
      </c>
      <c r="M2418" t="s">
        <v>3262</v>
      </c>
      <c r="N2418" t="s">
        <v>2388</v>
      </c>
      <c r="O2418">
        <v>1</v>
      </c>
    </row>
    <row r="2419" spans="2:15" x14ac:dyDescent="0.3">
      <c r="B2419">
        <v>2479</v>
      </c>
      <c r="D2419">
        <v>317</v>
      </c>
      <c r="E2419">
        <v>1252</v>
      </c>
      <c r="F2419">
        <v>1</v>
      </c>
      <c r="G2419">
        <v>280.39302080915502</v>
      </c>
      <c r="H2419">
        <v>2</v>
      </c>
      <c r="I2419">
        <v>59</v>
      </c>
      <c r="K2419" t="s">
        <v>2386</v>
      </c>
      <c r="L2419">
        <v>20</v>
      </c>
      <c r="M2419" t="s">
        <v>3263</v>
      </c>
      <c r="N2419" t="s">
        <v>2388</v>
      </c>
      <c r="O2419">
        <v>1</v>
      </c>
    </row>
    <row r="2420" spans="2:15" x14ac:dyDescent="0.3">
      <c r="B2420">
        <v>2480</v>
      </c>
      <c r="D2420">
        <v>1253</v>
      </c>
      <c r="E2420">
        <v>354</v>
      </c>
      <c r="F2420">
        <v>1</v>
      </c>
      <c r="G2420">
        <v>94.558712435292307</v>
      </c>
      <c r="H2420">
        <v>2</v>
      </c>
      <c r="I2420">
        <v>59</v>
      </c>
      <c r="K2420" t="s">
        <v>2386</v>
      </c>
      <c r="L2420">
        <v>20</v>
      </c>
      <c r="M2420" t="s">
        <v>3264</v>
      </c>
      <c r="N2420" t="s">
        <v>2388</v>
      </c>
      <c r="O2420">
        <v>1</v>
      </c>
    </row>
    <row r="2421" spans="2:15" x14ac:dyDescent="0.3">
      <c r="B2421">
        <v>2481</v>
      </c>
      <c r="D2421">
        <v>354</v>
      </c>
      <c r="E2421">
        <v>1253</v>
      </c>
      <c r="F2421">
        <v>1</v>
      </c>
      <c r="G2421">
        <v>94.558712435292307</v>
      </c>
      <c r="H2421">
        <v>2</v>
      </c>
      <c r="I2421">
        <v>59</v>
      </c>
      <c r="K2421" t="s">
        <v>2386</v>
      </c>
      <c r="L2421">
        <v>20</v>
      </c>
      <c r="M2421" t="s">
        <v>3265</v>
      </c>
      <c r="N2421" t="s">
        <v>2388</v>
      </c>
      <c r="O2421">
        <v>1</v>
      </c>
    </row>
    <row r="2422" spans="2:15" x14ac:dyDescent="0.3">
      <c r="B2422">
        <v>2482</v>
      </c>
      <c r="D2422">
        <v>1254</v>
      </c>
      <c r="E2422">
        <v>243</v>
      </c>
      <c r="F2422">
        <v>1</v>
      </c>
      <c r="G2422">
        <v>78.942159655583794</v>
      </c>
      <c r="H2422">
        <v>2</v>
      </c>
      <c r="I2422">
        <v>59</v>
      </c>
      <c r="K2422" t="s">
        <v>2386</v>
      </c>
      <c r="L2422">
        <v>20</v>
      </c>
      <c r="M2422" t="s">
        <v>3266</v>
      </c>
      <c r="N2422" t="s">
        <v>2388</v>
      </c>
      <c r="O2422">
        <v>1</v>
      </c>
    </row>
    <row r="2423" spans="2:15" x14ac:dyDescent="0.3">
      <c r="B2423">
        <v>2483</v>
      </c>
      <c r="D2423">
        <v>243</v>
      </c>
      <c r="E2423">
        <v>1254</v>
      </c>
      <c r="F2423">
        <v>1</v>
      </c>
      <c r="G2423">
        <v>78.942159655583794</v>
      </c>
      <c r="H2423">
        <v>2</v>
      </c>
      <c r="I2423">
        <v>59</v>
      </c>
      <c r="K2423" t="s">
        <v>2386</v>
      </c>
      <c r="L2423">
        <v>20</v>
      </c>
      <c r="M2423" t="s">
        <v>3267</v>
      </c>
      <c r="N2423" t="s">
        <v>2388</v>
      </c>
      <c r="O2423">
        <v>1</v>
      </c>
    </row>
    <row r="2424" spans="2:15" x14ac:dyDescent="0.3">
      <c r="B2424">
        <v>2484</v>
      </c>
      <c r="D2424">
        <v>1255</v>
      </c>
      <c r="E2424">
        <v>203</v>
      </c>
      <c r="F2424">
        <v>1</v>
      </c>
      <c r="G2424">
        <v>128.857370358331</v>
      </c>
      <c r="H2424">
        <v>2</v>
      </c>
      <c r="I2424">
        <v>59</v>
      </c>
      <c r="K2424" t="s">
        <v>2386</v>
      </c>
      <c r="L2424">
        <v>20</v>
      </c>
      <c r="M2424" t="s">
        <v>3268</v>
      </c>
      <c r="N2424" t="s">
        <v>2388</v>
      </c>
      <c r="O2424">
        <v>1</v>
      </c>
    </row>
    <row r="2425" spans="2:15" x14ac:dyDescent="0.3">
      <c r="B2425">
        <v>2485</v>
      </c>
      <c r="D2425">
        <v>203</v>
      </c>
      <c r="E2425">
        <v>1255</v>
      </c>
      <c r="F2425">
        <v>1</v>
      </c>
      <c r="G2425">
        <v>128.857370358331</v>
      </c>
      <c r="H2425">
        <v>2</v>
      </c>
      <c r="I2425">
        <v>59</v>
      </c>
      <c r="K2425" t="s">
        <v>2386</v>
      </c>
      <c r="L2425">
        <v>20</v>
      </c>
      <c r="M2425" t="s">
        <v>3269</v>
      </c>
      <c r="N2425" t="s">
        <v>2388</v>
      </c>
      <c r="O2425">
        <v>1</v>
      </c>
    </row>
    <row r="2426" spans="2:15" x14ac:dyDescent="0.3">
      <c r="B2426">
        <v>2486</v>
      </c>
      <c r="D2426">
        <v>1256</v>
      </c>
      <c r="E2426">
        <v>458</v>
      </c>
      <c r="F2426">
        <v>1</v>
      </c>
      <c r="G2426">
        <v>19.855186442667101</v>
      </c>
      <c r="H2426">
        <v>2</v>
      </c>
      <c r="I2426">
        <v>59</v>
      </c>
      <c r="K2426" t="s">
        <v>2386</v>
      </c>
      <c r="L2426">
        <v>20</v>
      </c>
      <c r="M2426" t="s">
        <v>3270</v>
      </c>
      <c r="N2426" t="s">
        <v>2388</v>
      </c>
      <c r="O2426">
        <v>1</v>
      </c>
    </row>
    <row r="2427" spans="2:15" x14ac:dyDescent="0.3">
      <c r="B2427">
        <v>2487</v>
      </c>
      <c r="D2427">
        <v>458</v>
      </c>
      <c r="E2427">
        <v>1256</v>
      </c>
      <c r="F2427">
        <v>1</v>
      </c>
      <c r="G2427">
        <v>19.855186442667101</v>
      </c>
      <c r="H2427">
        <v>2</v>
      </c>
      <c r="I2427">
        <v>59</v>
      </c>
      <c r="K2427" t="s">
        <v>2386</v>
      </c>
      <c r="L2427">
        <v>20</v>
      </c>
      <c r="M2427" t="s">
        <v>3271</v>
      </c>
      <c r="N2427" t="s">
        <v>2388</v>
      </c>
      <c r="O2427">
        <v>1</v>
      </c>
    </row>
    <row r="2428" spans="2:15" x14ac:dyDescent="0.3">
      <c r="B2428">
        <v>2488</v>
      </c>
      <c r="D2428">
        <v>1257</v>
      </c>
      <c r="E2428">
        <v>458</v>
      </c>
      <c r="F2428">
        <v>1</v>
      </c>
      <c r="G2428">
        <v>47.974246844457603</v>
      </c>
      <c r="H2428">
        <v>2</v>
      </c>
      <c r="I2428">
        <v>59</v>
      </c>
      <c r="K2428" t="s">
        <v>2386</v>
      </c>
      <c r="L2428">
        <v>20</v>
      </c>
      <c r="M2428" t="s">
        <v>3272</v>
      </c>
      <c r="N2428" t="s">
        <v>2388</v>
      </c>
      <c r="O2428">
        <v>1</v>
      </c>
    </row>
    <row r="2429" spans="2:15" x14ac:dyDescent="0.3">
      <c r="B2429">
        <v>2489</v>
      </c>
      <c r="D2429">
        <v>458</v>
      </c>
      <c r="E2429">
        <v>1257</v>
      </c>
      <c r="F2429">
        <v>1</v>
      </c>
      <c r="G2429">
        <v>47.974246844457603</v>
      </c>
      <c r="H2429">
        <v>2</v>
      </c>
      <c r="I2429">
        <v>59</v>
      </c>
      <c r="K2429" t="s">
        <v>2386</v>
      </c>
      <c r="L2429">
        <v>20</v>
      </c>
      <c r="M2429" t="s">
        <v>3273</v>
      </c>
      <c r="N2429" t="s">
        <v>2388</v>
      </c>
      <c r="O2429">
        <v>1</v>
      </c>
    </row>
    <row r="2430" spans="2:15" x14ac:dyDescent="0.3">
      <c r="B2430">
        <v>2490</v>
      </c>
      <c r="D2430">
        <v>1258</v>
      </c>
      <c r="E2430">
        <v>659</v>
      </c>
      <c r="F2430">
        <v>1</v>
      </c>
      <c r="G2430">
        <v>133.99380486566099</v>
      </c>
      <c r="H2430">
        <v>2</v>
      </c>
      <c r="I2430">
        <v>59</v>
      </c>
      <c r="K2430" t="s">
        <v>2386</v>
      </c>
      <c r="L2430">
        <v>20</v>
      </c>
      <c r="M2430" t="s">
        <v>3274</v>
      </c>
      <c r="N2430" t="s">
        <v>2388</v>
      </c>
      <c r="O2430">
        <v>1</v>
      </c>
    </row>
    <row r="2431" spans="2:15" x14ac:dyDescent="0.3">
      <c r="B2431">
        <v>2491</v>
      </c>
      <c r="D2431">
        <v>659</v>
      </c>
      <c r="E2431">
        <v>1258</v>
      </c>
      <c r="F2431">
        <v>1</v>
      </c>
      <c r="G2431">
        <v>133.99380486566099</v>
      </c>
      <c r="H2431">
        <v>2</v>
      </c>
      <c r="I2431">
        <v>59</v>
      </c>
      <c r="K2431" t="s">
        <v>2386</v>
      </c>
      <c r="L2431">
        <v>20</v>
      </c>
      <c r="M2431" t="s">
        <v>3275</v>
      </c>
      <c r="N2431" t="s">
        <v>2388</v>
      </c>
      <c r="O2431">
        <v>1</v>
      </c>
    </row>
    <row r="2432" spans="2:15" x14ac:dyDescent="0.3">
      <c r="B2432">
        <v>2492</v>
      </c>
      <c r="D2432">
        <v>1259</v>
      </c>
      <c r="E2432">
        <v>746</v>
      </c>
      <c r="F2432">
        <v>1</v>
      </c>
      <c r="G2432">
        <v>78.417199612318399</v>
      </c>
      <c r="H2432">
        <v>2</v>
      </c>
      <c r="I2432">
        <v>59</v>
      </c>
      <c r="K2432" t="s">
        <v>2386</v>
      </c>
      <c r="L2432">
        <v>20</v>
      </c>
      <c r="M2432" t="s">
        <v>3276</v>
      </c>
      <c r="N2432" t="s">
        <v>2388</v>
      </c>
      <c r="O2432">
        <v>1</v>
      </c>
    </row>
    <row r="2433" spans="2:15" x14ac:dyDescent="0.3">
      <c r="B2433">
        <v>2493</v>
      </c>
      <c r="D2433">
        <v>746</v>
      </c>
      <c r="E2433">
        <v>1259</v>
      </c>
      <c r="F2433">
        <v>1</v>
      </c>
      <c r="G2433">
        <v>78.417199612318399</v>
      </c>
      <c r="H2433">
        <v>2</v>
      </c>
      <c r="I2433">
        <v>59</v>
      </c>
      <c r="K2433" t="s">
        <v>2386</v>
      </c>
      <c r="L2433">
        <v>20</v>
      </c>
      <c r="M2433" t="s">
        <v>3277</v>
      </c>
      <c r="N2433" t="s">
        <v>2388</v>
      </c>
      <c r="O2433">
        <v>1</v>
      </c>
    </row>
    <row r="2434" spans="2:15" x14ac:dyDescent="0.3">
      <c r="B2434">
        <v>2494</v>
      </c>
      <c r="D2434">
        <v>1260</v>
      </c>
      <c r="E2434">
        <v>26</v>
      </c>
      <c r="F2434">
        <v>1</v>
      </c>
      <c r="G2434">
        <v>59.760370066112003</v>
      </c>
      <c r="H2434">
        <v>2</v>
      </c>
      <c r="I2434">
        <v>59</v>
      </c>
      <c r="K2434" t="s">
        <v>2386</v>
      </c>
      <c r="L2434">
        <v>20</v>
      </c>
      <c r="M2434" t="s">
        <v>3278</v>
      </c>
      <c r="N2434" t="s">
        <v>2388</v>
      </c>
      <c r="O2434">
        <v>1</v>
      </c>
    </row>
    <row r="2435" spans="2:15" x14ac:dyDescent="0.3">
      <c r="B2435">
        <v>2495</v>
      </c>
      <c r="D2435">
        <v>26</v>
      </c>
      <c r="E2435">
        <v>1260</v>
      </c>
      <c r="F2435">
        <v>1</v>
      </c>
      <c r="G2435">
        <v>59.760370066112003</v>
      </c>
      <c r="H2435">
        <v>2</v>
      </c>
      <c r="I2435">
        <v>59</v>
      </c>
      <c r="K2435" t="s">
        <v>2386</v>
      </c>
      <c r="L2435">
        <v>20</v>
      </c>
      <c r="M2435" t="s">
        <v>3279</v>
      </c>
      <c r="N2435" t="s">
        <v>2388</v>
      </c>
      <c r="O2435">
        <v>1</v>
      </c>
    </row>
    <row r="2436" spans="2:15" x14ac:dyDescent="0.3">
      <c r="B2436">
        <v>2496</v>
      </c>
      <c r="D2436">
        <v>1261</v>
      </c>
      <c r="E2436">
        <v>26</v>
      </c>
      <c r="F2436">
        <v>1</v>
      </c>
      <c r="G2436">
        <v>60.221352915215697</v>
      </c>
      <c r="H2436">
        <v>2</v>
      </c>
      <c r="I2436">
        <v>59</v>
      </c>
      <c r="K2436" t="s">
        <v>2386</v>
      </c>
      <c r="L2436">
        <v>20</v>
      </c>
      <c r="M2436" t="s">
        <v>3280</v>
      </c>
      <c r="N2436" t="s">
        <v>2388</v>
      </c>
      <c r="O2436">
        <v>1</v>
      </c>
    </row>
    <row r="2437" spans="2:15" x14ac:dyDescent="0.3">
      <c r="B2437">
        <v>2497</v>
      </c>
      <c r="D2437">
        <v>26</v>
      </c>
      <c r="E2437">
        <v>1261</v>
      </c>
      <c r="F2437">
        <v>1</v>
      </c>
      <c r="G2437">
        <v>60.221352915215697</v>
      </c>
      <c r="H2437">
        <v>2</v>
      </c>
      <c r="I2437">
        <v>59</v>
      </c>
      <c r="K2437" t="s">
        <v>2386</v>
      </c>
      <c r="L2437">
        <v>20</v>
      </c>
      <c r="M2437" t="s">
        <v>3281</v>
      </c>
      <c r="N2437" t="s">
        <v>2388</v>
      </c>
      <c r="O2437">
        <v>1</v>
      </c>
    </row>
    <row r="2438" spans="2:15" x14ac:dyDescent="0.3">
      <c r="B2438">
        <v>2498</v>
      </c>
      <c r="D2438">
        <v>1262</v>
      </c>
      <c r="E2438">
        <v>26</v>
      </c>
      <c r="F2438">
        <v>1</v>
      </c>
      <c r="G2438">
        <v>88.179345347941194</v>
      </c>
      <c r="H2438">
        <v>2</v>
      </c>
      <c r="I2438">
        <v>59</v>
      </c>
      <c r="K2438" t="s">
        <v>2386</v>
      </c>
      <c r="L2438">
        <v>20</v>
      </c>
      <c r="M2438" t="s">
        <v>3282</v>
      </c>
      <c r="N2438" t="s">
        <v>2388</v>
      </c>
      <c r="O2438">
        <v>1</v>
      </c>
    </row>
    <row r="2439" spans="2:15" x14ac:dyDescent="0.3">
      <c r="B2439">
        <v>2499</v>
      </c>
      <c r="D2439">
        <v>26</v>
      </c>
      <c r="E2439">
        <v>1262</v>
      </c>
      <c r="F2439">
        <v>1</v>
      </c>
      <c r="G2439">
        <v>88.179345347941194</v>
      </c>
      <c r="H2439">
        <v>2</v>
      </c>
      <c r="I2439">
        <v>59</v>
      </c>
      <c r="K2439" t="s">
        <v>2386</v>
      </c>
      <c r="L2439">
        <v>20</v>
      </c>
      <c r="M2439" t="s">
        <v>3283</v>
      </c>
      <c r="N2439" t="s">
        <v>2388</v>
      </c>
      <c r="O2439">
        <v>1</v>
      </c>
    </row>
    <row r="2440" spans="2:15" x14ac:dyDescent="0.3">
      <c r="B2440">
        <v>2500</v>
      </c>
      <c r="D2440">
        <v>1263</v>
      </c>
      <c r="E2440">
        <v>26</v>
      </c>
      <c r="F2440">
        <v>1</v>
      </c>
      <c r="G2440">
        <v>99.770391941828095</v>
      </c>
      <c r="H2440">
        <v>2</v>
      </c>
      <c r="I2440">
        <v>59</v>
      </c>
      <c r="K2440" t="s">
        <v>2386</v>
      </c>
      <c r="L2440">
        <v>20</v>
      </c>
      <c r="M2440" t="s">
        <v>3284</v>
      </c>
      <c r="N2440" t="s">
        <v>2388</v>
      </c>
      <c r="O2440">
        <v>1</v>
      </c>
    </row>
    <row r="2441" spans="2:15" x14ac:dyDescent="0.3">
      <c r="B2441">
        <v>2501</v>
      </c>
      <c r="D2441">
        <v>26</v>
      </c>
      <c r="E2441">
        <v>1263</v>
      </c>
      <c r="F2441">
        <v>1</v>
      </c>
      <c r="G2441">
        <v>99.770391941828095</v>
      </c>
      <c r="H2441">
        <v>2</v>
      </c>
      <c r="I2441">
        <v>59</v>
      </c>
      <c r="K2441" t="s">
        <v>2386</v>
      </c>
      <c r="L2441">
        <v>20</v>
      </c>
      <c r="M2441" t="s">
        <v>3285</v>
      </c>
      <c r="N2441" t="s">
        <v>2388</v>
      </c>
      <c r="O2441">
        <v>1</v>
      </c>
    </row>
    <row r="2442" spans="2:15" x14ac:dyDescent="0.3">
      <c r="B2442">
        <v>2502</v>
      </c>
      <c r="D2442">
        <v>1264</v>
      </c>
      <c r="E2442">
        <v>26</v>
      </c>
      <c r="F2442">
        <v>1</v>
      </c>
      <c r="G2442">
        <v>112.314517670802</v>
      </c>
      <c r="H2442">
        <v>2</v>
      </c>
      <c r="I2442">
        <v>59</v>
      </c>
      <c r="K2442" t="s">
        <v>2386</v>
      </c>
      <c r="L2442">
        <v>20</v>
      </c>
      <c r="M2442" t="s">
        <v>3286</v>
      </c>
      <c r="N2442" t="s">
        <v>2388</v>
      </c>
      <c r="O2442">
        <v>1</v>
      </c>
    </row>
    <row r="2443" spans="2:15" x14ac:dyDescent="0.3">
      <c r="B2443">
        <v>2503</v>
      </c>
      <c r="D2443">
        <v>26</v>
      </c>
      <c r="E2443">
        <v>1264</v>
      </c>
      <c r="F2443">
        <v>1</v>
      </c>
      <c r="G2443">
        <v>112.314517670802</v>
      </c>
      <c r="H2443">
        <v>2</v>
      </c>
      <c r="I2443">
        <v>59</v>
      </c>
      <c r="K2443" t="s">
        <v>2386</v>
      </c>
      <c r="L2443">
        <v>20</v>
      </c>
      <c r="M2443" t="s">
        <v>3287</v>
      </c>
      <c r="N2443" t="s">
        <v>2388</v>
      </c>
      <c r="O2443">
        <v>1</v>
      </c>
    </row>
    <row r="2444" spans="2:15" x14ac:dyDescent="0.3">
      <c r="B2444">
        <v>2504</v>
      </c>
      <c r="D2444">
        <v>1265</v>
      </c>
      <c r="E2444">
        <v>26</v>
      </c>
      <c r="F2444">
        <v>1</v>
      </c>
      <c r="G2444">
        <v>128.663634533281</v>
      </c>
      <c r="H2444">
        <v>2</v>
      </c>
      <c r="I2444">
        <v>59</v>
      </c>
      <c r="K2444" t="s">
        <v>2386</v>
      </c>
      <c r="L2444">
        <v>20</v>
      </c>
      <c r="M2444" t="s">
        <v>3288</v>
      </c>
      <c r="N2444" t="s">
        <v>2388</v>
      </c>
      <c r="O2444">
        <v>1</v>
      </c>
    </row>
    <row r="2445" spans="2:15" x14ac:dyDescent="0.3">
      <c r="B2445">
        <v>2505</v>
      </c>
      <c r="D2445">
        <v>26</v>
      </c>
      <c r="E2445">
        <v>1265</v>
      </c>
      <c r="F2445">
        <v>1</v>
      </c>
      <c r="G2445">
        <v>128.663634533281</v>
      </c>
      <c r="H2445">
        <v>2</v>
      </c>
      <c r="I2445">
        <v>59</v>
      </c>
      <c r="K2445" t="s">
        <v>2386</v>
      </c>
      <c r="L2445">
        <v>20</v>
      </c>
      <c r="M2445" t="s">
        <v>3289</v>
      </c>
      <c r="N2445" t="s">
        <v>2388</v>
      </c>
      <c r="O2445">
        <v>1</v>
      </c>
    </row>
    <row r="2446" spans="2:15" x14ac:dyDescent="0.3">
      <c r="B2446">
        <v>2506</v>
      </c>
      <c r="D2446">
        <v>1266</v>
      </c>
      <c r="E2446">
        <v>636</v>
      </c>
      <c r="F2446">
        <v>1</v>
      </c>
      <c r="G2446">
        <v>34.548906903855098</v>
      </c>
      <c r="H2446">
        <v>2</v>
      </c>
      <c r="I2446">
        <v>59</v>
      </c>
      <c r="K2446" t="s">
        <v>2386</v>
      </c>
      <c r="L2446">
        <v>20</v>
      </c>
      <c r="M2446" t="s">
        <v>3290</v>
      </c>
      <c r="N2446" t="s">
        <v>2388</v>
      </c>
      <c r="O2446">
        <v>1</v>
      </c>
    </row>
    <row r="2447" spans="2:15" x14ac:dyDescent="0.3">
      <c r="B2447">
        <v>2507</v>
      </c>
      <c r="D2447">
        <v>636</v>
      </c>
      <c r="E2447">
        <v>1266</v>
      </c>
      <c r="F2447">
        <v>1</v>
      </c>
      <c r="G2447">
        <v>34.548906903855098</v>
      </c>
      <c r="H2447">
        <v>2</v>
      </c>
      <c r="I2447">
        <v>59</v>
      </c>
      <c r="K2447" t="s">
        <v>2386</v>
      </c>
      <c r="L2447">
        <v>20</v>
      </c>
      <c r="M2447" t="s">
        <v>3291</v>
      </c>
      <c r="N2447" t="s">
        <v>2388</v>
      </c>
      <c r="O2447">
        <v>1</v>
      </c>
    </row>
    <row r="2448" spans="2:15" x14ac:dyDescent="0.3">
      <c r="B2448">
        <v>2508</v>
      </c>
      <c r="D2448">
        <v>1267</v>
      </c>
      <c r="E2448">
        <v>182</v>
      </c>
      <c r="F2448">
        <v>1</v>
      </c>
      <c r="G2448">
        <v>64.555482510080694</v>
      </c>
      <c r="H2448">
        <v>2</v>
      </c>
      <c r="I2448">
        <v>59</v>
      </c>
      <c r="K2448" t="s">
        <v>2386</v>
      </c>
      <c r="L2448">
        <v>20</v>
      </c>
      <c r="M2448" t="s">
        <v>3292</v>
      </c>
      <c r="N2448" t="s">
        <v>2388</v>
      </c>
      <c r="O2448">
        <v>1</v>
      </c>
    </row>
    <row r="2449" spans="2:15" x14ac:dyDescent="0.3">
      <c r="B2449">
        <v>2509</v>
      </c>
      <c r="D2449">
        <v>182</v>
      </c>
      <c r="E2449">
        <v>1267</v>
      </c>
      <c r="F2449">
        <v>1</v>
      </c>
      <c r="G2449">
        <v>64.555482510080694</v>
      </c>
      <c r="H2449">
        <v>2</v>
      </c>
      <c r="I2449">
        <v>59</v>
      </c>
      <c r="K2449" t="s">
        <v>2386</v>
      </c>
      <c r="L2449">
        <v>20</v>
      </c>
      <c r="M2449" t="s">
        <v>3293</v>
      </c>
      <c r="N2449" t="s">
        <v>2388</v>
      </c>
      <c r="O2449">
        <v>1</v>
      </c>
    </row>
    <row r="2450" spans="2:15" x14ac:dyDescent="0.3">
      <c r="B2450">
        <v>2510</v>
      </c>
      <c r="D2450">
        <v>1268</v>
      </c>
      <c r="E2450">
        <v>170</v>
      </c>
      <c r="F2450">
        <v>1</v>
      </c>
      <c r="G2450">
        <v>39.5406865020758</v>
      </c>
      <c r="H2450">
        <v>2</v>
      </c>
      <c r="I2450">
        <v>59</v>
      </c>
      <c r="K2450" t="s">
        <v>2386</v>
      </c>
      <c r="L2450">
        <v>20</v>
      </c>
      <c r="M2450" t="s">
        <v>3294</v>
      </c>
      <c r="N2450" t="s">
        <v>2388</v>
      </c>
      <c r="O2450">
        <v>1</v>
      </c>
    </row>
    <row r="2451" spans="2:15" x14ac:dyDescent="0.3">
      <c r="B2451">
        <v>2511</v>
      </c>
      <c r="D2451">
        <v>170</v>
      </c>
      <c r="E2451">
        <v>1268</v>
      </c>
      <c r="F2451">
        <v>1</v>
      </c>
      <c r="G2451">
        <v>39.5406865020758</v>
      </c>
      <c r="H2451">
        <v>2</v>
      </c>
      <c r="I2451">
        <v>59</v>
      </c>
      <c r="K2451" t="s">
        <v>2386</v>
      </c>
      <c r="L2451">
        <v>20</v>
      </c>
      <c r="M2451" t="s">
        <v>3295</v>
      </c>
      <c r="N2451" t="s">
        <v>2388</v>
      </c>
      <c r="O2451">
        <v>1</v>
      </c>
    </row>
    <row r="2452" spans="2:15" x14ac:dyDescent="0.3">
      <c r="B2452">
        <v>2512</v>
      </c>
      <c r="D2452">
        <v>1269</v>
      </c>
      <c r="E2452">
        <v>716</v>
      </c>
      <c r="F2452">
        <v>1</v>
      </c>
      <c r="G2452">
        <v>33.301886128148297</v>
      </c>
      <c r="H2452">
        <v>2</v>
      </c>
      <c r="I2452">
        <v>59</v>
      </c>
      <c r="K2452" t="s">
        <v>2386</v>
      </c>
      <c r="L2452">
        <v>20</v>
      </c>
      <c r="M2452" t="s">
        <v>3296</v>
      </c>
      <c r="N2452" t="s">
        <v>2388</v>
      </c>
      <c r="O2452">
        <v>1</v>
      </c>
    </row>
    <row r="2453" spans="2:15" x14ac:dyDescent="0.3">
      <c r="B2453">
        <v>2513</v>
      </c>
      <c r="D2453">
        <v>716</v>
      </c>
      <c r="E2453">
        <v>1269</v>
      </c>
      <c r="F2453">
        <v>1</v>
      </c>
      <c r="G2453">
        <v>33.301886128148297</v>
      </c>
      <c r="H2453">
        <v>2</v>
      </c>
      <c r="I2453">
        <v>59</v>
      </c>
      <c r="K2453" t="s">
        <v>2386</v>
      </c>
      <c r="L2453">
        <v>20</v>
      </c>
      <c r="M2453" t="s">
        <v>3297</v>
      </c>
      <c r="N2453" t="s">
        <v>2388</v>
      </c>
      <c r="O2453">
        <v>1</v>
      </c>
    </row>
    <row r="2454" spans="2:15" x14ac:dyDescent="0.3">
      <c r="B2454">
        <v>2514</v>
      </c>
      <c r="D2454">
        <v>1270</v>
      </c>
      <c r="E2454">
        <v>180</v>
      </c>
      <c r="F2454">
        <v>1</v>
      </c>
      <c r="G2454">
        <v>67.265643727393098</v>
      </c>
      <c r="H2454">
        <v>2</v>
      </c>
      <c r="I2454">
        <v>59</v>
      </c>
      <c r="K2454" t="s">
        <v>2386</v>
      </c>
      <c r="L2454">
        <v>20</v>
      </c>
      <c r="M2454" t="s">
        <v>3298</v>
      </c>
      <c r="N2454" t="s">
        <v>2388</v>
      </c>
      <c r="O2454">
        <v>1</v>
      </c>
    </row>
    <row r="2455" spans="2:15" x14ac:dyDescent="0.3">
      <c r="B2455">
        <v>2515</v>
      </c>
      <c r="D2455">
        <v>180</v>
      </c>
      <c r="E2455">
        <v>1270</v>
      </c>
      <c r="F2455">
        <v>1</v>
      </c>
      <c r="G2455">
        <v>67.265643727393098</v>
      </c>
      <c r="H2455">
        <v>2</v>
      </c>
      <c r="I2455">
        <v>59</v>
      </c>
      <c r="K2455" t="s">
        <v>2386</v>
      </c>
      <c r="L2455">
        <v>20</v>
      </c>
      <c r="M2455" t="s">
        <v>3299</v>
      </c>
      <c r="N2455" t="s">
        <v>2388</v>
      </c>
      <c r="O2455">
        <v>1</v>
      </c>
    </row>
    <row r="2456" spans="2:15" x14ac:dyDescent="0.3">
      <c r="B2456">
        <v>2516</v>
      </c>
      <c r="D2456">
        <v>1271</v>
      </c>
      <c r="E2456">
        <v>170</v>
      </c>
      <c r="F2456">
        <v>1</v>
      </c>
      <c r="G2456">
        <v>72.163234578197901</v>
      </c>
      <c r="H2456">
        <v>2</v>
      </c>
      <c r="I2456">
        <v>59</v>
      </c>
      <c r="K2456" t="s">
        <v>2386</v>
      </c>
      <c r="L2456">
        <v>20</v>
      </c>
      <c r="M2456" t="s">
        <v>3300</v>
      </c>
      <c r="N2456" t="s">
        <v>2388</v>
      </c>
      <c r="O2456">
        <v>1</v>
      </c>
    </row>
    <row r="2457" spans="2:15" x14ac:dyDescent="0.3">
      <c r="B2457">
        <v>2517</v>
      </c>
      <c r="D2457">
        <v>170</v>
      </c>
      <c r="E2457">
        <v>1271</v>
      </c>
      <c r="F2457">
        <v>1</v>
      </c>
      <c r="G2457">
        <v>72.163234578197901</v>
      </c>
      <c r="H2457">
        <v>2</v>
      </c>
      <c r="I2457">
        <v>59</v>
      </c>
      <c r="K2457" t="s">
        <v>2386</v>
      </c>
      <c r="L2457">
        <v>20</v>
      </c>
      <c r="M2457" t="s">
        <v>3301</v>
      </c>
      <c r="N2457" t="s">
        <v>2388</v>
      </c>
      <c r="O2457">
        <v>1</v>
      </c>
    </row>
    <row r="2458" spans="2:15" x14ac:dyDescent="0.3">
      <c r="B2458">
        <v>2518</v>
      </c>
      <c r="D2458">
        <v>1272</v>
      </c>
      <c r="E2458">
        <v>170</v>
      </c>
      <c r="F2458">
        <v>1</v>
      </c>
      <c r="G2458">
        <v>40.437838708511102</v>
      </c>
      <c r="H2458">
        <v>2</v>
      </c>
      <c r="I2458">
        <v>59</v>
      </c>
      <c r="K2458" t="s">
        <v>2386</v>
      </c>
      <c r="L2458">
        <v>20</v>
      </c>
      <c r="M2458" t="s">
        <v>3302</v>
      </c>
      <c r="N2458" t="s">
        <v>2388</v>
      </c>
      <c r="O2458">
        <v>1</v>
      </c>
    </row>
    <row r="2459" spans="2:15" x14ac:dyDescent="0.3">
      <c r="B2459">
        <v>2519</v>
      </c>
      <c r="D2459">
        <v>170</v>
      </c>
      <c r="E2459">
        <v>1272</v>
      </c>
      <c r="F2459">
        <v>1</v>
      </c>
      <c r="G2459">
        <v>40.437838708511102</v>
      </c>
      <c r="H2459">
        <v>2</v>
      </c>
      <c r="I2459">
        <v>59</v>
      </c>
      <c r="K2459" t="s">
        <v>2386</v>
      </c>
      <c r="L2459">
        <v>20</v>
      </c>
      <c r="M2459" t="s">
        <v>3303</v>
      </c>
      <c r="N2459" t="s">
        <v>2388</v>
      </c>
      <c r="O2459">
        <v>1</v>
      </c>
    </row>
    <row r="2460" spans="2:15" x14ac:dyDescent="0.3">
      <c r="B2460">
        <v>2520</v>
      </c>
      <c r="D2460">
        <v>1273</v>
      </c>
      <c r="E2460">
        <v>128</v>
      </c>
      <c r="F2460">
        <v>1</v>
      </c>
      <c r="G2460">
        <v>76.836184123500999</v>
      </c>
      <c r="H2460">
        <v>2</v>
      </c>
      <c r="I2460">
        <v>59</v>
      </c>
      <c r="K2460" t="s">
        <v>2386</v>
      </c>
      <c r="L2460">
        <v>20</v>
      </c>
      <c r="M2460" t="s">
        <v>3304</v>
      </c>
      <c r="N2460" t="s">
        <v>2388</v>
      </c>
      <c r="O2460">
        <v>1</v>
      </c>
    </row>
    <row r="2461" spans="2:15" x14ac:dyDescent="0.3">
      <c r="B2461">
        <v>2521</v>
      </c>
      <c r="D2461">
        <v>128</v>
      </c>
      <c r="E2461">
        <v>1273</v>
      </c>
      <c r="F2461">
        <v>1</v>
      </c>
      <c r="G2461">
        <v>76.836184123500999</v>
      </c>
      <c r="H2461">
        <v>2</v>
      </c>
      <c r="I2461">
        <v>59</v>
      </c>
      <c r="K2461" t="s">
        <v>2386</v>
      </c>
      <c r="L2461">
        <v>20</v>
      </c>
      <c r="M2461" t="s">
        <v>3305</v>
      </c>
      <c r="N2461" t="s">
        <v>2388</v>
      </c>
      <c r="O2461">
        <v>1</v>
      </c>
    </row>
    <row r="2462" spans="2:15" x14ac:dyDescent="0.3">
      <c r="B2462">
        <v>2522</v>
      </c>
      <c r="D2462">
        <v>1274</v>
      </c>
      <c r="E2462">
        <v>30</v>
      </c>
      <c r="F2462">
        <v>1</v>
      </c>
      <c r="G2462">
        <v>49.407477058689601</v>
      </c>
      <c r="H2462">
        <v>2</v>
      </c>
      <c r="I2462">
        <v>59</v>
      </c>
      <c r="K2462" t="s">
        <v>2386</v>
      </c>
      <c r="L2462">
        <v>20</v>
      </c>
      <c r="M2462" t="s">
        <v>3306</v>
      </c>
      <c r="N2462" t="s">
        <v>2388</v>
      </c>
      <c r="O2462">
        <v>1</v>
      </c>
    </row>
    <row r="2463" spans="2:15" x14ac:dyDescent="0.3">
      <c r="B2463">
        <v>2523</v>
      </c>
      <c r="D2463">
        <v>30</v>
      </c>
      <c r="E2463">
        <v>1274</v>
      </c>
      <c r="F2463">
        <v>1</v>
      </c>
      <c r="G2463">
        <v>49.407477058689601</v>
      </c>
      <c r="H2463">
        <v>2</v>
      </c>
      <c r="I2463">
        <v>59</v>
      </c>
      <c r="K2463" t="s">
        <v>2386</v>
      </c>
      <c r="L2463">
        <v>20</v>
      </c>
      <c r="M2463" t="s">
        <v>3307</v>
      </c>
      <c r="N2463" t="s">
        <v>2388</v>
      </c>
      <c r="O2463">
        <v>1</v>
      </c>
    </row>
    <row r="2464" spans="2:15" x14ac:dyDescent="0.3">
      <c r="B2464">
        <v>2524</v>
      </c>
      <c r="D2464">
        <v>1275</v>
      </c>
      <c r="E2464">
        <v>30</v>
      </c>
      <c r="F2464">
        <v>1</v>
      </c>
      <c r="G2464">
        <v>72.906920306453799</v>
      </c>
      <c r="H2464">
        <v>2</v>
      </c>
      <c r="I2464">
        <v>59</v>
      </c>
      <c r="K2464" t="s">
        <v>2386</v>
      </c>
      <c r="L2464">
        <v>20</v>
      </c>
      <c r="M2464" t="s">
        <v>3308</v>
      </c>
      <c r="N2464" t="s">
        <v>2388</v>
      </c>
      <c r="O2464">
        <v>1</v>
      </c>
    </row>
    <row r="2465" spans="2:15" x14ac:dyDescent="0.3">
      <c r="B2465">
        <v>2525</v>
      </c>
      <c r="D2465">
        <v>30</v>
      </c>
      <c r="E2465">
        <v>1275</v>
      </c>
      <c r="F2465">
        <v>1</v>
      </c>
      <c r="G2465">
        <v>72.906920306453799</v>
      </c>
      <c r="H2465">
        <v>2</v>
      </c>
      <c r="I2465">
        <v>59</v>
      </c>
      <c r="K2465" t="s">
        <v>2386</v>
      </c>
      <c r="L2465">
        <v>20</v>
      </c>
      <c r="M2465" t="s">
        <v>3309</v>
      </c>
      <c r="N2465" t="s">
        <v>2388</v>
      </c>
      <c r="O2465">
        <v>1</v>
      </c>
    </row>
    <row r="2466" spans="2:15" x14ac:dyDescent="0.3">
      <c r="B2466">
        <v>2526</v>
      </c>
      <c r="D2466">
        <v>1276</v>
      </c>
      <c r="E2466">
        <v>194</v>
      </c>
      <c r="F2466">
        <v>1</v>
      </c>
      <c r="G2466">
        <v>47.148664095429602</v>
      </c>
      <c r="H2466">
        <v>2</v>
      </c>
      <c r="I2466">
        <v>59</v>
      </c>
      <c r="K2466" t="s">
        <v>2386</v>
      </c>
      <c r="L2466">
        <v>20</v>
      </c>
      <c r="M2466" t="s">
        <v>3310</v>
      </c>
      <c r="N2466" t="s">
        <v>2388</v>
      </c>
      <c r="O2466">
        <v>1</v>
      </c>
    </row>
    <row r="2467" spans="2:15" x14ac:dyDescent="0.3">
      <c r="B2467">
        <v>2527</v>
      </c>
      <c r="D2467">
        <v>194</v>
      </c>
      <c r="E2467">
        <v>1276</v>
      </c>
      <c r="F2467">
        <v>1</v>
      </c>
      <c r="G2467">
        <v>47.148664095429602</v>
      </c>
      <c r="H2467">
        <v>2</v>
      </c>
      <c r="I2467">
        <v>59</v>
      </c>
      <c r="K2467" t="s">
        <v>2386</v>
      </c>
      <c r="L2467">
        <v>20</v>
      </c>
      <c r="M2467" t="s">
        <v>3311</v>
      </c>
      <c r="N2467" t="s">
        <v>2388</v>
      </c>
      <c r="O2467">
        <v>1</v>
      </c>
    </row>
    <row r="2468" spans="2:15" x14ac:dyDescent="0.3">
      <c r="B2468">
        <v>2528</v>
      </c>
      <c r="D2468">
        <v>1277</v>
      </c>
      <c r="E2468">
        <v>194</v>
      </c>
      <c r="F2468">
        <v>1</v>
      </c>
      <c r="G2468">
        <v>54.690916090873898</v>
      </c>
      <c r="H2468">
        <v>2</v>
      </c>
      <c r="I2468">
        <v>59</v>
      </c>
      <c r="K2468" t="s">
        <v>2386</v>
      </c>
      <c r="L2468">
        <v>20</v>
      </c>
      <c r="M2468" t="s">
        <v>3312</v>
      </c>
      <c r="N2468" t="s">
        <v>2388</v>
      </c>
      <c r="O2468">
        <v>1</v>
      </c>
    </row>
    <row r="2469" spans="2:15" x14ac:dyDescent="0.3">
      <c r="B2469">
        <v>2529</v>
      </c>
      <c r="D2469">
        <v>194</v>
      </c>
      <c r="E2469">
        <v>1277</v>
      </c>
      <c r="F2469">
        <v>1</v>
      </c>
      <c r="G2469">
        <v>54.690916090873898</v>
      </c>
      <c r="H2469">
        <v>2</v>
      </c>
      <c r="I2469">
        <v>59</v>
      </c>
      <c r="K2469" t="s">
        <v>2386</v>
      </c>
      <c r="L2469">
        <v>20</v>
      </c>
      <c r="M2469" t="s">
        <v>3313</v>
      </c>
      <c r="N2469" t="s">
        <v>2388</v>
      </c>
      <c r="O2469">
        <v>1</v>
      </c>
    </row>
    <row r="2470" spans="2:15" x14ac:dyDescent="0.3">
      <c r="B2470">
        <v>2530</v>
      </c>
      <c r="D2470">
        <v>1278</v>
      </c>
      <c r="E2470">
        <v>196</v>
      </c>
      <c r="F2470">
        <v>1</v>
      </c>
      <c r="G2470">
        <v>40.088166278716301</v>
      </c>
      <c r="H2470">
        <v>2</v>
      </c>
      <c r="I2470">
        <v>59</v>
      </c>
      <c r="K2470" t="s">
        <v>2386</v>
      </c>
      <c r="L2470">
        <v>20</v>
      </c>
      <c r="M2470" t="s">
        <v>3314</v>
      </c>
      <c r="N2470" t="s">
        <v>2388</v>
      </c>
      <c r="O2470">
        <v>1</v>
      </c>
    </row>
    <row r="2471" spans="2:15" x14ac:dyDescent="0.3">
      <c r="B2471">
        <v>2531</v>
      </c>
      <c r="D2471">
        <v>196</v>
      </c>
      <c r="E2471">
        <v>1278</v>
      </c>
      <c r="F2471">
        <v>1</v>
      </c>
      <c r="G2471">
        <v>40.088166278716301</v>
      </c>
      <c r="H2471">
        <v>2</v>
      </c>
      <c r="I2471">
        <v>59</v>
      </c>
      <c r="K2471" t="s">
        <v>2386</v>
      </c>
      <c r="L2471">
        <v>20</v>
      </c>
      <c r="M2471" t="s">
        <v>3315</v>
      </c>
      <c r="N2471" t="s">
        <v>2388</v>
      </c>
      <c r="O2471">
        <v>1</v>
      </c>
    </row>
    <row r="2472" spans="2:15" x14ac:dyDescent="0.3">
      <c r="B2472">
        <v>2532</v>
      </c>
      <c r="D2472">
        <v>1279</v>
      </c>
      <c r="E2472">
        <v>295</v>
      </c>
      <c r="F2472">
        <v>1</v>
      </c>
      <c r="G2472">
        <v>51.313147517090599</v>
      </c>
      <c r="H2472">
        <v>2</v>
      </c>
      <c r="I2472">
        <v>59</v>
      </c>
      <c r="K2472" t="s">
        <v>2386</v>
      </c>
      <c r="L2472">
        <v>20</v>
      </c>
      <c r="M2472" t="s">
        <v>3316</v>
      </c>
      <c r="N2472" t="s">
        <v>2388</v>
      </c>
      <c r="O2472">
        <v>1</v>
      </c>
    </row>
    <row r="2473" spans="2:15" x14ac:dyDescent="0.3">
      <c r="B2473">
        <v>2533</v>
      </c>
      <c r="D2473">
        <v>295</v>
      </c>
      <c r="E2473">
        <v>1279</v>
      </c>
      <c r="F2473">
        <v>1</v>
      </c>
      <c r="G2473">
        <v>51.313147517090599</v>
      </c>
      <c r="H2473">
        <v>2</v>
      </c>
      <c r="I2473">
        <v>59</v>
      </c>
      <c r="K2473" t="s">
        <v>2386</v>
      </c>
      <c r="L2473">
        <v>20</v>
      </c>
      <c r="M2473" t="s">
        <v>3317</v>
      </c>
      <c r="N2473" t="s">
        <v>2388</v>
      </c>
      <c r="O2473">
        <v>1</v>
      </c>
    </row>
    <row r="2474" spans="2:15" x14ac:dyDescent="0.3">
      <c r="B2474">
        <v>2534</v>
      </c>
      <c r="D2474">
        <v>1280</v>
      </c>
      <c r="E2474">
        <v>295</v>
      </c>
      <c r="F2474">
        <v>1</v>
      </c>
      <c r="G2474">
        <v>61.251465240589503</v>
      </c>
      <c r="H2474">
        <v>2</v>
      </c>
      <c r="I2474">
        <v>59</v>
      </c>
      <c r="K2474" t="s">
        <v>2386</v>
      </c>
      <c r="L2474">
        <v>20</v>
      </c>
      <c r="M2474" t="s">
        <v>3318</v>
      </c>
      <c r="N2474" t="s">
        <v>2388</v>
      </c>
      <c r="O2474">
        <v>1</v>
      </c>
    </row>
    <row r="2475" spans="2:15" x14ac:dyDescent="0.3">
      <c r="B2475">
        <v>2535</v>
      </c>
      <c r="D2475">
        <v>295</v>
      </c>
      <c r="E2475">
        <v>1280</v>
      </c>
      <c r="F2475">
        <v>1</v>
      </c>
      <c r="G2475">
        <v>61.251465240589503</v>
      </c>
      <c r="H2475">
        <v>2</v>
      </c>
      <c r="I2475">
        <v>59</v>
      </c>
      <c r="K2475" t="s">
        <v>2386</v>
      </c>
      <c r="L2475">
        <v>20</v>
      </c>
      <c r="M2475" t="s">
        <v>3319</v>
      </c>
      <c r="N2475" t="s">
        <v>2388</v>
      </c>
      <c r="O2475">
        <v>1</v>
      </c>
    </row>
    <row r="2476" spans="2:15" x14ac:dyDescent="0.3">
      <c r="B2476">
        <v>2536</v>
      </c>
      <c r="D2476">
        <v>1281</v>
      </c>
      <c r="E2476">
        <v>475</v>
      </c>
      <c r="F2476">
        <v>1</v>
      </c>
      <c r="G2476">
        <v>31.825731204199101</v>
      </c>
      <c r="H2476">
        <v>2</v>
      </c>
      <c r="I2476">
        <v>59</v>
      </c>
      <c r="K2476" t="s">
        <v>2386</v>
      </c>
      <c r="L2476">
        <v>20</v>
      </c>
      <c r="M2476" t="s">
        <v>3320</v>
      </c>
      <c r="N2476" t="s">
        <v>2388</v>
      </c>
      <c r="O2476">
        <v>1</v>
      </c>
    </row>
    <row r="2477" spans="2:15" x14ac:dyDescent="0.3">
      <c r="B2477">
        <v>2537</v>
      </c>
      <c r="D2477">
        <v>475</v>
      </c>
      <c r="E2477">
        <v>1281</v>
      </c>
      <c r="F2477">
        <v>1</v>
      </c>
      <c r="G2477">
        <v>31.825731204199101</v>
      </c>
      <c r="H2477">
        <v>2</v>
      </c>
      <c r="I2477">
        <v>59</v>
      </c>
      <c r="K2477" t="s">
        <v>2386</v>
      </c>
      <c r="L2477">
        <v>20</v>
      </c>
      <c r="M2477" t="s">
        <v>3321</v>
      </c>
      <c r="N2477" t="s">
        <v>2388</v>
      </c>
      <c r="O2477">
        <v>1</v>
      </c>
    </row>
    <row r="2478" spans="2:15" x14ac:dyDescent="0.3">
      <c r="B2478">
        <v>2538</v>
      </c>
      <c r="D2478">
        <v>1282</v>
      </c>
      <c r="E2478">
        <v>480</v>
      </c>
      <c r="F2478">
        <v>1</v>
      </c>
      <c r="G2478">
        <v>33.894951341425497</v>
      </c>
      <c r="H2478">
        <v>2</v>
      </c>
      <c r="I2478">
        <v>59</v>
      </c>
      <c r="K2478" t="s">
        <v>2386</v>
      </c>
      <c r="L2478">
        <v>20</v>
      </c>
      <c r="M2478" t="s">
        <v>3322</v>
      </c>
      <c r="N2478" t="s">
        <v>2388</v>
      </c>
      <c r="O2478">
        <v>1</v>
      </c>
    </row>
    <row r="2479" spans="2:15" x14ac:dyDescent="0.3">
      <c r="B2479">
        <v>2539</v>
      </c>
      <c r="D2479">
        <v>480</v>
      </c>
      <c r="E2479">
        <v>1282</v>
      </c>
      <c r="F2479">
        <v>1</v>
      </c>
      <c r="G2479">
        <v>33.894951341425497</v>
      </c>
      <c r="H2479">
        <v>2</v>
      </c>
      <c r="I2479">
        <v>59</v>
      </c>
      <c r="K2479" t="s">
        <v>2386</v>
      </c>
      <c r="L2479">
        <v>20</v>
      </c>
      <c r="M2479" t="s">
        <v>3323</v>
      </c>
      <c r="N2479" t="s">
        <v>2388</v>
      </c>
      <c r="O2479">
        <v>1</v>
      </c>
    </row>
    <row r="2480" spans="2:15" x14ac:dyDescent="0.3">
      <c r="B2480">
        <v>2540</v>
      </c>
      <c r="D2480">
        <v>1283</v>
      </c>
      <c r="E2480">
        <v>480</v>
      </c>
      <c r="F2480">
        <v>1</v>
      </c>
      <c r="G2480">
        <v>69.723528758529497</v>
      </c>
      <c r="H2480">
        <v>2</v>
      </c>
      <c r="I2480">
        <v>59</v>
      </c>
      <c r="K2480" t="s">
        <v>2386</v>
      </c>
      <c r="L2480">
        <v>20</v>
      </c>
      <c r="M2480" t="s">
        <v>3324</v>
      </c>
      <c r="N2480" t="s">
        <v>2388</v>
      </c>
      <c r="O2480">
        <v>1</v>
      </c>
    </row>
    <row r="2481" spans="2:15" x14ac:dyDescent="0.3">
      <c r="B2481">
        <v>2541</v>
      </c>
      <c r="D2481">
        <v>480</v>
      </c>
      <c r="E2481">
        <v>1283</v>
      </c>
      <c r="F2481">
        <v>1</v>
      </c>
      <c r="G2481">
        <v>69.723528758529497</v>
      </c>
      <c r="H2481">
        <v>2</v>
      </c>
      <c r="I2481">
        <v>59</v>
      </c>
      <c r="K2481" t="s">
        <v>2386</v>
      </c>
      <c r="L2481">
        <v>20</v>
      </c>
      <c r="M2481" t="s">
        <v>3325</v>
      </c>
      <c r="N2481" t="s">
        <v>2388</v>
      </c>
      <c r="O2481">
        <v>1</v>
      </c>
    </row>
    <row r="2482" spans="2:15" x14ac:dyDescent="0.3">
      <c r="B2482">
        <v>2542</v>
      </c>
      <c r="D2482">
        <v>1284</v>
      </c>
      <c r="E2482">
        <v>480</v>
      </c>
      <c r="F2482">
        <v>1</v>
      </c>
      <c r="G2482">
        <v>43.046337954175002</v>
      </c>
      <c r="H2482">
        <v>2</v>
      </c>
      <c r="I2482">
        <v>59</v>
      </c>
      <c r="K2482" t="s">
        <v>2386</v>
      </c>
      <c r="L2482">
        <v>20</v>
      </c>
      <c r="M2482" t="s">
        <v>3326</v>
      </c>
      <c r="N2482" t="s">
        <v>2388</v>
      </c>
      <c r="O2482">
        <v>1</v>
      </c>
    </row>
    <row r="2483" spans="2:15" x14ac:dyDescent="0.3">
      <c r="B2483">
        <v>2543</v>
      </c>
      <c r="D2483">
        <v>480</v>
      </c>
      <c r="E2483">
        <v>1284</v>
      </c>
      <c r="F2483">
        <v>1</v>
      </c>
      <c r="G2483">
        <v>43.046337954175002</v>
      </c>
      <c r="H2483">
        <v>2</v>
      </c>
      <c r="I2483">
        <v>59</v>
      </c>
      <c r="K2483" t="s">
        <v>2386</v>
      </c>
      <c r="L2483">
        <v>20</v>
      </c>
      <c r="M2483" t="s">
        <v>3327</v>
      </c>
      <c r="N2483" t="s">
        <v>2388</v>
      </c>
      <c r="O2483">
        <v>1</v>
      </c>
    </row>
    <row r="2484" spans="2:15" x14ac:dyDescent="0.3">
      <c r="B2484">
        <v>2544</v>
      </c>
      <c r="D2484">
        <v>1285</v>
      </c>
      <c r="E2484">
        <v>607</v>
      </c>
      <c r="F2484">
        <v>1</v>
      </c>
      <c r="G2484">
        <v>23.710096520686999</v>
      </c>
      <c r="H2484">
        <v>2</v>
      </c>
      <c r="I2484">
        <v>59</v>
      </c>
      <c r="K2484" t="s">
        <v>2386</v>
      </c>
      <c r="L2484">
        <v>20</v>
      </c>
      <c r="M2484" t="s">
        <v>3328</v>
      </c>
      <c r="N2484" t="s">
        <v>2388</v>
      </c>
      <c r="O2484">
        <v>1</v>
      </c>
    </row>
    <row r="2485" spans="2:15" x14ac:dyDescent="0.3">
      <c r="B2485">
        <v>2545</v>
      </c>
      <c r="D2485">
        <v>607</v>
      </c>
      <c r="E2485">
        <v>1285</v>
      </c>
      <c r="F2485">
        <v>1</v>
      </c>
      <c r="G2485">
        <v>23.710096520686999</v>
      </c>
      <c r="H2485">
        <v>2</v>
      </c>
      <c r="I2485">
        <v>59</v>
      </c>
      <c r="K2485" t="s">
        <v>2386</v>
      </c>
      <c r="L2485">
        <v>20</v>
      </c>
      <c r="M2485" t="s">
        <v>3329</v>
      </c>
      <c r="N2485" t="s">
        <v>2388</v>
      </c>
      <c r="O2485">
        <v>1</v>
      </c>
    </row>
    <row r="2486" spans="2:15" x14ac:dyDescent="0.3">
      <c r="B2486">
        <v>2546</v>
      </c>
      <c r="D2486">
        <v>1286</v>
      </c>
      <c r="E2486">
        <v>607</v>
      </c>
      <c r="F2486">
        <v>1</v>
      </c>
      <c r="G2486">
        <v>81.950153684699202</v>
      </c>
      <c r="H2486">
        <v>2</v>
      </c>
      <c r="I2486">
        <v>59</v>
      </c>
      <c r="K2486" t="s">
        <v>2386</v>
      </c>
      <c r="L2486">
        <v>20</v>
      </c>
      <c r="M2486" t="s">
        <v>3330</v>
      </c>
      <c r="N2486" t="s">
        <v>2388</v>
      </c>
      <c r="O2486">
        <v>1</v>
      </c>
    </row>
    <row r="2487" spans="2:15" x14ac:dyDescent="0.3">
      <c r="B2487">
        <v>2547</v>
      </c>
      <c r="D2487">
        <v>607</v>
      </c>
      <c r="E2487">
        <v>1286</v>
      </c>
      <c r="F2487">
        <v>1</v>
      </c>
      <c r="G2487">
        <v>81.950153684699202</v>
      </c>
      <c r="H2487">
        <v>2</v>
      </c>
      <c r="I2487">
        <v>59</v>
      </c>
      <c r="K2487" t="s">
        <v>2386</v>
      </c>
      <c r="L2487">
        <v>20</v>
      </c>
      <c r="M2487" t="s">
        <v>3331</v>
      </c>
      <c r="N2487" t="s">
        <v>2388</v>
      </c>
      <c r="O2487">
        <v>1</v>
      </c>
    </row>
    <row r="2488" spans="2:15" x14ac:dyDescent="0.3">
      <c r="B2488">
        <v>2548</v>
      </c>
      <c r="D2488">
        <v>1287</v>
      </c>
      <c r="E2488">
        <v>473</v>
      </c>
      <c r="F2488">
        <v>1</v>
      </c>
      <c r="G2488">
        <v>28.293364916231202</v>
      </c>
      <c r="H2488">
        <v>2</v>
      </c>
      <c r="I2488">
        <v>59</v>
      </c>
      <c r="K2488" t="s">
        <v>2386</v>
      </c>
      <c r="L2488">
        <v>20</v>
      </c>
      <c r="M2488" t="s">
        <v>3332</v>
      </c>
      <c r="N2488" t="s">
        <v>2388</v>
      </c>
      <c r="O2488">
        <v>1</v>
      </c>
    </row>
    <row r="2489" spans="2:15" x14ac:dyDescent="0.3">
      <c r="B2489">
        <v>2549</v>
      </c>
      <c r="D2489">
        <v>473</v>
      </c>
      <c r="E2489">
        <v>1287</v>
      </c>
      <c r="F2489">
        <v>1</v>
      </c>
      <c r="G2489">
        <v>28.293364916231202</v>
      </c>
      <c r="H2489">
        <v>2</v>
      </c>
      <c r="I2489">
        <v>59</v>
      </c>
      <c r="K2489" t="s">
        <v>2386</v>
      </c>
      <c r="L2489">
        <v>20</v>
      </c>
      <c r="M2489" t="s">
        <v>3333</v>
      </c>
      <c r="N2489" t="s">
        <v>2388</v>
      </c>
      <c r="O2489">
        <v>1</v>
      </c>
    </row>
    <row r="2490" spans="2:15" x14ac:dyDescent="0.3">
      <c r="B2490">
        <v>2550</v>
      </c>
      <c r="D2490">
        <v>1288</v>
      </c>
      <c r="E2490">
        <v>358</v>
      </c>
      <c r="F2490">
        <v>1</v>
      </c>
      <c r="G2490">
        <v>44.822492368233398</v>
      </c>
      <c r="H2490">
        <v>2</v>
      </c>
      <c r="I2490">
        <v>59</v>
      </c>
      <c r="K2490" t="s">
        <v>2386</v>
      </c>
      <c r="L2490">
        <v>20</v>
      </c>
      <c r="M2490" t="s">
        <v>3334</v>
      </c>
      <c r="N2490" t="s">
        <v>2388</v>
      </c>
      <c r="O2490">
        <v>1</v>
      </c>
    </row>
    <row r="2491" spans="2:15" x14ac:dyDescent="0.3">
      <c r="B2491">
        <v>2551</v>
      </c>
      <c r="D2491">
        <v>358</v>
      </c>
      <c r="E2491">
        <v>1288</v>
      </c>
      <c r="F2491">
        <v>1</v>
      </c>
      <c r="G2491">
        <v>44.822492368233398</v>
      </c>
      <c r="H2491">
        <v>2</v>
      </c>
      <c r="I2491">
        <v>59</v>
      </c>
      <c r="K2491" t="s">
        <v>2386</v>
      </c>
      <c r="L2491">
        <v>20</v>
      </c>
      <c r="M2491" t="s">
        <v>3335</v>
      </c>
      <c r="N2491" t="s">
        <v>2388</v>
      </c>
      <c r="O2491">
        <v>1</v>
      </c>
    </row>
    <row r="2492" spans="2:15" x14ac:dyDescent="0.3">
      <c r="B2492">
        <v>2552</v>
      </c>
      <c r="D2492">
        <v>1289</v>
      </c>
      <c r="E2492">
        <v>84</v>
      </c>
      <c r="F2492">
        <v>1</v>
      </c>
      <c r="G2492">
        <v>38.690818022420302</v>
      </c>
      <c r="H2492">
        <v>2</v>
      </c>
      <c r="I2492">
        <v>59</v>
      </c>
      <c r="K2492" t="s">
        <v>2386</v>
      </c>
      <c r="L2492">
        <v>20</v>
      </c>
      <c r="M2492" t="s">
        <v>3336</v>
      </c>
      <c r="N2492" t="s">
        <v>2388</v>
      </c>
      <c r="O2492">
        <v>1</v>
      </c>
    </row>
    <row r="2493" spans="2:15" x14ac:dyDescent="0.3">
      <c r="B2493">
        <v>2553</v>
      </c>
      <c r="D2493">
        <v>84</v>
      </c>
      <c r="E2493">
        <v>1289</v>
      </c>
      <c r="F2493">
        <v>1</v>
      </c>
      <c r="G2493">
        <v>38.690818022420302</v>
      </c>
      <c r="H2493">
        <v>2</v>
      </c>
      <c r="I2493">
        <v>59</v>
      </c>
      <c r="K2493" t="s">
        <v>2386</v>
      </c>
      <c r="L2493">
        <v>20</v>
      </c>
      <c r="M2493" t="s">
        <v>3337</v>
      </c>
      <c r="N2493" t="s">
        <v>2388</v>
      </c>
      <c r="O2493">
        <v>1</v>
      </c>
    </row>
    <row r="2494" spans="2:15" x14ac:dyDescent="0.3">
      <c r="B2494">
        <v>2554</v>
      </c>
      <c r="D2494">
        <v>1290</v>
      </c>
      <c r="E2494">
        <v>718</v>
      </c>
      <c r="F2494">
        <v>1</v>
      </c>
      <c r="G2494">
        <v>75.718870463544405</v>
      </c>
      <c r="H2494">
        <v>2</v>
      </c>
      <c r="I2494">
        <v>59</v>
      </c>
      <c r="K2494" t="s">
        <v>2386</v>
      </c>
      <c r="L2494">
        <v>20</v>
      </c>
      <c r="M2494" t="s">
        <v>3338</v>
      </c>
      <c r="N2494" t="s">
        <v>2388</v>
      </c>
      <c r="O2494">
        <v>1</v>
      </c>
    </row>
    <row r="2495" spans="2:15" x14ac:dyDescent="0.3">
      <c r="B2495">
        <v>2555</v>
      </c>
      <c r="D2495">
        <v>718</v>
      </c>
      <c r="E2495">
        <v>1290</v>
      </c>
      <c r="F2495">
        <v>1</v>
      </c>
      <c r="G2495">
        <v>75.718870463544405</v>
      </c>
      <c r="H2495">
        <v>2</v>
      </c>
      <c r="I2495">
        <v>59</v>
      </c>
      <c r="K2495" t="s">
        <v>2386</v>
      </c>
      <c r="L2495">
        <v>20</v>
      </c>
      <c r="M2495" t="s">
        <v>3339</v>
      </c>
      <c r="N2495" t="s">
        <v>2388</v>
      </c>
      <c r="O2495">
        <v>1</v>
      </c>
    </row>
    <row r="2496" spans="2:15" x14ac:dyDescent="0.3">
      <c r="B2496">
        <v>2556</v>
      </c>
      <c r="D2496">
        <v>1291</v>
      </c>
      <c r="E2496">
        <v>511</v>
      </c>
      <c r="F2496">
        <v>1</v>
      </c>
      <c r="G2496">
        <v>73.696442762617394</v>
      </c>
      <c r="H2496">
        <v>2</v>
      </c>
      <c r="I2496">
        <v>59</v>
      </c>
      <c r="K2496" t="s">
        <v>2386</v>
      </c>
      <c r="L2496">
        <v>20</v>
      </c>
      <c r="M2496" t="s">
        <v>3340</v>
      </c>
      <c r="N2496" t="s">
        <v>2388</v>
      </c>
      <c r="O2496">
        <v>1</v>
      </c>
    </row>
    <row r="2497" spans="2:15" x14ac:dyDescent="0.3">
      <c r="B2497">
        <v>2557</v>
      </c>
      <c r="D2497">
        <v>511</v>
      </c>
      <c r="E2497">
        <v>1291</v>
      </c>
      <c r="F2497">
        <v>1</v>
      </c>
      <c r="G2497">
        <v>73.696442762617394</v>
      </c>
      <c r="H2497">
        <v>2</v>
      </c>
      <c r="I2497">
        <v>59</v>
      </c>
      <c r="K2497" t="s">
        <v>2386</v>
      </c>
      <c r="L2497">
        <v>20</v>
      </c>
      <c r="M2497" t="s">
        <v>3341</v>
      </c>
      <c r="N2497" t="s">
        <v>2388</v>
      </c>
      <c r="O2497">
        <v>1</v>
      </c>
    </row>
    <row r="2498" spans="2:15" x14ac:dyDescent="0.3">
      <c r="B2498">
        <v>2558</v>
      </c>
      <c r="D2498">
        <v>1292</v>
      </c>
      <c r="E2498">
        <v>629</v>
      </c>
      <c r="F2498">
        <v>1</v>
      </c>
      <c r="G2498">
        <v>81.252822709652094</v>
      </c>
      <c r="H2498">
        <v>2</v>
      </c>
      <c r="I2498">
        <v>59</v>
      </c>
      <c r="K2498" t="s">
        <v>2386</v>
      </c>
      <c r="L2498">
        <v>20</v>
      </c>
      <c r="M2498" t="s">
        <v>3342</v>
      </c>
      <c r="N2498" t="s">
        <v>2388</v>
      </c>
      <c r="O2498">
        <v>1</v>
      </c>
    </row>
    <row r="2499" spans="2:15" x14ac:dyDescent="0.3">
      <c r="B2499">
        <v>2559</v>
      </c>
      <c r="D2499">
        <v>629</v>
      </c>
      <c r="E2499">
        <v>1292</v>
      </c>
      <c r="F2499">
        <v>1</v>
      </c>
      <c r="G2499">
        <v>81.252822709652094</v>
      </c>
      <c r="H2499">
        <v>2</v>
      </c>
      <c r="I2499">
        <v>59</v>
      </c>
      <c r="K2499" t="s">
        <v>2386</v>
      </c>
      <c r="L2499">
        <v>20</v>
      </c>
      <c r="M2499" t="s">
        <v>3343</v>
      </c>
      <c r="N2499" t="s">
        <v>2388</v>
      </c>
      <c r="O2499">
        <v>1</v>
      </c>
    </row>
    <row r="2500" spans="2:15" x14ac:dyDescent="0.3">
      <c r="B2500">
        <v>2560</v>
      </c>
      <c r="D2500">
        <v>1293</v>
      </c>
      <c r="E2500">
        <v>501</v>
      </c>
      <c r="F2500">
        <v>1</v>
      </c>
      <c r="G2500">
        <v>75.656139320652201</v>
      </c>
      <c r="H2500">
        <v>2</v>
      </c>
      <c r="I2500">
        <v>59</v>
      </c>
      <c r="K2500" t="s">
        <v>2386</v>
      </c>
      <c r="L2500">
        <v>20</v>
      </c>
      <c r="M2500" t="s">
        <v>3344</v>
      </c>
      <c r="N2500" t="s">
        <v>2388</v>
      </c>
      <c r="O2500">
        <v>1</v>
      </c>
    </row>
    <row r="2501" spans="2:15" x14ac:dyDescent="0.3">
      <c r="B2501">
        <v>2561</v>
      </c>
      <c r="D2501">
        <v>501</v>
      </c>
      <c r="E2501">
        <v>1293</v>
      </c>
      <c r="F2501">
        <v>1</v>
      </c>
      <c r="G2501">
        <v>75.656139320652201</v>
      </c>
      <c r="H2501">
        <v>2</v>
      </c>
      <c r="I2501">
        <v>59</v>
      </c>
      <c r="K2501" t="s">
        <v>2386</v>
      </c>
      <c r="L2501">
        <v>20</v>
      </c>
      <c r="M2501" t="s">
        <v>3345</v>
      </c>
      <c r="N2501" t="s">
        <v>2388</v>
      </c>
      <c r="O2501">
        <v>1</v>
      </c>
    </row>
    <row r="2502" spans="2:15" x14ac:dyDescent="0.3">
      <c r="B2502">
        <v>2562</v>
      </c>
      <c r="D2502">
        <v>1294</v>
      </c>
      <c r="E2502">
        <v>340</v>
      </c>
      <c r="F2502">
        <v>1</v>
      </c>
      <c r="G2502">
        <v>89.365867782996105</v>
      </c>
      <c r="H2502">
        <v>2</v>
      </c>
      <c r="I2502">
        <v>59</v>
      </c>
      <c r="K2502" t="s">
        <v>2386</v>
      </c>
      <c r="L2502">
        <v>20</v>
      </c>
      <c r="M2502" t="s">
        <v>3346</v>
      </c>
      <c r="N2502" t="s">
        <v>2388</v>
      </c>
      <c r="O2502">
        <v>1</v>
      </c>
    </row>
    <row r="2503" spans="2:15" x14ac:dyDescent="0.3">
      <c r="B2503">
        <v>2563</v>
      </c>
      <c r="D2503">
        <v>340</v>
      </c>
      <c r="E2503">
        <v>1294</v>
      </c>
      <c r="F2503">
        <v>1</v>
      </c>
      <c r="G2503">
        <v>89.365867782996105</v>
      </c>
      <c r="H2503">
        <v>2</v>
      </c>
      <c r="I2503">
        <v>59</v>
      </c>
      <c r="K2503" t="s">
        <v>2386</v>
      </c>
      <c r="L2503">
        <v>20</v>
      </c>
      <c r="M2503" t="s">
        <v>3347</v>
      </c>
      <c r="N2503" t="s">
        <v>2388</v>
      </c>
      <c r="O2503">
        <v>1</v>
      </c>
    </row>
    <row r="2504" spans="2:15" x14ac:dyDescent="0.3">
      <c r="B2504">
        <v>2564</v>
      </c>
      <c r="D2504">
        <v>1295</v>
      </c>
      <c r="E2504">
        <v>505</v>
      </c>
      <c r="F2504">
        <v>1</v>
      </c>
      <c r="G2504">
        <v>47.7552820968194</v>
      </c>
      <c r="H2504">
        <v>2</v>
      </c>
      <c r="I2504">
        <v>59</v>
      </c>
      <c r="K2504" t="s">
        <v>2386</v>
      </c>
      <c r="L2504">
        <v>20</v>
      </c>
      <c r="M2504" t="s">
        <v>3348</v>
      </c>
      <c r="N2504" t="s">
        <v>2388</v>
      </c>
      <c r="O2504">
        <v>1</v>
      </c>
    </row>
    <row r="2505" spans="2:15" x14ac:dyDescent="0.3">
      <c r="B2505">
        <v>2565</v>
      </c>
      <c r="D2505">
        <v>505</v>
      </c>
      <c r="E2505">
        <v>1295</v>
      </c>
      <c r="F2505">
        <v>1</v>
      </c>
      <c r="G2505">
        <v>47.7552820968194</v>
      </c>
      <c r="H2505">
        <v>2</v>
      </c>
      <c r="I2505">
        <v>59</v>
      </c>
      <c r="K2505" t="s">
        <v>2386</v>
      </c>
      <c r="L2505">
        <v>20</v>
      </c>
      <c r="M2505" t="s">
        <v>3349</v>
      </c>
      <c r="N2505" t="s">
        <v>2388</v>
      </c>
      <c r="O2505">
        <v>1</v>
      </c>
    </row>
    <row r="2506" spans="2:15" x14ac:dyDescent="0.3">
      <c r="B2506">
        <v>2566</v>
      </c>
      <c r="D2506">
        <v>1296</v>
      </c>
      <c r="E2506">
        <v>331</v>
      </c>
      <c r="F2506">
        <v>1</v>
      </c>
      <c r="G2506">
        <v>123.938294547805</v>
      </c>
      <c r="H2506">
        <v>2</v>
      </c>
      <c r="I2506">
        <v>59</v>
      </c>
      <c r="K2506" t="s">
        <v>2386</v>
      </c>
      <c r="L2506">
        <v>20</v>
      </c>
      <c r="M2506" t="s">
        <v>3350</v>
      </c>
      <c r="N2506" t="s">
        <v>2388</v>
      </c>
      <c r="O2506">
        <v>1</v>
      </c>
    </row>
    <row r="2507" spans="2:15" x14ac:dyDescent="0.3">
      <c r="B2507">
        <v>2567</v>
      </c>
      <c r="D2507">
        <v>331</v>
      </c>
      <c r="E2507">
        <v>1296</v>
      </c>
      <c r="F2507">
        <v>1</v>
      </c>
      <c r="G2507">
        <v>123.938294547805</v>
      </c>
      <c r="H2507">
        <v>2</v>
      </c>
      <c r="I2507">
        <v>59</v>
      </c>
      <c r="K2507" t="s">
        <v>2386</v>
      </c>
      <c r="L2507">
        <v>20</v>
      </c>
      <c r="M2507" t="s">
        <v>3351</v>
      </c>
      <c r="N2507" t="s">
        <v>2388</v>
      </c>
      <c r="O2507">
        <v>1</v>
      </c>
    </row>
    <row r="2508" spans="2:15" x14ac:dyDescent="0.3">
      <c r="B2508">
        <v>2568</v>
      </c>
      <c r="D2508">
        <v>1297</v>
      </c>
      <c r="E2508">
        <v>652</v>
      </c>
      <c r="F2508">
        <v>1</v>
      </c>
      <c r="G2508">
        <v>81.659906800535495</v>
      </c>
      <c r="H2508">
        <v>2</v>
      </c>
      <c r="I2508">
        <v>59</v>
      </c>
      <c r="K2508" t="s">
        <v>2386</v>
      </c>
      <c r="L2508">
        <v>20</v>
      </c>
      <c r="M2508" t="s">
        <v>3352</v>
      </c>
      <c r="N2508" t="s">
        <v>2388</v>
      </c>
      <c r="O2508">
        <v>1</v>
      </c>
    </row>
    <row r="2509" spans="2:15" x14ac:dyDescent="0.3">
      <c r="B2509">
        <v>2569</v>
      </c>
      <c r="D2509">
        <v>652</v>
      </c>
      <c r="E2509">
        <v>1297</v>
      </c>
      <c r="F2509">
        <v>1</v>
      </c>
      <c r="G2509">
        <v>81.659906800535495</v>
      </c>
      <c r="H2509">
        <v>2</v>
      </c>
      <c r="I2509">
        <v>59</v>
      </c>
      <c r="K2509" t="s">
        <v>2386</v>
      </c>
      <c r="L2509">
        <v>20</v>
      </c>
      <c r="M2509" t="s">
        <v>3353</v>
      </c>
      <c r="N2509" t="s">
        <v>2388</v>
      </c>
      <c r="O2509">
        <v>1</v>
      </c>
    </row>
    <row r="2510" spans="2:15" x14ac:dyDescent="0.3">
      <c r="B2510">
        <v>2570</v>
      </c>
      <c r="D2510">
        <v>1298</v>
      </c>
      <c r="E2510">
        <v>645</v>
      </c>
      <c r="F2510">
        <v>1</v>
      </c>
      <c r="G2510">
        <v>86.143977839892102</v>
      </c>
      <c r="H2510">
        <v>2</v>
      </c>
      <c r="I2510">
        <v>59</v>
      </c>
      <c r="K2510" t="s">
        <v>2386</v>
      </c>
      <c r="L2510">
        <v>20</v>
      </c>
      <c r="M2510" t="s">
        <v>3354</v>
      </c>
      <c r="N2510" t="s">
        <v>2388</v>
      </c>
      <c r="O2510">
        <v>1</v>
      </c>
    </row>
    <row r="2511" spans="2:15" x14ac:dyDescent="0.3">
      <c r="B2511">
        <v>2571</v>
      </c>
      <c r="D2511">
        <v>645</v>
      </c>
      <c r="E2511">
        <v>1298</v>
      </c>
      <c r="F2511">
        <v>1</v>
      </c>
      <c r="G2511">
        <v>86.143977839892102</v>
      </c>
      <c r="H2511">
        <v>2</v>
      </c>
      <c r="I2511">
        <v>59</v>
      </c>
      <c r="K2511" t="s">
        <v>2386</v>
      </c>
      <c r="L2511">
        <v>20</v>
      </c>
      <c r="M2511" t="s">
        <v>3355</v>
      </c>
      <c r="N2511" t="s">
        <v>2388</v>
      </c>
      <c r="O2511">
        <v>1</v>
      </c>
    </row>
    <row r="2512" spans="2:15" x14ac:dyDescent="0.3">
      <c r="B2512">
        <v>2572</v>
      </c>
      <c r="D2512">
        <v>1299</v>
      </c>
      <c r="E2512">
        <v>647</v>
      </c>
      <c r="F2512">
        <v>1</v>
      </c>
      <c r="G2512">
        <v>109.98789147488699</v>
      </c>
      <c r="H2512">
        <v>2</v>
      </c>
      <c r="I2512">
        <v>59</v>
      </c>
      <c r="K2512" t="s">
        <v>2386</v>
      </c>
      <c r="L2512">
        <v>20</v>
      </c>
      <c r="M2512" t="s">
        <v>3356</v>
      </c>
      <c r="N2512" t="s">
        <v>2388</v>
      </c>
      <c r="O2512">
        <v>1</v>
      </c>
    </row>
    <row r="2513" spans="2:15" x14ac:dyDescent="0.3">
      <c r="B2513">
        <v>2573</v>
      </c>
      <c r="D2513">
        <v>647</v>
      </c>
      <c r="E2513">
        <v>1299</v>
      </c>
      <c r="F2513">
        <v>1</v>
      </c>
      <c r="G2513">
        <v>109.98789147488699</v>
      </c>
      <c r="H2513">
        <v>2</v>
      </c>
      <c r="I2513">
        <v>59</v>
      </c>
      <c r="K2513" t="s">
        <v>2386</v>
      </c>
      <c r="L2513">
        <v>20</v>
      </c>
      <c r="M2513" t="s">
        <v>3357</v>
      </c>
      <c r="N2513" t="s">
        <v>2388</v>
      </c>
      <c r="O2513">
        <v>1</v>
      </c>
    </row>
    <row r="2514" spans="2:15" x14ac:dyDescent="0.3">
      <c r="B2514">
        <v>2574</v>
      </c>
      <c r="D2514">
        <v>1300</v>
      </c>
      <c r="E2514">
        <v>647</v>
      </c>
      <c r="F2514">
        <v>1</v>
      </c>
      <c r="G2514">
        <v>84.036519905898302</v>
      </c>
      <c r="H2514">
        <v>2</v>
      </c>
      <c r="I2514">
        <v>59</v>
      </c>
      <c r="K2514" t="s">
        <v>2386</v>
      </c>
      <c r="L2514">
        <v>20</v>
      </c>
      <c r="M2514" t="s">
        <v>3358</v>
      </c>
      <c r="N2514" t="s">
        <v>2388</v>
      </c>
      <c r="O2514">
        <v>1</v>
      </c>
    </row>
    <row r="2515" spans="2:15" x14ac:dyDescent="0.3">
      <c r="B2515">
        <v>2575</v>
      </c>
      <c r="D2515">
        <v>647</v>
      </c>
      <c r="E2515">
        <v>1300</v>
      </c>
      <c r="F2515">
        <v>1</v>
      </c>
      <c r="G2515">
        <v>84.036519905898302</v>
      </c>
      <c r="H2515">
        <v>2</v>
      </c>
      <c r="I2515">
        <v>59</v>
      </c>
      <c r="K2515" t="s">
        <v>2386</v>
      </c>
      <c r="L2515">
        <v>20</v>
      </c>
      <c r="M2515" t="s">
        <v>3359</v>
      </c>
      <c r="N2515" t="s">
        <v>2388</v>
      </c>
      <c r="O2515">
        <v>1</v>
      </c>
    </row>
    <row r="2516" spans="2:15" x14ac:dyDescent="0.3">
      <c r="B2516">
        <v>2576</v>
      </c>
      <c r="D2516">
        <v>1301</v>
      </c>
      <c r="E2516">
        <v>1969</v>
      </c>
      <c r="F2516">
        <v>1</v>
      </c>
      <c r="G2516">
        <v>55.071730251426899</v>
      </c>
      <c r="H2516">
        <v>2</v>
      </c>
      <c r="I2516">
        <v>59</v>
      </c>
      <c r="K2516" t="s">
        <v>2386</v>
      </c>
      <c r="L2516">
        <v>20</v>
      </c>
      <c r="M2516" t="s">
        <v>3360</v>
      </c>
      <c r="N2516" t="s">
        <v>2388</v>
      </c>
      <c r="O2516">
        <v>1</v>
      </c>
    </row>
    <row r="2517" spans="2:15" x14ac:dyDescent="0.3">
      <c r="B2517">
        <v>2577</v>
      </c>
      <c r="D2517">
        <v>1969</v>
      </c>
      <c r="E2517">
        <v>1301</v>
      </c>
      <c r="F2517">
        <v>1</v>
      </c>
      <c r="G2517">
        <v>55.071730251426899</v>
      </c>
      <c r="H2517">
        <v>2</v>
      </c>
      <c r="I2517">
        <v>59</v>
      </c>
      <c r="K2517" t="s">
        <v>2386</v>
      </c>
      <c r="L2517">
        <v>20</v>
      </c>
      <c r="M2517" t="s">
        <v>3361</v>
      </c>
      <c r="N2517" t="s">
        <v>2388</v>
      </c>
      <c r="O2517">
        <v>1</v>
      </c>
    </row>
    <row r="2518" spans="2:15" x14ac:dyDescent="0.3">
      <c r="B2518">
        <v>2578</v>
      </c>
      <c r="D2518">
        <v>1302</v>
      </c>
      <c r="E2518">
        <v>25</v>
      </c>
      <c r="F2518">
        <v>1</v>
      </c>
      <c r="G2518">
        <v>60.587306764013498</v>
      </c>
      <c r="H2518">
        <v>2</v>
      </c>
      <c r="I2518">
        <v>59</v>
      </c>
      <c r="K2518" t="s">
        <v>2386</v>
      </c>
      <c r="L2518">
        <v>20</v>
      </c>
      <c r="M2518" t="s">
        <v>3362</v>
      </c>
      <c r="N2518" t="s">
        <v>2388</v>
      </c>
      <c r="O2518">
        <v>1</v>
      </c>
    </row>
    <row r="2519" spans="2:15" x14ac:dyDescent="0.3">
      <c r="B2519">
        <v>2579</v>
      </c>
      <c r="D2519">
        <v>25</v>
      </c>
      <c r="E2519">
        <v>1302</v>
      </c>
      <c r="F2519">
        <v>1</v>
      </c>
      <c r="G2519">
        <v>60.587306764013498</v>
      </c>
      <c r="H2519">
        <v>2</v>
      </c>
      <c r="I2519">
        <v>59</v>
      </c>
      <c r="K2519" t="s">
        <v>2386</v>
      </c>
      <c r="L2519">
        <v>20</v>
      </c>
      <c r="M2519" t="s">
        <v>3363</v>
      </c>
      <c r="N2519" t="s">
        <v>2388</v>
      </c>
      <c r="O2519">
        <v>1</v>
      </c>
    </row>
    <row r="2520" spans="2:15" x14ac:dyDescent="0.3">
      <c r="B2520">
        <v>2580</v>
      </c>
      <c r="D2520">
        <v>1303</v>
      </c>
      <c r="E2520">
        <v>282</v>
      </c>
      <c r="F2520">
        <v>1</v>
      </c>
      <c r="G2520">
        <v>97.146353781145095</v>
      </c>
      <c r="H2520">
        <v>2</v>
      </c>
      <c r="I2520">
        <v>59</v>
      </c>
      <c r="K2520" t="s">
        <v>2386</v>
      </c>
      <c r="L2520">
        <v>20</v>
      </c>
      <c r="M2520" t="s">
        <v>3364</v>
      </c>
      <c r="N2520" t="s">
        <v>2388</v>
      </c>
      <c r="O2520">
        <v>1</v>
      </c>
    </row>
    <row r="2521" spans="2:15" x14ac:dyDescent="0.3">
      <c r="B2521">
        <v>2581</v>
      </c>
      <c r="D2521">
        <v>282</v>
      </c>
      <c r="E2521">
        <v>1303</v>
      </c>
      <c r="F2521">
        <v>1</v>
      </c>
      <c r="G2521">
        <v>97.146353781145095</v>
      </c>
      <c r="H2521">
        <v>2</v>
      </c>
      <c r="I2521">
        <v>59</v>
      </c>
      <c r="K2521" t="s">
        <v>2386</v>
      </c>
      <c r="L2521">
        <v>20</v>
      </c>
      <c r="M2521" t="s">
        <v>3365</v>
      </c>
      <c r="N2521" t="s">
        <v>2388</v>
      </c>
      <c r="O2521">
        <v>1</v>
      </c>
    </row>
    <row r="2522" spans="2:15" x14ac:dyDescent="0.3">
      <c r="B2522">
        <v>2582</v>
      </c>
      <c r="D2522">
        <v>1304</v>
      </c>
      <c r="E2522">
        <v>284</v>
      </c>
      <c r="F2522">
        <v>1</v>
      </c>
      <c r="G2522">
        <v>70.189079790916594</v>
      </c>
      <c r="H2522">
        <v>2</v>
      </c>
      <c r="I2522">
        <v>59</v>
      </c>
      <c r="K2522" t="s">
        <v>2386</v>
      </c>
      <c r="L2522">
        <v>20</v>
      </c>
      <c r="M2522" t="s">
        <v>3366</v>
      </c>
      <c r="N2522" t="s">
        <v>2388</v>
      </c>
      <c r="O2522">
        <v>1</v>
      </c>
    </row>
    <row r="2523" spans="2:15" x14ac:dyDescent="0.3">
      <c r="B2523">
        <v>2583</v>
      </c>
      <c r="D2523">
        <v>284</v>
      </c>
      <c r="E2523">
        <v>1304</v>
      </c>
      <c r="F2523">
        <v>1</v>
      </c>
      <c r="G2523">
        <v>70.189079790916594</v>
      </c>
      <c r="H2523">
        <v>2</v>
      </c>
      <c r="I2523">
        <v>59</v>
      </c>
      <c r="K2523" t="s">
        <v>2386</v>
      </c>
      <c r="L2523">
        <v>20</v>
      </c>
      <c r="M2523" t="s">
        <v>3367</v>
      </c>
      <c r="N2523" t="s">
        <v>2388</v>
      </c>
      <c r="O2523">
        <v>1</v>
      </c>
    </row>
    <row r="2524" spans="2:15" x14ac:dyDescent="0.3">
      <c r="B2524">
        <v>2584</v>
      </c>
      <c r="D2524">
        <v>1305</v>
      </c>
      <c r="E2524">
        <v>288</v>
      </c>
      <c r="F2524">
        <v>1</v>
      </c>
      <c r="G2524">
        <v>30.6951607969139</v>
      </c>
      <c r="H2524">
        <v>2</v>
      </c>
      <c r="I2524">
        <v>59</v>
      </c>
      <c r="K2524" t="s">
        <v>2386</v>
      </c>
      <c r="L2524">
        <v>20</v>
      </c>
      <c r="M2524" t="s">
        <v>3368</v>
      </c>
      <c r="N2524" t="s">
        <v>2388</v>
      </c>
      <c r="O2524">
        <v>1</v>
      </c>
    </row>
    <row r="2525" spans="2:15" x14ac:dyDescent="0.3">
      <c r="B2525">
        <v>2585</v>
      </c>
      <c r="D2525">
        <v>288</v>
      </c>
      <c r="E2525">
        <v>1305</v>
      </c>
      <c r="F2525">
        <v>1</v>
      </c>
      <c r="G2525">
        <v>30.6951607969139</v>
      </c>
      <c r="H2525">
        <v>2</v>
      </c>
      <c r="I2525">
        <v>59</v>
      </c>
      <c r="K2525" t="s">
        <v>2386</v>
      </c>
      <c r="L2525">
        <v>20</v>
      </c>
      <c r="M2525" t="s">
        <v>3369</v>
      </c>
      <c r="N2525" t="s">
        <v>2388</v>
      </c>
      <c r="O2525">
        <v>1</v>
      </c>
    </row>
    <row r="2526" spans="2:15" x14ac:dyDescent="0.3">
      <c r="B2526">
        <v>2586</v>
      </c>
      <c r="D2526">
        <v>1306</v>
      </c>
      <c r="E2526">
        <v>644</v>
      </c>
      <c r="F2526">
        <v>1</v>
      </c>
      <c r="G2526">
        <v>87.339055975652201</v>
      </c>
      <c r="H2526">
        <v>2</v>
      </c>
      <c r="I2526">
        <v>59</v>
      </c>
      <c r="K2526" t="s">
        <v>2386</v>
      </c>
      <c r="L2526">
        <v>20</v>
      </c>
      <c r="M2526" t="s">
        <v>3370</v>
      </c>
      <c r="N2526" t="s">
        <v>2388</v>
      </c>
      <c r="O2526">
        <v>1</v>
      </c>
    </row>
    <row r="2527" spans="2:15" x14ac:dyDescent="0.3">
      <c r="B2527">
        <v>2587</v>
      </c>
      <c r="D2527">
        <v>644</v>
      </c>
      <c r="E2527">
        <v>1306</v>
      </c>
      <c r="F2527">
        <v>1</v>
      </c>
      <c r="G2527">
        <v>87.339055975652201</v>
      </c>
      <c r="H2527">
        <v>2</v>
      </c>
      <c r="I2527">
        <v>59</v>
      </c>
      <c r="K2527" t="s">
        <v>2386</v>
      </c>
      <c r="L2527">
        <v>20</v>
      </c>
      <c r="M2527" t="s">
        <v>3371</v>
      </c>
      <c r="N2527" t="s">
        <v>2388</v>
      </c>
      <c r="O2527">
        <v>1</v>
      </c>
    </row>
    <row r="2528" spans="2:15" x14ac:dyDescent="0.3">
      <c r="B2528">
        <v>2588</v>
      </c>
      <c r="D2528">
        <v>1307</v>
      </c>
      <c r="E2528">
        <v>627</v>
      </c>
      <c r="F2528">
        <v>1</v>
      </c>
      <c r="G2528">
        <v>77.532584466234994</v>
      </c>
      <c r="H2528">
        <v>2</v>
      </c>
      <c r="I2528">
        <v>59</v>
      </c>
      <c r="K2528" t="s">
        <v>2386</v>
      </c>
      <c r="L2528">
        <v>20</v>
      </c>
      <c r="M2528" t="s">
        <v>3372</v>
      </c>
      <c r="N2528" t="s">
        <v>2388</v>
      </c>
      <c r="O2528">
        <v>1</v>
      </c>
    </row>
    <row r="2529" spans="2:15" x14ac:dyDescent="0.3">
      <c r="B2529">
        <v>2589</v>
      </c>
      <c r="D2529">
        <v>627</v>
      </c>
      <c r="E2529">
        <v>1307</v>
      </c>
      <c r="F2529">
        <v>1</v>
      </c>
      <c r="G2529">
        <v>77.532584466234994</v>
      </c>
      <c r="H2529">
        <v>2</v>
      </c>
      <c r="I2529">
        <v>59</v>
      </c>
      <c r="K2529" t="s">
        <v>2386</v>
      </c>
      <c r="L2529">
        <v>20</v>
      </c>
      <c r="M2529" t="s">
        <v>3373</v>
      </c>
      <c r="N2529" t="s">
        <v>2388</v>
      </c>
      <c r="O2529">
        <v>1</v>
      </c>
    </row>
    <row r="2530" spans="2:15" x14ac:dyDescent="0.3">
      <c r="B2530">
        <v>2590</v>
      </c>
      <c r="D2530">
        <v>1308</v>
      </c>
      <c r="E2530">
        <v>204</v>
      </c>
      <c r="F2530">
        <v>1</v>
      </c>
      <c r="G2530">
        <v>42.791336176034299</v>
      </c>
      <c r="H2530">
        <v>2</v>
      </c>
      <c r="I2530">
        <v>59</v>
      </c>
      <c r="K2530" t="s">
        <v>2386</v>
      </c>
      <c r="L2530">
        <v>20</v>
      </c>
      <c r="M2530" t="s">
        <v>3374</v>
      </c>
      <c r="N2530" t="s">
        <v>2388</v>
      </c>
      <c r="O2530">
        <v>1</v>
      </c>
    </row>
    <row r="2531" spans="2:15" x14ac:dyDescent="0.3">
      <c r="B2531">
        <v>2591</v>
      </c>
      <c r="D2531">
        <v>204</v>
      </c>
      <c r="E2531">
        <v>1308</v>
      </c>
      <c r="F2531">
        <v>1</v>
      </c>
      <c r="G2531">
        <v>42.791336176034299</v>
      </c>
      <c r="H2531">
        <v>2</v>
      </c>
      <c r="I2531">
        <v>59</v>
      </c>
      <c r="K2531" t="s">
        <v>2386</v>
      </c>
      <c r="L2531">
        <v>20</v>
      </c>
      <c r="M2531" t="s">
        <v>3375</v>
      </c>
      <c r="N2531" t="s">
        <v>2388</v>
      </c>
      <c r="O2531">
        <v>1</v>
      </c>
    </row>
    <row r="2532" spans="2:15" x14ac:dyDescent="0.3">
      <c r="B2532">
        <v>2592</v>
      </c>
      <c r="D2532">
        <v>1309</v>
      </c>
      <c r="E2532">
        <v>204</v>
      </c>
      <c r="F2532">
        <v>1</v>
      </c>
      <c r="G2532">
        <v>29.8618903621872</v>
      </c>
      <c r="H2532">
        <v>2</v>
      </c>
      <c r="I2532">
        <v>59</v>
      </c>
      <c r="K2532" t="s">
        <v>2386</v>
      </c>
      <c r="L2532">
        <v>20</v>
      </c>
      <c r="M2532" t="s">
        <v>3376</v>
      </c>
      <c r="N2532" t="s">
        <v>2388</v>
      </c>
      <c r="O2532">
        <v>1</v>
      </c>
    </row>
    <row r="2533" spans="2:15" x14ac:dyDescent="0.3">
      <c r="B2533">
        <v>2593</v>
      </c>
      <c r="D2533">
        <v>204</v>
      </c>
      <c r="E2533">
        <v>1309</v>
      </c>
      <c r="F2533">
        <v>1</v>
      </c>
      <c r="G2533">
        <v>29.8618903621872</v>
      </c>
      <c r="H2533">
        <v>2</v>
      </c>
      <c r="I2533">
        <v>59</v>
      </c>
      <c r="K2533" t="s">
        <v>2386</v>
      </c>
      <c r="L2533">
        <v>20</v>
      </c>
      <c r="M2533" t="s">
        <v>3377</v>
      </c>
      <c r="N2533" t="s">
        <v>2388</v>
      </c>
      <c r="O2533">
        <v>1</v>
      </c>
    </row>
    <row r="2534" spans="2:15" x14ac:dyDescent="0.3">
      <c r="B2534">
        <v>2594</v>
      </c>
      <c r="D2534">
        <v>1310</v>
      </c>
      <c r="E2534">
        <v>204</v>
      </c>
      <c r="F2534">
        <v>1</v>
      </c>
      <c r="G2534">
        <v>55.075791171644802</v>
      </c>
      <c r="H2534">
        <v>2</v>
      </c>
      <c r="I2534">
        <v>59</v>
      </c>
      <c r="K2534" t="s">
        <v>2386</v>
      </c>
      <c r="L2534">
        <v>20</v>
      </c>
      <c r="M2534" t="s">
        <v>3378</v>
      </c>
      <c r="N2534" t="s">
        <v>2388</v>
      </c>
      <c r="O2534">
        <v>1</v>
      </c>
    </row>
    <row r="2535" spans="2:15" x14ac:dyDescent="0.3">
      <c r="B2535">
        <v>2595</v>
      </c>
      <c r="D2535">
        <v>204</v>
      </c>
      <c r="E2535">
        <v>1310</v>
      </c>
      <c r="F2535">
        <v>1</v>
      </c>
      <c r="G2535">
        <v>55.075791171644802</v>
      </c>
      <c r="H2535">
        <v>2</v>
      </c>
      <c r="I2535">
        <v>59</v>
      </c>
      <c r="K2535" t="s">
        <v>2386</v>
      </c>
      <c r="L2535">
        <v>20</v>
      </c>
      <c r="M2535" t="s">
        <v>3379</v>
      </c>
      <c r="N2535" t="s">
        <v>2388</v>
      </c>
      <c r="O2535">
        <v>1</v>
      </c>
    </row>
    <row r="2536" spans="2:15" x14ac:dyDescent="0.3">
      <c r="B2536">
        <v>2596</v>
      </c>
      <c r="D2536">
        <v>1311</v>
      </c>
      <c r="E2536">
        <v>754</v>
      </c>
      <c r="F2536">
        <v>1</v>
      </c>
      <c r="G2536">
        <v>16.184558215244699</v>
      </c>
      <c r="H2536">
        <v>2</v>
      </c>
      <c r="I2536">
        <v>59</v>
      </c>
      <c r="K2536" t="s">
        <v>2386</v>
      </c>
      <c r="L2536">
        <v>20</v>
      </c>
      <c r="M2536" t="s">
        <v>3380</v>
      </c>
      <c r="N2536" t="s">
        <v>2388</v>
      </c>
      <c r="O2536">
        <v>1</v>
      </c>
    </row>
    <row r="2537" spans="2:15" x14ac:dyDescent="0.3">
      <c r="B2537">
        <v>2597</v>
      </c>
      <c r="D2537">
        <v>754</v>
      </c>
      <c r="E2537">
        <v>1311</v>
      </c>
      <c r="F2537">
        <v>1</v>
      </c>
      <c r="G2537">
        <v>16.184558215244699</v>
      </c>
      <c r="H2537">
        <v>2</v>
      </c>
      <c r="I2537">
        <v>59</v>
      </c>
      <c r="K2537" t="s">
        <v>2386</v>
      </c>
      <c r="L2537">
        <v>20</v>
      </c>
      <c r="M2537" t="s">
        <v>3381</v>
      </c>
      <c r="N2537" t="s">
        <v>2388</v>
      </c>
      <c r="O2537">
        <v>1</v>
      </c>
    </row>
    <row r="2538" spans="2:15" x14ac:dyDescent="0.3">
      <c r="B2538">
        <v>2598</v>
      </c>
      <c r="D2538">
        <v>1312</v>
      </c>
      <c r="E2538">
        <v>184</v>
      </c>
      <c r="F2538">
        <v>1</v>
      </c>
      <c r="G2538">
        <v>40.395795298433399</v>
      </c>
      <c r="H2538">
        <v>2</v>
      </c>
      <c r="I2538">
        <v>59</v>
      </c>
      <c r="K2538" t="s">
        <v>2386</v>
      </c>
      <c r="L2538">
        <v>20</v>
      </c>
      <c r="M2538" t="s">
        <v>3382</v>
      </c>
      <c r="N2538" t="s">
        <v>2388</v>
      </c>
      <c r="O2538">
        <v>1</v>
      </c>
    </row>
    <row r="2539" spans="2:15" x14ac:dyDescent="0.3">
      <c r="B2539">
        <v>2599</v>
      </c>
      <c r="D2539">
        <v>184</v>
      </c>
      <c r="E2539">
        <v>1312</v>
      </c>
      <c r="F2539">
        <v>1</v>
      </c>
      <c r="G2539">
        <v>40.395795298433399</v>
      </c>
      <c r="H2539">
        <v>2</v>
      </c>
      <c r="I2539">
        <v>59</v>
      </c>
      <c r="K2539" t="s">
        <v>2386</v>
      </c>
      <c r="L2539">
        <v>20</v>
      </c>
      <c r="M2539" t="s">
        <v>3383</v>
      </c>
      <c r="N2539" t="s">
        <v>2388</v>
      </c>
      <c r="O2539">
        <v>1</v>
      </c>
    </row>
    <row r="2540" spans="2:15" x14ac:dyDescent="0.3">
      <c r="B2540">
        <v>2600</v>
      </c>
      <c r="D2540">
        <v>1313</v>
      </c>
      <c r="E2540">
        <v>630</v>
      </c>
      <c r="F2540">
        <v>1</v>
      </c>
      <c r="G2540">
        <v>65.257238438163498</v>
      </c>
      <c r="H2540">
        <v>2</v>
      </c>
      <c r="I2540">
        <v>59</v>
      </c>
      <c r="K2540" t="s">
        <v>2386</v>
      </c>
      <c r="L2540">
        <v>20</v>
      </c>
      <c r="M2540" t="s">
        <v>3384</v>
      </c>
      <c r="N2540" t="s">
        <v>2388</v>
      </c>
      <c r="O2540">
        <v>1</v>
      </c>
    </row>
    <row r="2541" spans="2:15" x14ac:dyDescent="0.3">
      <c r="B2541">
        <v>2601</v>
      </c>
      <c r="D2541">
        <v>630</v>
      </c>
      <c r="E2541">
        <v>1313</v>
      </c>
      <c r="F2541">
        <v>1</v>
      </c>
      <c r="G2541">
        <v>65.257238438163498</v>
      </c>
      <c r="H2541">
        <v>2</v>
      </c>
      <c r="I2541">
        <v>59</v>
      </c>
      <c r="K2541" t="s">
        <v>2386</v>
      </c>
      <c r="L2541">
        <v>20</v>
      </c>
      <c r="M2541" t="s">
        <v>3385</v>
      </c>
      <c r="N2541" t="s">
        <v>2388</v>
      </c>
      <c r="O2541">
        <v>1</v>
      </c>
    </row>
    <row r="2542" spans="2:15" x14ac:dyDescent="0.3">
      <c r="B2542">
        <v>2602</v>
      </c>
      <c r="D2542">
        <v>1314</v>
      </c>
      <c r="E2542">
        <v>754</v>
      </c>
      <c r="F2542">
        <v>1</v>
      </c>
      <c r="G2542">
        <v>66.678320519689095</v>
      </c>
      <c r="H2542">
        <v>2</v>
      </c>
      <c r="I2542">
        <v>59</v>
      </c>
      <c r="K2542" t="s">
        <v>2386</v>
      </c>
      <c r="L2542">
        <v>20</v>
      </c>
      <c r="M2542" t="s">
        <v>3386</v>
      </c>
      <c r="N2542" t="s">
        <v>2388</v>
      </c>
      <c r="O2542">
        <v>1</v>
      </c>
    </row>
    <row r="2543" spans="2:15" x14ac:dyDescent="0.3">
      <c r="B2543">
        <v>2603</v>
      </c>
      <c r="D2543">
        <v>754</v>
      </c>
      <c r="E2543">
        <v>1314</v>
      </c>
      <c r="F2543">
        <v>1</v>
      </c>
      <c r="G2543">
        <v>66.678320519689095</v>
      </c>
      <c r="H2543">
        <v>2</v>
      </c>
      <c r="I2543">
        <v>59</v>
      </c>
      <c r="K2543" t="s">
        <v>2386</v>
      </c>
      <c r="L2543">
        <v>20</v>
      </c>
      <c r="M2543" t="s">
        <v>3387</v>
      </c>
      <c r="N2543" t="s">
        <v>2388</v>
      </c>
      <c r="O2543">
        <v>1</v>
      </c>
    </row>
    <row r="2544" spans="2:15" x14ac:dyDescent="0.3">
      <c r="B2544">
        <v>2604</v>
      </c>
      <c r="D2544">
        <v>1315</v>
      </c>
      <c r="E2544">
        <v>203</v>
      </c>
      <c r="F2544">
        <v>1</v>
      </c>
      <c r="G2544">
        <v>41.008892011567198</v>
      </c>
      <c r="H2544">
        <v>2</v>
      </c>
      <c r="I2544">
        <v>59</v>
      </c>
      <c r="K2544" t="s">
        <v>2386</v>
      </c>
      <c r="L2544">
        <v>20</v>
      </c>
      <c r="M2544" t="s">
        <v>3388</v>
      </c>
      <c r="N2544" t="s">
        <v>2388</v>
      </c>
      <c r="O2544">
        <v>1</v>
      </c>
    </row>
    <row r="2545" spans="2:15" x14ac:dyDescent="0.3">
      <c r="B2545">
        <v>2605</v>
      </c>
      <c r="D2545">
        <v>203</v>
      </c>
      <c r="E2545">
        <v>1315</v>
      </c>
      <c r="F2545">
        <v>1</v>
      </c>
      <c r="G2545">
        <v>41.008892011567198</v>
      </c>
      <c r="H2545">
        <v>2</v>
      </c>
      <c r="I2545">
        <v>59</v>
      </c>
      <c r="K2545" t="s">
        <v>2386</v>
      </c>
      <c r="L2545">
        <v>20</v>
      </c>
      <c r="M2545" t="s">
        <v>3389</v>
      </c>
      <c r="N2545" t="s">
        <v>2388</v>
      </c>
      <c r="O2545">
        <v>1</v>
      </c>
    </row>
    <row r="2546" spans="2:15" x14ac:dyDescent="0.3">
      <c r="B2546">
        <v>2606</v>
      </c>
      <c r="D2546">
        <v>1316</v>
      </c>
      <c r="E2546">
        <v>1969</v>
      </c>
      <c r="F2546">
        <v>1</v>
      </c>
      <c r="G2546">
        <v>32.852770750364897</v>
      </c>
      <c r="H2546">
        <v>2</v>
      </c>
      <c r="I2546">
        <v>59</v>
      </c>
      <c r="K2546" t="s">
        <v>2386</v>
      </c>
      <c r="L2546">
        <v>20</v>
      </c>
      <c r="M2546" t="s">
        <v>3390</v>
      </c>
      <c r="N2546" t="s">
        <v>2388</v>
      </c>
      <c r="O2546">
        <v>1</v>
      </c>
    </row>
    <row r="2547" spans="2:15" x14ac:dyDescent="0.3">
      <c r="B2547">
        <v>2607</v>
      </c>
      <c r="D2547">
        <v>1969</v>
      </c>
      <c r="E2547">
        <v>1316</v>
      </c>
      <c r="F2547">
        <v>1</v>
      </c>
      <c r="G2547">
        <v>32.852770750364897</v>
      </c>
      <c r="H2547">
        <v>2</v>
      </c>
      <c r="I2547">
        <v>59</v>
      </c>
      <c r="K2547" t="s">
        <v>2386</v>
      </c>
      <c r="L2547">
        <v>20</v>
      </c>
      <c r="M2547" t="s">
        <v>3391</v>
      </c>
      <c r="N2547" t="s">
        <v>2388</v>
      </c>
      <c r="O2547">
        <v>1</v>
      </c>
    </row>
    <row r="2548" spans="2:15" x14ac:dyDescent="0.3">
      <c r="B2548">
        <v>2608</v>
      </c>
      <c r="D2548">
        <v>1317</v>
      </c>
      <c r="E2548">
        <v>659</v>
      </c>
      <c r="F2548">
        <v>1</v>
      </c>
      <c r="G2548">
        <v>25.5669175496602</v>
      </c>
      <c r="H2548">
        <v>2</v>
      </c>
      <c r="I2548">
        <v>59</v>
      </c>
      <c r="K2548" t="s">
        <v>2386</v>
      </c>
      <c r="L2548">
        <v>20</v>
      </c>
      <c r="M2548" t="s">
        <v>3392</v>
      </c>
      <c r="N2548" t="s">
        <v>2388</v>
      </c>
      <c r="O2548">
        <v>1</v>
      </c>
    </row>
    <row r="2549" spans="2:15" x14ac:dyDescent="0.3">
      <c r="B2549">
        <v>2609</v>
      </c>
      <c r="D2549">
        <v>659</v>
      </c>
      <c r="E2549">
        <v>1317</v>
      </c>
      <c r="F2549">
        <v>1</v>
      </c>
      <c r="G2549">
        <v>25.5669175496602</v>
      </c>
      <c r="H2549">
        <v>2</v>
      </c>
      <c r="I2549">
        <v>59</v>
      </c>
      <c r="K2549" t="s">
        <v>2386</v>
      </c>
      <c r="L2549">
        <v>20</v>
      </c>
      <c r="M2549" t="s">
        <v>3393</v>
      </c>
      <c r="N2549" t="s">
        <v>2388</v>
      </c>
      <c r="O2549">
        <v>1</v>
      </c>
    </row>
    <row r="2550" spans="2:15" x14ac:dyDescent="0.3">
      <c r="B2550">
        <v>2610</v>
      </c>
      <c r="D2550">
        <v>1318</v>
      </c>
      <c r="E2550">
        <v>659</v>
      </c>
      <c r="F2550">
        <v>1</v>
      </c>
      <c r="G2550">
        <v>30.557143616569601</v>
      </c>
      <c r="H2550">
        <v>2</v>
      </c>
      <c r="I2550">
        <v>59</v>
      </c>
      <c r="K2550" t="s">
        <v>2386</v>
      </c>
      <c r="L2550">
        <v>20</v>
      </c>
      <c r="M2550" t="s">
        <v>3394</v>
      </c>
      <c r="N2550" t="s">
        <v>2388</v>
      </c>
      <c r="O2550">
        <v>1</v>
      </c>
    </row>
    <row r="2551" spans="2:15" x14ac:dyDescent="0.3">
      <c r="B2551">
        <v>2611</v>
      </c>
      <c r="D2551">
        <v>659</v>
      </c>
      <c r="E2551">
        <v>1318</v>
      </c>
      <c r="F2551">
        <v>1</v>
      </c>
      <c r="G2551">
        <v>30.557143616569601</v>
      </c>
      <c r="H2551">
        <v>2</v>
      </c>
      <c r="I2551">
        <v>59</v>
      </c>
      <c r="K2551" t="s">
        <v>2386</v>
      </c>
      <c r="L2551">
        <v>20</v>
      </c>
      <c r="M2551" t="s">
        <v>3395</v>
      </c>
      <c r="N2551" t="s">
        <v>2388</v>
      </c>
      <c r="O2551">
        <v>1</v>
      </c>
    </row>
    <row r="2552" spans="2:15" x14ac:dyDescent="0.3">
      <c r="B2552">
        <v>2612</v>
      </c>
      <c r="D2552">
        <v>1319</v>
      </c>
      <c r="E2552">
        <v>503</v>
      </c>
      <c r="F2552">
        <v>1</v>
      </c>
      <c r="G2552">
        <v>49.577690238468399</v>
      </c>
      <c r="H2552">
        <v>2</v>
      </c>
      <c r="I2552">
        <v>59</v>
      </c>
      <c r="K2552" t="s">
        <v>2386</v>
      </c>
      <c r="L2552">
        <v>20</v>
      </c>
      <c r="M2552" t="s">
        <v>3396</v>
      </c>
      <c r="N2552" t="s">
        <v>2388</v>
      </c>
      <c r="O2552">
        <v>1</v>
      </c>
    </row>
    <row r="2553" spans="2:15" x14ac:dyDescent="0.3">
      <c r="B2553">
        <v>2613</v>
      </c>
      <c r="D2553">
        <v>503</v>
      </c>
      <c r="E2553">
        <v>1319</v>
      </c>
      <c r="F2553">
        <v>1</v>
      </c>
      <c r="G2553">
        <v>49.577690238468399</v>
      </c>
      <c r="H2553">
        <v>2</v>
      </c>
      <c r="I2553">
        <v>59</v>
      </c>
      <c r="K2553" t="s">
        <v>2386</v>
      </c>
      <c r="L2553">
        <v>20</v>
      </c>
      <c r="M2553" t="s">
        <v>3397</v>
      </c>
      <c r="N2553" t="s">
        <v>2388</v>
      </c>
      <c r="O2553">
        <v>1</v>
      </c>
    </row>
    <row r="2554" spans="2:15" x14ac:dyDescent="0.3">
      <c r="B2554">
        <v>2614</v>
      </c>
      <c r="D2554">
        <v>1320</v>
      </c>
      <c r="E2554">
        <v>654</v>
      </c>
      <c r="F2554">
        <v>1</v>
      </c>
      <c r="G2554">
        <v>61.749812676153297</v>
      </c>
      <c r="H2554">
        <v>2</v>
      </c>
      <c r="I2554">
        <v>59</v>
      </c>
      <c r="K2554" t="s">
        <v>2386</v>
      </c>
      <c r="L2554">
        <v>20</v>
      </c>
      <c r="M2554" t="s">
        <v>3398</v>
      </c>
      <c r="N2554" t="s">
        <v>2388</v>
      </c>
      <c r="O2554">
        <v>1</v>
      </c>
    </row>
    <row r="2555" spans="2:15" x14ac:dyDescent="0.3">
      <c r="B2555">
        <v>2615</v>
      </c>
      <c r="D2555">
        <v>654</v>
      </c>
      <c r="E2555">
        <v>1320</v>
      </c>
      <c r="F2555">
        <v>1</v>
      </c>
      <c r="G2555">
        <v>61.749812676153297</v>
      </c>
      <c r="H2555">
        <v>2</v>
      </c>
      <c r="I2555">
        <v>59</v>
      </c>
      <c r="K2555" t="s">
        <v>2386</v>
      </c>
      <c r="L2555">
        <v>20</v>
      </c>
      <c r="M2555" t="s">
        <v>3399</v>
      </c>
      <c r="N2555" t="s">
        <v>2388</v>
      </c>
      <c r="O2555">
        <v>1</v>
      </c>
    </row>
    <row r="2556" spans="2:15" x14ac:dyDescent="0.3">
      <c r="B2556">
        <v>2616</v>
      </c>
      <c r="D2556">
        <v>1321</v>
      </c>
      <c r="E2556">
        <v>657</v>
      </c>
      <c r="F2556">
        <v>1</v>
      </c>
      <c r="G2556">
        <v>102.72256393838499</v>
      </c>
      <c r="H2556">
        <v>2</v>
      </c>
      <c r="I2556">
        <v>59</v>
      </c>
      <c r="K2556" t="s">
        <v>2386</v>
      </c>
      <c r="L2556">
        <v>20</v>
      </c>
      <c r="M2556" t="s">
        <v>3400</v>
      </c>
      <c r="N2556" t="s">
        <v>2388</v>
      </c>
      <c r="O2556">
        <v>1</v>
      </c>
    </row>
    <row r="2557" spans="2:15" x14ac:dyDescent="0.3">
      <c r="B2557">
        <v>2617</v>
      </c>
      <c r="D2557">
        <v>657</v>
      </c>
      <c r="E2557">
        <v>1321</v>
      </c>
      <c r="F2557">
        <v>1</v>
      </c>
      <c r="G2557">
        <v>102.72256393838499</v>
      </c>
      <c r="H2557">
        <v>2</v>
      </c>
      <c r="I2557">
        <v>59</v>
      </c>
      <c r="K2557" t="s">
        <v>2386</v>
      </c>
      <c r="L2557">
        <v>20</v>
      </c>
      <c r="M2557" t="s">
        <v>3401</v>
      </c>
      <c r="N2557" t="s">
        <v>2388</v>
      </c>
      <c r="O2557">
        <v>1</v>
      </c>
    </row>
    <row r="2558" spans="2:15" x14ac:dyDescent="0.3">
      <c r="B2558">
        <v>2618</v>
      </c>
      <c r="D2558">
        <v>1322</v>
      </c>
      <c r="E2558">
        <v>377</v>
      </c>
      <c r="F2558">
        <v>1</v>
      </c>
      <c r="G2558">
        <v>72.923335408416506</v>
      </c>
      <c r="H2558">
        <v>2</v>
      </c>
      <c r="I2558">
        <v>59</v>
      </c>
      <c r="K2558" t="s">
        <v>2386</v>
      </c>
      <c r="L2558">
        <v>20</v>
      </c>
      <c r="M2558" t="s">
        <v>3402</v>
      </c>
      <c r="N2558" t="s">
        <v>2388</v>
      </c>
      <c r="O2558">
        <v>1</v>
      </c>
    </row>
    <row r="2559" spans="2:15" x14ac:dyDescent="0.3">
      <c r="B2559">
        <v>2619</v>
      </c>
      <c r="D2559">
        <v>377</v>
      </c>
      <c r="E2559">
        <v>1322</v>
      </c>
      <c r="F2559">
        <v>1</v>
      </c>
      <c r="G2559">
        <v>72.923335408416506</v>
      </c>
      <c r="H2559">
        <v>2</v>
      </c>
      <c r="I2559">
        <v>59</v>
      </c>
      <c r="K2559" t="s">
        <v>2386</v>
      </c>
      <c r="L2559">
        <v>20</v>
      </c>
      <c r="M2559" t="s">
        <v>3403</v>
      </c>
      <c r="N2559" t="s">
        <v>2388</v>
      </c>
      <c r="O2559">
        <v>1</v>
      </c>
    </row>
    <row r="2560" spans="2:15" x14ac:dyDescent="0.3">
      <c r="B2560">
        <v>2620</v>
      </c>
      <c r="D2560">
        <v>1323</v>
      </c>
      <c r="E2560">
        <v>658</v>
      </c>
      <c r="F2560">
        <v>1</v>
      </c>
      <c r="G2560">
        <v>7.35761463274528</v>
      </c>
      <c r="H2560">
        <v>2</v>
      </c>
      <c r="I2560">
        <v>59</v>
      </c>
      <c r="K2560" t="s">
        <v>2386</v>
      </c>
      <c r="L2560">
        <v>20</v>
      </c>
      <c r="M2560" t="s">
        <v>3404</v>
      </c>
      <c r="N2560" t="s">
        <v>2388</v>
      </c>
      <c r="O2560">
        <v>1</v>
      </c>
    </row>
    <row r="2561" spans="2:15" x14ac:dyDescent="0.3">
      <c r="B2561">
        <v>2621</v>
      </c>
      <c r="D2561">
        <v>658</v>
      </c>
      <c r="E2561">
        <v>1323</v>
      </c>
      <c r="F2561">
        <v>1</v>
      </c>
      <c r="G2561">
        <v>7.35761463274528</v>
      </c>
      <c r="H2561">
        <v>2</v>
      </c>
      <c r="I2561">
        <v>59</v>
      </c>
      <c r="K2561" t="s">
        <v>2386</v>
      </c>
      <c r="L2561">
        <v>20</v>
      </c>
      <c r="M2561" t="s">
        <v>3405</v>
      </c>
      <c r="N2561" t="s">
        <v>2388</v>
      </c>
      <c r="O2561">
        <v>1</v>
      </c>
    </row>
    <row r="2562" spans="2:15" x14ac:dyDescent="0.3">
      <c r="B2562">
        <v>2622</v>
      </c>
      <c r="D2562">
        <v>1324</v>
      </c>
      <c r="E2562">
        <v>645</v>
      </c>
      <c r="F2562">
        <v>1</v>
      </c>
      <c r="G2562">
        <v>9.1923035973973803</v>
      </c>
      <c r="H2562">
        <v>2</v>
      </c>
      <c r="I2562">
        <v>59</v>
      </c>
      <c r="K2562" t="s">
        <v>2386</v>
      </c>
      <c r="L2562">
        <v>20</v>
      </c>
      <c r="M2562" t="s">
        <v>3406</v>
      </c>
      <c r="N2562" t="s">
        <v>2388</v>
      </c>
      <c r="O2562">
        <v>1</v>
      </c>
    </row>
    <row r="2563" spans="2:15" x14ac:dyDescent="0.3">
      <c r="B2563">
        <v>2623</v>
      </c>
      <c r="D2563">
        <v>645</v>
      </c>
      <c r="E2563">
        <v>1324</v>
      </c>
      <c r="F2563">
        <v>1</v>
      </c>
      <c r="G2563">
        <v>9.1923035973973803</v>
      </c>
      <c r="H2563">
        <v>2</v>
      </c>
      <c r="I2563">
        <v>59</v>
      </c>
      <c r="K2563" t="s">
        <v>2386</v>
      </c>
      <c r="L2563">
        <v>20</v>
      </c>
      <c r="M2563" t="s">
        <v>3407</v>
      </c>
      <c r="N2563" t="s">
        <v>2388</v>
      </c>
      <c r="O2563">
        <v>1</v>
      </c>
    </row>
    <row r="2564" spans="2:15" x14ac:dyDescent="0.3">
      <c r="B2564">
        <v>2624</v>
      </c>
      <c r="D2564">
        <v>1325</v>
      </c>
      <c r="E2564">
        <v>658</v>
      </c>
      <c r="F2564">
        <v>1</v>
      </c>
      <c r="G2564">
        <v>74.552136924791796</v>
      </c>
      <c r="H2564">
        <v>2</v>
      </c>
      <c r="I2564">
        <v>59</v>
      </c>
      <c r="K2564" t="s">
        <v>2386</v>
      </c>
      <c r="L2564">
        <v>20</v>
      </c>
      <c r="M2564" t="s">
        <v>3408</v>
      </c>
      <c r="N2564" t="s">
        <v>2388</v>
      </c>
      <c r="O2564">
        <v>1</v>
      </c>
    </row>
    <row r="2565" spans="2:15" x14ac:dyDescent="0.3">
      <c r="B2565">
        <v>2625</v>
      </c>
      <c r="D2565">
        <v>658</v>
      </c>
      <c r="E2565">
        <v>1325</v>
      </c>
      <c r="F2565">
        <v>1</v>
      </c>
      <c r="G2565">
        <v>74.552136924791796</v>
      </c>
      <c r="H2565">
        <v>2</v>
      </c>
      <c r="I2565">
        <v>59</v>
      </c>
      <c r="K2565" t="s">
        <v>2386</v>
      </c>
      <c r="L2565">
        <v>20</v>
      </c>
      <c r="M2565" t="s">
        <v>3409</v>
      </c>
      <c r="N2565" t="s">
        <v>2388</v>
      </c>
      <c r="O2565">
        <v>1</v>
      </c>
    </row>
    <row r="2566" spans="2:15" x14ac:dyDescent="0.3">
      <c r="B2566">
        <v>2626</v>
      </c>
      <c r="D2566">
        <v>1326</v>
      </c>
      <c r="E2566">
        <v>242</v>
      </c>
      <c r="F2566">
        <v>1</v>
      </c>
      <c r="G2566">
        <v>39.834594539646702</v>
      </c>
      <c r="H2566">
        <v>2</v>
      </c>
      <c r="I2566">
        <v>59</v>
      </c>
      <c r="K2566" t="s">
        <v>2386</v>
      </c>
      <c r="L2566">
        <v>20</v>
      </c>
      <c r="M2566" t="s">
        <v>3410</v>
      </c>
      <c r="N2566" t="s">
        <v>2388</v>
      </c>
      <c r="O2566">
        <v>1</v>
      </c>
    </row>
    <row r="2567" spans="2:15" x14ac:dyDescent="0.3">
      <c r="B2567">
        <v>2627</v>
      </c>
      <c r="D2567">
        <v>242</v>
      </c>
      <c r="E2567">
        <v>1326</v>
      </c>
      <c r="F2567">
        <v>1</v>
      </c>
      <c r="G2567">
        <v>39.834594539646702</v>
      </c>
      <c r="H2567">
        <v>2</v>
      </c>
      <c r="I2567">
        <v>59</v>
      </c>
      <c r="K2567" t="s">
        <v>2386</v>
      </c>
      <c r="L2567">
        <v>20</v>
      </c>
      <c r="M2567" t="s">
        <v>3411</v>
      </c>
      <c r="N2567" t="s">
        <v>2388</v>
      </c>
      <c r="O2567">
        <v>1</v>
      </c>
    </row>
    <row r="2568" spans="2:15" x14ac:dyDescent="0.3">
      <c r="B2568">
        <v>2628</v>
      </c>
      <c r="D2568">
        <v>1327</v>
      </c>
      <c r="E2568">
        <v>203</v>
      </c>
      <c r="F2568">
        <v>1</v>
      </c>
      <c r="G2568">
        <v>36.044137915333899</v>
      </c>
      <c r="H2568">
        <v>2</v>
      </c>
      <c r="I2568">
        <v>59</v>
      </c>
      <c r="K2568" t="s">
        <v>2386</v>
      </c>
      <c r="L2568">
        <v>20</v>
      </c>
      <c r="M2568" t="s">
        <v>3412</v>
      </c>
      <c r="N2568" t="s">
        <v>2388</v>
      </c>
      <c r="O2568">
        <v>1</v>
      </c>
    </row>
    <row r="2569" spans="2:15" x14ac:dyDescent="0.3">
      <c r="B2569">
        <v>2629</v>
      </c>
      <c r="D2569">
        <v>203</v>
      </c>
      <c r="E2569">
        <v>1327</v>
      </c>
      <c r="F2569">
        <v>1</v>
      </c>
      <c r="G2569">
        <v>36.044137915333899</v>
      </c>
      <c r="H2569">
        <v>2</v>
      </c>
      <c r="I2569">
        <v>59</v>
      </c>
      <c r="K2569" t="s">
        <v>2386</v>
      </c>
      <c r="L2569">
        <v>20</v>
      </c>
      <c r="M2569" t="s">
        <v>3413</v>
      </c>
      <c r="N2569" t="s">
        <v>2388</v>
      </c>
      <c r="O2569">
        <v>1</v>
      </c>
    </row>
    <row r="2570" spans="2:15" x14ac:dyDescent="0.3">
      <c r="B2570">
        <v>2630</v>
      </c>
      <c r="D2570">
        <v>1328</v>
      </c>
      <c r="E2570">
        <v>203</v>
      </c>
      <c r="F2570">
        <v>1</v>
      </c>
      <c r="G2570">
        <v>69.490379467459306</v>
      </c>
      <c r="H2570">
        <v>2</v>
      </c>
      <c r="I2570">
        <v>59</v>
      </c>
      <c r="K2570" t="s">
        <v>2386</v>
      </c>
      <c r="L2570">
        <v>20</v>
      </c>
      <c r="M2570" t="s">
        <v>3414</v>
      </c>
      <c r="N2570" t="s">
        <v>2388</v>
      </c>
      <c r="O2570">
        <v>1</v>
      </c>
    </row>
    <row r="2571" spans="2:15" x14ac:dyDescent="0.3">
      <c r="B2571">
        <v>2631</v>
      </c>
      <c r="D2571">
        <v>203</v>
      </c>
      <c r="E2571">
        <v>1328</v>
      </c>
      <c r="F2571">
        <v>1</v>
      </c>
      <c r="G2571">
        <v>69.490379467459306</v>
      </c>
      <c r="H2571">
        <v>2</v>
      </c>
      <c r="I2571">
        <v>59</v>
      </c>
      <c r="K2571" t="s">
        <v>2386</v>
      </c>
      <c r="L2571">
        <v>20</v>
      </c>
      <c r="M2571" t="s">
        <v>3415</v>
      </c>
      <c r="N2571" t="s">
        <v>2388</v>
      </c>
      <c r="O2571">
        <v>1</v>
      </c>
    </row>
    <row r="2572" spans="2:15" x14ac:dyDescent="0.3">
      <c r="B2572">
        <v>2632</v>
      </c>
      <c r="D2572">
        <v>1329</v>
      </c>
      <c r="E2572">
        <v>512</v>
      </c>
      <c r="F2572">
        <v>1</v>
      </c>
      <c r="G2572">
        <v>112.459857002826</v>
      </c>
      <c r="H2572">
        <v>2</v>
      </c>
      <c r="I2572">
        <v>59</v>
      </c>
      <c r="K2572" t="s">
        <v>2386</v>
      </c>
      <c r="L2572">
        <v>20</v>
      </c>
      <c r="M2572" t="s">
        <v>3416</v>
      </c>
      <c r="N2572" t="s">
        <v>2388</v>
      </c>
      <c r="O2572">
        <v>1</v>
      </c>
    </row>
    <row r="2573" spans="2:15" x14ac:dyDescent="0.3">
      <c r="B2573">
        <v>2633</v>
      </c>
      <c r="D2573">
        <v>512</v>
      </c>
      <c r="E2573">
        <v>1329</v>
      </c>
      <c r="F2573">
        <v>1</v>
      </c>
      <c r="G2573">
        <v>112.459857002826</v>
      </c>
      <c r="H2573">
        <v>2</v>
      </c>
      <c r="I2573">
        <v>59</v>
      </c>
      <c r="K2573" t="s">
        <v>2386</v>
      </c>
      <c r="L2573">
        <v>20</v>
      </c>
      <c r="M2573" t="s">
        <v>3417</v>
      </c>
      <c r="N2573" t="s">
        <v>2388</v>
      </c>
      <c r="O2573">
        <v>1</v>
      </c>
    </row>
    <row r="2574" spans="2:15" x14ac:dyDescent="0.3">
      <c r="B2574">
        <v>2634</v>
      </c>
      <c r="D2574">
        <v>1330</v>
      </c>
      <c r="E2574">
        <v>512</v>
      </c>
      <c r="F2574">
        <v>1</v>
      </c>
      <c r="G2574">
        <v>97.234369959350204</v>
      </c>
      <c r="H2574">
        <v>2</v>
      </c>
      <c r="I2574">
        <v>59</v>
      </c>
      <c r="K2574" t="s">
        <v>2386</v>
      </c>
      <c r="L2574">
        <v>20</v>
      </c>
      <c r="M2574" t="s">
        <v>3418</v>
      </c>
      <c r="N2574" t="s">
        <v>2388</v>
      </c>
      <c r="O2574">
        <v>1</v>
      </c>
    </row>
    <row r="2575" spans="2:15" x14ac:dyDescent="0.3">
      <c r="B2575">
        <v>2635</v>
      </c>
      <c r="D2575">
        <v>512</v>
      </c>
      <c r="E2575">
        <v>1330</v>
      </c>
      <c r="F2575">
        <v>1</v>
      </c>
      <c r="G2575">
        <v>97.234369959350204</v>
      </c>
      <c r="H2575">
        <v>2</v>
      </c>
      <c r="I2575">
        <v>59</v>
      </c>
      <c r="K2575" t="s">
        <v>2386</v>
      </c>
      <c r="L2575">
        <v>20</v>
      </c>
      <c r="M2575" t="s">
        <v>3419</v>
      </c>
      <c r="N2575" t="s">
        <v>2388</v>
      </c>
      <c r="O2575">
        <v>1</v>
      </c>
    </row>
    <row r="2576" spans="2:15" x14ac:dyDescent="0.3">
      <c r="B2576">
        <v>2636</v>
      </c>
      <c r="D2576">
        <v>1331</v>
      </c>
      <c r="E2576">
        <v>0</v>
      </c>
      <c r="F2576">
        <v>1</v>
      </c>
      <c r="G2576">
        <v>176.36250621539199</v>
      </c>
      <c r="H2576">
        <v>2</v>
      </c>
      <c r="I2576">
        <v>59</v>
      </c>
      <c r="K2576" t="s">
        <v>2386</v>
      </c>
      <c r="L2576">
        <v>20</v>
      </c>
      <c r="M2576" t="s">
        <v>3420</v>
      </c>
      <c r="N2576" t="s">
        <v>2388</v>
      </c>
      <c r="O2576">
        <v>1</v>
      </c>
    </row>
    <row r="2577" spans="2:15" x14ac:dyDescent="0.3">
      <c r="B2577">
        <v>2637</v>
      </c>
      <c r="D2577">
        <v>0</v>
      </c>
      <c r="E2577">
        <v>1331</v>
      </c>
      <c r="F2577">
        <v>1</v>
      </c>
      <c r="G2577">
        <v>176.36250621539199</v>
      </c>
      <c r="H2577">
        <v>2</v>
      </c>
      <c r="I2577">
        <v>59</v>
      </c>
      <c r="K2577" t="s">
        <v>2386</v>
      </c>
      <c r="L2577">
        <v>20</v>
      </c>
      <c r="M2577" t="s">
        <v>3421</v>
      </c>
      <c r="N2577" t="s">
        <v>2388</v>
      </c>
      <c r="O2577">
        <v>1</v>
      </c>
    </row>
    <row r="2578" spans="2:15" x14ac:dyDescent="0.3">
      <c r="B2578">
        <v>2638</v>
      </c>
      <c r="D2578">
        <v>1332</v>
      </c>
      <c r="E2578">
        <v>749</v>
      </c>
      <c r="F2578">
        <v>1</v>
      </c>
      <c r="G2578">
        <v>70.651154023165702</v>
      </c>
      <c r="H2578">
        <v>2</v>
      </c>
      <c r="I2578">
        <v>59</v>
      </c>
      <c r="K2578" t="s">
        <v>2386</v>
      </c>
      <c r="L2578">
        <v>20</v>
      </c>
      <c r="M2578" t="s">
        <v>3422</v>
      </c>
      <c r="N2578" t="s">
        <v>2388</v>
      </c>
      <c r="O2578">
        <v>1</v>
      </c>
    </row>
    <row r="2579" spans="2:15" x14ac:dyDescent="0.3">
      <c r="B2579">
        <v>2639</v>
      </c>
      <c r="D2579">
        <v>749</v>
      </c>
      <c r="E2579">
        <v>1332</v>
      </c>
      <c r="F2579">
        <v>1</v>
      </c>
      <c r="G2579">
        <v>70.651154023165702</v>
      </c>
      <c r="H2579">
        <v>2</v>
      </c>
      <c r="I2579">
        <v>59</v>
      </c>
      <c r="K2579" t="s">
        <v>2386</v>
      </c>
      <c r="L2579">
        <v>20</v>
      </c>
      <c r="M2579" t="s">
        <v>3423</v>
      </c>
      <c r="N2579" t="s">
        <v>2388</v>
      </c>
      <c r="O2579">
        <v>1</v>
      </c>
    </row>
    <row r="2580" spans="2:15" x14ac:dyDescent="0.3">
      <c r="B2580">
        <v>2640</v>
      </c>
      <c r="D2580">
        <v>1333</v>
      </c>
      <c r="E2580">
        <v>1951</v>
      </c>
      <c r="F2580">
        <v>1</v>
      </c>
      <c r="G2580">
        <v>28.340528689571698</v>
      </c>
      <c r="H2580">
        <v>2</v>
      </c>
      <c r="I2580">
        <v>59</v>
      </c>
      <c r="K2580" t="s">
        <v>2386</v>
      </c>
      <c r="L2580">
        <v>20</v>
      </c>
      <c r="M2580" t="s">
        <v>3424</v>
      </c>
      <c r="N2580" t="s">
        <v>2388</v>
      </c>
      <c r="O2580">
        <v>1</v>
      </c>
    </row>
    <row r="2581" spans="2:15" x14ac:dyDescent="0.3">
      <c r="B2581">
        <v>2641</v>
      </c>
      <c r="D2581">
        <v>1951</v>
      </c>
      <c r="E2581">
        <v>1333</v>
      </c>
      <c r="F2581">
        <v>1</v>
      </c>
      <c r="G2581">
        <v>28.340528689571698</v>
      </c>
      <c r="H2581">
        <v>2</v>
      </c>
      <c r="I2581">
        <v>59</v>
      </c>
      <c r="K2581" t="s">
        <v>2386</v>
      </c>
      <c r="L2581">
        <v>20</v>
      </c>
      <c r="M2581" t="s">
        <v>3425</v>
      </c>
      <c r="N2581" t="s">
        <v>2388</v>
      </c>
      <c r="O2581">
        <v>1</v>
      </c>
    </row>
    <row r="2582" spans="2:15" x14ac:dyDescent="0.3">
      <c r="B2582">
        <v>2642</v>
      </c>
      <c r="D2582">
        <v>1334</v>
      </c>
      <c r="E2582">
        <v>718</v>
      </c>
      <c r="F2582">
        <v>1</v>
      </c>
      <c r="G2582">
        <v>29.504992827952002</v>
      </c>
      <c r="H2582">
        <v>2</v>
      </c>
      <c r="I2582">
        <v>59</v>
      </c>
      <c r="K2582" t="s">
        <v>2386</v>
      </c>
      <c r="L2582">
        <v>20</v>
      </c>
      <c r="M2582" t="s">
        <v>3426</v>
      </c>
      <c r="N2582" t="s">
        <v>2388</v>
      </c>
      <c r="O2582">
        <v>1</v>
      </c>
    </row>
    <row r="2583" spans="2:15" x14ac:dyDescent="0.3">
      <c r="B2583">
        <v>2643</v>
      </c>
      <c r="D2583">
        <v>718</v>
      </c>
      <c r="E2583">
        <v>1334</v>
      </c>
      <c r="F2583">
        <v>1</v>
      </c>
      <c r="G2583">
        <v>29.504992827952002</v>
      </c>
      <c r="H2583">
        <v>2</v>
      </c>
      <c r="I2583">
        <v>59</v>
      </c>
      <c r="K2583" t="s">
        <v>2386</v>
      </c>
      <c r="L2583">
        <v>20</v>
      </c>
      <c r="M2583" t="s">
        <v>3427</v>
      </c>
      <c r="N2583" t="s">
        <v>2388</v>
      </c>
      <c r="O2583">
        <v>1</v>
      </c>
    </row>
    <row r="2584" spans="2:15" x14ac:dyDescent="0.3">
      <c r="B2584">
        <v>2644</v>
      </c>
      <c r="D2584">
        <v>1335</v>
      </c>
      <c r="E2584">
        <v>660</v>
      </c>
      <c r="F2584">
        <v>1</v>
      </c>
      <c r="G2584">
        <v>57.601854526161098</v>
      </c>
      <c r="H2584">
        <v>2</v>
      </c>
      <c r="I2584">
        <v>59</v>
      </c>
      <c r="K2584" t="s">
        <v>2386</v>
      </c>
      <c r="L2584">
        <v>20</v>
      </c>
      <c r="M2584" t="s">
        <v>3428</v>
      </c>
      <c r="N2584" t="s">
        <v>2388</v>
      </c>
      <c r="O2584">
        <v>1</v>
      </c>
    </row>
    <row r="2585" spans="2:15" x14ac:dyDescent="0.3">
      <c r="B2585">
        <v>2645</v>
      </c>
      <c r="D2585">
        <v>660</v>
      </c>
      <c r="E2585">
        <v>1335</v>
      </c>
      <c r="F2585">
        <v>1</v>
      </c>
      <c r="G2585">
        <v>57.601854526161098</v>
      </c>
      <c r="H2585">
        <v>2</v>
      </c>
      <c r="I2585">
        <v>59</v>
      </c>
      <c r="K2585" t="s">
        <v>2386</v>
      </c>
      <c r="L2585">
        <v>20</v>
      </c>
      <c r="M2585" t="s">
        <v>3429</v>
      </c>
      <c r="N2585" t="s">
        <v>2388</v>
      </c>
      <c r="O2585">
        <v>1</v>
      </c>
    </row>
    <row r="2586" spans="2:15" x14ac:dyDescent="0.3">
      <c r="B2586">
        <v>2646</v>
      </c>
      <c r="D2586">
        <v>1336</v>
      </c>
      <c r="E2586">
        <v>128</v>
      </c>
      <c r="F2586">
        <v>1</v>
      </c>
      <c r="G2586">
        <v>49.7649432272746</v>
      </c>
      <c r="H2586">
        <v>2</v>
      </c>
      <c r="I2586">
        <v>59</v>
      </c>
      <c r="K2586" t="s">
        <v>2386</v>
      </c>
      <c r="L2586">
        <v>20</v>
      </c>
      <c r="M2586" t="s">
        <v>3430</v>
      </c>
      <c r="N2586" t="s">
        <v>2388</v>
      </c>
      <c r="O2586">
        <v>1</v>
      </c>
    </row>
    <row r="2587" spans="2:15" x14ac:dyDescent="0.3">
      <c r="B2587">
        <v>2647</v>
      </c>
      <c r="D2587">
        <v>128</v>
      </c>
      <c r="E2587">
        <v>1336</v>
      </c>
      <c r="F2587">
        <v>1</v>
      </c>
      <c r="G2587">
        <v>49.7649432272746</v>
      </c>
      <c r="H2587">
        <v>2</v>
      </c>
      <c r="I2587">
        <v>59</v>
      </c>
      <c r="K2587" t="s">
        <v>2386</v>
      </c>
      <c r="L2587">
        <v>20</v>
      </c>
      <c r="M2587" t="s">
        <v>3431</v>
      </c>
      <c r="N2587" t="s">
        <v>2388</v>
      </c>
      <c r="O2587">
        <v>1</v>
      </c>
    </row>
    <row r="2588" spans="2:15" x14ac:dyDescent="0.3">
      <c r="B2588">
        <v>2648</v>
      </c>
      <c r="D2588">
        <v>1337</v>
      </c>
      <c r="E2588">
        <v>715</v>
      </c>
      <c r="F2588">
        <v>1</v>
      </c>
      <c r="G2588">
        <v>19.323543991391201</v>
      </c>
      <c r="H2588">
        <v>2</v>
      </c>
      <c r="I2588">
        <v>59</v>
      </c>
      <c r="K2588" t="s">
        <v>2386</v>
      </c>
      <c r="L2588">
        <v>20</v>
      </c>
      <c r="M2588" t="s">
        <v>3432</v>
      </c>
      <c r="N2588" t="s">
        <v>2388</v>
      </c>
      <c r="O2588">
        <v>1</v>
      </c>
    </row>
    <row r="2589" spans="2:15" x14ac:dyDescent="0.3">
      <c r="B2589">
        <v>2649</v>
      </c>
      <c r="D2589">
        <v>715</v>
      </c>
      <c r="E2589">
        <v>1337</v>
      </c>
      <c r="F2589">
        <v>1</v>
      </c>
      <c r="G2589">
        <v>19.323543991391201</v>
      </c>
      <c r="H2589">
        <v>2</v>
      </c>
      <c r="I2589">
        <v>59</v>
      </c>
      <c r="K2589" t="s">
        <v>2386</v>
      </c>
      <c r="L2589">
        <v>20</v>
      </c>
      <c r="M2589" t="s">
        <v>3433</v>
      </c>
      <c r="N2589" t="s">
        <v>2388</v>
      </c>
      <c r="O2589">
        <v>1</v>
      </c>
    </row>
    <row r="2590" spans="2:15" x14ac:dyDescent="0.3">
      <c r="B2590">
        <v>2650</v>
      </c>
      <c r="D2590">
        <v>1338</v>
      </c>
      <c r="E2590">
        <v>715</v>
      </c>
      <c r="F2590">
        <v>1</v>
      </c>
      <c r="G2590">
        <v>14.1132171339457</v>
      </c>
      <c r="H2590">
        <v>2</v>
      </c>
      <c r="I2590">
        <v>59</v>
      </c>
      <c r="K2590" t="s">
        <v>2386</v>
      </c>
      <c r="L2590">
        <v>20</v>
      </c>
      <c r="M2590" t="s">
        <v>3434</v>
      </c>
      <c r="N2590" t="s">
        <v>2388</v>
      </c>
      <c r="O2590">
        <v>1</v>
      </c>
    </row>
    <row r="2591" spans="2:15" x14ac:dyDescent="0.3">
      <c r="B2591">
        <v>2651</v>
      </c>
      <c r="D2591">
        <v>715</v>
      </c>
      <c r="E2591">
        <v>1338</v>
      </c>
      <c r="F2591">
        <v>1</v>
      </c>
      <c r="G2591">
        <v>14.1132171339457</v>
      </c>
      <c r="H2591">
        <v>2</v>
      </c>
      <c r="I2591">
        <v>59</v>
      </c>
      <c r="K2591" t="s">
        <v>2386</v>
      </c>
      <c r="L2591">
        <v>20</v>
      </c>
      <c r="M2591" t="s">
        <v>3435</v>
      </c>
      <c r="N2591" t="s">
        <v>2388</v>
      </c>
      <c r="O2591">
        <v>1</v>
      </c>
    </row>
    <row r="2592" spans="2:15" x14ac:dyDescent="0.3">
      <c r="B2592">
        <v>2652</v>
      </c>
      <c r="D2592">
        <v>1339</v>
      </c>
      <c r="E2592">
        <v>641</v>
      </c>
      <c r="F2592">
        <v>1</v>
      </c>
      <c r="G2592">
        <v>25.7899194498235</v>
      </c>
      <c r="H2592">
        <v>2</v>
      </c>
      <c r="I2592">
        <v>59</v>
      </c>
      <c r="K2592" t="s">
        <v>2386</v>
      </c>
      <c r="L2592">
        <v>20</v>
      </c>
      <c r="M2592" t="s">
        <v>3436</v>
      </c>
      <c r="N2592" t="s">
        <v>2388</v>
      </c>
      <c r="O2592">
        <v>1</v>
      </c>
    </row>
    <row r="2593" spans="2:15" x14ac:dyDescent="0.3">
      <c r="B2593">
        <v>2653</v>
      </c>
      <c r="D2593">
        <v>641</v>
      </c>
      <c r="E2593">
        <v>1339</v>
      </c>
      <c r="F2593">
        <v>1</v>
      </c>
      <c r="G2593">
        <v>25.7899194498235</v>
      </c>
      <c r="H2593">
        <v>2</v>
      </c>
      <c r="I2593">
        <v>59</v>
      </c>
      <c r="K2593" t="s">
        <v>2386</v>
      </c>
      <c r="L2593">
        <v>20</v>
      </c>
      <c r="M2593" t="s">
        <v>3437</v>
      </c>
      <c r="N2593" t="s">
        <v>2388</v>
      </c>
      <c r="O2593">
        <v>1</v>
      </c>
    </row>
    <row r="2594" spans="2:15" x14ac:dyDescent="0.3">
      <c r="B2594">
        <v>2654</v>
      </c>
      <c r="D2594">
        <v>1340</v>
      </c>
      <c r="E2594">
        <v>641</v>
      </c>
      <c r="F2594">
        <v>1</v>
      </c>
      <c r="G2594">
        <v>13.759452557416299</v>
      </c>
      <c r="H2594">
        <v>2</v>
      </c>
      <c r="I2594">
        <v>59</v>
      </c>
      <c r="K2594" t="s">
        <v>2386</v>
      </c>
      <c r="L2594">
        <v>20</v>
      </c>
      <c r="M2594" t="s">
        <v>3438</v>
      </c>
      <c r="N2594" t="s">
        <v>2388</v>
      </c>
      <c r="O2594">
        <v>1</v>
      </c>
    </row>
    <row r="2595" spans="2:15" x14ac:dyDescent="0.3">
      <c r="B2595">
        <v>2655</v>
      </c>
      <c r="D2595">
        <v>641</v>
      </c>
      <c r="E2595">
        <v>1340</v>
      </c>
      <c r="F2595">
        <v>1</v>
      </c>
      <c r="G2595">
        <v>13.759452557416299</v>
      </c>
      <c r="H2595">
        <v>2</v>
      </c>
      <c r="I2595">
        <v>59</v>
      </c>
      <c r="K2595" t="s">
        <v>2386</v>
      </c>
      <c r="L2595">
        <v>20</v>
      </c>
      <c r="M2595" t="s">
        <v>3439</v>
      </c>
      <c r="N2595" t="s">
        <v>2388</v>
      </c>
      <c r="O2595">
        <v>1</v>
      </c>
    </row>
    <row r="2596" spans="2:15" x14ac:dyDescent="0.3">
      <c r="B2596">
        <v>2656</v>
      </c>
      <c r="D2596">
        <v>1341</v>
      </c>
      <c r="E2596">
        <v>641</v>
      </c>
      <c r="F2596">
        <v>1</v>
      </c>
      <c r="G2596">
        <v>20.526906811961901</v>
      </c>
      <c r="H2596">
        <v>2</v>
      </c>
      <c r="I2596">
        <v>59</v>
      </c>
      <c r="K2596" t="s">
        <v>2386</v>
      </c>
      <c r="L2596">
        <v>20</v>
      </c>
      <c r="M2596" t="s">
        <v>3440</v>
      </c>
      <c r="N2596" t="s">
        <v>2388</v>
      </c>
      <c r="O2596">
        <v>1</v>
      </c>
    </row>
    <row r="2597" spans="2:15" x14ac:dyDescent="0.3">
      <c r="B2597">
        <v>2657</v>
      </c>
      <c r="D2597">
        <v>641</v>
      </c>
      <c r="E2597">
        <v>1341</v>
      </c>
      <c r="F2597">
        <v>1</v>
      </c>
      <c r="G2597">
        <v>20.526906811961901</v>
      </c>
      <c r="H2597">
        <v>2</v>
      </c>
      <c r="I2597">
        <v>59</v>
      </c>
      <c r="K2597" t="s">
        <v>2386</v>
      </c>
      <c r="L2597">
        <v>20</v>
      </c>
      <c r="M2597" t="s">
        <v>3441</v>
      </c>
      <c r="N2597" t="s">
        <v>2388</v>
      </c>
      <c r="O2597">
        <v>1</v>
      </c>
    </row>
    <row r="2598" spans="2:15" x14ac:dyDescent="0.3">
      <c r="B2598">
        <v>2658</v>
      </c>
      <c r="D2598">
        <v>1342</v>
      </c>
      <c r="E2598">
        <v>715</v>
      </c>
      <c r="F2598">
        <v>1</v>
      </c>
      <c r="G2598">
        <v>22.2076530923901</v>
      </c>
      <c r="H2598">
        <v>2</v>
      </c>
      <c r="I2598">
        <v>59</v>
      </c>
      <c r="K2598" t="s">
        <v>2386</v>
      </c>
      <c r="L2598">
        <v>20</v>
      </c>
      <c r="M2598" t="s">
        <v>3442</v>
      </c>
      <c r="N2598" t="s">
        <v>2388</v>
      </c>
      <c r="O2598">
        <v>1</v>
      </c>
    </row>
    <row r="2599" spans="2:15" x14ac:dyDescent="0.3">
      <c r="B2599">
        <v>2659</v>
      </c>
      <c r="D2599">
        <v>715</v>
      </c>
      <c r="E2599">
        <v>1342</v>
      </c>
      <c r="F2599">
        <v>1</v>
      </c>
      <c r="G2599">
        <v>22.2076530923901</v>
      </c>
      <c r="H2599">
        <v>2</v>
      </c>
      <c r="I2599">
        <v>59</v>
      </c>
      <c r="K2599" t="s">
        <v>2386</v>
      </c>
      <c r="L2599">
        <v>20</v>
      </c>
      <c r="M2599" t="s">
        <v>3443</v>
      </c>
      <c r="N2599" t="s">
        <v>2388</v>
      </c>
      <c r="O2599">
        <v>1</v>
      </c>
    </row>
    <row r="2600" spans="2:15" x14ac:dyDescent="0.3">
      <c r="B2600">
        <v>2660</v>
      </c>
      <c r="D2600">
        <v>1343</v>
      </c>
      <c r="E2600">
        <v>715</v>
      </c>
      <c r="F2600">
        <v>1</v>
      </c>
      <c r="G2600">
        <v>31.619193644968</v>
      </c>
      <c r="H2600">
        <v>2</v>
      </c>
      <c r="I2600">
        <v>59</v>
      </c>
      <c r="K2600" t="s">
        <v>2386</v>
      </c>
      <c r="L2600">
        <v>20</v>
      </c>
      <c r="M2600" t="s">
        <v>3444</v>
      </c>
      <c r="N2600" t="s">
        <v>2388</v>
      </c>
      <c r="O2600">
        <v>1</v>
      </c>
    </row>
    <row r="2601" spans="2:15" x14ac:dyDescent="0.3">
      <c r="B2601">
        <v>2661</v>
      </c>
      <c r="D2601">
        <v>715</v>
      </c>
      <c r="E2601">
        <v>1343</v>
      </c>
      <c r="F2601">
        <v>1</v>
      </c>
      <c r="G2601">
        <v>31.619193644968</v>
      </c>
      <c r="H2601">
        <v>2</v>
      </c>
      <c r="I2601">
        <v>59</v>
      </c>
      <c r="K2601" t="s">
        <v>2386</v>
      </c>
      <c r="L2601">
        <v>20</v>
      </c>
      <c r="M2601" t="s">
        <v>3445</v>
      </c>
      <c r="N2601" t="s">
        <v>2388</v>
      </c>
      <c r="O2601">
        <v>1</v>
      </c>
    </row>
    <row r="2602" spans="2:15" x14ac:dyDescent="0.3">
      <c r="B2602">
        <v>2662</v>
      </c>
      <c r="D2602">
        <v>1344</v>
      </c>
      <c r="E2602">
        <v>641</v>
      </c>
      <c r="F2602">
        <v>1</v>
      </c>
      <c r="G2602">
        <v>23.625146848986201</v>
      </c>
      <c r="H2602">
        <v>2</v>
      </c>
      <c r="I2602">
        <v>59</v>
      </c>
      <c r="K2602" t="s">
        <v>2386</v>
      </c>
      <c r="L2602">
        <v>20</v>
      </c>
      <c r="M2602" t="s">
        <v>3446</v>
      </c>
      <c r="N2602" t="s">
        <v>2388</v>
      </c>
      <c r="O2602">
        <v>1</v>
      </c>
    </row>
    <row r="2603" spans="2:15" x14ac:dyDescent="0.3">
      <c r="B2603">
        <v>2663</v>
      </c>
      <c r="D2603">
        <v>641</v>
      </c>
      <c r="E2603">
        <v>1344</v>
      </c>
      <c r="F2603">
        <v>1</v>
      </c>
      <c r="G2603">
        <v>23.625146848986201</v>
      </c>
      <c r="H2603">
        <v>2</v>
      </c>
      <c r="I2603">
        <v>59</v>
      </c>
      <c r="K2603" t="s">
        <v>2386</v>
      </c>
      <c r="L2603">
        <v>20</v>
      </c>
      <c r="M2603" t="s">
        <v>3447</v>
      </c>
      <c r="N2603" t="s">
        <v>2388</v>
      </c>
      <c r="O2603">
        <v>1</v>
      </c>
    </row>
    <row r="2604" spans="2:15" x14ac:dyDescent="0.3">
      <c r="B2604">
        <v>2664</v>
      </c>
      <c r="D2604">
        <v>1345</v>
      </c>
      <c r="E2604">
        <v>196</v>
      </c>
      <c r="F2604">
        <v>1</v>
      </c>
      <c r="G2604">
        <v>29.264632461505698</v>
      </c>
      <c r="H2604">
        <v>2</v>
      </c>
      <c r="I2604">
        <v>59</v>
      </c>
      <c r="K2604" t="s">
        <v>2386</v>
      </c>
      <c r="L2604">
        <v>20</v>
      </c>
      <c r="M2604" t="s">
        <v>3448</v>
      </c>
      <c r="N2604" t="s">
        <v>2388</v>
      </c>
      <c r="O2604">
        <v>1</v>
      </c>
    </row>
    <row r="2605" spans="2:15" x14ac:dyDescent="0.3">
      <c r="B2605">
        <v>2665</v>
      </c>
      <c r="D2605">
        <v>196</v>
      </c>
      <c r="E2605">
        <v>1345</v>
      </c>
      <c r="F2605">
        <v>1</v>
      </c>
      <c r="G2605">
        <v>29.264632461505698</v>
      </c>
      <c r="H2605">
        <v>2</v>
      </c>
      <c r="I2605">
        <v>59</v>
      </c>
      <c r="K2605" t="s">
        <v>2386</v>
      </c>
      <c r="L2605">
        <v>20</v>
      </c>
      <c r="M2605" t="s">
        <v>3449</v>
      </c>
      <c r="N2605" t="s">
        <v>2388</v>
      </c>
      <c r="O2605">
        <v>1</v>
      </c>
    </row>
    <row r="2606" spans="2:15" x14ac:dyDescent="0.3">
      <c r="B2606">
        <v>2666</v>
      </c>
      <c r="D2606">
        <v>1346</v>
      </c>
      <c r="E2606">
        <v>641</v>
      </c>
      <c r="F2606">
        <v>1</v>
      </c>
      <c r="G2606">
        <v>47.656243045184603</v>
      </c>
      <c r="H2606">
        <v>2</v>
      </c>
      <c r="I2606">
        <v>59</v>
      </c>
      <c r="K2606" t="s">
        <v>2386</v>
      </c>
      <c r="L2606">
        <v>20</v>
      </c>
      <c r="M2606" t="s">
        <v>3450</v>
      </c>
      <c r="N2606" t="s">
        <v>2388</v>
      </c>
      <c r="O2606">
        <v>1</v>
      </c>
    </row>
    <row r="2607" spans="2:15" x14ac:dyDescent="0.3">
      <c r="B2607">
        <v>2667</v>
      </c>
      <c r="D2607">
        <v>641</v>
      </c>
      <c r="E2607">
        <v>1346</v>
      </c>
      <c r="F2607">
        <v>1</v>
      </c>
      <c r="G2607">
        <v>47.656243045184603</v>
      </c>
      <c r="H2607">
        <v>2</v>
      </c>
      <c r="I2607">
        <v>59</v>
      </c>
      <c r="K2607" t="s">
        <v>2386</v>
      </c>
      <c r="L2607">
        <v>20</v>
      </c>
      <c r="M2607" t="s">
        <v>3451</v>
      </c>
      <c r="N2607" t="s">
        <v>2388</v>
      </c>
      <c r="O2607">
        <v>1</v>
      </c>
    </row>
    <row r="2608" spans="2:15" x14ac:dyDescent="0.3">
      <c r="B2608">
        <v>2668</v>
      </c>
      <c r="D2608">
        <v>1347</v>
      </c>
      <c r="E2608">
        <v>641</v>
      </c>
      <c r="F2608">
        <v>1</v>
      </c>
      <c r="G2608">
        <v>44.740787653196797</v>
      </c>
      <c r="H2608">
        <v>2</v>
      </c>
      <c r="I2608">
        <v>59</v>
      </c>
      <c r="K2608" t="s">
        <v>2386</v>
      </c>
      <c r="L2608">
        <v>20</v>
      </c>
      <c r="M2608" t="s">
        <v>3452</v>
      </c>
      <c r="N2608" t="s">
        <v>2388</v>
      </c>
      <c r="O2608">
        <v>1</v>
      </c>
    </row>
    <row r="2609" spans="2:15" x14ac:dyDescent="0.3">
      <c r="B2609">
        <v>2669</v>
      </c>
      <c r="D2609">
        <v>641</v>
      </c>
      <c r="E2609">
        <v>1347</v>
      </c>
      <c r="F2609">
        <v>1</v>
      </c>
      <c r="G2609">
        <v>44.740787653196797</v>
      </c>
      <c r="H2609">
        <v>2</v>
      </c>
      <c r="I2609">
        <v>59</v>
      </c>
      <c r="K2609" t="s">
        <v>2386</v>
      </c>
      <c r="L2609">
        <v>20</v>
      </c>
      <c r="M2609" t="s">
        <v>3453</v>
      </c>
      <c r="N2609" t="s">
        <v>2388</v>
      </c>
      <c r="O2609">
        <v>1</v>
      </c>
    </row>
    <row r="2610" spans="2:15" x14ac:dyDescent="0.3">
      <c r="B2610">
        <v>2670</v>
      </c>
      <c r="D2610">
        <v>1348</v>
      </c>
      <c r="E2610">
        <v>715</v>
      </c>
      <c r="F2610">
        <v>1</v>
      </c>
      <c r="G2610">
        <v>50.155013900258197</v>
      </c>
      <c r="H2610">
        <v>2</v>
      </c>
      <c r="I2610">
        <v>59</v>
      </c>
      <c r="K2610" t="s">
        <v>2386</v>
      </c>
      <c r="L2610">
        <v>20</v>
      </c>
      <c r="M2610" t="s">
        <v>3454</v>
      </c>
      <c r="N2610" t="s">
        <v>2388</v>
      </c>
      <c r="O2610">
        <v>1</v>
      </c>
    </row>
    <row r="2611" spans="2:15" x14ac:dyDescent="0.3">
      <c r="B2611">
        <v>2671</v>
      </c>
      <c r="D2611">
        <v>715</v>
      </c>
      <c r="E2611">
        <v>1348</v>
      </c>
      <c r="F2611">
        <v>1</v>
      </c>
      <c r="G2611">
        <v>50.155013900258197</v>
      </c>
      <c r="H2611">
        <v>2</v>
      </c>
      <c r="I2611">
        <v>59</v>
      </c>
      <c r="K2611" t="s">
        <v>2386</v>
      </c>
      <c r="L2611">
        <v>20</v>
      </c>
      <c r="M2611" t="s">
        <v>3455</v>
      </c>
      <c r="N2611" t="s">
        <v>2388</v>
      </c>
      <c r="O2611">
        <v>1</v>
      </c>
    </row>
    <row r="2612" spans="2:15" x14ac:dyDescent="0.3">
      <c r="B2612">
        <v>2672</v>
      </c>
      <c r="D2612">
        <v>1349</v>
      </c>
      <c r="E2612">
        <v>715</v>
      </c>
      <c r="F2612">
        <v>1</v>
      </c>
      <c r="G2612">
        <v>43.570523167514899</v>
      </c>
      <c r="H2612">
        <v>2</v>
      </c>
      <c r="I2612">
        <v>59</v>
      </c>
      <c r="K2612" t="s">
        <v>2386</v>
      </c>
      <c r="L2612">
        <v>20</v>
      </c>
      <c r="M2612" t="s">
        <v>3456</v>
      </c>
      <c r="N2612" t="s">
        <v>2388</v>
      </c>
      <c r="O2612">
        <v>1</v>
      </c>
    </row>
    <row r="2613" spans="2:15" x14ac:dyDescent="0.3">
      <c r="B2613">
        <v>2673</v>
      </c>
      <c r="D2613">
        <v>715</v>
      </c>
      <c r="E2613">
        <v>1349</v>
      </c>
      <c r="F2613">
        <v>1</v>
      </c>
      <c r="G2613">
        <v>43.570523167514899</v>
      </c>
      <c r="H2613">
        <v>2</v>
      </c>
      <c r="I2613">
        <v>59</v>
      </c>
      <c r="K2613" t="s">
        <v>2386</v>
      </c>
      <c r="L2613">
        <v>20</v>
      </c>
      <c r="M2613" t="s">
        <v>3457</v>
      </c>
      <c r="N2613" t="s">
        <v>2388</v>
      </c>
      <c r="O2613">
        <v>1</v>
      </c>
    </row>
    <row r="2614" spans="2:15" x14ac:dyDescent="0.3">
      <c r="B2614">
        <v>2674</v>
      </c>
      <c r="D2614">
        <v>1350</v>
      </c>
      <c r="E2614">
        <v>183</v>
      </c>
      <c r="F2614">
        <v>1</v>
      </c>
      <c r="G2614">
        <v>21.1226323472779</v>
      </c>
      <c r="H2614">
        <v>2</v>
      </c>
      <c r="I2614">
        <v>59</v>
      </c>
      <c r="K2614" t="s">
        <v>2386</v>
      </c>
      <c r="L2614">
        <v>20</v>
      </c>
      <c r="M2614" t="s">
        <v>3458</v>
      </c>
      <c r="N2614" t="s">
        <v>2388</v>
      </c>
      <c r="O2614">
        <v>1</v>
      </c>
    </row>
    <row r="2615" spans="2:15" x14ac:dyDescent="0.3">
      <c r="B2615">
        <v>2675</v>
      </c>
      <c r="D2615">
        <v>183</v>
      </c>
      <c r="E2615">
        <v>1350</v>
      </c>
      <c r="F2615">
        <v>1</v>
      </c>
      <c r="G2615">
        <v>21.1226323472779</v>
      </c>
      <c r="H2615">
        <v>2</v>
      </c>
      <c r="I2615">
        <v>59</v>
      </c>
      <c r="K2615" t="s">
        <v>2386</v>
      </c>
      <c r="L2615">
        <v>20</v>
      </c>
      <c r="M2615" t="s">
        <v>3459</v>
      </c>
      <c r="N2615" t="s">
        <v>2388</v>
      </c>
      <c r="O2615">
        <v>1</v>
      </c>
    </row>
    <row r="2616" spans="2:15" x14ac:dyDescent="0.3">
      <c r="B2616">
        <v>2676</v>
      </c>
      <c r="D2616">
        <v>1351</v>
      </c>
      <c r="E2616">
        <v>246</v>
      </c>
      <c r="F2616">
        <v>1</v>
      </c>
      <c r="G2616">
        <v>56.669265831122203</v>
      </c>
      <c r="H2616">
        <v>2</v>
      </c>
      <c r="I2616">
        <v>59</v>
      </c>
      <c r="K2616" t="s">
        <v>2386</v>
      </c>
      <c r="L2616">
        <v>20</v>
      </c>
      <c r="M2616" t="s">
        <v>3460</v>
      </c>
      <c r="N2616" t="s">
        <v>2388</v>
      </c>
      <c r="O2616">
        <v>1</v>
      </c>
    </row>
    <row r="2617" spans="2:15" x14ac:dyDescent="0.3">
      <c r="B2617">
        <v>2677</v>
      </c>
      <c r="D2617">
        <v>246</v>
      </c>
      <c r="E2617">
        <v>1351</v>
      </c>
      <c r="F2617">
        <v>1</v>
      </c>
      <c r="G2617">
        <v>56.669265831122203</v>
      </c>
      <c r="H2617">
        <v>2</v>
      </c>
      <c r="I2617">
        <v>59</v>
      </c>
      <c r="K2617" t="s">
        <v>2386</v>
      </c>
      <c r="L2617">
        <v>20</v>
      </c>
      <c r="M2617" t="s">
        <v>3461</v>
      </c>
      <c r="N2617" t="s">
        <v>2388</v>
      </c>
      <c r="O2617">
        <v>1</v>
      </c>
    </row>
    <row r="2618" spans="2:15" x14ac:dyDescent="0.3">
      <c r="B2618">
        <v>2678</v>
      </c>
      <c r="D2618">
        <v>1352</v>
      </c>
      <c r="E2618">
        <v>247</v>
      </c>
      <c r="F2618">
        <v>1</v>
      </c>
      <c r="G2618">
        <v>44.603231543865597</v>
      </c>
      <c r="H2618">
        <v>2</v>
      </c>
      <c r="I2618">
        <v>59</v>
      </c>
      <c r="K2618" t="s">
        <v>2386</v>
      </c>
      <c r="L2618">
        <v>20</v>
      </c>
      <c r="M2618" t="s">
        <v>3462</v>
      </c>
      <c r="N2618" t="s">
        <v>2388</v>
      </c>
      <c r="O2618">
        <v>1</v>
      </c>
    </row>
    <row r="2619" spans="2:15" x14ac:dyDescent="0.3">
      <c r="B2619">
        <v>2679</v>
      </c>
      <c r="D2619">
        <v>247</v>
      </c>
      <c r="E2619">
        <v>1352</v>
      </c>
      <c r="F2619">
        <v>1</v>
      </c>
      <c r="G2619">
        <v>44.603231543865597</v>
      </c>
      <c r="H2619">
        <v>2</v>
      </c>
      <c r="I2619">
        <v>59</v>
      </c>
      <c r="K2619" t="s">
        <v>2386</v>
      </c>
      <c r="L2619">
        <v>20</v>
      </c>
      <c r="M2619" t="s">
        <v>3463</v>
      </c>
      <c r="N2619" t="s">
        <v>2388</v>
      </c>
      <c r="O2619">
        <v>1</v>
      </c>
    </row>
    <row r="2620" spans="2:15" x14ac:dyDescent="0.3">
      <c r="B2620">
        <v>2680</v>
      </c>
      <c r="D2620">
        <v>1353</v>
      </c>
      <c r="E2620">
        <v>646</v>
      </c>
      <c r="F2620">
        <v>1</v>
      </c>
      <c r="G2620">
        <v>23.464551268556399</v>
      </c>
      <c r="H2620">
        <v>2</v>
      </c>
      <c r="I2620">
        <v>59</v>
      </c>
      <c r="K2620" t="s">
        <v>2386</v>
      </c>
      <c r="L2620">
        <v>20</v>
      </c>
      <c r="M2620" t="s">
        <v>3464</v>
      </c>
      <c r="N2620" t="s">
        <v>2388</v>
      </c>
      <c r="O2620">
        <v>1</v>
      </c>
    </row>
    <row r="2621" spans="2:15" x14ac:dyDescent="0.3">
      <c r="B2621">
        <v>2681</v>
      </c>
      <c r="D2621">
        <v>646</v>
      </c>
      <c r="E2621">
        <v>1353</v>
      </c>
      <c r="F2621">
        <v>1</v>
      </c>
      <c r="G2621">
        <v>23.464551268556399</v>
      </c>
      <c r="H2621">
        <v>2</v>
      </c>
      <c r="I2621">
        <v>59</v>
      </c>
      <c r="K2621" t="s">
        <v>2386</v>
      </c>
      <c r="L2621">
        <v>20</v>
      </c>
      <c r="M2621" t="s">
        <v>3465</v>
      </c>
      <c r="N2621" t="s">
        <v>2388</v>
      </c>
      <c r="O2621">
        <v>1</v>
      </c>
    </row>
    <row r="2622" spans="2:15" x14ac:dyDescent="0.3">
      <c r="B2622">
        <v>2682</v>
      </c>
      <c r="D2622">
        <v>1354</v>
      </c>
      <c r="E2622">
        <v>528</v>
      </c>
      <c r="F2622">
        <v>1</v>
      </c>
      <c r="G2622">
        <v>41.618445091399998</v>
      </c>
      <c r="H2622">
        <v>2</v>
      </c>
      <c r="I2622">
        <v>59</v>
      </c>
      <c r="K2622" t="s">
        <v>2386</v>
      </c>
      <c r="L2622">
        <v>20</v>
      </c>
      <c r="M2622" t="s">
        <v>3466</v>
      </c>
      <c r="N2622" t="s">
        <v>2388</v>
      </c>
      <c r="O2622">
        <v>1</v>
      </c>
    </row>
    <row r="2623" spans="2:15" x14ac:dyDescent="0.3">
      <c r="B2623">
        <v>2683</v>
      </c>
      <c r="D2623">
        <v>528</v>
      </c>
      <c r="E2623">
        <v>1354</v>
      </c>
      <c r="F2623">
        <v>1</v>
      </c>
      <c r="G2623">
        <v>41.618445091399998</v>
      </c>
      <c r="H2623">
        <v>2</v>
      </c>
      <c r="I2623">
        <v>59</v>
      </c>
      <c r="K2623" t="s">
        <v>2386</v>
      </c>
      <c r="L2623">
        <v>20</v>
      </c>
      <c r="M2623" t="s">
        <v>3467</v>
      </c>
      <c r="N2623" t="s">
        <v>2388</v>
      </c>
      <c r="O2623">
        <v>1</v>
      </c>
    </row>
    <row r="2624" spans="2:15" x14ac:dyDescent="0.3">
      <c r="B2624">
        <v>2684</v>
      </c>
      <c r="D2624">
        <v>1355</v>
      </c>
      <c r="E2624">
        <v>111</v>
      </c>
      <c r="F2624">
        <v>1</v>
      </c>
      <c r="G2624">
        <v>66.160943810024506</v>
      </c>
      <c r="H2624">
        <v>2</v>
      </c>
      <c r="I2624">
        <v>59</v>
      </c>
      <c r="K2624" t="s">
        <v>2386</v>
      </c>
      <c r="L2624">
        <v>20</v>
      </c>
      <c r="M2624" t="s">
        <v>3468</v>
      </c>
      <c r="N2624" t="s">
        <v>2388</v>
      </c>
      <c r="O2624">
        <v>1</v>
      </c>
    </row>
    <row r="2625" spans="2:15" x14ac:dyDescent="0.3">
      <c r="B2625">
        <v>2685</v>
      </c>
      <c r="D2625">
        <v>111</v>
      </c>
      <c r="E2625">
        <v>1355</v>
      </c>
      <c r="F2625">
        <v>1</v>
      </c>
      <c r="G2625">
        <v>66.160943810024506</v>
      </c>
      <c r="H2625">
        <v>2</v>
      </c>
      <c r="I2625">
        <v>59</v>
      </c>
      <c r="K2625" t="s">
        <v>2386</v>
      </c>
      <c r="L2625">
        <v>20</v>
      </c>
      <c r="M2625" t="s">
        <v>3469</v>
      </c>
      <c r="N2625" t="s">
        <v>2388</v>
      </c>
      <c r="O2625">
        <v>1</v>
      </c>
    </row>
    <row r="2626" spans="2:15" x14ac:dyDescent="0.3">
      <c r="B2626">
        <v>2686</v>
      </c>
      <c r="D2626">
        <v>1356</v>
      </c>
      <c r="E2626">
        <v>458</v>
      </c>
      <c r="F2626">
        <v>1</v>
      </c>
      <c r="G2626">
        <v>44.960562895646198</v>
      </c>
      <c r="H2626">
        <v>2</v>
      </c>
      <c r="I2626">
        <v>59</v>
      </c>
      <c r="K2626" t="s">
        <v>2386</v>
      </c>
      <c r="L2626">
        <v>20</v>
      </c>
      <c r="M2626" t="s">
        <v>3470</v>
      </c>
      <c r="N2626" t="s">
        <v>2388</v>
      </c>
      <c r="O2626">
        <v>1</v>
      </c>
    </row>
    <row r="2627" spans="2:15" x14ac:dyDescent="0.3">
      <c r="B2627">
        <v>2687</v>
      </c>
      <c r="D2627">
        <v>458</v>
      </c>
      <c r="E2627">
        <v>1356</v>
      </c>
      <c r="F2627">
        <v>1</v>
      </c>
      <c r="G2627">
        <v>44.960562895646198</v>
      </c>
      <c r="H2627">
        <v>2</v>
      </c>
      <c r="I2627">
        <v>59</v>
      </c>
      <c r="K2627" t="s">
        <v>2386</v>
      </c>
      <c r="L2627">
        <v>20</v>
      </c>
      <c r="M2627" t="s">
        <v>3471</v>
      </c>
      <c r="N2627" t="s">
        <v>2388</v>
      </c>
      <c r="O2627">
        <v>1</v>
      </c>
    </row>
    <row r="2628" spans="2:15" x14ac:dyDescent="0.3">
      <c r="B2628">
        <v>2688</v>
      </c>
      <c r="D2628">
        <v>1357</v>
      </c>
      <c r="E2628">
        <v>1961</v>
      </c>
      <c r="F2628">
        <v>1</v>
      </c>
      <c r="G2628">
        <v>29.7714538470949</v>
      </c>
      <c r="H2628">
        <v>2</v>
      </c>
      <c r="I2628">
        <v>59</v>
      </c>
      <c r="K2628" t="s">
        <v>2386</v>
      </c>
      <c r="L2628">
        <v>20</v>
      </c>
      <c r="M2628" t="s">
        <v>3472</v>
      </c>
      <c r="N2628" t="s">
        <v>2388</v>
      </c>
      <c r="O2628">
        <v>1</v>
      </c>
    </row>
    <row r="2629" spans="2:15" x14ac:dyDescent="0.3">
      <c r="B2629">
        <v>2689</v>
      </c>
      <c r="D2629">
        <v>1961</v>
      </c>
      <c r="E2629">
        <v>1357</v>
      </c>
      <c r="F2629">
        <v>1</v>
      </c>
      <c r="G2629">
        <v>29.7714538470949</v>
      </c>
      <c r="H2629">
        <v>2</v>
      </c>
      <c r="I2629">
        <v>59</v>
      </c>
      <c r="K2629" t="s">
        <v>2386</v>
      </c>
      <c r="L2629">
        <v>20</v>
      </c>
      <c r="M2629" t="s">
        <v>3473</v>
      </c>
      <c r="N2629" t="s">
        <v>2388</v>
      </c>
      <c r="O2629">
        <v>1</v>
      </c>
    </row>
    <row r="2630" spans="2:15" x14ac:dyDescent="0.3">
      <c r="B2630">
        <v>2690</v>
      </c>
      <c r="D2630">
        <v>1358</v>
      </c>
      <c r="E2630">
        <v>458</v>
      </c>
      <c r="F2630">
        <v>1</v>
      </c>
      <c r="G2630">
        <v>34.261355574164497</v>
      </c>
      <c r="H2630">
        <v>2</v>
      </c>
      <c r="I2630">
        <v>59</v>
      </c>
      <c r="K2630" t="s">
        <v>2386</v>
      </c>
      <c r="L2630">
        <v>20</v>
      </c>
      <c r="M2630" t="s">
        <v>3474</v>
      </c>
      <c r="N2630" t="s">
        <v>2388</v>
      </c>
      <c r="O2630">
        <v>1</v>
      </c>
    </row>
    <row r="2631" spans="2:15" x14ac:dyDescent="0.3">
      <c r="B2631">
        <v>2691</v>
      </c>
      <c r="D2631">
        <v>458</v>
      </c>
      <c r="E2631">
        <v>1358</v>
      </c>
      <c r="F2631">
        <v>1</v>
      </c>
      <c r="G2631">
        <v>34.261355574164497</v>
      </c>
      <c r="H2631">
        <v>2</v>
      </c>
      <c r="I2631">
        <v>59</v>
      </c>
      <c r="K2631" t="s">
        <v>2386</v>
      </c>
      <c r="L2631">
        <v>20</v>
      </c>
      <c r="M2631" t="s">
        <v>3475</v>
      </c>
      <c r="N2631" t="s">
        <v>2388</v>
      </c>
      <c r="O2631">
        <v>1</v>
      </c>
    </row>
    <row r="2632" spans="2:15" x14ac:dyDescent="0.3">
      <c r="B2632">
        <v>2692</v>
      </c>
      <c r="D2632">
        <v>1359</v>
      </c>
      <c r="E2632">
        <v>461</v>
      </c>
      <c r="F2632">
        <v>1</v>
      </c>
      <c r="G2632">
        <v>22.8613574985554</v>
      </c>
      <c r="H2632">
        <v>2</v>
      </c>
      <c r="I2632">
        <v>59</v>
      </c>
      <c r="K2632" t="s">
        <v>2386</v>
      </c>
      <c r="L2632">
        <v>20</v>
      </c>
      <c r="M2632" t="s">
        <v>3476</v>
      </c>
      <c r="N2632" t="s">
        <v>2388</v>
      </c>
      <c r="O2632">
        <v>1</v>
      </c>
    </row>
    <row r="2633" spans="2:15" x14ac:dyDescent="0.3">
      <c r="B2633">
        <v>2693</v>
      </c>
      <c r="D2633">
        <v>461</v>
      </c>
      <c r="E2633">
        <v>1359</v>
      </c>
      <c r="F2633">
        <v>1</v>
      </c>
      <c r="G2633">
        <v>22.8613574985554</v>
      </c>
      <c r="H2633">
        <v>2</v>
      </c>
      <c r="I2633">
        <v>59</v>
      </c>
      <c r="K2633" t="s">
        <v>2386</v>
      </c>
      <c r="L2633">
        <v>20</v>
      </c>
      <c r="M2633" t="s">
        <v>3477</v>
      </c>
      <c r="N2633" t="s">
        <v>2388</v>
      </c>
      <c r="O2633">
        <v>1</v>
      </c>
    </row>
    <row r="2634" spans="2:15" x14ac:dyDescent="0.3">
      <c r="B2634">
        <v>2694</v>
      </c>
      <c r="D2634">
        <v>1360</v>
      </c>
      <c r="E2634">
        <v>461</v>
      </c>
      <c r="F2634">
        <v>1</v>
      </c>
      <c r="G2634">
        <v>20.846656336881399</v>
      </c>
      <c r="H2634">
        <v>2</v>
      </c>
      <c r="I2634">
        <v>59</v>
      </c>
      <c r="K2634" t="s">
        <v>2386</v>
      </c>
      <c r="L2634">
        <v>20</v>
      </c>
      <c r="M2634" t="s">
        <v>3478</v>
      </c>
      <c r="N2634" t="s">
        <v>2388</v>
      </c>
      <c r="O2634">
        <v>1</v>
      </c>
    </row>
    <row r="2635" spans="2:15" x14ac:dyDescent="0.3">
      <c r="B2635">
        <v>2695</v>
      </c>
      <c r="D2635">
        <v>461</v>
      </c>
      <c r="E2635">
        <v>1360</v>
      </c>
      <c r="F2635">
        <v>1</v>
      </c>
      <c r="G2635">
        <v>20.846656336881399</v>
      </c>
      <c r="H2635">
        <v>2</v>
      </c>
      <c r="I2635">
        <v>59</v>
      </c>
      <c r="K2635" t="s">
        <v>2386</v>
      </c>
      <c r="L2635">
        <v>20</v>
      </c>
      <c r="M2635" t="s">
        <v>3479</v>
      </c>
      <c r="N2635" t="s">
        <v>2388</v>
      </c>
      <c r="O2635">
        <v>1</v>
      </c>
    </row>
    <row r="2636" spans="2:15" x14ac:dyDescent="0.3">
      <c r="B2636">
        <v>2696</v>
      </c>
      <c r="D2636">
        <v>1361</v>
      </c>
      <c r="E2636">
        <v>461</v>
      </c>
      <c r="F2636">
        <v>1</v>
      </c>
      <c r="G2636">
        <v>42.078563658431101</v>
      </c>
      <c r="H2636">
        <v>2</v>
      </c>
      <c r="I2636">
        <v>59</v>
      </c>
      <c r="K2636" t="s">
        <v>2386</v>
      </c>
      <c r="L2636">
        <v>20</v>
      </c>
      <c r="M2636" t="s">
        <v>3480</v>
      </c>
      <c r="N2636" t="s">
        <v>2388</v>
      </c>
      <c r="O2636">
        <v>1</v>
      </c>
    </row>
    <row r="2637" spans="2:15" x14ac:dyDescent="0.3">
      <c r="B2637">
        <v>2697</v>
      </c>
      <c r="D2637">
        <v>461</v>
      </c>
      <c r="E2637">
        <v>1361</v>
      </c>
      <c r="F2637">
        <v>1</v>
      </c>
      <c r="G2637">
        <v>42.078563658431101</v>
      </c>
      <c r="H2637">
        <v>2</v>
      </c>
      <c r="I2637">
        <v>59</v>
      </c>
      <c r="K2637" t="s">
        <v>2386</v>
      </c>
      <c r="L2637">
        <v>20</v>
      </c>
      <c r="M2637" t="s">
        <v>3481</v>
      </c>
      <c r="N2637" t="s">
        <v>2388</v>
      </c>
      <c r="O2637">
        <v>1</v>
      </c>
    </row>
    <row r="2638" spans="2:15" x14ac:dyDescent="0.3">
      <c r="B2638">
        <v>2698</v>
      </c>
      <c r="D2638">
        <v>1362</v>
      </c>
      <c r="E2638">
        <v>648</v>
      </c>
      <c r="F2638">
        <v>1</v>
      </c>
      <c r="G2638">
        <v>127.21400567795099</v>
      </c>
      <c r="H2638">
        <v>2</v>
      </c>
      <c r="I2638">
        <v>59</v>
      </c>
      <c r="K2638" t="s">
        <v>2386</v>
      </c>
      <c r="L2638">
        <v>20</v>
      </c>
      <c r="M2638" t="s">
        <v>3482</v>
      </c>
      <c r="N2638" t="s">
        <v>2388</v>
      </c>
      <c r="O2638">
        <v>1</v>
      </c>
    </row>
    <row r="2639" spans="2:15" x14ac:dyDescent="0.3">
      <c r="B2639">
        <v>2699</v>
      </c>
      <c r="D2639">
        <v>648</v>
      </c>
      <c r="E2639">
        <v>1362</v>
      </c>
      <c r="F2639">
        <v>1</v>
      </c>
      <c r="G2639">
        <v>127.21400567795099</v>
      </c>
      <c r="H2639">
        <v>2</v>
      </c>
      <c r="I2639">
        <v>59</v>
      </c>
      <c r="K2639" t="s">
        <v>2386</v>
      </c>
      <c r="L2639">
        <v>20</v>
      </c>
      <c r="M2639" t="s">
        <v>3483</v>
      </c>
      <c r="N2639" t="s">
        <v>2388</v>
      </c>
      <c r="O2639">
        <v>1</v>
      </c>
    </row>
    <row r="2640" spans="2:15" x14ac:dyDescent="0.3">
      <c r="B2640">
        <v>2700</v>
      </c>
      <c r="D2640">
        <v>1363</v>
      </c>
      <c r="E2640">
        <v>150</v>
      </c>
      <c r="F2640">
        <v>1</v>
      </c>
      <c r="G2640">
        <v>51.126373239589299</v>
      </c>
      <c r="H2640">
        <v>2</v>
      </c>
      <c r="I2640">
        <v>59</v>
      </c>
      <c r="K2640" t="s">
        <v>2386</v>
      </c>
      <c r="L2640">
        <v>20</v>
      </c>
      <c r="M2640" t="s">
        <v>3484</v>
      </c>
      <c r="N2640" t="s">
        <v>2388</v>
      </c>
      <c r="O2640">
        <v>1</v>
      </c>
    </row>
    <row r="2641" spans="2:15" x14ac:dyDescent="0.3">
      <c r="B2641">
        <v>2701</v>
      </c>
      <c r="D2641">
        <v>150</v>
      </c>
      <c r="E2641">
        <v>1363</v>
      </c>
      <c r="F2641">
        <v>1</v>
      </c>
      <c r="G2641">
        <v>51.126373239589299</v>
      </c>
      <c r="H2641">
        <v>2</v>
      </c>
      <c r="I2641">
        <v>59</v>
      </c>
      <c r="K2641" t="s">
        <v>2386</v>
      </c>
      <c r="L2641">
        <v>20</v>
      </c>
      <c r="M2641" t="s">
        <v>3485</v>
      </c>
      <c r="N2641" t="s">
        <v>2388</v>
      </c>
      <c r="O2641">
        <v>1</v>
      </c>
    </row>
    <row r="2642" spans="2:15" x14ac:dyDescent="0.3">
      <c r="B2642">
        <v>2702</v>
      </c>
      <c r="D2642">
        <v>1364</v>
      </c>
      <c r="E2642">
        <v>137</v>
      </c>
      <c r="F2642">
        <v>1</v>
      </c>
      <c r="G2642">
        <v>39.1719325521439</v>
      </c>
      <c r="H2642">
        <v>2</v>
      </c>
      <c r="I2642">
        <v>59</v>
      </c>
      <c r="K2642" t="s">
        <v>2386</v>
      </c>
      <c r="L2642">
        <v>20</v>
      </c>
      <c r="M2642" t="s">
        <v>3486</v>
      </c>
      <c r="N2642" t="s">
        <v>2388</v>
      </c>
      <c r="O2642">
        <v>1</v>
      </c>
    </row>
    <row r="2643" spans="2:15" x14ac:dyDescent="0.3">
      <c r="B2643">
        <v>2703</v>
      </c>
      <c r="D2643">
        <v>137</v>
      </c>
      <c r="E2643">
        <v>1364</v>
      </c>
      <c r="F2643">
        <v>1</v>
      </c>
      <c r="G2643">
        <v>39.1719325521439</v>
      </c>
      <c r="H2643">
        <v>2</v>
      </c>
      <c r="I2643">
        <v>59</v>
      </c>
      <c r="K2643" t="s">
        <v>2386</v>
      </c>
      <c r="L2643">
        <v>20</v>
      </c>
      <c r="M2643" t="s">
        <v>3487</v>
      </c>
      <c r="N2643" t="s">
        <v>2388</v>
      </c>
      <c r="O2643">
        <v>1</v>
      </c>
    </row>
    <row r="2644" spans="2:15" x14ac:dyDescent="0.3">
      <c r="B2644">
        <v>2704</v>
      </c>
      <c r="D2644">
        <v>1365</v>
      </c>
      <c r="E2644">
        <v>135</v>
      </c>
      <c r="F2644">
        <v>1</v>
      </c>
      <c r="G2644">
        <v>121.57912127792299</v>
      </c>
      <c r="H2644">
        <v>2</v>
      </c>
      <c r="I2644">
        <v>59</v>
      </c>
      <c r="K2644" t="s">
        <v>2386</v>
      </c>
      <c r="L2644">
        <v>20</v>
      </c>
      <c r="M2644" t="s">
        <v>3488</v>
      </c>
      <c r="N2644" t="s">
        <v>2388</v>
      </c>
      <c r="O2644">
        <v>1</v>
      </c>
    </row>
    <row r="2645" spans="2:15" x14ac:dyDescent="0.3">
      <c r="B2645">
        <v>2705</v>
      </c>
      <c r="D2645">
        <v>135</v>
      </c>
      <c r="E2645">
        <v>1365</v>
      </c>
      <c r="F2645">
        <v>1</v>
      </c>
      <c r="G2645">
        <v>121.57912127792299</v>
      </c>
      <c r="H2645">
        <v>2</v>
      </c>
      <c r="I2645">
        <v>59</v>
      </c>
      <c r="K2645" t="s">
        <v>2386</v>
      </c>
      <c r="L2645">
        <v>20</v>
      </c>
      <c r="M2645" t="s">
        <v>3489</v>
      </c>
      <c r="N2645" t="s">
        <v>2388</v>
      </c>
      <c r="O2645">
        <v>1</v>
      </c>
    </row>
    <row r="2646" spans="2:15" x14ac:dyDescent="0.3">
      <c r="B2646">
        <v>2706</v>
      </c>
      <c r="D2646">
        <v>1366</v>
      </c>
      <c r="E2646">
        <v>135</v>
      </c>
      <c r="F2646">
        <v>1</v>
      </c>
      <c r="G2646">
        <v>218.03875227800199</v>
      </c>
      <c r="H2646">
        <v>2</v>
      </c>
      <c r="I2646">
        <v>59</v>
      </c>
      <c r="K2646" t="s">
        <v>2386</v>
      </c>
      <c r="L2646">
        <v>20</v>
      </c>
      <c r="M2646" t="s">
        <v>3490</v>
      </c>
      <c r="N2646" t="s">
        <v>2388</v>
      </c>
      <c r="O2646">
        <v>1</v>
      </c>
    </row>
    <row r="2647" spans="2:15" x14ac:dyDescent="0.3">
      <c r="B2647">
        <v>2707</v>
      </c>
      <c r="D2647">
        <v>135</v>
      </c>
      <c r="E2647">
        <v>1366</v>
      </c>
      <c r="F2647">
        <v>1</v>
      </c>
      <c r="G2647">
        <v>218.03875227800199</v>
      </c>
      <c r="H2647">
        <v>2</v>
      </c>
      <c r="I2647">
        <v>59</v>
      </c>
      <c r="K2647" t="s">
        <v>2386</v>
      </c>
      <c r="L2647">
        <v>20</v>
      </c>
      <c r="M2647" t="s">
        <v>3491</v>
      </c>
      <c r="N2647" t="s">
        <v>2388</v>
      </c>
      <c r="O2647">
        <v>1</v>
      </c>
    </row>
    <row r="2648" spans="2:15" x14ac:dyDescent="0.3">
      <c r="B2648">
        <v>2708</v>
      </c>
      <c r="D2648">
        <v>1367</v>
      </c>
      <c r="E2648">
        <v>135</v>
      </c>
      <c r="F2648">
        <v>1</v>
      </c>
      <c r="G2648">
        <v>175.15043661221</v>
      </c>
      <c r="H2648">
        <v>2</v>
      </c>
      <c r="I2648">
        <v>59</v>
      </c>
      <c r="K2648" t="s">
        <v>2386</v>
      </c>
      <c r="L2648">
        <v>20</v>
      </c>
      <c r="M2648" t="s">
        <v>3492</v>
      </c>
      <c r="N2648" t="s">
        <v>2388</v>
      </c>
      <c r="O2648">
        <v>1</v>
      </c>
    </row>
    <row r="2649" spans="2:15" x14ac:dyDescent="0.3">
      <c r="B2649">
        <v>2709</v>
      </c>
      <c r="D2649">
        <v>135</v>
      </c>
      <c r="E2649">
        <v>1367</v>
      </c>
      <c r="F2649">
        <v>1</v>
      </c>
      <c r="G2649">
        <v>175.15043661221</v>
      </c>
      <c r="H2649">
        <v>2</v>
      </c>
      <c r="I2649">
        <v>59</v>
      </c>
      <c r="K2649" t="s">
        <v>2386</v>
      </c>
      <c r="L2649">
        <v>20</v>
      </c>
      <c r="M2649" t="s">
        <v>3493</v>
      </c>
      <c r="N2649" t="s">
        <v>2388</v>
      </c>
      <c r="O2649">
        <v>1</v>
      </c>
    </row>
    <row r="2650" spans="2:15" x14ac:dyDescent="0.3">
      <c r="B2650">
        <v>2710</v>
      </c>
      <c r="D2650">
        <v>1368</v>
      </c>
      <c r="E2650">
        <v>135</v>
      </c>
      <c r="F2650">
        <v>1</v>
      </c>
      <c r="G2650">
        <v>143.317317340199</v>
      </c>
      <c r="H2650">
        <v>2</v>
      </c>
      <c r="I2650">
        <v>59</v>
      </c>
      <c r="K2650" t="s">
        <v>2386</v>
      </c>
      <c r="L2650">
        <v>20</v>
      </c>
      <c r="M2650" t="s">
        <v>3494</v>
      </c>
      <c r="N2650" t="s">
        <v>2388</v>
      </c>
      <c r="O2650">
        <v>1</v>
      </c>
    </row>
    <row r="2651" spans="2:15" x14ac:dyDescent="0.3">
      <c r="B2651">
        <v>2711</v>
      </c>
      <c r="D2651">
        <v>135</v>
      </c>
      <c r="E2651">
        <v>1368</v>
      </c>
      <c r="F2651">
        <v>1</v>
      </c>
      <c r="G2651">
        <v>143.317317340199</v>
      </c>
      <c r="H2651">
        <v>2</v>
      </c>
      <c r="I2651">
        <v>59</v>
      </c>
      <c r="K2651" t="s">
        <v>2386</v>
      </c>
      <c r="L2651">
        <v>20</v>
      </c>
      <c r="M2651" t="s">
        <v>3495</v>
      </c>
      <c r="N2651" t="s">
        <v>2388</v>
      </c>
      <c r="O2651">
        <v>1</v>
      </c>
    </row>
    <row r="2652" spans="2:15" x14ac:dyDescent="0.3">
      <c r="B2652">
        <v>2712</v>
      </c>
      <c r="D2652">
        <v>1369</v>
      </c>
      <c r="E2652">
        <v>135</v>
      </c>
      <c r="F2652">
        <v>1</v>
      </c>
      <c r="G2652">
        <v>199.59424552799601</v>
      </c>
      <c r="H2652">
        <v>2</v>
      </c>
      <c r="I2652">
        <v>59</v>
      </c>
      <c r="K2652" t="s">
        <v>2386</v>
      </c>
      <c r="L2652">
        <v>20</v>
      </c>
      <c r="M2652" t="s">
        <v>3496</v>
      </c>
      <c r="N2652" t="s">
        <v>2388</v>
      </c>
      <c r="O2652">
        <v>1</v>
      </c>
    </row>
    <row r="2653" spans="2:15" x14ac:dyDescent="0.3">
      <c r="B2653">
        <v>2713</v>
      </c>
      <c r="D2653">
        <v>135</v>
      </c>
      <c r="E2653">
        <v>1369</v>
      </c>
      <c r="F2653">
        <v>1</v>
      </c>
      <c r="G2653">
        <v>199.59424552799601</v>
      </c>
      <c r="H2653">
        <v>2</v>
      </c>
      <c r="I2653">
        <v>59</v>
      </c>
      <c r="K2653" t="s">
        <v>2386</v>
      </c>
      <c r="L2653">
        <v>20</v>
      </c>
      <c r="M2653" t="s">
        <v>3497</v>
      </c>
      <c r="N2653" t="s">
        <v>2388</v>
      </c>
      <c r="O2653">
        <v>1</v>
      </c>
    </row>
    <row r="2654" spans="2:15" x14ac:dyDescent="0.3">
      <c r="B2654">
        <v>2714</v>
      </c>
      <c r="D2654">
        <v>1370</v>
      </c>
      <c r="E2654">
        <v>491</v>
      </c>
      <c r="F2654">
        <v>1</v>
      </c>
      <c r="G2654">
        <v>193.539960455954</v>
      </c>
      <c r="H2654">
        <v>2</v>
      </c>
      <c r="I2654">
        <v>59</v>
      </c>
      <c r="K2654" t="s">
        <v>2386</v>
      </c>
      <c r="L2654">
        <v>20</v>
      </c>
      <c r="M2654" t="s">
        <v>3498</v>
      </c>
      <c r="N2654" t="s">
        <v>2388</v>
      </c>
      <c r="O2654">
        <v>1</v>
      </c>
    </row>
    <row r="2655" spans="2:15" x14ac:dyDescent="0.3">
      <c r="B2655">
        <v>2715</v>
      </c>
      <c r="D2655">
        <v>491</v>
      </c>
      <c r="E2655">
        <v>1370</v>
      </c>
      <c r="F2655">
        <v>1</v>
      </c>
      <c r="G2655">
        <v>193.539960455954</v>
      </c>
      <c r="H2655">
        <v>2</v>
      </c>
      <c r="I2655">
        <v>59</v>
      </c>
      <c r="K2655" t="s">
        <v>2386</v>
      </c>
      <c r="L2655">
        <v>20</v>
      </c>
      <c r="M2655" t="s">
        <v>3499</v>
      </c>
      <c r="N2655" t="s">
        <v>2388</v>
      </c>
      <c r="O2655">
        <v>1</v>
      </c>
    </row>
    <row r="2656" spans="2:15" x14ac:dyDescent="0.3">
      <c r="B2656">
        <v>2716</v>
      </c>
      <c r="D2656">
        <v>1371</v>
      </c>
      <c r="E2656">
        <v>491</v>
      </c>
      <c r="F2656">
        <v>1</v>
      </c>
      <c r="G2656">
        <v>161.24033669461099</v>
      </c>
      <c r="H2656">
        <v>2</v>
      </c>
      <c r="I2656">
        <v>59</v>
      </c>
      <c r="K2656" t="s">
        <v>2386</v>
      </c>
      <c r="L2656">
        <v>20</v>
      </c>
      <c r="M2656" t="s">
        <v>3500</v>
      </c>
      <c r="N2656" t="s">
        <v>2388</v>
      </c>
      <c r="O2656">
        <v>1</v>
      </c>
    </row>
    <row r="2657" spans="2:15" x14ac:dyDescent="0.3">
      <c r="B2657">
        <v>2717</v>
      </c>
      <c r="D2657">
        <v>491</v>
      </c>
      <c r="E2657">
        <v>1371</v>
      </c>
      <c r="F2657">
        <v>1</v>
      </c>
      <c r="G2657">
        <v>161.24033669461099</v>
      </c>
      <c r="H2657">
        <v>2</v>
      </c>
      <c r="I2657">
        <v>59</v>
      </c>
      <c r="K2657" t="s">
        <v>2386</v>
      </c>
      <c r="L2657">
        <v>20</v>
      </c>
      <c r="M2657" t="s">
        <v>3501</v>
      </c>
      <c r="N2657" t="s">
        <v>2388</v>
      </c>
      <c r="O2657">
        <v>1</v>
      </c>
    </row>
    <row r="2658" spans="2:15" x14ac:dyDescent="0.3">
      <c r="B2658">
        <v>2718</v>
      </c>
      <c r="D2658">
        <v>1372</v>
      </c>
      <c r="E2658">
        <v>491</v>
      </c>
      <c r="F2658">
        <v>1</v>
      </c>
      <c r="G2658">
        <v>170.93234784519601</v>
      </c>
      <c r="H2658">
        <v>2</v>
      </c>
      <c r="I2658">
        <v>59</v>
      </c>
      <c r="K2658" t="s">
        <v>2386</v>
      </c>
      <c r="L2658">
        <v>20</v>
      </c>
      <c r="M2658" t="s">
        <v>3502</v>
      </c>
      <c r="N2658" t="s">
        <v>2388</v>
      </c>
      <c r="O2658">
        <v>1</v>
      </c>
    </row>
    <row r="2659" spans="2:15" x14ac:dyDescent="0.3">
      <c r="B2659">
        <v>2719</v>
      </c>
      <c r="D2659">
        <v>491</v>
      </c>
      <c r="E2659">
        <v>1372</v>
      </c>
      <c r="F2659">
        <v>1</v>
      </c>
      <c r="G2659">
        <v>170.93234784519601</v>
      </c>
      <c r="H2659">
        <v>2</v>
      </c>
      <c r="I2659">
        <v>59</v>
      </c>
      <c r="K2659" t="s">
        <v>2386</v>
      </c>
      <c r="L2659">
        <v>20</v>
      </c>
      <c r="M2659" t="s">
        <v>3503</v>
      </c>
      <c r="N2659" t="s">
        <v>2388</v>
      </c>
      <c r="O2659">
        <v>1</v>
      </c>
    </row>
    <row r="2660" spans="2:15" x14ac:dyDescent="0.3">
      <c r="B2660">
        <v>2720</v>
      </c>
      <c r="D2660">
        <v>1373</v>
      </c>
      <c r="E2660">
        <v>135</v>
      </c>
      <c r="F2660">
        <v>1</v>
      </c>
      <c r="G2660">
        <v>167.38242486235501</v>
      </c>
      <c r="H2660">
        <v>2</v>
      </c>
      <c r="I2660">
        <v>59</v>
      </c>
      <c r="K2660" t="s">
        <v>2386</v>
      </c>
      <c r="L2660">
        <v>20</v>
      </c>
      <c r="M2660" t="s">
        <v>3504</v>
      </c>
      <c r="N2660" t="s">
        <v>2388</v>
      </c>
      <c r="O2660">
        <v>1</v>
      </c>
    </row>
    <row r="2661" spans="2:15" x14ac:dyDescent="0.3">
      <c r="B2661">
        <v>2721</v>
      </c>
      <c r="D2661">
        <v>135</v>
      </c>
      <c r="E2661">
        <v>1373</v>
      </c>
      <c r="F2661">
        <v>1</v>
      </c>
      <c r="G2661">
        <v>167.38242486235501</v>
      </c>
      <c r="H2661">
        <v>2</v>
      </c>
      <c r="I2661">
        <v>59</v>
      </c>
      <c r="K2661" t="s">
        <v>2386</v>
      </c>
      <c r="L2661">
        <v>20</v>
      </c>
      <c r="M2661" t="s">
        <v>3505</v>
      </c>
      <c r="N2661" t="s">
        <v>2388</v>
      </c>
      <c r="O2661">
        <v>1</v>
      </c>
    </row>
    <row r="2662" spans="2:15" x14ac:dyDescent="0.3">
      <c r="B2662">
        <v>2722</v>
      </c>
      <c r="D2662">
        <v>1374</v>
      </c>
      <c r="E2662">
        <v>135</v>
      </c>
      <c r="F2662">
        <v>1</v>
      </c>
      <c r="G2662">
        <v>123.834352508905</v>
      </c>
      <c r="H2662">
        <v>2</v>
      </c>
      <c r="I2662">
        <v>59</v>
      </c>
      <c r="K2662" t="s">
        <v>2386</v>
      </c>
      <c r="L2662">
        <v>20</v>
      </c>
      <c r="M2662" t="s">
        <v>3506</v>
      </c>
      <c r="N2662" t="s">
        <v>2388</v>
      </c>
      <c r="O2662">
        <v>1</v>
      </c>
    </row>
    <row r="2663" spans="2:15" x14ac:dyDescent="0.3">
      <c r="B2663">
        <v>2723</v>
      </c>
      <c r="D2663">
        <v>135</v>
      </c>
      <c r="E2663">
        <v>1374</v>
      </c>
      <c r="F2663">
        <v>1</v>
      </c>
      <c r="G2663">
        <v>123.834352508905</v>
      </c>
      <c r="H2663">
        <v>2</v>
      </c>
      <c r="I2663">
        <v>59</v>
      </c>
      <c r="K2663" t="s">
        <v>2386</v>
      </c>
      <c r="L2663">
        <v>20</v>
      </c>
      <c r="M2663" t="s">
        <v>3507</v>
      </c>
      <c r="N2663" t="s">
        <v>2388</v>
      </c>
      <c r="O2663">
        <v>1</v>
      </c>
    </row>
    <row r="2664" spans="2:15" x14ac:dyDescent="0.3">
      <c r="B2664">
        <v>2724</v>
      </c>
      <c r="D2664">
        <v>1375</v>
      </c>
      <c r="E2664">
        <v>135</v>
      </c>
      <c r="F2664">
        <v>1</v>
      </c>
      <c r="G2664">
        <v>94.815730487055504</v>
      </c>
      <c r="H2664">
        <v>2</v>
      </c>
      <c r="I2664">
        <v>59</v>
      </c>
      <c r="K2664" t="s">
        <v>2386</v>
      </c>
      <c r="L2664">
        <v>20</v>
      </c>
      <c r="M2664" t="s">
        <v>3508</v>
      </c>
      <c r="N2664" t="s">
        <v>2388</v>
      </c>
      <c r="O2664">
        <v>1</v>
      </c>
    </row>
    <row r="2665" spans="2:15" x14ac:dyDescent="0.3">
      <c r="B2665">
        <v>2725</v>
      </c>
      <c r="D2665">
        <v>135</v>
      </c>
      <c r="E2665">
        <v>1375</v>
      </c>
      <c r="F2665">
        <v>1</v>
      </c>
      <c r="G2665">
        <v>94.815730487055504</v>
      </c>
      <c r="H2665">
        <v>2</v>
      </c>
      <c r="I2665">
        <v>59</v>
      </c>
      <c r="K2665" t="s">
        <v>2386</v>
      </c>
      <c r="L2665">
        <v>20</v>
      </c>
      <c r="M2665" t="s">
        <v>3509</v>
      </c>
      <c r="N2665" t="s">
        <v>2388</v>
      </c>
      <c r="O2665">
        <v>1</v>
      </c>
    </row>
    <row r="2666" spans="2:15" x14ac:dyDescent="0.3">
      <c r="B2666">
        <v>2726</v>
      </c>
      <c r="D2666">
        <v>1376</v>
      </c>
      <c r="E2666">
        <v>135</v>
      </c>
      <c r="F2666">
        <v>1</v>
      </c>
      <c r="G2666">
        <v>155.85317239196399</v>
      </c>
      <c r="H2666">
        <v>2</v>
      </c>
      <c r="I2666">
        <v>59</v>
      </c>
      <c r="K2666" t="s">
        <v>2386</v>
      </c>
      <c r="L2666">
        <v>20</v>
      </c>
      <c r="M2666" t="s">
        <v>3510</v>
      </c>
      <c r="N2666" t="s">
        <v>2388</v>
      </c>
      <c r="O2666">
        <v>1</v>
      </c>
    </row>
    <row r="2667" spans="2:15" x14ac:dyDescent="0.3">
      <c r="B2667">
        <v>2727</v>
      </c>
      <c r="D2667">
        <v>135</v>
      </c>
      <c r="E2667">
        <v>1376</v>
      </c>
      <c r="F2667">
        <v>1</v>
      </c>
      <c r="G2667">
        <v>155.85317239196399</v>
      </c>
      <c r="H2667">
        <v>2</v>
      </c>
      <c r="I2667">
        <v>59</v>
      </c>
      <c r="K2667" t="s">
        <v>2386</v>
      </c>
      <c r="L2667">
        <v>20</v>
      </c>
      <c r="M2667" t="s">
        <v>3511</v>
      </c>
      <c r="N2667" t="s">
        <v>2388</v>
      </c>
      <c r="O2667">
        <v>1</v>
      </c>
    </row>
    <row r="2668" spans="2:15" x14ac:dyDescent="0.3">
      <c r="B2668">
        <v>2728</v>
      </c>
      <c r="D2668">
        <v>1377</v>
      </c>
      <c r="E2668">
        <v>491</v>
      </c>
      <c r="F2668">
        <v>1</v>
      </c>
      <c r="G2668">
        <v>179.30031112773199</v>
      </c>
      <c r="H2668">
        <v>2</v>
      </c>
      <c r="I2668">
        <v>59</v>
      </c>
      <c r="K2668" t="s">
        <v>2386</v>
      </c>
      <c r="L2668">
        <v>20</v>
      </c>
      <c r="M2668" t="s">
        <v>3512</v>
      </c>
      <c r="N2668" t="s">
        <v>2388</v>
      </c>
      <c r="O2668">
        <v>1</v>
      </c>
    </row>
    <row r="2669" spans="2:15" x14ac:dyDescent="0.3">
      <c r="B2669">
        <v>2729</v>
      </c>
      <c r="D2669">
        <v>491</v>
      </c>
      <c r="E2669">
        <v>1377</v>
      </c>
      <c r="F2669">
        <v>1</v>
      </c>
      <c r="G2669">
        <v>179.30031112773199</v>
      </c>
      <c r="H2669">
        <v>2</v>
      </c>
      <c r="I2669">
        <v>59</v>
      </c>
      <c r="K2669" t="s">
        <v>2386</v>
      </c>
      <c r="L2669">
        <v>20</v>
      </c>
      <c r="M2669" t="s">
        <v>3513</v>
      </c>
      <c r="N2669" t="s">
        <v>2388</v>
      </c>
      <c r="O2669">
        <v>1</v>
      </c>
    </row>
    <row r="2670" spans="2:15" x14ac:dyDescent="0.3">
      <c r="B2670">
        <v>2730</v>
      </c>
      <c r="D2670">
        <v>1378</v>
      </c>
      <c r="E2670">
        <v>374</v>
      </c>
      <c r="F2670">
        <v>1</v>
      </c>
      <c r="G2670">
        <v>161.77284854933501</v>
      </c>
      <c r="H2670">
        <v>2</v>
      </c>
      <c r="I2670">
        <v>59</v>
      </c>
      <c r="K2670" t="s">
        <v>2386</v>
      </c>
      <c r="L2670">
        <v>20</v>
      </c>
      <c r="M2670" t="s">
        <v>3514</v>
      </c>
      <c r="N2670" t="s">
        <v>2388</v>
      </c>
      <c r="O2670">
        <v>1</v>
      </c>
    </row>
    <row r="2671" spans="2:15" x14ac:dyDescent="0.3">
      <c r="B2671">
        <v>2731</v>
      </c>
      <c r="D2671">
        <v>374</v>
      </c>
      <c r="E2671">
        <v>1378</v>
      </c>
      <c r="F2671">
        <v>1</v>
      </c>
      <c r="G2671">
        <v>161.77284854933501</v>
      </c>
      <c r="H2671">
        <v>2</v>
      </c>
      <c r="I2671">
        <v>59</v>
      </c>
      <c r="K2671" t="s">
        <v>2386</v>
      </c>
      <c r="L2671">
        <v>20</v>
      </c>
      <c r="M2671" t="s">
        <v>3515</v>
      </c>
      <c r="N2671" t="s">
        <v>2388</v>
      </c>
      <c r="O2671">
        <v>1</v>
      </c>
    </row>
    <row r="2672" spans="2:15" x14ac:dyDescent="0.3">
      <c r="B2672">
        <v>2732</v>
      </c>
      <c r="D2672">
        <v>1379</v>
      </c>
      <c r="E2672">
        <v>689</v>
      </c>
      <c r="F2672">
        <v>1</v>
      </c>
      <c r="G2672">
        <v>26.2637941696408</v>
      </c>
      <c r="H2672">
        <v>2</v>
      </c>
      <c r="I2672">
        <v>59</v>
      </c>
      <c r="K2672" t="s">
        <v>2386</v>
      </c>
      <c r="L2672">
        <v>20</v>
      </c>
      <c r="M2672" t="s">
        <v>3516</v>
      </c>
      <c r="N2672" t="s">
        <v>2388</v>
      </c>
      <c r="O2672">
        <v>1</v>
      </c>
    </row>
    <row r="2673" spans="2:15" x14ac:dyDescent="0.3">
      <c r="B2673">
        <v>2733</v>
      </c>
      <c r="D2673">
        <v>689</v>
      </c>
      <c r="E2673">
        <v>1379</v>
      </c>
      <c r="F2673">
        <v>1</v>
      </c>
      <c r="G2673">
        <v>26.2637941696408</v>
      </c>
      <c r="H2673">
        <v>2</v>
      </c>
      <c r="I2673">
        <v>59</v>
      </c>
      <c r="K2673" t="s">
        <v>2386</v>
      </c>
      <c r="L2673">
        <v>20</v>
      </c>
      <c r="M2673" t="s">
        <v>3517</v>
      </c>
      <c r="N2673" t="s">
        <v>2388</v>
      </c>
      <c r="O2673">
        <v>1</v>
      </c>
    </row>
    <row r="2674" spans="2:15" x14ac:dyDescent="0.3">
      <c r="B2674">
        <v>2734</v>
      </c>
      <c r="D2674">
        <v>1380</v>
      </c>
      <c r="E2674">
        <v>689</v>
      </c>
      <c r="F2674">
        <v>1</v>
      </c>
      <c r="G2674">
        <v>57.249170183264098</v>
      </c>
      <c r="H2674">
        <v>2</v>
      </c>
      <c r="I2674">
        <v>59</v>
      </c>
      <c r="K2674" t="s">
        <v>2386</v>
      </c>
      <c r="L2674">
        <v>20</v>
      </c>
      <c r="M2674" t="s">
        <v>3518</v>
      </c>
      <c r="N2674" t="s">
        <v>2388</v>
      </c>
      <c r="O2674">
        <v>1</v>
      </c>
    </row>
    <row r="2675" spans="2:15" x14ac:dyDescent="0.3">
      <c r="B2675">
        <v>2735</v>
      </c>
      <c r="D2675">
        <v>689</v>
      </c>
      <c r="E2675">
        <v>1380</v>
      </c>
      <c r="F2675">
        <v>1</v>
      </c>
      <c r="G2675">
        <v>57.249170183264098</v>
      </c>
      <c r="H2675">
        <v>2</v>
      </c>
      <c r="I2675">
        <v>59</v>
      </c>
      <c r="K2675" t="s">
        <v>2386</v>
      </c>
      <c r="L2675">
        <v>20</v>
      </c>
      <c r="M2675" t="s">
        <v>3519</v>
      </c>
      <c r="N2675" t="s">
        <v>2388</v>
      </c>
      <c r="O2675">
        <v>1</v>
      </c>
    </row>
    <row r="2676" spans="2:15" x14ac:dyDescent="0.3">
      <c r="B2676">
        <v>2736</v>
      </c>
      <c r="D2676">
        <v>1381</v>
      </c>
      <c r="E2676">
        <v>689</v>
      </c>
      <c r="F2676">
        <v>1</v>
      </c>
      <c r="G2676">
        <v>94.535038093920704</v>
      </c>
      <c r="H2676">
        <v>2</v>
      </c>
      <c r="I2676">
        <v>59</v>
      </c>
      <c r="K2676" t="s">
        <v>2386</v>
      </c>
      <c r="L2676">
        <v>20</v>
      </c>
      <c r="M2676" t="s">
        <v>3520</v>
      </c>
      <c r="N2676" t="s">
        <v>2388</v>
      </c>
      <c r="O2676">
        <v>1</v>
      </c>
    </row>
    <row r="2677" spans="2:15" x14ac:dyDescent="0.3">
      <c r="B2677">
        <v>2737</v>
      </c>
      <c r="D2677">
        <v>689</v>
      </c>
      <c r="E2677">
        <v>1381</v>
      </c>
      <c r="F2677">
        <v>1</v>
      </c>
      <c r="G2677">
        <v>94.535038093920704</v>
      </c>
      <c r="H2677">
        <v>2</v>
      </c>
      <c r="I2677">
        <v>59</v>
      </c>
      <c r="K2677" t="s">
        <v>2386</v>
      </c>
      <c r="L2677">
        <v>20</v>
      </c>
      <c r="M2677" t="s">
        <v>3521</v>
      </c>
      <c r="N2677" t="s">
        <v>2388</v>
      </c>
      <c r="O2677">
        <v>1</v>
      </c>
    </row>
    <row r="2678" spans="2:15" x14ac:dyDescent="0.3">
      <c r="B2678">
        <v>2738</v>
      </c>
      <c r="D2678">
        <v>1382</v>
      </c>
      <c r="E2678">
        <v>689</v>
      </c>
      <c r="F2678">
        <v>1</v>
      </c>
      <c r="G2678">
        <v>127.077243413529</v>
      </c>
      <c r="H2678">
        <v>2</v>
      </c>
      <c r="I2678">
        <v>59</v>
      </c>
      <c r="K2678" t="s">
        <v>2386</v>
      </c>
      <c r="L2678">
        <v>20</v>
      </c>
      <c r="M2678" t="s">
        <v>3522</v>
      </c>
      <c r="N2678" t="s">
        <v>2388</v>
      </c>
      <c r="O2678">
        <v>1</v>
      </c>
    </row>
    <row r="2679" spans="2:15" x14ac:dyDescent="0.3">
      <c r="B2679">
        <v>2739</v>
      </c>
      <c r="D2679">
        <v>689</v>
      </c>
      <c r="E2679">
        <v>1382</v>
      </c>
      <c r="F2679">
        <v>1</v>
      </c>
      <c r="G2679">
        <v>127.077243413529</v>
      </c>
      <c r="H2679">
        <v>2</v>
      </c>
      <c r="I2679">
        <v>59</v>
      </c>
      <c r="K2679" t="s">
        <v>2386</v>
      </c>
      <c r="L2679">
        <v>20</v>
      </c>
      <c r="M2679" t="s">
        <v>3523</v>
      </c>
      <c r="N2679" t="s">
        <v>2388</v>
      </c>
      <c r="O2679">
        <v>1</v>
      </c>
    </row>
    <row r="2680" spans="2:15" x14ac:dyDescent="0.3">
      <c r="B2680">
        <v>2740</v>
      </c>
      <c r="D2680">
        <v>1383</v>
      </c>
      <c r="E2680">
        <v>689</v>
      </c>
      <c r="F2680">
        <v>1</v>
      </c>
      <c r="G2680">
        <v>59.913736984478298</v>
      </c>
      <c r="H2680">
        <v>2</v>
      </c>
      <c r="I2680">
        <v>59</v>
      </c>
      <c r="K2680" t="s">
        <v>2386</v>
      </c>
      <c r="L2680">
        <v>20</v>
      </c>
      <c r="M2680" t="s">
        <v>3524</v>
      </c>
      <c r="N2680" t="s">
        <v>2388</v>
      </c>
      <c r="O2680">
        <v>1</v>
      </c>
    </row>
    <row r="2681" spans="2:15" x14ac:dyDescent="0.3">
      <c r="B2681">
        <v>2741</v>
      </c>
      <c r="D2681">
        <v>689</v>
      </c>
      <c r="E2681">
        <v>1383</v>
      </c>
      <c r="F2681">
        <v>1</v>
      </c>
      <c r="G2681">
        <v>59.913736984478298</v>
      </c>
      <c r="H2681">
        <v>2</v>
      </c>
      <c r="I2681">
        <v>59</v>
      </c>
      <c r="K2681" t="s">
        <v>2386</v>
      </c>
      <c r="L2681">
        <v>20</v>
      </c>
      <c r="M2681" t="s">
        <v>3525</v>
      </c>
      <c r="N2681" t="s">
        <v>2388</v>
      </c>
      <c r="O2681">
        <v>1</v>
      </c>
    </row>
    <row r="2682" spans="2:15" x14ac:dyDescent="0.3">
      <c r="B2682">
        <v>2742</v>
      </c>
      <c r="D2682">
        <v>1384</v>
      </c>
      <c r="E2682">
        <v>165</v>
      </c>
      <c r="F2682">
        <v>1</v>
      </c>
      <c r="G2682">
        <v>100.10630737399001</v>
      </c>
      <c r="H2682">
        <v>2</v>
      </c>
      <c r="I2682">
        <v>59</v>
      </c>
      <c r="K2682" t="s">
        <v>2386</v>
      </c>
      <c r="L2682">
        <v>20</v>
      </c>
      <c r="M2682" t="s">
        <v>3526</v>
      </c>
      <c r="N2682" t="s">
        <v>2388</v>
      </c>
      <c r="O2682">
        <v>1</v>
      </c>
    </row>
    <row r="2683" spans="2:15" x14ac:dyDescent="0.3">
      <c r="B2683">
        <v>2743</v>
      </c>
      <c r="D2683">
        <v>165</v>
      </c>
      <c r="E2683">
        <v>1384</v>
      </c>
      <c r="F2683">
        <v>1</v>
      </c>
      <c r="G2683">
        <v>100.10630737399001</v>
      </c>
      <c r="H2683">
        <v>2</v>
      </c>
      <c r="I2683">
        <v>59</v>
      </c>
      <c r="K2683" t="s">
        <v>2386</v>
      </c>
      <c r="L2683">
        <v>20</v>
      </c>
      <c r="M2683" t="s">
        <v>3527</v>
      </c>
      <c r="N2683" t="s">
        <v>2388</v>
      </c>
      <c r="O2683">
        <v>1</v>
      </c>
    </row>
    <row r="2684" spans="2:15" x14ac:dyDescent="0.3">
      <c r="B2684">
        <v>2744</v>
      </c>
      <c r="D2684">
        <v>1385</v>
      </c>
      <c r="E2684">
        <v>165</v>
      </c>
      <c r="F2684">
        <v>1</v>
      </c>
      <c r="G2684">
        <v>55.208377864498601</v>
      </c>
      <c r="H2684">
        <v>2</v>
      </c>
      <c r="I2684">
        <v>59</v>
      </c>
      <c r="K2684" t="s">
        <v>2386</v>
      </c>
      <c r="L2684">
        <v>20</v>
      </c>
      <c r="M2684" t="s">
        <v>3528</v>
      </c>
      <c r="N2684" t="s">
        <v>2388</v>
      </c>
      <c r="O2684">
        <v>1</v>
      </c>
    </row>
    <row r="2685" spans="2:15" x14ac:dyDescent="0.3">
      <c r="B2685">
        <v>2745</v>
      </c>
      <c r="D2685">
        <v>165</v>
      </c>
      <c r="E2685">
        <v>1385</v>
      </c>
      <c r="F2685">
        <v>1</v>
      </c>
      <c r="G2685">
        <v>55.208377864498601</v>
      </c>
      <c r="H2685">
        <v>2</v>
      </c>
      <c r="I2685">
        <v>59</v>
      </c>
      <c r="K2685" t="s">
        <v>2386</v>
      </c>
      <c r="L2685">
        <v>20</v>
      </c>
      <c r="M2685" t="s">
        <v>3529</v>
      </c>
      <c r="N2685" t="s">
        <v>2388</v>
      </c>
      <c r="O2685">
        <v>1</v>
      </c>
    </row>
    <row r="2686" spans="2:15" x14ac:dyDescent="0.3">
      <c r="B2686">
        <v>2746</v>
      </c>
      <c r="D2686">
        <v>1386</v>
      </c>
      <c r="E2686">
        <v>165</v>
      </c>
      <c r="F2686">
        <v>1</v>
      </c>
      <c r="G2686">
        <v>82.841185273278697</v>
      </c>
      <c r="H2686">
        <v>2</v>
      </c>
      <c r="I2686">
        <v>59</v>
      </c>
      <c r="K2686" t="s">
        <v>2386</v>
      </c>
      <c r="L2686">
        <v>20</v>
      </c>
      <c r="M2686" t="s">
        <v>3530</v>
      </c>
      <c r="N2686" t="s">
        <v>2388</v>
      </c>
      <c r="O2686">
        <v>1</v>
      </c>
    </row>
    <row r="2687" spans="2:15" x14ac:dyDescent="0.3">
      <c r="B2687">
        <v>2747</v>
      </c>
      <c r="D2687">
        <v>165</v>
      </c>
      <c r="E2687">
        <v>1386</v>
      </c>
      <c r="F2687">
        <v>1</v>
      </c>
      <c r="G2687">
        <v>82.841185273278697</v>
      </c>
      <c r="H2687">
        <v>2</v>
      </c>
      <c r="I2687">
        <v>59</v>
      </c>
      <c r="K2687" t="s">
        <v>2386</v>
      </c>
      <c r="L2687">
        <v>20</v>
      </c>
      <c r="M2687" t="s">
        <v>3531</v>
      </c>
      <c r="N2687" t="s">
        <v>2388</v>
      </c>
      <c r="O2687">
        <v>1</v>
      </c>
    </row>
    <row r="2688" spans="2:15" x14ac:dyDescent="0.3">
      <c r="B2688">
        <v>2748</v>
      </c>
      <c r="D2688">
        <v>1387</v>
      </c>
      <c r="E2688">
        <v>165</v>
      </c>
      <c r="F2688">
        <v>1</v>
      </c>
      <c r="G2688">
        <v>67.4035442087104</v>
      </c>
      <c r="H2688">
        <v>2</v>
      </c>
      <c r="I2688">
        <v>59</v>
      </c>
      <c r="K2688" t="s">
        <v>2386</v>
      </c>
      <c r="L2688">
        <v>20</v>
      </c>
      <c r="M2688" t="s">
        <v>3532</v>
      </c>
      <c r="N2688" t="s">
        <v>2388</v>
      </c>
      <c r="O2688">
        <v>1</v>
      </c>
    </row>
    <row r="2689" spans="2:15" x14ac:dyDescent="0.3">
      <c r="B2689">
        <v>2749</v>
      </c>
      <c r="D2689">
        <v>165</v>
      </c>
      <c r="E2689">
        <v>1387</v>
      </c>
      <c r="F2689">
        <v>1</v>
      </c>
      <c r="G2689">
        <v>67.4035442087104</v>
      </c>
      <c r="H2689">
        <v>2</v>
      </c>
      <c r="I2689">
        <v>59</v>
      </c>
      <c r="K2689" t="s">
        <v>2386</v>
      </c>
      <c r="L2689">
        <v>20</v>
      </c>
      <c r="M2689" t="s">
        <v>3533</v>
      </c>
      <c r="N2689" t="s">
        <v>2388</v>
      </c>
      <c r="O2689">
        <v>1</v>
      </c>
    </row>
    <row r="2690" spans="2:15" x14ac:dyDescent="0.3">
      <c r="B2690">
        <v>2750</v>
      </c>
      <c r="D2690">
        <v>1388</v>
      </c>
      <c r="E2690">
        <v>165</v>
      </c>
      <c r="F2690">
        <v>1</v>
      </c>
      <c r="G2690">
        <v>42.053038379644903</v>
      </c>
      <c r="H2690">
        <v>2</v>
      </c>
      <c r="I2690">
        <v>59</v>
      </c>
      <c r="K2690" t="s">
        <v>2386</v>
      </c>
      <c r="L2690">
        <v>20</v>
      </c>
      <c r="M2690" t="s">
        <v>3534</v>
      </c>
      <c r="N2690" t="s">
        <v>2388</v>
      </c>
      <c r="O2690">
        <v>1</v>
      </c>
    </row>
    <row r="2691" spans="2:15" x14ac:dyDescent="0.3">
      <c r="B2691">
        <v>2751</v>
      </c>
      <c r="D2691">
        <v>165</v>
      </c>
      <c r="E2691">
        <v>1388</v>
      </c>
      <c r="F2691">
        <v>1</v>
      </c>
      <c r="G2691">
        <v>42.053038379644903</v>
      </c>
      <c r="H2691">
        <v>2</v>
      </c>
      <c r="I2691">
        <v>59</v>
      </c>
      <c r="K2691" t="s">
        <v>2386</v>
      </c>
      <c r="L2691">
        <v>20</v>
      </c>
      <c r="M2691" t="s">
        <v>3535</v>
      </c>
      <c r="N2691" t="s">
        <v>2388</v>
      </c>
      <c r="O2691">
        <v>1</v>
      </c>
    </row>
    <row r="2692" spans="2:15" x14ac:dyDescent="0.3">
      <c r="B2692">
        <v>2752</v>
      </c>
      <c r="D2692">
        <v>1389</v>
      </c>
      <c r="E2692">
        <v>387</v>
      </c>
      <c r="F2692">
        <v>1</v>
      </c>
      <c r="G2692">
        <v>39.505207267487698</v>
      </c>
      <c r="H2692">
        <v>2</v>
      </c>
      <c r="I2692">
        <v>59</v>
      </c>
      <c r="K2692" t="s">
        <v>2386</v>
      </c>
      <c r="L2692">
        <v>20</v>
      </c>
      <c r="M2692" t="s">
        <v>3536</v>
      </c>
      <c r="N2692" t="s">
        <v>2388</v>
      </c>
      <c r="O2692">
        <v>1</v>
      </c>
    </row>
    <row r="2693" spans="2:15" x14ac:dyDescent="0.3">
      <c r="B2693">
        <v>2753</v>
      </c>
      <c r="D2693">
        <v>387</v>
      </c>
      <c r="E2693">
        <v>1389</v>
      </c>
      <c r="F2693">
        <v>1</v>
      </c>
      <c r="G2693">
        <v>39.505207267487698</v>
      </c>
      <c r="H2693">
        <v>2</v>
      </c>
      <c r="I2693">
        <v>59</v>
      </c>
      <c r="K2693" t="s">
        <v>2386</v>
      </c>
      <c r="L2693">
        <v>20</v>
      </c>
      <c r="M2693" t="s">
        <v>3537</v>
      </c>
      <c r="N2693" t="s">
        <v>2388</v>
      </c>
      <c r="O2693">
        <v>1</v>
      </c>
    </row>
    <row r="2694" spans="2:15" x14ac:dyDescent="0.3">
      <c r="B2694">
        <v>2754</v>
      </c>
      <c r="D2694">
        <v>1390</v>
      </c>
      <c r="E2694">
        <v>214</v>
      </c>
      <c r="F2694">
        <v>1</v>
      </c>
      <c r="G2694">
        <v>49.4754810033943</v>
      </c>
      <c r="H2694">
        <v>2</v>
      </c>
      <c r="I2694">
        <v>59</v>
      </c>
      <c r="K2694" t="s">
        <v>2386</v>
      </c>
      <c r="L2694">
        <v>20</v>
      </c>
      <c r="M2694" t="s">
        <v>3538</v>
      </c>
      <c r="N2694" t="s">
        <v>2388</v>
      </c>
      <c r="O2694">
        <v>1</v>
      </c>
    </row>
    <row r="2695" spans="2:15" x14ac:dyDescent="0.3">
      <c r="B2695">
        <v>2755</v>
      </c>
      <c r="D2695">
        <v>214</v>
      </c>
      <c r="E2695">
        <v>1390</v>
      </c>
      <c r="F2695">
        <v>1</v>
      </c>
      <c r="G2695">
        <v>49.4754810033943</v>
      </c>
      <c r="H2695">
        <v>2</v>
      </c>
      <c r="I2695">
        <v>59</v>
      </c>
      <c r="K2695" t="s">
        <v>2386</v>
      </c>
      <c r="L2695">
        <v>20</v>
      </c>
      <c r="M2695" t="s">
        <v>3539</v>
      </c>
      <c r="N2695" t="s">
        <v>2388</v>
      </c>
      <c r="O2695">
        <v>1</v>
      </c>
    </row>
    <row r="2696" spans="2:15" x14ac:dyDescent="0.3">
      <c r="B2696">
        <v>2756</v>
      </c>
      <c r="D2696">
        <v>1391</v>
      </c>
      <c r="E2696">
        <v>1956</v>
      </c>
      <c r="F2696">
        <v>1</v>
      </c>
      <c r="G2696">
        <v>42.891147951339498</v>
      </c>
      <c r="H2696">
        <v>2</v>
      </c>
      <c r="I2696">
        <v>59</v>
      </c>
      <c r="K2696" t="s">
        <v>2386</v>
      </c>
      <c r="L2696">
        <v>20</v>
      </c>
      <c r="M2696" t="s">
        <v>3540</v>
      </c>
      <c r="N2696" t="s">
        <v>2388</v>
      </c>
      <c r="O2696">
        <v>1</v>
      </c>
    </row>
    <row r="2697" spans="2:15" x14ac:dyDescent="0.3">
      <c r="B2697">
        <v>2757</v>
      </c>
      <c r="D2697">
        <v>1956</v>
      </c>
      <c r="E2697">
        <v>1391</v>
      </c>
      <c r="F2697">
        <v>1</v>
      </c>
      <c r="G2697">
        <v>42.891147951339498</v>
      </c>
      <c r="H2697">
        <v>2</v>
      </c>
      <c r="I2697">
        <v>59</v>
      </c>
      <c r="K2697" t="s">
        <v>2386</v>
      </c>
      <c r="L2697">
        <v>20</v>
      </c>
      <c r="M2697" t="s">
        <v>3541</v>
      </c>
      <c r="N2697" t="s">
        <v>2388</v>
      </c>
      <c r="O2697">
        <v>1</v>
      </c>
    </row>
    <row r="2698" spans="2:15" x14ac:dyDescent="0.3">
      <c r="B2698">
        <v>2758</v>
      </c>
      <c r="D2698">
        <v>1392</v>
      </c>
      <c r="E2698">
        <v>386</v>
      </c>
      <c r="F2698">
        <v>1</v>
      </c>
      <c r="G2698">
        <v>69.688137348469098</v>
      </c>
      <c r="H2698">
        <v>2</v>
      </c>
      <c r="I2698">
        <v>59</v>
      </c>
      <c r="K2698" t="s">
        <v>2386</v>
      </c>
      <c r="L2698">
        <v>20</v>
      </c>
      <c r="M2698" t="s">
        <v>3542</v>
      </c>
      <c r="N2698" t="s">
        <v>2388</v>
      </c>
      <c r="O2698">
        <v>1</v>
      </c>
    </row>
    <row r="2699" spans="2:15" x14ac:dyDescent="0.3">
      <c r="B2699">
        <v>2759</v>
      </c>
      <c r="D2699">
        <v>386</v>
      </c>
      <c r="E2699">
        <v>1392</v>
      </c>
      <c r="F2699">
        <v>1</v>
      </c>
      <c r="G2699">
        <v>69.688137348469098</v>
      </c>
      <c r="H2699">
        <v>2</v>
      </c>
      <c r="I2699">
        <v>59</v>
      </c>
      <c r="K2699" t="s">
        <v>2386</v>
      </c>
      <c r="L2699">
        <v>20</v>
      </c>
      <c r="M2699" t="s">
        <v>3543</v>
      </c>
      <c r="N2699" t="s">
        <v>2388</v>
      </c>
      <c r="O2699">
        <v>1</v>
      </c>
    </row>
    <row r="2700" spans="2:15" x14ac:dyDescent="0.3">
      <c r="B2700">
        <v>2760</v>
      </c>
      <c r="D2700">
        <v>1393</v>
      </c>
      <c r="E2700">
        <v>381</v>
      </c>
      <c r="F2700">
        <v>1</v>
      </c>
      <c r="G2700">
        <v>81.656663284890797</v>
      </c>
      <c r="H2700">
        <v>2</v>
      </c>
      <c r="I2700">
        <v>59</v>
      </c>
      <c r="K2700" t="s">
        <v>2386</v>
      </c>
      <c r="L2700">
        <v>20</v>
      </c>
      <c r="M2700" t="s">
        <v>3544</v>
      </c>
      <c r="N2700" t="s">
        <v>2388</v>
      </c>
      <c r="O2700">
        <v>1</v>
      </c>
    </row>
    <row r="2701" spans="2:15" x14ac:dyDescent="0.3">
      <c r="B2701">
        <v>2761</v>
      </c>
      <c r="D2701">
        <v>381</v>
      </c>
      <c r="E2701">
        <v>1393</v>
      </c>
      <c r="F2701">
        <v>1</v>
      </c>
      <c r="G2701">
        <v>81.656663284890797</v>
      </c>
      <c r="H2701">
        <v>2</v>
      </c>
      <c r="I2701">
        <v>59</v>
      </c>
      <c r="K2701" t="s">
        <v>2386</v>
      </c>
      <c r="L2701">
        <v>20</v>
      </c>
      <c r="M2701" t="s">
        <v>3545</v>
      </c>
      <c r="N2701" t="s">
        <v>2388</v>
      </c>
      <c r="O2701">
        <v>1</v>
      </c>
    </row>
    <row r="2702" spans="2:15" x14ac:dyDescent="0.3">
      <c r="B2702">
        <v>2762</v>
      </c>
      <c r="D2702">
        <v>1394</v>
      </c>
      <c r="E2702">
        <v>1956</v>
      </c>
      <c r="F2702">
        <v>1</v>
      </c>
      <c r="G2702">
        <v>42.874464917927803</v>
      </c>
      <c r="H2702">
        <v>2</v>
      </c>
      <c r="I2702">
        <v>59</v>
      </c>
      <c r="K2702" t="s">
        <v>2386</v>
      </c>
      <c r="L2702">
        <v>20</v>
      </c>
      <c r="M2702" t="s">
        <v>3546</v>
      </c>
      <c r="N2702" t="s">
        <v>2388</v>
      </c>
      <c r="O2702">
        <v>1</v>
      </c>
    </row>
    <row r="2703" spans="2:15" x14ac:dyDescent="0.3">
      <c r="B2703">
        <v>2763</v>
      </c>
      <c r="D2703">
        <v>1956</v>
      </c>
      <c r="E2703">
        <v>1394</v>
      </c>
      <c r="F2703">
        <v>1</v>
      </c>
      <c r="G2703">
        <v>42.874464917927803</v>
      </c>
      <c r="H2703">
        <v>2</v>
      </c>
      <c r="I2703">
        <v>59</v>
      </c>
      <c r="K2703" t="s">
        <v>2386</v>
      </c>
      <c r="L2703">
        <v>20</v>
      </c>
      <c r="M2703" t="s">
        <v>3547</v>
      </c>
      <c r="N2703" t="s">
        <v>2388</v>
      </c>
      <c r="O2703">
        <v>1</v>
      </c>
    </row>
    <row r="2704" spans="2:15" x14ac:dyDescent="0.3">
      <c r="B2704">
        <v>2764</v>
      </c>
      <c r="D2704">
        <v>1395</v>
      </c>
      <c r="E2704">
        <v>381</v>
      </c>
      <c r="F2704">
        <v>1</v>
      </c>
      <c r="G2704">
        <v>50.826147214839402</v>
      </c>
      <c r="H2704">
        <v>2</v>
      </c>
      <c r="I2704">
        <v>59</v>
      </c>
      <c r="K2704" t="s">
        <v>2386</v>
      </c>
      <c r="L2704">
        <v>20</v>
      </c>
      <c r="M2704" t="s">
        <v>3548</v>
      </c>
      <c r="N2704" t="s">
        <v>2388</v>
      </c>
      <c r="O2704">
        <v>1</v>
      </c>
    </row>
    <row r="2705" spans="2:15" x14ac:dyDescent="0.3">
      <c r="B2705">
        <v>2765</v>
      </c>
      <c r="D2705">
        <v>381</v>
      </c>
      <c r="E2705">
        <v>1395</v>
      </c>
      <c r="F2705">
        <v>1</v>
      </c>
      <c r="G2705">
        <v>50.826147214839402</v>
      </c>
      <c r="H2705">
        <v>2</v>
      </c>
      <c r="I2705">
        <v>59</v>
      </c>
      <c r="K2705" t="s">
        <v>2386</v>
      </c>
      <c r="L2705">
        <v>20</v>
      </c>
      <c r="M2705" t="s">
        <v>3549</v>
      </c>
      <c r="N2705" t="s">
        <v>2388</v>
      </c>
      <c r="O2705">
        <v>1</v>
      </c>
    </row>
    <row r="2706" spans="2:15" x14ac:dyDescent="0.3">
      <c r="B2706">
        <v>2766</v>
      </c>
      <c r="D2706">
        <v>1396</v>
      </c>
      <c r="E2706">
        <v>711</v>
      </c>
      <c r="F2706">
        <v>1</v>
      </c>
      <c r="G2706">
        <v>47.476100982911397</v>
      </c>
      <c r="H2706">
        <v>2</v>
      </c>
      <c r="I2706">
        <v>59</v>
      </c>
      <c r="K2706" t="s">
        <v>2386</v>
      </c>
      <c r="L2706">
        <v>20</v>
      </c>
      <c r="M2706" t="s">
        <v>3550</v>
      </c>
      <c r="N2706" t="s">
        <v>2388</v>
      </c>
      <c r="O2706">
        <v>1</v>
      </c>
    </row>
    <row r="2707" spans="2:15" x14ac:dyDescent="0.3">
      <c r="B2707">
        <v>2767</v>
      </c>
      <c r="D2707">
        <v>711</v>
      </c>
      <c r="E2707">
        <v>1396</v>
      </c>
      <c r="F2707">
        <v>1</v>
      </c>
      <c r="G2707">
        <v>47.476100982911397</v>
      </c>
      <c r="H2707">
        <v>2</v>
      </c>
      <c r="I2707">
        <v>59</v>
      </c>
      <c r="K2707" t="s">
        <v>2386</v>
      </c>
      <c r="L2707">
        <v>20</v>
      </c>
      <c r="M2707" t="s">
        <v>3551</v>
      </c>
      <c r="N2707" t="s">
        <v>2388</v>
      </c>
      <c r="O2707">
        <v>1</v>
      </c>
    </row>
    <row r="2708" spans="2:15" x14ac:dyDescent="0.3">
      <c r="B2708">
        <v>2768</v>
      </c>
      <c r="D2708">
        <v>1397</v>
      </c>
      <c r="E2708">
        <v>252</v>
      </c>
      <c r="F2708">
        <v>1</v>
      </c>
      <c r="G2708">
        <v>76.421009908475895</v>
      </c>
      <c r="H2708">
        <v>2</v>
      </c>
      <c r="I2708">
        <v>59</v>
      </c>
      <c r="K2708" t="s">
        <v>2386</v>
      </c>
      <c r="L2708">
        <v>20</v>
      </c>
      <c r="M2708" t="s">
        <v>3552</v>
      </c>
      <c r="N2708" t="s">
        <v>2388</v>
      </c>
      <c r="O2708">
        <v>1</v>
      </c>
    </row>
    <row r="2709" spans="2:15" x14ac:dyDescent="0.3">
      <c r="B2709">
        <v>2769</v>
      </c>
      <c r="D2709">
        <v>252</v>
      </c>
      <c r="E2709">
        <v>1397</v>
      </c>
      <c r="F2709">
        <v>1</v>
      </c>
      <c r="G2709">
        <v>76.421009908475895</v>
      </c>
      <c r="H2709">
        <v>2</v>
      </c>
      <c r="I2709">
        <v>59</v>
      </c>
      <c r="K2709" t="s">
        <v>2386</v>
      </c>
      <c r="L2709">
        <v>20</v>
      </c>
      <c r="M2709" t="s">
        <v>3553</v>
      </c>
      <c r="N2709" t="s">
        <v>2388</v>
      </c>
      <c r="O2709">
        <v>1</v>
      </c>
    </row>
    <row r="2710" spans="2:15" x14ac:dyDescent="0.3">
      <c r="B2710">
        <v>2770</v>
      </c>
      <c r="D2710">
        <v>1398</v>
      </c>
      <c r="E2710">
        <v>252</v>
      </c>
      <c r="F2710">
        <v>1</v>
      </c>
      <c r="G2710">
        <v>62.353279610118797</v>
      </c>
      <c r="H2710">
        <v>2</v>
      </c>
      <c r="I2710">
        <v>59</v>
      </c>
      <c r="K2710" t="s">
        <v>2386</v>
      </c>
      <c r="L2710">
        <v>20</v>
      </c>
      <c r="M2710" t="s">
        <v>3554</v>
      </c>
      <c r="N2710" t="s">
        <v>2388</v>
      </c>
      <c r="O2710">
        <v>1</v>
      </c>
    </row>
    <row r="2711" spans="2:15" x14ac:dyDescent="0.3">
      <c r="B2711">
        <v>2771</v>
      </c>
      <c r="D2711">
        <v>252</v>
      </c>
      <c r="E2711">
        <v>1398</v>
      </c>
      <c r="F2711">
        <v>1</v>
      </c>
      <c r="G2711">
        <v>62.353279610118797</v>
      </c>
      <c r="H2711">
        <v>2</v>
      </c>
      <c r="I2711">
        <v>59</v>
      </c>
      <c r="K2711" t="s">
        <v>2386</v>
      </c>
      <c r="L2711">
        <v>20</v>
      </c>
      <c r="M2711" t="s">
        <v>3555</v>
      </c>
      <c r="N2711" t="s">
        <v>2388</v>
      </c>
      <c r="O2711">
        <v>1</v>
      </c>
    </row>
    <row r="2712" spans="2:15" x14ac:dyDescent="0.3">
      <c r="B2712">
        <v>2772</v>
      </c>
      <c r="D2712">
        <v>1399</v>
      </c>
      <c r="E2712">
        <v>533</v>
      </c>
      <c r="F2712">
        <v>1</v>
      </c>
      <c r="G2712">
        <v>49.271260875715797</v>
      </c>
      <c r="H2712">
        <v>2</v>
      </c>
      <c r="I2712">
        <v>59</v>
      </c>
      <c r="K2712" t="s">
        <v>2386</v>
      </c>
      <c r="L2712">
        <v>20</v>
      </c>
      <c r="M2712" t="s">
        <v>3556</v>
      </c>
      <c r="N2712" t="s">
        <v>2388</v>
      </c>
      <c r="O2712">
        <v>1</v>
      </c>
    </row>
    <row r="2713" spans="2:15" x14ac:dyDescent="0.3">
      <c r="B2713">
        <v>2773</v>
      </c>
      <c r="D2713">
        <v>533</v>
      </c>
      <c r="E2713">
        <v>1399</v>
      </c>
      <c r="F2713">
        <v>1</v>
      </c>
      <c r="G2713">
        <v>49.271260875715797</v>
      </c>
      <c r="H2713">
        <v>2</v>
      </c>
      <c r="I2713">
        <v>59</v>
      </c>
      <c r="K2713" t="s">
        <v>2386</v>
      </c>
      <c r="L2713">
        <v>20</v>
      </c>
      <c r="M2713" t="s">
        <v>3557</v>
      </c>
      <c r="N2713" t="s">
        <v>2388</v>
      </c>
      <c r="O2713">
        <v>1</v>
      </c>
    </row>
    <row r="2714" spans="2:15" x14ac:dyDescent="0.3">
      <c r="B2714">
        <v>2774</v>
      </c>
      <c r="D2714">
        <v>1400</v>
      </c>
      <c r="E2714">
        <v>533</v>
      </c>
      <c r="F2714">
        <v>1</v>
      </c>
      <c r="G2714">
        <v>81.667084052399304</v>
      </c>
      <c r="H2714">
        <v>2</v>
      </c>
      <c r="I2714">
        <v>59</v>
      </c>
      <c r="K2714" t="s">
        <v>2386</v>
      </c>
      <c r="L2714">
        <v>20</v>
      </c>
      <c r="M2714" t="s">
        <v>3558</v>
      </c>
      <c r="N2714" t="s">
        <v>2388</v>
      </c>
      <c r="O2714">
        <v>1</v>
      </c>
    </row>
    <row r="2715" spans="2:15" x14ac:dyDescent="0.3">
      <c r="B2715">
        <v>2775</v>
      </c>
      <c r="D2715">
        <v>533</v>
      </c>
      <c r="E2715">
        <v>1400</v>
      </c>
      <c r="F2715">
        <v>1</v>
      </c>
      <c r="G2715">
        <v>81.667084052399304</v>
      </c>
      <c r="H2715">
        <v>2</v>
      </c>
      <c r="I2715">
        <v>59</v>
      </c>
      <c r="K2715" t="s">
        <v>2386</v>
      </c>
      <c r="L2715">
        <v>20</v>
      </c>
      <c r="M2715" t="s">
        <v>3559</v>
      </c>
      <c r="N2715" t="s">
        <v>2388</v>
      </c>
      <c r="O2715">
        <v>1</v>
      </c>
    </row>
    <row r="2716" spans="2:15" x14ac:dyDescent="0.3">
      <c r="B2716">
        <v>2776</v>
      </c>
      <c r="D2716">
        <v>1401</v>
      </c>
      <c r="E2716">
        <v>713</v>
      </c>
      <c r="F2716">
        <v>1</v>
      </c>
      <c r="G2716">
        <v>84.114388884491106</v>
      </c>
      <c r="H2716">
        <v>2</v>
      </c>
      <c r="I2716">
        <v>59</v>
      </c>
      <c r="K2716" t="s">
        <v>2386</v>
      </c>
      <c r="L2716">
        <v>20</v>
      </c>
      <c r="M2716" t="s">
        <v>3560</v>
      </c>
      <c r="N2716" t="s">
        <v>2388</v>
      </c>
      <c r="O2716">
        <v>1</v>
      </c>
    </row>
    <row r="2717" spans="2:15" x14ac:dyDescent="0.3">
      <c r="B2717">
        <v>2777</v>
      </c>
      <c r="D2717">
        <v>713</v>
      </c>
      <c r="E2717">
        <v>1401</v>
      </c>
      <c r="F2717">
        <v>1</v>
      </c>
      <c r="G2717">
        <v>84.114388884491106</v>
      </c>
      <c r="H2717">
        <v>2</v>
      </c>
      <c r="I2717">
        <v>59</v>
      </c>
      <c r="K2717" t="s">
        <v>2386</v>
      </c>
      <c r="L2717">
        <v>20</v>
      </c>
      <c r="M2717" t="s">
        <v>3561</v>
      </c>
      <c r="N2717" t="s">
        <v>2388</v>
      </c>
      <c r="O2717">
        <v>1</v>
      </c>
    </row>
    <row r="2718" spans="2:15" x14ac:dyDescent="0.3">
      <c r="B2718">
        <v>2778</v>
      </c>
      <c r="D2718">
        <v>1402</v>
      </c>
      <c r="E2718">
        <v>713</v>
      </c>
      <c r="F2718">
        <v>1</v>
      </c>
      <c r="G2718">
        <v>67.818672019803401</v>
      </c>
      <c r="H2718">
        <v>2</v>
      </c>
      <c r="I2718">
        <v>59</v>
      </c>
      <c r="K2718" t="s">
        <v>2386</v>
      </c>
      <c r="L2718">
        <v>20</v>
      </c>
      <c r="M2718" t="s">
        <v>3562</v>
      </c>
      <c r="N2718" t="s">
        <v>2388</v>
      </c>
      <c r="O2718">
        <v>1</v>
      </c>
    </row>
    <row r="2719" spans="2:15" x14ac:dyDescent="0.3">
      <c r="B2719">
        <v>2779</v>
      </c>
      <c r="D2719">
        <v>713</v>
      </c>
      <c r="E2719">
        <v>1402</v>
      </c>
      <c r="F2719">
        <v>1</v>
      </c>
      <c r="G2719">
        <v>67.818672019803401</v>
      </c>
      <c r="H2719">
        <v>2</v>
      </c>
      <c r="I2719">
        <v>59</v>
      </c>
      <c r="K2719" t="s">
        <v>2386</v>
      </c>
      <c r="L2719">
        <v>20</v>
      </c>
      <c r="M2719" t="s">
        <v>3563</v>
      </c>
      <c r="N2719" t="s">
        <v>2388</v>
      </c>
      <c r="O2719">
        <v>1</v>
      </c>
    </row>
    <row r="2720" spans="2:15" x14ac:dyDescent="0.3">
      <c r="B2720">
        <v>2780</v>
      </c>
      <c r="D2720">
        <v>1403</v>
      </c>
      <c r="E2720">
        <v>713</v>
      </c>
      <c r="F2720">
        <v>1</v>
      </c>
      <c r="G2720">
        <v>57.5321545291498</v>
      </c>
      <c r="H2720">
        <v>2</v>
      </c>
      <c r="I2720">
        <v>59</v>
      </c>
      <c r="K2720" t="s">
        <v>2386</v>
      </c>
      <c r="L2720">
        <v>20</v>
      </c>
      <c r="M2720" t="s">
        <v>3564</v>
      </c>
      <c r="N2720" t="s">
        <v>2388</v>
      </c>
      <c r="O2720">
        <v>1</v>
      </c>
    </row>
    <row r="2721" spans="2:15" x14ac:dyDescent="0.3">
      <c r="B2721">
        <v>2781</v>
      </c>
      <c r="D2721">
        <v>713</v>
      </c>
      <c r="E2721">
        <v>1403</v>
      </c>
      <c r="F2721">
        <v>1</v>
      </c>
      <c r="G2721">
        <v>57.5321545291498</v>
      </c>
      <c r="H2721">
        <v>2</v>
      </c>
      <c r="I2721">
        <v>59</v>
      </c>
      <c r="K2721" t="s">
        <v>2386</v>
      </c>
      <c r="L2721">
        <v>20</v>
      </c>
      <c r="M2721" t="s">
        <v>3565</v>
      </c>
      <c r="N2721" t="s">
        <v>2388</v>
      </c>
      <c r="O2721">
        <v>1</v>
      </c>
    </row>
    <row r="2722" spans="2:15" x14ac:dyDescent="0.3">
      <c r="B2722">
        <v>2782</v>
      </c>
      <c r="D2722">
        <v>1404</v>
      </c>
      <c r="E2722">
        <v>533</v>
      </c>
      <c r="F2722">
        <v>1</v>
      </c>
      <c r="G2722">
        <v>50.263032469011002</v>
      </c>
      <c r="H2722">
        <v>2</v>
      </c>
      <c r="I2722">
        <v>59</v>
      </c>
      <c r="K2722" t="s">
        <v>2386</v>
      </c>
      <c r="L2722">
        <v>20</v>
      </c>
      <c r="M2722" t="s">
        <v>3566</v>
      </c>
      <c r="N2722" t="s">
        <v>2388</v>
      </c>
      <c r="O2722">
        <v>1</v>
      </c>
    </row>
    <row r="2723" spans="2:15" x14ac:dyDescent="0.3">
      <c r="B2723">
        <v>2783</v>
      </c>
      <c r="D2723">
        <v>533</v>
      </c>
      <c r="E2723">
        <v>1404</v>
      </c>
      <c r="F2723">
        <v>1</v>
      </c>
      <c r="G2723">
        <v>50.263032469011002</v>
      </c>
      <c r="H2723">
        <v>2</v>
      </c>
      <c r="I2723">
        <v>59</v>
      </c>
      <c r="K2723" t="s">
        <v>2386</v>
      </c>
      <c r="L2723">
        <v>20</v>
      </c>
      <c r="M2723" t="s">
        <v>3567</v>
      </c>
      <c r="N2723" t="s">
        <v>2388</v>
      </c>
      <c r="O2723">
        <v>1</v>
      </c>
    </row>
    <row r="2724" spans="2:15" x14ac:dyDescent="0.3">
      <c r="B2724">
        <v>2784</v>
      </c>
      <c r="D2724">
        <v>1405</v>
      </c>
      <c r="E2724">
        <v>385</v>
      </c>
      <c r="F2724">
        <v>1</v>
      </c>
      <c r="G2724">
        <v>41.762979341943698</v>
      </c>
      <c r="H2724">
        <v>2</v>
      </c>
      <c r="I2724">
        <v>59</v>
      </c>
      <c r="K2724" t="s">
        <v>2386</v>
      </c>
      <c r="L2724">
        <v>20</v>
      </c>
      <c r="M2724" t="s">
        <v>3568</v>
      </c>
      <c r="N2724" t="s">
        <v>2388</v>
      </c>
      <c r="O2724">
        <v>1</v>
      </c>
    </row>
    <row r="2725" spans="2:15" x14ac:dyDescent="0.3">
      <c r="B2725">
        <v>2785</v>
      </c>
      <c r="D2725">
        <v>385</v>
      </c>
      <c r="E2725">
        <v>1405</v>
      </c>
      <c r="F2725">
        <v>1</v>
      </c>
      <c r="G2725">
        <v>41.762979341943698</v>
      </c>
      <c r="H2725">
        <v>2</v>
      </c>
      <c r="I2725">
        <v>59</v>
      </c>
      <c r="K2725" t="s">
        <v>2386</v>
      </c>
      <c r="L2725">
        <v>20</v>
      </c>
      <c r="M2725" t="s">
        <v>3569</v>
      </c>
      <c r="N2725" t="s">
        <v>2388</v>
      </c>
      <c r="O2725">
        <v>1</v>
      </c>
    </row>
    <row r="2726" spans="2:15" x14ac:dyDescent="0.3">
      <c r="B2726">
        <v>2786</v>
      </c>
      <c r="D2726">
        <v>1406</v>
      </c>
      <c r="E2726">
        <v>385</v>
      </c>
      <c r="F2726">
        <v>1</v>
      </c>
      <c r="G2726">
        <v>57.610082764436299</v>
      </c>
      <c r="H2726">
        <v>2</v>
      </c>
      <c r="I2726">
        <v>59</v>
      </c>
      <c r="K2726" t="s">
        <v>2386</v>
      </c>
      <c r="L2726">
        <v>20</v>
      </c>
      <c r="M2726" t="s">
        <v>3570</v>
      </c>
      <c r="N2726" t="s">
        <v>2388</v>
      </c>
      <c r="O2726">
        <v>1</v>
      </c>
    </row>
    <row r="2727" spans="2:15" x14ac:dyDescent="0.3">
      <c r="B2727">
        <v>2787</v>
      </c>
      <c r="D2727">
        <v>385</v>
      </c>
      <c r="E2727">
        <v>1406</v>
      </c>
      <c r="F2727">
        <v>1</v>
      </c>
      <c r="G2727">
        <v>57.610082764436299</v>
      </c>
      <c r="H2727">
        <v>2</v>
      </c>
      <c r="I2727">
        <v>59</v>
      </c>
      <c r="K2727" t="s">
        <v>2386</v>
      </c>
      <c r="L2727">
        <v>20</v>
      </c>
      <c r="M2727" t="s">
        <v>3571</v>
      </c>
      <c r="N2727" t="s">
        <v>2388</v>
      </c>
      <c r="O2727">
        <v>1</v>
      </c>
    </row>
    <row r="2728" spans="2:15" x14ac:dyDescent="0.3">
      <c r="B2728">
        <v>2788</v>
      </c>
      <c r="D2728">
        <v>1407</v>
      </c>
      <c r="E2728">
        <v>1956</v>
      </c>
      <c r="F2728">
        <v>1</v>
      </c>
      <c r="G2728">
        <v>53.933914237873303</v>
      </c>
      <c r="H2728">
        <v>2</v>
      </c>
      <c r="I2728">
        <v>59</v>
      </c>
      <c r="K2728" t="s">
        <v>2386</v>
      </c>
      <c r="L2728">
        <v>20</v>
      </c>
      <c r="M2728" t="s">
        <v>3572</v>
      </c>
      <c r="N2728" t="s">
        <v>2388</v>
      </c>
      <c r="O2728">
        <v>1</v>
      </c>
    </row>
    <row r="2729" spans="2:15" x14ac:dyDescent="0.3">
      <c r="B2729">
        <v>2789</v>
      </c>
      <c r="D2729">
        <v>1956</v>
      </c>
      <c r="E2729">
        <v>1407</v>
      </c>
      <c r="F2729">
        <v>1</v>
      </c>
      <c r="G2729">
        <v>53.933914237873303</v>
      </c>
      <c r="H2729">
        <v>2</v>
      </c>
      <c r="I2729">
        <v>59</v>
      </c>
      <c r="K2729" t="s">
        <v>2386</v>
      </c>
      <c r="L2729">
        <v>20</v>
      </c>
      <c r="M2729" t="s">
        <v>3573</v>
      </c>
      <c r="N2729" t="s">
        <v>2388</v>
      </c>
      <c r="O2729">
        <v>1</v>
      </c>
    </row>
    <row r="2730" spans="2:15" x14ac:dyDescent="0.3">
      <c r="B2730">
        <v>2790</v>
      </c>
      <c r="D2730">
        <v>1408</v>
      </c>
      <c r="E2730">
        <v>713</v>
      </c>
      <c r="F2730">
        <v>1</v>
      </c>
      <c r="G2730">
        <v>63.287827496551998</v>
      </c>
      <c r="H2730">
        <v>2</v>
      </c>
      <c r="I2730">
        <v>59</v>
      </c>
      <c r="K2730" t="s">
        <v>2386</v>
      </c>
      <c r="L2730">
        <v>20</v>
      </c>
      <c r="M2730" t="s">
        <v>3574</v>
      </c>
      <c r="N2730" t="s">
        <v>2388</v>
      </c>
      <c r="O2730">
        <v>1</v>
      </c>
    </row>
    <row r="2731" spans="2:15" x14ac:dyDescent="0.3">
      <c r="B2731">
        <v>2791</v>
      </c>
      <c r="D2731">
        <v>713</v>
      </c>
      <c r="E2731">
        <v>1408</v>
      </c>
      <c r="F2731">
        <v>1</v>
      </c>
      <c r="G2731">
        <v>63.287827496551998</v>
      </c>
      <c r="H2731">
        <v>2</v>
      </c>
      <c r="I2731">
        <v>59</v>
      </c>
      <c r="K2731" t="s">
        <v>2386</v>
      </c>
      <c r="L2731">
        <v>20</v>
      </c>
      <c r="M2731" t="s">
        <v>3575</v>
      </c>
      <c r="N2731" t="s">
        <v>2388</v>
      </c>
      <c r="O2731">
        <v>1</v>
      </c>
    </row>
    <row r="2732" spans="2:15" x14ac:dyDescent="0.3">
      <c r="B2732">
        <v>2792</v>
      </c>
      <c r="D2732">
        <v>1409</v>
      </c>
      <c r="E2732">
        <v>530</v>
      </c>
      <c r="F2732">
        <v>1</v>
      </c>
      <c r="G2732">
        <v>55.416566528986202</v>
      </c>
      <c r="H2732">
        <v>2</v>
      </c>
      <c r="I2732">
        <v>59</v>
      </c>
      <c r="K2732" t="s">
        <v>2386</v>
      </c>
      <c r="L2732">
        <v>20</v>
      </c>
      <c r="M2732" t="s">
        <v>3576</v>
      </c>
      <c r="N2732" t="s">
        <v>2388</v>
      </c>
      <c r="O2732">
        <v>1</v>
      </c>
    </row>
    <row r="2733" spans="2:15" x14ac:dyDescent="0.3">
      <c r="B2733">
        <v>2793</v>
      </c>
      <c r="D2733">
        <v>530</v>
      </c>
      <c r="E2733">
        <v>1409</v>
      </c>
      <c r="F2733">
        <v>1</v>
      </c>
      <c r="G2733">
        <v>55.416566528986202</v>
      </c>
      <c r="H2733">
        <v>2</v>
      </c>
      <c r="I2733">
        <v>59</v>
      </c>
      <c r="K2733" t="s">
        <v>2386</v>
      </c>
      <c r="L2733">
        <v>20</v>
      </c>
      <c r="M2733" t="s">
        <v>3577</v>
      </c>
      <c r="N2733" t="s">
        <v>2388</v>
      </c>
      <c r="O2733">
        <v>1</v>
      </c>
    </row>
    <row r="2734" spans="2:15" x14ac:dyDescent="0.3">
      <c r="B2734">
        <v>2794</v>
      </c>
      <c r="D2734">
        <v>1410</v>
      </c>
      <c r="E2734">
        <v>713</v>
      </c>
      <c r="F2734">
        <v>1</v>
      </c>
      <c r="G2734">
        <v>64.947323011937996</v>
      </c>
      <c r="H2734">
        <v>2</v>
      </c>
      <c r="I2734">
        <v>59</v>
      </c>
      <c r="K2734" t="s">
        <v>2386</v>
      </c>
      <c r="L2734">
        <v>20</v>
      </c>
      <c r="M2734" t="s">
        <v>3578</v>
      </c>
      <c r="N2734" t="s">
        <v>2388</v>
      </c>
      <c r="O2734">
        <v>1</v>
      </c>
    </row>
    <row r="2735" spans="2:15" x14ac:dyDescent="0.3">
      <c r="B2735">
        <v>2795</v>
      </c>
      <c r="D2735">
        <v>713</v>
      </c>
      <c r="E2735">
        <v>1410</v>
      </c>
      <c r="F2735">
        <v>1</v>
      </c>
      <c r="G2735">
        <v>64.947323011937996</v>
      </c>
      <c r="H2735">
        <v>2</v>
      </c>
      <c r="I2735">
        <v>59</v>
      </c>
      <c r="K2735" t="s">
        <v>2386</v>
      </c>
      <c r="L2735">
        <v>20</v>
      </c>
      <c r="M2735" t="s">
        <v>3579</v>
      </c>
      <c r="N2735" t="s">
        <v>2388</v>
      </c>
      <c r="O2735">
        <v>1</v>
      </c>
    </row>
    <row r="2736" spans="2:15" x14ac:dyDescent="0.3">
      <c r="B2736">
        <v>2796</v>
      </c>
      <c r="D2736">
        <v>1411</v>
      </c>
      <c r="E2736">
        <v>214</v>
      </c>
      <c r="F2736">
        <v>1</v>
      </c>
      <c r="G2736">
        <v>89.889025413261393</v>
      </c>
      <c r="H2736">
        <v>2</v>
      </c>
      <c r="I2736">
        <v>59</v>
      </c>
      <c r="K2736" t="s">
        <v>2386</v>
      </c>
      <c r="L2736">
        <v>20</v>
      </c>
      <c r="M2736" t="s">
        <v>3580</v>
      </c>
      <c r="N2736" t="s">
        <v>2388</v>
      </c>
      <c r="O2736">
        <v>1</v>
      </c>
    </row>
    <row r="2737" spans="2:15" x14ac:dyDescent="0.3">
      <c r="B2737">
        <v>2797</v>
      </c>
      <c r="D2737">
        <v>214</v>
      </c>
      <c r="E2737">
        <v>1411</v>
      </c>
      <c r="F2737">
        <v>1</v>
      </c>
      <c r="G2737">
        <v>89.889025413261393</v>
      </c>
      <c r="H2737">
        <v>2</v>
      </c>
      <c r="I2737">
        <v>59</v>
      </c>
      <c r="K2737" t="s">
        <v>2386</v>
      </c>
      <c r="L2737">
        <v>20</v>
      </c>
      <c r="M2737" t="s">
        <v>3581</v>
      </c>
      <c r="N2737" t="s">
        <v>2388</v>
      </c>
      <c r="O2737">
        <v>1</v>
      </c>
    </row>
    <row r="2738" spans="2:15" x14ac:dyDescent="0.3">
      <c r="B2738">
        <v>2798</v>
      </c>
      <c r="D2738">
        <v>1412</v>
      </c>
      <c r="E2738">
        <v>387</v>
      </c>
      <c r="F2738">
        <v>1</v>
      </c>
      <c r="G2738">
        <v>84.591606761292994</v>
      </c>
      <c r="H2738">
        <v>2</v>
      </c>
      <c r="I2738">
        <v>59</v>
      </c>
      <c r="K2738" t="s">
        <v>2386</v>
      </c>
      <c r="L2738">
        <v>20</v>
      </c>
      <c r="M2738" t="s">
        <v>3582</v>
      </c>
      <c r="N2738" t="s">
        <v>2388</v>
      </c>
      <c r="O2738">
        <v>1</v>
      </c>
    </row>
    <row r="2739" spans="2:15" x14ac:dyDescent="0.3">
      <c r="B2739">
        <v>2799</v>
      </c>
      <c r="D2739">
        <v>387</v>
      </c>
      <c r="E2739">
        <v>1412</v>
      </c>
      <c r="F2739">
        <v>1</v>
      </c>
      <c r="G2739">
        <v>84.591606761292994</v>
      </c>
      <c r="H2739">
        <v>2</v>
      </c>
      <c r="I2739">
        <v>59</v>
      </c>
      <c r="K2739" t="s">
        <v>2386</v>
      </c>
      <c r="L2739">
        <v>20</v>
      </c>
      <c r="M2739" t="s">
        <v>3583</v>
      </c>
      <c r="N2739" t="s">
        <v>2388</v>
      </c>
      <c r="O2739">
        <v>1</v>
      </c>
    </row>
    <row r="2740" spans="2:15" x14ac:dyDescent="0.3">
      <c r="B2740">
        <v>2800</v>
      </c>
      <c r="D2740">
        <v>1413</v>
      </c>
      <c r="E2740">
        <v>532</v>
      </c>
      <c r="F2740">
        <v>1</v>
      </c>
      <c r="G2740">
        <v>47.850444941761502</v>
      </c>
      <c r="H2740">
        <v>2</v>
      </c>
      <c r="I2740">
        <v>59</v>
      </c>
      <c r="K2740" t="s">
        <v>2386</v>
      </c>
      <c r="L2740">
        <v>20</v>
      </c>
      <c r="M2740" t="s">
        <v>3584</v>
      </c>
      <c r="N2740" t="s">
        <v>2388</v>
      </c>
      <c r="O2740">
        <v>1</v>
      </c>
    </row>
    <row r="2741" spans="2:15" x14ac:dyDescent="0.3">
      <c r="B2741">
        <v>2801</v>
      </c>
      <c r="D2741">
        <v>532</v>
      </c>
      <c r="E2741">
        <v>1413</v>
      </c>
      <c r="F2741">
        <v>1</v>
      </c>
      <c r="G2741">
        <v>47.850444941761502</v>
      </c>
      <c r="H2741">
        <v>2</v>
      </c>
      <c r="I2741">
        <v>59</v>
      </c>
      <c r="K2741" t="s">
        <v>2386</v>
      </c>
      <c r="L2741">
        <v>20</v>
      </c>
      <c r="M2741" t="s">
        <v>3585</v>
      </c>
      <c r="N2741" t="s">
        <v>2388</v>
      </c>
      <c r="O2741">
        <v>1</v>
      </c>
    </row>
    <row r="2742" spans="2:15" x14ac:dyDescent="0.3">
      <c r="B2742">
        <v>2802</v>
      </c>
      <c r="D2742">
        <v>1414</v>
      </c>
      <c r="E2742">
        <v>497</v>
      </c>
      <c r="F2742">
        <v>1</v>
      </c>
      <c r="G2742">
        <v>48.641222180868702</v>
      </c>
      <c r="H2742">
        <v>2</v>
      </c>
      <c r="I2742">
        <v>59</v>
      </c>
      <c r="K2742" t="s">
        <v>2386</v>
      </c>
      <c r="L2742">
        <v>20</v>
      </c>
      <c r="M2742" t="s">
        <v>3586</v>
      </c>
      <c r="N2742" t="s">
        <v>2388</v>
      </c>
      <c r="O2742">
        <v>1</v>
      </c>
    </row>
    <row r="2743" spans="2:15" x14ac:dyDescent="0.3">
      <c r="B2743">
        <v>2803</v>
      </c>
      <c r="D2743">
        <v>497</v>
      </c>
      <c r="E2743">
        <v>1414</v>
      </c>
      <c r="F2743">
        <v>1</v>
      </c>
      <c r="G2743">
        <v>48.641222180868702</v>
      </c>
      <c r="H2743">
        <v>2</v>
      </c>
      <c r="I2743">
        <v>59</v>
      </c>
      <c r="K2743" t="s">
        <v>2386</v>
      </c>
      <c r="L2743">
        <v>20</v>
      </c>
      <c r="M2743" t="s">
        <v>3587</v>
      </c>
      <c r="N2743" t="s">
        <v>2388</v>
      </c>
      <c r="O2743">
        <v>1</v>
      </c>
    </row>
    <row r="2744" spans="2:15" x14ac:dyDescent="0.3">
      <c r="B2744">
        <v>2804</v>
      </c>
      <c r="D2744">
        <v>1415</v>
      </c>
      <c r="E2744">
        <v>497</v>
      </c>
      <c r="F2744">
        <v>1</v>
      </c>
      <c r="G2744">
        <v>88.744421927961994</v>
      </c>
      <c r="H2744">
        <v>2</v>
      </c>
      <c r="I2744">
        <v>59</v>
      </c>
      <c r="K2744" t="s">
        <v>2386</v>
      </c>
      <c r="L2744">
        <v>20</v>
      </c>
      <c r="M2744" t="s">
        <v>3588</v>
      </c>
      <c r="N2744" t="s">
        <v>2388</v>
      </c>
      <c r="O2744">
        <v>1</v>
      </c>
    </row>
    <row r="2745" spans="2:15" x14ac:dyDescent="0.3">
      <c r="B2745">
        <v>2805</v>
      </c>
      <c r="D2745">
        <v>497</v>
      </c>
      <c r="E2745">
        <v>1415</v>
      </c>
      <c r="F2745">
        <v>1</v>
      </c>
      <c r="G2745">
        <v>88.744421927961994</v>
      </c>
      <c r="H2745">
        <v>2</v>
      </c>
      <c r="I2745">
        <v>59</v>
      </c>
      <c r="K2745" t="s">
        <v>2386</v>
      </c>
      <c r="L2745">
        <v>20</v>
      </c>
      <c r="M2745" t="s">
        <v>3589</v>
      </c>
      <c r="N2745" t="s">
        <v>2388</v>
      </c>
      <c r="O2745">
        <v>1</v>
      </c>
    </row>
    <row r="2746" spans="2:15" x14ac:dyDescent="0.3">
      <c r="B2746">
        <v>2806</v>
      </c>
      <c r="D2746">
        <v>1416</v>
      </c>
      <c r="E2746">
        <v>497</v>
      </c>
      <c r="F2746">
        <v>1</v>
      </c>
      <c r="G2746">
        <v>72.6991117905023</v>
      </c>
      <c r="H2746">
        <v>2</v>
      </c>
      <c r="I2746">
        <v>59</v>
      </c>
      <c r="K2746" t="s">
        <v>2386</v>
      </c>
      <c r="L2746">
        <v>20</v>
      </c>
      <c r="M2746" t="s">
        <v>3590</v>
      </c>
      <c r="N2746" t="s">
        <v>2388</v>
      </c>
      <c r="O2746">
        <v>1</v>
      </c>
    </row>
    <row r="2747" spans="2:15" x14ac:dyDescent="0.3">
      <c r="B2747">
        <v>2807</v>
      </c>
      <c r="D2747">
        <v>497</v>
      </c>
      <c r="E2747">
        <v>1416</v>
      </c>
      <c r="F2747">
        <v>1</v>
      </c>
      <c r="G2747">
        <v>72.6991117905023</v>
      </c>
      <c r="H2747">
        <v>2</v>
      </c>
      <c r="I2747">
        <v>59</v>
      </c>
      <c r="K2747" t="s">
        <v>2386</v>
      </c>
      <c r="L2747">
        <v>20</v>
      </c>
      <c r="M2747" t="s">
        <v>3591</v>
      </c>
      <c r="N2747" t="s">
        <v>2388</v>
      </c>
      <c r="O2747">
        <v>1</v>
      </c>
    </row>
    <row r="2748" spans="2:15" x14ac:dyDescent="0.3">
      <c r="B2748">
        <v>2808</v>
      </c>
      <c r="D2748">
        <v>1417</v>
      </c>
      <c r="E2748">
        <v>617</v>
      </c>
      <c r="F2748">
        <v>1</v>
      </c>
      <c r="G2748">
        <v>50.874949233694899</v>
      </c>
      <c r="H2748">
        <v>2</v>
      </c>
      <c r="I2748">
        <v>59</v>
      </c>
      <c r="K2748" t="s">
        <v>2386</v>
      </c>
      <c r="L2748">
        <v>20</v>
      </c>
      <c r="M2748" t="s">
        <v>3592</v>
      </c>
      <c r="N2748" t="s">
        <v>2388</v>
      </c>
      <c r="O2748">
        <v>1</v>
      </c>
    </row>
    <row r="2749" spans="2:15" x14ac:dyDescent="0.3">
      <c r="B2749">
        <v>2809</v>
      </c>
      <c r="D2749">
        <v>617</v>
      </c>
      <c r="E2749">
        <v>1417</v>
      </c>
      <c r="F2749">
        <v>1</v>
      </c>
      <c r="G2749">
        <v>50.874949233694899</v>
      </c>
      <c r="H2749">
        <v>2</v>
      </c>
      <c r="I2749">
        <v>59</v>
      </c>
      <c r="K2749" t="s">
        <v>2386</v>
      </c>
      <c r="L2749">
        <v>20</v>
      </c>
      <c r="M2749" t="s">
        <v>3593</v>
      </c>
      <c r="N2749" t="s">
        <v>2388</v>
      </c>
      <c r="O2749">
        <v>1</v>
      </c>
    </row>
    <row r="2750" spans="2:15" x14ac:dyDescent="0.3">
      <c r="B2750">
        <v>2810</v>
      </c>
      <c r="D2750">
        <v>1418</v>
      </c>
      <c r="E2750">
        <v>374</v>
      </c>
      <c r="F2750">
        <v>1</v>
      </c>
      <c r="G2750">
        <v>30.4003380101306</v>
      </c>
      <c r="H2750">
        <v>2</v>
      </c>
      <c r="I2750">
        <v>59</v>
      </c>
      <c r="K2750" t="s">
        <v>2386</v>
      </c>
      <c r="L2750">
        <v>20</v>
      </c>
      <c r="M2750" t="s">
        <v>3594</v>
      </c>
      <c r="N2750" t="s">
        <v>2388</v>
      </c>
      <c r="O2750">
        <v>1</v>
      </c>
    </row>
    <row r="2751" spans="2:15" x14ac:dyDescent="0.3">
      <c r="B2751">
        <v>2811</v>
      </c>
      <c r="D2751">
        <v>374</v>
      </c>
      <c r="E2751">
        <v>1418</v>
      </c>
      <c r="F2751">
        <v>1</v>
      </c>
      <c r="G2751">
        <v>30.4003380101306</v>
      </c>
      <c r="H2751">
        <v>2</v>
      </c>
      <c r="I2751">
        <v>59</v>
      </c>
      <c r="K2751" t="s">
        <v>2386</v>
      </c>
      <c r="L2751">
        <v>20</v>
      </c>
      <c r="M2751" t="s">
        <v>3595</v>
      </c>
      <c r="N2751" t="s">
        <v>2388</v>
      </c>
      <c r="O2751">
        <v>1</v>
      </c>
    </row>
    <row r="2752" spans="2:15" x14ac:dyDescent="0.3">
      <c r="B2752">
        <v>2812</v>
      </c>
      <c r="D2752">
        <v>1419</v>
      </c>
      <c r="E2752">
        <v>88</v>
      </c>
      <c r="F2752">
        <v>1</v>
      </c>
      <c r="G2752">
        <v>115.31869365871501</v>
      </c>
      <c r="H2752">
        <v>2</v>
      </c>
      <c r="I2752">
        <v>59</v>
      </c>
      <c r="K2752" t="s">
        <v>2386</v>
      </c>
      <c r="L2752">
        <v>20</v>
      </c>
      <c r="M2752" t="s">
        <v>3596</v>
      </c>
      <c r="N2752" t="s">
        <v>2388</v>
      </c>
      <c r="O2752">
        <v>1</v>
      </c>
    </row>
    <row r="2753" spans="2:15" x14ac:dyDescent="0.3">
      <c r="B2753">
        <v>2813</v>
      </c>
      <c r="D2753">
        <v>88</v>
      </c>
      <c r="E2753">
        <v>1419</v>
      </c>
      <c r="F2753">
        <v>1</v>
      </c>
      <c r="G2753">
        <v>115.31869365871501</v>
      </c>
      <c r="H2753">
        <v>2</v>
      </c>
      <c r="I2753">
        <v>59</v>
      </c>
      <c r="K2753" t="s">
        <v>2386</v>
      </c>
      <c r="L2753">
        <v>20</v>
      </c>
      <c r="M2753" t="s">
        <v>3597</v>
      </c>
      <c r="N2753" t="s">
        <v>2388</v>
      </c>
      <c r="O2753">
        <v>1</v>
      </c>
    </row>
    <row r="2754" spans="2:15" x14ac:dyDescent="0.3">
      <c r="B2754">
        <v>2814</v>
      </c>
      <c r="D2754">
        <v>1420</v>
      </c>
      <c r="E2754">
        <v>374</v>
      </c>
      <c r="F2754">
        <v>1</v>
      </c>
      <c r="G2754">
        <v>50.206956650436197</v>
      </c>
      <c r="H2754">
        <v>2</v>
      </c>
      <c r="I2754">
        <v>59</v>
      </c>
      <c r="K2754" t="s">
        <v>2386</v>
      </c>
      <c r="L2754">
        <v>20</v>
      </c>
      <c r="M2754" t="s">
        <v>3598</v>
      </c>
      <c r="N2754" t="s">
        <v>2388</v>
      </c>
      <c r="O2754">
        <v>1</v>
      </c>
    </row>
    <row r="2755" spans="2:15" x14ac:dyDescent="0.3">
      <c r="B2755">
        <v>2815</v>
      </c>
      <c r="D2755">
        <v>374</v>
      </c>
      <c r="E2755">
        <v>1420</v>
      </c>
      <c r="F2755">
        <v>1</v>
      </c>
      <c r="G2755">
        <v>50.206956650436197</v>
      </c>
      <c r="H2755">
        <v>2</v>
      </c>
      <c r="I2755">
        <v>59</v>
      </c>
      <c r="K2755" t="s">
        <v>2386</v>
      </c>
      <c r="L2755">
        <v>20</v>
      </c>
      <c r="M2755" t="s">
        <v>3599</v>
      </c>
      <c r="N2755" t="s">
        <v>2388</v>
      </c>
      <c r="O2755">
        <v>1</v>
      </c>
    </row>
    <row r="2756" spans="2:15" x14ac:dyDescent="0.3">
      <c r="B2756">
        <v>2816</v>
      </c>
      <c r="D2756">
        <v>1421</v>
      </c>
      <c r="E2756">
        <v>89</v>
      </c>
      <c r="F2756">
        <v>1</v>
      </c>
      <c r="G2756">
        <v>53.051566830301098</v>
      </c>
      <c r="H2756">
        <v>2</v>
      </c>
      <c r="I2756">
        <v>59</v>
      </c>
      <c r="K2756" t="s">
        <v>2386</v>
      </c>
      <c r="L2756">
        <v>20</v>
      </c>
      <c r="M2756" t="s">
        <v>3600</v>
      </c>
      <c r="N2756" t="s">
        <v>2388</v>
      </c>
      <c r="O2756">
        <v>1</v>
      </c>
    </row>
    <row r="2757" spans="2:15" x14ac:dyDescent="0.3">
      <c r="B2757">
        <v>2817</v>
      </c>
      <c r="D2757">
        <v>89</v>
      </c>
      <c r="E2757">
        <v>1421</v>
      </c>
      <c r="F2757">
        <v>1</v>
      </c>
      <c r="G2757">
        <v>53.051566830301098</v>
      </c>
      <c r="H2757">
        <v>2</v>
      </c>
      <c r="I2757">
        <v>59</v>
      </c>
      <c r="K2757" t="s">
        <v>2386</v>
      </c>
      <c r="L2757">
        <v>20</v>
      </c>
      <c r="M2757" t="s">
        <v>3601</v>
      </c>
      <c r="N2757" t="s">
        <v>2388</v>
      </c>
      <c r="O2757">
        <v>1</v>
      </c>
    </row>
    <row r="2758" spans="2:15" x14ac:dyDescent="0.3">
      <c r="B2758">
        <v>2818</v>
      </c>
      <c r="D2758">
        <v>1422</v>
      </c>
      <c r="E2758">
        <v>53</v>
      </c>
      <c r="F2758">
        <v>1</v>
      </c>
      <c r="G2758">
        <v>109.785821419714</v>
      </c>
      <c r="H2758">
        <v>2</v>
      </c>
      <c r="I2758">
        <v>59</v>
      </c>
      <c r="K2758" t="s">
        <v>2386</v>
      </c>
      <c r="L2758">
        <v>20</v>
      </c>
      <c r="M2758" t="s">
        <v>3602</v>
      </c>
      <c r="N2758" t="s">
        <v>2388</v>
      </c>
      <c r="O2758">
        <v>1</v>
      </c>
    </row>
    <row r="2759" spans="2:15" x14ac:dyDescent="0.3">
      <c r="B2759">
        <v>2819</v>
      </c>
      <c r="D2759">
        <v>53</v>
      </c>
      <c r="E2759">
        <v>1422</v>
      </c>
      <c r="F2759">
        <v>1</v>
      </c>
      <c r="G2759">
        <v>109.785821419714</v>
      </c>
      <c r="H2759">
        <v>2</v>
      </c>
      <c r="I2759">
        <v>59</v>
      </c>
      <c r="K2759" t="s">
        <v>2386</v>
      </c>
      <c r="L2759">
        <v>20</v>
      </c>
      <c r="M2759" t="s">
        <v>3603</v>
      </c>
      <c r="N2759" t="s">
        <v>2388</v>
      </c>
      <c r="O2759">
        <v>1</v>
      </c>
    </row>
    <row r="2760" spans="2:15" x14ac:dyDescent="0.3">
      <c r="B2760">
        <v>2820</v>
      </c>
      <c r="D2760">
        <v>1423</v>
      </c>
      <c r="E2760">
        <v>53</v>
      </c>
      <c r="F2760">
        <v>1</v>
      </c>
      <c r="G2760">
        <v>73.822979014240701</v>
      </c>
      <c r="H2760">
        <v>2</v>
      </c>
      <c r="I2760">
        <v>59</v>
      </c>
      <c r="K2760" t="s">
        <v>2386</v>
      </c>
      <c r="L2760">
        <v>20</v>
      </c>
      <c r="M2760" t="s">
        <v>3604</v>
      </c>
      <c r="N2760" t="s">
        <v>2388</v>
      </c>
      <c r="O2760">
        <v>1</v>
      </c>
    </row>
    <row r="2761" spans="2:15" x14ac:dyDescent="0.3">
      <c r="B2761">
        <v>2821</v>
      </c>
      <c r="D2761">
        <v>53</v>
      </c>
      <c r="E2761">
        <v>1423</v>
      </c>
      <c r="F2761">
        <v>1</v>
      </c>
      <c r="G2761">
        <v>73.822979014240701</v>
      </c>
      <c r="H2761">
        <v>2</v>
      </c>
      <c r="I2761">
        <v>59</v>
      </c>
      <c r="K2761" t="s">
        <v>2386</v>
      </c>
      <c r="L2761">
        <v>20</v>
      </c>
      <c r="M2761" t="s">
        <v>3605</v>
      </c>
      <c r="N2761" t="s">
        <v>2388</v>
      </c>
      <c r="O2761">
        <v>1</v>
      </c>
    </row>
    <row r="2762" spans="2:15" x14ac:dyDescent="0.3">
      <c r="B2762">
        <v>2822</v>
      </c>
      <c r="D2762">
        <v>1424</v>
      </c>
      <c r="E2762">
        <v>53</v>
      </c>
      <c r="F2762">
        <v>1</v>
      </c>
      <c r="G2762">
        <v>94.838799661153303</v>
      </c>
      <c r="H2762">
        <v>2</v>
      </c>
      <c r="I2762">
        <v>59</v>
      </c>
      <c r="K2762" t="s">
        <v>2386</v>
      </c>
      <c r="L2762">
        <v>20</v>
      </c>
      <c r="M2762" t="s">
        <v>3606</v>
      </c>
      <c r="N2762" t="s">
        <v>2388</v>
      </c>
      <c r="O2762">
        <v>1</v>
      </c>
    </row>
    <row r="2763" spans="2:15" x14ac:dyDescent="0.3">
      <c r="B2763">
        <v>2823</v>
      </c>
      <c r="D2763">
        <v>53</v>
      </c>
      <c r="E2763">
        <v>1424</v>
      </c>
      <c r="F2763">
        <v>1</v>
      </c>
      <c r="G2763">
        <v>94.838799661153303</v>
      </c>
      <c r="H2763">
        <v>2</v>
      </c>
      <c r="I2763">
        <v>59</v>
      </c>
      <c r="K2763" t="s">
        <v>2386</v>
      </c>
      <c r="L2763">
        <v>20</v>
      </c>
      <c r="M2763" t="s">
        <v>3607</v>
      </c>
      <c r="N2763" t="s">
        <v>2388</v>
      </c>
      <c r="O2763">
        <v>1</v>
      </c>
    </row>
    <row r="2764" spans="2:15" x14ac:dyDescent="0.3">
      <c r="B2764">
        <v>2824</v>
      </c>
      <c r="D2764">
        <v>1425</v>
      </c>
      <c r="E2764">
        <v>53</v>
      </c>
      <c r="F2764">
        <v>1</v>
      </c>
      <c r="G2764">
        <v>50.970182269219997</v>
      </c>
      <c r="H2764">
        <v>2</v>
      </c>
      <c r="I2764">
        <v>59</v>
      </c>
      <c r="K2764" t="s">
        <v>2386</v>
      </c>
      <c r="L2764">
        <v>20</v>
      </c>
      <c r="M2764" t="s">
        <v>3608</v>
      </c>
      <c r="N2764" t="s">
        <v>2388</v>
      </c>
      <c r="O2764">
        <v>1</v>
      </c>
    </row>
    <row r="2765" spans="2:15" x14ac:dyDescent="0.3">
      <c r="B2765">
        <v>2825</v>
      </c>
      <c r="D2765">
        <v>53</v>
      </c>
      <c r="E2765">
        <v>1425</v>
      </c>
      <c r="F2765">
        <v>1</v>
      </c>
      <c r="G2765">
        <v>50.970182269219997</v>
      </c>
      <c r="H2765">
        <v>2</v>
      </c>
      <c r="I2765">
        <v>59</v>
      </c>
      <c r="K2765" t="s">
        <v>2386</v>
      </c>
      <c r="L2765">
        <v>20</v>
      </c>
      <c r="M2765" t="s">
        <v>3609</v>
      </c>
      <c r="N2765" t="s">
        <v>2388</v>
      </c>
      <c r="O2765">
        <v>1</v>
      </c>
    </row>
    <row r="2766" spans="2:15" x14ac:dyDescent="0.3">
      <c r="B2766">
        <v>2826</v>
      </c>
      <c r="D2766">
        <v>1426</v>
      </c>
      <c r="E2766">
        <v>53</v>
      </c>
      <c r="F2766">
        <v>1</v>
      </c>
      <c r="G2766">
        <v>39.322563616192497</v>
      </c>
      <c r="H2766">
        <v>2</v>
      </c>
      <c r="I2766">
        <v>59</v>
      </c>
      <c r="K2766" t="s">
        <v>2386</v>
      </c>
      <c r="L2766">
        <v>20</v>
      </c>
      <c r="M2766" t="s">
        <v>3610</v>
      </c>
      <c r="N2766" t="s">
        <v>2388</v>
      </c>
      <c r="O2766">
        <v>1</v>
      </c>
    </row>
    <row r="2767" spans="2:15" x14ac:dyDescent="0.3">
      <c r="B2767">
        <v>2827</v>
      </c>
      <c r="D2767">
        <v>53</v>
      </c>
      <c r="E2767">
        <v>1426</v>
      </c>
      <c r="F2767">
        <v>1</v>
      </c>
      <c r="G2767">
        <v>39.322563616192497</v>
      </c>
      <c r="H2767">
        <v>2</v>
      </c>
      <c r="I2767">
        <v>59</v>
      </c>
      <c r="K2767" t="s">
        <v>2386</v>
      </c>
      <c r="L2767">
        <v>20</v>
      </c>
      <c r="M2767" t="s">
        <v>3611</v>
      </c>
      <c r="N2767" t="s">
        <v>2388</v>
      </c>
      <c r="O2767">
        <v>1</v>
      </c>
    </row>
    <row r="2768" spans="2:15" x14ac:dyDescent="0.3">
      <c r="B2768">
        <v>2828</v>
      </c>
      <c r="D2768">
        <v>1427</v>
      </c>
      <c r="E2768">
        <v>88</v>
      </c>
      <c r="F2768">
        <v>1</v>
      </c>
      <c r="G2768">
        <v>89.210071569684601</v>
      </c>
      <c r="H2768">
        <v>2</v>
      </c>
      <c r="I2768">
        <v>59</v>
      </c>
      <c r="K2768" t="s">
        <v>2386</v>
      </c>
      <c r="L2768">
        <v>20</v>
      </c>
      <c r="M2768" t="s">
        <v>3612</v>
      </c>
      <c r="N2768" t="s">
        <v>2388</v>
      </c>
      <c r="O2768">
        <v>1</v>
      </c>
    </row>
    <row r="2769" spans="2:15" x14ac:dyDescent="0.3">
      <c r="B2769">
        <v>2829</v>
      </c>
      <c r="D2769">
        <v>88</v>
      </c>
      <c r="E2769">
        <v>1427</v>
      </c>
      <c r="F2769">
        <v>1</v>
      </c>
      <c r="G2769">
        <v>89.210071569684601</v>
      </c>
      <c r="H2769">
        <v>2</v>
      </c>
      <c r="I2769">
        <v>59</v>
      </c>
      <c r="K2769" t="s">
        <v>2386</v>
      </c>
      <c r="L2769">
        <v>20</v>
      </c>
      <c r="M2769" t="s">
        <v>3613</v>
      </c>
      <c r="N2769" t="s">
        <v>2388</v>
      </c>
      <c r="O2769">
        <v>1</v>
      </c>
    </row>
    <row r="2770" spans="2:15" x14ac:dyDescent="0.3">
      <c r="B2770">
        <v>2830</v>
      </c>
      <c r="D2770">
        <v>1428</v>
      </c>
      <c r="E2770">
        <v>53</v>
      </c>
      <c r="F2770">
        <v>1</v>
      </c>
      <c r="G2770">
        <v>113.86679184204</v>
      </c>
      <c r="H2770">
        <v>2</v>
      </c>
      <c r="I2770">
        <v>59</v>
      </c>
      <c r="K2770" t="s">
        <v>2386</v>
      </c>
      <c r="L2770">
        <v>20</v>
      </c>
      <c r="M2770" t="s">
        <v>3614</v>
      </c>
      <c r="N2770" t="s">
        <v>2388</v>
      </c>
      <c r="O2770">
        <v>1</v>
      </c>
    </row>
    <row r="2771" spans="2:15" x14ac:dyDescent="0.3">
      <c r="B2771">
        <v>2831</v>
      </c>
      <c r="D2771">
        <v>53</v>
      </c>
      <c r="E2771">
        <v>1428</v>
      </c>
      <c r="F2771">
        <v>1</v>
      </c>
      <c r="G2771">
        <v>113.86679184204</v>
      </c>
      <c r="H2771">
        <v>2</v>
      </c>
      <c r="I2771">
        <v>59</v>
      </c>
      <c r="K2771" t="s">
        <v>2386</v>
      </c>
      <c r="L2771">
        <v>20</v>
      </c>
      <c r="M2771" t="s">
        <v>3615</v>
      </c>
      <c r="N2771" t="s">
        <v>2388</v>
      </c>
      <c r="O2771">
        <v>1</v>
      </c>
    </row>
    <row r="2772" spans="2:15" x14ac:dyDescent="0.3">
      <c r="B2772">
        <v>2832</v>
      </c>
      <c r="D2772">
        <v>1429</v>
      </c>
      <c r="E2772">
        <v>53</v>
      </c>
      <c r="F2772">
        <v>1</v>
      </c>
      <c r="G2772">
        <v>72.787728463747499</v>
      </c>
      <c r="H2772">
        <v>2</v>
      </c>
      <c r="I2772">
        <v>59</v>
      </c>
      <c r="K2772" t="s">
        <v>2386</v>
      </c>
      <c r="L2772">
        <v>20</v>
      </c>
      <c r="M2772" t="s">
        <v>3616</v>
      </c>
      <c r="N2772" t="s">
        <v>2388</v>
      </c>
      <c r="O2772">
        <v>1</v>
      </c>
    </row>
    <row r="2773" spans="2:15" x14ac:dyDescent="0.3">
      <c r="B2773">
        <v>2833</v>
      </c>
      <c r="D2773">
        <v>53</v>
      </c>
      <c r="E2773">
        <v>1429</v>
      </c>
      <c r="F2773">
        <v>1</v>
      </c>
      <c r="G2773">
        <v>72.787728463747499</v>
      </c>
      <c r="H2773">
        <v>2</v>
      </c>
      <c r="I2773">
        <v>59</v>
      </c>
      <c r="K2773" t="s">
        <v>2386</v>
      </c>
      <c r="L2773">
        <v>20</v>
      </c>
      <c r="M2773" t="s">
        <v>3617</v>
      </c>
      <c r="N2773" t="s">
        <v>2388</v>
      </c>
      <c r="O2773">
        <v>1</v>
      </c>
    </row>
    <row r="2774" spans="2:15" x14ac:dyDescent="0.3">
      <c r="B2774">
        <v>2834</v>
      </c>
      <c r="D2774">
        <v>1430</v>
      </c>
      <c r="E2774">
        <v>62</v>
      </c>
      <c r="F2774">
        <v>1</v>
      </c>
      <c r="G2774">
        <v>108.997912023566</v>
      </c>
      <c r="H2774">
        <v>2</v>
      </c>
      <c r="I2774">
        <v>59</v>
      </c>
      <c r="K2774" t="s">
        <v>2386</v>
      </c>
      <c r="L2774">
        <v>20</v>
      </c>
      <c r="M2774" t="s">
        <v>3618</v>
      </c>
      <c r="N2774" t="s">
        <v>2388</v>
      </c>
      <c r="O2774">
        <v>1</v>
      </c>
    </row>
    <row r="2775" spans="2:15" x14ac:dyDescent="0.3">
      <c r="B2775">
        <v>2835</v>
      </c>
      <c r="D2775">
        <v>62</v>
      </c>
      <c r="E2775">
        <v>1430</v>
      </c>
      <c r="F2775">
        <v>1</v>
      </c>
      <c r="G2775">
        <v>108.997912023566</v>
      </c>
      <c r="H2775">
        <v>2</v>
      </c>
      <c r="I2775">
        <v>59</v>
      </c>
      <c r="K2775" t="s">
        <v>2386</v>
      </c>
      <c r="L2775">
        <v>20</v>
      </c>
      <c r="M2775" t="s">
        <v>3619</v>
      </c>
      <c r="N2775" t="s">
        <v>2388</v>
      </c>
      <c r="O2775">
        <v>1</v>
      </c>
    </row>
    <row r="2776" spans="2:15" x14ac:dyDescent="0.3">
      <c r="B2776">
        <v>2836</v>
      </c>
      <c r="D2776">
        <v>1431</v>
      </c>
      <c r="E2776">
        <v>62</v>
      </c>
      <c r="F2776">
        <v>1</v>
      </c>
      <c r="G2776">
        <v>89.569663582263203</v>
      </c>
      <c r="H2776">
        <v>2</v>
      </c>
      <c r="I2776">
        <v>59</v>
      </c>
      <c r="K2776" t="s">
        <v>2386</v>
      </c>
      <c r="L2776">
        <v>20</v>
      </c>
      <c r="M2776" t="s">
        <v>3620</v>
      </c>
      <c r="N2776" t="s">
        <v>2388</v>
      </c>
      <c r="O2776">
        <v>1</v>
      </c>
    </row>
    <row r="2777" spans="2:15" x14ac:dyDescent="0.3">
      <c r="B2777">
        <v>2837</v>
      </c>
      <c r="D2777">
        <v>62</v>
      </c>
      <c r="E2777">
        <v>1431</v>
      </c>
      <c r="F2777">
        <v>1</v>
      </c>
      <c r="G2777">
        <v>89.569663582263203</v>
      </c>
      <c r="H2777">
        <v>2</v>
      </c>
      <c r="I2777">
        <v>59</v>
      </c>
      <c r="K2777" t="s">
        <v>2386</v>
      </c>
      <c r="L2777">
        <v>20</v>
      </c>
      <c r="M2777" t="s">
        <v>3621</v>
      </c>
      <c r="N2777" t="s">
        <v>2388</v>
      </c>
      <c r="O2777">
        <v>1</v>
      </c>
    </row>
    <row r="2778" spans="2:15" x14ac:dyDescent="0.3">
      <c r="B2778">
        <v>2838</v>
      </c>
      <c r="D2778">
        <v>1432</v>
      </c>
      <c r="E2778">
        <v>62</v>
      </c>
      <c r="F2778">
        <v>1</v>
      </c>
      <c r="G2778">
        <v>70.011527250659498</v>
      </c>
      <c r="H2778">
        <v>2</v>
      </c>
      <c r="I2778">
        <v>59</v>
      </c>
      <c r="K2778" t="s">
        <v>2386</v>
      </c>
      <c r="L2778">
        <v>20</v>
      </c>
      <c r="M2778" t="s">
        <v>3622</v>
      </c>
      <c r="N2778" t="s">
        <v>2388</v>
      </c>
      <c r="O2778">
        <v>1</v>
      </c>
    </row>
    <row r="2779" spans="2:15" x14ac:dyDescent="0.3">
      <c r="B2779">
        <v>2839</v>
      </c>
      <c r="D2779">
        <v>62</v>
      </c>
      <c r="E2779">
        <v>1432</v>
      </c>
      <c r="F2779">
        <v>1</v>
      </c>
      <c r="G2779">
        <v>70.011527250659498</v>
      </c>
      <c r="H2779">
        <v>2</v>
      </c>
      <c r="I2779">
        <v>59</v>
      </c>
      <c r="K2779" t="s">
        <v>2386</v>
      </c>
      <c r="L2779">
        <v>20</v>
      </c>
      <c r="M2779" t="s">
        <v>3623</v>
      </c>
      <c r="N2779" t="s">
        <v>2388</v>
      </c>
      <c r="O2779">
        <v>1</v>
      </c>
    </row>
    <row r="2780" spans="2:15" x14ac:dyDescent="0.3">
      <c r="B2780">
        <v>2840</v>
      </c>
      <c r="D2780">
        <v>1433</v>
      </c>
      <c r="E2780">
        <v>62</v>
      </c>
      <c r="F2780">
        <v>1</v>
      </c>
      <c r="G2780">
        <v>73.845174048577704</v>
      </c>
      <c r="H2780">
        <v>2</v>
      </c>
      <c r="I2780">
        <v>59</v>
      </c>
      <c r="K2780" t="s">
        <v>2386</v>
      </c>
      <c r="L2780">
        <v>20</v>
      </c>
      <c r="M2780" t="s">
        <v>3624</v>
      </c>
      <c r="N2780" t="s">
        <v>2388</v>
      </c>
      <c r="O2780">
        <v>1</v>
      </c>
    </row>
    <row r="2781" spans="2:15" x14ac:dyDescent="0.3">
      <c r="B2781">
        <v>2841</v>
      </c>
      <c r="D2781">
        <v>62</v>
      </c>
      <c r="E2781">
        <v>1433</v>
      </c>
      <c r="F2781">
        <v>1</v>
      </c>
      <c r="G2781">
        <v>73.845174048577704</v>
      </c>
      <c r="H2781">
        <v>2</v>
      </c>
      <c r="I2781">
        <v>59</v>
      </c>
      <c r="K2781" t="s">
        <v>2386</v>
      </c>
      <c r="L2781">
        <v>20</v>
      </c>
      <c r="M2781" t="s">
        <v>3625</v>
      </c>
      <c r="N2781" t="s">
        <v>2388</v>
      </c>
      <c r="O2781">
        <v>1</v>
      </c>
    </row>
    <row r="2782" spans="2:15" x14ac:dyDescent="0.3">
      <c r="B2782">
        <v>2842</v>
      </c>
      <c r="D2782">
        <v>1434</v>
      </c>
      <c r="E2782">
        <v>89</v>
      </c>
      <c r="F2782">
        <v>1</v>
      </c>
      <c r="G2782">
        <v>85.348461046051298</v>
      </c>
      <c r="H2782">
        <v>2</v>
      </c>
      <c r="I2782">
        <v>59</v>
      </c>
      <c r="K2782" t="s">
        <v>2386</v>
      </c>
      <c r="L2782">
        <v>20</v>
      </c>
      <c r="M2782" t="s">
        <v>3626</v>
      </c>
      <c r="N2782" t="s">
        <v>2388</v>
      </c>
      <c r="O2782">
        <v>1</v>
      </c>
    </row>
    <row r="2783" spans="2:15" x14ac:dyDescent="0.3">
      <c r="B2783">
        <v>2843</v>
      </c>
      <c r="D2783">
        <v>89</v>
      </c>
      <c r="E2783">
        <v>1434</v>
      </c>
      <c r="F2783">
        <v>1</v>
      </c>
      <c r="G2783">
        <v>85.348461046051298</v>
      </c>
      <c r="H2783">
        <v>2</v>
      </c>
      <c r="I2783">
        <v>59</v>
      </c>
      <c r="K2783" t="s">
        <v>2386</v>
      </c>
      <c r="L2783">
        <v>20</v>
      </c>
      <c r="M2783" t="s">
        <v>3627</v>
      </c>
      <c r="N2783" t="s">
        <v>2388</v>
      </c>
      <c r="O2783">
        <v>1</v>
      </c>
    </row>
    <row r="2784" spans="2:15" x14ac:dyDescent="0.3">
      <c r="B2784">
        <v>2844</v>
      </c>
      <c r="D2784">
        <v>1435</v>
      </c>
      <c r="E2784">
        <v>62</v>
      </c>
      <c r="F2784">
        <v>1</v>
      </c>
      <c r="G2784">
        <v>61.030301287875403</v>
      </c>
      <c r="H2784">
        <v>2</v>
      </c>
      <c r="I2784">
        <v>59</v>
      </c>
      <c r="K2784" t="s">
        <v>2386</v>
      </c>
      <c r="L2784">
        <v>20</v>
      </c>
      <c r="M2784" t="s">
        <v>3628</v>
      </c>
      <c r="N2784" t="s">
        <v>2388</v>
      </c>
      <c r="O2784">
        <v>1</v>
      </c>
    </row>
    <row r="2785" spans="2:15" x14ac:dyDescent="0.3">
      <c r="B2785">
        <v>2845</v>
      </c>
      <c r="D2785">
        <v>62</v>
      </c>
      <c r="E2785">
        <v>1435</v>
      </c>
      <c r="F2785">
        <v>1</v>
      </c>
      <c r="G2785">
        <v>61.030301287875403</v>
      </c>
      <c r="H2785">
        <v>2</v>
      </c>
      <c r="I2785">
        <v>59</v>
      </c>
      <c r="K2785" t="s">
        <v>2386</v>
      </c>
      <c r="L2785">
        <v>20</v>
      </c>
      <c r="M2785" t="s">
        <v>3629</v>
      </c>
      <c r="N2785" t="s">
        <v>2388</v>
      </c>
      <c r="O2785">
        <v>1</v>
      </c>
    </row>
    <row r="2786" spans="2:15" x14ac:dyDescent="0.3">
      <c r="B2786">
        <v>2846</v>
      </c>
      <c r="D2786">
        <v>1436</v>
      </c>
      <c r="E2786">
        <v>89</v>
      </c>
      <c r="F2786">
        <v>1</v>
      </c>
      <c r="G2786">
        <v>76.671994528167403</v>
      </c>
      <c r="H2786">
        <v>2</v>
      </c>
      <c r="I2786">
        <v>59</v>
      </c>
      <c r="K2786" t="s">
        <v>2386</v>
      </c>
      <c r="L2786">
        <v>20</v>
      </c>
      <c r="M2786" t="s">
        <v>3630</v>
      </c>
      <c r="N2786" t="s">
        <v>2388</v>
      </c>
      <c r="O2786">
        <v>1</v>
      </c>
    </row>
    <row r="2787" spans="2:15" x14ac:dyDescent="0.3">
      <c r="B2787">
        <v>2847</v>
      </c>
      <c r="D2787">
        <v>89</v>
      </c>
      <c r="E2787">
        <v>1436</v>
      </c>
      <c r="F2787">
        <v>1</v>
      </c>
      <c r="G2787">
        <v>76.671994528167403</v>
      </c>
      <c r="H2787">
        <v>2</v>
      </c>
      <c r="I2787">
        <v>59</v>
      </c>
      <c r="K2787" t="s">
        <v>2386</v>
      </c>
      <c r="L2787">
        <v>20</v>
      </c>
      <c r="M2787" t="s">
        <v>3631</v>
      </c>
      <c r="N2787" t="s">
        <v>2388</v>
      </c>
      <c r="O2787">
        <v>1</v>
      </c>
    </row>
    <row r="2788" spans="2:15" x14ac:dyDescent="0.3">
      <c r="B2788">
        <v>2848</v>
      </c>
      <c r="D2788">
        <v>1437</v>
      </c>
      <c r="E2788">
        <v>182</v>
      </c>
      <c r="F2788">
        <v>1</v>
      </c>
      <c r="G2788">
        <v>152.76210328715101</v>
      </c>
      <c r="H2788">
        <v>2</v>
      </c>
      <c r="I2788">
        <v>59</v>
      </c>
      <c r="K2788" t="s">
        <v>2386</v>
      </c>
      <c r="L2788">
        <v>20</v>
      </c>
      <c r="M2788" t="s">
        <v>3632</v>
      </c>
      <c r="N2788" t="s">
        <v>2388</v>
      </c>
      <c r="O2788">
        <v>1</v>
      </c>
    </row>
    <row r="2789" spans="2:15" x14ac:dyDescent="0.3">
      <c r="B2789">
        <v>2849</v>
      </c>
      <c r="D2789">
        <v>182</v>
      </c>
      <c r="E2789">
        <v>1437</v>
      </c>
      <c r="F2789">
        <v>1</v>
      </c>
      <c r="G2789">
        <v>152.76210328715101</v>
      </c>
      <c r="H2789">
        <v>2</v>
      </c>
      <c r="I2789">
        <v>59</v>
      </c>
      <c r="K2789" t="s">
        <v>2386</v>
      </c>
      <c r="L2789">
        <v>20</v>
      </c>
      <c r="M2789" t="s">
        <v>3633</v>
      </c>
      <c r="N2789" t="s">
        <v>2388</v>
      </c>
      <c r="O2789">
        <v>1</v>
      </c>
    </row>
    <row r="2790" spans="2:15" x14ac:dyDescent="0.3">
      <c r="B2790">
        <v>2850</v>
      </c>
      <c r="D2790">
        <v>1438</v>
      </c>
      <c r="E2790">
        <v>237</v>
      </c>
      <c r="F2790">
        <v>1</v>
      </c>
      <c r="G2790">
        <v>146.513562659672</v>
      </c>
      <c r="H2790">
        <v>2</v>
      </c>
      <c r="I2790">
        <v>59</v>
      </c>
      <c r="K2790" t="s">
        <v>2386</v>
      </c>
      <c r="L2790">
        <v>20</v>
      </c>
      <c r="M2790" t="s">
        <v>3634</v>
      </c>
      <c r="N2790" t="s">
        <v>2388</v>
      </c>
      <c r="O2790">
        <v>1</v>
      </c>
    </row>
    <row r="2791" spans="2:15" x14ac:dyDescent="0.3">
      <c r="B2791">
        <v>2851</v>
      </c>
      <c r="D2791">
        <v>237</v>
      </c>
      <c r="E2791">
        <v>1438</v>
      </c>
      <c r="F2791">
        <v>1</v>
      </c>
      <c r="G2791">
        <v>146.513562659672</v>
      </c>
      <c r="H2791">
        <v>2</v>
      </c>
      <c r="I2791">
        <v>59</v>
      </c>
      <c r="K2791" t="s">
        <v>2386</v>
      </c>
      <c r="L2791">
        <v>20</v>
      </c>
      <c r="M2791" t="s">
        <v>3635</v>
      </c>
      <c r="N2791" t="s">
        <v>2388</v>
      </c>
      <c r="O2791">
        <v>1</v>
      </c>
    </row>
    <row r="2792" spans="2:15" x14ac:dyDescent="0.3">
      <c r="B2792">
        <v>2852</v>
      </c>
      <c r="D2792">
        <v>1439</v>
      </c>
      <c r="E2792">
        <v>237</v>
      </c>
      <c r="F2792">
        <v>1</v>
      </c>
      <c r="G2792">
        <v>108.256117953846</v>
      </c>
      <c r="H2792">
        <v>2</v>
      </c>
      <c r="I2792">
        <v>59</v>
      </c>
      <c r="K2792" t="s">
        <v>2386</v>
      </c>
      <c r="L2792">
        <v>20</v>
      </c>
      <c r="M2792" t="s">
        <v>3636</v>
      </c>
      <c r="N2792" t="s">
        <v>2388</v>
      </c>
      <c r="O2792">
        <v>1</v>
      </c>
    </row>
    <row r="2793" spans="2:15" x14ac:dyDescent="0.3">
      <c r="B2793">
        <v>2853</v>
      </c>
      <c r="D2793">
        <v>237</v>
      </c>
      <c r="E2793">
        <v>1439</v>
      </c>
      <c r="F2793">
        <v>1</v>
      </c>
      <c r="G2793">
        <v>108.256117953846</v>
      </c>
      <c r="H2793">
        <v>2</v>
      </c>
      <c r="I2793">
        <v>59</v>
      </c>
      <c r="K2793" t="s">
        <v>2386</v>
      </c>
      <c r="L2793">
        <v>20</v>
      </c>
      <c r="M2793" t="s">
        <v>3637</v>
      </c>
      <c r="N2793" t="s">
        <v>2388</v>
      </c>
      <c r="O2793">
        <v>1</v>
      </c>
    </row>
    <row r="2794" spans="2:15" x14ac:dyDescent="0.3">
      <c r="B2794">
        <v>2854</v>
      </c>
      <c r="D2794">
        <v>1440</v>
      </c>
      <c r="E2794">
        <v>497</v>
      </c>
      <c r="F2794">
        <v>1</v>
      </c>
      <c r="G2794">
        <v>59.670837669692098</v>
      </c>
      <c r="H2794">
        <v>2</v>
      </c>
      <c r="I2794">
        <v>59</v>
      </c>
      <c r="K2794" t="s">
        <v>2386</v>
      </c>
      <c r="L2794">
        <v>20</v>
      </c>
      <c r="M2794" t="s">
        <v>3638</v>
      </c>
      <c r="N2794" t="s">
        <v>2388</v>
      </c>
      <c r="O2794">
        <v>1</v>
      </c>
    </row>
    <row r="2795" spans="2:15" x14ac:dyDescent="0.3">
      <c r="B2795">
        <v>2855</v>
      </c>
      <c r="D2795">
        <v>497</v>
      </c>
      <c r="E2795">
        <v>1440</v>
      </c>
      <c r="F2795">
        <v>1</v>
      </c>
      <c r="G2795">
        <v>59.670837669692098</v>
      </c>
      <c r="H2795">
        <v>2</v>
      </c>
      <c r="I2795">
        <v>59</v>
      </c>
      <c r="K2795" t="s">
        <v>2386</v>
      </c>
      <c r="L2795">
        <v>20</v>
      </c>
      <c r="M2795" t="s">
        <v>3639</v>
      </c>
      <c r="N2795" t="s">
        <v>2388</v>
      </c>
      <c r="O2795">
        <v>1</v>
      </c>
    </row>
    <row r="2796" spans="2:15" x14ac:dyDescent="0.3">
      <c r="B2796">
        <v>2856</v>
      </c>
      <c r="D2796">
        <v>1441</v>
      </c>
      <c r="E2796">
        <v>365</v>
      </c>
      <c r="F2796">
        <v>1</v>
      </c>
      <c r="G2796">
        <v>85.924451955030804</v>
      </c>
      <c r="H2796">
        <v>2</v>
      </c>
      <c r="I2796">
        <v>59</v>
      </c>
      <c r="K2796" t="s">
        <v>2386</v>
      </c>
      <c r="L2796">
        <v>20</v>
      </c>
      <c r="M2796" t="s">
        <v>3640</v>
      </c>
      <c r="N2796" t="s">
        <v>2388</v>
      </c>
      <c r="O2796">
        <v>1</v>
      </c>
    </row>
    <row r="2797" spans="2:15" x14ac:dyDescent="0.3">
      <c r="B2797">
        <v>2857</v>
      </c>
      <c r="D2797">
        <v>365</v>
      </c>
      <c r="E2797">
        <v>1441</v>
      </c>
      <c r="F2797">
        <v>1</v>
      </c>
      <c r="G2797">
        <v>85.924451955030804</v>
      </c>
      <c r="H2797">
        <v>2</v>
      </c>
      <c r="I2797">
        <v>59</v>
      </c>
      <c r="K2797" t="s">
        <v>2386</v>
      </c>
      <c r="L2797">
        <v>20</v>
      </c>
      <c r="M2797" t="s">
        <v>3641</v>
      </c>
      <c r="N2797" t="s">
        <v>2388</v>
      </c>
      <c r="O2797">
        <v>1</v>
      </c>
    </row>
    <row r="2798" spans="2:15" x14ac:dyDescent="0.3">
      <c r="B2798">
        <v>2858</v>
      </c>
      <c r="D2798">
        <v>1442</v>
      </c>
      <c r="E2798">
        <v>600</v>
      </c>
      <c r="F2798">
        <v>1</v>
      </c>
      <c r="G2798">
        <v>93.965406727546906</v>
      </c>
      <c r="H2798">
        <v>2</v>
      </c>
      <c r="I2798">
        <v>59</v>
      </c>
      <c r="K2798" t="s">
        <v>2386</v>
      </c>
      <c r="L2798">
        <v>20</v>
      </c>
      <c r="M2798" t="s">
        <v>3642</v>
      </c>
      <c r="N2798" t="s">
        <v>2388</v>
      </c>
      <c r="O2798">
        <v>1</v>
      </c>
    </row>
    <row r="2799" spans="2:15" x14ac:dyDescent="0.3">
      <c r="B2799">
        <v>2859</v>
      </c>
      <c r="D2799">
        <v>600</v>
      </c>
      <c r="E2799">
        <v>1442</v>
      </c>
      <c r="F2799">
        <v>1</v>
      </c>
      <c r="G2799">
        <v>93.965406727546906</v>
      </c>
      <c r="H2799">
        <v>2</v>
      </c>
      <c r="I2799">
        <v>59</v>
      </c>
      <c r="K2799" t="s">
        <v>2386</v>
      </c>
      <c r="L2799">
        <v>20</v>
      </c>
      <c r="M2799" t="s">
        <v>3643</v>
      </c>
      <c r="N2799" t="s">
        <v>2388</v>
      </c>
      <c r="O2799">
        <v>1</v>
      </c>
    </row>
    <row r="2800" spans="2:15" x14ac:dyDescent="0.3">
      <c r="B2800">
        <v>2860</v>
      </c>
      <c r="D2800">
        <v>1443</v>
      </c>
      <c r="E2800">
        <v>587</v>
      </c>
      <c r="F2800">
        <v>1</v>
      </c>
      <c r="G2800">
        <v>66.032073200096505</v>
      </c>
      <c r="H2800">
        <v>2</v>
      </c>
      <c r="I2800">
        <v>59</v>
      </c>
      <c r="K2800" t="s">
        <v>2386</v>
      </c>
      <c r="L2800">
        <v>20</v>
      </c>
      <c r="M2800" t="s">
        <v>3644</v>
      </c>
      <c r="N2800" t="s">
        <v>2388</v>
      </c>
      <c r="O2800">
        <v>1</v>
      </c>
    </row>
    <row r="2801" spans="2:15" x14ac:dyDescent="0.3">
      <c r="B2801">
        <v>2861</v>
      </c>
      <c r="D2801">
        <v>587</v>
      </c>
      <c r="E2801">
        <v>1443</v>
      </c>
      <c r="F2801">
        <v>1</v>
      </c>
      <c r="G2801">
        <v>66.032073200096505</v>
      </c>
      <c r="H2801">
        <v>2</v>
      </c>
      <c r="I2801">
        <v>59</v>
      </c>
      <c r="K2801" t="s">
        <v>2386</v>
      </c>
      <c r="L2801">
        <v>20</v>
      </c>
      <c r="M2801" t="s">
        <v>3645</v>
      </c>
      <c r="N2801" t="s">
        <v>2388</v>
      </c>
      <c r="O2801">
        <v>1</v>
      </c>
    </row>
    <row r="2802" spans="2:15" x14ac:dyDescent="0.3">
      <c r="B2802">
        <v>2862</v>
      </c>
      <c r="D2802">
        <v>1444</v>
      </c>
      <c r="E2802">
        <v>529</v>
      </c>
      <c r="F2802">
        <v>1</v>
      </c>
      <c r="G2802">
        <v>57.403006906490901</v>
      </c>
      <c r="H2802">
        <v>2</v>
      </c>
      <c r="I2802">
        <v>59</v>
      </c>
      <c r="K2802" t="s">
        <v>2386</v>
      </c>
      <c r="L2802">
        <v>20</v>
      </c>
      <c r="M2802" t="s">
        <v>3646</v>
      </c>
      <c r="N2802" t="s">
        <v>2388</v>
      </c>
      <c r="O2802">
        <v>1</v>
      </c>
    </row>
    <row r="2803" spans="2:15" x14ac:dyDescent="0.3">
      <c r="B2803">
        <v>2863</v>
      </c>
      <c r="D2803">
        <v>529</v>
      </c>
      <c r="E2803">
        <v>1444</v>
      </c>
      <c r="F2803">
        <v>1</v>
      </c>
      <c r="G2803">
        <v>57.403006906490901</v>
      </c>
      <c r="H2803">
        <v>2</v>
      </c>
      <c r="I2803">
        <v>59</v>
      </c>
      <c r="K2803" t="s">
        <v>2386</v>
      </c>
      <c r="L2803">
        <v>20</v>
      </c>
      <c r="M2803" t="s">
        <v>3647</v>
      </c>
      <c r="N2803" t="s">
        <v>2388</v>
      </c>
      <c r="O2803">
        <v>1</v>
      </c>
    </row>
    <row r="2804" spans="2:15" x14ac:dyDescent="0.3">
      <c r="B2804">
        <v>2864</v>
      </c>
      <c r="D2804">
        <v>1445</v>
      </c>
      <c r="E2804">
        <v>612</v>
      </c>
      <c r="F2804">
        <v>1</v>
      </c>
      <c r="G2804">
        <v>88.604857506631106</v>
      </c>
      <c r="H2804">
        <v>2</v>
      </c>
      <c r="I2804">
        <v>59</v>
      </c>
      <c r="K2804" t="s">
        <v>2386</v>
      </c>
      <c r="L2804">
        <v>20</v>
      </c>
      <c r="M2804" t="s">
        <v>3648</v>
      </c>
      <c r="N2804" t="s">
        <v>2388</v>
      </c>
      <c r="O2804">
        <v>1</v>
      </c>
    </row>
    <row r="2805" spans="2:15" x14ac:dyDescent="0.3">
      <c r="B2805">
        <v>2865</v>
      </c>
      <c r="D2805">
        <v>612</v>
      </c>
      <c r="E2805">
        <v>1445</v>
      </c>
      <c r="F2805">
        <v>1</v>
      </c>
      <c r="G2805">
        <v>88.604857506631106</v>
      </c>
      <c r="H2805">
        <v>2</v>
      </c>
      <c r="I2805">
        <v>59</v>
      </c>
      <c r="K2805" t="s">
        <v>2386</v>
      </c>
      <c r="L2805">
        <v>20</v>
      </c>
      <c r="M2805" t="s">
        <v>3649</v>
      </c>
      <c r="N2805" t="s">
        <v>2388</v>
      </c>
      <c r="O2805">
        <v>1</v>
      </c>
    </row>
    <row r="2806" spans="2:15" x14ac:dyDescent="0.3">
      <c r="B2806">
        <v>2866</v>
      </c>
      <c r="D2806">
        <v>1446</v>
      </c>
      <c r="E2806">
        <v>234</v>
      </c>
      <c r="F2806">
        <v>1</v>
      </c>
      <c r="G2806">
        <v>160.941797923644</v>
      </c>
      <c r="H2806">
        <v>2</v>
      </c>
      <c r="I2806">
        <v>59</v>
      </c>
      <c r="K2806" t="s">
        <v>2386</v>
      </c>
      <c r="L2806">
        <v>20</v>
      </c>
      <c r="M2806" t="s">
        <v>3650</v>
      </c>
      <c r="N2806" t="s">
        <v>2388</v>
      </c>
      <c r="O2806">
        <v>1</v>
      </c>
    </row>
    <row r="2807" spans="2:15" x14ac:dyDescent="0.3">
      <c r="B2807">
        <v>2867</v>
      </c>
      <c r="D2807">
        <v>234</v>
      </c>
      <c r="E2807">
        <v>1446</v>
      </c>
      <c r="F2807">
        <v>1</v>
      </c>
      <c r="G2807">
        <v>160.941797923644</v>
      </c>
      <c r="H2807">
        <v>2</v>
      </c>
      <c r="I2807">
        <v>59</v>
      </c>
      <c r="K2807" t="s">
        <v>2386</v>
      </c>
      <c r="L2807">
        <v>20</v>
      </c>
      <c r="M2807" t="s">
        <v>3651</v>
      </c>
      <c r="N2807" t="s">
        <v>2388</v>
      </c>
      <c r="O2807">
        <v>1</v>
      </c>
    </row>
    <row r="2808" spans="2:15" x14ac:dyDescent="0.3">
      <c r="B2808">
        <v>2868</v>
      </c>
      <c r="D2808">
        <v>1447</v>
      </c>
      <c r="E2808">
        <v>96</v>
      </c>
      <c r="F2808">
        <v>1</v>
      </c>
      <c r="G2808">
        <v>97.838793159099296</v>
      </c>
      <c r="H2808">
        <v>2</v>
      </c>
      <c r="I2808">
        <v>59</v>
      </c>
      <c r="K2808" t="s">
        <v>2386</v>
      </c>
      <c r="L2808">
        <v>20</v>
      </c>
      <c r="M2808" t="s">
        <v>3652</v>
      </c>
      <c r="N2808" t="s">
        <v>2388</v>
      </c>
      <c r="O2808">
        <v>1</v>
      </c>
    </row>
    <row r="2809" spans="2:15" x14ac:dyDescent="0.3">
      <c r="B2809">
        <v>2869</v>
      </c>
      <c r="D2809">
        <v>96</v>
      </c>
      <c r="E2809">
        <v>1447</v>
      </c>
      <c r="F2809">
        <v>1</v>
      </c>
      <c r="G2809">
        <v>97.838793159099296</v>
      </c>
      <c r="H2809">
        <v>2</v>
      </c>
      <c r="I2809">
        <v>59</v>
      </c>
      <c r="K2809" t="s">
        <v>2386</v>
      </c>
      <c r="L2809">
        <v>20</v>
      </c>
      <c r="M2809" t="s">
        <v>3653</v>
      </c>
      <c r="N2809" t="s">
        <v>2388</v>
      </c>
      <c r="O2809">
        <v>1</v>
      </c>
    </row>
    <row r="2810" spans="2:15" x14ac:dyDescent="0.3">
      <c r="B2810">
        <v>2870</v>
      </c>
      <c r="D2810">
        <v>1448</v>
      </c>
      <c r="E2810">
        <v>152</v>
      </c>
      <c r="F2810">
        <v>1</v>
      </c>
      <c r="G2810">
        <v>72.621202868832995</v>
      </c>
      <c r="H2810">
        <v>2</v>
      </c>
      <c r="I2810">
        <v>59</v>
      </c>
      <c r="K2810" t="s">
        <v>2386</v>
      </c>
      <c r="L2810">
        <v>20</v>
      </c>
      <c r="M2810" t="s">
        <v>3654</v>
      </c>
      <c r="N2810" t="s">
        <v>2388</v>
      </c>
      <c r="O2810">
        <v>1</v>
      </c>
    </row>
    <row r="2811" spans="2:15" x14ac:dyDescent="0.3">
      <c r="B2811">
        <v>2871</v>
      </c>
      <c r="D2811">
        <v>152</v>
      </c>
      <c r="E2811">
        <v>1448</v>
      </c>
      <c r="F2811">
        <v>1</v>
      </c>
      <c r="G2811">
        <v>72.621202868832995</v>
      </c>
      <c r="H2811">
        <v>2</v>
      </c>
      <c r="I2811">
        <v>59</v>
      </c>
      <c r="K2811" t="s">
        <v>2386</v>
      </c>
      <c r="L2811">
        <v>20</v>
      </c>
      <c r="M2811" t="s">
        <v>3655</v>
      </c>
      <c r="N2811" t="s">
        <v>2388</v>
      </c>
      <c r="O2811">
        <v>1</v>
      </c>
    </row>
    <row r="2812" spans="2:15" x14ac:dyDescent="0.3">
      <c r="B2812">
        <v>2872</v>
      </c>
      <c r="D2812">
        <v>1449</v>
      </c>
      <c r="E2812">
        <v>152</v>
      </c>
      <c r="F2812">
        <v>1</v>
      </c>
      <c r="G2812">
        <v>47.960010925342999</v>
      </c>
      <c r="H2812">
        <v>2</v>
      </c>
      <c r="I2812">
        <v>59</v>
      </c>
      <c r="K2812" t="s">
        <v>2386</v>
      </c>
      <c r="L2812">
        <v>20</v>
      </c>
      <c r="M2812" t="s">
        <v>3656</v>
      </c>
      <c r="N2812" t="s">
        <v>2388</v>
      </c>
      <c r="O2812">
        <v>1</v>
      </c>
    </row>
    <row r="2813" spans="2:15" x14ac:dyDescent="0.3">
      <c r="B2813">
        <v>2873</v>
      </c>
      <c r="D2813">
        <v>152</v>
      </c>
      <c r="E2813">
        <v>1449</v>
      </c>
      <c r="F2813">
        <v>1</v>
      </c>
      <c r="G2813">
        <v>47.960010925342999</v>
      </c>
      <c r="H2813">
        <v>2</v>
      </c>
      <c r="I2813">
        <v>59</v>
      </c>
      <c r="K2813" t="s">
        <v>2386</v>
      </c>
      <c r="L2813">
        <v>20</v>
      </c>
      <c r="M2813" t="s">
        <v>3657</v>
      </c>
      <c r="N2813" t="s">
        <v>2388</v>
      </c>
      <c r="O2813">
        <v>1</v>
      </c>
    </row>
    <row r="2814" spans="2:15" x14ac:dyDescent="0.3">
      <c r="B2814">
        <v>2874</v>
      </c>
      <c r="D2814">
        <v>1450</v>
      </c>
      <c r="E2814">
        <v>152</v>
      </c>
      <c r="F2814">
        <v>1</v>
      </c>
      <c r="G2814">
        <v>77.470002911513802</v>
      </c>
      <c r="H2814">
        <v>2</v>
      </c>
      <c r="I2814">
        <v>59</v>
      </c>
      <c r="K2814" t="s">
        <v>2386</v>
      </c>
      <c r="L2814">
        <v>20</v>
      </c>
      <c r="M2814" t="s">
        <v>3658</v>
      </c>
      <c r="N2814" t="s">
        <v>2388</v>
      </c>
      <c r="O2814">
        <v>1</v>
      </c>
    </row>
    <row r="2815" spans="2:15" x14ac:dyDescent="0.3">
      <c r="B2815">
        <v>2875</v>
      </c>
      <c r="D2815">
        <v>152</v>
      </c>
      <c r="E2815">
        <v>1450</v>
      </c>
      <c r="F2815">
        <v>1</v>
      </c>
      <c r="G2815">
        <v>77.470002911513802</v>
      </c>
      <c r="H2815">
        <v>2</v>
      </c>
      <c r="I2815">
        <v>59</v>
      </c>
      <c r="K2815" t="s">
        <v>2386</v>
      </c>
      <c r="L2815">
        <v>20</v>
      </c>
      <c r="M2815" t="s">
        <v>3659</v>
      </c>
      <c r="N2815" t="s">
        <v>2388</v>
      </c>
      <c r="O2815">
        <v>1</v>
      </c>
    </row>
    <row r="2816" spans="2:15" x14ac:dyDescent="0.3">
      <c r="B2816">
        <v>2876</v>
      </c>
      <c r="D2816">
        <v>1451</v>
      </c>
      <c r="E2816">
        <v>152</v>
      </c>
      <c r="F2816">
        <v>1</v>
      </c>
      <c r="G2816">
        <v>102.35254030986999</v>
      </c>
      <c r="H2816">
        <v>2</v>
      </c>
      <c r="I2816">
        <v>59</v>
      </c>
      <c r="K2816" t="s">
        <v>2386</v>
      </c>
      <c r="L2816">
        <v>20</v>
      </c>
      <c r="M2816" t="s">
        <v>3660</v>
      </c>
      <c r="N2816" t="s">
        <v>2388</v>
      </c>
      <c r="O2816">
        <v>1</v>
      </c>
    </row>
    <row r="2817" spans="2:15" x14ac:dyDescent="0.3">
      <c r="B2817">
        <v>2877</v>
      </c>
      <c r="D2817">
        <v>152</v>
      </c>
      <c r="E2817">
        <v>1451</v>
      </c>
      <c r="F2817">
        <v>1</v>
      </c>
      <c r="G2817">
        <v>102.35254030986999</v>
      </c>
      <c r="H2817">
        <v>2</v>
      </c>
      <c r="I2817">
        <v>59</v>
      </c>
      <c r="K2817" t="s">
        <v>2386</v>
      </c>
      <c r="L2817">
        <v>20</v>
      </c>
      <c r="M2817" t="s">
        <v>3661</v>
      </c>
      <c r="N2817" t="s">
        <v>2388</v>
      </c>
      <c r="O2817">
        <v>1</v>
      </c>
    </row>
    <row r="2818" spans="2:15" x14ac:dyDescent="0.3">
      <c r="B2818">
        <v>2878</v>
      </c>
      <c r="D2818">
        <v>1452</v>
      </c>
      <c r="E2818">
        <v>62</v>
      </c>
      <c r="F2818">
        <v>1</v>
      </c>
      <c r="G2818">
        <v>99.120719701823404</v>
      </c>
      <c r="H2818">
        <v>2</v>
      </c>
      <c r="I2818">
        <v>59</v>
      </c>
      <c r="K2818" t="s">
        <v>2386</v>
      </c>
      <c r="L2818">
        <v>20</v>
      </c>
      <c r="M2818" t="s">
        <v>3662</v>
      </c>
      <c r="N2818" t="s">
        <v>2388</v>
      </c>
      <c r="O2818">
        <v>1</v>
      </c>
    </row>
    <row r="2819" spans="2:15" x14ac:dyDescent="0.3">
      <c r="B2819">
        <v>2879</v>
      </c>
      <c r="D2819">
        <v>62</v>
      </c>
      <c r="E2819">
        <v>1452</v>
      </c>
      <c r="F2819">
        <v>1</v>
      </c>
      <c r="G2819">
        <v>99.120719701823404</v>
      </c>
      <c r="H2819">
        <v>2</v>
      </c>
      <c r="I2819">
        <v>59</v>
      </c>
      <c r="K2819" t="s">
        <v>2386</v>
      </c>
      <c r="L2819">
        <v>20</v>
      </c>
      <c r="M2819" t="s">
        <v>3663</v>
      </c>
      <c r="N2819" t="s">
        <v>2388</v>
      </c>
      <c r="O2819">
        <v>1</v>
      </c>
    </row>
    <row r="2820" spans="2:15" x14ac:dyDescent="0.3">
      <c r="B2820">
        <v>2880</v>
      </c>
      <c r="D2820">
        <v>1453</v>
      </c>
      <c r="E2820">
        <v>152</v>
      </c>
      <c r="F2820">
        <v>1</v>
      </c>
      <c r="G2820">
        <v>59.246403985886701</v>
      </c>
      <c r="H2820">
        <v>2</v>
      </c>
      <c r="I2820">
        <v>59</v>
      </c>
      <c r="K2820" t="s">
        <v>2386</v>
      </c>
      <c r="L2820">
        <v>20</v>
      </c>
      <c r="M2820" t="s">
        <v>3664</v>
      </c>
      <c r="N2820" t="s">
        <v>2388</v>
      </c>
      <c r="O2820">
        <v>1</v>
      </c>
    </row>
    <row r="2821" spans="2:15" x14ac:dyDescent="0.3">
      <c r="B2821">
        <v>2881</v>
      </c>
      <c r="D2821">
        <v>152</v>
      </c>
      <c r="E2821">
        <v>1453</v>
      </c>
      <c r="F2821">
        <v>1</v>
      </c>
      <c r="G2821">
        <v>59.246403985886701</v>
      </c>
      <c r="H2821">
        <v>2</v>
      </c>
      <c r="I2821">
        <v>59</v>
      </c>
      <c r="K2821" t="s">
        <v>2386</v>
      </c>
      <c r="L2821">
        <v>20</v>
      </c>
      <c r="M2821" t="s">
        <v>3665</v>
      </c>
      <c r="N2821" t="s">
        <v>2388</v>
      </c>
      <c r="O2821">
        <v>1</v>
      </c>
    </row>
    <row r="2822" spans="2:15" x14ac:dyDescent="0.3">
      <c r="B2822">
        <v>2882</v>
      </c>
      <c r="D2822">
        <v>1454</v>
      </c>
      <c r="E2822">
        <v>62</v>
      </c>
      <c r="F2822">
        <v>1</v>
      </c>
      <c r="G2822">
        <v>66.407550253351801</v>
      </c>
      <c r="H2822">
        <v>2</v>
      </c>
      <c r="I2822">
        <v>59</v>
      </c>
      <c r="K2822" t="s">
        <v>2386</v>
      </c>
      <c r="L2822">
        <v>20</v>
      </c>
      <c r="M2822" t="s">
        <v>3666</v>
      </c>
      <c r="N2822" t="s">
        <v>2388</v>
      </c>
      <c r="O2822">
        <v>1</v>
      </c>
    </row>
    <row r="2823" spans="2:15" x14ac:dyDescent="0.3">
      <c r="B2823">
        <v>2883</v>
      </c>
      <c r="D2823">
        <v>62</v>
      </c>
      <c r="E2823">
        <v>1454</v>
      </c>
      <c r="F2823">
        <v>1</v>
      </c>
      <c r="G2823">
        <v>66.407550253351801</v>
      </c>
      <c r="H2823">
        <v>2</v>
      </c>
      <c r="I2823">
        <v>59</v>
      </c>
      <c r="K2823" t="s">
        <v>2386</v>
      </c>
      <c r="L2823">
        <v>20</v>
      </c>
      <c r="M2823" t="s">
        <v>3667</v>
      </c>
      <c r="N2823" t="s">
        <v>2388</v>
      </c>
      <c r="O2823">
        <v>1</v>
      </c>
    </row>
    <row r="2824" spans="2:15" x14ac:dyDescent="0.3">
      <c r="B2824">
        <v>2884</v>
      </c>
      <c r="D2824">
        <v>1455</v>
      </c>
      <c r="E2824">
        <v>135</v>
      </c>
      <c r="F2824">
        <v>1</v>
      </c>
      <c r="G2824">
        <v>91.7208960109283</v>
      </c>
      <c r="H2824">
        <v>2</v>
      </c>
      <c r="I2824">
        <v>59</v>
      </c>
      <c r="K2824" t="s">
        <v>2386</v>
      </c>
      <c r="L2824">
        <v>20</v>
      </c>
      <c r="M2824" t="s">
        <v>3668</v>
      </c>
      <c r="N2824" t="s">
        <v>2388</v>
      </c>
      <c r="O2824">
        <v>1</v>
      </c>
    </row>
    <row r="2825" spans="2:15" x14ac:dyDescent="0.3">
      <c r="B2825">
        <v>2885</v>
      </c>
      <c r="D2825">
        <v>135</v>
      </c>
      <c r="E2825">
        <v>1455</v>
      </c>
      <c r="F2825">
        <v>1</v>
      </c>
      <c r="G2825">
        <v>91.7208960109283</v>
      </c>
      <c r="H2825">
        <v>2</v>
      </c>
      <c r="I2825">
        <v>59</v>
      </c>
      <c r="K2825" t="s">
        <v>2386</v>
      </c>
      <c r="L2825">
        <v>20</v>
      </c>
      <c r="M2825" t="s">
        <v>3669</v>
      </c>
      <c r="N2825" t="s">
        <v>2388</v>
      </c>
      <c r="O2825">
        <v>1</v>
      </c>
    </row>
    <row r="2826" spans="2:15" x14ac:dyDescent="0.3">
      <c r="B2826">
        <v>2886</v>
      </c>
      <c r="D2826">
        <v>1456</v>
      </c>
      <c r="E2826">
        <v>152</v>
      </c>
      <c r="F2826">
        <v>1</v>
      </c>
      <c r="G2826">
        <v>107.002397721501</v>
      </c>
      <c r="H2826">
        <v>2</v>
      </c>
      <c r="I2826">
        <v>59</v>
      </c>
      <c r="K2826" t="s">
        <v>2386</v>
      </c>
      <c r="L2826">
        <v>20</v>
      </c>
      <c r="M2826" t="s">
        <v>3670</v>
      </c>
      <c r="N2826" t="s">
        <v>2388</v>
      </c>
      <c r="O2826">
        <v>1</v>
      </c>
    </row>
    <row r="2827" spans="2:15" x14ac:dyDescent="0.3">
      <c r="B2827">
        <v>2887</v>
      </c>
      <c r="D2827">
        <v>152</v>
      </c>
      <c r="E2827">
        <v>1456</v>
      </c>
      <c r="F2827">
        <v>1</v>
      </c>
      <c r="G2827">
        <v>107.002397721501</v>
      </c>
      <c r="H2827">
        <v>2</v>
      </c>
      <c r="I2827">
        <v>59</v>
      </c>
      <c r="K2827" t="s">
        <v>2386</v>
      </c>
      <c r="L2827">
        <v>20</v>
      </c>
      <c r="M2827" t="s">
        <v>3671</v>
      </c>
      <c r="N2827" t="s">
        <v>2388</v>
      </c>
      <c r="O2827">
        <v>1</v>
      </c>
    </row>
    <row r="2828" spans="2:15" x14ac:dyDescent="0.3">
      <c r="B2828">
        <v>2888</v>
      </c>
      <c r="D2828">
        <v>1457</v>
      </c>
      <c r="E2828">
        <v>152</v>
      </c>
      <c r="F2828">
        <v>1</v>
      </c>
      <c r="G2828">
        <v>92.220162966598707</v>
      </c>
      <c r="H2828">
        <v>2</v>
      </c>
      <c r="I2828">
        <v>59</v>
      </c>
      <c r="K2828" t="s">
        <v>2386</v>
      </c>
      <c r="L2828">
        <v>20</v>
      </c>
      <c r="M2828" t="s">
        <v>3672</v>
      </c>
      <c r="N2828" t="s">
        <v>2388</v>
      </c>
      <c r="O2828">
        <v>1</v>
      </c>
    </row>
    <row r="2829" spans="2:15" x14ac:dyDescent="0.3">
      <c r="B2829">
        <v>2889</v>
      </c>
      <c r="D2829">
        <v>152</v>
      </c>
      <c r="E2829">
        <v>1457</v>
      </c>
      <c r="F2829">
        <v>1</v>
      </c>
      <c r="G2829">
        <v>92.220162966598707</v>
      </c>
      <c r="H2829">
        <v>2</v>
      </c>
      <c r="I2829">
        <v>59</v>
      </c>
      <c r="K2829" t="s">
        <v>2386</v>
      </c>
      <c r="L2829">
        <v>20</v>
      </c>
      <c r="M2829" t="s">
        <v>3673</v>
      </c>
      <c r="N2829" t="s">
        <v>2388</v>
      </c>
      <c r="O2829">
        <v>1</v>
      </c>
    </row>
    <row r="2830" spans="2:15" x14ac:dyDescent="0.3">
      <c r="B2830">
        <v>2890</v>
      </c>
      <c r="D2830">
        <v>1458</v>
      </c>
      <c r="E2830">
        <v>152</v>
      </c>
      <c r="F2830">
        <v>1</v>
      </c>
      <c r="G2830">
        <v>107.060497231027</v>
      </c>
      <c r="H2830">
        <v>2</v>
      </c>
      <c r="I2830">
        <v>59</v>
      </c>
      <c r="K2830" t="s">
        <v>2386</v>
      </c>
      <c r="L2830">
        <v>20</v>
      </c>
      <c r="M2830" t="s">
        <v>3674</v>
      </c>
      <c r="N2830" t="s">
        <v>2388</v>
      </c>
      <c r="O2830">
        <v>1</v>
      </c>
    </row>
    <row r="2831" spans="2:15" x14ac:dyDescent="0.3">
      <c r="B2831">
        <v>2891</v>
      </c>
      <c r="D2831">
        <v>152</v>
      </c>
      <c r="E2831">
        <v>1458</v>
      </c>
      <c r="F2831">
        <v>1</v>
      </c>
      <c r="G2831">
        <v>107.060497231027</v>
      </c>
      <c r="H2831">
        <v>2</v>
      </c>
      <c r="I2831">
        <v>59</v>
      </c>
      <c r="K2831" t="s">
        <v>2386</v>
      </c>
      <c r="L2831">
        <v>20</v>
      </c>
      <c r="M2831" t="s">
        <v>3675</v>
      </c>
      <c r="N2831" t="s">
        <v>2388</v>
      </c>
      <c r="O2831">
        <v>1</v>
      </c>
    </row>
    <row r="2832" spans="2:15" x14ac:dyDescent="0.3">
      <c r="B2832">
        <v>2892</v>
      </c>
      <c r="D2832">
        <v>1459</v>
      </c>
      <c r="E2832">
        <v>152</v>
      </c>
      <c r="F2832">
        <v>1</v>
      </c>
      <c r="G2832">
        <v>117.87043625291</v>
      </c>
      <c r="H2832">
        <v>2</v>
      </c>
      <c r="I2832">
        <v>59</v>
      </c>
      <c r="K2832" t="s">
        <v>2386</v>
      </c>
      <c r="L2832">
        <v>20</v>
      </c>
      <c r="M2832" t="s">
        <v>3676</v>
      </c>
      <c r="N2832" t="s">
        <v>2388</v>
      </c>
      <c r="O2832">
        <v>1</v>
      </c>
    </row>
    <row r="2833" spans="2:15" x14ac:dyDescent="0.3">
      <c r="B2833">
        <v>2893</v>
      </c>
      <c r="D2833">
        <v>152</v>
      </c>
      <c r="E2833">
        <v>1459</v>
      </c>
      <c r="F2833">
        <v>1</v>
      </c>
      <c r="G2833">
        <v>117.87043625291</v>
      </c>
      <c r="H2833">
        <v>2</v>
      </c>
      <c r="I2833">
        <v>59</v>
      </c>
      <c r="K2833" t="s">
        <v>2386</v>
      </c>
      <c r="L2833">
        <v>20</v>
      </c>
      <c r="M2833" t="s">
        <v>3677</v>
      </c>
      <c r="N2833" t="s">
        <v>2388</v>
      </c>
      <c r="O2833">
        <v>1</v>
      </c>
    </row>
    <row r="2834" spans="2:15" x14ac:dyDescent="0.3">
      <c r="B2834">
        <v>2894</v>
      </c>
      <c r="D2834">
        <v>1460</v>
      </c>
      <c r="E2834">
        <v>62</v>
      </c>
      <c r="F2834">
        <v>1</v>
      </c>
      <c r="G2834">
        <v>121.810268654176</v>
      </c>
      <c r="H2834">
        <v>2</v>
      </c>
      <c r="I2834">
        <v>59</v>
      </c>
      <c r="K2834" t="s">
        <v>2386</v>
      </c>
      <c r="L2834">
        <v>20</v>
      </c>
      <c r="M2834" t="s">
        <v>3678</v>
      </c>
      <c r="N2834" t="s">
        <v>2388</v>
      </c>
      <c r="O2834">
        <v>1</v>
      </c>
    </row>
    <row r="2835" spans="2:15" x14ac:dyDescent="0.3">
      <c r="B2835">
        <v>2895</v>
      </c>
      <c r="D2835">
        <v>62</v>
      </c>
      <c r="E2835">
        <v>1460</v>
      </c>
      <c r="F2835">
        <v>1</v>
      </c>
      <c r="G2835">
        <v>121.810268654176</v>
      </c>
      <c r="H2835">
        <v>2</v>
      </c>
      <c r="I2835">
        <v>59</v>
      </c>
      <c r="K2835" t="s">
        <v>2386</v>
      </c>
      <c r="L2835">
        <v>20</v>
      </c>
      <c r="M2835" t="s">
        <v>3679</v>
      </c>
      <c r="N2835" t="s">
        <v>2388</v>
      </c>
      <c r="O2835">
        <v>1</v>
      </c>
    </row>
    <row r="2836" spans="2:15" x14ac:dyDescent="0.3">
      <c r="B2836">
        <v>2896</v>
      </c>
      <c r="D2836">
        <v>1461</v>
      </c>
      <c r="E2836">
        <v>152</v>
      </c>
      <c r="F2836">
        <v>1</v>
      </c>
      <c r="G2836">
        <v>82.0577043062369</v>
      </c>
      <c r="H2836">
        <v>2</v>
      </c>
      <c r="I2836">
        <v>59</v>
      </c>
      <c r="K2836" t="s">
        <v>2386</v>
      </c>
      <c r="L2836">
        <v>20</v>
      </c>
      <c r="M2836" t="s">
        <v>3680</v>
      </c>
      <c r="N2836" t="s">
        <v>2388</v>
      </c>
      <c r="O2836">
        <v>1</v>
      </c>
    </row>
    <row r="2837" spans="2:15" x14ac:dyDescent="0.3">
      <c r="B2837">
        <v>2897</v>
      </c>
      <c r="D2837">
        <v>152</v>
      </c>
      <c r="E2837">
        <v>1461</v>
      </c>
      <c r="F2837">
        <v>1</v>
      </c>
      <c r="G2837">
        <v>82.0577043062369</v>
      </c>
      <c r="H2837">
        <v>2</v>
      </c>
      <c r="I2837">
        <v>59</v>
      </c>
      <c r="K2837" t="s">
        <v>2386</v>
      </c>
      <c r="L2837">
        <v>20</v>
      </c>
      <c r="M2837" t="s">
        <v>3681</v>
      </c>
      <c r="N2837" t="s">
        <v>2388</v>
      </c>
      <c r="O2837">
        <v>1</v>
      </c>
    </row>
    <row r="2838" spans="2:15" x14ac:dyDescent="0.3">
      <c r="B2838">
        <v>2898</v>
      </c>
      <c r="D2838">
        <v>1462</v>
      </c>
      <c r="E2838">
        <v>152</v>
      </c>
      <c r="F2838">
        <v>1</v>
      </c>
      <c r="G2838">
        <v>52.829661599274402</v>
      </c>
      <c r="H2838">
        <v>2</v>
      </c>
      <c r="I2838">
        <v>59</v>
      </c>
      <c r="K2838" t="s">
        <v>2386</v>
      </c>
      <c r="L2838">
        <v>20</v>
      </c>
      <c r="M2838" t="s">
        <v>3682</v>
      </c>
      <c r="N2838" t="s">
        <v>2388</v>
      </c>
      <c r="O2838">
        <v>1</v>
      </c>
    </row>
    <row r="2839" spans="2:15" x14ac:dyDescent="0.3">
      <c r="B2839">
        <v>2899</v>
      </c>
      <c r="D2839">
        <v>152</v>
      </c>
      <c r="E2839">
        <v>1462</v>
      </c>
      <c r="F2839">
        <v>1</v>
      </c>
      <c r="G2839">
        <v>52.829661599274402</v>
      </c>
      <c r="H2839">
        <v>2</v>
      </c>
      <c r="I2839">
        <v>59</v>
      </c>
      <c r="K2839" t="s">
        <v>2386</v>
      </c>
      <c r="L2839">
        <v>20</v>
      </c>
      <c r="M2839" t="s">
        <v>3683</v>
      </c>
      <c r="N2839" t="s">
        <v>2388</v>
      </c>
      <c r="O2839">
        <v>1</v>
      </c>
    </row>
    <row r="2840" spans="2:15" x14ac:dyDescent="0.3">
      <c r="B2840">
        <v>2900</v>
      </c>
      <c r="D2840">
        <v>1463</v>
      </c>
      <c r="E2840">
        <v>152</v>
      </c>
      <c r="F2840">
        <v>1</v>
      </c>
      <c r="G2840">
        <v>31.850093156163101</v>
      </c>
      <c r="H2840">
        <v>2</v>
      </c>
      <c r="I2840">
        <v>59</v>
      </c>
      <c r="K2840" t="s">
        <v>2386</v>
      </c>
      <c r="L2840">
        <v>20</v>
      </c>
      <c r="M2840" t="s">
        <v>3684</v>
      </c>
      <c r="N2840" t="s">
        <v>2388</v>
      </c>
      <c r="O2840">
        <v>1</v>
      </c>
    </row>
    <row r="2841" spans="2:15" x14ac:dyDescent="0.3">
      <c r="B2841">
        <v>2901</v>
      </c>
      <c r="D2841">
        <v>152</v>
      </c>
      <c r="E2841">
        <v>1463</v>
      </c>
      <c r="F2841">
        <v>1</v>
      </c>
      <c r="G2841">
        <v>31.850093156163101</v>
      </c>
      <c r="H2841">
        <v>2</v>
      </c>
      <c r="I2841">
        <v>59</v>
      </c>
      <c r="K2841" t="s">
        <v>2386</v>
      </c>
      <c r="L2841">
        <v>20</v>
      </c>
      <c r="M2841" t="s">
        <v>3685</v>
      </c>
      <c r="N2841" t="s">
        <v>2388</v>
      </c>
      <c r="O2841">
        <v>1</v>
      </c>
    </row>
    <row r="2842" spans="2:15" x14ac:dyDescent="0.3">
      <c r="B2842">
        <v>2902</v>
      </c>
      <c r="D2842">
        <v>1464</v>
      </c>
      <c r="E2842">
        <v>152</v>
      </c>
      <c r="F2842">
        <v>1</v>
      </c>
      <c r="G2842">
        <v>53.156340104469002</v>
      </c>
      <c r="H2842">
        <v>2</v>
      </c>
      <c r="I2842">
        <v>59</v>
      </c>
      <c r="K2842" t="s">
        <v>2386</v>
      </c>
      <c r="L2842">
        <v>20</v>
      </c>
      <c r="M2842" t="s">
        <v>3686</v>
      </c>
      <c r="N2842" t="s">
        <v>2388</v>
      </c>
      <c r="O2842">
        <v>1</v>
      </c>
    </row>
    <row r="2843" spans="2:15" x14ac:dyDescent="0.3">
      <c r="B2843">
        <v>2903</v>
      </c>
      <c r="D2843">
        <v>152</v>
      </c>
      <c r="E2843">
        <v>1464</v>
      </c>
      <c r="F2843">
        <v>1</v>
      </c>
      <c r="G2843">
        <v>53.156340104469002</v>
      </c>
      <c r="H2843">
        <v>2</v>
      </c>
      <c r="I2843">
        <v>59</v>
      </c>
      <c r="K2843" t="s">
        <v>2386</v>
      </c>
      <c r="L2843">
        <v>20</v>
      </c>
      <c r="M2843" t="s">
        <v>3687</v>
      </c>
      <c r="N2843" t="s">
        <v>2388</v>
      </c>
      <c r="O2843">
        <v>1</v>
      </c>
    </row>
    <row r="2844" spans="2:15" x14ac:dyDescent="0.3">
      <c r="B2844">
        <v>2904</v>
      </c>
      <c r="D2844">
        <v>1465</v>
      </c>
      <c r="E2844">
        <v>62</v>
      </c>
      <c r="F2844">
        <v>1</v>
      </c>
      <c r="G2844">
        <v>51.104119920597299</v>
      </c>
      <c r="H2844">
        <v>2</v>
      </c>
      <c r="I2844">
        <v>59</v>
      </c>
      <c r="K2844" t="s">
        <v>2386</v>
      </c>
      <c r="L2844">
        <v>20</v>
      </c>
      <c r="M2844" t="s">
        <v>3688</v>
      </c>
      <c r="N2844" t="s">
        <v>2388</v>
      </c>
      <c r="O2844">
        <v>1</v>
      </c>
    </row>
    <row r="2845" spans="2:15" x14ac:dyDescent="0.3">
      <c r="B2845">
        <v>2905</v>
      </c>
      <c r="D2845">
        <v>62</v>
      </c>
      <c r="E2845">
        <v>1465</v>
      </c>
      <c r="F2845">
        <v>1</v>
      </c>
      <c r="G2845">
        <v>51.104119920597299</v>
      </c>
      <c r="H2845">
        <v>2</v>
      </c>
      <c r="I2845">
        <v>59</v>
      </c>
      <c r="K2845" t="s">
        <v>2386</v>
      </c>
      <c r="L2845">
        <v>20</v>
      </c>
      <c r="M2845" t="s">
        <v>3689</v>
      </c>
      <c r="N2845" t="s">
        <v>2388</v>
      </c>
      <c r="O2845">
        <v>1</v>
      </c>
    </row>
    <row r="2846" spans="2:15" x14ac:dyDescent="0.3">
      <c r="B2846">
        <v>2906</v>
      </c>
      <c r="D2846">
        <v>1466</v>
      </c>
      <c r="E2846">
        <v>62</v>
      </c>
      <c r="F2846">
        <v>1</v>
      </c>
      <c r="G2846">
        <v>62.392753229194803</v>
      </c>
      <c r="H2846">
        <v>2</v>
      </c>
      <c r="I2846">
        <v>59</v>
      </c>
      <c r="K2846" t="s">
        <v>2386</v>
      </c>
      <c r="L2846">
        <v>20</v>
      </c>
      <c r="M2846" t="s">
        <v>3690</v>
      </c>
      <c r="N2846" t="s">
        <v>2388</v>
      </c>
      <c r="O2846">
        <v>1</v>
      </c>
    </row>
    <row r="2847" spans="2:15" x14ac:dyDescent="0.3">
      <c r="B2847">
        <v>2907</v>
      </c>
      <c r="D2847">
        <v>62</v>
      </c>
      <c r="E2847">
        <v>1466</v>
      </c>
      <c r="F2847">
        <v>1</v>
      </c>
      <c r="G2847">
        <v>62.392753229194803</v>
      </c>
      <c r="H2847">
        <v>2</v>
      </c>
      <c r="I2847">
        <v>59</v>
      </c>
      <c r="K2847" t="s">
        <v>2386</v>
      </c>
      <c r="L2847">
        <v>20</v>
      </c>
      <c r="M2847" t="s">
        <v>3691</v>
      </c>
      <c r="N2847" t="s">
        <v>2388</v>
      </c>
      <c r="O2847">
        <v>1</v>
      </c>
    </row>
    <row r="2848" spans="2:15" x14ac:dyDescent="0.3">
      <c r="B2848">
        <v>2908</v>
      </c>
      <c r="D2848">
        <v>1467</v>
      </c>
      <c r="E2848">
        <v>373</v>
      </c>
      <c r="F2848">
        <v>1</v>
      </c>
      <c r="G2848">
        <v>68.361506816447502</v>
      </c>
      <c r="H2848">
        <v>2</v>
      </c>
      <c r="I2848">
        <v>59</v>
      </c>
      <c r="K2848" t="s">
        <v>2386</v>
      </c>
      <c r="L2848">
        <v>20</v>
      </c>
      <c r="M2848" t="s">
        <v>3692</v>
      </c>
      <c r="N2848" t="s">
        <v>2388</v>
      </c>
      <c r="O2848">
        <v>1</v>
      </c>
    </row>
    <row r="2849" spans="2:15" x14ac:dyDescent="0.3">
      <c r="B2849">
        <v>2909</v>
      </c>
      <c r="D2849">
        <v>373</v>
      </c>
      <c r="E2849">
        <v>1467</v>
      </c>
      <c r="F2849">
        <v>1</v>
      </c>
      <c r="G2849">
        <v>68.361506816447502</v>
      </c>
      <c r="H2849">
        <v>2</v>
      </c>
      <c r="I2849">
        <v>59</v>
      </c>
      <c r="K2849" t="s">
        <v>2386</v>
      </c>
      <c r="L2849">
        <v>20</v>
      </c>
      <c r="M2849" t="s">
        <v>3693</v>
      </c>
      <c r="N2849" t="s">
        <v>2388</v>
      </c>
      <c r="O2849">
        <v>1</v>
      </c>
    </row>
    <row r="2850" spans="2:15" x14ac:dyDescent="0.3">
      <c r="B2850">
        <v>2910</v>
      </c>
      <c r="D2850">
        <v>1468</v>
      </c>
      <c r="E2850">
        <v>545</v>
      </c>
      <c r="F2850">
        <v>1</v>
      </c>
      <c r="G2850">
        <v>52.697778294442301</v>
      </c>
      <c r="H2850">
        <v>2</v>
      </c>
      <c r="I2850">
        <v>59</v>
      </c>
      <c r="K2850" t="s">
        <v>2386</v>
      </c>
      <c r="L2850">
        <v>20</v>
      </c>
      <c r="M2850" t="s">
        <v>3694</v>
      </c>
      <c r="N2850" t="s">
        <v>2388</v>
      </c>
      <c r="O2850">
        <v>1</v>
      </c>
    </row>
    <row r="2851" spans="2:15" x14ac:dyDescent="0.3">
      <c r="B2851">
        <v>2911</v>
      </c>
      <c r="D2851">
        <v>545</v>
      </c>
      <c r="E2851">
        <v>1468</v>
      </c>
      <c r="F2851">
        <v>1</v>
      </c>
      <c r="G2851">
        <v>52.697778294442301</v>
      </c>
      <c r="H2851">
        <v>2</v>
      </c>
      <c r="I2851">
        <v>59</v>
      </c>
      <c r="K2851" t="s">
        <v>2386</v>
      </c>
      <c r="L2851">
        <v>20</v>
      </c>
      <c r="M2851" t="s">
        <v>3695</v>
      </c>
      <c r="N2851" t="s">
        <v>2388</v>
      </c>
      <c r="O2851">
        <v>1</v>
      </c>
    </row>
    <row r="2852" spans="2:15" x14ac:dyDescent="0.3">
      <c r="B2852">
        <v>2912</v>
      </c>
      <c r="D2852">
        <v>1469</v>
      </c>
      <c r="E2852">
        <v>491</v>
      </c>
      <c r="F2852">
        <v>1</v>
      </c>
      <c r="G2852">
        <v>59.092057784324197</v>
      </c>
      <c r="H2852">
        <v>2</v>
      </c>
      <c r="I2852">
        <v>59</v>
      </c>
      <c r="K2852" t="s">
        <v>2386</v>
      </c>
      <c r="L2852">
        <v>20</v>
      </c>
      <c r="M2852" t="s">
        <v>3696</v>
      </c>
      <c r="N2852" t="s">
        <v>2388</v>
      </c>
      <c r="O2852">
        <v>1</v>
      </c>
    </row>
    <row r="2853" spans="2:15" x14ac:dyDescent="0.3">
      <c r="B2853">
        <v>2913</v>
      </c>
      <c r="D2853">
        <v>491</v>
      </c>
      <c r="E2853">
        <v>1469</v>
      </c>
      <c r="F2853">
        <v>1</v>
      </c>
      <c r="G2853">
        <v>59.092057784324197</v>
      </c>
      <c r="H2853">
        <v>2</v>
      </c>
      <c r="I2853">
        <v>59</v>
      </c>
      <c r="K2853" t="s">
        <v>2386</v>
      </c>
      <c r="L2853">
        <v>20</v>
      </c>
      <c r="M2853" t="s">
        <v>3697</v>
      </c>
      <c r="N2853" t="s">
        <v>2388</v>
      </c>
      <c r="O2853">
        <v>1</v>
      </c>
    </row>
    <row r="2854" spans="2:15" x14ac:dyDescent="0.3">
      <c r="B2854">
        <v>2914</v>
      </c>
      <c r="D2854">
        <v>1470</v>
      </c>
      <c r="E2854">
        <v>373</v>
      </c>
      <c r="F2854">
        <v>1</v>
      </c>
      <c r="G2854">
        <v>48.587634009361103</v>
      </c>
      <c r="H2854">
        <v>2</v>
      </c>
      <c r="I2854">
        <v>59</v>
      </c>
      <c r="K2854" t="s">
        <v>2386</v>
      </c>
      <c r="L2854">
        <v>20</v>
      </c>
      <c r="M2854" t="s">
        <v>3698</v>
      </c>
      <c r="N2854" t="s">
        <v>2388</v>
      </c>
      <c r="O2854">
        <v>1</v>
      </c>
    </row>
    <row r="2855" spans="2:15" x14ac:dyDescent="0.3">
      <c r="B2855">
        <v>2915</v>
      </c>
      <c r="D2855">
        <v>373</v>
      </c>
      <c r="E2855">
        <v>1470</v>
      </c>
      <c r="F2855">
        <v>1</v>
      </c>
      <c r="G2855">
        <v>48.587634009361103</v>
      </c>
      <c r="H2855">
        <v>2</v>
      </c>
      <c r="I2855">
        <v>59</v>
      </c>
      <c r="K2855" t="s">
        <v>2386</v>
      </c>
      <c r="L2855">
        <v>20</v>
      </c>
      <c r="M2855" t="s">
        <v>3699</v>
      </c>
      <c r="N2855" t="s">
        <v>2388</v>
      </c>
      <c r="O2855">
        <v>1</v>
      </c>
    </row>
    <row r="2856" spans="2:15" x14ac:dyDescent="0.3">
      <c r="B2856">
        <v>2916</v>
      </c>
      <c r="D2856">
        <v>1471</v>
      </c>
      <c r="E2856">
        <v>491</v>
      </c>
      <c r="F2856">
        <v>1</v>
      </c>
      <c r="G2856">
        <v>115.516500855069</v>
      </c>
      <c r="H2856">
        <v>2</v>
      </c>
      <c r="I2856">
        <v>59</v>
      </c>
      <c r="K2856" t="s">
        <v>2386</v>
      </c>
      <c r="L2856">
        <v>20</v>
      </c>
      <c r="M2856" t="s">
        <v>3700</v>
      </c>
      <c r="N2856" t="s">
        <v>2388</v>
      </c>
      <c r="O2856">
        <v>1</v>
      </c>
    </row>
    <row r="2857" spans="2:15" x14ac:dyDescent="0.3">
      <c r="B2857">
        <v>2917</v>
      </c>
      <c r="D2857">
        <v>491</v>
      </c>
      <c r="E2857">
        <v>1471</v>
      </c>
      <c r="F2857">
        <v>1</v>
      </c>
      <c r="G2857">
        <v>115.516500855069</v>
      </c>
      <c r="H2857">
        <v>2</v>
      </c>
      <c r="I2857">
        <v>59</v>
      </c>
      <c r="K2857" t="s">
        <v>2386</v>
      </c>
      <c r="L2857">
        <v>20</v>
      </c>
      <c r="M2857" t="s">
        <v>3701</v>
      </c>
      <c r="N2857" t="s">
        <v>2388</v>
      </c>
      <c r="O2857">
        <v>1</v>
      </c>
    </row>
    <row r="2858" spans="2:15" x14ac:dyDescent="0.3">
      <c r="B2858">
        <v>2918</v>
      </c>
      <c r="D2858">
        <v>1472</v>
      </c>
      <c r="E2858">
        <v>345</v>
      </c>
      <c r="F2858">
        <v>1</v>
      </c>
      <c r="G2858">
        <v>37.383634253322697</v>
      </c>
      <c r="H2858">
        <v>2</v>
      </c>
      <c r="I2858">
        <v>59</v>
      </c>
      <c r="K2858" t="s">
        <v>2386</v>
      </c>
      <c r="L2858">
        <v>20</v>
      </c>
      <c r="M2858" t="s">
        <v>3702</v>
      </c>
      <c r="N2858" t="s">
        <v>2388</v>
      </c>
      <c r="O2858">
        <v>1</v>
      </c>
    </row>
    <row r="2859" spans="2:15" x14ac:dyDescent="0.3">
      <c r="B2859">
        <v>2919</v>
      </c>
      <c r="D2859">
        <v>345</v>
      </c>
      <c r="E2859">
        <v>1472</v>
      </c>
      <c r="F2859">
        <v>1</v>
      </c>
      <c r="G2859">
        <v>37.383634253322697</v>
      </c>
      <c r="H2859">
        <v>2</v>
      </c>
      <c r="I2859">
        <v>59</v>
      </c>
      <c r="K2859" t="s">
        <v>2386</v>
      </c>
      <c r="L2859">
        <v>20</v>
      </c>
      <c r="M2859" t="s">
        <v>3703</v>
      </c>
      <c r="N2859" t="s">
        <v>2388</v>
      </c>
      <c r="O2859">
        <v>1</v>
      </c>
    </row>
    <row r="2860" spans="2:15" x14ac:dyDescent="0.3">
      <c r="B2860">
        <v>2920</v>
      </c>
      <c r="D2860">
        <v>1473</v>
      </c>
      <c r="E2860">
        <v>545</v>
      </c>
      <c r="F2860">
        <v>1</v>
      </c>
      <c r="G2860">
        <v>44.443342059764397</v>
      </c>
      <c r="H2860">
        <v>2</v>
      </c>
      <c r="I2860">
        <v>59</v>
      </c>
      <c r="K2860" t="s">
        <v>2386</v>
      </c>
      <c r="L2860">
        <v>20</v>
      </c>
      <c r="M2860" t="s">
        <v>3704</v>
      </c>
      <c r="N2860" t="s">
        <v>2388</v>
      </c>
      <c r="O2860">
        <v>1</v>
      </c>
    </row>
    <row r="2861" spans="2:15" x14ac:dyDescent="0.3">
      <c r="B2861">
        <v>2921</v>
      </c>
      <c r="D2861">
        <v>545</v>
      </c>
      <c r="E2861">
        <v>1473</v>
      </c>
      <c r="F2861">
        <v>1</v>
      </c>
      <c r="G2861">
        <v>44.443342059764397</v>
      </c>
      <c r="H2861">
        <v>2</v>
      </c>
      <c r="I2861">
        <v>59</v>
      </c>
      <c r="K2861" t="s">
        <v>2386</v>
      </c>
      <c r="L2861">
        <v>20</v>
      </c>
      <c r="M2861" t="s">
        <v>3705</v>
      </c>
      <c r="N2861" t="s">
        <v>2388</v>
      </c>
      <c r="O2861">
        <v>1</v>
      </c>
    </row>
    <row r="2862" spans="2:15" x14ac:dyDescent="0.3">
      <c r="B2862">
        <v>2922</v>
      </c>
      <c r="D2862">
        <v>1474</v>
      </c>
      <c r="E2862">
        <v>371</v>
      </c>
      <c r="F2862">
        <v>1</v>
      </c>
      <c r="G2862">
        <v>46.101805580555997</v>
      </c>
      <c r="H2862">
        <v>2</v>
      </c>
      <c r="I2862">
        <v>59</v>
      </c>
      <c r="K2862" t="s">
        <v>2386</v>
      </c>
      <c r="L2862">
        <v>20</v>
      </c>
      <c r="M2862" t="s">
        <v>3706</v>
      </c>
      <c r="N2862" t="s">
        <v>2388</v>
      </c>
      <c r="O2862">
        <v>1</v>
      </c>
    </row>
    <row r="2863" spans="2:15" x14ac:dyDescent="0.3">
      <c r="B2863">
        <v>2923</v>
      </c>
      <c r="D2863">
        <v>371</v>
      </c>
      <c r="E2863">
        <v>1474</v>
      </c>
      <c r="F2863">
        <v>1</v>
      </c>
      <c r="G2863">
        <v>46.101805580555997</v>
      </c>
      <c r="H2863">
        <v>2</v>
      </c>
      <c r="I2863">
        <v>59</v>
      </c>
      <c r="K2863" t="s">
        <v>2386</v>
      </c>
      <c r="L2863">
        <v>20</v>
      </c>
      <c r="M2863" t="s">
        <v>3707</v>
      </c>
      <c r="N2863" t="s">
        <v>2388</v>
      </c>
      <c r="O2863">
        <v>1</v>
      </c>
    </row>
    <row r="2864" spans="2:15" x14ac:dyDescent="0.3">
      <c r="B2864">
        <v>2924</v>
      </c>
      <c r="D2864">
        <v>1475</v>
      </c>
      <c r="E2864">
        <v>689</v>
      </c>
      <c r="F2864">
        <v>1</v>
      </c>
      <c r="G2864">
        <v>91.304486286355498</v>
      </c>
      <c r="H2864">
        <v>2</v>
      </c>
      <c r="I2864">
        <v>59</v>
      </c>
      <c r="K2864" t="s">
        <v>2386</v>
      </c>
      <c r="L2864">
        <v>20</v>
      </c>
      <c r="M2864" t="s">
        <v>3708</v>
      </c>
      <c r="N2864" t="s">
        <v>2388</v>
      </c>
      <c r="O2864">
        <v>1</v>
      </c>
    </row>
    <row r="2865" spans="2:15" x14ac:dyDescent="0.3">
      <c r="B2865">
        <v>2925</v>
      </c>
      <c r="D2865">
        <v>689</v>
      </c>
      <c r="E2865">
        <v>1475</v>
      </c>
      <c r="F2865">
        <v>1</v>
      </c>
      <c r="G2865">
        <v>91.304486286355498</v>
      </c>
      <c r="H2865">
        <v>2</v>
      </c>
      <c r="I2865">
        <v>59</v>
      </c>
      <c r="K2865" t="s">
        <v>2386</v>
      </c>
      <c r="L2865">
        <v>20</v>
      </c>
      <c r="M2865" t="s">
        <v>3709</v>
      </c>
      <c r="N2865" t="s">
        <v>2388</v>
      </c>
      <c r="O2865">
        <v>1</v>
      </c>
    </row>
    <row r="2866" spans="2:15" x14ac:dyDescent="0.3">
      <c r="B2866">
        <v>2926</v>
      </c>
      <c r="D2866">
        <v>1476</v>
      </c>
      <c r="E2866">
        <v>165</v>
      </c>
      <c r="F2866">
        <v>1</v>
      </c>
      <c r="G2866">
        <v>103.160704147665</v>
      </c>
      <c r="H2866">
        <v>2</v>
      </c>
      <c r="I2866">
        <v>59</v>
      </c>
      <c r="K2866" t="s">
        <v>2386</v>
      </c>
      <c r="L2866">
        <v>20</v>
      </c>
      <c r="M2866" t="s">
        <v>3710</v>
      </c>
      <c r="N2866" t="s">
        <v>2388</v>
      </c>
      <c r="O2866">
        <v>1</v>
      </c>
    </row>
    <row r="2867" spans="2:15" x14ac:dyDescent="0.3">
      <c r="B2867">
        <v>2927</v>
      </c>
      <c r="D2867">
        <v>165</v>
      </c>
      <c r="E2867">
        <v>1476</v>
      </c>
      <c r="F2867">
        <v>1</v>
      </c>
      <c r="G2867">
        <v>103.160704147665</v>
      </c>
      <c r="H2867">
        <v>2</v>
      </c>
      <c r="I2867">
        <v>59</v>
      </c>
      <c r="K2867" t="s">
        <v>2386</v>
      </c>
      <c r="L2867">
        <v>20</v>
      </c>
      <c r="M2867" t="s">
        <v>3711</v>
      </c>
      <c r="N2867" t="s">
        <v>2388</v>
      </c>
      <c r="O2867">
        <v>1</v>
      </c>
    </row>
    <row r="2868" spans="2:15" x14ac:dyDescent="0.3">
      <c r="B2868">
        <v>2928</v>
      </c>
      <c r="D2868">
        <v>1477</v>
      </c>
      <c r="E2868">
        <v>661</v>
      </c>
      <c r="F2868">
        <v>1</v>
      </c>
      <c r="G2868">
        <v>151.330146718978</v>
      </c>
      <c r="H2868">
        <v>2</v>
      </c>
      <c r="I2868">
        <v>59</v>
      </c>
      <c r="K2868" t="s">
        <v>2386</v>
      </c>
      <c r="L2868">
        <v>20</v>
      </c>
      <c r="M2868" t="s">
        <v>3712</v>
      </c>
      <c r="N2868" t="s">
        <v>2388</v>
      </c>
      <c r="O2868">
        <v>1</v>
      </c>
    </row>
    <row r="2869" spans="2:15" x14ac:dyDescent="0.3">
      <c r="B2869">
        <v>2929</v>
      </c>
      <c r="D2869">
        <v>661</v>
      </c>
      <c r="E2869">
        <v>1477</v>
      </c>
      <c r="F2869">
        <v>1</v>
      </c>
      <c r="G2869">
        <v>151.330146718978</v>
      </c>
      <c r="H2869">
        <v>2</v>
      </c>
      <c r="I2869">
        <v>59</v>
      </c>
      <c r="K2869" t="s">
        <v>2386</v>
      </c>
      <c r="L2869">
        <v>20</v>
      </c>
      <c r="M2869" t="s">
        <v>3713</v>
      </c>
      <c r="N2869" t="s">
        <v>2388</v>
      </c>
      <c r="O2869">
        <v>1</v>
      </c>
    </row>
    <row r="2870" spans="2:15" x14ac:dyDescent="0.3">
      <c r="B2870">
        <v>2930</v>
      </c>
      <c r="D2870">
        <v>1478</v>
      </c>
      <c r="E2870">
        <v>661</v>
      </c>
      <c r="F2870">
        <v>1</v>
      </c>
      <c r="G2870">
        <v>43.8508081859664</v>
      </c>
      <c r="H2870">
        <v>2</v>
      </c>
      <c r="I2870">
        <v>59</v>
      </c>
      <c r="K2870" t="s">
        <v>2386</v>
      </c>
      <c r="L2870">
        <v>20</v>
      </c>
      <c r="M2870" t="s">
        <v>3714</v>
      </c>
      <c r="N2870" t="s">
        <v>2388</v>
      </c>
      <c r="O2870">
        <v>1</v>
      </c>
    </row>
    <row r="2871" spans="2:15" x14ac:dyDescent="0.3">
      <c r="B2871">
        <v>2931</v>
      </c>
      <c r="D2871">
        <v>661</v>
      </c>
      <c r="E2871">
        <v>1478</v>
      </c>
      <c r="F2871">
        <v>1</v>
      </c>
      <c r="G2871">
        <v>43.8508081859664</v>
      </c>
      <c r="H2871">
        <v>2</v>
      </c>
      <c r="I2871">
        <v>59</v>
      </c>
      <c r="K2871" t="s">
        <v>2386</v>
      </c>
      <c r="L2871">
        <v>20</v>
      </c>
      <c r="M2871" t="s">
        <v>3715</v>
      </c>
      <c r="N2871" t="s">
        <v>2388</v>
      </c>
      <c r="O2871">
        <v>1</v>
      </c>
    </row>
    <row r="2872" spans="2:15" x14ac:dyDescent="0.3">
      <c r="B2872">
        <v>2932</v>
      </c>
      <c r="D2872">
        <v>1479</v>
      </c>
      <c r="E2872">
        <v>661</v>
      </c>
      <c r="F2872">
        <v>1</v>
      </c>
      <c r="G2872">
        <v>101.396653029775</v>
      </c>
      <c r="H2872">
        <v>2</v>
      </c>
      <c r="I2872">
        <v>59</v>
      </c>
      <c r="K2872" t="s">
        <v>2386</v>
      </c>
      <c r="L2872">
        <v>20</v>
      </c>
      <c r="M2872" t="s">
        <v>3716</v>
      </c>
      <c r="N2872" t="s">
        <v>2388</v>
      </c>
      <c r="O2872">
        <v>1</v>
      </c>
    </row>
    <row r="2873" spans="2:15" x14ac:dyDescent="0.3">
      <c r="B2873">
        <v>2933</v>
      </c>
      <c r="D2873">
        <v>661</v>
      </c>
      <c r="E2873">
        <v>1479</v>
      </c>
      <c r="F2873">
        <v>1</v>
      </c>
      <c r="G2873">
        <v>101.396653029775</v>
      </c>
      <c r="H2873">
        <v>2</v>
      </c>
      <c r="I2873">
        <v>59</v>
      </c>
      <c r="K2873" t="s">
        <v>2386</v>
      </c>
      <c r="L2873">
        <v>20</v>
      </c>
      <c r="M2873" t="s">
        <v>3717</v>
      </c>
      <c r="N2873" t="s">
        <v>2388</v>
      </c>
      <c r="O2873">
        <v>1</v>
      </c>
    </row>
    <row r="2874" spans="2:15" x14ac:dyDescent="0.3">
      <c r="B2874">
        <v>2934</v>
      </c>
      <c r="D2874">
        <v>1480</v>
      </c>
      <c r="E2874">
        <v>661</v>
      </c>
      <c r="F2874">
        <v>1</v>
      </c>
      <c r="G2874">
        <v>54.247338987321598</v>
      </c>
      <c r="H2874">
        <v>2</v>
      </c>
      <c r="I2874">
        <v>59</v>
      </c>
      <c r="K2874" t="s">
        <v>2386</v>
      </c>
      <c r="L2874">
        <v>20</v>
      </c>
      <c r="M2874" t="s">
        <v>3718</v>
      </c>
      <c r="N2874" t="s">
        <v>2388</v>
      </c>
      <c r="O2874">
        <v>1</v>
      </c>
    </row>
    <row r="2875" spans="2:15" x14ac:dyDescent="0.3">
      <c r="B2875">
        <v>2935</v>
      </c>
      <c r="D2875">
        <v>661</v>
      </c>
      <c r="E2875">
        <v>1480</v>
      </c>
      <c r="F2875">
        <v>1</v>
      </c>
      <c r="G2875">
        <v>54.247338987321598</v>
      </c>
      <c r="H2875">
        <v>2</v>
      </c>
      <c r="I2875">
        <v>59</v>
      </c>
      <c r="K2875" t="s">
        <v>2386</v>
      </c>
      <c r="L2875">
        <v>20</v>
      </c>
      <c r="M2875" t="s">
        <v>3719</v>
      </c>
      <c r="N2875" t="s">
        <v>2388</v>
      </c>
      <c r="O2875">
        <v>1</v>
      </c>
    </row>
    <row r="2876" spans="2:15" x14ac:dyDescent="0.3">
      <c r="B2876">
        <v>2936</v>
      </c>
      <c r="D2876">
        <v>1481</v>
      </c>
      <c r="E2876">
        <v>661</v>
      </c>
      <c r="F2876">
        <v>1</v>
      </c>
      <c r="G2876">
        <v>79.424401650813607</v>
      </c>
      <c r="H2876">
        <v>2</v>
      </c>
      <c r="I2876">
        <v>59</v>
      </c>
      <c r="K2876" t="s">
        <v>2386</v>
      </c>
      <c r="L2876">
        <v>20</v>
      </c>
      <c r="M2876" t="s">
        <v>3720</v>
      </c>
      <c r="N2876" t="s">
        <v>2388</v>
      </c>
      <c r="O2876">
        <v>1</v>
      </c>
    </row>
    <row r="2877" spans="2:15" x14ac:dyDescent="0.3">
      <c r="B2877">
        <v>2937</v>
      </c>
      <c r="D2877">
        <v>661</v>
      </c>
      <c r="E2877">
        <v>1481</v>
      </c>
      <c r="F2877">
        <v>1</v>
      </c>
      <c r="G2877">
        <v>79.424401650813607</v>
      </c>
      <c r="H2877">
        <v>2</v>
      </c>
      <c r="I2877">
        <v>59</v>
      </c>
      <c r="K2877" t="s">
        <v>2386</v>
      </c>
      <c r="L2877">
        <v>20</v>
      </c>
      <c r="M2877" t="s">
        <v>3721</v>
      </c>
      <c r="N2877" t="s">
        <v>2388</v>
      </c>
      <c r="O2877">
        <v>1</v>
      </c>
    </row>
    <row r="2878" spans="2:15" x14ac:dyDescent="0.3">
      <c r="B2878">
        <v>2938</v>
      </c>
      <c r="D2878">
        <v>1482</v>
      </c>
      <c r="E2878">
        <v>661</v>
      </c>
      <c r="F2878">
        <v>1</v>
      </c>
      <c r="G2878">
        <v>114.209639142035</v>
      </c>
      <c r="H2878">
        <v>2</v>
      </c>
      <c r="I2878">
        <v>59</v>
      </c>
      <c r="K2878" t="s">
        <v>2386</v>
      </c>
      <c r="L2878">
        <v>20</v>
      </c>
      <c r="M2878" t="s">
        <v>3722</v>
      </c>
      <c r="N2878" t="s">
        <v>2388</v>
      </c>
      <c r="O2878">
        <v>1</v>
      </c>
    </row>
    <row r="2879" spans="2:15" x14ac:dyDescent="0.3">
      <c r="B2879">
        <v>2939</v>
      </c>
      <c r="D2879">
        <v>661</v>
      </c>
      <c r="E2879">
        <v>1482</v>
      </c>
      <c r="F2879">
        <v>1</v>
      </c>
      <c r="G2879">
        <v>114.209639142035</v>
      </c>
      <c r="H2879">
        <v>2</v>
      </c>
      <c r="I2879">
        <v>59</v>
      </c>
      <c r="K2879" t="s">
        <v>2386</v>
      </c>
      <c r="L2879">
        <v>20</v>
      </c>
      <c r="M2879" t="s">
        <v>3723</v>
      </c>
      <c r="N2879" t="s">
        <v>2388</v>
      </c>
      <c r="O2879">
        <v>1</v>
      </c>
    </row>
    <row r="2880" spans="2:15" x14ac:dyDescent="0.3">
      <c r="B2880">
        <v>2940</v>
      </c>
      <c r="D2880">
        <v>1483</v>
      </c>
      <c r="E2880">
        <v>235</v>
      </c>
      <c r="F2880">
        <v>1</v>
      </c>
      <c r="G2880">
        <v>61.838271518926803</v>
      </c>
      <c r="H2880">
        <v>2</v>
      </c>
      <c r="I2880">
        <v>59</v>
      </c>
      <c r="K2880" t="s">
        <v>2386</v>
      </c>
      <c r="L2880">
        <v>20</v>
      </c>
      <c r="M2880" t="s">
        <v>3724</v>
      </c>
      <c r="N2880" t="s">
        <v>2388</v>
      </c>
      <c r="O2880">
        <v>1</v>
      </c>
    </row>
    <row r="2881" spans="2:15" x14ac:dyDescent="0.3">
      <c r="B2881">
        <v>2941</v>
      </c>
      <c r="D2881">
        <v>235</v>
      </c>
      <c r="E2881">
        <v>1483</v>
      </c>
      <c r="F2881">
        <v>1</v>
      </c>
      <c r="G2881">
        <v>61.838271518926803</v>
      </c>
      <c r="H2881">
        <v>2</v>
      </c>
      <c r="I2881">
        <v>59</v>
      </c>
      <c r="K2881" t="s">
        <v>2386</v>
      </c>
      <c r="L2881">
        <v>20</v>
      </c>
      <c r="M2881" t="s">
        <v>3725</v>
      </c>
      <c r="N2881" t="s">
        <v>2388</v>
      </c>
      <c r="O2881">
        <v>1</v>
      </c>
    </row>
    <row r="2882" spans="2:15" x14ac:dyDescent="0.3">
      <c r="B2882">
        <v>2942</v>
      </c>
      <c r="D2882">
        <v>1484</v>
      </c>
      <c r="E2882">
        <v>370</v>
      </c>
      <c r="F2882">
        <v>1</v>
      </c>
      <c r="G2882">
        <v>68.645479979506504</v>
      </c>
      <c r="H2882">
        <v>2</v>
      </c>
      <c r="I2882">
        <v>59</v>
      </c>
      <c r="K2882" t="s">
        <v>2386</v>
      </c>
      <c r="L2882">
        <v>20</v>
      </c>
      <c r="M2882" t="s">
        <v>3726</v>
      </c>
      <c r="N2882" t="s">
        <v>2388</v>
      </c>
      <c r="O2882">
        <v>1</v>
      </c>
    </row>
    <row r="2883" spans="2:15" x14ac:dyDescent="0.3">
      <c r="B2883">
        <v>2943</v>
      </c>
      <c r="D2883">
        <v>370</v>
      </c>
      <c r="E2883">
        <v>1484</v>
      </c>
      <c r="F2883">
        <v>1</v>
      </c>
      <c r="G2883">
        <v>68.645479979506504</v>
      </c>
      <c r="H2883">
        <v>2</v>
      </c>
      <c r="I2883">
        <v>59</v>
      </c>
      <c r="K2883" t="s">
        <v>2386</v>
      </c>
      <c r="L2883">
        <v>20</v>
      </c>
      <c r="M2883" t="s">
        <v>3727</v>
      </c>
      <c r="N2883" t="s">
        <v>2388</v>
      </c>
      <c r="O2883">
        <v>1</v>
      </c>
    </row>
    <row r="2884" spans="2:15" x14ac:dyDescent="0.3">
      <c r="B2884">
        <v>2944</v>
      </c>
      <c r="D2884">
        <v>1485</v>
      </c>
      <c r="E2884">
        <v>612</v>
      </c>
      <c r="F2884">
        <v>1</v>
      </c>
      <c r="G2884">
        <v>92.582499379106096</v>
      </c>
      <c r="H2884">
        <v>2</v>
      </c>
      <c r="I2884">
        <v>59</v>
      </c>
      <c r="K2884" t="s">
        <v>2386</v>
      </c>
      <c r="L2884">
        <v>20</v>
      </c>
      <c r="M2884" t="s">
        <v>3728</v>
      </c>
      <c r="N2884" t="s">
        <v>2388</v>
      </c>
      <c r="O2884">
        <v>1</v>
      </c>
    </row>
    <row r="2885" spans="2:15" x14ac:dyDescent="0.3">
      <c r="B2885">
        <v>2945</v>
      </c>
      <c r="D2885">
        <v>612</v>
      </c>
      <c r="E2885">
        <v>1485</v>
      </c>
      <c r="F2885">
        <v>1</v>
      </c>
      <c r="G2885">
        <v>92.582499379106096</v>
      </c>
      <c r="H2885">
        <v>2</v>
      </c>
      <c r="I2885">
        <v>59</v>
      </c>
      <c r="K2885" t="s">
        <v>2386</v>
      </c>
      <c r="L2885">
        <v>20</v>
      </c>
      <c r="M2885" t="s">
        <v>3729</v>
      </c>
      <c r="N2885" t="s">
        <v>2388</v>
      </c>
      <c r="O2885">
        <v>1</v>
      </c>
    </row>
    <row r="2886" spans="2:15" x14ac:dyDescent="0.3">
      <c r="B2886">
        <v>2946</v>
      </c>
      <c r="D2886">
        <v>1486</v>
      </c>
      <c r="E2886">
        <v>628</v>
      </c>
      <c r="F2886">
        <v>1</v>
      </c>
      <c r="G2886">
        <v>77.8572538334912</v>
      </c>
      <c r="H2886">
        <v>2</v>
      </c>
      <c r="I2886">
        <v>59</v>
      </c>
      <c r="K2886" t="s">
        <v>2386</v>
      </c>
      <c r="L2886">
        <v>20</v>
      </c>
      <c r="M2886" t="s">
        <v>3730</v>
      </c>
      <c r="N2886" t="s">
        <v>2388</v>
      </c>
      <c r="O2886">
        <v>1</v>
      </c>
    </row>
    <row r="2887" spans="2:15" x14ac:dyDescent="0.3">
      <c r="B2887">
        <v>2947</v>
      </c>
      <c r="D2887">
        <v>628</v>
      </c>
      <c r="E2887">
        <v>1486</v>
      </c>
      <c r="F2887">
        <v>1</v>
      </c>
      <c r="G2887">
        <v>77.8572538334912</v>
      </c>
      <c r="H2887">
        <v>2</v>
      </c>
      <c r="I2887">
        <v>59</v>
      </c>
      <c r="K2887" t="s">
        <v>2386</v>
      </c>
      <c r="L2887">
        <v>20</v>
      </c>
      <c r="M2887" t="s">
        <v>3731</v>
      </c>
      <c r="N2887" t="s">
        <v>2388</v>
      </c>
      <c r="O2887">
        <v>1</v>
      </c>
    </row>
    <row r="2888" spans="2:15" x14ac:dyDescent="0.3">
      <c r="B2888">
        <v>2948</v>
      </c>
      <c r="D2888">
        <v>1487</v>
      </c>
      <c r="E2888">
        <v>1960</v>
      </c>
      <c r="F2888">
        <v>1</v>
      </c>
      <c r="G2888">
        <v>56.484916901595803</v>
      </c>
      <c r="H2888">
        <v>2</v>
      </c>
      <c r="I2888">
        <v>59</v>
      </c>
      <c r="K2888" t="s">
        <v>2386</v>
      </c>
      <c r="L2888">
        <v>20</v>
      </c>
      <c r="M2888" t="s">
        <v>3732</v>
      </c>
      <c r="N2888" t="s">
        <v>2388</v>
      </c>
      <c r="O2888">
        <v>1</v>
      </c>
    </row>
    <row r="2889" spans="2:15" x14ac:dyDescent="0.3">
      <c r="B2889">
        <v>2949</v>
      </c>
      <c r="D2889">
        <v>1960</v>
      </c>
      <c r="E2889">
        <v>1487</v>
      </c>
      <c r="F2889">
        <v>1</v>
      </c>
      <c r="G2889">
        <v>56.484916901595803</v>
      </c>
      <c r="H2889">
        <v>2</v>
      </c>
      <c r="I2889">
        <v>59</v>
      </c>
      <c r="K2889" t="s">
        <v>2386</v>
      </c>
      <c r="L2889">
        <v>20</v>
      </c>
      <c r="M2889" t="s">
        <v>3733</v>
      </c>
      <c r="N2889" t="s">
        <v>2388</v>
      </c>
      <c r="O2889">
        <v>1</v>
      </c>
    </row>
    <row r="2890" spans="2:15" x14ac:dyDescent="0.3">
      <c r="B2890">
        <v>2950</v>
      </c>
      <c r="D2890">
        <v>1488</v>
      </c>
      <c r="E2890">
        <v>670</v>
      </c>
      <c r="F2890">
        <v>1</v>
      </c>
      <c r="G2890">
        <v>105.97099461943699</v>
      </c>
      <c r="H2890">
        <v>2</v>
      </c>
      <c r="I2890">
        <v>59</v>
      </c>
      <c r="K2890" t="s">
        <v>2386</v>
      </c>
      <c r="L2890">
        <v>20</v>
      </c>
      <c r="M2890" t="s">
        <v>3734</v>
      </c>
      <c r="N2890" t="s">
        <v>2388</v>
      </c>
      <c r="O2890">
        <v>1</v>
      </c>
    </row>
    <row r="2891" spans="2:15" x14ac:dyDescent="0.3">
      <c r="B2891">
        <v>2951</v>
      </c>
      <c r="D2891">
        <v>670</v>
      </c>
      <c r="E2891">
        <v>1488</v>
      </c>
      <c r="F2891">
        <v>1</v>
      </c>
      <c r="G2891">
        <v>105.97099461943699</v>
      </c>
      <c r="H2891">
        <v>2</v>
      </c>
      <c r="I2891">
        <v>59</v>
      </c>
      <c r="K2891" t="s">
        <v>2386</v>
      </c>
      <c r="L2891">
        <v>20</v>
      </c>
      <c r="M2891" t="s">
        <v>3735</v>
      </c>
      <c r="N2891" t="s">
        <v>2388</v>
      </c>
      <c r="O2891">
        <v>1</v>
      </c>
    </row>
    <row r="2892" spans="2:15" x14ac:dyDescent="0.3">
      <c r="B2892">
        <v>2952</v>
      </c>
      <c r="D2892">
        <v>1489</v>
      </c>
      <c r="E2892">
        <v>456</v>
      </c>
      <c r="F2892">
        <v>1</v>
      </c>
      <c r="G2892">
        <v>21.228046859595999</v>
      </c>
      <c r="H2892">
        <v>2</v>
      </c>
      <c r="I2892">
        <v>59</v>
      </c>
      <c r="K2892" t="s">
        <v>2386</v>
      </c>
      <c r="L2892">
        <v>20</v>
      </c>
      <c r="M2892" t="s">
        <v>3736</v>
      </c>
      <c r="N2892" t="s">
        <v>2388</v>
      </c>
      <c r="O2892">
        <v>1</v>
      </c>
    </row>
    <row r="2893" spans="2:15" x14ac:dyDescent="0.3">
      <c r="B2893">
        <v>2953</v>
      </c>
      <c r="D2893">
        <v>456</v>
      </c>
      <c r="E2893">
        <v>1489</v>
      </c>
      <c r="F2893">
        <v>1</v>
      </c>
      <c r="G2893">
        <v>21.228046859595999</v>
      </c>
      <c r="H2893">
        <v>2</v>
      </c>
      <c r="I2893">
        <v>59</v>
      </c>
      <c r="K2893" t="s">
        <v>2386</v>
      </c>
      <c r="L2893">
        <v>20</v>
      </c>
      <c r="M2893" t="s">
        <v>3737</v>
      </c>
      <c r="N2893" t="s">
        <v>2388</v>
      </c>
      <c r="O2893">
        <v>1</v>
      </c>
    </row>
    <row r="2894" spans="2:15" x14ac:dyDescent="0.3">
      <c r="B2894">
        <v>2954</v>
      </c>
      <c r="D2894">
        <v>1490</v>
      </c>
      <c r="E2894">
        <v>534</v>
      </c>
      <c r="F2894">
        <v>1</v>
      </c>
      <c r="G2894">
        <v>34.032456946651699</v>
      </c>
      <c r="H2894">
        <v>2</v>
      </c>
      <c r="I2894">
        <v>59</v>
      </c>
      <c r="K2894" t="s">
        <v>2386</v>
      </c>
      <c r="L2894">
        <v>20</v>
      </c>
      <c r="M2894" t="s">
        <v>3738</v>
      </c>
      <c r="N2894" t="s">
        <v>2388</v>
      </c>
      <c r="O2894">
        <v>1</v>
      </c>
    </row>
    <row r="2895" spans="2:15" x14ac:dyDescent="0.3">
      <c r="B2895">
        <v>2955</v>
      </c>
      <c r="D2895">
        <v>534</v>
      </c>
      <c r="E2895">
        <v>1490</v>
      </c>
      <c r="F2895">
        <v>1</v>
      </c>
      <c r="G2895">
        <v>34.032456946651699</v>
      </c>
      <c r="H2895">
        <v>2</v>
      </c>
      <c r="I2895">
        <v>59</v>
      </c>
      <c r="K2895" t="s">
        <v>2386</v>
      </c>
      <c r="L2895">
        <v>20</v>
      </c>
      <c r="M2895" t="s">
        <v>3739</v>
      </c>
      <c r="N2895" t="s">
        <v>2388</v>
      </c>
      <c r="O2895">
        <v>1</v>
      </c>
    </row>
    <row r="2896" spans="2:15" x14ac:dyDescent="0.3">
      <c r="B2896">
        <v>2956</v>
      </c>
      <c r="D2896">
        <v>1491</v>
      </c>
      <c r="E2896">
        <v>456</v>
      </c>
      <c r="F2896">
        <v>1</v>
      </c>
      <c r="G2896">
        <v>41.905193611537797</v>
      </c>
      <c r="H2896">
        <v>2</v>
      </c>
      <c r="I2896">
        <v>59</v>
      </c>
      <c r="K2896" t="s">
        <v>2386</v>
      </c>
      <c r="L2896">
        <v>20</v>
      </c>
      <c r="M2896" t="s">
        <v>3740</v>
      </c>
      <c r="N2896" t="s">
        <v>2388</v>
      </c>
      <c r="O2896">
        <v>1</v>
      </c>
    </row>
    <row r="2897" spans="2:15" x14ac:dyDescent="0.3">
      <c r="B2897">
        <v>2957</v>
      </c>
      <c r="D2897">
        <v>456</v>
      </c>
      <c r="E2897">
        <v>1491</v>
      </c>
      <c r="F2897">
        <v>1</v>
      </c>
      <c r="G2897">
        <v>41.905193611537797</v>
      </c>
      <c r="H2897">
        <v>2</v>
      </c>
      <c r="I2897">
        <v>59</v>
      </c>
      <c r="K2897" t="s">
        <v>2386</v>
      </c>
      <c r="L2897">
        <v>20</v>
      </c>
      <c r="M2897" t="s">
        <v>3741</v>
      </c>
      <c r="N2897" t="s">
        <v>2388</v>
      </c>
      <c r="O2897">
        <v>1</v>
      </c>
    </row>
    <row r="2898" spans="2:15" x14ac:dyDescent="0.3">
      <c r="B2898">
        <v>2958</v>
      </c>
      <c r="D2898">
        <v>1492</v>
      </c>
      <c r="E2898">
        <v>456</v>
      </c>
      <c r="F2898">
        <v>1</v>
      </c>
      <c r="G2898">
        <v>67.016485811373997</v>
      </c>
      <c r="H2898">
        <v>2</v>
      </c>
      <c r="I2898">
        <v>59</v>
      </c>
      <c r="K2898" t="s">
        <v>2386</v>
      </c>
      <c r="L2898">
        <v>20</v>
      </c>
      <c r="M2898" t="s">
        <v>3742</v>
      </c>
      <c r="N2898" t="s">
        <v>2388</v>
      </c>
      <c r="O2898">
        <v>1</v>
      </c>
    </row>
    <row r="2899" spans="2:15" x14ac:dyDescent="0.3">
      <c r="B2899">
        <v>2959</v>
      </c>
      <c r="D2899">
        <v>456</v>
      </c>
      <c r="E2899">
        <v>1492</v>
      </c>
      <c r="F2899">
        <v>1</v>
      </c>
      <c r="G2899">
        <v>67.016485811373997</v>
      </c>
      <c r="H2899">
        <v>2</v>
      </c>
      <c r="I2899">
        <v>59</v>
      </c>
      <c r="K2899" t="s">
        <v>2386</v>
      </c>
      <c r="L2899">
        <v>20</v>
      </c>
      <c r="M2899" t="s">
        <v>3743</v>
      </c>
      <c r="N2899" t="s">
        <v>2388</v>
      </c>
      <c r="O2899">
        <v>1</v>
      </c>
    </row>
    <row r="2900" spans="2:15" x14ac:dyDescent="0.3">
      <c r="B2900">
        <v>2960</v>
      </c>
      <c r="D2900">
        <v>1493</v>
      </c>
      <c r="E2900">
        <v>670</v>
      </c>
      <c r="F2900">
        <v>1</v>
      </c>
      <c r="G2900">
        <v>69.577515458517297</v>
      </c>
      <c r="H2900">
        <v>2</v>
      </c>
      <c r="I2900">
        <v>59</v>
      </c>
      <c r="K2900" t="s">
        <v>2386</v>
      </c>
      <c r="L2900">
        <v>20</v>
      </c>
      <c r="M2900" t="s">
        <v>3744</v>
      </c>
      <c r="N2900" t="s">
        <v>2388</v>
      </c>
      <c r="O2900">
        <v>1</v>
      </c>
    </row>
    <row r="2901" spans="2:15" x14ac:dyDescent="0.3">
      <c r="B2901">
        <v>2961</v>
      </c>
      <c r="D2901">
        <v>670</v>
      </c>
      <c r="E2901">
        <v>1493</v>
      </c>
      <c r="F2901">
        <v>1</v>
      </c>
      <c r="G2901">
        <v>69.577515458517297</v>
      </c>
      <c r="H2901">
        <v>2</v>
      </c>
      <c r="I2901">
        <v>59</v>
      </c>
      <c r="K2901" t="s">
        <v>2386</v>
      </c>
      <c r="L2901">
        <v>20</v>
      </c>
      <c r="M2901" t="s">
        <v>3745</v>
      </c>
      <c r="N2901" t="s">
        <v>2388</v>
      </c>
      <c r="O2901">
        <v>1</v>
      </c>
    </row>
    <row r="2902" spans="2:15" x14ac:dyDescent="0.3">
      <c r="B2902">
        <v>2962</v>
      </c>
      <c r="D2902">
        <v>1494</v>
      </c>
      <c r="E2902">
        <v>670</v>
      </c>
      <c r="F2902">
        <v>1</v>
      </c>
      <c r="G2902">
        <v>53.548185301568601</v>
      </c>
      <c r="H2902">
        <v>2</v>
      </c>
      <c r="I2902">
        <v>59</v>
      </c>
      <c r="K2902" t="s">
        <v>2386</v>
      </c>
      <c r="L2902">
        <v>20</v>
      </c>
      <c r="M2902" t="s">
        <v>3746</v>
      </c>
      <c r="N2902" t="s">
        <v>2388</v>
      </c>
      <c r="O2902">
        <v>1</v>
      </c>
    </row>
    <row r="2903" spans="2:15" x14ac:dyDescent="0.3">
      <c r="B2903">
        <v>2963</v>
      </c>
      <c r="D2903">
        <v>670</v>
      </c>
      <c r="E2903">
        <v>1494</v>
      </c>
      <c r="F2903">
        <v>1</v>
      </c>
      <c r="G2903">
        <v>53.548185301568601</v>
      </c>
      <c r="H2903">
        <v>2</v>
      </c>
      <c r="I2903">
        <v>59</v>
      </c>
      <c r="K2903" t="s">
        <v>2386</v>
      </c>
      <c r="L2903">
        <v>20</v>
      </c>
      <c r="M2903" t="s">
        <v>3747</v>
      </c>
      <c r="N2903" t="s">
        <v>2388</v>
      </c>
      <c r="O2903">
        <v>1</v>
      </c>
    </row>
    <row r="2904" spans="2:15" x14ac:dyDescent="0.3">
      <c r="B2904">
        <v>2964</v>
      </c>
      <c r="D2904">
        <v>1495</v>
      </c>
      <c r="E2904">
        <v>670</v>
      </c>
      <c r="F2904">
        <v>1</v>
      </c>
      <c r="G2904">
        <v>25.678304367829799</v>
      </c>
      <c r="H2904">
        <v>2</v>
      </c>
      <c r="I2904">
        <v>59</v>
      </c>
      <c r="K2904" t="s">
        <v>2386</v>
      </c>
      <c r="L2904">
        <v>20</v>
      </c>
      <c r="M2904" t="s">
        <v>3748</v>
      </c>
      <c r="N2904" t="s">
        <v>2388</v>
      </c>
      <c r="O2904">
        <v>1</v>
      </c>
    </row>
    <row r="2905" spans="2:15" x14ac:dyDescent="0.3">
      <c r="B2905">
        <v>2965</v>
      </c>
      <c r="D2905">
        <v>670</v>
      </c>
      <c r="E2905">
        <v>1495</v>
      </c>
      <c r="F2905">
        <v>1</v>
      </c>
      <c r="G2905">
        <v>25.678304367829799</v>
      </c>
      <c r="H2905">
        <v>2</v>
      </c>
      <c r="I2905">
        <v>59</v>
      </c>
      <c r="K2905" t="s">
        <v>2386</v>
      </c>
      <c r="L2905">
        <v>20</v>
      </c>
      <c r="M2905" t="s">
        <v>3749</v>
      </c>
      <c r="N2905" t="s">
        <v>2388</v>
      </c>
      <c r="O2905">
        <v>1</v>
      </c>
    </row>
    <row r="2906" spans="2:15" x14ac:dyDescent="0.3">
      <c r="B2906">
        <v>2966</v>
      </c>
      <c r="D2906">
        <v>1496</v>
      </c>
      <c r="E2906">
        <v>670</v>
      </c>
      <c r="F2906">
        <v>1</v>
      </c>
      <c r="G2906">
        <v>18.1208329645935</v>
      </c>
      <c r="H2906">
        <v>2</v>
      </c>
      <c r="I2906">
        <v>59</v>
      </c>
      <c r="K2906" t="s">
        <v>2386</v>
      </c>
      <c r="L2906">
        <v>20</v>
      </c>
      <c r="M2906" t="s">
        <v>3750</v>
      </c>
      <c r="N2906" t="s">
        <v>2388</v>
      </c>
      <c r="O2906">
        <v>1</v>
      </c>
    </row>
    <row r="2907" spans="2:15" x14ac:dyDescent="0.3">
      <c r="B2907">
        <v>2967</v>
      </c>
      <c r="D2907">
        <v>670</v>
      </c>
      <c r="E2907">
        <v>1496</v>
      </c>
      <c r="F2907">
        <v>1</v>
      </c>
      <c r="G2907">
        <v>18.1208329645935</v>
      </c>
      <c r="H2907">
        <v>2</v>
      </c>
      <c r="I2907">
        <v>59</v>
      </c>
      <c r="K2907" t="s">
        <v>2386</v>
      </c>
      <c r="L2907">
        <v>20</v>
      </c>
      <c r="M2907" t="s">
        <v>3751</v>
      </c>
      <c r="N2907" t="s">
        <v>2388</v>
      </c>
      <c r="O2907">
        <v>1</v>
      </c>
    </row>
    <row r="2908" spans="2:15" x14ac:dyDescent="0.3">
      <c r="B2908">
        <v>2968</v>
      </c>
      <c r="D2908">
        <v>1497</v>
      </c>
      <c r="E2908">
        <v>535</v>
      </c>
      <c r="F2908">
        <v>1</v>
      </c>
      <c r="G2908">
        <v>32.817765215930699</v>
      </c>
      <c r="H2908">
        <v>2</v>
      </c>
      <c r="I2908">
        <v>59</v>
      </c>
      <c r="K2908" t="s">
        <v>2386</v>
      </c>
      <c r="L2908">
        <v>20</v>
      </c>
      <c r="M2908" t="s">
        <v>3752</v>
      </c>
      <c r="N2908" t="s">
        <v>2388</v>
      </c>
      <c r="O2908">
        <v>1</v>
      </c>
    </row>
    <row r="2909" spans="2:15" x14ac:dyDescent="0.3">
      <c r="B2909">
        <v>2969</v>
      </c>
      <c r="D2909">
        <v>535</v>
      </c>
      <c r="E2909">
        <v>1497</v>
      </c>
      <c r="F2909">
        <v>1</v>
      </c>
      <c r="G2909">
        <v>32.817765215930699</v>
      </c>
      <c r="H2909">
        <v>2</v>
      </c>
      <c r="I2909">
        <v>59</v>
      </c>
      <c r="K2909" t="s">
        <v>2386</v>
      </c>
      <c r="L2909">
        <v>20</v>
      </c>
      <c r="M2909" t="s">
        <v>3753</v>
      </c>
      <c r="N2909" t="s">
        <v>2388</v>
      </c>
      <c r="O2909">
        <v>1</v>
      </c>
    </row>
    <row r="2910" spans="2:15" x14ac:dyDescent="0.3">
      <c r="B2910">
        <v>2970</v>
      </c>
      <c r="D2910">
        <v>1498</v>
      </c>
      <c r="E2910">
        <v>670</v>
      </c>
      <c r="F2910">
        <v>1</v>
      </c>
      <c r="G2910">
        <v>13.430206327304299</v>
      </c>
      <c r="H2910">
        <v>2</v>
      </c>
      <c r="I2910">
        <v>59</v>
      </c>
      <c r="K2910" t="s">
        <v>2386</v>
      </c>
      <c r="L2910">
        <v>20</v>
      </c>
      <c r="M2910" t="s">
        <v>3754</v>
      </c>
      <c r="N2910" t="s">
        <v>2388</v>
      </c>
      <c r="O2910">
        <v>1</v>
      </c>
    </row>
    <row r="2911" spans="2:15" x14ac:dyDescent="0.3">
      <c r="B2911">
        <v>2971</v>
      </c>
      <c r="D2911">
        <v>670</v>
      </c>
      <c r="E2911">
        <v>1498</v>
      </c>
      <c r="F2911">
        <v>1</v>
      </c>
      <c r="G2911">
        <v>13.430206327304299</v>
      </c>
      <c r="H2911">
        <v>2</v>
      </c>
      <c r="I2911">
        <v>59</v>
      </c>
      <c r="K2911" t="s">
        <v>2386</v>
      </c>
      <c r="L2911">
        <v>20</v>
      </c>
      <c r="M2911" t="s">
        <v>3755</v>
      </c>
      <c r="N2911" t="s">
        <v>2388</v>
      </c>
      <c r="O2911">
        <v>1</v>
      </c>
    </row>
    <row r="2912" spans="2:15" x14ac:dyDescent="0.3">
      <c r="B2912">
        <v>2972</v>
      </c>
      <c r="D2912">
        <v>1499</v>
      </c>
      <c r="E2912">
        <v>529</v>
      </c>
      <c r="F2912">
        <v>1</v>
      </c>
      <c r="G2912">
        <v>50.0569944848191</v>
      </c>
      <c r="H2912">
        <v>2</v>
      </c>
      <c r="I2912">
        <v>59</v>
      </c>
      <c r="K2912" t="s">
        <v>2386</v>
      </c>
      <c r="L2912">
        <v>20</v>
      </c>
      <c r="M2912" t="s">
        <v>3756</v>
      </c>
      <c r="N2912" t="s">
        <v>2388</v>
      </c>
      <c r="O2912">
        <v>1</v>
      </c>
    </row>
    <row r="2913" spans="2:15" x14ac:dyDescent="0.3">
      <c r="B2913">
        <v>2973</v>
      </c>
      <c r="D2913">
        <v>529</v>
      </c>
      <c r="E2913">
        <v>1499</v>
      </c>
      <c r="F2913">
        <v>1</v>
      </c>
      <c r="G2913">
        <v>50.0569944848191</v>
      </c>
      <c r="H2913">
        <v>2</v>
      </c>
      <c r="I2913">
        <v>59</v>
      </c>
      <c r="K2913" t="s">
        <v>2386</v>
      </c>
      <c r="L2913">
        <v>20</v>
      </c>
      <c r="M2913" t="s">
        <v>3757</v>
      </c>
      <c r="N2913" t="s">
        <v>2388</v>
      </c>
      <c r="O2913">
        <v>1</v>
      </c>
    </row>
    <row r="2914" spans="2:15" x14ac:dyDescent="0.3">
      <c r="B2914">
        <v>2974</v>
      </c>
      <c r="D2914">
        <v>1500</v>
      </c>
      <c r="E2914">
        <v>89</v>
      </c>
      <c r="F2914">
        <v>1</v>
      </c>
      <c r="G2914">
        <v>38.243752828107702</v>
      </c>
      <c r="H2914">
        <v>2</v>
      </c>
      <c r="I2914">
        <v>59</v>
      </c>
      <c r="K2914" t="s">
        <v>2386</v>
      </c>
      <c r="L2914">
        <v>20</v>
      </c>
      <c r="M2914" t="s">
        <v>3758</v>
      </c>
      <c r="N2914" t="s">
        <v>2388</v>
      </c>
      <c r="O2914">
        <v>1</v>
      </c>
    </row>
    <row r="2915" spans="2:15" x14ac:dyDescent="0.3">
      <c r="B2915">
        <v>2975</v>
      </c>
      <c r="D2915">
        <v>89</v>
      </c>
      <c r="E2915">
        <v>1500</v>
      </c>
      <c r="F2915">
        <v>1</v>
      </c>
      <c r="G2915">
        <v>38.243752828107702</v>
      </c>
      <c r="H2915">
        <v>2</v>
      </c>
      <c r="I2915">
        <v>59</v>
      </c>
      <c r="K2915" t="s">
        <v>2386</v>
      </c>
      <c r="L2915">
        <v>20</v>
      </c>
      <c r="M2915" t="s">
        <v>3759</v>
      </c>
      <c r="N2915" t="s">
        <v>2388</v>
      </c>
      <c r="O2915">
        <v>1</v>
      </c>
    </row>
    <row r="2916" spans="2:15" x14ac:dyDescent="0.3">
      <c r="B2916">
        <v>2976</v>
      </c>
      <c r="D2916">
        <v>1501</v>
      </c>
      <c r="E2916">
        <v>89</v>
      </c>
      <c r="F2916">
        <v>1</v>
      </c>
      <c r="G2916">
        <v>20.991903288038198</v>
      </c>
      <c r="H2916">
        <v>2</v>
      </c>
      <c r="I2916">
        <v>59</v>
      </c>
      <c r="K2916" t="s">
        <v>2386</v>
      </c>
      <c r="L2916">
        <v>20</v>
      </c>
      <c r="M2916" t="s">
        <v>3760</v>
      </c>
      <c r="N2916" t="s">
        <v>2388</v>
      </c>
      <c r="O2916">
        <v>1</v>
      </c>
    </row>
    <row r="2917" spans="2:15" x14ac:dyDescent="0.3">
      <c r="B2917">
        <v>2977</v>
      </c>
      <c r="D2917">
        <v>89</v>
      </c>
      <c r="E2917">
        <v>1501</v>
      </c>
      <c r="F2917">
        <v>1</v>
      </c>
      <c r="G2917">
        <v>20.991903288038198</v>
      </c>
      <c r="H2917">
        <v>2</v>
      </c>
      <c r="I2917">
        <v>59</v>
      </c>
      <c r="K2917" t="s">
        <v>2386</v>
      </c>
      <c r="L2917">
        <v>20</v>
      </c>
      <c r="M2917" t="s">
        <v>3761</v>
      </c>
      <c r="N2917" t="s">
        <v>2388</v>
      </c>
      <c r="O2917">
        <v>1</v>
      </c>
    </row>
    <row r="2918" spans="2:15" x14ac:dyDescent="0.3">
      <c r="B2918">
        <v>2978</v>
      </c>
      <c r="D2918">
        <v>1502</v>
      </c>
      <c r="E2918">
        <v>62</v>
      </c>
      <c r="F2918">
        <v>1</v>
      </c>
      <c r="G2918">
        <v>73.2759526848928</v>
      </c>
      <c r="H2918">
        <v>2</v>
      </c>
      <c r="I2918">
        <v>59</v>
      </c>
      <c r="K2918" t="s">
        <v>2386</v>
      </c>
      <c r="L2918">
        <v>20</v>
      </c>
      <c r="M2918" t="s">
        <v>3762</v>
      </c>
      <c r="N2918" t="s">
        <v>2388</v>
      </c>
      <c r="O2918">
        <v>1</v>
      </c>
    </row>
    <row r="2919" spans="2:15" x14ac:dyDescent="0.3">
      <c r="B2919">
        <v>2979</v>
      </c>
      <c r="D2919">
        <v>62</v>
      </c>
      <c r="E2919">
        <v>1502</v>
      </c>
      <c r="F2919">
        <v>1</v>
      </c>
      <c r="G2919">
        <v>73.2759526848928</v>
      </c>
      <c r="H2919">
        <v>2</v>
      </c>
      <c r="I2919">
        <v>59</v>
      </c>
      <c r="K2919" t="s">
        <v>2386</v>
      </c>
      <c r="L2919">
        <v>20</v>
      </c>
      <c r="M2919" t="s">
        <v>3763</v>
      </c>
      <c r="N2919" t="s">
        <v>2388</v>
      </c>
      <c r="O2919">
        <v>1</v>
      </c>
    </row>
    <row r="2920" spans="2:15" x14ac:dyDescent="0.3">
      <c r="B2920">
        <v>2980</v>
      </c>
      <c r="D2920">
        <v>1503</v>
      </c>
      <c r="E2920">
        <v>3</v>
      </c>
      <c r="F2920">
        <v>1</v>
      </c>
      <c r="G2920">
        <v>24.325770298396701</v>
      </c>
      <c r="H2920">
        <v>2</v>
      </c>
      <c r="I2920">
        <v>59</v>
      </c>
      <c r="K2920" t="s">
        <v>2386</v>
      </c>
      <c r="L2920">
        <v>20</v>
      </c>
      <c r="M2920" t="s">
        <v>3764</v>
      </c>
      <c r="N2920" t="s">
        <v>2388</v>
      </c>
      <c r="O2920">
        <v>1</v>
      </c>
    </row>
    <row r="2921" spans="2:15" x14ac:dyDescent="0.3">
      <c r="B2921">
        <v>2981</v>
      </c>
      <c r="D2921">
        <v>3</v>
      </c>
      <c r="E2921">
        <v>1503</v>
      </c>
      <c r="F2921">
        <v>1</v>
      </c>
      <c r="G2921">
        <v>24.325770298396701</v>
      </c>
      <c r="H2921">
        <v>2</v>
      </c>
      <c r="I2921">
        <v>59</v>
      </c>
      <c r="K2921" t="s">
        <v>2386</v>
      </c>
      <c r="L2921">
        <v>20</v>
      </c>
      <c r="M2921" t="s">
        <v>3765</v>
      </c>
      <c r="N2921" t="s">
        <v>2388</v>
      </c>
      <c r="O2921">
        <v>1</v>
      </c>
    </row>
    <row r="2922" spans="2:15" x14ac:dyDescent="0.3">
      <c r="B2922">
        <v>2982</v>
      </c>
      <c r="D2922">
        <v>1504</v>
      </c>
      <c r="E2922">
        <v>669</v>
      </c>
      <c r="F2922">
        <v>1</v>
      </c>
      <c r="G2922">
        <v>20.0576663123251</v>
      </c>
      <c r="H2922">
        <v>2</v>
      </c>
      <c r="I2922">
        <v>59</v>
      </c>
      <c r="K2922" t="s">
        <v>2386</v>
      </c>
      <c r="L2922">
        <v>20</v>
      </c>
      <c r="M2922" t="s">
        <v>3766</v>
      </c>
      <c r="N2922" t="s">
        <v>2388</v>
      </c>
      <c r="O2922">
        <v>1</v>
      </c>
    </row>
    <row r="2923" spans="2:15" x14ac:dyDescent="0.3">
      <c r="B2923">
        <v>2983</v>
      </c>
      <c r="D2923">
        <v>669</v>
      </c>
      <c r="E2923">
        <v>1504</v>
      </c>
      <c r="F2923">
        <v>1</v>
      </c>
      <c r="G2923">
        <v>20.0576663123251</v>
      </c>
      <c r="H2923">
        <v>2</v>
      </c>
      <c r="I2923">
        <v>59</v>
      </c>
      <c r="K2923" t="s">
        <v>2386</v>
      </c>
      <c r="L2923">
        <v>20</v>
      </c>
      <c r="M2923" t="s">
        <v>3767</v>
      </c>
      <c r="N2923" t="s">
        <v>2388</v>
      </c>
      <c r="O2923">
        <v>1</v>
      </c>
    </row>
    <row r="2924" spans="2:15" x14ac:dyDescent="0.3">
      <c r="B2924">
        <v>2984</v>
      </c>
      <c r="D2924">
        <v>1505</v>
      </c>
      <c r="E2924">
        <v>3</v>
      </c>
      <c r="F2924">
        <v>1</v>
      </c>
      <c r="G2924">
        <v>39.207964405692799</v>
      </c>
      <c r="H2924">
        <v>2</v>
      </c>
      <c r="I2924">
        <v>59</v>
      </c>
      <c r="K2924" t="s">
        <v>2386</v>
      </c>
      <c r="L2924">
        <v>20</v>
      </c>
      <c r="M2924" t="s">
        <v>3768</v>
      </c>
      <c r="N2924" t="s">
        <v>2388</v>
      </c>
      <c r="O2924">
        <v>1</v>
      </c>
    </row>
    <row r="2925" spans="2:15" x14ac:dyDescent="0.3">
      <c r="B2925">
        <v>2985</v>
      </c>
      <c r="D2925">
        <v>3</v>
      </c>
      <c r="E2925">
        <v>1505</v>
      </c>
      <c r="F2925">
        <v>1</v>
      </c>
      <c r="G2925">
        <v>39.207964405692799</v>
      </c>
      <c r="H2925">
        <v>2</v>
      </c>
      <c r="I2925">
        <v>59</v>
      </c>
      <c r="K2925" t="s">
        <v>2386</v>
      </c>
      <c r="L2925">
        <v>20</v>
      </c>
      <c r="M2925" t="s">
        <v>3769</v>
      </c>
      <c r="N2925" t="s">
        <v>2388</v>
      </c>
      <c r="O2925">
        <v>1</v>
      </c>
    </row>
    <row r="2926" spans="2:15" x14ac:dyDescent="0.3">
      <c r="B2926">
        <v>2986</v>
      </c>
      <c r="D2926">
        <v>1506</v>
      </c>
      <c r="E2926">
        <v>685</v>
      </c>
      <c r="F2926">
        <v>1</v>
      </c>
      <c r="G2926">
        <v>17.511544999772401</v>
      </c>
      <c r="H2926">
        <v>2</v>
      </c>
      <c r="I2926">
        <v>59</v>
      </c>
      <c r="K2926" t="s">
        <v>2386</v>
      </c>
      <c r="L2926">
        <v>20</v>
      </c>
      <c r="M2926" t="s">
        <v>3770</v>
      </c>
      <c r="N2926" t="s">
        <v>2388</v>
      </c>
      <c r="O2926">
        <v>1</v>
      </c>
    </row>
    <row r="2927" spans="2:15" x14ac:dyDescent="0.3">
      <c r="B2927">
        <v>2987</v>
      </c>
      <c r="D2927">
        <v>685</v>
      </c>
      <c r="E2927">
        <v>1506</v>
      </c>
      <c r="F2927">
        <v>1</v>
      </c>
      <c r="G2927">
        <v>17.511544999772401</v>
      </c>
      <c r="H2927">
        <v>2</v>
      </c>
      <c r="I2927">
        <v>59</v>
      </c>
      <c r="K2927" t="s">
        <v>2386</v>
      </c>
      <c r="L2927">
        <v>20</v>
      </c>
      <c r="M2927" t="s">
        <v>3771</v>
      </c>
      <c r="N2927" t="s">
        <v>2388</v>
      </c>
      <c r="O2927">
        <v>1</v>
      </c>
    </row>
    <row r="2928" spans="2:15" x14ac:dyDescent="0.3">
      <c r="B2928">
        <v>2988</v>
      </c>
      <c r="D2928">
        <v>1507</v>
      </c>
      <c r="E2928">
        <v>787</v>
      </c>
      <c r="F2928">
        <v>1</v>
      </c>
      <c r="G2928">
        <v>12.527865884309501</v>
      </c>
      <c r="H2928">
        <v>2</v>
      </c>
      <c r="I2928">
        <v>59</v>
      </c>
      <c r="K2928" t="s">
        <v>2386</v>
      </c>
      <c r="L2928">
        <v>20</v>
      </c>
      <c r="M2928" t="s">
        <v>3772</v>
      </c>
      <c r="N2928" t="s">
        <v>2388</v>
      </c>
      <c r="O2928">
        <v>1</v>
      </c>
    </row>
    <row r="2929" spans="2:15" x14ac:dyDescent="0.3">
      <c r="B2929">
        <v>2989</v>
      </c>
      <c r="D2929">
        <v>787</v>
      </c>
      <c r="E2929">
        <v>1507</v>
      </c>
      <c r="F2929">
        <v>1</v>
      </c>
      <c r="G2929">
        <v>12.527865884309501</v>
      </c>
      <c r="H2929">
        <v>2</v>
      </c>
      <c r="I2929">
        <v>59</v>
      </c>
      <c r="K2929" t="s">
        <v>2386</v>
      </c>
      <c r="L2929">
        <v>20</v>
      </c>
      <c r="M2929" t="s">
        <v>3773</v>
      </c>
      <c r="N2929" t="s">
        <v>2388</v>
      </c>
      <c r="O2929">
        <v>1</v>
      </c>
    </row>
    <row r="2930" spans="2:15" x14ac:dyDescent="0.3">
      <c r="B2930">
        <v>2990</v>
      </c>
      <c r="D2930">
        <v>1508</v>
      </c>
      <c r="E2930">
        <v>665</v>
      </c>
      <c r="F2930">
        <v>1</v>
      </c>
      <c r="G2930">
        <v>11.7588556723019</v>
      </c>
      <c r="H2930">
        <v>2</v>
      </c>
      <c r="I2930">
        <v>59</v>
      </c>
      <c r="K2930" t="s">
        <v>2386</v>
      </c>
      <c r="L2930">
        <v>20</v>
      </c>
      <c r="M2930" t="s">
        <v>3774</v>
      </c>
      <c r="N2930" t="s">
        <v>2388</v>
      </c>
      <c r="O2930">
        <v>1</v>
      </c>
    </row>
    <row r="2931" spans="2:15" x14ac:dyDescent="0.3">
      <c r="B2931">
        <v>2991</v>
      </c>
      <c r="D2931">
        <v>665</v>
      </c>
      <c r="E2931">
        <v>1508</v>
      </c>
      <c r="F2931">
        <v>1</v>
      </c>
      <c r="G2931">
        <v>11.7588556723019</v>
      </c>
      <c r="H2931">
        <v>2</v>
      </c>
      <c r="I2931">
        <v>59</v>
      </c>
      <c r="K2931" t="s">
        <v>2386</v>
      </c>
      <c r="L2931">
        <v>20</v>
      </c>
      <c r="M2931" t="s">
        <v>3775</v>
      </c>
      <c r="N2931" t="s">
        <v>2388</v>
      </c>
      <c r="O2931">
        <v>1</v>
      </c>
    </row>
    <row r="2932" spans="2:15" x14ac:dyDescent="0.3">
      <c r="B2932">
        <v>2992</v>
      </c>
      <c r="D2932">
        <v>1509</v>
      </c>
      <c r="E2932">
        <v>703</v>
      </c>
      <c r="F2932">
        <v>1</v>
      </c>
      <c r="G2932">
        <v>32.717346876881599</v>
      </c>
      <c r="H2932">
        <v>2</v>
      </c>
      <c r="I2932">
        <v>59</v>
      </c>
      <c r="K2932" t="s">
        <v>2386</v>
      </c>
      <c r="L2932">
        <v>20</v>
      </c>
      <c r="M2932" t="s">
        <v>3776</v>
      </c>
      <c r="N2932" t="s">
        <v>2388</v>
      </c>
      <c r="O2932">
        <v>1</v>
      </c>
    </row>
    <row r="2933" spans="2:15" x14ac:dyDescent="0.3">
      <c r="B2933">
        <v>2993</v>
      </c>
      <c r="D2933">
        <v>703</v>
      </c>
      <c r="E2933">
        <v>1509</v>
      </c>
      <c r="F2933">
        <v>1</v>
      </c>
      <c r="G2933">
        <v>32.717346876881599</v>
      </c>
      <c r="H2933">
        <v>2</v>
      </c>
      <c r="I2933">
        <v>59</v>
      </c>
      <c r="K2933" t="s">
        <v>2386</v>
      </c>
      <c r="L2933">
        <v>20</v>
      </c>
      <c r="M2933" t="s">
        <v>3777</v>
      </c>
      <c r="N2933" t="s">
        <v>2388</v>
      </c>
      <c r="O2933">
        <v>1</v>
      </c>
    </row>
    <row r="2934" spans="2:15" x14ac:dyDescent="0.3">
      <c r="B2934">
        <v>2994</v>
      </c>
      <c r="D2934">
        <v>1510</v>
      </c>
      <c r="E2934">
        <v>809</v>
      </c>
      <c r="F2934">
        <v>1</v>
      </c>
      <c r="G2934">
        <v>13.4360744758813</v>
      </c>
      <c r="H2934">
        <v>2</v>
      </c>
      <c r="I2934">
        <v>59</v>
      </c>
      <c r="K2934" t="s">
        <v>2386</v>
      </c>
      <c r="L2934">
        <v>20</v>
      </c>
      <c r="M2934" t="s">
        <v>3778</v>
      </c>
      <c r="N2934" t="s">
        <v>2388</v>
      </c>
      <c r="O2934">
        <v>1</v>
      </c>
    </row>
    <row r="2935" spans="2:15" x14ac:dyDescent="0.3">
      <c r="B2935">
        <v>2995</v>
      </c>
      <c r="D2935">
        <v>809</v>
      </c>
      <c r="E2935">
        <v>1510</v>
      </c>
      <c r="F2935">
        <v>1</v>
      </c>
      <c r="G2935">
        <v>13.4360744758813</v>
      </c>
      <c r="H2935">
        <v>2</v>
      </c>
      <c r="I2935">
        <v>59</v>
      </c>
      <c r="K2935" t="s">
        <v>2386</v>
      </c>
      <c r="L2935">
        <v>20</v>
      </c>
      <c r="M2935" t="s">
        <v>3779</v>
      </c>
      <c r="N2935" t="s">
        <v>2388</v>
      </c>
      <c r="O2935">
        <v>1</v>
      </c>
    </row>
    <row r="2936" spans="2:15" x14ac:dyDescent="0.3">
      <c r="B2936">
        <v>2996</v>
      </c>
      <c r="D2936">
        <v>1511</v>
      </c>
      <c r="E2936">
        <v>701</v>
      </c>
      <c r="F2936">
        <v>1</v>
      </c>
      <c r="G2936">
        <v>20.735731189074599</v>
      </c>
      <c r="H2936">
        <v>2</v>
      </c>
      <c r="I2936">
        <v>59</v>
      </c>
      <c r="K2936" t="s">
        <v>2386</v>
      </c>
      <c r="L2936">
        <v>20</v>
      </c>
      <c r="M2936" t="s">
        <v>3780</v>
      </c>
      <c r="N2936" t="s">
        <v>2388</v>
      </c>
      <c r="O2936">
        <v>1</v>
      </c>
    </row>
    <row r="2937" spans="2:15" x14ac:dyDescent="0.3">
      <c r="B2937">
        <v>2997</v>
      </c>
      <c r="D2937">
        <v>701</v>
      </c>
      <c r="E2937">
        <v>1511</v>
      </c>
      <c r="F2937">
        <v>1</v>
      </c>
      <c r="G2937">
        <v>20.735731189074599</v>
      </c>
      <c r="H2937">
        <v>2</v>
      </c>
      <c r="I2937">
        <v>59</v>
      </c>
      <c r="K2937" t="s">
        <v>2386</v>
      </c>
      <c r="L2937">
        <v>20</v>
      </c>
      <c r="M2937" t="s">
        <v>3781</v>
      </c>
      <c r="N2937" t="s">
        <v>2388</v>
      </c>
      <c r="O2937">
        <v>1</v>
      </c>
    </row>
    <row r="2938" spans="2:15" x14ac:dyDescent="0.3">
      <c r="B2938">
        <v>2998</v>
      </c>
      <c r="D2938">
        <v>1512</v>
      </c>
      <c r="E2938">
        <v>669</v>
      </c>
      <c r="F2938">
        <v>1</v>
      </c>
      <c r="G2938">
        <v>20.699001550404802</v>
      </c>
      <c r="H2938">
        <v>2</v>
      </c>
      <c r="I2938">
        <v>59</v>
      </c>
      <c r="K2938" t="s">
        <v>2386</v>
      </c>
      <c r="L2938">
        <v>20</v>
      </c>
      <c r="M2938" t="s">
        <v>3782</v>
      </c>
      <c r="N2938" t="s">
        <v>2388</v>
      </c>
      <c r="O2938">
        <v>1</v>
      </c>
    </row>
    <row r="2939" spans="2:15" x14ac:dyDescent="0.3">
      <c r="B2939">
        <v>2999</v>
      </c>
      <c r="D2939">
        <v>669</v>
      </c>
      <c r="E2939">
        <v>1512</v>
      </c>
      <c r="F2939">
        <v>1</v>
      </c>
      <c r="G2939">
        <v>20.699001550404802</v>
      </c>
      <c r="H2939">
        <v>2</v>
      </c>
      <c r="I2939">
        <v>59</v>
      </c>
      <c r="K2939" t="s">
        <v>2386</v>
      </c>
      <c r="L2939">
        <v>20</v>
      </c>
      <c r="M2939" t="s">
        <v>3783</v>
      </c>
      <c r="N2939" t="s">
        <v>2388</v>
      </c>
      <c r="O2939">
        <v>1</v>
      </c>
    </row>
    <row r="2940" spans="2:15" x14ac:dyDescent="0.3">
      <c r="B2940">
        <v>3000</v>
      </c>
      <c r="D2940">
        <v>1513</v>
      </c>
      <c r="E2940">
        <v>669</v>
      </c>
      <c r="F2940">
        <v>1</v>
      </c>
      <c r="G2940">
        <v>32.572605988762199</v>
      </c>
      <c r="H2940">
        <v>2</v>
      </c>
      <c r="I2940">
        <v>59</v>
      </c>
      <c r="K2940" t="s">
        <v>2386</v>
      </c>
      <c r="L2940">
        <v>20</v>
      </c>
      <c r="M2940" t="s">
        <v>3784</v>
      </c>
      <c r="N2940" t="s">
        <v>2388</v>
      </c>
      <c r="O2940">
        <v>1</v>
      </c>
    </row>
    <row r="2941" spans="2:15" x14ac:dyDescent="0.3">
      <c r="B2941">
        <v>3001</v>
      </c>
      <c r="D2941">
        <v>669</v>
      </c>
      <c r="E2941">
        <v>1513</v>
      </c>
      <c r="F2941">
        <v>1</v>
      </c>
      <c r="G2941">
        <v>32.572605988762199</v>
      </c>
      <c r="H2941">
        <v>2</v>
      </c>
      <c r="I2941">
        <v>59</v>
      </c>
      <c r="K2941" t="s">
        <v>2386</v>
      </c>
      <c r="L2941">
        <v>20</v>
      </c>
      <c r="M2941" t="s">
        <v>3785</v>
      </c>
      <c r="N2941" t="s">
        <v>2388</v>
      </c>
      <c r="O2941">
        <v>1</v>
      </c>
    </row>
    <row r="2942" spans="2:15" x14ac:dyDescent="0.3">
      <c r="B2942">
        <v>3002</v>
      </c>
      <c r="D2942">
        <v>1514</v>
      </c>
      <c r="E2942">
        <v>702</v>
      </c>
      <c r="F2942">
        <v>1</v>
      </c>
      <c r="G2942">
        <v>33.549454408595501</v>
      </c>
      <c r="H2942">
        <v>2</v>
      </c>
      <c r="I2942">
        <v>59</v>
      </c>
      <c r="K2942" t="s">
        <v>2386</v>
      </c>
      <c r="L2942">
        <v>20</v>
      </c>
      <c r="M2942" t="s">
        <v>3786</v>
      </c>
      <c r="N2942" t="s">
        <v>2388</v>
      </c>
      <c r="O2942">
        <v>1</v>
      </c>
    </row>
    <row r="2943" spans="2:15" x14ac:dyDescent="0.3">
      <c r="B2943">
        <v>3003</v>
      </c>
      <c r="D2943">
        <v>702</v>
      </c>
      <c r="E2943">
        <v>1514</v>
      </c>
      <c r="F2943">
        <v>1</v>
      </c>
      <c r="G2943">
        <v>33.549454408595501</v>
      </c>
      <c r="H2943">
        <v>2</v>
      </c>
      <c r="I2943">
        <v>59</v>
      </c>
      <c r="K2943" t="s">
        <v>2386</v>
      </c>
      <c r="L2943">
        <v>20</v>
      </c>
      <c r="M2943" t="s">
        <v>3787</v>
      </c>
      <c r="N2943" t="s">
        <v>2388</v>
      </c>
      <c r="O2943">
        <v>1</v>
      </c>
    </row>
    <row r="2944" spans="2:15" x14ac:dyDescent="0.3">
      <c r="B2944">
        <v>3004</v>
      </c>
      <c r="D2944">
        <v>1515</v>
      </c>
      <c r="E2944">
        <v>364</v>
      </c>
      <c r="F2944">
        <v>1</v>
      </c>
      <c r="G2944">
        <v>36.744360245409197</v>
      </c>
      <c r="H2944">
        <v>2</v>
      </c>
      <c r="I2944">
        <v>59</v>
      </c>
      <c r="K2944" t="s">
        <v>2386</v>
      </c>
      <c r="L2944">
        <v>20</v>
      </c>
      <c r="M2944" t="s">
        <v>3788</v>
      </c>
      <c r="N2944" t="s">
        <v>2388</v>
      </c>
      <c r="O2944">
        <v>1</v>
      </c>
    </row>
    <row r="2945" spans="2:15" x14ac:dyDescent="0.3">
      <c r="B2945">
        <v>3005</v>
      </c>
      <c r="D2945">
        <v>364</v>
      </c>
      <c r="E2945">
        <v>1515</v>
      </c>
      <c r="F2945">
        <v>1</v>
      </c>
      <c r="G2945">
        <v>36.744360245409197</v>
      </c>
      <c r="H2945">
        <v>2</v>
      </c>
      <c r="I2945">
        <v>59</v>
      </c>
      <c r="K2945" t="s">
        <v>2386</v>
      </c>
      <c r="L2945">
        <v>20</v>
      </c>
      <c r="M2945" t="s">
        <v>3789</v>
      </c>
      <c r="N2945" t="s">
        <v>2388</v>
      </c>
      <c r="O2945">
        <v>1</v>
      </c>
    </row>
    <row r="2946" spans="2:15" x14ac:dyDescent="0.3">
      <c r="B2946">
        <v>3006</v>
      </c>
      <c r="D2946">
        <v>1516</v>
      </c>
      <c r="E2946">
        <v>4</v>
      </c>
      <c r="F2946">
        <v>1</v>
      </c>
      <c r="G2946">
        <v>100.056262898318</v>
      </c>
      <c r="H2946">
        <v>2</v>
      </c>
      <c r="I2946">
        <v>59</v>
      </c>
      <c r="K2946" t="s">
        <v>2386</v>
      </c>
      <c r="L2946">
        <v>20</v>
      </c>
      <c r="M2946" t="s">
        <v>3790</v>
      </c>
      <c r="N2946" t="s">
        <v>2388</v>
      </c>
      <c r="O2946">
        <v>1</v>
      </c>
    </row>
    <row r="2947" spans="2:15" x14ac:dyDescent="0.3">
      <c r="B2947">
        <v>3007</v>
      </c>
      <c r="D2947">
        <v>4</v>
      </c>
      <c r="E2947">
        <v>1516</v>
      </c>
      <c r="F2947">
        <v>1</v>
      </c>
      <c r="G2947">
        <v>100.056262898318</v>
      </c>
      <c r="H2947">
        <v>2</v>
      </c>
      <c r="I2947">
        <v>59</v>
      </c>
      <c r="K2947" t="s">
        <v>2386</v>
      </c>
      <c r="L2947">
        <v>20</v>
      </c>
      <c r="M2947" t="s">
        <v>3791</v>
      </c>
      <c r="N2947" t="s">
        <v>2388</v>
      </c>
      <c r="O2947">
        <v>1</v>
      </c>
    </row>
    <row r="2948" spans="2:15" x14ac:dyDescent="0.3">
      <c r="B2948">
        <v>3008</v>
      </c>
      <c r="D2948">
        <v>1517</v>
      </c>
      <c r="E2948">
        <v>4</v>
      </c>
      <c r="F2948">
        <v>1</v>
      </c>
      <c r="G2948">
        <v>37.647532760321901</v>
      </c>
      <c r="H2948">
        <v>2</v>
      </c>
      <c r="I2948">
        <v>59</v>
      </c>
      <c r="K2948" t="s">
        <v>2386</v>
      </c>
      <c r="L2948">
        <v>20</v>
      </c>
      <c r="M2948" t="s">
        <v>3792</v>
      </c>
      <c r="N2948" t="s">
        <v>2388</v>
      </c>
      <c r="O2948">
        <v>1</v>
      </c>
    </row>
    <row r="2949" spans="2:15" x14ac:dyDescent="0.3">
      <c r="B2949">
        <v>3009</v>
      </c>
      <c r="D2949">
        <v>4</v>
      </c>
      <c r="E2949">
        <v>1517</v>
      </c>
      <c r="F2949">
        <v>1</v>
      </c>
      <c r="G2949">
        <v>37.647532760321901</v>
      </c>
      <c r="H2949">
        <v>2</v>
      </c>
      <c r="I2949">
        <v>59</v>
      </c>
      <c r="K2949" t="s">
        <v>2386</v>
      </c>
      <c r="L2949">
        <v>20</v>
      </c>
      <c r="M2949" t="s">
        <v>3793</v>
      </c>
      <c r="N2949" t="s">
        <v>2388</v>
      </c>
      <c r="O2949">
        <v>1</v>
      </c>
    </row>
    <row r="2950" spans="2:15" x14ac:dyDescent="0.3">
      <c r="B2950">
        <v>3010</v>
      </c>
      <c r="D2950">
        <v>1518</v>
      </c>
      <c r="E2950">
        <v>608</v>
      </c>
      <c r="F2950">
        <v>1</v>
      </c>
      <c r="G2950">
        <v>26.5582236893326</v>
      </c>
      <c r="H2950">
        <v>2</v>
      </c>
      <c r="I2950">
        <v>59</v>
      </c>
      <c r="K2950" t="s">
        <v>2386</v>
      </c>
      <c r="L2950">
        <v>20</v>
      </c>
      <c r="M2950" t="s">
        <v>3794</v>
      </c>
      <c r="N2950" t="s">
        <v>2388</v>
      </c>
      <c r="O2950">
        <v>1</v>
      </c>
    </row>
    <row r="2951" spans="2:15" x14ac:dyDescent="0.3">
      <c r="B2951">
        <v>3011</v>
      </c>
      <c r="D2951">
        <v>608</v>
      </c>
      <c r="E2951">
        <v>1518</v>
      </c>
      <c r="F2951">
        <v>1</v>
      </c>
      <c r="G2951">
        <v>26.5582236893326</v>
      </c>
      <c r="H2951">
        <v>2</v>
      </c>
      <c r="I2951">
        <v>59</v>
      </c>
      <c r="K2951" t="s">
        <v>2386</v>
      </c>
      <c r="L2951">
        <v>20</v>
      </c>
      <c r="M2951" t="s">
        <v>3795</v>
      </c>
      <c r="N2951" t="s">
        <v>2388</v>
      </c>
      <c r="O2951">
        <v>1</v>
      </c>
    </row>
    <row r="2952" spans="2:15" x14ac:dyDescent="0.3">
      <c r="B2952">
        <v>3012</v>
      </c>
      <c r="D2952">
        <v>1519</v>
      </c>
      <c r="E2952">
        <v>6</v>
      </c>
      <c r="F2952">
        <v>1</v>
      </c>
      <c r="G2952">
        <v>44.483994360138801</v>
      </c>
      <c r="H2952">
        <v>2</v>
      </c>
      <c r="I2952">
        <v>59</v>
      </c>
      <c r="K2952" t="s">
        <v>2386</v>
      </c>
      <c r="L2952">
        <v>20</v>
      </c>
      <c r="M2952" t="s">
        <v>3796</v>
      </c>
      <c r="N2952" t="s">
        <v>2388</v>
      </c>
      <c r="O2952">
        <v>1</v>
      </c>
    </row>
    <row r="2953" spans="2:15" x14ac:dyDescent="0.3">
      <c r="B2953">
        <v>3013</v>
      </c>
      <c r="D2953">
        <v>6</v>
      </c>
      <c r="E2953">
        <v>1519</v>
      </c>
      <c r="F2953">
        <v>1</v>
      </c>
      <c r="G2953">
        <v>44.483994360138801</v>
      </c>
      <c r="H2953">
        <v>2</v>
      </c>
      <c r="I2953">
        <v>59</v>
      </c>
      <c r="K2953" t="s">
        <v>2386</v>
      </c>
      <c r="L2953">
        <v>20</v>
      </c>
      <c r="M2953" t="s">
        <v>3797</v>
      </c>
      <c r="N2953" t="s">
        <v>2388</v>
      </c>
      <c r="O2953">
        <v>1</v>
      </c>
    </row>
    <row r="2954" spans="2:15" x14ac:dyDescent="0.3">
      <c r="B2954">
        <v>3014</v>
      </c>
      <c r="D2954">
        <v>1520</v>
      </c>
      <c r="E2954">
        <v>7</v>
      </c>
      <c r="F2954">
        <v>1</v>
      </c>
      <c r="G2954">
        <v>33.8413084185107</v>
      </c>
      <c r="H2954">
        <v>2</v>
      </c>
      <c r="I2954">
        <v>59</v>
      </c>
      <c r="K2954" t="s">
        <v>2386</v>
      </c>
      <c r="L2954">
        <v>20</v>
      </c>
      <c r="M2954" t="s">
        <v>3798</v>
      </c>
      <c r="N2954" t="s">
        <v>2388</v>
      </c>
      <c r="O2954">
        <v>1</v>
      </c>
    </row>
    <row r="2955" spans="2:15" x14ac:dyDescent="0.3">
      <c r="B2955">
        <v>3015</v>
      </c>
      <c r="D2955">
        <v>7</v>
      </c>
      <c r="E2955">
        <v>1520</v>
      </c>
      <c r="F2955">
        <v>1</v>
      </c>
      <c r="G2955">
        <v>33.8413084185107</v>
      </c>
      <c r="H2955">
        <v>2</v>
      </c>
      <c r="I2955">
        <v>59</v>
      </c>
      <c r="K2955" t="s">
        <v>2386</v>
      </c>
      <c r="L2955">
        <v>20</v>
      </c>
      <c r="M2955" t="s">
        <v>3799</v>
      </c>
      <c r="N2955" t="s">
        <v>2388</v>
      </c>
      <c r="O2955">
        <v>1</v>
      </c>
    </row>
    <row r="2956" spans="2:15" x14ac:dyDescent="0.3">
      <c r="B2956">
        <v>3016</v>
      </c>
      <c r="D2956">
        <v>1521</v>
      </c>
      <c r="E2956">
        <v>600</v>
      </c>
      <c r="F2956">
        <v>1</v>
      </c>
      <c r="G2956">
        <v>51.778159754084797</v>
      </c>
      <c r="H2956">
        <v>2</v>
      </c>
      <c r="I2956">
        <v>59</v>
      </c>
      <c r="K2956" t="s">
        <v>2386</v>
      </c>
      <c r="L2956">
        <v>20</v>
      </c>
      <c r="M2956" t="s">
        <v>3800</v>
      </c>
      <c r="N2956" t="s">
        <v>2388</v>
      </c>
      <c r="O2956">
        <v>1</v>
      </c>
    </row>
    <row r="2957" spans="2:15" x14ac:dyDescent="0.3">
      <c r="B2957">
        <v>3017</v>
      </c>
      <c r="D2957">
        <v>600</v>
      </c>
      <c r="E2957">
        <v>1521</v>
      </c>
      <c r="F2957">
        <v>1</v>
      </c>
      <c r="G2957">
        <v>51.778159754084797</v>
      </c>
      <c r="H2957">
        <v>2</v>
      </c>
      <c r="I2957">
        <v>59</v>
      </c>
      <c r="K2957" t="s">
        <v>2386</v>
      </c>
      <c r="L2957">
        <v>20</v>
      </c>
      <c r="M2957" t="s">
        <v>3801</v>
      </c>
      <c r="N2957" t="s">
        <v>2388</v>
      </c>
      <c r="O2957">
        <v>1</v>
      </c>
    </row>
    <row r="2958" spans="2:15" x14ac:dyDescent="0.3">
      <c r="B2958">
        <v>3018</v>
      </c>
      <c r="D2958">
        <v>1522</v>
      </c>
      <c r="E2958">
        <v>601</v>
      </c>
      <c r="F2958">
        <v>1</v>
      </c>
      <c r="G2958">
        <v>52.683467772906901</v>
      </c>
      <c r="H2958">
        <v>2</v>
      </c>
      <c r="I2958">
        <v>59</v>
      </c>
      <c r="K2958" t="s">
        <v>2386</v>
      </c>
      <c r="L2958">
        <v>20</v>
      </c>
      <c r="M2958" t="s">
        <v>3802</v>
      </c>
      <c r="N2958" t="s">
        <v>2388</v>
      </c>
      <c r="O2958">
        <v>1</v>
      </c>
    </row>
    <row r="2959" spans="2:15" x14ac:dyDescent="0.3">
      <c r="B2959">
        <v>3019</v>
      </c>
      <c r="D2959">
        <v>601</v>
      </c>
      <c r="E2959">
        <v>1522</v>
      </c>
      <c r="F2959">
        <v>1</v>
      </c>
      <c r="G2959">
        <v>52.683467772906901</v>
      </c>
      <c r="H2959">
        <v>2</v>
      </c>
      <c r="I2959">
        <v>59</v>
      </c>
      <c r="K2959" t="s">
        <v>2386</v>
      </c>
      <c r="L2959">
        <v>20</v>
      </c>
      <c r="M2959" t="s">
        <v>3803</v>
      </c>
      <c r="N2959" t="s">
        <v>2388</v>
      </c>
      <c r="O2959">
        <v>1</v>
      </c>
    </row>
    <row r="2960" spans="2:15" x14ac:dyDescent="0.3">
      <c r="B2960">
        <v>3020</v>
      </c>
      <c r="D2960">
        <v>1523</v>
      </c>
      <c r="E2960">
        <v>587</v>
      </c>
      <c r="F2960">
        <v>1</v>
      </c>
      <c r="G2960">
        <v>140.13135116955601</v>
      </c>
      <c r="H2960">
        <v>2</v>
      </c>
      <c r="I2960">
        <v>59</v>
      </c>
      <c r="K2960" t="s">
        <v>2386</v>
      </c>
      <c r="L2960">
        <v>20</v>
      </c>
      <c r="M2960" t="s">
        <v>3804</v>
      </c>
      <c r="N2960" t="s">
        <v>2388</v>
      </c>
      <c r="O2960">
        <v>1</v>
      </c>
    </row>
    <row r="2961" spans="2:15" x14ac:dyDescent="0.3">
      <c r="B2961">
        <v>3021</v>
      </c>
      <c r="D2961">
        <v>587</v>
      </c>
      <c r="E2961">
        <v>1523</v>
      </c>
      <c r="F2961">
        <v>1</v>
      </c>
      <c r="G2961">
        <v>140.13135116955601</v>
      </c>
      <c r="H2961">
        <v>2</v>
      </c>
      <c r="I2961">
        <v>59</v>
      </c>
      <c r="K2961" t="s">
        <v>2386</v>
      </c>
      <c r="L2961">
        <v>20</v>
      </c>
      <c r="M2961" t="s">
        <v>3805</v>
      </c>
      <c r="N2961" t="s">
        <v>2388</v>
      </c>
      <c r="O2961">
        <v>1</v>
      </c>
    </row>
    <row r="2962" spans="2:15" x14ac:dyDescent="0.3">
      <c r="B2962">
        <v>3022</v>
      </c>
      <c r="D2962">
        <v>1524</v>
      </c>
      <c r="E2962">
        <v>342</v>
      </c>
      <c r="F2962">
        <v>1</v>
      </c>
      <c r="G2962">
        <v>48.702258582509103</v>
      </c>
      <c r="H2962">
        <v>2</v>
      </c>
      <c r="I2962">
        <v>59</v>
      </c>
      <c r="K2962" t="s">
        <v>2386</v>
      </c>
      <c r="L2962">
        <v>20</v>
      </c>
      <c r="M2962" t="s">
        <v>3806</v>
      </c>
      <c r="N2962" t="s">
        <v>2388</v>
      </c>
      <c r="O2962">
        <v>1</v>
      </c>
    </row>
    <row r="2963" spans="2:15" x14ac:dyDescent="0.3">
      <c r="B2963">
        <v>3023</v>
      </c>
      <c r="D2963">
        <v>342</v>
      </c>
      <c r="E2963">
        <v>1524</v>
      </c>
      <c r="F2963">
        <v>1</v>
      </c>
      <c r="G2963">
        <v>48.702258582509103</v>
      </c>
      <c r="H2963">
        <v>2</v>
      </c>
      <c r="I2963">
        <v>59</v>
      </c>
      <c r="K2963" t="s">
        <v>2386</v>
      </c>
      <c r="L2963">
        <v>20</v>
      </c>
      <c r="M2963" t="s">
        <v>3807</v>
      </c>
      <c r="N2963" t="s">
        <v>2388</v>
      </c>
      <c r="O2963">
        <v>1</v>
      </c>
    </row>
    <row r="2964" spans="2:15" x14ac:dyDescent="0.3">
      <c r="B2964">
        <v>3024</v>
      </c>
      <c r="D2964">
        <v>1525</v>
      </c>
      <c r="E2964">
        <v>691</v>
      </c>
      <c r="F2964">
        <v>1</v>
      </c>
      <c r="G2964">
        <v>20.1200008095506</v>
      </c>
      <c r="H2964">
        <v>2</v>
      </c>
      <c r="I2964">
        <v>59</v>
      </c>
      <c r="K2964" t="s">
        <v>2386</v>
      </c>
      <c r="L2964">
        <v>20</v>
      </c>
      <c r="M2964" t="s">
        <v>3808</v>
      </c>
      <c r="N2964" t="s">
        <v>2388</v>
      </c>
      <c r="O2964">
        <v>1</v>
      </c>
    </row>
    <row r="2965" spans="2:15" x14ac:dyDescent="0.3">
      <c r="B2965">
        <v>3025</v>
      </c>
      <c r="D2965">
        <v>691</v>
      </c>
      <c r="E2965">
        <v>1525</v>
      </c>
      <c r="F2965">
        <v>1</v>
      </c>
      <c r="G2965">
        <v>20.1200008095506</v>
      </c>
      <c r="H2965">
        <v>2</v>
      </c>
      <c r="I2965">
        <v>59</v>
      </c>
      <c r="K2965" t="s">
        <v>2386</v>
      </c>
      <c r="L2965">
        <v>20</v>
      </c>
      <c r="M2965" t="s">
        <v>3809</v>
      </c>
      <c r="N2965" t="s">
        <v>2388</v>
      </c>
      <c r="O2965">
        <v>1</v>
      </c>
    </row>
    <row r="2966" spans="2:15" x14ac:dyDescent="0.3">
      <c r="B2966">
        <v>3026</v>
      </c>
      <c r="D2966">
        <v>1526</v>
      </c>
      <c r="E2966">
        <v>486</v>
      </c>
      <c r="F2966">
        <v>1</v>
      </c>
      <c r="G2966">
        <v>55.969146141124398</v>
      </c>
      <c r="H2966">
        <v>2</v>
      </c>
      <c r="I2966">
        <v>59</v>
      </c>
      <c r="K2966" t="s">
        <v>2386</v>
      </c>
      <c r="L2966">
        <v>20</v>
      </c>
      <c r="M2966" t="s">
        <v>3810</v>
      </c>
      <c r="N2966" t="s">
        <v>2388</v>
      </c>
      <c r="O2966">
        <v>1</v>
      </c>
    </row>
    <row r="2967" spans="2:15" x14ac:dyDescent="0.3">
      <c r="B2967">
        <v>3027</v>
      </c>
      <c r="D2967">
        <v>486</v>
      </c>
      <c r="E2967">
        <v>1526</v>
      </c>
      <c r="F2967">
        <v>1</v>
      </c>
      <c r="G2967">
        <v>55.969146141124398</v>
      </c>
      <c r="H2967">
        <v>2</v>
      </c>
      <c r="I2967">
        <v>59</v>
      </c>
      <c r="K2967" t="s">
        <v>2386</v>
      </c>
      <c r="L2967">
        <v>20</v>
      </c>
      <c r="M2967" t="s">
        <v>3811</v>
      </c>
      <c r="N2967" t="s">
        <v>2388</v>
      </c>
      <c r="O2967">
        <v>1</v>
      </c>
    </row>
    <row r="2968" spans="2:15" x14ac:dyDescent="0.3">
      <c r="B2968">
        <v>3028</v>
      </c>
      <c r="D2968">
        <v>1527</v>
      </c>
      <c r="E2968">
        <v>486</v>
      </c>
      <c r="F2968">
        <v>1</v>
      </c>
      <c r="G2968">
        <v>38.963923424779701</v>
      </c>
      <c r="H2968">
        <v>2</v>
      </c>
      <c r="I2968">
        <v>59</v>
      </c>
      <c r="K2968" t="s">
        <v>2386</v>
      </c>
      <c r="L2968">
        <v>20</v>
      </c>
      <c r="M2968" t="s">
        <v>3812</v>
      </c>
      <c r="N2968" t="s">
        <v>2388</v>
      </c>
      <c r="O2968">
        <v>1</v>
      </c>
    </row>
    <row r="2969" spans="2:15" x14ac:dyDescent="0.3">
      <c r="B2969">
        <v>3029</v>
      </c>
      <c r="D2969">
        <v>486</v>
      </c>
      <c r="E2969">
        <v>1527</v>
      </c>
      <c r="F2969">
        <v>1</v>
      </c>
      <c r="G2969">
        <v>38.963923424779701</v>
      </c>
      <c r="H2969">
        <v>2</v>
      </c>
      <c r="I2969">
        <v>59</v>
      </c>
      <c r="K2969" t="s">
        <v>2386</v>
      </c>
      <c r="L2969">
        <v>20</v>
      </c>
      <c r="M2969" t="s">
        <v>3813</v>
      </c>
      <c r="N2969" t="s">
        <v>2388</v>
      </c>
      <c r="O2969">
        <v>1</v>
      </c>
    </row>
    <row r="2970" spans="2:15" x14ac:dyDescent="0.3">
      <c r="B2970">
        <v>3030</v>
      </c>
      <c r="D2970">
        <v>1528</v>
      </c>
      <c r="E2970">
        <v>614</v>
      </c>
      <c r="F2970">
        <v>1</v>
      </c>
      <c r="G2970">
        <v>11.4278770698443</v>
      </c>
      <c r="H2970">
        <v>2</v>
      </c>
      <c r="I2970">
        <v>59</v>
      </c>
      <c r="K2970" t="s">
        <v>2386</v>
      </c>
      <c r="L2970">
        <v>20</v>
      </c>
      <c r="M2970" t="s">
        <v>3814</v>
      </c>
      <c r="N2970" t="s">
        <v>2388</v>
      </c>
      <c r="O2970">
        <v>1</v>
      </c>
    </row>
    <row r="2971" spans="2:15" x14ac:dyDescent="0.3">
      <c r="B2971">
        <v>3031</v>
      </c>
      <c r="D2971">
        <v>614</v>
      </c>
      <c r="E2971">
        <v>1528</v>
      </c>
      <c r="F2971">
        <v>1</v>
      </c>
      <c r="G2971">
        <v>11.4278770698443</v>
      </c>
      <c r="H2971">
        <v>2</v>
      </c>
      <c r="I2971">
        <v>59</v>
      </c>
      <c r="K2971" t="s">
        <v>2386</v>
      </c>
      <c r="L2971">
        <v>20</v>
      </c>
      <c r="M2971" t="s">
        <v>3815</v>
      </c>
      <c r="N2971" t="s">
        <v>2388</v>
      </c>
      <c r="O2971">
        <v>1</v>
      </c>
    </row>
    <row r="2972" spans="2:15" x14ac:dyDescent="0.3">
      <c r="B2972">
        <v>3032</v>
      </c>
      <c r="D2972">
        <v>1529</v>
      </c>
      <c r="E2972">
        <v>691</v>
      </c>
      <c r="F2972">
        <v>1</v>
      </c>
      <c r="G2972">
        <v>34.767725056776101</v>
      </c>
      <c r="H2972">
        <v>2</v>
      </c>
      <c r="I2972">
        <v>59</v>
      </c>
      <c r="K2972" t="s">
        <v>2386</v>
      </c>
      <c r="L2972">
        <v>20</v>
      </c>
      <c r="M2972" t="s">
        <v>3816</v>
      </c>
      <c r="N2972" t="s">
        <v>2388</v>
      </c>
      <c r="O2972">
        <v>1</v>
      </c>
    </row>
    <row r="2973" spans="2:15" x14ac:dyDescent="0.3">
      <c r="B2973">
        <v>3033</v>
      </c>
      <c r="D2973">
        <v>691</v>
      </c>
      <c r="E2973">
        <v>1529</v>
      </c>
      <c r="F2973">
        <v>1</v>
      </c>
      <c r="G2973">
        <v>34.767725056776101</v>
      </c>
      <c r="H2973">
        <v>2</v>
      </c>
      <c r="I2973">
        <v>59</v>
      </c>
      <c r="K2973" t="s">
        <v>2386</v>
      </c>
      <c r="L2973">
        <v>20</v>
      </c>
      <c r="M2973" t="s">
        <v>3817</v>
      </c>
      <c r="N2973" t="s">
        <v>2388</v>
      </c>
      <c r="O2973">
        <v>1</v>
      </c>
    </row>
    <row r="2974" spans="2:15" x14ac:dyDescent="0.3">
      <c r="B2974">
        <v>3034</v>
      </c>
      <c r="D2974">
        <v>1530</v>
      </c>
      <c r="E2974">
        <v>709</v>
      </c>
      <c r="F2974">
        <v>1</v>
      </c>
      <c r="G2974">
        <v>29.520213939956601</v>
      </c>
      <c r="H2974">
        <v>2</v>
      </c>
      <c r="I2974">
        <v>59</v>
      </c>
      <c r="K2974" t="s">
        <v>2386</v>
      </c>
      <c r="L2974">
        <v>20</v>
      </c>
      <c r="M2974" t="s">
        <v>3818</v>
      </c>
      <c r="N2974" t="s">
        <v>2388</v>
      </c>
      <c r="O2974">
        <v>1</v>
      </c>
    </row>
    <row r="2975" spans="2:15" x14ac:dyDescent="0.3">
      <c r="B2975">
        <v>3035</v>
      </c>
      <c r="D2975">
        <v>709</v>
      </c>
      <c r="E2975">
        <v>1530</v>
      </c>
      <c r="F2975">
        <v>1</v>
      </c>
      <c r="G2975">
        <v>29.520213939956601</v>
      </c>
      <c r="H2975">
        <v>2</v>
      </c>
      <c r="I2975">
        <v>59</v>
      </c>
      <c r="K2975" t="s">
        <v>2386</v>
      </c>
      <c r="L2975">
        <v>20</v>
      </c>
      <c r="M2975" t="s">
        <v>3819</v>
      </c>
      <c r="N2975" t="s">
        <v>2388</v>
      </c>
      <c r="O2975">
        <v>1</v>
      </c>
    </row>
    <row r="2976" spans="2:15" x14ac:dyDescent="0.3">
      <c r="B2976">
        <v>3036</v>
      </c>
      <c r="D2976">
        <v>1531</v>
      </c>
      <c r="E2976">
        <v>709</v>
      </c>
      <c r="F2976">
        <v>1</v>
      </c>
      <c r="G2976">
        <v>22.412456332441401</v>
      </c>
      <c r="H2976">
        <v>2</v>
      </c>
      <c r="I2976">
        <v>59</v>
      </c>
      <c r="K2976" t="s">
        <v>2386</v>
      </c>
      <c r="L2976">
        <v>20</v>
      </c>
      <c r="M2976" t="s">
        <v>3820</v>
      </c>
      <c r="N2976" t="s">
        <v>2388</v>
      </c>
      <c r="O2976">
        <v>1</v>
      </c>
    </row>
    <row r="2977" spans="2:15" x14ac:dyDescent="0.3">
      <c r="B2977">
        <v>3037</v>
      </c>
      <c r="D2977">
        <v>709</v>
      </c>
      <c r="E2977">
        <v>1531</v>
      </c>
      <c r="F2977">
        <v>1</v>
      </c>
      <c r="G2977">
        <v>22.412456332441401</v>
      </c>
      <c r="H2977">
        <v>2</v>
      </c>
      <c r="I2977">
        <v>59</v>
      </c>
      <c r="K2977" t="s">
        <v>2386</v>
      </c>
      <c r="L2977">
        <v>20</v>
      </c>
      <c r="M2977" t="s">
        <v>3821</v>
      </c>
      <c r="N2977" t="s">
        <v>2388</v>
      </c>
      <c r="O2977">
        <v>1</v>
      </c>
    </row>
    <row r="2978" spans="2:15" x14ac:dyDescent="0.3">
      <c r="B2978">
        <v>3038</v>
      </c>
      <c r="D2978">
        <v>1532</v>
      </c>
      <c r="E2978">
        <v>581</v>
      </c>
      <c r="F2978">
        <v>1</v>
      </c>
      <c r="G2978">
        <v>30.0774172825897</v>
      </c>
      <c r="H2978">
        <v>2</v>
      </c>
      <c r="I2978">
        <v>59</v>
      </c>
      <c r="K2978" t="s">
        <v>2386</v>
      </c>
      <c r="L2978">
        <v>20</v>
      </c>
      <c r="M2978" t="s">
        <v>3822</v>
      </c>
      <c r="N2978" t="s">
        <v>2388</v>
      </c>
      <c r="O2978">
        <v>1</v>
      </c>
    </row>
    <row r="2979" spans="2:15" x14ac:dyDescent="0.3">
      <c r="B2979">
        <v>3039</v>
      </c>
      <c r="D2979">
        <v>581</v>
      </c>
      <c r="E2979">
        <v>1532</v>
      </c>
      <c r="F2979">
        <v>1</v>
      </c>
      <c r="G2979">
        <v>30.0774172825897</v>
      </c>
      <c r="H2979">
        <v>2</v>
      </c>
      <c r="I2979">
        <v>59</v>
      </c>
      <c r="K2979" t="s">
        <v>2386</v>
      </c>
      <c r="L2979">
        <v>20</v>
      </c>
      <c r="M2979" t="s">
        <v>3823</v>
      </c>
      <c r="N2979" t="s">
        <v>2388</v>
      </c>
      <c r="O2979">
        <v>1</v>
      </c>
    </row>
    <row r="2980" spans="2:15" x14ac:dyDescent="0.3">
      <c r="B2980">
        <v>3040</v>
      </c>
      <c r="D2980">
        <v>1533</v>
      </c>
      <c r="E2980">
        <v>427</v>
      </c>
      <c r="F2980">
        <v>1</v>
      </c>
      <c r="G2980">
        <v>35.322928740371601</v>
      </c>
      <c r="H2980">
        <v>2</v>
      </c>
      <c r="I2980">
        <v>59</v>
      </c>
      <c r="K2980" t="s">
        <v>2386</v>
      </c>
      <c r="L2980">
        <v>20</v>
      </c>
      <c r="M2980" t="s">
        <v>3824</v>
      </c>
      <c r="N2980" t="s">
        <v>2388</v>
      </c>
      <c r="O2980">
        <v>1</v>
      </c>
    </row>
    <row r="2981" spans="2:15" x14ac:dyDescent="0.3">
      <c r="B2981">
        <v>3041</v>
      </c>
      <c r="D2981">
        <v>427</v>
      </c>
      <c r="E2981">
        <v>1533</v>
      </c>
      <c r="F2981">
        <v>1</v>
      </c>
      <c r="G2981">
        <v>35.322928740371601</v>
      </c>
      <c r="H2981">
        <v>2</v>
      </c>
      <c r="I2981">
        <v>59</v>
      </c>
      <c r="K2981" t="s">
        <v>2386</v>
      </c>
      <c r="L2981">
        <v>20</v>
      </c>
      <c r="M2981" t="s">
        <v>3825</v>
      </c>
      <c r="N2981" t="s">
        <v>2388</v>
      </c>
      <c r="O2981">
        <v>1</v>
      </c>
    </row>
    <row r="2982" spans="2:15" x14ac:dyDescent="0.3">
      <c r="B2982">
        <v>3042</v>
      </c>
      <c r="D2982">
        <v>1534</v>
      </c>
      <c r="E2982">
        <v>709</v>
      </c>
      <c r="F2982">
        <v>1</v>
      </c>
      <c r="G2982">
        <v>81.765864813180798</v>
      </c>
      <c r="H2982">
        <v>2</v>
      </c>
      <c r="I2982">
        <v>59</v>
      </c>
      <c r="K2982" t="s">
        <v>2386</v>
      </c>
      <c r="L2982">
        <v>20</v>
      </c>
      <c r="M2982" t="s">
        <v>3826</v>
      </c>
      <c r="N2982" t="s">
        <v>2388</v>
      </c>
      <c r="O2982">
        <v>1</v>
      </c>
    </row>
    <row r="2983" spans="2:15" x14ac:dyDescent="0.3">
      <c r="B2983">
        <v>3043</v>
      </c>
      <c r="D2983">
        <v>709</v>
      </c>
      <c r="E2983">
        <v>1534</v>
      </c>
      <c r="F2983">
        <v>1</v>
      </c>
      <c r="G2983">
        <v>81.765864813180798</v>
      </c>
      <c r="H2983">
        <v>2</v>
      </c>
      <c r="I2983">
        <v>59</v>
      </c>
      <c r="K2983" t="s">
        <v>2386</v>
      </c>
      <c r="L2983">
        <v>20</v>
      </c>
      <c r="M2983" t="s">
        <v>3827</v>
      </c>
      <c r="N2983" t="s">
        <v>2388</v>
      </c>
      <c r="O2983">
        <v>1</v>
      </c>
    </row>
    <row r="2984" spans="2:15" x14ac:dyDescent="0.3">
      <c r="B2984">
        <v>3044</v>
      </c>
      <c r="D2984">
        <v>1535</v>
      </c>
      <c r="E2984">
        <v>709</v>
      </c>
      <c r="F2984">
        <v>1</v>
      </c>
      <c r="G2984">
        <v>89.108883017381501</v>
      </c>
      <c r="H2984">
        <v>2</v>
      </c>
      <c r="I2984">
        <v>59</v>
      </c>
      <c r="K2984" t="s">
        <v>2386</v>
      </c>
      <c r="L2984">
        <v>20</v>
      </c>
      <c r="M2984" t="s">
        <v>3828</v>
      </c>
      <c r="N2984" t="s">
        <v>2388</v>
      </c>
      <c r="O2984">
        <v>1</v>
      </c>
    </row>
    <row r="2985" spans="2:15" x14ac:dyDescent="0.3">
      <c r="B2985">
        <v>3045</v>
      </c>
      <c r="D2985">
        <v>709</v>
      </c>
      <c r="E2985">
        <v>1535</v>
      </c>
      <c r="F2985">
        <v>1</v>
      </c>
      <c r="G2985">
        <v>89.108883017381501</v>
      </c>
      <c r="H2985">
        <v>2</v>
      </c>
      <c r="I2985">
        <v>59</v>
      </c>
      <c r="K2985" t="s">
        <v>2386</v>
      </c>
      <c r="L2985">
        <v>20</v>
      </c>
      <c r="M2985" t="s">
        <v>3829</v>
      </c>
      <c r="N2985" t="s">
        <v>2388</v>
      </c>
      <c r="O2985">
        <v>1</v>
      </c>
    </row>
    <row r="2986" spans="2:15" x14ac:dyDescent="0.3">
      <c r="B2986">
        <v>3046</v>
      </c>
      <c r="D2986">
        <v>1536</v>
      </c>
      <c r="E2986">
        <v>709</v>
      </c>
      <c r="F2986">
        <v>1</v>
      </c>
      <c r="G2986">
        <v>58.098642174122197</v>
      </c>
      <c r="H2986">
        <v>2</v>
      </c>
      <c r="I2986">
        <v>59</v>
      </c>
      <c r="K2986" t="s">
        <v>2386</v>
      </c>
      <c r="L2986">
        <v>20</v>
      </c>
      <c r="M2986" t="s">
        <v>3830</v>
      </c>
      <c r="N2986" t="s">
        <v>2388</v>
      </c>
      <c r="O2986">
        <v>1</v>
      </c>
    </row>
    <row r="2987" spans="2:15" x14ac:dyDescent="0.3">
      <c r="B2987">
        <v>3047</v>
      </c>
      <c r="D2987">
        <v>709</v>
      </c>
      <c r="E2987">
        <v>1536</v>
      </c>
      <c r="F2987">
        <v>1</v>
      </c>
      <c r="G2987">
        <v>58.098642174122197</v>
      </c>
      <c r="H2987">
        <v>2</v>
      </c>
      <c r="I2987">
        <v>59</v>
      </c>
      <c r="K2987" t="s">
        <v>2386</v>
      </c>
      <c r="L2987">
        <v>20</v>
      </c>
      <c r="M2987" t="s">
        <v>3831</v>
      </c>
      <c r="N2987" t="s">
        <v>2388</v>
      </c>
      <c r="O2987">
        <v>1</v>
      </c>
    </row>
    <row r="2988" spans="2:15" x14ac:dyDescent="0.3">
      <c r="B2988">
        <v>3048</v>
      </c>
      <c r="D2988">
        <v>1537</v>
      </c>
      <c r="E2988">
        <v>709</v>
      </c>
      <c r="F2988">
        <v>1</v>
      </c>
      <c r="G2988">
        <v>63.665466192786297</v>
      </c>
      <c r="H2988">
        <v>2</v>
      </c>
      <c r="I2988">
        <v>59</v>
      </c>
      <c r="K2988" t="s">
        <v>2386</v>
      </c>
      <c r="L2988">
        <v>20</v>
      </c>
      <c r="M2988" t="s">
        <v>3832</v>
      </c>
      <c r="N2988" t="s">
        <v>2388</v>
      </c>
      <c r="O2988">
        <v>1</v>
      </c>
    </row>
    <row r="2989" spans="2:15" x14ac:dyDescent="0.3">
      <c r="B2989">
        <v>3049</v>
      </c>
      <c r="D2989">
        <v>709</v>
      </c>
      <c r="E2989">
        <v>1537</v>
      </c>
      <c r="F2989">
        <v>1</v>
      </c>
      <c r="G2989">
        <v>63.665466192786297</v>
      </c>
      <c r="H2989">
        <v>2</v>
      </c>
      <c r="I2989">
        <v>59</v>
      </c>
      <c r="K2989" t="s">
        <v>2386</v>
      </c>
      <c r="L2989">
        <v>20</v>
      </c>
      <c r="M2989" t="s">
        <v>3833</v>
      </c>
      <c r="N2989" t="s">
        <v>2388</v>
      </c>
      <c r="O2989">
        <v>1</v>
      </c>
    </row>
    <row r="2990" spans="2:15" x14ac:dyDescent="0.3">
      <c r="B2990">
        <v>3050</v>
      </c>
      <c r="D2990">
        <v>1538</v>
      </c>
      <c r="E2990">
        <v>709</v>
      </c>
      <c r="F2990">
        <v>1</v>
      </c>
      <c r="G2990">
        <v>89.234094063260699</v>
      </c>
      <c r="H2990">
        <v>2</v>
      </c>
      <c r="I2990">
        <v>59</v>
      </c>
      <c r="K2990" t="s">
        <v>2386</v>
      </c>
      <c r="L2990">
        <v>20</v>
      </c>
      <c r="M2990" t="s">
        <v>3834</v>
      </c>
      <c r="N2990" t="s">
        <v>2388</v>
      </c>
      <c r="O2990">
        <v>1</v>
      </c>
    </row>
    <row r="2991" spans="2:15" x14ac:dyDescent="0.3">
      <c r="B2991">
        <v>3051</v>
      </c>
      <c r="D2991">
        <v>709</v>
      </c>
      <c r="E2991">
        <v>1538</v>
      </c>
      <c r="F2991">
        <v>1</v>
      </c>
      <c r="G2991">
        <v>89.234094063260699</v>
      </c>
      <c r="H2991">
        <v>2</v>
      </c>
      <c r="I2991">
        <v>59</v>
      </c>
      <c r="K2991" t="s">
        <v>2386</v>
      </c>
      <c r="L2991">
        <v>20</v>
      </c>
      <c r="M2991" t="s">
        <v>3835</v>
      </c>
      <c r="N2991" t="s">
        <v>2388</v>
      </c>
      <c r="O2991">
        <v>1</v>
      </c>
    </row>
    <row r="2992" spans="2:15" x14ac:dyDescent="0.3">
      <c r="B2992">
        <v>3052</v>
      </c>
      <c r="D2992">
        <v>1539</v>
      </c>
      <c r="E2992">
        <v>709</v>
      </c>
      <c r="F2992">
        <v>1</v>
      </c>
      <c r="G2992">
        <v>84.047998558880593</v>
      </c>
      <c r="H2992">
        <v>2</v>
      </c>
      <c r="I2992">
        <v>59</v>
      </c>
      <c r="K2992" t="s">
        <v>2386</v>
      </c>
      <c r="L2992">
        <v>20</v>
      </c>
      <c r="M2992" t="s">
        <v>3836</v>
      </c>
      <c r="N2992" t="s">
        <v>2388</v>
      </c>
      <c r="O2992">
        <v>1</v>
      </c>
    </row>
    <row r="2993" spans="2:15" x14ac:dyDescent="0.3">
      <c r="B2993">
        <v>3053</v>
      </c>
      <c r="D2993">
        <v>709</v>
      </c>
      <c r="E2993">
        <v>1539</v>
      </c>
      <c r="F2993">
        <v>1</v>
      </c>
      <c r="G2993">
        <v>84.047998558880593</v>
      </c>
      <c r="H2993">
        <v>2</v>
      </c>
      <c r="I2993">
        <v>59</v>
      </c>
      <c r="K2993" t="s">
        <v>2386</v>
      </c>
      <c r="L2993">
        <v>20</v>
      </c>
      <c r="M2993" t="s">
        <v>3837</v>
      </c>
      <c r="N2993" t="s">
        <v>2388</v>
      </c>
      <c r="O2993">
        <v>1</v>
      </c>
    </row>
    <row r="2994" spans="2:15" x14ac:dyDescent="0.3">
      <c r="B2994">
        <v>3054</v>
      </c>
      <c r="D2994">
        <v>1540</v>
      </c>
      <c r="E2994">
        <v>709</v>
      </c>
      <c r="F2994">
        <v>1</v>
      </c>
      <c r="G2994">
        <v>104.82511903026899</v>
      </c>
      <c r="H2994">
        <v>2</v>
      </c>
      <c r="I2994">
        <v>59</v>
      </c>
      <c r="K2994" t="s">
        <v>2386</v>
      </c>
      <c r="L2994">
        <v>20</v>
      </c>
      <c r="M2994" t="s">
        <v>3838</v>
      </c>
      <c r="N2994" t="s">
        <v>2388</v>
      </c>
      <c r="O2994">
        <v>1</v>
      </c>
    </row>
    <row r="2995" spans="2:15" x14ac:dyDescent="0.3">
      <c r="B2995">
        <v>3055</v>
      </c>
      <c r="D2995">
        <v>709</v>
      </c>
      <c r="E2995">
        <v>1540</v>
      </c>
      <c r="F2995">
        <v>1</v>
      </c>
      <c r="G2995">
        <v>104.82511903026899</v>
      </c>
      <c r="H2995">
        <v>2</v>
      </c>
      <c r="I2995">
        <v>59</v>
      </c>
      <c r="K2995" t="s">
        <v>2386</v>
      </c>
      <c r="L2995">
        <v>20</v>
      </c>
      <c r="M2995" t="s">
        <v>3839</v>
      </c>
      <c r="N2995" t="s">
        <v>2388</v>
      </c>
      <c r="O2995">
        <v>1</v>
      </c>
    </row>
    <row r="2996" spans="2:15" x14ac:dyDescent="0.3">
      <c r="B2996">
        <v>3056</v>
      </c>
      <c r="D2996">
        <v>1541</v>
      </c>
      <c r="E2996">
        <v>709</v>
      </c>
      <c r="F2996">
        <v>1</v>
      </c>
      <c r="G2996">
        <v>66.199360029723096</v>
      </c>
      <c r="H2996">
        <v>2</v>
      </c>
      <c r="I2996">
        <v>59</v>
      </c>
      <c r="K2996" t="s">
        <v>2386</v>
      </c>
      <c r="L2996">
        <v>20</v>
      </c>
      <c r="M2996" t="s">
        <v>3840</v>
      </c>
      <c r="N2996" t="s">
        <v>2388</v>
      </c>
      <c r="O2996">
        <v>1</v>
      </c>
    </row>
    <row r="2997" spans="2:15" x14ac:dyDescent="0.3">
      <c r="B2997">
        <v>3057</v>
      </c>
      <c r="D2997">
        <v>709</v>
      </c>
      <c r="E2997">
        <v>1541</v>
      </c>
      <c r="F2997">
        <v>1</v>
      </c>
      <c r="G2997">
        <v>66.199360029723096</v>
      </c>
      <c r="H2997">
        <v>2</v>
      </c>
      <c r="I2997">
        <v>59</v>
      </c>
      <c r="K2997" t="s">
        <v>2386</v>
      </c>
      <c r="L2997">
        <v>20</v>
      </c>
      <c r="M2997" t="s">
        <v>3841</v>
      </c>
      <c r="N2997" t="s">
        <v>2388</v>
      </c>
      <c r="O2997">
        <v>1</v>
      </c>
    </row>
    <row r="2998" spans="2:15" x14ac:dyDescent="0.3">
      <c r="B2998">
        <v>3058</v>
      </c>
      <c r="D2998">
        <v>1542</v>
      </c>
      <c r="E2998">
        <v>572</v>
      </c>
      <c r="F2998">
        <v>1</v>
      </c>
      <c r="G2998">
        <v>22.9072707927122</v>
      </c>
      <c r="H2998">
        <v>2</v>
      </c>
      <c r="I2998">
        <v>59</v>
      </c>
      <c r="K2998" t="s">
        <v>2386</v>
      </c>
      <c r="L2998">
        <v>20</v>
      </c>
      <c r="M2998" t="s">
        <v>3842</v>
      </c>
      <c r="N2998" t="s">
        <v>2388</v>
      </c>
      <c r="O2998">
        <v>1</v>
      </c>
    </row>
    <row r="2999" spans="2:15" x14ac:dyDescent="0.3">
      <c r="B2999">
        <v>3059</v>
      </c>
      <c r="D2999">
        <v>572</v>
      </c>
      <c r="E2999">
        <v>1542</v>
      </c>
      <c r="F2999">
        <v>1</v>
      </c>
      <c r="G2999">
        <v>22.9072707927122</v>
      </c>
      <c r="H2999">
        <v>2</v>
      </c>
      <c r="I2999">
        <v>59</v>
      </c>
      <c r="K2999" t="s">
        <v>2386</v>
      </c>
      <c r="L2999">
        <v>20</v>
      </c>
      <c r="M2999" t="s">
        <v>3843</v>
      </c>
      <c r="N2999" t="s">
        <v>2388</v>
      </c>
      <c r="O2999">
        <v>1</v>
      </c>
    </row>
    <row r="3000" spans="2:15" x14ac:dyDescent="0.3">
      <c r="B3000">
        <v>3060</v>
      </c>
      <c r="D3000">
        <v>1543</v>
      </c>
      <c r="E3000">
        <v>560</v>
      </c>
      <c r="F3000">
        <v>1</v>
      </c>
      <c r="G3000">
        <v>37.0196836327857</v>
      </c>
      <c r="H3000">
        <v>2</v>
      </c>
      <c r="I3000">
        <v>59</v>
      </c>
      <c r="K3000" t="s">
        <v>2386</v>
      </c>
      <c r="L3000">
        <v>20</v>
      </c>
      <c r="M3000" t="s">
        <v>3844</v>
      </c>
      <c r="N3000" t="s">
        <v>2388</v>
      </c>
      <c r="O3000">
        <v>1</v>
      </c>
    </row>
    <row r="3001" spans="2:15" x14ac:dyDescent="0.3">
      <c r="B3001">
        <v>3061</v>
      </c>
      <c r="D3001">
        <v>560</v>
      </c>
      <c r="E3001">
        <v>1543</v>
      </c>
      <c r="F3001">
        <v>1</v>
      </c>
      <c r="G3001">
        <v>37.0196836327857</v>
      </c>
      <c r="H3001">
        <v>2</v>
      </c>
      <c r="I3001">
        <v>59</v>
      </c>
      <c r="K3001" t="s">
        <v>2386</v>
      </c>
      <c r="L3001">
        <v>20</v>
      </c>
      <c r="M3001" t="s">
        <v>3845</v>
      </c>
      <c r="N3001" t="s">
        <v>2388</v>
      </c>
      <c r="O3001">
        <v>1</v>
      </c>
    </row>
    <row r="3002" spans="2:15" x14ac:dyDescent="0.3">
      <c r="B3002">
        <v>3062</v>
      </c>
      <c r="D3002">
        <v>1544</v>
      </c>
      <c r="E3002">
        <v>429</v>
      </c>
      <c r="F3002">
        <v>1</v>
      </c>
      <c r="G3002">
        <v>40.336107775729801</v>
      </c>
      <c r="H3002">
        <v>2</v>
      </c>
      <c r="I3002">
        <v>59</v>
      </c>
      <c r="K3002" t="s">
        <v>2386</v>
      </c>
      <c r="L3002">
        <v>20</v>
      </c>
      <c r="M3002" t="s">
        <v>3846</v>
      </c>
      <c r="N3002" t="s">
        <v>2388</v>
      </c>
      <c r="O3002">
        <v>1</v>
      </c>
    </row>
    <row r="3003" spans="2:15" x14ac:dyDescent="0.3">
      <c r="B3003">
        <v>3063</v>
      </c>
      <c r="D3003">
        <v>429</v>
      </c>
      <c r="E3003">
        <v>1544</v>
      </c>
      <c r="F3003">
        <v>1</v>
      </c>
      <c r="G3003">
        <v>40.336107775729801</v>
      </c>
      <c r="H3003">
        <v>2</v>
      </c>
      <c r="I3003">
        <v>59</v>
      </c>
      <c r="K3003" t="s">
        <v>2386</v>
      </c>
      <c r="L3003">
        <v>20</v>
      </c>
      <c r="M3003" t="s">
        <v>3847</v>
      </c>
      <c r="N3003" t="s">
        <v>2388</v>
      </c>
      <c r="O3003">
        <v>1</v>
      </c>
    </row>
    <row r="3004" spans="2:15" x14ac:dyDescent="0.3">
      <c r="B3004">
        <v>3064</v>
      </c>
      <c r="D3004">
        <v>1545</v>
      </c>
      <c r="E3004">
        <v>559</v>
      </c>
      <c r="F3004">
        <v>1</v>
      </c>
      <c r="G3004">
        <v>47.0968862162146</v>
      </c>
      <c r="H3004">
        <v>2</v>
      </c>
      <c r="I3004">
        <v>59</v>
      </c>
      <c r="K3004" t="s">
        <v>2386</v>
      </c>
      <c r="L3004">
        <v>20</v>
      </c>
      <c r="M3004" t="s">
        <v>3848</v>
      </c>
      <c r="N3004" t="s">
        <v>2388</v>
      </c>
      <c r="O3004">
        <v>1</v>
      </c>
    </row>
    <row r="3005" spans="2:15" x14ac:dyDescent="0.3">
      <c r="B3005">
        <v>3065</v>
      </c>
      <c r="D3005">
        <v>559</v>
      </c>
      <c r="E3005">
        <v>1545</v>
      </c>
      <c r="F3005">
        <v>1</v>
      </c>
      <c r="G3005">
        <v>47.0968862162146</v>
      </c>
      <c r="H3005">
        <v>2</v>
      </c>
      <c r="I3005">
        <v>59</v>
      </c>
      <c r="K3005" t="s">
        <v>2386</v>
      </c>
      <c r="L3005">
        <v>20</v>
      </c>
      <c r="M3005" t="s">
        <v>3849</v>
      </c>
      <c r="N3005" t="s">
        <v>2388</v>
      </c>
      <c r="O3005">
        <v>1</v>
      </c>
    </row>
    <row r="3006" spans="2:15" x14ac:dyDescent="0.3">
      <c r="B3006">
        <v>3066</v>
      </c>
      <c r="D3006">
        <v>1546</v>
      </c>
      <c r="E3006">
        <v>763</v>
      </c>
      <c r="F3006">
        <v>1</v>
      </c>
      <c r="G3006">
        <v>65.937605446709497</v>
      </c>
      <c r="H3006">
        <v>2</v>
      </c>
      <c r="I3006">
        <v>59</v>
      </c>
      <c r="K3006" t="s">
        <v>2386</v>
      </c>
      <c r="L3006">
        <v>20</v>
      </c>
      <c r="M3006" t="s">
        <v>3850</v>
      </c>
      <c r="N3006" t="s">
        <v>2388</v>
      </c>
      <c r="O3006">
        <v>1</v>
      </c>
    </row>
    <row r="3007" spans="2:15" x14ac:dyDescent="0.3">
      <c r="B3007">
        <v>3067</v>
      </c>
      <c r="D3007">
        <v>763</v>
      </c>
      <c r="E3007">
        <v>1546</v>
      </c>
      <c r="F3007">
        <v>1</v>
      </c>
      <c r="G3007">
        <v>65.937605446709497</v>
      </c>
      <c r="H3007">
        <v>2</v>
      </c>
      <c r="I3007">
        <v>59</v>
      </c>
      <c r="K3007" t="s">
        <v>2386</v>
      </c>
      <c r="L3007">
        <v>20</v>
      </c>
      <c r="M3007" t="s">
        <v>3851</v>
      </c>
      <c r="N3007" t="s">
        <v>2388</v>
      </c>
      <c r="O3007">
        <v>1</v>
      </c>
    </row>
    <row r="3008" spans="2:15" x14ac:dyDescent="0.3">
      <c r="B3008">
        <v>3068</v>
      </c>
      <c r="D3008">
        <v>1547</v>
      </c>
      <c r="E3008">
        <v>620</v>
      </c>
      <c r="F3008">
        <v>1</v>
      </c>
      <c r="G3008">
        <v>36.717662300791801</v>
      </c>
      <c r="H3008">
        <v>2</v>
      </c>
      <c r="I3008">
        <v>59</v>
      </c>
      <c r="K3008" t="s">
        <v>2386</v>
      </c>
      <c r="L3008">
        <v>20</v>
      </c>
      <c r="M3008" t="s">
        <v>3852</v>
      </c>
      <c r="N3008" t="s">
        <v>2388</v>
      </c>
      <c r="O3008">
        <v>1</v>
      </c>
    </row>
    <row r="3009" spans="2:15" x14ac:dyDescent="0.3">
      <c r="B3009">
        <v>3069</v>
      </c>
      <c r="D3009">
        <v>620</v>
      </c>
      <c r="E3009">
        <v>1547</v>
      </c>
      <c r="F3009">
        <v>1</v>
      </c>
      <c r="G3009">
        <v>36.717662300791801</v>
      </c>
      <c r="H3009">
        <v>2</v>
      </c>
      <c r="I3009">
        <v>59</v>
      </c>
      <c r="K3009" t="s">
        <v>2386</v>
      </c>
      <c r="L3009">
        <v>20</v>
      </c>
      <c r="M3009" t="s">
        <v>3853</v>
      </c>
      <c r="N3009" t="s">
        <v>2388</v>
      </c>
      <c r="O3009">
        <v>1</v>
      </c>
    </row>
    <row r="3010" spans="2:15" x14ac:dyDescent="0.3">
      <c r="B3010">
        <v>3070</v>
      </c>
      <c r="D3010">
        <v>1548</v>
      </c>
      <c r="E3010">
        <v>433</v>
      </c>
      <c r="F3010">
        <v>1</v>
      </c>
      <c r="G3010">
        <v>39.989324069994701</v>
      </c>
      <c r="H3010">
        <v>2</v>
      </c>
      <c r="I3010">
        <v>59</v>
      </c>
      <c r="K3010" t="s">
        <v>2386</v>
      </c>
      <c r="L3010">
        <v>20</v>
      </c>
      <c r="M3010" t="s">
        <v>3854</v>
      </c>
      <c r="N3010" t="s">
        <v>2388</v>
      </c>
      <c r="O3010">
        <v>1</v>
      </c>
    </row>
    <row r="3011" spans="2:15" x14ac:dyDescent="0.3">
      <c r="B3011">
        <v>3071</v>
      </c>
      <c r="D3011">
        <v>433</v>
      </c>
      <c r="E3011">
        <v>1548</v>
      </c>
      <c r="F3011">
        <v>1</v>
      </c>
      <c r="G3011">
        <v>39.989324069994701</v>
      </c>
      <c r="H3011">
        <v>2</v>
      </c>
      <c r="I3011">
        <v>59</v>
      </c>
      <c r="K3011" t="s">
        <v>2386</v>
      </c>
      <c r="L3011">
        <v>20</v>
      </c>
      <c r="M3011" t="s">
        <v>3855</v>
      </c>
      <c r="N3011" t="s">
        <v>2388</v>
      </c>
      <c r="O3011">
        <v>1</v>
      </c>
    </row>
    <row r="3012" spans="2:15" x14ac:dyDescent="0.3">
      <c r="B3012">
        <v>3072</v>
      </c>
      <c r="D3012">
        <v>1549</v>
      </c>
      <c r="E3012">
        <v>576</v>
      </c>
      <c r="F3012">
        <v>1</v>
      </c>
      <c r="G3012">
        <v>94.335456788649196</v>
      </c>
      <c r="H3012">
        <v>2</v>
      </c>
      <c r="I3012">
        <v>59</v>
      </c>
      <c r="K3012" t="s">
        <v>2386</v>
      </c>
      <c r="L3012">
        <v>20</v>
      </c>
      <c r="M3012" t="s">
        <v>3856</v>
      </c>
      <c r="N3012" t="s">
        <v>2388</v>
      </c>
      <c r="O3012">
        <v>1</v>
      </c>
    </row>
    <row r="3013" spans="2:15" x14ac:dyDescent="0.3">
      <c r="B3013">
        <v>3073</v>
      </c>
      <c r="D3013">
        <v>576</v>
      </c>
      <c r="E3013">
        <v>1549</v>
      </c>
      <c r="F3013">
        <v>1</v>
      </c>
      <c r="G3013">
        <v>94.335456788649196</v>
      </c>
      <c r="H3013">
        <v>2</v>
      </c>
      <c r="I3013">
        <v>59</v>
      </c>
      <c r="K3013" t="s">
        <v>2386</v>
      </c>
      <c r="L3013">
        <v>20</v>
      </c>
      <c r="M3013" t="s">
        <v>3857</v>
      </c>
      <c r="N3013" t="s">
        <v>2388</v>
      </c>
      <c r="O3013">
        <v>1</v>
      </c>
    </row>
    <row r="3014" spans="2:15" x14ac:dyDescent="0.3">
      <c r="B3014">
        <v>3074</v>
      </c>
      <c r="D3014">
        <v>1550</v>
      </c>
      <c r="E3014">
        <v>620</v>
      </c>
      <c r="F3014">
        <v>1</v>
      </c>
      <c r="G3014">
        <v>76.475187466601696</v>
      </c>
      <c r="H3014">
        <v>2</v>
      </c>
      <c r="I3014">
        <v>59</v>
      </c>
      <c r="K3014" t="s">
        <v>2386</v>
      </c>
      <c r="L3014">
        <v>20</v>
      </c>
      <c r="M3014" t="s">
        <v>3858</v>
      </c>
      <c r="N3014" t="s">
        <v>2388</v>
      </c>
      <c r="O3014">
        <v>1</v>
      </c>
    </row>
    <row r="3015" spans="2:15" x14ac:dyDescent="0.3">
      <c r="B3015">
        <v>3075</v>
      </c>
      <c r="D3015">
        <v>620</v>
      </c>
      <c r="E3015">
        <v>1550</v>
      </c>
      <c r="F3015">
        <v>1</v>
      </c>
      <c r="G3015">
        <v>76.475187466601696</v>
      </c>
      <c r="H3015">
        <v>2</v>
      </c>
      <c r="I3015">
        <v>59</v>
      </c>
      <c r="K3015" t="s">
        <v>2386</v>
      </c>
      <c r="L3015">
        <v>20</v>
      </c>
      <c r="M3015" t="s">
        <v>3859</v>
      </c>
      <c r="N3015" t="s">
        <v>2388</v>
      </c>
      <c r="O3015">
        <v>1</v>
      </c>
    </row>
    <row r="3016" spans="2:15" x14ac:dyDescent="0.3">
      <c r="B3016">
        <v>3076</v>
      </c>
      <c r="D3016">
        <v>1551</v>
      </c>
      <c r="E3016">
        <v>433</v>
      </c>
      <c r="F3016">
        <v>1</v>
      </c>
      <c r="G3016">
        <v>98.577202612836501</v>
      </c>
      <c r="H3016">
        <v>2</v>
      </c>
      <c r="I3016">
        <v>59</v>
      </c>
      <c r="K3016" t="s">
        <v>2386</v>
      </c>
      <c r="L3016">
        <v>20</v>
      </c>
      <c r="M3016" t="s">
        <v>3860</v>
      </c>
      <c r="N3016" t="s">
        <v>2388</v>
      </c>
      <c r="O3016">
        <v>1</v>
      </c>
    </row>
    <row r="3017" spans="2:15" x14ac:dyDescent="0.3">
      <c r="B3017">
        <v>3077</v>
      </c>
      <c r="D3017">
        <v>433</v>
      </c>
      <c r="E3017">
        <v>1551</v>
      </c>
      <c r="F3017">
        <v>1</v>
      </c>
      <c r="G3017">
        <v>98.577202612836501</v>
      </c>
      <c r="H3017">
        <v>2</v>
      </c>
      <c r="I3017">
        <v>59</v>
      </c>
      <c r="K3017" t="s">
        <v>2386</v>
      </c>
      <c r="L3017">
        <v>20</v>
      </c>
      <c r="M3017" t="s">
        <v>3861</v>
      </c>
      <c r="N3017" t="s">
        <v>2388</v>
      </c>
      <c r="O3017">
        <v>1</v>
      </c>
    </row>
    <row r="3018" spans="2:15" x14ac:dyDescent="0.3">
      <c r="B3018">
        <v>3078</v>
      </c>
      <c r="D3018">
        <v>1552</v>
      </c>
      <c r="E3018">
        <v>432</v>
      </c>
      <c r="F3018">
        <v>1</v>
      </c>
      <c r="G3018">
        <v>77.616312411358095</v>
      </c>
      <c r="H3018">
        <v>2</v>
      </c>
      <c r="I3018">
        <v>59</v>
      </c>
      <c r="K3018" t="s">
        <v>2386</v>
      </c>
      <c r="L3018">
        <v>20</v>
      </c>
      <c r="M3018" t="s">
        <v>3862</v>
      </c>
      <c r="N3018" t="s">
        <v>2388</v>
      </c>
      <c r="O3018">
        <v>1</v>
      </c>
    </row>
    <row r="3019" spans="2:15" x14ac:dyDescent="0.3">
      <c r="B3019">
        <v>3079</v>
      </c>
      <c r="D3019">
        <v>432</v>
      </c>
      <c r="E3019">
        <v>1552</v>
      </c>
      <c r="F3019">
        <v>1</v>
      </c>
      <c r="G3019">
        <v>77.616312411358095</v>
      </c>
      <c r="H3019">
        <v>2</v>
      </c>
      <c r="I3019">
        <v>59</v>
      </c>
      <c r="K3019" t="s">
        <v>2386</v>
      </c>
      <c r="L3019">
        <v>20</v>
      </c>
      <c r="M3019" t="s">
        <v>3863</v>
      </c>
      <c r="N3019" t="s">
        <v>2388</v>
      </c>
      <c r="O3019">
        <v>1</v>
      </c>
    </row>
    <row r="3020" spans="2:15" x14ac:dyDescent="0.3">
      <c r="B3020">
        <v>3080</v>
      </c>
      <c r="D3020">
        <v>1553</v>
      </c>
      <c r="E3020">
        <v>432</v>
      </c>
      <c r="F3020">
        <v>1</v>
      </c>
      <c r="G3020">
        <v>83.112472289406298</v>
      </c>
      <c r="H3020">
        <v>2</v>
      </c>
      <c r="I3020">
        <v>59</v>
      </c>
      <c r="K3020" t="s">
        <v>2386</v>
      </c>
      <c r="L3020">
        <v>20</v>
      </c>
      <c r="M3020" t="s">
        <v>3864</v>
      </c>
      <c r="N3020" t="s">
        <v>2388</v>
      </c>
      <c r="O3020">
        <v>1</v>
      </c>
    </row>
    <row r="3021" spans="2:15" x14ac:dyDescent="0.3">
      <c r="B3021">
        <v>3081</v>
      </c>
      <c r="D3021">
        <v>432</v>
      </c>
      <c r="E3021">
        <v>1553</v>
      </c>
      <c r="F3021">
        <v>1</v>
      </c>
      <c r="G3021">
        <v>83.112472289406298</v>
      </c>
      <c r="H3021">
        <v>2</v>
      </c>
      <c r="I3021">
        <v>59</v>
      </c>
      <c r="K3021" t="s">
        <v>2386</v>
      </c>
      <c r="L3021">
        <v>20</v>
      </c>
      <c r="M3021" t="s">
        <v>3865</v>
      </c>
      <c r="N3021" t="s">
        <v>2388</v>
      </c>
      <c r="O3021">
        <v>1</v>
      </c>
    </row>
    <row r="3022" spans="2:15" x14ac:dyDescent="0.3">
      <c r="B3022">
        <v>3082</v>
      </c>
      <c r="D3022">
        <v>1554</v>
      </c>
      <c r="E3022">
        <v>432</v>
      </c>
      <c r="F3022">
        <v>1</v>
      </c>
      <c r="G3022">
        <v>78.765046827435199</v>
      </c>
      <c r="H3022">
        <v>2</v>
      </c>
      <c r="I3022">
        <v>59</v>
      </c>
      <c r="K3022" t="s">
        <v>2386</v>
      </c>
      <c r="L3022">
        <v>20</v>
      </c>
      <c r="M3022" t="s">
        <v>3866</v>
      </c>
      <c r="N3022" t="s">
        <v>2388</v>
      </c>
      <c r="O3022">
        <v>1</v>
      </c>
    </row>
    <row r="3023" spans="2:15" x14ac:dyDescent="0.3">
      <c r="B3023">
        <v>3083</v>
      </c>
      <c r="D3023">
        <v>432</v>
      </c>
      <c r="E3023">
        <v>1554</v>
      </c>
      <c r="F3023">
        <v>1</v>
      </c>
      <c r="G3023">
        <v>78.765046827435199</v>
      </c>
      <c r="H3023">
        <v>2</v>
      </c>
      <c r="I3023">
        <v>59</v>
      </c>
      <c r="K3023" t="s">
        <v>2386</v>
      </c>
      <c r="L3023">
        <v>20</v>
      </c>
      <c r="M3023" t="s">
        <v>3867</v>
      </c>
      <c r="N3023" t="s">
        <v>2388</v>
      </c>
      <c r="O3023">
        <v>1</v>
      </c>
    </row>
    <row r="3024" spans="2:15" x14ac:dyDescent="0.3">
      <c r="B3024">
        <v>3084</v>
      </c>
      <c r="D3024">
        <v>1555</v>
      </c>
      <c r="E3024">
        <v>432</v>
      </c>
      <c r="F3024">
        <v>1</v>
      </c>
      <c r="G3024">
        <v>87.221474456082305</v>
      </c>
      <c r="H3024">
        <v>2</v>
      </c>
      <c r="I3024">
        <v>59</v>
      </c>
      <c r="K3024" t="s">
        <v>2386</v>
      </c>
      <c r="L3024">
        <v>20</v>
      </c>
      <c r="M3024" t="s">
        <v>3868</v>
      </c>
      <c r="N3024" t="s">
        <v>2388</v>
      </c>
      <c r="O3024">
        <v>1</v>
      </c>
    </row>
    <row r="3025" spans="2:15" x14ac:dyDescent="0.3">
      <c r="B3025">
        <v>3085</v>
      </c>
      <c r="D3025">
        <v>432</v>
      </c>
      <c r="E3025">
        <v>1555</v>
      </c>
      <c r="F3025">
        <v>1</v>
      </c>
      <c r="G3025">
        <v>87.221474456082305</v>
      </c>
      <c r="H3025">
        <v>2</v>
      </c>
      <c r="I3025">
        <v>59</v>
      </c>
      <c r="K3025" t="s">
        <v>2386</v>
      </c>
      <c r="L3025">
        <v>20</v>
      </c>
      <c r="M3025" t="s">
        <v>3869</v>
      </c>
      <c r="N3025" t="s">
        <v>2388</v>
      </c>
      <c r="O3025">
        <v>1</v>
      </c>
    </row>
    <row r="3026" spans="2:15" x14ac:dyDescent="0.3">
      <c r="B3026">
        <v>3086</v>
      </c>
      <c r="D3026">
        <v>1556</v>
      </c>
      <c r="E3026">
        <v>575</v>
      </c>
      <c r="F3026">
        <v>1</v>
      </c>
      <c r="G3026">
        <v>92.797989952301407</v>
      </c>
      <c r="H3026">
        <v>2</v>
      </c>
      <c r="I3026">
        <v>59</v>
      </c>
      <c r="K3026" t="s">
        <v>2386</v>
      </c>
      <c r="L3026">
        <v>20</v>
      </c>
      <c r="M3026" t="s">
        <v>3870</v>
      </c>
      <c r="N3026" t="s">
        <v>2388</v>
      </c>
      <c r="O3026">
        <v>1</v>
      </c>
    </row>
    <row r="3027" spans="2:15" x14ac:dyDescent="0.3">
      <c r="B3027">
        <v>3087</v>
      </c>
      <c r="D3027">
        <v>575</v>
      </c>
      <c r="E3027">
        <v>1556</v>
      </c>
      <c r="F3027">
        <v>1</v>
      </c>
      <c r="G3027">
        <v>92.797989952301407</v>
      </c>
      <c r="H3027">
        <v>2</v>
      </c>
      <c r="I3027">
        <v>59</v>
      </c>
      <c r="K3027" t="s">
        <v>2386</v>
      </c>
      <c r="L3027">
        <v>20</v>
      </c>
      <c r="M3027" t="s">
        <v>3871</v>
      </c>
      <c r="N3027" t="s">
        <v>2388</v>
      </c>
      <c r="O3027">
        <v>1</v>
      </c>
    </row>
    <row r="3028" spans="2:15" x14ac:dyDescent="0.3">
      <c r="B3028">
        <v>3088</v>
      </c>
      <c r="D3028">
        <v>1557</v>
      </c>
      <c r="E3028">
        <v>104</v>
      </c>
      <c r="F3028">
        <v>1</v>
      </c>
      <c r="G3028">
        <v>35.727104011797302</v>
      </c>
      <c r="H3028">
        <v>2</v>
      </c>
      <c r="I3028">
        <v>59</v>
      </c>
      <c r="K3028" t="s">
        <v>2386</v>
      </c>
      <c r="L3028">
        <v>20</v>
      </c>
      <c r="M3028" t="s">
        <v>3872</v>
      </c>
      <c r="N3028" t="s">
        <v>2388</v>
      </c>
      <c r="O3028">
        <v>1</v>
      </c>
    </row>
    <row r="3029" spans="2:15" x14ac:dyDescent="0.3">
      <c r="B3029">
        <v>3089</v>
      </c>
      <c r="D3029">
        <v>104</v>
      </c>
      <c r="E3029">
        <v>1557</v>
      </c>
      <c r="F3029">
        <v>1</v>
      </c>
      <c r="G3029">
        <v>35.727104011797302</v>
      </c>
      <c r="H3029">
        <v>2</v>
      </c>
      <c r="I3029">
        <v>59</v>
      </c>
      <c r="K3029" t="s">
        <v>2386</v>
      </c>
      <c r="L3029">
        <v>20</v>
      </c>
      <c r="M3029" t="s">
        <v>3873</v>
      </c>
      <c r="N3029" t="s">
        <v>2388</v>
      </c>
      <c r="O3029">
        <v>1</v>
      </c>
    </row>
    <row r="3030" spans="2:15" x14ac:dyDescent="0.3">
      <c r="B3030">
        <v>3090</v>
      </c>
      <c r="D3030">
        <v>1558</v>
      </c>
      <c r="E3030">
        <v>177</v>
      </c>
      <c r="F3030">
        <v>1</v>
      </c>
      <c r="G3030">
        <v>41.391408599717103</v>
      </c>
      <c r="H3030">
        <v>2</v>
      </c>
      <c r="I3030">
        <v>59</v>
      </c>
      <c r="K3030" t="s">
        <v>2386</v>
      </c>
      <c r="L3030">
        <v>20</v>
      </c>
      <c r="M3030" t="s">
        <v>3874</v>
      </c>
      <c r="N3030" t="s">
        <v>2388</v>
      </c>
      <c r="O3030">
        <v>1</v>
      </c>
    </row>
    <row r="3031" spans="2:15" x14ac:dyDescent="0.3">
      <c r="B3031">
        <v>3091</v>
      </c>
      <c r="D3031">
        <v>177</v>
      </c>
      <c r="E3031">
        <v>1558</v>
      </c>
      <c r="F3031">
        <v>1</v>
      </c>
      <c r="G3031">
        <v>41.391408599717103</v>
      </c>
      <c r="H3031">
        <v>2</v>
      </c>
      <c r="I3031">
        <v>59</v>
      </c>
      <c r="K3031" t="s">
        <v>2386</v>
      </c>
      <c r="L3031">
        <v>20</v>
      </c>
      <c r="M3031" t="s">
        <v>3875</v>
      </c>
      <c r="N3031" t="s">
        <v>2388</v>
      </c>
      <c r="O3031">
        <v>1</v>
      </c>
    </row>
    <row r="3032" spans="2:15" x14ac:dyDescent="0.3">
      <c r="B3032">
        <v>3092</v>
      </c>
      <c r="D3032">
        <v>1559</v>
      </c>
      <c r="E3032">
        <v>619</v>
      </c>
      <c r="F3032">
        <v>1</v>
      </c>
      <c r="G3032">
        <v>86.729830795040002</v>
      </c>
      <c r="H3032">
        <v>2</v>
      </c>
      <c r="I3032">
        <v>59</v>
      </c>
      <c r="K3032" t="s">
        <v>2386</v>
      </c>
      <c r="L3032">
        <v>20</v>
      </c>
      <c r="M3032" t="s">
        <v>3876</v>
      </c>
      <c r="N3032" t="s">
        <v>2388</v>
      </c>
      <c r="O3032">
        <v>1</v>
      </c>
    </row>
    <row r="3033" spans="2:15" x14ac:dyDescent="0.3">
      <c r="B3033">
        <v>3093</v>
      </c>
      <c r="D3033">
        <v>619</v>
      </c>
      <c r="E3033">
        <v>1559</v>
      </c>
      <c r="F3033">
        <v>1</v>
      </c>
      <c r="G3033">
        <v>86.729830795040002</v>
      </c>
      <c r="H3033">
        <v>2</v>
      </c>
      <c r="I3033">
        <v>59</v>
      </c>
      <c r="K3033" t="s">
        <v>2386</v>
      </c>
      <c r="L3033">
        <v>20</v>
      </c>
      <c r="M3033" t="s">
        <v>3877</v>
      </c>
      <c r="N3033" t="s">
        <v>2388</v>
      </c>
      <c r="O3033">
        <v>1</v>
      </c>
    </row>
    <row r="3034" spans="2:15" x14ac:dyDescent="0.3">
      <c r="B3034">
        <v>3094</v>
      </c>
      <c r="D3034">
        <v>1560</v>
      </c>
      <c r="E3034">
        <v>620</v>
      </c>
      <c r="F3034">
        <v>1</v>
      </c>
      <c r="G3034">
        <v>65.233591150895407</v>
      </c>
      <c r="H3034">
        <v>2</v>
      </c>
      <c r="I3034">
        <v>59</v>
      </c>
      <c r="K3034" t="s">
        <v>2386</v>
      </c>
      <c r="L3034">
        <v>20</v>
      </c>
      <c r="M3034" t="s">
        <v>3878</v>
      </c>
      <c r="N3034" t="s">
        <v>2388</v>
      </c>
      <c r="O3034">
        <v>1</v>
      </c>
    </row>
    <row r="3035" spans="2:15" x14ac:dyDescent="0.3">
      <c r="B3035">
        <v>3095</v>
      </c>
      <c r="D3035">
        <v>620</v>
      </c>
      <c r="E3035">
        <v>1560</v>
      </c>
      <c r="F3035">
        <v>1</v>
      </c>
      <c r="G3035">
        <v>65.233591150895407</v>
      </c>
      <c r="H3035">
        <v>2</v>
      </c>
      <c r="I3035">
        <v>59</v>
      </c>
      <c r="K3035" t="s">
        <v>2386</v>
      </c>
      <c r="L3035">
        <v>20</v>
      </c>
      <c r="M3035" t="s">
        <v>3879</v>
      </c>
      <c r="N3035" t="s">
        <v>2388</v>
      </c>
      <c r="O3035">
        <v>1</v>
      </c>
    </row>
    <row r="3036" spans="2:15" x14ac:dyDescent="0.3">
      <c r="B3036">
        <v>3096</v>
      </c>
      <c r="D3036">
        <v>1561</v>
      </c>
      <c r="E3036">
        <v>619</v>
      </c>
      <c r="F3036">
        <v>1</v>
      </c>
      <c r="G3036">
        <v>85.551639915287197</v>
      </c>
      <c r="H3036">
        <v>2</v>
      </c>
      <c r="I3036">
        <v>59</v>
      </c>
      <c r="K3036" t="s">
        <v>2386</v>
      </c>
      <c r="L3036">
        <v>20</v>
      </c>
      <c r="M3036" t="s">
        <v>3880</v>
      </c>
      <c r="N3036" t="s">
        <v>2388</v>
      </c>
      <c r="O3036">
        <v>1</v>
      </c>
    </row>
    <row r="3037" spans="2:15" x14ac:dyDescent="0.3">
      <c r="B3037">
        <v>3097</v>
      </c>
      <c r="D3037">
        <v>619</v>
      </c>
      <c r="E3037">
        <v>1561</v>
      </c>
      <c r="F3037">
        <v>1</v>
      </c>
      <c r="G3037">
        <v>85.551639915287197</v>
      </c>
      <c r="H3037">
        <v>2</v>
      </c>
      <c r="I3037">
        <v>59</v>
      </c>
      <c r="K3037" t="s">
        <v>2386</v>
      </c>
      <c r="L3037">
        <v>20</v>
      </c>
      <c r="M3037" t="s">
        <v>3881</v>
      </c>
      <c r="N3037" t="s">
        <v>2388</v>
      </c>
      <c r="O3037">
        <v>1</v>
      </c>
    </row>
    <row r="3038" spans="2:15" x14ac:dyDescent="0.3">
      <c r="B3038">
        <v>3098</v>
      </c>
      <c r="D3038">
        <v>1562</v>
      </c>
      <c r="E3038">
        <v>620</v>
      </c>
      <c r="F3038">
        <v>1</v>
      </c>
      <c r="G3038">
        <v>91.997195237939295</v>
      </c>
      <c r="H3038">
        <v>2</v>
      </c>
      <c r="I3038">
        <v>59</v>
      </c>
      <c r="K3038" t="s">
        <v>2386</v>
      </c>
      <c r="L3038">
        <v>20</v>
      </c>
      <c r="M3038" t="s">
        <v>3882</v>
      </c>
      <c r="N3038" t="s">
        <v>2388</v>
      </c>
      <c r="O3038">
        <v>1</v>
      </c>
    </row>
    <row r="3039" spans="2:15" x14ac:dyDescent="0.3">
      <c r="B3039">
        <v>3099</v>
      </c>
      <c r="D3039">
        <v>620</v>
      </c>
      <c r="E3039">
        <v>1562</v>
      </c>
      <c r="F3039">
        <v>1</v>
      </c>
      <c r="G3039">
        <v>91.997195237939295</v>
      </c>
      <c r="H3039">
        <v>2</v>
      </c>
      <c r="I3039">
        <v>59</v>
      </c>
      <c r="K3039" t="s">
        <v>2386</v>
      </c>
      <c r="L3039">
        <v>20</v>
      </c>
      <c r="M3039" t="s">
        <v>3883</v>
      </c>
      <c r="N3039" t="s">
        <v>2388</v>
      </c>
      <c r="O3039">
        <v>1</v>
      </c>
    </row>
    <row r="3040" spans="2:15" x14ac:dyDescent="0.3">
      <c r="B3040">
        <v>3100</v>
      </c>
      <c r="D3040">
        <v>1563</v>
      </c>
      <c r="E3040">
        <v>565</v>
      </c>
      <c r="F3040">
        <v>1</v>
      </c>
      <c r="G3040">
        <v>58.866508894370703</v>
      </c>
      <c r="H3040">
        <v>2</v>
      </c>
      <c r="I3040">
        <v>59</v>
      </c>
      <c r="K3040" t="s">
        <v>2386</v>
      </c>
      <c r="L3040">
        <v>20</v>
      </c>
      <c r="M3040" t="s">
        <v>3884</v>
      </c>
      <c r="N3040" t="s">
        <v>2388</v>
      </c>
      <c r="O3040">
        <v>1</v>
      </c>
    </row>
    <row r="3041" spans="2:15" x14ac:dyDescent="0.3">
      <c r="B3041">
        <v>3101</v>
      </c>
      <c r="D3041">
        <v>565</v>
      </c>
      <c r="E3041">
        <v>1563</v>
      </c>
      <c r="F3041">
        <v>1</v>
      </c>
      <c r="G3041">
        <v>58.866508894370703</v>
      </c>
      <c r="H3041">
        <v>2</v>
      </c>
      <c r="I3041">
        <v>59</v>
      </c>
      <c r="K3041" t="s">
        <v>2386</v>
      </c>
      <c r="L3041">
        <v>20</v>
      </c>
      <c r="M3041" t="s">
        <v>3885</v>
      </c>
      <c r="N3041" t="s">
        <v>2388</v>
      </c>
      <c r="O3041">
        <v>1</v>
      </c>
    </row>
    <row r="3042" spans="2:15" x14ac:dyDescent="0.3">
      <c r="B3042">
        <v>3102</v>
      </c>
      <c r="D3042">
        <v>1564</v>
      </c>
      <c r="E3042">
        <v>577</v>
      </c>
      <c r="F3042">
        <v>1</v>
      </c>
      <c r="G3042">
        <v>53.037110185745398</v>
      </c>
      <c r="H3042">
        <v>2</v>
      </c>
      <c r="I3042">
        <v>59</v>
      </c>
      <c r="K3042" t="s">
        <v>2386</v>
      </c>
      <c r="L3042">
        <v>20</v>
      </c>
      <c r="M3042" t="s">
        <v>3886</v>
      </c>
      <c r="N3042" t="s">
        <v>2388</v>
      </c>
      <c r="O3042">
        <v>1</v>
      </c>
    </row>
    <row r="3043" spans="2:15" x14ac:dyDescent="0.3">
      <c r="B3043">
        <v>3103</v>
      </c>
      <c r="D3043">
        <v>577</v>
      </c>
      <c r="E3043">
        <v>1564</v>
      </c>
      <c r="F3043">
        <v>1</v>
      </c>
      <c r="G3043">
        <v>53.037110185745398</v>
      </c>
      <c r="H3043">
        <v>2</v>
      </c>
      <c r="I3043">
        <v>59</v>
      </c>
      <c r="K3043" t="s">
        <v>2386</v>
      </c>
      <c r="L3043">
        <v>20</v>
      </c>
      <c r="M3043" t="s">
        <v>3887</v>
      </c>
      <c r="N3043" t="s">
        <v>2388</v>
      </c>
      <c r="O3043">
        <v>1</v>
      </c>
    </row>
    <row r="3044" spans="2:15" x14ac:dyDescent="0.3">
      <c r="B3044">
        <v>3104</v>
      </c>
      <c r="D3044">
        <v>1565</v>
      </c>
      <c r="E3044">
        <v>579</v>
      </c>
      <c r="F3044">
        <v>1</v>
      </c>
      <c r="G3044">
        <v>44.985620161853603</v>
      </c>
      <c r="H3044">
        <v>2</v>
      </c>
      <c r="I3044">
        <v>59</v>
      </c>
      <c r="K3044" t="s">
        <v>2386</v>
      </c>
      <c r="L3044">
        <v>20</v>
      </c>
      <c r="M3044" t="s">
        <v>3888</v>
      </c>
      <c r="N3044" t="s">
        <v>2388</v>
      </c>
      <c r="O3044">
        <v>1</v>
      </c>
    </row>
    <row r="3045" spans="2:15" x14ac:dyDescent="0.3">
      <c r="B3045">
        <v>3105</v>
      </c>
      <c r="D3045">
        <v>579</v>
      </c>
      <c r="E3045">
        <v>1565</v>
      </c>
      <c r="F3045">
        <v>1</v>
      </c>
      <c r="G3045">
        <v>44.985620161853603</v>
      </c>
      <c r="H3045">
        <v>2</v>
      </c>
      <c r="I3045">
        <v>59</v>
      </c>
      <c r="K3045" t="s">
        <v>2386</v>
      </c>
      <c r="L3045">
        <v>20</v>
      </c>
      <c r="M3045" t="s">
        <v>3889</v>
      </c>
      <c r="N3045" t="s">
        <v>2388</v>
      </c>
      <c r="O3045">
        <v>1</v>
      </c>
    </row>
    <row r="3046" spans="2:15" x14ac:dyDescent="0.3">
      <c r="B3046">
        <v>3106</v>
      </c>
      <c r="D3046">
        <v>1566</v>
      </c>
      <c r="E3046">
        <v>580</v>
      </c>
      <c r="F3046">
        <v>1</v>
      </c>
      <c r="G3046">
        <v>43.8574211585142</v>
      </c>
      <c r="H3046">
        <v>2</v>
      </c>
      <c r="I3046">
        <v>59</v>
      </c>
      <c r="K3046" t="s">
        <v>2386</v>
      </c>
      <c r="L3046">
        <v>20</v>
      </c>
      <c r="M3046" t="s">
        <v>3890</v>
      </c>
      <c r="N3046" t="s">
        <v>2388</v>
      </c>
      <c r="O3046">
        <v>1</v>
      </c>
    </row>
    <row r="3047" spans="2:15" x14ac:dyDescent="0.3">
      <c r="B3047">
        <v>3107</v>
      </c>
      <c r="D3047">
        <v>580</v>
      </c>
      <c r="E3047">
        <v>1566</v>
      </c>
      <c r="F3047">
        <v>1</v>
      </c>
      <c r="G3047">
        <v>43.8574211585142</v>
      </c>
      <c r="H3047">
        <v>2</v>
      </c>
      <c r="I3047">
        <v>59</v>
      </c>
      <c r="K3047" t="s">
        <v>2386</v>
      </c>
      <c r="L3047">
        <v>20</v>
      </c>
      <c r="M3047" t="s">
        <v>3891</v>
      </c>
      <c r="N3047" t="s">
        <v>2388</v>
      </c>
      <c r="O3047">
        <v>1</v>
      </c>
    </row>
    <row r="3048" spans="2:15" x14ac:dyDescent="0.3">
      <c r="B3048">
        <v>3108</v>
      </c>
      <c r="D3048">
        <v>1567</v>
      </c>
      <c r="E3048">
        <v>574</v>
      </c>
      <c r="F3048">
        <v>1</v>
      </c>
      <c r="G3048">
        <v>69.777032194463899</v>
      </c>
      <c r="H3048">
        <v>2</v>
      </c>
      <c r="I3048">
        <v>59</v>
      </c>
      <c r="K3048" t="s">
        <v>2386</v>
      </c>
      <c r="L3048">
        <v>20</v>
      </c>
      <c r="M3048" t="s">
        <v>3892</v>
      </c>
      <c r="N3048" t="s">
        <v>2388</v>
      </c>
      <c r="O3048">
        <v>1</v>
      </c>
    </row>
    <row r="3049" spans="2:15" x14ac:dyDescent="0.3">
      <c r="B3049">
        <v>3109</v>
      </c>
      <c r="D3049">
        <v>574</v>
      </c>
      <c r="E3049">
        <v>1567</v>
      </c>
      <c r="F3049">
        <v>1</v>
      </c>
      <c r="G3049">
        <v>69.777032194463899</v>
      </c>
      <c r="H3049">
        <v>2</v>
      </c>
      <c r="I3049">
        <v>59</v>
      </c>
      <c r="K3049" t="s">
        <v>2386</v>
      </c>
      <c r="L3049">
        <v>20</v>
      </c>
      <c r="M3049" t="s">
        <v>3893</v>
      </c>
      <c r="N3049" t="s">
        <v>2388</v>
      </c>
      <c r="O3049">
        <v>1</v>
      </c>
    </row>
    <row r="3050" spans="2:15" x14ac:dyDescent="0.3">
      <c r="B3050">
        <v>3110</v>
      </c>
      <c r="D3050">
        <v>1568</v>
      </c>
      <c r="E3050">
        <v>574</v>
      </c>
      <c r="F3050">
        <v>1</v>
      </c>
      <c r="G3050">
        <v>90.548198233985104</v>
      </c>
      <c r="H3050">
        <v>2</v>
      </c>
      <c r="I3050">
        <v>59</v>
      </c>
      <c r="K3050" t="s">
        <v>2386</v>
      </c>
      <c r="L3050">
        <v>20</v>
      </c>
      <c r="M3050" t="s">
        <v>3894</v>
      </c>
      <c r="N3050" t="s">
        <v>2388</v>
      </c>
      <c r="O3050">
        <v>1</v>
      </c>
    </row>
    <row r="3051" spans="2:15" x14ac:dyDescent="0.3">
      <c r="B3051">
        <v>3111</v>
      </c>
      <c r="D3051">
        <v>574</v>
      </c>
      <c r="E3051">
        <v>1568</v>
      </c>
      <c r="F3051">
        <v>1</v>
      </c>
      <c r="G3051">
        <v>90.548198233985104</v>
      </c>
      <c r="H3051">
        <v>2</v>
      </c>
      <c r="I3051">
        <v>59</v>
      </c>
      <c r="K3051" t="s">
        <v>2386</v>
      </c>
      <c r="L3051">
        <v>20</v>
      </c>
      <c r="M3051" t="s">
        <v>3895</v>
      </c>
      <c r="N3051" t="s">
        <v>2388</v>
      </c>
      <c r="O3051">
        <v>1</v>
      </c>
    </row>
    <row r="3052" spans="2:15" x14ac:dyDescent="0.3">
      <c r="B3052">
        <v>3112</v>
      </c>
      <c r="D3052">
        <v>1569</v>
      </c>
      <c r="E3052">
        <v>436</v>
      </c>
      <c r="F3052">
        <v>1</v>
      </c>
      <c r="G3052">
        <v>196.099381807426</v>
      </c>
      <c r="H3052">
        <v>2</v>
      </c>
      <c r="I3052">
        <v>59</v>
      </c>
      <c r="K3052" t="s">
        <v>2386</v>
      </c>
      <c r="L3052">
        <v>20</v>
      </c>
      <c r="M3052" t="s">
        <v>3896</v>
      </c>
      <c r="N3052" t="s">
        <v>2388</v>
      </c>
      <c r="O3052">
        <v>1</v>
      </c>
    </row>
    <row r="3053" spans="2:15" x14ac:dyDescent="0.3">
      <c r="B3053">
        <v>3113</v>
      </c>
      <c r="D3053">
        <v>436</v>
      </c>
      <c r="E3053">
        <v>1569</v>
      </c>
      <c r="F3053">
        <v>1</v>
      </c>
      <c r="G3053">
        <v>196.099381807426</v>
      </c>
      <c r="H3053">
        <v>2</v>
      </c>
      <c r="I3053">
        <v>59</v>
      </c>
      <c r="K3053" t="s">
        <v>2386</v>
      </c>
      <c r="L3053">
        <v>20</v>
      </c>
      <c r="M3053" t="s">
        <v>3897</v>
      </c>
      <c r="N3053" t="s">
        <v>2388</v>
      </c>
      <c r="O3053">
        <v>1</v>
      </c>
    </row>
    <row r="3054" spans="2:15" x14ac:dyDescent="0.3">
      <c r="B3054">
        <v>3114</v>
      </c>
      <c r="D3054">
        <v>1570</v>
      </c>
      <c r="E3054">
        <v>580</v>
      </c>
      <c r="F3054">
        <v>1</v>
      </c>
      <c r="G3054">
        <v>132.09074434254899</v>
      </c>
      <c r="H3054">
        <v>2</v>
      </c>
      <c r="I3054">
        <v>59</v>
      </c>
      <c r="K3054" t="s">
        <v>2386</v>
      </c>
      <c r="L3054">
        <v>20</v>
      </c>
      <c r="M3054" t="s">
        <v>3898</v>
      </c>
      <c r="N3054" t="s">
        <v>2388</v>
      </c>
      <c r="O3054">
        <v>1</v>
      </c>
    </row>
    <row r="3055" spans="2:15" x14ac:dyDescent="0.3">
      <c r="B3055">
        <v>3115</v>
      </c>
      <c r="D3055">
        <v>580</v>
      </c>
      <c r="E3055">
        <v>1570</v>
      </c>
      <c r="F3055">
        <v>1</v>
      </c>
      <c r="G3055">
        <v>132.09074434254899</v>
      </c>
      <c r="H3055">
        <v>2</v>
      </c>
      <c r="I3055">
        <v>59</v>
      </c>
      <c r="K3055" t="s">
        <v>2386</v>
      </c>
      <c r="L3055">
        <v>20</v>
      </c>
      <c r="M3055" t="s">
        <v>3899</v>
      </c>
      <c r="N3055" t="s">
        <v>2388</v>
      </c>
      <c r="O3055">
        <v>1</v>
      </c>
    </row>
    <row r="3056" spans="2:15" x14ac:dyDescent="0.3">
      <c r="B3056">
        <v>3116</v>
      </c>
      <c r="D3056">
        <v>1571</v>
      </c>
      <c r="E3056">
        <v>166</v>
      </c>
      <c r="F3056">
        <v>1</v>
      </c>
      <c r="G3056">
        <v>28.194179363856701</v>
      </c>
      <c r="H3056">
        <v>2</v>
      </c>
      <c r="I3056">
        <v>59</v>
      </c>
      <c r="K3056" t="s">
        <v>2386</v>
      </c>
      <c r="L3056">
        <v>20</v>
      </c>
      <c r="M3056" t="s">
        <v>3900</v>
      </c>
      <c r="N3056" t="s">
        <v>2388</v>
      </c>
      <c r="O3056">
        <v>1</v>
      </c>
    </row>
    <row r="3057" spans="2:15" x14ac:dyDescent="0.3">
      <c r="B3057">
        <v>3117</v>
      </c>
      <c r="D3057">
        <v>166</v>
      </c>
      <c r="E3057">
        <v>1571</v>
      </c>
      <c r="F3057">
        <v>1</v>
      </c>
      <c r="G3057">
        <v>28.194179363856701</v>
      </c>
      <c r="H3057">
        <v>2</v>
      </c>
      <c r="I3057">
        <v>59</v>
      </c>
      <c r="K3057" t="s">
        <v>2386</v>
      </c>
      <c r="L3057">
        <v>20</v>
      </c>
      <c r="M3057" t="s">
        <v>3901</v>
      </c>
      <c r="N3057" t="s">
        <v>2388</v>
      </c>
      <c r="O3057">
        <v>1</v>
      </c>
    </row>
    <row r="3058" spans="2:15" x14ac:dyDescent="0.3">
      <c r="B3058">
        <v>3118</v>
      </c>
      <c r="D3058">
        <v>1572</v>
      </c>
      <c r="E3058">
        <v>579</v>
      </c>
      <c r="F3058">
        <v>1</v>
      </c>
      <c r="G3058">
        <v>123.396796405204</v>
      </c>
      <c r="H3058">
        <v>2</v>
      </c>
      <c r="I3058">
        <v>59</v>
      </c>
      <c r="K3058" t="s">
        <v>2386</v>
      </c>
      <c r="L3058">
        <v>20</v>
      </c>
      <c r="M3058" t="s">
        <v>3902</v>
      </c>
      <c r="N3058" t="s">
        <v>2388</v>
      </c>
      <c r="O3058">
        <v>1</v>
      </c>
    </row>
    <row r="3059" spans="2:15" x14ac:dyDescent="0.3">
      <c r="B3059">
        <v>3119</v>
      </c>
      <c r="D3059">
        <v>579</v>
      </c>
      <c r="E3059">
        <v>1572</v>
      </c>
      <c r="F3059">
        <v>1</v>
      </c>
      <c r="G3059">
        <v>123.396796405204</v>
      </c>
      <c r="H3059">
        <v>2</v>
      </c>
      <c r="I3059">
        <v>59</v>
      </c>
      <c r="K3059" t="s">
        <v>2386</v>
      </c>
      <c r="L3059">
        <v>20</v>
      </c>
      <c r="M3059" t="s">
        <v>3903</v>
      </c>
      <c r="N3059" t="s">
        <v>2388</v>
      </c>
      <c r="O3059">
        <v>1</v>
      </c>
    </row>
    <row r="3060" spans="2:15" x14ac:dyDescent="0.3">
      <c r="B3060">
        <v>3120</v>
      </c>
      <c r="D3060">
        <v>1573</v>
      </c>
      <c r="E3060">
        <v>491</v>
      </c>
      <c r="F3060">
        <v>1</v>
      </c>
      <c r="G3060">
        <v>275.36996453652699</v>
      </c>
      <c r="H3060">
        <v>2</v>
      </c>
      <c r="I3060">
        <v>59</v>
      </c>
      <c r="K3060" t="s">
        <v>2386</v>
      </c>
      <c r="L3060">
        <v>20</v>
      </c>
      <c r="M3060" t="s">
        <v>3904</v>
      </c>
      <c r="N3060" t="s">
        <v>2388</v>
      </c>
      <c r="O3060">
        <v>1</v>
      </c>
    </row>
    <row r="3061" spans="2:15" x14ac:dyDescent="0.3">
      <c r="B3061">
        <v>3121</v>
      </c>
      <c r="D3061">
        <v>491</v>
      </c>
      <c r="E3061">
        <v>1573</v>
      </c>
      <c r="F3061">
        <v>1</v>
      </c>
      <c r="G3061">
        <v>275.36996453652699</v>
      </c>
      <c r="H3061">
        <v>2</v>
      </c>
      <c r="I3061">
        <v>59</v>
      </c>
      <c r="K3061" t="s">
        <v>2386</v>
      </c>
      <c r="L3061">
        <v>20</v>
      </c>
      <c r="M3061" t="s">
        <v>3905</v>
      </c>
      <c r="N3061" t="s">
        <v>2388</v>
      </c>
      <c r="O3061">
        <v>1</v>
      </c>
    </row>
    <row r="3062" spans="2:15" x14ac:dyDescent="0.3">
      <c r="B3062">
        <v>3122</v>
      </c>
      <c r="D3062">
        <v>1574</v>
      </c>
      <c r="E3062">
        <v>491</v>
      </c>
      <c r="F3062">
        <v>1</v>
      </c>
      <c r="G3062">
        <v>292.29729837521501</v>
      </c>
      <c r="H3062">
        <v>2</v>
      </c>
      <c r="I3062">
        <v>59</v>
      </c>
      <c r="K3062" t="s">
        <v>2386</v>
      </c>
      <c r="L3062">
        <v>20</v>
      </c>
      <c r="M3062" t="s">
        <v>3906</v>
      </c>
      <c r="N3062" t="s">
        <v>2388</v>
      </c>
      <c r="O3062">
        <v>1</v>
      </c>
    </row>
    <row r="3063" spans="2:15" x14ac:dyDescent="0.3">
      <c r="B3063">
        <v>3123</v>
      </c>
      <c r="D3063">
        <v>491</v>
      </c>
      <c r="E3063">
        <v>1574</v>
      </c>
      <c r="F3063">
        <v>1</v>
      </c>
      <c r="G3063">
        <v>292.29729837521501</v>
      </c>
      <c r="H3063">
        <v>2</v>
      </c>
      <c r="I3063">
        <v>59</v>
      </c>
      <c r="K3063" t="s">
        <v>2386</v>
      </c>
      <c r="L3063">
        <v>20</v>
      </c>
      <c r="M3063" t="s">
        <v>3907</v>
      </c>
      <c r="N3063" t="s">
        <v>2388</v>
      </c>
      <c r="O3063">
        <v>1</v>
      </c>
    </row>
    <row r="3064" spans="2:15" x14ac:dyDescent="0.3">
      <c r="B3064">
        <v>3124</v>
      </c>
      <c r="D3064">
        <v>1575</v>
      </c>
      <c r="E3064">
        <v>491</v>
      </c>
      <c r="F3064">
        <v>1</v>
      </c>
      <c r="G3064">
        <v>295.969272849314</v>
      </c>
      <c r="H3064">
        <v>2</v>
      </c>
      <c r="I3064">
        <v>59</v>
      </c>
      <c r="K3064" t="s">
        <v>2386</v>
      </c>
      <c r="L3064">
        <v>20</v>
      </c>
      <c r="M3064" t="s">
        <v>3908</v>
      </c>
      <c r="N3064" t="s">
        <v>2388</v>
      </c>
      <c r="O3064">
        <v>1</v>
      </c>
    </row>
    <row r="3065" spans="2:15" x14ac:dyDescent="0.3">
      <c r="B3065">
        <v>3125</v>
      </c>
      <c r="D3065">
        <v>491</v>
      </c>
      <c r="E3065">
        <v>1575</v>
      </c>
      <c r="F3065">
        <v>1</v>
      </c>
      <c r="G3065">
        <v>295.969272849314</v>
      </c>
      <c r="H3065">
        <v>2</v>
      </c>
      <c r="I3065">
        <v>59</v>
      </c>
      <c r="K3065" t="s">
        <v>2386</v>
      </c>
      <c r="L3065">
        <v>20</v>
      </c>
      <c r="M3065" t="s">
        <v>3909</v>
      </c>
      <c r="N3065" t="s">
        <v>2388</v>
      </c>
      <c r="O3065">
        <v>1</v>
      </c>
    </row>
    <row r="3066" spans="2:15" x14ac:dyDescent="0.3">
      <c r="B3066">
        <v>3126</v>
      </c>
      <c r="D3066">
        <v>1576</v>
      </c>
      <c r="E3066">
        <v>491</v>
      </c>
      <c r="F3066">
        <v>1</v>
      </c>
      <c r="G3066">
        <v>279.26383908728798</v>
      </c>
      <c r="H3066">
        <v>2</v>
      </c>
      <c r="I3066">
        <v>59</v>
      </c>
      <c r="K3066" t="s">
        <v>2386</v>
      </c>
      <c r="L3066">
        <v>20</v>
      </c>
      <c r="M3066" t="s">
        <v>3910</v>
      </c>
      <c r="N3066" t="s">
        <v>2388</v>
      </c>
      <c r="O3066">
        <v>1</v>
      </c>
    </row>
    <row r="3067" spans="2:15" x14ac:dyDescent="0.3">
      <c r="B3067">
        <v>3127</v>
      </c>
      <c r="D3067">
        <v>491</v>
      </c>
      <c r="E3067">
        <v>1576</v>
      </c>
      <c r="F3067">
        <v>1</v>
      </c>
      <c r="G3067">
        <v>279.26383908728798</v>
      </c>
      <c r="H3067">
        <v>2</v>
      </c>
      <c r="I3067">
        <v>59</v>
      </c>
      <c r="K3067" t="s">
        <v>2386</v>
      </c>
      <c r="L3067">
        <v>20</v>
      </c>
      <c r="M3067" t="s">
        <v>3911</v>
      </c>
      <c r="N3067" t="s">
        <v>2388</v>
      </c>
      <c r="O3067">
        <v>1</v>
      </c>
    </row>
    <row r="3068" spans="2:15" x14ac:dyDescent="0.3">
      <c r="B3068">
        <v>3128</v>
      </c>
      <c r="D3068">
        <v>1577</v>
      </c>
      <c r="E3068">
        <v>491</v>
      </c>
      <c r="F3068">
        <v>1</v>
      </c>
      <c r="G3068">
        <v>283.23858917048801</v>
      </c>
      <c r="H3068">
        <v>2</v>
      </c>
      <c r="I3068">
        <v>59</v>
      </c>
      <c r="K3068" t="s">
        <v>2386</v>
      </c>
      <c r="L3068">
        <v>20</v>
      </c>
      <c r="M3068" t="s">
        <v>3912</v>
      </c>
      <c r="N3068" t="s">
        <v>2388</v>
      </c>
      <c r="O3068">
        <v>1</v>
      </c>
    </row>
    <row r="3069" spans="2:15" x14ac:dyDescent="0.3">
      <c r="B3069">
        <v>3129</v>
      </c>
      <c r="D3069">
        <v>491</v>
      </c>
      <c r="E3069">
        <v>1577</v>
      </c>
      <c r="F3069">
        <v>1</v>
      </c>
      <c r="G3069">
        <v>283.23858917048801</v>
      </c>
      <c r="H3069">
        <v>2</v>
      </c>
      <c r="I3069">
        <v>59</v>
      </c>
      <c r="K3069" t="s">
        <v>2386</v>
      </c>
      <c r="L3069">
        <v>20</v>
      </c>
      <c r="M3069" t="s">
        <v>3913</v>
      </c>
      <c r="N3069" t="s">
        <v>2388</v>
      </c>
      <c r="O3069">
        <v>1</v>
      </c>
    </row>
    <row r="3070" spans="2:15" x14ac:dyDescent="0.3">
      <c r="B3070">
        <v>3130</v>
      </c>
      <c r="D3070">
        <v>1578</v>
      </c>
      <c r="E3070">
        <v>491</v>
      </c>
      <c r="F3070">
        <v>1</v>
      </c>
      <c r="G3070">
        <v>299.70313645802599</v>
      </c>
      <c r="H3070">
        <v>2</v>
      </c>
      <c r="I3070">
        <v>59</v>
      </c>
      <c r="K3070" t="s">
        <v>2386</v>
      </c>
      <c r="L3070">
        <v>20</v>
      </c>
      <c r="M3070" t="s">
        <v>3914</v>
      </c>
      <c r="N3070" t="s">
        <v>2388</v>
      </c>
      <c r="O3070">
        <v>1</v>
      </c>
    </row>
    <row r="3071" spans="2:15" x14ac:dyDescent="0.3">
      <c r="B3071">
        <v>3131</v>
      </c>
      <c r="D3071">
        <v>491</v>
      </c>
      <c r="E3071">
        <v>1578</v>
      </c>
      <c r="F3071">
        <v>1</v>
      </c>
      <c r="G3071">
        <v>299.70313645802599</v>
      </c>
      <c r="H3071">
        <v>2</v>
      </c>
      <c r="I3071">
        <v>59</v>
      </c>
      <c r="K3071" t="s">
        <v>2386</v>
      </c>
      <c r="L3071">
        <v>20</v>
      </c>
      <c r="M3071" t="s">
        <v>3915</v>
      </c>
      <c r="N3071" t="s">
        <v>2388</v>
      </c>
      <c r="O3071">
        <v>1</v>
      </c>
    </row>
    <row r="3072" spans="2:15" x14ac:dyDescent="0.3">
      <c r="B3072">
        <v>3132</v>
      </c>
      <c r="D3072">
        <v>1579</v>
      </c>
      <c r="E3072">
        <v>491</v>
      </c>
      <c r="F3072">
        <v>1</v>
      </c>
      <c r="G3072">
        <v>303.471391058714</v>
      </c>
      <c r="H3072">
        <v>2</v>
      </c>
      <c r="I3072">
        <v>59</v>
      </c>
      <c r="K3072" t="s">
        <v>2386</v>
      </c>
      <c r="L3072">
        <v>20</v>
      </c>
      <c r="M3072" t="s">
        <v>3916</v>
      </c>
      <c r="N3072" t="s">
        <v>2388</v>
      </c>
      <c r="O3072">
        <v>1</v>
      </c>
    </row>
    <row r="3073" spans="2:15" x14ac:dyDescent="0.3">
      <c r="B3073">
        <v>3133</v>
      </c>
      <c r="D3073">
        <v>491</v>
      </c>
      <c r="E3073">
        <v>1579</v>
      </c>
      <c r="F3073">
        <v>1</v>
      </c>
      <c r="G3073">
        <v>303.471391058714</v>
      </c>
      <c r="H3073">
        <v>2</v>
      </c>
      <c r="I3073">
        <v>59</v>
      </c>
      <c r="K3073" t="s">
        <v>2386</v>
      </c>
      <c r="L3073">
        <v>20</v>
      </c>
      <c r="M3073" t="s">
        <v>3917</v>
      </c>
      <c r="N3073" t="s">
        <v>2388</v>
      </c>
      <c r="O3073">
        <v>1</v>
      </c>
    </row>
    <row r="3074" spans="2:15" x14ac:dyDescent="0.3">
      <c r="B3074">
        <v>3134</v>
      </c>
      <c r="D3074">
        <v>1580</v>
      </c>
      <c r="E3074">
        <v>491</v>
      </c>
      <c r="F3074">
        <v>1</v>
      </c>
      <c r="G3074">
        <v>287.23327182154401</v>
      </c>
      <c r="H3074">
        <v>2</v>
      </c>
      <c r="I3074">
        <v>59</v>
      </c>
      <c r="K3074" t="s">
        <v>2386</v>
      </c>
      <c r="L3074">
        <v>20</v>
      </c>
      <c r="M3074" t="s">
        <v>3918</v>
      </c>
      <c r="N3074" t="s">
        <v>2388</v>
      </c>
      <c r="O3074">
        <v>1</v>
      </c>
    </row>
    <row r="3075" spans="2:15" x14ac:dyDescent="0.3">
      <c r="B3075">
        <v>3135</v>
      </c>
      <c r="D3075">
        <v>491</v>
      </c>
      <c r="E3075">
        <v>1580</v>
      </c>
      <c r="F3075">
        <v>1</v>
      </c>
      <c r="G3075">
        <v>287.23327182154401</v>
      </c>
      <c r="H3075">
        <v>2</v>
      </c>
      <c r="I3075">
        <v>59</v>
      </c>
      <c r="K3075" t="s">
        <v>2386</v>
      </c>
      <c r="L3075">
        <v>20</v>
      </c>
      <c r="M3075" t="s">
        <v>3919</v>
      </c>
      <c r="N3075" t="s">
        <v>2388</v>
      </c>
      <c r="O3075">
        <v>1</v>
      </c>
    </row>
    <row r="3076" spans="2:15" x14ac:dyDescent="0.3">
      <c r="B3076">
        <v>3136</v>
      </c>
      <c r="D3076">
        <v>1581</v>
      </c>
      <c r="E3076">
        <v>491</v>
      </c>
      <c r="F3076">
        <v>1</v>
      </c>
      <c r="G3076">
        <v>291.28380377214802</v>
      </c>
      <c r="H3076">
        <v>2</v>
      </c>
      <c r="I3076">
        <v>59</v>
      </c>
      <c r="K3076" t="s">
        <v>2386</v>
      </c>
      <c r="L3076">
        <v>20</v>
      </c>
      <c r="M3076" t="s">
        <v>3920</v>
      </c>
      <c r="N3076" t="s">
        <v>2388</v>
      </c>
      <c r="O3076">
        <v>1</v>
      </c>
    </row>
    <row r="3077" spans="2:15" x14ac:dyDescent="0.3">
      <c r="B3077">
        <v>3137</v>
      </c>
      <c r="D3077">
        <v>491</v>
      </c>
      <c r="E3077">
        <v>1581</v>
      </c>
      <c r="F3077">
        <v>1</v>
      </c>
      <c r="G3077">
        <v>291.28380377214802</v>
      </c>
      <c r="H3077">
        <v>2</v>
      </c>
      <c r="I3077">
        <v>59</v>
      </c>
      <c r="K3077" t="s">
        <v>2386</v>
      </c>
      <c r="L3077">
        <v>20</v>
      </c>
      <c r="M3077" t="s">
        <v>3921</v>
      </c>
      <c r="N3077" t="s">
        <v>2388</v>
      </c>
      <c r="O3077">
        <v>1</v>
      </c>
    </row>
    <row r="3078" spans="2:15" x14ac:dyDescent="0.3">
      <c r="B3078">
        <v>3138</v>
      </c>
      <c r="D3078">
        <v>1582</v>
      </c>
      <c r="E3078">
        <v>491</v>
      </c>
      <c r="F3078">
        <v>1</v>
      </c>
      <c r="G3078">
        <v>307.30528376668701</v>
      </c>
      <c r="H3078">
        <v>2</v>
      </c>
      <c r="I3078">
        <v>59</v>
      </c>
      <c r="K3078" t="s">
        <v>2386</v>
      </c>
      <c r="L3078">
        <v>20</v>
      </c>
      <c r="M3078" t="s">
        <v>3922</v>
      </c>
      <c r="N3078" t="s">
        <v>2388</v>
      </c>
      <c r="O3078">
        <v>1</v>
      </c>
    </row>
    <row r="3079" spans="2:15" x14ac:dyDescent="0.3">
      <c r="B3079">
        <v>3139</v>
      </c>
      <c r="D3079">
        <v>491</v>
      </c>
      <c r="E3079">
        <v>1582</v>
      </c>
      <c r="F3079">
        <v>1</v>
      </c>
      <c r="G3079">
        <v>307.30528376668701</v>
      </c>
      <c r="H3079">
        <v>2</v>
      </c>
      <c r="I3079">
        <v>59</v>
      </c>
      <c r="K3079" t="s">
        <v>2386</v>
      </c>
      <c r="L3079">
        <v>20</v>
      </c>
      <c r="M3079" t="s">
        <v>3923</v>
      </c>
      <c r="N3079" t="s">
        <v>2388</v>
      </c>
      <c r="O3079">
        <v>1</v>
      </c>
    </row>
    <row r="3080" spans="2:15" x14ac:dyDescent="0.3">
      <c r="B3080">
        <v>3140</v>
      </c>
      <c r="D3080">
        <v>1583</v>
      </c>
      <c r="E3080">
        <v>491</v>
      </c>
      <c r="F3080">
        <v>1</v>
      </c>
      <c r="G3080">
        <v>311.144417301278</v>
      </c>
      <c r="H3080">
        <v>2</v>
      </c>
      <c r="I3080">
        <v>59</v>
      </c>
      <c r="K3080" t="s">
        <v>2386</v>
      </c>
      <c r="L3080">
        <v>20</v>
      </c>
      <c r="M3080" t="s">
        <v>3924</v>
      </c>
      <c r="N3080" t="s">
        <v>2388</v>
      </c>
      <c r="O3080">
        <v>1</v>
      </c>
    </row>
    <row r="3081" spans="2:15" x14ac:dyDescent="0.3">
      <c r="B3081">
        <v>3141</v>
      </c>
      <c r="D3081">
        <v>491</v>
      </c>
      <c r="E3081">
        <v>1583</v>
      </c>
      <c r="F3081">
        <v>1</v>
      </c>
      <c r="G3081">
        <v>311.144417301278</v>
      </c>
      <c r="H3081">
        <v>2</v>
      </c>
      <c r="I3081">
        <v>59</v>
      </c>
      <c r="K3081" t="s">
        <v>2386</v>
      </c>
      <c r="L3081">
        <v>20</v>
      </c>
      <c r="M3081" t="s">
        <v>3925</v>
      </c>
      <c r="N3081" t="s">
        <v>2388</v>
      </c>
      <c r="O3081">
        <v>1</v>
      </c>
    </row>
    <row r="3082" spans="2:15" x14ac:dyDescent="0.3">
      <c r="B3082">
        <v>3142</v>
      </c>
      <c r="D3082">
        <v>1584</v>
      </c>
      <c r="E3082">
        <v>491</v>
      </c>
      <c r="F3082">
        <v>1</v>
      </c>
      <c r="G3082">
        <v>295.34904942795299</v>
      </c>
      <c r="H3082">
        <v>2</v>
      </c>
      <c r="I3082">
        <v>59</v>
      </c>
      <c r="K3082" t="s">
        <v>2386</v>
      </c>
      <c r="L3082">
        <v>20</v>
      </c>
      <c r="M3082" t="s">
        <v>3926</v>
      </c>
      <c r="N3082" t="s">
        <v>2388</v>
      </c>
      <c r="O3082">
        <v>1</v>
      </c>
    </row>
    <row r="3083" spans="2:15" x14ac:dyDescent="0.3">
      <c r="B3083">
        <v>3143</v>
      </c>
      <c r="D3083">
        <v>491</v>
      </c>
      <c r="E3083">
        <v>1584</v>
      </c>
      <c r="F3083">
        <v>1</v>
      </c>
      <c r="G3083">
        <v>295.34904942795299</v>
      </c>
      <c r="H3083">
        <v>2</v>
      </c>
      <c r="I3083">
        <v>59</v>
      </c>
      <c r="K3083" t="s">
        <v>2386</v>
      </c>
      <c r="L3083">
        <v>20</v>
      </c>
      <c r="M3083" t="s">
        <v>3927</v>
      </c>
      <c r="N3083" t="s">
        <v>2388</v>
      </c>
      <c r="O3083">
        <v>1</v>
      </c>
    </row>
    <row r="3084" spans="2:15" x14ac:dyDescent="0.3">
      <c r="B3084">
        <v>3144</v>
      </c>
      <c r="D3084">
        <v>1585</v>
      </c>
      <c r="E3084">
        <v>491</v>
      </c>
      <c r="F3084">
        <v>1</v>
      </c>
      <c r="G3084">
        <v>314.942408473824</v>
      </c>
      <c r="H3084">
        <v>2</v>
      </c>
      <c r="I3084">
        <v>59</v>
      </c>
      <c r="K3084" t="s">
        <v>2386</v>
      </c>
      <c r="L3084">
        <v>20</v>
      </c>
      <c r="M3084" t="s">
        <v>3928</v>
      </c>
      <c r="N3084" t="s">
        <v>2388</v>
      </c>
      <c r="O3084">
        <v>1</v>
      </c>
    </row>
    <row r="3085" spans="2:15" x14ac:dyDescent="0.3">
      <c r="B3085">
        <v>3145</v>
      </c>
      <c r="D3085">
        <v>491</v>
      </c>
      <c r="E3085">
        <v>1585</v>
      </c>
      <c r="F3085">
        <v>1</v>
      </c>
      <c r="G3085">
        <v>314.942408473824</v>
      </c>
      <c r="H3085">
        <v>2</v>
      </c>
      <c r="I3085">
        <v>59</v>
      </c>
      <c r="K3085" t="s">
        <v>2386</v>
      </c>
      <c r="L3085">
        <v>20</v>
      </c>
      <c r="M3085" t="s">
        <v>3929</v>
      </c>
      <c r="N3085" t="s">
        <v>2388</v>
      </c>
      <c r="O3085">
        <v>1</v>
      </c>
    </row>
    <row r="3086" spans="2:15" x14ac:dyDescent="0.3">
      <c r="B3086">
        <v>3146</v>
      </c>
      <c r="D3086">
        <v>1586</v>
      </c>
      <c r="E3086">
        <v>491</v>
      </c>
      <c r="F3086">
        <v>1</v>
      </c>
      <c r="G3086">
        <v>299.35956936541601</v>
      </c>
      <c r="H3086">
        <v>2</v>
      </c>
      <c r="I3086">
        <v>59</v>
      </c>
      <c r="K3086" t="s">
        <v>2386</v>
      </c>
      <c r="L3086">
        <v>20</v>
      </c>
      <c r="M3086" t="s">
        <v>3930</v>
      </c>
      <c r="N3086" t="s">
        <v>2388</v>
      </c>
      <c r="O3086">
        <v>1</v>
      </c>
    </row>
    <row r="3087" spans="2:15" x14ac:dyDescent="0.3">
      <c r="B3087">
        <v>3147</v>
      </c>
      <c r="D3087">
        <v>491</v>
      </c>
      <c r="E3087">
        <v>1586</v>
      </c>
      <c r="F3087">
        <v>1</v>
      </c>
      <c r="G3087">
        <v>299.35956936541601</v>
      </c>
      <c r="H3087">
        <v>2</v>
      </c>
      <c r="I3087">
        <v>59</v>
      </c>
      <c r="K3087" t="s">
        <v>2386</v>
      </c>
      <c r="L3087">
        <v>20</v>
      </c>
      <c r="M3087" t="s">
        <v>3931</v>
      </c>
      <c r="N3087" t="s">
        <v>2388</v>
      </c>
      <c r="O3087">
        <v>1</v>
      </c>
    </row>
    <row r="3088" spans="2:15" x14ac:dyDescent="0.3">
      <c r="B3088">
        <v>3148</v>
      </c>
      <c r="D3088">
        <v>1587</v>
      </c>
      <c r="E3088">
        <v>491</v>
      </c>
      <c r="F3088">
        <v>1</v>
      </c>
      <c r="G3088">
        <v>303.520724085138</v>
      </c>
      <c r="H3088">
        <v>2</v>
      </c>
      <c r="I3088">
        <v>59</v>
      </c>
      <c r="K3088" t="s">
        <v>2386</v>
      </c>
      <c r="L3088">
        <v>20</v>
      </c>
      <c r="M3088" t="s">
        <v>3932</v>
      </c>
      <c r="N3088" t="s">
        <v>2388</v>
      </c>
      <c r="O3088">
        <v>1</v>
      </c>
    </row>
    <row r="3089" spans="2:15" x14ac:dyDescent="0.3">
      <c r="B3089">
        <v>3149</v>
      </c>
      <c r="D3089">
        <v>491</v>
      </c>
      <c r="E3089">
        <v>1587</v>
      </c>
      <c r="F3089">
        <v>1</v>
      </c>
      <c r="G3089">
        <v>303.520724085138</v>
      </c>
      <c r="H3089">
        <v>2</v>
      </c>
      <c r="I3089">
        <v>59</v>
      </c>
      <c r="K3089" t="s">
        <v>2386</v>
      </c>
      <c r="L3089">
        <v>20</v>
      </c>
      <c r="M3089" t="s">
        <v>3933</v>
      </c>
      <c r="N3089" t="s">
        <v>2388</v>
      </c>
      <c r="O3089">
        <v>1</v>
      </c>
    </row>
    <row r="3090" spans="2:15" x14ac:dyDescent="0.3">
      <c r="B3090">
        <v>3150</v>
      </c>
      <c r="D3090">
        <v>1588</v>
      </c>
      <c r="E3090">
        <v>491</v>
      </c>
      <c r="F3090">
        <v>1</v>
      </c>
      <c r="G3090">
        <v>318.89771199878999</v>
      </c>
      <c r="H3090">
        <v>2</v>
      </c>
      <c r="I3090">
        <v>59</v>
      </c>
      <c r="K3090" t="s">
        <v>2386</v>
      </c>
      <c r="L3090">
        <v>20</v>
      </c>
      <c r="M3090" t="s">
        <v>3934</v>
      </c>
      <c r="N3090" t="s">
        <v>2388</v>
      </c>
      <c r="O3090">
        <v>1</v>
      </c>
    </row>
    <row r="3091" spans="2:15" x14ac:dyDescent="0.3">
      <c r="B3091">
        <v>3151</v>
      </c>
      <c r="D3091">
        <v>491</v>
      </c>
      <c r="E3091">
        <v>1588</v>
      </c>
      <c r="F3091">
        <v>1</v>
      </c>
      <c r="G3091">
        <v>318.89771199878999</v>
      </c>
      <c r="H3091">
        <v>2</v>
      </c>
      <c r="I3091">
        <v>59</v>
      </c>
      <c r="K3091" t="s">
        <v>2386</v>
      </c>
      <c r="L3091">
        <v>20</v>
      </c>
      <c r="M3091" t="s">
        <v>3935</v>
      </c>
      <c r="N3091" t="s">
        <v>2388</v>
      </c>
      <c r="O3091">
        <v>1</v>
      </c>
    </row>
    <row r="3092" spans="2:15" x14ac:dyDescent="0.3">
      <c r="B3092">
        <v>3152</v>
      </c>
      <c r="D3092">
        <v>1589</v>
      </c>
      <c r="E3092">
        <v>491</v>
      </c>
      <c r="F3092">
        <v>1</v>
      </c>
      <c r="G3092">
        <v>277.41645760580798</v>
      </c>
      <c r="H3092">
        <v>2</v>
      </c>
      <c r="I3092">
        <v>59</v>
      </c>
      <c r="K3092" t="s">
        <v>2386</v>
      </c>
      <c r="L3092">
        <v>20</v>
      </c>
      <c r="M3092" t="s">
        <v>3936</v>
      </c>
      <c r="N3092" t="s">
        <v>2388</v>
      </c>
      <c r="O3092">
        <v>1</v>
      </c>
    </row>
    <row r="3093" spans="2:15" x14ac:dyDescent="0.3">
      <c r="B3093">
        <v>3153</v>
      </c>
      <c r="D3093">
        <v>491</v>
      </c>
      <c r="E3093">
        <v>1589</v>
      </c>
      <c r="F3093">
        <v>1</v>
      </c>
      <c r="G3093">
        <v>277.41645760580798</v>
      </c>
      <c r="H3093">
        <v>2</v>
      </c>
      <c r="I3093">
        <v>59</v>
      </c>
      <c r="K3093" t="s">
        <v>2386</v>
      </c>
      <c r="L3093">
        <v>20</v>
      </c>
      <c r="M3093" t="s">
        <v>3937</v>
      </c>
      <c r="N3093" t="s">
        <v>2388</v>
      </c>
      <c r="O3093">
        <v>1</v>
      </c>
    </row>
    <row r="3094" spans="2:15" x14ac:dyDescent="0.3">
      <c r="B3094">
        <v>3154</v>
      </c>
      <c r="D3094">
        <v>1590</v>
      </c>
      <c r="E3094">
        <v>491</v>
      </c>
      <c r="F3094">
        <v>1</v>
      </c>
      <c r="G3094">
        <v>286.79110051822602</v>
      </c>
      <c r="H3094">
        <v>2</v>
      </c>
      <c r="I3094">
        <v>59</v>
      </c>
      <c r="K3094" t="s">
        <v>2386</v>
      </c>
      <c r="L3094">
        <v>20</v>
      </c>
      <c r="M3094" t="s">
        <v>3938</v>
      </c>
      <c r="N3094" t="s">
        <v>2388</v>
      </c>
      <c r="O3094">
        <v>1</v>
      </c>
    </row>
    <row r="3095" spans="2:15" x14ac:dyDescent="0.3">
      <c r="B3095">
        <v>3155</v>
      </c>
      <c r="D3095">
        <v>491</v>
      </c>
      <c r="E3095">
        <v>1590</v>
      </c>
      <c r="F3095">
        <v>1</v>
      </c>
      <c r="G3095">
        <v>286.79110051822602</v>
      </c>
      <c r="H3095">
        <v>2</v>
      </c>
      <c r="I3095">
        <v>59</v>
      </c>
      <c r="K3095" t="s">
        <v>2386</v>
      </c>
      <c r="L3095">
        <v>20</v>
      </c>
      <c r="M3095" t="s">
        <v>3939</v>
      </c>
      <c r="N3095" t="s">
        <v>2388</v>
      </c>
      <c r="O3095">
        <v>1</v>
      </c>
    </row>
    <row r="3096" spans="2:15" x14ac:dyDescent="0.3">
      <c r="B3096">
        <v>3156</v>
      </c>
      <c r="D3096">
        <v>1591</v>
      </c>
      <c r="E3096">
        <v>491</v>
      </c>
      <c r="F3096">
        <v>1</v>
      </c>
      <c r="G3096">
        <v>289.15246588549599</v>
      </c>
      <c r="H3096">
        <v>2</v>
      </c>
      <c r="I3096">
        <v>59</v>
      </c>
      <c r="K3096" t="s">
        <v>2386</v>
      </c>
      <c r="L3096">
        <v>20</v>
      </c>
      <c r="M3096" t="s">
        <v>3940</v>
      </c>
      <c r="N3096" t="s">
        <v>2388</v>
      </c>
      <c r="O3096">
        <v>1</v>
      </c>
    </row>
    <row r="3097" spans="2:15" x14ac:dyDescent="0.3">
      <c r="B3097">
        <v>3157</v>
      </c>
      <c r="D3097">
        <v>491</v>
      </c>
      <c r="E3097">
        <v>1591</v>
      </c>
      <c r="F3097">
        <v>1</v>
      </c>
      <c r="G3097">
        <v>289.15246588549599</v>
      </c>
      <c r="H3097">
        <v>2</v>
      </c>
      <c r="I3097">
        <v>59</v>
      </c>
      <c r="K3097" t="s">
        <v>2386</v>
      </c>
      <c r="L3097">
        <v>20</v>
      </c>
      <c r="M3097" t="s">
        <v>3941</v>
      </c>
      <c r="N3097" t="s">
        <v>2388</v>
      </c>
      <c r="O3097">
        <v>1</v>
      </c>
    </row>
    <row r="3098" spans="2:15" x14ac:dyDescent="0.3">
      <c r="B3098">
        <v>3158</v>
      </c>
      <c r="D3098">
        <v>1592</v>
      </c>
      <c r="E3098">
        <v>491</v>
      </c>
      <c r="F3098">
        <v>1</v>
      </c>
      <c r="G3098">
        <v>279.379956313354</v>
      </c>
      <c r="H3098">
        <v>2</v>
      </c>
      <c r="I3098">
        <v>59</v>
      </c>
      <c r="K3098" t="s">
        <v>2386</v>
      </c>
      <c r="L3098">
        <v>20</v>
      </c>
      <c r="M3098" t="s">
        <v>3942</v>
      </c>
      <c r="N3098" t="s">
        <v>2388</v>
      </c>
      <c r="O3098">
        <v>1</v>
      </c>
    </row>
    <row r="3099" spans="2:15" x14ac:dyDescent="0.3">
      <c r="B3099">
        <v>3159</v>
      </c>
      <c r="D3099">
        <v>491</v>
      </c>
      <c r="E3099">
        <v>1592</v>
      </c>
      <c r="F3099">
        <v>1</v>
      </c>
      <c r="G3099">
        <v>279.379956313354</v>
      </c>
      <c r="H3099">
        <v>2</v>
      </c>
      <c r="I3099">
        <v>59</v>
      </c>
      <c r="K3099" t="s">
        <v>2386</v>
      </c>
      <c r="L3099">
        <v>20</v>
      </c>
      <c r="M3099" t="s">
        <v>3943</v>
      </c>
      <c r="N3099" t="s">
        <v>2388</v>
      </c>
      <c r="O3099">
        <v>1</v>
      </c>
    </row>
    <row r="3100" spans="2:15" x14ac:dyDescent="0.3">
      <c r="B3100">
        <v>3160</v>
      </c>
      <c r="D3100">
        <v>1593</v>
      </c>
      <c r="E3100">
        <v>491</v>
      </c>
      <c r="F3100">
        <v>1</v>
      </c>
      <c r="G3100">
        <v>281.37110491132898</v>
      </c>
      <c r="H3100">
        <v>2</v>
      </c>
      <c r="I3100">
        <v>59</v>
      </c>
      <c r="K3100" t="s">
        <v>2386</v>
      </c>
      <c r="L3100">
        <v>20</v>
      </c>
      <c r="M3100" t="s">
        <v>3944</v>
      </c>
      <c r="N3100" t="s">
        <v>2388</v>
      </c>
      <c r="O3100">
        <v>1</v>
      </c>
    </row>
    <row r="3101" spans="2:15" x14ac:dyDescent="0.3">
      <c r="B3101">
        <v>3161</v>
      </c>
      <c r="D3101">
        <v>491</v>
      </c>
      <c r="E3101">
        <v>1593</v>
      </c>
      <c r="F3101">
        <v>1</v>
      </c>
      <c r="G3101">
        <v>281.37110491132898</v>
      </c>
      <c r="H3101">
        <v>2</v>
      </c>
      <c r="I3101">
        <v>59</v>
      </c>
      <c r="K3101" t="s">
        <v>2386</v>
      </c>
      <c r="L3101">
        <v>20</v>
      </c>
      <c r="M3101" t="s">
        <v>3945</v>
      </c>
      <c r="N3101" t="s">
        <v>2388</v>
      </c>
      <c r="O3101">
        <v>1</v>
      </c>
    </row>
    <row r="3102" spans="2:15" x14ac:dyDescent="0.3">
      <c r="B3102">
        <v>3162</v>
      </c>
      <c r="D3102">
        <v>1594</v>
      </c>
      <c r="E3102">
        <v>491</v>
      </c>
      <c r="F3102">
        <v>1</v>
      </c>
      <c r="G3102">
        <v>291.07663761260102</v>
      </c>
      <c r="H3102">
        <v>2</v>
      </c>
      <c r="I3102">
        <v>59</v>
      </c>
      <c r="K3102" t="s">
        <v>2386</v>
      </c>
      <c r="L3102">
        <v>20</v>
      </c>
      <c r="M3102" t="s">
        <v>3946</v>
      </c>
      <c r="N3102" t="s">
        <v>2388</v>
      </c>
      <c r="O3102">
        <v>1</v>
      </c>
    </row>
    <row r="3103" spans="2:15" x14ac:dyDescent="0.3">
      <c r="B3103">
        <v>3163</v>
      </c>
      <c r="D3103">
        <v>491</v>
      </c>
      <c r="E3103">
        <v>1594</v>
      </c>
      <c r="F3103">
        <v>1</v>
      </c>
      <c r="G3103">
        <v>291.07663761260102</v>
      </c>
      <c r="H3103">
        <v>2</v>
      </c>
      <c r="I3103">
        <v>59</v>
      </c>
      <c r="K3103" t="s">
        <v>2386</v>
      </c>
      <c r="L3103">
        <v>20</v>
      </c>
      <c r="M3103" t="s">
        <v>3947</v>
      </c>
      <c r="N3103" t="s">
        <v>2388</v>
      </c>
      <c r="O3103">
        <v>1</v>
      </c>
    </row>
    <row r="3104" spans="2:15" x14ac:dyDescent="0.3">
      <c r="B3104">
        <v>3164</v>
      </c>
      <c r="D3104">
        <v>1595</v>
      </c>
      <c r="E3104">
        <v>491</v>
      </c>
      <c r="F3104">
        <v>1</v>
      </c>
      <c r="G3104">
        <v>292.52083979524798</v>
      </c>
      <c r="H3104">
        <v>2</v>
      </c>
      <c r="I3104">
        <v>59</v>
      </c>
      <c r="K3104" t="s">
        <v>2386</v>
      </c>
      <c r="L3104">
        <v>20</v>
      </c>
      <c r="M3104" t="s">
        <v>3948</v>
      </c>
      <c r="N3104" t="s">
        <v>2388</v>
      </c>
      <c r="O3104">
        <v>1</v>
      </c>
    </row>
    <row r="3105" spans="2:15" x14ac:dyDescent="0.3">
      <c r="B3105">
        <v>3165</v>
      </c>
      <c r="D3105">
        <v>491</v>
      </c>
      <c r="E3105">
        <v>1595</v>
      </c>
      <c r="F3105">
        <v>1</v>
      </c>
      <c r="G3105">
        <v>292.52083979524798</v>
      </c>
      <c r="H3105">
        <v>2</v>
      </c>
      <c r="I3105">
        <v>59</v>
      </c>
      <c r="K3105" t="s">
        <v>2386</v>
      </c>
      <c r="L3105">
        <v>20</v>
      </c>
      <c r="M3105" t="s">
        <v>3949</v>
      </c>
      <c r="N3105" t="s">
        <v>2388</v>
      </c>
      <c r="O3105">
        <v>1</v>
      </c>
    </row>
    <row r="3106" spans="2:15" x14ac:dyDescent="0.3">
      <c r="B3106">
        <v>3166</v>
      </c>
      <c r="D3106">
        <v>1596</v>
      </c>
      <c r="E3106">
        <v>491</v>
      </c>
      <c r="F3106">
        <v>1</v>
      </c>
      <c r="G3106">
        <v>283.32867172510697</v>
      </c>
      <c r="H3106">
        <v>2</v>
      </c>
      <c r="I3106">
        <v>59</v>
      </c>
      <c r="K3106" t="s">
        <v>2386</v>
      </c>
      <c r="L3106">
        <v>20</v>
      </c>
      <c r="M3106" t="s">
        <v>3950</v>
      </c>
      <c r="N3106" t="s">
        <v>2388</v>
      </c>
      <c r="O3106">
        <v>1</v>
      </c>
    </row>
    <row r="3107" spans="2:15" x14ac:dyDescent="0.3">
      <c r="B3107">
        <v>3167</v>
      </c>
      <c r="D3107">
        <v>491</v>
      </c>
      <c r="E3107">
        <v>1596</v>
      </c>
      <c r="F3107">
        <v>1</v>
      </c>
      <c r="G3107">
        <v>283.32867172510697</v>
      </c>
      <c r="H3107">
        <v>2</v>
      </c>
      <c r="I3107">
        <v>59</v>
      </c>
      <c r="K3107" t="s">
        <v>2386</v>
      </c>
      <c r="L3107">
        <v>20</v>
      </c>
      <c r="M3107" t="s">
        <v>3951</v>
      </c>
      <c r="N3107" t="s">
        <v>2388</v>
      </c>
      <c r="O3107">
        <v>1</v>
      </c>
    </row>
    <row r="3108" spans="2:15" x14ac:dyDescent="0.3">
      <c r="B3108">
        <v>3168</v>
      </c>
      <c r="D3108">
        <v>1597</v>
      </c>
      <c r="E3108">
        <v>491</v>
      </c>
      <c r="F3108">
        <v>1</v>
      </c>
      <c r="G3108">
        <v>285.31765522433398</v>
      </c>
      <c r="H3108">
        <v>2</v>
      </c>
      <c r="I3108">
        <v>59</v>
      </c>
      <c r="K3108" t="s">
        <v>2386</v>
      </c>
      <c r="L3108">
        <v>20</v>
      </c>
      <c r="M3108" t="s">
        <v>3952</v>
      </c>
      <c r="N3108" t="s">
        <v>2388</v>
      </c>
      <c r="O3108">
        <v>1</v>
      </c>
    </row>
    <row r="3109" spans="2:15" x14ac:dyDescent="0.3">
      <c r="B3109">
        <v>3169</v>
      </c>
      <c r="D3109">
        <v>491</v>
      </c>
      <c r="E3109">
        <v>1597</v>
      </c>
      <c r="F3109">
        <v>1</v>
      </c>
      <c r="G3109">
        <v>285.31765522433398</v>
      </c>
      <c r="H3109">
        <v>2</v>
      </c>
      <c r="I3109">
        <v>59</v>
      </c>
      <c r="K3109" t="s">
        <v>2386</v>
      </c>
      <c r="L3109">
        <v>20</v>
      </c>
      <c r="M3109" t="s">
        <v>3953</v>
      </c>
      <c r="N3109" t="s">
        <v>2388</v>
      </c>
      <c r="O3109">
        <v>1</v>
      </c>
    </row>
    <row r="3110" spans="2:15" x14ac:dyDescent="0.3">
      <c r="B3110">
        <v>3170</v>
      </c>
      <c r="D3110">
        <v>1598</v>
      </c>
      <c r="E3110">
        <v>491</v>
      </c>
      <c r="F3110">
        <v>1</v>
      </c>
      <c r="G3110">
        <v>294.89509637980399</v>
      </c>
      <c r="H3110">
        <v>2</v>
      </c>
      <c r="I3110">
        <v>59</v>
      </c>
      <c r="K3110" t="s">
        <v>2386</v>
      </c>
      <c r="L3110">
        <v>20</v>
      </c>
      <c r="M3110" t="s">
        <v>3954</v>
      </c>
      <c r="N3110" t="s">
        <v>2388</v>
      </c>
      <c r="O3110">
        <v>1</v>
      </c>
    </row>
    <row r="3111" spans="2:15" x14ac:dyDescent="0.3">
      <c r="B3111">
        <v>3171</v>
      </c>
      <c r="D3111">
        <v>491</v>
      </c>
      <c r="E3111">
        <v>1598</v>
      </c>
      <c r="F3111">
        <v>1</v>
      </c>
      <c r="G3111">
        <v>294.89509637980399</v>
      </c>
      <c r="H3111">
        <v>2</v>
      </c>
      <c r="I3111">
        <v>59</v>
      </c>
      <c r="K3111" t="s">
        <v>2386</v>
      </c>
      <c r="L3111">
        <v>20</v>
      </c>
      <c r="M3111" t="s">
        <v>3955</v>
      </c>
      <c r="N3111" t="s">
        <v>2388</v>
      </c>
      <c r="O3111">
        <v>1</v>
      </c>
    </row>
    <row r="3112" spans="2:15" x14ac:dyDescent="0.3">
      <c r="B3112">
        <v>3172</v>
      </c>
      <c r="D3112">
        <v>1599</v>
      </c>
      <c r="E3112">
        <v>491</v>
      </c>
      <c r="F3112">
        <v>1</v>
      </c>
      <c r="G3112">
        <v>296.98777167857997</v>
      </c>
      <c r="H3112">
        <v>2</v>
      </c>
      <c r="I3112">
        <v>59</v>
      </c>
      <c r="K3112" t="s">
        <v>2386</v>
      </c>
      <c r="L3112">
        <v>20</v>
      </c>
      <c r="M3112" t="s">
        <v>3956</v>
      </c>
      <c r="N3112" t="s">
        <v>2388</v>
      </c>
      <c r="O3112">
        <v>1</v>
      </c>
    </row>
    <row r="3113" spans="2:15" x14ac:dyDescent="0.3">
      <c r="B3113">
        <v>3173</v>
      </c>
      <c r="D3113">
        <v>491</v>
      </c>
      <c r="E3113">
        <v>1599</v>
      </c>
      <c r="F3113">
        <v>1</v>
      </c>
      <c r="G3113">
        <v>296.98777167857997</v>
      </c>
      <c r="H3113">
        <v>2</v>
      </c>
      <c r="I3113">
        <v>59</v>
      </c>
      <c r="K3113" t="s">
        <v>2386</v>
      </c>
      <c r="L3113">
        <v>20</v>
      </c>
      <c r="M3113" t="s">
        <v>3957</v>
      </c>
      <c r="N3113" t="s">
        <v>2388</v>
      </c>
      <c r="O3113">
        <v>1</v>
      </c>
    </row>
    <row r="3114" spans="2:15" x14ac:dyDescent="0.3">
      <c r="B3114">
        <v>3174</v>
      </c>
      <c r="D3114">
        <v>1600</v>
      </c>
      <c r="E3114">
        <v>491</v>
      </c>
      <c r="F3114">
        <v>1</v>
      </c>
      <c r="G3114">
        <v>287.48176923535601</v>
      </c>
      <c r="H3114">
        <v>2</v>
      </c>
      <c r="I3114">
        <v>59</v>
      </c>
      <c r="K3114" t="s">
        <v>2386</v>
      </c>
      <c r="L3114">
        <v>20</v>
      </c>
      <c r="M3114" t="s">
        <v>3958</v>
      </c>
      <c r="N3114" t="s">
        <v>2388</v>
      </c>
      <c r="O3114">
        <v>1</v>
      </c>
    </row>
    <row r="3115" spans="2:15" x14ac:dyDescent="0.3">
      <c r="B3115">
        <v>3175</v>
      </c>
      <c r="D3115">
        <v>491</v>
      </c>
      <c r="E3115">
        <v>1600</v>
      </c>
      <c r="F3115">
        <v>1</v>
      </c>
      <c r="G3115">
        <v>287.48176923535601</v>
      </c>
      <c r="H3115">
        <v>2</v>
      </c>
      <c r="I3115">
        <v>59</v>
      </c>
      <c r="K3115" t="s">
        <v>2386</v>
      </c>
      <c r="L3115">
        <v>20</v>
      </c>
      <c r="M3115" t="s">
        <v>3959</v>
      </c>
      <c r="N3115" t="s">
        <v>2388</v>
      </c>
      <c r="O3115">
        <v>1</v>
      </c>
    </row>
    <row r="3116" spans="2:15" x14ac:dyDescent="0.3">
      <c r="B3116">
        <v>3176</v>
      </c>
      <c r="D3116">
        <v>1601</v>
      </c>
      <c r="E3116">
        <v>491</v>
      </c>
      <c r="F3116">
        <v>1</v>
      </c>
      <c r="G3116">
        <v>289.51586627796502</v>
      </c>
      <c r="H3116">
        <v>2</v>
      </c>
      <c r="I3116">
        <v>59</v>
      </c>
      <c r="K3116" t="s">
        <v>2386</v>
      </c>
      <c r="L3116">
        <v>20</v>
      </c>
      <c r="M3116" t="s">
        <v>3960</v>
      </c>
      <c r="N3116" t="s">
        <v>2388</v>
      </c>
      <c r="O3116">
        <v>1</v>
      </c>
    </row>
    <row r="3117" spans="2:15" x14ac:dyDescent="0.3">
      <c r="B3117">
        <v>3177</v>
      </c>
      <c r="D3117">
        <v>491</v>
      </c>
      <c r="E3117">
        <v>1601</v>
      </c>
      <c r="F3117">
        <v>1</v>
      </c>
      <c r="G3117">
        <v>289.51586627796502</v>
      </c>
      <c r="H3117">
        <v>2</v>
      </c>
      <c r="I3117">
        <v>59</v>
      </c>
      <c r="K3117" t="s">
        <v>2386</v>
      </c>
      <c r="L3117">
        <v>20</v>
      </c>
      <c r="M3117" t="s">
        <v>3961</v>
      </c>
      <c r="N3117" t="s">
        <v>2388</v>
      </c>
      <c r="O3117">
        <v>1</v>
      </c>
    </row>
    <row r="3118" spans="2:15" x14ac:dyDescent="0.3">
      <c r="B3118">
        <v>3178</v>
      </c>
      <c r="D3118">
        <v>1602</v>
      </c>
      <c r="E3118">
        <v>491</v>
      </c>
      <c r="F3118">
        <v>1</v>
      </c>
      <c r="G3118">
        <v>298.56647558172801</v>
      </c>
      <c r="H3118">
        <v>2</v>
      </c>
      <c r="I3118">
        <v>59</v>
      </c>
      <c r="K3118" t="s">
        <v>2386</v>
      </c>
      <c r="L3118">
        <v>20</v>
      </c>
      <c r="M3118" t="s">
        <v>3962</v>
      </c>
      <c r="N3118" t="s">
        <v>2388</v>
      </c>
      <c r="O3118">
        <v>1</v>
      </c>
    </row>
    <row r="3119" spans="2:15" x14ac:dyDescent="0.3">
      <c r="B3119">
        <v>3179</v>
      </c>
      <c r="D3119">
        <v>491</v>
      </c>
      <c r="E3119">
        <v>1602</v>
      </c>
      <c r="F3119">
        <v>1</v>
      </c>
      <c r="G3119">
        <v>298.56647558172801</v>
      </c>
      <c r="H3119">
        <v>2</v>
      </c>
      <c r="I3119">
        <v>59</v>
      </c>
      <c r="K3119" t="s">
        <v>2386</v>
      </c>
      <c r="L3119">
        <v>20</v>
      </c>
      <c r="M3119" t="s">
        <v>3963</v>
      </c>
      <c r="N3119" t="s">
        <v>2388</v>
      </c>
      <c r="O3119">
        <v>1</v>
      </c>
    </row>
    <row r="3120" spans="2:15" x14ac:dyDescent="0.3">
      <c r="B3120">
        <v>3180</v>
      </c>
      <c r="D3120">
        <v>1603</v>
      </c>
      <c r="E3120">
        <v>491</v>
      </c>
      <c r="F3120">
        <v>1</v>
      </c>
      <c r="G3120">
        <v>291.49440210652699</v>
      </c>
      <c r="H3120">
        <v>2</v>
      </c>
      <c r="I3120">
        <v>59</v>
      </c>
      <c r="K3120" t="s">
        <v>2386</v>
      </c>
      <c r="L3120">
        <v>20</v>
      </c>
      <c r="M3120" t="s">
        <v>3964</v>
      </c>
      <c r="N3120" t="s">
        <v>2388</v>
      </c>
      <c r="O3120">
        <v>1</v>
      </c>
    </row>
    <row r="3121" spans="2:15" x14ac:dyDescent="0.3">
      <c r="B3121">
        <v>3181</v>
      </c>
      <c r="D3121">
        <v>491</v>
      </c>
      <c r="E3121">
        <v>1603</v>
      </c>
      <c r="F3121">
        <v>1</v>
      </c>
      <c r="G3121">
        <v>291.49440210652699</v>
      </c>
      <c r="H3121">
        <v>2</v>
      </c>
      <c r="I3121">
        <v>59</v>
      </c>
      <c r="K3121" t="s">
        <v>2386</v>
      </c>
      <c r="L3121">
        <v>20</v>
      </c>
      <c r="M3121" t="s">
        <v>3965</v>
      </c>
      <c r="N3121" t="s">
        <v>2388</v>
      </c>
      <c r="O3121">
        <v>1</v>
      </c>
    </row>
    <row r="3122" spans="2:15" x14ac:dyDescent="0.3">
      <c r="B3122">
        <v>3182</v>
      </c>
      <c r="D3122">
        <v>1604</v>
      </c>
      <c r="E3122">
        <v>491</v>
      </c>
      <c r="F3122">
        <v>1</v>
      </c>
      <c r="G3122">
        <v>300.87781952504298</v>
      </c>
      <c r="H3122">
        <v>2</v>
      </c>
      <c r="I3122">
        <v>59</v>
      </c>
      <c r="K3122" t="s">
        <v>2386</v>
      </c>
      <c r="L3122">
        <v>20</v>
      </c>
      <c r="M3122" t="s">
        <v>3966</v>
      </c>
      <c r="N3122" t="s">
        <v>2388</v>
      </c>
      <c r="O3122">
        <v>1</v>
      </c>
    </row>
    <row r="3123" spans="2:15" x14ac:dyDescent="0.3">
      <c r="B3123">
        <v>3183</v>
      </c>
      <c r="D3123">
        <v>491</v>
      </c>
      <c r="E3123">
        <v>1604</v>
      </c>
      <c r="F3123">
        <v>1</v>
      </c>
      <c r="G3123">
        <v>300.87781952504298</v>
      </c>
      <c r="H3123">
        <v>2</v>
      </c>
      <c r="I3123">
        <v>59</v>
      </c>
      <c r="K3123" t="s">
        <v>2386</v>
      </c>
      <c r="L3123">
        <v>20</v>
      </c>
      <c r="M3123" t="s">
        <v>3967</v>
      </c>
      <c r="N3123" t="s">
        <v>2388</v>
      </c>
      <c r="O3123">
        <v>1</v>
      </c>
    </row>
    <row r="3124" spans="2:15" x14ac:dyDescent="0.3">
      <c r="B3124">
        <v>3184</v>
      </c>
      <c r="D3124">
        <v>1605</v>
      </c>
      <c r="E3124">
        <v>491</v>
      </c>
      <c r="F3124">
        <v>1</v>
      </c>
      <c r="G3124">
        <v>303.04314363141998</v>
      </c>
      <c r="H3124">
        <v>2</v>
      </c>
      <c r="I3124">
        <v>59</v>
      </c>
      <c r="K3124" t="s">
        <v>2386</v>
      </c>
      <c r="L3124">
        <v>20</v>
      </c>
      <c r="M3124" t="s">
        <v>3968</v>
      </c>
      <c r="N3124" t="s">
        <v>2388</v>
      </c>
      <c r="O3124">
        <v>1</v>
      </c>
    </row>
    <row r="3125" spans="2:15" x14ac:dyDescent="0.3">
      <c r="B3125">
        <v>3185</v>
      </c>
      <c r="D3125">
        <v>491</v>
      </c>
      <c r="E3125">
        <v>1605</v>
      </c>
      <c r="F3125">
        <v>1</v>
      </c>
      <c r="G3125">
        <v>303.04314363141998</v>
      </c>
      <c r="H3125">
        <v>2</v>
      </c>
      <c r="I3125">
        <v>59</v>
      </c>
      <c r="K3125" t="s">
        <v>2386</v>
      </c>
      <c r="L3125">
        <v>20</v>
      </c>
      <c r="M3125" t="s">
        <v>3969</v>
      </c>
      <c r="N3125" t="s">
        <v>2388</v>
      </c>
      <c r="O3125">
        <v>1</v>
      </c>
    </row>
    <row r="3126" spans="2:15" x14ac:dyDescent="0.3">
      <c r="B3126">
        <v>3186</v>
      </c>
      <c r="D3126">
        <v>1606</v>
      </c>
      <c r="E3126">
        <v>491</v>
      </c>
      <c r="F3126">
        <v>1</v>
      </c>
      <c r="G3126">
        <v>293.73393474752498</v>
      </c>
      <c r="H3126">
        <v>2</v>
      </c>
      <c r="I3126">
        <v>59</v>
      </c>
      <c r="K3126" t="s">
        <v>2386</v>
      </c>
      <c r="L3126">
        <v>20</v>
      </c>
      <c r="M3126" t="s">
        <v>3970</v>
      </c>
      <c r="N3126" t="s">
        <v>2388</v>
      </c>
      <c r="O3126">
        <v>1</v>
      </c>
    </row>
    <row r="3127" spans="2:15" x14ac:dyDescent="0.3">
      <c r="B3127">
        <v>3187</v>
      </c>
      <c r="D3127">
        <v>491</v>
      </c>
      <c r="E3127">
        <v>1606</v>
      </c>
      <c r="F3127">
        <v>1</v>
      </c>
      <c r="G3127">
        <v>293.73393474752498</v>
      </c>
      <c r="H3127">
        <v>2</v>
      </c>
      <c r="I3127">
        <v>59</v>
      </c>
      <c r="K3127" t="s">
        <v>2386</v>
      </c>
      <c r="L3127">
        <v>20</v>
      </c>
      <c r="M3127" t="s">
        <v>3971</v>
      </c>
      <c r="N3127" t="s">
        <v>2388</v>
      </c>
      <c r="O3127">
        <v>1</v>
      </c>
    </row>
    <row r="3128" spans="2:15" x14ac:dyDescent="0.3">
      <c r="B3128">
        <v>3188</v>
      </c>
      <c r="D3128">
        <v>1607</v>
      </c>
      <c r="E3128">
        <v>491</v>
      </c>
      <c r="F3128">
        <v>1</v>
      </c>
      <c r="G3128">
        <v>254.92372475649401</v>
      </c>
      <c r="H3128">
        <v>2</v>
      </c>
      <c r="I3128">
        <v>59</v>
      </c>
      <c r="K3128" t="s">
        <v>2386</v>
      </c>
      <c r="L3128">
        <v>20</v>
      </c>
      <c r="M3128" t="s">
        <v>3972</v>
      </c>
      <c r="N3128" t="s">
        <v>2388</v>
      </c>
      <c r="O3128">
        <v>1</v>
      </c>
    </row>
    <row r="3129" spans="2:15" x14ac:dyDescent="0.3">
      <c r="B3129">
        <v>3189</v>
      </c>
      <c r="D3129">
        <v>491</v>
      </c>
      <c r="E3129">
        <v>1607</v>
      </c>
      <c r="F3129">
        <v>1</v>
      </c>
      <c r="G3129">
        <v>254.92372475649401</v>
      </c>
      <c r="H3129">
        <v>2</v>
      </c>
      <c r="I3129">
        <v>59</v>
      </c>
      <c r="K3129" t="s">
        <v>2386</v>
      </c>
      <c r="L3129">
        <v>20</v>
      </c>
      <c r="M3129" t="s">
        <v>3973</v>
      </c>
      <c r="N3129" t="s">
        <v>2388</v>
      </c>
      <c r="O3129">
        <v>1</v>
      </c>
    </row>
    <row r="3130" spans="2:15" x14ac:dyDescent="0.3">
      <c r="B3130">
        <v>3190</v>
      </c>
      <c r="D3130">
        <v>1608</v>
      </c>
      <c r="E3130">
        <v>491</v>
      </c>
      <c r="F3130">
        <v>1</v>
      </c>
      <c r="G3130">
        <v>259.95989100117998</v>
      </c>
      <c r="H3130">
        <v>2</v>
      </c>
      <c r="I3130">
        <v>59</v>
      </c>
      <c r="K3130" t="s">
        <v>2386</v>
      </c>
      <c r="L3130">
        <v>20</v>
      </c>
      <c r="M3130" t="s">
        <v>3974</v>
      </c>
      <c r="N3130" t="s">
        <v>2388</v>
      </c>
      <c r="O3130">
        <v>1</v>
      </c>
    </row>
    <row r="3131" spans="2:15" x14ac:dyDescent="0.3">
      <c r="B3131">
        <v>3191</v>
      </c>
      <c r="D3131">
        <v>491</v>
      </c>
      <c r="E3131">
        <v>1608</v>
      </c>
      <c r="F3131">
        <v>1</v>
      </c>
      <c r="G3131">
        <v>259.95989100117998</v>
      </c>
      <c r="H3131">
        <v>2</v>
      </c>
      <c r="I3131">
        <v>59</v>
      </c>
      <c r="K3131" t="s">
        <v>2386</v>
      </c>
      <c r="L3131">
        <v>20</v>
      </c>
      <c r="M3131" t="s">
        <v>3975</v>
      </c>
      <c r="N3131" t="s">
        <v>2388</v>
      </c>
      <c r="O3131">
        <v>1</v>
      </c>
    </row>
    <row r="3132" spans="2:15" x14ac:dyDescent="0.3">
      <c r="B3132">
        <v>3192</v>
      </c>
      <c r="D3132">
        <v>1609</v>
      </c>
      <c r="E3132">
        <v>491</v>
      </c>
      <c r="F3132">
        <v>1</v>
      </c>
      <c r="G3132">
        <v>264.93337044907099</v>
      </c>
      <c r="H3132">
        <v>2</v>
      </c>
      <c r="I3132">
        <v>59</v>
      </c>
      <c r="K3132" t="s">
        <v>2386</v>
      </c>
      <c r="L3132">
        <v>20</v>
      </c>
      <c r="M3132" t="s">
        <v>3976</v>
      </c>
      <c r="N3132" t="s">
        <v>2388</v>
      </c>
      <c r="O3132">
        <v>1</v>
      </c>
    </row>
    <row r="3133" spans="2:15" x14ac:dyDescent="0.3">
      <c r="B3133">
        <v>3193</v>
      </c>
      <c r="D3133">
        <v>491</v>
      </c>
      <c r="E3133">
        <v>1609</v>
      </c>
      <c r="F3133">
        <v>1</v>
      </c>
      <c r="G3133">
        <v>264.93337044907099</v>
      </c>
      <c r="H3133">
        <v>2</v>
      </c>
      <c r="I3133">
        <v>59</v>
      </c>
      <c r="K3133" t="s">
        <v>2386</v>
      </c>
      <c r="L3133">
        <v>20</v>
      </c>
      <c r="M3133" t="s">
        <v>3977</v>
      </c>
      <c r="N3133" t="s">
        <v>2388</v>
      </c>
      <c r="O3133">
        <v>1</v>
      </c>
    </row>
    <row r="3134" spans="2:15" x14ac:dyDescent="0.3">
      <c r="B3134">
        <v>3194</v>
      </c>
      <c r="D3134">
        <v>1610</v>
      </c>
      <c r="E3134">
        <v>491</v>
      </c>
      <c r="F3134">
        <v>1</v>
      </c>
      <c r="G3134">
        <v>269.85833284824002</v>
      </c>
      <c r="H3134">
        <v>2</v>
      </c>
      <c r="I3134">
        <v>59</v>
      </c>
      <c r="K3134" t="s">
        <v>2386</v>
      </c>
      <c r="L3134">
        <v>20</v>
      </c>
      <c r="M3134" t="s">
        <v>3978</v>
      </c>
      <c r="N3134" t="s">
        <v>2388</v>
      </c>
      <c r="O3134">
        <v>1</v>
      </c>
    </row>
    <row r="3135" spans="2:15" x14ac:dyDescent="0.3">
      <c r="B3135">
        <v>3195</v>
      </c>
      <c r="D3135">
        <v>491</v>
      </c>
      <c r="E3135">
        <v>1610</v>
      </c>
      <c r="F3135">
        <v>1</v>
      </c>
      <c r="G3135">
        <v>269.85833284824002</v>
      </c>
      <c r="H3135">
        <v>2</v>
      </c>
      <c r="I3135">
        <v>59</v>
      </c>
      <c r="K3135" t="s">
        <v>2386</v>
      </c>
      <c r="L3135">
        <v>20</v>
      </c>
      <c r="M3135" t="s">
        <v>3979</v>
      </c>
      <c r="N3135" t="s">
        <v>2388</v>
      </c>
      <c r="O3135">
        <v>1</v>
      </c>
    </row>
    <row r="3136" spans="2:15" x14ac:dyDescent="0.3">
      <c r="B3136">
        <v>3196</v>
      </c>
      <c r="D3136">
        <v>1611</v>
      </c>
      <c r="E3136">
        <v>491</v>
      </c>
      <c r="F3136">
        <v>1</v>
      </c>
      <c r="G3136">
        <v>275.23085183771701</v>
      </c>
      <c r="H3136">
        <v>2</v>
      </c>
      <c r="I3136">
        <v>59</v>
      </c>
      <c r="K3136" t="s">
        <v>2386</v>
      </c>
      <c r="L3136">
        <v>20</v>
      </c>
      <c r="M3136" t="s">
        <v>3980</v>
      </c>
      <c r="N3136" t="s">
        <v>2388</v>
      </c>
      <c r="O3136">
        <v>1</v>
      </c>
    </row>
    <row r="3137" spans="2:15" x14ac:dyDescent="0.3">
      <c r="B3137">
        <v>3197</v>
      </c>
      <c r="D3137">
        <v>491</v>
      </c>
      <c r="E3137">
        <v>1611</v>
      </c>
      <c r="F3137">
        <v>1</v>
      </c>
      <c r="G3137">
        <v>275.23085183771701</v>
      </c>
      <c r="H3137">
        <v>2</v>
      </c>
      <c r="I3137">
        <v>59</v>
      </c>
      <c r="K3137" t="s">
        <v>2386</v>
      </c>
      <c r="L3137">
        <v>20</v>
      </c>
      <c r="M3137" t="s">
        <v>3981</v>
      </c>
      <c r="N3137" t="s">
        <v>2388</v>
      </c>
      <c r="O3137">
        <v>1</v>
      </c>
    </row>
    <row r="3138" spans="2:15" x14ac:dyDescent="0.3">
      <c r="B3138">
        <v>3198</v>
      </c>
      <c r="D3138">
        <v>1612</v>
      </c>
      <c r="E3138">
        <v>491</v>
      </c>
      <c r="F3138">
        <v>1</v>
      </c>
      <c r="G3138">
        <v>280.72541090820499</v>
      </c>
      <c r="H3138">
        <v>2</v>
      </c>
      <c r="I3138">
        <v>59</v>
      </c>
      <c r="K3138" t="s">
        <v>2386</v>
      </c>
      <c r="L3138">
        <v>20</v>
      </c>
      <c r="M3138" t="s">
        <v>3982</v>
      </c>
      <c r="N3138" t="s">
        <v>2388</v>
      </c>
      <c r="O3138">
        <v>1</v>
      </c>
    </row>
    <row r="3139" spans="2:15" x14ac:dyDescent="0.3">
      <c r="B3139">
        <v>3199</v>
      </c>
      <c r="D3139">
        <v>491</v>
      </c>
      <c r="E3139">
        <v>1612</v>
      </c>
      <c r="F3139">
        <v>1</v>
      </c>
      <c r="G3139">
        <v>280.72541090820499</v>
      </c>
      <c r="H3139">
        <v>2</v>
      </c>
      <c r="I3139">
        <v>59</v>
      </c>
      <c r="K3139" t="s">
        <v>2386</v>
      </c>
      <c r="L3139">
        <v>20</v>
      </c>
      <c r="M3139" t="s">
        <v>3983</v>
      </c>
      <c r="N3139" t="s">
        <v>2388</v>
      </c>
      <c r="O3139">
        <v>1</v>
      </c>
    </row>
    <row r="3140" spans="2:15" x14ac:dyDescent="0.3">
      <c r="B3140">
        <v>3200</v>
      </c>
      <c r="D3140">
        <v>1613</v>
      </c>
      <c r="E3140">
        <v>634</v>
      </c>
      <c r="F3140">
        <v>1</v>
      </c>
      <c r="G3140">
        <v>17.584303757051</v>
      </c>
      <c r="H3140">
        <v>2</v>
      </c>
      <c r="I3140">
        <v>59</v>
      </c>
      <c r="K3140" t="s">
        <v>2386</v>
      </c>
      <c r="L3140">
        <v>20</v>
      </c>
      <c r="M3140" t="s">
        <v>3984</v>
      </c>
      <c r="N3140" t="s">
        <v>2388</v>
      </c>
      <c r="O3140">
        <v>1</v>
      </c>
    </row>
    <row r="3141" spans="2:15" x14ac:dyDescent="0.3">
      <c r="B3141">
        <v>3201</v>
      </c>
      <c r="D3141">
        <v>634</v>
      </c>
      <c r="E3141">
        <v>1613</v>
      </c>
      <c r="F3141">
        <v>1</v>
      </c>
      <c r="G3141">
        <v>17.584303757051</v>
      </c>
      <c r="H3141">
        <v>2</v>
      </c>
      <c r="I3141">
        <v>59</v>
      </c>
      <c r="K3141" t="s">
        <v>2386</v>
      </c>
      <c r="L3141">
        <v>20</v>
      </c>
      <c r="M3141" t="s">
        <v>3985</v>
      </c>
      <c r="N3141" t="s">
        <v>2388</v>
      </c>
      <c r="O3141">
        <v>1</v>
      </c>
    </row>
    <row r="3142" spans="2:15" x14ac:dyDescent="0.3">
      <c r="B3142">
        <v>3202</v>
      </c>
      <c r="D3142">
        <v>1614</v>
      </c>
      <c r="E3142">
        <v>634</v>
      </c>
      <c r="F3142">
        <v>1</v>
      </c>
      <c r="G3142">
        <v>105.18998041195501</v>
      </c>
      <c r="H3142">
        <v>2</v>
      </c>
      <c r="I3142">
        <v>59</v>
      </c>
      <c r="K3142" t="s">
        <v>2386</v>
      </c>
      <c r="L3142">
        <v>20</v>
      </c>
      <c r="M3142" t="s">
        <v>3986</v>
      </c>
      <c r="N3142" t="s">
        <v>2388</v>
      </c>
      <c r="O3142">
        <v>1</v>
      </c>
    </row>
    <row r="3143" spans="2:15" x14ac:dyDescent="0.3">
      <c r="B3143">
        <v>3203</v>
      </c>
      <c r="D3143">
        <v>634</v>
      </c>
      <c r="E3143">
        <v>1614</v>
      </c>
      <c r="F3143">
        <v>1</v>
      </c>
      <c r="G3143">
        <v>105.18998041195501</v>
      </c>
      <c r="H3143">
        <v>2</v>
      </c>
      <c r="I3143">
        <v>59</v>
      </c>
      <c r="K3143" t="s">
        <v>2386</v>
      </c>
      <c r="L3143">
        <v>20</v>
      </c>
      <c r="M3143" t="s">
        <v>3987</v>
      </c>
      <c r="N3143" t="s">
        <v>2388</v>
      </c>
      <c r="O3143">
        <v>1</v>
      </c>
    </row>
    <row r="3144" spans="2:15" x14ac:dyDescent="0.3">
      <c r="B3144">
        <v>3204</v>
      </c>
      <c r="D3144">
        <v>1615</v>
      </c>
      <c r="E3144">
        <v>643</v>
      </c>
      <c r="F3144">
        <v>1</v>
      </c>
      <c r="G3144">
        <v>74.018615257488193</v>
      </c>
      <c r="H3144">
        <v>2</v>
      </c>
      <c r="I3144">
        <v>59</v>
      </c>
      <c r="K3144" t="s">
        <v>2386</v>
      </c>
      <c r="L3144">
        <v>20</v>
      </c>
      <c r="M3144" t="s">
        <v>3988</v>
      </c>
      <c r="N3144" t="s">
        <v>2388</v>
      </c>
      <c r="O3144">
        <v>1</v>
      </c>
    </row>
    <row r="3145" spans="2:15" x14ac:dyDescent="0.3">
      <c r="B3145">
        <v>3205</v>
      </c>
      <c r="D3145">
        <v>643</v>
      </c>
      <c r="E3145">
        <v>1615</v>
      </c>
      <c r="F3145">
        <v>1</v>
      </c>
      <c r="G3145">
        <v>74.018615257488193</v>
      </c>
      <c r="H3145">
        <v>2</v>
      </c>
      <c r="I3145">
        <v>59</v>
      </c>
      <c r="K3145" t="s">
        <v>2386</v>
      </c>
      <c r="L3145">
        <v>20</v>
      </c>
      <c r="M3145" t="s">
        <v>3989</v>
      </c>
      <c r="N3145" t="s">
        <v>2388</v>
      </c>
      <c r="O3145">
        <v>1</v>
      </c>
    </row>
    <row r="3146" spans="2:15" x14ac:dyDescent="0.3">
      <c r="B3146">
        <v>3206</v>
      </c>
      <c r="D3146">
        <v>1616</v>
      </c>
      <c r="E3146">
        <v>510</v>
      </c>
      <c r="F3146">
        <v>1</v>
      </c>
      <c r="G3146">
        <v>64.939570304267093</v>
      </c>
      <c r="H3146">
        <v>2</v>
      </c>
      <c r="I3146">
        <v>59</v>
      </c>
      <c r="K3146" t="s">
        <v>2386</v>
      </c>
      <c r="L3146">
        <v>20</v>
      </c>
      <c r="M3146" t="s">
        <v>3990</v>
      </c>
      <c r="N3146" t="s">
        <v>2388</v>
      </c>
      <c r="O3146">
        <v>1</v>
      </c>
    </row>
    <row r="3147" spans="2:15" x14ac:dyDescent="0.3">
      <c r="B3147">
        <v>3207</v>
      </c>
      <c r="D3147">
        <v>510</v>
      </c>
      <c r="E3147">
        <v>1616</v>
      </c>
      <c r="F3147">
        <v>1</v>
      </c>
      <c r="G3147">
        <v>64.939570304267093</v>
      </c>
      <c r="H3147">
        <v>2</v>
      </c>
      <c r="I3147">
        <v>59</v>
      </c>
      <c r="K3147" t="s">
        <v>2386</v>
      </c>
      <c r="L3147">
        <v>20</v>
      </c>
      <c r="M3147" t="s">
        <v>3991</v>
      </c>
      <c r="N3147" t="s">
        <v>2388</v>
      </c>
      <c r="O3147">
        <v>1</v>
      </c>
    </row>
    <row r="3148" spans="2:15" x14ac:dyDescent="0.3">
      <c r="B3148">
        <v>3208</v>
      </c>
      <c r="D3148">
        <v>1617</v>
      </c>
      <c r="E3148">
        <v>343</v>
      </c>
      <c r="F3148">
        <v>1</v>
      </c>
      <c r="G3148">
        <v>57.285537467300799</v>
      </c>
      <c r="H3148">
        <v>2</v>
      </c>
      <c r="I3148">
        <v>59</v>
      </c>
      <c r="K3148" t="s">
        <v>2386</v>
      </c>
      <c r="L3148">
        <v>20</v>
      </c>
      <c r="M3148" t="s">
        <v>3992</v>
      </c>
      <c r="N3148" t="s">
        <v>2388</v>
      </c>
      <c r="O3148">
        <v>1</v>
      </c>
    </row>
    <row r="3149" spans="2:15" x14ac:dyDescent="0.3">
      <c r="B3149">
        <v>3209</v>
      </c>
      <c r="D3149">
        <v>343</v>
      </c>
      <c r="E3149">
        <v>1617</v>
      </c>
      <c r="F3149">
        <v>1</v>
      </c>
      <c r="G3149">
        <v>57.285537467300799</v>
      </c>
      <c r="H3149">
        <v>2</v>
      </c>
      <c r="I3149">
        <v>59</v>
      </c>
      <c r="K3149" t="s">
        <v>2386</v>
      </c>
      <c r="L3149">
        <v>20</v>
      </c>
      <c r="M3149" t="s">
        <v>3993</v>
      </c>
      <c r="N3149" t="s">
        <v>2388</v>
      </c>
      <c r="O3149">
        <v>1</v>
      </c>
    </row>
    <row r="3150" spans="2:15" x14ac:dyDescent="0.3">
      <c r="B3150">
        <v>3210</v>
      </c>
      <c r="D3150">
        <v>1618</v>
      </c>
      <c r="E3150">
        <v>315</v>
      </c>
      <c r="F3150">
        <v>1</v>
      </c>
      <c r="G3150">
        <v>40.017156871144003</v>
      </c>
      <c r="H3150">
        <v>2</v>
      </c>
      <c r="I3150">
        <v>59</v>
      </c>
      <c r="K3150" t="s">
        <v>2386</v>
      </c>
      <c r="L3150">
        <v>20</v>
      </c>
      <c r="M3150" t="s">
        <v>3994</v>
      </c>
      <c r="N3150" t="s">
        <v>2388</v>
      </c>
      <c r="O3150">
        <v>1</v>
      </c>
    </row>
    <row r="3151" spans="2:15" x14ac:dyDescent="0.3">
      <c r="B3151">
        <v>3211</v>
      </c>
      <c r="D3151">
        <v>315</v>
      </c>
      <c r="E3151">
        <v>1618</v>
      </c>
      <c r="F3151">
        <v>1</v>
      </c>
      <c r="G3151">
        <v>40.017156871144003</v>
      </c>
      <c r="H3151">
        <v>2</v>
      </c>
      <c r="I3151">
        <v>59</v>
      </c>
      <c r="K3151" t="s">
        <v>2386</v>
      </c>
      <c r="L3151">
        <v>20</v>
      </c>
      <c r="M3151" t="s">
        <v>3995</v>
      </c>
      <c r="N3151" t="s">
        <v>2388</v>
      </c>
      <c r="O3151">
        <v>1</v>
      </c>
    </row>
    <row r="3152" spans="2:15" x14ac:dyDescent="0.3">
      <c r="B3152">
        <v>3212</v>
      </c>
      <c r="D3152">
        <v>1619</v>
      </c>
      <c r="E3152">
        <v>450</v>
      </c>
      <c r="F3152">
        <v>1</v>
      </c>
      <c r="G3152">
        <v>41.263996326781999</v>
      </c>
      <c r="H3152">
        <v>2</v>
      </c>
      <c r="I3152">
        <v>59</v>
      </c>
      <c r="K3152" t="s">
        <v>2386</v>
      </c>
      <c r="L3152">
        <v>20</v>
      </c>
      <c r="M3152" t="s">
        <v>3996</v>
      </c>
      <c r="N3152" t="s">
        <v>2388</v>
      </c>
      <c r="O3152">
        <v>1</v>
      </c>
    </row>
    <row r="3153" spans="2:15" x14ac:dyDescent="0.3">
      <c r="B3153">
        <v>3213</v>
      </c>
      <c r="D3153">
        <v>450</v>
      </c>
      <c r="E3153">
        <v>1619</v>
      </c>
      <c r="F3153">
        <v>1</v>
      </c>
      <c r="G3153">
        <v>41.263996326781999</v>
      </c>
      <c r="H3153">
        <v>2</v>
      </c>
      <c r="I3153">
        <v>59</v>
      </c>
      <c r="K3153" t="s">
        <v>2386</v>
      </c>
      <c r="L3153">
        <v>20</v>
      </c>
      <c r="M3153" t="s">
        <v>3997</v>
      </c>
      <c r="N3153" t="s">
        <v>2388</v>
      </c>
      <c r="O3153">
        <v>1</v>
      </c>
    </row>
    <row r="3154" spans="2:15" x14ac:dyDescent="0.3">
      <c r="B3154">
        <v>3214</v>
      </c>
      <c r="D3154">
        <v>1620</v>
      </c>
      <c r="E3154">
        <v>1961</v>
      </c>
      <c r="F3154">
        <v>1</v>
      </c>
      <c r="G3154">
        <v>46.385800272186202</v>
      </c>
      <c r="H3154">
        <v>2</v>
      </c>
      <c r="I3154">
        <v>59</v>
      </c>
      <c r="K3154" t="s">
        <v>2386</v>
      </c>
      <c r="L3154">
        <v>20</v>
      </c>
      <c r="M3154" t="s">
        <v>3998</v>
      </c>
      <c r="N3154" t="s">
        <v>2388</v>
      </c>
      <c r="O3154">
        <v>1</v>
      </c>
    </row>
    <row r="3155" spans="2:15" x14ac:dyDescent="0.3">
      <c r="B3155">
        <v>3215</v>
      </c>
      <c r="D3155">
        <v>1961</v>
      </c>
      <c r="E3155">
        <v>1620</v>
      </c>
      <c r="F3155">
        <v>1</v>
      </c>
      <c r="G3155">
        <v>46.385800272186202</v>
      </c>
      <c r="H3155">
        <v>2</v>
      </c>
      <c r="I3155">
        <v>59</v>
      </c>
      <c r="K3155" t="s">
        <v>2386</v>
      </c>
      <c r="L3155">
        <v>20</v>
      </c>
      <c r="M3155" t="s">
        <v>3999</v>
      </c>
      <c r="N3155" t="s">
        <v>2388</v>
      </c>
      <c r="O3155">
        <v>1</v>
      </c>
    </row>
    <row r="3156" spans="2:15" x14ac:dyDescent="0.3">
      <c r="B3156">
        <v>3216</v>
      </c>
      <c r="D3156">
        <v>1621</v>
      </c>
      <c r="E3156">
        <v>458</v>
      </c>
      <c r="F3156">
        <v>1</v>
      </c>
      <c r="G3156">
        <v>54.310564701911602</v>
      </c>
      <c r="H3156">
        <v>2</v>
      </c>
      <c r="I3156">
        <v>59</v>
      </c>
      <c r="K3156" t="s">
        <v>2386</v>
      </c>
      <c r="L3156">
        <v>20</v>
      </c>
      <c r="M3156" t="s">
        <v>4000</v>
      </c>
      <c r="N3156" t="s">
        <v>2388</v>
      </c>
      <c r="O3156">
        <v>1</v>
      </c>
    </row>
    <row r="3157" spans="2:15" x14ac:dyDescent="0.3">
      <c r="B3157">
        <v>3217</v>
      </c>
      <c r="D3157">
        <v>458</v>
      </c>
      <c r="E3157">
        <v>1621</v>
      </c>
      <c r="F3157">
        <v>1</v>
      </c>
      <c r="G3157">
        <v>54.310564701911602</v>
      </c>
      <c r="H3157">
        <v>2</v>
      </c>
      <c r="I3157">
        <v>59</v>
      </c>
      <c r="K3157" t="s">
        <v>2386</v>
      </c>
      <c r="L3157">
        <v>20</v>
      </c>
      <c r="M3157" t="s">
        <v>4001</v>
      </c>
      <c r="N3157" t="s">
        <v>2388</v>
      </c>
      <c r="O3157">
        <v>1</v>
      </c>
    </row>
    <row r="3158" spans="2:15" x14ac:dyDescent="0.3">
      <c r="B3158">
        <v>3218</v>
      </c>
      <c r="D3158">
        <v>1622</v>
      </c>
      <c r="E3158">
        <v>458</v>
      </c>
      <c r="F3158">
        <v>1</v>
      </c>
      <c r="G3158">
        <v>56.843071357916003</v>
      </c>
      <c r="H3158">
        <v>2</v>
      </c>
      <c r="I3158">
        <v>59</v>
      </c>
      <c r="K3158" t="s">
        <v>2386</v>
      </c>
      <c r="L3158">
        <v>20</v>
      </c>
      <c r="M3158" t="s">
        <v>4002</v>
      </c>
      <c r="N3158" t="s">
        <v>2388</v>
      </c>
      <c r="O3158">
        <v>1</v>
      </c>
    </row>
    <row r="3159" spans="2:15" x14ac:dyDescent="0.3">
      <c r="B3159">
        <v>3219</v>
      </c>
      <c r="D3159">
        <v>458</v>
      </c>
      <c r="E3159">
        <v>1622</v>
      </c>
      <c r="F3159">
        <v>1</v>
      </c>
      <c r="G3159">
        <v>56.843071357916003</v>
      </c>
      <c r="H3159">
        <v>2</v>
      </c>
      <c r="I3159">
        <v>59</v>
      </c>
      <c r="K3159" t="s">
        <v>2386</v>
      </c>
      <c r="L3159">
        <v>20</v>
      </c>
      <c r="M3159" t="s">
        <v>4003</v>
      </c>
      <c r="N3159" t="s">
        <v>2388</v>
      </c>
      <c r="O3159">
        <v>1</v>
      </c>
    </row>
    <row r="3160" spans="2:15" x14ac:dyDescent="0.3">
      <c r="B3160">
        <v>3220</v>
      </c>
      <c r="D3160">
        <v>1623</v>
      </c>
      <c r="E3160">
        <v>458</v>
      </c>
      <c r="F3160">
        <v>1</v>
      </c>
      <c r="G3160">
        <v>63.7311486922247</v>
      </c>
      <c r="H3160">
        <v>2</v>
      </c>
      <c r="I3160">
        <v>59</v>
      </c>
      <c r="K3160" t="s">
        <v>2386</v>
      </c>
      <c r="L3160">
        <v>20</v>
      </c>
      <c r="M3160" t="s">
        <v>4004</v>
      </c>
      <c r="N3160" t="s">
        <v>2388</v>
      </c>
      <c r="O3160">
        <v>1</v>
      </c>
    </row>
    <row r="3161" spans="2:15" x14ac:dyDescent="0.3">
      <c r="B3161">
        <v>3221</v>
      </c>
      <c r="D3161">
        <v>458</v>
      </c>
      <c r="E3161">
        <v>1623</v>
      </c>
      <c r="F3161">
        <v>1</v>
      </c>
      <c r="G3161">
        <v>63.7311486922247</v>
      </c>
      <c r="H3161">
        <v>2</v>
      </c>
      <c r="I3161">
        <v>59</v>
      </c>
      <c r="K3161" t="s">
        <v>2386</v>
      </c>
      <c r="L3161">
        <v>20</v>
      </c>
      <c r="M3161" t="s">
        <v>4005</v>
      </c>
      <c r="N3161" t="s">
        <v>2388</v>
      </c>
      <c r="O3161">
        <v>1</v>
      </c>
    </row>
    <row r="3162" spans="2:15" x14ac:dyDescent="0.3">
      <c r="B3162">
        <v>3222</v>
      </c>
      <c r="D3162">
        <v>1624</v>
      </c>
      <c r="E3162">
        <v>382</v>
      </c>
      <c r="F3162">
        <v>1</v>
      </c>
      <c r="G3162">
        <v>101.265595828152</v>
      </c>
      <c r="H3162">
        <v>2</v>
      </c>
      <c r="I3162">
        <v>59</v>
      </c>
      <c r="K3162" t="s">
        <v>2386</v>
      </c>
      <c r="L3162">
        <v>20</v>
      </c>
      <c r="M3162" t="s">
        <v>4006</v>
      </c>
      <c r="N3162" t="s">
        <v>2388</v>
      </c>
      <c r="O3162">
        <v>1</v>
      </c>
    </row>
    <row r="3163" spans="2:15" x14ac:dyDescent="0.3">
      <c r="B3163">
        <v>3223</v>
      </c>
      <c r="D3163">
        <v>382</v>
      </c>
      <c r="E3163">
        <v>1624</v>
      </c>
      <c r="F3163">
        <v>1</v>
      </c>
      <c r="G3163">
        <v>101.265595828152</v>
      </c>
      <c r="H3163">
        <v>2</v>
      </c>
      <c r="I3163">
        <v>59</v>
      </c>
      <c r="K3163" t="s">
        <v>2386</v>
      </c>
      <c r="L3163">
        <v>20</v>
      </c>
      <c r="M3163" t="s">
        <v>4007</v>
      </c>
      <c r="N3163" t="s">
        <v>2388</v>
      </c>
      <c r="O3163">
        <v>1</v>
      </c>
    </row>
    <row r="3164" spans="2:15" x14ac:dyDescent="0.3">
      <c r="B3164">
        <v>3224</v>
      </c>
      <c r="D3164">
        <v>1625</v>
      </c>
      <c r="E3164">
        <v>242</v>
      </c>
      <c r="F3164">
        <v>1</v>
      </c>
      <c r="G3164">
        <v>64.615293621064396</v>
      </c>
      <c r="H3164">
        <v>2</v>
      </c>
      <c r="I3164">
        <v>59</v>
      </c>
      <c r="K3164" t="s">
        <v>2386</v>
      </c>
      <c r="L3164">
        <v>20</v>
      </c>
      <c r="M3164" t="s">
        <v>4008</v>
      </c>
      <c r="N3164" t="s">
        <v>2388</v>
      </c>
      <c r="O3164">
        <v>1</v>
      </c>
    </row>
    <row r="3165" spans="2:15" x14ac:dyDescent="0.3">
      <c r="B3165">
        <v>3225</v>
      </c>
      <c r="D3165">
        <v>242</v>
      </c>
      <c r="E3165">
        <v>1625</v>
      </c>
      <c r="F3165">
        <v>1</v>
      </c>
      <c r="G3165">
        <v>64.615293621064396</v>
      </c>
      <c r="H3165">
        <v>2</v>
      </c>
      <c r="I3165">
        <v>59</v>
      </c>
      <c r="K3165" t="s">
        <v>2386</v>
      </c>
      <c r="L3165">
        <v>20</v>
      </c>
      <c r="M3165" t="s">
        <v>4009</v>
      </c>
      <c r="N3165" t="s">
        <v>2388</v>
      </c>
      <c r="O3165">
        <v>1</v>
      </c>
    </row>
    <row r="3166" spans="2:15" x14ac:dyDescent="0.3">
      <c r="B3166">
        <v>3226</v>
      </c>
      <c r="D3166">
        <v>1626</v>
      </c>
      <c r="E3166">
        <v>252</v>
      </c>
      <c r="F3166">
        <v>1</v>
      </c>
      <c r="G3166">
        <v>65.072916146029897</v>
      </c>
      <c r="H3166">
        <v>2</v>
      </c>
      <c r="I3166">
        <v>59</v>
      </c>
      <c r="K3166" t="s">
        <v>2386</v>
      </c>
      <c r="L3166">
        <v>20</v>
      </c>
      <c r="M3166" t="s">
        <v>4010</v>
      </c>
      <c r="N3166" t="s">
        <v>2388</v>
      </c>
      <c r="O3166">
        <v>1</v>
      </c>
    </row>
    <row r="3167" spans="2:15" x14ac:dyDescent="0.3">
      <c r="B3167">
        <v>3227</v>
      </c>
      <c r="D3167">
        <v>252</v>
      </c>
      <c r="E3167">
        <v>1626</v>
      </c>
      <c r="F3167">
        <v>1</v>
      </c>
      <c r="G3167">
        <v>65.072916146029897</v>
      </c>
      <c r="H3167">
        <v>2</v>
      </c>
      <c r="I3167">
        <v>59</v>
      </c>
      <c r="K3167" t="s">
        <v>2386</v>
      </c>
      <c r="L3167">
        <v>20</v>
      </c>
      <c r="M3167" t="s">
        <v>4011</v>
      </c>
      <c r="N3167" t="s">
        <v>2388</v>
      </c>
      <c r="O3167">
        <v>1</v>
      </c>
    </row>
    <row r="3168" spans="2:15" x14ac:dyDescent="0.3">
      <c r="B3168">
        <v>3228</v>
      </c>
      <c r="D3168">
        <v>1627</v>
      </c>
      <c r="E3168">
        <v>252</v>
      </c>
      <c r="F3168">
        <v>1</v>
      </c>
      <c r="G3168">
        <v>67.862508588824397</v>
      </c>
      <c r="H3168">
        <v>2</v>
      </c>
      <c r="I3168">
        <v>59</v>
      </c>
      <c r="K3168" t="s">
        <v>2386</v>
      </c>
      <c r="L3168">
        <v>20</v>
      </c>
      <c r="M3168" t="s">
        <v>4012</v>
      </c>
      <c r="N3168" t="s">
        <v>2388</v>
      </c>
      <c r="O3168">
        <v>1</v>
      </c>
    </row>
    <row r="3169" spans="2:15" x14ac:dyDescent="0.3">
      <c r="B3169">
        <v>3229</v>
      </c>
      <c r="D3169">
        <v>252</v>
      </c>
      <c r="E3169">
        <v>1627</v>
      </c>
      <c r="F3169">
        <v>1</v>
      </c>
      <c r="G3169">
        <v>67.862508588824397</v>
      </c>
      <c r="H3169">
        <v>2</v>
      </c>
      <c r="I3169">
        <v>59</v>
      </c>
      <c r="K3169" t="s">
        <v>2386</v>
      </c>
      <c r="L3169">
        <v>20</v>
      </c>
      <c r="M3169" t="s">
        <v>4013</v>
      </c>
      <c r="N3169" t="s">
        <v>2388</v>
      </c>
      <c r="O3169">
        <v>1</v>
      </c>
    </row>
    <row r="3170" spans="2:15" x14ac:dyDescent="0.3">
      <c r="B3170">
        <v>3230</v>
      </c>
      <c r="D3170">
        <v>1628</v>
      </c>
      <c r="E3170">
        <v>530</v>
      </c>
      <c r="F3170">
        <v>1</v>
      </c>
      <c r="G3170">
        <v>65.641842738646602</v>
      </c>
      <c r="H3170">
        <v>2</v>
      </c>
      <c r="I3170">
        <v>59</v>
      </c>
      <c r="K3170" t="s">
        <v>2386</v>
      </c>
      <c r="L3170">
        <v>20</v>
      </c>
      <c r="M3170" t="s">
        <v>4014</v>
      </c>
      <c r="N3170" t="s">
        <v>2388</v>
      </c>
      <c r="O3170">
        <v>1</v>
      </c>
    </row>
    <row r="3171" spans="2:15" x14ac:dyDescent="0.3">
      <c r="B3171">
        <v>3231</v>
      </c>
      <c r="D3171">
        <v>530</v>
      </c>
      <c r="E3171">
        <v>1628</v>
      </c>
      <c r="F3171">
        <v>1</v>
      </c>
      <c r="G3171">
        <v>65.641842738646602</v>
      </c>
      <c r="H3171">
        <v>2</v>
      </c>
      <c r="I3171">
        <v>59</v>
      </c>
      <c r="K3171" t="s">
        <v>2386</v>
      </c>
      <c r="L3171">
        <v>20</v>
      </c>
      <c r="M3171" t="s">
        <v>4015</v>
      </c>
      <c r="N3171" t="s">
        <v>2388</v>
      </c>
      <c r="O3171">
        <v>1</v>
      </c>
    </row>
    <row r="3172" spans="2:15" x14ac:dyDescent="0.3">
      <c r="B3172">
        <v>3232</v>
      </c>
      <c r="D3172">
        <v>1629</v>
      </c>
      <c r="E3172">
        <v>547</v>
      </c>
      <c r="F3172">
        <v>1</v>
      </c>
      <c r="G3172">
        <v>60.6854338980636</v>
      </c>
      <c r="H3172">
        <v>2</v>
      </c>
      <c r="I3172">
        <v>59</v>
      </c>
      <c r="K3172" t="s">
        <v>2386</v>
      </c>
      <c r="L3172">
        <v>20</v>
      </c>
      <c r="M3172" t="s">
        <v>4016</v>
      </c>
      <c r="N3172" t="s">
        <v>2388</v>
      </c>
      <c r="O3172">
        <v>1</v>
      </c>
    </row>
    <row r="3173" spans="2:15" x14ac:dyDescent="0.3">
      <c r="B3173">
        <v>3233</v>
      </c>
      <c r="D3173">
        <v>547</v>
      </c>
      <c r="E3173">
        <v>1629</v>
      </c>
      <c r="F3173">
        <v>1</v>
      </c>
      <c r="G3173">
        <v>60.6854338980636</v>
      </c>
      <c r="H3173">
        <v>2</v>
      </c>
      <c r="I3173">
        <v>59</v>
      </c>
      <c r="K3173" t="s">
        <v>2386</v>
      </c>
      <c r="L3173">
        <v>20</v>
      </c>
      <c r="M3173" t="s">
        <v>4017</v>
      </c>
      <c r="N3173" t="s">
        <v>2388</v>
      </c>
      <c r="O3173">
        <v>1</v>
      </c>
    </row>
    <row r="3174" spans="2:15" x14ac:dyDescent="0.3">
      <c r="B3174">
        <v>3234</v>
      </c>
      <c r="D3174">
        <v>1630</v>
      </c>
      <c r="E3174">
        <v>547</v>
      </c>
      <c r="F3174">
        <v>1</v>
      </c>
      <c r="G3174">
        <v>97.313354426457195</v>
      </c>
      <c r="H3174">
        <v>2</v>
      </c>
      <c r="I3174">
        <v>59</v>
      </c>
      <c r="K3174" t="s">
        <v>2386</v>
      </c>
      <c r="L3174">
        <v>20</v>
      </c>
      <c r="M3174" t="s">
        <v>4018</v>
      </c>
      <c r="N3174" t="s">
        <v>2388</v>
      </c>
      <c r="O3174">
        <v>1</v>
      </c>
    </row>
    <row r="3175" spans="2:15" x14ac:dyDescent="0.3">
      <c r="B3175">
        <v>3235</v>
      </c>
      <c r="D3175">
        <v>547</v>
      </c>
      <c r="E3175">
        <v>1630</v>
      </c>
      <c r="F3175">
        <v>1</v>
      </c>
      <c r="G3175">
        <v>97.313354426457195</v>
      </c>
      <c r="H3175">
        <v>2</v>
      </c>
      <c r="I3175">
        <v>59</v>
      </c>
      <c r="K3175" t="s">
        <v>2386</v>
      </c>
      <c r="L3175">
        <v>20</v>
      </c>
      <c r="M3175" t="s">
        <v>4019</v>
      </c>
      <c r="N3175" t="s">
        <v>2388</v>
      </c>
      <c r="O3175">
        <v>1</v>
      </c>
    </row>
    <row r="3176" spans="2:15" x14ac:dyDescent="0.3">
      <c r="B3176">
        <v>3236</v>
      </c>
      <c r="D3176">
        <v>1631</v>
      </c>
      <c r="E3176">
        <v>547</v>
      </c>
      <c r="F3176">
        <v>1</v>
      </c>
      <c r="G3176">
        <v>110.73222179150299</v>
      </c>
      <c r="H3176">
        <v>2</v>
      </c>
      <c r="I3176">
        <v>59</v>
      </c>
      <c r="K3176" t="s">
        <v>2386</v>
      </c>
      <c r="L3176">
        <v>20</v>
      </c>
      <c r="M3176" t="s">
        <v>4020</v>
      </c>
      <c r="N3176" t="s">
        <v>2388</v>
      </c>
      <c r="O3176">
        <v>1</v>
      </c>
    </row>
    <row r="3177" spans="2:15" x14ac:dyDescent="0.3">
      <c r="B3177">
        <v>3237</v>
      </c>
      <c r="D3177">
        <v>547</v>
      </c>
      <c r="E3177">
        <v>1631</v>
      </c>
      <c r="F3177">
        <v>1</v>
      </c>
      <c r="G3177">
        <v>110.73222179150299</v>
      </c>
      <c r="H3177">
        <v>2</v>
      </c>
      <c r="I3177">
        <v>59</v>
      </c>
      <c r="K3177" t="s">
        <v>2386</v>
      </c>
      <c r="L3177">
        <v>20</v>
      </c>
      <c r="M3177" t="s">
        <v>4021</v>
      </c>
      <c r="N3177" t="s">
        <v>2388</v>
      </c>
      <c r="O3177">
        <v>1</v>
      </c>
    </row>
    <row r="3178" spans="2:15" x14ac:dyDescent="0.3">
      <c r="B3178">
        <v>3238</v>
      </c>
      <c r="D3178">
        <v>1632</v>
      </c>
      <c r="E3178">
        <v>547</v>
      </c>
      <c r="F3178">
        <v>1</v>
      </c>
      <c r="G3178">
        <v>188.15169877925101</v>
      </c>
      <c r="H3178">
        <v>2</v>
      </c>
      <c r="I3178">
        <v>59</v>
      </c>
      <c r="K3178" t="s">
        <v>2386</v>
      </c>
      <c r="L3178">
        <v>20</v>
      </c>
      <c r="M3178" t="s">
        <v>4022</v>
      </c>
      <c r="N3178" t="s">
        <v>2388</v>
      </c>
      <c r="O3178">
        <v>1</v>
      </c>
    </row>
    <row r="3179" spans="2:15" x14ac:dyDescent="0.3">
      <c r="B3179">
        <v>3239</v>
      </c>
      <c r="D3179">
        <v>547</v>
      </c>
      <c r="E3179">
        <v>1632</v>
      </c>
      <c r="F3179">
        <v>1</v>
      </c>
      <c r="G3179">
        <v>188.15169877925101</v>
      </c>
      <c r="H3179">
        <v>2</v>
      </c>
      <c r="I3179">
        <v>59</v>
      </c>
      <c r="K3179" t="s">
        <v>2386</v>
      </c>
      <c r="L3179">
        <v>20</v>
      </c>
      <c r="M3179" t="s">
        <v>4023</v>
      </c>
      <c r="N3179" t="s">
        <v>2388</v>
      </c>
      <c r="O3179">
        <v>1</v>
      </c>
    </row>
    <row r="3180" spans="2:15" x14ac:dyDescent="0.3">
      <c r="B3180">
        <v>3240</v>
      </c>
      <c r="D3180">
        <v>1633</v>
      </c>
      <c r="E3180">
        <v>547</v>
      </c>
      <c r="F3180">
        <v>1</v>
      </c>
      <c r="G3180">
        <v>254.50265320950999</v>
      </c>
      <c r="H3180">
        <v>2</v>
      </c>
      <c r="I3180">
        <v>59</v>
      </c>
      <c r="K3180" t="s">
        <v>2386</v>
      </c>
      <c r="L3180">
        <v>20</v>
      </c>
      <c r="M3180" t="s">
        <v>4024</v>
      </c>
      <c r="N3180" t="s">
        <v>2388</v>
      </c>
      <c r="O3180">
        <v>1</v>
      </c>
    </row>
    <row r="3181" spans="2:15" x14ac:dyDescent="0.3">
      <c r="B3181">
        <v>3241</v>
      </c>
      <c r="D3181">
        <v>547</v>
      </c>
      <c r="E3181">
        <v>1633</v>
      </c>
      <c r="F3181">
        <v>1</v>
      </c>
      <c r="G3181">
        <v>254.50265320950999</v>
      </c>
      <c r="H3181">
        <v>2</v>
      </c>
      <c r="I3181">
        <v>59</v>
      </c>
      <c r="K3181" t="s">
        <v>2386</v>
      </c>
      <c r="L3181">
        <v>20</v>
      </c>
      <c r="M3181" t="s">
        <v>4025</v>
      </c>
      <c r="N3181" t="s">
        <v>2388</v>
      </c>
      <c r="O3181">
        <v>1</v>
      </c>
    </row>
    <row r="3182" spans="2:15" x14ac:dyDescent="0.3">
      <c r="B3182">
        <v>3242</v>
      </c>
      <c r="D3182">
        <v>1634</v>
      </c>
      <c r="E3182">
        <v>86</v>
      </c>
      <c r="F3182">
        <v>1</v>
      </c>
      <c r="G3182">
        <v>242.406140628358</v>
      </c>
      <c r="H3182">
        <v>2</v>
      </c>
      <c r="I3182">
        <v>59</v>
      </c>
      <c r="K3182" t="s">
        <v>2386</v>
      </c>
      <c r="L3182">
        <v>20</v>
      </c>
      <c r="M3182" t="s">
        <v>4026</v>
      </c>
      <c r="N3182" t="s">
        <v>2388</v>
      </c>
      <c r="O3182">
        <v>1</v>
      </c>
    </row>
    <row r="3183" spans="2:15" x14ac:dyDescent="0.3">
      <c r="B3183">
        <v>3243</v>
      </c>
      <c r="D3183">
        <v>86</v>
      </c>
      <c r="E3183">
        <v>1634</v>
      </c>
      <c r="F3183">
        <v>1</v>
      </c>
      <c r="G3183">
        <v>242.406140628358</v>
      </c>
      <c r="H3183">
        <v>2</v>
      </c>
      <c r="I3183">
        <v>59</v>
      </c>
      <c r="K3183" t="s">
        <v>2386</v>
      </c>
      <c r="L3183">
        <v>20</v>
      </c>
      <c r="M3183" t="s">
        <v>4027</v>
      </c>
      <c r="N3183" t="s">
        <v>2388</v>
      </c>
      <c r="O3183">
        <v>1</v>
      </c>
    </row>
    <row r="3184" spans="2:15" x14ac:dyDescent="0.3">
      <c r="B3184">
        <v>3244</v>
      </c>
      <c r="D3184">
        <v>1635</v>
      </c>
      <c r="E3184">
        <v>86</v>
      </c>
      <c r="F3184">
        <v>1</v>
      </c>
      <c r="G3184">
        <v>228.882885513389</v>
      </c>
      <c r="H3184">
        <v>2</v>
      </c>
      <c r="I3184">
        <v>59</v>
      </c>
      <c r="K3184" t="s">
        <v>2386</v>
      </c>
      <c r="L3184">
        <v>20</v>
      </c>
      <c r="M3184" t="s">
        <v>4028</v>
      </c>
      <c r="N3184" t="s">
        <v>2388</v>
      </c>
      <c r="O3184">
        <v>1</v>
      </c>
    </row>
    <row r="3185" spans="2:15" x14ac:dyDescent="0.3">
      <c r="B3185">
        <v>3245</v>
      </c>
      <c r="D3185">
        <v>86</v>
      </c>
      <c r="E3185">
        <v>1635</v>
      </c>
      <c r="F3185">
        <v>1</v>
      </c>
      <c r="G3185">
        <v>228.882885513389</v>
      </c>
      <c r="H3185">
        <v>2</v>
      </c>
      <c r="I3185">
        <v>59</v>
      </c>
      <c r="K3185" t="s">
        <v>2386</v>
      </c>
      <c r="L3185">
        <v>20</v>
      </c>
      <c r="M3185" t="s">
        <v>4029</v>
      </c>
      <c r="N3185" t="s">
        <v>2388</v>
      </c>
      <c r="O3185">
        <v>1</v>
      </c>
    </row>
    <row r="3186" spans="2:15" x14ac:dyDescent="0.3">
      <c r="B3186">
        <v>3246</v>
      </c>
      <c r="D3186">
        <v>1636</v>
      </c>
      <c r="E3186">
        <v>86</v>
      </c>
      <c r="F3186">
        <v>1</v>
      </c>
      <c r="G3186">
        <v>210.36581824558399</v>
      </c>
      <c r="H3186">
        <v>2</v>
      </c>
      <c r="I3186">
        <v>59</v>
      </c>
      <c r="K3186" t="s">
        <v>2386</v>
      </c>
      <c r="L3186">
        <v>20</v>
      </c>
      <c r="M3186" t="s">
        <v>4030</v>
      </c>
      <c r="N3186" t="s">
        <v>2388</v>
      </c>
      <c r="O3186">
        <v>1</v>
      </c>
    </row>
    <row r="3187" spans="2:15" x14ac:dyDescent="0.3">
      <c r="B3187">
        <v>3247</v>
      </c>
      <c r="D3187">
        <v>86</v>
      </c>
      <c r="E3187">
        <v>1636</v>
      </c>
      <c r="F3187">
        <v>1</v>
      </c>
      <c r="G3187">
        <v>210.36581824558399</v>
      </c>
      <c r="H3187">
        <v>2</v>
      </c>
      <c r="I3187">
        <v>59</v>
      </c>
      <c r="K3187" t="s">
        <v>2386</v>
      </c>
      <c r="L3187">
        <v>20</v>
      </c>
      <c r="M3187" t="s">
        <v>4031</v>
      </c>
      <c r="N3187" t="s">
        <v>2388</v>
      </c>
      <c r="O3187">
        <v>1</v>
      </c>
    </row>
    <row r="3188" spans="2:15" x14ac:dyDescent="0.3">
      <c r="B3188">
        <v>3248</v>
      </c>
      <c r="D3188">
        <v>1637</v>
      </c>
      <c r="E3188">
        <v>86</v>
      </c>
      <c r="F3188">
        <v>1</v>
      </c>
      <c r="G3188">
        <v>185.24488385393801</v>
      </c>
      <c r="H3188">
        <v>2</v>
      </c>
      <c r="I3188">
        <v>59</v>
      </c>
      <c r="K3188" t="s">
        <v>2386</v>
      </c>
      <c r="L3188">
        <v>20</v>
      </c>
      <c r="M3188" t="s">
        <v>4032</v>
      </c>
      <c r="N3188" t="s">
        <v>2388</v>
      </c>
      <c r="O3188">
        <v>1</v>
      </c>
    </row>
    <row r="3189" spans="2:15" x14ac:dyDescent="0.3">
      <c r="B3189">
        <v>3249</v>
      </c>
      <c r="D3189">
        <v>86</v>
      </c>
      <c r="E3189">
        <v>1637</v>
      </c>
      <c r="F3189">
        <v>1</v>
      </c>
      <c r="G3189">
        <v>185.24488385393801</v>
      </c>
      <c r="H3189">
        <v>2</v>
      </c>
      <c r="I3189">
        <v>59</v>
      </c>
      <c r="K3189" t="s">
        <v>2386</v>
      </c>
      <c r="L3189">
        <v>20</v>
      </c>
      <c r="M3189" t="s">
        <v>4033</v>
      </c>
      <c r="N3189" t="s">
        <v>2388</v>
      </c>
      <c r="O3189">
        <v>1</v>
      </c>
    </row>
    <row r="3190" spans="2:15" x14ac:dyDescent="0.3">
      <c r="B3190">
        <v>3250</v>
      </c>
      <c r="D3190">
        <v>1638</v>
      </c>
      <c r="E3190">
        <v>547</v>
      </c>
      <c r="F3190">
        <v>1</v>
      </c>
      <c r="G3190">
        <v>74.995183859016805</v>
      </c>
      <c r="H3190">
        <v>2</v>
      </c>
      <c r="I3190">
        <v>59</v>
      </c>
      <c r="K3190" t="s">
        <v>2386</v>
      </c>
      <c r="L3190">
        <v>20</v>
      </c>
      <c r="M3190" t="s">
        <v>4034</v>
      </c>
      <c r="N3190" t="s">
        <v>2388</v>
      </c>
      <c r="O3190">
        <v>1</v>
      </c>
    </row>
    <row r="3191" spans="2:15" x14ac:dyDescent="0.3">
      <c r="B3191">
        <v>3251</v>
      </c>
      <c r="D3191">
        <v>547</v>
      </c>
      <c r="E3191">
        <v>1638</v>
      </c>
      <c r="F3191">
        <v>1</v>
      </c>
      <c r="G3191">
        <v>74.995183859016805</v>
      </c>
      <c r="H3191">
        <v>2</v>
      </c>
      <c r="I3191">
        <v>59</v>
      </c>
      <c r="K3191" t="s">
        <v>2386</v>
      </c>
      <c r="L3191">
        <v>20</v>
      </c>
      <c r="M3191" t="s">
        <v>4035</v>
      </c>
      <c r="N3191" t="s">
        <v>2388</v>
      </c>
      <c r="O3191">
        <v>1</v>
      </c>
    </row>
    <row r="3192" spans="2:15" x14ac:dyDescent="0.3">
      <c r="B3192">
        <v>3252</v>
      </c>
      <c r="D3192">
        <v>1639</v>
      </c>
      <c r="E3192">
        <v>547</v>
      </c>
      <c r="F3192">
        <v>1</v>
      </c>
      <c r="G3192">
        <v>192.91879679852099</v>
      </c>
      <c r="H3192">
        <v>2</v>
      </c>
      <c r="I3192">
        <v>59</v>
      </c>
      <c r="K3192" t="s">
        <v>2386</v>
      </c>
      <c r="L3192">
        <v>20</v>
      </c>
      <c r="M3192" t="s">
        <v>4036</v>
      </c>
      <c r="N3192" t="s">
        <v>2388</v>
      </c>
      <c r="O3192">
        <v>1</v>
      </c>
    </row>
    <row r="3193" spans="2:15" x14ac:dyDescent="0.3">
      <c r="B3193">
        <v>3253</v>
      </c>
      <c r="D3193">
        <v>547</v>
      </c>
      <c r="E3193">
        <v>1639</v>
      </c>
      <c r="F3193">
        <v>1</v>
      </c>
      <c r="G3193">
        <v>192.91879679852099</v>
      </c>
      <c r="H3193">
        <v>2</v>
      </c>
      <c r="I3193">
        <v>59</v>
      </c>
      <c r="K3193" t="s">
        <v>2386</v>
      </c>
      <c r="L3193">
        <v>20</v>
      </c>
      <c r="M3193" t="s">
        <v>4037</v>
      </c>
      <c r="N3193" t="s">
        <v>2388</v>
      </c>
      <c r="O3193">
        <v>1</v>
      </c>
    </row>
    <row r="3194" spans="2:15" x14ac:dyDescent="0.3">
      <c r="B3194">
        <v>3254</v>
      </c>
      <c r="D3194">
        <v>1640</v>
      </c>
      <c r="E3194">
        <v>715</v>
      </c>
      <c r="F3194">
        <v>1</v>
      </c>
      <c r="G3194">
        <v>39.293294911938503</v>
      </c>
      <c r="H3194">
        <v>2</v>
      </c>
      <c r="I3194">
        <v>59</v>
      </c>
      <c r="K3194" t="s">
        <v>2386</v>
      </c>
      <c r="L3194">
        <v>20</v>
      </c>
      <c r="M3194" t="s">
        <v>4038</v>
      </c>
      <c r="N3194" t="s">
        <v>2388</v>
      </c>
      <c r="O3194">
        <v>1</v>
      </c>
    </row>
    <row r="3195" spans="2:15" x14ac:dyDescent="0.3">
      <c r="B3195">
        <v>3255</v>
      </c>
      <c r="D3195">
        <v>715</v>
      </c>
      <c r="E3195">
        <v>1640</v>
      </c>
      <c r="F3195">
        <v>1</v>
      </c>
      <c r="G3195">
        <v>39.293294911938503</v>
      </c>
      <c r="H3195">
        <v>2</v>
      </c>
      <c r="I3195">
        <v>59</v>
      </c>
      <c r="K3195" t="s">
        <v>2386</v>
      </c>
      <c r="L3195">
        <v>20</v>
      </c>
      <c r="M3195" t="s">
        <v>4039</v>
      </c>
      <c r="N3195" t="s">
        <v>2388</v>
      </c>
      <c r="O3195">
        <v>1</v>
      </c>
    </row>
    <row r="3196" spans="2:15" x14ac:dyDescent="0.3">
      <c r="B3196">
        <v>3256</v>
      </c>
      <c r="D3196">
        <v>1641</v>
      </c>
      <c r="E3196">
        <v>128</v>
      </c>
      <c r="F3196">
        <v>1</v>
      </c>
      <c r="G3196">
        <v>87.395598740319301</v>
      </c>
      <c r="H3196">
        <v>2</v>
      </c>
      <c r="I3196">
        <v>59</v>
      </c>
      <c r="K3196" t="s">
        <v>2386</v>
      </c>
      <c r="L3196">
        <v>20</v>
      </c>
      <c r="M3196" t="s">
        <v>4040</v>
      </c>
      <c r="N3196" t="s">
        <v>2388</v>
      </c>
      <c r="O3196">
        <v>1</v>
      </c>
    </row>
    <row r="3197" spans="2:15" x14ac:dyDescent="0.3">
      <c r="B3197">
        <v>3257</v>
      </c>
      <c r="D3197">
        <v>128</v>
      </c>
      <c r="E3197">
        <v>1641</v>
      </c>
      <c r="F3197">
        <v>1</v>
      </c>
      <c r="G3197">
        <v>87.395598740319301</v>
      </c>
      <c r="H3197">
        <v>2</v>
      </c>
      <c r="I3197">
        <v>59</v>
      </c>
      <c r="K3197" t="s">
        <v>2386</v>
      </c>
      <c r="L3197">
        <v>20</v>
      </c>
      <c r="M3197" t="s">
        <v>4041</v>
      </c>
      <c r="N3197" t="s">
        <v>2388</v>
      </c>
      <c r="O3197">
        <v>1</v>
      </c>
    </row>
    <row r="3198" spans="2:15" x14ac:dyDescent="0.3">
      <c r="B3198">
        <v>3258</v>
      </c>
      <c r="D3198">
        <v>1642</v>
      </c>
      <c r="E3198">
        <v>242</v>
      </c>
      <c r="F3198">
        <v>1</v>
      </c>
      <c r="G3198">
        <v>27.874137294591801</v>
      </c>
      <c r="H3198">
        <v>2</v>
      </c>
      <c r="I3198">
        <v>59</v>
      </c>
      <c r="K3198" t="s">
        <v>2386</v>
      </c>
      <c r="L3198">
        <v>20</v>
      </c>
      <c r="M3198" t="s">
        <v>4042</v>
      </c>
      <c r="N3198" t="s">
        <v>2388</v>
      </c>
      <c r="O3198">
        <v>1</v>
      </c>
    </row>
    <row r="3199" spans="2:15" x14ac:dyDescent="0.3">
      <c r="B3199">
        <v>3259</v>
      </c>
      <c r="D3199">
        <v>242</v>
      </c>
      <c r="E3199">
        <v>1642</v>
      </c>
      <c r="F3199">
        <v>1</v>
      </c>
      <c r="G3199">
        <v>27.874137294591801</v>
      </c>
      <c r="H3199">
        <v>2</v>
      </c>
      <c r="I3199">
        <v>59</v>
      </c>
      <c r="K3199" t="s">
        <v>2386</v>
      </c>
      <c r="L3199">
        <v>20</v>
      </c>
      <c r="M3199" t="s">
        <v>4043</v>
      </c>
      <c r="N3199" t="s">
        <v>2388</v>
      </c>
      <c r="O3199">
        <v>1</v>
      </c>
    </row>
    <row r="3200" spans="2:15" x14ac:dyDescent="0.3">
      <c r="B3200">
        <v>3260</v>
      </c>
      <c r="D3200">
        <v>1643</v>
      </c>
      <c r="E3200">
        <v>242</v>
      </c>
      <c r="F3200">
        <v>1</v>
      </c>
      <c r="G3200">
        <v>55.1783625107592</v>
      </c>
      <c r="H3200">
        <v>2</v>
      </c>
      <c r="I3200">
        <v>59</v>
      </c>
      <c r="K3200" t="s">
        <v>2386</v>
      </c>
      <c r="L3200">
        <v>20</v>
      </c>
      <c r="M3200" t="s">
        <v>4044</v>
      </c>
      <c r="N3200" t="s">
        <v>2388</v>
      </c>
      <c r="O3200">
        <v>1</v>
      </c>
    </row>
    <row r="3201" spans="2:15" x14ac:dyDescent="0.3">
      <c r="B3201">
        <v>3261</v>
      </c>
      <c r="D3201">
        <v>242</v>
      </c>
      <c r="E3201">
        <v>1643</v>
      </c>
      <c r="F3201">
        <v>1</v>
      </c>
      <c r="G3201">
        <v>55.1783625107592</v>
      </c>
      <c r="H3201">
        <v>2</v>
      </c>
      <c r="I3201">
        <v>59</v>
      </c>
      <c r="K3201" t="s">
        <v>2386</v>
      </c>
      <c r="L3201">
        <v>20</v>
      </c>
      <c r="M3201" t="s">
        <v>4045</v>
      </c>
      <c r="N3201" t="s">
        <v>2388</v>
      </c>
      <c r="O3201">
        <v>1</v>
      </c>
    </row>
    <row r="3202" spans="2:15" x14ac:dyDescent="0.3">
      <c r="B3202">
        <v>3262</v>
      </c>
      <c r="D3202">
        <v>1644</v>
      </c>
      <c r="E3202">
        <v>476</v>
      </c>
      <c r="F3202">
        <v>1</v>
      </c>
      <c r="G3202">
        <v>15.4766899898221</v>
      </c>
      <c r="H3202">
        <v>2</v>
      </c>
      <c r="I3202">
        <v>59</v>
      </c>
      <c r="K3202" t="s">
        <v>2386</v>
      </c>
      <c r="L3202">
        <v>20</v>
      </c>
      <c r="M3202" t="s">
        <v>4046</v>
      </c>
      <c r="N3202" t="s">
        <v>2388</v>
      </c>
      <c r="O3202">
        <v>1</v>
      </c>
    </row>
    <row r="3203" spans="2:15" x14ac:dyDescent="0.3">
      <c r="B3203">
        <v>3263</v>
      </c>
      <c r="D3203">
        <v>476</v>
      </c>
      <c r="E3203">
        <v>1644</v>
      </c>
      <c r="F3203">
        <v>1</v>
      </c>
      <c r="G3203">
        <v>15.4766899898221</v>
      </c>
      <c r="H3203">
        <v>2</v>
      </c>
      <c r="I3203">
        <v>59</v>
      </c>
      <c r="K3203" t="s">
        <v>2386</v>
      </c>
      <c r="L3203">
        <v>20</v>
      </c>
      <c r="M3203" t="s">
        <v>4047</v>
      </c>
      <c r="N3203" t="s">
        <v>2388</v>
      </c>
      <c r="O3203">
        <v>1</v>
      </c>
    </row>
    <row r="3204" spans="2:15" x14ac:dyDescent="0.3">
      <c r="B3204">
        <v>3264</v>
      </c>
      <c r="D3204">
        <v>1645</v>
      </c>
      <c r="E3204">
        <v>468</v>
      </c>
      <c r="F3204">
        <v>1</v>
      </c>
      <c r="G3204">
        <v>20.007193973946901</v>
      </c>
      <c r="H3204">
        <v>2</v>
      </c>
      <c r="I3204">
        <v>59</v>
      </c>
      <c r="K3204" t="s">
        <v>2386</v>
      </c>
      <c r="L3204">
        <v>20</v>
      </c>
      <c r="M3204" t="s">
        <v>4048</v>
      </c>
      <c r="N3204" t="s">
        <v>2388</v>
      </c>
      <c r="O3204">
        <v>1</v>
      </c>
    </row>
    <row r="3205" spans="2:15" x14ac:dyDescent="0.3">
      <c r="B3205">
        <v>3265</v>
      </c>
      <c r="D3205">
        <v>468</v>
      </c>
      <c r="E3205">
        <v>1645</v>
      </c>
      <c r="F3205">
        <v>1</v>
      </c>
      <c r="G3205">
        <v>20.007193973946901</v>
      </c>
      <c r="H3205">
        <v>2</v>
      </c>
      <c r="I3205">
        <v>59</v>
      </c>
      <c r="K3205" t="s">
        <v>2386</v>
      </c>
      <c r="L3205">
        <v>20</v>
      </c>
      <c r="M3205" t="s">
        <v>4049</v>
      </c>
      <c r="N3205" t="s">
        <v>2388</v>
      </c>
      <c r="O3205">
        <v>1</v>
      </c>
    </row>
    <row r="3206" spans="2:15" x14ac:dyDescent="0.3">
      <c r="B3206">
        <v>3266</v>
      </c>
      <c r="D3206">
        <v>1646</v>
      </c>
      <c r="E3206">
        <v>468</v>
      </c>
      <c r="F3206">
        <v>1</v>
      </c>
      <c r="G3206">
        <v>19.521561894399699</v>
      </c>
      <c r="H3206">
        <v>2</v>
      </c>
      <c r="I3206">
        <v>59</v>
      </c>
      <c r="K3206" t="s">
        <v>2386</v>
      </c>
      <c r="L3206">
        <v>20</v>
      </c>
      <c r="M3206" t="s">
        <v>4050</v>
      </c>
      <c r="N3206" t="s">
        <v>2388</v>
      </c>
      <c r="O3206">
        <v>1</v>
      </c>
    </row>
    <row r="3207" spans="2:15" x14ac:dyDescent="0.3">
      <c r="B3207">
        <v>3267</v>
      </c>
      <c r="D3207">
        <v>468</v>
      </c>
      <c r="E3207">
        <v>1646</v>
      </c>
      <c r="F3207">
        <v>1</v>
      </c>
      <c r="G3207">
        <v>19.521561894399699</v>
      </c>
      <c r="H3207">
        <v>2</v>
      </c>
      <c r="I3207">
        <v>59</v>
      </c>
      <c r="K3207" t="s">
        <v>2386</v>
      </c>
      <c r="L3207">
        <v>20</v>
      </c>
      <c r="M3207" t="s">
        <v>4051</v>
      </c>
      <c r="N3207" t="s">
        <v>2388</v>
      </c>
      <c r="O3207">
        <v>1</v>
      </c>
    </row>
    <row r="3208" spans="2:15" x14ac:dyDescent="0.3">
      <c r="B3208">
        <v>3268</v>
      </c>
      <c r="D3208">
        <v>1647</v>
      </c>
      <c r="E3208">
        <v>48</v>
      </c>
      <c r="F3208">
        <v>1</v>
      </c>
      <c r="G3208">
        <v>47.321785597346803</v>
      </c>
      <c r="H3208">
        <v>2</v>
      </c>
      <c r="I3208">
        <v>59</v>
      </c>
      <c r="K3208" t="s">
        <v>2386</v>
      </c>
      <c r="L3208">
        <v>20</v>
      </c>
      <c r="M3208" t="s">
        <v>4052</v>
      </c>
      <c r="N3208" t="s">
        <v>2388</v>
      </c>
      <c r="O3208">
        <v>1</v>
      </c>
    </row>
    <row r="3209" spans="2:15" x14ac:dyDescent="0.3">
      <c r="B3209">
        <v>3269</v>
      </c>
      <c r="D3209">
        <v>48</v>
      </c>
      <c r="E3209">
        <v>1647</v>
      </c>
      <c r="F3209">
        <v>1</v>
      </c>
      <c r="G3209">
        <v>47.321785597346803</v>
      </c>
      <c r="H3209">
        <v>2</v>
      </c>
      <c r="I3209">
        <v>59</v>
      </c>
      <c r="K3209" t="s">
        <v>2386</v>
      </c>
      <c r="L3209">
        <v>20</v>
      </c>
      <c r="M3209" t="s">
        <v>4053</v>
      </c>
      <c r="N3209" t="s">
        <v>2388</v>
      </c>
      <c r="O3209">
        <v>1</v>
      </c>
    </row>
    <row r="3210" spans="2:15" x14ac:dyDescent="0.3">
      <c r="B3210">
        <v>3270</v>
      </c>
      <c r="D3210">
        <v>1648</v>
      </c>
      <c r="E3210">
        <v>68</v>
      </c>
      <c r="F3210">
        <v>1</v>
      </c>
      <c r="G3210">
        <v>95.348631458645698</v>
      </c>
      <c r="H3210">
        <v>2</v>
      </c>
      <c r="I3210">
        <v>59</v>
      </c>
      <c r="K3210" t="s">
        <v>2386</v>
      </c>
      <c r="L3210">
        <v>20</v>
      </c>
      <c r="M3210" t="s">
        <v>4054</v>
      </c>
      <c r="N3210" t="s">
        <v>2388</v>
      </c>
      <c r="O3210">
        <v>1</v>
      </c>
    </row>
    <row r="3211" spans="2:15" x14ac:dyDescent="0.3">
      <c r="B3211">
        <v>3271</v>
      </c>
      <c r="D3211">
        <v>68</v>
      </c>
      <c r="E3211">
        <v>1648</v>
      </c>
      <c r="F3211">
        <v>1</v>
      </c>
      <c r="G3211">
        <v>95.348631458645698</v>
      </c>
      <c r="H3211">
        <v>2</v>
      </c>
      <c r="I3211">
        <v>59</v>
      </c>
      <c r="K3211" t="s">
        <v>2386</v>
      </c>
      <c r="L3211">
        <v>20</v>
      </c>
      <c r="M3211" t="s">
        <v>4055</v>
      </c>
      <c r="N3211" t="s">
        <v>2388</v>
      </c>
      <c r="O3211">
        <v>1</v>
      </c>
    </row>
    <row r="3212" spans="2:15" x14ac:dyDescent="0.3">
      <c r="B3212">
        <v>3272</v>
      </c>
      <c r="D3212">
        <v>1649</v>
      </c>
      <c r="E3212">
        <v>68</v>
      </c>
      <c r="F3212">
        <v>1</v>
      </c>
      <c r="G3212">
        <v>63.284296953160101</v>
      </c>
      <c r="H3212">
        <v>2</v>
      </c>
      <c r="I3212">
        <v>59</v>
      </c>
      <c r="K3212" t="s">
        <v>2386</v>
      </c>
      <c r="L3212">
        <v>20</v>
      </c>
      <c r="M3212" t="s">
        <v>4056</v>
      </c>
      <c r="N3212" t="s">
        <v>2388</v>
      </c>
      <c r="O3212">
        <v>1</v>
      </c>
    </row>
    <row r="3213" spans="2:15" x14ac:dyDescent="0.3">
      <c r="B3213">
        <v>3273</v>
      </c>
      <c r="D3213">
        <v>68</v>
      </c>
      <c r="E3213">
        <v>1649</v>
      </c>
      <c r="F3213">
        <v>1</v>
      </c>
      <c r="G3213">
        <v>63.284296953160101</v>
      </c>
      <c r="H3213">
        <v>2</v>
      </c>
      <c r="I3213">
        <v>59</v>
      </c>
      <c r="K3213" t="s">
        <v>2386</v>
      </c>
      <c r="L3213">
        <v>20</v>
      </c>
      <c r="M3213" t="s">
        <v>4057</v>
      </c>
      <c r="N3213" t="s">
        <v>2388</v>
      </c>
      <c r="O3213">
        <v>1</v>
      </c>
    </row>
    <row r="3214" spans="2:15" x14ac:dyDescent="0.3">
      <c r="B3214">
        <v>3274</v>
      </c>
      <c r="D3214">
        <v>1650</v>
      </c>
      <c r="E3214">
        <v>143</v>
      </c>
      <c r="F3214">
        <v>1</v>
      </c>
      <c r="G3214">
        <v>86.579833975924302</v>
      </c>
      <c r="H3214">
        <v>2</v>
      </c>
      <c r="I3214">
        <v>59</v>
      </c>
      <c r="K3214" t="s">
        <v>2386</v>
      </c>
      <c r="L3214">
        <v>20</v>
      </c>
      <c r="M3214" t="s">
        <v>4058</v>
      </c>
      <c r="N3214" t="s">
        <v>2388</v>
      </c>
      <c r="O3214">
        <v>1</v>
      </c>
    </row>
    <row r="3215" spans="2:15" x14ac:dyDescent="0.3">
      <c r="B3215">
        <v>3275</v>
      </c>
      <c r="D3215">
        <v>143</v>
      </c>
      <c r="E3215">
        <v>1650</v>
      </c>
      <c r="F3215">
        <v>1</v>
      </c>
      <c r="G3215">
        <v>86.579833975924302</v>
      </c>
      <c r="H3215">
        <v>2</v>
      </c>
      <c r="I3215">
        <v>59</v>
      </c>
      <c r="K3215" t="s">
        <v>2386</v>
      </c>
      <c r="L3215">
        <v>20</v>
      </c>
      <c r="M3215" t="s">
        <v>4059</v>
      </c>
      <c r="N3215" t="s">
        <v>2388</v>
      </c>
      <c r="O3215">
        <v>1</v>
      </c>
    </row>
    <row r="3216" spans="2:15" x14ac:dyDescent="0.3">
      <c r="B3216">
        <v>3276</v>
      </c>
      <c r="D3216">
        <v>1651</v>
      </c>
      <c r="E3216">
        <v>248</v>
      </c>
      <c r="F3216">
        <v>1</v>
      </c>
      <c r="G3216">
        <v>104.535282838566</v>
      </c>
      <c r="H3216">
        <v>2</v>
      </c>
      <c r="I3216">
        <v>59</v>
      </c>
      <c r="K3216" t="s">
        <v>2386</v>
      </c>
      <c r="L3216">
        <v>20</v>
      </c>
      <c r="M3216" t="s">
        <v>4060</v>
      </c>
      <c r="N3216" t="s">
        <v>2388</v>
      </c>
      <c r="O3216">
        <v>1</v>
      </c>
    </row>
    <row r="3217" spans="2:15" x14ac:dyDescent="0.3">
      <c r="B3217">
        <v>3277</v>
      </c>
      <c r="D3217">
        <v>248</v>
      </c>
      <c r="E3217">
        <v>1651</v>
      </c>
      <c r="F3217">
        <v>1</v>
      </c>
      <c r="G3217">
        <v>104.535282838566</v>
      </c>
      <c r="H3217">
        <v>2</v>
      </c>
      <c r="I3217">
        <v>59</v>
      </c>
      <c r="K3217" t="s">
        <v>2386</v>
      </c>
      <c r="L3217">
        <v>20</v>
      </c>
      <c r="M3217" t="s">
        <v>4061</v>
      </c>
      <c r="N3217" t="s">
        <v>2388</v>
      </c>
      <c r="O3217">
        <v>1</v>
      </c>
    </row>
    <row r="3218" spans="2:15" x14ac:dyDescent="0.3">
      <c r="B3218">
        <v>3278</v>
      </c>
      <c r="D3218">
        <v>1652</v>
      </c>
      <c r="E3218">
        <v>688</v>
      </c>
      <c r="F3218">
        <v>1</v>
      </c>
      <c r="G3218">
        <v>82.036604942537394</v>
      </c>
      <c r="H3218">
        <v>2</v>
      </c>
      <c r="I3218">
        <v>59</v>
      </c>
      <c r="K3218" t="s">
        <v>2386</v>
      </c>
      <c r="L3218">
        <v>20</v>
      </c>
      <c r="M3218" t="s">
        <v>4062</v>
      </c>
      <c r="N3218" t="s">
        <v>2388</v>
      </c>
      <c r="O3218">
        <v>1</v>
      </c>
    </row>
    <row r="3219" spans="2:15" x14ac:dyDescent="0.3">
      <c r="B3219">
        <v>3279</v>
      </c>
      <c r="D3219">
        <v>688</v>
      </c>
      <c r="E3219">
        <v>1652</v>
      </c>
      <c r="F3219">
        <v>1</v>
      </c>
      <c r="G3219">
        <v>82.036604942537394</v>
      </c>
      <c r="H3219">
        <v>2</v>
      </c>
      <c r="I3219">
        <v>59</v>
      </c>
      <c r="K3219" t="s">
        <v>2386</v>
      </c>
      <c r="L3219">
        <v>20</v>
      </c>
      <c r="M3219" t="s">
        <v>4063</v>
      </c>
      <c r="N3219" t="s">
        <v>2388</v>
      </c>
      <c r="O3219">
        <v>1</v>
      </c>
    </row>
    <row r="3220" spans="2:15" x14ac:dyDescent="0.3">
      <c r="B3220">
        <v>3280</v>
      </c>
      <c r="D3220">
        <v>1653</v>
      </c>
      <c r="E3220">
        <v>42</v>
      </c>
      <c r="F3220">
        <v>1</v>
      </c>
      <c r="G3220">
        <v>134.93531070164201</v>
      </c>
      <c r="H3220">
        <v>2</v>
      </c>
      <c r="I3220">
        <v>59</v>
      </c>
      <c r="K3220" t="s">
        <v>2386</v>
      </c>
      <c r="L3220">
        <v>20</v>
      </c>
      <c r="M3220" t="s">
        <v>4064</v>
      </c>
      <c r="N3220" t="s">
        <v>2388</v>
      </c>
      <c r="O3220">
        <v>1</v>
      </c>
    </row>
    <row r="3221" spans="2:15" x14ac:dyDescent="0.3">
      <c r="B3221">
        <v>3281</v>
      </c>
      <c r="D3221">
        <v>42</v>
      </c>
      <c r="E3221">
        <v>1653</v>
      </c>
      <c r="F3221">
        <v>1</v>
      </c>
      <c r="G3221">
        <v>134.93531070164201</v>
      </c>
      <c r="H3221">
        <v>2</v>
      </c>
      <c r="I3221">
        <v>59</v>
      </c>
      <c r="K3221" t="s">
        <v>2386</v>
      </c>
      <c r="L3221">
        <v>20</v>
      </c>
      <c r="M3221" t="s">
        <v>4065</v>
      </c>
      <c r="N3221" t="s">
        <v>2388</v>
      </c>
      <c r="O3221">
        <v>1</v>
      </c>
    </row>
    <row r="3222" spans="2:15" x14ac:dyDescent="0.3">
      <c r="B3222">
        <v>3282</v>
      </c>
      <c r="D3222">
        <v>1654</v>
      </c>
      <c r="E3222">
        <v>113</v>
      </c>
      <c r="F3222">
        <v>1</v>
      </c>
      <c r="G3222">
        <v>36.963773799143297</v>
      </c>
      <c r="H3222">
        <v>2</v>
      </c>
      <c r="I3222">
        <v>59</v>
      </c>
      <c r="K3222" t="s">
        <v>2386</v>
      </c>
      <c r="L3222">
        <v>20</v>
      </c>
      <c r="M3222" t="s">
        <v>4066</v>
      </c>
      <c r="N3222" t="s">
        <v>2388</v>
      </c>
      <c r="O3222">
        <v>1</v>
      </c>
    </row>
    <row r="3223" spans="2:15" x14ac:dyDescent="0.3">
      <c r="B3223">
        <v>3283</v>
      </c>
      <c r="D3223">
        <v>113</v>
      </c>
      <c r="E3223">
        <v>1654</v>
      </c>
      <c r="F3223">
        <v>1</v>
      </c>
      <c r="G3223">
        <v>36.963773799143297</v>
      </c>
      <c r="H3223">
        <v>2</v>
      </c>
      <c r="I3223">
        <v>59</v>
      </c>
      <c r="K3223" t="s">
        <v>2386</v>
      </c>
      <c r="L3223">
        <v>20</v>
      </c>
      <c r="M3223" t="s">
        <v>4067</v>
      </c>
      <c r="N3223" t="s">
        <v>2388</v>
      </c>
      <c r="O3223">
        <v>1</v>
      </c>
    </row>
    <row r="3224" spans="2:15" x14ac:dyDescent="0.3">
      <c r="B3224">
        <v>3284</v>
      </c>
      <c r="D3224">
        <v>1655</v>
      </c>
      <c r="E3224">
        <v>802</v>
      </c>
      <c r="F3224">
        <v>1</v>
      </c>
      <c r="G3224">
        <v>84.9005201359697</v>
      </c>
      <c r="H3224">
        <v>2</v>
      </c>
      <c r="I3224">
        <v>59</v>
      </c>
      <c r="K3224" t="s">
        <v>2386</v>
      </c>
      <c r="L3224">
        <v>20</v>
      </c>
      <c r="M3224" t="s">
        <v>4068</v>
      </c>
      <c r="N3224" t="s">
        <v>2388</v>
      </c>
      <c r="O3224">
        <v>1</v>
      </c>
    </row>
    <row r="3225" spans="2:15" x14ac:dyDescent="0.3">
      <c r="B3225">
        <v>3285</v>
      </c>
      <c r="D3225">
        <v>802</v>
      </c>
      <c r="E3225">
        <v>1655</v>
      </c>
      <c r="F3225">
        <v>1</v>
      </c>
      <c r="G3225">
        <v>84.9005201359697</v>
      </c>
      <c r="H3225">
        <v>2</v>
      </c>
      <c r="I3225">
        <v>59</v>
      </c>
      <c r="K3225" t="s">
        <v>2386</v>
      </c>
      <c r="L3225">
        <v>20</v>
      </c>
      <c r="M3225" t="s">
        <v>4069</v>
      </c>
      <c r="N3225" t="s">
        <v>2388</v>
      </c>
      <c r="O3225">
        <v>1</v>
      </c>
    </row>
    <row r="3226" spans="2:15" x14ac:dyDescent="0.3">
      <c r="B3226">
        <v>3286</v>
      </c>
      <c r="D3226">
        <v>1656</v>
      </c>
      <c r="E3226">
        <v>552</v>
      </c>
      <c r="F3226">
        <v>1</v>
      </c>
      <c r="G3226">
        <v>91.295520638513494</v>
      </c>
      <c r="H3226">
        <v>2</v>
      </c>
      <c r="I3226">
        <v>59</v>
      </c>
      <c r="K3226" t="s">
        <v>2386</v>
      </c>
      <c r="L3226">
        <v>20</v>
      </c>
      <c r="M3226" t="s">
        <v>4070</v>
      </c>
      <c r="N3226" t="s">
        <v>2388</v>
      </c>
      <c r="O3226">
        <v>1</v>
      </c>
    </row>
    <row r="3227" spans="2:15" x14ac:dyDescent="0.3">
      <c r="B3227">
        <v>3287</v>
      </c>
      <c r="D3227">
        <v>552</v>
      </c>
      <c r="E3227">
        <v>1656</v>
      </c>
      <c r="F3227">
        <v>1</v>
      </c>
      <c r="G3227">
        <v>91.295520638513494</v>
      </c>
      <c r="H3227">
        <v>2</v>
      </c>
      <c r="I3227">
        <v>59</v>
      </c>
      <c r="K3227" t="s">
        <v>2386</v>
      </c>
      <c r="L3227">
        <v>20</v>
      </c>
      <c r="M3227" t="s">
        <v>4071</v>
      </c>
      <c r="N3227" t="s">
        <v>2388</v>
      </c>
      <c r="O3227">
        <v>1</v>
      </c>
    </row>
    <row r="3228" spans="2:15" x14ac:dyDescent="0.3">
      <c r="B3228">
        <v>3288</v>
      </c>
      <c r="D3228">
        <v>1657</v>
      </c>
      <c r="E3228">
        <v>552</v>
      </c>
      <c r="F3228">
        <v>1</v>
      </c>
      <c r="G3228">
        <v>99.141204008186193</v>
      </c>
      <c r="H3228">
        <v>2</v>
      </c>
      <c r="I3228">
        <v>59</v>
      </c>
      <c r="K3228" t="s">
        <v>2386</v>
      </c>
      <c r="L3228">
        <v>20</v>
      </c>
      <c r="M3228" t="s">
        <v>4072</v>
      </c>
      <c r="N3228" t="s">
        <v>2388</v>
      </c>
      <c r="O3228">
        <v>1</v>
      </c>
    </row>
    <row r="3229" spans="2:15" x14ac:dyDescent="0.3">
      <c r="B3229">
        <v>3289</v>
      </c>
      <c r="D3229">
        <v>552</v>
      </c>
      <c r="E3229">
        <v>1657</v>
      </c>
      <c r="F3229">
        <v>1</v>
      </c>
      <c r="G3229">
        <v>99.141204008186193</v>
      </c>
      <c r="H3229">
        <v>2</v>
      </c>
      <c r="I3229">
        <v>59</v>
      </c>
      <c r="K3229" t="s">
        <v>2386</v>
      </c>
      <c r="L3229">
        <v>20</v>
      </c>
      <c r="M3229" t="s">
        <v>4073</v>
      </c>
      <c r="N3229" t="s">
        <v>2388</v>
      </c>
      <c r="O3229">
        <v>1</v>
      </c>
    </row>
    <row r="3230" spans="2:15" x14ac:dyDescent="0.3">
      <c r="B3230">
        <v>3290</v>
      </c>
      <c r="D3230">
        <v>1658</v>
      </c>
      <c r="E3230">
        <v>552</v>
      </c>
      <c r="F3230">
        <v>1</v>
      </c>
      <c r="G3230">
        <v>121.838935795805</v>
      </c>
      <c r="H3230">
        <v>2</v>
      </c>
      <c r="I3230">
        <v>59</v>
      </c>
      <c r="K3230" t="s">
        <v>2386</v>
      </c>
      <c r="L3230">
        <v>20</v>
      </c>
      <c r="M3230" t="s">
        <v>4074</v>
      </c>
      <c r="N3230" t="s">
        <v>2388</v>
      </c>
      <c r="O3230">
        <v>1</v>
      </c>
    </row>
    <row r="3231" spans="2:15" x14ac:dyDescent="0.3">
      <c r="B3231">
        <v>3291</v>
      </c>
      <c r="D3231">
        <v>552</v>
      </c>
      <c r="E3231">
        <v>1658</v>
      </c>
      <c r="F3231">
        <v>1</v>
      </c>
      <c r="G3231">
        <v>121.838935795805</v>
      </c>
      <c r="H3231">
        <v>2</v>
      </c>
      <c r="I3231">
        <v>59</v>
      </c>
      <c r="K3231" t="s">
        <v>2386</v>
      </c>
      <c r="L3231">
        <v>20</v>
      </c>
      <c r="M3231" t="s">
        <v>4075</v>
      </c>
      <c r="N3231" t="s">
        <v>2388</v>
      </c>
      <c r="O3231">
        <v>1</v>
      </c>
    </row>
    <row r="3232" spans="2:15" x14ac:dyDescent="0.3">
      <c r="B3232">
        <v>3292</v>
      </c>
      <c r="D3232">
        <v>1659</v>
      </c>
      <c r="E3232">
        <v>1965</v>
      </c>
      <c r="F3232">
        <v>1</v>
      </c>
      <c r="G3232">
        <v>100.966177024812</v>
      </c>
      <c r="H3232">
        <v>2</v>
      </c>
      <c r="I3232">
        <v>59</v>
      </c>
      <c r="K3232" t="s">
        <v>2386</v>
      </c>
      <c r="L3232">
        <v>20</v>
      </c>
      <c r="M3232" t="s">
        <v>4076</v>
      </c>
      <c r="N3232" t="s">
        <v>2388</v>
      </c>
      <c r="O3232">
        <v>1</v>
      </c>
    </row>
    <row r="3233" spans="2:15" x14ac:dyDescent="0.3">
      <c r="B3233">
        <v>3293</v>
      </c>
      <c r="D3233">
        <v>1965</v>
      </c>
      <c r="E3233">
        <v>1659</v>
      </c>
      <c r="F3233">
        <v>1</v>
      </c>
      <c r="G3233">
        <v>100.966177024812</v>
      </c>
      <c r="H3233">
        <v>2</v>
      </c>
      <c r="I3233">
        <v>59</v>
      </c>
      <c r="K3233" t="s">
        <v>2386</v>
      </c>
      <c r="L3233">
        <v>20</v>
      </c>
      <c r="M3233" t="s">
        <v>4077</v>
      </c>
      <c r="N3233" t="s">
        <v>2388</v>
      </c>
      <c r="O3233">
        <v>1</v>
      </c>
    </row>
    <row r="3234" spans="2:15" x14ac:dyDescent="0.3">
      <c r="B3234">
        <v>3294</v>
      </c>
      <c r="D3234">
        <v>1660</v>
      </c>
      <c r="E3234">
        <v>1965</v>
      </c>
      <c r="F3234">
        <v>1</v>
      </c>
      <c r="G3234">
        <v>93.7761084426932</v>
      </c>
      <c r="H3234">
        <v>2</v>
      </c>
      <c r="I3234">
        <v>59</v>
      </c>
      <c r="K3234" t="s">
        <v>2386</v>
      </c>
      <c r="L3234">
        <v>20</v>
      </c>
      <c r="M3234" t="s">
        <v>4078</v>
      </c>
      <c r="N3234" t="s">
        <v>2388</v>
      </c>
      <c r="O3234">
        <v>1</v>
      </c>
    </row>
    <row r="3235" spans="2:15" x14ac:dyDescent="0.3">
      <c r="B3235">
        <v>3295</v>
      </c>
      <c r="D3235">
        <v>1965</v>
      </c>
      <c r="E3235">
        <v>1660</v>
      </c>
      <c r="F3235">
        <v>1</v>
      </c>
      <c r="G3235">
        <v>93.7761084426932</v>
      </c>
      <c r="H3235">
        <v>2</v>
      </c>
      <c r="I3235">
        <v>59</v>
      </c>
      <c r="K3235" t="s">
        <v>2386</v>
      </c>
      <c r="L3235">
        <v>20</v>
      </c>
      <c r="M3235" t="s">
        <v>4079</v>
      </c>
      <c r="N3235" t="s">
        <v>2388</v>
      </c>
      <c r="O3235">
        <v>1</v>
      </c>
    </row>
    <row r="3236" spans="2:15" x14ac:dyDescent="0.3">
      <c r="B3236">
        <v>3296</v>
      </c>
      <c r="D3236">
        <v>1661</v>
      </c>
      <c r="E3236">
        <v>763</v>
      </c>
      <c r="F3236">
        <v>1</v>
      </c>
      <c r="G3236">
        <v>37.299327420793801</v>
      </c>
      <c r="H3236">
        <v>2</v>
      </c>
      <c r="I3236">
        <v>59</v>
      </c>
      <c r="K3236" t="s">
        <v>2386</v>
      </c>
      <c r="L3236">
        <v>20</v>
      </c>
      <c r="M3236" t="s">
        <v>4080</v>
      </c>
      <c r="N3236" t="s">
        <v>2388</v>
      </c>
      <c r="O3236">
        <v>1</v>
      </c>
    </row>
    <row r="3237" spans="2:15" x14ac:dyDescent="0.3">
      <c r="B3237">
        <v>3297</v>
      </c>
      <c r="D3237">
        <v>763</v>
      </c>
      <c r="E3237">
        <v>1661</v>
      </c>
      <c r="F3237">
        <v>1</v>
      </c>
      <c r="G3237">
        <v>37.299327420793801</v>
      </c>
      <c r="H3237">
        <v>2</v>
      </c>
      <c r="I3237">
        <v>59</v>
      </c>
      <c r="K3237" t="s">
        <v>2386</v>
      </c>
      <c r="L3237">
        <v>20</v>
      </c>
      <c r="M3237" t="s">
        <v>4081</v>
      </c>
      <c r="N3237" t="s">
        <v>2388</v>
      </c>
      <c r="O3237">
        <v>1</v>
      </c>
    </row>
    <row r="3238" spans="2:15" x14ac:dyDescent="0.3">
      <c r="B3238">
        <v>3298</v>
      </c>
      <c r="D3238">
        <v>1662</v>
      </c>
      <c r="E3238">
        <v>428</v>
      </c>
      <c r="F3238">
        <v>1</v>
      </c>
      <c r="G3238">
        <v>38.0978785843485</v>
      </c>
      <c r="H3238">
        <v>2</v>
      </c>
      <c r="I3238">
        <v>59</v>
      </c>
      <c r="K3238" t="s">
        <v>2386</v>
      </c>
      <c r="L3238">
        <v>20</v>
      </c>
      <c r="M3238" t="s">
        <v>4082</v>
      </c>
      <c r="N3238" t="s">
        <v>2388</v>
      </c>
      <c r="O3238">
        <v>1</v>
      </c>
    </row>
    <row r="3239" spans="2:15" x14ac:dyDescent="0.3">
      <c r="B3239">
        <v>3299</v>
      </c>
      <c r="D3239">
        <v>428</v>
      </c>
      <c r="E3239">
        <v>1662</v>
      </c>
      <c r="F3239">
        <v>1</v>
      </c>
      <c r="G3239">
        <v>38.0978785843485</v>
      </c>
      <c r="H3239">
        <v>2</v>
      </c>
      <c r="I3239">
        <v>59</v>
      </c>
      <c r="K3239" t="s">
        <v>2386</v>
      </c>
      <c r="L3239">
        <v>20</v>
      </c>
      <c r="M3239" t="s">
        <v>4083</v>
      </c>
      <c r="N3239" t="s">
        <v>2388</v>
      </c>
      <c r="O3239">
        <v>1</v>
      </c>
    </row>
    <row r="3240" spans="2:15" x14ac:dyDescent="0.3">
      <c r="B3240">
        <v>3300</v>
      </c>
      <c r="D3240">
        <v>1663</v>
      </c>
      <c r="E3240">
        <v>428</v>
      </c>
      <c r="F3240">
        <v>1</v>
      </c>
      <c r="G3240">
        <v>45.703927772629498</v>
      </c>
      <c r="H3240">
        <v>2</v>
      </c>
      <c r="I3240">
        <v>59</v>
      </c>
      <c r="K3240" t="s">
        <v>2386</v>
      </c>
      <c r="L3240">
        <v>20</v>
      </c>
      <c r="M3240" t="s">
        <v>4084</v>
      </c>
      <c r="N3240" t="s">
        <v>2388</v>
      </c>
      <c r="O3240">
        <v>1</v>
      </c>
    </row>
    <row r="3241" spans="2:15" x14ac:dyDescent="0.3">
      <c r="B3241">
        <v>3301</v>
      </c>
      <c r="D3241">
        <v>428</v>
      </c>
      <c r="E3241">
        <v>1663</v>
      </c>
      <c r="F3241">
        <v>1</v>
      </c>
      <c r="G3241">
        <v>45.703927772629498</v>
      </c>
      <c r="H3241">
        <v>2</v>
      </c>
      <c r="I3241">
        <v>59</v>
      </c>
      <c r="K3241" t="s">
        <v>2386</v>
      </c>
      <c r="L3241">
        <v>20</v>
      </c>
      <c r="M3241" t="s">
        <v>4085</v>
      </c>
      <c r="N3241" t="s">
        <v>2388</v>
      </c>
      <c r="O3241">
        <v>1</v>
      </c>
    </row>
    <row r="3242" spans="2:15" x14ac:dyDescent="0.3">
      <c r="B3242">
        <v>3302</v>
      </c>
      <c r="D3242">
        <v>1664</v>
      </c>
      <c r="E3242">
        <v>763</v>
      </c>
      <c r="F3242">
        <v>1</v>
      </c>
      <c r="G3242">
        <v>34.831707177974103</v>
      </c>
      <c r="H3242">
        <v>2</v>
      </c>
      <c r="I3242">
        <v>59</v>
      </c>
      <c r="K3242" t="s">
        <v>2386</v>
      </c>
      <c r="L3242">
        <v>20</v>
      </c>
      <c r="M3242" t="s">
        <v>4086</v>
      </c>
      <c r="N3242" t="s">
        <v>2388</v>
      </c>
      <c r="O3242">
        <v>1</v>
      </c>
    </row>
    <row r="3243" spans="2:15" x14ac:dyDescent="0.3">
      <c r="B3243">
        <v>3303</v>
      </c>
      <c r="D3243">
        <v>763</v>
      </c>
      <c r="E3243">
        <v>1664</v>
      </c>
      <c r="F3243">
        <v>1</v>
      </c>
      <c r="G3243">
        <v>34.831707177974103</v>
      </c>
      <c r="H3243">
        <v>2</v>
      </c>
      <c r="I3243">
        <v>59</v>
      </c>
      <c r="K3243" t="s">
        <v>2386</v>
      </c>
      <c r="L3243">
        <v>20</v>
      </c>
      <c r="M3243" t="s">
        <v>4087</v>
      </c>
      <c r="N3243" t="s">
        <v>2388</v>
      </c>
      <c r="O3243">
        <v>1</v>
      </c>
    </row>
    <row r="3244" spans="2:15" x14ac:dyDescent="0.3">
      <c r="B3244">
        <v>3304</v>
      </c>
      <c r="D3244">
        <v>1665</v>
      </c>
      <c r="E3244">
        <v>763</v>
      </c>
      <c r="F3244">
        <v>1</v>
      </c>
      <c r="G3244">
        <v>34.454065059278904</v>
      </c>
      <c r="H3244">
        <v>2</v>
      </c>
      <c r="I3244">
        <v>59</v>
      </c>
      <c r="K3244" t="s">
        <v>2386</v>
      </c>
      <c r="L3244">
        <v>20</v>
      </c>
      <c r="M3244" t="s">
        <v>4088</v>
      </c>
      <c r="N3244" t="s">
        <v>2388</v>
      </c>
      <c r="O3244">
        <v>1</v>
      </c>
    </row>
    <row r="3245" spans="2:15" x14ac:dyDescent="0.3">
      <c r="B3245">
        <v>3305</v>
      </c>
      <c r="D3245">
        <v>763</v>
      </c>
      <c r="E3245">
        <v>1665</v>
      </c>
      <c r="F3245">
        <v>1</v>
      </c>
      <c r="G3245">
        <v>34.454065059278904</v>
      </c>
      <c r="H3245">
        <v>2</v>
      </c>
      <c r="I3245">
        <v>59</v>
      </c>
      <c r="K3245" t="s">
        <v>2386</v>
      </c>
      <c r="L3245">
        <v>20</v>
      </c>
      <c r="M3245" t="s">
        <v>4089</v>
      </c>
      <c r="N3245" t="s">
        <v>2388</v>
      </c>
      <c r="O3245">
        <v>1</v>
      </c>
    </row>
    <row r="3246" spans="2:15" x14ac:dyDescent="0.3">
      <c r="B3246">
        <v>3306</v>
      </c>
      <c r="D3246">
        <v>1666</v>
      </c>
      <c r="E3246">
        <v>655</v>
      </c>
      <c r="F3246">
        <v>1</v>
      </c>
      <c r="G3246">
        <v>52.928029245247203</v>
      </c>
      <c r="H3246">
        <v>2</v>
      </c>
      <c r="I3246">
        <v>59</v>
      </c>
      <c r="K3246" t="s">
        <v>2386</v>
      </c>
      <c r="L3246">
        <v>20</v>
      </c>
      <c r="M3246" t="s">
        <v>4090</v>
      </c>
      <c r="N3246" t="s">
        <v>2388</v>
      </c>
      <c r="O3246">
        <v>1</v>
      </c>
    </row>
    <row r="3247" spans="2:15" x14ac:dyDescent="0.3">
      <c r="B3247">
        <v>3307</v>
      </c>
      <c r="D3247">
        <v>655</v>
      </c>
      <c r="E3247">
        <v>1666</v>
      </c>
      <c r="F3247">
        <v>1</v>
      </c>
      <c r="G3247">
        <v>52.928029245247203</v>
      </c>
      <c r="H3247">
        <v>2</v>
      </c>
      <c r="I3247">
        <v>59</v>
      </c>
      <c r="K3247" t="s">
        <v>2386</v>
      </c>
      <c r="L3247">
        <v>20</v>
      </c>
      <c r="M3247" t="s">
        <v>4091</v>
      </c>
      <c r="N3247" t="s">
        <v>2388</v>
      </c>
      <c r="O3247">
        <v>1</v>
      </c>
    </row>
    <row r="3248" spans="2:15" x14ac:dyDescent="0.3">
      <c r="B3248">
        <v>3308</v>
      </c>
      <c r="D3248">
        <v>1667</v>
      </c>
      <c r="E3248">
        <v>38</v>
      </c>
      <c r="F3248">
        <v>1</v>
      </c>
      <c r="G3248">
        <v>84.469930624710898</v>
      </c>
      <c r="H3248">
        <v>2</v>
      </c>
      <c r="I3248">
        <v>59</v>
      </c>
      <c r="K3248" t="s">
        <v>2386</v>
      </c>
      <c r="L3248">
        <v>20</v>
      </c>
      <c r="M3248" t="s">
        <v>4092</v>
      </c>
      <c r="N3248" t="s">
        <v>2388</v>
      </c>
      <c r="O3248">
        <v>1</v>
      </c>
    </row>
    <row r="3249" spans="2:15" x14ac:dyDescent="0.3">
      <c r="B3249">
        <v>3309</v>
      </c>
      <c r="D3249">
        <v>38</v>
      </c>
      <c r="E3249">
        <v>1667</v>
      </c>
      <c r="F3249">
        <v>1</v>
      </c>
      <c r="G3249">
        <v>84.469930624710898</v>
      </c>
      <c r="H3249">
        <v>2</v>
      </c>
      <c r="I3249">
        <v>59</v>
      </c>
      <c r="K3249" t="s">
        <v>2386</v>
      </c>
      <c r="L3249">
        <v>20</v>
      </c>
      <c r="M3249" t="s">
        <v>4093</v>
      </c>
      <c r="N3249" t="s">
        <v>2388</v>
      </c>
      <c r="O3249">
        <v>1</v>
      </c>
    </row>
    <row r="3250" spans="2:15" x14ac:dyDescent="0.3">
      <c r="B3250">
        <v>3310</v>
      </c>
      <c r="D3250">
        <v>1668</v>
      </c>
      <c r="E3250">
        <v>38</v>
      </c>
      <c r="F3250">
        <v>1</v>
      </c>
      <c r="G3250">
        <v>75.188489610766098</v>
      </c>
      <c r="H3250">
        <v>2</v>
      </c>
      <c r="I3250">
        <v>59</v>
      </c>
      <c r="K3250" t="s">
        <v>2386</v>
      </c>
      <c r="L3250">
        <v>20</v>
      </c>
      <c r="M3250" t="s">
        <v>4094</v>
      </c>
      <c r="N3250" t="s">
        <v>2388</v>
      </c>
      <c r="O3250">
        <v>1</v>
      </c>
    </row>
    <row r="3251" spans="2:15" x14ac:dyDescent="0.3">
      <c r="B3251">
        <v>3311</v>
      </c>
      <c r="D3251">
        <v>38</v>
      </c>
      <c r="E3251">
        <v>1668</v>
      </c>
      <c r="F3251">
        <v>1</v>
      </c>
      <c r="G3251">
        <v>75.188489610766098</v>
      </c>
      <c r="H3251">
        <v>2</v>
      </c>
      <c r="I3251">
        <v>59</v>
      </c>
      <c r="K3251" t="s">
        <v>2386</v>
      </c>
      <c r="L3251">
        <v>20</v>
      </c>
      <c r="M3251" t="s">
        <v>4095</v>
      </c>
      <c r="N3251" t="s">
        <v>2388</v>
      </c>
      <c r="O3251">
        <v>1</v>
      </c>
    </row>
    <row r="3252" spans="2:15" x14ac:dyDescent="0.3">
      <c r="B3252">
        <v>3312</v>
      </c>
      <c r="D3252">
        <v>1669</v>
      </c>
      <c r="E3252">
        <v>38</v>
      </c>
      <c r="F3252">
        <v>1</v>
      </c>
      <c r="G3252">
        <v>71.240144023061404</v>
      </c>
      <c r="H3252">
        <v>2</v>
      </c>
      <c r="I3252">
        <v>59</v>
      </c>
      <c r="K3252" t="s">
        <v>2386</v>
      </c>
      <c r="L3252">
        <v>20</v>
      </c>
      <c r="M3252" t="s">
        <v>4096</v>
      </c>
      <c r="N3252" t="s">
        <v>2388</v>
      </c>
      <c r="O3252">
        <v>1</v>
      </c>
    </row>
    <row r="3253" spans="2:15" x14ac:dyDescent="0.3">
      <c r="B3253">
        <v>3313</v>
      </c>
      <c r="D3253">
        <v>38</v>
      </c>
      <c r="E3253">
        <v>1669</v>
      </c>
      <c r="F3253">
        <v>1</v>
      </c>
      <c r="G3253">
        <v>71.240144023061404</v>
      </c>
      <c r="H3253">
        <v>2</v>
      </c>
      <c r="I3253">
        <v>59</v>
      </c>
      <c r="K3253" t="s">
        <v>2386</v>
      </c>
      <c r="L3253">
        <v>20</v>
      </c>
      <c r="M3253" t="s">
        <v>4097</v>
      </c>
      <c r="N3253" t="s">
        <v>2388</v>
      </c>
      <c r="O3253">
        <v>1</v>
      </c>
    </row>
    <row r="3254" spans="2:15" x14ac:dyDescent="0.3">
      <c r="B3254">
        <v>3314</v>
      </c>
      <c r="D3254">
        <v>1670</v>
      </c>
      <c r="E3254">
        <v>38</v>
      </c>
      <c r="F3254">
        <v>1</v>
      </c>
      <c r="G3254">
        <v>88.016531377015994</v>
      </c>
      <c r="H3254">
        <v>2</v>
      </c>
      <c r="I3254">
        <v>59</v>
      </c>
      <c r="K3254" t="s">
        <v>2386</v>
      </c>
      <c r="L3254">
        <v>20</v>
      </c>
      <c r="M3254" t="s">
        <v>4098</v>
      </c>
      <c r="N3254" t="s">
        <v>2388</v>
      </c>
      <c r="O3254">
        <v>1</v>
      </c>
    </row>
    <row r="3255" spans="2:15" x14ac:dyDescent="0.3">
      <c r="B3255">
        <v>3315</v>
      </c>
      <c r="D3255">
        <v>38</v>
      </c>
      <c r="E3255">
        <v>1670</v>
      </c>
      <c r="F3255">
        <v>1</v>
      </c>
      <c r="G3255">
        <v>88.016531377015994</v>
      </c>
      <c r="H3255">
        <v>2</v>
      </c>
      <c r="I3255">
        <v>59</v>
      </c>
      <c r="K3255" t="s">
        <v>2386</v>
      </c>
      <c r="L3255">
        <v>20</v>
      </c>
      <c r="M3255" t="s">
        <v>4099</v>
      </c>
      <c r="N3255" t="s">
        <v>2388</v>
      </c>
      <c r="O3255">
        <v>1</v>
      </c>
    </row>
    <row r="3256" spans="2:15" x14ac:dyDescent="0.3">
      <c r="B3256">
        <v>3316</v>
      </c>
      <c r="D3256">
        <v>1671</v>
      </c>
      <c r="E3256">
        <v>38</v>
      </c>
      <c r="F3256">
        <v>1</v>
      </c>
      <c r="G3256">
        <v>31.567841706476301</v>
      </c>
      <c r="H3256">
        <v>2</v>
      </c>
      <c r="I3256">
        <v>59</v>
      </c>
      <c r="K3256" t="s">
        <v>2386</v>
      </c>
      <c r="L3256">
        <v>20</v>
      </c>
      <c r="M3256" t="s">
        <v>4100</v>
      </c>
      <c r="N3256" t="s">
        <v>2388</v>
      </c>
      <c r="O3256">
        <v>1</v>
      </c>
    </row>
    <row r="3257" spans="2:15" x14ac:dyDescent="0.3">
      <c r="B3257">
        <v>3317</v>
      </c>
      <c r="D3257">
        <v>38</v>
      </c>
      <c r="E3257">
        <v>1671</v>
      </c>
      <c r="F3257">
        <v>1</v>
      </c>
      <c r="G3257">
        <v>31.567841706476301</v>
      </c>
      <c r="H3257">
        <v>2</v>
      </c>
      <c r="I3257">
        <v>59</v>
      </c>
      <c r="K3257" t="s">
        <v>2386</v>
      </c>
      <c r="L3257">
        <v>20</v>
      </c>
      <c r="M3257" t="s">
        <v>4101</v>
      </c>
      <c r="N3257" t="s">
        <v>2388</v>
      </c>
      <c r="O3257">
        <v>1</v>
      </c>
    </row>
    <row r="3258" spans="2:15" x14ac:dyDescent="0.3">
      <c r="B3258">
        <v>3318</v>
      </c>
      <c r="D3258">
        <v>1672</v>
      </c>
      <c r="E3258">
        <v>138</v>
      </c>
      <c r="F3258">
        <v>1</v>
      </c>
      <c r="G3258">
        <v>94.335747892953194</v>
      </c>
      <c r="H3258">
        <v>2</v>
      </c>
      <c r="I3258">
        <v>59</v>
      </c>
      <c r="K3258" t="s">
        <v>2386</v>
      </c>
      <c r="L3258">
        <v>20</v>
      </c>
      <c r="M3258" t="s">
        <v>4102</v>
      </c>
      <c r="N3258" t="s">
        <v>2388</v>
      </c>
      <c r="O3258">
        <v>1</v>
      </c>
    </row>
    <row r="3259" spans="2:15" x14ac:dyDescent="0.3">
      <c r="B3259">
        <v>3319</v>
      </c>
      <c r="D3259">
        <v>138</v>
      </c>
      <c r="E3259">
        <v>1672</v>
      </c>
      <c r="F3259">
        <v>1</v>
      </c>
      <c r="G3259">
        <v>94.335747892953194</v>
      </c>
      <c r="H3259">
        <v>2</v>
      </c>
      <c r="I3259">
        <v>59</v>
      </c>
      <c r="K3259" t="s">
        <v>2386</v>
      </c>
      <c r="L3259">
        <v>20</v>
      </c>
      <c r="M3259" t="s">
        <v>4103</v>
      </c>
      <c r="N3259" t="s">
        <v>2388</v>
      </c>
      <c r="O3259">
        <v>1</v>
      </c>
    </row>
    <row r="3260" spans="2:15" x14ac:dyDescent="0.3">
      <c r="B3260">
        <v>3320</v>
      </c>
      <c r="D3260">
        <v>1673</v>
      </c>
      <c r="E3260">
        <v>138</v>
      </c>
      <c r="F3260">
        <v>1</v>
      </c>
      <c r="G3260">
        <v>68.890015476123295</v>
      </c>
      <c r="H3260">
        <v>2</v>
      </c>
      <c r="I3260">
        <v>59</v>
      </c>
      <c r="K3260" t="s">
        <v>2386</v>
      </c>
      <c r="L3260">
        <v>20</v>
      </c>
      <c r="M3260" t="s">
        <v>4104</v>
      </c>
      <c r="N3260" t="s">
        <v>2388</v>
      </c>
      <c r="O3260">
        <v>1</v>
      </c>
    </row>
    <row r="3261" spans="2:15" x14ac:dyDescent="0.3">
      <c r="B3261">
        <v>3321</v>
      </c>
      <c r="D3261">
        <v>138</v>
      </c>
      <c r="E3261">
        <v>1673</v>
      </c>
      <c r="F3261">
        <v>1</v>
      </c>
      <c r="G3261">
        <v>68.890015476123295</v>
      </c>
      <c r="H3261">
        <v>2</v>
      </c>
      <c r="I3261">
        <v>59</v>
      </c>
      <c r="K3261" t="s">
        <v>2386</v>
      </c>
      <c r="L3261">
        <v>20</v>
      </c>
      <c r="M3261" t="s">
        <v>4105</v>
      </c>
      <c r="N3261" t="s">
        <v>2388</v>
      </c>
      <c r="O3261">
        <v>1</v>
      </c>
    </row>
    <row r="3262" spans="2:15" x14ac:dyDescent="0.3">
      <c r="B3262">
        <v>3322</v>
      </c>
      <c r="D3262">
        <v>1674</v>
      </c>
      <c r="E3262">
        <v>580</v>
      </c>
      <c r="F3262">
        <v>1</v>
      </c>
      <c r="G3262">
        <v>178.57119711526599</v>
      </c>
      <c r="H3262">
        <v>2</v>
      </c>
      <c r="I3262">
        <v>59</v>
      </c>
      <c r="K3262" t="s">
        <v>2386</v>
      </c>
      <c r="L3262">
        <v>20</v>
      </c>
      <c r="M3262" t="s">
        <v>4106</v>
      </c>
      <c r="N3262" t="s">
        <v>2388</v>
      </c>
      <c r="O3262">
        <v>1</v>
      </c>
    </row>
    <row r="3263" spans="2:15" x14ac:dyDescent="0.3">
      <c r="B3263">
        <v>3323</v>
      </c>
      <c r="D3263">
        <v>580</v>
      </c>
      <c r="E3263">
        <v>1674</v>
      </c>
      <c r="F3263">
        <v>1</v>
      </c>
      <c r="G3263">
        <v>178.57119711526599</v>
      </c>
      <c r="H3263">
        <v>2</v>
      </c>
      <c r="I3263">
        <v>59</v>
      </c>
      <c r="K3263" t="s">
        <v>2386</v>
      </c>
      <c r="L3263">
        <v>20</v>
      </c>
      <c r="M3263" t="s">
        <v>4107</v>
      </c>
      <c r="N3263" t="s">
        <v>2388</v>
      </c>
      <c r="O3263">
        <v>1</v>
      </c>
    </row>
    <row r="3264" spans="2:15" x14ac:dyDescent="0.3">
      <c r="B3264">
        <v>3324</v>
      </c>
      <c r="D3264">
        <v>1675</v>
      </c>
      <c r="E3264">
        <v>363</v>
      </c>
      <c r="F3264">
        <v>1</v>
      </c>
      <c r="G3264">
        <v>75.922249878883804</v>
      </c>
      <c r="H3264">
        <v>2</v>
      </c>
      <c r="I3264">
        <v>59</v>
      </c>
      <c r="K3264" t="s">
        <v>2386</v>
      </c>
      <c r="L3264">
        <v>20</v>
      </c>
      <c r="M3264" t="s">
        <v>4108</v>
      </c>
      <c r="N3264" t="s">
        <v>2388</v>
      </c>
      <c r="O3264">
        <v>1</v>
      </c>
    </row>
    <row r="3265" spans="2:15" x14ac:dyDescent="0.3">
      <c r="B3265">
        <v>3325</v>
      </c>
      <c r="D3265">
        <v>363</v>
      </c>
      <c r="E3265">
        <v>1675</v>
      </c>
      <c r="F3265">
        <v>1</v>
      </c>
      <c r="G3265">
        <v>75.922249878883804</v>
      </c>
      <c r="H3265">
        <v>2</v>
      </c>
      <c r="I3265">
        <v>59</v>
      </c>
      <c r="K3265" t="s">
        <v>2386</v>
      </c>
      <c r="L3265">
        <v>20</v>
      </c>
      <c r="M3265" t="s">
        <v>4109</v>
      </c>
      <c r="N3265" t="s">
        <v>2388</v>
      </c>
      <c r="O3265">
        <v>1</v>
      </c>
    </row>
    <row r="3266" spans="2:15" x14ac:dyDescent="0.3">
      <c r="B3266">
        <v>3326</v>
      </c>
      <c r="D3266">
        <v>1676</v>
      </c>
      <c r="E3266">
        <v>38</v>
      </c>
      <c r="F3266">
        <v>1</v>
      </c>
      <c r="G3266">
        <v>90.458021977396697</v>
      </c>
      <c r="H3266">
        <v>2</v>
      </c>
      <c r="I3266">
        <v>59</v>
      </c>
      <c r="K3266" t="s">
        <v>2386</v>
      </c>
      <c r="L3266">
        <v>20</v>
      </c>
      <c r="M3266" t="s">
        <v>4110</v>
      </c>
      <c r="N3266" t="s">
        <v>2388</v>
      </c>
      <c r="O3266">
        <v>1</v>
      </c>
    </row>
    <row r="3267" spans="2:15" x14ac:dyDescent="0.3">
      <c r="B3267">
        <v>3327</v>
      </c>
      <c r="D3267">
        <v>38</v>
      </c>
      <c r="E3267">
        <v>1676</v>
      </c>
      <c r="F3267">
        <v>1</v>
      </c>
      <c r="G3267">
        <v>90.458021977396697</v>
      </c>
      <c r="H3267">
        <v>2</v>
      </c>
      <c r="I3267">
        <v>59</v>
      </c>
      <c r="K3267" t="s">
        <v>2386</v>
      </c>
      <c r="L3267">
        <v>20</v>
      </c>
      <c r="M3267" t="s">
        <v>4111</v>
      </c>
      <c r="N3267" t="s">
        <v>2388</v>
      </c>
      <c r="O3267">
        <v>1</v>
      </c>
    </row>
    <row r="3268" spans="2:15" x14ac:dyDescent="0.3">
      <c r="B3268">
        <v>3328</v>
      </c>
      <c r="D3268">
        <v>1677</v>
      </c>
      <c r="E3268">
        <v>151</v>
      </c>
      <c r="F3268">
        <v>1</v>
      </c>
      <c r="G3268">
        <v>151.357168239468</v>
      </c>
      <c r="H3268">
        <v>2</v>
      </c>
      <c r="I3268">
        <v>59</v>
      </c>
      <c r="K3268" t="s">
        <v>2386</v>
      </c>
      <c r="L3268">
        <v>20</v>
      </c>
      <c r="M3268" t="s">
        <v>4112</v>
      </c>
      <c r="N3268" t="s">
        <v>2388</v>
      </c>
      <c r="O3268">
        <v>1</v>
      </c>
    </row>
    <row r="3269" spans="2:15" x14ac:dyDescent="0.3">
      <c r="B3269">
        <v>3329</v>
      </c>
      <c r="D3269">
        <v>151</v>
      </c>
      <c r="E3269">
        <v>1677</v>
      </c>
      <c r="F3269">
        <v>1</v>
      </c>
      <c r="G3269">
        <v>151.357168239468</v>
      </c>
      <c r="H3269">
        <v>2</v>
      </c>
      <c r="I3269">
        <v>59</v>
      </c>
      <c r="K3269" t="s">
        <v>2386</v>
      </c>
      <c r="L3269">
        <v>20</v>
      </c>
      <c r="M3269" t="s">
        <v>4113</v>
      </c>
      <c r="N3269" t="s">
        <v>2388</v>
      </c>
      <c r="O3269">
        <v>1</v>
      </c>
    </row>
    <row r="3270" spans="2:15" x14ac:dyDescent="0.3">
      <c r="B3270">
        <v>3330</v>
      </c>
      <c r="D3270">
        <v>1678</v>
      </c>
      <c r="E3270">
        <v>580</v>
      </c>
      <c r="F3270">
        <v>1</v>
      </c>
      <c r="G3270">
        <v>202.48038617570199</v>
      </c>
      <c r="H3270">
        <v>2</v>
      </c>
      <c r="I3270">
        <v>59</v>
      </c>
      <c r="K3270" t="s">
        <v>2386</v>
      </c>
      <c r="L3270">
        <v>20</v>
      </c>
      <c r="M3270" t="s">
        <v>4114</v>
      </c>
      <c r="N3270" t="s">
        <v>2388</v>
      </c>
      <c r="O3270">
        <v>1</v>
      </c>
    </row>
    <row r="3271" spans="2:15" x14ac:dyDescent="0.3">
      <c r="B3271">
        <v>3331</v>
      </c>
      <c r="D3271">
        <v>580</v>
      </c>
      <c r="E3271">
        <v>1678</v>
      </c>
      <c r="F3271">
        <v>1</v>
      </c>
      <c r="G3271">
        <v>202.48038617570199</v>
      </c>
      <c r="H3271">
        <v>2</v>
      </c>
      <c r="I3271">
        <v>59</v>
      </c>
      <c r="K3271" t="s">
        <v>2386</v>
      </c>
      <c r="L3271">
        <v>20</v>
      </c>
      <c r="M3271" t="s">
        <v>4115</v>
      </c>
      <c r="N3271" t="s">
        <v>2388</v>
      </c>
      <c r="O3271">
        <v>1</v>
      </c>
    </row>
    <row r="3272" spans="2:15" x14ac:dyDescent="0.3">
      <c r="B3272">
        <v>3332</v>
      </c>
      <c r="D3272">
        <v>1679</v>
      </c>
      <c r="E3272">
        <v>38</v>
      </c>
      <c r="F3272">
        <v>1</v>
      </c>
      <c r="G3272">
        <v>39.050739517866297</v>
      </c>
      <c r="H3272">
        <v>2</v>
      </c>
      <c r="I3272">
        <v>59</v>
      </c>
      <c r="K3272" t="s">
        <v>2386</v>
      </c>
      <c r="L3272">
        <v>20</v>
      </c>
      <c r="M3272" t="s">
        <v>4116</v>
      </c>
      <c r="N3272" t="s">
        <v>2388</v>
      </c>
      <c r="O3272">
        <v>1</v>
      </c>
    </row>
    <row r="3273" spans="2:15" x14ac:dyDescent="0.3">
      <c r="B3273">
        <v>3333</v>
      </c>
      <c r="D3273">
        <v>38</v>
      </c>
      <c r="E3273">
        <v>1679</v>
      </c>
      <c r="F3273">
        <v>1</v>
      </c>
      <c r="G3273">
        <v>39.050739517866297</v>
      </c>
      <c r="H3273">
        <v>2</v>
      </c>
      <c r="I3273">
        <v>59</v>
      </c>
      <c r="K3273" t="s">
        <v>2386</v>
      </c>
      <c r="L3273">
        <v>20</v>
      </c>
      <c r="M3273" t="s">
        <v>4117</v>
      </c>
      <c r="N3273" t="s">
        <v>2388</v>
      </c>
      <c r="O3273">
        <v>1</v>
      </c>
    </row>
    <row r="3274" spans="2:15" x14ac:dyDescent="0.3">
      <c r="B3274">
        <v>3334</v>
      </c>
      <c r="D3274">
        <v>1680</v>
      </c>
      <c r="E3274">
        <v>76</v>
      </c>
      <c r="F3274">
        <v>1</v>
      </c>
      <c r="G3274">
        <v>40.411459144650898</v>
      </c>
      <c r="H3274">
        <v>2</v>
      </c>
      <c r="I3274">
        <v>59</v>
      </c>
      <c r="K3274" t="s">
        <v>2386</v>
      </c>
      <c r="L3274">
        <v>20</v>
      </c>
      <c r="M3274" t="s">
        <v>4118</v>
      </c>
      <c r="N3274" t="s">
        <v>2388</v>
      </c>
      <c r="O3274">
        <v>1</v>
      </c>
    </row>
    <row r="3275" spans="2:15" x14ac:dyDescent="0.3">
      <c r="B3275">
        <v>3335</v>
      </c>
      <c r="D3275">
        <v>76</v>
      </c>
      <c r="E3275">
        <v>1680</v>
      </c>
      <c r="F3275">
        <v>1</v>
      </c>
      <c r="G3275">
        <v>40.411459144650898</v>
      </c>
      <c r="H3275">
        <v>2</v>
      </c>
      <c r="I3275">
        <v>59</v>
      </c>
      <c r="K3275" t="s">
        <v>2386</v>
      </c>
      <c r="L3275">
        <v>20</v>
      </c>
      <c r="M3275" t="s">
        <v>4119</v>
      </c>
      <c r="N3275" t="s">
        <v>2388</v>
      </c>
      <c r="O3275">
        <v>1</v>
      </c>
    </row>
    <row r="3276" spans="2:15" x14ac:dyDescent="0.3">
      <c r="B3276">
        <v>3336</v>
      </c>
      <c r="D3276">
        <v>1681</v>
      </c>
      <c r="E3276">
        <v>76</v>
      </c>
      <c r="F3276">
        <v>1</v>
      </c>
      <c r="G3276">
        <v>66.888908795415603</v>
      </c>
      <c r="H3276">
        <v>2</v>
      </c>
      <c r="I3276">
        <v>59</v>
      </c>
      <c r="K3276" t="s">
        <v>2386</v>
      </c>
      <c r="L3276">
        <v>20</v>
      </c>
      <c r="M3276" t="s">
        <v>4120</v>
      </c>
      <c r="N3276" t="s">
        <v>2388</v>
      </c>
      <c r="O3276">
        <v>1</v>
      </c>
    </row>
    <row r="3277" spans="2:15" x14ac:dyDescent="0.3">
      <c r="B3277">
        <v>3337</v>
      </c>
      <c r="D3277">
        <v>76</v>
      </c>
      <c r="E3277">
        <v>1681</v>
      </c>
      <c r="F3277">
        <v>1</v>
      </c>
      <c r="G3277">
        <v>66.888908795415603</v>
      </c>
      <c r="H3277">
        <v>2</v>
      </c>
      <c r="I3277">
        <v>59</v>
      </c>
      <c r="K3277" t="s">
        <v>2386</v>
      </c>
      <c r="L3277">
        <v>20</v>
      </c>
      <c r="M3277" t="s">
        <v>4121</v>
      </c>
      <c r="N3277" t="s">
        <v>2388</v>
      </c>
      <c r="O3277">
        <v>1</v>
      </c>
    </row>
    <row r="3278" spans="2:15" x14ac:dyDescent="0.3">
      <c r="B3278">
        <v>3338</v>
      </c>
      <c r="D3278">
        <v>1682</v>
      </c>
      <c r="E3278">
        <v>159</v>
      </c>
      <c r="F3278">
        <v>1</v>
      </c>
      <c r="G3278">
        <v>98.998752697891803</v>
      </c>
      <c r="H3278">
        <v>2</v>
      </c>
      <c r="I3278">
        <v>59</v>
      </c>
      <c r="K3278" t="s">
        <v>2386</v>
      </c>
      <c r="L3278">
        <v>20</v>
      </c>
      <c r="M3278" t="s">
        <v>4122</v>
      </c>
      <c r="N3278" t="s">
        <v>2388</v>
      </c>
      <c r="O3278">
        <v>1</v>
      </c>
    </row>
    <row r="3279" spans="2:15" x14ac:dyDescent="0.3">
      <c r="B3279">
        <v>3339</v>
      </c>
      <c r="D3279">
        <v>159</v>
      </c>
      <c r="E3279">
        <v>1682</v>
      </c>
      <c r="F3279">
        <v>1</v>
      </c>
      <c r="G3279">
        <v>98.998752697891803</v>
      </c>
      <c r="H3279">
        <v>2</v>
      </c>
      <c r="I3279">
        <v>59</v>
      </c>
      <c r="K3279" t="s">
        <v>2386</v>
      </c>
      <c r="L3279">
        <v>20</v>
      </c>
      <c r="M3279" t="s">
        <v>4123</v>
      </c>
      <c r="N3279" t="s">
        <v>2388</v>
      </c>
      <c r="O3279">
        <v>1</v>
      </c>
    </row>
    <row r="3280" spans="2:15" x14ac:dyDescent="0.3">
      <c r="B3280">
        <v>3340</v>
      </c>
      <c r="D3280">
        <v>1683</v>
      </c>
      <c r="E3280">
        <v>378</v>
      </c>
      <c r="F3280">
        <v>1</v>
      </c>
      <c r="G3280">
        <v>89.799586587598398</v>
      </c>
      <c r="H3280">
        <v>2</v>
      </c>
      <c r="I3280">
        <v>59</v>
      </c>
      <c r="K3280" t="s">
        <v>2386</v>
      </c>
      <c r="L3280">
        <v>20</v>
      </c>
      <c r="M3280" t="s">
        <v>4124</v>
      </c>
      <c r="N3280" t="s">
        <v>2388</v>
      </c>
      <c r="O3280">
        <v>1</v>
      </c>
    </row>
    <row r="3281" spans="2:15" x14ac:dyDescent="0.3">
      <c r="B3281">
        <v>3341</v>
      </c>
      <c r="D3281">
        <v>378</v>
      </c>
      <c r="E3281">
        <v>1683</v>
      </c>
      <c r="F3281">
        <v>1</v>
      </c>
      <c r="G3281">
        <v>89.799586587598398</v>
      </c>
      <c r="H3281">
        <v>2</v>
      </c>
      <c r="I3281">
        <v>59</v>
      </c>
      <c r="K3281" t="s">
        <v>2386</v>
      </c>
      <c r="L3281">
        <v>20</v>
      </c>
      <c r="M3281" t="s">
        <v>4125</v>
      </c>
      <c r="N3281" t="s">
        <v>2388</v>
      </c>
      <c r="O3281">
        <v>1</v>
      </c>
    </row>
    <row r="3282" spans="2:15" x14ac:dyDescent="0.3">
      <c r="B3282">
        <v>3342</v>
      </c>
      <c r="D3282">
        <v>1684</v>
      </c>
      <c r="E3282">
        <v>159</v>
      </c>
      <c r="F3282">
        <v>1</v>
      </c>
      <c r="G3282">
        <v>72.566400981003397</v>
      </c>
      <c r="H3282">
        <v>2</v>
      </c>
      <c r="I3282">
        <v>59</v>
      </c>
      <c r="K3282" t="s">
        <v>2386</v>
      </c>
      <c r="L3282">
        <v>20</v>
      </c>
      <c r="M3282" t="s">
        <v>4126</v>
      </c>
      <c r="N3282" t="s">
        <v>2388</v>
      </c>
      <c r="O3282">
        <v>1</v>
      </c>
    </row>
    <row r="3283" spans="2:15" x14ac:dyDescent="0.3">
      <c r="B3283">
        <v>3343</v>
      </c>
      <c r="D3283">
        <v>159</v>
      </c>
      <c r="E3283">
        <v>1684</v>
      </c>
      <c r="F3283">
        <v>1</v>
      </c>
      <c r="G3283">
        <v>72.566400981003397</v>
      </c>
      <c r="H3283">
        <v>2</v>
      </c>
      <c r="I3283">
        <v>59</v>
      </c>
      <c r="K3283" t="s">
        <v>2386</v>
      </c>
      <c r="L3283">
        <v>20</v>
      </c>
      <c r="M3283" t="s">
        <v>4127</v>
      </c>
      <c r="N3283" t="s">
        <v>2388</v>
      </c>
      <c r="O3283">
        <v>1</v>
      </c>
    </row>
    <row r="3284" spans="2:15" x14ac:dyDescent="0.3">
      <c r="B3284">
        <v>3344</v>
      </c>
      <c r="D3284">
        <v>1685</v>
      </c>
      <c r="E3284">
        <v>400</v>
      </c>
      <c r="F3284">
        <v>1</v>
      </c>
      <c r="G3284">
        <v>44.064879911881</v>
      </c>
      <c r="H3284">
        <v>2</v>
      </c>
      <c r="I3284">
        <v>59</v>
      </c>
      <c r="K3284" t="s">
        <v>2386</v>
      </c>
      <c r="L3284">
        <v>20</v>
      </c>
      <c r="M3284" t="s">
        <v>4128</v>
      </c>
      <c r="N3284" t="s">
        <v>2388</v>
      </c>
      <c r="O3284">
        <v>1</v>
      </c>
    </row>
    <row r="3285" spans="2:15" x14ac:dyDescent="0.3">
      <c r="B3285">
        <v>3345</v>
      </c>
      <c r="D3285">
        <v>400</v>
      </c>
      <c r="E3285">
        <v>1685</v>
      </c>
      <c r="F3285">
        <v>1</v>
      </c>
      <c r="G3285">
        <v>44.064879911881</v>
      </c>
      <c r="H3285">
        <v>2</v>
      </c>
      <c r="I3285">
        <v>59</v>
      </c>
      <c r="K3285" t="s">
        <v>2386</v>
      </c>
      <c r="L3285">
        <v>20</v>
      </c>
      <c r="M3285" t="s">
        <v>4129</v>
      </c>
      <c r="N3285" t="s">
        <v>2388</v>
      </c>
      <c r="O3285">
        <v>1</v>
      </c>
    </row>
    <row r="3286" spans="2:15" x14ac:dyDescent="0.3">
      <c r="B3286">
        <v>3346</v>
      </c>
      <c r="D3286">
        <v>1686</v>
      </c>
      <c r="E3286">
        <v>400</v>
      </c>
      <c r="F3286">
        <v>1</v>
      </c>
      <c r="G3286">
        <v>79.269833883121194</v>
      </c>
      <c r="H3286">
        <v>2</v>
      </c>
      <c r="I3286">
        <v>59</v>
      </c>
      <c r="K3286" t="s">
        <v>2386</v>
      </c>
      <c r="L3286">
        <v>20</v>
      </c>
      <c r="M3286" t="s">
        <v>4130</v>
      </c>
      <c r="N3286" t="s">
        <v>2388</v>
      </c>
      <c r="O3286">
        <v>1</v>
      </c>
    </row>
    <row r="3287" spans="2:15" x14ac:dyDescent="0.3">
      <c r="B3287">
        <v>3347</v>
      </c>
      <c r="D3287">
        <v>400</v>
      </c>
      <c r="E3287">
        <v>1686</v>
      </c>
      <c r="F3287">
        <v>1</v>
      </c>
      <c r="G3287">
        <v>79.269833883121194</v>
      </c>
      <c r="H3287">
        <v>2</v>
      </c>
      <c r="I3287">
        <v>59</v>
      </c>
      <c r="K3287" t="s">
        <v>2386</v>
      </c>
      <c r="L3287">
        <v>20</v>
      </c>
      <c r="M3287" t="s">
        <v>4131</v>
      </c>
      <c r="N3287" t="s">
        <v>2388</v>
      </c>
      <c r="O3287">
        <v>1</v>
      </c>
    </row>
    <row r="3288" spans="2:15" x14ac:dyDescent="0.3">
      <c r="B3288">
        <v>3348</v>
      </c>
      <c r="D3288">
        <v>1687</v>
      </c>
      <c r="E3288">
        <v>624</v>
      </c>
      <c r="F3288">
        <v>1</v>
      </c>
      <c r="G3288">
        <v>68.543932995386101</v>
      </c>
      <c r="H3288">
        <v>2</v>
      </c>
      <c r="I3288">
        <v>59</v>
      </c>
      <c r="K3288" t="s">
        <v>2386</v>
      </c>
      <c r="L3288">
        <v>20</v>
      </c>
      <c r="M3288" t="s">
        <v>4132</v>
      </c>
      <c r="N3288" t="s">
        <v>2388</v>
      </c>
      <c r="O3288">
        <v>1</v>
      </c>
    </row>
    <row r="3289" spans="2:15" x14ac:dyDescent="0.3">
      <c r="B3289">
        <v>3349</v>
      </c>
      <c r="D3289">
        <v>624</v>
      </c>
      <c r="E3289">
        <v>1687</v>
      </c>
      <c r="F3289">
        <v>1</v>
      </c>
      <c r="G3289">
        <v>68.543932995386101</v>
      </c>
      <c r="H3289">
        <v>2</v>
      </c>
      <c r="I3289">
        <v>59</v>
      </c>
      <c r="K3289" t="s">
        <v>2386</v>
      </c>
      <c r="L3289">
        <v>20</v>
      </c>
      <c r="M3289" t="s">
        <v>4133</v>
      </c>
      <c r="N3289" t="s">
        <v>2388</v>
      </c>
      <c r="O3289">
        <v>1</v>
      </c>
    </row>
    <row r="3290" spans="2:15" x14ac:dyDescent="0.3">
      <c r="B3290">
        <v>3350</v>
      </c>
      <c r="D3290">
        <v>1688</v>
      </c>
      <c r="E3290">
        <v>378</v>
      </c>
      <c r="F3290">
        <v>1</v>
      </c>
      <c r="G3290">
        <v>34.710389815125097</v>
      </c>
      <c r="H3290">
        <v>2</v>
      </c>
      <c r="I3290">
        <v>59</v>
      </c>
      <c r="K3290" t="s">
        <v>2386</v>
      </c>
      <c r="L3290">
        <v>20</v>
      </c>
      <c r="M3290" t="s">
        <v>4134</v>
      </c>
      <c r="N3290" t="s">
        <v>2388</v>
      </c>
      <c r="O3290">
        <v>1</v>
      </c>
    </row>
    <row r="3291" spans="2:15" x14ac:dyDescent="0.3">
      <c r="B3291">
        <v>3351</v>
      </c>
      <c r="D3291">
        <v>378</v>
      </c>
      <c r="E3291">
        <v>1688</v>
      </c>
      <c r="F3291">
        <v>1</v>
      </c>
      <c r="G3291">
        <v>34.710389815125097</v>
      </c>
      <c r="H3291">
        <v>2</v>
      </c>
      <c r="I3291">
        <v>59</v>
      </c>
      <c r="K3291" t="s">
        <v>2386</v>
      </c>
      <c r="L3291">
        <v>20</v>
      </c>
      <c r="M3291" t="s">
        <v>4135</v>
      </c>
      <c r="N3291" t="s">
        <v>2388</v>
      </c>
      <c r="O3291">
        <v>1</v>
      </c>
    </row>
    <row r="3292" spans="2:15" x14ac:dyDescent="0.3">
      <c r="B3292">
        <v>3352</v>
      </c>
      <c r="D3292">
        <v>1689</v>
      </c>
      <c r="E3292">
        <v>774</v>
      </c>
      <c r="F3292">
        <v>1</v>
      </c>
      <c r="G3292">
        <v>63.319709635765697</v>
      </c>
      <c r="H3292">
        <v>2</v>
      </c>
      <c r="I3292">
        <v>59</v>
      </c>
      <c r="K3292" t="s">
        <v>2386</v>
      </c>
      <c r="L3292">
        <v>20</v>
      </c>
      <c r="M3292" t="s">
        <v>4136</v>
      </c>
      <c r="N3292" t="s">
        <v>2388</v>
      </c>
      <c r="O3292">
        <v>1</v>
      </c>
    </row>
    <row r="3293" spans="2:15" x14ac:dyDescent="0.3">
      <c r="B3293">
        <v>3353</v>
      </c>
      <c r="D3293">
        <v>774</v>
      </c>
      <c r="E3293">
        <v>1689</v>
      </c>
      <c r="F3293">
        <v>1</v>
      </c>
      <c r="G3293">
        <v>63.319709635765697</v>
      </c>
      <c r="H3293">
        <v>2</v>
      </c>
      <c r="I3293">
        <v>59</v>
      </c>
      <c r="K3293" t="s">
        <v>2386</v>
      </c>
      <c r="L3293">
        <v>20</v>
      </c>
      <c r="M3293" t="s">
        <v>4137</v>
      </c>
      <c r="N3293" t="s">
        <v>2388</v>
      </c>
      <c r="O3293">
        <v>1</v>
      </c>
    </row>
    <row r="3294" spans="2:15" x14ac:dyDescent="0.3">
      <c r="B3294">
        <v>3354</v>
      </c>
      <c r="D3294">
        <v>1690</v>
      </c>
      <c r="E3294">
        <v>774</v>
      </c>
      <c r="F3294">
        <v>1</v>
      </c>
      <c r="G3294">
        <v>45.355468339600698</v>
      </c>
      <c r="H3294">
        <v>2</v>
      </c>
      <c r="I3294">
        <v>59</v>
      </c>
      <c r="K3294" t="s">
        <v>2386</v>
      </c>
      <c r="L3294">
        <v>20</v>
      </c>
      <c r="M3294" t="s">
        <v>4138</v>
      </c>
      <c r="N3294" t="s">
        <v>2388</v>
      </c>
      <c r="O3294">
        <v>1</v>
      </c>
    </row>
    <row r="3295" spans="2:15" x14ac:dyDescent="0.3">
      <c r="B3295">
        <v>3355</v>
      </c>
      <c r="D3295">
        <v>774</v>
      </c>
      <c r="E3295">
        <v>1690</v>
      </c>
      <c r="F3295">
        <v>1</v>
      </c>
      <c r="G3295">
        <v>45.355468339600698</v>
      </c>
      <c r="H3295">
        <v>2</v>
      </c>
      <c r="I3295">
        <v>59</v>
      </c>
      <c r="K3295" t="s">
        <v>2386</v>
      </c>
      <c r="L3295">
        <v>20</v>
      </c>
      <c r="M3295" t="s">
        <v>4139</v>
      </c>
      <c r="N3295" t="s">
        <v>2388</v>
      </c>
      <c r="O3295">
        <v>1</v>
      </c>
    </row>
    <row r="3296" spans="2:15" x14ac:dyDescent="0.3">
      <c r="B3296">
        <v>3356</v>
      </c>
      <c r="D3296">
        <v>1691</v>
      </c>
      <c r="E3296">
        <v>567</v>
      </c>
      <c r="F3296">
        <v>1</v>
      </c>
      <c r="G3296">
        <v>38.534760515606003</v>
      </c>
      <c r="H3296">
        <v>2</v>
      </c>
      <c r="I3296">
        <v>59</v>
      </c>
      <c r="K3296" t="s">
        <v>2386</v>
      </c>
      <c r="L3296">
        <v>20</v>
      </c>
      <c r="M3296" t="s">
        <v>4140</v>
      </c>
      <c r="N3296" t="s">
        <v>2388</v>
      </c>
      <c r="O3296">
        <v>1</v>
      </c>
    </row>
    <row r="3297" spans="2:15" x14ac:dyDescent="0.3">
      <c r="B3297">
        <v>3357</v>
      </c>
      <c r="D3297">
        <v>567</v>
      </c>
      <c r="E3297">
        <v>1691</v>
      </c>
      <c r="F3297">
        <v>1</v>
      </c>
      <c r="G3297">
        <v>38.534760515606003</v>
      </c>
      <c r="H3297">
        <v>2</v>
      </c>
      <c r="I3297">
        <v>59</v>
      </c>
      <c r="K3297" t="s">
        <v>2386</v>
      </c>
      <c r="L3297">
        <v>20</v>
      </c>
      <c r="M3297" t="s">
        <v>4141</v>
      </c>
      <c r="N3297" t="s">
        <v>2388</v>
      </c>
      <c r="O3297">
        <v>1</v>
      </c>
    </row>
    <row r="3298" spans="2:15" x14ac:dyDescent="0.3">
      <c r="B3298">
        <v>3358</v>
      </c>
      <c r="D3298">
        <v>1692</v>
      </c>
      <c r="E3298">
        <v>567</v>
      </c>
      <c r="F3298">
        <v>1</v>
      </c>
      <c r="G3298">
        <v>45.8837865085437</v>
      </c>
      <c r="H3298">
        <v>2</v>
      </c>
      <c r="I3298">
        <v>59</v>
      </c>
      <c r="K3298" t="s">
        <v>2386</v>
      </c>
      <c r="L3298">
        <v>20</v>
      </c>
      <c r="M3298" t="s">
        <v>4142</v>
      </c>
      <c r="N3298" t="s">
        <v>2388</v>
      </c>
      <c r="O3298">
        <v>1</v>
      </c>
    </row>
    <row r="3299" spans="2:15" x14ac:dyDescent="0.3">
      <c r="B3299">
        <v>3359</v>
      </c>
      <c r="D3299">
        <v>567</v>
      </c>
      <c r="E3299">
        <v>1692</v>
      </c>
      <c r="F3299">
        <v>1</v>
      </c>
      <c r="G3299">
        <v>45.8837865085437</v>
      </c>
      <c r="H3299">
        <v>2</v>
      </c>
      <c r="I3299">
        <v>59</v>
      </c>
      <c r="K3299" t="s">
        <v>2386</v>
      </c>
      <c r="L3299">
        <v>20</v>
      </c>
      <c r="M3299" t="s">
        <v>4143</v>
      </c>
      <c r="N3299" t="s">
        <v>2388</v>
      </c>
      <c r="O3299">
        <v>1</v>
      </c>
    </row>
    <row r="3300" spans="2:15" x14ac:dyDescent="0.3">
      <c r="B3300">
        <v>3360</v>
      </c>
      <c r="D3300">
        <v>1693</v>
      </c>
      <c r="E3300">
        <v>707</v>
      </c>
      <c r="F3300">
        <v>1</v>
      </c>
      <c r="G3300">
        <v>48.623625857900102</v>
      </c>
      <c r="H3300">
        <v>2</v>
      </c>
      <c r="I3300">
        <v>59</v>
      </c>
      <c r="K3300" t="s">
        <v>2386</v>
      </c>
      <c r="L3300">
        <v>20</v>
      </c>
      <c r="M3300" t="s">
        <v>4144</v>
      </c>
      <c r="N3300" t="s">
        <v>2388</v>
      </c>
      <c r="O3300">
        <v>1</v>
      </c>
    </row>
    <row r="3301" spans="2:15" x14ac:dyDescent="0.3">
      <c r="B3301">
        <v>3361</v>
      </c>
      <c r="D3301">
        <v>707</v>
      </c>
      <c r="E3301">
        <v>1693</v>
      </c>
      <c r="F3301">
        <v>1</v>
      </c>
      <c r="G3301">
        <v>48.623625857900102</v>
      </c>
      <c r="H3301">
        <v>2</v>
      </c>
      <c r="I3301">
        <v>59</v>
      </c>
      <c r="K3301" t="s">
        <v>2386</v>
      </c>
      <c r="L3301">
        <v>20</v>
      </c>
      <c r="M3301" t="s">
        <v>4145</v>
      </c>
      <c r="N3301" t="s">
        <v>2388</v>
      </c>
      <c r="O3301">
        <v>1</v>
      </c>
    </row>
    <row r="3302" spans="2:15" x14ac:dyDescent="0.3">
      <c r="B3302">
        <v>3362</v>
      </c>
      <c r="D3302">
        <v>1694</v>
      </c>
      <c r="E3302">
        <v>707</v>
      </c>
      <c r="F3302">
        <v>1</v>
      </c>
      <c r="G3302">
        <v>36.247151211040503</v>
      </c>
      <c r="H3302">
        <v>2</v>
      </c>
      <c r="I3302">
        <v>59</v>
      </c>
      <c r="K3302" t="s">
        <v>2386</v>
      </c>
      <c r="L3302">
        <v>20</v>
      </c>
      <c r="M3302" t="s">
        <v>4146</v>
      </c>
      <c r="N3302" t="s">
        <v>2388</v>
      </c>
      <c r="O3302">
        <v>1</v>
      </c>
    </row>
    <row r="3303" spans="2:15" x14ac:dyDescent="0.3">
      <c r="B3303">
        <v>3363</v>
      </c>
      <c r="D3303">
        <v>707</v>
      </c>
      <c r="E3303">
        <v>1694</v>
      </c>
      <c r="F3303">
        <v>1</v>
      </c>
      <c r="G3303">
        <v>36.247151211040503</v>
      </c>
      <c r="H3303">
        <v>2</v>
      </c>
      <c r="I3303">
        <v>59</v>
      </c>
      <c r="K3303" t="s">
        <v>2386</v>
      </c>
      <c r="L3303">
        <v>20</v>
      </c>
      <c r="M3303" t="s">
        <v>4147</v>
      </c>
      <c r="N3303" t="s">
        <v>2388</v>
      </c>
      <c r="O3303">
        <v>1</v>
      </c>
    </row>
    <row r="3304" spans="2:15" x14ac:dyDescent="0.3">
      <c r="B3304">
        <v>3364</v>
      </c>
      <c r="D3304">
        <v>1695</v>
      </c>
      <c r="E3304">
        <v>117</v>
      </c>
      <c r="F3304">
        <v>1</v>
      </c>
      <c r="G3304">
        <v>39.009888131434302</v>
      </c>
      <c r="H3304">
        <v>2</v>
      </c>
      <c r="I3304">
        <v>59</v>
      </c>
      <c r="K3304" t="s">
        <v>2386</v>
      </c>
      <c r="L3304">
        <v>20</v>
      </c>
      <c r="M3304" t="s">
        <v>4148</v>
      </c>
      <c r="N3304" t="s">
        <v>2388</v>
      </c>
      <c r="O3304">
        <v>1</v>
      </c>
    </row>
    <row r="3305" spans="2:15" x14ac:dyDescent="0.3">
      <c r="B3305">
        <v>3365</v>
      </c>
      <c r="D3305">
        <v>117</v>
      </c>
      <c r="E3305">
        <v>1695</v>
      </c>
      <c r="F3305">
        <v>1</v>
      </c>
      <c r="G3305">
        <v>39.009888131434302</v>
      </c>
      <c r="H3305">
        <v>2</v>
      </c>
      <c r="I3305">
        <v>59</v>
      </c>
      <c r="K3305" t="s">
        <v>2386</v>
      </c>
      <c r="L3305">
        <v>20</v>
      </c>
      <c r="M3305" t="s">
        <v>4149</v>
      </c>
      <c r="N3305" t="s">
        <v>2388</v>
      </c>
      <c r="O3305">
        <v>1</v>
      </c>
    </row>
    <row r="3306" spans="2:15" x14ac:dyDescent="0.3">
      <c r="B3306">
        <v>3366</v>
      </c>
      <c r="D3306">
        <v>1696</v>
      </c>
      <c r="E3306">
        <v>677</v>
      </c>
      <c r="F3306">
        <v>1</v>
      </c>
      <c r="G3306">
        <v>33.611642211024403</v>
      </c>
      <c r="H3306">
        <v>2</v>
      </c>
      <c r="I3306">
        <v>59</v>
      </c>
      <c r="K3306" t="s">
        <v>2386</v>
      </c>
      <c r="L3306">
        <v>20</v>
      </c>
      <c r="M3306" t="s">
        <v>4150</v>
      </c>
      <c r="N3306" t="s">
        <v>2388</v>
      </c>
      <c r="O3306">
        <v>1</v>
      </c>
    </row>
    <row r="3307" spans="2:15" x14ac:dyDescent="0.3">
      <c r="B3307">
        <v>3367</v>
      </c>
      <c r="D3307">
        <v>677</v>
      </c>
      <c r="E3307">
        <v>1696</v>
      </c>
      <c r="F3307">
        <v>1</v>
      </c>
      <c r="G3307">
        <v>33.611642211024403</v>
      </c>
      <c r="H3307">
        <v>2</v>
      </c>
      <c r="I3307">
        <v>59</v>
      </c>
      <c r="K3307" t="s">
        <v>2386</v>
      </c>
      <c r="L3307">
        <v>20</v>
      </c>
      <c r="M3307" t="s">
        <v>4151</v>
      </c>
      <c r="N3307" t="s">
        <v>2388</v>
      </c>
      <c r="O3307">
        <v>1</v>
      </c>
    </row>
    <row r="3308" spans="2:15" x14ac:dyDescent="0.3">
      <c r="B3308">
        <v>3368</v>
      </c>
      <c r="D3308">
        <v>1697</v>
      </c>
      <c r="E3308">
        <v>431</v>
      </c>
      <c r="F3308">
        <v>1</v>
      </c>
      <c r="G3308">
        <v>37.560070962954903</v>
      </c>
      <c r="H3308">
        <v>2</v>
      </c>
      <c r="I3308">
        <v>59</v>
      </c>
      <c r="K3308" t="s">
        <v>2386</v>
      </c>
      <c r="L3308">
        <v>20</v>
      </c>
      <c r="M3308" t="s">
        <v>4152</v>
      </c>
      <c r="N3308" t="s">
        <v>2388</v>
      </c>
      <c r="O3308">
        <v>1</v>
      </c>
    </row>
    <row r="3309" spans="2:15" x14ac:dyDescent="0.3">
      <c r="B3309">
        <v>3369</v>
      </c>
      <c r="D3309">
        <v>431</v>
      </c>
      <c r="E3309">
        <v>1697</v>
      </c>
      <c r="F3309">
        <v>1</v>
      </c>
      <c r="G3309">
        <v>37.560070962954903</v>
      </c>
      <c r="H3309">
        <v>2</v>
      </c>
      <c r="I3309">
        <v>59</v>
      </c>
      <c r="K3309" t="s">
        <v>2386</v>
      </c>
      <c r="L3309">
        <v>20</v>
      </c>
      <c r="M3309" t="s">
        <v>4153</v>
      </c>
      <c r="N3309" t="s">
        <v>2388</v>
      </c>
      <c r="O3309">
        <v>1</v>
      </c>
    </row>
    <row r="3310" spans="2:15" x14ac:dyDescent="0.3">
      <c r="B3310">
        <v>3370</v>
      </c>
      <c r="D3310">
        <v>1698</v>
      </c>
      <c r="E3310">
        <v>553</v>
      </c>
      <c r="F3310">
        <v>1</v>
      </c>
      <c r="G3310">
        <v>39.351513641426003</v>
      </c>
      <c r="H3310">
        <v>2</v>
      </c>
      <c r="I3310">
        <v>59</v>
      </c>
      <c r="K3310" t="s">
        <v>2386</v>
      </c>
      <c r="L3310">
        <v>20</v>
      </c>
      <c r="M3310" t="s">
        <v>4154</v>
      </c>
      <c r="N3310" t="s">
        <v>2388</v>
      </c>
      <c r="O3310">
        <v>1</v>
      </c>
    </row>
    <row r="3311" spans="2:15" x14ac:dyDescent="0.3">
      <c r="B3311">
        <v>3371</v>
      </c>
      <c r="D3311">
        <v>553</v>
      </c>
      <c r="E3311">
        <v>1698</v>
      </c>
      <c r="F3311">
        <v>1</v>
      </c>
      <c r="G3311">
        <v>39.351513641426003</v>
      </c>
      <c r="H3311">
        <v>2</v>
      </c>
      <c r="I3311">
        <v>59</v>
      </c>
      <c r="K3311" t="s">
        <v>2386</v>
      </c>
      <c r="L3311">
        <v>20</v>
      </c>
      <c r="M3311" t="s">
        <v>4155</v>
      </c>
      <c r="N3311" t="s">
        <v>2388</v>
      </c>
      <c r="O3311">
        <v>1</v>
      </c>
    </row>
    <row r="3312" spans="2:15" x14ac:dyDescent="0.3">
      <c r="B3312">
        <v>3372</v>
      </c>
      <c r="D3312">
        <v>1699</v>
      </c>
      <c r="E3312">
        <v>553</v>
      </c>
      <c r="F3312">
        <v>1</v>
      </c>
      <c r="G3312">
        <v>53.264153811453397</v>
      </c>
      <c r="H3312">
        <v>2</v>
      </c>
      <c r="I3312">
        <v>59</v>
      </c>
      <c r="K3312" t="s">
        <v>2386</v>
      </c>
      <c r="L3312">
        <v>20</v>
      </c>
      <c r="M3312" t="s">
        <v>4156</v>
      </c>
      <c r="N3312" t="s">
        <v>2388</v>
      </c>
      <c r="O3312">
        <v>1</v>
      </c>
    </row>
    <row r="3313" spans="2:15" x14ac:dyDescent="0.3">
      <c r="B3313">
        <v>3373</v>
      </c>
      <c r="D3313">
        <v>553</v>
      </c>
      <c r="E3313">
        <v>1699</v>
      </c>
      <c r="F3313">
        <v>1</v>
      </c>
      <c r="G3313">
        <v>53.264153811453397</v>
      </c>
      <c r="H3313">
        <v>2</v>
      </c>
      <c r="I3313">
        <v>59</v>
      </c>
      <c r="K3313" t="s">
        <v>2386</v>
      </c>
      <c r="L3313">
        <v>20</v>
      </c>
      <c r="M3313" t="s">
        <v>4157</v>
      </c>
      <c r="N3313" t="s">
        <v>2388</v>
      </c>
      <c r="O3313">
        <v>1</v>
      </c>
    </row>
    <row r="3314" spans="2:15" x14ac:dyDescent="0.3">
      <c r="B3314">
        <v>3374</v>
      </c>
      <c r="D3314">
        <v>1700</v>
      </c>
      <c r="E3314">
        <v>567</v>
      </c>
      <c r="F3314">
        <v>1</v>
      </c>
      <c r="G3314">
        <v>36.3419932104892</v>
      </c>
      <c r="H3314">
        <v>2</v>
      </c>
      <c r="I3314">
        <v>59</v>
      </c>
      <c r="K3314" t="s">
        <v>2386</v>
      </c>
      <c r="L3314">
        <v>20</v>
      </c>
      <c r="M3314" t="s">
        <v>4158</v>
      </c>
      <c r="N3314" t="s">
        <v>2388</v>
      </c>
      <c r="O3314">
        <v>1</v>
      </c>
    </row>
    <row r="3315" spans="2:15" x14ac:dyDescent="0.3">
      <c r="B3315">
        <v>3375</v>
      </c>
      <c r="D3315">
        <v>567</v>
      </c>
      <c r="E3315">
        <v>1700</v>
      </c>
      <c r="F3315">
        <v>1</v>
      </c>
      <c r="G3315">
        <v>36.3419932104892</v>
      </c>
      <c r="H3315">
        <v>2</v>
      </c>
      <c r="I3315">
        <v>59</v>
      </c>
      <c r="K3315" t="s">
        <v>2386</v>
      </c>
      <c r="L3315">
        <v>20</v>
      </c>
      <c r="M3315" t="s">
        <v>4159</v>
      </c>
      <c r="N3315" t="s">
        <v>2388</v>
      </c>
      <c r="O3315">
        <v>1</v>
      </c>
    </row>
    <row r="3316" spans="2:15" x14ac:dyDescent="0.3">
      <c r="B3316">
        <v>3376</v>
      </c>
      <c r="D3316">
        <v>1701</v>
      </c>
      <c r="E3316">
        <v>765</v>
      </c>
      <c r="F3316">
        <v>1</v>
      </c>
      <c r="G3316">
        <v>64.987207762186301</v>
      </c>
      <c r="H3316">
        <v>2</v>
      </c>
      <c r="I3316">
        <v>59</v>
      </c>
      <c r="K3316" t="s">
        <v>2386</v>
      </c>
      <c r="L3316">
        <v>20</v>
      </c>
      <c r="M3316" t="s">
        <v>4160</v>
      </c>
      <c r="N3316" t="s">
        <v>2388</v>
      </c>
      <c r="O3316">
        <v>1</v>
      </c>
    </row>
    <row r="3317" spans="2:15" x14ac:dyDescent="0.3">
      <c r="B3317">
        <v>3377</v>
      </c>
      <c r="D3317">
        <v>765</v>
      </c>
      <c r="E3317">
        <v>1701</v>
      </c>
      <c r="F3317">
        <v>1</v>
      </c>
      <c r="G3317">
        <v>64.987207762186301</v>
      </c>
      <c r="H3317">
        <v>2</v>
      </c>
      <c r="I3317">
        <v>59</v>
      </c>
      <c r="K3317" t="s">
        <v>2386</v>
      </c>
      <c r="L3317">
        <v>20</v>
      </c>
      <c r="M3317" t="s">
        <v>4161</v>
      </c>
      <c r="N3317" t="s">
        <v>2388</v>
      </c>
      <c r="O3317">
        <v>1</v>
      </c>
    </row>
    <row r="3318" spans="2:15" x14ac:dyDescent="0.3">
      <c r="B3318">
        <v>3378</v>
      </c>
      <c r="D3318">
        <v>1702</v>
      </c>
      <c r="E3318">
        <v>765</v>
      </c>
      <c r="F3318">
        <v>1</v>
      </c>
      <c r="G3318">
        <v>72.855549703612596</v>
      </c>
      <c r="H3318">
        <v>2</v>
      </c>
      <c r="I3318">
        <v>59</v>
      </c>
      <c r="K3318" t="s">
        <v>2386</v>
      </c>
      <c r="L3318">
        <v>20</v>
      </c>
      <c r="M3318" t="s">
        <v>4162</v>
      </c>
      <c r="N3318" t="s">
        <v>2388</v>
      </c>
      <c r="O3318">
        <v>1</v>
      </c>
    </row>
    <row r="3319" spans="2:15" x14ac:dyDescent="0.3">
      <c r="B3319">
        <v>3379</v>
      </c>
      <c r="D3319">
        <v>765</v>
      </c>
      <c r="E3319">
        <v>1702</v>
      </c>
      <c r="F3319">
        <v>1</v>
      </c>
      <c r="G3319">
        <v>72.855549703612596</v>
      </c>
      <c r="H3319">
        <v>2</v>
      </c>
      <c r="I3319">
        <v>59</v>
      </c>
      <c r="K3319" t="s">
        <v>2386</v>
      </c>
      <c r="L3319">
        <v>20</v>
      </c>
      <c r="M3319" t="s">
        <v>4163</v>
      </c>
      <c r="N3319" t="s">
        <v>2388</v>
      </c>
      <c r="O3319">
        <v>1</v>
      </c>
    </row>
    <row r="3320" spans="2:15" x14ac:dyDescent="0.3">
      <c r="B3320">
        <v>3380</v>
      </c>
      <c r="D3320">
        <v>1703</v>
      </c>
      <c r="E3320">
        <v>568</v>
      </c>
      <c r="F3320">
        <v>1</v>
      </c>
      <c r="G3320">
        <v>29.975390570617499</v>
      </c>
      <c r="H3320">
        <v>2</v>
      </c>
      <c r="I3320">
        <v>59</v>
      </c>
      <c r="K3320" t="s">
        <v>2386</v>
      </c>
      <c r="L3320">
        <v>20</v>
      </c>
      <c r="M3320" t="s">
        <v>4164</v>
      </c>
      <c r="N3320" t="s">
        <v>2388</v>
      </c>
      <c r="O3320">
        <v>1</v>
      </c>
    </row>
    <row r="3321" spans="2:15" x14ac:dyDescent="0.3">
      <c r="B3321">
        <v>3381</v>
      </c>
      <c r="D3321">
        <v>568</v>
      </c>
      <c r="E3321">
        <v>1703</v>
      </c>
      <c r="F3321">
        <v>1</v>
      </c>
      <c r="G3321">
        <v>29.975390570617499</v>
      </c>
      <c r="H3321">
        <v>2</v>
      </c>
      <c r="I3321">
        <v>59</v>
      </c>
      <c r="K3321" t="s">
        <v>2386</v>
      </c>
      <c r="L3321">
        <v>20</v>
      </c>
      <c r="M3321" t="s">
        <v>4165</v>
      </c>
      <c r="N3321" t="s">
        <v>2388</v>
      </c>
      <c r="O3321">
        <v>1</v>
      </c>
    </row>
    <row r="3322" spans="2:15" x14ac:dyDescent="0.3">
      <c r="B3322">
        <v>3382</v>
      </c>
      <c r="D3322">
        <v>1704</v>
      </c>
      <c r="E3322">
        <v>553</v>
      </c>
      <c r="F3322">
        <v>1</v>
      </c>
      <c r="G3322">
        <v>42.038083009776898</v>
      </c>
      <c r="H3322">
        <v>2</v>
      </c>
      <c r="I3322">
        <v>59</v>
      </c>
      <c r="K3322" t="s">
        <v>2386</v>
      </c>
      <c r="L3322">
        <v>20</v>
      </c>
      <c r="M3322" t="s">
        <v>4166</v>
      </c>
      <c r="N3322" t="s">
        <v>2388</v>
      </c>
      <c r="O3322">
        <v>1</v>
      </c>
    </row>
    <row r="3323" spans="2:15" x14ac:dyDescent="0.3">
      <c r="B3323">
        <v>3383</v>
      </c>
      <c r="D3323">
        <v>553</v>
      </c>
      <c r="E3323">
        <v>1704</v>
      </c>
      <c r="F3323">
        <v>1</v>
      </c>
      <c r="G3323">
        <v>42.038083009776898</v>
      </c>
      <c r="H3323">
        <v>2</v>
      </c>
      <c r="I3323">
        <v>59</v>
      </c>
      <c r="K3323" t="s">
        <v>2386</v>
      </c>
      <c r="L3323">
        <v>20</v>
      </c>
      <c r="M3323" t="s">
        <v>4167</v>
      </c>
      <c r="N3323" t="s">
        <v>2388</v>
      </c>
      <c r="O3323">
        <v>1</v>
      </c>
    </row>
    <row r="3324" spans="2:15" x14ac:dyDescent="0.3">
      <c r="B3324">
        <v>3384</v>
      </c>
      <c r="D3324">
        <v>1705</v>
      </c>
      <c r="E3324">
        <v>567</v>
      </c>
      <c r="F3324">
        <v>1</v>
      </c>
      <c r="G3324">
        <v>59.727024925548498</v>
      </c>
      <c r="H3324">
        <v>2</v>
      </c>
      <c r="I3324">
        <v>59</v>
      </c>
      <c r="K3324" t="s">
        <v>2386</v>
      </c>
      <c r="L3324">
        <v>20</v>
      </c>
      <c r="M3324" t="s">
        <v>4168</v>
      </c>
      <c r="N3324" t="s">
        <v>2388</v>
      </c>
      <c r="O3324">
        <v>1</v>
      </c>
    </row>
    <row r="3325" spans="2:15" x14ac:dyDescent="0.3">
      <c r="B3325">
        <v>3385</v>
      </c>
      <c r="D3325">
        <v>567</v>
      </c>
      <c r="E3325">
        <v>1705</v>
      </c>
      <c r="F3325">
        <v>1</v>
      </c>
      <c r="G3325">
        <v>59.727024925548498</v>
      </c>
      <c r="H3325">
        <v>2</v>
      </c>
      <c r="I3325">
        <v>59</v>
      </c>
      <c r="K3325" t="s">
        <v>2386</v>
      </c>
      <c r="L3325">
        <v>20</v>
      </c>
      <c r="M3325" t="s">
        <v>4169</v>
      </c>
      <c r="N3325" t="s">
        <v>2388</v>
      </c>
      <c r="O3325">
        <v>1</v>
      </c>
    </row>
    <row r="3326" spans="2:15" x14ac:dyDescent="0.3">
      <c r="B3326">
        <v>3386</v>
      </c>
      <c r="D3326">
        <v>1706</v>
      </c>
      <c r="E3326">
        <v>774</v>
      </c>
      <c r="F3326">
        <v>1</v>
      </c>
      <c r="G3326">
        <v>87.344744952644206</v>
      </c>
      <c r="H3326">
        <v>2</v>
      </c>
      <c r="I3326">
        <v>59</v>
      </c>
      <c r="K3326" t="s">
        <v>2386</v>
      </c>
      <c r="L3326">
        <v>20</v>
      </c>
      <c r="M3326" t="s">
        <v>4170</v>
      </c>
      <c r="N3326" t="s">
        <v>2388</v>
      </c>
      <c r="O3326">
        <v>1</v>
      </c>
    </row>
    <row r="3327" spans="2:15" x14ac:dyDescent="0.3">
      <c r="B3327">
        <v>3387</v>
      </c>
      <c r="D3327">
        <v>774</v>
      </c>
      <c r="E3327">
        <v>1706</v>
      </c>
      <c r="F3327">
        <v>1</v>
      </c>
      <c r="G3327">
        <v>87.344744952644206</v>
      </c>
      <c r="H3327">
        <v>2</v>
      </c>
      <c r="I3327">
        <v>59</v>
      </c>
      <c r="K3327" t="s">
        <v>2386</v>
      </c>
      <c r="L3327">
        <v>20</v>
      </c>
      <c r="M3327" t="s">
        <v>4171</v>
      </c>
      <c r="N3327" t="s">
        <v>2388</v>
      </c>
      <c r="O3327">
        <v>1</v>
      </c>
    </row>
    <row r="3328" spans="2:15" x14ac:dyDescent="0.3">
      <c r="B3328">
        <v>3388</v>
      </c>
      <c r="D3328">
        <v>1707</v>
      </c>
      <c r="E3328">
        <v>160</v>
      </c>
      <c r="F3328">
        <v>1</v>
      </c>
      <c r="G3328">
        <v>51.266222175414597</v>
      </c>
      <c r="H3328">
        <v>2</v>
      </c>
      <c r="I3328">
        <v>59</v>
      </c>
      <c r="K3328" t="s">
        <v>2386</v>
      </c>
      <c r="L3328">
        <v>20</v>
      </c>
      <c r="M3328" t="s">
        <v>4172</v>
      </c>
      <c r="N3328" t="s">
        <v>2388</v>
      </c>
      <c r="O3328">
        <v>1</v>
      </c>
    </row>
    <row r="3329" spans="2:15" x14ac:dyDescent="0.3">
      <c r="B3329">
        <v>3389</v>
      </c>
      <c r="D3329">
        <v>160</v>
      </c>
      <c r="E3329">
        <v>1707</v>
      </c>
      <c r="F3329">
        <v>1</v>
      </c>
      <c r="G3329">
        <v>51.266222175414597</v>
      </c>
      <c r="H3329">
        <v>2</v>
      </c>
      <c r="I3329">
        <v>59</v>
      </c>
      <c r="K3329" t="s">
        <v>2386</v>
      </c>
      <c r="L3329">
        <v>20</v>
      </c>
      <c r="M3329" t="s">
        <v>4173</v>
      </c>
      <c r="N3329" t="s">
        <v>2388</v>
      </c>
      <c r="O3329">
        <v>1</v>
      </c>
    </row>
    <row r="3330" spans="2:15" x14ac:dyDescent="0.3">
      <c r="B3330">
        <v>3390</v>
      </c>
      <c r="D3330">
        <v>1708</v>
      </c>
      <c r="E3330">
        <v>378</v>
      </c>
      <c r="F3330">
        <v>1</v>
      </c>
      <c r="G3330">
        <v>89.066552249010996</v>
      </c>
      <c r="H3330">
        <v>2</v>
      </c>
      <c r="I3330">
        <v>59</v>
      </c>
      <c r="K3330" t="s">
        <v>2386</v>
      </c>
      <c r="L3330">
        <v>20</v>
      </c>
      <c r="M3330" t="s">
        <v>4174</v>
      </c>
      <c r="N3330" t="s">
        <v>2388</v>
      </c>
      <c r="O3330">
        <v>1</v>
      </c>
    </row>
    <row r="3331" spans="2:15" x14ac:dyDescent="0.3">
      <c r="B3331">
        <v>3391</v>
      </c>
      <c r="D3331">
        <v>378</v>
      </c>
      <c r="E3331">
        <v>1708</v>
      </c>
      <c r="F3331">
        <v>1</v>
      </c>
      <c r="G3331">
        <v>89.066552249010996</v>
      </c>
      <c r="H3331">
        <v>2</v>
      </c>
      <c r="I3331">
        <v>59</v>
      </c>
      <c r="K3331" t="s">
        <v>2386</v>
      </c>
      <c r="L3331">
        <v>20</v>
      </c>
      <c r="M3331" t="s">
        <v>4175</v>
      </c>
      <c r="N3331" t="s">
        <v>2388</v>
      </c>
      <c r="O3331">
        <v>1</v>
      </c>
    </row>
    <row r="3332" spans="2:15" x14ac:dyDescent="0.3">
      <c r="B3332">
        <v>3392</v>
      </c>
      <c r="D3332">
        <v>1709</v>
      </c>
      <c r="E3332">
        <v>567</v>
      </c>
      <c r="F3332">
        <v>1</v>
      </c>
      <c r="G3332">
        <v>48.132224667414199</v>
      </c>
      <c r="H3332">
        <v>2</v>
      </c>
      <c r="I3332">
        <v>59</v>
      </c>
      <c r="K3332" t="s">
        <v>2386</v>
      </c>
      <c r="L3332">
        <v>20</v>
      </c>
      <c r="M3332" t="s">
        <v>4176</v>
      </c>
      <c r="N3332" t="s">
        <v>2388</v>
      </c>
      <c r="O3332">
        <v>1</v>
      </c>
    </row>
    <row r="3333" spans="2:15" x14ac:dyDescent="0.3">
      <c r="B3333">
        <v>3393</v>
      </c>
      <c r="D3333">
        <v>567</v>
      </c>
      <c r="E3333">
        <v>1709</v>
      </c>
      <c r="F3333">
        <v>1</v>
      </c>
      <c r="G3333">
        <v>48.132224667414199</v>
      </c>
      <c r="H3333">
        <v>2</v>
      </c>
      <c r="I3333">
        <v>59</v>
      </c>
      <c r="K3333" t="s">
        <v>2386</v>
      </c>
      <c r="L3333">
        <v>20</v>
      </c>
      <c r="M3333" t="s">
        <v>4177</v>
      </c>
      <c r="N3333" t="s">
        <v>2388</v>
      </c>
      <c r="O3333">
        <v>1</v>
      </c>
    </row>
    <row r="3334" spans="2:15" x14ac:dyDescent="0.3">
      <c r="B3334">
        <v>3394</v>
      </c>
      <c r="D3334">
        <v>1710</v>
      </c>
      <c r="E3334">
        <v>567</v>
      </c>
      <c r="F3334">
        <v>1</v>
      </c>
      <c r="G3334">
        <v>22.208729637814901</v>
      </c>
      <c r="H3334">
        <v>2</v>
      </c>
      <c r="I3334">
        <v>59</v>
      </c>
      <c r="K3334" t="s">
        <v>2386</v>
      </c>
      <c r="L3334">
        <v>20</v>
      </c>
      <c r="M3334" t="s">
        <v>4178</v>
      </c>
      <c r="N3334" t="s">
        <v>2388</v>
      </c>
      <c r="O3334">
        <v>1</v>
      </c>
    </row>
    <row r="3335" spans="2:15" x14ac:dyDescent="0.3">
      <c r="B3335">
        <v>3395</v>
      </c>
      <c r="D3335">
        <v>567</v>
      </c>
      <c r="E3335">
        <v>1710</v>
      </c>
      <c r="F3335">
        <v>1</v>
      </c>
      <c r="G3335">
        <v>22.208729637814901</v>
      </c>
      <c r="H3335">
        <v>2</v>
      </c>
      <c r="I3335">
        <v>59</v>
      </c>
      <c r="K3335" t="s">
        <v>2386</v>
      </c>
      <c r="L3335">
        <v>20</v>
      </c>
      <c r="M3335" t="s">
        <v>4179</v>
      </c>
      <c r="N3335" t="s">
        <v>2388</v>
      </c>
      <c r="O3335">
        <v>1</v>
      </c>
    </row>
    <row r="3336" spans="2:15" x14ac:dyDescent="0.3">
      <c r="B3336">
        <v>3396</v>
      </c>
      <c r="D3336">
        <v>1711</v>
      </c>
      <c r="E3336">
        <v>76</v>
      </c>
      <c r="F3336">
        <v>1</v>
      </c>
      <c r="G3336">
        <v>28.4705550057847</v>
      </c>
      <c r="H3336">
        <v>2</v>
      </c>
      <c r="I3336">
        <v>59</v>
      </c>
      <c r="K3336" t="s">
        <v>2386</v>
      </c>
      <c r="L3336">
        <v>20</v>
      </c>
      <c r="M3336" t="s">
        <v>4180</v>
      </c>
      <c r="N3336" t="s">
        <v>2388</v>
      </c>
      <c r="O3336">
        <v>1</v>
      </c>
    </row>
    <row r="3337" spans="2:15" x14ac:dyDescent="0.3">
      <c r="B3337">
        <v>3397</v>
      </c>
      <c r="D3337">
        <v>76</v>
      </c>
      <c r="E3337">
        <v>1711</v>
      </c>
      <c r="F3337">
        <v>1</v>
      </c>
      <c r="G3337">
        <v>28.4705550057847</v>
      </c>
      <c r="H3337">
        <v>2</v>
      </c>
      <c r="I3337">
        <v>59</v>
      </c>
      <c r="K3337" t="s">
        <v>2386</v>
      </c>
      <c r="L3337">
        <v>20</v>
      </c>
      <c r="M3337" t="s">
        <v>4181</v>
      </c>
      <c r="N3337" t="s">
        <v>2388</v>
      </c>
      <c r="O3337">
        <v>1</v>
      </c>
    </row>
    <row r="3338" spans="2:15" x14ac:dyDescent="0.3">
      <c r="B3338">
        <v>3398</v>
      </c>
      <c r="D3338">
        <v>1712</v>
      </c>
      <c r="E3338">
        <v>76</v>
      </c>
      <c r="F3338">
        <v>1</v>
      </c>
      <c r="G3338">
        <v>45.250414712004698</v>
      </c>
      <c r="H3338">
        <v>2</v>
      </c>
      <c r="I3338">
        <v>59</v>
      </c>
      <c r="K3338" t="s">
        <v>2386</v>
      </c>
      <c r="L3338">
        <v>20</v>
      </c>
      <c r="M3338" t="s">
        <v>4182</v>
      </c>
      <c r="N3338" t="s">
        <v>2388</v>
      </c>
      <c r="O3338">
        <v>1</v>
      </c>
    </row>
    <row r="3339" spans="2:15" x14ac:dyDescent="0.3">
      <c r="B3339">
        <v>3399</v>
      </c>
      <c r="D3339">
        <v>76</v>
      </c>
      <c r="E3339">
        <v>1712</v>
      </c>
      <c r="F3339">
        <v>1</v>
      </c>
      <c r="G3339">
        <v>45.250414712004698</v>
      </c>
      <c r="H3339">
        <v>2</v>
      </c>
      <c r="I3339">
        <v>59</v>
      </c>
      <c r="K3339" t="s">
        <v>2386</v>
      </c>
      <c r="L3339">
        <v>20</v>
      </c>
      <c r="M3339" t="s">
        <v>4183</v>
      </c>
      <c r="N3339" t="s">
        <v>2388</v>
      </c>
      <c r="O3339">
        <v>1</v>
      </c>
    </row>
    <row r="3340" spans="2:15" x14ac:dyDescent="0.3">
      <c r="B3340">
        <v>3400</v>
      </c>
      <c r="D3340">
        <v>1713</v>
      </c>
      <c r="E3340">
        <v>76</v>
      </c>
      <c r="F3340">
        <v>1</v>
      </c>
      <c r="G3340">
        <v>49.5907375479525</v>
      </c>
      <c r="H3340">
        <v>2</v>
      </c>
      <c r="I3340">
        <v>59</v>
      </c>
      <c r="K3340" t="s">
        <v>2386</v>
      </c>
      <c r="L3340">
        <v>20</v>
      </c>
      <c r="M3340" t="s">
        <v>4184</v>
      </c>
      <c r="N3340" t="s">
        <v>2388</v>
      </c>
      <c r="O3340">
        <v>1</v>
      </c>
    </row>
    <row r="3341" spans="2:15" x14ac:dyDescent="0.3">
      <c r="B3341">
        <v>3401</v>
      </c>
      <c r="D3341">
        <v>76</v>
      </c>
      <c r="E3341">
        <v>1713</v>
      </c>
      <c r="F3341">
        <v>1</v>
      </c>
      <c r="G3341">
        <v>49.5907375479525</v>
      </c>
      <c r="H3341">
        <v>2</v>
      </c>
      <c r="I3341">
        <v>59</v>
      </c>
      <c r="K3341" t="s">
        <v>2386</v>
      </c>
      <c r="L3341">
        <v>20</v>
      </c>
      <c r="M3341" t="s">
        <v>4185</v>
      </c>
      <c r="N3341" t="s">
        <v>2388</v>
      </c>
      <c r="O3341">
        <v>1</v>
      </c>
    </row>
    <row r="3342" spans="2:15" x14ac:dyDescent="0.3">
      <c r="B3342">
        <v>3402</v>
      </c>
      <c r="D3342">
        <v>1714</v>
      </c>
      <c r="E3342">
        <v>76</v>
      </c>
      <c r="F3342">
        <v>1</v>
      </c>
      <c r="G3342">
        <v>54.863525952519801</v>
      </c>
      <c r="H3342">
        <v>2</v>
      </c>
      <c r="I3342">
        <v>59</v>
      </c>
      <c r="K3342" t="s">
        <v>2386</v>
      </c>
      <c r="L3342">
        <v>20</v>
      </c>
      <c r="M3342" t="s">
        <v>4186</v>
      </c>
      <c r="N3342" t="s">
        <v>2388</v>
      </c>
      <c r="O3342">
        <v>1</v>
      </c>
    </row>
    <row r="3343" spans="2:15" x14ac:dyDescent="0.3">
      <c r="B3343">
        <v>3403</v>
      </c>
      <c r="D3343">
        <v>76</v>
      </c>
      <c r="E3343">
        <v>1714</v>
      </c>
      <c r="F3343">
        <v>1</v>
      </c>
      <c r="G3343">
        <v>54.863525952519801</v>
      </c>
      <c r="H3343">
        <v>2</v>
      </c>
      <c r="I3343">
        <v>59</v>
      </c>
      <c r="K3343" t="s">
        <v>2386</v>
      </c>
      <c r="L3343">
        <v>20</v>
      </c>
      <c r="M3343" t="s">
        <v>4187</v>
      </c>
      <c r="N3343" t="s">
        <v>2388</v>
      </c>
      <c r="O3343">
        <v>1</v>
      </c>
    </row>
    <row r="3344" spans="2:15" x14ac:dyDescent="0.3">
      <c r="B3344">
        <v>3404</v>
      </c>
      <c r="D3344">
        <v>1715</v>
      </c>
      <c r="E3344">
        <v>707</v>
      </c>
      <c r="F3344">
        <v>1</v>
      </c>
      <c r="G3344">
        <v>49.570354942525903</v>
      </c>
      <c r="H3344">
        <v>2</v>
      </c>
      <c r="I3344">
        <v>59</v>
      </c>
      <c r="K3344" t="s">
        <v>2386</v>
      </c>
      <c r="L3344">
        <v>20</v>
      </c>
      <c r="M3344" t="s">
        <v>4188</v>
      </c>
      <c r="N3344" t="s">
        <v>2388</v>
      </c>
      <c r="O3344">
        <v>1</v>
      </c>
    </row>
    <row r="3345" spans="2:15" x14ac:dyDescent="0.3">
      <c r="B3345">
        <v>3405</v>
      </c>
      <c r="D3345">
        <v>707</v>
      </c>
      <c r="E3345">
        <v>1715</v>
      </c>
      <c r="F3345">
        <v>1</v>
      </c>
      <c r="G3345">
        <v>49.570354942525903</v>
      </c>
      <c r="H3345">
        <v>2</v>
      </c>
      <c r="I3345">
        <v>59</v>
      </c>
      <c r="K3345" t="s">
        <v>2386</v>
      </c>
      <c r="L3345">
        <v>20</v>
      </c>
      <c r="M3345" t="s">
        <v>4189</v>
      </c>
      <c r="N3345" t="s">
        <v>2388</v>
      </c>
      <c r="O3345">
        <v>1</v>
      </c>
    </row>
    <row r="3346" spans="2:15" x14ac:dyDescent="0.3">
      <c r="B3346">
        <v>3406</v>
      </c>
      <c r="D3346">
        <v>1716</v>
      </c>
      <c r="E3346">
        <v>707</v>
      </c>
      <c r="F3346">
        <v>1</v>
      </c>
      <c r="G3346">
        <v>59.8308088941763</v>
      </c>
      <c r="H3346">
        <v>2</v>
      </c>
      <c r="I3346">
        <v>59</v>
      </c>
      <c r="K3346" t="s">
        <v>2386</v>
      </c>
      <c r="L3346">
        <v>20</v>
      </c>
      <c r="M3346" t="s">
        <v>4190</v>
      </c>
      <c r="N3346" t="s">
        <v>2388</v>
      </c>
      <c r="O3346">
        <v>1</v>
      </c>
    </row>
    <row r="3347" spans="2:15" x14ac:dyDescent="0.3">
      <c r="B3347">
        <v>3407</v>
      </c>
      <c r="D3347">
        <v>707</v>
      </c>
      <c r="E3347">
        <v>1716</v>
      </c>
      <c r="F3347">
        <v>1</v>
      </c>
      <c r="G3347">
        <v>59.8308088941763</v>
      </c>
      <c r="H3347">
        <v>2</v>
      </c>
      <c r="I3347">
        <v>59</v>
      </c>
      <c r="K3347" t="s">
        <v>2386</v>
      </c>
      <c r="L3347">
        <v>20</v>
      </c>
      <c r="M3347" t="s">
        <v>4191</v>
      </c>
      <c r="N3347" t="s">
        <v>2388</v>
      </c>
      <c r="O3347">
        <v>1</v>
      </c>
    </row>
    <row r="3348" spans="2:15" x14ac:dyDescent="0.3">
      <c r="B3348">
        <v>3408</v>
      </c>
      <c r="D3348">
        <v>1717</v>
      </c>
      <c r="E3348">
        <v>553</v>
      </c>
      <c r="F3348">
        <v>1</v>
      </c>
      <c r="G3348">
        <v>68.405343884696606</v>
      </c>
      <c r="H3348">
        <v>2</v>
      </c>
      <c r="I3348">
        <v>59</v>
      </c>
      <c r="K3348" t="s">
        <v>2386</v>
      </c>
      <c r="L3348">
        <v>20</v>
      </c>
      <c r="M3348" t="s">
        <v>4192</v>
      </c>
      <c r="N3348" t="s">
        <v>2388</v>
      </c>
      <c r="O3348">
        <v>1</v>
      </c>
    </row>
    <row r="3349" spans="2:15" x14ac:dyDescent="0.3">
      <c r="B3349">
        <v>3409</v>
      </c>
      <c r="D3349">
        <v>553</v>
      </c>
      <c r="E3349">
        <v>1717</v>
      </c>
      <c r="F3349">
        <v>1</v>
      </c>
      <c r="G3349">
        <v>68.405343884696606</v>
      </c>
      <c r="H3349">
        <v>2</v>
      </c>
      <c r="I3349">
        <v>59</v>
      </c>
      <c r="K3349" t="s">
        <v>2386</v>
      </c>
      <c r="L3349">
        <v>20</v>
      </c>
      <c r="M3349" t="s">
        <v>4193</v>
      </c>
      <c r="N3349" t="s">
        <v>2388</v>
      </c>
      <c r="O3349">
        <v>1</v>
      </c>
    </row>
    <row r="3350" spans="2:15" x14ac:dyDescent="0.3">
      <c r="B3350">
        <v>3410</v>
      </c>
      <c r="D3350">
        <v>1718</v>
      </c>
      <c r="E3350">
        <v>159</v>
      </c>
      <c r="F3350">
        <v>1</v>
      </c>
      <c r="G3350">
        <v>38.931915703703602</v>
      </c>
      <c r="H3350">
        <v>2</v>
      </c>
      <c r="I3350">
        <v>59</v>
      </c>
      <c r="K3350" t="s">
        <v>2386</v>
      </c>
      <c r="L3350">
        <v>20</v>
      </c>
      <c r="M3350" t="s">
        <v>4194</v>
      </c>
      <c r="N3350" t="s">
        <v>2388</v>
      </c>
      <c r="O3350">
        <v>1</v>
      </c>
    </row>
    <row r="3351" spans="2:15" x14ac:dyDescent="0.3">
      <c r="B3351">
        <v>3411</v>
      </c>
      <c r="D3351">
        <v>159</v>
      </c>
      <c r="E3351">
        <v>1718</v>
      </c>
      <c r="F3351">
        <v>1</v>
      </c>
      <c r="G3351">
        <v>38.931915703703602</v>
      </c>
      <c r="H3351">
        <v>2</v>
      </c>
      <c r="I3351">
        <v>59</v>
      </c>
      <c r="K3351" t="s">
        <v>2386</v>
      </c>
      <c r="L3351">
        <v>20</v>
      </c>
      <c r="M3351" t="s">
        <v>4195</v>
      </c>
      <c r="N3351" t="s">
        <v>2388</v>
      </c>
      <c r="O3351">
        <v>1</v>
      </c>
    </row>
    <row r="3352" spans="2:15" x14ac:dyDescent="0.3">
      <c r="B3352">
        <v>3412</v>
      </c>
      <c r="D3352">
        <v>1719</v>
      </c>
      <c r="E3352">
        <v>159</v>
      </c>
      <c r="F3352">
        <v>1</v>
      </c>
      <c r="G3352">
        <v>24.995742578030601</v>
      </c>
      <c r="H3352">
        <v>2</v>
      </c>
      <c r="I3352">
        <v>59</v>
      </c>
      <c r="K3352" t="s">
        <v>2386</v>
      </c>
      <c r="L3352">
        <v>20</v>
      </c>
      <c r="M3352" t="s">
        <v>4196</v>
      </c>
      <c r="N3352" t="s">
        <v>2388</v>
      </c>
      <c r="O3352">
        <v>1</v>
      </c>
    </row>
    <row r="3353" spans="2:15" x14ac:dyDescent="0.3">
      <c r="B3353">
        <v>3413</v>
      </c>
      <c r="D3353">
        <v>159</v>
      </c>
      <c r="E3353">
        <v>1719</v>
      </c>
      <c r="F3353">
        <v>1</v>
      </c>
      <c r="G3353">
        <v>24.995742578030601</v>
      </c>
      <c r="H3353">
        <v>2</v>
      </c>
      <c r="I3353">
        <v>59</v>
      </c>
      <c r="K3353" t="s">
        <v>2386</v>
      </c>
      <c r="L3353">
        <v>20</v>
      </c>
      <c r="M3353" t="s">
        <v>4197</v>
      </c>
      <c r="N3353" t="s">
        <v>2388</v>
      </c>
      <c r="O3353">
        <v>1</v>
      </c>
    </row>
    <row r="3354" spans="2:15" x14ac:dyDescent="0.3">
      <c r="B3354">
        <v>3414</v>
      </c>
      <c r="D3354">
        <v>1720</v>
      </c>
      <c r="E3354">
        <v>159</v>
      </c>
      <c r="F3354">
        <v>1</v>
      </c>
      <c r="G3354">
        <v>97.516978656404206</v>
      </c>
      <c r="H3354">
        <v>2</v>
      </c>
      <c r="I3354">
        <v>59</v>
      </c>
      <c r="K3354" t="s">
        <v>2386</v>
      </c>
      <c r="L3354">
        <v>20</v>
      </c>
      <c r="M3354" t="s">
        <v>4198</v>
      </c>
      <c r="N3354" t="s">
        <v>2388</v>
      </c>
      <c r="O3354">
        <v>1</v>
      </c>
    </row>
    <row r="3355" spans="2:15" x14ac:dyDescent="0.3">
      <c r="B3355">
        <v>3415</v>
      </c>
      <c r="D3355">
        <v>159</v>
      </c>
      <c r="E3355">
        <v>1720</v>
      </c>
      <c r="F3355">
        <v>1</v>
      </c>
      <c r="G3355">
        <v>97.516978656404206</v>
      </c>
      <c r="H3355">
        <v>2</v>
      </c>
      <c r="I3355">
        <v>59</v>
      </c>
      <c r="K3355" t="s">
        <v>2386</v>
      </c>
      <c r="L3355">
        <v>20</v>
      </c>
      <c r="M3355" t="s">
        <v>4199</v>
      </c>
      <c r="N3355" t="s">
        <v>2388</v>
      </c>
      <c r="O3355">
        <v>1</v>
      </c>
    </row>
    <row r="3356" spans="2:15" x14ac:dyDescent="0.3">
      <c r="B3356">
        <v>3416</v>
      </c>
      <c r="D3356">
        <v>1721</v>
      </c>
      <c r="E3356">
        <v>523</v>
      </c>
      <c r="F3356">
        <v>1</v>
      </c>
      <c r="G3356">
        <v>58.595464879022799</v>
      </c>
      <c r="H3356">
        <v>2</v>
      </c>
      <c r="I3356">
        <v>59</v>
      </c>
      <c r="K3356" t="s">
        <v>2386</v>
      </c>
      <c r="L3356">
        <v>20</v>
      </c>
      <c r="M3356" t="s">
        <v>4200</v>
      </c>
      <c r="N3356" t="s">
        <v>2388</v>
      </c>
      <c r="O3356">
        <v>1</v>
      </c>
    </row>
    <row r="3357" spans="2:15" x14ac:dyDescent="0.3">
      <c r="B3357">
        <v>3417</v>
      </c>
      <c r="D3357">
        <v>523</v>
      </c>
      <c r="E3357">
        <v>1721</v>
      </c>
      <c r="F3357">
        <v>1</v>
      </c>
      <c r="G3357">
        <v>58.595464879022799</v>
      </c>
      <c r="H3357">
        <v>2</v>
      </c>
      <c r="I3357">
        <v>59</v>
      </c>
      <c r="K3357" t="s">
        <v>2386</v>
      </c>
      <c r="L3357">
        <v>20</v>
      </c>
      <c r="M3357" t="s">
        <v>4201</v>
      </c>
      <c r="N3357" t="s">
        <v>2388</v>
      </c>
      <c r="O3357">
        <v>1</v>
      </c>
    </row>
    <row r="3358" spans="2:15" x14ac:dyDescent="0.3">
      <c r="B3358">
        <v>3418</v>
      </c>
      <c r="D3358">
        <v>1722</v>
      </c>
      <c r="E3358">
        <v>159</v>
      </c>
      <c r="F3358">
        <v>1</v>
      </c>
      <c r="G3358">
        <v>58.640204252576801</v>
      </c>
      <c r="H3358">
        <v>2</v>
      </c>
      <c r="I3358">
        <v>59</v>
      </c>
      <c r="K3358" t="s">
        <v>2386</v>
      </c>
      <c r="L3358">
        <v>20</v>
      </c>
      <c r="M3358" t="s">
        <v>4202</v>
      </c>
      <c r="N3358" t="s">
        <v>2388</v>
      </c>
      <c r="O3358">
        <v>1</v>
      </c>
    </row>
    <row r="3359" spans="2:15" x14ac:dyDescent="0.3">
      <c r="B3359">
        <v>3419</v>
      </c>
      <c r="D3359">
        <v>159</v>
      </c>
      <c r="E3359">
        <v>1722</v>
      </c>
      <c r="F3359">
        <v>1</v>
      </c>
      <c r="G3359">
        <v>58.640204252576801</v>
      </c>
      <c r="H3359">
        <v>2</v>
      </c>
      <c r="I3359">
        <v>59</v>
      </c>
      <c r="K3359" t="s">
        <v>2386</v>
      </c>
      <c r="L3359">
        <v>20</v>
      </c>
      <c r="M3359" t="s">
        <v>4203</v>
      </c>
      <c r="N3359" t="s">
        <v>2388</v>
      </c>
      <c r="O3359">
        <v>1</v>
      </c>
    </row>
    <row r="3360" spans="2:15" x14ac:dyDescent="0.3">
      <c r="B3360">
        <v>3420</v>
      </c>
      <c r="D3360">
        <v>1723</v>
      </c>
      <c r="E3360">
        <v>773</v>
      </c>
      <c r="F3360">
        <v>1</v>
      </c>
      <c r="G3360">
        <v>59.302487226432497</v>
      </c>
      <c r="H3360">
        <v>2</v>
      </c>
      <c r="I3360">
        <v>59</v>
      </c>
      <c r="K3360" t="s">
        <v>2386</v>
      </c>
      <c r="L3360">
        <v>20</v>
      </c>
      <c r="M3360" t="s">
        <v>4204</v>
      </c>
      <c r="N3360" t="s">
        <v>2388</v>
      </c>
      <c r="O3360">
        <v>1</v>
      </c>
    </row>
    <row r="3361" spans="2:15" x14ac:dyDescent="0.3">
      <c r="B3361">
        <v>3421</v>
      </c>
      <c r="D3361">
        <v>773</v>
      </c>
      <c r="E3361">
        <v>1723</v>
      </c>
      <c r="F3361">
        <v>1</v>
      </c>
      <c r="G3361">
        <v>59.302487226432497</v>
      </c>
      <c r="H3361">
        <v>2</v>
      </c>
      <c r="I3361">
        <v>59</v>
      </c>
      <c r="K3361" t="s">
        <v>2386</v>
      </c>
      <c r="L3361">
        <v>20</v>
      </c>
      <c r="M3361" t="s">
        <v>4205</v>
      </c>
      <c r="N3361" t="s">
        <v>2388</v>
      </c>
      <c r="O3361">
        <v>1</v>
      </c>
    </row>
    <row r="3362" spans="2:15" x14ac:dyDescent="0.3">
      <c r="B3362">
        <v>3422</v>
      </c>
      <c r="D3362">
        <v>1724</v>
      </c>
      <c r="E3362">
        <v>624</v>
      </c>
      <c r="F3362">
        <v>1</v>
      </c>
      <c r="G3362">
        <v>38.802151676193603</v>
      </c>
      <c r="H3362">
        <v>2</v>
      </c>
      <c r="I3362">
        <v>59</v>
      </c>
      <c r="K3362" t="s">
        <v>2386</v>
      </c>
      <c r="L3362">
        <v>20</v>
      </c>
      <c r="M3362" t="s">
        <v>4206</v>
      </c>
      <c r="N3362" t="s">
        <v>2388</v>
      </c>
      <c r="O3362">
        <v>1</v>
      </c>
    </row>
    <row r="3363" spans="2:15" x14ac:dyDescent="0.3">
      <c r="B3363">
        <v>3423</v>
      </c>
      <c r="D3363">
        <v>624</v>
      </c>
      <c r="E3363">
        <v>1724</v>
      </c>
      <c r="F3363">
        <v>1</v>
      </c>
      <c r="G3363">
        <v>38.802151676193603</v>
      </c>
      <c r="H3363">
        <v>2</v>
      </c>
      <c r="I3363">
        <v>59</v>
      </c>
      <c r="K3363" t="s">
        <v>2386</v>
      </c>
      <c r="L3363">
        <v>20</v>
      </c>
      <c r="M3363" t="s">
        <v>4207</v>
      </c>
      <c r="N3363" t="s">
        <v>2388</v>
      </c>
      <c r="O3363">
        <v>1</v>
      </c>
    </row>
    <row r="3364" spans="2:15" x14ac:dyDescent="0.3">
      <c r="B3364">
        <v>3424</v>
      </c>
      <c r="D3364">
        <v>1725</v>
      </c>
      <c r="E3364">
        <v>624</v>
      </c>
      <c r="F3364">
        <v>1</v>
      </c>
      <c r="G3364">
        <v>35.0804711570865</v>
      </c>
      <c r="H3364">
        <v>2</v>
      </c>
      <c r="I3364">
        <v>59</v>
      </c>
      <c r="K3364" t="s">
        <v>2386</v>
      </c>
      <c r="L3364">
        <v>20</v>
      </c>
      <c r="M3364" t="s">
        <v>4208</v>
      </c>
      <c r="N3364" t="s">
        <v>2388</v>
      </c>
      <c r="O3364">
        <v>1</v>
      </c>
    </row>
    <row r="3365" spans="2:15" x14ac:dyDescent="0.3">
      <c r="B3365">
        <v>3425</v>
      </c>
      <c r="D3365">
        <v>624</v>
      </c>
      <c r="E3365">
        <v>1725</v>
      </c>
      <c r="F3365">
        <v>1</v>
      </c>
      <c r="G3365">
        <v>35.0804711570865</v>
      </c>
      <c r="H3365">
        <v>2</v>
      </c>
      <c r="I3365">
        <v>59</v>
      </c>
      <c r="K3365" t="s">
        <v>2386</v>
      </c>
      <c r="L3365">
        <v>20</v>
      </c>
      <c r="M3365" t="s">
        <v>4209</v>
      </c>
      <c r="N3365" t="s">
        <v>2388</v>
      </c>
      <c r="O3365">
        <v>1</v>
      </c>
    </row>
    <row r="3366" spans="2:15" x14ac:dyDescent="0.3">
      <c r="B3366">
        <v>3426</v>
      </c>
      <c r="D3366">
        <v>1726</v>
      </c>
      <c r="E3366">
        <v>527</v>
      </c>
      <c r="F3366">
        <v>1</v>
      </c>
      <c r="G3366">
        <v>35.602571605481302</v>
      </c>
      <c r="H3366">
        <v>2</v>
      </c>
      <c r="I3366">
        <v>59</v>
      </c>
      <c r="K3366" t="s">
        <v>2386</v>
      </c>
      <c r="L3366">
        <v>20</v>
      </c>
      <c r="M3366" t="s">
        <v>4210</v>
      </c>
      <c r="N3366" t="s">
        <v>2388</v>
      </c>
      <c r="O3366">
        <v>1</v>
      </c>
    </row>
    <row r="3367" spans="2:15" x14ac:dyDescent="0.3">
      <c r="B3367">
        <v>3427</v>
      </c>
      <c r="D3367">
        <v>527</v>
      </c>
      <c r="E3367">
        <v>1726</v>
      </c>
      <c r="F3367">
        <v>1</v>
      </c>
      <c r="G3367">
        <v>35.602571605481302</v>
      </c>
      <c r="H3367">
        <v>2</v>
      </c>
      <c r="I3367">
        <v>59</v>
      </c>
      <c r="K3367" t="s">
        <v>2386</v>
      </c>
      <c r="L3367">
        <v>20</v>
      </c>
      <c r="M3367" t="s">
        <v>4211</v>
      </c>
      <c r="N3367" t="s">
        <v>2388</v>
      </c>
      <c r="O3367">
        <v>1</v>
      </c>
    </row>
    <row r="3368" spans="2:15" x14ac:dyDescent="0.3">
      <c r="B3368">
        <v>3428</v>
      </c>
      <c r="D3368">
        <v>1727</v>
      </c>
      <c r="E3368">
        <v>400</v>
      </c>
      <c r="F3368">
        <v>1</v>
      </c>
      <c r="G3368">
        <v>81.190441348936801</v>
      </c>
      <c r="H3368">
        <v>2</v>
      </c>
      <c r="I3368">
        <v>59</v>
      </c>
      <c r="K3368" t="s">
        <v>2386</v>
      </c>
      <c r="L3368">
        <v>20</v>
      </c>
      <c r="M3368" t="s">
        <v>4212</v>
      </c>
      <c r="N3368" t="s">
        <v>2388</v>
      </c>
      <c r="O3368">
        <v>1</v>
      </c>
    </row>
    <row r="3369" spans="2:15" x14ac:dyDescent="0.3">
      <c r="B3369">
        <v>3429</v>
      </c>
      <c r="D3369">
        <v>400</v>
      </c>
      <c r="E3369">
        <v>1727</v>
      </c>
      <c r="F3369">
        <v>1</v>
      </c>
      <c r="G3369">
        <v>81.190441348936801</v>
      </c>
      <c r="H3369">
        <v>2</v>
      </c>
      <c r="I3369">
        <v>59</v>
      </c>
      <c r="K3369" t="s">
        <v>2386</v>
      </c>
      <c r="L3369">
        <v>20</v>
      </c>
      <c r="M3369" t="s">
        <v>4213</v>
      </c>
      <c r="N3369" t="s">
        <v>2388</v>
      </c>
      <c r="O3369">
        <v>1</v>
      </c>
    </row>
    <row r="3370" spans="2:15" x14ac:dyDescent="0.3">
      <c r="B3370">
        <v>3430</v>
      </c>
      <c r="D3370">
        <v>1728</v>
      </c>
      <c r="E3370">
        <v>624</v>
      </c>
      <c r="F3370">
        <v>1</v>
      </c>
      <c r="G3370">
        <v>43.053962382157202</v>
      </c>
      <c r="H3370">
        <v>2</v>
      </c>
      <c r="I3370">
        <v>59</v>
      </c>
      <c r="K3370" t="s">
        <v>2386</v>
      </c>
      <c r="L3370">
        <v>20</v>
      </c>
      <c r="M3370" t="s">
        <v>4214</v>
      </c>
      <c r="N3370" t="s">
        <v>2388</v>
      </c>
      <c r="O3370">
        <v>1</v>
      </c>
    </row>
    <row r="3371" spans="2:15" x14ac:dyDescent="0.3">
      <c r="B3371">
        <v>3431</v>
      </c>
      <c r="D3371">
        <v>624</v>
      </c>
      <c r="E3371">
        <v>1728</v>
      </c>
      <c r="F3371">
        <v>1</v>
      </c>
      <c r="G3371">
        <v>43.053962382157202</v>
      </c>
      <c r="H3371">
        <v>2</v>
      </c>
      <c r="I3371">
        <v>59</v>
      </c>
      <c r="K3371" t="s">
        <v>2386</v>
      </c>
      <c r="L3371">
        <v>20</v>
      </c>
      <c r="M3371" t="s">
        <v>4215</v>
      </c>
      <c r="N3371" t="s">
        <v>2388</v>
      </c>
      <c r="O3371">
        <v>1</v>
      </c>
    </row>
    <row r="3372" spans="2:15" x14ac:dyDescent="0.3">
      <c r="B3372">
        <v>3432</v>
      </c>
      <c r="D3372">
        <v>1729</v>
      </c>
      <c r="E3372">
        <v>624</v>
      </c>
      <c r="F3372">
        <v>1</v>
      </c>
      <c r="G3372">
        <v>31.875723181368699</v>
      </c>
      <c r="H3372">
        <v>2</v>
      </c>
      <c r="I3372">
        <v>59</v>
      </c>
      <c r="K3372" t="s">
        <v>2386</v>
      </c>
      <c r="L3372">
        <v>20</v>
      </c>
      <c r="M3372" t="s">
        <v>4216</v>
      </c>
      <c r="N3372" t="s">
        <v>2388</v>
      </c>
      <c r="O3372">
        <v>1</v>
      </c>
    </row>
    <row r="3373" spans="2:15" x14ac:dyDescent="0.3">
      <c r="B3373">
        <v>3433</v>
      </c>
      <c r="D3373">
        <v>624</v>
      </c>
      <c r="E3373">
        <v>1729</v>
      </c>
      <c r="F3373">
        <v>1</v>
      </c>
      <c r="G3373">
        <v>31.875723181368699</v>
      </c>
      <c r="H3373">
        <v>2</v>
      </c>
      <c r="I3373">
        <v>59</v>
      </c>
      <c r="K3373" t="s">
        <v>2386</v>
      </c>
      <c r="L3373">
        <v>20</v>
      </c>
      <c r="M3373" t="s">
        <v>4217</v>
      </c>
      <c r="N3373" t="s">
        <v>2388</v>
      </c>
      <c r="O3373">
        <v>1</v>
      </c>
    </row>
    <row r="3374" spans="2:15" x14ac:dyDescent="0.3">
      <c r="B3374">
        <v>3434</v>
      </c>
      <c r="D3374">
        <v>1730</v>
      </c>
      <c r="E3374">
        <v>624</v>
      </c>
      <c r="F3374">
        <v>1</v>
      </c>
      <c r="G3374">
        <v>25.148767985387799</v>
      </c>
      <c r="H3374">
        <v>2</v>
      </c>
      <c r="I3374">
        <v>59</v>
      </c>
      <c r="K3374" t="s">
        <v>2386</v>
      </c>
      <c r="L3374">
        <v>20</v>
      </c>
      <c r="M3374" t="s">
        <v>4218</v>
      </c>
      <c r="N3374" t="s">
        <v>2388</v>
      </c>
      <c r="O3374">
        <v>1</v>
      </c>
    </row>
    <row r="3375" spans="2:15" x14ac:dyDescent="0.3">
      <c r="B3375">
        <v>3435</v>
      </c>
      <c r="D3375">
        <v>624</v>
      </c>
      <c r="E3375">
        <v>1730</v>
      </c>
      <c r="F3375">
        <v>1</v>
      </c>
      <c r="G3375">
        <v>25.148767985387799</v>
      </c>
      <c r="H3375">
        <v>2</v>
      </c>
      <c r="I3375">
        <v>59</v>
      </c>
      <c r="K3375" t="s">
        <v>2386</v>
      </c>
      <c r="L3375">
        <v>20</v>
      </c>
      <c r="M3375" t="s">
        <v>4219</v>
      </c>
      <c r="N3375" t="s">
        <v>2388</v>
      </c>
      <c r="O3375">
        <v>1</v>
      </c>
    </row>
    <row r="3376" spans="2:15" x14ac:dyDescent="0.3">
      <c r="B3376">
        <v>3436</v>
      </c>
      <c r="D3376">
        <v>1731</v>
      </c>
      <c r="E3376">
        <v>794</v>
      </c>
      <c r="F3376">
        <v>1</v>
      </c>
      <c r="G3376">
        <v>32.572856438375801</v>
      </c>
      <c r="H3376">
        <v>2</v>
      </c>
      <c r="I3376">
        <v>59</v>
      </c>
      <c r="K3376" t="s">
        <v>2386</v>
      </c>
      <c r="L3376">
        <v>20</v>
      </c>
      <c r="M3376" t="s">
        <v>4220</v>
      </c>
      <c r="N3376" t="s">
        <v>2388</v>
      </c>
      <c r="O3376">
        <v>1</v>
      </c>
    </row>
    <row r="3377" spans="2:15" x14ac:dyDescent="0.3">
      <c r="B3377">
        <v>3437</v>
      </c>
      <c r="D3377">
        <v>794</v>
      </c>
      <c r="E3377">
        <v>1731</v>
      </c>
      <c r="F3377">
        <v>1</v>
      </c>
      <c r="G3377">
        <v>32.572856438375801</v>
      </c>
      <c r="H3377">
        <v>2</v>
      </c>
      <c r="I3377">
        <v>59</v>
      </c>
      <c r="K3377" t="s">
        <v>2386</v>
      </c>
      <c r="L3377">
        <v>20</v>
      </c>
      <c r="M3377" t="s">
        <v>4221</v>
      </c>
      <c r="N3377" t="s">
        <v>2388</v>
      </c>
      <c r="O3377">
        <v>1</v>
      </c>
    </row>
    <row r="3378" spans="2:15" x14ac:dyDescent="0.3">
      <c r="B3378">
        <v>3438</v>
      </c>
      <c r="D3378">
        <v>1732</v>
      </c>
      <c r="E3378">
        <v>794</v>
      </c>
      <c r="F3378">
        <v>1</v>
      </c>
      <c r="G3378">
        <v>46.531693665582203</v>
      </c>
      <c r="H3378">
        <v>2</v>
      </c>
      <c r="I3378">
        <v>59</v>
      </c>
      <c r="K3378" t="s">
        <v>2386</v>
      </c>
      <c r="L3378">
        <v>20</v>
      </c>
      <c r="M3378" t="s">
        <v>4222</v>
      </c>
      <c r="N3378" t="s">
        <v>2388</v>
      </c>
      <c r="O3378">
        <v>1</v>
      </c>
    </row>
    <row r="3379" spans="2:15" x14ac:dyDescent="0.3">
      <c r="B3379">
        <v>3439</v>
      </c>
      <c r="D3379">
        <v>794</v>
      </c>
      <c r="E3379">
        <v>1732</v>
      </c>
      <c r="F3379">
        <v>1</v>
      </c>
      <c r="G3379">
        <v>46.531693665582203</v>
      </c>
      <c r="H3379">
        <v>2</v>
      </c>
      <c r="I3379">
        <v>59</v>
      </c>
      <c r="K3379" t="s">
        <v>2386</v>
      </c>
      <c r="L3379">
        <v>20</v>
      </c>
      <c r="M3379" t="s">
        <v>4223</v>
      </c>
      <c r="N3379" t="s">
        <v>2388</v>
      </c>
      <c r="O3379">
        <v>1</v>
      </c>
    </row>
    <row r="3380" spans="2:15" x14ac:dyDescent="0.3">
      <c r="B3380">
        <v>3440</v>
      </c>
      <c r="D3380">
        <v>1733</v>
      </c>
      <c r="E3380">
        <v>623</v>
      </c>
      <c r="F3380">
        <v>1</v>
      </c>
      <c r="G3380">
        <v>22.009145341728601</v>
      </c>
      <c r="H3380">
        <v>2</v>
      </c>
      <c r="I3380">
        <v>59</v>
      </c>
      <c r="K3380" t="s">
        <v>2386</v>
      </c>
      <c r="L3380">
        <v>20</v>
      </c>
      <c r="M3380" t="s">
        <v>4224</v>
      </c>
      <c r="N3380" t="s">
        <v>2388</v>
      </c>
      <c r="O3380">
        <v>1</v>
      </c>
    </row>
    <row r="3381" spans="2:15" x14ac:dyDescent="0.3">
      <c r="B3381">
        <v>3441</v>
      </c>
      <c r="D3381">
        <v>623</v>
      </c>
      <c r="E3381">
        <v>1733</v>
      </c>
      <c r="F3381">
        <v>1</v>
      </c>
      <c r="G3381">
        <v>22.009145341728601</v>
      </c>
      <c r="H3381">
        <v>2</v>
      </c>
      <c r="I3381">
        <v>59</v>
      </c>
      <c r="K3381" t="s">
        <v>2386</v>
      </c>
      <c r="L3381">
        <v>20</v>
      </c>
      <c r="M3381" t="s">
        <v>4225</v>
      </c>
      <c r="N3381" t="s">
        <v>2388</v>
      </c>
      <c r="O3381">
        <v>1</v>
      </c>
    </row>
    <row r="3382" spans="2:15" x14ac:dyDescent="0.3">
      <c r="B3382">
        <v>3442</v>
      </c>
      <c r="D3382">
        <v>1734</v>
      </c>
      <c r="E3382">
        <v>774</v>
      </c>
      <c r="F3382">
        <v>1</v>
      </c>
      <c r="G3382">
        <v>42.933661450330803</v>
      </c>
      <c r="H3382">
        <v>2</v>
      </c>
      <c r="I3382">
        <v>59</v>
      </c>
      <c r="K3382" t="s">
        <v>2386</v>
      </c>
      <c r="L3382">
        <v>20</v>
      </c>
      <c r="M3382" t="s">
        <v>4226</v>
      </c>
      <c r="N3382" t="s">
        <v>2388</v>
      </c>
      <c r="O3382">
        <v>1</v>
      </c>
    </row>
    <row r="3383" spans="2:15" x14ac:dyDescent="0.3">
      <c r="B3383">
        <v>3443</v>
      </c>
      <c r="D3383">
        <v>774</v>
      </c>
      <c r="E3383">
        <v>1734</v>
      </c>
      <c r="F3383">
        <v>1</v>
      </c>
      <c r="G3383">
        <v>42.933661450330803</v>
      </c>
      <c r="H3383">
        <v>2</v>
      </c>
      <c r="I3383">
        <v>59</v>
      </c>
      <c r="K3383" t="s">
        <v>2386</v>
      </c>
      <c r="L3383">
        <v>20</v>
      </c>
      <c r="M3383" t="s">
        <v>4227</v>
      </c>
      <c r="N3383" t="s">
        <v>2388</v>
      </c>
      <c r="O3383">
        <v>1</v>
      </c>
    </row>
    <row r="3384" spans="2:15" x14ac:dyDescent="0.3">
      <c r="B3384">
        <v>3444</v>
      </c>
      <c r="D3384">
        <v>1735</v>
      </c>
      <c r="E3384">
        <v>526</v>
      </c>
      <c r="F3384">
        <v>1</v>
      </c>
      <c r="G3384">
        <v>46.082679940608401</v>
      </c>
      <c r="H3384">
        <v>2</v>
      </c>
      <c r="I3384">
        <v>59</v>
      </c>
      <c r="K3384" t="s">
        <v>2386</v>
      </c>
      <c r="L3384">
        <v>20</v>
      </c>
      <c r="M3384" t="s">
        <v>4228</v>
      </c>
      <c r="N3384" t="s">
        <v>2388</v>
      </c>
      <c r="O3384">
        <v>1</v>
      </c>
    </row>
    <row r="3385" spans="2:15" x14ac:dyDescent="0.3">
      <c r="B3385">
        <v>3445</v>
      </c>
      <c r="D3385">
        <v>526</v>
      </c>
      <c r="E3385">
        <v>1735</v>
      </c>
      <c r="F3385">
        <v>1</v>
      </c>
      <c r="G3385">
        <v>46.082679940608401</v>
      </c>
      <c r="H3385">
        <v>2</v>
      </c>
      <c r="I3385">
        <v>59</v>
      </c>
      <c r="K3385" t="s">
        <v>2386</v>
      </c>
      <c r="L3385">
        <v>20</v>
      </c>
      <c r="M3385" t="s">
        <v>4229</v>
      </c>
      <c r="N3385" t="s">
        <v>2388</v>
      </c>
      <c r="O3385">
        <v>1</v>
      </c>
    </row>
    <row r="3386" spans="2:15" x14ac:dyDescent="0.3">
      <c r="B3386">
        <v>3446</v>
      </c>
      <c r="D3386">
        <v>1736</v>
      </c>
      <c r="E3386">
        <v>623</v>
      </c>
      <c r="F3386">
        <v>1</v>
      </c>
      <c r="G3386">
        <v>27.3198401477927</v>
      </c>
      <c r="H3386">
        <v>2</v>
      </c>
      <c r="I3386">
        <v>59</v>
      </c>
      <c r="K3386" t="s">
        <v>2386</v>
      </c>
      <c r="L3386">
        <v>20</v>
      </c>
      <c r="M3386" t="s">
        <v>4230</v>
      </c>
      <c r="N3386" t="s">
        <v>2388</v>
      </c>
      <c r="O3386">
        <v>1</v>
      </c>
    </row>
    <row r="3387" spans="2:15" x14ac:dyDescent="0.3">
      <c r="B3387">
        <v>3447</v>
      </c>
      <c r="D3387">
        <v>623</v>
      </c>
      <c r="E3387">
        <v>1736</v>
      </c>
      <c r="F3387">
        <v>1</v>
      </c>
      <c r="G3387">
        <v>27.3198401477927</v>
      </c>
      <c r="H3387">
        <v>2</v>
      </c>
      <c r="I3387">
        <v>59</v>
      </c>
      <c r="K3387" t="s">
        <v>2386</v>
      </c>
      <c r="L3387">
        <v>20</v>
      </c>
      <c r="M3387" t="s">
        <v>4231</v>
      </c>
      <c r="N3387" t="s">
        <v>2388</v>
      </c>
      <c r="O3387">
        <v>1</v>
      </c>
    </row>
    <row r="3388" spans="2:15" x14ac:dyDescent="0.3">
      <c r="B3388">
        <v>3448</v>
      </c>
      <c r="D3388">
        <v>1737</v>
      </c>
      <c r="E3388">
        <v>774</v>
      </c>
      <c r="F3388">
        <v>1</v>
      </c>
      <c r="G3388">
        <v>62.9095653356718</v>
      </c>
      <c r="H3388">
        <v>2</v>
      </c>
      <c r="I3388">
        <v>59</v>
      </c>
      <c r="K3388" t="s">
        <v>2386</v>
      </c>
      <c r="L3388">
        <v>20</v>
      </c>
      <c r="M3388" t="s">
        <v>4232</v>
      </c>
      <c r="N3388" t="s">
        <v>2388</v>
      </c>
      <c r="O3388">
        <v>1</v>
      </c>
    </row>
    <row r="3389" spans="2:15" x14ac:dyDescent="0.3">
      <c r="B3389">
        <v>3449</v>
      </c>
      <c r="D3389">
        <v>774</v>
      </c>
      <c r="E3389">
        <v>1737</v>
      </c>
      <c r="F3389">
        <v>1</v>
      </c>
      <c r="G3389">
        <v>62.9095653356718</v>
      </c>
      <c r="H3389">
        <v>2</v>
      </c>
      <c r="I3389">
        <v>59</v>
      </c>
      <c r="K3389" t="s">
        <v>2386</v>
      </c>
      <c r="L3389">
        <v>20</v>
      </c>
      <c r="M3389" t="s">
        <v>4233</v>
      </c>
      <c r="N3389" t="s">
        <v>2388</v>
      </c>
      <c r="O3389">
        <v>1</v>
      </c>
    </row>
    <row r="3390" spans="2:15" x14ac:dyDescent="0.3">
      <c r="B3390">
        <v>3450</v>
      </c>
      <c r="D3390">
        <v>1738</v>
      </c>
      <c r="E3390">
        <v>773</v>
      </c>
      <c r="F3390">
        <v>1</v>
      </c>
      <c r="G3390">
        <v>41.342046412704299</v>
      </c>
      <c r="H3390">
        <v>2</v>
      </c>
      <c r="I3390">
        <v>59</v>
      </c>
      <c r="K3390" t="s">
        <v>2386</v>
      </c>
      <c r="L3390">
        <v>20</v>
      </c>
      <c r="M3390" t="s">
        <v>4234</v>
      </c>
      <c r="N3390" t="s">
        <v>2388</v>
      </c>
      <c r="O3390">
        <v>1</v>
      </c>
    </row>
    <row r="3391" spans="2:15" x14ac:dyDescent="0.3">
      <c r="B3391">
        <v>3451</v>
      </c>
      <c r="D3391">
        <v>773</v>
      </c>
      <c r="E3391">
        <v>1738</v>
      </c>
      <c r="F3391">
        <v>1</v>
      </c>
      <c r="G3391">
        <v>41.342046412704299</v>
      </c>
      <c r="H3391">
        <v>2</v>
      </c>
      <c r="I3391">
        <v>59</v>
      </c>
      <c r="K3391" t="s">
        <v>2386</v>
      </c>
      <c r="L3391">
        <v>20</v>
      </c>
      <c r="M3391" t="s">
        <v>4235</v>
      </c>
      <c r="N3391" t="s">
        <v>2388</v>
      </c>
      <c r="O3391">
        <v>1</v>
      </c>
    </row>
    <row r="3392" spans="2:15" x14ac:dyDescent="0.3">
      <c r="B3392">
        <v>3452</v>
      </c>
      <c r="D3392">
        <v>1739</v>
      </c>
      <c r="E3392">
        <v>707</v>
      </c>
      <c r="F3392">
        <v>1</v>
      </c>
      <c r="G3392">
        <v>31.231643235115101</v>
      </c>
      <c r="H3392">
        <v>2</v>
      </c>
      <c r="I3392">
        <v>59</v>
      </c>
      <c r="K3392" t="s">
        <v>2386</v>
      </c>
      <c r="L3392">
        <v>20</v>
      </c>
      <c r="M3392" t="s">
        <v>4236</v>
      </c>
      <c r="N3392" t="s">
        <v>2388</v>
      </c>
      <c r="O3392">
        <v>1</v>
      </c>
    </row>
    <row r="3393" spans="2:15" x14ac:dyDescent="0.3">
      <c r="B3393">
        <v>3453</v>
      </c>
      <c r="D3393">
        <v>707</v>
      </c>
      <c r="E3393">
        <v>1739</v>
      </c>
      <c r="F3393">
        <v>1</v>
      </c>
      <c r="G3393">
        <v>31.231643235115101</v>
      </c>
      <c r="H3393">
        <v>2</v>
      </c>
      <c r="I3393">
        <v>59</v>
      </c>
      <c r="K3393" t="s">
        <v>2386</v>
      </c>
      <c r="L3393">
        <v>20</v>
      </c>
      <c r="M3393" t="s">
        <v>4237</v>
      </c>
      <c r="N3393" t="s">
        <v>2388</v>
      </c>
      <c r="O3393">
        <v>1</v>
      </c>
    </row>
    <row r="3394" spans="2:15" x14ac:dyDescent="0.3">
      <c r="B3394">
        <v>3454</v>
      </c>
      <c r="D3394">
        <v>1740</v>
      </c>
      <c r="E3394">
        <v>773</v>
      </c>
      <c r="F3394">
        <v>1</v>
      </c>
      <c r="G3394">
        <v>37.306889955006703</v>
      </c>
      <c r="H3394">
        <v>2</v>
      </c>
      <c r="I3394">
        <v>59</v>
      </c>
      <c r="K3394" t="s">
        <v>2386</v>
      </c>
      <c r="L3394">
        <v>20</v>
      </c>
      <c r="M3394" t="s">
        <v>4238</v>
      </c>
      <c r="N3394" t="s">
        <v>2388</v>
      </c>
      <c r="O3394">
        <v>1</v>
      </c>
    </row>
    <row r="3395" spans="2:15" x14ac:dyDescent="0.3">
      <c r="B3395">
        <v>3455</v>
      </c>
      <c r="D3395">
        <v>773</v>
      </c>
      <c r="E3395">
        <v>1740</v>
      </c>
      <c r="F3395">
        <v>1</v>
      </c>
      <c r="G3395">
        <v>37.306889955006703</v>
      </c>
      <c r="H3395">
        <v>2</v>
      </c>
      <c r="I3395">
        <v>59</v>
      </c>
      <c r="K3395" t="s">
        <v>2386</v>
      </c>
      <c r="L3395">
        <v>20</v>
      </c>
      <c r="M3395" t="s">
        <v>4239</v>
      </c>
      <c r="N3395" t="s">
        <v>2388</v>
      </c>
      <c r="O3395">
        <v>1</v>
      </c>
    </row>
    <row r="3396" spans="2:15" x14ac:dyDescent="0.3">
      <c r="B3396">
        <v>3456</v>
      </c>
      <c r="D3396">
        <v>1741</v>
      </c>
      <c r="E3396">
        <v>392</v>
      </c>
      <c r="F3396">
        <v>1</v>
      </c>
      <c r="G3396">
        <v>32.123136159602502</v>
      </c>
      <c r="H3396">
        <v>2</v>
      </c>
      <c r="I3396">
        <v>59</v>
      </c>
      <c r="K3396" t="s">
        <v>2386</v>
      </c>
      <c r="L3396">
        <v>20</v>
      </c>
      <c r="M3396" t="s">
        <v>4240</v>
      </c>
      <c r="N3396" t="s">
        <v>2388</v>
      </c>
      <c r="O3396">
        <v>1</v>
      </c>
    </row>
    <row r="3397" spans="2:15" x14ac:dyDescent="0.3">
      <c r="B3397">
        <v>3457</v>
      </c>
      <c r="D3397">
        <v>392</v>
      </c>
      <c r="E3397">
        <v>1741</v>
      </c>
      <c r="F3397">
        <v>1</v>
      </c>
      <c r="G3397">
        <v>32.123136159602502</v>
      </c>
      <c r="H3397">
        <v>2</v>
      </c>
      <c r="I3397">
        <v>59</v>
      </c>
      <c r="K3397" t="s">
        <v>2386</v>
      </c>
      <c r="L3397">
        <v>20</v>
      </c>
      <c r="M3397" t="s">
        <v>4241</v>
      </c>
      <c r="N3397" t="s">
        <v>2388</v>
      </c>
      <c r="O3397">
        <v>1</v>
      </c>
    </row>
    <row r="3398" spans="2:15" x14ac:dyDescent="0.3">
      <c r="B3398">
        <v>3458</v>
      </c>
      <c r="D3398">
        <v>1742</v>
      </c>
      <c r="E3398">
        <v>654</v>
      </c>
      <c r="F3398">
        <v>1</v>
      </c>
      <c r="G3398">
        <v>104.94284671795</v>
      </c>
      <c r="H3398">
        <v>2</v>
      </c>
      <c r="I3398">
        <v>59</v>
      </c>
      <c r="K3398" t="s">
        <v>2386</v>
      </c>
      <c r="L3398">
        <v>20</v>
      </c>
      <c r="M3398" t="s">
        <v>4242</v>
      </c>
      <c r="N3398" t="s">
        <v>2388</v>
      </c>
      <c r="O3398">
        <v>1</v>
      </c>
    </row>
    <row r="3399" spans="2:15" x14ac:dyDescent="0.3">
      <c r="B3399">
        <v>3459</v>
      </c>
      <c r="D3399">
        <v>654</v>
      </c>
      <c r="E3399">
        <v>1742</v>
      </c>
      <c r="F3399">
        <v>1</v>
      </c>
      <c r="G3399">
        <v>104.94284671795</v>
      </c>
      <c r="H3399">
        <v>2</v>
      </c>
      <c r="I3399">
        <v>59</v>
      </c>
      <c r="K3399" t="s">
        <v>2386</v>
      </c>
      <c r="L3399">
        <v>20</v>
      </c>
      <c r="M3399" t="s">
        <v>4243</v>
      </c>
      <c r="N3399" t="s">
        <v>2388</v>
      </c>
      <c r="O3399">
        <v>1</v>
      </c>
    </row>
    <row r="3400" spans="2:15" x14ac:dyDescent="0.3">
      <c r="B3400">
        <v>3460</v>
      </c>
      <c r="D3400">
        <v>1743</v>
      </c>
      <c r="E3400">
        <v>401</v>
      </c>
      <c r="F3400">
        <v>1</v>
      </c>
      <c r="G3400">
        <v>19.810497922760501</v>
      </c>
      <c r="H3400">
        <v>2</v>
      </c>
      <c r="I3400">
        <v>59</v>
      </c>
      <c r="K3400" t="s">
        <v>2386</v>
      </c>
      <c r="L3400">
        <v>20</v>
      </c>
      <c r="M3400" t="s">
        <v>4244</v>
      </c>
      <c r="N3400" t="s">
        <v>2388</v>
      </c>
      <c r="O3400">
        <v>1</v>
      </c>
    </row>
    <row r="3401" spans="2:15" x14ac:dyDescent="0.3">
      <c r="B3401">
        <v>3461</v>
      </c>
      <c r="D3401">
        <v>401</v>
      </c>
      <c r="E3401">
        <v>1743</v>
      </c>
      <c r="F3401">
        <v>1</v>
      </c>
      <c r="G3401">
        <v>19.810497922760501</v>
      </c>
      <c r="H3401">
        <v>2</v>
      </c>
      <c r="I3401">
        <v>59</v>
      </c>
      <c r="K3401" t="s">
        <v>2386</v>
      </c>
      <c r="L3401">
        <v>20</v>
      </c>
      <c r="M3401" t="s">
        <v>4245</v>
      </c>
      <c r="N3401" t="s">
        <v>2388</v>
      </c>
      <c r="O3401">
        <v>1</v>
      </c>
    </row>
    <row r="3402" spans="2:15" x14ac:dyDescent="0.3">
      <c r="B3402">
        <v>3462</v>
      </c>
      <c r="D3402">
        <v>1744</v>
      </c>
      <c r="E3402">
        <v>657</v>
      </c>
      <c r="F3402">
        <v>1</v>
      </c>
      <c r="G3402">
        <v>15.0837195801448</v>
      </c>
      <c r="H3402">
        <v>2</v>
      </c>
      <c r="I3402">
        <v>59</v>
      </c>
      <c r="K3402" t="s">
        <v>2386</v>
      </c>
      <c r="L3402">
        <v>20</v>
      </c>
      <c r="M3402" t="s">
        <v>4246</v>
      </c>
      <c r="N3402" t="s">
        <v>2388</v>
      </c>
      <c r="O3402">
        <v>1</v>
      </c>
    </row>
    <row r="3403" spans="2:15" x14ac:dyDescent="0.3">
      <c r="B3403">
        <v>3463</v>
      </c>
      <c r="D3403">
        <v>657</v>
      </c>
      <c r="E3403">
        <v>1744</v>
      </c>
      <c r="F3403">
        <v>1</v>
      </c>
      <c r="G3403">
        <v>15.0837195801448</v>
      </c>
      <c r="H3403">
        <v>2</v>
      </c>
      <c r="I3403">
        <v>59</v>
      </c>
      <c r="K3403" t="s">
        <v>2386</v>
      </c>
      <c r="L3403">
        <v>20</v>
      </c>
      <c r="M3403" t="s">
        <v>4247</v>
      </c>
      <c r="N3403" t="s">
        <v>2388</v>
      </c>
      <c r="O3403">
        <v>1</v>
      </c>
    </row>
    <row r="3404" spans="2:15" x14ac:dyDescent="0.3">
      <c r="B3404">
        <v>3464</v>
      </c>
      <c r="D3404">
        <v>1745</v>
      </c>
      <c r="E3404">
        <v>36</v>
      </c>
      <c r="F3404">
        <v>1</v>
      </c>
      <c r="G3404">
        <v>63.085989350168198</v>
      </c>
      <c r="H3404">
        <v>2</v>
      </c>
      <c r="I3404">
        <v>59</v>
      </c>
      <c r="K3404" t="s">
        <v>2386</v>
      </c>
      <c r="L3404">
        <v>20</v>
      </c>
      <c r="M3404" t="s">
        <v>4248</v>
      </c>
      <c r="N3404" t="s">
        <v>2388</v>
      </c>
      <c r="O3404">
        <v>1</v>
      </c>
    </row>
    <row r="3405" spans="2:15" x14ac:dyDescent="0.3">
      <c r="B3405">
        <v>3465</v>
      </c>
      <c r="D3405">
        <v>36</v>
      </c>
      <c r="E3405">
        <v>1745</v>
      </c>
      <c r="F3405">
        <v>1</v>
      </c>
      <c r="G3405">
        <v>63.085989350168198</v>
      </c>
      <c r="H3405">
        <v>2</v>
      </c>
      <c r="I3405">
        <v>59</v>
      </c>
      <c r="K3405" t="s">
        <v>2386</v>
      </c>
      <c r="L3405">
        <v>20</v>
      </c>
      <c r="M3405" t="s">
        <v>4249</v>
      </c>
      <c r="N3405" t="s">
        <v>2388</v>
      </c>
      <c r="O3405">
        <v>1</v>
      </c>
    </row>
    <row r="3406" spans="2:15" x14ac:dyDescent="0.3">
      <c r="B3406">
        <v>3466</v>
      </c>
      <c r="D3406">
        <v>1746</v>
      </c>
      <c r="E3406">
        <v>525</v>
      </c>
      <c r="F3406">
        <v>1</v>
      </c>
      <c r="G3406">
        <v>46.209403287256897</v>
      </c>
      <c r="H3406">
        <v>2</v>
      </c>
      <c r="I3406">
        <v>59</v>
      </c>
      <c r="K3406" t="s">
        <v>2386</v>
      </c>
      <c r="L3406">
        <v>20</v>
      </c>
      <c r="M3406" t="s">
        <v>4250</v>
      </c>
      <c r="N3406" t="s">
        <v>2388</v>
      </c>
      <c r="O3406">
        <v>1</v>
      </c>
    </row>
    <row r="3407" spans="2:15" x14ac:dyDescent="0.3">
      <c r="B3407">
        <v>3467</v>
      </c>
      <c r="D3407">
        <v>525</v>
      </c>
      <c r="E3407">
        <v>1746</v>
      </c>
      <c r="F3407">
        <v>1</v>
      </c>
      <c r="G3407">
        <v>46.209403287256897</v>
      </c>
      <c r="H3407">
        <v>2</v>
      </c>
      <c r="I3407">
        <v>59</v>
      </c>
      <c r="K3407" t="s">
        <v>2386</v>
      </c>
      <c r="L3407">
        <v>20</v>
      </c>
      <c r="M3407" t="s">
        <v>4251</v>
      </c>
      <c r="N3407" t="s">
        <v>2388</v>
      </c>
      <c r="O3407">
        <v>1</v>
      </c>
    </row>
    <row r="3408" spans="2:15" x14ac:dyDescent="0.3">
      <c r="B3408">
        <v>3468</v>
      </c>
      <c r="D3408">
        <v>1747</v>
      </c>
      <c r="E3408">
        <v>525</v>
      </c>
      <c r="F3408">
        <v>1</v>
      </c>
      <c r="G3408">
        <v>47.766338849355897</v>
      </c>
      <c r="H3408">
        <v>2</v>
      </c>
      <c r="I3408">
        <v>59</v>
      </c>
      <c r="K3408" t="s">
        <v>2386</v>
      </c>
      <c r="L3408">
        <v>20</v>
      </c>
      <c r="M3408" t="s">
        <v>4252</v>
      </c>
      <c r="N3408" t="s">
        <v>2388</v>
      </c>
      <c r="O3408">
        <v>1</v>
      </c>
    </row>
    <row r="3409" spans="2:15" x14ac:dyDescent="0.3">
      <c r="B3409">
        <v>3469</v>
      </c>
      <c r="D3409">
        <v>525</v>
      </c>
      <c r="E3409">
        <v>1747</v>
      </c>
      <c r="F3409">
        <v>1</v>
      </c>
      <c r="G3409">
        <v>47.766338849355897</v>
      </c>
      <c r="H3409">
        <v>2</v>
      </c>
      <c r="I3409">
        <v>59</v>
      </c>
      <c r="K3409" t="s">
        <v>2386</v>
      </c>
      <c r="L3409">
        <v>20</v>
      </c>
      <c r="M3409" t="s">
        <v>4253</v>
      </c>
      <c r="N3409" t="s">
        <v>2388</v>
      </c>
      <c r="O3409">
        <v>1</v>
      </c>
    </row>
    <row r="3410" spans="2:15" x14ac:dyDescent="0.3">
      <c r="B3410">
        <v>3470</v>
      </c>
      <c r="D3410">
        <v>1748</v>
      </c>
      <c r="E3410">
        <v>692</v>
      </c>
      <c r="F3410">
        <v>1</v>
      </c>
      <c r="G3410">
        <v>47.620529972110198</v>
      </c>
      <c r="H3410">
        <v>2</v>
      </c>
      <c r="I3410">
        <v>59</v>
      </c>
      <c r="K3410" t="s">
        <v>2386</v>
      </c>
      <c r="L3410">
        <v>20</v>
      </c>
      <c r="M3410" t="s">
        <v>4254</v>
      </c>
      <c r="N3410" t="s">
        <v>2388</v>
      </c>
      <c r="O3410">
        <v>1</v>
      </c>
    </row>
    <row r="3411" spans="2:15" x14ac:dyDescent="0.3">
      <c r="B3411">
        <v>3471</v>
      </c>
      <c r="D3411">
        <v>692</v>
      </c>
      <c r="E3411">
        <v>1748</v>
      </c>
      <c r="F3411">
        <v>1</v>
      </c>
      <c r="G3411">
        <v>47.620529972110198</v>
      </c>
      <c r="H3411">
        <v>2</v>
      </c>
      <c r="I3411">
        <v>59</v>
      </c>
      <c r="K3411" t="s">
        <v>2386</v>
      </c>
      <c r="L3411">
        <v>20</v>
      </c>
      <c r="M3411" t="s">
        <v>4255</v>
      </c>
      <c r="N3411" t="s">
        <v>2388</v>
      </c>
      <c r="O3411">
        <v>1</v>
      </c>
    </row>
    <row r="3412" spans="2:15" x14ac:dyDescent="0.3">
      <c r="B3412">
        <v>3472</v>
      </c>
      <c r="D3412">
        <v>1749</v>
      </c>
      <c r="E3412">
        <v>36</v>
      </c>
      <c r="F3412">
        <v>1</v>
      </c>
      <c r="G3412">
        <v>71.455277547833205</v>
      </c>
      <c r="H3412">
        <v>2</v>
      </c>
      <c r="I3412">
        <v>59</v>
      </c>
      <c r="K3412" t="s">
        <v>2386</v>
      </c>
      <c r="L3412">
        <v>20</v>
      </c>
      <c r="M3412" t="s">
        <v>4256</v>
      </c>
      <c r="N3412" t="s">
        <v>2388</v>
      </c>
      <c r="O3412">
        <v>1</v>
      </c>
    </row>
    <row r="3413" spans="2:15" x14ac:dyDescent="0.3">
      <c r="B3413">
        <v>3473</v>
      </c>
      <c r="D3413">
        <v>36</v>
      </c>
      <c r="E3413">
        <v>1749</v>
      </c>
      <c r="F3413">
        <v>1</v>
      </c>
      <c r="G3413">
        <v>71.455277547833205</v>
      </c>
      <c r="H3413">
        <v>2</v>
      </c>
      <c r="I3413">
        <v>59</v>
      </c>
      <c r="K3413" t="s">
        <v>2386</v>
      </c>
      <c r="L3413">
        <v>20</v>
      </c>
      <c r="M3413" t="s">
        <v>4257</v>
      </c>
      <c r="N3413" t="s">
        <v>2388</v>
      </c>
      <c r="O3413">
        <v>1</v>
      </c>
    </row>
    <row r="3414" spans="2:15" x14ac:dyDescent="0.3">
      <c r="B3414">
        <v>3474</v>
      </c>
      <c r="D3414">
        <v>1750</v>
      </c>
      <c r="E3414">
        <v>75</v>
      </c>
      <c r="F3414">
        <v>1</v>
      </c>
      <c r="G3414">
        <v>65.589261794619105</v>
      </c>
      <c r="H3414">
        <v>2</v>
      </c>
      <c r="I3414">
        <v>59</v>
      </c>
      <c r="K3414" t="s">
        <v>2386</v>
      </c>
      <c r="L3414">
        <v>20</v>
      </c>
      <c r="M3414" t="s">
        <v>4258</v>
      </c>
      <c r="N3414" t="s">
        <v>2388</v>
      </c>
      <c r="O3414">
        <v>1</v>
      </c>
    </row>
    <row r="3415" spans="2:15" x14ac:dyDescent="0.3">
      <c r="B3415">
        <v>3475</v>
      </c>
      <c r="D3415">
        <v>75</v>
      </c>
      <c r="E3415">
        <v>1750</v>
      </c>
      <c r="F3415">
        <v>1</v>
      </c>
      <c r="G3415">
        <v>65.589261794619105</v>
      </c>
      <c r="H3415">
        <v>2</v>
      </c>
      <c r="I3415">
        <v>59</v>
      </c>
      <c r="K3415" t="s">
        <v>2386</v>
      </c>
      <c r="L3415">
        <v>20</v>
      </c>
      <c r="M3415" t="s">
        <v>4259</v>
      </c>
      <c r="N3415" t="s">
        <v>2388</v>
      </c>
      <c r="O3415">
        <v>1</v>
      </c>
    </row>
    <row r="3416" spans="2:15" x14ac:dyDescent="0.3">
      <c r="B3416">
        <v>3476</v>
      </c>
      <c r="D3416">
        <v>1751</v>
      </c>
      <c r="E3416">
        <v>36</v>
      </c>
      <c r="F3416">
        <v>1</v>
      </c>
      <c r="G3416">
        <v>32.440427572279198</v>
      </c>
      <c r="H3416">
        <v>2</v>
      </c>
      <c r="I3416">
        <v>59</v>
      </c>
      <c r="K3416" t="s">
        <v>2386</v>
      </c>
      <c r="L3416">
        <v>20</v>
      </c>
      <c r="M3416" t="s">
        <v>4260</v>
      </c>
      <c r="N3416" t="s">
        <v>2388</v>
      </c>
      <c r="O3416">
        <v>1</v>
      </c>
    </row>
    <row r="3417" spans="2:15" x14ac:dyDescent="0.3">
      <c r="B3417">
        <v>3477</v>
      </c>
      <c r="D3417">
        <v>36</v>
      </c>
      <c r="E3417">
        <v>1751</v>
      </c>
      <c r="F3417">
        <v>1</v>
      </c>
      <c r="G3417">
        <v>32.440427572279198</v>
      </c>
      <c r="H3417">
        <v>2</v>
      </c>
      <c r="I3417">
        <v>59</v>
      </c>
      <c r="K3417" t="s">
        <v>2386</v>
      </c>
      <c r="L3417">
        <v>20</v>
      </c>
      <c r="M3417" t="s">
        <v>4261</v>
      </c>
      <c r="N3417" t="s">
        <v>2388</v>
      </c>
      <c r="O3417">
        <v>1</v>
      </c>
    </row>
    <row r="3418" spans="2:15" x14ac:dyDescent="0.3">
      <c r="B3418">
        <v>3478</v>
      </c>
      <c r="D3418">
        <v>1752</v>
      </c>
      <c r="E3418">
        <v>523</v>
      </c>
      <c r="F3418">
        <v>1</v>
      </c>
      <c r="G3418">
        <v>44.582727716328201</v>
      </c>
      <c r="H3418">
        <v>2</v>
      </c>
      <c r="I3418">
        <v>59</v>
      </c>
      <c r="K3418" t="s">
        <v>2386</v>
      </c>
      <c r="L3418">
        <v>20</v>
      </c>
      <c r="M3418" t="s">
        <v>4262</v>
      </c>
      <c r="N3418" t="s">
        <v>2388</v>
      </c>
      <c r="O3418">
        <v>1</v>
      </c>
    </row>
    <row r="3419" spans="2:15" x14ac:dyDescent="0.3">
      <c r="B3419">
        <v>3479</v>
      </c>
      <c r="D3419">
        <v>523</v>
      </c>
      <c r="E3419">
        <v>1752</v>
      </c>
      <c r="F3419">
        <v>1</v>
      </c>
      <c r="G3419">
        <v>44.582727716328201</v>
      </c>
      <c r="H3419">
        <v>2</v>
      </c>
      <c r="I3419">
        <v>59</v>
      </c>
      <c r="K3419" t="s">
        <v>2386</v>
      </c>
      <c r="L3419">
        <v>20</v>
      </c>
      <c r="M3419" t="s">
        <v>4263</v>
      </c>
      <c r="N3419" t="s">
        <v>2388</v>
      </c>
      <c r="O3419">
        <v>1</v>
      </c>
    </row>
    <row r="3420" spans="2:15" x14ac:dyDescent="0.3">
      <c r="B3420">
        <v>3480</v>
      </c>
      <c r="D3420">
        <v>1753</v>
      </c>
      <c r="E3420">
        <v>765</v>
      </c>
      <c r="F3420">
        <v>1</v>
      </c>
      <c r="G3420">
        <v>63.814727743423603</v>
      </c>
      <c r="H3420">
        <v>2</v>
      </c>
      <c r="I3420">
        <v>59</v>
      </c>
      <c r="K3420" t="s">
        <v>2386</v>
      </c>
      <c r="L3420">
        <v>20</v>
      </c>
      <c r="M3420" t="s">
        <v>4264</v>
      </c>
      <c r="N3420" t="s">
        <v>2388</v>
      </c>
      <c r="O3420">
        <v>1</v>
      </c>
    </row>
    <row r="3421" spans="2:15" x14ac:dyDescent="0.3">
      <c r="B3421">
        <v>3481</v>
      </c>
      <c r="D3421">
        <v>765</v>
      </c>
      <c r="E3421">
        <v>1753</v>
      </c>
      <c r="F3421">
        <v>1</v>
      </c>
      <c r="G3421">
        <v>63.814727743423603</v>
      </c>
      <c r="H3421">
        <v>2</v>
      </c>
      <c r="I3421">
        <v>59</v>
      </c>
      <c r="K3421" t="s">
        <v>2386</v>
      </c>
      <c r="L3421">
        <v>20</v>
      </c>
      <c r="M3421" t="s">
        <v>4265</v>
      </c>
      <c r="N3421" t="s">
        <v>2388</v>
      </c>
      <c r="O3421">
        <v>1</v>
      </c>
    </row>
    <row r="3422" spans="2:15" x14ac:dyDescent="0.3">
      <c r="B3422">
        <v>3482</v>
      </c>
      <c r="D3422">
        <v>1754</v>
      </c>
      <c r="E3422">
        <v>76</v>
      </c>
      <c r="F3422">
        <v>1</v>
      </c>
      <c r="G3422">
        <v>69.393382362623399</v>
      </c>
      <c r="H3422">
        <v>2</v>
      </c>
      <c r="I3422">
        <v>59</v>
      </c>
      <c r="K3422" t="s">
        <v>2386</v>
      </c>
      <c r="L3422">
        <v>20</v>
      </c>
      <c r="M3422" t="s">
        <v>4266</v>
      </c>
      <c r="N3422" t="s">
        <v>2388</v>
      </c>
      <c r="O3422">
        <v>1</v>
      </c>
    </row>
    <row r="3423" spans="2:15" x14ac:dyDescent="0.3">
      <c r="B3423">
        <v>3483</v>
      </c>
      <c r="D3423">
        <v>76</v>
      </c>
      <c r="E3423">
        <v>1754</v>
      </c>
      <c r="F3423">
        <v>1</v>
      </c>
      <c r="G3423">
        <v>69.393382362623399</v>
      </c>
      <c r="H3423">
        <v>2</v>
      </c>
      <c r="I3423">
        <v>59</v>
      </c>
      <c r="K3423" t="s">
        <v>2386</v>
      </c>
      <c r="L3423">
        <v>20</v>
      </c>
      <c r="M3423" t="s">
        <v>4267</v>
      </c>
      <c r="N3423" t="s">
        <v>2388</v>
      </c>
      <c r="O3423">
        <v>1</v>
      </c>
    </row>
    <row r="3424" spans="2:15" x14ac:dyDescent="0.3">
      <c r="B3424">
        <v>3484</v>
      </c>
      <c r="D3424">
        <v>1755</v>
      </c>
      <c r="E3424">
        <v>765</v>
      </c>
      <c r="F3424">
        <v>1</v>
      </c>
      <c r="G3424">
        <v>50.452443798239401</v>
      </c>
      <c r="H3424">
        <v>2</v>
      </c>
      <c r="I3424">
        <v>59</v>
      </c>
      <c r="K3424" t="s">
        <v>2386</v>
      </c>
      <c r="L3424">
        <v>20</v>
      </c>
      <c r="M3424" t="s">
        <v>4268</v>
      </c>
      <c r="N3424" t="s">
        <v>2388</v>
      </c>
      <c r="O3424">
        <v>1</v>
      </c>
    </row>
    <row r="3425" spans="2:15" x14ac:dyDescent="0.3">
      <c r="B3425">
        <v>3485</v>
      </c>
      <c r="D3425">
        <v>765</v>
      </c>
      <c r="E3425">
        <v>1755</v>
      </c>
      <c r="F3425">
        <v>1</v>
      </c>
      <c r="G3425">
        <v>50.452443798239401</v>
      </c>
      <c r="H3425">
        <v>2</v>
      </c>
      <c r="I3425">
        <v>59</v>
      </c>
      <c r="K3425" t="s">
        <v>2386</v>
      </c>
      <c r="L3425">
        <v>20</v>
      </c>
      <c r="M3425" t="s">
        <v>4269</v>
      </c>
      <c r="N3425" t="s">
        <v>2388</v>
      </c>
      <c r="O3425">
        <v>1</v>
      </c>
    </row>
    <row r="3426" spans="2:15" x14ac:dyDescent="0.3">
      <c r="B3426">
        <v>3486</v>
      </c>
      <c r="D3426">
        <v>1756</v>
      </c>
      <c r="E3426">
        <v>765</v>
      </c>
      <c r="F3426">
        <v>1</v>
      </c>
      <c r="G3426">
        <v>56.678442180488197</v>
      </c>
      <c r="H3426">
        <v>2</v>
      </c>
      <c r="I3426">
        <v>59</v>
      </c>
      <c r="K3426" t="s">
        <v>2386</v>
      </c>
      <c r="L3426">
        <v>20</v>
      </c>
      <c r="M3426" t="s">
        <v>4270</v>
      </c>
      <c r="N3426" t="s">
        <v>2388</v>
      </c>
      <c r="O3426">
        <v>1</v>
      </c>
    </row>
    <row r="3427" spans="2:15" x14ac:dyDescent="0.3">
      <c r="B3427">
        <v>3487</v>
      </c>
      <c r="D3427">
        <v>765</v>
      </c>
      <c r="E3427">
        <v>1756</v>
      </c>
      <c r="F3427">
        <v>1</v>
      </c>
      <c r="G3427">
        <v>56.678442180488197</v>
      </c>
      <c r="H3427">
        <v>2</v>
      </c>
      <c r="I3427">
        <v>59</v>
      </c>
      <c r="K3427" t="s">
        <v>2386</v>
      </c>
      <c r="L3427">
        <v>20</v>
      </c>
      <c r="M3427" t="s">
        <v>4271</v>
      </c>
      <c r="N3427" t="s">
        <v>2388</v>
      </c>
      <c r="O3427">
        <v>1</v>
      </c>
    </row>
    <row r="3428" spans="2:15" x14ac:dyDescent="0.3">
      <c r="B3428">
        <v>3488</v>
      </c>
      <c r="D3428">
        <v>1757</v>
      </c>
      <c r="E3428">
        <v>765</v>
      </c>
      <c r="F3428">
        <v>1</v>
      </c>
      <c r="G3428">
        <v>35.547995000904201</v>
      </c>
      <c r="H3428">
        <v>2</v>
      </c>
      <c r="I3428">
        <v>59</v>
      </c>
      <c r="K3428" t="s">
        <v>2386</v>
      </c>
      <c r="L3428">
        <v>20</v>
      </c>
      <c r="M3428" t="s">
        <v>4272</v>
      </c>
      <c r="N3428" t="s">
        <v>2388</v>
      </c>
      <c r="O3428">
        <v>1</v>
      </c>
    </row>
    <row r="3429" spans="2:15" x14ac:dyDescent="0.3">
      <c r="B3429">
        <v>3489</v>
      </c>
      <c r="D3429">
        <v>765</v>
      </c>
      <c r="E3429">
        <v>1757</v>
      </c>
      <c r="F3429">
        <v>1</v>
      </c>
      <c r="G3429">
        <v>35.547995000904201</v>
      </c>
      <c r="H3429">
        <v>2</v>
      </c>
      <c r="I3429">
        <v>59</v>
      </c>
      <c r="K3429" t="s">
        <v>2386</v>
      </c>
      <c r="L3429">
        <v>20</v>
      </c>
      <c r="M3429" t="s">
        <v>4273</v>
      </c>
      <c r="N3429" t="s">
        <v>2388</v>
      </c>
      <c r="O3429">
        <v>1</v>
      </c>
    </row>
    <row r="3430" spans="2:15" x14ac:dyDescent="0.3">
      <c r="B3430">
        <v>3490</v>
      </c>
      <c r="D3430">
        <v>1758</v>
      </c>
      <c r="E3430">
        <v>147</v>
      </c>
      <c r="F3430">
        <v>1</v>
      </c>
      <c r="G3430">
        <v>36.346216806689696</v>
      </c>
      <c r="H3430">
        <v>2</v>
      </c>
      <c r="I3430">
        <v>59</v>
      </c>
      <c r="K3430" t="s">
        <v>2386</v>
      </c>
      <c r="L3430">
        <v>20</v>
      </c>
      <c r="M3430" t="s">
        <v>4274</v>
      </c>
      <c r="N3430" t="s">
        <v>2388</v>
      </c>
      <c r="O3430">
        <v>1</v>
      </c>
    </row>
    <row r="3431" spans="2:15" x14ac:dyDescent="0.3">
      <c r="B3431">
        <v>3491</v>
      </c>
      <c r="D3431">
        <v>147</v>
      </c>
      <c r="E3431">
        <v>1758</v>
      </c>
      <c r="F3431">
        <v>1</v>
      </c>
      <c r="G3431">
        <v>36.346216806689696</v>
      </c>
      <c r="H3431">
        <v>2</v>
      </c>
      <c r="I3431">
        <v>59</v>
      </c>
      <c r="K3431" t="s">
        <v>2386</v>
      </c>
      <c r="L3431">
        <v>20</v>
      </c>
      <c r="M3431" t="s">
        <v>4275</v>
      </c>
      <c r="N3431" t="s">
        <v>2388</v>
      </c>
      <c r="O3431">
        <v>1</v>
      </c>
    </row>
    <row r="3432" spans="2:15" x14ac:dyDescent="0.3">
      <c r="B3432">
        <v>3492</v>
      </c>
      <c r="D3432">
        <v>1759</v>
      </c>
      <c r="E3432">
        <v>147</v>
      </c>
      <c r="F3432">
        <v>1</v>
      </c>
      <c r="G3432">
        <v>42.263082718934797</v>
      </c>
      <c r="H3432">
        <v>2</v>
      </c>
      <c r="I3432">
        <v>59</v>
      </c>
      <c r="K3432" t="s">
        <v>2386</v>
      </c>
      <c r="L3432">
        <v>20</v>
      </c>
      <c r="M3432" t="s">
        <v>4276</v>
      </c>
      <c r="N3432" t="s">
        <v>2388</v>
      </c>
      <c r="O3432">
        <v>1</v>
      </c>
    </row>
    <row r="3433" spans="2:15" x14ac:dyDescent="0.3">
      <c r="B3433">
        <v>3493</v>
      </c>
      <c r="D3433">
        <v>147</v>
      </c>
      <c r="E3433">
        <v>1759</v>
      </c>
      <c r="F3433">
        <v>1</v>
      </c>
      <c r="G3433">
        <v>42.263082718934797</v>
      </c>
      <c r="H3433">
        <v>2</v>
      </c>
      <c r="I3433">
        <v>59</v>
      </c>
      <c r="K3433" t="s">
        <v>2386</v>
      </c>
      <c r="L3433">
        <v>20</v>
      </c>
      <c r="M3433" t="s">
        <v>4277</v>
      </c>
      <c r="N3433" t="s">
        <v>2388</v>
      </c>
      <c r="O3433">
        <v>1</v>
      </c>
    </row>
    <row r="3434" spans="2:15" x14ac:dyDescent="0.3">
      <c r="B3434">
        <v>3494</v>
      </c>
      <c r="D3434">
        <v>1760</v>
      </c>
      <c r="E3434">
        <v>147</v>
      </c>
      <c r="F3434">
        <v>1</v>
      </c>
      <c r="G3434">
        <v>31.745637072718601</v>
      </c>
      <c r="H3434">
        <v>2</v>
      </c>
      <c r="I3434">
        <v>59</v>
      </c>
      <c r="K3434" t="s">
        <v>2386</v>
      </c>
      <c r="L3434">
        <v>20</v>
      </c>
      <c r="M3434" t="s">
        <v>4278</v>
      </c>
      <c r="N3434" t="s">
        <v>2388</v>
      </c>
      <c r="O3434">
        <v>1</v>
      </c>
    </row>
    <row r="3435" spans="2:15" x14ac:dyDescent="0.3">
      <c r="B3435">
        <v>3495</v>
      </c>
      <c r="D3435">
        <v>147</v>
      </c>
      <c r="E3435">
        <v>1760</v>
      </c>
      <c r="F3435">
        <v>1</v>
      </c>
      <c r="G3435">
        <v>31.745637072718601</v>
      </c>
      <c r="H3435">
        <v>2</v>
      </c>
      <c r="I3435">
        <v>59</v>
      </c>
      <c r="K3435" t="s">
        <v>2386</v>
      </c>
      <c r="L3435">
        <v>20</v>
      </c>
      <c r="M3435" t="s">
        <v>4279</v>
      </c>
      <c r="N3435" t="s">
        <v>2388</v>
      </c>
      <c r="O3435">
        <v>1</v>
      </c>
    </row>
    <row r="3436" spans="2:15" x14ac:dyDescent="0.3">
      <c r="B3436">
        <v>3496</v>
      </c>
      <c r="D3436">
        <v>1761</v>
      </c>
      <c r="E3436">
        <v>147</v>
      </c>
      <c r="F3436">
        <v>1</v>
      </c>
      <c r="G3436">
        <v>27.749777347932</v>
      </c>
      <c r="H3436">
        <v>2</v>
      </c>
      <c r="I3436">
        <v>59</v>
      </c>
      <c r="K3436" t="s">
        <v>2386</v>
      </c>
      <c r="L3436">
        <v>20</v>
      </c>
      <c r="M3436" t="s">
        <v>4280</v>
      </c>
      <c r="N3436" t="s">
        <v>2388</v>
      </c>
      <c r="O3436">
        <v>1</v>
      </c>
    </row>
    <row r="3437" spans="2:15" x14ac:dyDescent="0.3">
      <c r="B3437">
        <v>3497</v>
      </c>
      <c r="D3437">
        <v>147</v>
      </c>
      <c r="E3437">
        <v>1761</v>
      </c>
      <c r="F3437">
        <v>1</v>
      </c>
      <c r="G3437">
        <v>27.749777347932</v>
      </c>
      <c r="H3437">
        <v>2</v>
      </c>
      <c r="I3437">
        <v>59</v>
      </c>
      <c r="K3437" t="s">
        <v>2386</v>
      </c>
      <c r="L3437">
        <v>20</v>
      </c>
      <c r="M3437" t="s">
        <v>4281</v>
      </c>
      <c r="N3437" t="s">
        <v>2388</v>
      </c>
      <c r="O3437">
        <v>1</v>
      </c>
    </row>
    <row r="3438" spans="2:15" x14ac:dyDescent="0.3">
      <c r="B3438">
        <v>3498</v>
      </c>
      <c r="D3438">
        <v>1762</v>
      </c>
      <c r="E3438">
        <v>149</v>
      </c>
      <c r="F3438">
        <v>1</v>
      </c>
      <c r="G3438">
        <v>46.516933699163403</v>
      </c>
      <c r="H3438">
        <v>2</v>
      </c>
      <c r="I3438">
        <v>59</v>
      </c>
      <c r="K3438" t="s">
        <v>2386</v>
      </c>
      <c r="L3438">
        <v>20</v>
      </c>
      <c r="M3438" t="s">
        <v>4282</v>
      </c>
      <c r="N3438" t="s">
        <v>2388</v>
      </c>
      <c r="O3438">
        <v>1</v>
      </c>
    </row>
    <row r="3439" spans="2:15" x14ac:dyDescent="0.3">
      <c r="B3439">
        <v>3499</v>
      </c>
      <c r="D3439">
        <v>149</v>
      </c>
      <c r="E3439">
        <v>1762</v>
      </c>
      <c r="F3439">
        <v>1</v>
      </c>
      <c r="G3439">
        <v>46.516933699163403</v>
      </c>
      <c r="H3439">
        <v>2</v>
      </c>
      <c r="I3439">
        <v>59</v>
      </c>
      <c r="K3439" t="s">
        <v>2386</v>
      </c>
      <c r="L3439">
        <v>20</v>
      </c>
      <c r="M3439" t="s">
        <v>4283</v>
      </c>
      <c r="N3439" t="s">
        <v>2388</v>
      </c>
      <c r="O3439">
        <v>1</v>
      </c>
    </row>
    <row r="3440" spans="2:15" x14ac:dyDescent="0.3">
      <c r="B3440">
        <v>3500</v>
      </c>
      <c r="D3440">
        <v>1763</v>
      </c>
      <c r="E3440">
        <v>397</v>
      </c>
      <c r="F3440">
        <v>1</v>
      </c>
      <c r="G3440">
        <v>48.069432070272597</v>
      </c>
      <c r="H3440">
        <v>2</v>
      </c>
      <c r="I3440">
        <v>59</v>
      </c>
      <c r="K3440" t="s">
        <v>2386</v>
      </c>
      <c r="L3440">
        <v>20</v>
      </c>
      <c r="M3440" t="s">
        <v>4284</v>
      </c>
      <c r="N3440" t="s">
        <v>2388</v>
      </c>
      <c r="O3440">
        <v>1</v>
      </c>
    </row>
    <row r="3441" spans="2:15" x14ac:dyDescent="0.3">
      <c r="B3441">
        <v>3501</v>
      </c>
      <c r="D3441">
        <v>397</v>
      </c>
      <c r="E3441">
        <v>1763</v>
      </c>
      <c r="F3441">
        <v>1</v>
      </c>
      <c r="G3441">
        <v>48.069432070272597</v>
      </c>
      <c r="H3441">
        <v>2</v>
      </c>
      <c r="I3441">
        <v>59</v>
      </c>
      <c r="K3441" t="s">
        <v>2386</v>
      </c>
      <c r="L3441">
        <v>20</v>
      </c>
      <c r="M3441" t="s">
        <v>4285</v>
      </c>
      <c r="N3441" t="s">
        <v>2388</v>
      </c>
      <c r="O3441">
        <v>1</v>
      </c>
    </row>
    <row r="3442" spans="2:15" x14ac:dyDescent="0.3">
      <c r="B3442">
        <v>3502</v>
      </c>
      <c r="D3442">
        <v>1764</v>
      </c>
      <c r="E3442">
        <v>149</v>
      </c>
      <c r="F3442">
        <v>1</v>
      </c>
      <c r="G3442">
        <v>42.538276133055398</v>
      </c>
      <c r="H3442">
        <v>2</v>
      </c>
      <c r="I3442">
        <v>59</v>
      </c>
      <c r="K3442" t="s">
        <v>2386</v>
      </c>
      <c r="L3442">
        <v>20</v>
      </c>
      <c r="M3442" t="s">
        <v>4286</v>
      </c>
      <c r="N3442" t="s">
        <v>2388</v>
      </c>
      <c r="O3442">
        <v>1</v>
      </c>
    </row>
    <row r="3443" spans="2:15" x14ac:dyDescent="0.3">
      <c r="B3443">
        <v>3503</v>
      </c>
      <c r="D3443">
        <v>149</v>
      </c>
      <c r="E3443">
        <v>1764</v>
      </c>
      <c r="F3443">
        <v>1</v>
      </c>
      <c r="G3443">
        <v>42.538276133055398</v>
      </c>
      <c r="H3443">
        <v>2</v>
      </c>
      <c r="I3443">
        <v>59</v>
      </c>
      <c r="K3443" t="s">
        <v>2386</v>
      </c>
      <c r="L3443">
        <v>20</v>
      </c>
      <c r="M3443" t="s">
        <v>4287</v>
      </c>
      <c r="N3443" t="s">
        <v>2388</v>
      </c>
      <c r="O3443">
        <v>1</v>
      </c>
    </row>
    <row r="3444" spans="2:15" x14ac:dyDescent="0.3">
      <c r="B3444">
        <v>3504</v>
      </c>
      <c r="D3444">
        <v>1765</v>
      </c>
      <c r="E3444">
        <v>482</v>
      </c>
      <c r="F3444">
        <v>1</v>
      </c>
      <c r="G3444">
        <v>43.6650613229112</v>
      </c>
      <c r="H3444">
        <v>2</v>
      </c>
      <c r="I3444">
        <v>59</v>
      </c>
      <c r="K3444" t="s">
        <v>2386</v>
      </c>
      <c r="L3444">
        <v>20</v>
      </c>
      <c r="M3444" t="s">
        <v>4288</v>
      </c>
      <c r="N3444" t="s">
        <v>2388</v>
      </c>
      <c r="O3444">
        <v>1</v>
      </c>
    </row>
    <row r="3445" spans="2:15" x14ac:dyDescent="0.3">
      <c r="B3445">
        <v>3505</v>
      </c>
      <c r="D3445">
        <v>482</v>
      </c>
      <c r="E3445">
        <v>1765</v>
      </c>
      <c r="F3445">
        <v>1</v>
      </c>
      <c r="G3445">
        <v>43.6650613229112</v>
      </c>
      <c r="H3445">
        <v>2</v>
      </c>
      <c r="I3445">
        <v>59</v>
      </c>
      <c r="K3445" t="s">
        <v>2386</v>
      </c>
      <c r="L3445">
        <v>20</v>
      </c>
      <c r="M3445" t="s">
        <v>4289</v>
      </c>
      <c r="N3445" t="s">
        <v>2388</v>
      </c>
      <c r="O3445">
        <v>1</v>
      </c>
    </row>
    <row r="3446" spans="2:15" x14ac:dyDescent="0.3">
      <c r="B3446">
        <v>3506</v>
      </c>
      <c r="D3446">
        <v>1766</v>
      </c>
      <c r="E3446">
        <v>483</v>
      </c>
      <c r="F3446">
        <v>1</v>
      </c>
      <c r="G3446">
        <v>33.868165021814001</v>
      </c>
      <c r="H3446">
        <v>2</v>
      </c>
      <c r="I3446">
        <v>59</v>
      </c>
      <c r="K3446" t="s">
        <v>2386</v>
      </c>
      <c r="L3446">
        <v>20</v>
      </c>
      <c r="M3446" t="s">
        <v>4290</v>
      </c>
      <c r="N3446" t="s">
        <v>2388</v>
      </c>
      <c r="O3446">
        <v>1</v>
      </c>
    </row>
    <row r="3447" spans="2:15" x14ac:dyDescent="0.3">
      <c r="B3447">
        <v>3507</v>
      </c>
      <c r="D3447">
        <v>483</v>
      </c>
      <c r="E3447">
        <v>1766</v>
      </c>
      <c r="F3447">
        <v>1</v>
      </c>
      <c r="G3447">
        <v>33.868165021814001</v>
      </c>
      <c r="H3447">
        <v>2</v>
      </c>
      <c r="I3447">
        <v>59</v>
      </c>
      <c r="K3447" t="s">
        <v>2386</v>
      </c>
      <c r="L3447">
        <v>20</v>
      </c>
      <c r="M3447" t="s">
        <v>4291</v>
      </c>
      <c r="N3447" t="s">
        <v>2388</v>
      </c>
      <c r="O3447">
        <v>1</v>
      </c>
    </row>
    <row r="3448" spans="2:15" x14ac:dyDescent="0.3">
      <c r="B3448">
        <v>3508</v>
      </c>
      <c r="D3448">
        <v>1767</v>
      </c>
      <c r="E3448">
        <v>798</v>
      </c>
      <c r="F3448">
        <v>1</v>
      </c>
      <c r="G3448">
        <v>177592.563405678</v>
      </c>
      <c r="H3448">
        <v>2</v>
      </c>
      <c r="I3448">
        <v>59</v>
      </c>
      <c r="K3448" t="s">
        <v>2386</v>
      </c>
      <c r="L3448">
        <v>20</v>
      </c>
      <c r="M3448" t="s">
        <v>4292</v>
      </c>
      <c r="N3448" t="s">
        <v>2388</v>
      </c>
      <c r="O3448">
        <v>1</v>
      </c>
    </row>
    <row r="3449" spans="2:15" x14ac:dyDescent="0.3">
      <c r="B3449">
        <v>3509</v>
      </c>
      <c r="D3449">
        <v>798</v>
      </c>
      <c r="E3449">
        <v>1767</v>
      </c>
      <c r="F3449">
        <v>1</v>
      </c>
      <c r="G3449">
        <v>177592.563405678</v>
      </c>
      <c r="H3449">
        <v>2</v>
      </c>
      <c r="I3449">
        <v>59</v>
      </c>
      <c r="K3449" t="s">
        <v>2386</v>
      </c>
      <c r="L3449">
        <v>20</v>
      </c>
      <c r="M3449" t="s">
        <v>4293</v>
      </c>
      <c r="N3449" t="s">
        <v>2388</v>
      </c>
      <c r="O3449">
        <v>1</v>
      </c>
    </row>
    <row r="3450" spans="2:15" x14ac:dyDescent="0.3">
      <c r="B3450">
        <v>3510</v>
      </c>
      <c r="D3450">
        <v>1768</v>
      </c>
      <c r="E3450">
        <v>798</v>
      </c>
      <c r="F3450">
        <v>1</v>
      </c>
      <c r="G3450">
        <v>177583.717224177</v>
      </c>
      <c r="H3450">
        <v>2</v>
      </c>
      <c r="I3450">
        <v>59</v>
      </c>
      <c r="K3450" t="s">
        <v>2386</v>
      </c>
      <c r="L3450">
        <v>20</v>
      </c>
      <c r="M3450" t="s">
        <v>4294</v>
      </c>
      <c r="N3450" t="s">
        <v>2388</v>
      </c>
      <c r="O3450">
        <v>1</v>
      </c>
    </row>
    <row r="3451" spans="2:15" x14ac:dyDescent="0.3">
      <c r="B3451">
        <v>3511</v>
      </c>
      <c r="D3451">
        <v>798</v>
      </c>
      <c r="E3451">
        <v>1768</v>
      </c>
      <c r="F3451">
        <v>1</v>
      </c>
      <c r="G3451">
        <v>177583.717224177</v>
      </c>
      <c r="H3451">
        <v>2</v>
      </c>
      <c r="I3451">
        <v>59</v>
      </c>
      <c r="K3451" t="s">
        <v>2386</v>
      </c>
      <c r="L3451">
        <v>20</v>
      </c>
      <c r="M3451" t="s">
        <v>4295</v>
      </c>
      <c r="N3451" t="s">
        <v>2388</v>
      </c>
      <c r="O3451">
        <v>1</v>
      </c>
    </row>
    <row r="3452" spans="2:15" x14ac:dyDescent="0.3">
      <c r="B3452">
        <v>3512</v>
      </c>
      <c r="D3452">
        <v>1769</v>
      </c>
      <c r="E3452">
        <v>798</v>
      </c>
      <c r="F3452">
        <v>1</v>
      </c>
      <c r="G3452">
        <v>177590.10802365601</v>
      </c>
      <c r="H3452">
        <v>2</v>
      </c>
      <c r="I3452">
        <v>59</v>
      </c>
      <c r="K3452" t="s">
        <v>2386</v>
      </c>
      <c r="L3452">
        <v>20</v>
      </c>
      <c r="M3452" t="s">
        <v>4296</v>
      </c>
      <c r="N3452" t="s">
        <v>2388</v>
      </c>
      <c r="O3452">
        <v>1</v>
      </c>
    </row>
    <row r="3453" spans="2:15" x14ac:dyDescent="0.3">
      <c r="B3453">
        <v>3513</v>
      </c>
      <c r="D3453">
        <v>798</v>
      </c>
      <c r="E3453">
        <v>1769</v>
      </c>
      <c r="F3453">
        <v>1</v>
      </c>
      <c r="G3453">
        <v>177590.10802365601</v>
      </c>
      <c r="H3453">
        <v>2</v>
      </c>
      <c r="I3453">
        <v>59</v>
      </c>
      <c r="K3453" t="s">
        <v>2386</v>
      </c>
      <c r="L3453">
        <v>20</v>
      </c>
      <c r="M3453" t="s">
        <v>4297</v>
      </c>
      <c r="N3453" t="s">
        <v>2388</v>
      </c>
      <c r="O3453">
        <v>1</v>
      </c>
    </row>
    <row r="3454" spans="2:15" x14ac:dyDescent="0.3">
      <c r="B3454">
        <v>3514</v>
      </c>
      <c r="D3454">
        <v>1770</v>
      </c>
      <c r="E3454">
        <v>798</v>
      </c>
      <c r="F3454">
        <v>1</v>
      </c>
      <c r="G3454">
        <v>179286.25125126899</v>
      </c>
      <c r="H3454">
        <v>2</v>
      </c>
      <c r="I3454">
        <v>59</v>
      </c>
      <c r="K3454" t="s">
        <v>2386</v>
      </c>
      <c r="L3454">
        <v>20</v>
      </c>
      <c r="M3454" t="s">
        <v>4298</v>
      </c>
      <c r="N3454" t="s">
        <v>2388</v>
      </c>
      <c r="O3454">
        <v>1</v>
      </c>
    </row>
    <row r="3455" spans="2:15" x14ac:dyDescent="0.3">
      <c r="B3455">
        <v>3515</v>
      </c>
      <c r="D3455">
        <v>798</v>
      </c>
      <c r="E3455">
        <v>1770</v>
      </c>
      <c r="F3455">
        <v>1</v>
      </c>
      <c r="G3455">
        <v>179286.25125126899</v>
      </c>
      <c r="H3455">
        <v>2</v>
      </c>
      <c r="I3455">
        <v>59</v>
      </c>
      <c r="K3455" t="s">
        <v>2386</v>
      </c>
      <c r="L3455">
        <v>20</v>
      </c>
      <c r="M3455" t="s">
        <v>4299</v>
      </c>
      <c r="N3455" t="s">
        <v>2388</v>
      </c>
      <c r="O3455">
        <v>1</v>
      </c>
    </row>
    <row r="3456" spans="2:15" x14ac:dyDescent="0.3">
      <c r="B3456">
        <v>3516</v>
      </c>
      <c r="D3456">
        <v>1771</v>
      </c>
      <c r="E3456">
        <v>798</v>
      </c>
      <c r="F3456">
        <v>1</v>
      </c>
      <c r="G3456">
        <v>179310.73328634101</v>
      </c>
      <c r="H3456">
        <v>2</v>
      </c>
      <c r="I3456">
        <v>59</v>
      </c>
      <c r="K3456" t="s">
        <v>2386</v>
      </c>
      <c r="L3456">
        <v>20</v>
      </c>
      <c r="M3456" t="s">
        <v>4300</v>
      </c>
      <c r="N3456" t="s">
        <v>2388</v>
      </c>
      <c r="O3456">
        <v>1</v>
      </c>
    </row>
    <row r="3457" spans="2:15" x14ac:dyDescent="0.3">
      <c r="B3457">
        <v>3517</v>
      </c>
      <c r="D3457">
        <v>798</v>
      </c>
      <c r="E3457">
        <v>1771</v>
      </c>
      <c r="F3457">
        <v>1</v>
      </c>
      <c r="G3457">
        <v>179310.73328634101</v>
      </c>
      <c r="H3457">
        <v>2</v>
      </c>
      <c r="I3457">
        <v>59</v>
      </c>
      <c r="K3457" t="s">
        <v>2386</v>
      </c>
      <c r="L3457">
        <v>20</v>
      </c>
      <c r="M3457" t="s">
        <v>4301</v>
      </c>
      <c r="N3457" t="s">
        <v>2388</v>
      </c>
      <c r="O3457">
        <v>1</v>
      </c>
    </row>
    <row r="3458" spans="2:15" x14ac:dyDescent="0.3">
      <c r="B3458">
        <v>3518</v>
      </c>
      <c r="D3458">
        <v>1772</v>
      </c>
      <c r="E3458">
        <v>803</v>
      </c>
      <c r="F3458">
        <v>1</v>
      </c>
      <c r="G3458">
        <v>14417.5050532449</v>
      </c>
      <c r="H3458">
        <v>2</v>
      </c>
      <c r="I3458">
        <v>59</v>
      </c>
      <c r="K3458" t="s">
        <v>2386</v>
      </c>
      <c r="L3458">
        <v>20</v>
      </c>
      <c r="M3458" t="s">
        <v>4302</v>
      </c>
      <c r="N3458" t="s">
        <v>2388</v>
      </c>
      <c r="O3458">
        <v>1</v>
      </c>
    </row>
    <row r="3459" spans="2:15" x14ac:dyDescent="0.3">
      <c r="B3459">
        <v>3519</v>
      </c>
      <c r="D3459">
        <v>803</v>
      </c>
      <c r="E3459">
        <v>1772</v>
      </c>
      <c r="F3459">
        <v>1</v>
      </c>
      <c r="G3459">
        <v>14417.5050532449</v>
      </c>
      <c r="H3459">
        <v>2</v>
      </c>
      <c r="I3459">
        <v>59</v>
      </c>
      <c r="K3459" t="s">
        <v>2386</v>
      </c>
      <c r="L3459">
        <v>20</v>
      </c>
      <c r="M3459" t="s">
        <v>4303</v>
      </c>
      <c r="N3459" t="s">
        <v>2388</v>
      </c>
      <c r="O3459">
        <v>1</v>
      </c>
    </row>
    <row r="3460" spans="2:15" x14ac:dyDescent="0.3">
      <c r="B3460">
        <v>3520</v>
      </c>
      <c r="D3460">
        <v>1773</v>
      </c>
      <c r="E3460">
        <v>803</v>
      </c>
      <c r="F3460">
        <v>1</v>
      </c>
      <c r="G3460">
        <v>14417.049629562</v>
      </c>
      <c r="H3460">
        <v>2</v>
      </c>
      <c r="I3460">
        <v>59</v>
      </c>
      <c r="K3460" t="s">
        <v>2386</v>
      </c>
      <c r="L3460">
        <v>20</v>
      </c>
      <c r="M3460" t="s">
        <v>4304</v>
      </c>
      <c r="N3460" t="s">
        <v>2388</v>
      </c>
      <c r="O3460">
        <v>1</v>
      </c>
    </row>
    <row r="3461" spans="2:15" x14ac:dyDescent="0.3">
      <c r="B3461">
        <v>3521</v>
      </c>
      <c r="D3461">
        <v>803</v>
      </c>
      <c r="E3461">
        <v>1773</v>
      </c>
      <c r="F3461">
        <v>1</v>
      </c>
      <c r="G3461">
        <v>14417.049629562</v>
      </c>
      <c r="H3461">
        <v>2</v>
      </c>
      <c r="I3461">
        <v>59</v>
      </c>
      <c r="K3461" t="s">
        <v>2386</v>
      </c>
      <c r="L3461">
        <v>20</v>
      </c>
      <c r="M3461" t="s">
        <v>4305</v>
      </c>
      <c r="N3461" t="s">
        <v>2388</v>
      </c>
      <c r="O3461">
        <v>1</v>
      </c>
    </row>
    <row r="3462" spans="2:15" x14ac:dyDescent="0.3">
      <c r="B3462">
        <v>3522</v>
      </c>
      <c r="D3462">
        <v>1774</v>
      </c>
      <c r="E3462">
        <v>798</v>
      </c>
      <c r="F3462">
        <v>1</v>
      </c>
      <c r="G3462">
        <v>162439.03704477299</v>
      </c>
      <c r="H3462">
        <v>2</v>
      </c>
      <c r="I3462">
        <v>59</v>
      </c>
      <c r="K3462" t="s">
        <v>2386</v>
      </c>
      <c r="L3462">
        <v>20</v>
      </c>
      <c r="M3462" t="s">
        <v>4306</v>
      </c>
      <c r="N3462" t="s">
        <v>2388</v>
      </c>
      <c r="O3462">
        <v>1</v>
      </c>
    </row>
    <row r="3463" spans="2:15" x14ac:dyDescent="0.3">
      <c r="B3463">
        <v>3523</v>
      </c>
      <c r="D3463">
        <v>798</v>
      </c>
      <c r="E3463">
        <v>1774</v>
      </c>
      <c r="F3463">
        <v>1</v>
      </c>
      <c r="G3463">
        <v>162439.03704477299</v>
      </c>
      <c r="H3463">
        <v>2</v>
      </c>
      <c r="I3463">
        <v>59</v>
      </c>
      <c r="K3463" t="s">
        <v>2386</v>
      </c>
      <c r="L3463">
        <v>20</v>
      </c>
      <c r="M3463" t="s">
        <v>4307</v>
      </c>
      <c r="N3463" t="s">
        <v>2388</v>
      </c>
      <c r="O3463">
        <v>1</v>
      </c>
    </row>
    <row r="3464" spans="2:15" x14ac:dyDescent="0.3">
      <c r="B3464">
        <v>3524</v>
      </c>
      <c r="D3464">
        <v>1775</v>
      </c>
      <c r="E3464">
        <v>798</v>
      </c>
      <c r="F3464">
        <v>1</v>
      </c>
      <c r="G3464">
        <v>162425.043589054</v>
      </c>
      <c r="H3464">
        <v>2</v>
      </c>
      <c r="I3464">
        <v>59</v>
      </c>
      <c r="K3464" t="s">
        <v>2386</v>
      </c>
      <c r="L3464">
        <v>20</v>
      </c>
      <c r="M3464" t="s">
        <v>4308</v>
      </c>
      <c r="N3464" t="s">
        <v>2388</v>
      </c>
      <c r="O3464">
        <v>1</v>
      </c>
    </row>
    <row r="3465" spans="2:15" x14ac:dyDescent="0.3">
      <c r="B3465">
        <v>3525</v>
      </c>
      <c r="D3465">
        <v>798</v>
      </c>
      <c r="E3465">
        <v>1775</v>
      </c>
      <c r="F3465">
        <v>1</v>
      </c>
      <c r="G3465">
        <v>162425.043589054</v>
      </c>
      <c r="H3465">
        <v>2</v>
      </c>
      <c r="I3465">
        <v>59</v>
      </c>
      <c r="K3465" t="s">
        <v>2386</v>
      </c>
      <c r="L3465">
        <v>20</v>
      </c>
      <c r="M3465" t="s">
        <v>4309</v>
      </c>
      <c r="N3465" t="s">
        <v>2388</v>
      </c>
      <c r="O3465">
        <v>1</v>
      </c>
    </row>
    <row r="3466" spans="2:15" x14ac:dyDescent="0.3">
      <c r="B3466">
        <v>3526</v>
      </c>
      <c r="D3466">
        <v>1776</v>
      </c>
      <c r="E3466">
        <v>798</v>
      </c>
      <c r="F3466">
        <v>1</v>
      </c>
      <c r="G3466">
        <v>162356.87968134001</v>
      </c>
      <c r="H3466">
        <v>2</v>
      </c>
      <c r="I3466">
        <v>59</v>
      </c>
      <c r="K3466" t="s">
        <v>2386</v>
      </c>
      <c r="L3466">
        <v>20</v>
      </c>
      <c r="M3466" t="s">
        <v>4310</v>
      </c>
      <c r="N3466" t="s">
        <v>2388</v>
      </c>
      <c r="O3466">
        <v>1</v>
      </c>
    </row>
    <row r="3467" spans="2:15" x14ac:dyDescent="0.3">
      <c r="B3467">
        <v>3527</v>
      </c>
      <c r="D3467">
        <v>798</v>
      </c>
      <c r="E3467">
        <v>1776</v>
      </c>
      <c r="F3467">
        <v>1</v>
      </c>
      <c r="G3467">
        <v>162356.87968134001</v>
      </c>
      <c r="H3467">
        <v>2</v>
      </c>
      <c r="I3467">
        <v>59</v>
      </c>
      <c r="K3467" t="s">
        <v>2386</v>
      </c>
      <c r="L3467">
        <v>20</v>
      </c>
      <c r="M3467" t="s">
        <v>4311</v>
      </c>
      <c r="N3467" t="s">
        <v>2388</v>
      </c>
      <c r="O3467">
        <v>1</v>
      </c>
    </row>
    <row r="3468" spans="2:15" x14ac:dyDescent="0.3">
      <c r="B3468">
        <v>3528</v>
      </c>
      <c r="D3468">
        <v>1777</v>
      </c>
      <c r="E3468">
        <v>798</v>
      </c>
      <c r="F3468">
        <v>1</v>
      </c>
      <c r="G3468">
        <v>162497.11096941101</v>
      </c>
      <c r="H3468">
        <v>2</v>
      </c>
      <c r="I3468">
        <v>59</v>
      </c>
      <c r="K3468" t="s">
        <v>2386</v>
      </c>
      <c r="L3468">
        <v>20</v>
      </c>
      <c r="M3468" t="s">
        <v>4312</v>
      </c>
      <c r="N3468" t="s">
        <v>2388</v>
      </c>
      <c r="O3468">
        <v>1</v>
      </c>
    </row>
    <row r="3469" spans="2:15" x14ac:dyDescent="0.3">
      <c r="B3469">
        <v>3529</v>
      </c>
      <c r="D3469">
        <v>798</v>
      </c>
      <c r="E3469">
        <v>1777</v>
      </c>
      <c r="F3469">
        <v>1</v>
      </c>
      <c r="G3469">
        <v>162497.11096941101</v>
      </c>
      <c r="H3469">
        <v>2</v>
      </c>
      <c r="I3469">
        <v>59</v>
      </c>
      <c r="K3469" t="s">
        <v>2386</v>
      </c>
      <c r="L3469">
        <v>20</v>
      </c>
      <c r="M3469" t="s">
        <v>4313</v>
      </c>
      <c r="N3469" t="s">
        <v>2388</v>
      </c>
      <c r="O3469">
        <v>1</v>
      </c>
    </row>
    <row r="3470" spans="2:15" x14ac:dyDescent="0.3">
      <c r="B3470">
        <v>3530</v>
      </c>
      <c r="D3470">
        <v>1778</v>
      </c>
      <c r="E3470">
        <v>798</v>
      </c>
      <c r="F3470">
        <v>1</v>
      </c>
      <c r="G3470">
        <v>162381.997461566</v>
      </c>
      <c r="H3470">
        <v>2</v>
      </c>
      <c r="I3470">
        <v>59</v>
      </c>
      <c r="K3470" t="s">
        <v>2386</v>
      </c>
      <c r="L3470">
        <v>20</v>
      </c>
      <c r="M3470" t="s">
        <v>4314</v>
      </c>
      <c r="N3470" t="s">
        <v>2388</v>
      </c>
      <c r="O3470">
        <v>1</v>
      </c>
    </row>
    <row r="3471" spans="2:15" x14ac:dyDescent="0.3">
      <c r="B3471">
        <v>3531</v>
      </c>
      <c r="D3471">
        <v>798</v>
      </c>
      <c r="E3471">
        <v>1778</v>
      </c>
      <c r="F3471">
        <v>1</v>
      </c>
      <c r="G3471">
        <v>162381.997461566</v>
      </c>
      <c r="H3471">
        <v>2</v>
      </c>
      <c r="I3471">
        <v>59</v>
      </c>
      <c r="K3471" t="s">
        <v>2386</v>
      </c>
      <c r="L3471">
        <v>20</v>
      </c>
      <c r="M3471" t="s">
        <v>4315</v>
      </c>
      <c r="N3471" t="s">
        <v>2388</v>
      </c>
      <c r="O3471">
        <v>1</v>
      </c>
    </row>
    <row r="3472" spans="2:15" x14ac:dyDescent="0.3">
      <c r="B3472">
        <v>3532</v>
      </c>
      <c r="D3472">
        <v>1779</v>
      </c>
      <c r="E3472">
        <v>798</v>
      </c>
      <c r="F3472">
        <v>1</v>
      </c>
      <c r="G3472">
        <v>162673.79159706499</v>
      </c>
      <c r="H3472">
        <v>2</v>
      </c>
      <c r="I3472">
        <v>59</v>
      </c>
      <c r="K3472" t="s">
        <v>2386</v>
      </c>
      <c r="L3472">
        <v>20</v>
      </c>
      <c r="M3472" t="s">
        <v>4316</v>
      </c>
      <c r="N3472" t="s">
        <v>2388</v>
      </c>
      <c r="O3472">
        <v>1</v>
      </c>
    </row>
    <row r="3473" spans="2:15" x14ac:dyDescent="0.3">
      <c r="B3473">
        <v>3533</v>
      </c>
      <c r="D3473">
        <v>798</v>
      </c>
      <c r="E3473">
        <v>1779</v>
      </c>
      <c r="F3473">
        <v>1</v>
      </c>
      <c r="G3473">
        <v>162673.79159706499</v>
      </c>
      <c r="H3473">
        <v>2</v>
      </c>
      <c r="I3473">
        <v>59</v>
      </c>
      <c r="K3473" t="s">
        <v>2386</v>
      </c>
      <c r="L3473">
        <v>20</v>
      </c>
      <c r="M3473" t="s">
        <v>4317</v>
      </c>
      <c r="N3473" t="s">
        <v>2388</v>
      </c>
      <c r="O3473">
        <v>1</v>
      </c>
    </row>
    <row r="3474" spans="2:15" x14ac:dyDescent="0.3">
      <c r="B3474">
        <v>3534</v>
      </c>
      <c r="D3474">
        <v>1780</v>
      </c>
      <c r="E3474">
        <v>798</v>
      </c>
      <c r="F3474">
        <v>1</v>
      </c>
      <c r="G3474">
        <v>162714.185790299</v>
      </c>
      <c r="H3474">
        <v>2</v>
      </c>
      <c r="I3474">
        <v>59</v>
      </c>
      <c r="K3474" t="s">
        <v>2386</v>
      </c>
      <c r="L3474">
        <v>20</v>
      </c>
      <c r="M3474" t="s">
        <v>4318</v>
      </c>
      <c r="N3474" t="s">
        <v>2388</v>
      </c>
      <c r="O3474">
        <v>1</v>
      </c>
    </row>
    <row r="3475" spans="2:15" x14ac:dyDescent="0.3">
      <c r="B3475">
        <v>3535</v>
      </c>
      <c r="D3475">
        <v>798</v>
      </c>
      <c r="E3475">
        <v>1780</v>
      </c>
      <c r="F3475">
        <v>1</v>
      </c>
      <c r="G3475">
        <v>162714.185790299</v>
      </c>
      <c r="H3475">
        <v>2</v>
      </c>
      <c r="I3475">
        <v>59</v>
      </c>
      <c r="K3475" t="s">
        <v>2386</v>
      </c>
      <c r="L3475">
        <v>20</v>
      </c>
      <c r="M3475" t="s">
        <v>4319</v>
      </c>
      <c r="N3475" t="s">
        <v>2388</v>
      </c>
      <c r="O3475">
        <v>1</v>
      </c>
    </row>
    <row r="3476" spans="2:15" x14ac:dyDescent="0.3">
      <c r="B3476">
        <v>3536</v>
      </c>
      <c r="D3476">
        <v>1781</v>
      </c>
      <c r="E3476">
        <v>798</v>
      </c>
      <c r="F3476">
        <v>1</v>
      </c>
      <c r="G3476">
        <v>162302.84994758901</v>
      </c>
      <c r="H3476">
        <v>2</v>
      </c>
      <c r="I3476">
        <v>59</v>
      </c>
      <c r="K3476" t="s">
        <v>2386</v>
      </c>
      <c r="L3476">
        <v>20</v>
      </c>
      <c r="M3476" t="s">
        <v>4320</v>
      </c>
      <c r="N3476" t="s">
        <v>2388</v>
      </c>
      <c r="O3476">
        <v>1</v>
      </c>
    </row>
    <row r="3477" spans="2:15" x14ac:dyDescent="0.3">
      <c r="B3477">
        <v>3537</v>
      </c>
      <c r="D3477">
        <v>798</v>
      </c>
      <c r="E3477">
        <v>1781</v>
      </c>
      <c r="F3477">
        <v>1</v>
      </c>
      <c r="G3477">
        <v>162302.84994758901</v>
      </c>
      <c r="H3477">
        <v>2</v>
      </c>
      <c r="I3477">
        <v>59</v>
      </c>
      <c r="K3477" t="s">
        <v>2386</v>
      </c>
      <c r="L3477">
        <v>20</v>
      </c>
      <c r="M3477" t="s">
        <v>4321</v>
      </c>
      <c r="N3477" t="s">
        <v>2388</v>
      </c>
      <c r="O3477">
        <v>1</v>
      </c>
    </row>
    <row r="3478" spans="2:15" x14ac:dyDescent="0.3">
      <c r="B3478">
        <v>3538</v>
      </c>
      <c r="D3478">
        <v>1782</v>
      </c>
      <c r="E3478">
        <v>798</v>
      </c>
      <c r="F3478">
        <v>1</v>
      </c>
      <c r="G3478">
        <v>162298.91315723001</v>
      </c>
      <c r="H3478">
        <v>2</v>
      </c>
      <c r="I3478">
        <v>59</v>
      </c>
      <c r="K3478" t="s">
        <v>2386</v>
      </c>
      <c r="L3478">
        <v>20</v>
      </c>
      <c r="M3478" t="s">
        <v>4322</v>
      </c>
      <c r="N3478" t="s">
        <v>2388</v>
      </c>
      <c r="O3478">
        <v>1</v>
      </c>
    </row>
    <row r="3479" spans="2:15" x14ac:dyDescent="0.3">
      <c r="B3479">
        <v>3539</v>
      </c>
      <c r="D3479">
        <v>798</v>
      </c>
      <c r="E3479">
        <v>1782</v>
      </c>
      <c r="F3479">
        <v>1</v>
      </c>
      <c r="G3479">
        <v>162298.91315723001</v>
      </c>
      <c r="H3479">
        <v>2</v>
      </c>
      <c r="I3479">
        <v>59</v>
      </c>
      <c r="K3479" t="s">
        <v>2386</v>
      </c>
      <c r="L3479">
        <v>20</v>
      </c>
      <c r="M3479" t="s">
        <v>4323</v>
      </c>
      <c r="N3479" t="s">
        <v>2388</v>
      </c>
      <c r="O3479">
        <v>1</v>
      </c>
    </row>
    <row r="3480" spans="2:15" x14ac:dyDescent="0.3">
      <c r="B3480">
        <v>3540</v>
      </c>
      <c r="D3480">
        <v>1783</v>
      </c>
      <c r="E3480">
        <v>798</v>
      </c>
      <c r="F3480">
        <v>1</v>
      </c>
      <c r="G3480">
        <v>162326.78881542399</v>
      </c>
      <c r="H3480">
        <v>2</v>
      </c>
      <c r="I3480">
        <v>59</v>
      </c>
      <c r="K3480" t="s">
        <v>2386</v>
      </c>
      <c r="L3480">
        <v>20</v>
      </c>
      <c r="M3480" t="s">
        <v>4324</v>
      </c>
      <c r="N3480" t="s">
        <v>2388</v>
      </c>
      <c r="O3480">
        <v>1</v>
      </c>
    </row>
    <row r="3481" spans="2:15" x14ac:dyDescent="0.3">
      <c r="B3481">
        <v>3541</v>
      </c>
      <c r="D3481">
        <v>798</v>
      </c>
      <c r="E3481">
        <v>1783</v>
      </c>
      <c r="F3481">
        <v>1</v>
      </c>
      <c r="G3481">
        <v>162326.78881542399</v>
      </c>
      <c r="H3481">
        <v>2</v>
      </c>
      <c r="I3481">
        <v>59</v>
      </c>
      <c r="K3481" t="s">
        <v>2386</v>
      </c>
      <c r="L3481">
        <v>20</v>
      </c>
      <c r="M3481" t="s">
        <v>4325</v>
      </c>
      <c r="N3481" t="s">
        <v>2388</v>
      </c>
      <c r="O3481">
        <v>1</v>
      </c>
    </row>
    <row r="3482" spans="2:15" x14ac:dyDescent="0.3">
      <c r="B3482">
        <v>3542</v>
      </c>
      <c r="D3482">
        <v>1784</v>
      </c>
      <c r="E3482">
        <v>798</v>
      </c>
      <c r="F3482">
        <v>1</v>
      </c>
      <c r="G3482">
        <v>162330.62973444199</v>
      </c>
      <c r="H3482">
        <v>2</v>
      </c>
      <c r="I3482">
        <v>59</v>
      </c>
      <c r="K3482" t="s">
        <v>2386</v>
      </c>
      <c r="L3482">
        <v>20</v>
      </c>
      <c r="M3482" t="s">
        <v>4326</v>
      </c>
      <c r="N3482" t="s">
        <v>2388</v>
      </c>
      <c r="O3482">
        <v>1</v>
      </c>
    </row>
    <row r="3483" spans="2:15" x14ac:dyDescent="0.3">
      <c r="B3483">
        <v>3543</v>
      </c>
      <c r="D3483">
        <v>798</v>
      </c>
      <c r="E3483">
        <v>1784</v>
      </c>
      <c r="F3483">
        <v>1</v>
      </c>
      <c r="G3483">
        <v>162330.62973444199</v>
      </c>
      <c r="H3483">
        <v>2</v>
      </c>
      <c r="I3483">
        <v>59</v>
      </c>
      <c r="K3483" t="s">
        <v>2386</v>
      </c>
      <c r="L3483">
        <v>20</v>
      </c>
      <c r="M3483" t="s">
        <v>4327</v>
      </c>
      <c r="N3483" t="s">
        <v>2388</v>
      </c>
      <c r="O3483">
        <v>1</v>
      </c>
    </row>
    <row r="3484" spans="2:15" x14ac:dyDescent="0.3">
      <c r="B3484">
        <v>3544</v>
      </c>
      <c r="D3484">
        <v>1785</v>
      </c>
      <c r="E3484">
        <v>798</v>
      </c>
      <c r="F3484">
        <v>1</v>
      </c>
      <c r="G3484">
        <v>162525.54713405899</v>
      </c>
      <c r="H3484">
        <v>2</v>
      </c>
      <c r="I3484">
        <v>59</v>
      </c>
      <c r="K3484" t="s">
        <v>2386</v>
      </c>
      <c r="L3484">
        <v>20</v>
      </c>
      <c r="M3484" t="s">
        <v>4328</v>
      </c>
      <c r="N3484" t="s">
        <v>2388</v>
      </c>
      <c r="O3484">
        <v>1</v>
      </c>
    </row>
    <row r="3485" spans="2:15" x14ac:dyDescent="0.3">
      <c r="B3485">
        <v>3545</v>
      </c>
      <c r="D3485">
        <v>798</v>
      </c>
      <c r="E3485">
        <v>1785</v>
      </c>
      <c r="F3485">
        <v>1</v>
      </c>
      <c r="G3485">
        <v>162525.54713405899</v>
      </c>
      <c r="H3485">
        <v>2</v>
      </c>
      <c r="I3485">
        <v>59</v>
      </c>
      <c r="K3485" t="s">
        <v>2386</v>
      </c>
      <c r="L3485">
        <v>20</v>
      </c>
      <c r="M3485" t="s">
        <v>4329</v>
      </c>
      <c r="N3485" t="s">
        <v>2388</v>
      </c>
      <c r="O3485">
        <v>1</v>
      </c>
    </row>
    <row r="3486" spans="2:15" x14ac:dyDescent="0.3">
      <c r="B3486">
        <v>3546</v>
      </c>
      <c r="D3486">
        <v>1786</v>
      </c>
      <c r="E3486">
        <v>798</v>
      </c>
      <c r="F3486">
        <v>1</v>
      </c>
      <c r="G3486">
        <v>162663.19891318699</v>
      </c>
      <c r="H3486">
        <v>2</v>
      </c>
      <c r="I3486">
        <v>59</v>
      </c>
      <c r="K3486" t="s">
        <v>2386</v>
      </c>
      <c r="L3486">
        <v>20</v>
      </c>
      <c r="M3486" t="s">
        <v>4330</v>
      </c>
      <c r="N3486" t="s">
        <v>2388</v>
      </c>
      <c r="O3486">
        <v>1</v>
      </c>
    </row>
    <row r="3487" spans="2:15" x14ac:dyDescent="0.3">
      <c r="B3487">
        <v>3547</v>
      </c>
      <c r="D3487">
        <v>798</v>
      </c>
      <c r="E3487">
        <v>1786</v>
      </c>
      <c r="F3487">
        <v>1</v>
      </c>
      <c r="G3487">
        <v>162663.19891318699</v>
      </c>
      <c r="H3487">
        <v>2</v>
      </c>
      <c r="I3487">
        <v>59</v>
      </c>
      <c r="K3487" t="s">
        <v>2386</v>
      </c>
      <c r="L3487">
        <v>20</v>
      </c>
      <c r="M3487" t="s">
        <v>4331</v>
      </c>
      <c r="N3487" t="s">
        <v>2388</v>
      </c>
      <c r="O3487">
        <v>1</v>
      </c>
    </row>
    <row r="3488" spans="2:15" x14ac:dyDescent="0.3">
      <c r="B3488">
        <v>3548</v>
      </c>
      <c r="D3488">
        <v>1787</v>
      </c>
      <c r="E3488">
        <v>385</v>
      </c>
      <c r="F3488">
        <v>1</v>
      </c>
      <c r="G3488">
        <v>56.681242723578897</v>
      </c>
      <c r="H3488">
        <v>2</v>
      </c>
      <c r="I3488">
        <v>59</v>
      </c>
      <c r="K3488" t="s">
        <v>2386</v>
      </c>
      <c r="L3488">
        <v>20</v>
      </c>
      <c r="M3488" t="s">
        <v>4332</v>
      </c>
      <c r="N3488" t="s">
        <v>2388</v>
      </c>
      <c r="O3488">
        <v>1</v>
      </c>
    </row>
    <row r="3489" spans="2:15" x14ac:dyDescent="0.3">
      <c r="B3489">
        <v>3549</v>
      </c>
      <c r="D3489">
        <v>385</v>
      </c>
      <c r="E3489">
        <v>1787</v>
      </c>
      <c r="F3489">
        <v>1</v>
      </c>
      <c r="G3489">
        <v>56.681242723578897</v>
      </c>
      <c r="H3489">
        <v>2</v>
      </c>
      <c r="I3489">
        <v>59</v>
      </c>
      <c r="K3489" t="s">
        <v>2386</v>
      </c>
      <c r="L3489">
        <v>20</v>
      </c>
      <c r="M3489" t="s">
        <v>4333</v>
      </c>
      <c r="N3489" t="s">
        <v>2388</v>
      </c>
      <c r="O3489">
        <v>1</v>
      </c>
    </row>
    <row r="3490" spans="2:15" x14ac:dyDescent="0.3">
      <c r="B3490">
        <v>3550</v>
      </c>
      <c r="D3490">
        <v>1788</v>
      </c>
      <c r="E3490">
        <v>385</v>
      </c>
      <c r="F3490">
        <v>1</v>
      </c>
      <c r="G3490">
        <v>43.289670374543498</v>
      </c>
      <c r="H3490">
        <v>2</v>
      </c>
      <c r="I3490">
        <v>59</v>
      </c>
      <c r="K3490" t="s">
        <v>2386</v>
      </c>
      <c r="L3490">
        <v>20</v>
      </c>
      <c r="M3490" t="s">
        <v>4334</v>
      </c>
      <c r="N3490" t="s">
        <v>2388</v>
      </c>
      <c r="O3490">
        <v>1</v>
      </c>
    </row>
    <row r="3491" spans="2:15" x14ac:dyDescent="0.3">
      <c r="B3491">
        <v>3551</v>
      </c>
      <c r="D3491">
        <v>385</v>
      </c>
      <c r="E3491">
        <v>1788</v>
      </c>
      <c r="F3491">
        <v>1</v>
      </c>
      <c r="G3491">
        <v>43.289670374543498</v>
      </c>
      <c r="H3491">
        <v>2</v>
      </c>
      <c r="I3491">
        <v>59</v>
      </c>
      <c r="K3491" t="s">
        <v>2386</v>
      </c>
      <c r="L3491">
        <v>20</v>
      </c>
      <c r="M3491" t="s">
        <v>4335</v>
      </c>
      <c r="N3491" t="s">
        <v>2388</v>
      </c>
      <c r="O3491">
        <v>1</v>
      </c>
    </row>
    <row r="3492" spans="2:15" x14ac:dyDescent="0.3">
      <c r="B3492">
        <v>3552</v>
      </c>
      <c r="D3492">
        <v>1789</v>
      </c>
      <c r="E3492">
        <v>582</v>
      </c>
      <c r="F3492">
        <v>1</v>
      </c>
      <c r="G3492">
        <v>67.256177742543997</v>
      </c>
      <c r="H3492">
        <v>2</v>
      </c>
      <c r="I3492">
        <v>59</v>
      </c>
      <c r="K3492" t="s">
        <v>2386</v>
      </c>
      <c r="L3492">
        <v>20</v>
      </c>
      <c r="M3492" t="s">
        <v>4336</v>
      </c>
      <c r="N3492" t="s">
        <v>2388</v>
      </c>
      <c r="O3492">
        <v>1</v>
      </c>
    </row>
    <row r="3493" spans="2:15" x14ac:dyDescent="0.3">
      <c r="B3493">
        <v>3553</v>
      </c>
      <c r="D3493">
        <v>582</v>
      </c>
      <c r="E3493">
        <v>1789</v>
      </c>
      <c r="F3493">
        <v>1</v>
      </c>
      <c r="G3493">
        <v>67.256177742543997</v>
      </c>
      <c r="H3493">
        <v>2</v>
      </c>
      <c r="I3493">
        <v>59</v>
      </c>
      <c r="K3493" t="s">
        <v>2386</v>
      </c>
      <c r="L3493">
        <v>20</v>
      </c>
      <c r="M3493" t="s">
        <v>4337</v>
      </c>
      <c r="N3493" t="s">
        <v>2388</v>
      </c>
      <c r="O3493">
        <v>1</v>
      </c>
    </row>
    <row r="3494" spans="2:15" x14ac:dyDescent="0.3">
      <c r="B3494">
        <v>3554</v>
      </c>
      <c r="D3494">
        <v>1790</v>
      </c>
      <c r="E3494">
        <v>571</v>
      </c>
      <c r="F3494">
        <v>1</v>
      </c>
      <c r="G3494">
        <v>46.082505308439103</v>
      </c>
      <c r="H3494">
        <v>2</v>
      </c>
      <c r="I3494">
        <v>59</v>
      </c>
      <c r="K3494" t="s">
        <v>2386</v>
      </c>
      <c r="L3494">
        <v>20</v>
      </c>
      <c r="M3494" t="s">
        <v>4338</v>
      </c>
      <c r="N3494" t="s">
        <v>2388</v>
      </c>
      <c r="O3494">
        <v>1</v>
      </c>
    </row>
    <row r="3495" spans="2:15" x14ac:dyDescent="0.3">
      <c r="B3495">
        <v>3555</v>
      </c>
      <c r="D3495">
        <v>571</v>
      </c>
      <c r="E3495">
        <v>1790</v>
      </c>
      <c r="F3495">
        <v>1</v>
      </c>
      <c r="G3495">
        <v>46.082505308439103</v>
      </c>
      <c r="H3495">
        <v>2</v>
      </c>
      <c r="I3495">
        <v>59</v>
      </c>
      <c r="K3495" t="s">
        <v>2386</v>
      </c>
      <c r="L3495">
        <v>20</v>
      </c>
      <c r="M3495" t="s">
        <v>4339</v>
      </c>
      <c r="N3495" t="s">
        <v>2388</v>
      </c>
      <c r="O3495">
        <v>1</v>
      </c>
    </row>
    <row r="3496" spans="2:15" x14ac:dyDescent="0.3">
      <c r="B3496">
        <v>3556</v>
      </c>
      <c r="D3496">
        <v>1791</v>
      </c>
      <c r="E3496">
        <v>798</v>
      </c>
      <c r="F3496">
        <v>1</v>
      </c>
      <c r="G3496">
        <v>52.978548007068603</v>
      </c>
      <c r="H3496">
        <v>2</v>
      </c>
      <c r="I3496">
        <v>59</v>
      </c>
      <c r="K3496" t="s">
        <v>2386</v>
      </c>
      <c r="L3496">
        <v>20</v>
      </c>
      <c r="M3496" t="s">
        <v>4340</v>
      </c>
      <c r="N3496" t="s">
        <v>2388</v>
      </c>
      <c r="O3496">
        <v>1</v>
      </c>
    </row>
    <row r="3497" spans="2:15" x14ac:dyDescent="0.3">
      <c r="B3497">
        <v>3557</v>
      </c>
      <c r="D3497">
        <v>798</v>
      </c>
      <c r="E3497">
        <v>1791</v>
      </c>
      <c r="F3497">
        <v>1</v>
      </c>
      <c r="G3497">
        <v>52.978548007068603</v>
      </c>
      <c r="H3497">
        <v>2</v>
      </c>
      <c r="I3497">
        <v>59</v>
      </c>
      <c r="K3497" t="s">
        <v>2386</v>
      </c>
      <c r="L3497">
        <v>20</v>
      </c>
      <c r="M3497" t="s">
        <v>4341</v>
      </c>
      <c r="N3497" t="s">
        <v>2388</v>
      </c>
      <c r="O3497">
        <v>1</v>
      </c>
    </row>
    <row r="3498" spans="2:15" x14ac:dyDescent="0.3">
      <c r="B3498">
        <v>3558</v>
      </c>
      <c r="D3498">
        <v>1792</v>
      </c>
      <c r="E3498">
        <v>798</v>
      </c>
      <c r="F3498">
        <v>1</v>
      </c>
      <c r="G3498">
        <v>84.078225043540101</v>
      </c>
      <c r="H3498">
        <v>2</v>
      </c>
      <c r="I3498">
        <v>59</v>
      </c>
      <c r="K3498" t="s">
        <v>2386</v>
      </c>
      <c r="L3498">
        <v>20</v>
      </c>
      <c r="M3498" t="s">
        <v>4342</v>
      </c>
      <c r="N3498" t="s">
        <v>2388</v>
      </c>
      <c r="O3498">
        <v>1</v>
      </c>
    </row>
    <row r="3499" spans="2:15" x14ac:dyDescent="0.3">
      <c r="B3499">
        <v>3559</v>
      </c>
      <c r="D3499">
        <v>798</v>
      </c>
      <c r="E3499">
        <v>1792</v>
      </c>
      <c r="F3499">
        <v>1</v>
      </c>
      <c r="G3499">
        <v>84.078225043540101</v>
      </c>
      <c r="H3499">
        <v>2</v>
      </c>
      <c r="I3499">
        <v>59</v>
      </c>
      <c r="K3499" t="s">
        <v>2386</v>
      </c>
      <c r="L3499">
        <v>20</v>
      </c>
      <c r="M3499" t="s">
        <v>4343</v>
      </c>
      <c r="N3499" t="s">
        <v>2388</v>
      </c>
      <c r="O3499">
        <v>1</v>
      </c>
    </row>
    <row r="3500" spans="2:15" x14ac:dyDescent="0.3">
      <c r="B3500">
        <v>3560</v>
      </c>
      <c r="D3500">
        <v>1793</v>
      </c>
      <c r="E3500">
        <v>555</v>
      </c>
      <c r="F3500">
        <v>1</v>
      </c>
      <c r="G3500">
        <v>122.541648782089</v>
      </c>
      <c r="H3500">
        <v>2</v>
      </c>
      <c r="I3500">
        <v>59</v>
      </c>
      <c r="K3500" t="s">
        <v>2386</v>
      </c>
      <c r="L3500">
        <v>20</v>
      </c>
      <c r="M3500" t="s">
        <v>4344</v>
      </c>
      <c r="N3500" t="s">
        <v>2388</v>
      </c>
      <c r="O3500">
        <v>1</v>
      </c>
    </row>
    <row r="3501" spans="2:15" x14ac:dyDescent="0.3">
      <c r="B3501">
        <v>3561</v>
      </c>
      <c r="D3501">
        <v>555</v>
      </c>
      <c r="E3501">
        <v>1793</v>
      </c>
      <c r="F3501">
        <v>1</v>
      </c>
      <c r="G3501">
        <v>122.541648782089</v>
      </c>
      <c r="H3501">
        <v>2</v>
      </c>
      <c r="I3501">
        <v>59</v>
      </c>
      <c r="K3501" t="s">
        <v>2386</v>
      </c>
      <c r="L3501">
        <v>20</v>
      </c>
      <c r="M3501" t="s">
        <v>4345</v>
      </c>
      <c r="N3501" t="s">
        <v>2388</v>
      </c>
      <c r="O3501">
        <v>1</v>
      </c>
    </row>
    <row r="3502" spans="2:15" x14ac:dyDescent="0.3">
      <c r="B3502">
        <v>3562</v>
      </c>
      <c r="D3502">
        <v>1794</v>
      </c>
      <c r="E3502">
        <v>435</v>
      </c>
      <c r="F3502">
        <v>1</v>
      </c>
      <c r="G3502">
        <v>101.35173874497499</v>
      </c>
      <c r="H3502">
        <v>2</v>
      </c>
      <c r="I3502">
        <v>59</v>
      </c>
      <c r="K3502" t="s">
        <v>2386</v>
      </c>
      <c r="L3502">
        <v>20</v>
      </c>
      <c r="M3502" t="s">
        <v>4346</v>
      </c>
      <c r="N3502" t="s">
        <v>2388</v>
      </c>
      <c r="O3502">
        <v>1</v>
      </c>
    </row>
    <row r="3503" spans="2:15" x14ac:dyDescent="0.3">
      <c r="B3503">
        <v>3563</v>
      </c>
      <c r="D3503">
        <v>435</v>
      </c>
      <c r="E3503">
        <v>1794</v>
      </c>
      <c r="F3503">
        <v>1</v>
      </c>
      <c r="G3503">
        <v>101.35173874497499</v>
      </c>
      <c r="H3503">
        <v>2</v>
      </c>
      <c r="I3503">
        <v>59</v>
      </c>
      <c r="K3503" t="s">
        <v>2386</v>
      </c>
      <c r="L3503">
        <v>20</v>
      </c>
      <c r="M3503" t="s">
        <v>4347</v>
      </c>
      <c r="N3503" t="s">
        <v>2388</v>
      </c>
      <c r="O3503">
        <v>1</v>
      </c>
    </row>
    <row r="3504" spans="2:15" x14ac:dyDescent="0.3">
      <c r="B3504">
        <v>3564</v>
      </c>
      <c r="D3504">
        <v>1795</v>
      </c>
      <c r="E3504">
        <v>435</v>
      </c>
      <c r="F3504">
        <v>1</v>
      </c>
      <c r="G3504">
        <v>85.394946322305699</v>
      </c>
      <c r="H3504">
        <v>2</v>
      </c>
      <c r="I3504">
        <v>59</v>
      </c>
      <c r="K3504" t="s">
        <v>2386</v>
      </c>
      <c r="L3504">
        <v>20</v>
      </c>
      <c r="M3504" t="s">
        <v>4348</v>
      </c>
      <c r="N3504" t="s">
        <v>2388</v>
      </c>
      <c r="O3504">
        <v>1</v>
      </c>
    </row>
    <row r="3505" spans="2:15" x14ac:dyDescent="0.3">
      <c r="B3505">
        <v>3565</v>
      </c>
      <c r="D3505">
        <v>435</v>
      </c>
      <c r="E3505">
        <v>1795</v>
      </c>
      <c r="F3505">
        <v>1</v>
      </c>
      <c r="G3505">
        <v>85.394946322305699</v>
      </c>
      <c r="H3505">
        <v>2</v>
      </c>
      <c r="I3505">
        <v>59</v>
      </c>
      <c r="K3505" t="s">
        <v>2386</v>
      </c>
      <c r="L3505">
        <v>20</v>
      </c>
      <c r="M3505" t="s">
        <v>4349</v>
      </c>
      <c r="N3505" t="s">
        <v>2388</v>
      </c>
      <c r="O3505">
        <v>1</v>
      </c>
    </row>
    <row r="3506" spans="2:15" x14ac:dyDescent="0.3">
      <c r="B3506">
        <v>3566</v>
      </c>
      <c r="D3506">
        <v>1796</v>
      </c>
      <c r="E3506">
        <v>435</v>
      </c>
      <c r="F3506">
        <v>1</v>
      </c>
      <c r="G3506">
        <v>43.897678424975602</v>
      </c>
      <c r="H3506">
        <v>2</v>
      </c>
      <c r="I3506">
        <v>59</v>
      </c>
      <c r="K3506" t="s">
        <v>2386</v>
      </c>
      <c r="L3506">
        <v>20</v>
      </c>
      <c r="M3506" t="s">
        <v>4350</v>
      </c>
      <c r="N3506" t="s">
        <v>2388</v>
      </c>
      <c r="O3506">
        <v>1</v>
      </c>
    </row>
    <row r="3507" spans="2:15" x14ac:dyDescent="0.3">
      <c r="B3507">
        <v>3567</v>
      </c>
      <c r="D3507">
        <v>435</v>
      </c>
      <c r="E3507">
        <v>1796</v>
      </c>
      <c r="F3507">
        <v>1</v>
      </c>
      <c r="G3507">
        <v>43.897678424975602</v>
      </c>
      <c r="H3507">
        <v>2</v>
      </c>
      <c r="I3507">
        <v>59</v>
      </c>
      <c r="K3507" t="s">
        <v>2386</v>
      </c>
      <c r="L3507">
        <v>20</v>
      </c>
      <c r="M3507" t="s">
        <v>4351</v>
      </c>
      <c r="N3507" t="s">
        <v>2388</v>
      </c>
      <c r="O3507">
        <v>1</v>
      </c>
    </row>
    <row r="3508" spans="2:15" x14ac:dyDescent="0.3">
      <c r="B3508">
        <v>3568</v>
      </c>
      <c r="D3508">
        <v>1797</v>
      </c>
      <c r="E3508">
        <v>803</v>
      </c>
      <c r="F3508">
        <v>1</v>
      </c>
      <c r="G3508">
        <v>81.401279781701703</v>
      </c>
      <c r="H3508">
        <v>2</v>
      </c>
      <c r="I3508">
        <v>59</v>
      </c>
      <c r="K3508" t="s">
        <v>2386</v>
      </c>
      <c r="L3508">
        <v>20</v>
      </c>
      <c r="M3508" t="s">
        <v>4352</v>
      </c>
      <c r="N3508" t="s">
        <v>2388</v>
      </c>
      <c r="O3508">
        <v>1</v>
      </c>
    </row>
    <row r="3509" spans="2:15" x14ac:dyDescent="0.3">
      <c r="B3509">
        <v>3569</v>
      </c>
      <c r="D3509">
        <v>803</v>
      </c>
      <c r="E3509">
        <v>1797</v>
      </c>
      <c r="F3509">
        <v>1</v>
      </c>
      <c r="G3509">
        <v>81.401279781701703</v>
      </c>
      <c r="H3509">
        <v>2</v>
      </c>
      <c r="I3509">
        <v>59</v>
      </c>
      <c r="K3509" t="s">
        <v>2386</v>
      </c>
      <c r="L3509">
        <v>20</v>
      </c>
      <c r="M3509" t="s">
        <v>4353</v>
      </c>
      <c r="N3509" t="s">
        <v>2388</v>
      </c>
      <c r="O3509">
        <v>1</v>
      </c>
    </row>
    <row r="3510" spans="2:15" x14ac:dyDescent="0.3">
      <c r="B3510">
        <v>3570</v>
      </c>
      <c r="D3510">
        <v>1798</v>
      </c>
      <c r="E3510">
        <v>554</v>
      </c>
      <c r="F3510">
        <v>1</v>
      </c>
      <c r="G3510">
        <v>47.579359069002003</v>
      </c>
      <c r="H3510">
        <v>2</v>
      </c>
      <c r="I3510">
        <v>59</v>
      </c>
      <c r="K3510" t="s">
        <v>2386</v>
      </c>
      <c r="L3510">
        <v>20</v>
      </c>
      <c r="M3510" t="s">
        <v>4354</v>
      </c>
      <c r="N3510" t="s">
        <v>2388</v>
      </c>
      <c r="O3510">
        <v>1</v>
      </c>
    </row>
    <row r="3511" spans="2:15" x14ac:dyDescent="0.3">
      <c r="B3511">
        <v>3571</v>
      </c>
      <c r="D3511">
        <v>554</v>
      </c>
      <c r="E3511">
        <v>1798</v>
      </c>
      <c r="F3511">
        <v>1</v>
      </c>
      <c r="G3511">
        <v>47.579359069002003</v>
      </c>
      <c r="H3511">
        <v>2</v>
      </c>
      <c r="I3511">
        <v>59</v>
      </c>
      <c r="K3511" t="s">
        <v>2386</v>
      </c>
      <c r="L3511">
        <v>20</v>
      </c>
      <c r="M3511" t="s">
        <v>4355</v>
      </c>
      <c r="N3511" t="s">
        <v>2388</v>
      </c>
      <c r="O3511">
        <v>1</v>
      </c>
    </row>
    <row r="3512" spans="2:15" x14ac:dyDescent="0.3">
      <c r="B3512">
        <v>3572</v>
      </c>
      <c r="D3512">
        <v>1799</v>
      </c>
      <c r="E3512">
        <v>681</v>
      </c>
      <c r="F3512">
        <v>1</v>
      </c>
      <c r="G3512">
        <v>49.365112769036202</v>
      </c>
      <c r="H3512">
        <v>2</v>
      </c>
      <c r="I3512">
        <v>59</v>
      </c>
      <c r="K3512" t="s">
        <v>2386</v>
      </c>
      <c r="L3512">
        <v>20</v>
      </c>
      <c r="M3512" t="s">
        <v>4356</v>
      </c>
      <c r="N3512" t="s">
        <v>2388</v>
      </c>
      <c r="O3512">
        <v>1</v>
      </c>
    </row>
    <row r="3513" spans="2:15" x14ac:dyDescent="0.3">
      <c r="B3513">
        <v>3573</v>
      </c>
      <c r="D3513">
        <v>681</v>
      </c>
      <c r="E3513">
        <v>1799</v>
      </c>
      <c r="F3513">
        <v>1</v>
      </c>
      <c r="G3513">
        <v>49.365112769036202</v>
      </c>
      <c r="H3513">
        <v>2</v>
      </c>
      <c r="I3513">
        <v>59</v>
      </c>
      <c r="K3513" t="s">
        <v>2386</v>
      </c>
      <c r="L3513">
        <v>20</v>
      </c>
      <c r="M3513" t="s">
        <v>4357</v>
      </c>
      <c r="N3513" t="s">
        <v>2388</v>
      </c>
      <c r="O3513">
        <v>1</v>
      </c>
    </row>
    <row r="3514" spans="2:15" x14ac:dyDescent="0.3">
      <c r="B3514">
        <v>3574</v>
      </c>
      <c r="D3514">
        <v>1800</v>
      </c>
      <c r="E3514">
        <v>329</v>
      </c>
      <c r="F3514">
        <v>1</v>
      </c>
      <c r="G3514">
        <v>89.694426484109599</v>
      </c>
      <c r="H3514">
        <v>2</v>
      </c>
      <c r="I3514">
        <v>59</v>
      </c>
      <c r="K3514" t="s">
        <v>2386</v>
      </c>
      <c r="L3514">
        <v>20</v>
      </c>
      <c r="M3514" t="s">
        <v>4358</v>
      </c>
      <c r="N3514" t="s">
        <v>2388</v>
      </c>
      <c r="O3514">
        <v>1</v>
      </c>
    </row>
    <row r="3515" spans="2:15" x14ac:dyDescent="0.3">
      <c r="B3515">
        <v>3575</v>
      </c>
      <c r="D3515">
        <v>329</v>
      </c>
      <c r="E3515">
        <v>1800</v>
      </c>
      <c r="F3515">
        <v>1</v>
      </c>
      <c r="G3515">
        <v>89.694426484109599</v>
      </c>
      <c r="H3515">
        <v>2</v>
      </c>
      <c r="I3515">
        <v>59</v>
      </c>
      <c r="K3515" t="s">
        <v>2386</v>
      </c>
      <c r="L3515">
        <v>20</v>
      </c>
      <c r="M3515" t="s">
        <v>4359</v>
      </c>
      <c r="N3515" t="s">
        <v>2388</v>
      </c>
      <c r="O3515">
        <v>1</v>
      </c>
    </row>
    <row r="3516" spans="2:15" x14ac:dyDescent="0.3">
      <c r="B3516">
        <v>3576</v>
      </c>
      <c r="D3516">
        <v>1801</v>
      </c>
      <c r="E3516">
        <v>552</v>
      </c>
      <c r="F3516">
        <v>1</v>
      </c>
      <c r="G3516">
        <v>88.167885553548004</v>
      </c>
      <c r="H3516">
        <v>2</v>
      </c>
      <c r="I3516">
        <v>59</v>
      </c>
      <c r="K3516" t="s">
        <v>2386</v>
      </c>
      <c r="L3516">
        <v>20</v>
      </c>
      <c r="M3516" t="s">
        <v>4360</v>
      </c>
      <c r="N3516" t="s">
        <v>2388</v>
      </c>
      <c r="O3516">
        <v>1</v>
      </c>
    </row>
    <row r="3517" spans="2:15" x14ac:dyDescent="0.3">
      <c r="B3517">
        <v>3577</v>
      </c>
      <c r="D3517">
        <v>552</v>
      </c>
      <c r="E3517">
        <v>1801</v>
      </c>
      <c r="F3517">
        <v>1</v>
      </c>
      <c r="G3517">
        <v>88.167885553548004</v>
      </c>
      <c r="H3517">
        <v>2</v>
      </c>
      <c r="I3517">
        <v>59</v>
      </c>
      <c r="K3517" t="s">
        <v>2386</v>
      </c>
      <c r="L3517">
        <v>20</v>
      </c>
      <c r="M3517" t="s">
        <v>4361</v>
      </c>
      <c r="N3517" t="s">
        <v>2388</v>
      </c>
      <c r="O3517">
        <v>1</v>
      </c>
    </row>
    <row r="3518" spans="2:15" x14ac:dyDescent="0.3">
      <c r="B3518">
        <v>3578</v>
      </c>
      <c r="D3518">
        <v>1802</v>
      </c>
      <c r="E3518">
        <v>588</v>
      </c>
      <c r="F3518">
        <v>1</v>
      </c>
      <c r="G3518">
        <v>153.053893944929</v>
      </c>
      <c r="H3518">
        <v>2</v>
      </c>
      <c r="I3518">
        <v>59</v>
      </c>
      <c r="K3518" t="s">
        <v>2386</v>
      </c>
      <c r="L3518">
        <v>20</v>
      </c>
      <c r="M3518" t="s">
        <v>4362</v>
      </c>
      <c r="N3518" t="s">
        <v>2388</v>
      </c>
      <c r="O3518">
        <v>1</v>
      </c>
    </row>
    <row r="3519" spans="2:15" x14ac:dyDescent="0.3">
      <c r="B3519">
        <v>3579</v>
      </c>
      <c r="D3519">
        <v>588</v>
      </c>
      <c r="E3519">
        <v>1802</v>
      </c>
      <c r="F3519">
        <v>1</v>
      </c>
      <c r="G3519">
        <v>153.053893944929</v>
      </c>
      <c r="H3519">
        <v>2</v>
      </c>
      <c r="I3519">
        <v>59</v>
      </c>
      <c r="K3519" t="s">
        <v>2386</v>
      </c>
      <c r="L3519">
        <v>20</v>
      </c>
      <c r="M3519" t="s">
        <v>4363</v>
      </c>
      <c r="N3519" t="s">
        <v>2388</v>
      </c>
      <c r="O3519">
        <v>1</v>
      </c>
    </row>
    <row r="3520" spans="2:15" x14ac:dyDescent="0.3">
      <c r="B3520">
        <v>3580</v>
      </c>
      <c r="D3520">
        <v>1803</v>
      </c>
      <c r="E3520">
        <v>588</v>
      </c>
      <c r="F3520">
        <v>1</v>
      </c>
      <c r="G3520">
        <v>111.74652414540201</v>
      </c>
      <c r="H3520">
        <v>2</v>
      </c>
      <c r="I3520">
        <v>59</v>
      </c>
      <c r="K3520" t="s">
        <v>2386</v>
      </c>
      <c r="L3520">
        <v>20</v>
      </c>
      <c r="M3520" t="s">
        <v>4364</v>
      </c>
      <c r="N3520" t="s">
        <v>2388</v>
      </c>
      <c r="O3520">
        <v>1</v>
      </c>
    </row>
    <row r="3521" spans="2:15" x14ac:dyDescent="0.3">
      <c r="B3521">
        <v>3581</v>
      </c>
      <c r="D3521">
        <v>588</v>
      </c>
      <c r="E3521">
        <v>1803</v>
      </c>
      <c r="F3521">
        <v>1</v>
      </c>
      <c r="G3521">
        <v>111.74652414540201</v>
      </c>
      <c r="H3521">
        <v>2</v>
      </c>
      <c r="I3521">
        <v>59</v>
      </c>
      <c r="K3521" t="s">
        <v>2386</v>
      </c>
      <c r="L3521">
        <v>20</v>
      </c>
      <c r="M3521" t="s">
        <v>4365</v>
      </c>
      <c r="N3521" t="s">
        <v>2388</v>
      </c>
      <c r="O3521">
        <v>1</v>
      </c>
    </row>
    <row r="3522" spans="2:15" x14ac:dyDescent="0.3">
      <c r="B3522">
        <v>3582</v>
      </c>
      <c r="D3522">
        <v>1804</v>
      </c>
      <c r="E3522">
        <v>588</v>
      </c>
      <c r="F3522">
        <v>1</v>
      </c>
      <c r="G3522">
        <v>68.578978846554605</v>
      </c>
      <c r="H3522">
        <v>2</v>
      </c>
      <c r="I3522">
        <v>59</v>
      </c>
      <c r="K3522" t="s">
        <v>2386</v>
      </c>
      <c r="L3522">
        <v>20</v>
      </c>
      <c r="M3522" t="s">
        <v>4366</v>
      </c>
      <c r="N3522" t="s">
        <v>2388</v>
      </c>
      <c r="O3522">
        <v>1</v>
      </c>
    </row>
    <row r="3523" spans="2:15" x14ac:dyDescent="0.3">
      <c r="B3523">
        <v>3583</v>
      </c>
      <c r="D3523">
        <v>588</v>
      </c>
      <c r="E3523">
        <v>1804</v>
      </c>
      <c r="F3523">
        <v>1</v>
      </c>
      <c r="G3523">
        <v>68.578978846554605</v>
      </c>
      <c r="H3523">
        <v>2</v>
      </c>
      <c r="I3523">
        <v>59</v>
      </c>
      <c r="K3523" t="s">
        <v>2386</v>
      </c>
      <c r="L3523">
        <v>20</v>
      </c>
      <c r="M3523" t="s">
        <v>4367</v>
      </c>
      <c r="N3523" t="s">
        <v>2388</v>
      </c>
      <c r="O3523">
        <v>1</v>
      </c>
    </row>
    <row r="3524" spans="2:15" x14ac:dyDescent="0.3">
      <c r="B3524">
        <v>3584</v>
      </c>
      <c r="D3524">
        <v>1805</v>
      </c>
      <c r="E3524">
        <v>25</v>
      </c>
      <c r="F3524">
        <v>1</v>
      </c>
      <c r="G3524">
        <v>66.500940111136003</v>
      </c>
      <c r="H3524">
        <v>2</v>
      </c>
      <c r="I3524">
        <v>59</v>
      </c>
      <c r="K3524" t="s">
        <v>2386</v>
      </c>
      <c r="L3524">
        <v>20</v>
      </c>
      <c r="M3524" t="s">
        <v>4368</v>
      </c>
      <c r="N3524" t="s">
        <v>2388</v>
      </c>
      <c r="O3524">
        <v>1</v>
      </c>
    </row>
    <row r="3525" spans="2:15" x14ac:dyDescent="0.3">
      <c r="B3525">
        <v>3585</v>
      </c>
      <c r="D3525">
        <v>25</v>
      </c>
      <c r="E3525">
        <v>1805</v>
      </c>
      <c r="F3525">
        <v>1</v>
      </c>
      <c r="G3525">
        <v>66.500940111136003</v>
      </c>
      <c r="H3525">
        <v>2</v>
      </c>
      <c r="I3525">
        <v>59</v>
      </c>
      <c r="K3525" t="s">
        <v>2386</v>
      </c>
      <c r="L3525">
        <v>20</v>
      </c>
      <c r="M3525" t="s">
        <v>4369</v>
      </c>
      <c r="N3525" t="s">
        <v>2388</v>
      </c>
      <c r="O3525">
        <v>1</v>
      </c>
    </row>
    <row r="3526" spans="2:15" x14ac:dyDescent="0.3">
      <c r="B3526">
        <v>3586</v>
      </c>
      <c r="D3526">
        <v>1806</v>
      </c>
      <c r="E3526">
        <v>433</v>
      </c>
      <c r="F3526">
        <v>1</v>
      </c>
      <c r="G3526">
        <v>164.400494735568</v>
      </c>
      <c r="H3526">
        <v>2</v>
      </c>
      <c r="I3526">
        <v>59</v>
      </c>
      <c r="K3526" t="s">
        <v>2386</v>
      </c>
      <c r="L3526">
        <v>20</v>
      </c>
      <c r="M3526" t="s">
        <v>4370</v>
      </c>
      <c r="N3526" t="s">
        <v>2388</v>
      </c>
      <c r="O3526">
        <v>1</v>
      </c>
    </row>
    <row r="3527" spans="2:15" x14ac:dyDescent="0.3">
      <c r="B3527">
        <v>3587</v>
      </c>
      <c r="D3527">
        <v>433</v>
      </c>
      <c r="E3527">
        <v>1806</v>
      </c>
      <c r="F3527">
        <v>1</v>
      </c>
      <c r="G3527">
        <v>164.400494735568</v>
      </c>
      <c r="H3527">
        <v>2</v>
      </c>
      <c r="I3527">
        <v>59</v>
      </c>
      <c r="K3527" t="s">
        <v>2386</v>
      </c>
      <c r="L3527">
        <v>20</v>
      </c>
      <c r="M3527" t="s">
        <v>4371</v>
      </c>
      <c r="N3527" t="s">
        <v>2388</v>
      </c>
      <c r="O3527">
        <v>1</v>
      </c>
    </row>
    <row r="3528" spans="2:15" x14ac:dyDescent="0.3">
      <c r="B3528">
        <v>3588</v>
      </c>
      <c r="D3528">
        <v>1807</v>
      </c>
      <c r="E3528">
        <v>569</v>
      </c>
      <c r="F3528">
        <v>1</v>
      </c>
      <c r="G3528">
        <v>45.421997857822802</v>
      </c>
      <c r="H3528">
        <v>2</v>
      </c>
      <c r="I3528">
        <v>59</v>
      </c>
      <c r="K3528" t="s">
        <v>2386</v>
      </c>
      <c r="L3528">
        <v>20</v>
      </c>
      <c r="M3528" t="s">
        <v>4372</v>
      </c>
      <c r="N3528" t="s">
        <v>2388</v>
      </c>
      <c r="O3528">
        <v>1</v>
      </c>
    </row>
    <row r="3529" spans="2:15" x14ac:dyDescent="0.3">
      <c r="B3529">
        <v>3589</v>
      </c>
      <c r="D3529">
        <v>569</v>
      </c>
      <c r="E3529">
        <v>1807</v>
      </c>
      <c r="F3529">
        <v>1</v>
      </c>
      <c r="G3529">
        <v>45.421997857822802</v>
      </c>
      <c r="H3529">
        <v>2</v>
      </c>
      <c r="I3529">
        <v>59</v>
      </c>
      <c r="K3529" t="s">
        <v>2386</v>
      </c>
      <c r="L3529">
        <v>20</v>
      </c>
      <c r="M3529" t="s">
        <v>4373</v>
      </c>
      <c r="N3529" t="s">
        <v>2388</v>
      </c>
      <c r="O3529">
        <v>1</v>
      </c>
    </row>
    <row r="3530" spans="2:15" x14ac:dyDescent="0.3">
      <c r="B3530">
        <v>3590</v>
      </c>
      <c r="D3530">
        <v>1808</v>
      </c>
      <c r="E3530">
        <v>757</v>
      </c>
      <c r="F3530">
        <v>1</v>
      </c>
      <c r="G3530">
        <v>161.87057490702099</v>
      </c>
      <c r="H3530">
        <v>2</v>
      </c>
      <c r="I3530">
        <v>59</v>
      </c>
      <c r="K3530" t="s">
        <v>2386</v>
      </c>
      <c r="L3530">
        <v>20</v>
      </c>
      <c r="M3530" t="s">
        <v>4374</v>
      </c>
      <c r="N3530" t="s">
        <v>2388</v>
      </c>
      <c r="O3530">
        <v>1</v>
      </c>
    </row>
    <row r="3531" spans="2:15" x14ac:dyDescent="0.3">
      <c r="B3531">
        <v>3591</v>
      </c>
      <c r="D3531">
        <v>757</v>
      </c>
      <c r="E3531">
        <v>1808</v>
      </c>
      <c r="F3531">
        <v>1</v>
      </c>
      <c r="G3531">
        <v>161.87057490702099</v>
      </c>
      <c r="H3531">
        <v>2</v>
      </c>
      <c r="I3531">
        <v>59</v>
      </c>
      <c r="K3531" t="s">
        <v>2386</v>
      </c>
      <c r="L3531">
        <v>20</v>
      </c>
      <c r="M3531" t="s">
        <v>4375</v>
      </c>
      <c r="N3531" t="s">
        <v>2388</v>
      </c>
      <c r="O3531">
        <v>1</v>
      </c>
    </row>
    <row r="3532" spans="2:15" x14ac:dyDescent="0.3">
      <c r="B3532">
        <v>3592</v>
      </c>
      <c r="D3532">
        <v>1809</v>
      </c>
      <c r="E3532">
        <v>805</v>
      </c>
      <c r="F3532">
        <v>1</v>
      </c>
      <c r="G3532">
        <v>109.42401736165201</v>
      </c>
      <c r="H3532">
        <v>2</v>
      </c>
      <c r="I3532">
        <v>59</v>
      </c>
      <c r="K3532" t="s">
        <v>2386</v>
      </c>
      <c r="L3532">
        <v>20</v>
      </c>
      <c r="M3532" t="s">
        <v>4376</v>
      </c>
      <c r="N3532" t="s">
        <v>2388</v>
      </c>
      <c r="O3532">
        <v>1</v>
      </c>
    </row>
    <row r="3533" spans="2:15" x14ac:dyDescent="0.3">
      <c r="B3533">
        <v>3593</v>
      </c>
      <c r="D3533">
        <v>805</v>
      </c>
      <c r="E3533">
        <v>1809</v>
      </c>
      <c r="F3533">
        <v>1</v>
      </c>
      <c r="G3533">
        <v>109.42401736165201</v>
      </c>
      <c r="H3533">
        <v>2</v>
      </c>
      <c r="I3533">
        <v>59</v>
      </c>
      <c r="K3533" t="s">
        <v>2386</v>
      </c>
      <c r="L3533">
        <v>20</v>
      </c>
      <c r="M3533" t="s">
        <v>4377</v>
      </c>
      <c r="N3533" t="s">
        <v>2388</v>
      </c>
      <c r="O3533">
        <v>1</v>
      </c>
    </row>
    <row r="3534" spans="2:15" x14ac:dyDescent="0.3">
      <c r="B3534">
        <v>3594</v>
      </c>
      <c r="D3534">
        <v>1810</v>
      </c>
      <c r="E3534">
        <v>569</v>
      </c>
      <c r="F3534">
        <v>1</v>
      </c>
      <c r="G3534">
        <v>97.484558608638807</v>
      </c>
      <c r="H3534">
        <v>2</v>
      </c>
      <c r="I3534">
        <v>59</v>
      </c>
      <c r="K3534" t="s">
        <v>2386</v>
      </c>
      <c r="L3534">
        <v>20</v>
      </c>
      <c r="M3534" t="s">
        <v>4378</v>
      </c>
      <c r="N3534" t="s">
        <v>2388</v>
      </c>
      <c r="O3534">
        <v>1</v>
      </c>
    </row>
    <row r="3535" spans="2:15" x14ac:dyDescent="0.3">
      <c r="B3535">
        <v>3595</v>
      </c>
      <c r="D3535">
        <v>569</v>
      </c>
      <c r="E3535">
        <v>1810</v>
      </c>
      <c r="F3535">
        <v>1</v>
      </c>
      <c r="G3535">
        <v>97.484558608638807</v>
      </c>
      <c r="H3535">
        <v>2</v>
      </c>
      <c r="I3535">
        <v>59</v>
      </c>
      <c r="K3535" t="s">
        <v>2386</v>
      </c>
      <c r="L3535">
        <v>20</v>
      </c>
      <c r="M3535" t="s">
        <v>4379</v>
      </c>
      <c r="N3535" t="s">
        <v>2388</v>
      </c>
      <c r="O3535">
        <v>1</v>
      </c>
    </row>
    <row r="3536" spans="2:15" x14ac:dyDescent="0.3">
      <c r="B3536">
        <v>3596</v>
      </c>
      <c r="D3536">
        <v>1811</v>
      </c>
      <c r="E3536">
        <v>805</v>
      </c>
      <c r="F3536">
        <v>1</v>
      </c>
      <c r="G3536">
        <v>81.321931505122507</v>
      </c>
      <c r="H3536">
        <v>2</v>
      </c>
      <c r="I3536">
        <v>59</v>
      </c>
      <c r="K3536" t="s">
        <v>2386</v>
      </c>
      <c r="L3536">
        <v>20</v>
      </c>
      <c r="M3536" t="s">
        <v>4380</v>
      </c>
      <c r="N3536" t="s">
        <v>2388</v>
      </c>
      <c r="O3536">
        <v>1</v>
      </c>
    </row>
    <row r="3537" spans="2:15" x14ac:dyDescent="0.3">
      <c r="B3537">
        <v>3597</v>
      </c>
      <c r="D3537">
        <v>805</v>
      </c>
      <c r="E3537">
        <v>1811</v>
      </c>
      <c r="F3537">
        <v>1</v>
      </c>
      <c r="G3537">
        <v>81.321931505122507</v>
      </c>
      <c r="H3537">
        <v>2</v>
      </c>
      <c r="I3537">
        <v>59</v>
      </c>
      <c r="K3537" t="s">
        <v>2386</v>
      </c>
      <c r="L3537">
        <v>20</v>
      </c>
      <c r="M3537" t="s">
        <v>4381</v>
      </c>
      <c r="N3537" t="s">
        <v>2388</v>
      </c>
      <c r="O3537">
        <v>1</v>
      </c>
    </row>
    <row r="3538" spans="2:15" x14ac:dyDescent="0.3">
      <c r="B3538">
        <v>3598</v>
      </c>
      <c r="D3538">
        <v>1812</v>
      </c>
      <c r="E3538">
        <v>805</v>
      </c>
      <c r="F3538">
        <v>1</v>
      </c>
      <c r="G3538">
        <v>86.609982145931298</v>
      </c>
      <c r="H3538">
        <v>2</v>
      </c>
      <c r="I3538">
        <v>59</v>
      </c>
      <c r="K3538" t="s">
        <v>2386</v>
      </c>
      <c r="L3538">
        <v>20</v>
      </c>
      <c r="M3538" t="s">
        <v>4382</v>
      </c>
      <c r="N3538" t="s">
        <v>2388</v>
      </c>
      <c r="O3538">
        <v>1</v>
      </c>
    </row>
    <row r="3539" spans="2:15" x14ac:dyDescent="0.3">
      <c r="B3539">
        <v>3599</v>
      </c>
      <c r="D3539">
        <v>805</v>
      </c>
      <c r="E3539">
        <v>1812</v>
      </c>
      <c r="F3539">
        <v>1</v>
      </c>
      <c r="G3539">
        <v>86.609982145931298</v>
      </c>
      <c r="H3539">
        <v>2</v>
      </c>
      <c r="I3539">
        <v>59</v>
      </c>
      <c r="K3539" t="s">
        <v>2386</v>
      </c>
      <c r="L3539">
        <v>20</v>
      </c>
      <c r="M3539" t="s">
        <v>4383</v>
      </c>
      <c r="N3539" t="s">
        <v>2388</v>
      </c>
      <c r="O3539">
        <v>1</v>
      </c>
    </row>
    <row r="3540" spans="2:15" x14ac:dyDescent="0.3">
      <c r="B3540">
        <v>3600</v>
      </c>
      <c r="D3540">
        <v>1813</v>
      </c>
      <c r="E3540">
        <v>584</v>
      </c>
      <c r="F3540">
        <v>1</v>
      </c>
      <c r="G3540">
        <v>116.902324101047</v>
      </c>
      <c r="H3540">
        <v>2</v>
      </c>
      <c r="I3540">
        <v>59</v>
      </c>
      <c r="K3540" t="s">
        <v>2386</v>
      </c>
      <c r="L3540">
        <v>20</v>
      </c>
      <c r="M3540" t="s">
        <v>4384</v>
      </c>
      <c r="N3540" t="s">
        <v>2388</v>
      </c>
      <c r="O3540">
        <v>1</v>
      </c>
    </row>
    <row r="3541" spans="2:15" x14ac:dyDescent="0.3">
      <c r="B3541">
        <v>3601</v>
      </c>
      <c r="D3541">
        <v>584</v>
      </c>
      <c r="E3541">
        <v>1813</v>
      </c>
      <c r="F3541">
        <v>1</v>
      </c>
      <c r="G3541">
        <v>116.902324101047</v>
      </c>
      <c r="H3541">
        <v>2</v>
      </c>
      <c r="I3541">
        <v>59</v>
      </c>
      <c r="K3541" t="s">
        <v>2386</v>
      </c>
      <c r="L3541">
        <v>20</v>
      </c>
      <c r="M3541" t="s">
        <v>4385</v>
      </c>
      <c r="N3541" t="s">
        <v>2388</v>
      </c>
      <c r="O3541">
        <v>1</v>
      </c>
    </row>
    <row r="3542" spans="2:15" x14ac:dyDescent="0.3">
      <c r="B3542">
        <v>3602</v>
      </c>
      <c r="D3542">
        <v>1814</v>
      </c>
      <c r="E3542">
        <v>760</v>
      </c>
      <c r="F3542">
        <v>1</v>
      </c>
      <c r="G3542">
        <v>107.740953817639</v>
      </c>
      <c r="H3542">
        <v>2</v>
      </c>
      <c r="I3542">
        <v>59</v>
      </c>
      <c r="K3542" t="s">
        <v>2386</v>
      </c>
      <c r="L3542">
        <v>20</v>
      </c>
      <c r="M3542" t="s">
        <v>4386</v>
      </c>
      <c r="N3542" t="s">
        <v>2388</v>
      </c>
      <c r="O3542">
        <v>1</v>
      </c>
    </row>
    <row r="3543" spans="2:15" x14ac:dyDescent="0.3">
      <c r="B3543">
        <v>3603</v>
      </c>
      <c r="D3543">
        <v>760</v>
      </c>
      <c r="E3543">
        <v>1814</v>
      </c>
      <c r="F3543">
        <v>1</v>
      </c>
      <c r="G3543">
        <v>107.740953817639</v>
      </c>
      <c r="H3543">
        <v>2</v>
      </c>
      <c r="I3543">
        <v>59</v>
      </c>
      <c r="K3543" t="s">
        <v>2386</v>
      </c>
      <c r="L3543">
        <v>20</v>
      </c>
      <c r="M3543" t="s">
        <v>4387</v>
      </c>
      <c r="N3543" t="s">
        <v>2388</v>
      </c>
      <c r="O3543">
        <v>1</v>
      </c>
    </row>
    <row r="3544" spans="2:15" x14ac:dyDescent="0.3">
      <c r="B3544">
        <v>3604</v>
      </c>
      <c r="D3544">
        <v>1815</v>
      </c>
      <c r="E3544">
        <v>760</v>
      </c>
      <c r="F3544">
        <v>1</v>
      </c>
      <c r="G3544">
        <v>63.575270852109803</v>
      </c>
      <c r="H3544">
        <v>2</v>
      </c>
      <c r="I3544">
        <v>59</v>
      </c>
      <c r="K3544" t="s">
        <v>2386</v>
      </c>
      <c r="L3544">
        <v>20</v>
      </c>
      <c r="M3544" t="s">
        <v>4388</v>
      </c>
      <c r="N3544" t="s">
        <v>2388</v>
      </c>
      <c r="O3544">
        <v>1</v>
      </c>
    </row>
    <row r="3545" spans="2:15" x14ac:dyDescent="0.3">
      <c r="B3545">
        <v>3605</v>
      </c>
      <c r="D3545">
        <v>760</v>
      </c>
      <c r="E3545">
        <v>1815</v>
      </c>
      <c r="F3545">
        <v>1</v>
      </c>
      <c r="G3545">
        <v>63.575270852109803</v>
      </c>
      <c r="H3545">
        <v>2</v>
      </c>
      <c r="I3545">
        <v>59</v>
      </c>
      <c r="K3545" t="s">
        <v>2386</v>
      </c>
      <c r="L3545">
        <v>20</v>
      </c>
      <c r="M3545" t="s">
        <v>4389</v>
      </c>
      <c r="N3545" t="s">
        <v>2388</v>
      </c>
      <c r="O3545">
        <v>1</v>
      </c>
    </row>
    <row r="3546" spans="2:15" x14ac:dyDescent="0.3">
      <c r="B3546">
        <v>3606</v>
      </c>
      <c r="D3546">
        <v>1816</v>
      </c>
      <c r="E3546">
        <v>756</v>
      </c>
      <c r="F3546">
        <v>1</v>
      </c>
      <c r="G3546">
        <v>60.041730483604397</v>
      </c>
      <c r="H3546">
        <v>2</v>
      </c>
      <c r="I3546">
        <v>59</v>
      </c>
      <c r="K3546" t="s">
        <v>2386</v>
      </c>
      <c r="L3546">
        <v>20</v>
      </c>
      <c r="M3546" t="s">
        <v>4390</v>
      </c>
      <c r="N3546" t="s">
        <v>2388</v>
      </c>
      <c r="O3546">
        <v>1</v>
      </c>
    </row>
    <row r="3547" spans="2:15" x14ac:dyDescent="0.3">
      <c r="B3547">
        <v>3607</v>
      </c>
      <c r="D3547">
        <v>756</v>
      </c>
      <c r="E3547">
        <v>1816</v>
      </c>
      <c r="F3547">
        <v>1</v>
      </c>
      <c r="G3547">
        <v>60.041730483604397</v>
      </c>
      <c r="H3547">
        <v>2</v>
      </c>
      <c r="I3547">
        <v>59</v>
      </c>
      <c r="K3547" t="s">
        <v>2386</v>
      </c>
      <c r="L3547">
        <v>20</v>
      </c>
      <c r="M3547" t="s">
        <v>4391</v>
      </c>
      <c r="N3547" t="s">
        <v>2388</v>
      </c>
      <c r="O3547">
        <v>1</v>
      </c>
    </row>
    <row r="3548" spans="2:15" x14ac:dyDescent="0.3">
      <c r="B3548">
        <v>3608</v>
      </c>
      <c r="D3548">
        <v>1817</v>
      </c>
      <c r="E3548">
        <v>760</v>
      </c>
      <c r="F3548">
        <v>1</v>
      </c>
      <c r="G3548">
        <v>108.64937947848099</v>
      </c>
      <c r="H3548">
        <v>2</v>
      </c>
      <c r="I3548">
        <v>59</v>
      </c>
      <c r="K3548" t="s">
        <v>2386</v>
      </c>
      <c r="L3548">
        <v>20</v>
      </c>
      <c r="M3548" t="s">
        <v>4392</v>
      </c>
      <c r="N3548" t="s">
        <v>2388</v>
      </c>
      <c r="O3548">
        <v>1</v>
      </c>
    </row>
    <row r="3549" spans="2:15" x14ac:dyDescent="0.3">
      <c r="B3549">
        <v>3609</v>
      </c>
      <c r="D3549">
        <v>760</v>
      </c>
      <c r="E3549">
        <v>1817</v>
      </c>
      <c r="F3549">
        <v>1</v>
      </c>
      <c r="G3549">
        <v>108.64937947848099</v>
      </c>
      <c r="H3549">
        <v>2</v>
      </c>
      <c r="I3549">
        <v>59</v>
      </c>
      <c r="K3549" t="s">
        <v>2386</v>
      </c>
      <c r="L3549">
        <v>20</v>
      </c>
      <c r="M3549" t="s">
        <v>4393</v>
      </c>
      <c r="N3549" t="s">
        <v>2388</v>
      </c>
      <c r="O3549">
        <v>1</v>
      </c>
    </row>
    <row r="3550" spans="2:15" x14ac:dyDescent="0.3">
      <c r="B3550">
        <v>3610</v>
      </c>
      <c r="D3550">
        <v>1818</v>
      </c>
      <c r="E3550">
        <v>733</v>
      </c>
      <c r="F3550">
        <v>1</v>
      </c>
      <c r="G3550">
        <v>98.412732865588495</v>
      </c>
      <c r="H3550">
        <v>2</v>
      </c>
      <c r="I3550">
        <v>59</v>
      </c>
      <c r="K3550" t="s">
        <v>2386</v>
      </c>
      <c r="L3550">
        <v>20</v>
      </c>
      <c r="M3550" t="s">
        <v>4394</v>
      </c>
      <c r="N3550" t="s">
        <v>2388</v>
      </c>
      <c r="O3550">
        <v>1</v>
      </c>
    </row>
    <row r="3551" spans="2:15" x14ac:dyDescent="0.3">
      <c r="B3551">
        <v>3611</v>
      </c>
      <c r="D3551">
        <v>733</v>
      </c>
      <c r="E3551">
        <v>1818</v>
      </c>
      <c r="F3551">
        <v>1</v>
      </c>
      <c r="G3551">
        <v>98.412732865588495</v>
      </c>
      <c r="H3551">
        <v>2</v>
      </c>
      <c r="I3551">
        <v>59</v>
      </c>
      <c r="K3551" t="s">
        <v>2386</v>
      </c>
      <c r="L3551">
        <v>20</v>
      </c>
      <c r="M3551" t="s">
        <v>4395</v>
      </c>
      <c r="N3551" t="s">
        <v>2388</v>
      </c>
      <c r="O3551">
        <v>1</v>
      </c>
    </row>
    <row r="3552" spans="2:15" x14ac:dyDescent="0.3">
      <c r="B3552">
        <v>3612</v>
      </c>
      <c r="D3552">
        <v>1819</v>
      </c>
      <c r="E3552">
        <v>686</v>
      </c>
      <c r="F3552">
        <v>1</v>
      </c>
      <c r="G3552">
        <v>72.459767700756998</v>
      </c>
      <c r="H3552">
        <v>2</v>
      </c>
      <c r="I3552">
        <v>59</v>
      </c>
      <c r="K3552" t="s">
        <v>2386</v>
      </c>
      <c r="L3552">
        <v>20</v>
      </c>
      <c r="M3552" t="s">
        <v>4396</v>
      </c>
      <c r="N3552" t="s">
        <v>2388</v>
      </c>
      <c r="O3552">
        <v>1</v>
      </c>
    </row>
    <row r="3553" spans="2:15" x14ac:dyDescent="0.3">
      <c r="B3553">
        <v>3613</v>
      </c>
      <c r="D3553">
        <v>686</v>
      </c>
      <c r="E3553">
        <v>1819</v>
      </c>
      <c r="F3553">
        <v>1</v>
      </c>
      <c r="G3553">
        <v>72.459767700756998</v>
      </c>
      <c r="H3553">
        <v>2</v>
      </c>
      <c r="I3553">
        <v>59</v>
      </c>
      <c r="K3553" t="s">
        <v>2386</v>
      </c>
      <c r="L3553">
        <v>20</v>
      </c>
      <c r="M3553" t="s">
        <v>4397</v>
      </c>
      <c r="N3553" t="s">
        <v>2388</v>
      </c>
      <c r="O3553">
        <v>1</v>
      </c>
    </row>
    <row r="3554" spans="2:15" x14ac:dyDescent="0.3">
      <c r="B3554">
        <v>3614</v>
      </c>
      <c r="D3554">
        <v>1820</v>
      </c>
      <c r="E3554">
        <v>686</v>
      </c>
      <c r="F3554">
        <v>1</v>
      </c>
      <c r="G3554">
        <v>58.516779334009499</v>
      </c>
      <c r="H3554">
        <v>2</v>
      </c>
      <c r="I3554">
        <v>59</v>
      </c>
      <c r="K3554" t="s">
        <v>2386</v>
      </c>
      <c r="L3554">
        <v>20</v>
      </c>
      <c r="M3554" t="s">
        <v>4398</v>
      </c>
      <c r="N3554" t="s">
        <v>2388</v>
      </c>
      <c r="O3554">
        <v>1</v>
      </c>
    </row>
    <row r="3555" spans="2:15" x14ac:dyDescent="0.3">
      <c r="B3555">
        <v>3615</v>
      </c>
      <c r="D3555">
        <v>686</v>
      </c>
      <c r="E3555">
        <v>1820</v>
      </c>
      <c r="F3555">
        <v>1</v>
      </c>
      <c r="G3555">
        <v>58.516779334009499</v>
      </c>
      <c r="H3555">
        <v>2</v>
      </c>
      <c r="I3555">
        <v>59</v>
      </c>
      <c r="K3555" t="s">
        <v>2386</v>
      </c>
      <c r="L3555">
        <v>20</v>
      </c>
      <c r="M3555" t="s">
        <v>4399</v>
      </c>
      <c r="N3555" t="s">
        <v>2388</v>
      </c>
      <c r="O3555">
        <v>1</v>
      </c>
    </row>
    <row r="3556" spans="2:15" x14ac:dyDescent="0.3">
      <c r="B3556">
        <v>3616</v>
      </c>
      <c r="D3556">
        <v>1821</v>
      </c>
      <c r="E3556">
        <v>686</v>
      </c>
      <c r="F3556">
        <v>1</v>
      </c>
      <c r="G3556">
        <v>95.197617436507002</v>
      </c>
      <c r="H3556">
        <v>2</v>
      </c>
      <c r="I3556">
        <v>59</v>
      </c>
      <c r="K3556" t="s">
        <v>2386</v>
      </c>
      <c r="L3556">
        <v>20</v>
      </c>
      <c r="M3556" t="s">
        <v>4400</v>
      </c>
      <c r="N3556" t="s">
        <v>2388</v>
      </c>
      <c r="O3556">
        <v>1</v>
      </c>
    </row>
    <row r="3557" spans="2:15" x14ac:dyDescent="0.3">
      <c r="B3557">
        <v>3617</v>
      </c>
      <c r="D3557">
        <v>686</v>
      </c>
      <c r="E3557">
        <v>1821</v>
      </c>
      <c r="F3557">
        <v>1</v>
      </c>
      <c r="G3557">
        <v>95.197617436507002</v>
      </c>
      <c r="H3557">
        <v>2</v>
      </c>
      <c r="I3557">
        <v>59</v>
      </c>
      <c r="K3557" t="s">
        <v>2386</v>
      </c>
      <c r="L3557">
        <v>20</v>
      </c>
      <c r="M3557" t="s">
        <v>4401</v>
      </c>
      <c r="N3557" t="s">
        <v>2388</v>
      </c>
      <c r="O3557">
        <v>1</v>
      </c>
    </row>
    <row r="3558" spans="2:15" x14ac:dyDescent="0.3">
      <c r="B3558">
        <v>3618</v>
      </c>
      <c r="D3558">
        <v>1822</v>
      </c>
      <c r="E3558">
        <v>686</v>
      </c>
      <c r="F3558">
        <v>1</v>
      </c>
      <c r="G3558">
        <v>110.95580749181801</v>
      </c>
      <c r="H3558">
        <v>2</v>
      </c>
      <c r="I3558">
        <v>59</v>
      </c>
      <c r="K3558" t="s">
        <v>2386</v>
      </c>
      <c r="L3558">
        <v>20</v>
      </c>
      <c r="M3558" t="s">
        <v>4402</v>
      </c>
      <c r="N3558" t="s">
        <v>2388</v>
      </c>
      <c r="O3558">
        <v>1</v>
      </c>
    </row>
    <row r="3559" spans="2:15" x14ac:dyDescent="0.3">
      <c r="B3559">
        <v>3619</v>
      </c>
      <c r="D3559">
        <v>686</v>
      </c>
      <c r="E3559">
        <v>1822</v>
      </c>
      <c r="F3559">
        <v>1</v>
      </c>
      <c r="G3559">
        <v>110.95580749181801</v>
      </c>
      <c r="H3559">
        <v>2</v>
      </c>
      <c r="I3559">
        <v>59</v>
      </c>
      <c r="K3559" t="s">
        <v>2386</v>
      </c>
      <c r="L3559">
        <v>20</v>
      </c>
      <c r="M3559" t="s">
        <v>4403</v>
      </c>
      <c r="N3559" t="s">
        <v>2388</v>
      </c>
      <c r="O3559">
        <v>1</v>
      </c>
    </row>
    <row r="3560" spans="2:15" x14ac:dyDescent="0.3">
      <c r="B3560">
        <v>3620</v>
      </c>
      <c r="D3560">
        <v>1823</v>
      </c>
      <c r="E3560">
        <v>153</v>
      </c>
      <c r="F3560">
        <v>1</v>
      </c>
      <c r="G3560">
        <v>121.46249302051601</v>
      </c>
      <c r="H3560">
        <v>2</v>
      </c>
      <c r="I3560">
        <v>59</v>
      </c>
      <c r="K3560" t="s">
        <v>2386</v>
      </c>
      <c r="L3560">
        <v>20</v>
      </c>
      <c r="M3560" t="s">
        <v>4404</v>
      </c>
      <c r="N3560" t="s">
        <v>2388</v>
      </c>
      <c r="O3560">
        <v>1</v>
      </c>
    </row>
    <row r="3561" spans="2:15" x14ac:dyDescent="0.3">
      <c r="B3561">
        <v>3621</v>
      </c>
      <c r="D3561">
        <v>153</v>
      </c>
      <c r="E3561">
        <v>1823</v>
      </c>
      <c r="F3561">
        <v>1</v>
      </c>
      <c r="G3561">
        <v>121.46249302051601</v>
      </c>
      <c r="H3561">
        <v>2</v>
      </c>
      <c r="I3561">
        <v>59</v>
      </c>
      <c r="K3561" t="s">
        <v>2386</v>
      </c>
      <c r="L3561">
        <v>20</v>
      </c>
      <c r="M3561" t="s">
        <v>4405</v>
      </c>
      <c r="N3561" t="s">
        <v>2388</v>
      </c>
      <c r="O3561">
        <v>1</v>
      </c>
    </row>
    <row r="3562" spans="2:15" x14ac:dyDescent="0.3">
      <c r="B3562">
        <v>3622</v>
      </c>
      <c r="D3562">
        <v>1824</v>
      </c>
      <c r="E3562">
        <v>153</v>
      </c>
      <c r="F3562">
        <v>1</v>
      </c>
      <c r="G3562">
        <v>103.66580893235199</v>
      </c>
      <c r="H3562">
        <v>2</v>
      </c>
      <c r="I3562">
        <v>59</v>
      </c>
      <c r="K3562" t="s">
        <v>2386</v>
      </c>
      <c r="L3562">
        <v>20</v>
      </c>
      <c r="M3562" t="s">
        <v>4406</v>
      </c>
      <c r="N3562" t="s">
        <v>2388</v>
      </c>
      <c r="O3562">
        <v>1</v>
      </c>
    </row>
    <row r="3563" spans="2:15" x14ac:dyDescent="0.3">
      <c r="B3563">
        <v>3623</v>
      </c>
      <c r="D3563">
        <v>153</v>
      </c>
      <c r="E3563">
        <v>1824</v>
      </c>
      <c r="F3563">
        <v>1</v>
      </c>
      <c r="G3563">
        <v>103.66580893235199</v>
      </c>
      <c r="H3563">
        <v>2</v>
      </c>
      <c r="I3563">
        <v>59</v>
      </c>
      <c r="K3563" t="s">
        <v>2386</v>
      </c>
      <c r="L3563">
        <v>20</v>
      </c>
      <c r="M3563" t="s">
        <v>4407</v>
      </c>
      <c r="N3563" t="s">
        <v>2388</v>
      </c>
      <c r="O3563">
        <v>1</v>
      </c>
    </row>
    <row r="3564" spans="2:15" x14ac:dyDescent="0.3">
      <c r="B3564">
        <v>3624</v>
      </c>
      <c r="D3564">
        <v>1825</v>
      </c>
      <c r="E3564">
        <v>770</v>
      </c>
      <c r="F3564">
        <v>1</v>
      </c>
      <c r="G3564">
        <v>209.18884358187901</v>
      </c>
      <c r="H3564">
        <v>2</v>
      </c>
      <c r="I3564">
        <v>59</v>
      </c>
      <c r="K3564" t="s">
        <v>2386</v>
      </c>
      <c r="L3564">
        <v>20</v>
      </c>
      <c r="M3564" t="s">
        <v>4408</v>
      </c>
      <c r="N3564" t="s">
        <v>2388</v>
      </c>
      <c r="O3564">
        <v>1</v>
      </c>
    </row>
    <row r="3565" spans="2:15" x14ac:dyDescent="0.3">
      <c r="B3565">
        <v>3625</v>
      </c>
      <c r="D3565">
        <v>770</v>
      </c>
      <c r="E3565">
        <v>1825</v>
      </c>
      <c r="F3565">
        <v>1</v>
      </c>
      <c r="G3565">
        <v>209.18884358187901</v>
      </c>
      <c r="H3565">
        <v>2</v>
      </c>
      <c r="I3565">
        <v>59</v>
      </c>
      <c r="K3565" t="s">
        <v>2386</v>
      </c>
      <c r="L3565">
        <v>20</v>
      </c>
      <c r="M3565" t="s">
        <v>4409</v>
      </c>
      <c r="N3565" t="s">
        <v>2388</v>
      </c>
      <c r="O3565">
        <v>1</v>
      </c>
    </row>
    <row r="3566" spans="2:15" x14ac:dyDescent="0.3">
      <c r="B3566">
        <v>3626</v>
      </c>
      <c r="D3566">
        <v>1826</v>
      </c>
      <c r="E3566">
        <v>770</v>
      </c>
      <c r="F3566">
        <v>1</v>
      </c>
      <c r="G3566">
        <v>263.94606808684802</v>
      </c>
      <c r="H3566">
        <v>2</v>
      </c>
      <c r="I3566">
        <v>59</v>
      </c>
      <c r="K3566" t="s">
        <v>2386</v>
      </c>
      <c r="L3566">
        <v>20</v>
      </c>
      <c r="M3566" t="s">
        <v>4410</v>
      </c>
      <c r="N3566" t="s">
        <v>2388</v>
      </c>
      <c r="O3566">
        <v>1</v>
      </c>
    </row>
    <row r="3567" spans="2:15" x14ac:dyDescent="0.3">
      <c r="B3567">
        <v>3627</v>
      </c>
      <c r="D3567">
        <v>770</v>
      </c>
      <c r="E3567">
        <v>1826</v>
      </c>
      <c r="F3567">
        <v>1</v>
      </c>
      <c r="G3567">
        <v>263.94606808684802</v>
      </c>
      <c r="H3567">
        <v>2</v>
      </c>
      <c r="I3567">
        <v>59</v>
      </c>
      <c r="K3567" t="s">
        <v>2386</v>
      </c>
      <c r="L3567">
        <v>20</v>
      </c>
      <c r="M3567" t="s">
        <v>4411</v>
      </c>
      <c r="N3567" t="s">
        <v>2388</v>
      </c>
      <c r="O3567">
        <v>1</v>
      </c>
    </row>
    <row r="3568" spans="2:15" x14ac:dyDescent="0.3">
      <c r="B3568">
        <v>3628</v>
      </c>
      <c r="D3568">
        <v>1827</v>
      </c>
      <c r="E3568">
        <v>770</v>
      </c>
      <c r="F3568">
        <v>1</v>
      </c>
      <c r="G3568">
        <v>34.678939623607</v>
      </c>
      <c r="H3568">
        <v>2</v>
      </c>
      <c r="I3568">
        <v>59</v>
      </c>
      <c r="K3568" t="s">
        <v>2386</v>
      </c>
      <c r="L3568">
        <v>20</v>
      </c>
      <c r="M3568" t="s">
        <v>4412</v>
      </c>
      <c r="N3568" t="s">
        <v>2388</v>
      </c>
      <c r="O3568">
        <v>1</v>
      </c>
    </row>
    <row r="3569" spans="2:15" x14ac:dyDescent="0.3">
      <c r="B3569">
        <v>3629</v>
      </c>
      <c r="D3569">
        <v>770</v>
      </c>
      <c r="E3569">
        <v>1827</v>
      </c>
      <c r="F3569">
        <v>1</v>
      </c>
      <c r="G3569">
        <v>34.678939623607</v>
      </c>
      <c r="H3569">
        <v>2</v>
      </c>
      <c r="I3569">
        <v>59</v>
      </c>
      <c r="K3569" t="s">
        <v>2386</v>
      </c>
      <c r="L3569">
        <v>20</v>
      </c>
      <c r="M3569" t="s">
        <v>4413</v>
      </c>
      <c r="N3569" t="s">
        <v>2388</v>
      </c>
      <c r="O3569">
        <v>1</v>
      </c>
    </row>
    <row r="3570" spans="2:15" x14ac:dyDescent="0.3">
      <c r="B3570">
        <v>3630</v>
      </c>
      <c r="D3570">
        <v>1828</v>
      </c>
      <c r="E3570">
        <v>795</v>
      </c>
      <c r="F3570">
        <v>1</v>
      </c>
      <c r="G3570">
        <v>62.7899563754818</v>
      </c>
      <c r="H3570">
        <v>2</v>
      </c>
      <c r="I3570">
        <v>59</v>
      </c>
      <c r="K3570" t="s">
        <v>2386</v>
      </c>
      <c r="L3570">
        <v>20</v>
      </c>
      <c r="M3570" t="s">
        <v>4414</v>
      </c>
      <c r="N3570" t="s">
        <v>2388</v>
      </c>
      <c r="O3570">
        <v>1</v>
      </c>
    </row>
    <row r="3571" spans="2:15" x14ac:dyDescent="0.3">
      <c r="B3571">
        <v>3631</v>
      </c>
      <c r="D3571">
        <v>795</v>
      </c>
      <c r="E3571">
        <v>1828</v>
      </c>
      <c r="F3571">
        <v>1</v>
      </c>
      <c r="G3571">
        <v>62.7899563754818</v>
      </c>
      <c r="H3571">
        <v>2</v>
      </c>
      <c r="I3571">
        <v>59</v>
      </c>
      <c r="K3571" t="s">
        <v>2386</v>
      </c>
      <c r="L3571">
        <v>20</v>
      </c>
      <c r="M3571" t="s">
        <v>4415</v>
      </c>
      <c r="N3571" t="s">
        <v>2388</v>
      </c>
      <c r="O3571">
        <v>1</v>
      </c>
    </row>
    <row r="3572" spans="2:15" x14ac:dyDescent="0.3">
      <c r="B3572">
        <v>3632</v>
      </c>
      <c r="D3572">
        <v>1829</v>
      </c>
      <c r="E3572">
        <v>796</v>
      </c>
      <c r="F3572">
        <v>1</v>
      </c>
      <c r="G3572">
        <v>131.300900371144</v>
      </c>
      <c r="H3572">
        <v>2</v>
      </c>
      <c r="I3572">
        <v>59</v>
      </c>
      <c r="K3572" t="s">
        <v>2386</v>
      </c>
      <c r="L3572">
        <v>20</v>
      </c>
      <c r="M3572" t="s">
        <v>4416</v>
      </c>
      <c r="N3572" t="s">
        <v>2388</v>
      </c>
      <c r="O3572">
        <v>1</v>
      </c>
    </row>
    <row r="3573" spans="2:15" x14ac:dyDescent="0.3">
      <c r="B3573">
        <v>3633</v>
      </c>
      <c r="D3573">
        <v>796</v>
      </c>
      <c r="E3573">
        <v>1829</v>
      </c>
      <c r="F3573">
        <v>1</v>
      </c>
      <c r="G3573">
        <v>131.300900371144</v>
      </c>
      <c r="H3573">
        <v>2</v>
      </c>
      <c r="I3573">
        <v>59</v>
      </c>
      <c r="K3573" t="s">
        <v>2386</v>
      </c>
      <c r="L3573">
        <v>20</v>
      </c>
      <c r="M3573" t="s">
        <v>4417</v>
      </c>
      <c r="N3573" t="s">
        <v>2388</v>
      </c>
      <c r="O3573">
        <v>1</v>
      </c>
    </row>
    <row r="3574" spans="2:15" x14ac:dyDescent="0.3">
      <c r="B3574">
        <v>3634</v>
      </c>
      <c r="D3574">
        <v>1830</v>
      </c>
      <c r="E3574">
        <v>796</v>
      </c>
      <c r="F3574">
        <v>1</v>
      </c>
      <c r="G3574">
        <v>51.320158512715103</v>
      </c>
      <c r="H3574">
        <v>2</v>
      </c>
      <c r="I3574">
        <v>59</v>
      </c>
      <c r="K3574" t="s">
        <v>2386</v>
      </c>
      <c r="L3574">
        <v>20</v>
      </c>
      <c r="M3574" t="s">
        <v>4418</v>
      </c>
      <c r="N3574" t="s">
        <v>2388</v>
      </c>
      <c r="O3574">
        <v>1</v>
      </c>
    </row>
    <row r="3575" spans="2:15" x14ac:dyDescent="0.3">
      <c r="B3575">
        <v>3635</v>
      </c>
      <c r="D3575">
        <v>796</v>
      </c>
      <c r="E3575">
        <v>1830</v>
      </c>
      <c r="F3575">
        <v>1</v>
      </c>
      <c r="G3575">
        <v>51.320158512715103</v>
      </c>
      <c r="H3575">
        <v>2</v>
      </c>
      <c r="I3575">
        <v>59</v>
      </c>
      <c r="K3575" t="s">
        <v>2386</v>
      </c>
      <c r="L3575">
        <v>20</v>
      </c>
      <c r="M3575" t="s">
        <v>4419</v>
      </c>
      <c r="N3575" t="s">
        <v>2388</v>
      </c>
      <c r="O3575">
        <v>1</v>
      </c>
    </row>
    <row r="3576" spans="2:15" x14ac:dyDescent="0.3">
      <c r="B3576">
        <v>3636</v>
      </c>
      <c r="D3576">
        <v>1831</v>
      </c>
      <c r="E3576">
        <v>571</v>
      </c>
      <c r="F3576">
        <v>1</v>
      </c>
      <c r="G3576">
        <v>100.98300944354899</v>
      </c>
      <c r="H3576">
        <v>2</v>
      </c>
      <c r="I3576">
        <v>59</v>
      </c>
      <c r="K3576" t="s">
        <v>2386</v>
      </c>
      <c r="L3576">
        <v>20</v>
      </c>
      <c r="M3576" t="s">
        <v>4420</v>
      </c>
      <c r="N3576" t="s">
        <v>2388</v>
      </c>
      <c r="O3576">
        <v>1</v>
      </c>
    </row>
    <row r="3577" spans="2:15" x14ac:dyDescent="0.3">
      <c r="B3577">
        <v>3637</v>
      </c>
      <c r="D3577">
        <v>571</v>
      </c>
      <c r="E3577">
        <v>1831</v>
      </c>
      <c r="F3577">
        <v>1</v>
      </c>
      <c r="G3577">
        <v>100.98300944354899</v>
      </c>
      <c r="H3577">
        <v>2</v>
      </c>
      <c r="I3577">
        <v>59</v>
      </c>
      <c r="K3577" t="s">
        <v>2386</v>
      </c>
      <c r="L3577">
        <v>20</v>
      </c>
      <c r="M3577" t="s">
        <v>4421</v>
      </c>
      <c r="N3577" t="s">
        <v>2388</v>
      </c>
      <c r="O3577">
        <v>1</v>
      </c>
    </row>
    <row r="3578" spans="2:15" x14ac:dyDescent="0.3">
      <c r="B3578">
        <v>3638</v>
      </c>
      <c r="D3578">
        <v>1832</v>
      </c>
      <c r="E3578">
        <v>571</v>
      </c>
      <c r="F3578">
        <v>1</v>
      </c>
      <c r="G3578">
        <v>100.406897732603</v>
      </c>
      <c r="H3578">
        <v>2</v>
      </c>
      <c r="I3578">
        <v>59</v>
      </c>
      <c r="K3578" t="s">
        <v>2386</v>
      </c>
      <c r="L3578">
        <v>20</v>
      </c>
      <c r="M3578" t="s">
        <v>4422</v>
      </c>
      <c r="N3578" t="s">
        <v>2388</v>
      </c>
      <c r="O3578">
        <v>1</v>
      </c>
    </row>
    <row r="3579" spans="2:15" x14ac:dyDescent="0.3">
      <c r="B3579">
        <v>3639</v>
      </c>
      <c r="D3579">
        <v>571</v>
      </c>
      <c r="E3579">
        <v>1832</v>
      </c>
      <c r="F3579">
        <v>1</v>
      </c>
      <c r="G3579">
        <v>100.406897732603</v>
      </c>
      <c r="H3579">
        <v>2</v>
      </c>
      <c r="I3579">
        <v>59</v>
      </c>
      <c r="K3579" t="s">
        <v>2386</v>
      </c>
      <c r="L3579">
        <v>20</v>
      </c>
      <c r="M3579" t="s">
        <v>4423</v>
      </c>
      <c r="N3579" t="s">
        <v>2388</v>
      </c>
      <c r="O3579">
        <v>1</v>
      </c>
    </row>
    <row r="3580" spans="2:15" x14ac:dyDescent="0.3">
      <c r="B3580">
        <v>3640</v>
      </c>
      <c r="D3580">
        <v>1833</v>
      </c>
      <c r="E3580">
        <v>421</v>
      </c>
      <c r="F3580">
        <v>1</v>
      </c>
      <c r="G3580">
        <v>91.624117261764397</v>
      </c>
      <c r="H3580">
        <v>2</v>
      </c>
      <c r="I3580">
        <v>59</v>
      </c>
      <c r="K3580" t="s">
        <v>2386</v>
      </c>
      <c r="L3580">
        <v>20</v>
      </c>
      <c r="M3580" t="s">
        <v>4424</v>
      </c>
      <c r="N3580" t="s">
        <v>2388</v>
      </c>
      <c r="O3580">
        <v>1</v>
      </c>
    </row>
    <row r="3581" spans="2:15" x14ac:dyDescent="0.3">
      <c r="B3581">
        <v>3641</v>
      </c>
      <c r="D3581">
        <v>421</v>
      </c>
      <c r="E3581">
        <v>1833</v>
      </c>
      <c r="F3581">
        <v>1</v>
      </c>
      <c r="G3581">
        <v>91.624117261764397</v>
      </c>
      <c r="H3581">
        <v>2</v>
      </c>
      <c r="I3581">
        <v>59</v>
      </c>
      <c r="K3581" t="s">
        <v>2386</v>
      </c>
      <c r="L3581">
        <v>20</v>
      </c>
      <c r="M3581" t="s">
        <v>4425</v>
      </c>
      <c r="N3581" t="s">
        <v>2388</v>
      </c>
      <c r="O3581">
        <v>1</v>
      </c>
    </row>
    <row r="3582" spans="2:15" x14ac:dyDescent="0.3">
      <c r="B3582">
        <v>3642</v>
      </c>
      <c r="D3582">
        <v>1834</v>
      </c>
      <c r="E3582">
        <v>757</v>
      </c>
      <c r="F3582">
        <v>1</v>
      </c>
      <c r="G3582">
        <v>140.19527606602099</v>
      </c>
      <c r="H3582">
        <v>2</v>
      </c>
      <c r="I3582">
        <v>59</v>
      </c>
      <c r="K3582" t="s">
        <v>2386</v>
      </c>
      <c r="L3582">
        <v>20</v>
      </c>
      <c r="M3582" t="s">
        <v>4426</v>
      </c>
      <c r="N3582" t="s">
        <v>2388</v>
      </c>
      <c r="O3582">
        <v>1</v>
      </c>
    </row>
    <row r="3583" spans="2:15" x14ac:dyDescent="0.3">
      <c r="B3583">
        <v>3643</v>
      </c>
      <c r="D3583">
        <v>757</v>
      </c>
      <c r="E3583">
        <v>1834</v>
      </c>
      <c r="F3583">
        <v>1</v>
      </c>
      <c r="G3583">
        <v>140.19527606602099</v>
      </c>
      <c r="H3583">
        <v>2</v>
      </c>
      <c r="I3583">
        <v>59</v>
      </c>
      <c r="K3583" t="s">
        <v>2386</v>
      </c>
      <c r="L3583">
        <v>20</v>
      </c>
      <c r="M3583" t="s">
        <v>4427</v>
      </c>
      <c r="N3583" t="s">
        <v>2388</v>
      </c>
      <c r="O3583">
        <v>1</v>
      </c>
    </row>
    <row r="3584" spans="2:15" x14ac:dyDescent="0.3">
      <c r="B3584">
        <v>3644</v>
      </c>
      <c r="D3584">
        <v>1835</v>
      </c>
      <c r="E3584">
        <v>757</v>
      </c>
      <c r="F3584">
        <v>1</v>
      </c>
      <c r="G3584">
        <v>125.513491707581</v>
      </c>
      <c r="H3584">
        <v>2</v>
      </c>
      <c r="I3584">
        <v>59</v>
      </c>
      <c r="K3584" t="s">
        <v>2386</v>
      </c>
      <c r="L3584">
        <v>20</v>
      </c>
      <c r="M3584" t="s">
        <v>4428</v>
      </c>
      <c r="N3584" t="s">
        <v>2388</v>
      </c>
      <c r="O3584">
        <v>1</v>
      </c>
    </row>
    <row r="3585" spans="2:15" x14ac:dyDescent="0.3">
      <c r="B3585">
        <v>3645</v>
      </c>
      <c r="D3585">
        <v>757</v>
      </c>
      <c r="E3585">
        <v>1835</v>
      </c>
      <c r="F3585">
        <v>1</v>
      </c>
      <c r="G3585">
        <v>125.513491707581</v>
      </c>
      <c r="H3585">
        <v>2</v>
      </c>
      <c r="I3585">
        <v>59</v>
      </c>
      <c r="K3585" t="s">
        <v>2386</v>
      </c>
      <c r="L3585">
        <v>20</v>
      </c>
      <c r="M3585" t="s">
        <v>4429</v>
      </c>
      <c r="N3585" t="s">
        <v>2388</v>
      </c>
      <c r="O3585">
        <v>1</v>
      </c>
    </row>
    <row r="3586" spans="2:15" x14ac:dyDescent="0.3">
      <c r="B3586">
        <v>3646</v>
      </c>
      <c r="D3586">
        <v>1836</v>
      </c>
      <c r="E3586">
        <v>421</v>
      </c>
      <c r="F3586">
        <v>1</v>
      </c>
      <c r="G3586">
        <v>169.01403890928501</v>
      </c>
      <c r="H3586">
        <v>2</v>
      </c>
      <c r="I3586">
        <v>59</v>
      </c>
      <c r="K3586" t="s">
        <v>2386</v>
      </c>
      <c r="L3586">
        <v>20</v>
      </c>
      <c r="M3586" t="s">
        <v>4430</v>
      </c>
      <c r="N3586" t="s">
        <v>2388</v>
      </c>
      <c r="O3586">
        <v>1</v>
      </c>
    </row>
    <row r="3587" spans="2:15" x14ac:dyDescent="0.3">
      <c r="B3587">
        <v>3647</v>
      </c>
      <c r="D3587">
        <v>421</v>
      </c>
      <c r="E3587">
        <v>1836</v>
      </c>
      <c r="F3587">
        <v>1</v>
      </c>
      <c r="G3587">
        <v>169.01403890928501</v>
      </c>
      <c r="H3587">
        <v>2</v>
      </c>
      <c r="I3587">
        <v>59</v>
      </c>
      <c r="K3587" t="s">
        <v>2386</v>
      </c>
      <c r="L3587">
        <v>20</v>
      </c>
      <c r="M3587" t="s">
        <v>4431</v>
      </c>
      <c r="N3587" t="s">
        <v>2388</v>
      </c>
      <c r="O3587">
        <v>1</v>
      </c>
    </row>
    <row r="3588" spans="2:15" x14ac:dyDescent="0.3">
      <c r="B3588">
        <v>3648</v>
      </c>
      <c r="D3588">
        <v>1837</v>
      </c>
      <c r="E3588">
        <v>757</v>
      </c>
      <c r="F3588">
        <v>1</v>
      </c>
      <c r="G3588">
        <v>68.774635760316897</v>
      </c>
      <c r="H3588">
        <v>2</v>
      </c>
      <c r="I3588">
        <v>59</v>
      </c>
      <c r="K3588" t="s">
        <v>2386</v>
      </c>
      <c r="L3588">
        <v>20</v>
      </c>
      <c r="M3588" t="s">
        <v>4432</v>
      </c>
      <c r="N3588" t="s">
        <v>2388</v>
      </c>
      <c r="O3588">
        <v>1</v>
      </c>
    </row>
    <row r="3589" spans="2:15" x14ac:dyDescent="0.3">
      <c r="B3589">
        <v>3649</v>
      </c>
      <c r="D3589">
        <v>757</v>
      </c>
      <c r="E3589">
        <v>1837</v>
      </c>
      <c r="F3589">
        <v>1</v>
      </c>
      <c r="G3589">
        <v>68.774635760316897</v>
      </c>
      <c r="H3589">
        <v>2</v>
      </c>
      <c r="I3589">
        <v>59</v>
      </c>
      <c r="K3589" t="s">
        <v>2386</v>
      </c>
      <c r="L3589">
        <v>20</v>
      </c>
      <c r="M3589" t="s">
        <v>4433</v>
      </c>
      <c r="N3589" t="s">
        <v>2388</v>
      </c>
      <c r="O3589">
        <v>1</v>
      </c>
    </row>
    <row r="3590" spans="2:15" x14ac:dyDescent="0.3">
      <c r="B3590">
        <v>3650</v>
      </c>
      <c r="D3590">
        <v>1838</v>
      </c>
      <c r="E3590">
        <v>757</v>
      </c>
      <c r="F3590">
        <v>1</v>
      </c>
      <c r="G3590">
        <v>63.909375169203699</v>
      </c>
      <c r="H3590">
        <v>2</v>
      </c>
      <c r="I3590">
        <v>59</v>
      </c>
      <c r="K3590" t="s">
        <v>2386</v>
      </c>
      <c r="L3590">
        <v>20</v>
      </c>
      <c r="M3590" t="s">
        <v>4434</v>
      </c>
      <c r="N3590" t="s">
        <v>2388</v>
      </c>
      <c r="O3590">
        <v>1</v>
      </c>
    </row>
    <row r="3591" spans="2:15" x14ac:dyDescent="0.3">
      <c r="B3591">
        <v>3651</v>
      </c>
      <c r="D3591">
        <v>757</v>
      </c>
      <c r="E3591">
        <v>1838</v>
      </c>
      <c r="F3591">
        <v>1</v>
      </c>
      <c r="G3591">
        <v>63.909375169203699</v>
      </c>
      <c r="H3591">
        <v>2</v>
      </c>
      <c r="I3591">
        <v>59</v>
      </c>
      <c r="K3591" t="s">
        <v>2386</v>
      </c>
      <c r="L3591">
        <v>20</v>
      </c>
      <c r="M3591" t="s">
        <v>4435</v>
      </c>
      <c r="N3591" t="s">
        <v>2388</v>
      </c>
      <c r="O3591">
        <v>1</v>
      </c>
    </row>
    <row r="3592" spans="2:15" x14ac:dyDescent="0.3">
      <c r="B3592">
        <v>3652</v>
      </c>
      <c r="D3592">
        <v>1839</v>
      </c>
      <c r="E3592">
        <v>757</v>
      </c>
      <c r="F3592">
        <v>1</v>
      </c>
      <c r="G3592">
        <v>117.20994685818501</v>
      </c>
      <c r="H3592">
        <v>2</v>
      </c>
      <c r="I3592">
        <v>59</v>
      </c>
      <c r="K3592" t="s">
        <v>2386</v>
      </c>
      <c r="L3592">
        <v>20</v>
      </c>
      <c r="M3592" t="s">
        <v>4436</v>
      </c>
      <c r="N3592" t="s">
        <v>2388</v>
      </c>
      <c r="O3592">
        <v>1</v>
      </c>
    </row>
    <row r="3593" spans="2:15" x14ac:dyDescent="0.3">
      <c r="B3593">
        <v>3653</v>
      </c>
      <c r="D3593">
        <v>757</v>
      </c>
      <c r="E3593">
        <v>1839</v>
      </c>
      <c r="F3593">
        <v>1</v>
      </c>
      <c r="G3593">
        <v>117.20994685818501</v>
      </c>
      <c r="H3593">
        <v>2</v>
      </c>
      <c r="I3593">
        <v>59</v>
      </c>
      <c r="K3593" t="s">
        <v>2386</v>
      </c>
      <c r="L3593">
        <v>20</v>
      </c>
      <c r="M3593" t="s">
        <v>4437</v>
      </c>
      <c r="N3593" t="s">
        <v>2388</v>
      </c>
      <c r="O3593">
        <v>1</v>
      </c>
    </row>
    <row r="3594" spans="2:15" x14ac:dyDescent="0.3">
      <c r="B3594">
        <v>3654</v>
      </c>
      <c r="D3594">
        <v>1840</v>
      </c>
      <c r="E3594">
        <v>757</v>
      </c>
      <c r="F3594">
        <v>1</v>
      </c>
      <c r="G3594">
        <v>151.13952229641299</v>
      </c>
      <c r="H3594">
        <v>2</v>
      </c>
      <c r="I3594">
        <v>59</v>
      </c>
      <c r="K3594" t="s">
        <v>2386</v>
      </c>
      <c r="L3594">
        <v>20</v>
      </c>
      <c r="M3594" t="s">
        <v>4438</v>
      </c>
      <c r="N3594" t="s">
        <v>2388</v>
      </c>
      <c r="O3594">
        <v>1</v>
      </c>
    </row>
    <row r="3595" spans="2:15" x14ac:dyDescent="0.3">
      <c r="B3595">
        <v>3655</v>
      </c>
      <c r="D3595">
        <v>757</v>
      </c>
      <c r="E3595">
        <v>1840</v>
      </c>
      <c r="F3595">
        <v>1</v>
      </c>
      <c r="G3595">
        <v>151.13952229641299</v>
      </c>
      <c r="H3595">
        <v>2</v>
      </c>
      <c r="I3595">
        <v>59</v>
      </c>
      <c r="K3595" t="s">
        <v>2386</v>
      </c>
      <c r="L3595">
        <v>20</v>
      </c>
      <c r="M3595" t="s">
        <v>4439</v>
      </c>
      <c r="N3595" t="s">
        <v>2388</v>
      </c>
      <c r="O3595">
        <v>1</v>
      </c>
    </row>
    <row r="3596" spans="2:15" x14ac:dyDescent="0.3">
      <c r="B3596">
        <v>3656</v>
      </c>
      <c r="D3596">
        <v>1841</v>
      </c>
      <c r="E3596">
        <v>757</v>
      </c>
      <c r="F3596">
        <v>1</v>
      </c>
      <c r="G3596">
        <v>85.589045860873796</v>
      </c>
      <c r="H3596">
        <v>2</v>
      </c>
      <c r="I3596">
        <v>59</v>
      </c>
      <c r="K3596" t="s">
        <v>2386</v>
      </c>
      <c r="L3596">
        <v>20</v>
      </c>
      <c r="M3596" t="s">
        <v>4440</v>
      </c>
      <c r="N3596" t="s">
        <v>2388</v>
      </c>
      <c r="O3596">
        <v>1</v>
      </c>
    </row>
    <row r="3597" spans="2:15" x14ac:dyDescent="0.3">
      <c r="B3597">
        <v>3657</v>
      </c>
      <c r="D3597">
        <v>757</v>
      </c>
      <c r="E3597">
        <v>1841</v>
      </c>
      <c r="F3597">
        <v>1</v>
      </c>
      <c r="G3597">
        <v>85.589045860873796</v>
      </c>
      <c r="H3597">
        <v>2</v>
      </c>
      <c r="I3597">
        <v>59</v>
      </c>
      <c r="K3597" t="s">
        <v>2386</v>
      </c>
      <c r="L3597">
        <v>20</v>
      </c>
      <c r="M3597" t="s">
        <v>4441</v>
      </c>
      <c r="N3597" t="s">
        <v>2388</v>
      </c>
      <c r="O3597">
        <v>1</v>
      </c>
    </row>
    <row r="3598" spans="2:15" x14ac:dyDescent="0.3">
      <c r="B3598">
        <v>3658</v>
      </c>
      <c r="D3598">
        <v>1842</v>
      </c>
      <c r="E3598">
        <v>757</v>
      </c>
      <c r="F3598">
        <v>1</v>
      </c>
      <c r="G3598">
        <v>103.79755921206301</v>
      </c>
      <c r="H3598">
        <v>2</v>
      </c>
      <c r="I3598">
        <v>59</v>
      </c>
      <c r="K3598" t="s">
        <v>2386</v>
      </c>
      <c r="L3598">
        <v>20</v>
      </c>
      <c r="M3598" t="s">
        <v>4442</v>
      </c>
      <c r="N3598" t="s">
        <v>2388</v>
      </c>
      <c r="O3598">
        <v>1</v>
      </c>
    </row>
    <row r="3599" spans="2:15" x14ac:dyDescent="0.3">
      <c r="B3599">
        <v>3659</v>
      </c>
      <c r="D3599">
        <v>757</v>
      </c>
      <c r="E3599">
        <v>1842</v>
      </c>
      <c r="F3599">
        <v>1</v>
      </c>
      <c r="G3599">
        <v>103.79755921206301</v>
      </c>
      <c r="H3599">
        <v>2</v>
      </c>
      <c r="I3599">
        <v>59</v>
      </c>
      <c r="K3599" t="s">
        <v>2386</v>
      </c>
      <c r="L3599">
        <v>20</v>
      </c>
      <c r="M3599" t="s">
        <v>4443</v>
      </c>
      <c r="N3599" t="s">
        <v>2388</v>
      </c>
      <c r="O3599">
        <v>1</v>
      </c>
    </row>
    <row r="3600" spans="2:15" x14ac:dyDescent="0.3">
      <c r="B3600">
        <v>3660</v>
      </c>
      <c r="D3600">
        <v>1843</v>
      </c>
      <c r="E3600">
        <v>757</v>
      </c>
      <c r="F3600">
        <v>1</v>
      </c>
      <c r="G3600">
        <v>214.54542832943201</v>
      </c>
      <c r="H3600">
        <v>2</v>
      </c>
      <c r="I3600">
        <v>59</v>
      </c>
      <c r="K3600" t="s">
        <v>2386</v>
      </c>
      <c r="L3600">
        <v>20</v>
      </c>
      <c r="M3600" t="s">
        <v>4444</v>
      </c>
      <c r="N3600" t="s">
        <v>2388</v>
      </c>
      <c r="O3600">
        <v>1</v>
      </c>
    </row>
    <row r="3601" spans="2:15" x14ac:dyDescent="0.3">
      <c r="B3601">
        <v>3661</v>
      </c>
      <c r="D3601">
        <v>757</v>
      </c>
      <c r="E3601">
        <v>1843</v>
      </c>
      <c r="F3601">
        <v>1</v>
      </c>
      <c r="G3601">
        <v>214.54542832943201</v>
      </c>
      <c r="H3601">
        <v>2</v>
      </c>
      <c r="I3601">
        <v>59</v>
      </c>
      <c r="K3601" t="s">
        <v>2386</v>
      </c>
      <c r="L3601">
        <v>20</v>
      </c>
      <c r="M3601" t="s">
        <v>4445</v>
      </c>
      <c r="N3601" t="s">
        <v>2388</v>
      </c>
      <c r="O3601">
        <v>1</v>
      </c>
    </row>
    <row r="3602" spans="2:15" x14ac:dyDescent="0.3">
      <c r="B3602">
        <v>3662</v>
      </c>
      <c r="D3602">
        <v>1844</v>
      </c>
      <c r="E3602">
        <v>758</v>
      </c>
      <c r="F3602">
        <v>1</v>
      </c>
      <c r="G3602">
        <v>180.02100311676</v>
      </c>
      <c r="H3602">
        <v>2</v>
      </c>
      <c r="I3602">
        <v>59</v>
      </c>
      <c r="K3602" t="s">
        <v>2386</v>
      </c>
      <c r="L3602">
        <v>20</v>
      </c>
      <c r="M3602" t="s">
        <v>4446</v>
      </c>
      <c r="N3602" t="s">
        <v>2388</v>
      </c>
      <c r="O3602">
        <v>1</v>
      </c>
    </row>
    <row r="3603" spans="2:15" x14ac:dyDescent="0.3">
      <c r="B3603">
        <v>3663</v>
      </c>
      <c r="D3603">
        <v>758</v>
      </c>
      <c r="E3603">
        <v>1844</v>
      </c>
      <c r="F3603">
        <v>1</v>
      </c>
      <c r="G3603">
        <v>180.02100311676</v>
      </c>
      <c r="H3603">
        <v>2</v>
      </c>
      <c r="I3603">
        <v>59</v>
      </c>
      <c r="K3603" t="s">
        <v>2386</v>
      </c>
      <c r="L3603">
        <v>20</v>
      </c>
      <c r="M3603" t="s">
        <v>4447</v>
      </c>
      <c r="N3603" t="s">
        <v>2388</v>
      </c>
      <c r="O3603">
        <v>1</v>
      </c>
    </row>
    <row r="3604" spans="2:15" x14ac:dyDescent="0.3">
      <c r="B3604">
        <v>3664</v>
      </c>
      <c r="D3604">
        <v>1845</v>
      </c>
      <c r="E3604">
        <v>758</v>
      </c>
      <c r="F3604">
        <v>1</v>
      </c>
      <c r="G3604">
        <v>149.970784230699</v>
      </c>
      <c r="H3604">
        <v>2</v>
      </c>
      <c r="I3604">
        <v>59</v>
      </c>
      <c r="K3604" t="s">
        <v>2386</v>
      </c>
      <c r="L3604">
        <v>20</v>
      </c>
      <c r="M3604" t="s">
        <v>4448</v>
      </c>
      <c r="N3604" t="s">
        <v>2388</v>
      </c>
      <c r="O3604">
        <v>1</v>
      </c>
    </row>
    <row r="3605" spans="2:15" x14ac:dyDescent="0.3">
      <c r="B3605">
        <v>3665</v>
      </c>
      <c r="D3605">
        <v>758</v>
      </c>
      <c r="E3605">
        <v>1845</v>
      </c>
      <c r="F3605">
        <v>1</v>
      </c>
      <c r="G3605">
        <v>149.970784230699</v>
      </c>
      <c r="H3605">
        <v>2</v>
      </c>
      <c r="I3605">
        <v>59</v>
      </c>
      <c r="K3605" t="s">
        <v>2386</v>
      </c>
      <c r="L3605">
        <v>20</v>
      </c>
      <c r="M3605" t="s">
        <v>4449</v>
      </c>
      <c r="N3605" t="s">
        <v>2388</v>
      </c>
      <c r="O3605">
        <v>1</v>
      </c>
    </row>
    <row r="3606" spans="2:15" x14ac:dyDescent="0.3">
      <c r="B3606">
        <v>3666</v>
      </c>
      <c r="D3606">
        <v>1846</v>
      </c>
      <c r="E3606">
        <v>175</v>
      </c>
      <c r="F3606">
        <v>1</v>
      </c>
      <c r="G3606">
        <v>153.395244569993</v>
      </c>
      <c r="H3606">
        <v>2</v>
      </c>
      <c r="I3606">
        <v>59</v>
      </c>
      <c r="K3606" t="s">
        <v>2386</v>
      </c>
      <c r="L3606">
        <v>20</v>
      </c>
      <c r="M3606" t="s">
        <v>4450</v>
      </c>
      <c r="N3606" t="s">
        <v>2388</v>
      </c>
      <c r="O3606">
        <v>1</v>
      </c>
    </row>
    <row r="3607" spans="2:15" x14ac:dyDescent="0.3">
      <c r="B3607">
        <v>3667</v>
      </c>
      <c r="D3607">
        <v>175</v>
      </c>
      <c r="E3607">
        <v>1846</v>
      </c>
      <c r="F3607">
        <v>1</v>
      </c>
      <c r="G3607">
        <v>153.395244569993</v>
      </c>
      <c r="H3607">
        <v>2</v>
      </c>
      <c r="I3607">
        <v>59</v>
      </c>
      <c r="K3607" t="s">
        <v>2386</v>
      </c>
      <c r="L3607">
        <v>20</v>
      </c>
      <c r="M3607" t="s">
        <v>4451</v>
      </c>
      <c r="N3607" t="s">
        <v>2388</v>
      </c>
      <c r="O3607">
        <v>1</v>
      </c>
    </row>
    <row r="3608" spans="2:15" x14ac:dyDescent="0.3">
      <c r="B3608">
        <v>3668</v>
      </c>
      <c r="D3608">
        <v>1847</v>
      </c>
      <c r="E3608">
        <v>758</v>
      </c>
      <c r="F3608">
        <v>1</v>
      </c>
      <c r="G3608">
        <v>139.83512447421199</v>
      </c>
      <c r="H3608">
        <v>2</v>
      </c>
      <c r="I3608">
        <v>59</v>
      </c>
      <c r="K3608" t="s">
        <v>2386</v>
      </c>
      <c r="L3608">
        <v>20</v>
      </c>
      <c r="M3608" t="s">
        <v>4452</v>
      </c>
      <c r="N3608" t="s">
        <v>2388</v>
      </c>
      <c r="O3608">
        <v>1</v>
      </c>
    </row>
    <row r="3609" spans="2:15" x14ac:dyDescent="0.3">
      <c r="B3609">
        <v>3669</v>
      </c>
      <c r="D3609">
        <v>758</v>
      </c>
      <c r="E3609">
        <v>1847</v>
      </c>
      <c r="F3609">
        <v>1</v>
      </c>
      <c r="G3609">
        <v>139.83512447421199</v>
      </c>
      <c r="H3609">
        <v>2</v>
      </c>
      <c r="I3609">
        <v>59</v>
      </c>
      <c r="K3609" t="s">
        <v>2386</v>
      </c>
      <c r="L3609">
        <v>20</v>
      </c>
      <c r="M3609" t="s">
        <v>4453</v>
      </c>
      <c r="N3609" t="s">
        <v>2388</v>
      </c>
      <c r="O3609">
        <v>1</v>
      </c>
    </row>
    <row r="3610" spans="2:15" x14ac:dyDescent="0.3">
      <c r="B3610">
        <v>3670</v>
      </c>
      <c r="D3610">
        <v>1848</v>
      </c>
      <c r="E3610">
        <v>758</v>
      </c>
      <c r="F3610">
        <v>1</v>
      </c>
      <c r="G3610">
        <v>94.843265681128003</v>
      </c>
      <c r="H3610">
        <v>2</v>
      </c>
      <c r="I3610">
        <v>59</v>
      </c>
      <c r="K3610" t="s">
        <v>2386</v>
      </c>
      <c r="L3610">
        <v>20</v>
      </c>
      <c r="M3610" t="s">
        <v>4454</v>
      </c>
      <c r="N3610" t="s">
        <v>2388</v>
      </c>
      <c r="O3610">
        <v>1</v>
      </c>
    </row>
    <row r="3611" spans="2:15" x14ac:dyDescent="0.3">
      <c r="B3611">
        <v>3671</v>
      </c>
      <c r="D3611">
        <v>758</v>
      </c>
      <c r="E3611">
        <v>1848</v>
      </c>
      <c r="F3611">
        <v>1</v>
      </c>
      <c r="G3611">
        <v>94.843265681128003</v>
      </c>
      <c r="H3611">
        <v>2</v>
      </c>
      <c r="I3611">
        <v>59</v>
      </c>
      <c r="K3611" t="s">
        <v>2386</v>
      </c>
      <c r="L3611">
        <v>20</v>
      </c>
      <c r="M3611" t="s">
        <v>4455</v>
      </c>
      <c r="N3611" t="s">
        <v>2388</v>
      </c>
      <c r="O3611">
        <v>1</v>
      </c>
    </row>
    <row r="3612" spans="2:15" x14ac:dyDescent="0.3">
      <c r="B3612">
        <v>3672</v>
      </c>
      <c r="D3612">
        <v>1849</v>
      </c>
      <c r="E3612">
        <v>758</v>
      </c>
      <c r="F3612">
        <v>1</v>
      </c>
      <c r="G3612">
        <v>109.189033184498</v>
      </c>
      <c r="H3612">
        <v>2</v>
      </c>
      <c r="I3612">
        <v>59</v>
      </c>
      <c r="K3612" t="s">
        <v>2386</v>
      </c>
      <c r="L3612">
        <v>20</v>
      </c>
      <c r="M3612" t="s">
        <v>4456</v>
      </c>
      <c r="N3612" t="s">
        <v>2388</v>
      </c>
      <c r="O3612">
        <v>1</v>
      </c>
    </row>
    <row r="3613" spans="2:15" x14ac:dyDescent="0.3">
      <c r="B3613">
        <v>3673</v>
      </c>
      <c r="D3613">
        <v>758</v>
      </c>
      <c r="E3613">
        <v>1849</v>
      </c>
      <c r="F3613">
        <v>1</v>
      </c>
      <c r="G3613">
        <v>109.189033184498</v>
      </c>
      <c r="H3613">
        <v>2</v>
      </c>
      <c r="I3613">
        <v>59</v>
      </c>
      <c r="K3613" t="s">
        <v>2386</v>
      </c>
      <c r="L3613">
        <v>20</v>
      </c>
      <c r="M3613" t="s">
        <v>4457</v>
      </c>
      <c r="N3613" t="s">
        <v>2388</v>
      </c>
      <c r="O3613">
        <v>1</v>
      </c>
    </row>
    <row r="3614" spans="2:15" x14ac:dyDescent="0.3">
      <c r="B3614">
        <v>3674</v>
      </c>
      <c r="D3614">
        <v>1850</v>
      </c>
      <c r="E3614">
        <v>758</v>
      </c>
      <c r="F3614">
        <v>1</v>
      </c>
      <c r="G3614">
        <v>88.079385487322099</v>
      </c>
      <c r="H3614">
        <v>2</v>
      </c>
      <c r="I3614">
        <v>59</v>
      </c>
      <c r="K3614" t="s">
        <v>2386</v>
      </c>
      <c r="L3614">
        <v>20</v>
      </c>
      <c r="M3614" t="s">
        <v>4458</v>
      </c>
      <c r="N3614" t="s">
        <v>2388</v>
      </c>
      <c r="O3614">
        <v>1</v>
      </c>
    </row>
    <row r="3615" spans="2:15" x14ac:dyDescent="0.3">
      <c r="B3615">
        <v>3675</v>
      </c>
      <c r="D3615">
        <v>758</v>
      </c>
      <c r="E3615">
        <v>1850</v>
      </c>
      <c r="F3615">
        <v>1</v>
      </c>
      <c r="G3615">
        <v>88.079385487322099</v>
      </c>
      <c r="H3615">
        <v>2</v>
      </c>
      <c r="I3615">
        <v>59</v>
      </c>
      <c r="K3615" t="s">
        <v>2386</v>
      </c>
      <c r="L3615">
        <v>20</v>
      </c>
      <c r="M3615" t="s">
        <v>4459</v>
      </c>
      <c r="N3615" t="s">
        <v>2388</v>
      </c>
      <c r="O3615">
        <v>1</v>
      </c>
    </row>
    <row r="3616" spans="2:15" x14ac:dyDescent="0.3">
      <c r="B3616">
        <v>3676</v>
      </c>
      <c r="D3616">
        <v>1851</v>
      </c>
      <c r="E3616">
        <v>758</v>
      </c>
      <c r="F3616">
        <v>1</v>
      </c>
      <c r="G3616">
        <v>63.322609888081701</v>
      </c>
      <c r="H3616">
        <v>2</v>
      </c>
      <c r="I3616">
        <v>59</v>
      </c>
      <c r="K3616" t="s">
        <v>2386</v>
      </c>
      <c r="L3616">
        <v>20</v>
      </c>
      <c r="M3616" t="s">
        <v>4460</v>
      </c>
      <c r="N3616" t="s">
        <v>2388</v>
      </c>
      <c r="O3616">
        <v>1</v>
      </c>
    </row>
    <row r="3617" spans="2:15" x14ac:dyDescent="0.3">
      <c r="B3617">
        <v>3677</v>
      </c>
      <c r="D3617">
        <v>758</v>
      </c>
      <c r="E3617">
        <v>1851</v>
      </c>
      <c r="F3617">
        <v>1</v>
      </c>
      <c r="G3617">
        <v>63.322609888081701</v>
      </c>
      <c r="H3617">
        <v>2</v>
      </c>
      <c r="I3617">
        <v>59</v>
      </c>
      <c r="K3617" t="s">
        <v>2386</v>
      </c>
      <c r="L3617">
        <v>20</v>
      </c>
      <c r="M3617" t="s">
        <v>4461</v>
      </c>
      <c r="N3617" t="s">
        <v>2388</v>
      </c>
      <c r="O3617">
        <v>1</v>
      </c>
    </row>
    <row r="3618" spans="2:15" x14ac:dyDescent="0.3">
      <c r="B3618">
        <v>3678</v>
      </c>
      <c r="D3618">
        <v>1852</v>
      </c>
      <c r="E3618">
        <v>758</v>
      </c>
      <c r="F3618">
        <v>1</v>
      </c>
      <c r="G3618">
        <v>58.498365535096497</v>
      </c>
      <c r="H3618">
        <v>2</v>
      </c>
      <c r="I3618">
        <v>59</v>
      </c>
      <c r="K3618" t="s">
        <v>2386</v>
      </c>
      <c r="L3618">
        <v>20</v>
      </c>
      <c r="M3618" t="s">
        <v>4462</v>
      </c>
      <c r="N3618" t="s">
        <v>2388</v>
      </c>
      <c r="O3618">
        <v>1</v>
      </c>
    </row>
    <row r="3619" spans="2:15" x14ac:dyDescent="0.3">
      <c r="B3619">
        <v>3679</v>
      </c>
      <c r="D3619">
        <v>758</v>
      </c>
      <c r="E3619">
        <v>1852</v>
      </c>
      <c r="F3619">
        <v>1</v>
      </c>
      <c r="G3619">
        <v>58.498365535096497</v>
      </c>
      <c r="H3619">
        <v>2</v>
      </c>
      <c r="I3619">
        <v>59</v>
      </c>
      <c r="K3619" t="s">
        <v>2386</v>
      </c>
      <c r="L3619">
        <v>20</v>
      </c>
      <c r="M3619" t="s">
        <v>4463</v>
      </c>
      <c r="N3619" t="s">
        <v>2388</v>
      </c>
      <c r="O3619">
        <v>1</v>
      </c>
    </row>
    <row r="3620" spans="2:15" x14ac:dyDescent="0.3">
      <c r="B3620">
        <v>3680</v>
      </c>
      <c r="D3620">
        <v>1853</v>
      </c>
      <c r="E3620">
        <v>758</v>
      </c>
      <c r="F3620">
        <v>1</v>
      </c>
      <c r="G3620">
        <v>89.7446026596796</v>
      </c>
      <c r="H3620">
        <v>2</v>
      </c>
      <c r="I3620">
        <v>59</v>
      </c>
      <c r="K3620" t="s">
        <v>2386</v>
      </c>
      <c r="L3620">
        <v>20</v>
      </c>
      <c r="M3620" t="s">
        <v>4464</v>
      </c>
      <c r="N3620" t="s">
        <v>2388</v>
      </c>
      <c r="O3620">
        <v>1</v>
      </c>
    </row>
    <row r="3621" spans="2:15" x14ac:dyDescent="0.3">
      <c r="B3621">
        <v>3681</v>
      </c>
      <c r="D3621">
        <v>758</v>
      </c>
      <c r="E3621">
        <v>1853</v>
      </c>
      <c r="F3621">
        <v>1</v>
      </c>
      <c r="G3621">
        <v>89.7446026596796</v>
      </c>
      <c r="H3621">
        <v>2</v>
      </c>
      <c r="I3621">
        <v>59</v>
      </c>
      <c r="K3621" t="s">
        <v>2386</v>
      </c>
      <c r="L3621">
        <v>20</v>
      </c>
      <c r="M3621" t="s">
        <v>4465</v>
      </c>
      <c r="N3621" t="s">
        <v>2388</v>
      </c>
      <c r="O3621">
        <v>1</v>
      </c>
    </row>
    <row r="3622" spans="2:15" x14ac:dyDescent="0.3">
      <c r="B3622">
        <v>3682</v>
      </c>
      <c r="D3622">
        <v>1854</v>
      </c>
      <c r="E3622">
        <v>175</v>
      </c>
      <c r="F3622">
        <v>1</v>
      </c>
      <c r="G3622">
        <v>112.769513463438</v>
      </c>
      <c r="H3622">
        <v>2</v>
      </c>
      <c r="I3622">
        <v>59</v>
      </c>
      <c r="K3622" t="s">
        <v>2386</v>
      </c>
      <c r="L3622">
        <v>20</v>
      </c>
      <c r="M3622" t="s">
        <v>4466</v>
      </c>
      <c r="N3622" t="s">
        <v>2388</v>
      </c>
      <c r="O3622">
        <v>1</v>
      </c>
    </row>
    <row r="3623" spans="2:15" x14ac:dyDescent="0.3">
      <c r="B3623">
        <v>3683</v>
      </c>
      <c r="D3623">
        <v>175</v>
      </c>
      <c r="E3623">
        <v>1854</v>
      </c>
      <c r="F3623">
        <v>1</v>
      </c>
      <c r="G3623">
        <v>112.769513463438</v>
      </c>
      <c r="H3623">
        <v>2</v>
      </c>
      <c r="I3623">
        <v>59</v>
      </c>
      <c r="K3623" t="s">
        <v>2386</v>
      </c>
      <c r="L3623">
        <v>20</v>
      </c>
      <c r="M3623" t="s">
        <v>4467</v>
      </c>
      <c r="N3623" t="s">
        <v>2388</v>
      </c>
      <c r="O3623">
        <v>1</v>
      </c>
    </row>
    <row r="3624" spans="2:15" x14ac:dyDescent="0.3">
      <c r="B3624">
        <v>3684</v>
      </c>
      <c r="D3624">
        <v>1855</v>
      </c>
      <c r="E3624">
        <v>175</v>
      </c>
      <c r="F3624">
        <v>1</v>
      </c>
      <c r="G3624">
        <v>117.29201646377901</v>
      </c>
      <c r="H3624">
        <v>2</v>
      </c>
      <c r="I3624">
        <v>59</v>
      </c>
      <c r="K3624" t="s">
        <v>2386</v>
      </c>
      <c r="L3624">
        <v>20</v>
      </c>
      <c r="M3624" t="s">
        <v>4468</v>
      </c>
      <c r="N3624" t="s">
        <v>2388</v>
      </c>
      <c r="O3624">
        <v>1</v>
      </c>
    </row>
    <row r="3625" spans="2:15" x14ac:dyDescent="0.3">
      <c r="B3625">
        <v>3685</v>
      </c>
      <c r="D3625">
        <v>175</v>
      </c>
      <c r="E3625">
        <v>1855</v>
      </c>
      <c r="F3625">
        <v>1</v>
      </c>
      <c r="G3625">
        <v>117.29201646377901</v>
      </c>
      <c r="H3625">
        <v>2</v>
      </c>
      <c r="I3625">
        <v>59</v>
      </c>
      <c r="K3625" t="s">
        <v>2386</v>
      </c>
      <c r="L3625">
        <v>20</v>
      </c>
      <c r="M3625" t="s">
        <v>4469</v>
      </c>
      <c r="N3625" t="s">
        <v>2388</v>
      </c>
      <c r="O3625">
        <v>1</v>
      </c>
    </row>
    <row r="3626" spans="2:15" x14ac:dyDescent="0.3">
      <c r="B3626">
        <v>3686</v>
      </c>
      <c r="D3626">
        <v>1856</v>
      </c>
      <c r="E3626">
        <v>175</v>
      </c>
      <c r="F3626">
        <v>1</v>
      </c>
      <c r="G3626">
        <v>88.121322380508005</v>
      </c>
      <c r="H3626">
        <v>2</v>
      </c>
      <c r="I3626">
        <v>59</v>
      </c>
      <c r="K3626" t="s">
        <v>2386</v>
      </c>
      <c r="L3626">
        <v>20</v>
      </c>
      <c r="M3626" t="s">
        <v>4470</v>
      </c>
      <c r="N3626" t="s">
        <v>2388</v>
      </c>
      <c r="O3626">
        <v>1</v>
      </c>
    </row>
    <row r="3627" spans="2:15" x14ac:dyDescent="0.3">
      <c r="B3627">
        <v>3687</v>
      </c>
      <c r="D3627">
        <v>175</v>
      </c>
      <c r="E3627">
        <v>1856</v>
      </c>
      <c r="F3627">
        <v>1</v>
      </c>
      <c r="G3627">
        <v>88.121322380508005</v>
      </c>
      <c r="H3627">
        <v>2</v>
      </c>
      <c r="I3627">
        <v>59</v>
      </c>
      <c r="K3627" t="s">
        <v>2386</v>
      </c>
      <c r="L3627">
        <v>20</v>
      </c>
      <c r="M3627" t="s">
        <v>4471</v>
      </c>
      <c r="N3627" t="s">
        <v>2388</v>
      </c>
      <c r="O3627">
        <v>1</v>
      </c>
    </row>
    <row r="3628" spans="2:15" x14ac:dyDescent="0.3">
      <c r="B3628">
        <v>3688</v>
      </c>
      <c r="D3628">
        <v>1857</v>
      </c>
      <c r="E3628">
        <v>175</v>
      </c>
      <c r="F3628">
        <v>1</v>
      </c>
      <c r="G3628">
        <v>84.135290057811602</v>
      </c>
      <c r="H3628">
        <v>2</v>
      </c>
      <c r="I3628">
        <v>59</v>
      </c>
      <c r="K3628" t="s">
        <v>2386</v>
      </c>
      <c r="L3628">
        <v>20</v>
      </c>
      <c r="M3628" t="s">
        <v>4472</v>
      </c>
      <c r="N3628" t="s">
        <v>2388</v>
      </c>
      <c r="O3628">
        <v>1</v>
      </c>
    </row>
    <row r="3629" spans="2:15" x14ac:dyDescent="0.3">
      <c r="B3629">
        <v>3689</v>
      </c>
      <c r="D3629">
        <v>175</v>
      </c>
      <c r="E3629">
        <v>1857</v>
      </c>
      <c r="F3629">
        <v>1</v>
      </c>
      <c r="G3629">
        <v>84.135290057811602</v>
      </c>
      <c r="H3629">
        <v>2</v>
      </c>
      <c r="I3629">
        <v>59</v>
      </c>
      <c r="K3629" t="s">
        <v>2386</v>
      </c>
      <c r="L3629">
        <v>20</v>
      </c>
      <c r="M3629" t="s">
        <v>4473</v>
      </c>
      <c r="N3629" t="s">
        <v>2388</v>
      </c>
      <c r="O3629">
        <v>1</v>
      </c>
    </row>
    <row r="3630" spans="2:15" x14ac:dyDescent="0.3">
      <c r="B3630">
        <v>3690</v>
      </c>
      <c r="D3630">
        <v>1858</v>
      </c>
      <c r="E3630">
        <v>758</v>
      </c>
      <c r="F3630">
        <v>1</v>
      </c>
      <c r="G3630">
        <v>76.7179869520632</v>
      </c>
      <c r="H3630">
        <v>2</v>
      </c>
      <c r="I3630">
        <v>59</v>
      </c>
      <c r="K3630" t="s">
        <v>2386</v>
      </c>
      <c r="L3630">
        <v>20</v>
      </c>
      <c r="M3630" t="s">
        <v>4474</v>
      </c>
      <c r="N3630" t="s">
        <v>2388</v>
      </c>
      <c r="O3630">
        <v>1</v>
      </c>
    </row>
    <row r="3631" spans="2:15" x14ac:dyDescent="0.3">
      <c r="B3631">
        <v>3691</v>
      </c>
      <c r="D3631">
        <v>758</v>
      </c>
      <c r="E3631">
        <v>1858</v>
      </c>
      <c r="F3631">
        <v>1</v>
      </c>
      <c r="G3631">
        <v>76.7179869520632</v>
      </c>
      <c r="H3631">
        <v>2</v>
      </c>
      <c r="I3631">
        <v>59</v>
      </c>
      <c r="K3631" t="s">
        <v>2386</v>
      </c>
      <c r="L3631">
        <v>20</v>
      </c>
      <c r="M3631" t="s">
        <v>4475</v>
      </c>
      <c r="N3631" t="s">
        <v>2388</v>
      </c>
      <c r="O3631">
        <v>1</v>
      </c>
    </row>
    <row r="3632" spans="2:15" x14ac:dyDescent="0.3">
      <c r="B3632">
        <v>3692</v>
      </c>
      <c r="D3632">
        <v>1859</v>
      </c>
      <c r="E3632">
        <v>177</v>
      </c>
      <c r="F3632">
        <v>1</v>
      </c>
      <c r="G3632">
        <v>57.813285997828501</v>
      </c>
      <c r="H3632">
        <v>2</v>
      </c>
      <c r="I3632">
        <v>59</v>
      </c>
      <c r="K3632" t="s">
        <v>2386</v>
      </c>
      <c r="L3632">
        <v>20</v>
      </c>
      <c r="M3632" t="s">
        <v>4476</v>
      </c>
      <c r="N3632" t="s">
        <v>2388</v>
      </c>
      <c r="O3632">
        <v>1</v>
      </c>
    </row>
    <row r="3633" spans="2:15" x14ac:dyDescent="0.3">
      <c r="B3633">
        <v>3693</v>
      </c>
      <c r="D3633">
        <v>177</v>
      </c>
      <c r="E3633">
        <v>1859</v>
      </c>
      <c r="F3633">
        <v>1</v>
      </c>
      <c r="G3633">
        <v>57.813285997828501</v>
      </c>
      <c r="H3633">
        <v>2</v>
      </c>
      <c r="I3633">
        <v>59</v>
      </c>
      <c r="K3633" t="s">
        <v>2386</v>
      </c>
      <c r="L3633">
        <v>20</v>
      </c>
      <c r="M3633" t="s">
        <v>4477</v>
      </c>
      <c r="N3633" t="s">
        <v>2388</v>
      </c>
      <c r="O3633">
        <v>1</v>
      </c>
    </row>
    <row r="3634" spans="2:15" x14ac:dyDescent="0.3">
      <c r="B3634">
        <v>3694</v>
      </c>
      <c r="D3634">
        <v>1860</v>
      </c>
      <c r="E3634">
        <v>177</v>
      </c>
      <c r="F3634">
        <v>1</v>
      </c>
      <c r="G3634">
        <v>81.935289421028301</v>
      </c>
      <c r="H3634">
        <v>2</v>
      </c>
      <c r="I3634">
        <v>59</v>
      </c>
      <c r="K3634" t="s">
        <v>2386</v>
      </c>
      <c r="L3634">
        <v>20</v>
      </c>
      <c r="M3634" t="s">
        <v>4478</v>
      </c>
      <c r="N3634" t="s">
        <v>2388</v>
      </c>
      <c r="O3634">
        <v>1</v>
      </c>
    </row>
    <row r="3635" spans="2:15" x14ac:dyDescent="0.3">
      <c r="B3635">
        <v>3695</v>
      </c>
      <c r="D3635">
        <v>177</v>
      </c>
      <c r="E3635">
        <v>1860</v>
      </c>
      <c r="F3635">
        <v>1</v>
      </c>
      <c r="G3635">
        <v>81.935289421028301</v>
      </c>
      <c r="H3635">
        <v>2</v>
      </c>
      <c r="I3635">
        <v>59</v>
      </c>
      <c r="K3635" t="s">
        <v>2386</v>
      </c>
      <c r="L3635">
        <v>20</v>
      </c>
      <c r="M3635" t="s">
        <v>4479</v>
      </c>
      <c r="N3635" t="s">
        <v>2388</v>
      </c>
      <c r="O3635">
        <v>1</v>
      </c>
    </row>
    <row r="3636" spans="2:15" x14ac:dyDescent="0.3">
      <c r="B3636">
        <v>3696</v>
      </c>
      <c r="D3636">
        <v>1861</v>
      </c>
      <c r="E3636">
        <v>558</v>
      </c>
      <c r="F3636">
        <v>1</v>
      </c>
      <c r="G3636">
        <v>96.712755291427001</v>
      </c>
      <c r="H3636">
        <v>2</v>
      </c>
      <c r="I3636">
        <v>59</v>
      </c>
      <c r="K3636" t="s">
        <v>2386</v>
      </c>
      <c r="L3636">
        <v>20</v>
      </c>
      <c r="M3636" t="s">
        <v>4480</v>
      </c>
      <c r="N3636" t="s">
        <v>2388</v>
      </c>
      <c r="O3636">
        <v>1</v>
      </c>
    </row>
    <row r="3637" spans="2:15" x14ac:dyDescent="0.3">
      <c r="B3637">
        <v>3697</v>
      </c>
      <c r="D3637">
        <v>558</v>
      </c>
      <c r="E3637">
        <v>1861</v>
      </c>
      <c r="F3637">
        <v>1</v>
      </c>
      <c r="G3637">
        <v>96.712755291427001</v>
      </c>
      <c r="H3637">
        <v>2</v>
      </c>
      <c r="I3637">
        <v>59</v>
      </c>
      <c r="K3637" t="s">
        <v>2386</v>
      </c>
      <c r="L3637">
        <v>20</v>
      </c>
      <c r="M3637" t="s">
        <v>4481</v>
      </c>
      <c r="N3637" t="s">
        <v>2388</v>
      </c>
      <c r="O3637">
        <v>1</v>
      </c>
    </row>
    <row r="3638" spans="2:15" x14ac:dyDescent="0.3">
      <c r="B3638">
        <v>3698</v>
      </c>
      <c r="D3638">
        <v>1862</v>
      </c>
      <c r="E3638">
        <v>765</v>
      </c>
      <c r="F3638">
        <v>1</v>
      </c>
      <c r="G3638">
        <v>33.534114974855001</v>
      </c>
      <c r="H3638">
        <v>2</v>
      </c>
      <c r="I3638">
        <v>59</v>
      </c>
      <c r="K3638" t="s">
        <v>2386</v>
      </c>
      <c r="L3638">
        <v>20</v>
      </c>
      <c r="M3638" t="s">
        <v>4482</v>
      </c>
      <c r="N3638" t="s">
        <v>2388</v>
      </c>
      <c r="O3638">
        <v>1</v>
      </c>
    </row>
    <row r="3639" spans="2:15" x14ac:dyDescent="0.3">
      <c r="B3639">
        <v>3699</v>
      </c>
      <c r="D3639">
        <v>765</v>
      </c>
      <c r="E3639">
        <v>1862</v>
      </c>
      <c r="F3639">
        <v>1</v>
      </c>
      <c r="G3639">
        <v>33.534114974855001</v>
      </c>
      <c r="H3639">
        <v>2</v>
      </c>
      <c r="I3639">
        <v>59</v>
      </c>
      <c r="K3639" t="s">
        <v>2386</v>
      </c>
      <c r="L3639">
        <v>20</v>
      </c>
      <c r="M3639" t="s">
        <v>4483</v>
      </c>
      <c r="N3639" t="s">
        <v>2388</v>
      </c>
      <c r="O3639">
        <v>1</v>
      </c>
    </row>
    <row r="3640" spans="2:15" x14ac:dyDescent="0.3">
      <c r="B3640">
        <v>3700</v>
      </c>
      <c r="D3640">
        <v>1863</v>
      </c>
      <c r="E3640">
        <v>765</v>
      </c>
      <c r="F3640">
        <v>1</v>
      </c>
      <c r="G3640">
        <v>21.237541884922901</v>
      </c>
      <c r="H3640">
        <v>2</v>
      </c>
      <c r="I3640">
        <v>59</v>
      </c>
      <c r="K3640" t="s">
        <v>2386</v>
      </c>
      <c r="L3640">
        <v>20</v>
      </c>
      <c r="M3640" t="s">
        <v>4484</v>
      </c>
      <c r="N3640" t="s">
        <v>2388</v>
      </c>
      <c r="O3640">
        <v>1</v>
      </c>
    </row>
    <row r="3641" spans="2:15" x14ac:dyDescent="0.3">
      <c r="B3641">
        <v>3701</v>
      </c>
      <c r="D3641">
        <v>765</v>
      </c>
      <c r="E3641">
        <v>1863</v>
      </c>
      <c r="F3641">
        <v>1</v>
      </c>
      <c r="G3641">
        <v>21.237541884922901</v>
      </c>
      <c r="H3641">
        <v>2</v>
      </c>
      <c r="I3641">
        <v>59</v>
      </c>
      <c r="K3641" t="s">
        <v>2386</v>
      </c>
      <c r="L3641">
        <v>20</v>
      </c>
      <c r="M3641" t="s">
        <v>4485</v>
      </c>
      <c r="N3641" t="s">
        <v>2388</v>
      </c>
      <c r="O3641">
        <v>1</v>
      </c>
    </row>
    <row r="3642" spans="2:15" x14ac:dyDescent="0.3">
      <c r="B3642">
        <v>3702</v>
      </c>
      <c r="D3642">
        <v>1864</v>
      </c>
      <c r="E3642">
        <v>147</v>
      </c>
      <c r="F3642">
        <v>1</v>
      </c>
      <c r="G3642">
        <v>24.507905223027301</v>
      </c>
      <c r="H3642">
        <v>2</v>
      </c>
      <c r="I3642">
        <v>59</v>
      </c>
      <c r="K3642" t="s">
        <v>2386</v>
      </c>
      <c r="L3642">
        <v>20</v>
      </c>
      <c r="M3642" t="s">
        <v>4486</v>
      </c>
      <c r="N3642" t="s">
        <v>2388</v>
      </c>
      <c r="O3642">
        <v>1</v>
      </c>
    </row>
    <row r="3643" spans="2:15" x14ac:dyDescent="0.3">
      <c r="B3643">
        <v>3703</v>
      </c>
      <c r="D3643">
        <v>147</v>
      </c>
      <c r="E3643">
        <v>1864</v>
      </c>
      <c r="F3643">
        <v>1</v>
      </c>
      <c r="G3643">
        <v>24.507905223027301</v>
      </c>
      <c r="H3643">
        <v>2</v>
      </c>
      <c r="I3643">
        <v>59</v>
      </c>
      <c r="K3643" t="s">
        <v>2386</v>
      </c>
      <c r="L3643">
        <v>20</v>
      </c>
      <c r="M3643" t="s">
        <v>4487</v>
      </c>
      <c r="N3643" t="s">
        <v>2388</v>
      </c>
      <c r="O3643">
        <v>1</v>
      </c>
    </row>
    <row r="3644" spans="2:15" x14ac:dyDescent="0.3">
      <c r="B3644">
        <v>3704</v>
      </c>
      <c r="D3644">
        <v>1865</v>
      </c>
      <c r="E3644">
        <v>147</v>
      </c>
      <c r="F3644">
        <v>1</v>
      </c>
      <c r="G3644">
        <v>21.835516260922599</v>
      </c>
      <c r="H3644">
        <v>2</v>
      </c>
      <c r="I3644">
        <v>59</v>
      </c>
      <c r="K3644" t="s">
        <v>2386</v>
      </c>
      <c r="L3644">
        <v>20</v>
      </c>
      <c r="M3644" t="s">
        <v>4488</v>
      </c>
      <c r="N3644" t="s">
        <v>2388</v>
      </c>
      <c r="O3644">
        <v>1</v>
      </c>
    </row>
    <row r="3645" spans="2:15" x14ac:dyDescent="0.3">
      <c r="B3645">
        <v>3705</v>
      </c>
      <c r="D3645">
        <v>147</v>
      </c>
      <c r="E3645">
        <v>1865</v>
      </c>
      <c r="F3645">
        <v>1</v>
      </c>
      <c r="G3645">
        <v>21.835516260922599</v>
      </c>
      <c r="H3645">
        <v>2</v>
      </c>
      <c r="I3645">
        <v>59</v>
      </c>
      <c r="K3645" t="s">
        <v>2386</v>
      </c>
      <c r="L3645">
        <v>20</v>
      </c>
      <c r="M3645" t="s">
        <v>4489</v>
      </c>
      <c r="N3645" t="s">
        <v>2388</v>
      </c>
      <c r="O3645">
        <v>1</v>
      </c>
    </row>
    <row r="3646" spans="2:15" x14ac:dyDescent="0.3">
      <c r="B3646">
        <v>3706</v>
      </c>
      <c r="D3646">
        <v>1866</v>
      </c>
      <c r="E3646">
        <v>773</v>
      </c>
      <c r="F3646">
        <v>1</v>
      </c>
      <c r="G3646">
        <v>61.297545740973803</v>
      </c>
      <c r="H3646">
        <v>2</v>
      </c>
      <c r="I3646">
        <v>59</v>
      </c>
      <c r="K3646" t="s">
        <v>2386</v>
      </c>
      <c r="L3646">
        <v>20</v>
      </c>
      <c r="M3646" t="s">
        <v>4490</v>
      </c>
      <c r="N3646" t="s">
        <v>2388</v>
      </c>
      <c r="O3646">
        <v>1</v>
      </c>
    </row>
    <row r="3647" spans="2:15" x14ac:dyDescent="0.3">
      <c r="B3647">
        <v>3707</v>
      </c>
      <c r="D3647">
        <v>773</v>
      </c>
      <c r="E3647">
        <v>1866</v>
      </c>
      <c r="F3647">
        <v>1</v>
      </c>
      <c r="G3647">
        <v>61.297545740973803</v>
      </c>
      <c r="H3647">
        <v>2</v>
      </c>
      <c r="I3647">
        <v>59</v>
      </c>
      <c r="K3647" t="s">
        <v>2386</v>
      </c>
      <c r="L3647">
        <v>20</v>
      </c>
      <c r="M3647" t="s">
        <v>4491</v>
      </c>
      <c r="N3647" t="s">
        <v>2388</v>
      </c>
      <c r="O3647">
        <v>1</v>
      </c>
    </row>
    <row r="3648" spans="2:15" x14ac:dyDescent="0.3">
      <c r="B3648">
        <v>3708</v>
      </c>
      <c r="D3648">
        <v>1867</v>
      </c>
      <c r="E3648">
        <v>61</v>
      </c>
      <c r="F3648">
        <v>1</v>
      </c>
      <c r="G3648">
        <v>26.619308234879401</v>
      </c>
      <c r="H3648">
        <v>2</v>
      </c>
      <c r="I3648">
        <v>59</v>
      </c>
      <c r="K3648" t="s">
        <v>2386</v>
      </c>
      <c r="L3648">
        <v>20</v>
      </c>
      <c r="M3648" t="s">
        <v>4492</v>
      </c>
      <c r="N3648" t="s">
        <v>2388</v>
      </c>
      <c r="O3648">
        <v>1</v>
      </c>
    </row>
    <row r="3649" spans="2:15" x14ac:dyDescent="0.3">
      <c r="B3649">
        <v>3709</v>
      </c>
      <c r="D3649">
        <v>61</v>
      </c>
      <c r="E3649">
        <v>1867</v>
      </c>
      <c r="F3649">
        <v>1</v>
      </c>
      <c r="G3649">
        <v>26.619308234879401</v>
      </c>
      <c r="H3649">
        <v>2</v>
      </c>
      <c r="I3649">
        <v>59</v>
      </c>
      <c r="K3649" t="s">
        <v>2386</v>
      </c>
      <c r="L3649">
        <v>20</v>
      </c>
      <c r="M3649" t="s">
        <v>4493</v>
      </c>
      <c r="N3649" t="s">
        <v>2388</v>
      </c>
      <c r="O3649">
        <v>1</v>
      </c>
    </row>
    <row r="3650" spans="2:15" x14ac:dyDescent="0.3">
      <c r="B3650">
        <v>3710</v>
      </c>
      <c r="D3650">
        <v>1868</v>
      </c>
      <c r="E3650">
        <v>61</v>
      </c>
      <c r="F3650">
        <v>1</v>
      </c>
      <c r="G3650">
        <v>28.2095120679963</v>
      </c>
      <c r="H3650">
        <v>2</v>
      </c>
      <c r="I3650">
        <v>59</v>
      </c>
      <c r="K3650" t="s">
        <v>2386</v>
      </c>
      <c r="L3650">
        <v>20</v>
      </c>
      <c r="M3650" t="s">
        <v>4494</v>
      </c>
      <c r="N3650" t="s">
        <v>2388</v>
      </c>
      <c r="O3650">
        <v>1</v>
      </c>
    </row>
    <row r="3651" spans="2:15" x14ac:dyDescent="0.3">
      <c r="B3651">
        <v>3711</v>
      </c>
      <c r="D3651">
        <v>61</v>
      </c>
      <c r="E3651">
        <v>1868</v>
      </c>
      <c r="F3651">
        <v>1</v>
      </c>
      <c r="G3651">
        <v>28.2095120679963</v>
      </c>
      <c r="H3651">
        <v>2</v>
      </c>
      <c r="I3651">
        <v>59</v>
      </c>
      <c r="K3651" t="s">
        <v>2386</v>
      </c>
      <c r="L3651">
        <v>20</v>
      </c>
      <c r="M3651" t="s">
        <v>4495</v>
      </c>
      <c r="N3651" t="s">
        <v>2388</v>
      </c>
      <c r="O3651">
        <v>1</v>
      </c>
    </row>
    <row r="3652" spans="2:15" x14ac:dyDescent="0.3">
      <c r="B3652">
        <v>3712</v>
      </c>
      <c r="D3652">
        <v>1869</v>
      </c>
      <c r="E3652">
        <v>61</v>
      </c>
      <c r="F3652">
        <v>1</v>
      </c>
      <c r="G3652">
        <v>46.328799423296601</v>
      </c>
      <c r="H3652">
        <v>2</v>
      </c>
      <c r="I3652">
        <v>59</v>
      </c>
      <c r="K3652" t="s">
        <v>2386</v>
      </c>
      <c r="L3652">
        <v>20</v>
      </c>
      <c r="M3652" t="s">
        <v>4496</v>
      </c>
      <c r="N3652" t="s">
        <v>2388</v>
      </c>
      <c r="O3652">
        <v>1</v>
      </c>
    </row>
    <row r="3653" spans="2:15" x14ac:dyDescent="0.3">
      <c r="B3653">
        <v>3713</v>
      </c>
      <c r="D3653">
        <v>61</v>
      </c>
      <c r="E3653">
        <v>1869</v>
      </c>
      <c r="F3653">
        <v>1</v>
      </c>
      <c r="G3653">
        <v>46.328799423296601</v>
      </c>
      <c r="H3653">
        <v>2</v>
      </c>
      <c r="I3653">
        <v>59</v>
      </c>
      <c r="K3653" t="s">
        <v>2386</v>
      </c>
      <c r="L3653">
        <v>20</v>
      </c>
      <c r="M3653" t="s">
        <v>4497</v>
      </c>
      <c r="N3653" t="s">
        <v>2388</v>
      </c>
      <c r="O3653">
        <v>1</v>
      </c>
    </row>
    <row r="3654" spans="2:15" x14ac:dyDescent="0.3">
      <c r="B3654">
        <v>3714</v>
      </c>
      <c r="D3654">
        <v>1870</v>
      </c>
      <c r="E3654">
        <v>708</v>
      </c>
      <c r="F3654">
        <v>1</v>
      </c>
      <c r="G3654">
        <v>34.458219241917597</v>
      </c>
      <c r="H3654">
        <v>2</v>
      </c>
      <c r="I3654">
        <v>59</v>
      </c>
      <c r="K3654" t="s">
        <v>2386</v>
      </c>
      <c r="L3654">
        <v>20</v>
      </c>
      <c r="M3654" t="s">
        <v>4498</v>
      </c>
      <c r="N3654" t="s">
        <v>2388</v>
      </c>
      <c r="O3654">
        <v>1</v>
      </c>
    </row>
    <row r="3655" spans="2:15" x14ac:dyDescent="0.3">
      <c r="B3655">
        <v>3715</v>
      </c>
      <c r="D3655">
        <v>708</v>
      </c>
      <c r="E3655">
        <v>1870</v>
      </c>
      <c r="F3655">
        <v>1</v>
      </c>
      <c r="G3655">
        <v>34.458219241917597</v>
      </c>
      <c r="H3655">
        <v>2</v>
      </c>
      <c r="I3655">
        <v>59</v>
      </c>
      <c r="K3655" t="s">
        <v>2386</v>
      </c>
      <c r="L3655">
        <v>20</v>
      </c>
      <c r="M3655" t="s">
        <v>4499</v>
      </c>
      <c r="N3655" t="s">
        <v>2388</v>
      </c>
      <c r="O3655">
        <v>1</v>
      </c>
    </row>
    <row r="3656" spans="2:15" x14ac:dyDescent="0.3">
      <c r="B3656">
        <v>3716</v>
      </c>
      <c r="D3656">
        <v>1871</v>
      </c>
      <c r="E3656">
        <v>155</v>
      </c>
      <c r="F3656">
        <v>1</v>
      </c>
      <c r="G3656">
        <v>20.5681602865046</v>
      </c>
      <c r="H3656">
        <v>2</v>
      </c>
      <c r="I3656">
        <v>59</v>
      </c>
      <c r="K3656" t="s">
        <v>2386</v>
      </c>
      <c r="L3656">
        <v>20</v>
      </c>
      <c r="M3656" t="s">
        <v>4500</v>
      </c>
      <c r="N3656" t="s">
        <v>2388</v>
      </c>
      <c r="O3656">
        <v>1</v>
      </c>
    </row>
    <row r="3657" spans="2:15" x14ac:dyDescent="0.3">
      <c r="B3657">
        <v>3717</v>
      </c>
      <c r="D3657">
        <v>155</v>
      </c>
      <c r="E3657">
        <v>1871</v>
      </c>
      <c r="F3657">
        <v>1</v>
      </c>
      <c r="G3657">
        <v>20.5681602865046</v>
      </c>
      <c r="H3657">
        <v>2</v>
      </c>
      <c r="I3657">
        <v>59</v>
      </c>
      <c r="K3657" t="s">
        <v>2386</v>
      </c>
      <c r="L3657">
        <v>20</v>
      </c>
      <c r="M3657" t="s">
        <v>4501</v>
      </c>
      <c r="N3657" t="s">
        <v>2388</v>
      </c>
      <c r="O3657">
        <v>1</v>
      </c>
    </row>
    <row r="3658" spans="2:15" x14ac:dyDescent="0.3">
      <c r="B3658">
        <v>3718</v>
      </c>
      <c r="D3658">
        <v>1872</v>
      </c>
      <c r="E3658">
        <v>794</v>
      </c>
      <c r="F3658">
        <v>1</v>
      </c>
      <c r="G3658">
        <v>36.420179605616099</v>
      </c>
      <c r="H3658">
        <v>2</v>
      </c>
      <c r="I3658">
        <v>59</v>
      </c>
      <c r="K3658" t="s">
        <v>2386</v>
      </c>
      <c r="L3658">
        <v>20</v>
      </c>
      <c r="M3658" t="s">
        <v>4502</v>
      </c>
      <c r="N3658" t="s">
        <v>2388</v>
      </c>
      <c r="O3658">
        <v>1</v>
      </c>
    </row>
    <row r="3659" spans="2:15" x14ac:dyDescent="0.3">
      <c r="B3659">
        <v>3719</v>
      </c>
      <c r="D3659">
        <v>794</v>
      </c>
      <c r="E3659">
        <v>1872</v>
      </c>
      <c r="F3659">
        <v>1</v>
      </c>
      <c r="G3659">
        <v>36.420179605616099</v>
      </c>
      <c r="H3659">
        <v>2</v>
      </c>
      <c r="I3659">
        <v>59</v>
      </c>
      <c r="K3659" t="s">
        <v>2386</v>
      </c>
      <c r="L3659">
        <v>20</v>
      </c>
      <c r="M3659" t="s">
        <v>4503</v>
      </c>
      <c r="N3659" t="s">
        <v>2388</v>
      </c>
      <c r="O3659">
        <v>1</v>
      </c>
    </row>
    <row r="3660" spans="2:15" x14ac:dyDescent="0.3">
      <c r="B3660">
        <v>3720</v>
      </c>
      <c r="D3660">
        <v>1873</v>
      </c>
      <c r="E3660">
        <v>535</v>
      </c>
      <c r="F3660">
        <v>1</v>
      </c>
      <c r="G3660">
        <v>140.89372479035899</v>
      </c>
      <c r="H3660">
        <v>2</v>
      </c>
      <c r="I3660">
        <v>59</v>
      </c>
      <c r="K3660" t="s">
        <v>2386</v>
      </c>
      <c r="L3660">
        <v>20</v>
      </c>
      <c r="M3660" t="s">
        <v>4504</v>
      </c>
      <c r="N3660" t="s">
        <v>2388</v>
      </c>
      <c r="O3660">
        <v>1</v>
      </c>
    </row>
    <row r="3661" spans="2:15" x14ac:dyDescent="0.3">
      <c r="B3661">
        <v>3721</v>
      </c>
      <c r="D3661">
        <v>535</v>
      </c>
      <c r="E3661">
        <v>1873</v>
      </c>
      <c r="F3661">
        <v>1</v>
      </c>
      <c r="G3661">
        <v>140.89372479035899</v>
      </c>
      <c r="H3661">
        <v>2</v>
      </c>
      <c r="I3661">
        <v>59</v>
      </c>
      <c r="K3661" t="s">
        <v>2386</v>
      </c>
      <c r="L3661">
        <v>20</v>
      </c>
      <c r="M3661" t="s">
        <v>4505</v>
      </c>
      <c r="N3661" t="s">
        <v>2388</v>
      </c>
      <c r="O3661">
        <v>1</v>
      </c>
    </row>
    <row r="3662" spans="2:15" x14ac:dyDescent="0.3">
      <c r="B3662">
        <v>3722</v>
      </c>
      <c r="D3662">
        <v>1874</v>
      </c>
      <c r="E3662">
        <v>601</v>
      </c>
      <c r="F3662">
        <v>1</v>
      </c>
      <c r="G3662">
        <v>55.726336615129703</v>
      </c>
      <c r="H3662">
        <v>2</v>
      </c>
      <c r="I3662">
        <v>59</v>
      </c>
      <c r="K3662" t="s">
        <v>2386</v>
      </c>
      <c r="L3662">
        <v>20</v>
      </c>
      <c r="M3662" t="s">
        <v>4506</v>
      </c>
      <c r="N3662" t="s">
        <v>2388</v>
      </c>
      <c r="O3662">
        <v>1</v>
      </c>
    </row>
    <row r="3663" spans="2:15" x14ac:dyDescent="0.3">
      <c r="B3663">
        <v>3723</v>
      </c>
      <c r="D3663">
        <v>601</v>
      </c>
      <c r="E3663">
        <v>1874</v>
      </c>
      <c r="F3663">
        <v>1</v>
      </c>
      <c r="G3663">
        <v>55.726336615129703</v>
      </c>
      <c r="H3663">
        <v>2</v>
      </c>
      <c r="I3663">
        <v>59</v>
      </c>
      <c r="K3663" t="s">
        <v>2386</v>
      </c>
      <c r="L3663">
        <v>20</v>
      </c>
      <c r="M3663" t="s">
        <v>4507</v>
      </c>
      <c r="N3663" t="s">
        <v>2388</v>
      </c>
      <c r="O3663">
        <v>1</v>
      </c>
    </row>
    <row r="3664" spans="2:15" x14ac:dyDescent="0.3">
      <c r="B3664">
        <v>3724</v>
      </c>
      <c r="D3664">
        <v>1875</v>
      </c>
      <c r="E3664">
        <v>288</v>
      </c>
      <c r="F3664">
        <v>1</v>
      </c>
      <c r="G3664">
        <v>82.205077197807299</v>
      </c>
      <c r="H3664">
        <v>2</v>
      </c>
      <c r="I3664">
        <v>59</v>
      </c>
      <c r="K3664" t="s">
        <v>2386</v>
      </c>
      <c r="L3664">
        <v>20</v>
      </c>
      <c r="M3664" t="s">
        <v>4508</v>
      </c>
      <c r="N3664" t="s">
        <v>2388</v>
      </c>
      <c r="O3664">
        <v>1</v>
      </c>
    </row>
    <row r="3665" spans="2:15" x14ac:dyDescent="0.3">
      <c r="B3665">
        <v>3725</v>
      </c>
      <c r="D3665">
        <v>288</v>
      </c>
      <c r="E3665">
        <v>1875</v>
      </c>
      <c r="F3665">
        <v>1</v>
      </c>
      <c r="G3665">
        <v>82.205077197807299</v>
      </c>
      <c r="H3665">
        <v>2</v>
      </c>
      <c r="I3665">
        <v>59</v>
      </c>
      <c r="K3665" t="s">
        <v>2386</v>
      </c>
      <c r="L3665">
        <v>20</v>
      </c>
      <c r="M3665" t="s">
        <v>4509</v>
      </c>
      <c r="N3665" t="s">
        <v>2388</v>
      </c>
      <c r="O3665">
        <v>1</v>
      </c>
    </row>
    <row r="3666" spans="2:15" x14ac:dyDescent="0.3">
      <c r="B3666">
        <v>3726</v>
      </c>
      <c r="D3666">
        <v>1876</v>
      </c>
      <c r="E3666">
        <v>649</v>
      </c>
      <c r="F3666">
        <v>1</v>
      </c>
      <c r="G3666">
        <v>79.285052137147702</v>
      </c>
      <c r="H3666">
        <v>2</v>
      </c>
      <c r="I3666">
        <v>59</v>
      </c>
      <c r="K3666" t="s">
        <v>2386</v>
      </c>
      <c r="L3666">
        <v>20</v>
      </c>
      <c r="M3666" t="s">
        <v>4510</v>
      </c>
      <c r="N3666" t="s">
        <v>2388</v>
      </c>
      <c r="O3666">
        <v>1</v>
      </c>
    </row>
    <row r="3667" spans="2:15" x14ac:dyDescent="0.3">
      <c r="B3667">
        <v>3727</v>
      </c>
      <c r="D3667">
        <v>649</v>
      </c>
      <c r="E3667">
        <v>1876</v>
      </c>
      <c r="F3667">
        <v>1</v>
      </c>
      <c r="G3667">
        <v>79.285052137147702</v>
      </c>
      <c r="H3667">
        <v>2</v>
      </c>
      <c r="I3667">
        <v>59</v>
      </c>
      <c r="K3667" t="s">
        <v>2386</v>
      </c>
      <c r="L3667">
        <v>20</v>
      </c>
      <c r="M3667" t="s">
        <v>4511</v>
      </c>
      <c r="N3667" t="s">
        <v>2388</v>
      </c>
      <c r="O3667">
        <v>1</v>
      </c>
    </row>
    <row r="3668" spans="2:15" x14ac:dyDescent="0.3">
      <c r="B3668">
        <v>3728</v>
      </c>
      <c r="D3668">
        <v>1877</v>
      </c>
      <c r="E3668">
        <v>449</v>
      </c>
      <c r="F3668">
        <v>1</v>
      </c>
      <c r="G3668">
        <v>31.404051237346899</v>
      </c>
      <c r="H3668">
        <v>2</v>
      </c>
      <c r="I3668">
        <v>59</v>
      </c>
      <c r="K3668" t="s">
        <v>2386</v>
      </c>
      <c r="L3668">
        <v>20</v>
      </c>
      <c r="M3668" t="s">
        <v>4512</v>
      </c>
      <c r="N3668" t="s">
        <v>2388</v>
      </c>
      <c r="O3668">
        <v>1</v>
      </c>
    </row>
    <row r="3669" spans="2:15" x14ac:dyDescent="0.3">
      <c r="B3669">
        <v>3729</v>
      </c>
      <c r="D3669">
        <v>449</v>
      </c>
      <c r="E3669">
        <v>1877</v>
      </c>
      <c r="F3669">
        <v>1</v>
      </c>
      <c r="G3669">
        <v>31.404051237346899</v>
      </c>
      <c r="H3669">
        <v>2</v>
      </c>
      <c r="I3669">
        <v>59</v>
      </c>
      <c r="K3669" t="s">
        <v>2386</v>
      </c>
      <c r="L3669">
        <v>20</v>
      </c>
      <c r="M3669" t="s">
        <v>4513</v>
      </c>
      <c r="N3669" t="s">
        <v>2388</v>
      </c>
      <c r="O3669">
        <v>1</v>
      </c>
    </row>
    <row r="3670" spans="2:15" x14ac:dyDescent="0.3">
      <c r="B3670">
        <v>3730</v>
      </c>
      <c r="D3670">
        <v>1878</v>
      </c>
      <c r="E3670">
        <v>449</v>
      </c>
      <c r="F3670">
        <v>1</v>
      </c>
      <c r="G3670">
        <v>20.0138761990546</v>
      </c>
      <c r="H3670">
        <v>2</v>
      </c>
      <c r="I3670">
        <v>59</v>
      </c>
      <c r="K3670" t="s">
        <v>2386</v>
      </c>
      <c r="L3670">
        <v>20</v>
      </c>
      <c r="M3670" t="s">
        <v>4514</v>
      </c>
      <c r="N3670" t="s">
        <v>2388</v>
      </c>
      <c r="O3670">
        <v>1</v>
      </c>
    </row>
    <row r="3671" spans="2:15" x14ac:dyDescent="0.3">
      <c r="B3671">
        <v>3731</v>
      </c>
      <c r="D3671">
        <v>449</v>
      </c>
      <c r="E3671">
        <v>1878</v>
      </c>
      <c r="F3671">
        <v>1</v>
      </c>
      <c r="G3671">
        <v>20.0138761990546</v>
      </c>
      <c r="H3671">
        <v>2</v>
      </c>
      <c r="I3671">
        <v>59</v>
      </c>
      <c r="K3671" t="s">
        <v>2386</v>
      </c>
      <c r="L3671">
        <v>20</v>
      </c>
      <c r="M3671" t="s">
        <v>4515</v>
      </c>
      <c r="N3671" t="s">
        <v>2388</v>
      </c>
      <c r="O3671">
        <v>1</v>
      </c>
    </row>
    <row r="3672" spans="2:15" x14ac:dyDescent="0.3">
      <c r="B3672">
        <v>3732</v>
      </c>
      <c r="D3672">
        <v>1879</v>
      </c>
      <c r="E3672">
        <v>449</v>
      </c>
      <c r="F3672">
        <v>1</v>
      </c>
      <c r="G3672">
        <v>47.171617646829198</v>
      </c>
      <c r="H3672">
        <v>2</v>
      </c>
      <c r="I3672">
        <v>59</v>
      </c>
      <c r="K3672" t="s">
        <v>2386</v>
      </c>
      <c r="L3672">
        <v>20</v>
      </c>
      <c r="M3672" t="s">
        <v>4516</v>
      </c>
      <c r="N3672" t="s">
        <v>2388</v>
      </c>
      <c r="O3672">
        <v>1</v>
      </c>
    </row>
    <row r="3673" spans="2:15" x14ac:dyDescent="0.3">
      <c r="B3673">
        <v>3733</v>
      </c>
      <c r="D3673">
        <v>449</v>
      </c>
      <c r="E3673">
        <v>1879</v>
      </c>
      <c r="F3673">
        <v>1</v>
      </c>
      <c r="G3673">
        <v>47.171617646829198</v>
      </c>
      <c r="H3673">
        <v>2</v>
      </c>
      <c r="I3673">
        <v>59</v>
      </c>
      <c r="K3673" t="s">
        <v>2386</v>
      </c>
      <c r="L3673">
        <v>20</v>
      </c>
      <c r="M3673" t="s">
        <v>4517</v>
      </c>
      <c r="N3673" t="s">
        <v>2388</v>
      </c>
      <c r="O3673">
        <v>1</v>
      </c>
    </row>
    <row r="3674" spans="2:15" x14ac:dyDescent="0.3">
      <c r="B3674">
        <v>3734</v>
      </c>
      <c r="D3674">
        <v>1880</v>
      </c>
      <c r="E3674">
        <v>453</v>
      </c>
      <c r="F3674">
        <v>1</v>
      </c>
      <c r="G3674">
        <v>45.681942426601601</v>
      </c>
      <c r="H3674">
        <v>2</v>
      </c>
      <c r="I3674">
        <v>59</v>
      </c>
      <c r="K3674" t="s">
        <v>2386</v>
      </c>
      <c r="L3674">
        <v>20</v>
      </c>
      <c r="M3674" t="s">
        <v>4518</v>
      </c>
      <c r="N3674" t="s">
        <v>2388</v>
      </c>
      <c r="O3674">
        <v>1</v>
      </c>
    </row>
    <row r="3675" spans="2:15" x14ac:dyDescent="0.3">
      <c r="B3675">
        <v>3735</v>
      </c>
      <c r="D3675">
        <v>453</v>
      </c>
      <c r="E3675">
        <v>1880</v>
      </c>
      <c r="F3675">
        <v>1</v>
      </c>
      <c r="G3675">
        <v>45.681942426601601</v>
      </c>
      <c r="H3675">
        <v>2</v>
      </c>
      <c r="I3675">
        <v>59</v>
      </c>
      <c r="K3675" t="s">
        <v>2386</v>
      </c>
      <c r="L3675">
        <v>20</v>
      </c>
      <c r="M3675" t="s">
        <v>4519</v>
      </c>
      <c r="N3675" t="s">
        <v>2388</v>
      </c>
      <c r="O3675">
        <v>1</v>
      </c>
    </row>
    <row r="3676" spans="2:15" x14ac:dyDescent="0.3">
      <c r="B3676">
        <v>3736</v>
      </c>
      <c r="D3676">
        <v>1881</v>
      </c>
      <c r="E3676">
        <v>542</v>
      </c>
      <c r="F3676">
        <v>1</v>
      </c>
      <c r="G3676">
        <v>31.860450933711899</v>
      </c>
      <c r="H3676">
        <v>2</v>
      </c>
      <c r="I3676">
        <v>59</v>
      </c>
      <c r="K3676" t="s">
        <v>2386</v>
      </c>
      <c r="L3676">
        <v>20</v>
      </c>
      <c r="M3676" t="s">
        <v>4520</v>
      </c>
      <c r="N3676" t="s">
        <v>2388</v>
      </c>
      <c r="O3676">
        <v>1</v>
      </c>
    </row>
    <row r="3677" spans="2:15" x14ac:dyDescent="0.3">
      <c r="B3677">
        <v>3737</v>
      </c>
      <c r="D3677">
        <v>542</v>
      </c>
      <c r="E3677">
        <v>1881</v>
      </c>
      <c r="F3677">
        <v>1</v>
      </c>
      <c r="G3677">
        <v>31.860450933711899</v>
      </c>
      <c r="H3677">
        <v>2</v>
      </c>
      <c r="I3677">
        <v>59</v>
      </c>
      <c r="K3677" t="s">
        <v>2386</v>
      </c>
      <c r="L3677">
        <v>20</v>
      </c>
      <c r="M3677" t="s">
        <v>4521</v>
      </c>
      <c r="N3677" t="s">
        <v>2388</v>
      </c>
      <c r="O3677">
        <v>1</v>
      </c>
    </row>
    <row r="3678" spans="2:15" x14ac:dyDescent="0.3">
      <c r="B3678">
        <v>3738</v>
      </c>
      <c r="D3678">
        <v>1882</v>
      </c>
      <c r="E3678">
        <v>180</v>
      </c>
      <c r="F3678">
        <v>1</v>
      </c>
      <c r="G3678">
        <v>72.079642507614196</v>
      </c>
      <c r="H3678">
        <v>2</v>
      </c>
      <c r="I3678">
        <v>59</v>
      </c>
      <c r="K3678" t="s">
        <v>2386</v>
      </c>
      <c r="L3678">
        <v>20</v>
      </c>
      <c r="M3678" t="s">
        <v>4522</v>
      </c>
      <c r="N3678" t="s">
        <v>2388</v>
      </c>
      <c r="O3678">
        <v>1</v>
      </c>
    </row>
    <row r="3679" spans="2:15" x14ac:dyDescent="0.3">
      <c r="B3679">
        <v>3739</v>
      </c>
      <c r="D3679">
        <v>180</v>
      </c>
      <c r="E3679">
        <v>1882</v>
      </c>
      <c r="F3679">
        <v>1</v>
      </c>
      <c r="G3679">
        <v>72.079642507614196</v>
      </c>
      <c r="H3679">
        <v>2</v>
      </c>
      <c r="I3679">
        <v>59</v>
      </c>
      <c r="K3679" t="s">
        <v>2386</v>
      </c>
      <c r="L3679">
        <v>20</v>
      </c>
      <c r="M3679" t="s">
        <v>4523</v>
      </c>
      <c r="N3679" t="s">
        <v>2388</v>
      </c>
      <c r="O3679">
        <v>1</v>
      </c>
    </row>
    <row r="3680" spans="2:15" x14ac:dyDescent="0.3">
      <c r="B3680">
        <v>3740</v>
      </c>
      <c r="D3680">
        <v>1883</v>
      </c>
      <c r="E3680">
        <v>749</v>
      </c>
      <c r="F3680">
        <v>1</v>
      </c>
      <c r="G3680">
        <v>46.816325547809903</v>
      </c>
      <c r="H3680">
        <v>2</v>
      </c>
      <c r="I3680">
        <v>59</v>
      </c>
      <c r="K3680" t="s">
        <v>2386</v>
      </c>
      <c r="L3680">
        <v>20</v>
      </c>
      <c r="M3680" t="s">
        <v>4524</v>
      </c>
      <c r="N3680" t="s">
        <v>2388</v>
      </c>
      <c r="O3680">
        <v>1</v>
      </c>
    </row>
    <row r="3681" spans="2:15" x14ac:dyDescent="0.3">
      <c r="B3681">
        <v>3741</v>
      </c>
      <c r="D3681">
        <v>749</v>
      </c>
      <c r="E3681">
        <v>1883</v>
      </c>
      <c r="F3681">
        <v>1</v>
      </c>
      <c r="G3681">
        <v>46.816325547809903</v>
      </c>
      <c r="H3681">
        <v>2</v>
      </c>
      <c r="I3681">
        <v>59</v>
      </c>
      <c r="K3681" t="s">
        <v>2386</v>
      </c>
      <c r="L3681">
        <v>20</v>
      </c>
      <c r="M3681" t="s">
        <v>4525</v>
      </c>
      <c r="N3681" t="s">
        <v>2388</v>
      </c>
      <c r="O3681">
        <v>1</v>
      </c>
    </row>
    <row r="3682" spans="2:15" x14ac:dyDescent="0.3">
      <c r="B3682">
        <v>3742</v>
      </c>
      <c r="D3682">
        <v>1884</v>
      </c>
      <c r="E3682">
        <v>639</v>
      </c>
      <c r="F3682">
        <v>1</v>
      </c>
      <c r="G3682">
        <v>66.533203602045702</v>
      </c>
      <c r="H3682">
        <v>2</v>
      </c>
      <c r="I3682">
        <v>59</v>
      </c>
      <c r="K3682" t="s">
        <v>2386</v>
      </c>
      <c r="L3682">
        <v>20</v>
      </c>
      <c r="M3682" t="s">
        <v>4526</v>
      </c>
      <c r="N3682" t="s">
        <v>2388</v>
      </c>
      <c r="O3682">
        <v>1</v>
      </c>
    </row>
    <row r="3683" spans="2:15" x14ac:dyDescent="0.3">
      <c r="B3683">
        <v>3743</v>
      </c>
      <c r="D3683">
        <v>639</v>
      </c>
      <c r="E3683">
        <v>1884</v>
      </c>
      <c r="F3683">
        <v>1</v>
      </c>
      <c r="G3683">
        <v>66.533203602045702</v>
      </c>
      <c r="H3683">
        <v>2</v>
      </c>
      <c r="I3683">
        <v>59</v>
      </c>
      <c r="K3683" t="s">
        <v>2386</v>
      </c>
      <c r="L3683">
        <v>20</v>
      </c>
      <c r="M3683" t="s">
        <v>4527</v>
      </c>
      <c r="N3683" t="s">
        <v>2388</v>
      </c>
      <c r="O3683">
        <v>1</v>
      </c>
    </row>
    <row r="3684" spans="2:15" x14ac:dyDescent="0.3">
      <c r="B3684">
        <v>3744</v>
      </c>
      <c r="D3684">
        <v>1885</v>
      </c>
      <c r="E3684">
        <v>165</v>
      </c>
      <c r="F3684">
        <v>1</v>
      </c>
      <c r="G3684">
        <v>45.031086643012301</v>
      </c>
      <c r="H3684">
        <v>2</v>
      </c>
      <c r="I3684">
        <v>59</v>
      </c>
      <c r="K3684" t="s">
        <v>2386</v>
      </c>
      <c r="L3684">
        <v>20</v>
      </c>
      <c r="M3684" t="s">
        <v>4528</v>
      </c>
      <c r="N3684" t="s">
        <v>2388</v>
      </c>
      <c r="O3684">
        <v>1</v>
      </c>
    </row>
    <row r="3685" spans="2:15" x14ac:dyDescent="0.3">
      <c r="B3685">
        <v>3745</v>
      </c>
      <c r="D3685">
        <v>165</v>
      </c>
      <c r="E3685">
        <v>1885</v>
      </c>
      <c r="F3685">
        <v>1</v>
      </c>
      <c r="G3685">
        <v>45.031086643012301</v>
      </c>
      <c r="H3685">
        <v>2</v>
      </c>
      <c r="I3685">
        <v>59</v>
      </c>
      <c r="K3685" t="s">
        <v>2386</v>
      </c>
      <c r="L3685">
        <v>20</v>
      </c>
      <c r="M3685" t="s">
        <v>4529</v>
      </c>
      <c r="N3685" t="s">
        <v>2388</v>
      </c>
      <c r="O3685">
        <v>1</v>
      </c>
    </row>
    <row r="3686" spans="2:15" x14ac:dyDescent="0.3">
      <c r="B3686">
        <v>3746</v>
      </c>
      <c r="D3686">
        <v>1886</v>
      </c>
      <c r="E3686">
        <v>165</v>
      </c>
      <c r="F3686">
        <v>1</v>
      </c>
      <c r="G3686">
        <v>68.464598909512603</v>
      </c>
      <c r="H3686">
        <v>2</v>
      </c>
      <c r="I3686">
        <v>59</v>
      </c>
      <c r="K3686" t="s">
        <v>2386</v>
      </c>
      <c r="L3686">
        <v>20</v>
      </c>
      <c r="M3686" t="s">
        <v>4530</v>
      </c>
      <c r="N3686" t="s">
        <v>2388</v>
      </c>
      <c r="O3686">
        <v>1</v>
      </c>
    </row>
    <row r="3687" spans="2:15" x14ac:dyDescent="0.3">
      <c r="B3687">
        <v>3747</v>
      </c>
      <c r="D3687">
        <v>165</v>
      </c>
      <c r="E3687">
        <v>1886</v>
      </c>
      <c r="F3687">
        <v>1</v>
      </c>
      <c r="G3687">
        <v>68.464598909512603</v>
      </c>
      <c r="H3687">
        <v>2</v>
      </c>
      <c r="I3687">
        <v>59</v>
      </c>
      <c r="K3687" t="s">
        <v>2386</v>
      </c>
      <c r="L3687">
        <v>20</v>
      </c>
      <c r="M3687" t="s">
        <v>4531</v>
      </c>
      <c r="N3687" t="s">
        <v>2388</v>
      </c>
      <c r="O3687">
        <v>1</v>
      </c>
    </row>
    <row r="3688" spans="2:15" x14ac:dyDescent="0.3">
      <c r="B3688">
        <v>3748</v>
      </c>
      <c r="D3688">
        <v>1887</v>
      </c>
      <c r="E3688">
        <v>136</v>
      </c>
      <c r="F3688">
        <v>1</v>
      </c>
      <c r="G3688">
        <v>103.20861495272101</v>
      </c>
      <c r="H3688">
        <v>2</v>
      </c>
      <c r="I3688">
        <v>59</v>
      </c>
      <c r="K3688" t="s">
        <v>2386</v>
      </c>
      <c r="L3688">
        <v>20</v>
      </c>
      <c r="M3688" t="s">
        <v>4532</v>
      </c>
      <c r="N3688" t="s">
        <v>2388</v>
      </c>
      <c r="O3688">
        <v>1</v>
      </c>
    </row>
    <row r="3689" spans="2:15" x14ac:dyDescent="0.3">
      <c r="B3689">
        <v>3749</v>
      </c>
      <c r="D3689">
        <v>136</v>
      </c>
      <c r="E3689">
        <v>1887</v>
      </c>
      <c r="F3689">
        <v>1</v>
      </c>
      <c r="G3689">
        <v>103.20861495272101</v>
      </c>
      <c r="H3689">
        <v>2</v>
      </c>
      <c r="I3689">
        <v>59</v>
      </c>
      <c r="K3689" t="s">
        <v>2386</v>
      </c>
      <c r="L3689">
        <v>20</v>
      </c>
      <c r="M3689" t="s">
        <v>4533</v>
      </c>
      <c r="N3689" t="s">
        <v>2388</v>
      </c>
      <c r="O3689">
        <v>1</v>
      </c>
    </row>
    <row r="3690" spans="2:15" x14ac:dyDescent="0.3">
      <c r="B3690">
        <v>3750</v>
      </c>
      <c r="D3690">
        <v>1888</v>
      </c>
      <c r="E3690">
        <v>135</v>
      </c>
      <c r="F3690">
        <v>1</v>
      </c>
      <c r="G3690">
        <v>89.558256495071106</v>
      </c>
      <c r="H3690">
        <v>2</v>
      </c>
      <c r="I3690">
        <v>59</v>
      </c>
      <c r="K3690" t="s">
        <v>2386</v>
      </c>
      <c r="L3690">
        <v>20</v>
      </c>
      <c r="M3690" t="s">
        <v>4534</v>
      </c>
      <c r="N3690" t="s">
        <v>2388</v>
      </c>
      <c r="O3690">
        <v>1</v>
      </c>
    </row>
    <row r="3691" spans="2:15" x14ac:dyDescent="0.3">
      <c r="B3691">
        <v>3751</v>
      </c>
      <c r="D3691">
        <v>135</v>
      </c>
      <c r="E3691">
        <v>1888</v>
      </c>
      <c r="F3691">
        <v>1</v>
      </c>
      <c r="G3691">
        <v>89.558256495071106</v>
      </c>
      <c r="H3691">
        <v>2</v>
      </c>
      <c r="I3691">
        <v>59</v>
      </c>
      <c r="K3691" t="s">
        <v>2386</v>
      </c>
      <c r="L3691">
        <v>20</v>
      </c>
      <c r="M3691" t="s">
        <v>4535</v>
      </c>
      <c r="N3691" t="s">
        <v>2388</v>
      </c>
      <c r="O3691">
        <v>1</v>
      </c>
    </row>
    <row r="3692" spans="2:15" x14ac:dyDescent="0.3">
      <c r="B3692">
        <v>3752</v>
      </c>
      <c r="D3692">
        <v>1889</v>
      </c>
      <c r="E3692">
        <v>744</v>
      </c>
      <c r="F3692">
        <v>1</v>
      </c>
      <c r="G3692">
        <v>60.699330785088797</v>
      </c>
      <c r="H3692">
        <v>2</v>
      </c>
      <c r="I3692">
        <v>59</v>
      </c>
      <c r="K3692" t="s">
        <v>2386</v>
      </c>
      <c r="L3692">
        <v>20</v>
      </c>
      <c r="M3692" t="s">
        <v>4536</v>
      </c>
      <c r="N3692" t="s">
        <v>2388</v>
      </c>
      <c r="O3692">
        <v>1</v>
      </c>
    </row>
    <row r="3693" spans="2:15" x14ac:dyDescent="0.3">
      <c r="B3693">
        <v>3753</v>
      </c>
      <c r="D3693">
        <v>744</v>
      </c>
      <c r="E3693">
        <v>1889</v>
      </c>
      <c r="F3693">
        <v>1</v>
      </c>
      <c r="G3693">
        <v>60.699330785088797</v>
      </c>
      <c r="H3693">
        <v>2</v>
      </c>
      <c r="I3693">
        <v>59</v>
      </c>
      <c r="K3693" t="s">
        <v>2386</v>
      </c>
      <c r="L3693">
        <v>20</v>
      </c>
      <c r="M3693" t="s">
        <v>4537</v>
      </c>
      <c r="N3693" t="s">
        <v>2388</v>
      </c>
      <c r="O3693">
        <v>1</v>
      </c>
    </row>
    <row r="3694" spans="2:15" x14ac:dyDescent="0.3">
      <c r="B3694">
        <v>3754</v>
      </c>
      <c r="D3694">
        <v>1890</v>
      </c>
      <c r="E3694">
        <v>744</v>
      </c>
      <c r="F3694">
        <v>1</v>
      </c>
      <c r="G3694">
        <v>76.927936488980706</v>
      </c>
      <c r="H3694">
        <v>2</v>
      </c>
      <c r="I3694">
        <v>59</v>
      </c>
      <c r="K3694" t="s">
        <v>2386</v>
      </c>
      <c r="L3694">
        <v>20</v>
      </c>
      <c r="M3694" t="s">
        <v>4538</v>
      </c>
      <c r="N3694" t="s">
        <v>2388</v>
      </c>
      <c r="O3694">
        <v>1</v>
      </c>
    </row>
    <row r="3695" spans="2:15" x14ac:dyDescent="0.3">
      <c r="B3695">
        <v>3755</v>
      </c>
      <c r="D3695">
        <v>744</v>
      </c>
      <c r="E3695">
        <v>1890</v>
      </c>
      <c r="F3695">
        <v>1</v>
      </c>
      <c r="G3695">
        <v>76.927936488980706</v>
      </c>
      <c r="H3695">
        <v>2</v>
      </c>
      <c r="I3695">
        <v>59</v>
      </c>
      <c r="K3695" t="s">
        <v>2386</v>
      </c>
      <c r="L3695">
        <v>20</v>
      </c>
      <c r="M3695" t="s">
        <v>4539</v>
      </c>
      <c r="N3695" t="s">
        <v>2388</v>
      </c>
      <c r="O3695">
        <v>1</v>
      </c>
    </row>
    <row r="3696" spans="2:15" x14ac:dyDescent="0.3">
      <c r="B3696">
        <v>3756</v>
      </c>
      <c r="D3696">
        <v>1891</v>
      </c>
      <c r="E3696">
        <v>324</v>
      </c>
      <c r="F3696">
        <v>1</v>
      </c>
      <c r="G3696">
        <v>386.36567552617902</v>
      </c>
      <c r="H3696">
        <v>2</v>
      </c>
      <c r="I3696">
        <v>59</v>
      </c>
      <c r="K3696" t="s">
        <v>2386</v>
      </c>
      <c r="L3696">
        <v>20</v>
      </c>
      <c r="M3696" t="s">
        <v>4540</v>
      </c>
      <c r="N3696" t="s">
        <v>2388</v>
      </c>
      <c r="O3696">
        <v>1</v>
      </c>
    </row>
    <row r="3697" spans="2:15" x14ac:dyDescent="0.3">
      <c r="B3697">
        <v>3757</v>
      </c>
      <c r="D3697">
        <v>324</v>
      </c>
      <c r="E3697">
        <v>1891</v>
      </c>
      <c r="F3697">
        <v>1</v>
      </c>
      <c r="G3697">
        <v>386.36567552617902</v>
      </c>
      <c r="H3697">
        <v>2</v>
      </c>
      <c r="I3697">
        <v>59</v>
      </c>
      <c r="K3697" t="s">
        <v>2386</v>
      </c>
      <c r="L3697">
        <v>20</v>
      </c>
      <c r="M3697" t="s">
        <v>4541</v>
      </c>
      <c r="N3697" t="s">
        <v>2388</v>
      </c>
      <c r="O3697">
        <v>1</v>
      </c>
    </row>
    <row r="3698" spans="2:15" x14ac:dyDescent="0.3">
      <c r="B3698">
        <v>3758</v>
      </c>
      <c r="D3698">
        <v>1892</v>
      </c>
      <c r="E3698">
        <v>474</v>
      </c>
      <c r="F3698">
        <v>1</v>
      </c>
      <c r="G3698">
        <v>63.072293161630597</v>
      </c>
      <c r="H3698">
        <v>2</v>
      </c>
      <c r="I3698">
        <v>59</v>
      </c>
      <c r="K3698" t="s">
        <v>2386</v>
      </c>
      <c r="L3698">
        <v>20</v>
      </c>
      <c r="M3698" t="s">
        <v>4542</v>
      </c>
      <c r="N3698" t="s">
        <v>2388</v>
      </c>
      <c r="O3698">
        <v>1</v>
      </c>
    </row>
    <row r="3699" spans="2:15" x14ac:dyDescent="0.3">
      <c r="B3699">
        <v>3759</v>
      </c>
      <c r="D3699">
        <v>474</v>
      </c>
      <c r="E3699">
        <v>1892</v>
      </c>
      <c r="F3699">
        <v>1</v>
      </c>
      <c r="G3699">
        <v>63.072293161630597</v>
      </c>
      <c r="H3699">
        <v>2</v>
      </c>
      <c r="I3699">
        <v>59</v>
      </c>
      <c r="K3699" t="s">
        <v>2386</v>
      </c>
      <c r="L3699">
        <v>20</v>
      </c>
      <c r="M3699" t="s">
        <v>4543</v>
      </c>
      <c r="N3699" t="s">
        <v>2388</v>
      </c>
      <c r="O3699">
        <v>1</v>
      </c>
    </row>
    <row r="3700" spans="2:15" x14ac:dyDescent="0.3">
      <c r="B3700">
        <v>3760</v>
      </c>
      <c r="D3700">
        <v>1893</v>
      </c>
      <c r="E3700">
        <v>651</v>
      </c>
      <c r="F3700">
        <v>1</v>
      </c>
      <c r="G3700">
        <v>71.216832266000196</v>
      </c>
      <c r="H3700">
        <v>2</v>
      </c>
      <c r="I3700">
        <v>59</v>
      </c>
      <c r="K3700" t="s">
        <v>2386</v>
      </c>
      <c r="L3700">
        <v>20</v>
      </c>
      <c r="M3700" t="s">
        <v>4544</v>
      </c>
      <c r="N3700" t="s">
        <v>2388</v>
      </c>
      <c r="O3700">
        <v>1</v>
      </c>
    </row>
    <row r="3701" spans="2:15" x14ac:dyDescent="0.3">
      <c r="B3701">
        <v>3761</v>
      </c>
      <c r="D3701">
        <v>651</v>
      </c>
      <c r="E3701">
        <v>1893</v>
      </c>
      <c r="F3701">
        <v>1</v>
      </c>
      <c r="G3701">
        <v>71.216832266000196</v>
      </c>
      <c r="H3701">
        <v>2</v>
      </c>
      <c r="I3701">
        <v>59</v>
      </c>
      <c r="K3701" t="s">
        <v>2386</v>
      </c>
      <c r="L3701">
        <v>20</v>
      </c>
      <c r="M3701" t="s">
        <v>4545</v>
      </c>
      <c r="N3701" t="s">
        <v>2388</v>
      </c>
      <c r="O3701">
        <v>1</v>
      </c>
    </row>
    <row r="3702" spans="2:15" x14ac:dyDescent="0.3">
      <c r="B3702">
        <v>3762</v>
      </c>
      <c r="D3702">
        <v>1894</v>
      </c>
      <c r="E3702">
        <v>377</v>
      </c>
      <c r="F3702">
        <v>1</v>
      </c>
      <c r="G3702">
        <v>83.086117444005097</v>
      </c>
      <c r="H3702">
        <v>2</v>
      </c>
      <c r="I3702">
        <v>59</v>
      </c>
      <c r="K3702" t="s">
        <v>2386</v>
      </c>
      <c r="L3702">
        <v>20</v>
      </c>
      <c r="M3702" t="s">
        <v>4546</v>
      </c>
      <c r="N3702" t="s">
        <v>2388</v>
      </c>
      <c r="O3702">
        <v>1</v>
      </c>
    </row>
    <row r="3703" spans="2:15" x14ac:dyDescent="0.3">
      <c r="B3703">
        <v>3763</v>
      </c>
      <c r="D3703">
        <v>377</v>
      </c>
      <c r="E3703">
        <v>1894</v>
      </c>
      <c r="F3703">
        <v>1</v>
      </c>
      <c r="G3703">
        <v>83.086117444005097</v>
      </c>
      <c r="H3703">
        <v>2</v>
      </c>
      <c r="I3703">
        <v>59</v>
      </c>
      <c r="K3703" t="s">
        <v>2386</v>
      </c>
      <c r="L3703">
        <v>20</v>
      </c>
      <c r="M3703" t="s">
        <v>4547</v>
      </c>
      <c r="N3703" t="s">
        <v>2388</v>
      </c>
      <c r="O3703">
        <v>1</v>
      </c>
    </row>
    <row r="3704" spans="2:15" x14ac:dyDescent="0.3">
      <c r="B3704">
        <v>3764</v>
      </c>
      <c r="D3704">
        <v>1895</v>
      </c>
      <c r="E3704">
        <v>185</v>
      </c>
      <c r="F3704">
        <v>1</v>
      </c>
      <c r="G3704">
        <v>181.827531537206</v>
      </c>
      <c r="H3704">
        <v>2</v>
      </c>
      <c r="I3704">
        <v>59</v>
      </c>
      <c r="K3704" t="s">
        <v>2386</v>
      </c>
      <c r="L3704">
        <v>20</v>
      </c>
      <c r="M3704" t="s">
        <v>4548</v>
      </c>
      <c r="N3704" t="s">
        <v>2388</v>
      </c>
      <c r="O3704">
        <v>1</v>
      </c>
    </row>
    <row r="3705" spans="2:15" x14ac:dyDescent="0.3">
      <c r="B3705">
        <v>3765</v>
      </c>
      <c r="D3705">
        <v>185</v>
      </c>
      <c r="E3705">
        <v>1895</v>
      </c>
      <c r="F3705">
        <v>1</v>
      </c>
      <c r="G3705">
        <v>181.827531537206</v>
      </c>
      <c r="H3705">
        <v>2</v>
      </c>
      <c r="I3705">
        <v>59</v>
      </c>
      <c r="K3705" t="s">
        <v>2386</v>
      </c>
      <c r="L3705">
        <v>20</v>
      </c>
      <c r="M3705" t="s">
        <v>4549</v>
      </c>
      <c r="N3705" t="s">
        <v>2388</v>
      </c>
      <c r="O3705">
        <v>1</v>
      </c>
    </row>
    <row r="3706" spans="2:15" x14ac:dyDescent="0.3">
      <c r="B3706">
        <v>3766</v>
      </c>
      <c r="D3706">
        <v>1896</v>
      </c>
      <c r="E3706">
        <v>646</v>
      </c>
      <c r="F3706">
        <v>1</v>
      </c>
      <c r="G3706">
        <v>142.29534384716601</v>
      </c>
      <c r="H3706">
        <v>2</v>
      </c>
      <c r="I3706">
        <v>59</v>
      </c>
      <c r="K3706" t="s">
        <v>2386</v>
      </c>
      <c r="L3706">
        <v>20</v>
      </c>
      <c r="M3706" t="s">
        <v>4550</v>
      </c>
      <c r="N3706" t="s">
        <v>2388</v>
      </c>
      <c r="O3706">
        <v>1</v>
      </c>
    </row>
    <row r="3707" spans="2:15" x14ac:dyDescent="0.3">
      <c r="B3707">
        <v>3767</v>
      </c>
      <c r="D3707">
        <v>646</v>
      </c>
      <c r="E3707">
        <v>1896</v>
      </c>
      <c r="F3707">
        <v>1</v>
      </c>
      <c r="G3707">
        <v>142.29534384716601</v>
      </c>
      <c r="H3707">
        <v>2</v>
      </c>
      <c r="I3707">
        <v>59</v>
      </c>
      <c r="K3707" t="s">
        <v>2386</v>
      </c>
      <c r="L3707">
        <v>20</v>
      </c>
      <c r="M3707" t="s">
        <v>4551</v>
      </c>
      <c r="N3707" t="s">
        <v>2388</v>
      </c>
      <c r="O3707">
        <v>1</v>
      </c>
    </row>
    <row r="3708" spans="2:15" x14ac:dyDescent="0.3">
      <c r="B3708">
        <v>3768</v>
      </c>
      <c r="D3708">
        <v>1897</v>
      </c>
      <c r="E3708">
        <v>627</v>
      </c>
      <c r="F3708">
        <v>1</v>
      </c>
      <c r="G3708">
        <v>60.430494032192001</v>
      </c>
      <c r="H3708">
        <v>2</v>
      </c>
      <c r="I3708">
        <v>59</v>
      </c>
      <c r="K3708" t="s">
        <v>2386</v>
      </c>
      <c r="L3708">
        <v>20</v>
      </c>
      <c r="M3708" t="s">
        <v>4552</v>
      </c>
      <c r="N3708" t="s">
        <v>2388</v>
      </c>
      <c r="O3708">
        <v>1</v>
      </c>
    </row>
    <row r="3709" spans="2:15" x14ac:dyDescent="0.3">
      <c r="B3709">
        <v>3769</v>
      </c>
      <c r="D3709">
        <v>627</v>
      </c>
      <c r="E3709">
        <v>1897</v>
      </c>
      <c r="F3709">
        <v>1</v>
      </c>
      <c r="G3709">
        <v>60.430494032192001</v>
      </c>
      <c r="H3709">
        <v>2</v>
      </c>
      <c r="I3709">
        <v>59</v>
      </c>
      <c r="K3709" t="s">
        <v>2386</v>
      </c>
      <c r="L3709">
        <v>20</v>
      </c>
      <c r="M3709" t="s">
        <v>4553</v>
      </c>
      <c r="N3709" t="s">
        <v>2388</v>
      </c>
      <c r="O3709">
        <v>1</v>
      </c>
    </row>
    <row r="3710" spans="2:15" x14ac:dyDescent="0.3">
      <c r="B3710">
        <v>3770</v>
      </c>
      <c r="D3710">
        <v>1898</v>
      </c>
      <c r="E3710">
        <v>626</v>
      </c>
      <c r="F3710">
        <v>1</v>
      </c>
      <c r="G3710">
        <v>57.490350050495003</v>
      </c>
      <c r="H3710">
        <v>2</v>
      </c>
      <c r="I3710">
        <v>59</v>
      </c>
      <c r="K3710" t="s">
        <v>2386</v>
      </c>
      <c r="L3710">
        <v>20</v>
      </c>
      <c r="M3710" t="s">
        <v>4554</v>
      </c>
      <c r="N3710" t="s">
        <v>2388</v>
      </c>
      <c r="O3710">
        <v>1</v>
      </c>
    </row>
    <row r="3711" spans="2:15" x14ac:dyDescent="0.3">
      <c r="B3711">
        <v>3771</v>
      </c>
      <c r="D3711">
        <v>626</v>
      </c>
      <c r="E3711">
        <v>1898</v>
      </c>
      <c r="F3711">
        <v>1</v>
      </c>
      <c r="G3711">
        <v>57.490350050495003</v>
      </c>
      <c r="H3711">
        <v>2</v>
      </c>
      <c r="I3711">
        <v>59</v>
      </c>
      <c r="K3711" t="s">
        <v>2386</v>
      </c>
      <c r="L3711">
        <v>20</v>
      </c>
      <c r="M3711" t="s">
        <v>4555</v>
      </c>
      <c r="N3711" t="s">
        <v>2388</v>
      </c>
      <c r="O3711">
        <v>1</v>
      </c>
    </row>
    <row r="3712" spans="2:15" x14ac:dyDescent="0.3">
      <c r="B3712">
        <v>3772</v>
      </c>
      <c r="D3712">
        <v>1899</v>
      </c>
      <c r="E3712">
        <v>237</v>
      </c>
      <c r="F3712">
        <v>1</v>
      </c>
      <c r="G3712">
        <v>53.5221789714385</v>
      </c>
      <c r="H3712">
        <v>2</v>
      </c>
      <c r="I3712">
        <v>59</v>
      </c>
      <c r="K3712" t="s">
        <v>2386</v>
      </c>
      <c r="L3712">
        <v>20</v>
      </c>
      <c r="M3712" t="s">
        <v>4556</v>
      </c>
      <c r="N3712" t="s">
        <v>2388</v>
      </c>
      <c r="O3712">
        <v>1</v>
      </c>
    </row>
    <row r="3713" spans="2:15" x14ac:dyDescent="0.3">
      <c r="B3713">
        <v>3773</v>
      </c>
      <c r="D3713">
        <v>237</v>
      </c>
      <c r="E3713">
        <v>1899</v>
      </c>
      <c r="F3713">
        <v>1</v>
      </c>
      <c r="G3713">
        <v>53.5221789714385</v>
      </c>
      <c r="H3713">
        <v>2</v>
      </c>
      <c r="I3713">
        <v>59</v>
      </c>
      <c r="K3713" t="s">
        <v>2386</v>
      </c>
      <c r="L3713">
        <v>20</v>
      </c>
      <c r="M3713" t="s">
        <v>4557</v>
      </c>
      <c r="N3713" t="s">
        <v>2388</v>
      </c>
      <c r="O3713">
        <v>1</v>
      </c>
    </row>
    <row r="3714" spans="2:15" x14ac:dyDescent="0.3">
      <c r="B3714">
        <v>3774</v>
      </c>
      <c r="D3714">
        <v>1900</v>
      </c>
      <c r="E3714">
        <v>190</v>
      </c>
      <c r="F3714">
        <v>1</v>
      </c>
      <c r="G3714">
        <v>42.243734319840001</v>
      </c>
      <c r="H3714">
        <v>2</v>
      </c>
      <c r="I3714">
        <v>59</v>
      </c>
      <c r="K3714" t="s">
        <v>2386</v>
      </c>
      <c r="L3714">
        <v>20</v>
      </c>
      <c r="M3714" t="s">
        <v>4558</v>
      </c>
      <c r="N3714" t="s">
        <v>2388</v>
      </c>
      <c r="O3714">
        <v>1</v>
      </c>
    </row>
    <row r="3715" spans="2:15" x14ac:dyDescent="0.3">
      <c r="B3715">
        <v>3775</v>
      </c>
      <c r="D3715">
        <v>190</v>
      </c>
      <c r="E3715">
        <v>1900</v>
      </c>
      <c r="F3715">
        <v>1</v>
      </c>
      <c r="G3715">
        <v>42.243734319840001</v>
      </c>
      <c r="H3715">
        <v>2</v>
      </c>
      <c r="I3715">
        <v>59</v>
      </c>
      <c r="K3715" t="s">
        <v>2386</v>
      </c>
      <c r="L3715">
        <v>20</v>
      </c>
      <c r="M3715" t="s">
        <v>4559</v>
      </c>
      <c r="N3715" t="s">
        <v>2388</v>
      </c>
      <c r="O3715">
        <v>1</v>
      </c>
    </row>
    <row r="3716" spans="2:15" x14ac:dyDescent="0.3">
      <c r="B3716">
        <v>3776</v>
      </c>
      <c r="D3716">
        <v>1901</v>
      </c>
      <c r="E3716">
        <v>744</v>
      </c>
      <c r="F3716">
        <v>1</v>
      </c>
      <c r="G3716">
        <v>71.899686682789493</v>
      </c>
      <c r="H3716">
        <v>2</v>
      </c>
      <c r="I3716">
        <v>59</v>
      </c>
      <c r="K3716" t="s">
        <v>2386</v>
      </c>
      <c r="L3716">
        <v>20</v>
      </c>
      <c r="M3716" t="s">
        <v>4560</v>
      </c>
      <c r="N3716" t="s">
        <v>2388</v>
      </c>
      <c r="O3716">
        <v>1</v>
      </c>
    </row>
    <row r="3717" spans="2:15" x14ac:dyDescent="0.3">
      <c r="B3717">
        <v>3777</v>
      </c>
      <c r="D3717">
        <v>744</v>
      </c>
      <c r="E3717">
        <v>1901</v>
      </c>
      <c r="F3717">
        <v>1</v>
      </c>
      <c r="G3717">
        <v>71.899686682789493</v>
      </c>
      <c r="H3717">
        <v>2</v>
      </c>
      <c r="I3717">
        <v>59</v>
      </c>
      <c r="K3717" t="s">
        <v>2386</v>
      </c>
      <c r="L3717">
        <v>20</v>
      </c>
      <c r="M3717" t="s">
        <v>4561</v>
      </c>
      <c r="N3717" t="s">
        <v>2388</v>
      </c>
      <c r="O3717">
        <v>1</v>
      </c>
    </row>
    <row r="3718" spans="2:15" x14ac:dyDescent="0.3">
      <c r="B3718">
        <v>3778</v>
      </c>
      <c r="D3718">
        <v>1902</v>
      </c>
      <c r="E3718">
        <v>645</v>
      </c>
      <c r="F3718">
        <v>1</v>
      </c>
      <c r="G3718">
        <v>81.449732745395394</v>
      </c>
      <c r="H3718">
        <v>2</v>
      </c>
      <c r="I3718">
        <v>59</v>
      </c>
      <c r="K3718" t="s">
        <v>2386</v>
      </c>
      <c r="L3718">
        <v>20</v>
      </c>
      <c r="M3718" t="s">
        <v>4562</v>
      </c>
      <c r="N3718" t="s">
        <v>2388</v>
      </c>
      <c r="O3718">
        <v>1</v>
      </c>
    </row>
    <row r="3719" spans="2:15" x14ac:dyDescent="0.3">
      <c r="B3719">
        <v>3779</v>
      </c>
      <c r="D3719">
        <v>645</v>
      </c>
      <c r="E3719">
        <v>1902</v>
      </c>
      <c r="F3719">
        <v>1</v>
      </c>
      <c r="G3719">
        <v>81.449732745395394</v>
      </c>
      <c r="H3719">
        <v>2</v>
      </c>
      <c r="I3719">
        <v>59</v>
      </c>
      <c r="K3719" t="s">
        <v>2386</v>
      </c>
      <c r="L3719">
        <v>20</v>
      </c>
      <c r="M3719" t="s">
        <v>4563</v>
      </c>
      <c r="N3719" t="s">
        <v>2388</v>
      </c>
      <c r="O3719">
        <v>1</v>
      </c>
    </row>
    <row r="3720" spans="2:15" x14ac:dyDescent="0.3">
      <c r="B3720">
        <v>3780</v>
      </c>
      <c r="D3720">
        <v>1903</v>
      </c>
      <c r="E3720">
        <v>647</v>
      </c>
      <c r="F3720">
        <v>1</v>
      </c>
      <c r="G3720">
        <v>68.371448169425506</v>
      </c>
      <c r="H3720">
        <v>2</v>
      </c>
      <c r="I3720">
        <v>59</v>
      </c>
      <c r="K3720" t="s">
        <v>2386</v>
      </c>
      <c r="L3720">
        <v>20</v>
      </c>
      <c r="M3720" t="s">
        <v>4564</v>
      </c>
      <c r="N3720" t="s">
        <v>2388</v>
      </c>
      <c r="O3720">
        <v>1</v>
      </c>
    </row>
    <row r="3721" spans="2:15" x14ac:dyDescent="0.3">
      <c r="B3721">
        <v>3781</v>
      </c>
      <c r="D3721">
        <v>647</v>
      </c>
      <c r="E3721">
        <v>1903</v>
      </c>
      <c r="F3721">
        <v>1</v>
      </c>
      <c r="G3721">
        <v>68.371448169425506</v>
      </c>
      <c r="H3721">
        <v>2</v>
      </c>
      <c r="I3721">
        <v>59</v>
      </c>
      <c r="K3721" t="s">
        <v>2386</v>
      </c>
      <c r="L3721">
        <v>20</v>
      </c>
      <c r="M3721" t="s">
        <v>4565</v>
      </c>
      <c r="N3721" t="s">
        <v>2388</v>
      </c>
      <c r="O3721">
        <v>1</v>
      </c>
    </row>
    <row r="3722" spans="2:15" x14ac:dyDescent="0.3">
      <c r="B3722">
        <v>3782</v>
      </c>
      <c r="D3722">
        <v>1904</v>
      </c>
      <c r="E3722">
        <v>248</v>
      </c>
      <c r="F3722">
        <v>1</v>
      </c>
      <c r="G3722">
        <v>127.04776938640801</v>
      </c>
      <c r="H3722">
        <v>2</v>
      </c>
      <c r="I3722">
        <v>59</v>
      </c>
      <c r="K3722" t="s">
        <v>2386</v>
      </c>
      <c r="L3722">
        <v>20</v>
      </c>
      <c r="M3722" t="s">
        <v>4566</v>
      </c>
      <c r="N3722" t="s">
        <v>2388</v>
      </c>
      <c r="O3722">
        <v>1</v>
      </c>
    </row>
    <row r="3723" spans="2:15" x14ac:dyDescent="0.3">
      <c r="B3723">
        <v>3783</v>
      </c>
      <c r="D3723">
        <v>248</v>
      </c>
      <c r="E3723">
        <v>1904</v>
      </c>
      <c r="F3723">
        <v>1</v>
      </c>
      <c r="G3723">
        <v>127.04776938640801</v>
      </c>
      <c r="H3723">
        <v>2</v>
      </c>
      <c r="I3723">
        <v>59</v>
      </c>
      <c r="K3723" t="s">
        <v>2386</v>
      </c>
      <c r="L3723">
        <v>20</v>
      </c>
      <c r="M3723" t="s">
        <v>4567</v>
      </c>
      <c r="N3723" t="s">
        <v>2388</v>
      </c>
      <c r="O3723">
        <v>1</v>
      </c>
    </row>
    <row r="3724" spans="2:15" x14ac:dyDescent="0.3">
      <c r="B3724">
        <v>3784</v>
      </c>
      <c r="D3724">
        <v>1905</v>
      </c>
      <c r="E3724">
        <v>577</v>
      </c>
      <c r="F3724">
        <v>1</v>
      </c>
      <c r="G3724">
        <v>45.368319771381898</v>
      </c>
      <c r="H3724">
        <v>2</v>
      </c>
      <c r="I3724">
        <v>59</v>
      </c>
      <c r="K3724" t="s">
        <v>2386</v>
      </c>
      <c r="L3724">
        <v>20</v>
      </c>
      <c r="M3724" t="s">
        <v>4568</v>
      </c>
      <c r="N3724" t="s">
        <v>2388</v>
      </c>
      <c r="O3724">
        <v>1</v>
      </c>
    </row>
    <row r="3725" spans="2:15" x14ac:dyDescent="0.3">
      <c r="B3725">
        <v>3785</v>
      </c>
      <c r="D3725">
        <v>577</v>
      </c>
      <c r="E3725">
        <v>1905</v>
      </c>
      <c r="F3725">
        <v>1</v>
      </c>
      <c r="G3725">
        <v>45.368319771381898</v>
      </c>
      <c r="H3725">
        <v>2</v>
      </c>
      <c r="I3725">
        <v>59</v>
      </c>
      <c r="K3725" t="s">
        <v>2386</v>
      </c>
      <c r="L3725">
        <v>20</v>
      </c>
      <c r="M3725" t="s">
        <v>4569</v>
      </c>
      <c r="N3725" t="s">
        <v>2388</v>
      </c>
      <c r="O3725">
        <v>1</v>
      </c>
    </row>
    <row r="3726" spans="2:15" x14ac:dyDescent="0.3">
      <c r="B3726">
        <v>3786</v>
      </c>
      <c r="D3726">
        <v>1906</v>
      </c>
      <c r="E3726">
        <v>580</v>
      </c>
      <c r="F3726">
        <v>1</v>
      </c>
      <c r="G3726">
        <v>47.834333176210798</v>
      </c>
      <c r="H3726">
        <v>2</v>
      </c>
      <c r="I3726">
        <v>59</v>
      </c>
      <c r="K3726" t="s">
        <v>2386</v>
      </c>
      <c r="L3726">
        <v>20</v>
      </c>
      <c r="M3726" t="s">
        <v>4570</v>
      </c>
      <c r="N3726" t="s">
        <v>2388</v>
      </c>
      <c r="O3726">
        <v>1</v>
      </c>
    </row>
    <row r="3727" spans="2:15" x14ac:dyDescent="0.3">
      <c r="B3727">
        <v>3787</v>
      </c>
      <c r="D3727">
        <v>580</v>
      </c>
      <c r="E3727">
        <v>1906</v>
      </c>
      <c r="F3727">
        <v>1</v>
      </c>
      <c r="G3727">
        <v>47.834333176210798</v>
      </c>
      <c r="H3727">
        <v>2</v>
      </c>
      <c r="I3727">
        <v>59</v>
      </c>
      <c r="K3727" t="s">
        <v>2386</v>
      </c>
      <c r="L3727">
        <v>20</v>
      </c>
      <c r="M3727" t="s">
        <v>4571</v>
      </c>
      <c r="N3727" t="s">
        <v>2388</v>
      </c>
      <c r="O3727">
        <v>1</v>
      </c>
    </row>
    <row r="3728" spans="2:15" x14ac:dyDescent="0.3">
      <c r="B3728">
        <v>3788</v>
      </c>
      <c r="D3728">
        <v>1907</v>
      </c>
      <c r="E3728">
        <v>248</v>
      </c>
      <c r="F3728">
        <v>1</v>
      </c>
      <c r="G3728">
        <v>70.852694411441803</v>
      </c>
      <c r="H3728">
        <v>2</v>
      </c>
      <c r="I3728">
        <v>59</v>
      </c>
      <c r="K3728" t="s">
        <v>2386</v>
      </c>
      <c r="L3728">
        <v>20</v>
      </c>
      <c r="M3728" t="s">
        <v>4572</v>
      </c>
      <c r="N3728" t="s">
        <v>2388</v>
      </c>
      <c r="O3728">
        <v>1</v>
      </c>
    </row>
    <row r="3729" spans="2:15" x14ac:dyDescent="0.3">
      <c r="B3729">
        <v>3789</v>
      </c>
      <c r="D3729">
        <v>248</v>
      </c>
      <c r="E3729">
        <v>1907</v>
      </c>
      <c r="F3729">
        <v>1</v>
      </c>
      <c r="G3729">
        <v>70.852694411441803</v>
      </c>
      <c r="H3729">
        <v>2</v>
      </c>
      <c r="I3729">
        <v>59</v>
      </c>
      <c r="K3729" t="s">
        <v>2386</v>
      </c>
      <c r="L3729">
        <v>20</v>
      </c>
      <c r="M3729" t="s">
        <v>4573</v>
      </c>
      <c r="N3729" t="s">
        <v>2388</v>
      </c>
      <c r="O3729">
        <v>1</v>
      </c>
    </row>
    <row r="3730" spans="2:15" x14ac:dyDescent="0.3">
      <c r="B3730">
        <v>3790</v>
      </c>
      <c r="D3730">
        <v>1908</v>
      </c>
      <c r="E3730">
        <v>620</v>
      </c>
      <c r="F3730">
        <v>1</v>
      </c>
      <c r="G3730">
        <v>34.6250915087126</v>
      </c>
      <c r="H3730">
        <v>2</v>
      </c>
      <c r="I3730">
        <v>59</v>
      </c>
      <c r="K3730" t="s">
        <v>2386</v>
      </c>
      <c r="L3730">
        <v>20</v>
      </c>
      <c r="M3730" t="s">
        <v>4574</v>
      </c>
      <c r="N3730" t="s">
        <v>2388</v>
      </c>
      <c r="O3730">
        <v>1</v>
      </c>
    </row>
    <row r="3731" spans="2:15" x14ac:dyDescent="0.3">
      <c r="B3731">
        <v>3791</v>
      </c>
      <c r="D3731">
        <v>620</v>
      </c>
      <c r="E3731">
        <v>1908</v>
      </c>
      <c r="F3731">
        <v>1</v>
      </c>
      <c r="G3731">
        <v>34.6250915087126</v>
      </c>
      <c r="H3731">
        <v>2</v>
      </c>
      <c r="I3731">
        <v>59</v>
      </c>
      <c r="K3731" t="s">
        <v>2386</v>
      </c>
      <c r="L3731">
        <v>20</v>
      </c>
      <c r="M3731" t="s">
        <v>4575</v>
      </c>
      <c r="N3731" t="s">
        <v>2388</v>
      </c>
      <c r="O3731">
        <v>1</v>
      </c>
    </row>
    <row r="3732" spans="2:15" x14ac:dyDescent="0.3">
      <c r="B3732">
        <v>3792</v>
      </c>
      <c r="D3732">
        <v>1909</v>
      </c>
      <c r="E3732">
        <v>248</v>
      </c>
      <c r="F3732">
        <v>1</v>
      </c>
      <c r="G3732">
        <v>67.342588765977197</v>
      </c>
      <c r="H3732">
        <v>2</v>
      </c>
      <c r="I3732">
        <v>59</v>
      </c>
      <c r="K3732" t="s">
        <v>2386</v>
      </c>
      <c r="L3732">
        <v>20</v>
      </c>
      <c r="M3732" t="s">
        <v>4576</v>
      </c>
      <c r="N3732" t="s">
        <v>2388</v>
      </c>
      <c r="O3732">
        <v>1</v>
      </c>
    </row>
    <row r="3733" spans="2:15" x14ac:dyDescent="0.3">
      <c r="B3733">
        <v>3793</v>
      </c>
      <c r="D3733">
        <v>248</v>
      </c>
      <c r="E3733">
        <v>1909</v>
      </c>
      <c r="F3733">
        <v>1</v>
      </c>
      <c r="G3733">
        <v>67.342588765977197</v>
      </c>
      <c r="H3733">
        <v>2</v>
      </c>
      <c r="I3733">
        <v>59</v>
      </c>
      <c r="K3733" t="s">
        <v>2386</v>
      </c>
      <c r="L3733">
        <v>20</v>
      </c>
      <c r="M3733" t="s">
        <v>4577</v>
      </c>
      <c r="N3733" t="s">
        <v>2388</v>
      </c>
      <c r="O3733">
        <v>1</v>
      </c>
    </row>
    <row r="3734" spans="2:15" x14ac:dyDescent="0.3">
      <c r="B3734">
        <v>3794</v>
      </c>
      <c r="D3734">
        <v>1910</v>
      </c>
      <c r="E3734">
        <v>534</v>
      </c>
      <c r="F3734">
        <v>1</v>
      </c>
      <c r="G3734">
        <v>103.875078954591</v>
      </c>
      <c r="H3734">
        <v>2</v>
      </c>
      <c r="I3734">
        <v>59</v>
      </c>
      <c r="K3734" t="s">
        <v>2386</v>
      </c>
      <c r="L3734">
        <v>20</v>
      </c>
      <c r="M3734" t="s">
        <v>4578</v>
      </c>
      <c r="N3734" t="s">
        <v>2388</v>
      </c>
      <c r="O3734">
        <v>1</v>
      </c>
    </row>
    <row r="3735" spans="2:15" x14ac:dyDescent="0.3">
      <c r="B3735">
        <v>3795</v>
      </c>
      <c r="D3735">
        <v>534</v>
      </c>
      <c r="E3735">
        <v>1910</v>
      </c>
      <c r="F3735">
        <v>1</v>
      </c>
      <c r="G3735">
        <v>103.875078954591</v>
      </c>
      <c r="H3735">
        <v>2</v>
      </c>
      <c r="I3735">
        <v>59</v>
      </c>
      <c r="K3735" t="s">
        <v>2386</v>
      </c>
      <c r="L3735">
        <v>20</v>
      </c>
      <c r="M3735" t="s">
        <v>4579</v>
      </c>
      <c r="N3735" t="s">
        <v>2388</v>
      </c>
      <c r="O3735">
        <v>1</v>
      </c>
    </row>
    <row r="3736" spans="2:15" x14ac:dyDescent="0.3">
      <c r="B3736">
        <v>3796</v>
      </c>
      <c r="D3736">
        <v>1911</v>
      </c>
      <c r="E3736">
        <v>1952</v>
      </c>
      <c r="F3736">
        <v>1</v>
      </c>
      <c r="G3736">
        <v>60.329545361719902</v>
      </c>
      <c r="H3736">
        <v>2</v>
      </c>
      <c r="I3736">
        <v>59</v>
      </c>
      <c r="K3736" t="s">
        <v>2386</v>
      </c>
      <c r="L3736">
        <v>20</v>
      </c>
      <c r="M3736" t="s">
        <v>4580</v>
      </c>
      <c r="N3736" t="s">
        <v>2388</v>
      </c>
      <c r="O3736">
        <v>1</v>
      </c>
    </row>
    <row r="3737" spans="2:15" x14ac:dyDescent="0.3">
      <c r="B3737">
        <v>3797</v>
      </c>
      <c r="D3737">
        <v>1952</v>
      </c>
      <c r="E3737">
        <v>1911</v>
      </c>
      <c r="F3737">
        <v>1</v>
      </c>
      <c r="G3737">
        <v>60.329545361719902</v>
      </c>
      <c r="H3737">
        <v>2</v>
      </c>
      <c r="I3737">
        <v>59</v>
      </c>
      <c r="K3737" t="s">
        <v>2386</v>
      </c>
      <c r="L3737">
        <v>20</v>
      </c>
      <c r="M3737" t="s">
        <v>4581</v>
      </c>
      <c r="N3737" t="s">
        <v>2388</v>
      </c>
      <c r="O3737">
        <v>1</v>
      </c>
    </row>
    <row r="3738" spans="2:15" x14ac:dyDescent="0.3">
      <c r="B3738">
        <v>3798</v>
      </c>
      <c r="D3738">
        <v>1912</v>
      </c>
      <c r="E3738">
        <v>632</v>
      </c>
      <c r="F3738">
        <v>1</v>
      </c>
      <c r="G3738">
        <v>52.235019378253597</v>
      </c>
      <c r="H3738">
        <v>2</v>
      </c>
      <c r="I3738">
        <v>59</v>
      </c>
      <c r="K3738" t="s">
        <v>2386</v>
      </c>
      <c r="L3738">
        <v>20</v>
      </c>
      <c r="M3738" t="s">
        <v>4582</v>
      </c>
      <c r="N3738" t="s">
        <v>2388</v>
      </c>
      <c r="O3738">
        <v>1</v>
      </c>
    </row>
    <row r="3739" spans="2:15" x14ac:dyDescent="0.3">
      <c r="B3739">
        <v>3799</v>
      </c>
      <c r="D3739">
        <v>632</v>
      </c>
      <c r="E3739">
        <v>1912</v>
      </c>
      <c r="F3739">
        <v>1</v>
      </c>
      <c r="G3739">
        <v>52.235019378253597</v>
      </c>
      <c r="H3739">
        <v>2</v>
      </c>
      <c r="I3739">
        <v>59</v>
      </c>
      <c r="K3739" t="s">
        <v>2386</v>
      </c>
      <c r="L3739">
        <v>20</v>
      </c>
      <c r="M3739" t="s">
        <v>4583</v>
      </c>
      <c r="N3739" t="s">
        <v>2388</v>
      </c>
      <c r="O3739">
        <v>1</v>
      </c>
    </row>
    <row r="3740" spans="2:15" x14ac:dyDescent="0.3">
      <c r="B3740">
        <v>3800</v>
      </c>
      <c r="D3740">
        <v>1913</v>
      </c>
      <c r="E3740">
        <v>158</v>
      </c>
      <c r="F3740">
        <v>1</v>
      </c>
      <c r="G3740">
        <v>78.680938252012396</v>
      </c>
      <c r="H3740">
        <v>2</v>
      </c>
      <c r="I3740">
        <v>59</v>
      </c>
      <c r="K3740" t="s">
        <v>2386</v>
      </c>
      <c r="L3740">
        <v>20</v>
      </c>
      <c r="M3740" t="s">
        <v>4584</v>
      </c>
      <c r="N3740" t="s">
        <v>2388</v>
      </c>
      <c r="O3740">
        <v>1</v>
      </c>
    </row>
    <row r="3741" spans="2:15" x14ac:dyDescent="0.3">
      <c r="B3741">
        <v>3801</v>
      </c>
      <c r="D3741">
        <v>158</v>
      </c>
      <c r="E3741">
        <v>1913</v>
      </c>
      <c r="F3741">
        <v>1</v>
      </c>
      <c r="G3741">
        <v>78.680938252012396</v>
      </c>
      <c r="H3741">
        <v>2</v>
      </c>
      <c r="I3741">
        <v>59</v>
      </c>
      <c r="K3741" t="s">
        <v>2386</v>
      </c>
      <c r="L3741">
        <v>20</v>
      </c>
      <c r="M3741" t="s">
        <v>4585</v>
      </c>
      <c r="N3741" t="s">
        <v>2388</v>
      </c>
      <c r="O3741">
        <v>1</v>
      </c>
    </row>
    <row r="3742" spans="2:15" x14ac:dyDescent="0.3">
      <c r="B3742">
        <v>3802</v>
      </c>
      <c r="D3742">
        <v>1914</v>
      </c>
      <c r="E3742">
        <v>640</v>
      </c>
      <c r="F3742">
        <v>1</v>
      </c>
      <c r="G3742">
        <v>191.78168551610599</v>
      </c>
      <c r="H3742">
        <v>2</v>
      </c>
      <c r="I3742">
        <v>59</v>
      </c>
      <c r="K3742" t="s">
        <v>2386</v>
      </c>
      <c r="L3742">
        <v>20</v>
      </c>
      <c r="M3742" t="s">
        <v>4586</v>
      </c>
      <c r="N3742" t="s">
        <v>2388</v>
      </c>
      <c r="O3742">
        <v>1</v>
      </c>
    </row>
    <row r="3743" spans="2:15" x14ac:dyDescent="0.3">
      <c r="B3743">
        <v>3803</v>
      </c>
      <c r="D3743">
        <v>640</v>
      </c>
      <c r="E3743">
        <v>1914</v>
      </c>
      <c r="F3743">
        <v>1</v>
      </c>
      <c r="G3743">
        <v>191.78168551610599</v>
      </c>
      <c r="H3743">
        <v>2</v>
      </c>
      <c r="I3743">
        <v>59</v>
      </c>
      <c r="K3743" t="s">
        <v>2386</v>
      </c>
      <c r="L3743">
        <v>20</v>
      </c>
      <c r="M3743" t="s">
        <v>4587</v>
      </c>
      <c r="N3743" t="s">
        <v>2388</v>
      </c>
      <c r="O3743">
        <v>1</v>
      </c>
    </row>
    <row r="3744" spans="2:15" x14ac:dyDescent="0.3">
      <c r="B3744">
        <v>3804</v>
      </c>
      <c r="D3744">
        <v>1915</v>
      </c>
      <c r="E3744">
        <v>126</v>
      </c>
      <c r="F3744">
        <v>1</v>
      </c>
      <c r="G3744">
        <v>127.599217579325</v>
      </c>
      <c r="H3744">
        <v>2</v>
      </c>
      <c r="I3744">
        <v>59</v>
      </c>
      <c r="K3744" t="s">
        <v>2386</v>
      </c>
      <c r="L3744">
        <v>20</v>
      </c>
      <c r="M3744" t="s">
        <v>4588</v>
      </c>
      <c r="N3744" t="s">
        <v>2388</v>
      </c>
      <c r="O3744">
        <v>1</v>
      </c>
    </row>
    <row r="3745" spans="2:15" x14ac:dyDescent="0.3">
      <c r="B3745">
        <v>3805</v>
      </c>
      <c r="D3745">
        <v>126</v>
      </c>
      <c r="E3745">
        <v>1915</v>
      </c>
      <c r="F3745">
        <v>1</v>
      </c>
      <c r="G3745">
        <v>127.599217579325</v>
      </c>
      <c r="H3745">
        <v>2</v>
      </c>
      <c r="I3745">
        <v>59</v>
      </c>
      <c r="K3745" t="s">
        <v>2386</v>
      </c>
      <c r="L3745">
        <v>20</v>
      </c>
      <c r="M3745" t="s">
        <v>4589</v>
      </c>
      <c r="N3745" t="s">
        <v>2388</v>
      </c>
      <c r="O3745">
        <v>1</v>
      </c>
    </row>
    <row r="3746" spans="2:15" x14ac:dyDescent="0.3">
      <c r="B3746">
        <v>3806</v>
      </c>
      <c r="D3746">
        <v>1916</v>
      </c>
      <c r="E3746">
        <v>249</v>
      </c>
      <c r="F3746">
        <v>1</v>
      </c>
      <c r="G3746">
        <v>63.028855614294002</v>
      </c>
      <c r="H3746">
        <v>2</v>
      </c>
      <c r="I3746">
        <v>59</v>
      </c>
      <c r="K3746" t="s">
        <v>2386</v>
      </c>
      <c r="L3746">
        <v>20</v>
      </c>
      <c r="M3746" t="s">
        <v>4590</v>
      </c>
      <c r="N3746" t="s">
        <v>2388</v>
      </c>
      <c r="O3746">
        <v>1</v>
      </c>
    </row>
    <row r="3747" spans="2:15" x14ac:dyDescent="0.3">
      <c r="B3747">
        <v>3807</v>
      </c>
      <c r="D3747">
        <v>249</v>
      </c>
      <c r="E3747">
        <v>1916</v>
      </c>
      <c r="F3747">
        <v>1</v>
      </c>
      <c r="G3747">
        <v>63.028855614294002</v>
      </c>
      <c r="H3747">
        <v>2</v>
      </c>
      <c r="I3747">
        <v>59</v>
      </c>
      <c r="K3747" t="s">
        <v>2386</v>
      </c>
      <c r="L3747">
        <v>20</v>
      </c>
      <c r="M3747" t="s">
        <v>4591</v>
      </c>
      <c r="N3747" t="s">
        <v>2388</v>
      </c>
      <c r="O3747">
        <v>1</v>
      </c>
    </row>
    <row r="3748" spans="2:15" x14ac:dyDescent="0.3">
      <c r="B3748">
        <v>3808</v>
      </c>
      <c r="D3748">
        <v>1917</v>
      </c>
      <c r="E3748">
        <v>1960</v>
      </c>
      <c r="F3748">
        <v>1</v>
      </c>
      <c r="G3748">
        <v>60.371901163076899</v>
      </c>
      <c r="H3748">
        <v>2</v>
      </c>
      <c r="I3748">
        <v>59</v>
      </c>
      <c r="K3748" t="s">
        <v>2386</v>
      </c>
      <c r="L3748">
        <v>20</v>
      </c>
      <c r="M3748" t="s">
        <v>4592</v>
      </c>
      <c r="N3748" t="s">
        <v>2388</v>
      </c>
      <c r="O3748">
        <v>1</v>
      </c>
    </row>
    <row r="3749" spans="2:15" x14ac:dyDescent="0.3">
      <c r="B3749">
        <v>3809</v>
      </c>
      <c r="D3749">
        <v>1960</v>
      </c>
      <c r="E3749">
        <v>1917</v>
      </c>
      <c r="F3749">
        <v>1</v>
      </c>
      <c r="G3749">
        <v>60.371901163076899</v>
      </c>
      <c r="H3749">
        <v>2</v>
      </c>
      <c r="I3749">
        <v>59</v>
      </c>
      <c r="K3749" t="s">
        <v>2386</v>
      </c>
      <c r="L3749">
        <v>20</v>
      </c>
      <c r="M3749" t="s">
        <v>4593</v>
      </c>
      <c r="N3749" t="s">
        <v>2388</v>
      </c>
      <c r="O3749">
        <v>1</v>
      </c>
    </row>
    <row r="3750" spans="2:15" x14ac:dyDescent="0.3">
      <c r="B3750">
        <v>3810</v>
      </c>
      <c r="D3750">
        <v>1918</v>
      </c>
      <c r="E3750">
        <v>98</v>
      </c>
      <c r="F3750">
        <v>1</v>
      </c>
      <c r="G3750">
        <v>82.0924336557527</v>
      </c>
      <c r="H3750">
        <v>2</v>
      </c>
      <c r="I3750">
        <v>59</v>
      </c>
      <c r="K3750" t="s">
        <v>2386</v>
      </c>
      <c r="L3750">
        <v>20</v>
      </c>
      <c r="M3750" t="s">
        <v>4594</v>
      </c>
      <c r="N3750" t="s">
        <v>2388</v>
      </c>
      <c r="O3750">
        <v>1</v>
      </c>
    </row>
    <row r="3751" spans="2:15" x14ac:dyDescent="0.3">
      <c r="B3751">
        <v>3811</v>
      </c>
      <c r="D3751">
        <v>98</v>
      </c>
      <c r="E3751">
        <v>1918</v>
      </c>
      <c r="F3751">
        <v>1</v>
      </c>
      <c r="G3751">
        <v>82.0924336557527</v>
      </c>
      <c r="H3751">
        <v>2</v>
      </c>
      <c r="I3751">
        <v>59</v>
      </c>
      <c r="K3751" t="s">
        <v>2386</v>
      </c>
      <c r="L3751">
        <v>20</v>
      </c>
      <c r="M3751" t="s">
        <v>4595</v>
      </c>
      <c r="N3751" t="s">
        <v>2388</v>
      </c>
      <c r="O3751">
        <v>1</v>
      </c>
    </row>
    <row r="3752" spans="2:15" x14ac:dyDescent="0.3">
      <c r="B3752">
        <v>3812</v>
      </c>
      <c r="D3752">
        <v>1919</v>
      </c>
      <c r="E3752">
        <v>97</v>
      </c>
      <c r="F3752">
        <v>1</v>
      </c>
      <c r="G3752">
        <v>101.605373592871</v>
      </c>
      <c r="H3752">
        <v>2</v>
      </c>
      <c r="I3752">
        <v>59</v>
      </c>
      <c r="K3752" t="s">
        <v>2386</v>
      </c>
      <c r="L3752">
        <v>20</v>
      </c>
      <c r="M3752" t="s">
        <v>4596</v>
      </c>
      <c r="N3752" t="s">
        <v>2388</v>
      </c>
      <c r="O3752">
        <v>1</v>
      </c>
    </row>
    <row r="3753" spans="2:15" x14ac:dyDescent="0.3">
      <c r="B3753">
        <v>3813</v>
      </c>
      <c r="D3753">
        <v>97</v>
      </c>
      <c r="E3753">
        <v>1919</v>
      </c>
      <c r="F3753">
        <v>1</v>
      </c>
      <c r="G3753">
        <v>101.605373592871</v>
      </c>
      <c r="H3753">
        <v>2</v>
      </c>
      <c r="I3753">
        <v>59</v>
      </c>
      <c r="K3753" t="s">
        <v>2386</v>
      </c>
      <c r="L3753">
        <v>20</v>
      </c>
      <c r="M3753" t="s">
        <v>4597</v>
      </c>
      <c r="N3753" t="s">
        <v>2388</v>
      </c>
      <c r="O3753">
        <v>1</v>
      </c>
    </row>
    <row r="3754" spans="2:15" x14ac:dyDescent="0.3">
      <c r="B3754">
        <v>3814</v>
      </c>
      <c r="D3754">
        <v>1920</v>
      </c>
      <c r="E3754">
        <v>601</v>
      </c>
      <c r="F3754">
        <v>1</v>
      </c>
      <c r="G3754">
        <v>74.315108042850795</v>
      </c>
      <c r="H3754">
        <v>2</v>
      </c>
      <c r="I3754">
        <v>59</v>
      </c>
      <c r="K3754" t="s">
        <v>2386</v>
      </c>
      <c r="L3754">
        <v>20</v>
      </c>
      <c r="M3754" t="s">
        <v>4598</v>
      </c>
      <c r="N3754" t="s">
        <v>2388</v>
      </c>
      <c r="O3754">
        <v>1</v>
      </c>
    </row>
    <row r="3755" spans="2:15" x14ac:dyDescent="0.3">
      <c r="B3755">
        <v>3815</v>
      </c>
      <c r="D3755">
        <v>601</v>
      </c>
      <c r="E3755">
        <v>1920</v>
      </c>
      <c r="F3755">
        <v>1</v>
      </c>
      <c r="G3755">
        <v>74.315108042850795</v>
      </c>
      <c r="H3755">
        <v>2</v>
      </c>
      <c r="I3755">
        <v>59</v>
      </c>
      <c r="K3755" t="s">
        <v>2386</v>
      </c>
      <c r="L3755">
        <v>20</v>
      </c>
      <c r="M3755" t="s">
        <v>4599</v>
      </c>
      <c r="N3755" t="s">
        <v>2388</v>
      </c>
      <c r="O3755">
        <v>1</v>
      </c>
    </row>
    <row r="3756" spans="2:15" x14ac:dyDescent="0.3">
      <c r="B3756">
        <v>3816</v>
      </c>
      <c r="D3756">
        <v>1921</v>
      </c>
      <c r="E3756">
        <v>1960</v>
      </c>
      <c r="F3756">
        <v>1</v>
      </c>
      <c r="G3756">
        <v>110.02921641629</v>
      </c>
      <c r="H3756">
        <v>2</v>
      </c>
      <c r="I3756">
        <v>59</v>
      </c>
      <c r="K3756" t="s">
        <v>2386</v>
      </c>
      <c r="L3756">
        <v>20</v>
      </c>
      <c r="M3756" t="s">
        <v>4600</v>
      </c>
      <c r="N3756" t="s">
        <v>2388</v>
      </c>
      <c r="O3756">
        <v>1</v>
      </c>
    </row>
    <row r="3757" spans="2:15" x14ac:dyDescent="0.3">
      <c r="B3757">
        <v>3817</v>
      </c>
      <c r="D3757">
        <v>1960</v>
      </c>
      <c r="E3757">
        <v>1921</v>
      </c>
      <c r="F3757">
        <v>1</v>
      </c>
      <c r="G3757">
        <v>110.02921641629</v>
      </c>
      <c r="H3757">
        <v>2</v>
      </c>
      <c r="I3757">
        <v>59</v>
      </c>
      <c r="K3757" t="s">
        <v>2386</v>
      </c>
      <c r="L3757">
        <v>20</v>
      </c>
      <c r="M3757" t="s">
        <v>4601</v>
      </c>
      <c r="N3757" t="s">
        <v>2388</v>
      </c>
      <c r="O3757">
        <v>1</v>
      </c>
    </row>
    <row r="3758" spans="2:15" x14ac:dyDescent="0.3">
      <c r="B3758">
        <v>3818</v>
      </c>
      <c r="D3758">
        <v>1922</v>
      </c>
      <c r="E3758">
        <v>670</v>
      </c>
      <c r="F3758">
        <v>1</v>
      </c>
      <c r="G3758">
        <v>137.51662262817501</v>
      </c>
      <c r="H3758">
        <v>2</v>
      </c>
      <c r="I3758">
        <v>59</v>
      </c>
      <c r="K3758" t="s">
        <v>2386</v>
      </c>
      <c r="L3758">
        <v>20</v>
      </c>
      <c r="M3758" t="s">
        <v>4602</v>
      </c>
      <c r="N3758" t="s">
        <v>2388</v>
      </c>
      <c r="O3758">
        <v>1</v>
      </c>
    </row>
    <row r="3759" spans="2:15" x14ac:dyDescent="0.3">
      <c r="B3759">
        <v>3819</v>
      </c>
      <c r="D3759">
        <v>670</v>
      </c>
      <c r="E3759">
        <v>1922</v>
      </c>
      <c r="F3759">
        <v>1</v>
      </c>
      <c r="G3759">
        <v>137.51662262817501</v>
      </c>
      <c r="H3759">
        <v>2</v>
      </c>
      <c r="I3759">
        <v>59</v>
      </c>
      <c r="K3759" t="s">
        <v>2386</v>
      </c>
      <c r="L3759">
        <v>20</v>
      </c>
      <c r="M3759" t="s">
        <v>4603</v>
      </c>
      <c r="N3759" t="s">
        <v>2388</v>
      </c>
      <c r="O3759">
        <v>1</v>
      </c>
    </row>
    <row r="3760" spans="2:15" x14ac:dyDescent="0.3">
      <c r="B3760">
        <v>3820</v>
      </c>
      <c r="D3760">
        <v>1923</v>
      </c>
      <c r="E3760">
        <v>670</v>
      </c>
      <c r="F3760">
        <v>1</v>
      </c>
      <c r="G3760">
        <v>68.152127428209596</v>
      </c>
      <c r="H3760">
        <v>2</v>
      </c>
      <c r="I3760">
        <v>59</v>
      </c>
      <c r="K3760" t="s">
        <v>2386</v>
      </c>
      <c r="L3760">
        <v>20</v>
      </c>
      <c r="M3760" t="s">
        <v>4604</v>
      </c>
      <c r="N3760" t="s">
        <v>2388</v>
      </c>
      <c r="O3760">
        <v>1</v>
      </c>
    </row>
    <row r="3761" spans="2:15" x14ac:dyDescent="0.3">
      <c r="B3761">
        <v>3821</v>
      </c>
      <c r="D3761">
        <v>670</v>
      </c>
      <c r="E3761">
        <v>1923</v>
      </c>
      <c r="F3761">
        <v>1</v>
      </c>
      <c r="G3761">
        <v>68.152127428209596</v>
      </c>
      <c r="H3761">
        <v>2</v>
      </c>
      <c r="I3761">
        <v>59</v>
      </c>
      <c r="K3761" t="s">
        <v>2386</v>
      </c>
      <c r="L3761">
        <v>20</v>
      </c>
      <c r="M3761" t="s">
        <v>4605</v>
      </c>
      <c r="N3761" t="s">
        <v>2388</v>
      </c>
      <c r="O3761">
        <v>1</v>
      </c>
    </row>
    <row r="3762" spans="2:15" x14ac:dyDescent="0.3">
      <c r="B3762">
        <v>3822</v>
      </c>
      <c r="D3762">
        <v>1924</v>
      </c>
      <c r="E3762">
        <v>600</v>
      </c>
      <c r="F3762">
        <v>1</v>
      </c>
      <c r="G3762">
        <v>75.317215867304796</v>
      </c>
      <c r="H3762">
        <v>2</v>
      </c>
      <c r="I3762">
        <v>59</v>
      </c>
      <c r="K3762" t="s">
        <v>2386</v>
      </c>
      <c r="L3762">
        <v>20</v>
      </c>
      <c r="M3762" t="s">
        <v>4606</v>
      </c>
      <c r="N3762" t="s">
        <v>2388</v>
      </c>
      <c r="O3762">
        <v>1</v>
      </c>
    </row>
    <row r="3763" spans="2:15" x14ac:dyDescent="0.3">
      <c r="B3763">
        <v>3823</v>
      </c>
      <c r="D3763">
        <v>600</v>
      </c>
      <c r="E3763">
        <v>1924</v>
      </c>
      <c r="F3763">
        <v>1</v>
      </c>
      <c r="G3763">
        <v>75.317215867304796</v>
      </c>
      <c r="H3763">
        <v>2</v>
      </c>
      <c r="I3763">
        <v>59</v>
      </c>
      <c r="K3763" t="s">
        <v>2386</v>
      </c>
      <c r="L3763">
        <v>20</v>
      </c>
      <c r="M3763" t="s">
        <v>4607</v>
      </c>
      <c r="N3763" t="s">
        <v>2388</v>
      </c>
      <c r="O3763">
        <v>1</v>
      </c>
    </row>
    <row r="3764" spans="2:15" x14ac:dyDescent="0.3">
      <c r="B3764">
        <v>3824</v>
      </c>
      <c r="D3764">
        <v>1925</v>
      </c>
      <c r="E3764">
        <v>670</v>
      </c>
      <c r="F3764">
        <v>1</v>
      </c>
      <c r="G3764">
        <v>32.145096121595998</v>
      </c>
      <c r="H3764">
        <v>2</v>
      </c>
      <c r="I3764">
        <v>59</v>
      </c>
      <c r="K3764" t="s">
        <v>2386</v>
      </c>
      <c r="L3764">
        <v>20</v>
      </c>
      <c r="M3764" t="s">
        <v>4608</v>
      </c>
      <c r="N3764" t="s">
        <v>2388</v>
      </c>
      <c r="O3764">
        <v>1</v>
      </c>
    </row>
    <row r="3765" spans="2:15" x14ac:dyDescent="0.3">
      <c r="B3765">
        <v>3825</v>
      </c>
      <c r="D3765">
        <v>670</v>
      </c>
      <c r="E3765">
        <v>1925</v>
      </c>
      <c r="F3765">
        <v>1</v>
      </c>
      <c r="G3765">
        <v>32.145096121595998</v>
      </c>
      <c r="H3765">
        <v>2</v>
      </c>
      <c r="I3765">
        <v>59</v>
      </c>
      <c r="K3765" t="s">
        <v>2386</v>
      </c>
      <c r="L3765">
        <v>20</v>
      </c>
      <c r="M3765" t="s">
        <v>4609</v>
      </c>
      <c r="N3765" t="s">
        <v>2388</v>
      </c>
      <c r="O3765">
        <v>1</v>
      </c>
    </row>
    <row r="3766" spans="2:15" x14ac:dyDescent="0.3">
      <c r="B3766">
        <v>3826</v>
      </c>
      <c r="D3766">
        <v>1926</v>
      </c>
      <c r="E3766">
        <v>55</v>
      </c>
      <c r="F3766">
        <v>1</v>
      </c>
      <c r="G3766">
        <v>29.476703902441699</v>
      </c>
      <c r="H3766">
        <v>2</v>
      </c>
      <c r="I3766">
        <v>59</v>
      </c>
      <c r="K3766" t="s">
        <v>2386</v>
      </c>
      <c r="L3766">
        <v>20</v>
      </c>
      <c r="M3766" t="s">
        <v>4610</v>
      </c>
      <c r="N3766" t="s">
        <v>2388</v>
      </c>
      <c r="O3766">
        <v>1</v>
      </c>
    </row>
    <row r="3767" spans="2:15" x14ac:dyDescent="0.3">
      <c r="B3767">
        <v>3827</v>
      </c>
      <c r="D3767">
        <v>55</v>
      </c>
      <c r="E3767">
        <v>1926</v>
      </c>
      <c r="F3767">
        <v>1</v>
      </c>
      <c r="G3767">
        <v>29.476703902441699</v>
      </c>
      <c r="H3767">
        <v>2</v>
      </c>
      <c r="I3767">
        <v>59</v>
      </c>
      <c r="K3767" t="s">
        <v>2386</v>
      </c>
      <c r="L3767">
        <v>20</v>
      </c>
      <c r="M3767" t="s">
        <v>4611</v>
      </c>
      <c r="N3767" t="s">
        <v>2388</v>
      </c>
      <c r="O3767">
        <v>1</v>
      </c>
    </row>
    <row r="3768" spans="2:15" x14ac:dyDescent="0.3">
      <c r="B3768">
        <v>3828</v>
      </c>
      <c r="D3768">
        <v>1927</v>
      </c>
      <c r="E3768">
        <v>234</v>
      </c>
      <c r="F3768">
        <v>1</v>
      </c>
      <c r="G3768">
        <v>65.554571645975102</v>
      </c>
      <c r="H3768">
        <v>2</v>
      </c>
      <c r="I3768">
        <v>59</v>
      </c>
      <c r="K3768" t="s">
        <v>2386</v>
      </c>
      <c r="L3768">
        <v>20</v>
      </c>
      <c r="M3768" t="s">
        <v>4612</v>
      </c>
      <c r="N3768" t="s">
        <v>2388</v>
      </c>
      <c r="O3768">
        <v>1</v>
      </c>
    </row>
    <row r="3769" spans="2:15" x14ac:dyDescent="0.3">
      <c r="B3769">
        <v>3829</v>
      </c>
      <c r="D3769">
        <v>234</v>
      </c>
      <c r="E3769">
        <v>1927</v>
      </c>
      <c r="F3769">
        <v>1</v>
      </c>
      <c r="G3769">
        <v>65.554571645975102</v>
      </c>
      <c r="H3769">
        <v>2</v>
      </c>
      <c r="I3769">
        <v>59</v>
      </c>
      <c r="K3769" t="s">
        <v>2386</v>
      </c>
      <c r="L3769">
        <v>20</v>
      </c>
      <c r="M3769" t="s">
        <v>4613</v>
      </c>
      <c r="N3769" t="s">
        <v>2388</v>
      </c>
      <c r="O3769">
        <v>1</v>
      </c>
    </row>
    <row r="3770" spans="2:15" x14ac:dyDescent="0.3">
      <c r="B3770">
        <v>3830</v>
      </c>
      <c r="D3770">
        <v>1928</v>
      </c>
      <c r="E3770">
        <v>663</v>
      </c>
      <c r="F3770">
        <v>1</v>
      </c>
      <c r="G3770">
        <v>31.320336575621599</v>
      </c>
      <c r="H3770">
        <v>2</v>
      </c>
      <c r="I3770">
        <v>59</v>
      </c>
      <c r="K3770" t="s">
        <v>2386</v>
      </c>
      <c r="L3770">
        <v>20</v>
      </c>
      <c r="M3770" t="s">
        <v>4614</v>
      </c>
      <c r="N3770" t="s">
        <v>2388</v>
      </c>
      <c r="O3770">
        <v>1</v>
      </c>
    </row>
    <row r="3771" spans="2:15" x14ac:dyDescent="0.3">
      <c r="B3771">
        <v>3831</v>
      </c>
      <c r="D3771">
        <v>663</v>
      </c>
      <c r="E3771">
        <v>1928</v>
      </c>
      <c r="F3771">
        <v>1</v>
      </c>
      <c r="G3771">
        <v>31.320336575621599</v>
      </c>
      <c r="H3771">
        <v>2</v>
      </c>
      <c r="I3771">
        <v>59</v>
      </c>
      <c r="K3771" t="s">
        <v>2386</v>
      </c>
      <c r="L3771">
        <v>20</v>
      </c>
      <c r="M3771" t="s">
        <v>4615</v>
      </c>
      <c r="N3771" t="s">
        <v>2388</v>
      </c>
      <c r="O3771">
        <v>1</v>
      </c>
    </row>
    <row r="3772" spans="2:15" x14ac:dyDescent="0.3">
      <c r="B3772">
        <v>3832</v>
      </c>
      <c r="D3772">
        <v>1929</v>
      </c>
      <c r="E3772">
        <v>31</v>
      </c>
      <c r="F3772">
        <v>1</v>
      </c>
      <c r="G3772">
        <v>37.493015239606301</v>
      </c>
      <c r="H3772">
        <v>2</v>
      </c>
      <c r="I3772">
        <v>59</v>
      </c>
      <c r="K3772" t="s">
        <v>2386</v>
      </c>
      <c r="L3772">
        <v>20</v>
      </c>
      <c r="M3772" t="s">
        <v>4616</v>
      </c>
      <c r="N3772" t="s">
        <v>2388</v>
      </c>
      <c r="O3772">
        <v>1</v>
      </c>
    </row>
    <row r="3773" spans="2:15" x14ac:dyDescent="0.3">
      <c r="B3773">
        <v>3833</v>
      </c>
      <c r="D3773">
        <v>31</v>
      </c>
      <c r="E3773">
        <v>1929</v>
      </c>
      <c r="F3773">
        <v>1</v>
      </c>
      <c r="G3773">
        <v>37.493015239606301</v>
      </c>
      <c r="H3773">
        <v>2</v>
      </c>
      <c r="I3773">
        <v>59</v>
      </c>
      <c r="K3773" t="s">
        <v>2386</v>
      </c>
      <c r="L3773">
        <v>20</v>
      </c>
      <c r="M3773" t="s">
        <v>4617</v>
      </c>
      <c r="N3773" t="s">
        <v>2388</v>
      </c>
      <c r="O3773">
        <v>1</v>
      </c>
    </row>
    <row r="3774" spans="2:15" x14ac:dyDescent="0.3">
      <c r="B3774">
        <v>3834</v>
      </c>
      <c r="D3774">
        <v>1930</v>
      </c>
      <c r="E3774">
        <v>1945</v>
      </c>
      <c r="F3774">
        <v>1</v>
      </c>
      <c r="G3774">
        <v>102.58042002423301</v>
      </c>
      <c r="H3774">
        <v>2</v>
      </c>
      <c r="I3774">
        <v>59</v>
      </c>
      <c r="K3774" t="s">
        <v>2386</v>
      </c>
      <c r="L3774">
        <v>20</v>
      </c>
      <c r="M3774" t="s">
        <v>4618</v>
      </c>
      <c r="N3774" t="s">
        <v>2388</v>
      </c>
      <c r="O3774">
        <v>1</v>
      </c>
    </row>
    <row r="3775" spans="2:15" x14ac:dyDescent="0.3">
      <c r="B3775">
        <v>3835</v>
      </c>
      <c r="D3775">
        <v>1945</v>
      </c>
      <c r="E3775">
        <v>1930</v>
      </c>
      <c r="F3775">
        <v>1</v>
      </c>
      <c r="G3775">
        <v>102.58042002423301</v>
      </c>
      <c r="H3775">
        <v>2</v>
      </c>
      <c r="I3775">
        <v>59</v>
      </c>
      <c r="K3775" t="s">
        <v>2386</v>
      </c>
      <c r="L3775">
        <v>20</v>
      </c>
      <c r="M3775" t="s">
        <v>4619</v>
      </c>
      <c r="N3775" t="s">
        <v>2388</v>
      </c>
      <c r="O3775">
        <v>1</v>
      </c>
    </row>
    <row r="3776" spans="2:15" x14ac:dyDescent="0.3">
      <c r="B3776">
        <v>3836</v>
      </c>
      <c r="D3776">
        <v>1931</v>
      </c>
      <c r="E3776">
        <v>443</v>
      </c>
      <c r="F3776">
        <v>1</v>
      </c>
      <c r="G3776">
        <v>64.460922391526296</v>
      </c>
      <c r="H3776">
        <v>2</v>
      </c>
      <c r="I3776">
        <v>59</v>
      </c>
      <c r="K3776" t="s">
        <v>2386</v>
      </c>
      <c r="L3776">
        <v>20</v>
      </c>
      <c r="M3776" t="s">
        <v>4620</v>
      </c>
      <c r="N3776" t="s">
        <v>2388</v>
      </c>
      <c r="O3776">
        <v>1</v>
      </c>
    </row>
    <row r="3777" spans="2:15" x14ac:dyDescent="0.3">
      <c r="B3777">
        <v>3837</v>
      </c>
      <c r="D3777">
        <v>443</v>
      </c>
      <c r="E3777">
        <v>1931</v>
      </c>
      <c r="F3777">
        <v>1</v>
      </c>
      <c r="G3777">
        <v>64.460922391526296</v>
      </c>
      <c r="H3777">
        <v>2</v>
      </c>
      <c r="I3777">
        <v>59</v>
      </c>
      <c r="K3777" t="s">
        <v>2386</v>
      </c>
      <c r="L3777">
        <v>20</v>
      </c>
      <c r="M3777" t="s">
        <v>4621</v>
      </c>
      <c r="N3777" t="s">
        <v>2388</v>
      </c>
      <c r="O3777">
        <v>1</v>
      </c>
    </row>
    <row r="3778" spans="2:15" x14ac:dyDescent="0.3">
      <c r="B3778">
        <v>3838</v>
      </c>
      <c r="D3778">
        <v>1932</v>
      </c>
      <c r="E3778">
        <v>358</v>
      </c>
      <c r="F3778">
        <v>1</v>
      </c>
      <c r="G3778">
        <v>84.089236787057899</v>
      </c>
      <c r="H3778">
        <v>2</v>
      </c>
      <c r="I3778">
        <v>59</v>
      </c>
      <c r="K3778" t="s">
        <v>2386</v>
      </c>
      <c r="L3778">
        <v>20</v>
      </c>
      <c r="M3778" t="s">
        <v>4622</v>
      </c>
      <c r="N3778" t="s">
        <v>2388</v>
      </c>
      <c r="O3778">
        <v>1</v>
      </c>
    </row>
    <row r="3779" spans="2:15" x14ac:dyDescent="0.3">
      <c r="B3779">
        <v>3839</v>
      </c>
      <c r="D3779">
        <v>358</v>
      </c>
      <c r="E3779">
        <v>1932</v>
      </c>
      <c r="F3779">
        <v>1</v>
      </c>
      <c r="G3779">
        <v>84.089236787057899</v>
      </c>
      <c r="H3779">
        <v>2</v>
      </c>
      <c r="I3779">
        <v>59</v>
      </c>
      <c r="K3779" t="s">
        <v>2386</v>
      </c>
      <c r="L3779">
        <v>20</v>
      </c>
      <c r="M3779" t="s">
        <v>4623</v>
      </c>
      <c r="N3779" t="s">
        <v>2388</v>
      </c>
      <c r="O3779">
        <v>1</v>
      </c>
    </row>
    <row r="3780" spans="2:15" x14ac:dyDescent="0.3">
      <c r="B3780">
        <v>3840</v>
      </c>
      <c r="D3780">
        <v>1933</v>
      </c>
      <c r="E3780">
        <v>530</v>
      </c>
      <c r="F3780">
        <v>1</v>
      </c>
      <c r="G3780">
        <v>79.002067902117503</v>
      </c>
      <c r="H3780">
        <v>2</v>
      </c>
      <c r="I3780">
        <v>59</v>
      </c>
      <c r="K3780" t="s">
        <v>2386</v>
      </c>
      <c r="L3780">
        <v>20</v>
      </c>
      <c r="M3780" t="s">
        <v>4624</v>
      </c>
      <c r="N3780" t="s">
        <v>2388</v>
      </c>
      <c r="O3780">
        <v>1</v>
      </c>
    </row>
    <row r="3781" spans="2:15" x14ac:dyDescent="0.3">
      <c r="B3781">
        <v>3841</v>
      </c>
      <c r="D3781">
        <v>530</v>
      </c>
      <c r="E3781">
        <v>1933</v>
      </c>
      <c r="F3781">
        <v>1</v>
      </c>
      <c r="G3781">
        <v>79.002067902117503</v>
      </c>
      <c r="H3781">
        <v>2</v>
      </c>
      <c r="I3781">
        <v>59</v>
      </c>
      <c r="K3781" t="s">
        <v>2386</v>
      </c>
      <c r="L3781">
        <v>20</v>
      </c>
      <c r="M3781" t="s">
        <v>4625</v>
      </c>
      <c r="N3781" t="s">
        <v>2388</v>
      </c>
      <c r="O3781">
        <v>1</v>
      </c>
    </row>
    <row r="3782" spans="2:15" x14ac:dyDescent="0.3">
      <c r="B3782">
        <v>3842</v>
      </c>
      <c r="D3782">
        <v>1934</v>
      </c>
      <c r="E3782">
        <v>96</v>
      </c>
      <c r="F3782">
        <v>1</v>
      </c>
      <c r="G3782">
        <v>123.731284466707</v>
      </c>
      <c r="H3782">
        <v>2</v>
      </c>
      <c r="I3782">
        <v>59</v>
      </c>
      <c r="K3782" t="s">
        <v>2386</v>
      </c>
      <c r="L3782">
        <v>20</v>
      </c>
      <c r="M3782" t="s">
        <v>4626</v>
      </c>
      <c r="N3782" t="s">
        <v>2388</v>
      </c>
      <c r="O3782">
        <v>1</v>
      </c>
    </row>
    <row r="3783" spans="2:15" x14ac:dyDescent="0.3">
      <c r="B3783">
        <v>3843</v>
      </c>
      <c r="D3783">
        <v>96</v>
      </c>
      <c r="E3783">
        <v>1934</v>
      </c>
      <c r="F3783">
        <v>1</v>
      </c>
      <c r="G3783">
        <v>123.731284466707</v>
      </c>
      <c r="H3783">
        <v>2</v>
      </c>
      <c r="I3783">
        <v>59</v>
      </c>
      <c r="K3783" t="s">
        <v>2386</v>
      </c>
      <c r="L3783">
        <v>20</v>
      </c>
      <c r="M3783" t="s">
        <v>4627</v>
      </c>
      <c r="N3783" t="s">
        <v>2388</v>
      </c>
      <c r="O3783">
        <v>1</v>
      </c>
    </row>
    <row r="3784" spans="2:15" x14ac:dyDescent="0.3">
      <c r="B3784">
        <v>3844</v>
      </c>
      <c r="D3784">
        <v>1935</v>
      </c>
      <c r="E3784">
        <v>601</v>
      </c>
      <c r="F3784">
        <v>1</v>
      </c>
      <c r="G3784">
        <v>62.473778426719697</v>
      </c>
      <c r="H3784">
        <v>2</v>
      </c>
      <c r="I3784">
        <v>59</v>
      </c>
      <c r="K3784" t="s">
        <v>2386</v>
      </c>
      <c r="L3784">
        <v>20</v>
      </c>
      <c r="M3784" t="s">
        <v>4628</v>
      </c>
      <c r="N3784" t="s">
        <v>2388</v>
      </c>
      <c r="O3784">
        <v>1</v>
      </c>
    </row>
    <row r="3785" spans="2:15" x14ac:dyDescent="0.3">
      <c r="B3785">
        <v>3845</v>
      </c>
      <c r="D3785">
        <v>601</v>
      </c>
      <c r="E3785">
        <v>1935</v>
      </c>
      <c r="F3785">
        <v>1</v>
      </c>
      <c r="G3785">
        <v>62.473778426719697</v>
      </c>
      <c r="H3785">
        <v>2</v>
      </c>
      <c r="I3785">
        <v>59</v>
      </c>
      <c r="K3785" t="s">
        <v>2386</v>
      </c>
      <c r="L3785">
        <v>20</v>
      </c>
      <c r="M3785" t="s">
        <v>4629</v>
      </c>
      <c r="N3785" t="s">
        <v>2388</v>
      </c>
      <c r="O3785">
        <v>1</v>
      </c>
    </row>
    <row r="3786" spans="2:15" x14ac:dyDescent="0.3">
      <c r="B3786">
        <v>3846</v>
      </c>
      <c r="D3786">
        <v>1936</v>
      </c>
      <c r="E3786">
        <v>174</v>
      </c>
      <c r="F3786">
        <v>1</v>
      </c>
      <c r="G3786">
        <v>48.6222786022511</v>
      </c>
      <c r="H3786">
        <v>2</v>
      </c>
      <c r="I3786">
        <v>59</v>
      </c>
      <c r="K3786" t="s">
        <v>2386</v>
      </c>
      <c r="L3786">
        <v>20</v>
      </c>
      <c r="M3786" t="s">
        <v>4630</v>
      </c>
      <c r="N3786" t="s">
        <v>2388</v>
      </c>
      <c r="O3786">
        <v>1</v>
      </c>
    </row>
    <row r="3787" spans="2:15" x14ac:dyDescent="0.3">
      <c r="B3787">
        <v>3847</v>
      </c>
      <c r="D3787">
        <v>174</v>
      </c>
      <c r="E3787">
        <v>1936</v>
      </c>
      <c r="F3787">
        <v>1</v>
      </c>
      <c r="G3787">
        <v>48.6222786022511</v>
      </c>
      <c r="H3787">
        <v>2</v>
      </c>
      <c r="I3787">
        <v>59</v>
      </c>
      <c r="K3787" t="s">
        <v>2386</v>
      </c>
      <c r="L3787">
        <v>20</v>
      </c>
      <c r="M3787" t="s">
        <v>4631</v>
      </c>
      <c r="N3787" t="s">
        <v>2388</v>
      </c>
      <c r="O3787">
        <v>1</v>
      </c>
    </row>
    <row r="3788" spans="2:15" x14ac:dyDescent="0.3">
      <c r="B3788">
        <v>3848</v>
      </c>
      <c r="D3788">
        <v>1937</v>
      </c>
      <c r="E3788">
        <v>377</v>
      </c>
      <c r="F3788">
        <v>1</v>
      </c>
      <c r="G3788">
        <v>75.338565848698394</v>
      </c>
      <c r="H3788">
        <v>2</v>
      </c>
      <c r="I3788">
        <v>59</v>
      </c>
      <c r="K3788" t="s">
        <v>2386</v>
      </c>
      <c r="L3788">
        <v>20</v>
      </c>
      <c r="M3788" t="s">
        <v>4632</v>
      </c>
      <c r="N3788" t="s">
        <v>2388</v>
      </c>
      <c r="O3788">
        <v>1</v>
      </c>
    </row>
    <row r="3789" spans="2:15" x14ac:dyDescent="0.3">
      <c r="B3789">
        <v>3849</v>
      </c>
      <c r="D3789">
        <v>377</v>
      </c>
      <c r="E3789">
        <v>1937</v>
      </c>
      <c r="F3789">
        <v>1</v>
      </c>
      <c r="G3789">
        <v>75.338565848698394</v>
      </c>
      <c r="H3789">
        <v>2</v>
      </c>
      <c r="I3789">
        <v>59</v>
      </c>
      <c r="K3789" t="s">
        <v>2386</v>
      </c>
      <c r="L3789">
        <v>20</v>
      </c>
      <c r="M3789" t="s">
        <v>4633</v>
      </c>
      <c r="N3789" t="s">
        <v>2388</v>
      </c>
      <c r="O3789">
        <v>1</v>
      </c>
    </row>
    <row r="3790" spans="2:15" x14ac:dyDescent="0.3">
      <c r="B3790">
        <v>3850</v>
      </c>
      <c r="D3790">
        <v>1938</v>
      </c>
      <c r="E3790">
        <v>621</v>
      </c>
      <c r="F3790">
        <v>1</v>
      </c>
      <c r="G3790">
        <v>56.494021954841202</v>
      </c>
      <c r="H3790">
        <v>2</v>
      </c>
      <c r="I3790">
        <v>59</v>
      </c>
      <c r="K3790" t="s">
        <v>2386</v>
      </c>
      <c r="L3790">
        <v>20</v>
      </c>
      <c r="M3790" t="s">
        <v>4634</v>
      </c>
      <c r="N3790" t="s">
        <v>2388</v>
      </c>
      <c r="O3790">
        <v>1</v>
      </c>
    </row>
    <row r="3791" spans="2:15" x14ac:dyDescent="0.3">
      <c r="B3791">
        <v>3851</v>
      </c>
      <c r="D3791">
        <v>621</v>
      </c>
      <c r="E3791">
        <v>1938</v>
      </c>
      <c r="F3791">
        <v>1</v>
      </c>
      <c r="G3791">
        <v>56.494021954841202</v>
      </c>
      <c r="H3791">
        <v>2</v>
      </c>
      <c r="I3791">
        <v>59</v>
      </c>
      <c r="K3791" t="s">
        <v>2386</v>
      </c>
      <c r="L3791">
        <v>20</v>
      </c>
      <c r="M3791" t="s">
        <v>4635</v>
      </c>
      <c r="N3791" t="s">
        <v>2388</v>
      </c>
      <c r="O3791">
        <v>1</v>
      </c>
    </row>
    <row r="3792" spans="2:15" x14ac:dyDescent="0.3">
      <c r="B3792">
        <v>3852</v>
      </c>
      <c r="D3792">
        <v>1939</v>
      </c>
      <c r="E3792">
        <v>629</v>
      </c>
      <c r="F3792">
        <v>1</v>
      </c>
      <c r="G3792">
        <v>140.112102921738</v>
      </c>
      <c r="H3792">
        <v>2</v>
      </c>
      <c r="I3792">
        <v>59</v>
      </c>
      <c r="K3792" t="s">
        <v>2386</v>
      </c>
      <c r="L3792">
        <v>20</v>
      </c>
      <c r="M3792" t="s">
        <v>4636</v>
      </c>
      <c r="N3792" t="s">
        <v>2388</v>
      </c>
      <c r="O3792">
        <v>1</v>
      </c>
    </row>
    <row r="3793" spans="2:15" x14ac:dyDescent="0.3">
      <c r="B3793">
        <v>3853</v>
      </c>
      <c r="D3793">
        <v>629</v>
      </c>
      <c r="E3793">
        <v>1939</v>
      </c>
      <c r="F3793">
        <v>1</v>
      </c>
      <c r="G3793">
        <v>140.112102921738</v>
      </c>
      <c r="H3793">
        <v>2</v>
      </c>
      <c r="I3793">
        <v>59</v>
      </c>
      <c r="K3793" t="s">
        <v>2386</v>
      </c>
      <c r="L3793">
        <v>20</v>
      </c>
      <c r="M3793" t="s">
        <v>4637</v>
      </c>
      <c r="N3793" t="s">
        <v>2388</v>
      </c>
      <c r="O3793">
        <v>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S13"/>
  <sheetViews>
    <sheetView workbookViewId="0"/>
  </sheetViews>
  <sheetFormatPr defaultRowHeight="14.4" x14ac:dyDescent="0.3"/>
  <cols>
    <col min="2" max="2" width="16.33203125" bestFit="1" customWidth="1"/>
    <col min="18" max="18" width="12.44140625" bestFit="1" customWidth="1"/>
    <col min="19" max="19" width="11.6640625" bestFit="1" customWidth="1"/>
  </cols>
  <sheetData>
    <row r="1" spans="1:19" x14ac:dyDescent="0.3">
      <c r="A1" s="10" t="s">
        <v>586</v>
      </c>
      <c r="B1" t="s">
        <v>567</v>
      </c>
      <c r="C1" s="1" t="s">
        <v>568</v>
      </c>
      <c r="D1" s="1" t="s">
        <v>569</v>
      </c>
      <c r="E1" t="s">
        <v>570</v>
      </c>
      <c r="F1" t="s">
        <v>588</v>
      </c>
      <c r="G1" s="1" t="s">
        <v>571</v>
      </c>
      <c r="H1" t="s">
        <v>572</v>
      </c>
      <c r="I1" t="s">
        <v>573</v>
      </c>
      <c r="J1" t="s">
        <v>574</v>
      </c>
      <c r="K1" t="s">
        <v>575</v>
      </c>
      <c r="L1" t="s">
        <v>576</v>
      </c>
      <c r="M1" s="62" t="s">
        <v>577</v>
      </c>
      <c r="O1" t="s">
        <v>578</v>
      </c>
      <c r="P1" t="s">
        <v>579</v>
      </c>
      <c r="Q1" t="s">
        <v>580</v>
      </c>
      <c r="R1" t="s">
        <v>581</v>
      </c>
      <c r="S1" t="s">
        <v>582</v>
      </c>
    </row>
    <row r="2" spans="1:19" x14ac:dyDescent="0.3">
      <c r="A2">
        <f>osm!A3</f>
        <v>1966</v>
      </c>
      <c r="B2" t="str">
        <f>R2&amp;"_"&amp;S2</f>
        <v>00:00:00_00:00:59</v>
      </c>
      <c r="C2" s="1" t="s">
        <v>587</v>
      </c>
      <c r="D2" s="1" t="s">
        <v>587</v>
      </c>
      <c r="E2">
        <f>IF('Summary sheet'!U9=0,"",'Summary sheet'!L27)</f>
        <v>70</v>
      </c>
      <c r="F2" s="500">
        <f>IF('Summary sheet'!U9=0,"",'Summary sheet'!B47)</f>
        <v>1.19</v>
      </c>
      <c r="G2" s="1">
        <v>0</v>
      </c>
      <c r="H2">
        <f>'Phase calculation'!$C$25</f>
        <v>120</v>
      </c>
      <c r="I2">
        <f>IF(E2="","",IF('Phase calculation'!C34=0,'Phase calculation'!D34,'Phase calculation'!C34))</f>
        <v>59</v>
      </c>
      <c r="J2">
        <f>IF(E2="","",H2-I2)</f>
        <v>61</v>
      </c>
      <c r="K2">
        <f>IF(OR(O2=1,O2=2,O2=5,O2=6),1,2)</f>
        <v>1</v>
      </c>
      <c r="L2" t="s">
        <v>13</v>
      </c>
      <c r="M2" t="str">
        <f>osm!E17</f>
        <v>LINESTRING (-111.9264933066724 33.42202626192582, -111.9262415646975 33.42210098561003)</v>
      </c>
      <c r="O2">
        <f>IF('Phase calculation'!C33=0,'Phase calculation'!D33,'Phase calculation'!C33)</f>
        <v>2</v>
      </c>
      <c r="P2">
        <f>IFERROR(INDEX(Phasing!$D$46:$K$46,1,MATCH(O2,Phasing!$D$54:$K$54,0)),0)</f>
        <v>0</v>
      </c>
      <c r="Q2">
        <f>IFERROR(INDEX(Phasing!$D$47:$K$47,1,MATCH(O2,Phasing!$D$54:$K$54,0)),0)</f>
        <v>59</v>
      </c>
      <c r="R2" s="498" t="str">
        <f>IF(P2&lt;10,"00:00:0"&amp;P2,"00:"&amp;(IF(P2&lt;60,"00","0"&amp;ROUNDDOWN(P2/60,0))&amp;":"&amp;IF(OR(P2=0,P2=60,P2=120,P2=180),"00",IF(P2&lt;60,P2,P2-60*ROUNDDOWN(P2/60,0)))))</f>
        <v>00:00:00</v>
      </c>
      <c r="S2" s="498" t="str">
        <f>IF(Q2&lt;10,"00:00:0"&amp;Q2,"00:"&amp;(IF(Q2&lt;60,"00","0"&amp;ROUNDDOWN(Q2/60,0))&amp;":"&amp;IF(OR(Q2=0,Q2=60,Q2=120,Q2=180),"00",IF(Q2&lt;60,Q2,Q2-60*ROUNDDOWN(Q2/60,0)))))</f>
        <v>00:00:59</v>
      </c>
    </row>
    <row r="3" spans="1:19" x14ac:dyDescent="0.3">
      <c r="A3">
        <f>osm!A4</f>
        <v>1966</v>
      </c>
      <c r="B3" t="str">
        <f t="shared" ref="B3:B13" si="0">R3&amp;"_"&amp;S3</f>
        <v>00:00:00_00:00:59</v>
      </c>
      <c r="C3" s="1" t="s">
        <v>587</v>
      </c>
      <c r="D3" s="1" t="s">
        <v>587</v>
      </c>
      <c r="E3">
        <f>IF('Summary sheet'!U11=0,"",'Summary sheet'!L29)</f>
        <v>1403</v>
      </c>
      <c r="F3" s="500">
        <f>IF('Summary sheet'!U9=0,"",'Summary sheet'!B49)</f>
        <v>0.22</v>
      </c>
      <c r="G3" s="1">
        <v>0</v>
      </c>
      <c r="H3">
        <f>'Phase calculation'!$C$25</f>
        <v>120</v>
      </c>
      <c r="I3">
        <f>IF(E3="","",'Phase calculation'!D34)</f>
        <v>59</v>
      </c>
      <c r="J3">
        <f t="shared" ref="J3:J13" si="1">IF(E3="","",H3-I3)</f>
        <v>61</v>
      </c>
      <c r="K3">
        <f t="shared" ref="K3:K13" si="2">IF(OR(O3=1,O3=2,O3=5,O3=6),1,2)</f>
        <v>1</v>
      </c>
      <c r="L3" t="s">
        <v>14</v>
      </c>
      <c r="M3" t="str">
        <f>osm!E18</f>
        <v>LINESTRING (-111.9264933066724 33.42202626192582, -111.9261566859385 33.42203070294214)</v>
      </c>
      <c r="O3">
        <f>'Phase calculation'!D33</f>
        <v>2</v>
      </c>
      <c r="P3">
        <f>IFERROR(INDEX(Phasing!$D$46:$K$46,1,MATCH(O3,Phasing!$D$54:$K$54,0)),0)</f>
        <v>0</v>
      </c>
      <c r="Q3">
        <f>IFERROR(INDEX(Phasing!$D$47:$K$47,1,MATCH(O3,Phasing!$D$54:$K$54,0)),0)</f>
        <v>59</v>
      </c>
      <c r="R3" s="498" t="str">
        <f t="shared" ref="R3:R13" si="3">IF(P3&lt;10,"00:00:0"&amp;P3,"00:"&amp;(IF(P3&lt;60,"00","0"&amp;ROUNDDOWN(P3/60,0))&amp;":"&amp;IF(OR(P3=0,P3=60,P3=120,P3=180),"00",IF(P3&lt;60,P3,P3-60*ROUNDDOWN(P3/60,0)))))</f>
        <v>00:00:00</v>
      </c>
      <c r="S3" s="498" t="str">
        <f t="shared" ref="S3:S13" si="4">IF(Q3&lt;10,"00:00:0"&amp;Q3,"00:"&amp;(IF(Q3&lt;60,"00","0"&amp;ROUNDDOWN(Q3/60,0))&amp;":"&amp;IF(OR(Q3=0,Q3=60,Q3=120,Q3=180),"00",IF(Q3&lt;60,Q3,Q3-60*ROUNDDOWN(Q3/60,0)))))</f>
        <v>00:00:59</v>
      </c>
    </row>
    <row r="4" spans="1:19" x14ac:dyDescent="0.3">
      <c r="A4">
        <f>osm!A5</f>
        <v>1966</v>
      </c>
      <c r="B4" t="str">
        <f t="shared" si="0"/>
        <v>00:00:00_00:00:59</v>
      </c>
      <c r="C4" s="1" t="s">
        <v>587</v>
      </c>
      <c r="D4" s="1" t="s">
        <v>587</v>
      </c>
      <c r="E4">
        <f>IF('Summary sheet'!B13=0,"",'Summary sheet'!L31)</f>
        <v>11220</v>
      </c>
      <c r="F4" s="500">
        <f>IF('Summary sheet'!U9=0,"",'Summary sheet'!B51)</f>
        <v>4.7237076648841353E-3</v>
      </c>
      <c r="G4" s="1">
        <v>0</v>
      </c>
      <c r="H4">
        <f>'Phase calculation'!$C$25</f>
        <v>120</v>
      </c>
      <c r="I4">
        <f>IF(E4="","",'Phase calculation'!E34)</f>
        <v>59</v>
      </c>
      <c r="J4">
        <f t="shared" si="1"/>
        <v>61</v>
      </c>
      <c r="K4">
        <f t="shared" si="2"/>
        <v>1</v>
      </c>
      <c r="L4" t="s">
        <v>15</v>
      </c>
      <c r="M4" t="str">
        <f>osm!E19</f>
        <v>LINESTRING (-111.9264933066724 33.42202626192582, -111.9264072749496 33.42195576677923)</v>
      </c>
      <c r="O4">
        <f>O3</f>
        <v>2</v>
      </c>
      <c r="P4">
        <f>IFERROR(INDEX(Phasing!$D$46:$K$46,1,MATCH(O4,Phasing!$D$54:$K$54,0)),0)</f>
        <v>0</v>
      </c>
      <c r="Q4">
        <f>IFERROR(INDEX(Phasing!$D$47:$K$47,1,MATCH(O4,Phasing!$D$54:$K$54,0)),0)</f>
        <v>59</v>
      </c>
      <c r="R4" s="498" t="str">
        <f t="shared" si="3"/>
        <v>00:00:00</v>
      </c>
      <c r="S4" s="498" t="str">
        <f t="shared" si="4"/>
        <v>00:00:59</v>
      </c>
    </row>
    <row r="5" spans="1:19" x14ac:dyDescent="0.3">
      <c r="A5">
        <f>osm!A6</f>
        <v>1966</v>
      </c>
      <c r="B5" t="str">
        <f t="shared" si="0"/>
        <v>00:00:00_00:00:59</v>
      </c>
      <c r="C5" s="1" t="s">
        <v>587</v>
      </c>
      <c r="D5" s="1" t="s">
        <v>587</v>
      </c>
      <c r="E5">
        <f>IF('Summary sheet'!AA13=0,"",'Summary sheet'!R31)</f>
        <v>78</v>
      </c>
      <c r="F5" s="500">
        <f>IF('Summary sheet'!U9=0,"",'Summary sheet'!H51)</f>
        <v>2.13</v>
      </c>
      <c r="G5" s="1">
        <v>0</v>
      </c>
      <c r="H5">
        <f>'Phase calculation'!$C$25</f>
        <v>120</v>
      </c>
      <c r="I5">
        <f>IF(E5="","",IF('Phase calculation'!F34=0,'Phase calculation'!G34,'Phase calculation'!F34))</f>
        <v>59</v>
      </c>
      <c r="J5">
        <f t="shared" si="1"/>
        <v>61</v>
      </c>
      <c r="K5">
        <f t="shared" si="2"/>
        <v>1</v>
      </c>
      <c r="L5" t="s">
        <v>18</v>
      </c>
      <c r="M5" t="str">
        <f>osm!E20</f>
        <v>LINESTRING (-111.9261566859385 33.42203070294214, -111.9264072749496 33.42195576677923)</v>
      </c>
      <c r="O5">
        <f>IF('Phase calculation'!F33=0,'Phase calculation'!G33,'Phase calculation'!F33)</f>
        <v>6</v>
      </c>
      <c r="P5">
        <f>IFERROR(INDEX(Phasing!$D$46:$K$46,1,MATCH(O5,Phasing!$D$54:$K$54,0)),0)</f>
        <v>0</v>
      </c>
      <c r="Q5">
        <f>IFERROR(INDEX(Phasing!$D$47:$K$47,1,MATCH(O5,Phasing!$D$54:$K$54,0)),0)</f>
        <v>59</v>
      </c>
      <c r="R5" s="498" t="str">
        <f t="shared" si="3"/>
        <v>00:00:00</v>
      </c>
      <c r="S5" s="498" t="str">
        <f t="shared" si="4"/>
        <v>00:00:59</v>
      </c>
    </row>
    <row r="6" spans="1:19" x14ac:dyDescent="0.3">
      <c r="A6">
        <f>osm!A7</f>
        <v>1966</v>
      </c>
      <c r="B6" t="str">
        <f t="shared" si="0"/>
        <v>00:00:00_00:00:59</v>
      </c>
      <c r="C6" s="1" t="s">
        <v>587</v>
      </c>
      <c r="D6" s="1" t="s">
        <v>587</v>
      </c>
      <c r="E6">
        <f>IF('Summary sheet'!AA11=0,"",'Summary sheet'!R29)</f>
        <v>1403</v>
      </c>
      <c r="F6" s="500">
        <f>IF('Summary sheet'!U9=0,"",'Summary sheet'!H49)</f>
        <v>0.56000000000000005</v>
      </c>
      <c r="G6" s="1">
        <v>0</v>
      </c>
      <c r="H6">
        <f>'Phase calculation'!$C$25</f>
        <v>120</v>
      </c>
      <c r="I6">
        <f>IF(E6="","",'Phase calculation'!G34)</f>
        <v>59</v>
      </c>
      <c r="J6">
        <f t="shared" si="1"/>
        <v>61</v>
      </c>
      <c r="K6">
        <f t="shared" si="2"/>
        <v>1</v>
      </c>
      <c r="L6" t="s">
        <v>19</v>
      </c>
      <c r="M6" t="str">
        <f>osm!E21</f>
        <v>LINESTRING (-111.9261566859385 33.42203070294214, -111.9264933066724 33.42202626192582)</v>
      </c>
      <c r="O6">
        <f>'Phase calculation'!G33</f>
        <v>6</v>
      </c>
      <c r="P6">
        <f>IFERROR(INDEX(Phasing!$D$46:$K$46,1,MATCH(O6,Phasing!$D$54:$K$54,0)),0)</f>
        <v>0</v>
      </c>
      <c r="Q6">
        <f>IFERROR(INDEX(Phasing!$D$47:$K$47,1,MATCH(O6,Phasing!$D$54:$K$54,0)),0)</f>
        <v>59</v>
      </c>
      <c r="R6" s="498" t="str">
        <f t="shared" si="3"/>
        <v>00:00:00</v>
      </c>
      <c r="S6" s="498" t="str">
        <f t="shared" si="4"/>
        <v>00:00:59</v>
      </c>
    </row>
    <row r="7" spans="1:19" x14ac:dyDescent="0.3">
      <c r="A7">
        <f>osm!A8</f>
        <v>1966</v>
      </c>
      <c r="B7" t="str">
        <f t="shared" si="0"/>
        <v>00:00:00_00:00:59</v>
      </c>
      <c r="C7" s="1" t="s">
        <v>587</v>
      </c>
      <c r="D7" s="1" t="s">
        <v>587</v>
      </c>
      <c r="E7">
        <f>IF('Summary sheet'!H9=0,"",'Summary sheet'!R27)</f>
        <v>17531</v>
      </c>
      <c r="F7" s="500">
        <f>IF('Summary sheet'!U9=0,"",'Summary sheet'!H47)</f>
        <v>6.7309337744566764E-3</v>
      </c>
      <c r="G7" s="1">
        <v>0</v>
      </c>
      <c r="H7">
        <f>'Phase calculation'!$C$25</f>
        <v>120</v>
      </c>
      <c r="I7">
        <f>IF(E7="","",'Phase calculation'!H34)</f>
        <v>59</v>
      </c>
      <c r="J7">
        <f t="shared" si="1"/>
        <v>61</v>
      </c>
      <c r="K7">
        <f t="shared" si="2"/>
        <v>1</v>
      </c>
      <c r="L7" t="s">
        <v>20</v>
      </c>
      <c r="M7" t="str">
        <f>osm!E22</f>
        <v>LINESTRING (-111.9261566859385 33.42203070294214, -111.9262415646975 33.42210098561003)</v>
      </c>
      <c r="O7">
        <f>O6</f>
        <v>6</v>
      </c>
      <c r="P7">
        <f>IFERROR(INDEX(Phasing!$D$46:$K$46,1,MATCH(O7,Phasing!$D$54:$K$54,0)),0)</f>
        <v>0</v>
      </c>
      <c r="Q7">
        <f>IFERROR(INDEX(Phasing!$D$47:$K$47,1,MATCH(O7,Phasing!$D$54:$K$54,0)),0)</f>
        <v>59</v>
      </c>
      <c r="R7" s="498" t="str">
        <f t="shared" si="3"/>
        <v>00:00:00</v>
      </c>
      <c r="S7" s="498" t="str">
        <f t="shared" si="4"/>
        <v>00:00:59</v>
      </c>
    </row>
    <row r="8" spans="1:19" x14ac:dyDescent="0.3">
      <c r="A8">
        <f>osm!A9</f>
        <v>1966</v>
      </c>
      <c r="B8" t="str">
        <f t="shared" si="0"/>
        <v>00:00:59_00:01:14</v>
      </c>
      <c r="C8" s="1" t="s">
        <v>587</v>
      </c>
      <c r="D8" s="1" t="s">
        <v>587</v>
      </c>
      <c r="E8">
        <f>IF('Summary sheet'!W17=0,"",'Summary sheet'!N35)</f>
        <v>561</v>
      </c>
      <c r="F8" s="500">
        <f>IF('Summary sheet'!U9=0,"",'Summary sheet'!D55)</f>
        <v>0.52</v>
      </c>
      <c r="G8" s="1">
        <v>0</v>
      </c>
      <c r="H8">
        <f>'Phase calculation'!$C$25</f>
        <v>120</v>
      </c>
      <c r="I8">
        <f>IF(E8="","",IF('Phase calculation'!I34=0,'Phase calculation'!J34,'Phase calculation'!I34))</f>
        <v>15</v>
      </c>
      <c r="J8">
        <f t="shared" si="1"/>
        <v>105</v>
      </c>
      <c r="K8">
        <f t="shared" si="2"/>
        <v>2</v>
      </c>
      <c r="L8" t="s">
        <v>3</v>
      </c>
      <c r="M8" t="str">
        <f>osm!E23</f>
        <v>LINESTRING (-111.9262421786933 33.42195667708921, -111.9264933066724 33.42202626192582)</v>
      </c>
      <c r="O8">
        <f>IF('Phase calculation'!I33=0,'Phase calculation'!J33,'Phase calculation'!I33)</f>
        <v>3</v>
      </c>
      <c r="P8">
        <f>IFERROR(INDEX(Phasing!$D$46:$K$46,1,MATCH(O8,Phasing!$D$54:$K$54,0)),0)</f>
        <v>59</v>
      </c>
      <c r="Q8">
        <f>IFERROR(INDEX(Phasing!$D$47:$K$47,1,MATCH(O8,Phasing!$D$54:$K$54,0)),0)</f>
        <v>74</v>
      </c>
      <c r="R8" s="498" t="str">
        <f t="shared" si="3"/>
        <v>00:00:59</v>
      </c>
      <c r="S8" s="498" t="str">
        <f t="shared" si="4"/>
        <v>00:01:14</v>
      </c>
    </row>
    <row r="9" spans="1:19" x14ac:dyDescent="0.3">
      <c r="A9">
        <f>osm!A10</f>
        <v>1966</v>
      </c>
      <c r="B9" t="str">
        <f t="shared" si="0"/>
        <v>00:01:11_00:02:00</v>
      </c>
      <c r="C9" s="1" t="s">
        <v>587</v>
      </c>
      <c r="D9" s="1" t="s">
        <v>587</v>
      </c>
      <c r="E9" t="str">
        <f>IF('Summary sheet'!X17=0,"",'Summary sheet'!O35)</f>
        <v/>
      </c>
      <c r="F9" s="500" t="str">
        <f>IF('Summary sheet'!U9=0,"",'Summary sheet'!E55)</f>
        <v>N/A</v>
      </c>
      <c r="G9" s="1">
        <v>0</v>
      </c>
      <c r="H9">
        <f>'Phase calculation'!$C$25</f>
        <v>120</v>
      </c>
      <c r="I9" t="str">
        <f>IF(E9="","",'Phase calculation'!J34)</f>
        <v/>
      </c>
      <c r="J9" t="str">
        <f t="shared" si="1"/>
        <v/>
      </c>
      <c r="K9">
        <f t="shared" si="2"/>
        <v>2</v>
      </c>
      <c r="L9" t="s">
        <v>4</v>
      </c>
      <c r="M9">
        <f>osm!E24</f>
        <v>0</v>
      </c>
      <c r="O9">
        <f>'Phase calculation'!J33</f>
        <v>8</v>
      </c>
      <c r="P9">
        <f>IFERROR(INDEX(Phasing!$D$46:$K$46,1,MATCH(O9,Phasing!$D$54:$K$54,0)),0)</f>
        <v>71</v>
      </c>
      <c r="Q9">
        <f>IFERROR(INDEX(Phasing!$D$47:$K$47,1,MATCH(O9,Phasing!$D$54:$K$54,0)),0)</f>
        <v>120</v>
      </c>
      <c r="R9" s="498" t="str">
        <f t="shared" si="3"/>
        <v>00:01:11</v>
      </c>
      <c r="S9" s="498" t="str">
        <f t="shared" si="4"/>
        <v>00:02:00</v>
      </c>
    </row>
    <row r="10" spans="1:19" x14ac:dyDescent="0.3">
      <c r="A10">
        <f>osm!A11</f>
        <v>1966</v>
      </c>
      <c r="B10" t="str">
        <f t="shared" si="0"/>
        <v>00:01:11_00:02:00</v>
      </c>
      <c r="C10" s="1" t="s">
        <v>587</v>
      </c>
      <c r="D10" s="1" t="s">
        <v>587</v>
      </c>
      <c r="E10" t="str">
        <f>IF('Summary sheet'!F17=0,"",'Summary sheet'!P35)</f>
        <v/>
      </c>
      <c r="F10" s="500">
        <f>IF('Summary sheet'!U9=0,"",'Summary sheet'!F55)</f>
        <v>0</v>
      </c>
      <c r="G10" s="1">
        <v>0</v>
      </c>
      <c r="H10">
        <f>'Phase calculation'!$C$25</f>
        <v>120</v>
      </c>
      <c r="I10" t="str">
        <f>IF(E10="","",'Phase calculation'!K34)</f>
        <v/>
      </c>
      <c r="J10" t="str">
        <f t="shared" si="1"/>
        <v/>
      </c>
      <c r="K10">
        <f t="shared" si="2"/>
        <v>2</v>
      </c>
      <c r="L10" t="s">
        <v>5</v>
      </c>
      <c r="M10">
        <f>osm!E25</f>
        <v>0</v>
      </c>
      <c r="O10">
        <f>O9</f>
        <v>8</v>
      </c>
      <c r="P10">
        <f>IFERROR(INDEX(Phasing!$D$46:$K$46,1,MATCH(O10,Phasing!$D$54:$K$54,0)),0)</f>
        <v>71</v>
      </c>
      <c r="Q10">
        <f>IFERROR(INDEX(Phasing!$D$47:$K$47,1,MATCH(O10,Phasing!$D$54:$K$54,0)),0)</f>
        <v>120</v>
      </c>
      <c r="R10" s="498" t="str">
        <f t="shared" si="3"/>
        <v>00:01:11</v>
      </c>
      <c r="S10" s="498" t="str">
        <f t="shared" si="4"/>
        <v>00:02:00</v>
      </c>
    </row>
    <row r="11" spans="1:19" x14ac:dyDescent="0.3">
      <c r="A11">
        <f>osm!A12</f>
        <v>1966</v>
      </c>
      <c r="B11" t="str">
        <f t="shared" si="0"/>
        <v>00:00:59_00:01:11</v>
      </c>
      <c r="C11" s="1" t="s">
        <v>587</v>
      </c>
      <c r="D11" s="1" t="s">
        <v>587</v>
      </c>
      <c r="E11">
        <f>IF('Summary sheet'!Y4=0,"",'Summary sheet'!P22)</f>
        <v>434</v>
      </c>
      <c r="F11" s="500">
        <f>IF('Summary sheet'!U9=0,"",'Summary sheet'!F42)</f>
        <v>0.25</v>
      </c>
      <c r="G11" s="1">
        <v>0</v>
      </c>
      <c r="H11">
        <f>'Phase calculation'!$C$25</f>
        <v>120</v>
      </c>
      <c r="I11">
        <f>IF(E11="","",IF('Phase calculation'!L34=0,'Phase calculation'!M34,'Phase calculation'!L34))</f>
        <v>12</v>
      </c>
      <c r="J11">
        <f t="shared" si="1"/>
        <v>108</v>
      </c>
      <c r="K11">
        <f t="shared" si="2"/>
        <v>2</v>
      </c>
      <c r="L11" t="s">
        <v>8</v>
      </c>
      <c r="M11" t="str">
        <f>osm!E26</f>
        <v>LINESTRING (-111.9264079164864 33.42210008105089, -111.9261566859385 33.42203070294214)</v>
      </c>
      <c r="O11">
        <f>IF('Phase calculation'!L33=0,'Phase calculation'!M33,'Phase calculation'!L33)</f>
        <v>7</v>
      </c>
      <c r="P11">
        <f>IFERROR(INDEX(Phasing!$D$46:$K$46,1,MATCH(O11,Phasing!$D$54:$K$54,0)),0)</f>
        <v>59</v>
      </c>
      <c r="Q11">
        <f>IFERROR(INDEX(Phasing!$D$47:$K$47,1,MATCH(O11,Phasing!$D$54:$K$54,0)),0)</f>
        <v>71</v>
      </c>
      <c r="R11" s="498" t="str">
        <f t="shared" si="3"/>
        <v>00:00:59</v>
      </c>
      <c r="S11" s="498" t="str">
        <f t="shared" si="4"/>
        <v>00:01:11</v>
      </c>
    </row>
    <row r="12" spans="1:19" x14ac:dyDescent="0.3">
      <c r="A12">
        <f>osm!A13</f>
        <v>1966</v>
      </c>
      <c r="B12" t="str">
        <f t="shared" si="0"/>
        <v>00:01:14_00:02:00</v>
      </c>
      <c r="C12" s="1" t="s">
        <v>587</v>
      </c>
      <c r="D12" s="1" t="s">
        <v>587</v>
      </c>
      <c r="E12">
        <f>IF('Summary sheet'!X4=0,"",'Summary sheet'!O22)</f>
        <v>2142</v>
      </c>
      <c r="F12" s="500">
        <f>IF('Summary sheet'!U9=0,"",'Summary sheet'!E42)</f>
        <v>0.31</v>
      </c>
      <c r="G12" s="1">
        <v>0</v>
      </c>
      <c r="H12">
        <f>'Phase calculation'!$C$25</f>
        <v>120</v>
      </c>
      <c r="I12">
        <f>IF(E12="","",'Phase calculation'!M34)</f>
        <v>46</v>
      </c>
      <c r="J12">
        <f t="shared" si="1"/>
        <v>74</v>
      </c>
      <c r="K12">
        <f t="shared" si="2"/>
        <v>2</v>
      </c>
      <c r="L12" t="s">
        <v>9</v>
      </c>
      <c r="M12" t="str">
        <f>osm!E27</f>
        <v>LINESTRING (-111.9264079164864 33.42210008105089, -111.9264072749496 33.42195576677923)</v>
      </c>
      <c r="O12">
        <f>'Phase calculation'!M33</f>
        <v>4</v>
      </c>
      <c r="P12">
        <f>IFERROR(INDEX(Phasing!$D$46:$K$46,1,MATCH(O12,Phasing!$D$54:$K$54,0)),0)</f>
        <v>74</v>
      </c>
      <c r="Q12">
        <f>IFERROR(INDEX(Phasing!$D$47:$K$47,1,MATCH(O12,Phasing!$D$54:$K$54,0)),0)</f>
        <v>120</v>
      </c>
      <c r="R12" s="498" t="str">
        <f t="shared" si="3"/>
        <v>00:01:14</v>
      </c>
      <c r="S12" s="498" t="str">
        <f t="shared" si="4"/>
        <v>00:02:00</v>
      </c>
    </row>
    <row r="13" spans="1:19" x14ac:dyDescent="0.3">
      <c r="A13">
        <f>osm!A14</f>
        <v>1966</v>
      </c>
      <c r="B13" t="str">
        <f t="shared" si="0"/>
        <v>00:01:14_00:02:00</v>
      </c>
      <c r="C13" s="1" t="s">
        <v>587</v>
      </c>
      <c r="D13" s="1" t="s">
        <v>587</v>
      </c>
      <c r="E13">
        <f>IF('Summary sheet'!D4=0,"",'Summary sheet'!N22)</f>
        <v>13388</v>
      </c>
      <c r="F13" s="500">
        <f>IF('Summary sheet'!U9=0,"",'Summary sheet'!D42)</f>
        <v>6.6477442485808188E-3</v>
      </c>
      <c r="G13" s="1">
        <v>0</v>
      </c>
      <c r="H13">
        <f>'Phase calculation'!$C$25</f>
        <v>120</v>
      </c>
      <c r="I13">
        <f>IF(E13="","",'Phase calculation'!N34)</f>
        <v>46</v>
      </c>
      <c r="J13">
        <f t="shared" si="1"/>
        <v>74</v>
      </c>
      <c r="K13">
        <f t="shared" si="2"/>
        <v>2</v>
      </c>
      <c r="L13" t="s">
        <v>10</v>
      </c>
      <c r="M13" t="str">
        <f>osm!E28</f>
        <v>LINESTRING (-111.9264079164864 33.42210008105089, -111.9264933066724 33.42202626192582)</v>
      </c>
      <c r="O13">
        <f>O12</f>
        <v>4</v>
      </c>
      <c r="P13">
        <f>IFERROR(INDEX(Phasing!$D$46:$K$46,1,MATCH(O13,Phasing!$D$54:$K$54,0)),0)</f>
        <v>74</v>
      </c>
      <c r="Q13">
        <f>IFERROR(INDEX(Phasing!$D$47:$K$47,1,MATCH(O13,Phasing!$D$54:$K$54,0)),0)</f>
        <v>120</v>
      </c>
      <c r="R13" s="498" t="str">
        <f t="shared" si="3"/>
        <v>00:01:14</v>
      </c>
      <c r="S13" s="498" t="str">
        <f t="shared" si="4"/>
        <v>00:02:00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
  <sheetViews>
    <sheetView workbookViewId="0"/>
  </sheetViews>
  <sheetFormatPr defaultRowHeight="14.4"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
  <sheetViews>
    <sheetView workbookViewId="0"/>
  </sheetViews>
  <sheetFormatPr defaultRowHeight="14.4" x14ac:dyDescent="0.3"/>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
  <sheetViews>
    <sheetView workbookViewId="0">
      <selection activeCell="Q29" sqref="Q29"/>
    </sheetView>
  </sheetViews>
  <sheetFormatPr defaultRowHeight="14.4" x14ac:dyDescent="0.3"/>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
  <sheetViews>
    <sheetView workbookViewId="0">
      <selection activeCell="P18" sqref="P18"/>
    </sheetView>
  </sheetViews>
  <sheetFormatPr defaultRowHeight="14.4" x14ac:dyDescent="0.3"/>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dimension ref="A2:H11"/>
  <sheetViews>
    <sheetView workbookViewId="0">
      <selection activeCell="K15" sqref="K15"/>
    </sheetView>
  </sheetViews>
  <sheetFormatPr defaultRowHeight="14.4" x14ac:dyDescent="0.3"/>
  <cols>
    <col min="1" max="1" width="21.5546875" bestFit="1" customWidth="1"/>
  </cols>
  <sheetData>
    <row r="2" spans="1:8" x14ac:dyDescent="0.3">
      <c r="C2" s="513" t="s">
        <v>281</v>
      </c>
      <c r="D2" s="513"/>
      <c r="E2" s="513"/>
      <c r="F2" s="513"/>
      <c r="G2" s="513"/>
    </row>
    <row r="3" spans="1:8" x14ac:dyDescent="0.3">
      <c r="A3" t="s">
        <v>280</v>
      </c>
      <c r="B3" s="1" t="s">
        <v>261</v>
      </c>
      <c r="C3" s="76">
        <v>30</v>
      </c>
      <c r="D3" s="76">
        <v>50</v>
      </c>
      <c r="E3" s="76">
        <v>70</v>
      </c>
      <c r="F3" s="76">
        <v>90</v>
      </c>
      <c r="G3" s="76">
        <v>110</v>
      </c>
      <c r="H3" s="493">
        <v>200</v>
      </c>
    </row>
    <row r="4" spans="1:8" x14ac:dyDescent="0.3">
      <c r="A4">
        <v>25</v>
      </c>
      <c r="B4">
        <v>3</v>
      </c>
      <c r="C4">
        <v>1.4</v>
      </c>
      <c r="D4">
        <v>1.9</v>
      </c>
      <c r="E4">
        <v>2.5</v>
      </c>
      <c r="F4">
        <v>3</v>
      </c>
      <c r="G4">
        <v>3.5</v>
      </c>
      <c r="H4">
        <v>3.5</v>
      </c>
    </row>
    <row r="5" spans="1:8" x14ac:dyDescent="0.3">
      <c r="A5">
        <v>30</v>
      </c>
      <c r="B5">
        <v>3.2</v>
      </c>
      <c r="C5">
        <v>1.1000000000000001</v>
      </c>
      <c r="D5">
        <v>1.6</v>
      </c>
      <c r="E5">
        <v>2</v>
      </c>
      <c r="F5">
        <v>2.5</v>
      </c>
      <c r="G5">
        <v>3</v>
      </c>
      <c r="H5">
        <v>3</v>
      </c>
    </row>
    <row r="6" spans="1:8" x14ac:dyDescent="0.3">
      <c r="A6">
        <v>35</v>
      </c>
      <c r="B6">
        <v>3.6</v>
      </c>
      <c r="C6">
        <v>1</v>
      </c>
      <c r="D6">
        <v>1.4</v>
      </c>
      <c r="E6">
        <v>1.8</v>
      </c>
      <c r="F6">
        <v>2.1</v>
      </c>
      <c r="G6">
        <v>2.5</v>
      </c>
      <c r="H6">
        <v>2.5</v>
      </c>
    </row>
    <row r="7" spans="1:8" x14ac:dyDescent="0.3">
      <c r="A7">
        <v>40</v>
      </c>
      <c r="B7">
        <v>3.9</v>
      </c>
      <c r="C7">
        <v>0.9</v>
      </c>
      <c r="D7">
        <v>1.2</v>
      </c>
      <c r="E7">
        <v>1.5</v>
      </c>
      <c r="F7">
        <v>1.9</v>
      </c>
      <c r="G7">
        <v>2.2000000000000002</v>
      </c>
      <c r="H7">
        <v>2.2000000000000002</v>
      </c>
    </row>
    <row r="8" spans="1:8" x14ac:dyDescent="0.3">
      <c r="A8">
        <v>45</v>
      </c>
      <c r="B8">
        <v>4.3</v>
      </c>
      <c r="C8">
        <v>0.8</v>
      </c>
      <c r="D8">
        <v>1.1000000000000001</v>
      </c>
      <c r="E8">
        <v>1.4</v>
      </c>
      <c r="F8">
        <v>1.7</v>
      </c>
      <c r="G8">
        <v>2</v>
      </c>
      <c r="H8">
        <v>2</v>
      </c>
    </row>
    <row r="9" spans="1:8" x14ac:dyDescent="0.3">
      <c r="A9">
        <v>50</v>
      </c>
      <c r="B9">
        <v>4.7</v>
      </c>
      <c r="C9">
        <v>0.7</v>
      </c>
      <c r="D9">
        <v>1</v>
      </c>
      <c r="E9">
        <v>1.2</v>
      </c>
      <c r="F9">
        <v>1.5</v>
      </c>
      <c r="G9">
        <v>1.8</v>
      </c>
      <c r="H9">
        <v>1.8</v>
      </c>
    </row>
    <row r="10" spans="1:8" x14ac:dyDescent="0.3">
      <c r="A10">
        <v>55</v>
      </c>
      <c r="B10">
        <v>5</v>
      </c>
      <c r="C10">
        <v>0.6</v>
      </c>
      <c r="D10">
        <v>0.9</v>
      </c>
      <c r="E10">
        <v>1.1000000000000001</v>
      </c>
      <c r="F10">
        <v>1.4</v>
      </c>
      <c r="G10">
        <v>1.6</v>
      </c>
      <c r="H10">
        <v>1.6</v>
      </c>
    </row>
    <row r="11" spans="1:8" x14ac:dyDescent="0.3">
      <c r="A11">
        <v>60</v>
      </c>
      <c r="B11">
        <v>5.4</v>
      </c>
      <c r="C11">
        <v>0.6</v>
      </c>
      <c r="D11">
        <v>0.8</v>
      </c>
      <c r="E11">
        <v>1</v>
      </c>
      <c r="F11">
        <v>1.2</v>
      </c>
      <c r="G11">
        <v>1.5</v>
      </c>
      <c r="H11">
        <v>1.5</v>
      </c>
    </row>
  </sheetData>
  <mergeCells count="1">
    <mergeCell ref="C2:G2"/>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
  <dimension ref="B1:I31"/>
  <sheetViews>
    <sheetView workbookViewId="0">
      <selection activeCell="A27" sqref="A27:IV31"/>
    </sheetView>
  </sheetViews>
  <sheetFormatPr defaultRowHeight="14.4" x14ac:dyDescent="0.3"/>
  <cols>
    <col min="1" max="1" width="9.109375" customWidth="1"/>
    <col min="2" max="2" width="15.109375" bestFit="1" customWidth="1"/>
    <col min="7" max="7" width="11.5546875" bestFit="1" customWidth="1"/>
    <col min="8" max="8" width="19.33203125" bestFit="1" customWidth="1"/>
    <col min="9" max="9" width="9.88671875" bestFit="1" customWidth="1"/>
  </cols>
  <sheetData>
    <row r="1" spans="2:9" x14ac:dyDescent="0.3">
      <c r="B1" s="568" t="s">
        <v>310</v>
      </c>
      <c r="C1" s="568"/>
      <c r="D1" s="568"/>
    </row>
    <row r="2" spans="2:9" x14ac:dyDescent="0.3">
      <c r="B2" s="210"/>
      <c r="C2" s="568" t="s">
        <v>298</v>
      </c>
      <c r="D2" s="568"/>
    </row>
    <row r="3" spans="2:9" x14ac:dyDescent="0.3">
      <c r="B3" s="208" t="s">
        <v>297</v>
      </c>
      <c r="C3" s="171">
        <v>3</v>
      </c>
      <c r="D3" s="208">
        <v>4</v>
      </c>
      <c r="G3" s="220" t="s">
        <v>297</v>
      </c>
      <c r="H3" s="223" t="s">
        <v>311</v>
      </c>
      <c r="I3" s="43" t="s">
        <v>312</v>
      </c>
    </row>
    <row r="4" spans="2:9" x14ac:dyDescent="0.3">
      <c r="B4" s="209">
        <v>20</v>
      </c>
      <c r="C4" s="210">
        <v>90</v>
      </c>
      <c r="D4" s="209">
        <v>115</v>
      </c>
      <c r="G4" s="221">
        <v>25</v>
      </c>
      <c r="H4" s="65">
        <v>60</v>
      </c>
      <c r="I4" s="222">
        <v>0.8</v>
      </c>
    </row>
    <row r="5" spans="2:9" x14ac:dyDescent="0.3">
      <c r="B5" s="209">
        <v>25</v>
      </c>
      <c r="C5" s="210">
        <v>110</v>
      </c>
      <c r="D5" s="209">
        <v>145</v>
      </c>
      <c r="G5" s="221">
        <v>30</v>
      </c>
      <c r="H5" s="65">
        <v>60</v>
      </c>
      <c r="I5" s="222">
        <v>2.1</v>
      </c>
    </row>
    <row r="6" spans="2:9" x14ac:dyDescent="0.3">
      <c r="B6" s="209">
        <v>30</v>
      </c>
      <c r="C6" s="210">
        <v>130</v>
      </c>
      <c r="D6" s="209">
        <v>175</v>
      </c>
      <c r="G6" s="221">
        <v>35</v>
      </c>
      <c r="H6" s="65">
        <v>55</v>
      </c>
      <c r="I6" s="222">
        <v>1</v>
      </c>
    </row>
    <row r="7" spans="2:9" x14ac:dyDescent="0.3">
      <c r="B7" s="209">
        <v>35</v>
      </c>
      <c r="C7" s="210">
        <v>155</v>
      </c>
      <c r="D7" s="209">
        <v>205</v>
      </c>
      <c r="G7" s="221">
        <v>40</v>
      </c>
      <c r="H7" s="65">
        <v>70</v>
      </c>
      <c r="I7" s="222">
        <v>1.6</v>
      </c>
    </row>
    <row r="8" spans="2:9" x14ac:dyDescent="0.3">
      <c r="B8" s="209">
        <v>40</v>
      </c>
      <c r="C8" s="210">
        <v>180</v>
      </c>
      <c r="D8" s="209">
        <v>235</v>
      </c>
      <c r="G8" s="221">
        <v>45</v>
      </c>
      <c r="H8" s="65">
        <v>75</v>
      </c>
      <c r="I8" s="222">
        <v>1</v>
      </c>
    </row>
    <row r="9" spans="2:9" x14ac:dyDescent="0.3">
      <c r="B9" s="209">
        <v>45</v>
      </c>
      <c r="C9" s="210">
        <v>200</v>
      </c>
      <c r="D9" s="209">
        <v>265</v>
      </c>
      <c r="G9" s="221">
        <v>50</v>
      </c>
      <c r="H9" s="65">
        <v>75</v>
      </c>
      <c r="I9" s="222">
        <v>1</v>
      </c>
    </row>
    <row r="10" spans="2:9" x14ac:dyDescent="0.3">
      <c r="B10" s="209">
        <v>50</v>
      </c>
      <c r="D10" s="209">
        <v>265</v>
      </c>
      <c r="G10" s="221">
        <v>55</v>
      </c>
      <c r="H10" s="65">
        <v>75</v>
      </c>
      <c r="I10" s="222">
        <v>1</v>
      </c>
    </row>
    <row r="11" spans="2:9" x14ac:dyDescent="0.3">
      <c r="B11" s="209">
        <v>55</v>
      </c>
      <c r="D11" s="209">
        <v>265</v>
      </c>
    </row>
    <row r="16" spans="2:9" x14ac:dyDescent="0.3">
      <c r="B16" s="222" t="s">
        <v>314</v>
      </c>
      <c r="C16" s="519" t="s">
        <v>315</v>
      </c>
      <c r="D16" s="519"/>
      <c r="E16" s="519"/>
      <c r="F16" s="519"/>
      <c r="G16" s="519"/>
      <c r="H16" s="519"/>
      <c r="I16" s="519"/>
    </row>
    <row r="17" spans="2:9" x14ac:dyDescent="0.3">
      <c r="B17" t="s">
        <v>313</v>
      </c>
      <c r="C17" s="221">
        <v>25</v>
      </c>
      <c r="D17" s="221">
        <v>30</v>
      </c>
      <c r="E17" s="221">
        <v>35</v>
      </c>
      <c r="F17" s="221">
        <v>40</v>
      </c>
      <c r="G17" s="221">
        <v>45</v>
      </c>
      <c r="H17" s="221">
        <v>50</v>
      </c>
      <c r="I17" s="221">
        <v>55</v>
      </c>
    </row>
    <row r="18" spans="2:9" x14ac:dyDescent="0.3">
      <c r="B18" s="65">
        <v>55</v>
      </c>
      <c r="C18" s="222">
        <v>1.7</v>
      </c>
      <c r="D18" s="222">
        <v>2.1</v>
      </c>
      <c r="E18" s="222">
        <v>2.2999999999999998</v>
      </c>
      <c r="F18" s="222">
        <v>2.6</v>
      </c>
      <c r="G18" s="222">
        <v>2.7</v>
      </c>
      <c r="H18" s="222">
        <v>2.7</v>
      </c>
      <c r="I18" s="222">
        <v>2.7</v>
      </c>
    </row>
    <row r="19" spans="2:9" x14ac:dyDescent="0.3">
      <c r="B19" s="65">
        <v>60</v>
      </c>
      <c r="C19" s="222">
        <v>1.5</v>
      </c>
      <c r="D19" s="222">
        <v>2</v>
      </c>
      <c r="E19" s="222">
        <v>2.2000000000000002</v>
      </c>
      <c r="F19" s="222">
        <v>2.5</v>
      </c>
      <c r="G19" s="222">
        <v>2.6</v>
      </c>
      <c r="H19" s="222">
        <v>2.6</v>
      </c>
      <c r="I19" s="222">
        <v>2.6</v>
      </c>
    </row>
    <row r="20" spans="2:9" x14ac:dyDescent="0.3">
      <c r="B20" s="65">
        <v>65</v>
      </c>
      <c r="C20" s="222">
        <v>1.4</v>
      </c>
      <c r="D20" s="222">
        <v>1.8</v>
      </c>
      <c r="E20" s="222">
        <v>2.1</v>
      </c>
      <c r="F20" s="222">
        <v>2.4</v>
      </c>
      <c r="G20" s="222">
        <v>2.5</v>
      </c>
      <c r="H20" s="222">
        <v>2.5</v>
      </c>
      <c r="I20" s="222">
        <v>2.5</v>
      </c>
    </row>
    <row r="21" spans="2:9" x14ac:dyDescent="0.3">
      <c r="B21" s="65">
        <v>70</v>
      </c>
      <c r="C21" s="222">
        <v>1.2</v>
      </c>
      <c r="D21" s="222">
        <v>1.7</v>
      </c>
      <c r="E21" s="222">
        <v>2</v>
      </c>
      <c r="F21" s="222">
        <v>2.2999999999999998</v>
      </c>
      <c r="G21" s="222">
        <v>2.4</v>
      </c>
      <c r="H21" s="222">
        <v>2.4</v>
      </c>
      <c r="I21" s="222">
        <v>2.4</v>
      </c>
    </row>
    <row r="22" spans="2:9" x14ac:dyDescent="0.3">
      <c r="B22" s="65">
        <v>75</v>
      </c>
      <c r="C22" s="222">
        <v>1.1000000000000001</v>
      </c>
      <c r="D22" s="222">
        <v>1.6</v>
      </c>
      <c r="E22" s="222">
        <v>1.9</v>
      </c>
      <c r="F22" s="222">
        <v>2.2000000000000002</v>
      </c>
      <c r="G22" s="222">
        <v>2.4</v>
      </c>
      <c r="H22" s="222">
        <v>2.4</v>
      </c>
      <c r="I22" s="222">
        <v>2.4</v>
      </c>
    </row>
    <row r="25" spans="2:9" x14ac:dyDescent="0.3">
      <c r="B25" s="222" t="s">
        <v>318</v>
      </c>
      <c r="C25" s="519" t="s">
        <v>319</v>
      </c>
      <c r="D25" s="519"/>
      <c r="E25" s="519"/>
      <c r="F25" s="519"/>
      <c r="G25" s="519"/>
      <c r="H25" s="519"/>
      <c r="I25" s="519"/>
    </row>
    <row r="26" spans="2:9" x14ac:dyDescent="0.3">
      <c r="B26" t="s">
        <v>313</v>
      </c>
      <c r="C26" s="221">
        <v>25</v>
      </c>
      <c r="D26" s="221">
        <v>30</v>
      </c>
      <c r="E26" s="221">
        <v>35</v>
      </c>
      <c r="F26" s="221">
        <v>40</v>
      </c>
      <c r="G26" s="221">
        <v>45</v>
      </c>
      <c r="H26" s="221">
        <v>50</v>
      </c>
      <c r="I26" s="221">
        <v>55</v>
      </c>
    </row>
    <row r="27" spans="2:9" x14ac:dyDescent="0.3">
      <c r="B27" s="65">
        <v>55</v>
      </c>
      <c r="C27" s="222">
        <v>0</v>
      </c>
      <c r="D27" s="222">
        <v>0.1</v>
      </c>
      <c r="E27" s="222">
        <v>0.3</v>
      </c>
      <c r="F27" s="222">
        <v>0.6</v>
      </c>
      <c r="G27" s="222">
        <v>0.7</v>
      </c>
      <c r="H27" s="222">
        <v>0.7</v>
      </c>
      <c r="I27" s="222">
        <v>0.7</v>
      </c>
    </row>
    <row r="28" spans="2:9" x14ac:dyDescent="0.3">
      <c r="B28" s="65">
        <v>60</v>
      </c>
      <c r="C28" s="222">
        <v>0</v>
      </c>
      <c r="D28" s="222">
        <v>0</v>
      </c>
      <c r="E28" s="222">
        <v>0.2</v>
      </c>
      <c r="F28" s="222">
        <v>0.5</v>
      </c>
      <c r="G28" s="222">
        <v>0.6</v>
      </c>
      <c r="H28" s="222">
        <v>0.6</v>
      </c>
      <c r="I28" s="222">
        <v>0.6</v>
      </c>
    </row>
    <row r="29" spans="2:9" x14ac:dyDescent="0.3">
      <c r="B29" s="65">
        <v>65</v>
      </c>
      <c r="C29" s="222">
        <v>0</v>
      </c>
      <c r="D29" s="222">
        <v>0</v>
      </c>
      <c r="E29" s="222">
        <v>0.1</v>
      </c>
      <c r="F29" s="222">
        <v>0.4</v>
      </c>
      <c r="G29" s="222">
        <v>0.5</v>
      </c>
      <c r="H29" s="222">
        <v>0.5</v>
      </c>
      <c r="I29" s="222">
        <v>0.5</v>
      </c>
    </row>
    <row r="30" spans="2:9" x14ac:dyDescent="0.3">
      <c r="B30" s="65">
        <v>70</v>
      </c>
      <c r="C30" s="222">
        <v>0</v>
      </c>
      <c r="D30" s="222">
        <v>0</v>
      </c>
      <c r="E30" s="222">
        <v>0</v>
      </c>
      <c r="F30" s="222">
        <v>0.3</v>
      </c>
      <c r="G30" s="222">
        <v>0.3</v>
      </c>
      <c r="H30" s="222">
        <v>0.3</v>
      </c>
      <c r="I30" s="222">
        <v>0.3</v>
      </c>
    </row>
    <row r="31" spans="2:9" x14ac:dyDescent="0.3">
      <c r="B31" s="65">
        <v>75</v>
      </c>
      <c r="C31" s="222">
        <v>0</v>
      </c>
      <c r="D31" s="222">
        <v>0</v>
      </c>
      <c r="E31" s="222">
        <v>0</v>
      </c>
      <c r="F31" s="222">
        <v>0.2</v>
      </c>
      <c r="G31" s="222">
        <v>0.4</v>
      </c>
      <c r="H31" s="222">
        <v>0.4</v>
      </c>
      <c r="I31" s="22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Charts</vt:lpstr>
      </vt:variant>
      <vt:variant>
        <vt:i4>1</vt:i4>
      </vt:variant>
    </vt:vector>
  </HeadingPairs>
  <TitlesOfParts>
    <vt:vector size="23" baseType="lpstr">
      <vt:lpstr>Sheet1</vt:lpstr>
      <vt:lpstr>Input sheet</vt:lpstr>
      <vt:lpstr>Phase designation</vt:lpstr>
      <vt:lpstr>Lane volumes</vt:lpstr>
      <vt:lpstr>Phase calculation</vt:lpstr>
      <vt:lpstr>Max greens</vt:lpstr>
      <vt:lpstr>LOS table</vt:lpstr>
      <vt:lpstr>Phasing</vt:lpstr>
      <vt:lpstr>Summary sheet</vt:lpstr>
      <vt:lpstr>osm</vt:lpstr>
      <vt:lpstr>GMNS_data_dictionary</vt:lpstr>
      <vt:lpstr>GMNS</vt:lpstr>
      <vt:lpstr>movement</vt:lpstr>
      <vt:lpstr>node</vt:lpstr>
      <vt:lpstr>link</vt:lpstr>
      <vt:lpstr>timing_csv</vt:lpstr>
      <vt:lpstr>signal_phase</vt:lpstr>
      <vt:lpstr>signal_phase_concurrency</vt:lpstr>
      <vt:lpstr>signal_timing_plan</vt:lpstr>
      <vt:lpstr>signal_timing_phase</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Simon Zhou</cp:lastModifiedBy>
  <dcterms:created xsi:type="dcterms:W3CDTF">2012-08-31T17:18:51Z</dcterms:created>
  <dcterms:modified xsi:type="dcterms:W3CDTF">2021-05-07T23:49:53Z</dcterms:modified>
</cp:coreProperties>
</file>