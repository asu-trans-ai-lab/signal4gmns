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signal4gmns_package\signal4gmns_package_v5\signal4gmns_package\1-intersection\1-intersection\"/>
    </mc:Choice>
  </mc:AlternateContent>
  <xr:revisionPtr revIDLastSave="0" documentId="13_ncr:1_{C9170A2B-DFAA-4195-A13D-5A5E67BECF15}" xr6:coauthVersionLast="46" xr6:coauthVersionMax="46" xr10:uidLastSave="{00000000-0000-0000-0000-000000000000}"/>
  <bookViews>
    <workbookView xWindow="-108" yWindow="-108" windowWidth="23256" windowHeight="12576" tabRatio="851" firstSheet="2" activeTab="15"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osm" sheetId="14" r:id="rId11"/>
    <sheet name="GMNS_data_dictionary" sheetId="20" r:id="rId12"/>
    <sheet name="GMNS" sheetId="19" r:id="rId13"/>
    <sheet name="movement" sheetId="15" r:id="rId14"/>
    <sheet name="node" sheetId="17" r:id="rId15"/>
    <sheet name="link" sheetId="18" r:id="rId16"/>
    <sheet name="timing_csv" sheetId="16" r:id="rId17"/>
    <sheet name="signal_phase" sheetId="21" r:id="rId18"/>
    <sheet name="signal_phase_concurrency" sheetId="22" r:id="rId19"/>
    <sheet name="signal_timing_plan" sheetId="23" r:id="rId20"/>
    <sheet name="signal_timing_phase" sheetId="24" r:id="rId21"/>
    <sheet name="Y-AllRed" sheetId="10" state="hidden" r:id="rId22"/>
    <sheet name="DetZone" sheetId="11" state="hidden" r:id="rId23"/>
  </sheets>
  <definedNames>
    <definedName name="_xlnm._FilterDatabase" localSheetId="13" hidden="1">movement!$A$1:$Y$8856</definedName>
    <definedName name="_xlnm._FilterDatabase" localSheetId="14" hidden="1">node!$D$1:$D$403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14" l="1"/>
  <c r="D13" i="8" s="1"/>
  <c r="F21" i="14"/>
  <c r="P13" i="8" s="1"/>
  <c r="F24" i="14"/>
  <c r="J24" i="8" s="1"/>
  <c r="F27" i="14"/>
  <c r="J4" i="8" s="1"/>
  <c r="F3" i="14"/>
  <c r="F7" i="14" s="1"/>
  <c r="F5" i="14" l="1"/>
  <c r="F11" i="14"/>
  <c r="F8" i="14"/>
  <c r="F14" i="14"/>
  <c r="F6" i="14"/>
  <c r="F13" i="14"/>
  <c r="F12" i="14"/>
  <c r="F10" i="14"/>
  <c r="F9" i="14"/>
  <c r="F4" i="14"/>
  <c r="Y8856" i="15"/>
  <c r="X3" i="15" l="1"/>
  <c r="Y2" i="15" s="1"/>
  <c r="X4" i="15"/>
  <c r="Y3" i="15" s="1"/>
  <c r="X5" i="15"/>
  <c r="Y4" i="15" s="1"/>
  <c r="X6" i="15"/>
  <c r="Y5" i="15" s="1"/>
  <c r="X7" i="15"/>
  <c r="Y6" i="15" s="1"/>
  <c r="X8" i="15"/>
  <c r="Y7" i="15" s="1"/>
  <c r="X9" i="15"/>
  <c r="Y8" i="15" s="1"/>
  <c r="X10" i="15"/>
  <c r="Y9" i="15" s="1"/>
  <c r="X11" i="15"/>
  <c r="Y10" i="15" s="1"/>
  <c r="X12" i="15"/>
  <c r="Y11" i="15" s="1"/>
  <c r="X13" i="15"/>
  <c r="Y12" i="15" s="1"/>
  <c r="X14" i="15"/>
  <c r="Y13" i="15" s="1"/>
  <c r="X15" i="15"/>
  <c r="Y14" i="15" s="1"/>
  <c r="X16" i="15"/>
  <c r="Y15" i="15" s="1"/>
  <c r="X17" i="15"/>
  <c r="Y16" i="15" s="1"/>
  <c r="X18" i="15"/>
  <c r="Y17" i="15" s="1"/>
  <c r="X19" i="15"/>
  <c r="Y18" i="15" s="1"/>
  <c r="X20" i="15"/>
  <c r="Y19" i="15" s="1"/>
  <c r="X21" i="15"/>
  <c r="Y20" i="15" s="1"/>
  <c r="X22" i="15"/>
  <c r="Y21" i="15" s="1"/>
  <c r="X23" i="15"/>
  <c r="Y22" i="15" s="1"/>
  <c r="X24" i="15"/>
  <c r="Y23" i="15" s="1"/>
  <c r="X25" i="15"/>
  <c r="Y24" i="15" s="1"/>
  <c r="X26" i="15"/>
  <c r="Y25" i="15" s="1"/>
  <c r="X27" i="15"/>
  <c r="Y26" i="15" s="1"/>
  <c r="X28" i="15"/>
  <c r="Y27" i="15" s="1"/>
  <c r="X29" i="15"/>
  <c r="Y28" i="15" s="1"/>
  <c r="X30" i="15"/>
  <c r="Y29" i="15" s="1"/>
  <c r="X31" i="15"/>
  <c r="Y30" i="15" s="1"/>
  <c r="X32" i="15"/>
  <c r="Y31" i="15" s="1"/>
  <c r="X33" i="15"/>
  <c r="Y32" i="15" s="1"/>
  <c r="X34" i="15"/>
  <c r="Y33" i="15" s="1"/>
  <c r="X35" i="15"/>
  <c r="Y34" i="15" s="1"/>
  <c r="X36" i="15"/>
  <c r="Y35" i="15" s="1"/>
  <c r="X37" i="15"/>
  <c r="Y36" i="15" s="1"/>
  <c r="X38" i="15"/>
  <c r="Y37" i="15" s="1"/>
  <c r="X39" i="15"/>
  <c r="Y38" i="15" s="1"/>
  <c r="X40" i="15"/>
  <c r="Y39" i="15" s="1"/>
  <c r="X41" i="15"/>
  <c r="Y40" i="15" s="1"/>
  <c r="X42" i="15"/>
  <c r="Y41" i="15" s="1"/>
  <c r="X43" i="15"/>
  <c r="Y42" i="15" s="1"/>
  <c r="X44" i="15"/>
  <c r="Y43" i="15" s="1"/>
  <c r="X45" i="15"/>
  <c r="Y44" i="15" s="1"/>
  <c r="X46" i="15"/>
  <c r="Y45" i="15" s="1"/>
  <c r="X47" i="15"/>
  <c r="Y46" i="15" s="1"/>
  <c r="X48" i="15"/>
  <c r="Y47" i="15" s="1"/>
  <c r="X49" i="15"/>
  <c r="Y48" i="15" s="1"/>
  <c r="X50" i="15"/>
  <c r="Y49" i="15" s="1"/>
  <c r="X51" i="15"/>
  <c r="Y50" i="15" s="1"/>
  <c r="X52" i="15"/>
  <c r="Y51" i="15" s="1"/>
  <c r="X53" i="15"/>
  <c r="Y52" i="15" s="1"/>
  <c r="X54" i="15"/>
  <c r="Y53" i="15" s="1"/>
  <c r="X55" i="15"/>
  <c r="Y54" i="15" s="1"/>
  <c r="X56" i="15"/>
  <c r="Y55" i="15" s="1"/>
  <c r="X57" i="15"/>
  <c r="Y56" i="15" s="1"/>
  <c r="X58" i="15"/>
  <c r="Y57" i="15" s="1"/>
  <c r="X59" i="15"/>
  <c r="Y58" i="15" s="1"/>
  <c r="X60" i="15"/>
  <c r="Y59" i="15" s="1"/>
  <c r="X61" i="15"/>
  <c r="Y60" i="15" s="1"/>
  <c r="X62" i="15"/>
  <c r="Y61" i="15" s="1"/>
  <c r="X63" i="15"/>
  <c r="Y62" i="15" s="1"/>
  <c r="X64" i="15"/>
  <c r="Y63" i="15" s="1"/>
  <c r="X65" i="15"/>
  <c r="Y64" i="15" s="1"/>
  <c r="X66" i="15"/>
  <c r="Y65" i="15" s="1"/>
  <c r="X67" i="15"/>
  <c r="Y66" i="15" s="1"/>
  <c r="X68" i="15"/>
  <c r="Y67" i="15" s="1"/>
  <c r="X69" i="15"/>
  <c r="Y68" i="15" s="1"/>
  <c r="X70" i="15"/>
  <c r="Y69" i="15" s="1"/>
  <c r="X71" i="15"/>
  <c r="Y70" i="15" s="1"/>
  <c r="X72" i="15"/>
  <c r="Y71" i="15" s="1"/>
  <c r="X73" i="15"/>
  <c r="Y72" i="15" s="1"/>
  <c r="X74" i="15"/>
  <c r="Y73" i="15" s="1"/>
  <c r="X75" i="15"/>
  <c r="Y74" i="15" s="1"/>
  <c r="X76" i="15"/>
  <c r="Y75" i="15" s="1"/>
  <c r="X77" i="15"/>
  <c r="Y76" i="15" s="1"/>
  <c r="X78" i="15"/>
  <c r="Y77" i="15" s="1"/>
  <c r="X79" i="15"/>
  <c r="Y78" i="15" s="1"/>
  <c r="X80" i="15"/>
  <c r="Y79" i="15" s="1"/>
  <c r="X81" i="15"/>
  <c r="Y80" i="15" s="1"/>
  <c r="X82" i="15"/>
  <c r="Y81" i="15" s="1"/>
  <c r="X83" i="15"/>
  <c r="Y82" i="15" s="1"/>
  <c r="X84" i="15"/>
  <c r="Y83" i="15" s="1"/>
  <c r="X85" i="15"/>
  <c r="Y84" i="15" s="1"/>
  <c r="X86" i="15"/>
  <c r="Y85" i="15" s="1"/>
  <c r="X87" i="15"/>
  <c r="Y86" i="15" s="1"/>
  <c r="X88" i="15"/>
  <c r="Y87" i="15" s="1"/>
  <c r="X89" i="15"/>
  <c r="Y88" i="15" s="1"/>
  <c r="X90" i="15"/>
  <c r="Y89" i="15" s="1"/>
  <c r="X91" i="15"/>
  <c r="Y90" i="15" s="1"/>
  <c r="X92" i="15"/>
  <c r="Y91" i="15" s="1"/>
  <c r="X93" i="15"/>
  <c r="Y92" i="15" s="1"/>
  <c r="X94" i="15"/>
  <c r="Y93" i="15" s="1"/>
  <c r="X95" i="15"/>
  <c r="Y94" i="15" s="1"/>
  <c r="X96" i="15"/>
  <c r="Y95" i="15" s="1"/>
  <c r="X97" i="15"/>
  <c r="Y96" i="15" s="1"/>
  <c r="X98" i="15"/>
  <c r="Y97" i="15" s="1"/>
  <c r="X99" i="15"/>
  <c r="Y98" i="15" s="1"/>
  <c r="X100" i="15"/>
  <c r="Y99" i="15" s="1"/>
  <c r="X101" i="15"/>
  <c r="Y100" i="15" s="1"/>
  <c r="X102" i="15"/>
  <c r="Y101" i="15" s="1"/>
  <c r="X103" i="15"/>
  <c r="Y102" i="15" s="1"/>
  <c r="X104" i="15"/>
  <c r="Y103" i="15" s="1"/>
  <c r="X105" i="15"/>
  <c r="Y104" i="15" s="1"/>
  <c r="X106" i="15"/>
  <c r="Y105" i="15" s="1"/>
  <c r="X107" i="15"/>
  <c r="Y106" i="15" s="1"/>
  <c r="X108" i="15"/>
  <c r="Y107" i="15" s="1"/>
  <c r="X109" i="15"/>
  <c r="Y108" i="15" s="1"/>
  <c r="X110" i="15"/>
  <c r="Y109" i="15" s="1"/>
  <c r="X111" i="15"/>
  <c r="Y110" i="15" s="1"/>
  <c r="X112" i="15"/>
  <c r="Y111" i="15" s="1"/>
  <c r="X113" i="15"/>
  <c r="Y112" i="15" s="1"/>
  <c r="X114" i="15"/>
  <c r="Y113" i="15" s="1"/>
  <c r="X115" i="15"/>
  <c r="Y114" i="15" s="1"/>
  <c r="X116" i="15"/>
  <c r="Y115" i="15" s="1"/>
  <c r="X117" i="15"/>
  <c r="Y116" i="15" s="1"/>
  <c r="X118" i="15"/>
  <c r="Y117" i="15" s="1"/>
  <c r="X119" i="15"/>
  <c r="Y118" i="15" s="1"/>
  <c r="X120" i="15"/>
  <c r="Y119" i="15" s="1"/>
  <c r="X121" i="15"/>
  <c r="Y120" i="15" s="1"/>
  <c r="X122" i="15"/>
  <c r="Y121" i="15" s="1"/>
  <c r="X123" i="15"/>
  <c r="Y122" i="15" s="1"/>
  <c r="X124" i="15"/>
  <c r="Y123" i="15" s="1"/>
  <c r="X125" i="15"/>
  <c r="Y124" i="15" s="1"/>
  <c r="X126" i="15"/>
  <c r="Y125" i="15" s="1"/>
  <c r="X127" i="15"/>
  <c r="Y126" i="15" s="1"/>
  <c r="X128" i="15"/>
  <c r="Y127" i="15" s="1"/>
  <c r="X129" i="15"/>
  <c r="Y128" i="15" s="1"/>
  <c r="X130" i="15"/>
  <c r="Y129" i="15" s="1"/>
  <c r="X131" i="15"/>
  <c r="Y130" i="15" s="1"/>
  <c r="X132" i="15"/>
  <c r="Y131" i="15" s="1"/>
  <c r="X133" i="15"/>
  <c r="Y132" i="15" s="1"/>
  <c r="X134" i="15"/>
  <c r="Y133" i="15" s="1"/>
  <c r="X135" i="15"/>
  <c r="Y134" i="15" s="1"/>
  <c r="X136" i="15"/>
  <c r="Y135" i="15" s="1"/>
  <c r="X137" i="15"/>
  <c r="Y136" i="15" s="1"/>
  <c r="X138" i="15"/>
  <c r="Y137" i="15" s="1"/>
  <c r="X139" i="15"/>
  <c r="Y138" i="15" s="1"/>
  <c r="X140" i="15"/>
  <c r="Y139" i="15" s="1"/>
  <c r="X141" i="15"/>
  <c r="Y140" i="15" s="1"/>
  <c r="X142" i="15"/>
  <c r="Y141" i="15" s="1"/>
  <c r="X143" i="15"/>
  <c r="Y142" i="15" s="1"/>
  <c r="X144" i="15"/>
  <c r="Y143" i="15" s="1"/>
  <c r="X145" i="15"/>
  <c r="Y144" i="15" s="1"/>
  <c r="X146" i="15"/>
  <c r="Y145" i="15" s="1"/>
  <c r="X147" i="15"/>
  <c r="Y146" i="15" s="1"/>
  <c r="X148" i="15"/>
  <c r="Y147" i="15" s="1"/>
  <c r="X149" i="15"/>
  <c r="Y148" i="15" s="1"/>
  <c r="X150" i="15"/>
  <c r="Y149" i="15" s="1"/>
  <c r="X151" i="15"/>
  <c r="Y150" i="15" s="1"/>
  <c r="X152" i="15"/>
  <c r="Y151" i="15" s="1"/>
  <c r="X153" i="15"/>
  <c r="Y152" i="15" s="1"/>
  <c r="X154" i="15"/>
  <c r="Y153" i="15" s="1"/>
  <c r="X155" i="15"/>
  <c r="Y154" i="15" s="1"/>
  <c r="X156" i="15"/>
  <c r="Y155" i="15" s="1"/>
  <c r="X157" i="15"/>
  <c r="Y156" i="15" s="1"/>
  <c r="X158" i="15"/>
  <c r="Y157" i="15" s="1"/>
  <c r="X159" i="15"/>
  <c r="Y158" i="15" s="1"/>
  <c r="X160" i="15"/>
  <c r="Y159" i="15" s="1"/>
  <c r="X161" i="15"/>
  <c r="Y160" i="15" s="1"/>
  <c r="X162" i="15"/>
  <c r="Y161" i="15" s="1"/>
  <c r="X163" i="15"/>
  <c r="Y162" i="15" s="1"/>
  <c r="X164" i="15"/>
  <c r="Y163" i="15" s="1"/>
  <c r="X165" i="15"/>
  <c r="Y164" i="15" s="1"/>
  <c r="X166" i="15"/>
  <c r="Y165" i="15" s="1"/>
  <c r="X167" i="15"/>
  <c r="Y166" i="15" s="1"/>
  <c r="X168" i="15"/>
  <c r="Y167" i="15" s="1"/>
  <c r="X169" i="15"/>
  <c r="Y168" i="15" s="1"/>
  <c r="X170" i="15"/>
  <c r="Y169" i="15" s="1"/>
  <c r="X171" i="15"/>
  <c r="Y170" i="15" s="1"/>
  <c r="X172" i="15"/>
  <c r="Y171" i="15" s="1"/>
  <c r="X173" i="15"/>
  <c r="Y172" i="15" s="1"/>
  <c r="X174" i="15"/>
  <c r="Y173" i="15" s="1"/>
  <c r="X175" i="15"/>
  <c r="Y174" i="15" s="1"/>
  <c r="X176" i="15"/>
  <c r="Y175" i="15" s="1"/>
  <c r="X177" i="15"/>
  <c r="Y176" i="15" s="1"/>
  <c r="X178" i="15"/>
  <c r="Y177" i="15" s="1"/>
  <c r="X179" i="15"/>
  <c r="Y178" i="15" s="1"/>
  <c r="X180" i="15"/>
  <c r="Y179" i="15" s="1"/>
  <c r="X181" i="15"/>
  <c r="Y180" i="15" s="1"/>
  <c r="X182" i="15"/>
  <c r="Y181" i="15" s="1"/>
  <c r="X183" i="15"/>
  <c r="Y182" i="15" s="1"/>
  <c r="X184" i="15"/>
  <c r="Y183" i="15" s="1"/>
  <c r="X185" i="15"/>
  <c r="Y184" i="15" s="1"/>
  <c r="X186" i="15"/>
  <c r="Y185" i="15" s="1"/>
  <c r="X187" i="15"/>
  <c r="Y186" i="15" s="1"/>
  <c r="X188" i="15"/>
  <c r="Y187" i="15" s="1"/>
  <c r="X189" i="15"/>
  <c r="Y188" i="15" s="1"/>
  <c r="X190" i="15"/>
  <c r="Y189" i="15" s="1"/>
  <c r="X191" i="15"/>
  <c r="Y190" i="15" s="1"/>
  <c r="X192" i="15"/>
  <c r="Y191" i="15" s="1"/>
  <c r="X193" i="15"/>
  <c r="Y192" i="15" s="1"/>
  <c r="X194" i="15"/>
  <c r="Y193" i="15" s="1"/>
  <c r="X195" i="15"/>
  <c r="Y194" i="15" s="1"/>
  <c r="X196" i="15"/>
  <c r="Y195" i="15" s="1"/>
  <c r="X197" i="15"/>
  <c r="Y196" i="15" s="1"/>
  <c r="X198" i="15"/>
  <c r="Y197" i="15" s="1"/>
  <c r="X199" i="15"/>
  <c r="Y198" i="15" s="1"/>
  <c r="X200" i="15"/>
  <c r="Y199" i="15" s="1"/>
  <c r="X201" i="15"/>
  <c r="Y200" i="15" s="1"/>
  <c r="X202" i="15"/>
  <c r="Y201" i="15" s="1"/>
  <c r="X203" i="15"/>
  <c r="Y202" i="15" s="1"/>
  <c r="X204" i="15"/>
  <c r="Y203" i="15" s="1"/>
  <c r="X205" i="15"/>
  <c r="Y204" i="15" s="1"/>
  <c r="X206" i="15"/>
  <c r="Y205" i="15" s="1"/>
  <c r="X207" i="15"/>
  <c r="Y206" i="15" s="1"/>
  <c r="X208" i="15"/>
  <c r="Y207" i="15" s="1"/>
  <c r="X209" i="15"/>
  <c r="Y208" i="15" s="1"/>
  <c r="X210" i="15"/>
  <c r="Y209" i="15" s="1"/>
  <c r="X211" i="15"/>
  <c r="Y210" i="15" s="1"/>
  <c r="X212" i="15"/>
  <c r="Y211" i="15" s="1"/>
  <c r="X213" i="15"/>
  <c r="Y212" i="15" s="1"/>
  <c r="X214" i="15"/>
  <c r="Y213" i="15" s="1"/>
  <c r="X215" i="15"/>
  <c r="Y214" i="15" s="1"/>
  <c r="X216" i="15"/>
  <c r="Y215" i="15" s="1"/>
  <c r="X217" i="15"/>
  <c r="Y216" i="15" s="1"/>
  <c r="X218" i="15"/>
  <c r="Y217" i="15" s="1"/>
  <c r="X219" i="15"/>
  <c r="Y218" i="15" s="1"/>
  <c r="X220" i="15"/>
  <c r="Y219" i="15" s="1"/>
  <c r="X221" i="15"/>
  <c r="Y220" i="15" s="1"/>
  <c r="X222" i="15"/>
  <c r="Y221" i="15" s="1"/>
  <c r="X223" i="15"/>
  <c r="Y222" i="15" s="1"/>
  <c r="X224" i="15"/>
  <c r="Y223" i="15" s="1"/>
  <c r="X225" i="15"/>
  <c r="Y224" i="15" s="1"/>
  <c r="X226" i="15"/>
  <c r="Y225" i="15" s="1"/>
  <c r="X227" i="15"/>
  <c r="Y226" i="15" s="1"/>
  <c r="X228" i="15"/>
  <c r="Y227" i="15" s="1"/>
  <c r="X229" i="15"/>
  <c r="Y228" i="15" s="1"/>
  <c r="X230" i="15"/>
  <c r="Y229" i="15" s="1"/>
  <c r="X231" i="15"/>
  <c r="Y230" i="15" s="1"/>
  <c r="X232" i="15"/>
  <c r="Y231" i="15" s="1"/>
  <c r="X233" i="15"/>
  <c r="Y232" i="15" s="1"/>
  <c r="X234" i="15"/>
  <c r="Y233" i="15" s="1"/>
  <c r="X235" i="15"/>
  <c r="Y234" i="15" s="1"/>
  <c r="X236" i="15"/>
  <c r="Y235" i="15" s="1"/>
  <c r="X237" i="15"/>
  <c r="Y236" i="15" s="1"/>
  <c r="X238" i="15"/>
  <c r="Y237" i="15" s="1"/>
  <c r="X239" i="15"/>
  <c r="Y238" i="15" s="1"/>
  <c r="X240" i="15"/>
  <c r="Y239" i="15" s="1"/>
  <c r="X241" i="15"/>
  <c r="Y240" i="15" s="1"/>
  <c r="X242" i="15"/>
  <c r="Y241" i="15" s="1"/>
  <c r="X243" i="15"/>
  <c r="Y242" i="15" s="1"/>
  <c r="X244" i="15"/>
  <c r="Y243" i="15" s="1"/>
  <c r="X245" i="15"/>
  <c r="Y244" i="15" s="1"/>
  <c r="X246" i="15"/>
  <c r="Y245" i="15" s="1"/>
  <c r="X247" i="15"/>
  <c r="Y246" i="15" s="1"/>
  <c r="X248" i="15"/>
  <c r="Y247" i="15" s="1"/>
  <c r="X249" i="15"/>
  <c r="Y248" i="15" s="1"/>
  <c r="X250" i="15"/>
  <c r="Y249" i="15" s="1"/>
  <c r="X251" i="15"/>
  <c r="Y250" i="15" s="1"/>
  <c r="X252" i="15"/>
  <c r="Y251" i="15" s="1"/>
  <c r="X253" i="15"/>
  <c r="Y252" i="15" s="1"/>
  <c r="X254" i="15"/>
  <c r="Y253" i="15" s="1"/>
  <c r="X255" i="15"/>
  <c r="Y254" i="15" s="1"/>
  <c r="X256" i="15"/>
  <c r="Y255" i="15" s="1"/>
  <c r="X257" i="15"/>
  <c r="Y256" i="15" s="1"/>
  <c r="X258" i="15"/>
  <c r="Y257" i="15" s="1"/>
  <c r="X259" i="15"/>
  <c r="Y258" i="15" s="1"/>
  <c r="X260" i="15"/>
  <c r="Y259" i="15" s="1"/>
  <c r="X261" i="15"/>
  <c r="Y260" i="15" s="1"/>
  <c r="X262" i="15"/>
  <c r="Y261" i="15" s="1"/>
  <c r="X263" i="15"/>
  <c r="Y262" i="15" s="1"/>
  <c r="X264" i="15"/>
  <c r="Y263" i="15" s="1"/>
  <c r="X265" i="15"/>
  <c r="Y264" i="15" s="1"/>
  <c r="X266" i="15"/>
  <c r="Y265" i="15" s="1"/>
  <c r="X267" i="15"/>
  <c r="Y266" i="15" s="1"/>
  <c r="X268" i="15"/>
  <c r="Y267" i="15" s="1"/>
  <c r="X269" i="15"/>
  <c r="Y268" i="15" s="1"/>
  <c r="X270" i="15"/>
  <c r="Y269" i="15" s="1"/>
  <c r="X271" i="15"/>
  <c r="Y270" i="15" s="1"/>
  <c r="X272" i="15"/>
  <c r="Y271" i="15" s="1"/>
  <c r="X273" i="15"/>
  <c r="Y272" i="15" s="1"/>
  <c r="X274" i="15"/>
  <c r="Y273" i="15" s="1"/>
  <c r="X275" i="15"/>
  <c r="Y274" i="15" s="1"/>
  <c r="X276" i="15"/>
  <c r="Y275" i="15" s="1"/>
  <c r="X277" i="15"/>
  <c r="Y276" i="15" s="1"/>
  <c r="X278" i="15"/>
  <c r="Y277" i="15" s="1"/>
  <c r="X279" i="15"/>
  <c r="Y278" i="15" s="1"/>
  <c r="X280" i="15"/>
  <c r="Y279" i="15" s="1"/>
  <c r="X281" i="15"/>
  <c r="Y280" i="15" s="1"/>
  <c r="X282" i="15"/>
  <c r="Y281" i="15" s="1"/>
  <c r="X283" i="15"/>
  <c r="Y282" i="15" s="1"/>
  <c r="X284" i="15"/>
  <c r="Y283" i="15" s="1"/>
  <c r="X285" i="15"/>
  <c r="Y284" i="15" s="1"/>
  <c r="X286" i="15"/>
  <c r="Y285" i="15" s="1"/>
  <c r="X287" i="15"/>
  <c r="Y286" i="15" s="1"/>
  <c r="X288" i="15"/>
  <c r="Y287" i="15" s="1"/>
  <c r="X289" i="15"/>
  <c r="Y288" i="15" s="1"/>
  <c r="X290" i="15"/>
  <c r="Y289" i="15" s="1"/>
  <c r="X291" i="15"/>
  <c r="Y290" i="15" s="1"/>
  <c r="X292" i="15"/>
  <c r="Y291" i="15" s="1"/>
  <c r="X293" i="15"/>
  <c r="Y292" i="15" s="1"/>
  <c r="X294" i="15"/>
  <c r="Y293" i="15" s="1"/>
  <c r="X295" i="15"/>
  <c r="Y294" i="15" s="1"/>
  <c r="X296" i="15"/>
  <c r="Y295" i="15" s="1"/>
  <c r="X297" i="15"/>
  <c r="Y296" i="15" s="1"/>
  <c r="X298" i="15"/>
  <c r="Y297" i="15" s="1"/>
  <c r="X299" i="15"/>
  <c r="Y298" i="15" s="1"/>
  <c r="X300" i="15"/>
  <c r="Y299" i="15" s="1"/>
  <c r="X301" i="15"/>
  <c r="Y300" i="15" s="1"/>
  <c r="X302" i="15"/>
  <c r="Y301" i="15" s="1"/>
  <c r="X303" i="15"/>
  <c r="Y302" i="15" s="1"/>
  <c r="X304" i="15"/>
  <c r="Y303" i="15" s="1"/>
  <c r="X305" i="15"/>
  <c r="Y304" i="15" s="1"/>
  <c r="X306" i="15"/>
  <c r="Y305" i="15" s="1"/>
  <c r="X307" i="15"/>
  <c r="Y306" i="15" s="1"/>
  <c r="X308" i="15"/>
  <c r="Y307" i="15" s="1"/>
  <c r="X309" i="15"/>
  <c r="Y308" i="15" s="1"/>
  <c r="X310" i="15"/>
  <c r="Y309" i="15" s="1"/>
  <c r="X311" i="15"/>
  <c r="Y310" i="15" s="1"/>
  <c r="X312" i="15"/>
  <c r="Y311" i="15" s="1"/>
  <c r="X313" i="15"/>
  <c r="Y312" i="15" s="1"/>
  <c r="X314" i="15"/>
  <c r="Y313" i="15" s="1"/>
  <c r="X315" i="15"/>
  <c r="Y314" i="15" s="1"/>
  <c r="X316" i="15"/>
  <c r="Y315" i="15" s="1"/>
  <c r="X317" i="15"/>
  <c r="Y316" i="15" s="1"/>
  <c r="X318" i="15"/>
  <c r="Y317" i="15" s="1"/>
  <c r="X319" i="15"/>
  <c r="Y318" i="15" s="1"/>
  <c r="X320" i="15"/>
  <c r="Y319" i="15" s="1"/>
  <c r="X321" i="15"/>
  <c r="Y320" i="15" s="1"/>
  <c r="X322" i="15"/>
  <c r="Y321" i="15" s="1"/>
  <c r="X323" i="15"/>
  <c r="Y322" i="15" s="1"/>
  <c r="X324" i="15"/>
  <c r="Y323" i="15" s="1"/>
  <c r="X325" i="15"/>
  <c r="Y324" i="15" s="1"/>
  <c r="X326" i="15"/>
  <c r="Y325" i="15" s="1"/>
  <c r="X327" i="15"/>
  <c r="Y326" i="15" s="1"/>
  <c r="X328" i="15"/>
  <c r="Y327" i="15" s="1"/>
  <c r="X329" i="15"/>
  <c r="Y328" i="15" s="1"/>
  <c r="X330" i="15"/>
  <c r="Y329" i="15" s="1"/>
  <c r="X331" i="15"/>
  <c r="Y330" i="15" s="1"/>
  <c r="X332" i="15"/>
  <c r="Y331" i="15" s="1"/>
  <c r="X333" i="15"/>
  <c r="Y332" i="15" s="1"/>
  <c r="X334" i="15"/>
  <c r="Y333" i="15" s="1"/>
  <c r="X335" i="15"/>
  <c r="Y334" i="15" s="1"/>
  <c r="X336" i="15"/>
  <c r="Y335" i="15" s="1"/>
  <c r="X337" i="15"/>
  <c r="Y336" i="15" s="1"/>
  <c r="X338" i="15"/>
  <c r="Y337" i="15" s="1"/>
  <c r="X339" i="15"/>
  <c r="Y338" i="15" s="1"/>
  <c r="X340" i="15"/>
  <c r="Y339" i="15" s="1"/>
  <c r="X341" i="15"/>
  <c r="Y340" i="15" s="1"/>
  <c r="X342" i="15"/>
  <c r="Y341" i="15" s="1"/>
  <c r="X343" i="15"/>
  <c r="Y342" i="15" s="1"/>
  <c r="X344" i="15"/>
  <c r="Y343" i="15" s="1"/>
  <c r="X345" i="15"/>
  <c r="Y344" i="15" s="1"/>
  <c r="X346" i="15"/>
  <c r="Y345" i="15" s="1"/>
  <c r="X347" i="15"/>
  <c r="Y346" i="15" s="1"/>
  <c r="X348" i="15"/>
  <c r="Y347" i="15" s="1"/>
  <c r="X349" i="15"/>
  <c r="Y348" i="15" s="1"/>
  <c r="X350" i="15"/>
  <c r="Y349" i="15" s="1"/>
  <c r="X351" i="15"/>
  <c r="Y350" i="15" s="1"/>
  <c r="X352" i="15"/>
  <c r="Y351" i="15" s="1"/>
  <c r="X353" i="15"/>
  <c r="Y352" i="15" s="1"/>
  <c r="X354" i="15"/>
  <c r="Y353" i="15" s="1"/>
  <c r="X355" i="15"/>
  <c r="Y354" i="15" s="1"/>
  <c r="X356" i="15"/>
  <c r="Y355" i="15" s="1"/>
  <c r="X357" i="15"/>
  <c r="Y356" i="15" s="1"/>
  <c r="X358" i="15"/>
  <c r="Y357" i="15" s="1"/>
  <c r="X359" i="15"/>
  <c r="Y358" i="15" s="1"/>
  <c r="X360" i="15"/>
  <c r="Y359" i="15" s="1"/>
  <c r="X361" i="15"/>
  <c r="Y360" i="15" s="1"/>
  <c r="X362" i="15"/>
  <c r="Y361" i="15" s="1"/>
  <c r="X363" i="15"/>
  <c r="Y362" i="15" s="1"/>
  <c r="X364" i="15"/>
  <c r="Y363" i="15" s="1"/>
  <c r="X365" i="15"/>
  <c r="Y364" i="15" s="1"/>
  <c r="X366" i="15"/>
  <c r="Y365" i="15" s="1"/>
  <c r="X367" i="15"/>
  <c r="Y366" i="15" s="1"/>
  <c r="X368" i="15"/>
  <c r="Y367" i="15" s="1"/>
  <c r="X369" i="15"/>
  <c r="Y368" i="15" s="1"/>
  <c r="X370" i="15"/>
  <c r="Y369" i="15" s="1"/>
  <c r="X371" i="15"/>
  <c r="Y370" i="15" s="1"/>
  <c r="X372" i="15"/>
  <c r="Y371" i="15" s="1"/>
  <c r="X373" i="15"/>
  <c r="Y372" i="15" s="1"/>
  <c r="X374" i="15"/>
  <c r="Y373" i="15" s="1"/>
  <c r="X375" i="15"/>
  <c r="Y374" i="15" s="1"/>
  <c r="X376" i="15"/>
  <c r="Y375" i="15" s="1"/>
  <c r="X377" i="15"/>
  <c r="Y376" i="15" s="1"/>
  <c r="X378" i="15"/>
  <c r="Y377" i="15" s="1"/>
  <c r="X379" i="15"/>
  <c r="Y378" i="15" s="1"/>
  <c r="X380" i="15"/>
  <c r="Y379" i="15" s="1"/>
  <c r="X381" i="15"/>
  <c r="Y380" i="15" s="1"/>
  <c r="X382" i="15"/>
  <c r="Y381" i="15" s="1"/>
  <c r="X383" i="15"/>
  <c r="Y382" i="15" s="1"/>
  <c r="X384" i="15"/>
  <c r="Y383" i="15" s="1"/>
  <c r="X385" i="15"/>
  <c r="Y384" i="15" s="1"/>
  <c r="X386" i="15"/>
  <c r="Y385" i="15" s="1"/>
  <c r="X387" i="15"/>
  <c r="Y386" i="15" s="1"/>
  <c r="X388" i="15"/>
  <c r="Y387" i="15" s="1"/>
  <c r="X389" i="15"/>
  <c r="Y388" i="15" s="1"/>
  <c r="X390" i="15"/>
  <c r="Y389" i="15" s="1"/>
  <c r="X391" i="15"/>
  <c r="Y390" i="15" s="1"/>
  <c r="X392" i="15"/>
  <c r="Y391" i="15" s="1"/>
  <c r="X393" i="15"/>
  <c r="Y392" i="15" s="1"/>
  <c r="X394" i="15"/>
  <c r="Y393" i="15" s="1"/>
  <c r="X395" i="15"/>
  <c r="Y394" i="15" s="1"/>
  <c r="X396" i="15"/>
  <c r="Y395" i="15" s="1"/>
  <c r="X397" i="15"/>
  <c r="Y396" i="15" s="1"/>
  <c r="X398" i="15"/>
  <c r="Y397" i="15" s="1"/>
  <c r="X399" i="15"/>
  <c r="Y398" i="15" s="1"/>
  <c r="X400" i="15"/>
  <c r="Y399" i="15" s="1"/>
  <c r="X401" i="15"/>
  <c r="Y400" i="15" s="1"/>
  <c r="X402" i="15"/>
  <c r="Y401" i="15" s="1"/>
  <c r="X403" i="15"/>
  <c r="Y402" i="15" s="1"/>
  <c r="X404" i="15"/>
  <c r="Y403" i="15" s="1"/>
  <c r="X405" i="15"/>
  <c r="Y404" i="15" s="1"/>
  <c r="X406" i="15"/>
  <c r="Y405" i="15" s="1"/>
  <c r="X407" i="15"/>
  <c r="Y406" i="15" s="1"/>
  <c r="X408" i="15"/>
  <c r="Y407" i="15" s="1"/>
  <c r="X409" i="15"/>
  <c r="Y408" i="15" s="1"/>
  <c r="X410" i="15"/>
  <c r="Y409" i="15" s="1"/>
  <c r="X411" i="15"/>
  <c r="Y410" i="15" s="1"/>
  <c r="X412" i="15"/>
  <c r="Y411" i="15" s="1"/>
  <c r="X413" i="15"/>
  <c r="Y412" i="15" s="1"/>
  <c r="X414" i="15"/>
  <c r="Y413" i="15" s="1"/>
  <c r="X415" i="15"/>
  <c r="Y414" i="15" s="1"/>
  <c r="X416" i="15"/>
  <c r="Y415" i="15" s="1"/>
  <c r="X417" i="15"/>
  <c r="Y416" i="15" s="1"/>
  <c r="X418" i="15"/>
  <c r="Y417" i="15" s="1"/>
  <c r="X419" i="15"/>
  <c r="Y418" i="15" s="1"/>
  <c r="X420" i="15"/>
  <c r="Y419" i="15" s="1"/>
  <c r="X421" i="15"/>
  <c r="Y420" i="15" s="1"/>
  <c r="X422" i="15"/>
  <c r="Y421" i="15" s="1"/>
  <c r="X423" i="15"/>
  <c r="Y422" i="15" s="1"/>
  <c r="X424" i="15"/>
  <c r="Y423" i="15" s="1"/>
  <c r="X425" i="15"/>
  <c r="Y424" i="15" s="1"/>
  <c r="X426" i="15"/>
  <c r="Y425" i="15" s="1"/>
  <c r="X427" i="15"/>
  <c r="Y426" i="15" s="1"/>
  <c r="X428" i="15"/>
  <c r="Y427" i="15" s="1"/>
  <c r="X429" i="15"/>
  <c r="Y428" i="15" s="1"/>
  <c r="X430" i="15"/>
  <c r="Y429" i="15" s="1"/>
  <c r="X431" i="15"/>
  <c r="Y430" i="15" s="1"/>
  <c r="X432" i="15"/>
  <c r="Y431" i="15" s="1"/>
  <c r="X433" i="15"/>
  <c r="Y432" i="15" s="1"/>
  <c r="X434" i="15"/>
  <c r="Y433" i="15" s="1"/>
  <c r="X435" i="15"/>
  <c r="Y434" i="15" s="1"/>
  <c r="X436" i="15"/>
  <c r="Y435" i="15" s="1"/>
  <c r="X437" i="15"/>
  <c r="Y436" i="15" s="1"/>
  <c r="X438" i="15"/>
  <c r="Y437" i="15" s="1"/>
  <c r="X439" i="15"/>
  <c r="Y438" i="15" s="1"/>
  <c r="X440" i="15"/>
  <c r="Y439" i="15" s="1"/>
  <c r="X441" i="15"/>
  <c r="Y440" i="15" s="1"/>
  <c r="X442" i="15"/>
  <c r="Y441" i="15" s="1"/>
  <c r="X443" i="15"/>
  <c r="Y442" i="15" s="1"/>
  <c r="X444" i="15"/>
  <c r="Y443" i="15" s="1"/>
  <c r="X445" i="15"/>
  <c r="Y444" i="15" s="1"/>
  <c r="X446" i="15"/>
  <c r="Y445" i="15" s="1"/>
  <c r="X447" i="15"/>
  <c r="Y446" i="15" s="1"/>
  <c r="X448" i="15"/>
  <c r="Y447" i="15" s="1"/>
  <c r="X449" i="15"/>
  <c r="Y448" i="15" s="1"/>
  <c r="X450" i="15"/>
  <c r="Y449" i="15" s="1"/>
  <c r="X451" i="15"/>
  <c r="Y450" i="15" s="1"/>
  <c r="X452" i="15"/>
  <c r="Y451" i="15" s="1"/>
  <c r="X453" i="15"/>
  <c r="Y452" i="15" s="1"/>
  <c r="X454" i="15"/>
  <c r="Y453" i="15" s="1"/>
  <c r="X455" i="15"/>
  <c r="Y454" i="15" s="1"/>
  <c r="X456" i="15"/>
  <c r="Y455" i="15" s="1"/>
  <c r="X457" i="15"/>
  <c r="Y456" i="15" s="1"/>
  <c r="X458" i="15"/>
  <c r="Y457" i="15" s="1"/>
  <c r="X459" i="15"/>
  <c r="Y458" i="15" s="1"/>
  <c r="X460" i="15"/>
  <c r="Y459" i="15" s="1"/>
  <c r="X461" i="15"/>
  <c r="Y460" i="15" s="1"/>
  <c r="X462" i="15"/>
  <c r="Y461" i="15" s="1"/>
  <c r="X463" i="15"/>
  <c r="Y462" i="15" s="1"/>
  <c r="X464" i="15"/>
  <c r="Y463" i="15" s="1"/>
  <c r="X465" i="15"/>
  <c r="Y464" i="15" s="1"/>
  <c r="X466" i="15"/>
  <c r="Y465" i="15" s="1"/>
  <c r="X467" i="15"/>
  <c r="Y466" i="15" s="1"/>
  <c r="X468" i="15"/>
  <c r="Y467" i="15" s="1"/>
  <c r="X469" i="15"/>
  <c r="Y468" i="15" s="1"/>
  <c r="X470" i="15"/>
  <c r="Y469" i="15" s="1"/>
  <c r="X471" i="15"/>
  <c r="Y470" i="15" s="1"/>
  <c r="X472" i="15"/>
  <c r="Y471" i="15" s="1"/>
  <c r="X473" i="15"/>
  <c r="Y472" i="15" s="1"/>
  <c r="X474" i="15"/>
  <c r="Y473" i="15" s="1"/>
  <c r="X475" i="15"/>
  <c r="Y474" i="15" s="1"/>
  <c r="X476" i="15"/>
  <c r="Y475" i="15" s="1"/>
  <c r="X477" i="15"/>
  <c r="Y476" i="15" s="1"/>
  <c r="X478" i="15"/>
  <c r="Y477" i="15" s="1"/>
  <c r="X479" i="15"/>
  <c r="Y478" i="15" s="1"/>
  <c r="X480" i="15"/>
  <c r="Y479" i="15" s="1"/>
  <c r="X481" i="15"/>
  <c r="Y480" i="15" s="1"/>
  <c r="X482" i="15"/>
  <c r="Y481" i="15" s="1"/>
  <c r="X483" i="15"/>
  <c r="Y482" i="15" s="1"/>
  <c r="X484" i="15"/>
  <c r="Y483" i="15" s="1"/>
  <c r="X485" i="15"/>
  <c r="Y484" i="15" s="1"/>
  <c r="X486" i="15"/>
  <c r="Y485" i="15" s="1"/>
  <c r="X487" i="15"/>
  <c r="Y486" i="15" s="1"/>
  <c r="X488" i="15"/>
  <c r="Y487" i="15" s="1"/>
  <c r="X489" i="15"/>
  <c r="Y488" i="15" s="1"/>
  <c r="X490" i="15"/>
  <c r="Y489" i="15" s="1"/>
  <c r="X491" i="15"/>
  <c r="Y490" i="15" s="1"/>
  <c r="X492" i="15"/>
  <c r="Y491" i="15" s="1"/>
  <c r="X493" i="15"/>
  <c r="Y492" i="15" s="1"/>
  <c r="X494" i="15"/>
  <c r="Y493" i="15" s="1"/>
  <c r="X495" i="15"/>
  <c r="Y494" i="15" s="1"/>
  <c r="X496" i="15"/>
  <c r="Y495" i="15" s="1"/>
  <c r="X497" i="15"/>
  <c r="Y496" i="15" s="1"/>
  <c r="X498" i="15"/>
  <c r="Y497" i="15" s="1"/>
  <c r="X499" i="15"/>
  <c r="Y498" i="15" s="1"/>
  <c r="X500" i="15"/>
  <c r="Y499" i="15" s="1"/>
  <c r="X501" i="15"/>
  <c r="Y500" i="15" s="1"/>
  <c r="X502" i="15"/>
  <c r="Y501" i="15" s="1"/>
  <c r="X503" i="15"/>
  <c r="Y502" i="15" s="1"/>
  <c r="X504" i="15"/>
  <c r="Y503" i="15" s="1"/>
  <c r="X505" i="15"/>
  <c r="Y504" i="15" s="1"/>
  <c r="X506" i="15"/>
  <c r="Y505" i="15" s="1"/>
  <c r="X507" i="15"/>
  <c r="Y506" i="15" s="1"/>
  <c r="X508" i="15"/>
  <c r="Y507" i="15" s="1"/>
  <c r="X509" i="15"/>
  <c r="Y508" i="15" s="1"/>
  <c r="X510" i="15"/>
  <c r="Y509" i="15" s="1"/>
  <c r="X511" i="15"/>
  <c r="Y510" i="15" s="1"/>
  <c r="X512" i="15"/>
  <c r="Y511" i="15" s="1"/>
  <c r="X513" i="15"/>
  <c r="Y512" i="15" s="1"/>
  <c r="X514" i="15"/>
  <c r="Y513" i="15" s="1"/>
  <c r="X515" i="15"/>
  <c r="Y514" i="15" s="1"/>
  <c r="X516" i="15"/>
  <c r="Y515" i="15" s="1"/>
  <c r="X517" i="15"/>
  <c r="Y516" i="15" s="1"/>
  <c r="X518" i="15"/>
  <c r="Y517" i="15" s="1"/>
  <c r="X519" i="15"/>
  <c r="Y518" i="15" s="1"/>
  <c r="X520" i="15"/>
  <c r="Y519" i="15" s="1"/>
  <c r="X521" i="15"/>
  <c r="Y520" i="15" s="1"/>
  <c r="X522" i="15"/>
  <c r="Y521" i="15" s="1"/>
  <c r="X523" i="15"/>
  <c r="Y522" i="15" s="1"/>
  <c r="X524" i="15"/>
  <c r="Y523" i="15" s="1"/>
  <c r="X525" i="15"/>
  <c r="Y524" i="15" s="1"/>
  <c r="X526" i="15"/>
  <c r="Y525" i="15" s="1"/>
  <c r="X527" i="15"/>
  <c r="Y526" i="15" s="1"/>
  <c r="X528" i="15"/>
  <c r="Y527" i="15" s="1"/>
  <c r="X529" i="15"/>
  <c r="Y528" i="15" s="1"/>
  <c r="X530" i="15"/>
  <c r="Y529" i="15" s="1"/>
  <c r="X531" i="15"/>
  <c r="Y530" i="15" s="1"/>
  <c r="X532" i="15"/>
  <c r="Y531" i="15" s="1"/>
  <c r="X533" i="15"/>
  <c r="Y532" i="15" s="1"/>
  <c r="X534" i="15"/>
  <c r="Y533" i="15" s="1"/>
  <c r="X535" i="15"/>
  <c r="Y534" i="15" s="1"/>
  <c r="X536" i="15"/>
  <c r="Y535" i="15" s="1"/>
  <c r="X537" i="15"/>
  <c r="Y536" i="15" s="1"/>
  <c r="X538" i="15"/>
  <c r="Y537" i="15" s="1"/>
  <c r="X539" i="15"/>
  <c r="Y538" i="15" s="1"/>
  <c r="X540" i="15"/>
  <c r="Y539" i="15" s="1"/>
  <c r="X541" i="15"/>
  <c r="Y540" i="15" s="1"/>
  <c r="X542" i="15"/>
  <c r="Y541" i="15" s="1"/>
  <c r="X543" i="15"/>
  <c r="Y542" i="15" s="1"/>
  <c r="X544" i="15"/>
  <c r="Y543" i="15" s="1"/>
  <c r="X545" i="15"/>
  <c r="Y544" i="15" s="1"/>
  <c r="X546" i="15"/>
  <c r="Y545" i="15" s="1"/>
  <c r="X547" i="15"/>
  <c r="Y546" i="15" s="1"/>
  <c r="X548" i="15"/>
  <c r="Y547" i="15" s="1"/>
  <c r="X549" i="15"/>
  <c r="Y548" i="15" s="1"/>
  <c r="X550" i="15"/>
  <c r="Y549" i="15" s="1"/>
  <c r="X551" i="15"/>
  <c r="Y550" i="15" s="1"/>
  <c r="X552" i="15"/>
  <c r="Y551" i="15" s="1"/>
  <c r="X553" i="15"/>
  <c r="Y552" i="15" s="1"/>
  <c r="X554" i="15"/>
  <c r="Y553" i="15" s="1"/>
  <c r="X555" i="15"/>
  <c r="Y554" i="15" s="1"/>
  <c r="X556" i="15"/>
  <c r="Y555" i="15" s="1"/>
  <c r="X557" i="15"/>
  <c r="Y556" i="15" s="1"/>
  <c r="X558" i="15"/>
  <c r="Y557" i="15" s="1"/>
  <c r="X559" i="15"/>
  <c r="Y558" i="15" s="1"/>
  <c r="X560" i="15"/>
  <c r="Y559" i="15" s="1"/>
  <c r="X561" i="15"/>
  <c r="Y560" i="15" s="1"/>
  <c r="X562" i="15"/>
  <c r="Y561" i="15" s="1"/>
  <c r="X563" i="15"/>
  <c r="Y562" i="15" s="1"/>
  <c r="X564" i="15"/>
  <c r="Y563" i="15" s="1"/>
  <c r="X565" i="15"/>
  <c r="Y564" i="15" s="1"/>
  <c r="X566" i="15"/>
  <c r="Y565" i="15" s="1"/>
  <c r="X567" i="15"/>
  <c r="Y566" i="15" s="1"/>
  <c r="X568" i="15"/>
  <c r="Y567" i="15" s="1"/>
  <c r="X569" i="15"/>
  <c r="Y568" i="15" s="1"/>
  <c r="X570" i="15"/>
  <c r="Y569" i="15" s="1"/>
  <c r="X571" i="15"/>
  <c r="Y570" i="15" s="1"/>
  <c r="X572" i="15"/>
  <c r="Y571" i="15" s="1"/>
  <c r="X573" i="15"/>
  <c r="Y572" i="15" s="1"/>
  <c r="X574" i="15"/>
  <c r="Y573" i="15" s="1"/>
  <c r="X575" i="15"/>
  <c r="Y574" i="15" s="1"/>
  <c r="X576" i="15"/>
  <c r="Y575" i="15" s="1"/>
  <c r="X577" i="15"/>
  <c r="Y576" i="15" s="1"/>
  <c r="X578" i="15"/>
  <c r="Y577" i="15" s="1"/>
  <c r="X579" i="15"/>
  <c r="Y578" i="15" s="1"/>
  <c r="X580" i="15"/>
  <c r="Y579" i="15" s="1"/>
  <c r="X581" i="15"/>
  <c r="Y580" i="15" s="1"/>
  <c r="X582" i="15"/>
  <c r="Y581" i="15" s="1"/>
  <c r="X583" i="15"/>
  <c r="Y582" i="15" s="1"/>
  <c r="X584" i="15"/>
  <c r="Y583" i="15" s="1"/>
  <c r="X585" i="15"/>
  <c r="Y584" i="15" s="1"/>
  <c r="X586" i="15"/>
  <c r="Y585" i="15" s="1"/>
  <c r="X587" i="15"/>
  <c r="Y586" i="15" s="1"/>
  <c r="X588" i="15"/>
  <c r="Y587" i="15" s="1"/>
  <c r="X589" i="15"/>
  <c r="Y588" i="15" s="1"/>
  <c r="X590" i="15"/>
  <c r="Y589" i="15" s="1"/>
  <c r="X591" i="15"/>
  <c r="Y590" i="15" s="1"/>
  <c r="X592" i="15"/>
  <c r="Y591" i="15" s="1"/>
  <c r="X593" i="15"/>
  <c r="Y592" i="15" s="1"/>
  <c r="X594" i="15"/>
  <c r="Y593" i="15" s="1"/>
  <c r="X595" i="15"/>
  <c r="Y594" i="15" s="1"/>
  <c r="X596" i="15"/>
  <c r="Y595" i="15" s="1"/>
  <c r="X597" i="15"/>
  <c r="Y596" i="15" s="1"/>
  <c r="X598" i="15"/>
  <c r="Y597" i="15" s="1"/>
  <c r="X599" i="15"/>
  <c r="Y598" i="15" s="1"/>
  <c r="X600" i="15"/>
  <c r="Y599" i="15" s="1"/>
  <c r="X601" i="15"/>
  <c r="Y600" i="15" s="1"/>
  <c r="X602" i="15"/>
  <c r="Y601" i="15" s="1"/>
  <c r="X603" i="15"/>
  <c r="Y602" i="15" s="1"/>
  <c r="X604" i="15"/>
  <c r="Y603" i="15" s="1"/>
  <c r="X605" i="15"/>
  <c r="Y604" i="15" s="1"/>
  <c r="X606" i="15"/>
  <c r="Y605" i="15" s="1"/>
  <c r="X607" i="15"/>
  <c r="Y606" i="15" s="1"/>
  <c r="X608" i="15"/>
  <c r="Y607" i="15" s="1"/>
  <c r="X609" i="15"/>
  <c r="Y608" i="15" s="1"/>
  <c r="X610" i="15"/>
  <c r="Y609" i="15" s="1"/>
  <c r="X611" i="15"/>
  <c r="Y610" i="15" s="1"/>
  <c r="X612" i="15"/>
  <c r="Y611" i="15" s="1"/>
  <c r="X613" i="15"/>
  <c r="Y612" i="15" s="1"/>
  <c r="X614" i="15"/>
  <c r="Y613" i="15" s="1"/>
  <c r="X615" i="15"/>
  <c r="Y614" i="15" s="1"/>
  <c r="X616" i="15"/>
  <c r="Y615" i="15" s="1"/>
  <c r="X617" i="15"/>
  <c r="Y616" i="15" s="1"/>
  <c r="X618" i="15"/>
  <c r="Y617" i="15" s="1"/>
  <c r="X619" i="15"/>
  <c r="Y618" i="15" s="1"/>
  <c r="X620" i="15"/>
  <c r="Y619" i="15" s="1"/>
  <c r="X621" i="15"/>
  <c r="Y620" i="15" s="1"/>
  <c r="X622" i="15"/>
  <c r="Y621" i="15" s="1"/>
  <c r="X623" i="15"/>
  <c r="Y622" i="15" s="1"/>
  <c r="X624" i="15"/>
  <c r="Y623" i="15" s="1"/>
  <c r="X625" i="15"/>
  <c r="Y624" i="15" s="1"/>
  <c r="X626" i="15"/>
  <c r="Y625" i="15" s="1"/>
  <c r="X627" i="15"/>
  <c r="Y626" i="15" s="1"/>
  <c r="X628" i="15"/>
  <c r="Y627" i="15" s="1"/>
  <c r="X629" i="15"/>
  <c r="Y628" i="15" s="1"/>
  <c r="X630" i="15"/>
  <c r="Y629" i="15" s="1"/>
  <c r="X631" i="15"/>
  <c r="Y630" i="15" s="1"/>
  <c r="X632" i="15"/>
  <c r="Y631" i="15" s="1"/>
  <c r="X633" i="15"/>
  <c r="Y632" i="15" s="1"/>
  <c r="X634" i="15"/>
  <c r="Y633" i="15" s="1"/>
  <c r="X635" i="15"/>
  <c r="Y634" i="15" s="1"/>
  <c r="X636" i="15"/>
  <c r="Y635" i="15" s="1"/>
  <c r="X637" i="15"/>
  <c r="Y636" i="15" s="1"/>
  <c r="X638" i="15"/>
  <c r="Y637" i="15" s="1"/>
  <c r="X639" i="15"/>
  <c r="Y638" i="15" s="1"/>
  <c r="X640" i="15"/>
  <c r="Y639" i="15" s="1"/>
  <c r="X641" i="15"/>
  <c r="Y640" i="15" s="1"/>
  <c r="X642" i="15"/>
  <c r="Y641" i="15" s="1"/>
  <c r="X643" i="15"/>
  <c r="Y642" i="15" s="1"/>
  <c r="X644" i="15"/>
  <c r="Y643" i="15" s="1"/>
  <c r="X645" i="15"/>
  <c r="Y644" i="15" s="1"/>
  <c r="X646" i="15"/>
  <c r="Y645" i="15" s="1"/>
  <c r="X647" i="15"/>
  <c r="Y646" i="15" s="1"/>
  <c r="X648" i="15"/>
  <c r="Y647" i="15" s="1"/>
  <c r="X649" i="15"/>
  <c r="Y648" i="15" s="1"/>
  <c r="X650" i="15"/>
  <c r="Y649" i="15" s="1"/>
  <c r="X651" i="15"/>
  <c r="Y650" i="15" s="1"/>
  <c r="X652" i="15"/>
  <c r="Y651" i="15" s="1"/>
  <c r="X653" i="15"/>
  <c r="Y652" i="15" s="1"/>
  <c r="X654" i="15"/>
  <c r="Y653" i="15" s="1"/>
  <c r="X655" i="15"/>
  <c r="Y654" i="15" s="1"/>
  <c r="X656" i="15"/>
  <c r="Y655" i="15" s="1"/>
  <c r="X657" i="15"/>
  <c r="Y656" i="15" s="1"/>
  <c r="X658" i="15"/>
  <c r="Y657" i="15" s="1"/>
  <c r="X659" i="15"/>
  <c r="Y658" i="15" s="1"/>
  <c r="X660" i="15"/>
  <c r="Y659" i="15" s="1"/>
  <c r="X661" i="15"/>
  <c r="Y660" i="15" s="1"/>
  <c r="X662" i="15"/>
  <c r="Y661" i="15" s="1"/>
  <c r="X663" i="15"/>
  <c r="Y662" i="15" s="1"/>
  <c r="X664" i="15"/>
  <c r="Y663" i="15" s="1"/>
  <c r="X665" i="15"/>
  <c r="Y664" i="15" s="1"/>
  <c r="X666" i="15"/>
  <c r="Y665" i="15" s="1"/>
  <c r="X667" i="15"/>
  <c r="Y666" i="15" s="1"/>
  <c r="X668" i="15"/>
  <c r="Y667" i="15" s="1"/>
  <c r="X669" i="15"/>
  <c r="Y668" i="15" s="1"/>
  <c r="X670" i="15"/>
  <c r="Y669" i="15" s="1"/>
  <c r="X671" i="15"/>
  <c r="Y670" i="15" s="1"/>
  <c r="X672" i="15"/>
  <c r="Y671" i="15" s="1"/>
  <c r="X673" i="15"/>
  <c r="Y672" i="15" s="1"/>
  <c r="X674" i="15"/>
  <c r="Y673" i="15" s="1"/>
  <c r="X675" i="15"/>
  <c r="Y674" i="15" s="1"/>
  <c r="X676" i="15"/>
  <c r="Y675" i="15" s="1"/>
  <c r="X677" i="15"/>
  <c r="Y676" i="15" s="1"/>
  <c r="X678" i="15"/>
  <c r="Y677" i="15" s="1"/>
  <c r="X679" i="15"/>
  <c r="Y678" i="15" s="1"/>
  <c r="X680" i="15"/>
  <c r="Y679" i="15" s="1"/>
  <c r="X681" i="15"/>
  <c r="Y680" i="15" s="1"/>
  <c r="X682" i="15"/>
  <c r="Y681" i="15" s="1"/>
  <c r="X683" i="15"/>
  <c r="Y682" i="15" s="1"/>
  <c r="X684" i="15"/>
  <c r="Y683" i="15" s="1"/>
  <c r="X685" i="15"/>
  <c r="Y684" i="15" s="1"/>
  <c r="X686" i="15"/>
  <c r="Y685" i="15" s="1"/>
  <c r="X687" i="15"/>
  <c r="Y686" i="15" s="1"/>
  <c r="X688" i="15"/>
  <c r="Y687" i="15" s="1"/>
  <c r="X689" i="15"/>
  <c r="Y688" i="15" s="1"/>
  <c r="X690" i="15"/>
  <c r="Y689" i="15" s="1"/>
  <c r="X691" i="15"/>
  <c r="Y690" i="15" s="1"/>
  <c r="X692" i="15"/>
  <c r="Y691" i="15" s="1"/>
  <c r="X693" i="15"/>
  <c r="Y692" i="15" s="1"/>
  <c r="X694" i="15"/>
  <c r="Y693" i="15" s="1"/>
  <c r="X695" i="15"/>
  <c r="Y694" i="15" s="1"/>
  <c r="X696" i="15"/>
  <c r="Y695" i="15" s="1"/>
  <c r="X697" i="15"/>
  <c r="Y696" i="15" s="1"/>
  <c r="X698" i="15"/>
  <c r="Y697" i="15" s="1"/>
  <c r="X699" i="15"/>
  <c r="Y698" i="15" s="1"/>
  <c r="X700" i="15"/>
  <c r="Y699" i="15" s="1"/>
  <c r="X701" i="15"/>
  <c r="Y700" i="15" s="1"/>
  <c r="X702" i="15"/>
  <c r="Y701" i="15" s="1"/>
  <c r="X703" i="15"/>
  <c r="Y702" i="15" s="1"/>
  <c r="X704" i="15"/>
  <c r="Y703" i="15" s="1"/>
  <c r="X705" i="15"/>
  <c r="Y704" i="15" s="1"/>
  <c r="X706" i="15"/>
  <c r="Y705" i="15" s="1"/>
  <c r="X707" i="15"/>
  <c r="Y706" i="15" s="1"/>
  <c r="X708" i="15"/>
  <c r="Y707" i="15" s="1"/>
  <c r="X709" i="15"/>
  <c r="Y708" i="15" s="1"/>
  <c r="X710" i="15"/>
  <c r="Y709" i="15" s="1"/>
  <c r="X711" i="15"/>
  <c r="Y710" i="15" s="1"/>
  <c r="X712" i="15"/>
  <c r="Y711" i="15" s="1"/>
  <c r="X713" i="15"/>
  <c r="Y712" i="15" s="1"/>
  <c r="X714" i="15"/>
  <c r="Y713" i="15" s="1"/>
  <c r="X715" i="15"/>
  <c r="Y714" i="15" s="1"/>
  <c r="X716" i="15"/>
  <c r="Y715" i="15" s="1"/>
  <c r="X717" i="15"/>
  <c r="Y716" i="15" s="1"/>
  <c r="X718" i="15"/>
  <c r="Y717" i="15" s="1"/>
  <c r="X719" i="15"/>
  <c r="Y718" i="15" s="1"/>
  <c r="X720" i="15"/>
  <c r="Y719" i="15" s="1"/>
  <c r="X721" i="15"/>
  <c r="Y720" i="15" s="1"/>
  <c r="X722" i="15"/>
  <c r="Y721" i="15" s="1"/>
  <c r="X723" i="15"/>
  <c r="Y722" i="15" s="1"/>
  <c r="X724" i="15"/>
  <c r="Y723" i="15" s="1"/>
  <c r="X725" i="15"/>
  <c r="Y724" i="15" s="1"/>
  <c r="X726" i="15"/>
  <c r="Y725" i="15" s="1"/>
  <c r="X727" i="15"/>
  <c r="Y726" i="15" s="1"/>
  <c r="X728" i="15"/>
  <c r="Y727" i="15" s="1"/>
  <c r="X729" i="15"/>
  <c r="Y728" i="15" s="1"/>
  <c r="X730" i="15"/>
  <c r="Y729" i="15" s="1"/>
  <c r="X731" i="15"/>
  <c r="Y730" i="15" s="1"/>
  <c r="X732" i="15"/>
  <c r="Y731" i="15" s="1"/>
  <c r="X733" i="15"/>
  <c r="Y732" i="15" s="1"/>
  <c r="X734" i="15"/>
  <c r="Y733" i="15" s="1"/>
  <c r="X735" i="15"/>
  <c r="Y734" i="15" s="1"/>
  <c r="X736" i="15"/>
  <c r="Y735" i="15" s="1"/>
  <c r="X737" i="15"/>
  <c r="Y736" i="15" s="1"/>
  <c r="X738" i="15"/>
  <c r="Y737" i="15" s="1"/>
  <c r="X739" i="15"/>
  <c r="Y738" i="15" s="1"/>
  <c r="X740" i="15"/>
  <c r="Y739" i="15" s="1"/>
  <c r="X741" i="15"/>
  <c r="Y740" i="15" s="1"/>
  <c r="X742" i="15"/>
  <c r="Y741" i="15" s="1"/>
  <c r="X743" i="15"/>
  <c r="Y742" i="15" s="1"/>
  <c r="X744" i="15"/>
  <c r="Y743" i="15" s="1"/>
  <c r="X745" i="15"/>
  <c r="Y744" i="15" s="1"/>
  <c r="X746" i="15"/>
  <c r="Y745" i="15" s="1"/>
  <c r="X747" i="15"/>
  <c r="Y746" i="15" s="1"/>
  <c r="X748" i="15"/>
  <c r="Y747" i="15" s="1"/>
  <c r="X749" i="15"/>
  <c r="Y748" i="15" s="1"/>
  <c r="X750" i="15"/>
  <c r="Y749" i="15" s="1"/>
  <c r="X751" i="15"/>
  <c r="Y750" i="15" s="1"/>
  <c r="X752" i="15"/>
  <c r="Y751" i="15" s="1"/>
  <c r="X753" i="15"/>
  <c r="Y752" i="15" s="1"/>
  <c r="X754" i="15"/>
  <c r="Y753" i="15" s="1"/>
  <c r="X755" i="15"/>
  <c r="Y754" i="15" s="1"/>
  <c r="X756" i="15"/>
  <c r="Y755" i="15" s="1"/>
  <c r="X757" i="15"/>
  <c r="Y756" i="15" s="1"/>
  <c r="X758" i="15"/>
  <c r="Y757" i="15" s="1"/>
  <c r="X759" i="15"/>
  <c r="Y758" i="15" s="1"/>
  <c r="X760" i="15"/>
  <c r="Y759" i="15" s="1"/>
  <c r="X761" i="15"/>
  <c r="Y760" i="15" s="1"/>
  <c r="X762" i="15"/>
  <c r="Y761" i="15" s="1"/>
  <c r="X763" i="15"/>
  <c r="Y762" i="15" s="1"/>
  <c r="X764" i="15"/>
  <c r="Y763" i="15" s="1"/>
  <c r="X765" i="15"/>
  <c r="Y764" i="15" s="1"/>
  <c r="X766" i="15"/>
  <c r="Y765" i="15" s="1"/>
  <c r="X767" i="15"/>
  <c r="Y766" i="15" s="1"/>
  <c r="X768" i="15"/>
  <c r="Y767" i="15" s="1"/>
  <c r="X769" i="15"/>
  <c r="Y768" i="15" s="1"/>
  <c r="X770" i="15"/>
  <c r="Y769" i="15" s="1"/>
  <c r="X771" i="15"/>
  <c r="Y770" i="15" s="1"/>
  <c r="X772" i="15"/>
  <c r="Y771" i="15" s="1"/>
  <c r="X773" i="15"/>
  <c r="Y772" i="15" s="1"/>
  <c r="X774" i="15"/>
  <c r="Y773" i="15" s="1"/>
  <c r="X775" i="15"/>
  <c r="Y774" i="15" s="1"/>
  <c r="X776" i="15"/>
  <c r="Y775" i="15" s="1"/>
  <c r="X777" i="15"/>
  <c r="Y776" i="15" s="1"/>
  <c r="X778" i="15"/>
  <c r="Y777" i="15" s="1"/>
  <c r="X779" i="15"/>
  <c r="Y778" i="15" s="1"/>
  <c r="X780" i="15"/>
  <c r="Y779" i="15" s="1"/>
  <c r="X781" i="15"/>
  <c r="Y780" i="15" s="1"/>
  <c r="X782" i="15"/>
  <c r="Y781" i="15" s="1"/>
  <c r="X783" i="15"/>
  <c r="Y782" i="15" s="1"/>
  <c r="X784" i="15"/>
  <c r="Y783" i="15" s="1"/>
  <c r="X785" i="15"/>
  <c r="Y784" i="15" s="1"/>
  <c r="X786" i="15"/>
  <c r="Y785" i="15" s="1"/>
  <c r="X787" i="15"/>
  <c r="Y786" i="15" s="1"/>
  <c r="X788" i="15"/>
  <c r="Y787" i="15" s="1"/>
  <c r="X789" i="15"/>
  <c r="Y788" i="15" s="1"/>
  <c r="X790" i="15"/>
  <c r="Y789" i="15" s="1"/>
  <c r="X791" i="15"/>
  <c r="Y790" i="15" s="1"/>
  <c r="X792" i="15"/>
  <c r="Y791" i="15" s="1"/>
  <c r="X793" i="15"/>
  <c r="Y792" i="15" s="1"/>
  <c r="X794" i="15"/>
  <c r="Y793" i="15" s="1"/>
  <c r="X795" i="15"/>
  <c r="Y794" i="15" s="1"/>
  <c r="X796" i="15"/>
  <c r="Y795" i="15" s="1"/>
  <c r="X797" i="15"/>
  <c r="Y796" i="15" s="1"/>
  <c r="X798" i="15"/>
  <c r="Y797" i="15" s="1"/>
  <c r="X799" i="15"/>
  <c r="Y798" i="15" s="1"/>
  <c r="X800" i="15"/>
  <c r="Y799" i="15" s="1"/>
  <c r="X801" i="15"/>
  <c r="Y800" i="15" s="1"/>
  <c r="X802" i="15"/>
  <c r="Y801" i="15" s="1"/>
  <c r="X803" i="15"/>
  <c r="Y802" i="15" s="1"/>
  <c r="X804" i="15"/>
  <c r="Y803" i="15" s="1"/>
  <c r="X805" i="15"/>
  <c r="Y804" i="15" s="1"/>
  <c r="X806" i="15"/>
  <c r="Y805" i="15" s="1"/>
  <c r="X807" i="15"/>
  <c r="Y806" i="15" s="1"/>
  <c r="X808" i="15"/>
  <c r="Y807" i="15" s="1"/>
  <c r="X809" i="15"/>
  <c r="Y808" i="15" s="1"/>
  <c r="X810" i="15"/>
  <c r="Y809" i="15" s="1"/>
  <c r="X811" i="15"/>
  <c r="Y810" i="15" s="1"/>
  <c r="X812" i="15"/>
  <c r="Y811" i="15" s="1"/>
  <c r="X813" i="15"/>
  <c r="Y812" i="15" s="1"/>
  <c r="X814" i="15"/>
  <c r="Y813" i="15" s="1"/>
  <c r="X815" i="15"/>
  <c r="Y814" i="15" s="1"/>
  <c r="X816" i="15"/>
  <c r="Y815" i="15" s="1"/>
  <c r="X817" i="15"/>
  <c r="Y816" i="15" s="1"/>
  <c r="X818" i="15"/>
  <c r="Y817" i="15" s="1"/>
  <c r="X819" i="15"/>
  <c r="Y818" i="15" s="1"/>
  <c r="X820" i="15"/>
  <c r="Y819" i="15" s="1"/>
  <c r="X821" i="15"/>
  <c r="Y820" i="15" s="1"/>
  <c r="X822" i="15"/>
  <c r="Y821" i="15" s="1"/>
  <c r="X823" i="15"/>
  <c r="Y822" i="15" s="1"/>
  <c r="X824" i="15"/>
  <c r="Y823" i="15" s="1"/>
  <c r="X825" i="15"/>
  <c r="Y824" i="15" s="1"/>
  <c r="X826" i="15"/>
  <c r="Y825" i="15" s="1"/>
  <c r="X827" i="15"/>
  <c r="Y826" i="15" s="1"/>
  <c r="X828" i="15"/>
  <c r="Y827" i="15" s="1"/>
  <c r="X829" i="15"/>
  <c r="Y828" i="15" s="1"/>
  <c r="X830" i="15"/>
  <c r="Y829" i="15" s="1"/>
  <c r="X831" i="15"/>
  <c r="Y830" i="15" s="1"/>
  <c r="X832" i="15"/>
  <c r="Y831" i="15" s="1"/>
  <c r="X833" i="15"/>
  <c r="Y832" i="15" s="1"/>
  <c r="X834" i="15"/>
  <c r="Y833" i="15" s="1"/>
  <c r="X835" i="15"/>
  <c r="Y834" i="15" s="1"/>
  <c r="X836" i="15"/>
  <c r="Y835" i="15" s="1"/>
  <c r="X837" i="15"/>
  <c r="Y836" i="15" s="1"/>
  <c r="X838" i="15"/>
  <c r="Y837" i="15" s="1"/>
  <c r="X839" i="15"/>
  <c r="Y838" i="15" s="1"/>
  <c r="X840" i="15"/>
  <c r="Y839" i="15" s="1"/>
  <c r="X841" i="15"/>
  <c r="Y840" i="15" s="1"/>
  <c r="X842" i="15"/>
  <c r="Y841" i="15" s="1"/>
  <c r="X843" i="15"/>
  <c r="Y842" i="15" s="1"/>
  <c r="X844" i="15"/>
  <c r="Y843" i="15" s="1"/>
  <c r="X845" i="15"/>
  <c r="Y844" i="15" s="1"/>
  <c r="X846" i="15"/>
  <c r="Y845" i="15" s="1"/>
  <c r="X847" i="15"/>
  <c r="Y846" i="15" s="1"/>
  <c r="X848" i="15"/>
  <c r="Y847" i="15" s="1"/>
  <c r="X849" i="15"/>
  <c r="Y848" i="15" s="1"/>
  <c r="X850" i="15"/>
  <c r="Y849" i="15" s="1"/>
  <c r="X851" i="15"/>
  <c r="Y850" i="15" s="1"/>
  <c r="X852" i="15"/>
  <c r="Y851" i="15" s="1"/>
  <c r="X853" i="15"/>
  <c r="Y852" i="15" s="1"/>
  <c r="X854" i="15"/>
  <c r="Y853" i="15" s="1"/>
  <c r="X855" i="15"/>
  <c r="Y854" i="15" s="1"/>
  <c r="X856" i="15"/>
  <c r="Y855" i="15" s="1"/>
  <c r="X857" i="15"/>
  <c r="Y856" i="15" s="1"/>
  <c r="X858" i="15"/>
  <c r="Y857" i="15" s="1"/>
  <c r="X859" i="15"/>
  <c r="Y858" i="15" s="1"/>
  <c r="X860" i="15"/>
  <c r="Y859" i="15" s="1"/>
  <c r="X861" i="15"/>
  <c r="Y860" i="15" s="1"/>
  <c r="X862" i="15"/>
  <c r="Y861" i="15" s="1"/>
  <c r="X863" i="15"/>
  <c r="Y862" i="15" s="1"/>
  <c r="X864" i="15"/>
  <c r="Y863" i="15" s="1"/>
  <c r="X865" i="15"/>
  <c r="Y864" i="15" s="1"/>
  <c r="X866" i="15"/>
  <c r="Y865" i="15" s="1"/>
  <c r="X867" i="15"/>
  <c r="Y866" i="15" s="1"/>
  <c r="X868" i="15"/>
  <c r="Y867" i="15" s="1"/>
  <c r="X869" i="15"/>
  <c r="Y868" i="15" s="1"/>
  <c r="X870" i="15"/>
  <c r="Y869" i="15" s="1"/>
  <c r="X871" i="15"/>
  <c r="Y870" i="15" s="1"/>
  <c r="X872" i="15"/>
  <c r="Y871" i="15" s="1"/>
  <c r="X873" i="15"/>
  <c r="Y872" i="15" s="1"/>
  <c r="X874" i="15"/>
  <c r="Y873" i="15" s="1"/>
  <c r="X875" i="15"/>
  <c r="Y874" i="15" s="1"/>
  <c r="X876" i="15"/>
  <c r="Y875" i="15" s="1"/>
  <c r="X877" i="15"/>
  <c r="Y876" i="15" s="1"/>
  <c r="X878" i="15"/>
  <c r="Y877" i="15" s="1"/>
  <c r="X879" i="15"/>
  <c r="Y878" i="15" s="1"/>
  <c r="X880" i="15"/>
  <c r="Y879" i="15" s="1"/>
  <c r="X881" i="15"/>
  <c r="Y880" i="15" s="1"/>
  <c r="X882" i="15"/>
  <c r="Y881" i="15" s="1"/>
  <c r="X883" i="15"/>
  <c r="Y882" i="15" s="1"/>
  <c r="X884" i="15"/>
  <c r="Y883" i="15" s="1"/>
  <c r="X885" i="15"/>
  <c r="Y884" i="15" s="1"/>
  <c r="X886" i="15"/>
  <c r="Y885" i="15" s="1"/>
  <c r="X887" i="15"/>
  <c r="Y886" i="15" s="1"/>
  <c r="X888" i="15"/>
  <c r="Y887" i="15" s="1"/>
  <c r="X889" i="15"/>
  <c r="Y888" i="15" s="1"/>
  <c r="X890" i="15"/>
  <c r="Y889" i="15" s="1"/>
  <c r="X891" i="15"/>
  <c r="Y890" i="15" s="1"/>
  <c r="X892" i="15"/>
  <c r="Y891" i="15" s="1"/>
  <c r="X893" i="15"/>
  <c r="Y892" i="15" s="1"/>
  <c r="X894" i="15"/>
  <c r="Y893" i="15" s="1"/>
  <c r="X895" i="15"/>
  <c r="Y894" i="15" s="1"/>
  <c r="X896" i="15"/>
  <c r="Y895" i="15" s="1"/>
  <c r="X897" i="15"/>
  <c r="Y896" i="15" s="1"/>
  <c r="X898" i="15"/>
  <c r="Y897" i="15" s="1"/>
  <c r="X899" i="15"/>
  <c r="Y898" i="15" s="1"/>
  <c r="X900" i="15"/>
  <c r="Y899" i="15" s="1"/>
  <c r="X901" i="15"/>
  <c r="Y900" i="15" s="1"/>
  <c r="X902" i="15"/>
  <c r="Y901" i="15" s="1"/>
  <c r="X903" i="15"/>
  <c r="Y902" i="15" s="1"/>
  <c r="X904" i="15"/>
  <c r="Y903" i="15" s="1"/>
  <c r="X905" i="15"/>
  <c r="Y904" i="15" s="1"/>
  <c r="X906" i="15"/>
  <c r="Y905" i="15" s="1"/>
  <c r="X907" i="15"/>
  <c r="Y906" i="15" s="1"/>
  <c r="X908" i="15"/>
  <c r="Y907" i="15" s="1"/>
  <c r="X909" i="15"/>
  <c r="Y908" i="15" s="1"/>
  <c r="X910" i="15"/>
  <c r="Y909" i="15" s="1"/>
  <c r="X911" i="15"/>
  <c r="Y910" i="15" s="1"/>
  <c r="X912" i="15"/>
  <c r="Y911" i="15" s="1"/>
  <c r="X913" i="15"/>
  <c r="Y912" i="15" s="1"/>
  <c r="X914" i="15"/>
  <c r="Y913" i="15" s="1"/>
  <c r="X915" i="15"/>
  <c r="Y914" i="15" s="1"/>
  <c r="X916" i="15"/>
  <c r="Y915" i="15" s="1"/>
  <c r="X917" i="15"/>
  <c r="Y916" i="15" s="1"/>
  <c r="X918" i="15"/>
  <c r="Y917" i="15" s="1"/>
  <c r="X919" i="15"/>
  <c r="Y918" i="15" s="1"/>
  <c r="X920" i="15"/>
  <c r="Y919" i="15" s="1"/>
  <c r="X921" i="15"/>
  <c r="Y920" i="15" s="1"/>
  <c r="X922" i="15"/>
  <c r="Y921" i="15" s="1"/>
  <c r="X923" i="15"/>
  <c r="Y922" i="15" s="1"/>
  <c r="X924" i="15"/>
  <c r="Y923" i="15" s="1"/>
  <c r="X925" i="15"/>
  <c r="Y924" i="15" s="1"/>
  <c r="X926" i="15"/>
  <c r="Y925" i="15" s="1"/>
  <c r="X927" i="15"/>
  <c r="Y926" i="15" s="1"/>
  <c r="X928" i="15"/>
  <c r="Y927" i="15" s="1"/>
  <c r="X929" i="15"/>
  <c r="Y928" i="15" s="1"/>
  <c r="X930" i="15"/>
  <c r="Y929" i="15" s="1"/>
  <c r="X931" i="15"/>
  <c r="Y930" i="15" s="1"/>
  <c r="X932" i="15"/>
  <c r="Y931" i="15" s="1"/>
  <c r="X933" i="15"/>
  <c r="Y932" i="15" s="1"/>
  <c r="X934" i="15"/>
  <c r="Y933" i="15" s="1"/>
  <c r="X935" i="15"/>
  <c r="Y934" i="15" s="1"/>
  <c r="X936" i="15"/>
  <c r="Y935" i="15" s="1"/>
  <c r="X937" i="15"/>
  <c r="Y936" i="15" s="1"/>
  <c r="X938" i="15"/>
  <c r="Y937" i="15" s="1"/>
  <c r="X939" i="15"/>
  <c r="Y938" i="15" s="1"/>
  <c r="X940" i="15"/>
  <c r="Y939" i="15" s="1"/>
  <c r="X941" i="15"/>
  <c r="Y940" i="15" s="1"/>
  <c r="X942" i="15"/>
  <c r="Y941" i="15" s="1"/>
  <c r="X943" i="15"/>
  <c r="Y942" i="15" s="1"/>
  <c r="X944" i="15"/>
  <c r="Y943" i="15" s="1"/>
  <c r="X945" i="15"/>
  <c r="Y944" i="15" s="1"/>
  <c r="X946" i="15"/>
  <c r="Y945" i="15" s="1"/>
  <c r="X947" i="15"/>
  <c r="Y946" i="15" s="1"/>
  <c r="X948" i="15"/>
  <c r="Y947" i="15" s="1"/>
  <c r="X949" i="15"/>
  <c r="Y948" i="15" s="1"/>
  <c r="X950" i="15"/>
  <c r="Y949" i="15" s="1"/>
  <c r="X951" i="15"/>
  <c r="Y950" i="15" s="1"/>
  <c r="X952" i="15"/>
  <c r="Y951" i="15" s="1"/>
  <c r="X953" i="15"/>
  <c r="Y952" i="15" s="1"/>
  <c r="X954" i="15"/>
  <c r="Y953" i="15" s="1"/>
  <c r="X955" i="15"/>
  <c r="Y954" i="15" s="1"/>
  <c r="X956" i="15"/>
  <c r="Y955" i="15" s="1"/>
  <c r="X957" i="15"/>
  <c r="Y956" i="15" s="1"/>
  <c r="X958" i="15"/>
  <c r="Y957" i="15" s="1"/>
  <c r="X959" i="15"/>
  <c r="Y958" i="15" s="1"/>
  <c r="X960" i="15"/>
  <c r="Y959" i="15" s="1"/>
  <c r="X961" i="15"/>
  <c r="Y960" i="15" s="1"/>
  <c r="X962" i="15"/>
  <c r="Y961" i="15" s="1"/>
  <c r="X963" i="15"/>
  <c r="Y962" i="15" s="1"/>
  <c r="X964" i="15"/>
  <c r="Y963" i="15" s="1"/>
  <c r="X965" i="15"/>
  <c r="Y964" i="15" s="1"/>
  <c r="X966" i="15"/>
  <c r="Y965" i="15" s="1"/>
  <c r="X967" i="15"/>
  <c r="Y966" i="15" s="1"/>
  <c r="X968" i="15"/>
  <c r="Y967" i="15" s="1"/>
  <c r="X969" i="15"/>
  <c r="Y968" i="15" s="1"/>
  <c r="X970" i="15"/>
  <c r="Y969" i="15" s="1"/>
  <c r="X971" i="15"/>
  <c r="Y970" i="15" s="1"/>
  <c r="X972" i="15"/>
  <c r="Y971" i="15" s="1"/>
  <c r="X973" i="15"/>
  <c r="Y972" i="15" s="1"/>
  <c r="X974" i="15"/>
  <c r="Y973" i="15" s="1"/>
  <c r="X975" i="15"/>
  <c r="Y974" i="15" s="1"/>
  <c r="X976" i="15"/>
  <c r="Y975" i="15" s="1"/>
  <c r="X977" i="15"/>
  <c r="Y976" i="15" s="1"/>
  <c r="X978" i="15"/>
  <c r="Y977" i="15" s="1"/>
  <c r="X979" i="15"/>
  <c r="Y978" i="15" s="1"/>
  <c r="X980" i="15"/>
  <c r="Y979" i="15" s="1"/>
  <c r="X981" i="15"/>
  <c r="Y980" i="15" s="1"/>
  <c r="X982" i="15"/>
  <c r="Y981" i="15" s="1"/>
  <c r="X983" i="15"/>
  <c r="Y982" i="15" s="1"/>
  <c r="X984" i="15"/>
  <c r="Y983" i="15" s="1"/>
  <c r="X985" i="15"/>
  <c r="Y984" i="15" s="1"/>
  <c r="X986" i="15"/>
  <c r="Y985" i="15" s="1"/>
  <c r="X987" i="15"/>
  <c r="Y986" i="15" s="1"/>
  <c r="X988" i="15"/>
  <c r="Y987" i="15" s="1"/>
  <c r="X989" i="15"/>
  <c r="Y988" i="15" s="1"/>
  <c r="X990" i="15"/>
  <c r="Y989" i="15" s="1"/>
  <c r="X991" i="15"/>
  <c r="Y990" i="15" s="1"/>
  <c r="X992" i="15"/>
  <c r="Y991" i="15" s="1"/>
  <c r="X993" i="15"/>
  <c r="Y992" i="15" s="1"/>
  <c r="X994" i="15"/>
  <c r="Y993" i="15" s="1"/>
  <c r="X995" i="15"/>
  <c r="Y994" i="15" s="1"/>
  <c r="X996" i="15"/>
  <c r="Y995" i="15" s="1"/>
  <c r="X997" i="15"/>
  <c r="Y996" i="15" s="1"/>
  <c r="X998" i="15"/>
  <c r="Y997" i="15" s="1"/>
  <c r="X999" i="15"/>
  <c r="Y998" i="15" s="1"/>
  <c r="X1000" i="15"/>
  <c r="Y999" i="15" s="1"/>
  <c r="X1001" i="15"/>
  <c r="Y1000" i="15" s="1"/>
  <c r="X1002" i="15"/>
  <c r="Y1001" i="15" s="1"/>
  <c r="X1003" i="15"/>
  <c r="Y1002" i="15" s="1"/>
  <c r="X1004" i="15"/>
  <c r="Y1003" i="15" s="1"/>
  <c r="X1005" i="15"/>
  <c r="Y1004" i="15" s="1"/>
  <c r="X1006" i="15"/>
  <c r="Y1005" i="15" s="1"/>
  <c r="X1007" i="15"/>
  <c r="Y1006" i="15" s="1"/>
  <c r="X1008" i="15"/>
  <c r="Y1007" i="15" s="1"/>
  <c r="X1009" i="15"/>
  <c r="Y1008" i="15" s="1"/>
  <c r="X1010" i="15"/>
  <c r="Y1009" i="15" s="1"/>
  <c r="X1011" i="15"/>
  <c r="Y1010" i="15" s="1"/>
  <c r="X1012" i="15"/>
  <c r="Y1011" i="15" s="1"/>
  <c r="X1013" i="15"/>
  <c r="Y1012" i="15" s="1"/>
  <c r="X1014" i="15"/>
  <c r="Y1013" i="15" s="1"/>
  <c r="X1015" i="15"/>
  <c r="Y1014" i="15" s="1"/>
  <c r="X1016" i="15"/>
  <c r="Y1015" i="15" s="1"/>
  <c r="X1017" i="15"/>
  <c r="Y1016" i="15" s="1"/>
  <c r="X1018" i="15"/>
  <c r="Y1017" i="15" s="1"/>
  <c r="X1019" i="15"/>
  <c r="Y1018" i="15" s="1"/>
  <c r="X1020" i="15"/>
  <c r="Y1019" i="15" s="1"/>
  <c r="X1021" i="15"/>
  <c r="Y1020" i="15" s="1"/>
  <c r="X1022" i="15"/>
  <c r="Y1021" i="15" s="1"/>
  <c r="X1023" i="15"/>
  <c r="Y1022" i="15" s="1"/>
  <c r="X1024" i="15"/>
  <c r="Y1023" i="15" s="1"/>
  <c r="X1025" i="15"/>
  <c r="Y1024" i="15" s="1"/>
  <c r="X1026" i="15"/>
  <c r="Y1025" i="15" s="1"/>
  <c r="X1027" i="15"/>
  <c r="Y1026" i="15" s="1"/>
  <c r="X1028" i="15"/>
  <c r="Y1027" i="15" s="1"/>
  <c r="X1029" i="15"/>
  <c r="Y1028" i="15" s="1"/>
  <c r="X1030" i="15"/>
  <c r="Y1029" i="15" s="1"/>
  <c r="X1031" i="15"/>
  <c r="Y1030" i="15" s="1"/>
  <c r="X1032" i="15"/>
  <c r="Y1031" i="15" s="1"/>
  <c r="X1033" i="15"/>
  <c r="Y1032" i="15" s="1"/>
  <c r="X1034" i="15"/>
  <c r="Y1033" i="15" s="1"/>
  <c r="X1035" i="15"/>
  <c r="Y1034" i="15" s="1"/>
  <c r="X1036" i="15"/>
  <c r="Y1035" i="15" s="1"/>
  <c r="X1037" i="15"/>
  <c r="Y1036" i="15" s="1"/>
  <c r="X1038" i="15"/>
  <c r="Y1037" i="15" s="1"/>
  <c r="X1039" i="15"/>
  <c r="Y1038" i="15" s="1"/>
  <c r="X1040" i="15"/>
  <c r="Y1039" i="15" s="1"/>
  <c r="X1041" i="15"/>
  <c r="Y1040" i="15" s="1"/>
  <c r="X1042" i="15"/>
  <c r="Y1041" i="15" s="1"/>
  <c r="X1043" i="15"/>
  <c r="Y1042" i="15" s="1"/>
  <c r="X1044" i="15"/>
  <c r="Y1043" i="15" s="1"/>
  <c r="X1045" i="15"/>
  <c r="Y1044" i="15" s="1"/>
  <c r="X1046" i="15"/>
  <c r="Y1045" i="15" s="1"/>
  <c r="X1047" i="15"/>
  <c r="Y1046" i="15" s="1"/>
  <c r="X1048" i="15"/>
  <c r="Y1047" i="15" s="1"/>
  <c r="X1049" i="15"/>
  <c r="Y1048" i="15" s="1"/>
  <c r="X1050" i="15"/>
  <c r="Y1049" i="15" s="1"/>
  <c r="X1051" i="15"/>
  <c r="Y1050" i="15" s="1"/>
  <c r="X1052" i="15"/>
  <c r="Y1051" i="15" s="1"/>
  <c r="X1053" i="15"/>
  <c r="Y1052" i="15" s="1"/>
  <c r="X1054" i="15"/>
  <c r="Y1053" i="15" s="1"/>
  <c r="X1055" i="15"/>
  <c r="Y1054" i="15" s="1"/>
  <c r="X1056" i="15"/>
  <c r="Y1055" i="15" s="1"/>
  <c r="X1057" i="15"/>
  <c r="Y1056" i="15" s="1"/>
  <c r="X1058" i="15"/>
  <c r="Y1057" i="15" s="1"/>
  <c r="X1059" i="15"/>
  <c r="Y1058" i="15" s="1"/>
  <c r="X1060" i="15"/>
  <c r="Y1059" i="15" s="1"/>
  <c r="X1061" i="15"/>
  <c r="Y1060" i="15" s="1"/>
  <c r="X1062" i="15"/>
  <c r="Y1061" i="15" s="1"/>
  <c r="X1063" i="15"/>
  <c r="Y1062" i="15" s="1"/>
  <c r="X1064" i="15"/>
  <c r="Y1063" i="15" s="1"/>
  <c r="X1065" i="15"/>
  <c r="Y1064" i="15" s="1"/>
  <c r="X1066" i="15"/>
  <c r="Y1065" i="15" s="1"/>
  <c r="X1067" i="15"/>
  <c r="Y1066" i="15" s="1"/>
  <c r="X1068" i="15"/>
  <c r="Y1067" i="15" s="1"/>
  <c r="X1069" i="15"/>
  <c r="Y1068" i="15" s="1"/>
  <c r="X1070" i="15"/>
  <c r="Y1069" i="15" s="1"/>
  <c r="X1071" i="15"/>
  <c r="Y1070" i="15" s="1"/>
  <c r="X1072" i="15"/>
  <c r="Y1071" i="15" s="1"/>
  <c r="X1073" i="15"/>
  <c r="Y1072" i="15" s="1"/>
  <c r="X1074" i="15"/>
  <c r="Y1073" i="15" s="1"/>
  <c r="X1075" i="15"/>
  <c r="Y1074" i="15" s="1"/>
  <c r="X1076" i="15"/>
  <c r="Y1075" i="15" s="1"/>
  <c r="X1077" i="15"/>
  <c r="Y1076" i="15" s="1"/>
  <c r="X1078" i="15"/>
  <c r="Y1077" i="15" s="1"/>
  <c r="X1079" i="15"/>
  <c r="Y1078" i="15" s="1"/>
  <c r="X1080" i="15"/>
  <c r="Y1079" i="15" s="1"/>
  <c r="X1081" i="15"/>
  <c r="Y1080" i="15" s="1"/>
  <c r="X1082" i="15"/>
  <c r="Y1081" i="15" s="1"/>
  <c r="X1083" i="15"/>
  <c r="Y1082" i="15" s="1"/>
  <c r="X1084" i="15"/>
  <c r="Y1083" i="15" s="1"/>
  <c r="X1085" i="15"/>
  <c r="Y1084" i="15" s="1"/>
  <c r="X1086" i="15"/>
  <c r="Y1085" i="15" s="1"/>
  <c r="X1087" i="15"/>
  <c r="Y1086" i="15" s="1"/>
  <c r="X1088" i="15"/>
  <c r="Y1087" i="15" s="1"/>
  <c r="X1089" i="15"/>
  <c r="Y1088" i="15" s="1"/>
  <c r="X1090" i="15"/>
  <c r="Y1089" i="15" s="1"/>
  <c r="X1091" i="15"/>
  <c r="Y1090" i="15" s="1"/>
  <c r="X1092" i="15"/>
  <c r="Y1091" i="15" s="1"/>
  <c r="X1093" i="15"/>
  <c r="Y1092" i="15" s="1"/>
  <c r="X1094" i="15"/>
  <c r="Y1093" i="15" s="1"/>
  <c r="X1095" i="15"/>
  <c r="Y1094" i="15" s="1"/>
  <c r="X1096" i="15"/>
  <c r="Y1095" i="15" s="1"/>
  <c r="X1097" i="15"/>
  <c r="Y1096" i="15" s="1"/>
  <c r="X1098" i="15"/>
  <c r="Y1097" i="15" s="1"/>
  <c r="X1099" i="15"/>
  <c r="Y1098" i="15" s="1"/>
  <c r="X1100" i="15"/>
  <c r="Y1099" i="15" s="1"/>
  <c r="X1101" i="15"/>
  <c r="Y1100" i="15" s="1"/>
  <c r="X1102" i="15"/>
  <c r="Y1101" i="15" s="1"/>
  <c r="X1103" i="15"/>
  <c r="Y1102" i="15" s="1"/>
  <c r="X1104" i="15"/>
  <c r="Y1103" i="15" s="1"/>
  <c r="X1105" i="15"/>
  <c r="Y1104" i="15" s="1"/>
  <c r="X1106" i="15"/>
  <c r="Y1105" i="15" s="1"/>
  <c r="X1107" i="15"/>
  <c r="Y1106" i="15" s="1"/>
  <c r="X1108" i="15"/>
  <c r="Y1107" i="15" s="1"/>
  <c r="X1109" i="15"/>
  <c r="Y1108" i="15" s="1"/>
  <c r="X1110" i="15"/>
  <c r="Y1109" i="15" s="1"/>
  <c r="X1111" i="15"/>
  <c r="Y1110" i="15" s="1"/>
  <c r="X1112" i="15"/>
  <c r="Y1111" i="15" s="1"/>
  <c r="X1113" i="15"/>
  <c r="Y1112" i="15" s="1"/>
  <c r="X1114" i="15"/>
  <c r="Y1113" i="15" s="1"/>
  <c r="X1115" i="15"/>
  <c r="Y1114" i="15" s="1"/>
  <c r="X1116" i="15"/>
  <c r="Y1115" i="15" s="1"/>
  <c r="X1117" i="15"/>
  <c r="Y1116" i="15" s="1"/>
  <c r="X1118" i="15"/>
  <c r="Y1117" i="15" s="1"/>
  <c r="X1119" i="15"/>
  <c r="Y1118" i="15" s="1"/>
  <c r="X1120" i="15"/>
  <c r="Y1119" i="15" s="1"/>
  <c r="X1121" i="15"/>
  <c r="Y1120" i="15" s="1"/>
  <c r="X1122" i="15"/>
  <c r="Y1121" i="15" s="1"/>
  <c r="X1123" i="15"/>
  <c r="Y1122" i="15" s="1"/>
  <c r="X1124" i="15"/>
  <c r="Y1123" i="15" s="1"/>
  <c r="X1125" i="15"/>
  <c r="Y1124" i="15" s="1"/>
  <c r="X1126" i="15"/>
  <c r="Y1125" i="15" s="1"/>
  <c r="X1127" i="15"/>
  <c r="Y1126" i="15" s="1"/>
  <c r="X1128" i="15"/>
  <c r="Y1127" i="15" s="1"/>
  <c r="X1129" i="15"/>
  <c r="Y1128" i="15" s="1"/>
  <c r="X1130" i="15"/>
  <c r="Y1129" i="15" s="1"/>
  <c r="X1131" i="15"/>
  <c r="Y1130" i="15" s="1"/>
  <c r="X1132" i="15"/>
  <c r="Y1131" i="15" s="1"/>
  <c r="X1133" i="15"/>
  <c r="Y1132" i="15" s="1"/>
  <c r="X1134" i="15"/>
  <c r="Y1133" i="15" s="1"/>
  <c r="X1135" i="15"/>
  <c r="Y1134" i="15" s="1"/>
  <c r="X1136" i="15"/>
  <c r="Y1135" i="15" s="1"/>
  <c r="X1137" i="15"/>
  <c r="Y1136" i="15" s="1"/>
  <c r="X1138" i="15"/>
  <c r="Y1137" i="15" s="1"/>
  <c r="X1139" i="15"/>
  <c r="Y1138" i="15" s="1"/>
  <c r="X1140" i="15"/>
  <c r="Y1139" i="15" s="1"/>
  <c r="X1141" i="15"/>
  <c r="Y1140" i="15" s="1"/>
  <c r="X1142" i="15"/>
  <c r="Y1141" i="15" s="1"/>
  <c r="X1143" i="15"/>
  <c r="Y1142" i="15" s="1"/>
  <c r="X1144" i="15"/>
  <c r="Y1143" i="15" s="1"/>
  <c r="X1145" i="15"/>
  <c r="Y1144" i="15" s="1"/>
  <c r="X1146" i="15"/>
  <c r="Y1145" i="15" s="1"/>
  <c r="X1147" i="15"/>
  <c r="Y1146" i="15" s="1"/>
  <c r="X1148" i="15"/>
  <c r="Y1147" i="15" s="1"/>
  <c r="X1149" i="15"/>
  <c r="Y1148" i="15" s="1"/>
  <c r="X1150" i="15"/>
  <c r="Y1149" i="15" s="1"/>
  <c r="X1151" i="15"/>
  <c r="Y1150" i="15" s="1"/>
  <c r="X1152" i="15"/>
  <c r="Y1151" i="15" s="1"/>
  <c r="X1153" i="15"/>
  <c r="Y1152" i="15" s="1"/>
  <c r="X1154" i="15"/>
  <c r="Y1153" i="15" s="1"/>
  <c r="X1155" i="15"/>
  <c r="Y1154" i="15" s="1"/>
  <c r="X1156" i="15"/>
  <c r="Y1155" i="15" s="1"/>
  <c r="X1157" i="15"/>
  <c r="Y1156" i="15" s="1"/>
  <c r="X1158" i="15"/>
  <c r="Y1157" i="15" s="1"/>
  <c r="X1159" i="15"/>
  <c r="Y1158" i="15" s="1"/>
  <c r="X1160" i="15"/>
  <c r="Y1159" i="15" s="1"/>
  <c r="X1161" i="15"/>
  <c r="Y1160" i="15" s="1"/>
  <c r="X1162" i="15"/>
  <c r="Y1161" i="15" s="1"/>
  <c r="X1163" i="15"/>
  <c r="Y1162" i="15" s="1"/>
  <c r="X1164" i="15"/>
  <c r="Y1163" i="15" s="1"/>
  <c r="X1165" i="15"/>
  <c r="Y1164" i="15" s="1"/>
  <c r="X1166" i="15"/>
  <c r="Y1165" i="15" s="1"/>
  <c r="X1167" i="15"/>
  <c r="Y1166" i="15" s="1"/>
  <c r="X1168" i="15"/>
  <c r="Y1167" i="15" s="1"/>
  <c r="X1169" i="15"/>
  <c r="Y1168" i="15" s="1"/>
  <c r="X1170" i="15"/>
  <c r="Y1169" i="15" s="1"/>
  <c r="X1171" i="15"/>
  <c r="Y1170" i="15" s="1"/>
  <c r="X1172" i="15"/>
  <c r="Y1171" i="15" s="1"/>
  <c r="X1173" i="15"/>
  <c r="Y1172" i="15" s="1"/>
  <c r="X1174" i="15"/>
  <c r="Y1173" i="15" s="1"/>
  <c r="X1175" i="15"/>
  <c r="Y1174" i="15" s="1"/>
  <c r="X1176" i="15"/>
  <c r="Y1175" i="15" s="1"/>
  <c r="X1177" i="15"/>
  <c r="Y1176" i="15" s="1"/>
  <c r="X1178" i="15"/>
  <c r="Y1177" i="15" s="1"/>
  <c r="X1179" i="15"/>
  <c r="Y1178" i="15" s="1"/>
  <c r="X1180" i="15"/>
  <c r="Y1179" i="15" s="1"/>
  <c r="X1181" i="15"/>
  <c r="Y1180" i="15" s="1"/>
  <c r="X1182" i="15"/>
  <c r="Y1181" i="15" s="1"/>
  <c r="X1183" i="15"/>
  <c r="Y1182" i="15" s="1"/>
  <c r="X1184" i="15"/>
  <c r="Y1183" i="15" s="1"/>
  <c r="X1185" i="15"/>
  <c r="Y1184" i="15" s="1"/>
  <c r="X1186" i="15"/>
  <c r="Y1185" i="15" s="1"/>
  <c r="X1187" i="15"/>
  <c r="Y1186" i="15" s="1"/>
  <c r="X1188" i="15"/>
  <c r="Y1187" i="15" s="1"/>
  <c r="X1189" i="15"/>
  <c r="Y1188" i="15" s="1"/>
  <c r="X1190" i="15"/>
  <c r="Y1189" i="15" s="1"/>
  <c r="X1191" i="15"/>
  <c r="Y1190" i="15" s="1"/>
  <c r="X1192" i="15"/>
  <c r="Y1191" i="15" s="1"/>
  <c r="X1193" i="15"/>
  <c r="Y1192" i="15" s="1"/>
  <c r="X1194" i="15"/>
  <c r="Y1193" i="15" s="1"/>
  <c r="X1195" i="15"/>
  <c r="Y1194" i="15" s="1"/>
  <c r="X1196" i="15"/>
  <c r="Y1195" i="15" s="1"/>
  <c r="X1197" i="15"/>
  <c r="Y1196" i="15" s="1"/>
  <c r="X1198" i="15"/>
  <c r="Y1197" i="15" s="1"/>
  <c r="X1199" i="15"/>
  <c r="Y1198" i="15" s="1"/>
  <c r="X1200" i="15"/>
  <c r="Y1199" i="15" s="1"/>
  <c r="X1201" i="15"/>
  <c r="Y1200" i="15" s="1"/>
  <c r="X1202" i="15"/>
  <c r="Y1201" i="15" s="1"/>
  <c r="X1203" i="15"/>
  <c r="Y1202" i="15" s="1"/>
  <c r="X1204" i="15"/>
  <c r="Y1203" i="15" s="1"/>
  <c r="X1205" i="15"/>
  <c r="Y1204" i="15" s="1"/>
  <c r="X1206" i="15"/>
  <c r="Y1205" i="15" s="1"/>
  <c r="X1207" i="15"/>
  <c r="Y1206" i="15" s="1"/>
  <c r="X1208" i="15"/>
  <c r="Y1207" i="15" s="1"/>
  <c r="X1209" i="15"/>
  <c r="Y1208" i="15" s="1"/>
  <c r="X1210" i="15"/>
  <c r="Y1209" i="15" s="1"/>
  <c r="X1211" i="15"/>
  <c r="Y1210" i="15" s="1"/>
  <c r="X1212" i="15"/>
  <c r="Y1211" i="15" s="1"/>
  <c r="X1213" i="15"/>
  <c r="Y1212" i="15" s="1"/>
  <c r="X1214" i="15"/>
  <c r="Y1213" i="15" s="1"/>
  <c r="X1215" i="15"/>
  <c r="Y1214" i="15" s="1"/>
  <c r="X1216" i="15"/>
  <c r="Y1215" i="15" s="1"/>
  <c r="X1217" i="15"/>
  <c r="Y1216" i="15" s="1"/>
  <c r="X1218" i="15"/>
  <c r="Y1217" i="15" s="1"/>
  <c r="X1219" i="15"/>
  <c r="Y1218" i="15" s="1"/>
  <c r="X1220" i="15"/>
  <c r="Y1219" i="15" s="1"/>
  <c r="X1221" i="15"/>
  <c r="Y1220" i="15" s="1"/>
  <c r="X1222" i="15"/>
  <c r="Y1221" i="15" s="1"/>
  <c r="X1223" i="15"/>
  <c r="Y1222" i="15" s="1"/>
  <c r="X1224" i="15"/>
  <c r="Y1223" i="15" s="1"/>
  <c r="X1225" i="15"/>
  <c r="Y1224" i="15" s="1"/>
  <c r="X1226" i="15"/>
  <c r="Y1225" i="15" s="1"/>
  <c r="X1227" i="15"/>
  <c r="Y1226" i="15" s="1"/>
  <c r="X1228" i="15"/>
  <c r="Y1227" i="15" s="1"/>
  <c r="X1229" i="15"/>
  <c r="Y1228" i="15" s="1"/>
  <c r="X1230" i="15"/>
  <c r="Y1229" i="15" s="1"/>
  <c r="X1231" i="15"/>
  <c r="Y1230" i="15" s="1"/>
  <c r="X1232" i="15"/>
  <c r="Y1231" i="15" s="1"/>
  <c r="X1233" i="15"/>
  <c r="Y1232" i="15" s="1"/>
  <c r="X1234" i="15"/>
  <c r="Y1233" i="15" s="1"/>
  <c r="X1235" i="15"/>
  <c r="Y1234" i="15" s="1"/>
  <c r="X1236" i="15"/>
  <c r="Y1235" i="15" s="1"/>
  <c r="X1237" i="15"/>
  <c r="Y1236" i="15" s="1"/>
  <c r="X1238" i="15"/>
  <c r="Y1237" i="15" s="1"/>
  <c r="X1239" i="15"/>
  <c r="Y1238" i="15" s="1"/>
  <c r="X1240" i="15"/>
  <c r="Y1239" i="15" s="1"/>
  <c r="X1241" i="15"/>
  <c r="Y1240" i="15" s="1"/>
  <c r="X1242" i="15"/>
  <c r="Y1241" i="15" s="1"/>
  <c r="X1243" i="15"/>
  <c r="Y1242" i="15" s="1"/>
  <c r="X1244" i="15"/>
  <c r="Y1243" i="15" s="1"/>
  <c r="X1245" i="15"/>
  <c r="Y1244" i="15" s="1"/>
  <c r="X1246" i="15"/>
  <c r="Y1245" i="15" s="1"/>
  <c r="X1247" i="15"/>
  <c r="Y1246" i="15" s="1"/>
  <c r="X1248" i="15"/>
  <c r="Y1247" i="15" s="1"/>
  <c r="X1249" i="15"/>
  <c r="Y1248" i="15" s="1"/>
  <c r="X1250" i="15"/>
  <c r="Y1249" i="15" s="1"/>
  <c r="X1251" i="15"/>
  <c r="Y1250" i="15" s="1"/>
  <c r="X1252" i="15"/>
  <c r="Y1251" i="15" s="1"/>
  <c r="X1253" i="15"/>
  <c r="Y1252" i="15" s="1"/>
  <c r="X1254" i="15"/>
  <c r="Y1253" i="15" s="1"/>
  <c r="X1255" i="15"/>
  <c r="Y1254" i="15" s="1"/>
  <c r="X1256" i="15"/>
  <c r="Y1255" i="15" s="1"/>
  <c r="X1257" i="15"/>
  <c r="Y1256" i="15" s="1"/>
  <c r="X1258" i="15"/>
  <c r="Y1257" i="15" s="1"/>
  <c r="X1259" i="15"/>
  <c r="Y1258" i="15" s="1"/>
  <c r="X1260" i="15"/>
  <c r="Y1259" i="15" s="1"/>
  <c r="X1261" i="15"/>
  <c r="Y1260" i="15" s="1"/>
  <c r="X1262" i="15"/>
  <c r="Y1261" i="15" s="1"/>
  <c r="X1263" i="15"/>
  <c r="Y1262" i="15" s="1"/>
  <c r="X1264" i="15"/>
  <c r="Y1263" i="15" s="1"/>
  <c r="X1265" i="15"/>
  <c r="Y1264" i="15" s="1"/>
  <c r="X1266" i="15"/>
  <c r="Y1265" i="15" s="1"/>
  <c r="X1267" i="15"/>
  <c r="Y1266" i="15" s="1"/>
  <c r="X1268" i="15"/>
  <c r="Y1267" i="15" s="1"/>
  <c r="X1269" i="15"/>
  <c r="Y1268" i="15" s="1"/>
  <c r="X1270" i="15"/>
  <c r="Y1269" i="15" s="1"/>
  <c r="X1271" i="15"/>
  <c r="Y1270" i="15" s="1"/>
  <c r="X1272" i="15"/>
  <c r="Y1271" i="15" s="1"/>
  <c r="X1273" i="15"/>
  <c r="Y1272" i="15" s="1"/>
  <c r="X1274" i="15"/>
  <c r="Y1273" i="15" s="1"/>
  <c r="X1275" i="15"/>
  <c r="Y1274" i="15" s="1"/>
  <c r="X1276" i="15"/>
  <c r="Y1275" i="15" s="1"/>
  <c r="X1277" i="15"/>
  <c r="Y1276" i="15" s="1"/>
  <c r="X1278" i="15"/>
  <c r="Y1277" i="15" s="1"/>
  <c r="X1279" i="15"/>
  <c r="Y1278" i="15" s="1"/>
  <c r="X1280" i="15"/>
  <c r="Y1279" i="15" s="1"/>
  <c r="X1281" i="15"/>
  <c r="Y1280" i="15" s="1"/>
  <c r="X1282" i="15"/>
  <c r="Y1281" i="15" s="1"/>
  <c r="X1283" i="15"/>
  <c r="Y1282" i="15" s="1"/>
  <c r="X1284" i="15"/>
  <c r="Y1283" i="15" s="1"/>
  <c r="X1285" i="15"/>
  <c r="Y1284" i="15" s="1"/>
  <c r="X1286" i="15"/>
  <c r="Y1285" i="15" s="1"/>
  <c r="X1287" i="15"/>
  <c r="Y1286" i="15" s="1"/>
  <c r="X1288" i="15"/>
  <c r="Y1287" i="15" s="1"/>
  <c r="X1289" i="15"/>
  <c r="Y1288" i="15" s="1"/>
  <c r="X1290" i="15"/>
  <c r="Y1289" i="15" s="1"/>
  <c r="X1291" i="15"/>
  <c r="Y1290" i="15" s="1"/>
  <c r="X1292" i="15"/>
  <c r="Y1291" i="15" s="1"/>
  <c r="X1293" i="15"/>
  <c r="Y1292" i="15" s="1"/>
  <c r="X1294" i="15"/>
  <c r="Y1293" i="15" s="1"/>
  <c r="X1295" i="15"/>
  <c r="Y1294" i="15" s="1"/>
  <c r="X1296" i="15"/>
  <c r="Y1295" i="15" s="1"/>
  <c r="X1297" i="15"/>
  <c r="Y1296" i="15" s="1"/>
  <c r="X1298" i="15"/>
  <c r="Y1297" i="15" s="1"/>
  <c r="X1299" i="15"/>
  <c r="Y1298" i="15" s="1"/>
  <c r="X1300" i="15"/>
  <c r="Y1299" i="15" s="1"/>
  <c r="X1301" i="15"/>
  <c r="Y1300" i="15" s="1"/>
  <c r="X1302" i="15"/>
  <c r="Y1301" i="15" s="1"/>
  <c r="X1303" i="15"/>
  <c r="Y1302" i="15" s="1"/>
  <c r="X1304" i="15"/>
  <c r="Y1303" i="15" s="1"/>
  <c r="X1305" i="15"/>
  <c r="Y1304" i="15" s="1"/>
  <c r="X1306" i="15"/>
  <c r="Y1305" i="15" s="1"/>
  <c r="X1307" i="15"/>
  <c r="Y1306" i="15" s="1"/>
  <c r="X1308" i="15"/>
  <c r="Y1307" i="15" s="1"/>
  <c r="X1309" i="15"/>
  <c r="Y1308" i="15" s="1"/>
  <c r="X1310" i="15"/>
  <c r="Y1309" i="15" s="1"/>
  <c r="X1311" i="15"/>
  <c r="Y1310" i="15" s="1"/>
  <c r="X1312" i="15"/>
  <c r="Y1311" i="15" s="1"/>
  <c r="X1313" i="15"/>
  <c r="Y1312" i="15" s="1"/>
  <c r="X1314" i="15"/>
  <c r="Y1313" i="15" s="1"/>
  <c r="X1315" i="15"/>
  <c r="Y1314" i="15" s="1"/>
  <c r="X1316" i="15"/>
  <c r="Y1315" i="15" s="1"/>
  <c r="X1317" i="15"/>
  <c r="Y1316" i="15" s="1"/>
  <c r="X1318" i="15"/>
  <c r="Y1317" i="15" s="1"/>
  <c r="X1319" i="15"/>
  <c r="Y1318" i="15" s="1"/>
  <c r="X1320" i="15"/>
  <c r="Y1319" i="15" s="1"/>
  <c r="X1321" i="15"/>
  <c r="Y1320" i="15" s="1"/>
  <c r="X1322" i="15"/>
  <c r="Y1321" i="15" s="1"/>
  <c r="X1323" i="15"/>
  <c r="Y1322" i="15" s="1"/>
  <c r="X1324" i="15"/>
  <c r="Y1323" i="15" s="1"/>
  <c r="X1325" i="15"/>
  <c r="Y1324" i="15" s="1"/>
  <c r="X1326" i="15"/>
  <c r="Y1325" i="15" s="1"/>
  <c r="X1327" i="15"/>
  <c r="Y1326" i="15" s="1"/>
  <c r="X1328" i="15"/>
  <c r="Y1327" i="15" s="1"/>
  <c r="X1329" i="15"/>
  <c r="Y1328" i="15" s="1"/>
  <c r="X1330" i="15"/>
  <c r="Y1329" i="15" s="1"/>
  <c r="X1331" i="15"/>
  <c r="Y1330" i="15" s="1"/>
  <c r="X1332" i="15"/>
  <c r="Y1331" i="15" s="1"/>
  <c r="X1333" i="15"/>
  <c r="Y1332" i="15" s="1"/>
  <c r="X1334" i="15"/>
  <c r="Y1333" i="15" s="1"/>
  <c r="X1335" i="15"/>
  <c r="Y1334" i="15" s="1"/>
  <c r="X1336" i="15"/>
  <c r="Y1335" i="15" s="1"/>
  <c r="X1337" i="15"/>
  <c r="Y1336" i="15" s="1"/>
  <c r="X1338" i="15"/>
  <c r="Y1337" i="15" s="1"/>
  <c r="X1339" i="15"/>
  <c r="Y1338" i="15" s="1"/>
  <c r="X1340" i="15"/>
  <c r="Y1339" i="15" s="1"/>
  <c r="X1341" i="15"/>
  <c r="Y1340" i="15" s="1"/>
  <c r="X1342" i="15"/>
  <c r="Y1341" i="15" s="1"/>
  <c r="X1343" i="15"/>
  <c r="Y1342" i="15" s="1"/>
  <c r="X1344" i="15"/>
  <c r="Y1343" i="15" s="1"/>
  <c r="X1345" i="15"/>
  <c r="Y1344" i="15" s="1"/>
  <c r="X1346" i="15"/>
  <c r="Y1345" i="15" s="1"/>
  <c r="X1347" i="15"/>
  <c r="Y1346" i="15" s="1"/>
  <c r="X1348" i="15"/>
  <c r="Y1347" i="15" s="1"/>
  <c r="X1349" i="15"/>
  <c r="Y1348" i="15" s="1"/>
  <c r="X1350" i="15"/>
  <c r="Y1349" i="15" s="1"/>
  <c r="X1351" i="15"/>
  <c r="Y1350" i="15" s="1"/>
  <c r="X1352" i="15"/>
  <c r="Y1351" i="15" s="1"/>
  <c r="X1353" i="15"/>
  <c r="Y1352" i="15" s="1"/>
  <c r="X1354" i="15"/>
  <c r="Y1353" i="15" s="1"/>
  <c r="X1355" i="15"/>
  <c r="Y1354" i="15" s="1"/>
  <c r="X1356" i="15"/>
  <c r="Y1355" i="15" s="1"/>
  <c r="X1357" i="15"/>
  <c r="Y1356" i="15" s="1"/>
  <c r="X1358" i="15"/>
  <c r="Y1357" i="15" s="1"/>
  <c r="X1359" i="15"/>
  <c r="Y1358" i="15" s="1"/>
  <c r="X1360" i="15"/>
  <c r="Y1359" i="15" s="1"/>
  <c r="X1361" i="15"/>
  <c r="Y1360" i="15" s="1"/>
  <c r="X1362" i="15"/>
  <c r="Y1361" i="15" s="1"/>
  <c r="X1363" i="15"/>
  <c r="Y1362" i="15" s="1"/>
  <c r="X1364" i="15"/>
  <c r="Y1363" i="15" s="1"/>
  <c r="X1365" i="15"/>
  <c r="Y1364" i="15" s="1"/>
  <c r="X1366" i="15"/>
  <c r="Y1365" i="15" s="1"/>
  <c r="X1367" i="15"/>
  <c r="Y1366" i="15" s="1"/>
  <c r="X1368" i="15"/>
  <c r="Y1367" i="15" s="1"/>
  <c r="X1369" i="15"/>
  <c r="Y1368" i="15" s="1"/>
  <c r="X1370" i="15"/>
  <c r="Y1369" i="15" s="1"/>
  <c r="X1371" i="15"/>
  <c r="Y1370" i="15" s="1"/>
  <c r="X1372" i="15"/>
  <c r="Y1371" i="15" s="1"/>
  <c r="X1373" i="15"/>
  <c r="Y1372" i="15" s="1"/>
  <c r="X1374" i="15"/>
  <c r="Y1373" i="15" s="1"/>
  <c r="X1375" i="15"/>
  <c r="Y1374" i="15" s="1"/>
  <c r="X1376" i="15"/>
  <c r="Y1375" i="15" s="1"/>
  <c r="X1377" i="15"/>
  <c r="Y1376" i="15" s="1"/>
  <c r="X1378" i="15"/>
  <c r="Y1377" i="15" s="1"/>
  <c r="X1379" i="15"/>
  <c r="Y1378" i="15" s="1"/>
  <c r="X1380" i="15"/>
  <c r="Y1379" i="15" s="1"/>
  <c r="X1381" i="15"/>
  <c r="Y1380" i="15" s="1"/>
  <c r="X1382" i="15"/>
  <c r="Y1381" i="15" s="1"/>
  <c r="X1383" i="15"/>
  <c r="Y1382" i="15" s="1"/>
  <c r="X1384" i="15"/>
  <c r="Y1383" i="15" s="1"/>
  <c r="X1385" i="15"/>
  <c r="Y1384" i="15" s="1"/>
  <c r="X1386" i="15"/>
  <c r="Y1385" i="15" s="1"/>
  <c r="X1387" i="15"/>
  <c r="Y1386" i="15" s="1"/>
  <c r="X1388" i="15"/>
  <c r="Y1387" i="15" s="1"/>
  <c r="X1389" i="15"/>
  <c r="Y1388" i="15" s="1"/>
  <c r="X1390" i="15"/>
  <c r="Y1389" i="15" s="1"/>
  <c r="X1391" i="15"/>
  <c r="Y1390" i="15" s="1"/>
  <c r="X1392" i="15"/>
  <c r="Y1391" i="15" s="1"/>
  <c r="X1393" i="15"/>
  <c r="Y1392" i="15" s="1"/>
  <c r="X1394" i="15"/>
  <c r="Y1393" i="15" s="1"/>
  <c r="X1395" i="15"/>
  <c r="Y1394" i="15" s="1"/>
  <c r="X1396" i="15"/>
  <c r="Y1395" i="15" s="1"/>
  <c r="X1397" i="15"/>
  <c r="Y1396" i="15" s="1"/>
  <c r="X1398" i="15"/>
  <c r="Y1397" i="15" s="1"/>
  <c r="X1399" i="15"/>
  <c r="Y1398" i="15" s="1"/>
  <c r="X1400" i="15"/>
  <c r="Y1399" i="15" s="1"/>
  <c r="X1401" i="15"/>
  <c r="Y1400" i="15" s="1"/>
  <c r="X1402" i="15"/>
  <c r="Y1401" i="15" s="1"/>
  <c r="X1403" i="15"/>
  <c r="Y1402" i="15" s="1"/>
  <c r="X1404" i="15"/>
  <c r="Y1403" i="15" s="1"/>
  <c r="X1405" i="15"/>
  <c r="Y1404" i="15" s="1"/>
  <c r="X1406" i="15"/>
  <c r="Y1405" i="15" s="1"/>
  <c r="X1407" i="15"/>
  <c r="Y1406" i="15" s="1"/>
  <c r="X1408" i="15"/>
  <c r="Y1407" i="15" s="1"/>
  <c r="X1409" i="15"/>
  <c r="Y1408" i="15" s="1"/>
  <c r="X1410" i="15"/>
  <c r="Y1409" i="15" s="1"/>
  <c r="X1411" i="15"/>
  <c r="Y1410" i="15" s="1"/>
  <c r="X1412" i="15"/>
  <c r="Y1411" i="15" s="1"/>
  <c r="X1413" i="15"/>
  <c r="Y1412" i="15" s="1"/>
  <c r="X1414" i="15"/>
  <c r="Y1413" i="15" s="1"/>
  <c r="X1415" i="15"/>
  <c r="Y1414" i="15" s="1"/>
  <c r="X1416" i="15"/>
  <c r="Y1415" i="15" s="1"/>
  <c r="X1417" i="15"/>
  <c r="Y1416" i="15" s="1"/>
  <c r="X1418" i="15"/>
  <c r="Y1417" i="15" s="1"/>
  <c r="X1419" i="15"/>
  <c r="Y1418" i="15" s="1"/>
  <c r="X1420" i="15"/>
  <c r="Y1419" i="15" s="1"/>
  <c r="X1421" i="15"/>
  <c r="Y1420" i="15" s="1"/>
  <c r="X1422" i="15"/>
  <c r="Y1421" i="15" s="1"/>
  <c r="X1423" i="15"/>
  <c r="Y1422" i="15" s="1"/>
  <c r="X1424" i="15"/>
  <c r="Y1423" i="15" s="1"/>
  <c r="X1425" i="15"/>
  <c r="Y1424" i="15" s="1"/>
  <c r="X1426" i="15"/>
  <c r="Y1425" i="15" s="1"/>
  <c r="X1427" i="15"/>
  <c r="Y1426" i="15" s="1"/>
  <c r="X1428" i="15"/>
  <c r="Y1427" i="15" s="1"/>
  <c r="X1429" i="15"/>
  <c r="Y1428" i="15" s="1"/>
  <c r="X1430" i="15"/>
  <c r="Y1429" i="15" s="1"/>
  <c r="X1431" i="15"/>
  <c r="Y1430" i="15" s="1"/>
  <c r="X1432" i="15"/>
  <c r="Y1431" i="15" s="1"/>
  <c r="X1433" i="15"/>
  <c r="Y1432" i="15" s="1"/>
  <c r="X1434" i="15"/>
  <c r="Y1433" i="15" s="1"/>
  <c r="X1435" i="15"/>
  <c r="Y1434" i="15" s="1"/>
  <c r="X1436" i="15"/>
  <c r="Y1435" i="15" s="1"/>
  <c r="X1437" i="15"/>
  <c r="Y1436" i="15" s="1"/>
  <c r="X1438" i="15"/>
  <c r="Y1437" i="15" s="1"/>
  <c r="X1439" i="15"/>
  <c r="Y1438" i="15" s="1"/>
  <c r="X1440" i="15"/>
  <c r="Y1439" i="15" s="1"/>
  <c r="X1441" i="15"/>
  <c r="Y1440" i="15" s="1"/>
  <c r="X1442" i="15"/>
  <c r="Y1441" i="15" s="1"/>
  <c r="X1443" i="15"/>
  <c r="Y1442" i="15" s="1"/>
  <c r="X1444" i="15"/>
  <c r="Y1443" i="15" s="1"/>
  <c r="X1445" i="15"/>
  <c r="Y1444" i="15" s="1"/>
  <c r="X1446" i="15"/>
  <c r="Y1445" i="15" s="1"/>
  <c r="X1447" i="15"/>
  <c r="Y1446" i="15" s="1"/>
  <c r="X1448" i="15"/>
  <c r="Y1447" i="15" s="1"/>
  <c r="X1449" i="15"/>
  <c r="Y1448" i="15" s="1"/>
  <c r="X1450" i="15"/>
  <c r="Y1449" i="15" s="1"/>
  <c r="X1451" i="15"/>
  <c r="Y1450" i="15" s="1"/>
  <c r="X1452" i="15"/>
  <c r="Y1451" i="15" s="1"/>
  <c r="X1453" i="15"/>
  <c r="Y1452" i="15" s="1"/>
  <c r="X1454" i="15"/>
  <c r="Y1453" i="15" s="1"/>
  <c r="X1455" i="15"/>
  <c r="Y1454" i="15" s="1"/>
  <c r="X1456" i="15"/>
  <c r="Y1455" i="15" s="1"/>
  <c r="X1457" i="15"/>
  <c r="Y1456" i="15" s="1"/>
  <c r="X1458" i="15"/>
  <c r="Y1457" i="15" s="1"/>
  <c r="X1459" i="15"/>
  <c r="Y1458" i="15" s="1"/>
  <c r="X1460" i="15"/>
  <c r="Y1459" i="15" s="1"/>
  <c r="X1461" i="15"/>
  <c r="Y1460" i="15" s="1"/>
  <c r="X1462" i="15"/>
  <c r="Y1461" i="15" s="1"/>
  <c r="X1463" i="15"/>
  <c r="Y1462" i="15" s="1"/>
  <c r="X1464" i="15"/>
  <c r="Y1463" i="15" s="1"/>
  <c r="X1465" i="15"/>
  <c r="Y1464" i="15" s="1"/>
  <c r="X1466" i="15"/>
  <c r="Y1465" i="15" s="1"/>
  <c r="X1467" i="15"/>
  <c r="Y1466" i="15" s="1"/>
  <c r="X1468" i="15"/>
  <c r="Y1467" i="15" s="1"/>
  <c r="X1469" i="15"/>
  <c r="Y1468" i="15" s="1"/>
  <c r="X1470" i="15"/>
  <c r="Y1469" i="15" s="1"/>
  <c r="X1471" i="15"/>
  <c r="Y1470" i="15" s="1"/>
  <c r="X1472" i="15"/>
  <c r="Y1471" i="15" s="1"/>
  <c r="X1473" i="15"/>
  <c r="Y1472" i="15" s="1"/>
  <c r="X1474" i="15"/>
  <c r="Y1473" i="15" s="1"/>
  <c r="X1475" i="15"/>
  <c r="Y1474" i="15" s="1"/>
  <c r="X1476" i="15"/>
  <c r="Y1475" i="15" s="1"/>
  <c r="X1477" i="15"/>
  <c r="Y1476" i="15" s="1"/>
  <c r="X1478" i="15"/>
  <c r="Y1477" i="15" s="1"/>
  <c r="X1479" i="15"/>
  <c r="Y1478" i="15" s="1"/>
  <c r="X1480" i="15"/>
  <c r="Y1479" i="15" s="1"/>
  <c r="X1481" i="15"/>
  <c r="Y1480" i="15" s="1"/>
  <c r="X1482" i="15"/>
  <c r="Y1481" i="15" s="1"/>
  <c r="X1483" i="15"/>
  <c r="Y1482" i="15" s="1"/>
  <c r="X1484" i="15"/>
  <c r="Y1483" i="15" s="1"/>
  <c r="X1485" i="15"/>
  <c r="Y1484" i="15" s="1"/>
  <c r="X1486" i="15"/>
  <c r="Y1485" i="15" s="1"/>
  <c r="X1487" i="15"/>
  <c r="Y1486" i="15" s="1"/>
  <c r="X1488" i="15"/>
  <c r="Y1487" i="15" s="1"/>
  <c r="X1489" i="15"/>
  <c r="Y1488" i="15" s="1"/>
  <c r="X1490" i="15"/>
  <c r="Y1489" i="15" s="1"/>
  <c r="X1491" i="15"/>
  <c r="Y1490" i="15" s="1"/>
  <c r="X1492" i="15"/>
  <c r="Y1491" i="15" s="1"/>
  <c r="X1493" i="15"/>
  <c r="Y1492" i="15" s="1"/>
  <c r="X1494" i="15"/>
  <c r="Y1493" i="15" s="1"/>
  <c r="X1495" i="15"/>
  <c r="Y1494" i="15" s="1"/>
  <c r="X1496" i="15"/>
  <c r="Y1495" i="15" s="1"/>
  <c r="X1497" i="15"/>
  <c r="Y1496" i="15" s="1"/>
  <c r="X1498" i="15"/>
  <c r="Y1497" i="15" s="1"/>
  <c r="X1499" i="15"/>
  <c r="Y1498" i="15" s="1"/>
  <c r="X1500" i="15"/>
  <c r="Y1499" i="15" s="1"/>
  <c r="X1501" i="15"/>
  <c r="Y1500" i="15" s="1"/>
  <c r="X1502" i="15"/>
  <c r="Y1501" i="15" s="1"/>
  <c r="X1503" i="15"/>
  <c r="Y1502" i="15" s="1"/>
  <c r="X1504" i="15"/>
  <c r="Y1503" i="15" s="1"/>
  <c r="X1505" i="15"/>
  <c r="Y1504" i="15" s="1"/>
  <c r="X1506" i="15"/>
  <c r="Y1505" i="15" s="1"/>
  <c r="X1507" i="15"/>
  <c r="Y1506" i="15" s="1"/>
  <c r="X1508" i="15"/>
  <c r="Y1507" i="15" s="1"/>
  <c r="X1509" i="15"/>
  <c r="Y1508" i="15" s="1"/>
  <c r="X1510" i="15"/>
  <c r="Y1509" i="15" s="1"/>
  <c r="X1511" i="15"/>
  <c r="Y1510" i="15" s="1"/>
  <c r="X1512" i="15"/>
  <c r="Y1511" i="15" s="1"/>
  <c r="X1513" i="15"/>
  <c r="Y1512" i="15" s="1"/>
  <c r="X1514" i="15"/>
  <c r="Y1513" i="15" s="1"/>
  <c r="X1515" i="15"/>
  <c r="Y1514" i="15" s="1"/>
  <c r="X1516" i="15"/>
  <c r="Y1515" i="15" s="1"/>
  <c r="X1517" i="15"/>
  <c r="Y1516" i="15" s="1"/>
  <c r="X1518" i="15"/>
  <c r="Y1517" i="15" s="1"/>
  <c r="X1519" i="15"/>
  <c r="Y1518" i="15" s="1"/>
  <c r="X1520" i="15"/>
  <c r="Y1519" i="15" s="1"/>
  <c r="X1521" i="15"/>
  <c r="Y1520" i="15" s="1"/>
  <c r="X1522" i="15"/>
  <c r="Y1521" i="15" s="1"/>
  <c r="X1523" i="15"/>
  <c r="Y1522" i="15" s="1"/>
  <c r="X1524" i="15"/>
  <c r="Y1523" i="15" s="1"/>
  <c r="X1525" i="15"/>
  <c r="Y1524" i="15" s="1"/>
  <c r="X1526" i="15"/>
  <c r="Y1525" i="15" s="1"/>
  <c r="X1527" i="15"/>
  <c r="Y1526" i="15" s="1"/>
  <c r="X1528" i="15"/>
  <c r="Y1527" i="15" s="1"/>
  <c r="X1529" i="15"/>
  <c r="Y1528" i="15" s="1"/>
  <c r="X1530" i="15"/>
  <c r="Y1529" i="15" s="1"/>
  <c r="X1531" i="15"/>
  <c r="Y1530" i="15" s="1"/>
  <c r="X1532" i="15"/>
  <c r="Y1531" i="15" s="1"/>
  <c r="X1533" i="15"/>
  <c r="Y1532" i="15" s="1"/>
  <c r="X1534" i="15"/>
  <c r="Y1533" i="15" s="1"/>
  <c r="X1535" i="15"/>
  <c r="Y1534" i="15" s="1"/>
  <c r="X1536" i="15"/>
  <c r="Y1535" i="15" s="1"/>
  <c r="X1537" i="15"/>
  <c r="Y1536" i="15" s="1"/>
  <c r="X1538" i="15"/>
  <c r="Y1537" i="15" s="1"/>
  <c r="X1539" i="15"/>
  <c r="Y1538" i="15" s="1"/>
  <c r="X1540" i="15"/>
  <c r="Y1539" i="15" s="1"/>
  <c r="X1541" i="15"/>
  <c r="Y1540" i="15" s="1"/>
  <c r="X1542" i="15"/>
  <c r="Y1541" i="15" s="1"/>
  <c r="X1543" i="15"/>
  <c r="Y1542" i="15" s="1"/>
  <c r="X1544" i="15"/>
  <c r="Y1543" i="15" s="1"/>
  <c r="X1545" i="15"/>
  <c r="Y1544" i="15" s="1"/>
  <c r="X1546" i="15"/>
  <c r="Y1545" i="15" s="1"/>
  <c r="X1547" i="15"/>
  <c r="Y1546" i="15" s="1"/>
  <c r="X1548" i="15"/>
  <c r="Y1547" i="15" s="1"/>
  <c r="X1549" i="15"/>
  <c r="Y1548" i="15" s="1"/>
  <c r="X1550" i="15"/>
  <c r="Y1549" i="15" s="1"/>
  <c r="X1551" i="15"/>
  <c r="Y1550" i="15" s="1"/>
  <c r="X1552" i="15"/>
  <c r="Y1551" i="15" s="1"/>
  <c r="X1553" i="15"/>
  <c r="Y1552" i="15" s="1"/>
  <c r="X1554" i="15"/>
  <c r="Y1553" i="15" s="1"/>
  <c r="X1555" i="15"/>
  <c r="Y1554" i="15" s="1"/>
  <c r="X1556" i="15"/>
  <c r="Y1555" i="15" s="1"/>
  <c r="X1557" i="15"/>
  <c r="Y1556" i="15" s="1"/>
  <c r="X1558" i="15"/>
  <c r="Y1557" i="15" s="1"/>
  <c r="X1559" i="15"/>
  <c r="Y1558" i="15" s="1"/>
  <c r="X1560" i="15"/>
  <c r="Y1559" i="15" s="1"/>
  <c r="X1561" i="15"/>
  <c r="Y1560" i="15" s="1"/>
  <c r="X1562" i="15"/>
  <c r="Y1561" i="15" s="1"/>
  <c r="X1563" i="15"/>
  <c r="Y1562" i="15" s="1"/>
  <c r="X1564" i="15"/>
  <c r="Y1563" i="15" s="1"/>
  <c r="X1565" i="15"/>
  <c r="Y1564" i="15" s="1"/>
  <c r="X1566" i="15"/>
  <c r="Y1565" i="15" s="1"/>
  <c r="X1567" i="15"/>
  <c r="Y1566" i="15" s="1"/>
  <c r="X1568" i="15"/>
  <c r="Y1567" i="15" s="1"/>
  <c r="X1569" i="15"/>
  <c r="Y1568" i="15" s="1"/>
  <c r="X1570" i="15"/>
  <c r="Y1569" i="15" s="1"/>
  <c r="X1571" i="15"/>
  <c r="Y1570" i="15" s="1"/>
  <c r="X1572" i="15"/>
  <c r="Y1571" i="15" s="1"/>
  <c r="X1573" i="15"/>
  <c r="Y1572" i="15" s="1"/>
  <c r="X1574" i="15"/>
  <c r="Y1573" i="15" s="1"/>
  <c r="X1575" i="15"/>
  <c r="Y1574" i="15" s="1"/>
  <c r="X1576" i="15"/>
  <c r="Y1575" i="15" s="1"/>
  <c r="X1577" i="15"/>
  <c r="Y1576" i="15" s="1"/>
  <c r="X1578" i="15"/>
  <c r="Y1577" i="15" s="1"/>
  <c r="X1579" i="15"/>
  <c r="Y1578" i="15" s="1"/>
  <c r="X1580" i="15"/>
  <c r="Y1579" i="15" s="1"/>
  <c r="X1581" i="15"/>
  <c r="Y1580" i="15" s="1"/>
  <c r="X1582" i="15"/>
  <c r="Y1581" i="15" s="1"/>
  <c r="X1583" i="15"/>
  <c r="Y1582" i="15" s="1"/>
  <c r="X1584" i="15"/>
  <c r="Y1583" i="15" s="1"/>
  <c r="X1585" i="15"/>
  <c r="Y1584" i="15" s="1"/>
  <c r="X1586" i="15"/>
  <c r="Y1585" i="15" s="1"/>
  <c r="X1587" i="15"/>
  <c r="Y1586" i="15" s="1"/>
  <c r="X1588" i="15"/>
  <c r="Y1587" i="15" s="1"/>
  <c r="X1589" i="15"/>
  <c r="Y1588" i="15" s="1"/>
  <c r="X1590" i="15"/>
  <c r="Y1589" i="15" s="1"/>
  <c r="X1591" i="15"/>
  <c r="Y1590" i="15" s="1"/>
  <c r="X1592" i="15"/>
  <c r="Y1591" i="15" s="1"/>
  <c r="X1593" i="15"/>
  <c r="Y1592" i="15" s="1"/>
  <c r="X1594" i="15"/>
  <c r="Y1593" i="15" s="1"/>
  <c r="X1595" i="15"/>
  <c r="Y1594" i="15" s="1"/>
  <c r="X1596" i="15"/>
  <c r="Y1595" i="15" s="1"/>
  <c r="X1597" i="15"/>
  <c r="Y1596" i="15" s="1"/>
  <c r="X1598" i="15"/>
  <c r="Y1597" i="15" s="1"/>
  <c r="X1599" i="15"/>
  <c r="Y1598" i="15" s="1"/>
  <c r="X1600" i="15"/>
  <c r="Y1599" i="15" s="1"/>
  <c r="X1601" i="15"/>
  <c r="Y1600" i="15" s="1"/>
  <c r="X1602" i="15"/>
  <c r="Y1601" i="15" s="1"/>
  <c r="X1603" i="15"/>
  <c r="Y1602" i="15" s="1"/>
  <c r="X1604" i="15"/>
  <c r="Y1603" i="15" s="1"/>
  <c r="X1605" i="15"/>
  <c r="Y1604" i="15" s="1"/>
  <c r="X1606" i="15"/>
  <c r="Y1605" i="15" s="1"/>
  <c r="X1607" i="15"/>
  <c r="Y1606" i="15" s="1"/>
  <c r="X1608" i="15"/>
  <c r="Y1607" i="15" s="1"/>
  <c r="X1609" i="15"/>
  <c r="Y1608" i="15" s="1"/>
  <c r="X1610" i="15"/>
  <c r="Y1609" i="15" s="1"/>
  <c r="X1611" i="15"/>
  <c r="Y1610" i="15" s="1"/>
  <c r="X1612" i="15"/>
  <c r="Y1611" i="15" s="1"/>
  <c r="X1613" i="15"/>
  <c r="Y1612" i="15" s="1"/>
  <c r="X1614" i="15"/>
  <c r="Y1613" i="15" s="1"/>
  <c r="X1615" i="15"/>
  <c r="Y1614" i="15" s="1"/>
  <c r="X1616" i="15"/>
  <c r="Y1615" i="15" s="1"/>
  <c r="X1617" i="15"/>
  <c r="Y1616" i="15" s="1"/>
  <c r="X1618" i="15"/>
  <c r="Y1617" i="15" s="1"/>
  <c r="X1619" i="15"/>
  <c r="Y1618" i="15" s="1"/>
  <c r="X1620" i="15"/>
  <c r="Y1619" i="15" s="1"/>
  <c r="X1621" i="15"/>
  <c r="Y1620" i="15" s="1"/>
  <c r="X1622" i="15"/>
  <c r="Y1621" i="15" s="1"/>
  <c r="X1623" i="15"/>
  <c r="Y1622" i="15" s="1"/>
  <c r="X1624" i="15"/>
  <c r="Y1623" i="15" s="1"/>
  <c r="X1625" i="15"/>
  <c r="Y1624" i="15" s="1"/>
  <c r="X1626" i="15"/>
  <c r="Y1625" i="15" s="1"/>
  <c r="X1627" i="15"/>
  <c r="Y1626" i="15" s="1"/>
  <c r="X1628" i="15"/>
  <c r="Y1627" i="15" s="1"/>
  <c r="X1629" i="15"/>
  <c r="Y1628" i="15" s="1"/>
  <c r="X1630" i="15"/>
  <c r="Y1629" i="15" s="1"/>
  <c r="X1631" i="15"/>
  <c r="Y1630" i="15" s="1"/>
  <c r="X1632" i="15"/>
  <c r="Y1631" i="15" s="1"/>
  <c r="X1633" i="15"/>
  <c r="Y1632" i="15" s="1"/>
  <c r="X1634" i="15"/>
  <c r="Y1633" i="15" s="1"/>
  <c r="X1635" i="15"/>
  <c r="Y1634" i="15" s="1"/>
  <c r="X1636" i="15"/>
  <c r="Y1635" i="15" s="1"/>
  <c r="X1637" i="15"/>
  <c r="Y1636" i="15" s="1"/>
  <c r="X1638" i="15"/>
  <c r="Y1637" i="15" s="1"/>
  <c r="X1639" i="15"/>
  <c r="Y1638" i="15" s="1"/>
  <c r="X1640" i="15"/>
  <c r="Y1639" i="15" s="1"/>
  <c r="X1641" i="15"/>
  <c r="Y1640" i="15" s="1"/>
  <c r="X1642" i="15"/>
  <c r="Y1641" i="15" s="1"/>
  <c r="X1643" i="15"/>
  <c r="Y1642" i="15" s="1"/>
  <c r="X1644" i="15"/>
  <c r="Y1643" i="15" s="1"/>
  <c r="X1645" i="15"/>
  <c r="Y1644" i="15" s="1"/>
  <c r="X1646" i="15"/>
  <c r="Y1645" i="15" s="1"/>
  <c r="X1647" i="15"/>
  <c r="Y1646" i="15" s="1"/>
  <c r="X1648" i="15"/>
  <c r="Y1647" i="15" s="1"/>
  <c r="X1649" i="15"/>
  <c r="Y1648" i="15" s="1"/>
  <c r="X1650" i="15"/>
  <c r="Y1649" i="15" s="1"/>
  <c r="X1651" i="15"/>
  <c r="Y1650" i="15" s="1"/>
  <c r="X1652" i="15"/>
  <c r="Y1651" i="15" s="1"/>
  <c r="X1653" i="15"/>
  <c r="Y1652" i="15" s="1"/>
  <c r="X1654" i="15"/>
  <c r="Y1653" i="15" s="1"/>
  <c r="X1655" i="15"/>
  <c r="Y1654" i="15" s="1"/>
  <c r="X1656" i="15"/>
  <c r="Y1655" i="15" s="1"/>
  <c r="X1657" i="15"/>
  <c r="Y1656" i="15" s="1"/>
  <c r="X1658" i="15"/>
  <c r="Y1657" i="15" s="1"/>
  <c r="X1659" i="15"/>
  <c r="Y1658" i="15" s="1"/>
  <c r="X1660" i="15"/>
  <c r="Y1659" i="15" s="1"/>
  <c r="X1661" i="15"/>
  <c r="Y1660" i="15" s="1"/>
  <c r="X1662" i="15"/>
  <c r="Y1661" i="15" s="1"/>
  <c r="X1663" i="15"/>
  <c r="Y1662" i="15" s="1"/>
  <c r="X1664" i="15"/>
  <c r="Y1663" i="15" s="1"/>
  <c r="X1665" i="15"/>
  <c r="Y1664" i="15" s="1"/>
  <c r="X1666" i="15"/>
  <c r="Y1665" i="15" s="1"/>
  <c r="X1667" i="15"/>
  <c r="Y1666" i="15" s="1"/>
  <c r="X1668" i="15"/>
  <c r="Y1667" i="15" s="1"/>
  <c r="X1669" i="15"/>
  <c r="Y1668" i="15" s="1"/>
  <c r="X1670" i="15"/>
  <c r="Y1669" i="15" s="1"/>
  <c r="X1671" i="15"/>
  <c r="Y1670" i="15" s="1"/>
  <c r="X1672" i="15"/>
  <c r="Y1671" i="15" s="1"/>
  <c r="X1673" i="15"/>
  <c r="Y1672" i="15" s="1"/>
  <c r="X1674" i="15"/>
  <c r="Y1673" i="15" s="1"/>
  <c r="X1675" i="15"/>
  <c r="Y1674" i="15" s="1"/>
  <c r="X1676" i="15"/>
  <c r="Y1675" i="15" s="1"/>
  <c r="X1677" i="15"/>
  <c r="Y1676" i="15" s="1"/>
  <c r="X1678" i="15"/>
  <c r="Y1677" i="15" s="1"/>
  <c r="X1679" i="15"/>
  <c r="Y1678" i="15" s="1"/>
  <c r="X1680" i="15"/>
  <c r="Y1679" i="15" s="1"/>
  <c r="X1681" i="15"/>
  <c r="Y1680" i="15" s="1"/>
  <c r="X1682" i="15"/>
  <c r="Y1681" i="15" s="1"/>
  <c r="X1683" i="15"/>
  <c r="Y1682" i="15" s="1"/>
  <c r="X1684" i="15"/>
  <c r="Y1683" i="15" s="1"/>
  <c r="X1685" i="15"/>
  <c r="Y1684" i="15" s="1"/>
  <c r="X1686" i="15"/>
  <c r="Y1685" i="15" s="1"/>
  <c r="X1687" i="15"/>
  <c r="Y1686" i="15" s="1"/>
  <c r="X1688" i="15"/>
  <c r="Y1687" i="15" s="1"/>
  <c r="X1689" i="15"/>
  <c r="Y1688" i="15" s="1"/>
  <c r="X1690" i="15"/>
  <c r="Y1689" i="15" s="1"/>
  <c r="X1691" i="15"/>
  <c r="Y1690" i="15" s="1"/>
  <c r="X1692" i="15"/>
  <c r="Y1691" i="15" s="1"/>
  <c r="X1693" i="15"/>
  <c r="Y1692" i="15" s="1"/>
  <c r="X1694" i="15"/>
  <c r="Y1693" i="15" s="1"/>
  <c r="X1695" i="15"/>
  <c r="Y1694" i="15" s="1"/>
  <c r="X1696" i="15"/>
  <c r="Y1695" i="15" s="1"/>
  <c r="X1697" i="15"/>
  <c r="Y1696" i="15" s="1"/>
  <c r="X1698" i="15"/>
  <c r="Y1697" i="15" s="1"/>
  <c r="X1699" i="15"/>
  <c r="Y1698" i="15" s="1"/>
  <c r="X1700" i="15"/>
  <c r="Y1699" i="15" s="1"/>
  <c r="X1701" i="15"/>
  <c r="Y1700" i="15" s="1"/>
  <c r="X1702" i="15"/>
  <c r="Y1701" i="15" s="1"/>
  <c r="X1703" i="15"/>
  <c r="Y1702" i="15" s="1"/>
  <c r="X1704" i="15"/>
  <c r="Y1703" i="15" s="1"/>
  <c r="X1705" i="15"/>
  <c r="Y1704" i="15" s="1"/>
  <c r="X1706" i="15"/>
  <c r="Y1705" i="15" s="1"/>
  <c r="X1707" i="15"/>
  <c r="Y1706" i="15" s="1"/>
  <c r="X1708" i="15"/>
  <c r="Y1707" i="15" s="1"/>
  <c r="X1709" i="15"/>
  <c r="Y1708" i="15" s="1"/>
  <c r="X1710" i="15"/>
  <c r="Y1709" i="15" s="1"/>
  <c r="X1711" i="15"/>
  <c r="Y1710" i="15" s="1"/>
  <c r="X1712" i="15"/>
  <c r="Y1711" i="15" s="1"/>
  <c r="X1713" i="15"/>
  <c r="Y1712" i="15" s="1"/>
  <c r="X1714" i="15"/>
  <c r="Y1713" i="15" s="1"/>
  <c r="X1715" i="15"/>
  <c r="Y1714" i="15" s="1"/>
  <c r="X1716" i="15"/>
  <c r="Y1715" i="15" s="1"/>
  <c r="X1717" i="15"/>
  <c r="Y1716" i="15" s="1"/>
  <c r="X1718" i="15"/>
  <c r="Y1717" i="15" s="1"/>
  <c r="X1719" i="15"/>
  <c r="Y1718" i="15" s="1"/>
  <c r="X1720" i="15"/>
  <c r="Y1719" i="15" s="1"/>
  <c r="X1721" i="15"/>
  <c r="Y1720" i="15" s="1"/>
  <c r="X1722" i="15"/>
  <c r="Y1721" i="15" s="1"/>
  <c r="X1723" i="15"/>
  <c r="Y1722" i="15" s="1"/>
  <c r="X1724" i="15"/>
  <c r="Y1723" i="15" s="1"/>
  <c r="X1725" i="15"/>
  <c r="Y1724" i="15" s="1"/>
  <c r="X1726" i="15"/>
  <c r="Y1725" i="15" s="1"/>
  <c r="X1727" i="15"/>
  <c r="Y1726" i="15" s="1"/>
  <c r="X1728" i="15"/>
  <c r="Y1727" i="15" s="1"/>
  <c r="X1729" i="15"/>
  <c r="Y1728" i="15" s="1"/>
  <c r="X1730" i="15"/>
  <c r="Y1729" i="15" s="1"/>
  <c r="X1731" i="15"/>
  <c r="Y1730" i="15" s="1"/>
  <c r="X1732" i="15"/>
  <c r="Y1731" i="15" s="1"/>
  <c r="X1733" i="15"/>
  <c r="Y1732" i="15" s="1"/>
  <c r="X1734" i="15"/>
  <c r="Y1733" i="15" s="1"/>
  <c r="X1735" i="15"/>
  <c r="Y1734" i="15" s="1"/>
  <c r="X1736" i="15"/>
  <c r="Y1735" i="15" s="1"/>
  <c r="X1737" i="15"/>
  <c r="Y1736" i="15" s="1"/>
  <c r="X1738" i="15"/>
  <c r="Y1737" i="15" s="1"/>
  <c r="X1739" i="15"/>
  <c r="Y1738" i="15" s="1"/>
  <c r="X1740" i="15"/>
  <c r="Y1739" i="15" s="1"/>
  <c r="X1741" i="15"/>
  <c r="Y1740" i="15" s="1"/>
  <c r="X1742" i="15"/>
  <c r="Y1741" i="15" s="1"/>
  <c r="X1743" i="15"/>
  <c r="Y1742" i="15" s="1"/>
  <c r="X1744" i="15"/>
  <c r="Y1743" i="15" s="1"/>
  <c r="X1745" i="15"/>
  <c r="Y1744" i="15" s="1"/>
  <c r="X1746" i="15"/>
  <c r="Y1745" i="15" s="1"/>
  <c r="X1747" i="15"/>
  <c r="Y1746" i="15" s="1"/>
  <c r="X1748" i="15"/>
  <c r="Y1747" i="15" s="1"/>
  <c r="X1749" i="15"/>
  <c r="Y1748" i="15" s="1"/>
  <c r="X1750" i="15"/>
  <c r="Y1749" i="15" s="1"/>
  <c r="X1751" i="15"/>
  <c r="Y1750" i="15" s="1"/>
  <c r="X1752" i="15"/>
  <c r="Y1751" i="15" s="1"/>
  <c r="X1753" i="15"/>
  <c r="Y1752" i="15" s="1"/>
  <c r="X1754" i="15"/>
  <c r="Y1753" i="15" s="1"/>
  <c r="X1755" i="15"/>
  <c r="Y1754" i="15" s="1"/>
  <c r="X1756" i="15"/>
  <c r="Y1755" i="15" s="1"/>
  <c r="X1757" i="15"/>
  <c r="Y1756" i="15" s="1"/>
  <c r="X1758" i="15"/>
  <c r="Y1757" i="15" s="1"/>
  <c r="X1759" i="15"/>
  <c r="Y1758" i="15" s="1"/>
  <c r="X1760" i="15"/>
  <c r="Y1759" i="15" s="1"/>
  <c r="X1761" i="15"/>
  <c r="Y1760" i="15" s="1"/>
  <c r="X1762" i="15"/>
  <c r="Y1761" i="15" s="1"/>
  <c r="X1763" i="15"/>
  <c r="Y1762" i="15" s="1"/>
  <c r="X1764" i="15"/>
  <c r="Y1763" i="15" s="1"/>
  <c r="X1765" i="15"/>
  <c r="Y1764" i="15" s="1"/>
  <c r="X1766" i="15"/>
  <c r="Y1765" i="15" s="1"/>
  <c r="X1767" i="15"/>
  <c r="Y1766" i="15" s="1"/>
  <c r="X1768" i="15"/>
  <c r="Y1767" i="15" s="1"/>
  <c r="X1769" i="15"/>
  <c r="Y1768" i="15" s="1"/>
  <c r="X1770" i="15"/>
  <c r="Y1769" i="15" s="1"/>
  <c r="X1771" i="15"/>
  <c r="Y1770" i="15" s="1"/>
  <c r="X1772" i="15"/>
  <c r="Y1771" i="15" s="1"/>
  <c r="X1773" i="15"/>
  <c r="Y1772" i="15" s="1"/>
  <c r="X1774" i="15"/>
  <c r="Y1773" i="15" s="1"/>
  <c r="X1775" i="15"/>
  <c r="Y1774" i="15" s="1"/>
  <c r="X1776" i="15"/>
  <c r="Y1775" i="15" s="1"/>
  <c r="X1777" i="15"/>
  <c r="Y1776" i="15" s="1"/>
  <c r="X1778" i="15"/>
  <c r="Y1777" i="15" s="1"/>
  <c r="X1779" i="15"/>
  <c r="Y1778" i="15" s="1"/>
  <c r="X1780" i="15"/>
  <c r="Y1779" i="15" s="1"/>
  <c r="X1781" i="15"/>
  <c r="Y1780" i="15" s="1"/>
  <c r="X1782" i="15"/>
  <c r="Y1781" i="15" s="1"/>
  <c r="X1783" i="15"/>
  <c r="Y1782" i="15" s="1"/>
  <c r="X1784" i="15"/>
  <c r="Y1783" i="15" s="1"/>
  <c r="X1785" i="15"/>
  <c r="Y1784" i="15" s="1"/>
  <c r="X1786" i="15"/>
  <c r="Y1785" i="15" s="1"/>
  <c r="X1787" i="15"/>
  <c r="Y1786" i="15" s="1"/>
  <c r="X1788" i="15"/>
  <c r="Y1787" i="15" s="1"/>
  <c r="X1789" i="15"/>
  <c r="Y1788" i="15" s="1"/>
  <c r="X1790" i="15"/>
  <c r="Y1789" i="15" s="1"/>
  <c r="X1791" i="15"/>
  <c r="Y1790" i="15" s="1"/>
  <c r="X1792" i="15"/>
  <c r="Y1791" i="15" s="1"/>
  <c r="X1793" i="15"/>
  <c r="Y1792" i="15" s="1"/>
  <c r="X1794" i="15"/>
  <c r="Y1793" i="15" s="1"/>
  <c r="X1795" i="15"/>
  <c r="Y1794" i="15" s="1"/>
  <c r="X1796" i="15"/>
  <c r="Y1795" i="15" s="1"/>
  <c r="X1797" i="15"/>
  <c r="Y1796" i="15" s="1"/>
  <c r="X1798" i="15"/>
  <c r="Y1797" i="15" s="1"/>
  <c r="X1799" i="15"/>
  <c r="Y1798" i="15" s="1"/>
  <c r="X1800" i="15"/>
  <c r="Y1799" i="15" s="1"/>
  <c r="X1801" i="15"/>
  <c r="Y1800" i="15" s="1"/>
  <c r="X1802" i="15"/>
  <c r="Y1801" i="15" s="1"/>
  <c r="X1803" i="15"/>
  <c r="Y1802" i="15" s="1"/>
  <c r="X1804" i="15"/>
  <c r="Y1803" i="15" s="1"/>
  <c r="X1805" i="15"/>
  <c r="Y1804" i="15" s="1"/>
  <c r="X1806" i="15"/>
  <c r="Y1805" i="15" s="1"/>
  <c r="X1807" i="15"/>
  <c r="Y1806" i="15" s="1"/>
  <c r="X1808" i="15"/>
  <c r="Y1807" i="15" s="1"/>
  <c r="X1809" i="15"/>
  <c r="Y1808" i="15" s="1"/>
  <c r="X1810" i="15"/>
  <c r="Y1809" i="15" s="1"/>
  <c r="X1811" i="15"/>
  <c r="Y1810" i="15" s="1"/>
  <c r="X1812" i="15"/>
  <c r="Y1811" i="15" s="1"/>
  <c r="X1813" i="15"/>
  <c r="Y1812" i="15" s="1"/>
  <c r="X1814" i="15"/>
  <c r="Y1813" i="15" s="1"/>
  <c r="X1815" i="15"/>
  <c r="Y1814" i="15" s="1"/>
  <c r="X1816" i="15"/>
  <c r="Y1815" i="15" s="1"/>
  <c r="X1817" i="15"/>
  <c r="Y1816" i="15" s="1"/>
  <c r="X1818" i="15"/>
  <c r="Y1817" i="15" s="1"/>
  <c r="X1819" i="15"/>
  <c r="Y1818" i="15" s="1"/>
  <c r="X1820" i="15"/>
  <c r="Y1819" i="15" s="1"/>
  <c r="X1821" i="15"/>
  <c r="Y1820" i="15" s="1"/>
  <c r="X1822" i="15"/>
  <c r="Y1821" i="15" s="1"/>
  <c r="X1823" i="15"/>
  <c r="Y1822" i="15" s="1"/>
  <c r="X1824" i="15"/>
  <c r="Y1823" i="15" s="1"/>
  <c r="X1825" i="15"/>
  <c r="Y1824" i="15" s="1"/>
  <c r="X1826" i="15"/>
  <c r="Y1825" i="15" s="1"/>
  <c r="X1827" i="15"/>
  <c r="Y1826" i="15" s="1"/>
  <c r="X1828" i="15"/>
  <c r="Y1827" i="15" s="1"/>
  <c r="X1829" i="15"/>
  <c r="Y1828" i="15" s="1"/>
  <c r="X1830" i="15"/>
  <c r="Y1829" i="15" s="1"/>
  <c r="X1831" i="15"/>
  <c r="Y1830" i="15" s="1"/>
  <c r="X1832" i="15"/>
  <c r="Y1831" i="15" s="1"/>
  <c r="X1833" i="15"/>
  <c r="Y1832" i="15" s="1"/>
  <c r="X1834" i="15"/>
  <c r="Y1833" i="15" s="1"/>
  <c r="X1835" i="15"/>
  <c r="Y1834" i="15" s="1"/>
  <c r="X1836" i="15"/>
  <c r="Y1835" i="15" s="1"/>
  <c r="X1837" i="15"/>
  <c r="Y1836" i="15" s="1"/>
  <c r="X1838" i="15"/>
  <c r="Y1837" i="15" s="1"/>
  <c r="X1839" i="15"/>
  <c r="Y1838" i="15" s="1"/>
  <c r="X1840" i="15"/>
  <c r="Y1839" i="15" s="1"/>
  <c r="X1841" i="15"/>
  <c r="Y1840" i="15" s="1"/>
  <c r="X1842" i="15"/>
  <c r="Y1841" i="15" s="1"/>
  <c r="X1843" i="15"/>
  <c r="Y1842" i="15" s="1"/>
  <c r="X1844" i="15"/>
  <c r="Y1843" i="15" s="1"/>
  <c r="X1845" i="15"/>
  <c r="Y1844" i="15" s="1"/>
  <c r="X1846" i="15"/>
  <c r="Y1845" i="15" s="1"/>
  <c r="X1847" i="15"/>
  <c r="Y1846" i="15" s="1"/>
  <c r="X1848" i="15"/>
  <c r="Y1847" i="15" s="1"/>
  <c r="X1849" i="15"/>
  <c r="Y1848" i="15" s="1"/>
  <c r="X1850" i="15"/>
  <c r="Y1849" i="15" s="1"/>
  <c r="X1851" i="15"/>
  <c r="Y1850" i="15" s="1"/>
  <c r="X1852" i="15"/>
  <c r="Y1851" i="15" s="1"/>
  <c r="X1853" i="15"/>
  <c r="Y1852" i="15" s="1"/>
  <c r="X1854" i="15"/>
  <c r="Y1853" i="15" s="1"/>
  <c r="X1855" i="15"/>
  <c r="Y1854" i="15" s="1"/>
  <c r="X1856" i="15"/>
  <c r="Y1855" i="15" s="1"/>
  <c r="X1857" i="15"/>
  <c r="Y1856" i="15" s="1"/>
  <c r="X1858" i="15"/>
  <c r="Y1857" i="15" s="1"/>
  <c r="X1859" i="15"/>
  <c r="Y1858" i="15" s="1"/>
  <c r="X1860" i="15"/>
  <c r="Y1859" i="15" s="1"/>
  <c r="X1861" i="15"/>
  <c r="Y1860" i="15" s="1"/>
  <c r="X1862" i="15"/>
  <c r="Y1861" i="15" s="1"/>
  <c r="X1863" i="15"/>
  <c r="Y1862" i="15" s="1"/>
  <c r="X1864" i="15"/>
  <c r="Y1863" i="15" s="1"/>
  <c r="X1865" i="15"/>
  <c r="Y1864" i="15" s="1"/>
  <c r="X1866" i="15"/>
  <c r="Y1865" i="15" s="1"/>
  <c r="X1867" i="15"/>
  <c r="Y1866" i="15" s="1"/>
  <c r="X1868" i="15"/>
  <c r="Y1867" i="15" s="1"/>
  <c r="X1869" i="15"/>
  <c r="Y1868" i="15" s="1"/>
  <c r="X1870" i="15"/>
  <c r="Y1869" i="15" s="1"/>
  <c r="X1871" i="15"/>
  <c r="Y1870" i="15" s="1"/>
  <c r="X1872" i="15"/>
  <c r="Y1871" i="15" s="1"/>
  <c r="X1873" i="15"/>
  <c r="Y1872" i="15" s="1"/>
  <c r="X1874" i="15"/>
  <c r="Y1873" i="15" s="1"/>
  <c r="X1875" i="15"/>
  <c r="Y1874" i="15" s="1"/>
  <c r="X1876" i="15"/>
  <c r="Y1875" i="15" s="1"/>
  <c r="X1877" i="15"/>
  <c r="Y1876" i="15" s="1"/>
  <c r="X1878" i="15"/>
  <c r="Y1877" i="15" s="1"/>
  <c r="X1879" i="15"/>
  <c r="Y1878" i="15" s="1"/>
  <c r="X1880" i="15"/>
  <c r="Y1879" i="15" s="1"/>
  <c r="X1881" i="15"/>
  <c r="Y1880" i="15" s="1"/>
  <c r="X1882" i="15"/>
  <c r="Y1881" i="15" s="1"/>
  <c r="X1883" i="15"/>
  <c r="Y1882" i="15" s="1"/>
  <c r="X1884" i="15"/>
  <c r="Y1883" i="15" s="1"/>
  <c r="X1885" i="15"/>
  <c r="Y1884" i="15" s="1"/>
  <c r="X1886" i="15"/>
  <c r="Y1885" i="15" s="1"/>
  <c r="X1887" i="15"/>
  <c r="Y1886" i="15" s="1"/>
  <c r="X1888" i="15"/>
  <c r="Y1887" i="15" s="1"/>
  <c r="X1889" i="15"/>
  <c r="Y1888" i="15" s="1"/>
  <c r="X1890" i="15"/>
  <c r="Y1889" i="15" s="1"/>
  <c r="X1891" i="15"/>
  <c r="Y1890" i="15" s="1"/>
  <c r="X1892" i="15"/>
  <c r="Y1891" i="15" s="1"/>
  <c r="X1893" i="15"/>
  <c r="Y1892" i="15" s="1"/>
  <c r="X1894" i="15"/>
  <c r="Y1893" i="15" s="1"/>
  <c r="X1895" i="15"/>
  <c r="Y1894" i="15" s="1"/>
  <c r="X1896" i="15"/>
  <c r="Y1895" i="15" s="1"/>
  <c r="X1897" i="15"/>
  <c r="Y1896" i="15" s="1"/>
  <c r="X1898" i="15"/>
  <c r="Y1897" i="15" s="1"/>
  <c r="X1899" i="15"/>
  <c r="Y1898" i="15" s="1"/>
  <c r="X1900" i="15"/>
  <c r="Y1899" i="15" s="1"/>
  <c r="X1901" i="15"/>
  <c r="Y1900" i="15" s="1"/>
  <c r="X1902" i="15"/>
  <c r="Y1901" i="15" s="1"/>
  <c r="X1903" i="15"/>
  <c r="Y1902" i="15" s="1"/>
  <c r="X1904" i="15"/>
  <c r="Y1903" i="15" s="1"/>
  <c r="X1905" i="15"/>
  <c r="Y1904" i="15" s="1"/>
  <c r="X1906" i="15"/>
  <c r="Y1905" i="15" s="1"/>
  <c r="X1907" i="15"/>
  <c r="Y1906" i="15" s="1"/>
  <c r="X1908" i="15"/>
  <c r="Y1907" i="15" s="1"/>
  <c r="X1909" i="15"/>
  <c r="Y1908" i="15" s="1"/>
  <c r="X1910" i="15"/>
  <c r="Y1909" i="15" s="1"/>
  <c r="X1911" i="15"/>
  <c r="Y1910" i="15" s="1"/>
  <c r="X1912" i="15"/>
  <c r="Y1911" i="15" s="1"/>
  <c r="X1913" i="15"/>
  <c r="Y1912" i="15" s="1"/>
  <c r="X1914" i="15"/>
  <c r="Y1913" i="15" s="1"/>
  <c r="X1915" i="15"/>
  <c r="Y1914" i="15" s="1"/>
  <c r="X1916" i="15"/>
  <c r="Y1915" i="15" s="1"/>
  <c r="X1917" i="15"/>
  <c r="Y1916" i="15" s="1"/>
  <c r="X1918" i="15"/>
  <c r="Y1917" i="15" s="1"/>
  <c r="X1919" i="15"/>
  <c r="Y1918" i="15" s="1"/>
  <c r="X1920" i="15"/>
  <c r="Y1919" i="15" s="1"/>
  <c r="X1921" i="15"/>
  <c r="Y1920" i="15" s="1"/>
  <c r="X1922" i="15"/>
  <c r="Y1921" i="15" s="1"/>
  <c r="X1923" i="15"/>
  <c r="Y1922" i="15" s="1"/>
  <c r="X1924" i="15"/>
  <c r="Y1923" i="15" s="1"/>
  <c r="X1925" i="15"/>
  <c r="Y1924" i="15" s="1"/>
  <c r="X1926" i="15"/>
  <c r="Y1925" i="15" s="1"/>
  <c r="X1927" i="15"/>
  <c r="Y1926" i="15" s="1"/>
  <c r="X1928" i="15"/>
  <c r="Y1927" i="15" s="1"/>
  <c r="X1929" i="15"/>
  <c r="Y1928" i="15" s="1"/>
  <c r="X1930" i="15"/>
  <c r="Y1929" i="15" s="1"/>
  <c r="X1931" i="15"/>
  <c r="Y1930" i="15" s="1"/>
  <c r="X1932" i="15"/>
  <c r="Y1931" i="15" s="1"/>
  <c r="X1933" i="15"/>
  <c r="Y1932" i="15" s="1"/>
  <c r="X1934" i="15"/>
  <c r="Y1933" i="15" s="1"/>
  <c r="X1935" i="15"/>
  <c r="Y1934" i="15" s="1"/>
  <c r="X1936" i="15"/>
  <c r="Y1935" i="15" s="1"/>
  <c r="X1937" i="15"/>
  <c r="Y1936" i="15" s="1"/>
  <c r="X1938" i="15"/>
  <c r="Y1937" i="15" s="1"/>
  <c r="X1939" i="15"/>
  <c r="Y1938" i="15" s="1"/>
  <c r="X1940" i="15"/>
  <c r="Y1939" i="15" s="1"/>
  <c r="X1941" i="15"/>
  <c r="Y1940" i="15" s="1"/>
  <c r="X1942" i="15"/>
  <c r="Y1941" i="15" s="1"/>
  <c r="X1943" i="15"/>
  <c r="Y1942" i="15" s="1"/>
  <c r="X1944" i="15"/>
  <c r="Y1943" i="15" s="1"/>
  <c r="X1945" i="15"/>
  <c r="Y1944" i="15" s="1"/>
  <c r="X1946" i="15"/>
  <c r="Y1945" i="15" s="1"/>
  <c r="X1947" i="15"/>
  <c r="Y1946" i="15" s="1"/>
  <c r="X1948" i="15"/>
  <c r="Y1947" i="15" s="1"/>
  <c r="X1949" i="15"/>
  <c r="Y1948" i="15" s="1"/>
  <c r="X1950" i="15"/>
  <c r="Y1949" i="15" s="1"/>
  <c r="X1951" i="15"/>
  <c r="Y1950" i="15" s="1"/>
  <c r="X1952" i="15"/>
  <c r="Y1951" i="15" s="1"/>
  <c r="X1953" i="15"/>
  <c r="Y1952" i="15" s="1"/>
  <c r="X1954" i="15"/>
  <c r="Y1953" i="15" s="1"/>
  <c r="X1955" i="15"/>
  <c r="Y1954" i="15" s="1"/>
  <c r="X1956" i="15"/>
  <c r="Y1955" i="15" s="1"/>
  <c r="X1957" i="15"/>
  <c r="Y1956" i="15" s="1"/>
  <c r="X1958" i="15"/>
  <c r="Y1957" i="15" s="1"/>
  <c r="X1959" i="15"/>
  <c r="Y1958" i="15" s="1"/>
  <c r="X1960" i="15"/>
  <c r="Y1959" i="15" s="1"/>
  <c r="X1961" i="15"/>
  <c r="Y1960" i="15" s="1"/>
  <c r="X1962" i="15"/>
  <c r="Y1961" i="15" s="1"/>
  <c r="X1963" i="15"/>
  <c r="Y1962" i="15" s="1"/>
  <c r="X1964" i="15"/>
  <c r="Y1963" i="15" s="1"/>
  <c r="X1965" i="15"/>
  <c r="Y1964" i="15" s="1"/>
  <c r="X1966" i="15"/>
  <c r="Y1965" i="15" s="1"/>
  <c r="X1967" i="15"/>
  <c r="Y1966" i="15" s="1"/>
  <c r="X1968" i="15"/>
  <c r="Y1967" i="15" s="1"/>
  <c r="X1969" i="15"/>
  <c r="Y1968" i="15" s="1"/>
  <c r="X1970" i="15"/>
  <c r="Y1969" i="15" s="1"/>
  <c r="X1971" i="15"/>
  <c r="Y1970" i="15" s="1"/>
  <c r="X1972" i="15"/>
  <c r="Y1971" i="15" s="1"/>
  <c r="X1973" i="15"/>
  <c r="Y1972" i="15" s="1"/>
  <c r="X1974" i="15"/>
  <c r="Y1973" i="15" s="1"/>
  <c r="X1975" i="15"/>
  <c r="Y1974" i="15" s="1"/>
  <c r="X1976" i="15"/>
  <c r="Y1975" i="15" s="1"/>
  <c r="X1977" i="15"/>
  <c r="Y1976" i="15" s="1"/>
  <c r="X1978" i="15"/>
  <c r="Y1977" i="15" s="1"/>
  <c r="X1979" i="15"/>
  <c r="Y1978" i="15" s="1"/>
  <c r="X1980" i="15"/>
  <c r="Y1979" i="15" s="1"/>
  <c r="X1981" i="15"/>
  <c r="Y1980" i="15" s="1"/>
  <c r="X1982" i="15"/>
  <c r="Y1981" i="15" s="1"/>
  <c r="X1983" i="15"/>
  <c r="Y1982" i="15" s="1"/>
  <c r="X1984" i="15"/>
  <c r="Y1983" i="15" s="1"/>
  <c r="X1985" i="15"/>
  <c r="Y1984" i="15" s="1"/>
  <c r="X1986" i="15"/>
  <c r="Y1985" i="15" s="1"/>
  <c r="X1987" i="15"/>
  <c r="Y1986" i="15" s="1"/>
  <c r="X1988" i="15"/>
  <c r="Y1987" i="15" s="1"/>
  <c r="X1989" i="15"/>
  <c r="Y1988" i="15" s="1"/>
  <c r="X1990" i="15"/>
  <c r="Y1989" i="15" s="1"/>
  <c r="X1991" i="15"/>
  <c r="Y1990" i="15" s="1"/>
  <c r="X1992" i="15"/>
  <c r="Y1991" i="15" s="1"/>
  <c r="X1993" i="15"/>
  <c r="Y1992" i="15" s="1"/>
  <c r="X1994" i="15"/>
  <c r="Y1993" i="15" s="1"/>
  <c r="X1995" i="15"/>
  <c r="Y1994" i="15" s="1"/>
  <c r="X1996" i="15"/>
  <c r="Y1995" i="15" s="1"/>
  <c r="X1997" i="15"/>
  <c r="Y1996" i="15" s="1"/>
  <c r="X1998" i="15"/>
  <c r="Y1997" i="15" s="1"/>
  <c r="X1999" i="15"/>
  <c r="Y1998" i="15" s="1"/>
  <c r="X2000" i="15"/>
  <c r="Y1999" i="15" s="1"/>
  <c r="X2001" i="15"/>
  <c r="Y2000" i="15" s="1"/>
  <c r="X2002" i="15"/>
  <c r="Y2001" i="15" s="1"/>
  <c r="X2003" i="15"/>
  <c r="Y2002" i="15" s="1"/>
  <c r="X2004" i="15"/>
  <c r="Y2003" i="15" s="1"/>
  <c r="X2005" i="15"/>
  <c r="Y2004" i="15" s="1"/>
  <c r="X2006" i="15"/>
  <c r="Y2005" i="15" s="1"/>
  <c r="X2007" i="15"/>
  <c r="Y2006" i="15" s="1"/>
  <c r="X2008" i="15"/>
  <c r="Y2007" i="15" s="1"/>
  <c r="X2009" i="15"/>
  <c r="Y2008" i="15" s="1"/>
  <c r="X2010" i="15"/>
  <c r="Y2009" i="15" s="1"/>
  <c r="X2011" i="15"/>
  <c r="Y2010" i="15" s="1"/>
  <c r="X2012" i="15"/>
  <c r="Y2011" i="15" s="1"/>
  <c r="X2013" i="15"/>
  <c r="Y2012" i="15" s="1"/>
  <c r="X2014" i="15"/>
  <c r="Y2013" i="15" s="1"/>
  <c r="X2015" i="15"/>
  <c r="Y2014" i="15" s="1"/>
  <c r="X2016" i="15"/>
  <c r="Y2015" i="15" s="1"/>
  <c r="X2017" i="15"/>
  <c r="Y2016" i="15" s="1"/>
  <c r="X2018" i="15"/>
  <c r="Y2017" i="15" s="1"/>
  <c r="X2019" i="15"/>
  <c r="Y2018" i="15" s="1"/>
  <c r="X2020" i="15"/>
  <c r="Y2019" i="15" s="1"/>
  <c r="X2021" i="15"/>
  <c r="Y2020" i="15" s="1"/>
  <c r="X2022" i="15"/>
  <c r="Y2021" i="15" s="1"/>
  <c r="X2023" i="15"/>
  <c r="Y2022" i="15" s="1"/>
  <c r="X2024" i="15"/>
  <c r="Y2023" i="15" s="1"/>
  <c r="X2025" i="15"/>
  <c r="Y2024" i="15" s="1"/>
  <c r="X2026" i="15"/>
  <c r="Y2025" i="15" s="1"/>
  <c r="X2027" i="15"/>
  <c r="Y2026" i="15" s="1"/>
  <c r="X2028" i="15"/>
  <c r="Y2027" i="15" s="1"/>
  <c r="X2029" i="15"/>
  <c r="Y2028" i="15" s="1"/>
  <c r="X2030" i="15"/>
  <c r="Y2029" i="15" s="1"/>
  <c r="X2031" i="15"/>
  <c r="Y2030" i="15" s="1"/>
  <c r="X2032" i="15"/>
  <c r="Y2031" i="15" s="1"/>
  <c r="X2033" i="15"/>
  <c r="Y2032" i="15" s="1"/>
  <c r="X2034" i="15"/>
  <c r="Y2033" i="15" s="1"/>
  <c r="X2035" i="15"/>
  <c r="Y2034" i="15" s="1"/>
  <c r="X2036" i="15"/>
  <c r="Y2035" i="15" s="1"/>
  <c r="X2037" i="15"/>
  <c r="Y2036" i="15" s="1"/>
  <c r="X2038" i="15"/>
  <c r="Y2037" i="15" s="1"/>
  <c r="X2039" i="15"/>
  <c r="Y2038" i="15" s="1"/>
  <c r="X2040" i="15"/>
  <c r="Y2039" i="15" s="1"/>
  <c r="X2041" i="15"/>
  <c r="Y2040" i="15" s="1"/>
  <c r="X2042" i="15"/>
  <c r="Y2041" i="15" s="1"/>
  <c r="X2043" i="15"/>
  <c r="Y2042" i="15" s="1"/>
  <c r="X2044" i="15"/>
  <c r="Y2043" i="15" s="1"/>
  <c r="X2045" i="15"/>
  <c r="Y2044" i="15" s="1"/>
  <c r="X2046" i="15"/>
  <c r="Y2045" i="15" s="1"/>
  <c r="X2047" i="15"/>
  <c r="Y2046" i="15" s="1"/>
  <c r="X2048" i="15"/>
  <c r="Y2047" i="15" s="1"/>
  <c r="X2049" i="15"/>
  <c r="Y2048" i="15" s="1"/>
  <c r="X2050" i="15"/>
  <c r="Y2049" i="15" s="1"/>
  <c r="X2051" i="15"/>
  <c r="Y2050" i="15" s="1"/>
  <c r="X2052" i="15"/>
  <c r="Y2051" i="15" s="1"/>
  <c r="X2053" i="15"/>
  <c r="Y2052" i="15" s="1"/>
  <c r="X2054" i="15"/>
  <c r="Y2053" i="15" s="1"/>
  <c r="X2055" i="15"/>
  <c r="Y2054" i="15" s="1"/>
  <c r="X2056" i="15"/>
  <c r="Y2055" i="15" s="1"/>
  <c r="X2057" i="15"/>
  <c r="Y2056" i="15" s="1"/>
  <c r="X2058" i="15"/>
  <c r="Y2057" i="15" s="1"/>
  <c r="X2059" i="15"/>
  <c r="Y2058" i="15" s="1"/>
  <c r="X2060" i="15"/>
  <c r="Y2059" i="15" s="1"/>
  <c r="X2061" i="15"/>
  <c r="Y2060" i="15" s="1"/>
  <c r="X2062" i="15"/>
  <c r="Y2061" i="15" s="1"/>
  <c r="X2063" i="15"/>
  <c r="Y2062" i="15" s="1"/>
  <c r="X2064" i="15"/>
  <c r="Y2063" i="15" s="1"/>
  <c r="X2065" i="15"/>
  <c r="Y2064" i="15" s="1"/>
  <c r="X2066" i="15"/>
  <c r="Y2065" i="15" s="1"/>
  <c r="X2067" i="15"/>
  <c r="Y2066" i="15" s="1"/>
  <c r="X2068" i="15"/>
  <c r="Y2067" i="15" s="1"/>
  <c r="X2069" i="15"/>
  <c r="Y2068" i="15" s="1"/>
  <c r="X2070" i="15"/>
  <c r="Y2069" i="15" s="1"/>
  <c r="X2071" i="15"/>
  <c r="Y2070" i="15" s="1"/>
  <c r="X2072" i="15"/>
  <c r="Y2071" i="15" s="1"/>
  <c r="X2073" i="15"/>
  <c r="Y2072" i="15" s="1"/>
  <c r="X2074" i="15"/>
  <c r="Y2073" i="15" s="1"/>
  <c r="X2075" i="15"/>
  <c r="Y2074" i="15" s="1"/>
  <c r="X2076" i="15"/>
  <c r="Y2075" i="15" s="1"/>
  <c r="X2077" i="15"/>
  <c r="Y2076" i="15" s="1"/>
  <c r="X2078" i="15"/>
  <c r="Y2077" i="15" s="1"/>
  <c r="X2079" i="15"/>
  <c r="Y2078" i="15" s="1"/>
  <c r="X2080" i="15"/>
  <c r="Y2079" i="15" s="1"/>
  <c r="X2081" i="15"/>
  <c r="Y2080" i="15" s="1"/>
  <c r="X2082" i="15"/>
  <c r="Y2081" i="15" s="1"/>
  <c r="X2083" i="15"/>
  <c r="Y2082" i="15" s="1"/>
  <c r="X2084" i="15"/>
  <c r="Y2083" i="15" s="1"/>
  <c r="X2085" i="15"/>
  <c r="Y2084" i="15" s="1"/>
  <c r="X2086" i="15"/>
  <c r="Y2085" i="15" s="1"/>
  <c r="X2087" i="15"/>
  <c r="Y2086" i="15" s="1"/>
  <c r="X2088" i="15"/>
  <c r="Y2087" i="15" s="1"/>
  <c r="X2089" i="15"/>
  <c r="Y2088" i="15" s="1"/>
  <c r="X2090" i="15"/>
  <c r="Y2089" i="15" s="1"/>
  <c r="X2091" i="15"/>
  <c r="Y2090" i="15" s="1"/>
  <c r="X2092" i="15"/>
  <c r="Y2091" i="15" s="1"/>
  <c r="X2093" i="15"/>
  <c r="Y2092" i="15" s="1"/>
  <c r="X2094" i="15"/>
  <c r="Y2093" i="15" s="1"/>
  <c r="X2095" i="15"/>
  <c r="Y2094" i="15" s="1"/>
  <c r="X2096" i="15"/>
  <c r="Y2095" i="15" s="1"/>
  <c r="X2097" i="15"/>
  <c r="Y2096" i="15" s="1"/>
  <c r="X2098" i="15"/>
  <c r="Y2097" i="15" s="1"/>
  <c r="X2099" i="15"/>
  <c r="Y2098" i="15" s="1"/>
  <c r="X2100" i="15"/>
  <c r="Y2099" i="15" s="1"/>
  <c r="X2101" i="15"/>
  <c r="Y2100" i="15" s="1"/>
  <c r="X2102" i="15"/>
  <c r="Y2101" i="15" s="1"/>
  <c r="X2103" i="15"/>
  <c r="Y2102" i="15" s="1"/>
  <c r="X2104" i="15"/>
  <c r="Y2103" i="15" s="1"/>
  <c r="X2105" i="15"/>
  <c r="Y2104" i="15" s="1"/>
  <c r="X2106" i="15"/>
  <c r="Y2105" i="15" s="1"/>
  <c r="X2107" i="15"/>
  <c r="Y2106" i="15" s="1"/>
  <c r="X2108" i="15"/>
  <c r="Y2107" i="15" s="1"/>
  <c r="X2109" i="15"/>
  <c r="Y2108" i="15" s="1"/>
  <c r="X2110" i="15"/>
  <c r="Y2109" i="15" s="1"/>
  <c r="X2111" i="15"/>
  <c r="Y2110" i="15" s="1"/>
  <c r="X2112" i="15"/>
  <c r="Y2111" i="15" s="1"/>
  <c r="X2113" i="15"/>
  <c r="Y2112" i="15" s="1"/>
  <c r="X2114" i="15"/>
  <c r="Y2113" i="15" s="1"/>
  <c r="X2115" i="15"/>
  <c r="Y2114" i="15" s="1"/>
  <c r="X2116" i="15"/>
  <c r="Y2115" i="15" s="1"/>
  <c r="X2117" i="15"/>
  <c r="Y2116" i="15" s="1"/>
  <c r="X2118" i="15"/>
  <c r="Y2117" i="15" s="1"/>
  <c r="X2119" i="15"/>
  <c r="Y2118" i="15" s="1"/>
  <c r="X2120" i="15"/>
  <c r="Y2119" i="15" s="1"/>
  <c r="X2121" i="15"/>
  <c r="Y2120" i="15" s="1"/>
  <c r="X2122" i="15"/>
  <c r="Y2121" i="15" s="1"/>
  <c r="X2123" i="15"/>
  <c r="Y2122" i="15" s="1"/>
  <c r="X2124" i="15"/>
  <c r="Y2123" i="15" s="1"/>
  <c r="X2125" i="15"/>
  <c r="Y2124" i="15" s="1"/>
  <c r="X2126" i="15"/>
  <c r="Y2125" i="15" s="1"/>
  <c r="X2127" i="15"/>
  <c r="Y2126" i="15" s="1"/>
  <c r="X2128" i="15"/>
  <c r="Y2127" i="15" s="1"/>
  <c r="X2129" i="15"/>
  <c r="Y2128" i="15" s="1"/>
  <c r="X2130" i="15"/>
  <c r="Y2129" i="15" s="1"/>
  <c r="X2131" i="15"/>
  <c r="Y2130" i="15" s="1"/>
  <c r="X2132" i="15"/>
  <c r="Y2131" i="15" s="1"/>
  <c r="X2133" i="15"/>
  <c r="Y2132" i="15" s="1"/>
  <c r="X2134" i="15"/>
  <c r="Y2133" i="15" s="1"/>
  <c r="X2135" i="15"/>
  <c r="Y2134" i="15" s="1"/>
  <c r="X2136" i="15"/>
  <c r="Y2135" i="15" s="1"/>
  <c r="X2137" i="15"/>
  <c r="Y2136" i="15" s="1"/>
  <c r="X2138" i="15"/>
  <c r="Y2137" i="15" s="1"/>
  <c r="X2139" i="15"/>
  <c r="Y2138" i="15" s="1"/>
  <c r="X2140" i="15"/>
  <c r="Y2139" i="15" s="1"/>
  <c r="X2141" i="15"/>
  <c r="Y2140" i="15" s="1"/>
  <c r="X2142" i="15"/>
  <c r="Y2141" i="15" s="1"/>
  <c r="X2143" i="15"/>
  <c r="Y2142" i="15" s="1"/>
  <c r="X2144" i="15"/>
  <c r="Y2143" i="15" s="1"/>
  <c r="X2145" i="15"/>
  <c r="Y2144" i="15" s="1"/>
  <c r="X2146" i="15"/>
  <c r="Y2145" i="15" s="1"/>
  <c r="X2147" i="15"/>
  <c r="Y2146" i="15" s="1"/>
  <c r="X2148" i="15"/>
  <c r="Y2147" i="15" s="1"/>
  <c r="X2149" i="15"/>
  <c r="Y2148" i="15" s="1"/>
  <c r="X2150" i="15"/>
  <c r="Y2149" i="15" s="1"/>
  <c r="X2151" i="15"/>
  <c r="Y2150" i="15" s="1"/>
  <c r="X2152" i="15"/>
  <c r="Y2151" i="15" s="1"/>
  <c r="X2153" i="15"/>
  <c r="Y2152" i="15" s="1"/>
  <c r="X2154" i="15"/>
  <c r="Y2153" i="15" s="1"/>
  <c r="X2155" i="15"/>
  <c r="Y2154" i="15" s="1"/>
  <c r="X2156" i="15"/>
  <c r="Y2155" i="15" s="1"/>
  <c r="X2157" i="15"/>
  <c r="Y2156" i="15" s="1"/>
  <c r="X2158" i="15"/>
  <c r="Y2157" i="15" s="1"/>
  <c r="X2159" i="15"/>
  <c r="Y2158" i="15" s="1"/>
  <c r="X2160" i="15"/>
  <c r="Y2159" i="15" s="1"/>
  <c r="X2161" i="15"/>
  <c r="Y2160" i="15" s="1"/>
  <c r="X2162" i="15"/>
  <c r="Y2161" i="15" s="1"/>
  <c r="X2163" i="15"/>
  <c r="Y2162" i="15" s="1"/>
  <c r="X2164" i="15"/>
  <c r="Y2163" i="15" s="1"/>
  <c r="X2165" i="15"/>
  <c r="Y2164" i="15" s="1"/>
  <c r="X2166" i="15"/>
  <c r="Y2165" i="15" s="1"/>
  <c r="X2167" i="15"/>
  <c r="Y2166" i="15" s="1"/>
  <c r="X2168" i="15"/>
  <c r="Y2167" i="15" s="1"/>
  <c r="X2169" i="15"/>
  <c r="Y2168" i="15" s="1"/>
  <c r="X2170" i="15"/>
  <c r="Y2169" i="15" s="1"/>
  <c r="X2171" i="15"/>
  <c r="Y2170" i="15" s="1"/>
  <c r="X2172" i="15"/>
  <c r="Y2171" i="15" s="1"/>
  <c r="X2173" i="15"/>
  <c r="Y2172" i="15" s="1"/>
  <c r="X2174" i="15"/>
  <c r="Y2173" i="15" s="1"/>
  <c r="X2175" i="15"/>
  <c r="Y2174" i="15" s="1"/>
  <c r="X2176" i="15"/>
  <c r="Y2175" i="15" s="1"/>
  <c r="X2177" i="15"/>
  <c r="Y2176" i="15" s="1"/>
  <c r="X2178" i="15"/>
  <c r="Y2177" i="15" s="1"/>
  <c r="X2179" i="15"/>
  <c r="Y2178" i="15" s="1"/>
  <c r="X2180" i="15"/>
  <c r="Y2179" i="15" s="1"/>
  <c r="X2181" i="15"/>
  <c r="Y2180" i="15" s="1"/>
  <c r="X2182" i="15"/>
  <c r="Y2181" i="15" s="1"/>
  <c r="X2183" i="15"/>
  <c r="Y2182" i="15" s="1"/>
  <c r="X2184" i="15"/>
  <c r="Y2183" i="15" s="1"/>
  <c r="X2185" i="15"/>
  <c r="Y2184" i="15" s="1"/>
  <c r="X2186" i="15"/>
  <c r="Y2185" i="15" s="1"/>
  <c r="X2187" i="15"/>
  <c r="Y2186" i="15" s="1"/>
  <c r="X2188" i="15"/>
  <c r="Y2187" i="15" s="1"/>
  <c r="X2189" i="15"/>
  <c r="Y2188" i="15" s="1"/>
  <c r="X2190" i="15"/>
  <c r="Y2189" i="15" s="1"/>
  <c r="X2191" i="15"/>
  <c r="Y2190" i="15" s="1"/>
  <c r="X2192" i="15"/>
  <c r="Y2191" i="15" s="1"/>
  <c r="X2193" i="15"/>
  <c r="Y2192" i="15" s="1"/>
  <c r="X2194" i="15"/>
  <c r="Y2193" i="15" s="1"/>
  <c r="X2195" i="15"/>
  <c r="Y2194" i="15" s="1"/>
  <c r="X2196" i="15"/>
  <c r="Y2195" i="15" s="1"/>
  <c r="X2197" i="15"/>
  <c r="Y2196" i="15" s="1"/>
  <c r="X2198" i="15"/>
  <c r="Y2197" i="15" s="1"/>
  <c r="X2199" i="15"/>
  <c r="Y2198" i="15" s="1"/>
  <c r="X2200" i="15"/>
  <c r="Y2199" i="15" s="1"/>
  <c r="X2201" i="15"/>
  <c r="Y2200" i="15" s="1"/>
  <c r="X2202" i="15"/>
  <c r="Y2201" i="15" s="1"/>
  <c r="X2203" i="15"/>
  <c r="Y2202" i="15" s="1"/>
  <c r="X2204" i="15"/>
  <c r="Y2203" i="15" s="1"/>
  <c r="X2205" i="15"/>
  <c r="Y2204" i="15" s="1"/>
  <c r="X2206" i="15"/>
  <c r="Y2205" i="15" s="1"/>
  <c r="X2207" i="15"/>
  <c r="Y2206" i="15" s="1"/>
  <c r="X2208" i="15"/>
  <c r="Y2207" i="15" s="1"/>
  <c r="X2209" i="15"/>
  <c r="Y2208" i="15" s="1"/>
  <c r="X2210" i="15"/>
  <c r="Y2209" i="15" s="1"/>
  <c r="X2211" i="15"/>
  <c r="Y2210" i="15" s="1"/>
  <c r="X2212" i="15"/>
  <c r="Y2211" i="15" s="1"/>
  <c r="X2213" i="15"/>
  <c r="Y2212" i="15" s="1"/>
  <c r="X2214" i="15"/>
  <c r="Y2213" i="15" s="1"/>
  <c r="X2215" i="15"/>
  <c r="Y2214" i="15" s="1"/>
  <c r="X2216" i="15"/>
  <c r="Y2215" i="15" s="1"/>
  <c r="X2217" i="15"/>
  <c r="Y2216" i="15" s="1"/>
  <c r="X2218" i="15"/>
  <c r="Y2217" i="15" s="1"/>
  <c r="X2219" i="15"/>
  <c r="Y2218" i="15" s="1"/>
  <c r="X2220" i="15"/>
  <c r="Y2219" i="15" s="1"/>
  <c r="X2221" i="15"/>
  <c r="Y2220" i="15" s="1"/>
  <c r="X2222" i="15"/>
  <c r="Y2221" i="15" s="1"/>
  <c r="X2223" i="15"/>
  <c r="Y2222" i="15" s="1"/>
  <c r="X2224" i="15"/>
  <c r="Y2223" i="15" s="1"/>
  <c r="X2225" i="15"/>
  <c r="Y2224" i="15" s="1"/>
  <c r="X2226" i="15"/>
  <c r="Y2225" i="15" s="1"/>
  <c r="X2227" i="15"/>
  <c r="Y2226" i="15" s="1"/>
  <c r="X2228" i="15"/>
  <c r="Y2227" i="15" s="1"/>
  <c r="X2229" i="15"/>
  <c r="Y2228" i="15" s="1"/>
  <c r="X2230" i="15"/>
  <c r="Y2229" i="15" s="1"/>
  <c r="X2231" i="15"/>
  <c r="Y2230" i="15" s="1"/>
  <c r="X2232" i="15"/>
  <c r="Y2231" i="15" s="1"/>
  <c r="X2233" i="15"/>
  <c r="Y2232" i="15" s="1"/>
  <c r="X2234" i="15"/>
  <c r="Y2233" i="15" s="1"/>
  <c r="X2235" i="15"/>
  <c r="Y2234" i="15" s="1"/>
  <c r="X2236" i="15"/>
  <c r="Y2235" i="15" s="1"/>
  <c r="X2237" i="15"/>
  <c r="Y2236" i="15" s="1"/>
  <c r="X2238" i="15"/>
  <c r="Y2237" i="15" s="1"/>
  <c r="X2239" i="15"/>
  <c r="Y2238" i="15" s="1"/>
  <c r="X2240" i="15"/>
  <c r="Y2239" i="15" s="1"/>
  <c r="X2241" i="15"/>
  <c r="Y2240" i="15" s="1"/>
  <c r="X2242" i="15"/>
  <c r="Y2241" i="15" s="1"/>
  <c r="X2243" i="15"/>
  <c r="Y2242" i="15" s="1"/>
  <c r="X2244" i="15"/>
  <c r="Y2243" i="15" s="1"/>
  <c r="X2245" i="15"/>
  <c r="Y2244" i="15" s="1"/>
  <c r="X2246" i="15"/>
  <c r="Y2245" i="15" s="1"/>
  <c r="X2247" i="15"/>
  <c r="Y2246" i="15" s="1"/>
  <c r="X2248" i="15"/>
  <c r="Y2247" i="15" s="1"/>
  <c r="X2249" i="15"/>
  <c r="Y2248" i="15" s="1"/>
  <c r="X2250" i="15"/>
  <c r="Y2249" i="15" s="1"/>
  <c r="X2251" i="15"/>
  <c r="Y2250" i="15" s="1"/>
  <c r="X2252" i="15"/>
  <c r="Y2251" i="15" s="1"/>
  <c r="X2253" i="15"/>
  <c r="Y2252" i="15" s="1"/>
  <c r="X2254" i="15"/>
  <c r="Y2253" i="15" s="1"/>
  <c r="X2255" i="15"/>
  <c r="Y2254" i="15" s="1"/>
  <c r="X2256" i="15"/>
  <c r="Y2255" i="15" s="1"/>
  <c r="X2257" i="15"/>
  <c r="Y2256" i="15" s="1"/>
  <c r="X2258" i="15"/>
  <c r="Y2257" i="15" s="1"/>
  <c r="X2259" i="15"/>
  <c r="Y2258" i="15" s="1"/>
  <c r="X2260" i="15"/>
  <c r="Y2259" i="15" s="1"/>
  <c r="X2261" i="15"/>
  <c r="Y2260" i="15" s="1"/>
  <c r="X2262" i="15"/>
  <c r="Y2261" i="15" s="1"/>
  <c r="X2263" i="15"/>
  <c r="Y2262" i="15" s="1"/>
  <c r="X2264" i="15"/>
  <c r="Y2263" i="15" s="1"/>
  <c r="X2265" i="15"/>
  <c r="Y2264" i="15" s="1"/>
  <c r="X2266" i="15"/>
  <c r="Y2265" i="15" s="1"/>
  <c r="X2267" i="15"/>
  <c r="Y2266" i="15" s="1"/>
  <c r="X2268" i="15"/>
  <c r="Y2267" i="15" s="1"/>
  <c r="X2269" i="15"/>
  <c r="Y2268" i="15" s="1"/>
  <c r="X2270" i="15"/>
  <c r="Y2269" i="15" s="1"/>
  <c r="X2271" i="15"/>
  <c r="Y2270" i="15" s="1"/>
  <c r="X2272" i="15"/>
  <c r="Y2271" i="15" s="1"/>
  <c r="X2273" i="15"/>
  <c r="Y2272" i="15" s="1"/>
  <c r="X2274" i="15"/>
  <c r="Y2273" i="15" s="1"/>
  <c r="X2275" i="15"/>
  <c r="Y2274" i="15" s="1"/>
  <c r="X2276" i="15"/>
  <c r="Y2275" i="15" s="1"/>
  <c r="X2277" i="15"/>
  <c r="Y2276" i="15" s="1"/>
  <c r="X2278" i="15"/>
  <c r="Y2277" i="15" s="1"/>
  <c r="X2279" i="15"/>
  <c r="Y2278" i="15" s="1"/>
  <c r="X2280" i="15"/>
  <c r="Y2279" i="15" s="1"/>
  <c r="X2281" i="15"/>
  <c r="Y2280" i="15" s="1"/>
  <c r="X2282" i="15"/>
  <c r="Y2281" i="15" s="1"/>
  <c r="X2283" i="15"/>
  <c r="Y2282" i="15" s="1"/>
  <c r="X2284" i="15"/>
  <c r="Y2283" i="15" s="1"/>
  <c r="X2285" i="15"/>
  <c r="Y2284" i="15" s="1"/>
  <c r="X2286" i="15"/>
  <c r="Y2285" i="15" s="1"/>
  <c r="X2287" i="15"/>
  <c r="Y2286" i="15" s="1"/>
  <c r="X2288" i="15"/>
  <c r="Y2287" i="15" s="1"/>
  <c r="X2289" i="15"/>
  <c r="Y2288" i="15" s="1"/>
  <c r="X2290" i="15"/>
  <c r="Y2289" i="15" s="1"/>
  <c r="X2291" i="15"/>
  <c r="Y2290" i="15" s="1"/>
  <c r="X2292" i="15"/>
  <c r="Y2291" i="15" s="1"/>
  <c r="X2293" i="15"/>
  <c r="Y2292" i="15" s="1"/>
  <c r="X2294" i="15"/>
  <c r="Y2293" i="15" s="1"/>
  <c r="X2295" i="15"/>
  <c r="Y2294" i="15" s="1"/>
  <c r="X2296" i="15"/>
  <c r="Y2295" i="15" s="1"/>
  <c r="X2297" i="15"/>
  <c r="Y2296" i="15" s="1"/>
  <c r="X2298" i="15"/>
  <c r="Y2297" i="15" s="1"/>
  <c r="X2299" i="15"/>
  <c r="Y2298" i="15" s="1"/>
  <c r="X2300" i="15"/>
  <c r="Y2299" i="15" s="1"/>
  <c r="X2301" i="15"/>
  <c r="Y2300" i="15" s="1"/>
  <c r="X2302" i="15"/>
  <c r="Y2301" i="15" s="1"/>
  <c r="X2303" i="15"/>
  <c r="Y2302" i="15" s="1"/>
  <c r="X2304" i="15"/>
  <c r="Y2303" i="15" s="1"/>
  <c r="X2305" i="15"/>
  <c r="Y2304" i="15" s="1"/>
  <c r="X2306" i="15"/>
  <c r="Y2305" i="15" s="1"/>
  <c r="X2307" i="15"/>
  <c r="Y2306" i="15" s="1"/>
  <c r="X2308" i="15"/>
  <c r="Y2307" i="15" s="1"/>
  <c r="X2309" i="15"/>
  <c r="Y2308" i="15" s="1"/>
  <c r="X2310" i="15"/>
  <c r="Y2309" i="15" s="1"/>
  <c r="X2311" i="15"/>
  <c r="Y2310" i="15" s="1"/>
  <c r="X2312" i="15"/>
  <c r="Y2311" i="15" s="1"/>
  <c r="X2313" i="15"/>
  <c r="Y2312" i="15" s="1"/>
  <c r="X2314" i="15"/>
  <c r="Y2313" i="15" s="1"/>
  <c r="X2315" i="15"/>
  <c r="Y2314" i="15" s="1"/>
  <c r="X2316" i="15"/>
  <c r="Y2315" i="15" s="1"/>
  <c r="X2317" i="15"/>
  <c r="Y2316" i="15" s="1"/>
  <c r="X2318" i="15"/>
  <c r="Y2317" i="15" s="1"/>
  <c r="X2319" i="15"/>
  <c r="Y2318" i="15" s="1"/>
  <c r="X2320" i="15"/>
  <c r="Y2319" i="15" s="1"/>
  <c r="X2321" i="15"/>
  <c r="Y2320" i="15" s="1"/>
  <c r="X2322" i="15"/>
  <c r="Y2321" i="15" s="1"/>
  <c r="X2323" i="15"/>
  <c r="Y2322" i="15" s="1"/>
  <c r="X2324" i="15"/>
  <c r="Y2323" i="15" s="1"/>
  <c r="X2325" i="15"/>
  <c r="Y2324" i="15" s="1"/>
  <c r="X2326" i="15"/>
  <c r="Y2325" i="15" s="1"/>
  <c r="X2327" i="15"/>
  <c r="Y2326" i="15" s="1"/>
  <c r="X2328" i="15"/>
  <c r="Y2327" i="15" s="1"/>
  <c r="X2329" i="15"/>
  <c r="Y2328" i="15" s="1"/>
  <c r="X2330" i="15"/>
  <c r="Y2329" i="15" s="1"/>
  <c r="X2331" i="15"/>
  <c r="Y2330" i="15" s="1"/>
  <c r="X2332" i="15"/>
  <c r="Y2331" i="15" s="1"/>
  <c r="X2333" i="15"/>
  <c r="Y2332" i="15" s="1"/>
  <c r="X2334" i="15"/>
  <c r="Y2333" i="15" s="1"/>
  <c r="X2335" i="15"/>
  <c r="Y2334" i="15" s="1"/>
  <c r="X2336" i="15"/>
  <c r="Y2335" i="15" s="1"/>
  <c r="X2337" i="15"/>
  <c r="Y2336" i="15" s="1"/>
  <c r="X2338" i="15"/>
  <c r="Y2337" i="15" s="1"/>
  <c r="X2339" i="15"/>
  <c r="Y2338" i="15" s="1"/>
  <c r="X2340" i="15"/>
  <c r="Y2339" i="15" s="1"/>
  <c r="X2341" i="15"/>
  <c r="Y2340" i="15" s="1"/>
  <c r="X2342" i="15"/>
  <c r="Y2341" i="15" s="1"/>
  <c r="X2343" i="15"/>
  <c r="Y2342" i="15" s="1"/>
  <c r="X2344" i="15"/>
  <c r="Y2343" i="15" s="1"/>
  <c r="X2345" i="15"/>
  <c r="Y2344" i="15" s="1"/>
  <c r="X2346" i="15"/>
  <c r="Y2345" i="15" s="1"/>
  <c r="X2347" i="15"/>
  <c r="Y2346" i="15" s="1"/>
  <c r="X2348" i="15"/>
  <c r="Y2347" i="15" s="1"/>
  <c r="X2349" i="15"/>
  <c r="Y2348" i="15" s="1"/>
  <c r="X2350" i="15"/>
  <c r="Y2349" i="15" s="1"/>
  <c r="X2351" i="15"/>
  <c r="Y2350" i="15" s="1"/>
  <c r="X2352" i="15"/>
  <c r="Y2351" i="15" s="1"/>
  <c r="X2353" i="15"/>
  <c r="Y2352" i="15" s="1"/>
  <c r="X2354" i="15"/>
  <c r="Y2353" i="15" s="1"/>
  <c r="X2355" i="15"/>
  <c r="Y2354" i="15" s="1"/>
  <c r="X2356" i="15"/>
  <c r="Y2355" i="15" s="1"/>
  <c r="X2357" i="15"/>
  <c r="Y2356" i="15" s="1"/>
  <c r="X2358" i="15"/>
  <c r="Y2357" i="15" s="1"/>
  <c r="X2359" i="15"/>
  <c r="Y2358" i="15" s="1"/>
  <c r="X2360" i="15"/>
  <c r="Y2359" i="15" s="1"/>
  <c r="X2361" i="15"/>
  <c r="Y2360" i="15" s="1"/>
  <c r="X2362" i="15"/>
  <c r="Y2361" i="15" s="1"/>
  <c r="X2363" i="15"/>
  <c r="Y2362" i="15" s="1"/>
  <c r="X2364" i="15"/>
  <c r="Y2363" i="15" s="1"/>
  <c r="X2365" i="15"/>
  <c r="Y2364" i="15" s="1"/>
  <c r="X2366" i="15"/>
  <c r="Y2365" i="15" s="1"/>
  <c r="X2367" i="15"/>
  <c r="Y2366" i="15" s="1"/>
  <c r="X2368" i="15"/>
  <c r="Y2367" i="15" s="1"/>
  <c r="X2369" i="15"/>
  <c r="Y2368" i="15" s="1"/>
  <c r="X2370" i="15"/>
  <c r="Y2369" i="15" s="1"/>
  <c r="X2371" i="15"/>
  <c r="Y2370" i="15" s="1"/>
  <c r="X2372" i="15"/>
  <c r="Y2371" i="15" s="1"/>
  <c r="X2373" i="15"/>
  <c r="Y2372" i="15" s="1"/>
  <c r="X2374" i="15"/>
  <c r="Y2373" i="15" s="1"/>
  <c r="X2375" i="15"/>
  <c r="Y2374" i="15" s="1"/>
  <c r="X2376" i="15"/>
  <c r="Y2375" i="15" s="1"/>
  <c r="X2377" i="15"/>
  <c r="Y2376" i="15" s="1"/>
  <c r="X2378" i="15"/>
  <c r="Y2377" i="15" s="1"/>
  <c r="X2379" i="15"/>
  <c r="Y2378" i="15" s="1"/>
  <c r="X2380" i="15"/>
  <c r="Y2379" i="15" s="1"/>
  <c r="X2381" i="15"/>
  <c r="Y2380" i="15" s="1"/>
  <c r="X2382" i="15"/>
  <c r="Y2381" i="15" s="1"/>
  <c r="X2383" i="15"/>
  <c r="Y2382" i="15" s="1"/>
  <c r="X2384" i="15"/>
  <c r="Y2383" i="15" s="1"/>
  <c r="X2385" i="15"/>
  <c r="Y2384" i="15" s="1"/>
  <c r="X2386" i="15"/>
  <c r="Y2385" i="15" s="1"/>
  <c r="X2387" i="15"/>
  <c r="Y2386" i="15" s="1"/>
  <c r="X2388" i="15"/>
  <c r="Y2387" i="15" s="1"/>
  <c r="X2389" i="15"/>
  <c r="Y2388" i="15" s="1"/>
  <c r="X2390" i="15"/>
  <c r="Y2389" i="15" s="1"/>
  <c r="X2391" i="15"/>
  <c r="Y2390" i="15" s="1"/>
  <c r="X2392" i="15"/>
  <c r="Y2391" i="15" s="1"/>
  <c r="X2393" i="15"/>
  <c r="Y2392" i="15" s="1"/>
  <c r="X2394" i="15"/>
  <c r="Y2393" i="15" s="1"/>
  <c r="X2395" i="15"/>
  <c r="Y2394" i="15" s="1"/>
  <c r="X2396" i="15"/>
  <c r="Y2395" i="15" s="1"/>
  <c r="X2397" i="15"/>
  <c r="Y2396" i="15" s="1"/>
  <c r="X2398" i="15"/>
  <c r="Y2397" i="15" s="1"/>
  <c r="X2399" i="15"/>
  <c r="Y2398" i="15" s="1"/>
  <c r="X2400" i="15"/>
  <c r="Y2399" i="15" s="1"/>
  <c r="X2401" i="15"/>
  <c r="Y2400" i="15" s="1"/>
  <c r="X2402" i="15"/>
  <c r="Y2401" i="15" s="1"/>
  <c r="X2403" i="15"/>
  <c r="Y2402" i="15" s="1"/>
  <c r="X2404" i="15"/>
  <c r="Y2403" i="15" s="1"/>
  <c r="X2405" i="15"/>
  <c r="Y2404" i="15" s="1"/>
  <c r="X2406" i="15"/>
  <c r="Y2405" i="15" s="1"/>
  <c r="X2407" i="15"/>
  <c r="Y2406" i="15" s="1"/>
  <c r="X2408" i="15"/>
  <c r="Y2407" i="15" s="1"/>
  <c r="X2409" i="15"/>
  <c r="Y2408" i="15" s="1"/>
  <c r="X2410" i="15"/>
  <c r="Y2409" i="15" s="1"/>
  <c r="X2411" i="15"/>
  <c r="Y2410" i="15" s="1"/>
  <c r="X2412" i="15"/>
  <c r="Y2411" i="15" s="1"/>
  <c r="X2413" i="15"/>
  <c r="Y2412" i="15" s="1"/>
  <c r="X2414" i="15"/>
  <c r="Y2413" i="15" s="1"/>
  <c r="X2415" i="15"/>
  <c r="Y2414" i="15" s="1"/>
  <c r="X2416" i="15"/>
  <c r="Y2415" i="15" s="1"/>
  <c r="X2417" i="15"/>
  <c r="Y2416" i="15" s="1"/>
  <c r="X2418" i="15"/>
  <c r="Y2417" i="15" s="1"/>
  <c r="X2419" i="15"/>
  <c r="Y2418" i="15" s="1"/>
  <c r="X2420" i="15"/>
  <c r="Y2419" i="15" s="1"/>
  <c r="X2421" i="15"/>
  <c r="Y2420" i="15" s="1"/>
  <c r="X2422" i="15"/>
  <c r="Y2421" i="15" s="1"/>
  <c r="X2423" i="15"/>
  <c r="Y2422" i="15" s="1"/>
  <c r="X2424" i="15"/>
  <c r="Y2423" i="15" s="1"/>
  <c r="X2425" i="15"/>
  <c r="Y2424" i="15" s="1"/>
  <c r="X2426" i="15"/>
  <c r="Y2425" i="15" s="1"/>
  <c r="X2427" i="15"/>
  <c r="Y2426" i="15" s="1"/>
  <c r="X2428" i="15"/>
  <c r="Y2427" i="15" s="1"/>
  <c r="X2429" i="15"/>
  <c r="Y2428" i="15" s="1"/>
  <c r="X2430" i="15"/>
  <c r="Y2429" i="15" s="1"/>
  <c r="X2431" i="15"/>
  <c r="Y2430" i="15" s="1"/>
  <c r="X2432" i="15"/>
  <c r="Y2431" i="15" s="1"/>
  <c r="X2433" i="15"/>
  <c r="Y2432" i="15" s="1"/>
  <c r="X2434" i="15"/>
  <c r="Y2433" i="15" s="1"/>
  <c r="X2435" i="15"/>
  <c r="Y2434" i="15" s="1"/>
  <c r="X2436" i="15"/>
  <c r="Y2435" i="15" s="1"/>
  <c r="X2437" i="15"/>
  <c r="Y2436" i="15" s="1"/>
  <c r="X2438" i="15"/>
  <c r="Y2437" i="15" s="1"/>
  <c r="X2439" i="15"/>
  <c r="Y2438" i="15" s="1"/>
  <c r="X2440" i="15"/>
  <c r="Y2439" i="15" s="1"/>
  <c r="X2441" i="15"/>
  <c r="Y2440" i="15" s="1"/>
  <c r="X2442" i="15"/>
  <c r="Y2441" i="15" s="1"/>
  <c r="X2443" i="15"/>
  <c r="Y2442" i="15" s="1"/>
  <c r="X2444" i="15"/>
  <c r="Y2443" i="15" s="1"/>
  <c r="X2445" i="15"/>
  <c r="Y2444" i="15" s="1"/>
  <c r="X2446" i="15"/>
  <c r="Y2445" i="15" s="1"/>
  <c r="X2447" i="15"/>
  <c r="Y2446" i="15" s="1"/>
  <c r="X2448" i="15"/>
  <c r="Y2447" i="15" s="1"/>
  <c r="X2449" i="15"/>
  <c r="Y2448" i="15" s="1"/>
  <c r="X2450" i="15"/>
  <c r="Y2449" i="15" s="1"/>
  <c r="X2451" i="15"/>
  <c r="Y2450" i="15" s="1"/>
  <c r="X2452" i="15"/>
  <c r="Y2451" i="15" s="1"/>
  <c r="X2453" i="15"/>
  <c r="Y2452" i="15" s="1"/>
  <c r="X2454" i="15"/>
  <c r="Y2453" i="15" s="1"/>
  <c r="X2455" i="15"/>
  <c r="Y2454" i="15" s="1"/>
  <c r="X2456" i="15"/>
  <c r="Y2455" i="15" s="1"/>
  <c r="X2457" i="15"/>
  <c r="Y2456" i="15" s="1"/>
  <c r="X2458" i="15"/>
  <c r="Y2457" i="15" s="1"/>
  <c r="X2459" i="15"/>
  <c r="Y2458" i="15" s="1"/>
  <c r="X2460" i="15"/>
  <c r="Y2459" i="15" s="1"/>
  <c r="X2461" i="15"/>
  <c r="Y2460" i="15" s="1"/>
  <c r="X2462" i="15"/>
  <c r="Y2461" i="15" s="1"/>
  <c r="X2463" i="15"/>
  <c r="Y2462" i="15" s="1"/>
  <c r="X2464" i="15"/>
  <c r="Y2463" i="15" s="1"/>
  <c r="X2465" i="15"/>
  <c r="Y2464" i="15" s="1"/>
  <c r="X2466" i="15"/>
  <c r="Y2465" i="15" s="1"/>
  <c r="X2467" i="15"/>
  <c r="Y2466" i="15" s="1"/>
  <c r="X2468" i="15"/>
  <c r="Y2467" i="15" s="1"/>
  <c r="X2469" i="15"/>
  <c r="Y2468" i="15" s="1"/>
  <c r="X2470" i="15"/>
  <c r="Y2469" i="15" s="1"/>
  <c r="X2471" i="15"/>
  <c r="Y2470" i="15" s="1"/>
  <c r="X2472" i="15"/>
  <c r="Y2471" i="15" s="1"/>
  <c r="X2473" i="15"/>
  <c r="Y2472" i="15" s="1"/>
  <c r="X2474" i="15"/>
  <c r="Y2473" i="15" s="1"/>
  <c r="X2475" i="15"/>
  <c r="Y2474" i="15" s="1"/>
  <c r="X2476" i="15"/>
  <c r="Y2475" i="15" s="1"/>
  <c r="X2477" i="15"/>
  <c r="Y2476" i="15" s="1"/>
  <c r="X2478" i="15"/>
  <c r="Y2477" i="15" s="1"/>
  <c r="X2479" i="15"/>
  <c r="Y2478" i="15" s="1"/>
  <c r="X2480" i="15"/>
  <c r="Y2479" i="15" s="1"/>
  <c r="X2481" i="15"/>
  <c r="Y2480" i="15" s="1"/>
  <c r="X2482" i="15"/>
  <c r="Y2481" i="15" s="1"/>
  <c r="X2483" i="15"/>
  <c r="Y2482" i="15" s="1"/>
  <c r="X2484" i="15"/>
  <c r="Y2483" i="15" s="1"/>
  <c r="X2485" i="15"/>
  <c r="Y2484" i="15" s="1"/>
  <c r="X2486" i="15"/>
  <c r="Y2485" i="15" s="1"/>
  <c r="X2487" i="15"/>
  <c r="Y2486" i="15" s="1"/>
  <c r="X2488" i="15"/>
  <c r="Y2487" i="15" s="1"/>
  <c r="X2489" i="15"/>
  <c r="Y2488" i="15" s="1"/>
  <c r="X2490" i="15"/>
  <c r="Y2489" i="15" s="1"/>
  <c r="X2491" i="15"/>
  <c r="Y2490" i="15" s="1"/>
  <c r="X2492" i="15"/>
  <c r="Y2491" i="15" s="1"/>
  <c r="X2493" i="15"/>
  <c r="Y2492" i="15" s="1"/>
  <c r="X2494" i="15"/>
  <c r="Y2493" i="15" s="1"/>
  <c r="X2495" i="15"/>
  <c r="Y2494" i="15" s="1"/>
  <c r="X2496" i="15"/>
  <c r="Y2495" i="15" s="1"/>
  <c r="X2497" i="15"/>
  <c r="Y2496" i="15" s="1"/>
  <c r="X2498" i="15"/>
  <c r="Y2497" i="15" s="1"/>
  <c r="X2499" i="15"/>
  <c r="Y2498" i="15" s="1"/>
  <c r="X2500" i="15"/>
  <c r="Y2499" i="15" s="1"/>
  <c r="X2501" i="15"/>
  <c r="Y2500" i="15" s="1"/>
  <c r="X2502" i="15"/>
  <c r="Y2501" i="15" s="1"/>
  <c r="X2503" i="15"/>
  <c r="Y2502" i="15" s="1"/>
  <c r="X2504" i="15"/>
  <c r="Y2503" i="15" s="1"/>
  <c r="X2505" i="15"/>
  <c r="Y2504" i="15" s="1"/>
  <c r="X2506" i="15"/>
  <c r="Y2505" i="15" s="1"/>
  <c r="X2507" i="15"/>
  <c r="Y2506" i="15" s="1"/>
  <c r="X2508" i="15"/>
  <c r="Y2507" i="15" s="1"/>
  <c r="X2509" i="15"/>
  <c r="Y2508" i="15" s="1"/>
  <c r="X2510" i="15"/>
  <c r="Y2509" i="15" s="1"/>
  <c r="X2511" i="15"/>
  <c r="Y2510" i="15" s="1"/>
  <c r="X2512" i="15"/>
  <c r="Y2511" i="15" s="1"/>
  <c r="X2513" i="15"/>
  <c r="Y2512" i="15" s="1"/>
  <c r="X2514" i="15"/>
  <c r="Y2513" i="15" s="1"/>
  <c r="X2515" i="15"/>
  <c r="Y2514" i="15" s="1"/>
  <c r="X2516" i="15"/>
  <c r="Y2515" i="15" s="1"/>
  <c r="X2517" i="15"/>
  <c r="Y2516" i="15" s="1"/>
  <c r="X2518" i="15"/>
  <c r="Y2517" i="15" s="1"/>
  <c r="X2519" i="15"/>
  <c r="Y2518" i="15" s="1"/>
  <c r="X2520" i="15"/>
  <c r="Y2519" i="15" s="1"/>
  <c r="X2521" i="15"/>
  <c r="Y2520" i="15" s="1"/>
  <c r="X2522" i="15"/>
  <c r="Y2521" i="15" s="1"/>
  <c r="X2523" i="15"/>
  <c r="Y2522" i="15" s="1"/>
  <c r="X2524" i="15"/>
  <c r="Y2523" i="15" s="1"/>
  <c r="X2525" i="15"/>
  <c r="Y2524" i="15" s="1"/>
  <c r="X2526" i="15"/>
  <c r="Y2525" i="15" s="1"/>
  <c r="X2527" i="15"/>
  <c r="Y2526" i="15" s="1"/>
  <c r="X2528" i="15"/>
  <c r="Y2527" i="15" s="1"/>
  <c r="X2529" i="15"/>
  <c r="Y2528" i="15" s="1"/>
  <c r="X2530" i="15"/>
  <c r="Y2529" i="15" s="1"/>
  <c r="X2531" i="15"/>
  <c r="Y2530" i="15" s="1"/>
  <c r="X2532" i="15"/>
  <c r="Y2531" i="15" s="1"/>
  <c r="X2533" i="15"/>
  <c r="Y2532" i="15" s="1"/>
  <c r="X2534" i="15"/>
  <c r="Y2533" i="15" s="1"/>
  <c r="X2535" i="15"/>
  <c r="Y2534" i="15" s="1"/>
  <c r="X2536" i="15"/>
  <c r="Y2535" i="15" s="1"/>
  <c r="X2537" i="15"/>
  <c r="Y2536" i="15" s="1"/>
  <c r="X2538" i="15"/>
  <c r="Y2537" i="15" s="1"/>
  <c r="X2539" i="15"/>
  <c r="Y2538" i="15" s="1"/>
  <c r="X2540" i="15"/>
  <c r="Y2539" i="15" s="1"/>
  <c r="X2541" i="15"/>
  <c r="Y2540" i="15" s="1"/>
  <c r="X2542" i="15"/>
  <c r="Y2541" i="15" s="1"/>
  <c r="X2543" i="15"/>
  <c r="Y2542" i="15" s="1"/>
  <c r="X2544" i="15"/>
  <c r="Y2543" i="15" s="1"/>
  <c r="X2545" i="15"/>
  <c r="Y2544" i="15" s="1"/>
  <c r="X2546" i="15"/>
  <c r="Y2545" i="15" s="1"/>
  <c r="X2547" i="15"/>
  <c r="Y2546" i="15" s="1"/>
  <c r="X2548" i="15"/>
  <c r="Y2547" i="15" s="1"/>
  <c r="X2549" i="15"/>
  <c r="Y2548" i="15" s="1"/>
  <c r="X2550" i="15"/>
  <c r="Y2549" i="15" s="1"/>
  <c r="X2551" i="15"/>
  <c r="Y2550" i="15" s="1"/>
  <c r="X2552" i="15"/>
  <c r="Y2551" i="15" s="1"/>
  <c r="X2553" i="15"/>
  <c r="Y2552" i="15" s="1"/>
  <c r="X2554" i="15"/>
  <c r="Y2553" i="15" s="1"/>
  <c r="X2555" i="15"/>
  <c r="Y2554" i="15" s="1"/>
  <c r="X2556" i="15"/>
  <c r="Y2555" i="15" s="1"/>
  <c r="X2557" i="15"/>
  <c r="Y2556" i="15" s="1"/>
  <c r="X2558" i="15"/>
  <c r="Y2557" i="15" s="1"/>
  <c r="X2559" i="15"/>
  <c r="Y2558" i="15" s="1"/>
  <c r="X2560" i="15"/>
  <c r="Y2559" i="15" s="1"/>
  <c r="X2561" i="15"/>
  <c r="Y2560" i="15" s="1"/>
  <c r="X2562" i="15"/>
  <c r="Y2561" i="15" s="1"/>
  <c r="X2563" i="15"/>
  <c r="Y2562" i="15" s="1"/>
  <c r="X2564" i="15"/>
  <c r="Y2563" i="15" s="1"/>
  <c r="X2565" i="15"/>
  <c r="Y2564" i="15" s="1"/>
  <c r="X2566" i="15"/>
  <c r="Y2565" i="15" s="1"/>
  <c r="X2567" i="15"/>
  <c r="Y2566" i="15" s="1"/>
  <c r="X2568" i="15"/>
  <c r="Y2567" i="15" s="1"/>
  <c r="X2569" i="15"/>
  <c r="Y2568" i="15" s="1"/>
  <c r="X2570" i="15"/>
  <c r="Y2569" i="15" s="1"/>
  <c r="X2571" i="15"/>
  <c r="Y2570" i="15" s="1"/>
  <c r="X2572" i="15"/>
  <c r="Y2571" i="15" s="1"/>
  <c r="X2573" i="15"/>
  <c r="Y2572" i="15" s="1"/>
  <c r="X2574" i="15"/>
  <c r="Y2573" i="15" s="1"/>
  <c r="X2575" i="15"/>
  <c r="Y2574" i="15" s="1"/>
  <c r="X2576" i="15"/>
  <c r="Y2575" i="15" s="1"/>
  <c r="X2577" i="15"/>
  <c r="Y2576" i="15" s="1"/>
  <c r="X2578" i="15"/>
  <c r="Y2577" i="15" s="1"/>
  <c r="X2579" i="15"/>
  <c r="Y2578" i="15" s="1"/>
  <c r="X2580" i="15"/>
  <c r="Y2579" i="15" s="1"/>
  <c r="X2581" i="15"/>
  <c r="Y2580" i="15" s="1"/>
  <c r="X2582" i="15"/>
  <c r="Y2581" i="15" s="1"/>
  <c r="X2583" i="15"/>
  <c r="Y2582" i="15" s="1"/>
  <c r="X2584" i="15"/>
  <c r="Y2583" i="15" s="1"/>
  <c r="X2585" i="15"/>
  <c r="Y2584" i="15" s="1"/>
  <c r="X2586" i="15"/>
  <c r="Y2585" i="15" s="1"/>
  <c r="X2587" i="15"/>
  <c r="Y2586" i="15" s="1"/>
  <c r="X2588" i="15"/>
  <c r="Y2587" i="15" s="1"/>
  <c r="X2589" i="15"/>
  <c r="Y2588" i="15" s="1"/>
  <c r="X2590" i="15"/>
  <c r="Y2589" i="15" s="1"/>
  <c r="X2591" i="15"/>
  <c r="Y2590" i="15" s="1"/>
  <c r="X2592" i="15"/>
  <c r="Y2591" i="15" s="1"/>
  <c r="X2593" i="15"/>
  <c r="Y2592" i="15" s="1"/>
  <c r="X2594" i="15"/>
  <c r="Y2593" i="15" s="1"/>
  <c r="X2595" i="15"/>
  <c r="Y2594" i="15" s="1"/>
  <c r="X2596" i="15"/>
  <c r="Y2595" i="15" s="1"/>
  <c r="X2597" i="15"/>
  <c r="Y2596" i="15" s="1"/>
  <c r="X2598" i="15"/>
  <c r="Y2597" i="15" s="1"/>
  <c r="X2599" i="15"/>
  <c r="Y2598" i="15" s="1"/>
  <c r="X2600" i="15"/>
  <c r="Y2599" i="15" s="1"/>
  <c r="X2601" i="15"/>
  <c r="Y2600" i="15" s="1"/>
  <c r="X2602" i="15"/>
  <c r="Y2601" i="15" s="1"/>
  <c r="X2603" i="15"/>
  <c r="Y2602" i="15" s="1"/>
  <c r="X2604" i="15"/>
  <c r="Y2603" i="15" s="1"/>
  <c r="X2605" i="15"/>
  <c r="Y2604" i="15" s="1"/>
  <c r="X2606" i="15"/>
  <c r="Y2605" i="15" s="1"/>
  <c r="X2607" i="15"/>
  <c r="Y2606" i="15" s="1"/>
  <c r="X2608" i="15"/>
  <c r="Y2607" i="15" s="1"/>
  <c r="X2609" i="15"/>
  <c r="Y2608" i="15" s="1"/>
  <c r="X2610" i="15"/>
  <c r="Y2609" i="15" s="1"/>
  <c r="X2611" i="15"/>
  <c r="Y2610" i="15" s="1"/>
  <c r="X2612" i="15"/>
  <c r="Y2611" i="15" s="1"/>
  <c r="X2613" i="15"/>
  <c r="Y2612" i="15" s="1"/>
  <c r="X2614" i="15"/>
  <c r="Y2613" i="15" s="1"/>
  <c r="X2615" i="15"/>
  <c r="Y2614" i="15" s="1"/>
  <c r="X2616" i="15"/>
  <c r="Y2615" i="15" s="1"/>
  <c r="X2617" i="15"/>
  <c r="Y2616" i="15" s="1"/>
  <c r="X2618" i="15"/>
  <c r="Y2617" i="15" s="1"/>
  <c r="X2619" i="15"/>
  <c r="Y2618" i="15" s="1"/>
  <c r="X2620" i="15"/>
  <c r="Y2619" i="15" s="1"/>
  <c r="X2621" i="15"/>
  <c r="Y2620" i="15" s="1"/>
  <c r="X2622" i="15"/>
  <c r="Y2621" i="15" s="1"/>
  <c r="X2623" i="15"/>
  <c r="Y2622" i="15" s="1"/>
  <c r="X2624" i="15"/>
  <c r="Y2623" i="15" s="1"/>
  <c r="X2625" i="15"/>
  <c r="Y2624" i="15" s="1"/>
  <c r="X2626" i="15"/>
  <c r="Y2625" i="15" s="1"/>
  <c r="X2627" i="15"/>
  <c r="Y2626" i="15" s="1"/>
  <c r="X2628" i="15"/>
  <c r="Y2627" i="15" s="1"/>
  <c r="X2629" i="15"/>
  <c r="Y2628" i="15" s="1"/>
  <c r="X2630" i="15"/>
  <c r="Y2629" i="15" s="1"/>
  <c r="X2631" i="15"/>
  <c r="Y2630" i="15" s="1"/>
  <c r="X2632" i="15"/>
  <c r="Y2631" i="15" s="1"/>
  <c r="X2633" i="15"/>
  <c r="Y2632" i="15" s="1"/>
  <c r="X2634" i="15"/>
  <c r="Y2633" i="15" s="1"/>
  <c r="X2635" i="15"/>
  <c r="Y2634" i="15" s="1"/>
  <c r="X2636" i="15"/>
  <c r="Y2635" i="15" s="1"/>
  <c r="X2637" i="15"/>
  <c r="Y2636" i="15" s="1"/>
  <c r="X2638" i="15"/>
  <c r="Y2637" i="15" s="1"/>
  <c r="X2639" i="15"/>
  <c r="Y2638" i="15" s="1"/>
  <c r="X2640" i="15"/>
  <c r="Y2639" i="15" s="1"/>
  <c r="X2641" i="15"/>
  <c r="Y2640" i="15" s="1"/>
  <c r="X2642" i="15"/>
  <c r="Y2641" i="15" s="1"/>
  <c r="X2643" i="15"/>
  <c r="Y2642" i="15" s="1"/>
  <c r="X2644" i="15"/>
  <c r="Y2643" i="15" s="1"/>
  <c r="X2645" i="15"/>
  <c r="Y2644" i="15" s="1"/>
  <c r="X2646" i="15"/>
  <c r="Y2645" i="15" s="1"/>
  <c r="X2647" i="15"/>
  <c r="Y2646" i="15" s="1"/>
  <c r="X2648" i="15"/>
  <c r="Y2647" i="15" s="1"/>
  <c r="X2649" i="15"/>
  <c r="Y2648" i="15" s="1"/>
  <c r="X2650" i="15"/>
  <c r="Y2649" i="15" s="1"/>
  <c r="X2651" i="15"/>
  <c r="Y2650" i="15" s="1"/>
  <c r="X2652" i="15"/>
  <c r="Y2651" i="15" s="1"/>
  <c r="X2653" i="15"/>
  <c r="Y2652" i="15" s="1"/>
  <c r="X2654" i="15"/>
  <c r="Y2653" i="15" s="1"/>
  <c r="X2655" i="15"/>
  <c r="Y2654" i="15" s="1"/>
  <c r="X2656" i="15"/>
  <c r="Y2655" i="15" s="1"/>
  <c r="X2657" i="15"/>
  <c r="Y2656" i="15" s="1"/>
  <c r="X2658" i="15"/>
  <c r="Y2657" i="15" s="1"/>
  <c r="X2659" i="15"/>
  <c r="Y2658" i="15" s="1"/>
  <c r="X2660" i="15"/>
  <c r="Y2659" i="15" s="1"/>
  <c r="X2661" i="15"/>
  <c r="Y2660" i="15" s="1"/>
  <c r="X2662" i="15"/>
  <c r="Y2661" i="15" s="1"/>
  <c r="X2663" i="15"/>
  <c r="Y2662" i="15" s="1"/>
  <c r="X2664" i="15"/>
  <c r="Y2663" i="15" s="1"/>
  <c r="X2665" i="15"/>
  <c r="Y2664" i="15" s="1"/>
  <c r="X2666" i="15"/>
  <c r="Y2665" i="15" s="1"/>
  <c r="X2667" i="15"/>
  <c r="Y2666" i="15" s="1"/>
  <c r="X2668" i="15"/>
  <c r="Y2667" i="15" s="1"/>
  <c r="X2669" i="15"/>
  <c r="Y2668" i="15" s="1"/>
  <c r="X2670" i="15"/>
  <c r="Y2669" i="15" s="1"/>
  <c r="X2671" i="15"/>
  <c r="Y2670" i="15" s="1"/>
  <c r="X2672" i="15"/>
  <c r="Y2671" i="15" s="1"/>
  <c r="X2673" i="15"/>
  <c r="Y2672" i="15" s="1"/>
  <c r="X2674" i="15"/>
  <c r="Y2673" i="15" s="1"/>
  <c r="X2675" i="15"/>
  <c r="Y2674" i="15" s="1"/>
  <c r="X2676" i="15"/>
  <c r="Y2675" i="15" s="1"/>
  <c r="X2677" i="15"/>
  <c r="Y2676" i="15" s="1"/>
  <c r="X2678" i="15"/>
  <c r="Y2677" i="15" s="1"/>
  <c r="X2679" i="15"/>
  <c r="Y2678" i="15" s="1"/>
  <c r="X2680" i="15"/>
  <c r="Y2679" i="15" s="1"/>
  <c r="X2681" i="15"/>
  <c r="Y2680" i="15" s="1"/>
  <c r="X2682" i="15"/>
  <c r="Y2681" i="15" s="1"/>
  <c r="X2683" i="15"/>
  <c r="Y2682" i="15" s="1"/>
  <c r="X2684" i="15"/>
  <c r="Y2683" i="15" s="1"/>
  <c r="X2685" i="15"/>
  <c r="Y2684" i="15" s="1"/>
  <c r="X2686" i="15"/>
  <c r="Y2685" i="15" s="1"/>
  <c r="X2687" i="15"/>
  <c r="Y2686" i="15" s="1"/>
  <c r="X2688" i="15"/>
  <c r="Y2687" i="15" s="1"/>
  <c r="X2689" i="15"/>
  <c r="Y2688" i="15" s="1"/>
  <c r="X2690" i="15"/>
  <c r="Y2689" i="15" s="1"/>
  <c r="X2691" i="15"/>
  <c r="Y2690" i="15" s="1"/>
  <c r="X2692" i="15"/>
  <c r="Y2691" i="15" s="1"/>
  <c r="X2693" i="15"/>
  <c r="Y2692" i="15" s="1"/>
  <c r="X2694" i="15"/>
  <c r="Y2693" i="15" s="1"/>
  <c r="X2695" i="15"/>
  <c r="Y2694" i="15" s="1"/>
  <c r="X2696" i="15"/>
  <c r="Y2695" i="15" s="1"/>
  <c r="X2697" i="15"/>
  <c r="Y2696" i="15" s="1"/>
  <c r="X2698" i="15"/>
  <c r="Y2697" i="15" s="1"/>
  <c r="X2699" i="15"/>
  <c r="Y2698" i="15" s="1"/>
  <c r="X2700" i="15"/>
  <c r="Y2699" i="15" s="1"/>
  <c r="X2701" i="15"/>
  <c r="Y2700" i="15" s="1"/>
  <c r="X2702" i="15"/>
  <c r="Y2701" i="15" s="1"/>
  <c r="X2703" i="15"/>
  <c r="Y2702" i="15" s="1"/>
  <c r="X2704" i="15"/>
  <c r="Y2703" i="15" s="1"/>
  <c r="X2705" i="15"/>
  <c r="Y2704" i="15" s="1"/>
  <c r="X2706" i="15"/>
  <c r="Y2705" i="15" s="1"/>
  <c r="X2707" i="15"/>
  <c r="Y2706" i="15" s="1"/>
  <c r="X2708" i="15"/>
  <c r="Y2707" i="15" s="1"/>
  <c r="X2709" i="15"/>
  <c r="Y2708" i="15" s="1"/>
  <c r="X2710" i="15"/>
  <c r="Y2709" i="15" s="1"/>
  <c r="X2711" i="15"/>
  <c r="Y2710" i="15" s="1"/>
  <c r="X2712" i="15"/>
  <c r="Y2711" i="15" s="1"/>
  <c r="X2713" i="15"/>
  <c r="Y2712" i="15" s="1"/>
  <c r="X2714" i="15"/>
  <c r="Y2713" i="15" s="1"/>
  <c r="X2715" i="15"/>
  <c r="Y2714" i="15" s="1"/>
  <c r="X2716" i="15"/>
  <c r="Y2715" i="15" s="1"/>
  <c r="X2717" i="15"/>
  <c r="Y2716" i="15" s="1"/>
  <c r="X2718" i="15"/>
  <c r="Y2717" i="15" s="1"/>
  <c r="X2719" i="15"/>
  <c r="Y2718" i="15" s="1"/>
  <c r="X2720" i="15"/>
  <c r="Y2719" i="15" s="1"/>
  <c r="X2721" i="15"/>
  <c r="Y2720" i="15" s="1"/>
  <c r="X2722" i="15"/>
  <c r="Y2721" i="15" s="1"/>
  <c r="X2723" i="15"/>
  <c r="Y2722" i="15" s="1"/>
  <c r="X2724" i="15"/>
  <c r="Y2723" i="15" s="1"/>
  <c r="X2725" i="15"/>
  <c r="Y2724" i="15" s="1"/>
  <c r="X2726" i="15"/>
  <c r="Y2725" i="15" s="1"/>
  <c r="X2727" i="15"/>
  <c r="Y2726" i="15" s="1"/>
  <c r="X2728" i="15"/>
  <c r="Y2727" i="15" s="1"/>
  <c r="X2729" i="15"/>
  <c r="Y2728" i="15" s="1"/>
  <c r="X2730" i="15"/>
  <c r="Y2729" i="15" s="1"/>
  <c r="X2731" i="15"/>
  <c r="Y2730" i="15" s="1"/>
  <c r="X2732" i="15"/>
  <c r="Y2731" i="15" s="1"/>
  <c r="X2733" i="15"/>
  <c r="Y2732" i="15" s="1"/>
  <c r="X2734" i="15"/>
  <c r="Y2733" i="15" s="1"/>
  <c r="X2735" i="15"/>
  <c r="Y2734" i="15" s="1"/>
  <c r="X2736" i="15"/>
  <c r="Y2735" i="15" s="1"/>
  <c r="X2737" i="15"/>
  <c r="Y2736" i="15" s="1"/>
  <c r="X2738" i="15"/>
  <c r="Y2737" i="15" s="1"/>
  <c r="X2739" i="15"/>
  <c r="Y2738" i="15" s="1"/>
  <c r="X2740" i="15"/>
  <c r="Y2739" i="15" s="1"/>
  <c r="X2741" i="15"/>
  <c r="Y2740" i="15" s="1"/>
  <c r="X2742" i="15"/>
  <c r="Y2741" i="15" s="1"/>
  <c r="X2743" i="15"/>
  <c r="Y2742" i="15" s="1"/>
  <c r="X2744" i="15"/>
  <c r="Y2743" i="15" s="1"/>
  <c r="X2745" i="15"/>
  <c r="Y2744" i="15" s="1"/>
  <c r="X2746" i="15"/>
  <c r="Y2745" i="15" s="1"/>
  <c r="X2747" i="15"/>
  <c r="Y2746" i="15" s="1"/>
  <c r="X2748" i="15"/>
  <c r="Y2747" i="15" s="1"/>
  <c r="X2749" i="15"/>
  <c r="Y2748" i="15" s="1"/>
  <c r="X2750" i="15"/>
  <c r="Y2749" i="15" s="1"/>
  <c r="X2751" i="15"/>
  <c r="Y2750" i="15" s="1"/>
  <c r="X2752" i="15"/>
  <c r="Y2751" i="15" s="1"/>
  <c r="X2753" i="15"/>
  <c r="Y2752" i="15" s="1"/>
  <c r="X2754" i="15"/>
  <c r="Y2753" i="15" s="1"/>
  <c r="X2755" i="15"/>
  <c r="Y2754" i="15" s="1"/>
  <c r="X2756" i="15"/>
  <c r="Y2755" i="15" s="1"/>
  <c r="X2757" i="15"/>
  <c r="Y2756" i="15" s="1"/>
  <c r="X2758" i="15"/>
  <c r="Y2757" i="15" s="1"/>
  <c r="X2759" i="15"/>
  <c r="Y2758" i="15" s="1"/>
  <c r="X2760" i="15"/>
  <c r="Y2759" i="15" s="1"/>
  <c r="X2761" i="15"/>
  <c r="Y2760" i="15" s="1"/>
  <c r="X2762" i="15"/>
  <c r="Y2761" i="15" s="1"/>
  <c r="X2763" i="15"/>
  <c r="Y2762" i="15" s="1"/>
  <c r="X2764" i="15"/>
  <c r="Y2763" i="15" s="1"/>
  <c r="X2765" i="15"/>
  <c r="Y2764" i="15" s="1"/>
  <c r="X2766" i="15"/>
  <c r="Y2765" i="15" s="1"/>
  <c r="X2767" i="15"/>
  <c r="Y2766" i="15" s="1"/>
  <c r="X2768" i="15"/>
  <c r="Y2767" i="15" s="1"/>
  <c r="X2769" i="15"/>
  <c r="Y2768" i="15" s="1"/>
  <c r="X2770" i="15"/>
  <c r="Y2769" i="15" s="1"/>
  <c r="X2771" i="15"/>
  <c r="Y2770" i="15" s="1"/>
  <c r="X2772" i="15"/>
  <c r="Y2771" i="15" s="1"/>
  <c r="X2773" i="15"/>
  <c r="Y2772" i="15" s="1"/>
  <c r="X2774" i="15"/>
  <c r="Y2773" i="15" s="1"/>
  <c r="X2775" i="15"/>
  <c r="Y2774" i="15" s="1"/>
  <c r="X2776" i="15"/>
  <c r="Y2775" i="15" s="1"/>
  <c r="X2777" i="15"/>
  <c r="Y2776" i="15" s="1"/>
  <c r="X2778" i="15"/>
  <c r="Y2777" i="15" s="1"/>
  <c r="X2779" i="15"/>
  <c r="Y2778" i="15" s="1"/>
  <c r="X2780" i="15"/>
  <c r="Y2779" i="15" s="1"/>
  <c r="X2781" i="15"/>
  <c r="Y2780" i="15" s="1"/>
  <c r="X2782" i="15"/>
  <c r="Y2781" i="15" s="1"/>
  <c r="X2783" i="15"/>
  <c r="Y2782" i="15" s="1"/>
  <c r="X2784" i="15"/>
  <c r="Y2783" i="15" s="1"/>
  <c r="X2785" i="15"/>
  <c r="Y2784" i="15" s="1"/>
  <c r="X2786" i="15"/>
  <c r="Y2785" i="15" s="1"/>
  <c r="X2787" i="15"/>
  <c r="Y2786" i="15" s="1"/>
  <c r="X2788" i="15"/>
  <c r="Y2787" i="15" s="1"/>
  <c r="X2789" i="15"/>
  <c r="Y2788" i="15" s="1"/>
  <c r="X2790" i="15"/>
  <c r="Y2789" i="15" s="1"/>
  <c r="X2791" i="15"/>
  <c r="Y2790" i="15" s="1"/>
  <c r="X2792" i="15"/>
  <c r="Y2791" i="15" s="1"/>
  <c r="X2793" i="15"/>
  <c r="Y2792" i="15" s="1"/>
  <c r="X2794" i="15"/>
  <c r="Y2793" i="15" s="1"/>
  <c r="X2795" i="15"/>
  <c r="Y2794" i="15" s="1"/>
  <c r="X2796" i="15"/>
  <c r="Y2795" i="15" s="1"/>
  <c r="X2797" i="15"/>
  <c r="Y2796" i="15" s="1"/>
  <c r="X2798" i="15"/>
  <c r="Y2797" i="15" s="1"/>
  <c r="X2799" i="15"/>
  <c r="Y2798" i="15" s="1"/>
  <c r="X2800" i="15"/>
  <c r="Y2799" i="15" s="1"/>
  <c r="X2801" i="15"/>
  <c r="Y2800" i="15" s="1"/>
  <c r="X2802" i="15"/>
  <c r="Y2801" i="15" s="1"/>
  <c r="X2803" i="15"/>
  <c r="Y2802" i="15" s="1"/>
  <c r="X2804" i="15"/>
  <c r="Y2803" i="15" s="1"/>
  <c r="X2805" i="15"/>
  <c r="Y2804" i="15" s="1"/>
  <c r="X2806" i="15"/>
  <c r="Y2805" i="15" s="1"/>
  <c r="X2807" i="15"/>
  <c r="Y2806" i="15" s="1"/>
  <c r="X2808" i="15"/>
  <c r="Y2807" i="15" s="1"/>
  <c r="X2809" i="15"/>
  <c r="Y2808" i="15" s="1"/>
  <c r="X2810" i="15"/>
  <c r="Y2809" i="15" s="1"/>
  <c r="X2811" i="15"/>
  <c r="Y2810" i="15" s="1"/>
  <c r="X2812" i="15"/>
  <c r="Y2811" i="15" s="1"/>
  <c r="X2813" i="15"/>
  <c r="Y2812" i="15" s="1"/>
  <c r="X2814" i="15"/>
  <c r="Y2813" i="15" s="1"/>
  <c r="X2815" i="15"/>
  <c r="Y2814" i="15" s="1"/>
  <c r="X2816" i="15"/>
  <c r="Y2815" i="15" s="1"/>
  <c r="X2817" i="15"/>
  <c r="Y2816" i="15" s="1"/>
  <c r="X2818" i="15"/>
  <c r="Y2817" i="15" s="1"/>
  <c r="X2819" i="15"/>
  <c r="Y2818" i="15" s="1"/>
  <c r="X2820" i="15"/>
  <c r="Y2819" i="15" s="1"/>
  <c r="X2821" i="15"/>
  <c r="Y2820" i="15" s="1"/>
  <c r="X2822" i="15"/>
  <c r="Y2821" i="15" s="1"/>
  <c r="X2823" i="15"/>
  <c r="Y2822" i="15" s="1"/>
  <c r="X2824" i="15"/>
  <c r="Y2823" i="15" s="1"/>
  <c r="X2825" i="15"/>
  <c r="Y2824" i="15" s="1"/>
  <c r="X2826" i="15"/>
  <c r="Y2825" i="15" s="1"/>
  <c r="X2827" i="15"/>
  <c r="Y2826" i="15" s="1"/>
  <c r="X2828" i="15"/>
  <c r="Y2827" i="15" s="1"/>
  <c r="X2829" i="15"/>
  <c r="Y2828" i="15" s="1"/>
  <c r="X2830" i="15"/>
  <c r="Y2829" i="15" s="1"/>
  <c r="X2831" i="15"/>
  <c r="Y2830" i="15" s="1"/>
  <c r="X2832" i="15"/>
  <c r="Y2831" i="15" s="1"/>
  <c r="X2833" i="15"/>
  <c r="Y2832" i="15" s="1"/>
  <c r="X2834" i="15"/>
  <c r="Y2833" i="15" s="1"/>
  <c r="X2835" i="15"/>
  <c r="Y2834" i="15" s="1"/>
  <c r="X2836" i="15"/>
  <c r="Y2835" i="15" s="1"/>
  <c r="X2837" i="15"/>
  <c r="Y2836" i="15" s="1"/>
  <c r="X2838" i="15"/>
  <c r="Y2837" i="15" s="1"/>
  <c r="X2839" i="15"/>
  <c r="Y2838" i="15" s="1"/>
  <c r="X2840" i="15"/>
  <c r="Y2839" i="15" s="1"/>
  <c r="X2841" i="15"/>
  <c r="Y2840" i="15" s="1"/>
  <c r="X2842" i="15"/>
  <c r="Y2841" i="15" s="1"/>
  <c r="X2843" i="15"/>
  <c r="Y2842" i="15" s="1"/>
  <c r="X2844" i="15"/>
  <c r="Y2843" i="15" s="1"/>
  <c r="X2845" i="15"/>
  <c r="Y2844" i="15" s="1"/>
  <c r="X2846" i="15"/>
  <c r="Y2845" i="15" s="1"/>
  <c r="X2847" i="15"/>
  <c r="Y2846" i="15" s="1"/>
  <c r="X2848" i="15"/>
  <c r="Y2847" i="15" s="1"/>
  <c r="X2849" i="15"/>
  <c r="Y2848" i="15" s="1"/>
  <c r="X2850" i="15"/>
  <c r="Y2849" i="15" s="1"/>
  <c r="X2851" i="15"/>
  <c r="Y2850" i="15" s="1"/>
  <c r="X2852" i="15"/>
  <c r="Y2851" i="15" s="1"/>
  <c r="X2853" i="15"/>
  <c r="Y2852" i="15" s="1"/>
  <c r="X2854" i="15"/>
  <c r="Y2853" i="15" s="1"/>
  <c r="X2855" i="15"/>
  <c r="Y2854" i="15" s="1"/>
  <c r="X2856" i="15"/>
  <c r="Y2855" i="15" s="1"/>
  <c r="X2857" i="15"/>
  <c r="Y2856" i="15" s="1"/>
  <c r="X2858" i="15"/>
  <c r="Y2857" i="15" s="1"/>
  <c r="X2859" i="15"/>
  <c r="Y2858" i="15" s="1"/>
  <c r="X2860" i="15"/>
  <c r="Y2859" i="15" s="1"/>
  <c r="X2861" i="15"/>
  <c r="Y2860" i="15" s="1"/>
  <c r="X2862" i="15"/>
  <c r="Y2861" i="15" s="1"/>
  <c r="X2863" i="15"/>
  <c r="Y2862" i="15" s="1"/>
  <c r="X2864" i="15"/>
  <c r="Y2863" i="15" s="1"/>
  <c r="X2865" i="15"/>
  <c r="Y2864" i="15" s="1"/>
  <c r="X2866" i="15"/>
  <c r="Y2865" i="15" s="1"/>
  <c r="X2867" i="15"/>
  <c r="Y2866" i="15" s="1"/>
  <c r="X2868" i="15"/>
  <c r="Y2867" i="15" s="1"/>
  <c r="X2869" i="15"/>
  <c r="Y2868" i="15" s="1"/>
  <c r="X2870" i="15"/>
  <c r="Y2869" i="15" s="1"/>
  <c r="X2871" i="15"/>
  <c r="Y2870" i="15" s="1"/>
  <c r="X2872" i="15"/>
  <c r="Y2871" i="15" s="1"/>
  <c r="X2873" i="15"/>
  <c r="Y2872" i="15" s="1"/>
  <c r="X2874" i="15"/>
  <c r="Y2873" i="15" s="1"/>
  <c r="X2875" i="15"/>
  <c r="Y2874" i="15" s="1"/>
  <c r="X2876" i="15"/>
  <c r="Y2875" i="15" s="1"/>
  <c r="X2877" i="15"/>
  <c r="Y2876" i="15" s="1"/>
  <c r="X2878" i="15"/>
  <c r="Y2877" i="15" s="1"/>
  <c r="X2879" i="15"/>
  <c r="Y2878" i="15" s="1"/>
  <c r="X2880" i="15"/>
  <c r="Y2879" i="15" s="1"/>
  <c r="X2881" i="15"/>
  <c r="Y2880" i="15" s="1"/>
  <c r="X2882" i="15"/>
  <c r="Y2881" i="15" s="1"/>
  <c r="X2883" i="15"/>
  <c r="Y2882" i="15" s="1"/>
  <c r="X2884" i="15"/>
  <c r="Y2883" i="15" s="1"/>
  <c r="X2885" i="15"/>
  <c r="Y2884" i="15" s="1"/>
  <c r="X2886" i="15"/>
  <c r="Y2885" i="15" s="1"/>
  <c r="X2887" i="15"/>
  <c r="Y2886" i="15" s="1"/>
  <c r="X2888" i="15"/>
  <c r="Y2887" i="15" s="1"/>
  <c r="X2889" i="15"/>
  <c r="Y2888" i="15" s="1"/>
  <c r="X2890" i="15"/>
  <c r="Y2889" i="15" s="1"/>
  <c r="X2891" i="15"/>
  <c r="Y2890" i="15" s="1"/>
  <c r="X2892" i="15"/>
  <c r="Y2891" i="15" s="1"/>
  <c r="X2893" i="15"/>
  <c r="Y2892" i="15" s="1"/>
  <c r="X2894" i="15"/>
  <c r="Y2893" i="15" s="1"/>
  <c r="X2895" i="15"/>
  <c r="Y2894" i="15" s="1"/>
  <c r="X2896" i="15"/>
  <c r="Y2895" i="15" s="1"/>
  <c r="X2897" i="15"/>
  <c r="Y2896" i="15" s="1"/>
  <c r="X2898" i="15"/>
  <c r="Y2897" i="15" s="1"/>
  <c r="X2899" i="15"/>
  <c r="Y2898" i="15" s="1"/>
  <c r="X2900" i="15"/>
  <c r="Y2899" i="15" s="1"/>
  <c r="X2901" i="15"/>
  <c r="Y2900" i="15" s="1"/>
  <c r="X2902" i="15"/>
  <c r="Y2901" i="15" s="1"/>
  <c r="X2903" i="15"/>
  <c r="Y2902" i="15" s="1"/>
  <c r="X2904" i="15"/>
  <c r="Y2903" i="15" s="1"/>
  <c r="X2905" i="15"/>
  <c r="Y2904" i="15" s="1"/>
  <c r="X2906" i="15"/>
  <c r="Y2905" i="15" s="1"/>
  <c r="X2907" i="15"/>
  <c r="Y2906" i="15" s="1"/>
  <c r="X2908" i="15"/>
  <c r="Y2907" i="15" s="1"/>
  <c r="X2909" i="15"/>
  <c r="Y2908" i="15" s="1"/>
  <c r="X2910" i="15"/>
  <c r="Y2909" i="15" s="1"/>
  <c r="X2911" i="15"/>
  <c r="Y2910" i="15" s="1"/>
  <c r="X2912" i="15"/>
  <c r="Y2911" i="15" s="1"/>
  <c r="X2913" i="15"/>
  <c r="Y2912" i="15" s="1"/>
  <c r="X2914" i="15"/>
  <c r="Y2913" i="15" s="1"/>
  <c r="X2915" i="15"/>
  <c r="Y2914" i="15" s="1"/>
  <c r="X2916" i="15"/>
  <c r="Y2915" i="15" s="1"/>
  <c r="X2917" i="15"/>
  <c r="Y2916" i="15" s="1"/>
  <c r="X2918" i="15"/>
  <c r="Y2917" i="15" s="1"/>
  <c r="X2919" i="15"/>
  <c r="Y2918" i="15" s="1"/>
  <c r="X2920" i="15"/>
  <c r="Y2919" i="15" s="1"/>
  <c r="X2921" i="15"/>
  <c r="Y2920" i="15" s="1"/>
  <c r="X2922" i="15"/>
  <c r="Y2921" i="15" s="1"/>
  <c r="X2923" i="15"/>
  <c r="Y2922" i="15" s="1"/>
  <c r="X2924" i="15"/>
  <c r="Y2923" i="15" s="1"/>
  <c r="X2925" i="15"/>
  <c r="Y2924" i="15" s="1"/>
  <c r="X2926" i="15"/>
  <c r="Y2925" i="15" s="1"/>
  <c r="X2927" i="15"/>
  <c r="Y2926" i="15" s="1"/>
  <c r="X2928" i="15"/>
  <c r="Y2927" i="15" s="1"/>
  <c r="X2929" i="15"/>
  <c r="Y2928" i="15" s="1"/>
  <c r="X2930" i="15"/>
  <c r="Y2929" i="15" s="1"/>
  <c r="X2931" i="15"/>
  <c r="Y2930" i="15" s="1"/>
  <c r="X2932" i="15"/>
  <c r="Y2931" i="15" s="1"/>
  <c r="X2933" i="15"/>
  <c r="Y2932" i="15" s="1"/>
  <c r="X2934" i="15"/>
  <c r="Y2933" i="15" s="1"/>
  <c r="X2935" i="15"/>
  <c r="Y2934" i="15" s="1"/>
  <c r="X2936" i="15"/>
  <c r="Y2935" i="15" s="1"/>
  <c r="X2937" i="15"/>
  <c r="Y2936" i="15" s="1"/>
  <c r="X2938" i="15"/>
  <c r="Y2937" i="15" s="1"/>
  <c r="X2939" i="15"/>
  <c r="Y2938" i="15" s="1"/>
  <c r="X2940" i="15"/>
  <c r="Y2939" i="15" s="1"/>
  <c r="X2941" i="15"/>
  <c r="Y2940" i="15" s="1"/>
  <c r="X2942" i="15"/>
  <c r="Y2941" i="15" s="1"/>
  <c r="X2943" i="15"/>
  <c r="Y2942" i="15" s="1"/>
  <c r="X2944" i="15"/>
  <c r="Y2943" i="15" s="1"/>
  <c r="X2945" i="15"/>
  <c r="Y2944" i="15" s="1"/>
  <c r="X2946" i="15"/>
  <c r="Y2945" i="15" s="1"/>
  <c r="X2947" i="15"/>
  <c r="Y2946" i="15" s="1"/>
  <c r="X2948" i="15"/>
  <c r="Y2947" i="15" s="1"/>
  <c r="X2949" i="15"/>
  <c r="Y2948" i="15" s="1"/>
  <c r="X2950" i="15"/>
  <c r="Y2949" i="15" s="1"/>
  <c r="X2951" i="15"/>
  <c r="Y2950" i="15" s="1"/>
  <c r="X2952" i="15"/>
  <c r="Y2951" i="15" s="1"/>
  <c r="X2953" i="15"/>
  <c r="Y2952" i="15" s="1"/>
  <c r="X2954" i="15"/>
  <c r="Y2953" i="15" s="1"/>
  <c r="X2955" i="15"/>
  <c r="Y2954" i="15" s="1"/>
  <c r="X2956" i="15"/>
  <c r="Y2955" i="15" s="1"/>
  <c r="X2957" i="15"/>
  <c r="Y2956" i="15" s="1"/>
  <c r="X2958" i="15"/>
  <c r="Y2957" i="15" s="1"/>
  <c r="X2959" i="15"/>
  <c r="Y2958" i="15" s="1"/>
  <c r="X2960" i="15"/>
  <c r="Y2959" i="15" s="1"/>
  <c r="X2961" i="15"/>
  <c r="Y2960" i="15" s="1"/>
  <c r="X2962" i="15"/>
  <c r="Y2961" i="15" s="1"/>
  <c r="X2963" i="15"/>
  <c r="Y2962" i="15" s="1"/>
  <c r="X2964" i="15"/>
  <c r="Y2963" i="15" s="1"/>
  <c r="X2965" i="15"/>
  <c r="Y2964" i="15" s="1"/>
  <c r="X2966" i="15"/>
  <c r="Y2965" i="15" s="1"/>
  <c r="X2967" i="15"/>
  <c r="Y2966" i="15" s="1"/>
  <c r="X2968" i="15"/>
  <c r="Y2967" i="15" s="1"/>
  <c r="X2969" i="15"/>
  <c r="Y2968" i="15" s="1"/>
  <c r="X2970" i="15"/>
  <c r="Y2969" i="15" s="1"/>
  <c r="X2971" i="15"/>
  <c r="Y2970" i="15" s="1"/>
  <c r="X2972" i="15"/>
  <c r="Y2971" i="15" s="1"/>
  <c r="X2973" i="15"/>
  <c r="Y2972" i="15" s="1"/>
  <c r="X2974" i="15"/>
  <c r="Y2973" i="15" s="1"/>
  <c r="X2975" i="15"/>
  <c r="Y2974" i="15" s="1"/>
  <c r="X2976" i="15"/>
  <c r="Y2975" i="15" s="1"/>
  <c r="X2977" i="15"/>
  <c r="Y2976" i="15" s="1"/>
  <c r="X2978" i="15"/>
  <c r="Y2977" i="15" s="1"/>
  <c r="X2979" i="15"/>
  <c r="Y2978" i="15" s="1"/>
  <c r="X2980" i="15"/>
  <c r="Y2979" i="15" s="1"/>
  <c r="X2981" i="15"/>
  <c r="Y2980" i="15" s="1"/>
  <c r="X2982" i="15"/>
  <c r="Y2981" i="15" s="1"/>
  <c r="X2983" i="15"/>
  <c r="Y2982" i="15" s="1"/>
  <c r="X2984" i="15"/>
  <c r="Y2983" i="15" s="1"/>
  <c r="X2985" i="15"/>
  <c r="Y2984" i="15" s="1"/>
  <c r="X2986" i="15"/>
  <c r="Y2985" i="15" s="1"/>
  <c r="X2987" i="15"/>
  <c r="Y2986" i="15" s="1"/>
  <c r="X2988" i="15"/>
  <c r="Y2987" i="15" s="1"/>
  <c r="X2989" i="15"/>
  <c r="Y2988" i="15" s="1"/>
  <c r="X2990" i="15"/>
  <c r="Y2989" i="15" s="1"/>
  <c r="X2991" i="15"/>
  <c r="Y2990" i="15" s="1"/>
  <c r="X2992" i="15"/>
  <c r="Y2991" i="15" s="1"/>
  <c r="X2993" i="15"/>
  <c r="Y2992" i="15" s="1"/>
  <c r="X2994" i="15"/>
  <c r="Y2993" i="15" s="1"/>
  <c r="X2995" i="15"/>
  <c r="Y2994" i="15" s="1"/>
  <c r="X2996" i="15"/>
  <c r="Y2995" i="15" s="1"/>
  <c r="X2997" i="15"/>
  <c r="Y2996" i="15" s="1"/>
  <c r="X2998" i="15"/>
  <c r="Y2997" i="15" s="1"/>
  <c r="X2999" i="15"/>
  <c r="Y2998" i="15" s="1"/>
  <c r="X3000" i="15"/>
  <c r="Y2999" i="15" s="1"/>
  <c r="X3001" i="15"/>
  <c r="Y3000" i="15" s="1"/>
  <c r="X3002" i="15"/>
  <c r="Y3001" i="15" s="1"/>
  <c r="X3003" i="15"/>
  <c r="Y3002" i="15" s="1"/>
  <c r="X3004" i="15"/>
  <c r="Y3003" i="15" s="1"/>
  <c r="X3005" i="15"/>
  <c r="Y3004" i="15" s="1"/>
  <c r="X3006" i="15"/>
  <c r="Y3005" i="15" s="1"/>
  <c r="X3007" i="15"/>
  <c r="Y3006" i="15" s="1"/>
  <c r="X3008" i="15"/>
  <c r="Y3007" i="15" s="1"/>
  <c r="X3009" i="15"/>
  <c r="Y3008" i="15" s="1"/>
  <c r="X3010" i="15"/>
  <c r="Y3009" i="15" s="1"/>
  <c r="X3011" i="15"/>
  <c r="Y3010" i="15" s="1"/>
  <c r="X3012" i="15"/>
  <c r="Y3011" i="15" s="1"/>
  <c r="X3013" i="15"/>
  <c r="Y3012" i="15" s="1"/>
  <c r="X3014" i="15"/>
  <c r="Y3013" i="15" s="1"/>
  <c r="X3015" i="15"/>
  <c r="Y3014" i="15" s="1"/>
  <c r="X3016" i="15"/>
  <c r="Y3015" i="15" s="1"/>
  <c r="X3017" i="15"/>
  <c r="Y3016" i="15" s="1"/>
  <c r="X3018" i="15"/>
  <c r="Y3017" i="15" s="1"/>
  <c r="X3019" i="15"/>
  <c r="Y3018" i="15" s="1"/>
  <c r="X3020" i="15"/>
  <c r="Y3019" i="15" s="1"/>
  <c r="X3021" i="15"/>
  <c r="Y3020" i="15" s="1"/>
  <c r="X3022" i="15"/>
  <c r="Y3021" i="15" s="1"/>
  <c r="X3023" i="15"/>
  <c r="Y3022" i="15" s="1"/>
  <c r="X3024" i="15"/>
  <c r="Y3023" i="15" s="1"/>
  <c r="X3025" i="15"/>
  <c r="Y3024" i="15" s="1"/>
  <c r="X3026" i="15"/>
  <c r="Y3025" i="15" s="1"/>
  <c r="X3027" i="15"/>
  <c r="Y3026" i="15" s="1"/>
  <c r="X3028" i="15"/>
  <c r="Y3027" i="15" s="1"/>
  <c r="X3029" i="15"/>
  <c r="Y3028" i="15" s="1"/>
  <c r="X3030" i="15"/>
  <c r="Y3029" i="15" s="1"/>
  <c r="X3031" i="15"/>
  <c r="Y3030" i="15" s="1"/>
  <c r="X3032" i="15"/>
  <c r="Y3031" i="15" s="1"/>
  <c r="X3033" i="15"/>
  <c r="Y3032" i="15" s="1"/>
  <c r="X3034" i="15"/>
  <c r="Y3033" i="15" s="1"/>
  <c r="X3035" i="15"/>
  <c r="Y3034" i="15" s="1"/>
  <c r="X3036" i="15"/>
  <c r="Y3035" i="15" s="1"/>
  <c r="X3037" i="15"/>
  <c r="Y3036" i="15" s="1"/>
  <c r="X3038" i="15"/>
  <c r="Y3037" i="15" s="1"/>
  <c r="X3039" i="15"/>
  <c r="Y3038" i="15" s="1"/>
  <c r="X3040" i="15"/>
  <c r="Y3039" i="15" s="1"/>
  <c r="X3041" i="15"/>
  <c r="Y3040" i="15" s="1"/>
  <c r="X3042" i="15"/>
  <c r="Y3041" i="15" s="1"/>
  <c r="X3043" i="15"/>
  <c r="Y3042" i="15" s="1"/>
  <c r="X3044" i="15"/>
  <c r="Y3043" i="15" s="1"/>
  <c r="X3045" i="15"/>
  <c r="Y3044" i="15" s="1"/>
  <c r="X3046" i="15"/>
  <c r="Y3045" i="15" s="1"/>
  <c r="X3047" i="15"/>
  <c r="Y3046" i="15" s="1"/>
  <c r="X3048" i="15"/>
  <c r="Y3047" i="15" s="1"/>
  <c r="X3049" i="15"/>
  <c r="Y3048" i="15" s="1"/>
  <c r="X3050" i="15"/>
  <c r="Y3049" i="15" s="1"/>
  <c r="X3051" i="15"/>
  <c r="Y3050" i="15" s="1"/>
  <c r="X3052" i="15"/>
  <c r="Y3051" i="15" s="1"/>
  <c r="X3053" i="15"/>
  <c r="Y3052" i="15" s="1"/>
  <c r="X3054" i="15"/>
  <c r="Y3053" i="15" s="1"/>
  <c r="X3055" i="15"/>
  <c r="Y3054" i="15" s="1"/>
  <c r="X3056" i="15"/>
  <c r="Y3055" i="15" s="1"/>
  <c r="X3057" i="15"/>
  <c r="Y3056" i="15" s="1"/>
  <c r="X3058" i="15"/>
  <c r="Y3057" i="15" s="1"/>
  <c r="X3059" i="15"/>
  <c r="Y3058" i="15" s="1"/>
  <c r="X3060" i="15"/>
  <c r="Y3059" i="15" s="1"/>
  <c r="X3061" i="15"/>
  <c r="Y3060" i="15" s="1"/>
  <c r="X3062" i="15"/>
  <c r="Y3061" i="15" s="1"/>
  <c r="X3063" i="15"/>
  <c r="Y3062" i="15" s="1"/>
  <c r="X3064" i="15"/>
  <c r="Y3063" i="15" s="1"/>
  <c r="X3065" i="15"/>
  <c r="Y3064" i="15" s="1"/>
  <c r="X3066" i="15"/>
  <c r="Y3065" i="15" s="1"/>
  <c r="X3067" i="15"/>
  <c r="Y3066" i="15" s="1"/>
  <c r="X3068" i="15"/>
  <c r="Y3067" i="15" s="1"/>
  <c r="X3069" i="15"/>
  <c r="Y3068" i="15" s="1"/>
  <c r="X3070" i="15"/>
  <c r="Y3069" i="15" s="1"/>
  <c r="X3071" i="15"/>
  <c r="Y3070" i="15" s="1"/>
  <c r="X3072" i="15"/>
  <c r="Y3071" i="15" s="1"/>
  <c r="X3073" i="15"/>
  <c r="Y3072" i="15" s="1"/>
  <c r="X3074" i="15"/>
  <c r="Y3073" i="15" s="1"/>
  <c r="X3075" i="15"/>
  <c r="Y3074" i="15" s="1"/>
  <c r="X3076" i="15"/>
  <c r="Y3075" i="15" s="1"/>
  <c r="X3077" i="15"/>
  <c r="Y3076" i="15" s="1"/>
  <c r="X3078" i="15"/>
  <c r="Y3077" i="15" s="1"/>
  <c r="X3079" i="15"/>
  <c r="Y3078" i="15" s="1"/>
  <c r="X3080" i="15"/>
  <c r="Y3079" i="15" s="1"/>
  <c r="X3081" i="15"/>
  <c r="Y3080" i="15" s="1"/>
  <c r="X3082" i="15"/>
  <c r="Y3081" i="15" s="1"/>
  <c r="X3083" i="15"/>
  <c r="Y3082" i="15" s="1"/>
  <c r="X3084" i="15"/>
  <c r="Y3083" i="15" s="1"/>
  <c r="X3085" i="15"/>
  <c r="Y3084" i="15" s="1"/>
  <c r="X3086" i="15"/>
  <c r="Y3085" i="15" s="1"/>
  <c r="X3087" i="15"/>
  <c r="Y3086" i="15" s="1"/>
  <c r="X3088" i="15"/>
  <c r="Y3087" i="15" s="1"/>
  <c r="X3089" i="15"/>
  <c r="Y3088" i="15" s="1"/>
  <c r="X3090" i="15"/>
  <c r="Y3089" i="15" s="1"/>
  <c r="X3091" i="15"/>
  <c r="Y3090" i="15" s="1"/>
  <c r="X3092" i="15"/>
  <c r="Y3091" i="15" s="1"/>
  <c r="X3093" i="15"/>
  <c r="Y3092" i="15" s="1"/>
  <c r="X3094" i="15"/>
  <c r="Y3093" i="15" s="1"/>
  <c r="X3095" i="15"/>
  <c r="Y3094" i="15" s="1"/>
  <c r="X3096" i="15"/>
  <c r="Y3095" i="15" s="1"/>
  <c r="X3097" i="15"/>
  <c r="Y3096" i="15" s="1"/>
  <c r="X3098" i="15"/>
  <c r="Y3097" i="15" s="1"/>
  <c r="X3099" i="15"/>
  <c r="Y3098" i="15" s="1"/>
  <c r="X3100" i="15"/>
  <c r="Y3099" i="15" s="1"/>
  <c r="X3101" i="15"/>
  <c r="Y3100" i="15" s="1"/>
  <c r="X3102" i="15"/>
  <c r="Y3101" i="15" s="1"/>
  <c r="X3103" i="15"/>
  <c r="Y3102" i="15" s="1"/>
  <c r="X3104" i="15"/>
  <c r="Y3103" i="15" s="1"/>
  <c r="X3105" i="15"/>
  <c r="Y3104" i="15" s="1"/>
  <c r="X3106" i="15"/>
  <c r="Y3105" i="15" s="1"/>
  <c r="X3107" i="15"/>
  <c r="Y3106" i="15" s="1"/>
  <c r="X3108" i="15"/>
  <c r="Y3107" i="15" s="1"/>
  <c r="X3109" i="15"/>
  <c r="Y3108" i="15" s="1"/>
  <c r="X3110" i="15"/>
  <c r="Y3109" i="15" s="1"/>
  <c r="X3111" i="15"/>
  <c r="Y3110" i="15" s="1"/>
  <c r="X3112" i="15"/>
  <c r="Y3111" i="15" s="1"/>
  <c r="X3113" i="15"/>
  <c r="Y3112" i="15" s="1"/>
  <c r="X3114" i="15"/>
  <c r="Y3113" i="15" s="1"/>
  <c r="X3115" i="15"/>
  <c r="Y3114" i="15" s="1"/>
  <c r="X3116" i="15"/>
  <c r="Y3115" i="15" s="1"/>
  <c r="X3117" i="15"/>
  <c r="Y3116" i="15" s="1"/>
  <c r="X3118" i="15"/>
  <c r="Y3117" i="15" s="1"/>
  <c r="X3119" i="15"/>
  <c r="Y3118" i="15" s="1"/>
  <c r="X3120" i="15"/>
  <c r="Y3119" i="15" s="1"/>
  <c r="X3121" i="15"/>
  <c r="Y3120" i="15" s="1"/>
  <c r="X3122" i="15"/>
  <c r="Y3121" i="15" s="1"/>
  <c r="X3123" i="15"/>
  <c r="Y3122" i="15" s="1"/>
  <c r="X3124" i="15"/>
  <c r="Y3123" i="15" s="1"/>
  <c r="X3125" i="15"/>
  <c r="Y3124" i="15" s="1"/>
  <c r="X3126" i="15"/>
  <c r="Y3125" i="15" s="1"/>
  <c r="X3127" i="15"/>
  <c r="Y3126" i="15" s="1"/>
  <c r="X3128" i="15"/>
  <c r="Y3127" i="15" s="1"/>
  <c r="X3129" i="15"/>
  <c r="Y3128" i="15" s="1"/>
  <c r="X3130" i="15"/>
  <c r="Y3129" i="15" s="1"/>
  <c r="X3131" i="15"/>
  <c r="Y3130" i="15" s="1"/>
  <c r="X3132" i="15"/>
  <c r="Y3131" i="15" s="1"/>
  <c r="X3133" i="15"/>
  <c r="Y3132" i="15" s="1"/>
  <c r="X3134" i="15"/>
  <c r="Y3133" i="15" s="1"/>
  <c r="X3135" i="15"/>
  <c r="Y3134" i="15" s="1"/>
  <c r="X3136" i="15"/>
  <c r="Y3135" i="15" s="1"/>
  <c r="X3137" i="15"/>
  <c r="Y3136" i="15" s="1"/>
  <c r="X3138" i="15"/>
  <c r="Y3137" i="15" s="1"/>
  <c r="X3139" i="15"/>
  <c r="Y3138" i="15" s="1"/>
  <c r="X3140" i="15"/>
  <c r="Y3139" i="15" s="1"/>
  <c r="X3141" i="15"/>
  <c r="Y3140" i="15" s="1"/>
  <c r="X3142" i="15"/>
  <c r="Y3141" i="15" s="1"/>
  <c r="X3143" i="15"/>
  <c r="Y3142" i="15" s="1"/>
  <c r="X3144" i="15"/>
  <c r="Y3143" i="15" s="1"/>
  <c r="X3145" i="15"/>
  <c r="Y3144" i="15" s="1"/>
  <c r="X3146" i="15"/>
  <c r="Y3145" i="15" s="1"/>
  <c r="X3147" i="15"/>
  <c r="Y3146" i="15" s="1"/>
  <c r="X3148" i="15"/>
  <c r="Y3147" i="15" s="1"/>
  <c r="X3149" i="15"/>
  <c r="Y3148" i="15" s="1"/>
  <c r="X3150" i="15"/>
  <c r="Y3149" i="15" s="1"/>
  <c r="X3151" i="15"/>
  <c r="Y3150" i="15" s="1"/>
  <c r="X3152" i="15"/>
  <c r="Y3151" i="15" s="1"/>
  <c r="X3153" i="15"/>
  <c r="Y3152" i="15" s="1"/>
  <c r="X3154" i="15"/>
  <c r="Y3153" i="15" s="1"/>
  <c r="X3155" i="15"/>
  <c r="Y3154" i="15" s="1"/>
  <c r="X3156" i="15"/>
  <c r="Y3155" i="15" s="1"/>
  <c r="X3157" i="15"/>
  <c r="Y3156" i="15" s="1"/>
  <c r="X3158" i="15"/>
  <c r="Y3157" i="15" s="1"/>
  <c r="X3159" i="15"/>
  <c r="Y3158" i="15" s="1"/>
  <c r="X3160" i="15"/>
  <c r="Y3159" i="15" s="1"/>
  <c r="X3161" i="15"/>
  <c r="Y3160" i="15" s="1"/>
  <c r="X3162" i="15"/>
  <c r="Y3161" i="15" s="1"/>
  <c r="X3163" i="15"/>
  <c r="Y3162" i="15" s="1"/>
  <c r="X3164" i="15"/>
  <c r="Y3163" i="15" s="1"/>
  <c r="X3165" i="15"/>
  <c r="Y3164" i="15" s="1"/>
  <c r="X3166" i="15"/>
  <c r="Y3165" i="15" s="1"/>
  <c r="X3167" i="15"/>
  <c r="Y3166" i="15" s="1"/>
  <c r="X3168" i="15"/>
  <c r="Y3167" i="15" s="1"/>
  <c r="X3169" i="15"/>
  <c r="Y3168" i="15" s="1"/>
  <c r="X3170" i="15"/>
  <c r="Y3169" i="15" s="1"/>
  <c r="X3171" i="15"/>
  <c r="Y3170" i="15" s="1"/>
  <c r="X3172" i="15"/>
  <c r="Y3171" i="15" s="1"/>
  <c r="X3173" i="15"/>
  <c r="Y3172" i="15" s="1"/>
  <c r="X3174" i="15"/>
  <c r="Y3173" i="15" s="1"/>
  <c r="X3175" i="15"/>
  <c r="Y3174" i="15" s="1"/>
  <c r="X3176" i="15"/>
  <c r="Y3175" i="15" s="1"/>
  <c r="X3177" i="15"/>
  <c r="Y3176" i="15" s="1"/>
  <c r="X3178" i="15"/>
  <c r="Y3177" i="15" s="1"/>
  <c r="X3179" i="15"/>
  <c r="Y3178" i="15" s="1"/>
  <c r="X3180" i="15"/>
  <c r="Y3179" i="15" s="1"/>
  <c r="X3181" i="15"/>
  <c r="Y3180" i="15" s="1"/>
  <c r="X3182" i="15"/>
  <c r="Y3181" i="15" s="1"/>
  <c r="X3183" i="15"/>
  <c r="Y3182" i="15" s="1"/>
  <c r="X3184" i="15"/>
  <c r="Y3183" i="15" s="1"/>
  <c r="X3185" i="15"/>
  <c r="Y3184" i="15" s="1"/>
  <c r="X3186" i="15"/>
  <c r="Y3185" i="15" s="1"/>
  <c r="X3187" i="15"/>
  <c r="Y3186" i="15" s="1"/>
  <c r="X3188" i="15"/>
  <c r="Y3187" i="15" s="1"/>
  <c r="X3189" i="15"/>
  <c r="Y3188" i="15" s="1"/>
  <c r="X3190" i="15"/>
  <c r="Y3189" i="15" s="1"/>
  <c r="X3191" i="15"/>
  <c r="Y3190" i="15" s="1"/>
  <c r="X3192" i="15"/>
  <c r="Y3191" i="15" s="1"/>
  <c r="X3193" i="15"/>
  <c r="Y3192" i="15" s="1"/>
  <c r="X3194" i="15"/>
  <c r="Y3193" i="15" s="1"/>
  <c r="X3195" i="15"/>
  <c r="Y3194" i="15" s="1"/>
  <c r="X3196" i="15"/>
  <c r="Y3195" i="15" s="1"/>
  <c r="X3197" i="15"/>
  <c r="Y3196" i="15" s="1"/>
  <c r="X3198" i="15"/>
  <c r="Y3197" i="15" s="1"/>
  <c r="X3199" i="15"/>
  <c r="Y3198" i="15" s="1"/>
  <c r="X3200" i="15"/>
  <c r="Y3199" i="15" s="1"/>
  <c r="X3201" i="15"/>
  <c r="Y3200" i="15" s="1"/>
  <c r="X3202" i="15"/>
  <c r="Y3201" i="15" s="1"/>
  <c r="X3203" i="15"/>
  <c r="Y3202" i="15" s="1"/>
  <c r="X3204" i="15"/>
  <c r="Y3203" i="15" s="1"/>
  <c r="X3205" i="15"/>
  <c r="Y3204" i="15" s="1"/>
  <c r="X3206" i="15"/>
  <c r="Y3205" i="15" s="1"/>
  <c r="X3207" i="15"/>
  <c r="Y3206" i="15" s="1"/>
  <c r="X3208" i="15"/>
  <c r="Y3207" i="15" s="1"/>
  <c r="X3209" i="15"/>
  <c r="Y3208" i="15" s="1"/>
  <c r="X3210" i="15"/>
  <c r="Y3209" i="15" s="1"/>
  <c r="X3211" i="15"/>
  <c r="Y3210" i="15" s="1"/>
  <c r="X3212" i="15"/>
  <c r="Y3211" i="15" s="1"/>
  <c r="X3213" i="15"/>
  <c r="Y3212" i="15" s="1"/>
  <c r="X3214" i="15"/>
  <c r="Y3213" i="15" s="1"/>
  <c r="X3215" i="15"/>
  <c r="Y3214" i="15" s="1"/>
  <c r="X3216" i="15"/>
  <c r="Y3215" i="15" s="1"/>
  <c r="X3217" i="15"/>
  <c r="Y3216" i="15" s="1"/>
  <c r="X3218" i="15"/>
  <c r="Y3217" i="15" s="1"/>
  <c r="X3219" i="15"/>
  <c r="Y3218" i="15" s="1"/>
  <c r="X3220" i="15"/>
  <c r="Y3219" i="15" s="1"/>
  <c r="X3221" i="15"/>
  <c r="Y3220" i="15" s="1"/>
  <c r="X3222" i="15"/>
  <c r="Y3221" i="15" s="1"/>
  <c r="X3223" i="15"/>
  <c r="Y3222" i="15" s="1"/>
  <c r="X3224" i="15"/>
  <c r="Y3223" i="15" s="1"/>
  <c r="X3225" i="15"/>
  <c r="Y3224" i="15" s="1"/>
  <c r="X3226" i="15"/>
  <c r="Y3225" i="15" s="1"/>
  <c r="X3227" i="15"/>
  <c r="Y3226" i="15" s="1"/>
  <c r="X3228" i="15"/>
  <c r="Y3227" i="15" s="1"/>
  <c r="X3229" i="15"/>
  <c r="Y3228" i="15" s="1"/>
  <c r="X3230" i="15"/>
  <c r="Y3229" i="15" s="1"/>
  <c r="X3231" i="15"/>
  <c r="Y3230" i="15" s="1"/>
  <c r="X3232" i="15"/>
  <c r="Y3231" i="15" s="1"/>
  <c r="X3233" i="15"/>
  <c r="Y3232" i="15" s="1"/>
  <c r="X3234" i="15"/>
  <c r="Y3233" i="15" s="1"/>
  <c r="X3235" i="15"/>
  <c r="Y3234" i="15" s="1"/>
  <c r="X3236" i="15"/>
  <c r="Y3235" i="15" s="1"/>
  <c r="X3237" i="15"/>
  <c r="Y3236" i="15" s="1"/>
  <c r="X3238" i="15"/>
  <c r="Y3237" i="15" s="1"/>
  <c r="X3239" i="15"/>
  <c r="Y3238" i="15" s="1"/>
  <c r="X3240" i="15"/>
  <c r="Y3239" i="15" s="1"/>
  <c r="X3241" i="15"/>
  <c r="Y3240" i="15" s="1"/>
  <c r="X3242" i="15"/>
  <c r="Y3241" i="15" s="1"/>
  <c r="X3243" i="15"/>
  <c r="Y3242" i="15" s="1"/>
  <c r="X3244" i="15"/>
  <c r="Y3243" i="15" s="1"/>
  <c r="X3245" i="15"/>
  <c r="Y3244" i="15" s="1"/>
  <c r="X3246" i="15"/>
  <c r="Y3245" i="15" s="1"/>
  <c r="X3247" i="15"/>
  <c r="Y3246" i="15" s="1"/>
  <c r="X3248" i="15"/>
  <c r="Y3247" i="15" s="1"/>
  <c r="X3249" i="15"/>
  <c r="Y3248" i="15" s="1"/>
  <c r="X3250" i="15"/>
  <c r="Y3249" i="15" s="1"/>
  <c r="X3251" i="15"/>
  <c r="Y3250" i="15" s="1"/>
  <c r="X3252" i="15"/>
  <c r="Y3251" i="15" s="1"/>
  <c r="X3253" i="15"/>
  <c r="Y3252" i="15" s="1"/>
  <c r="X3254" i="15"/>
  <c r="Y3253" i="15" s="1"/>
  <c r="X3255" i="15"/>
  <c r="Y3254" i="15" s="1"/>
  <c r="X3256" i="15"/>
  <c r="Y3255" i="15" s="1"/>
  <c r="X3257" i="15"/>
  <c r="Y3256" i="15" s="1"/>
  <c r="X3258" i="15"/>
  <c r="Y3257" i="15" s="1"/>
  <c r="X3259" i="15"/>
  <c r="Y3258" i="15" s="1"/>
  <c r="X3260" i="15"/>
  <c r="Y3259" i="15" s="1"/>
  <c r="X3261" i="15"/>
  <c r="Y3260" i="15" s="1"/>
  <c r="X3262" i="15"/>
  <c r="Y3261" i="15" s="1"/>
  <c r="X3263" i="15"/>
  <c r="Y3262" i="15" s="1"/>
  <c r="X3264" i="15"/>
  <c r="Y3263" i="15" s="1"/>
  <c r="X3265" i="15"/>
  <c r="Y3264" i="15" s="1"/>
  <c r="X3266" i="15"/>
  <c r="Y3265" i="15" s="1"/>
  <c r="X3267" i="15"/>
  <c r="Y3266" i="15" s="1"/>
  <c r="X3268" i="15"/>
  <c r="Y3267" i="15" s="1"/>
  <c r="X3269" i="15"/>
  <c r="Y3268" i="15" s="1"/>
  <c r="X3270" i="15"/>
  <c r="Y3269" i="15" s="1"/>
  <c r="X3271" i="15"/>
  <c r="Y3270" i="15" s="1"/>
  <c r="X3272" i="15"/>
  <c r="Y3271" i="15" s="1"/>
  <c r="X3273" i="15"/>
  <c r="Y3272" i="15" s="1"/>
  <c r="X3274" i="15"/>
  <c r="Y3273" i="15" s="1"/>
  <c r="X3275" i="15"/>
  <c r="Y3274" i="15" s="1"/>
  <c r="X3276" i="15"/>
  <c r="Y3275" i="15" s="1"/>
  <c r="X3277" i="15"/>
  <c r="Y3276" i="15" s="1"/>
  <c r="X3278" i="15"/>
  <c r="Y3277" i="15" s="1"/>
  <c r="X3279" i="15"/>
  <c r="Y3278" i="15" s="1"/>
  <c r="X3280" i="15"/>
  <c r="Y3279" i="15" s="1"/>
  <c r="X3281" i="15"/>
  <c r="Y3280" i="15" s="1"/>
  <c r="X3282" i="15"/>
  <c r="Y3281" i="15" s="1"/>
  <c r="X3283" i="15"/>
  <c r="Y3282" i="15" s="1"/>
  <c r="X3284" i="15"/>
  <c r="Y3283" i="15" s="1"/>
  <c r="X3285" i="15"/>
  <c r="Y3284" i="15" s="1"/>
  <c r="X3286" i="15"/>
  <c r="Y3285" i="15" s="1"/>
  <c r="X3287" i="15"/>
  <c r="Y3286" i="15" s="1"/>
  <c r="X3288" i="15"/>
  <c r="Y3287" i="15" s="1"/>
  <c r="X3289" i="15"/>
  <c r="Y3288" i="15" s="1"/>
  <c r="X3290" i="15"/>
  <c r="Y3289" i="15" s="1"/>
  <c r="X3291" i="15"/>
  <c r="Y3290" i="15" s="1"/>
  <c r="X3292" i="15"/>
  <c r="Y3291" i="15" s="1"/>
  <c r="X3293" i="15"/>
  <c r="Y3292" i="15" s="1"/>
  <c r="X3294" i="15"/>
  <c r="Y3293" i="15" s="1"/>
  <c r="X3295" i="15"/>
  <c r="Y3294" i="15" s="1"/>
  <c r="X3296" i="15"/>
  <c r="Y3295" i="15" s="1"/>
  <c r="X3297" i="15"/>
  <c r="Y3296" i="15" s="1"/>
  <c r="X3298" i="15"/>
  <c r="Y3297" i="15" s="1"/>
  <c r="X3299" i="15"/>
  <c r="Y3298" i="15" s="1"/>
  <c r="X3300" i="15"/>
  <c r="Y3299" i="15" s="1"/>
  <c r="X3301" i="15"/>
  <c r="Y3300" i="15" s="1"/>
  <c r="X3302" i="15"/>
  <c r="Y3301" i="15" s="1"/>
  <c r="X3303" i="15"/>
  <c r="Y3302" i="15" s="1"/>
  <c r="X3304" i="15"/>
  <c r="Y3303" i="15" s="1"/>
  <c r="X3305" i="15"/>
  <c r="Y3304" i="15" s="1"/>
  <c r="X3306" i="15"/>
  <c r="Y3305" i="15" s="1"/>
  <c r="X3307" i="15"/>
  <c r="Y3306" i="15" s="1"/>
  <c r="X3308" i="15"/>
  <c r="Y3307" i="15" s="1"/>
  <c r="X3309" i="15"/>
  <c r="Y3308" i="15" s="1"/>
  <c r="X3310" i="15"/>
  <c r="Y3309" i="15" s="1"/>
  <c r="X3311" i="15"/>
  <c r="Y3310" i="15" s="1"/>
  <c r="X3312" i="15"/>
  <c r="Y3311" i="15" s="1"/>
  <c r="X3313" i="15"/>
  <c r="Y3312" i="15" s="1"/>
  <c r="X3314" i="15"/>
  <c r="Y3313" i="15" s="1"/>
  <c r="X3315" i="15"/>
  <c r="Y3314" i="15" s="1"/>
  <c r="X3316" i="15"/>
  <c r="Y3315" i="15" s="1"/>
  <c r="X3317" i="15"/>
  <c r="Y3316" i="15" s="1"/>
  <c r="X3318" i="15"/>
  <c r="Y3317" i="15" s="1"/>
  <c r="X3319" i="15"/>
  <c r="Y3318" i="15" s="1"/>
  <c r="X3320" i="15"/>
  <c r="Y3319" i="15" s="1"/>
  <c r="X3321" i="15"/>
  <c r="Y3320" i="15" s="1"/>
  <c r="X3322" i="15"/>
  <c r="Y3321" i="15" s="1"/>
  <c r="X3323" i="15"/>
  <c r="Y3322" i="15" s="1"/>
  <c r="X3324" i="15"/>
  <c r="Y3323" i="15" s="1"/>
  <c r="X3325" i="15"/>
  <c r="Y3324" i="15" s="1"/>
  <c r="X3326" i="15"/>
  <c r="Y3325" i="15" s="1"/>
  <c r="X3327" i="15"/>
  <c r="Y3326" i="15" s="1"/>
  <c r="X3328" i="15"/>
  <c r="Y3327" i="15" s="1"/>
  <c r="X3329" i="15"/>
  <c r="Y3328" i="15" s="1"/>
  <c r="X3330" i="15"/>
  <c r="Y3329" i="15" s="1"/>
  <c r="X3331" i="15"/>
  <c r="Y3330" i="15" s="1"/>
  <c r="X3332" i="15"/>
  <c r="Y3331" i="15" s="1"/>
  <c r="X3333" i="15"/>
  <c r="Y3332" i="15" s="1"/>
  <c r="X3334" i="15"/>
  <c r="Y3333" i="15" s="1"/>
  <c r="X3335" i="15"/>
  <c r="Y3334" i="15" s="1"/>
  <c r="X3336" i="15"/>
  <c r="Y3335" i="15" s="1"/>
  <c r="X3337" i="15"/>
  <c r="Y3336" i="15" s="1"/>
  <c r="X3338" i="15"/>
  <c r="Y3337" i="15" s="1"/>
  <c r="X3339" i="15"/>
  <c r="Y3338" i="15" s="1"/>
  <c r="X3340" i="15"/>
  <c r="Y3339" i="15" s="1"/>
  <c r="X3341" i="15"/>
  <c r="Y3340" i="15" s="1"/>
  <c r="X3342" i="15"/>
  <c r="Y3341" i="15" s="1"/>
  <c r="X3343" i="15"/>
  <c r="Y3342" i="15" s="1"/>
  <c r="X3344" i="15"/>
  <c r="Y3343" i="15" s="1"/>
  <c r="X3345" i="15"/>
  <c r="Y3344" i="15" s="1"/>
  <c r="X3346" i="15"/>
  <c r="Y3345" i="15" s="1"/>
  <c r="X3347" i="15"/>
  <c r="Y3346" i="15" s="1"/>
  <c r="X3348" i="15"/>
  <c r="Y3347" i="15" s="1"/>
  <c r="X3349" i="15"/>
  <c r="Y3348" i="15" s="1"/>
  <c r="X3350" i="15"/>
  <c r="Y3349" i="15" s="1"/>
  <c r="X3351" i="15"/>
  <c r="Y3350" i="15" s="1"/>
  <c r="X3352" i="15"/>
  <c r="Y3351" i="15" s="1"/>
  <c r="X3353" i="15"/>
  <c r="Y3352" i="15" s="1"/>
  <c r="X3354" i="15"/>
  <c r="Y3353" i="15" s="1"/>
  <c r="X3355" i="15"/>
  <c r="Y3354" i="15" s="1"/>
  <c r="X3356" i="15"/>
  <c r="Y3355" i="15" s="1"/>
  <c r="X3357" i="15"/>
  <c r="Y3356" i="15" s="1"/>
  <c r="X3358" i="15"/>
  <c r="Y3357" i="15" s="1"/>
  <c r="X3359" i="15"/>
  <c r="Y3358" i="15" s="1"/>
  <c r="X3360" i="15"/>
  <c r="Y3359" i="15" s="1"/>
  <c r="X3361" i="15"/>
  <c r="Y3360" i="15" s="1"/>
  <c r="X3362" i="15"/>
  <c r="Y3361" i="15" s="1"/>
  <c r="X3363" i="15"/>
  <c r="Y3362" i="15" s="1"/>
  <c r="X3364" i="15"/>
  <c r="Y3363" i="15" s="1"/>
  <c r="X3365" i="15"/>
  <c r="Y3364" i="15" s="1"/>
  <c r="X3366" i="15"/>
  <c r="Y3365" i="15" s="1"/>
  <c r="X3367" i="15"/>
  <c r="Y3366" i="15" s="1"/>
  <c r="X3368" i="15"/>
  <c r="Y3367" i="15" s="1"/>
  <c r="X3369" i="15"/>
  <c r="Y3368" i="15" s="1"/>
  <c r="X3370" i="15"/>
  <c r="Y3369" i="15" s="1"/>
  <c r="X3371" i="15"/>
  <c r="Y3370" i="15" s="1"/>
  <c r="X3372" i="15"/>
  <c r="Y3371" i="15" s="1"/>
  <c r="X3373" i="15"/>
  <c r="Y3372" i="15" s="1"/>
  <c r="X3374" i="15"/>
  <c r="Y3373" i="15" s="1"/>
  <c r="X3375" i="15"/>
  <c r="Y3374" i="15" s="1"/>
  <c r="X3376" i="15"/>
  <c r="Y3375" i="15" s="1"/>
  <c r="X3377" i="15"/>
  <c r="Y3376" i="15" s="1"/>
  <c r="X3378" i="15"/>
  <c r="Y3377" i="15" s="1"/>
  <c r="X3379" i="15"/>
  <c r="Y3378" i="15" s="1"/>
  <c r="X3380" i="15"/>
  <c r="Y3379" i="15" s="1"/>
  <c r="X3381" i="15"/>
  <c r="Y3380" i="15" s="1"/>
  <c r="X3382" i="15"/>
  <c r="Y3381" i="15" s="1"/>
  <c r="X3383" i="15"/>
  <c r="Y3382" i="15" s="1"/>
  <c r="X3384" i="15"/>
  <c r="Y3383" i="15" s="1"/>
  <c r="X3385" i="15"/>
  <c r="Y3384" i="15" s="1"/>
  <c r="X3386" i="15"/>
  <c r="Y3385" i="15" s="1"/>
  <c r="X3387" i="15"/>
  <c r="Y3386" i="15" s="1"/>
  <c r="X3388" i="15"/>
  <c r="Y3387" i="15" s="1"/>
  <c r="X3389" i="15"/>
  <c r="Y3388" i="15" s="1"/>
  <c r="X3390" i="15"/>
  <c r="Y3389" i="15" s="1"/>
  <c r="X3391" i="15"/>
  <c r="Y3390" i="15" s="1"/>
  <c r="X3392" i="15"/>
  <c r="Y3391" i="15" s="1"/>
  <c r="X3393" i="15"/>
  <c r="Y3392" i="15" s="1"/>
  <c r="X3394" i="15"/>
  <c r="Y3393" i="15" s="1"/>
  <c r="X3395" i="15"/>
  <c r="Y3394" i="15" s="1"/>
  <c r="X3396" i="15"/>
  <c r="Y3395" i="15" s="1"/>
  <c r="X3397" i="15"/>
  <c r="Y3396" i="15" s="1"/>
  <c r="X3398" i="15"/>
  <c r="Y3397" i="15" s="1"/>
  <c r="X3399" i="15"/>
  <c r="Y3398" i="15" s="1"/>
  <c r="X3400" i="15"/>
  <c r="Y3399" i="15" s="1"/>
  <c r="X3401" i="15"/>
  <c r="Y3400" i="15" s="1"/>
  <c r="X3402" i="15"/>
  <c r="Y3401" i="15" s="1"/>
  <c r="X3403" i="15"/>
  <c r="Y3402" i="15" s="1"/>
  <c r="X3404" i="15"/>
  <c r="Y3403" i="15" s="1"/>
  <c r="X3405" i="15"/>
  <c r="Y3404" i="15" s="1"/>
  <c r="X3406" i="15"/>
  <c r="Y3405" i="15" s="1"/>
  <c r="X3407" i="15"/>
  <c r="Y3406" i="15" s="1"/>
  <c r="X3408" i="15"/>
  <c r="Y3407" i="15" s="1"/>
  <c r="X3409" i="15"/>
  <c r="Y3408" i="15" s="1"/>
  <c r="X3410" i="15"/>
  <c r="Y3409" i="15" s="1"/>
  <c r="X3411" i="15"/>
  <c r="Y3410" i="15" s="1"/>
  <c r="X3412" i="15"/>
  <c r="Y3411" i="15" s="1"/>
  <c r="X3413" i="15"/>
  <c r="Y3412" i="15" s="1"/>
  <c r="X3414" i="15"/>
  <c r="Y3413" i="15" s="1"/>
  <c r="X3415" i="15"/>
  <c r="Y3414" i="15" s="1"/>
  <c r="X3416" i="15"/>
  <c r="Y3415" i="15" s="1"/>
  <c r="X3417" i="15"/>
  <c r="Y3416" i="15" s="1"/>
  <c r="X3418" i="15"/>
  <c r="Y3417" i="15" s="1"/>
  <c r="X3419" i="15"/>
  <c r="Y3418" i="15" s="1"/>
  <c r="X3420" i="15"/>
  <c r="Y3419" i="15" s="1"/>
  <c r="X3421" i="15"/>
  <c r="Y3420" i="15" s="1"/>
  <c r="X3422" i="15"/>
  <c r="Y3421" i="15" s="1"/>
  <c r="X3423" i="15"/>
  <c r="Y3422" i="15" s="1"/>
  <c r="X3424" i="15"/>
  <c r="Y3423" i="15" s="1"/>
  <c r="X3425" i="15"/>
  <c r="Y3424" i="15" s="1"/>
  <c r="X3426" i="15"/>
  <c r="Y3425" i="15" s="1"/>
  <c r="X3427" i="15"/>
  <c r="Y3426" i="15" s="1"/>
  <c r="X3428" i="15"/>
  <c r="Y3427" i="15" s="1"/>
  <c r="X3429" i="15"/>
  <c r="Y3428" i="15" s="1"/>
  <c r="X3430" i="15"/>
  <c r="Y3429" i="15" s="1"/>
  <c r="X3431" i="15"/>
  <c r="Y3430" i="15" s="1"/>
  <c r="X3432" i="15"/>
  <c r="Y3431" i="15" s="1"/>
  <c r="X3433" i="15"/>
  <c r="Y3432" i="15" s="1"/>
  <c r="X3434" i="15"/>
  <c r="Y3433" i="15" s="1"/>
  <c r="X3435" i="15"/>
  <c r="Y3434" i="15" s="1"/>
  <c r="X3436" i="15"/>
  <c r="Y3435" i="15" s="1"/>
  <c r="X3437" i="15"/>
  <c r="Y3436" i="15" s="1"/>
  <c r="X3438" i="15"/>
  <c r="Y3437" i="15" s="1"/>
  <c r="X3439" i="15"/>
  <c r="Y3438" i="15" s="1"/>
  <c r="X3440" i="15"/>
  <c r="Y3439" i="15" s="1"/>
  <c r="X3441" i="15"/>
  <c r="Y3440" i="15" s="1"/>
  <c r="X3442" i="15"/>
  <c r="Y3441" i="15" s="1"/>
  <c r="X3443" i="15"/>
  <c r="Y3442" i="15" s="1"/>
  <c r="X3444" i="15"/>
  <c r="Y3443" i="15" s="1"/>
  <c r="X3445" i="15"/>
  <c r="Y3444" i="15" s="1"/>
  <c r="X3446" i="15"/>
  <c r="Y3445" i="15" s="1"/>
  <c r="X3447" i="15"/>
  <c r="Y3446" i="15" s="1"/>
  <c r="X3448" i="15"/>
  <c r="Y3447" i="15" s="1"/>
  <c r="X3449" i="15"/>
  <c r="Y3448" i="15" s="1"/>
  <c r="X3450" i="15"/>
  <c r="Y3449" i="15" s="1"/>
  <c r="X3451" i="15"/>
  <c r="Y3450" i="15" s="1"/>
  <c r="X3452" i="15"/>
  <c r="Y3451" i="15" s="1"/>
  <c r="X3453" i="15"/>
  <c r="Y3452" i="15" s="1"/>
  <c r="X3454" i="15"/>
  <c r="Y3453" i="15" s="1"/>
  <c r="X3455" i="15"/>
  <c r="Y3454" i="15" s="1"/>
  <c r="X3456" i="15"/>
  <c r="Y3455" i="15" s="1"/>
  <c r="X3457" i="15"/>
  <c r="Y3456" i="15" s="1"/>
  <c r="X3458" i="15"/>
  <c r="Y3457" i="15" s="1"/>
  <c r="X3459" i="15"/>
  <c r="Y3458" i="15" s="1"/>
  <c r="X3460" i="15"/>
  <c r="Y3459" i="15" s="1"/>
  <c r="X3461" i="15"/>
  <c r="Y3460" i="15" s="1"/>
  <c r="X3462" i="15"/>
  <c r="Y3461" i="15" s="1"/>
  <c r="X3463" i="15"/>
  <c r="Y3462" i="15" s="1"/>
  <c r="X3464" i="15"/>
  <c r="Y3463" i="15" s="1"/>
  <c r="X3465" i="15"/>
  <c r="Y3464" i="15" s="1"/>
  <c r="X3466" i="15"/>
  <c r="Y3465" i="15" s="1"/>
  <c r="X3467" i="15"/>
  <c r="Y3466" i="15" s="1"/>
  <c r="X3468" i="15"/>
  <c r="Y3467" i="15" s="1"/>
  <c r="X3469" i="15"/>
  <c r="Y3468" i="15" s="1"/>
  <c r="X3470" i="15"/>
  <c r="Y3469" i="15" s="1"/>
  <c r="X3471" i="15"/>
  <c r="Y3470" i="15" s="1"/>
  <c r="X3472" i="15"/>
  <c r="Y3471" i="15" s="1"/>
  <c r="X3473" i="15"/>
  <c r="Y3472" i="15" s="1"/>
  <c r="X3474" i="15"/>
  <c r="Y3473" i="15" s="1"/>
  <c r="X3475" i="15"/>
  <c r="Y3474" i="15" s="1"/>
  <c r="X3476" i="15"/>
  <c r="Y3475" i="15" s="1"/>
  <c r="X3477" i="15"/>
  <c r="Y3476" i="15" s="1"/>
  <c r="X3478" i="15"/>
  <c r="Y3477" i="15" s="1"/>
  <c r="X3479" i="15"/>
  <c r="Y3478" i="15" s="1"/>
  <c r="X3480" i="15"/>
  <c r="Y3479" i="15" s="1"/>
  <c r="X3481" i="15"/>
  <c r="Y3480" i="15" s="1"/>
  <c r="X3482" i="15"/>
  <c r="Y3481" i="15" s="1"/>
  <c r="X3483" i="15"/>
  <c r="Y3482" i="15" s="1"/>
  <c r="X3484" i="15"/>
  <c r="Y3483" i="15" s="1"/>
  <c r="X3485" i="15"/>
  <c r="Y3484" i="15" s="1"/>
  <c r="X3486" i="15"/>
  <c r="Y3485" i="15" s="1"/>
  <c r="X3487" i="15"/>
  <c r="Y3486" i="15" s="1"/>
  <c r="X3488" i="15"/>
  <c r="Y3487" i="15" s="1"/>
  <c r="X3489" i="15"/>
  <c r="Y3488" i="15" s="1"/>
  <c r="X3490" i="15"/>
  <c r="Y3489" i="15" s="1"/>
  <c r="X3491" i="15"/>
  <c r="Y3490" i="15" s="1"/>
  <c r="X3492" i="15"/>
  <c r="Y3491" i="15" s="1"/>
  <c r="X3493" i="15"/>
  <c r="Y3492" i="15" s="1"/>
  <c r="X3494" i="15"/>
  <c r="Y3493" i="15" s="1"/>
  <c r="X3495" i="15"/>
  <c r="Y3494" i="15" s="1"/>
  <c r="X3496" i="15"/>
  <c r="Y3495" i="15" s="1"/>
  <c r="X3497" i="15"/>
  <c r="Y3496" i="15" s="1"/>
  <c r="X3498" i="15"/>
  <c r="Y3497" i="15" s="1"/>
  <c r="X3499" i="15"/>
  <c r="Y3498" i="15" s="1"/>
  <c r="X3500" i="15"/>
  <c r="Y3499" i="15" s="1"/>
  <c r="X3501" i="15"/>
  <c r="Y3500" i="15" s="1"/>
  <c r="X3502" i="15"/>
  <c r="Y3501" i="15" s="1"/>
  <c r="X3503" i="15"/>
  <c r="Y3502" i="15" s="1"/>
  <c r="X3504" i="15"/>
  <c r="Y3503" i="15" s="1"/>
  <c r="X3505" i="15"/>
  <c r="Y3504" i="15" s="1"/>
  <c r="X3506" i="15"/>
  <c r="Y3505" i="15" s="1"/>
  <c r="X3507" i="15"/>
  <c r="Y3506" i="15" s="1"/>
  <c r="X3508" i="15"/>
  <c r="Y3507" i="15" s="1"/>
  <c r="X3509" i="15"/>
  <c r="Y3508" i="15" s="1"/>
  <c r="X3510" i="15"/>
  <c r="Y3509" i="15" s="1"/>
  <c r="X3511" i="15"/>
  <c r="Y3510" i="15" s="1"/>
  <c r="X3512" i="15"/>
  <c r="Y3511" i="15" s="1"/>
  <c r="X3513" i="15"/>
  <c r="Y3512" i="15" s="1"/>
  <c r="X3514" i="15"/>
  <c r="Y3513" i="15" s="1"/>
  <c r="X3515" i="15"/>
  <c r="Y3514" i="15" s="1"/>
  <c r="X3516" i="15"/>
  <c r="Y3515" i="15" s="1"/>
  <c r="X3517" i="15"/>
  <c r="Y3516" i="15" s="1"/>
  <c r="X3518" i="15"/>
  <c r="Y3517" i="15" s="1"/>
  <c r="X3519" i="15"/>
  <c r="Y3518" i="15" s="1"/>
  <c r="X3520" i="15"/>
  <c r="Y3519" i="15" s="1"/>
  <c r="X3521" i="15"/>
  <c r="Y3520" i="15" s="1"/>
  <c r="X3522" i="15"/>
  <c r="Y3521" i="15" s="1"/>
  <c r="X3523" i="15"/>
  <c r="Y3522" i="15" s="1"/>
  <c r="X3524" i="15"/>
  <c r="Y3523" i="15" s="1"/>
  <c r="X3525" i="15"/>
  <c r="Y3524" i="15" s="1"/>
  <c r="X3526" i="15"/>
  <c r="Y3525" i="15" s="1"/>
  <c r="X3527" i="15"/>
  <c r="Y3526" i="15" s="1"/>
  <c r="X3528" i="15"/>
  <c r="Y3527" i="15" s="1"/>
  <c r="X3529" i="15"/>
  <c r="Y3528" i="15" s="1"/>
  <c r="X3530" i="15"/>
  <c r="Y3529" i="15" s="1"/>
  <c r="X3531" i="15"/>
  <c r="Y3530" i="15" s="1"/>
  <c r="X3532" i="15"/>
  <c r="Y3531" i="15" s="1"/>
  <c r="X3533" i="15"/>
  <c r="Y3532" i="15" s="1"/>
  <c r="X3534" i="15"/>
  <c r="Y3533" i="15" s="1"/>
  <c r="X3535" i="15"/>
  <c r="Y3534" i="15" s="1"/>
  <c r="X3536" i="15"/>
  <c r="Y3535" i="15" s="1"/>
  <c r="X3537" i="15"/>
  <c r="Y3536" i="15" s="1"/>
  <c r="X3538" i="15"/>
  <c r="Y3537" i="15" s="1"/>
  <c r="X3539" i="15"/>
  <c r="Y3538" i="15" s="1"/>
  <c r="X3540" i="15"/>
  <c r="Y3539" i="15" s="1"/>
  <c r="X3541" i="15"/>
  <c r="Y3540" i="15" s="1"/>
  <c r="X3542" i="15"/>
  <c r="Y3541" i="15" s="1"/>
  <c r="X3543" i="15"/>
  <c r="Y3542" i="15" s="1"/>
  <c r="X3544" i="15"/>
  <c r="Y3543" i="15" s="1"/>
  <c r="X3545" i="15"/>
  <c r="Y3544" i="15" s="1"/>
  <c r="X3546" i="15"/>
  <c r="Y3545" i="15" s="1"/>
  <c r="X3547" i="15"/>
  <c r="Y3546" i="15" s="1"/>
  <c r="X3548" i="15"/>
  <c r="Y3547" i="15" s="1"/>
  <c r="X3549" i="15"/>
  <c r="Y3548" i="15" s="1"/>
  <c r="X3550" i="15"/>
  <c r="Y3549" i="15" s="1"/>
  <c r="X3551" i="15"/>
  <c r="Y3550" i="15" s="1"/>
  <c r="X3552" i="15"/>
  <c r="Y3551" i="15" s="1"/>
  <c r="X3553" i="15"/>
  <c r="Y3552" i="15" s="1"/>
  <c r="X3554" i="15"/>
  <c r="Y3553" i="15" s="1"/>
  <c r="X3555" i="15"/>
  <c r="Y3554" i="15" s="1"/>
  <c r="X3556" i="15"/>
  <c r="Y3555" i="15" s="1"/>
  <c r="X3557" i="15"/>
  <c r="Y3556" i="15" s="1"/>
  <c r="X3558" i="15"/>
  <c r="Y3557" i="15" s="1"/>
  <c r="X3559" i="15"/>
  <c r="Y3558" i="15" s="1"/>
  <c r="X3560" i="15"/>
  <c r="Y3559" i="15" s="1"/>
  <c r="X3561" i="15"/>
  <c r="Y3560" i="15" s="1"/>
  <c r="X3562" i="15"/>
  <c r="Y3561" i="15" s="1"/>
  <c r="X3563" i="15"/>
  <c r="Y3562" i="15" s="1"/>
  <c r="X3564" i="15"/>
  <c r="Y3563" i="15" s="1"/>
  <c r="X3565" i="15"/>
  <c r="Y3564" i="15" s="1"/>
  <c r="X3566" i="15"/>
  <c r="Y3565" i="15" s="1"/>
  <c r="X3567" i="15"/>
  <c r="Y3566" i="15" s="1"/>
  <c r="X3568" i="15"/>
  <c r="Y3567" i="15" s="1"/>
  <c r="X3569" i="15"/>
  <c r="Y3568" i="15" s="1"/>
  <c r="X3570" i="15"/>
  <c r="Y3569" i="15" s="1"/>
  <c r="X3571" i="15"/>
  <c r="Y3570" i="15" s="1"/>
  <c r="X3572" i="15"/>
  <c r="Y3571" i="15" s="1"/>
  <c r="X3573" i="15"/>
  <c r="Y3572" i="15" s="1"/>
  <c r="X3574" i="15"/>
  <c r="Y3573" i="15" s="1"/>
  <c r="X3575" i="15"/>
  <c r="Y3574" i="15" s="1"/>
  <c r="X3576" i="15"/>
  <c r="Y3575" i="15" s="1"/>
  <c r="X3577" i="15"/>
  <c r="Y3576" i="15" s="1"/>
  <c r="X3578" i="15"/>
  <c r="Y3577" i="15" s="1"/>
  <c r="X3579" i="15"/>
  <c r="Y3578" i="15" s="1"/>
  <c r="X3580" i="15"/>
  <c r="Y3579" i="15" s="1"/>
  <c r="X3581" i="15"/>
  <c r="Y3580" i="15" s="1"/>
  <c r="X3582" i="15"/>
  <c r="Y3581" i="15" s="1"/>
  <c r="X3583" i="15"/>
  <c r="Y3582" i="15" s="1"/>
  <c r="X3584" i="15"/>
  <c r="Y3583" i="15" s="1"/>
  <c r="X3585" i="15"/>
  <c r="Y3584" i="15" s="1"/>
  <c r="X3586" i="15"/>
  <c r="Y3585" i="15" s="1"/>
  <c r="X3587" i="15"/>
  <c r="Y3586" i="15" s="1"/>
  <c r="X3588" i="15"/>
  <c r="Y3587" i="15" s="1"/>
  <c r="X3589" i="15"/>
  <c r="Y3588" i="15" s="1"/>
  <c r="X3590" i="15"/>
  <c r="Y3589" i="15" s="1"/>
  <c r="X3591" i="15"/>
  <c r="Y3590" i="15" s="1"/>
  <c r="X3592" i="15"/>
  <c r="Y3591" i="15" s="1"/>
  <c r="X3593" i="15"/>
  <c r="Y3592" i="15" s="1"/>
  <c r="X3594" i="15"/>
  <c r="Y3593" i="15" s="1"/>
  <c r="X3595" i="15"/>
  <c r="Y3594" i="15" s="1"/>
  <c r="X3596" i="15"/>
  <c r="Y3595" i="15" s="1"/>
  <c r="X3597" i="15"/>
  <c r="Y3596" i="15" s="1"/>
  <c r="X3598" i="15"/>
  <c r="Y3597" i="15" s="1"/>
  <c r="X3599" i="15"/>
  <c r="Y3598" i="15" s="1"/>
  <c r="X3600" i="15"/>
  <c r="Y3599" i="15" s="1"/>
  <c r="X3601" i="15"/>
  <c r="Y3600" i="15" s="1"/>
  <c r="X3602" i="15"/>
  <c r="Y3601" i="15" s="1"/>
  <c r="X3603" i="15"/>
  <c r="Y3602" i="15" s="1"/>
  <c r="X3604" i="15"/>
  <c r="Y3603" i="15" s="1"/>
  <c r="X3605" i="15"/>
  <c r="Y3604" i="15" s="1"/>
  <c r="X3606" i="15"/>
  <c r="Y3605" i="15" s="1"/>
  <c r="X3607" i="15"/>
  <c r="Y3606" i="15" s="1"/>
  <c r="X3608" i="15"/>
  <c r="Y3607" i="15" s="1"/>
  <c r="X3609" i="15"/>
  <c r="Y3608" i="15" s="1"/>
  <c r="X3610" i="15"/>
  <c r="Y3609" i="15" s="1"/>
  <c r="X3611" i="15"/>
  <c r="Y3610" i="15" s="1"/>
  <c r="X3612" i="15"/>
  <c r="Y3611" i="15" s="1"/>
  <c r="X3613" i="15"/>
  <c r="Y3612" i="15" s="1"/>
  <c r="X3614" i="15"/>
  <c r="Y3613" i="15" s="1"/>
  <c r="X3615" i="15"/>
  <c r="Y3614" i="15" s="1"/>
  <c r="X3616" i="15"/>
  <c r="Y3615" i="15" s="1"/>
  <c r="X3617" i="15"/>
  <c r="Y3616" i="15" s="1"/>
  <c r="X3618" i="15"/>
  <c r="Y3617" i="15" s="1"/>
  <c r="X3619" i="15"/>
  <c r="Y3618" i="15" s="1"/>
  <c r="X3620" i="15"/>
  <c r="Y3619" i="15" s="1"/>
  <c r="X3621" i="15"/>
  <c r="Y3620" i="15" s="1"/>
  <c r="X3622" i="15"/>
  <c r="Y3621" i="15" s="1"/>
  <c r="X3623" i="15"/>
  <c r="Y3622" i="15" s="1"/>
  <c r="X3624" i="15"/>
  <c r="Y3623" i="15" s="1"/>
  <c r="X3625" i="15"/>
  <c r="Y3624" i="15" s="1"/>
  <c r="X3626" i="15"/>
  <c r="Y3625" i="15" s="1"/>
  <c r="X3627" i="15"/>
  <c r="Y3626" i="15" s="1"/>
  <c r="X3628" i="15"/>
  <c r="Y3627" i="15" s="1"/>
  <c r="X3629" i="15"/>
  <c r="Y3628" i="15" s="1"/>
  <c r="X3630" i="15"/>
  <c r="Y3629" i="15" s="1"/>
  <c r="X3631" i="15"/>
  <c r="Y3630" i="15" s="1"/>
  <c r="X3632" i="15"/>
  <c r="Y3631" i="15" s="1"/>
  <c r="X3633" i="15"/>
  <c r="Y3632" i="15" s="1"/>
  <c r="X3634" i="15"/>
  <c r="Y3633" i="15" s="1"/>
  <c r="X3635" i="15"/>
  <c r="Y3634" i="15" s="1"/>
  <c r="X3636" i="15"/>
  <c r="Y3635" i="15" s="1"/>
  <c r="X3637" i="15"/>
  <c r="Y3636" i="15" s="1"/>
  <c r="X3638" i="15"/>
  <c r="Y3637" i="15" s="1"/>
  <c r="X3639" i="15"/>
  <c r="Y3638" i="15" s="1"/>
  <c r="X3640" i="15"/>
  <c r="Y3639" i="15" s="1"/>
  <c r="X3641" i="15"/>
  <c r="Y3640" i="15" s="1"/>
  <c r="X3642" i="15"/>
  <c r="Y3641" i="15" s="1"/>
  <c r="X3643" i="15"/>
  <c r="Y3642" i="15" s="1"/>
  <c r="X3644" i="15"/>
  <c r="Y3643" i="15" s="1"/>
  <c r="X3645" i="15"/>
  <c r="Y3644" i="15" s="1"/>
  <c r="X3646" i="15"/>
  <c r="Y3645" i="15" s="1"/>
  <c r="X3647" i="15"/>
  <c r="Y3646" i="15" s="1"/>
  <c r="X3648" i="15"/>
  <c r="Y3647" i="15" s="1"/>
  <c r="X3649" i="15"/>
  <c r="Y3648" i="15" s="1"/>
  <c r="X3650" i="15"/>
  <c r="Y3649" i="15" s="1"/>
  <c r="X3651" i="15"/>
  <c r="Y3650" i="15" s="1"/>
  <c r="X3652" i="15"/>
  <c r="Y3651" i="15" s="1"/>
  <c r="X3653" i="15"/>
  <c r="Y3652" i="15" s="1"/>
  <c r="X3654" i="15"/>
  <c r="Y3653" i="15" s="1"/>
  <c r="X3655" i="15"/>
  <c r="Y3654" i="15" s="1"/>
  <c r="X3656" i="15"/>
  <c r="Y3655" i="15" s="1"/>
  <c r="X3657" i="15"/>
  <c r="Y3656" i="15" s="1"/>
  <c r="X3658" i="15"/>
  <c r="Y3657" i="15" s="1"/>
  <c r="X3659" i="15"/>
  <c r="Y3658" i="15" s="1"/>
  <c r="X3660" i="15"/>
  <c r="Y3659" i="15" s="1"/>
  <c r="X3661" i="15"/>
  <c r="Y3660" i="15" s="1"/>
  <c r="X3662" i="15"/>
  <c r="Y3661" i="15" s="1"/>
  <c r="X3663" i="15"/>
  <c r="Y3662" i="15" s="1"/>
  <c r="X3664" i="15"/>
  <c r="Y3663" i="15" s="1"/>
  <c r="X3665" i="15"/>
  <c r="Y3664" i="15" s="1"/>
  <c r="X3666" i="15"/>
  <c r="Y3665" i="15" s="1"/>
  <c r="X3667" i="15"/>
  <c r="Y3666" i="15" s="1"/>
  <c r="X3668" i="15"/>
  <c r="Y3667" i="15" s="1"/>
  <c r="X3669" i="15"/>
  <c r="Y3668" i="15" s="1"/>
  <c r="X3670" i="15"/>
  <c r="Y3669" i="15" s="1"/>
  <c r="X3671" i="15"/>
  <c r="Y3670" i="15" s="1"/>
  <c r="X3672" i="15"/>
  <c r="Y3671" i="15" s="1"/>
  <c r="X3673" i="15"/>
  <c r="Y3672" i="15" s="1"/>
  <c r="X3674" i="15"/>
  <c r="Y3673" i="15" s="1"/>
  <c r="X3675" i="15"/>
  <c r="Y3674" i="15" s="1"/>
  <c r="X3676" i="15"/>
  <c r="Y3675" i="15" s="1"/>
  <c r="X3677" i="15"/>
  <c r="Y3676" i="15" s="1"/>
  <c r="X3678" i="15"/>
  <c r="Y3677" i="15" s="1"/>
  <c r="X3679" i="15"/>
  <c r="Y3678" i="15" s="1"/>
  <c r="X3680" i="15"/>
  <c r="Y3679" i="15" s="1"/>
  <c r="X3681" i="15"/>
  <c r="Y3680" i="15" s="1"/>
  <c r="X3682" i="15"/>
  <c r="Y3681" i="15" s="1"/>
  <c r="X3683" i="15"/>
  <c r="Y3682" i="15" s="1"/>
  <c r="X3684" i="15"/>
  <c r="Y3683" i="15" s="1"/>
  <c r="X3685" i="15"/>
  <c r="Y3684" i="15" s="1"/>
  <c r="X3686" i="15"/>
  <c r="Y3685" i="15" s="1"/>
  <c r="X3687" i="15"/>
  <c r="Y3686" i="15" s="1"/>
  <c r="X3688" i="15"/>
  <c r="Y3687" i="15" s="1"/>
  <c r="X3689" i="15"/>
  <c r="Y3688" i="15" s="1"/>
  <c r="X3690" i="15"/>
  <c r="Y3689" i="15" s="1"/>
  <c r="X3691" i="15"/>
  <c r="Y3690" i="15" s="1"/>
  <c r="X3692" i="15"/>
  <c r="Y3691" i="15" s="1"/>
  <c r="X3693" i="15"/>
  <c r="Y3692" i="15" s="1"/>
  <c r="X3694" i="15"/>
  <c r="Y3693" i="15" s="1"/>
  <c r="X3695" i="15"/>
  <c r="Y3694" i="15" s="1"/>
  <c r="X3696" i="15"/>
  <c r="Y3695" i="15" s="1"/>
  <c r="X3697" i="15"/>
  <c r="Y3696" i="15" s="1"/>
  <c r="X3698" i="15"/>
  <c r="Y3697" i="15" s="1"/>
  <c r="X3699" i="15"/>
  <c r="Y3698" i="15" s="1"/>
  <c r="X3700" i="15"/>
  <c r="Y3699" i="15" s="1"/>
  <c r="X3701" i="15"/>
  <c r="Y3700" i="15" s="1"/>
  <c r="X3702" i="15"/>
  <c r="Y3701" i="15" s="1"/>
  <c r="X3703" i="15"/>
  <c r="Y3702" i="15" s="1"/>
  <c r="X3704" i="15"/>
  <c r="Y3703" i="15" s="1"/>
  <c r="X3705" i="15"/>
  <c r="Y3704" i="15" s="1"/>
  <c r="X3706" i="15"/>
  <c r="Y3705" i="15" s="1"/>
  <c r="X3707" i="15"/>
  <c r="Y3706" i="15" s="1"/>
  <c r="X3708" i="15"/>
  <c r="Y3707" i="15" s="1"/>
  <c r="X3709" i="15"/>
  <c r="Y3708" i="15" s="1"/>
  <c r="X3710" i="15"/>
  <c r="Y3709" i="15" s="1"/>
  <c r="X3711" i="15"/>
  <c r="Y3710" i="15" s="1"/>
  <c r="X3712" i="15"/>
  <c r="Y3711" i="15" s="1"/>
  <c r="X3713" i="15"/>
  <c r="Y3712" i="15" s="1"/>
  <c r="X3714" i="15"/>
  <c r="Y3713" i="15" s="1"/>
  <c r="X3715" i="15"/>
  <c r="Y3714" i="15" s="1"/>
  <c r="X3716" i="15"/>
  <c r="Y3715" i="15" s="1"/>
  <c r="X3717" i="15"/>
  <c r="Y3716" i="15" s="1"/>
  <c r="X3718" i="15"/>
  <c r="Y3717" i="15" s="1"/>
  <c r="X3719" i="15"/>
  <c r="Y3718" i="15" s="1"/>
  <c r="X3720" i="15"/>
  <c r="Y3719" i="15" s="1"/>
  <c r="X3721" i="15"/>
  <c r="Y3720" i="15" s="1"/>
  <c r="X3722" i="15"/>
  <c r="Y3721" i="15" s="1"/>
  <c r="X3723" i="15"/>
  <c r="Y3722" i="15" s="1"/>
  <c r="X3724" i="15"/>
  <c r="Y3723" i="15" s="1"/>
  <c r="X3725" i="15"/>
  <c r="Y3724" i="15" s="1"/>
  <c r="X3726" i="15"/>
  <c r="Y3725" i="15" s="1"/>
  <c r="X3727" i="15"/>
  <c r="Y3726" i="15" s="1"/>
  <c r="X3728" i="15"/>
  <c r="Y3727" i="15" s="1"/>
  <c r="X3729" i="15"/>
  <c r="Y3728" i="15" s="1"/>
  <c r="X3730" i="15"/>
  <c r="Y3729" i="15" s="1"/>
  <c r="X3731" i="15"/>
  <c r="Y3730" i="15" s="1"/>
  <c r="X3732" i="15"/>
  <c r="Y3731" i="15" s="1"/>
  <c r="X3733" i="15"/>
  <c r="Y3732" i="15" s="1"/>
  <c r="X3734" i="15"/>
  <c r="Y3733" i="15" s="1"/>
  <c r="X3735" i="15"/>
  <c r="Y3734" i="15" s="1"/>
  <c r="X3736" i="15"/>
  <c r="Y3735" i="15" s="1"/>
  <c r="X3737" i="15"/>
  <c r="Y3736" i="15" s="1"/>
  <c r="X3738" i="15"/>
  <c r="Y3737" i="15" s="1"/>
  <c r="X3739" i="15"/>
  <c r="Y3738" i="15" s="1"/>
  <c r="X3740" i="15"/>
  <c r="Y3739" i="15" s="1"/>
  <c r="X3741" i="15"/>
  <c r="Y3740" i="15" s="1"/>
  <c r="X3742" i="15"/>
  <c r="Y3741" i="15" s="1"/>
  <c r="X3743" i="15"/>
  <c r="Y3742" i="15" s="1"/>
  <c r="X3744" i="15"/>
  <c r="Y3743" i="15" s="1"/>
  <c r="X3745" i="15"/>
  <c r="Y3744" i="15" s="1"/>
  <c r="X3746" i="15"/>
  <c r="Y3745" i="15" s="1"/>
  <c r="X3747" i="15"/>
  <c r="Y3746" i="15" s="1"/>
  <c r="X3748" i="15"/>
  <c r="Y3747" i="15" s="1"/>
  <c r="X3749" i="15"/>
  <c r="Y3748" i="15" s="1"/>
  <c r="X3750" i="15"/>
  <c r="Y3749" i="15" s="1"/>
  <c r="X3751" i="15"/>
  <c r="Y3750" i="15" s="1"/>
  <c r="X3752" i="15"/>
  <c r="Y3751" i="15" s="1"/>
  <c r="X3753" i="15"/>
  <c r="Y3752" i="15" s="1"/>
  <c r="X3754" i="15"/>
  <c r="Y3753" i="15" s="1"/>
  <c r="X3755" i="15"/>
  <c r="Y3754" i="15" s="1"/>
  <c r="X3756" i="15"/>
  <c r="Y3755" i="15" s="1"/>
  <c r="X3757" i="15"/>
  <c r="Y3756" i="15" s="1"/>
  <c r="X3758" i="15"/>
  <c r="Y3757" i="15" s="1"/>
  <c r="X3759" i="15"/>
  <c r="Y3758" i="15" s="1"/>
  <c r="X3760" i="15"/>
  <c r="Y3759" i="15" s="1"/>
  <c r="X3761" i="15"/>
  <c r="Y3760" i="15" s="1"/>
  <c r="X3762" i="15"/>
  <c r="Y3761" i="15" s="1"/>
  <c r="X3763" i="15"/>
  <c r="Y3762" i="15" s="1"/>
  <c r="X3764" i="15"/>
  <c r="Y3763" i="15" s="1"/>
  <c r="X3765" i="15"/>
  <c r="Y3764" i="15" s="1"/>
  <c r="X3766" i="15"/>
  <c r="Y3765" i="15" s="1"/>
  <c r="X3767" i="15"/>
  <c r="Y3766" i="15" s="1"/>
  <c r="X3768" i="15"/>
  <c r="Y3767" i="15" s="1"/>
  <c r="X3769" i="15"/>
  <c r="Y3768" i="15" s="1"/>
  <c r="X3770" i="15"/>
  <c r="Y3769" i="15" s="1"/>
  <c r="X3771" i="15"/>
  <c r="Y3770" i="15" s="1"/>
  <c r="X3772" i="15"/>
  <c r="Y3771" i="15" s="1"/>
  <c r="X3773" i="15"/>
  <c r="Y3772" i="15" s="1"/>
  <c r="X3774" i="15"/>
  <c r="Y3773" i="15" s="1"/>
  <c r="X3775" i="15"/>
  <c r="Y3774" i="15" s="1"/>
  <c r="X3776" i="15"/>
  <c r="Y3775" i="15" s="1"/>
  <c r="X3777" i="15"/>
  <c r="Y3776" i="15" s="1"/>
  <c r="X3778" i="15"/>
  <c r="Y3777" i="15" s="1"/>
  <c r="X3779" i="15"/>
  <c r="Y3778" i="15" s="1"/>
  <c r="X3780" i="15"/>
  <c r="Y3779" i="15" s="1"/>
  <c r="X3781" i="15"/>
  <c r="Y3780" i="15" s="1"/>
  <c r="X3782" i="15"/>
  <c r="Y3781" i="15" s="1"/>
  <c r="X3783" i="15"/>
  <c r="Y3782" i="15" s="1"/>
  <c r="X3784" i="15"/>
  <c r="Y3783" i="15" s="1"/>
  <c r="X3785" i="15"/>
  <c r="Y3784" i="15" s="1"/>
  <c r="X3786" i="15"/>
  <c r="Y3785" i="15" s="1"/>
  <c r="X3787" i="15"/>
  <c r="Y3786" i="15" s="1"/>
  <c r="X3788" i="15"/>
  <c r="Y3787" i="15" s="1"/>
  <c r="X3789" i="15"/>
  <c r="Y3788" i="15" s="1"/>
  <c r="X3790" i="15"/>
  <c r="Y3789" i="15" s="1"/>
  <c r="X3791" i="15"/>
  <c r="Y3790" i="15" s="1"/>
  <c r="X3792" i="15"/>
  <c r="Y3791" i="15" s="1"/>
  <c r="X3793" i="15"/>
  <c r="Y3792" i="15" s="1"/>
  <c r="X3794" i="15"/>
  <c r="Y3793" i="15" s="1"/>
  <c r="X3795" i="15"/>
  <c r="Y3794" i="15" s="1"/>
  <c r="X3796" i="15"/>
  <c r="Y3795" i="15" s="1"/>
  <c r="X3797" i="15"/>
  <c r="Y3796" i="15" s="1"/>
  <c r="X3798" i="15"/>
  <c r="Y3797" i="15" s="1"/>
  <c r="X3799" i="15"/>
  <c r="Y3798" i="15" s="1"/>
  <c r="X3800" i="15"/>
  <c r="Y3799" i="15" s="1"/>
  <c r="X3801" i="15"/>
  <c r="Y3800" i="15" s="1"/>
  <c r="X3802" i="15"/>
  <c r="Y3801" i="15" s="1"/>
  <c r="X3803" i="15"/>
  <c r="Y3802" i="15" s="1"/>
  <c r="X3804" i="15"/>
  <c r="Y3803" i="15" s="1"/>
  <c r="X3805" i="15"/>
  <c r="Y3804" i="15" s="1"/>
  <c r="X3806" i="15"/>
  <c r="Y3805" i="15" s="1"/>
  <c r="X3807" i="15"/>
  <c r="Y3806" i="15" s="1"/>
  <c r="X3808" i="15"/>
  <c r="Y3807" i="15" s="1"/>
  <c r="X3809" i="15"/>
  <c r="Y3808" i="15" s="1"/>
  <c r="X3810" i="15"/>
  <c r="Y3809" i="15" s="1"/>
  <c r="X3811" i="15"/>
  <c r="Y3810" i="15" s="1"/>
  <c r="X3812" i="15"/>
  <c r="Y3811" i="15" s="1"/>
  <c r="X3813" i="15"/>
  <c r="Y3812" i="15" s="1"/>
  <c r="X3814" i="15"/>
  <c r="Y3813" i="15" s="1"/>
  <c r="X3815" i="15"/>
  <c r="Y3814" i="15" s="1"/>
  <c r="X3816" i="15"/>
  <c r="Y3815" i="15" s="1"/>
  <c r="X3817" i="15"/>
  <c r="Y3816" i="15" s="1"/>
  <c r="X3818" i="15"/>
  <c r="Y3817" i="15" s="1"/>
  <c r="X3819" i="15"/>
  <c r="Y3818" i="15" s="1"/>
  <c r="X3820" i="15"/>
  <c r="Y3819" i="15" s="1"/>
  <c r="X3821" i="15"/>
  <c r="Y3820" i="15" s="1"/>
  <c r="X3822" i="15"/>
  <c r="Y3821" i="15" s="1"/>
  <c r="X3823" i="15"/>
  <c r="Y3822" i="15" s="1"/>
  <c r="X3824" i="15"/>
  <c r="Y3823" i="15" s="1"/>
  <c r="X3825" i="15"/>
  <c r="Y3824" i="15" s="1"/>
  <c r="X3826" i="15"/>
  <c r="Y3825" i="15" s="1"/>
  <c r="X3827" i="15"/>
  <c r="Y3826" i="15" s="1"/>
  <c r="X3828" i="15"/>
  <c r="Y3827" i="15" s="1"/>
  <c r="X3829" i="15"/>
  <c r="Y3828" i="15" s="1"/>
  <c r="X3830" i="15"/>
  <c r="Y3829" i="15" s="1"/>
  <c r="X3831" i="15"/>
  <c r="Y3830" i="15" s="1"/>
  <c r="X3832" i="15"/>
  <c r="Y3831" i="15" s="1"/>
  <c r="X3833" i="15"/>
  <c r="Y3832" i="15" s="1"/>
  <c r="X3834" i="15"/>
  <c r="Y3833" i="15" s="1"/>
  <c r="X3835" i="15"/>
  <c r="Y3834" i="15" s="1"/>
  <c r="X3836" i="15"/>
  <c r="Y3835" i="15" s="1"/>
  <c r="X3837" i="15"/>
  <c r="Y3836" i="15" s="1"/>
  <c r="X3838" i="15"/>
  <c r="Y3837" i="15" s="1"/>
  <c r="X3839" i="15"/>
  <c r="Y3838" i="15" s="1"/>
  <c r="X3840" i="15"/>
  <c r="Y3839" i="15" s="1"/>
  <c r="X3841" i="15"/>
  <c r="Y3840" i="15" s="1"/>
  <c r="X3842" i="15"/>
  <c r="Y3841" i="15" s="1"/>
  <c r="X3843" i="15"/>
  <c r="Y3842" i="15" s="1"/>
  <c r="X3844" i="15"/>
  <c r="Y3843" i="15" s="1"/>
  <c r="X3845" i="15"/>
  <c r="Y3844" i="15" s="1"/>
  <c r="X3846" i="15"/>
  <c r="Y3845" i="15" s="1"/>
  <c r="X3847" i="15"/>
  <c r="Y3846" i="15" s="1"/>
  <c r="X3848" i="15"/>
  <c r="Y3847" i="15" s="1"/>
  <c r="X3849" i="15"/>
  <c r="Y3848" i="15" s="1"/>
  <c r="X3850" i="15"/>
  <c r="Y3849" i="15" s="1"/>
  <c r="X3851" i="15"/>
  <c r="Y3850" i="15" s="1"/>
  <c r="X3852" i="15"/>
  <c r="Y3851" i="15" s="1"/>
  <c r="X3853" i="15"/>
  <c r="Y3852" i="15" s="1"/>
  <c r="X3854" i="15"/>
  <c r="Y3853" i="15" s="1"/>
  <c r="X3855" i="15"/>
  <c r="Y3854" i="15" s="1"/>
  <c r="X3856" i="15"/>
  <c r="Y3855" i="15" s="1"/>
  <c r="X3857" i="15"/>
  <c r="Y3856" i="15" s="1"/>
  <c r="X3858" i="15"/>
  <c r="Y3857" i="15" s="1"/>
  <c r="X3859" i="15"/>
  <c r="Y3858" i="15" s="1"/>
  <c r="X3860" i="15"/>
  <c r="Y3859" i="15" s="1"/>
  <c r="X3861" i="15"/>
  <c r="Y3860" i="15" s="1"/>
  <c r="X3862" i="15"/>
  <c r="Y3861" i="15" s="1"/>
  <c r="X3863" i="15"/>
  <c r="Y3862" i="15" s="1"/>
  <c r="X3864" i="15"/>
  <c r="Y3863" i="15" s="1"/>
  <c r="X3865" i="15"/>
  <c r="Y3864" i="15" s="1"/>
  <c r="X3866" i="15"/>
  <c r="Y3865" i="15" s="1"/>
  <c r="X3867" i="15"/>
  <c r="Y3866" i="15" s="1"/>
  <c r="X3868" i="15"/>
  <c r="Y3867" i="15" s="1"/>
  <c r="X3869" i="15"/>
  <c r="Y3868" i="15" s="1"/>
  <c r="X3870" i="15"/>
  <c r="Y3869" i="15" s="1"/>
  <c r="X3871" i="15"/>
  <c r="Y3870" i="15" s="1"/>
  <c r="X3872" i="15"/>
  <c r="Y3871" i="15" s="1"/>
  <c r="X3873" i="15"/>
  <c r="Y3872" i="15" s="1"/>
  <c r="X3874" i="15"/>
  <c r="Y3873" i="15" s="1"/>
  <c r="X3875" i="15"/>
  <c r="Y3874" i="15" s="1"/>
  <c r="X3876" i="15"/>
  <c r="Y3875" i="15" s="1"/>
  <c r="X3877" i="15"/>
  <c r="Y3876" i="15" s="1"/>
  <c r="X3878" i="15"/>
  <c r="Y3877" i="15" s="1"/>
  <c r="X3879" i="15"/>
  <c r="Y3878" i="15" s="1"/>
  <c r="X3880" i="15"/>
  <c r="Y3879" i="15" s="1"/>
  <c r="X3881" i="15"/>
  <c r="Y3880" i="15" s="1"/>
  <c r="X3882" i="15"/>
  <c r="Y3881" i="15" s="1"/>
  <c r="X3883" i="15"/>
  <c r="Y3882" i="15" s="1"/>
  <c r="X3884" i="15"/>
  <c r="Y3883" i="15" s="1"/>
  <c r="X3885" i="15"/>
  <c r="Y3884" i="15" s="1"/>
  <c r="X3886" i="15"/>
  <c r="Y3885" i="15" s="1"/>
  <c r="X3887" i="15"/>
  <c r="Y3886" i="15" s="1"/>
  <c r="X3888" i="15"/>
  <c r="Y3887" i="15" s="1"/>
  <c r="X3889" i="15"/>
  <c r="Y3888" i="15" s="1"/>
  <c r="X3890" i="15"/>
  <c r="Y3889" i="15" s="1"/>
  <c r="X3891" i="15"/>
  <c r="Y3890" i="15" s="1"/>
  <c r="X3892" i="15"/>
  <c r="Y3891" i="15" s="1"/>
  <c r="X3893" i="15"/>
  <c r="Y3892" i="15" s="1"/>
  <c r="X3894" i="15"/>
  <c r="Y3893" i="15" s="1"/>
  <c r="X3895" i="15"/>
  <c r="Y3894" i="15" s="1"/>
  <c r="X3896" i="15"/>
  <c r="Y3895" i="15" s="1"/>
  <c r="X3897" i="15"/>
  <c r="Y3896" i="15" s="1"/>
  <c r="X3898" i="15"/>
  <c r="Y3897" i="15" s="1"/>
  <c r="X3899" i="15"/>
  <c r="Y3898" i="15" s="1"/>
  <c r="X3900" i="15"/>
  <c r="Y3899" i="15" s="1"/>
  <c r="X3901" i="15"/>
  <c r="Y3900" i="15" s="1"/>
  <c r="X3902" i="15"/>
  <c r="Y3901" i="15" s="1"/>
  <c r="X3903" i="15"/>
  <c r="Y3902" i="15" s="1"/>
  <c r="X3904" i="15"/>
  <c r="Y3903" i="15" s="1"/>
  <c r="X3905" i="15"/>
  <c r="Y3904" i="15" s="1"/>
  <c r="X3906" i="15"/>
  <c r="Y3905" i="15" s="1"/>
  <c r="X3907" i="15"/>
  <c r="Y3906" i="15" s="1"/>
  <c r="X3908" i="15"/>
  <c r="Y3907" i="15" s="1"/>
  <c r="X3909" i="15"/>
  <c r="Y3908" i="15" s="1"/>
  <c r="X3910" i="15"/>
  <c r="Y3909" i="15" s="1"/>
  <c r="X3911" i="15"/>
  <c r="Y3910" i="15" s="1"/>
  <c r="X3912" i="15"/>
  <c r="Y3911" i="15" s="1"/>
  <c r="X3913" i="15"/>
  <c r="Y3912" i="15" s="1"/>
  <c r="X3914" i="15"/>
  <c r="Y3913" i="15" s="1"/>
  <c r="X3915" i="15"/>
  <c r="Y3914" i="15" s="1"/>
  <c r="X3916" i="15"/>
  <c r="Y3915" i="15" s="1"/>
  <c r="X3917" i="15"/>
  <c r="Y3916" i="15" s="1"/>
  <c r="X3918" i="15"/>
  <c r="Y3917" i="15" s="1"/>
  <c r="X3919" i="15"/>
  <c r="Y3918" i="15" s="1"/>
  <c r="X3920" i="15"/>
  <c r="Y3919" i="15" s="1"/>
  <c r="X3921" i="15"/>
  <c r="Y3920" i="15" s="1"/>
  <c r="X3922" i="15"/>
  <c r="Y3921" i="15" s="1"/>
  <c r="X3923" i="15"/>
  <c r="Y3922" i="15" s="1"/>
  <c r="X3924" i="15"/>
  <c r="Y3923" i="15" s="1"/>
  <c r="X3925" i="15"/>
  <c r="Y3924" i="15" s="1"/>
  <c r="X3926" i="15"/>
  <c r="Y3925" i="15" s="1"/>
  <c r="X3927" i="15"/>
  <c r="Y3926" i="15" s="1"/>
  <c r="X3928" i="15"/>
  <c r="Y3927" i="15" s="1"/>
  <c r="X3929" i="15"/>
  <c r="Y3928" i="15" s="1"/>
  <c r="X3930" i="15"/>
  <c r="Y3929" i="15" s="1"/>
  <c r="X3931" i="15"/>
  <c r="Y3930" i="15" s="1"/>
  <c r="X3932" i="15"/>
  <c r="Y3931" i="15" s="1"/>
  <c r="X3933" i="15"/>
  <c r="Y3932" i="15" s="1"/>
  <c r="X3934" i="15"/>
  <c r="Y3933" i="15" s="1"/>
  <c r="X3935" i="15"/>
  <c r="Y3934" i="15" s="1"/>
  <c r="X3936" i="15"/>
  <c r="Y3935" i="15" s="1"/>
  <c r="X3937" i="15"/>
  <c r="Y3936" i="15" s="1"/>
  <c r="X3938" i="15"/>
  <c r="Y3937" i="15" s="1"/>
  <c r="X3939" i="15"/>
  <c r="Y3938" i="15" s="1"/>
  <c r="X3940" i="15"/>
  <c r="Y3939" i="15" s="1"/>
  <c r="X3941" i="15"/>
  <c r="Y3940" i="15" s="1"/>
  <c r="X3942" i="15"/>
  <c r="Y3941" i="15" s="1"/>
  <c r="X3943" i="15"/>
  <c r="Y3942" i="15" s="1"/>
  <c r="X3944" i="15"/>
  <c r="Y3943" i="15" s="1"/>
  <c r="X3945" i="15"/>
  <c r="Y3944" i="15" s="1"/>
  <c r="X3946" i="15"/>
  <c r="Y3945" i="15" s="1"/>
  <c r="X3947" i="15"/>
  <c r="Y3946" i="15" s="1"/>
  <c r="X3948" i="15"/>
  <c r="Y3947" i="15" s="1"/>
  <c r="X3949" i="15"/>
  <c r="Y3948" i="15" s="1"/>
  <c r="X3950" i="15"/>
  <c r="Y3949" i="15" s="1"/>
  <c r="X3951" i="15"/>
  <c r="Y3950" i="15" s="1"/>
  <c r="X3952" i="15"/>
  <c r="Y3951" i="15" s="1"/>
  <c r="X3953" i="15"/>
  <c r="Y3952" i="15" s="1"/>
  <c r="X3954" i="15"/>
  <c r="Y3953" i="15" s="1"/>
  <c r="X3955" i="15"/>
  <c r="Y3954" i="15" s="1"/>
  <c r="X3956" i="15"/>
  <c r="Y3955" i="15" s="1"/>
  <c r="X3957" i="15"/>
  <c r="Y3956" i="15" s="1"/>
  <c r="X3958" i="15"/>
  <c r="Y3957" i="15" s="1"/>
  <c r="X3959" i="15"/>
  <c r="Y3958" i="15" s="1"/>
  <c r="X3960" i="15"/>
  <c r="Y3959" i="15" s="1"/>
  <c r="X3961" i="15"/>
  <c r="Y3960" i="15" s="1"/>
  <c r="X3962" i="15"/>
  <c r="Y3961" i="15" s="1"/>
  <c r="X3963" i="15"/>
  <c r="Y3962" i="15" s="1"/>
  <c r="X3964" i="15"/>
  <c r="Y3963" i="15" s="1"/>
  <c r="X3965" i="15"/>
  <c r="Y3964" i="15" s="1"/>
  <c r="X3966" i="15"/>
  <c r="Y3965" i="15" s="1"/>
  <c r="X3967" i="15"/>
  <c r="Y3966" i="15" s="1"/>
  <c r="X3968" i="15"/>
  <c r="Y3967" i="15" s="1"/>
  <c r="X3969" i="15"/>
  <c r="Y3968" i="15" s="1"/>
  <c r="X3970" i="15"/>
  <c r="Y3969" i="15" s="1"/>
  <c r="X3971" i="15"/>
  <c r="Y3970" i="15" s="1"/>
  <c r="X3972" i="15"/>
  <c r="Y3971" i="15" s="1"/>
  <c r="X3973" i="15"/>
  <c r="Y3972" i="15" s="1"/>
  <c r="X3974" i="15"/>
  <c r="Y3973" i="15" s="1"/>
  <c r="X3975" i="15"/>
  <c r="Y3974" i="15" s="1"/>
  <c r="X3976" i="15"/>
  <c r="Y3975" i="15" s="1"/>
  <c r="X3977" i="15"/>
  <c r="Y3976" i="15" s="1"/>
  <c r="X3978" i="15"/>
  <c r="Y3977" i="15" s="1"/>
  <c r="X3979" i="15"/>
  <c r="Y3978" i="15" s="1"/>
  <c r="X3980" i="15"/>
  <c r="Y3979" i="15" s="1"/>
  <c r="X3981" i="15"/>
  <c r="Y3980" i="15" s="1"/>
  <c r="X3982" i="15"/>
  <c r="Y3981" i="15" s="1"/>
  <c r="X3983" i="15"/>
  <c r="Y3982" i="15" s="1"/>
  <c r="X3984" i="15"/>
  <c r="Y3983" i="15" s="1"/>
  <c r="X3985" i="15"/>
  <c r="Y3984" i="15" s="1"/>
  <c r="X3986" i="15"/>
  <c r="Y3985" i="15" s="1"/>
  <c r="X3987" i="15"/>
  <c r="Y3986" i="15" s="1"/>
  <c r="X3988" i="15"/>
  <c r="Y3987" i="15" s="1"/>
  <c r="X3989" i="15"/>
  <c r="Y3988" i="15" s="1"/>
  <c r="X3990" i="15"/>
  <c r="Y3989" i="15" s="1"/>
  <c r="X3991" i="15"/>
  <c r="Y3990" i="15" s="1"/>
  <c r="X3992" i="15"/>
  <c r="Y3991" i="15" s="1"/>
  <c r="X3993" i="15"/>
  <c r="Y3992" i="15" s="1"/>
  <c r="X3994" i="15"/>
  <c r="Y3993" i="15" s="1"/>
  <c r="X3995" i="15"/>
  <c r="Y3994" i="15" s="1"/>
  <c r="X3996" i="15"/>
  <c r="Y3995" i="15" s="1"/>
  <c r="X3997" i="15"/>
  <c r="Y3996" i="15" s="1"/>
  <c r="X3998" i="15"/>
  <c r="Y3997" i="15" s="1"/>
  <c r="X3999" i="15"/>
  <c r="Y3998" i="15" s="1"/>
  <c r="X4000" i="15"/>
  <c r="Y3999" i="15" s="1"/>
  <c r="X4001" i="15"/>
  <c r="Y4000" i="15" s="1"/>
  <c r="X4002" i="15"/>
  <c r="Y4001" i="15" s="1"/>
  <c r="X4003" i="15"/>
  <c r="Y4002" i="15" s="1"/>
  <c r="X4004" i="15"/>
  <c r="Y4003" i="15" s="1"/>
  <c r="X4005" i="15"/>
  <c r="Y4004" i="15" s="1"/>
  <c r="X4006" i="15"/>
  <c r="Y4005" i="15" s="1"/>
  <c r="X4007" i="15"/>
  <c r="Y4006" i="15" s="1"/>
  <c r="X4008" i="15"/>
  <c r="Y4007" i="15" s="1"/>
  <c r="X4009" i="15"/>
  <c r="Y4008" i="15" s="1"/>
  <c r="X4010" i="15"/>
  <c r="Y4009" i="15" s="1"/>
  <c r="X4011" i="15"/>
  <c r="Y4010" i="15" s="1"/>
  <c r="X4012" i="15"/>
  <c r="Y4011" i="15" s="1"/>
  <c r="X4013" i="15"/>
  <c r="Y4012" i="15" s="1"/>
  <c r="X4014" i="15"/>
  <c r="Y4013" i="15" s="1"/>
  <c r="X4015" i="15"/>
  <c r="Y4014" i="15" s="1"/>
  <c r="X4016" i="15"/>
  <c r="Y4015" i="15" s="1"/>
  <c r="X4017" i="15"/>
  <c r="Y4016" i="15" s="1"/>
  <c r="X4018" i="15"/>
  <c r="Y4017" i="15" s="1"/>
  <c r="X4019" i="15"/>
  <c r="Y4018" i="15" s="1"/>
  <c r="X4020" i="15"/>
  <c r="Y4019" i="15" s="1"/>
  <c r="X4021" i="15"/>
  <c r="Y4020" i="15" s="1"/>
  <c r="X4022" i="15"/>
  <c r="Y4021" i="15" s="1"/>
  <c r="X4023" i="15"/>
  <c r="Y4022" i="15" s="1"/>
  <c r="X4024" i="15"/>
  <c r="Y4023" i="15" s="1"/>
  <c r="X4025" i="15"/>
  <c r="Y4024" i="15" s="1"/>
  <c r="X4026" i="15"/>
  <c r="Y4025" i="15" s="1"/>
  <c r="X4027" i="15"/>
  <c r="Y4026" i="15" s="1"/>
  <c r="X4028" i="15"/>
  <c r="Y4027" i="15" s="1"/>
  <c r="X4029" i="15"/>
  <c r="Y4028" i="15" s="1"/>
  <c r="X4030" i="15"/>
  <c r="Y4029" i="15" s="1"/>
  <c r="X4031" i="15"/>
  <c r="Y4030" i="15" s="1"/>
  <c r="X4032" i="15"/>
  <c r="Y4031" i="15" s="1"/>
  <c r="X4033" i="15"/>
  <c r="Y4032" i="15" s="1"/>
  <c r="X4034" i="15"/>
  <c r="Y4033" i="15" s="1"/>
  <c r="X4035" i="15"/>
  <c r="Y4034" i="15" s="1"/>
  <c r="X4036" i="15"/>
  <c r="Y4035" i="15" s="1"/>
  <c r="X4037" i="15"/>
  <c r="Y4036" i="15" s="1"/>
  <c r="X4038" i="15"/>
  <c r="Y4037" i="15" s="1"/>
  <c r="X4039" i="15"/>
  <c r="Y4038" i="15" s="1"/>
  <c r="X4040" i="15"/>
  <c r="Y4039" i="15" s="1"/>
  <c r="X4041" i="15"/>
  <c r="Y4040" i="15" s="1"/>
  <c r="X4042" i="15"/>
  <c r="Y4041" i="15" s="1"/>
  <c r="X4043" i="15"/>
  <c r="Y4042" i="15" s="1"/>
  <c r="X4044" i="15"/>
  <c r="Y4043" i="15" s="1"/>
  <c r="X4045" i="15"/>
  <c r="Y4044" i="15" s="1"/>
  <c r="X4046" i="15"/>
  <c r="Y4045" i="15" s="1"/>
  <c r="X4047" i="15"/>
  <c r="Y4046" i="15" s="1"/>
  <c r="X4048" i="15"/>
  <c r="Y4047" i="15" s="1"/>
  <c r="X4049" i="15"/>
  <c r="Y4048" i="15" s="1"/>
  <c r="X4050" i="15"/>
  <c r="Y4049" i="15" s="1"/>
  <c r="X4051" i="15"/>
  <c r="Y4050" i="15" s="1"/>
  <c r="X4052" i="15"/>
  <c r="Y4051" i="15" s="1"/>
  <c r="X4053" i="15"/>
  <c r="Y4052" i="15" s="1"/>
  <c r="X4054" i="15"/>
  <c r="Y4053" i="15" s="1"/>
  <c r="X4055" i="15"/>
  <c r="Y4054" i="15" s="1"/>
  <c r="X4056" i="15"/>
  <c r="Y4055" i="15" s="1"/>
  <c r="X4057" i="15"/>
  <c r="Y4056" i="15" s="1"/>
  <c r="X4058" i="15"/>
  <c r="Y4057" i="15" s="1"/>
  <c r="X4059" i="15"/>
  <c r="Y4058" i="15" s="1"/>
  <c r="X4060" i="15"/>
  <c r="Y4059" i="15" s="1"/>
  <c r="X4061" i="15"/>
  <c r="Y4060" i="15" s="1"/>
  <c r="X4062" i="15"/>
  <c r="Y4061" i="15" s="1"/>
  <c r="X4063" i="15"/>
  <c r="Y4062" i="15" s="1"/>
  <c r="X4064" i="15"/>
  <c r="Y4063" i="15" s="1"/>
  <c r="X4065" i="15"/>
  <c r="Y4064" i="15" s="1"/>
  <c r="X4066" i="15"/>
  <c r="Y4065" i="15" s="1"/>
  <c r="X4067" i="15"/>
  <c r="Y4066" i="15" s="1"/>
  <c r="X4068" i="15"/>
  <c r="Y4067" i="15" s="1"/>
  <c r="X4069" i="15"/>
  <c r="Y4068" i="15" s="1"/>
  <c r="X4070" i="15"/>
  <c r="Y4069" i="15" s="1"/>
  <c r="X4071" i="15"/>
  <c r="Y4070" i="15" s="1"/>
  <c r="X4072" i="15"/>
  <c r="Y4071" i="15" s="1"/>
  <c r="X4073" i="15"/>
  <c r="Y4072" i="15" s="1"/>
  <c r="X4074" i="15"/>
  <c r="Y4073" i="15" s="1"/>
  <c r="X4075" i="15"/>
  <c r="Y4074" i="15" s="1"/>
  <c r="X4076" i="15"/>
  <c r="Y4075" i="15" s="1"/>
  <c r="X4077" i="15"/>
  <c r="Y4076" i="15" s="1"/>
  <c r="X4078" i="15"/>
  <c r="Y4077" i="15" s="1"/>
  <c r="X4079" i="15"/>
  <c r="Y4078" i="15" s="1"/>
  <c r="X4080" i="15"/>
  <c r="Y4079" i="15" s="1"/>
  <c r="X4081" i="15"/>
  <c r="Y4080" i="15" s="1"/>
  <c r="X4082" i="15"/>
  <c r="Y4081" i="15" s="1"/>
  <c r="X4083" i="15"/>
  <c r="Y4082" i="15" s="1"/>
  <c r="X4084" i="15"/>
  <c r="Y4083" i="15" s="1"/>
  <c r="X4085" i="15"/>
  <c r="Y4084" i="15" s="1"/>
  <c r="X4086" i="15"/>
  <c r="Y4085" i="15" s="1"/>
  <c r="X4087" i="15"/>
  <c r="Y4086" i="15" s="1"/>
  <c r="X4088" i="15"/>
  <c r="Y4087" i="15" s="1"/>
  <c r="X4089" i="15"/>
  <c r="Y4088" i="15" s="1"/>
  <c r="X4090" i="15"/>
  <c r="Y4089" i="15" s="1"/>
  <c r="X4091" i="15"/>
  <c r="Y4090" i="15" s="1"/>
  <c r="X4092" i="15"/>
  <c r="Y4091" i="15" s="1"/>
  <c r="X4093" i="15"/>
  <c r="Y4092" i="15" s="1"/>
  <c r="X4094" i="15"/>
  <c r="Y4093" i="15" s="1"/>
  <c r="X4095" i="15"/>
  <c r="Y4094" i="15" s="1"/>
  <c r="X4096" i="15"/>
  <c r="Y4095" i="15" s="1"/>
  <c r="X4097" i="15"/>
  <c r="Y4096" i="15" s="1"/>
  <c r="X4098" i="15"/>
  <c r="Y4097" i="15" s="1"/>
  <c r="X4099" i="15"/>
  <c r="Y4098" i="15" s="1"/>
  <c r="X4100" i="15"/>
  <c r="Y4099" i="15" s="1"/>
  <c r="X4101" i="15"/>
  <c r="Y4100" i="15" s="1"/>
  <c r="X4102" i="15"/>
  <c r="Y4101" i="15" s="1"/>
  <c r="X4103" i="15"/>
  <c r="Y4102" i="15" s="1"/>
  <c r="X4104" i="15"/>
  <c r="Y4103" i="15" s="1"/>
  <c r="X4105" i="15"/>
  <c r="Y4104" i="15" s="1"/>
  <c r="X4106" i="15"/>
  <c r="Y4105" i="15" s="1"/>
  <c r="X4107" i="15"/>
  <c r="Y4106" i="15" s="1"/>
  <c r="X4108" i="15"/>
  <c r="Y4107" i="15" s="1"/>
  <c r="X4109" i="15"/>
  <c r="Y4108" i="15" s="1"/>
  <c r="X4110" i="15"/>
  <c r="Y4109" i="15" s="1"/>
  <c r="X4111" i="15"/>
  <c r="Y4110" i="15" s="1"/>
  <c r="X4112" i="15"/>
  <c r="Y4111" i="15" s="1"/>
  <c r="X4113" i="15"/>
  <c r="Y4112" i="15" s="1"/>
  <c r="X4114" i="15"/>
  <c r="Y4113" i="15" s="1"/>
  <c r="X4115" i="15"/>
  <c r="Y4114" i="15" s="1"/>
  <c r="X4116" i="15"/>
  <c r="Y4115" i="15" s="1"/>
  <c r="X4117" i="15"/>
  <c r="Y4116" i="15" s="1"/>
  <c r="X4118" i="15"/>
  <c r="Y4117" i="15" s="1"/>
  <c r="X4119" i="15"/>
  <c r="Y4118" i="15" s="1"/>
  <c r="X4120" i="15"/>
  <c r="Y4119" i="15" s="1"/>
  <c r="X4121" i="15"/>
  <c r="Y4120" i="15" s="1"/>
  <c r="X4122" i="15"/>
  <c r="Y4121" i="15" s="1"/>
  <c r="X4123" i="15"/>
  <c r="Y4122" i="15" s="1"/>
  <c r="X4124" i="15"/>
  <c r="Y4123" i="15" s="1"/>
  <c r="X4125" i="15"/>
  <c r="Y4124" i="15" s="1"/>
  <c r="X4126" i="15"/>
  <c r="Y4125" i="15" s="1"/>
  <c r="X4127" i="15"/>
  <c r="Y4126" i="15" s="1"/>
  <c r="X4128" i="15"/>
  <c r="Y4127" i="15" s="1"/>
  <c r="X4129" i="15"/>
  <c r="Y4128" i="15" s="1"/>
  <c r="X4130" i="15"/>
  <c r="Y4129" i="15" s="1"/>
  <c r="X4131" i="15"/>
  <c r="Y4130" i="15" s="1"/>
  <c r="X4132" i="15"/>
  <c r="Y4131" i="15" s="1"/>
  <c r="X4133" i="15"/>
  <c r="Y4132" i="15" s="1"/>
  <c r="X4134" i="15"/>
  <c r="Y4133" i="15" s="1"/>
  <c r="X4135" i="15"/>
  <c r="Y4134" i="15" s="1"/>
  <c r="X4136" i="15"/>
  <c r="Y4135" i="15" s="1"/>
  <c r="X4137" i="15"/>
  <c r="Y4136" i="15" s="1"/>
  <c r="X4138" i="15"/>
  <c r="Y4137" i="15" s="1"/>
  <c r="X4139" i="15"/>
  <c r="Y4138" i="15" s="1"/>
  <c r="X4140" i="15"/>
  <c r="Y4139" i="15" s="1"/>
  <c r="X4141" i="15"/>
  <c r="Y4140" i="15" s="1"/>
  <c r="X4142" i="15"/>
  <c r="Y4141" i="15" s="1"/>
  <c r="X4143" i="15"/>
  <c r="Y4142" i="15" s="1"/>
  <c r="X4144" i="15"/>
  <c r="Y4143" i="15" s="1"/>
  <c r="X4145" i="15"/>
  <c r="Y4144" i="15" s="1"/>
  <c r="X4146" i="15"/>
  <c r="Y4145" i="15" s="1"/>
  <c r="X4147" i="15"/>
  <c r="Y4146" i="15" s="1"/>
  <c r="X4148" i="15"/>
  <c r="Y4147" i="15" s="1"/>
  <c r="X4149" i="15"/>
  <c r="Y4148" i="15" s="1"/>
  <c r="X4150" i="15"/>
  <c r="Y4149" i="15" s="1"/>
  <c r="X4151" i="15"/>
  <c r="Y4150" i="15" s="1"/>
  <c r="X4152" i="15"/>
  <c r="Y4151" i="15" s="1"/>
  <c r="X4153" i="15"/>
  <c r="Y4152" i="15" s="1"/>
  <c r="X4154" i="15"/>
  <c r="Y4153" i="15" s="1"/>
  <c r="X4155" i="15"/>
  <c r="Y4154" i="15" s="1"/>
  <c r="X4156" i="15"/>
  <c r="Y4155" i="15" s="1"/>
  <c r="X4157" i="15"/>
  <c r="Y4156" i="15" s="1"/>
  <c r="X4158" i="15"/>
  <c r="Y4157" i="15" s="1"/>
  <c r="X4159" i="15"/>
  <c r="Y4158" i="15" s="1"/>
  <c r="X4160" i="15"/>
  <c r="Y4159" i="15" s="1"/>
  <c r="X4161" i="15"/>
  <c r="Y4160" i="15" s="1"/>
  <c r="X4162" i="15"/>
  <c r="Y4161" i="15" s="1"/>
  <c r="X4163" i="15"/>
  <c r="Y4162" i="15" s="1"/>
  <c r="X4164" i="15"/>
  <c r="Y4163" i="15" s="1"/>
  <c r="X4165" i="15"/>
  <c r="Y4164" i="15" s="1"/>
  <c r="X4166" i="15"/>
  <c r="Y4165" i="15" s="1"/>
  <c r="X4167" i="15"/>
  <c r="Y4166" i="15" s="1"/>
  <c r="X4168" i="15"/>
  <c r="Y4167" i="15" s="1"/>
  <c r="X4169" i="15"/>
  <c r="Y4168" i="15" s="1"/>
  <c r="X4170" i="15"/>
  <c r="Y4169" i="15" s="1"/>
  <c r="X4171" i="15"/>
  <c r="Y4170" i="15" s="1"/>
  <c r="X4172" i="15"/>
  <c r="Y4171" i="15" s="1"/>
  <c r="X4173" i="15"/>
  <c r="Y4172" i="15" s="1"/>
  <c r="X4174" i="15"/>
  <c r="Y4173" i="15" s="1"/>
  <c r="X4175" i="15"/>
  <c r="Y4174" i="15" s="1"/>
  <c r="X4176" i="15"/>
  <c r="Y4175" i="15" s="1"/>
  <c r="X4177" i="15"/>
  <c r="Y4176" i="15" s="1"/>
  <c r="X4178" i="15"/>
  <c r="Y4177" i="15" s="1"/>
  <c r="X4179" i="15"/>
  <c r="Y4178" i="15" s="1"/>
  <c r="X4180" i="15"/>
  <c r="Y4179" i="15" s="1"/>
  <c r="X4181" i="15"/>
  <c r="Y4180" i="15" s="1"/>
  <c r="X4182" i="15"/>
  <c r="Y4181" i="15" s="1"/>
  <c r="X4183" i="15"/>
  <c r="Y4182" i="15" s="1"/>
  <c r="X4184" i="15"/>
  <c r="Y4183" i="15" s="1"/>
  <c r="X4185" i="15"/>
  <c r="Y4184" i="15" s="1"/>
  <c r="X4186" i="15"/>
  <c r="Y4185" i="15" s="1"/>
  <c r="X4187" i="15"/>
  <c r="Y4186" i="15" s="1"/>
  <c r="X4188" i="15"/>
  <c r="Y4187" i="15" s="1"/>
  <c r="X4189" i="15"/>
  <c r="Y4188" i="15" s="1"/>
  <c r="X4190" i="15"/>
  <c r="Y4189" i="15" s="1"/>
  <c r="X4191" i="15"/>
  <c r="Y4190" i="15" s="1"/>
  <c r="X4192" i="15"/>
  <c r="Y4191" i="15" s="1"/>
  <c r="X4193" i="15"/>
  <c r="Y4192" i="15" s="1"/>
  <c r="X4194" i="15"/>
  <c r="Y4193" i="15" s="1"/>
  <c r="X4195" i="15"/>
  <c r="Y4194" i="15" s="1"/>
  <c r="X4196" i="15"/>
  <c r="Y4195" i="15" s="1"/>
  <c r="X4197" i="15"/>
  <c r="Y4196" i="15" s="1"/>
  <c r="X4198" i="15"/>
  <c r="Y4197" i="15" s="1"/>
  <c r="X4199" i="15"/>
  <c r="Y4198" i="15" s="1"/>
  <c r="X4200" i="15"/>
  <c r="Y4199" i="15" s="1"/>
  <c r="X4201" i="15"/>
  <c r="Y4200" i="15" s="1"/>
  <c r="X4202" i="15"/>
  <c r="Y4201" i="15" s="1"/>
  <c r="X4203" i="15"/>
  <c r="Y4202" i="15" s="1"/>
  <c r="X4204" i="15"/>
  <c r="Y4203" i="15" s="1"/>
  <c r="X4205" i="15"/>
  <c r="Y4204" i="15" s="1"/>
  <c r="X4206" i="15"/>
  <c r="Y4205" i="15" s="1"/>
  <c r="X4207" i="15"/>
  <c r="Y4206" i="15" s="1"/>
  <c r="X4208" i="15"/>
  <c r="Y4207" i="15" s="1"/>
  <c r="X4209" i="15"/>
  <c r="Y4208" i="15" s="1"/>
  <c r="X4210" i="15"/>
  <c r="Y4209" i="15" s="1"/>
  <c r="X4211" i="15"/>
  <c r="Y4210" i="15" s="1"/>
  <c r="X4212" i="15"/>
  <c r="Y4211" i="15" s="1"/>
  <c r="X4213" i="15"/>
  <c r="Y4212" i="15" s="1"/>
  <c r="X4214" i="15"/>
  <c r="Y4213" i="15" s="1"/>
  <c r="X4215" i="15"/>
  <c r="Y4214" i="15" s="1"/>
  <c r="X4216" i="15"/>
  <c r="Y4215" i="15" s="1"/>
  <c r="X4217" i="15"/>
  <c r="Y4216" i="15" s="1"/>
  <c r="X4218" i="15"/>
  <c r="Y4217" i="15" s="1"/>
  <c r="X4219" i="15"/>
  <c r="Y4218" i="15" s="1"/>
  <c r="X4220" i="15"/>
  <c r="Y4219" i="15" s="1"/>
  <c r="X4221" i="15"/>
  <c r="Y4220" i="15" s="1"/>
  <c r="X4222" i="15"/>
  <c r="Y4221" i="15" s="1"/>
  <c r="X4223" i="15"/>
  <c r="Y4222" i="15" s="1"/>
  <c r="X4224" i="15"/>
  <c r="Y4223" i="15" s="1"/>
  <c r="X4225" i="15"/>
  <c r="Y4224" i="15" s="1"/>
  <c r="X4226" i="15"/>
  <c r="Y4225" i="15" s="1"/>
  <c r="X4227" i="15"/>
  <c r="Y4226" i="15" s="1"/>
  <c r="X4228" i="15"/>
  <c r="Y4227" i="15" s="1"/>
  <c r="X4229" i="15"/>
  <c r="Y4228" i="15" s="1"/>
  <c r="X4230" i="15"/>
  <c r="Y4229" i="15" s="1"/>
  <c r="X4231" i="15"/>
  <c r="Y4230" i="15" s="1"/>
  <c r="X4232" i="15"/>
  <c r="Y4231" i="15" s="1"/>
  <c r="X4233" i="15"/>
  <c r="Y4232" i="15" s="1"/>
  <c r="X4234" i="15"/>
  <c r="Y4233" i="15" s="1"/>
  <c r="X4235" i="15"/>
  <c r="Y4234" i="15" s="1"/>
  <c r="X4236" i="15"/>
  <c r="Y4235" i="15" s="1"/>
  <c r="X4237" i="15"/>
  <c r="Y4236" i="15" s="1"/>
  <c r="X4238" i="15"/>
  <c r="Y4237" i="15" s="1"/>
  <c r="X4239" i="15"/>
  <c r="Y4238" i="15" s="1"/>
  <c r="X4240" i="15"/>
  <c r="Y4239" i="15" s="1"/>
  <c r="X4241" i="15"/>
  <c r="Y4240" i="15" s="1"/>
  <c r="X4242" i="15"/>
  <c r="Y4241" i="15" s="1"/>
  <c r="X4243" i="15"/>
  <c r="Y4242" i="15" s="1"/>
  <c r="X4244" i="15"/>
  <c r="Y4243" i="15" s="1"/>
  <c r="X4245" i="15"/>
  <c r="Y4244" i="15" s="1"/>
  <c r="X4246" i="15"/>
  <c r="Y4245" i="15" s="1"/>
  <c r="X4247" i="15"/>
  <c r="Y4246" i="15" s="1"/>
  <c r="X4248" i="15"/>
  <c r="Y4247" i="15" s="1"/>
  <c r="X4249" i="15"/>
  <c r="Y4248" i="15" s="1"/>
  <c r="X4250" i="15"/>
  <c r="Y4249" i="15" s="1"/>
  <c r="X4251" i="15"/>
  <c r="Y4250" i="15" s="1"/>
  <c r="X4252" i="15"/>
  <c r="Y4251" i="15" s="1"/>
  <c r="X4253" i="15"/>
  <c r="Y4252" i="15" s="1"/>
  <c r="X4254" i="15"/>
  <c r="Y4253" i="15" s="1"/>
  <c r="X4255" i="15"/>
  <c r="Y4254" i="15" s="1"/>
  <c r="X4256" i="15"/>
  <c r="Y4255" i="15" s="1"/>
  <c r="X4257" i="15"/>
  <c r="Y4256" i="15" s="1"/>
  <c r="X4258" i="15"/>
  <c r="Y4257" i="15" s="1"/>
  <c r="X4259" i="15"/>
  <c r="Y4258" i="15" s="1"/>
  <c r="X4260" i="15"/>
  <c r="Y4259" i="15" s="1"/>
  <c r="X4261" i="15"/>
  <c r="Y4260" i="15" s="1"/>
  <c r="X4262" i="15"/>
  <c r="Y4261" i="15" s="1"/>
  <c r="X4263" i="15"/>
  <c r="Y4262" i="15" s="1"/>
  <c r="X4264" i="15"/>
  <c r="Y4263" i="15" s="1"/>
  <c r="X4265" i="15"/>
  <c r="Y4264" i="15" s="1"/>
  <c r="X4266" i="15"/>
  <c r="Y4265" i="15" s="1"/>
  <c r="X4267" i="15"/>
  <c r="Y4266" i="15" s="1"/>
  <c r="X4268" i="15"/>
  <c r="Y4267" i="15" s="1"/>
  <c r="X4269" i="15"/>
  <c r="Y4268" i="15" s="1"/>
  <c r="X4270" i="15"/>
  <c r="Y4269" i="15" s="1"/>
  <c r="X4271" i="15"/>
  <c r="Y4270" i="15" s="1"/>
  <c r="X4272" i="15"/>
  <c r="Y4271" i="15" s="1"/>
  <c r="X4273" i="15"/>
  <c r="Y4272" i="15" s="1"/>
  <c r="X4274" i="15"/>
  <c r="Y4273" i="15" s="1"/>
  <c r="X4275" i="15"/>
  <c r="Y4274" i="15" s="1"/>
  <c r="X4276" i="15"/>
  <c r="Y4275" i="15" s="1"/>
  <c r="X4277" i="15"/>
  <c r="Y4276" i="15" s="1"/>
  <c r="X4278" i="15"/>
  <c r="Y4277" i="15" s="1"/>
  <c r="X4279" i="15"/>
  <c r="Y4278" i="15" s="1"/>
  <c r="X4280" i="15"/>
  <c r="Y4279" i="15" s="1"/>
  <c r="X4281" i="15"/>
  <c r="Y4280" i="15" s="1"/>
  <c r="X4282" i="15"/>
  <c r="Y4281" i="15" s="1"/>
  <c r="X4283" i="15"/>
  <c r="Y4282" i="15" s="1"/>
  <c r="X4284" i="15"/>
  <c r="Y4283" i="15" s="1"/>
  <c r="X4285" i="15"/>
  <c r="Y4284" i="15" s="1"/>
  <c r="X4286" i="15"/>
  <c r="Y4285" i="15" s="1"/>
  <c r="X4287" i="15"/>
  <c r="Y4286" i="15" s="1"/>
  <c r="X4288" i="15"/>
  <c r="Y4287" i="15" s="1"/>
  <c r="X4289" i="15"/>
  <c r="Y4288" i="15" s="1"/>
  <c r="X4290" i="15"/>
  <c r="Y4289" i="15" s="1"/>
  <c r="X4291" i="15"/>
  <c r="Y4290" i="15" s="1"/>
  <c r="X4292" i="15"/>
  <c r="Y4291" i="15" s="1"/>
  <c r="X4293" i="15"/>
  <c r="Y4292" i="15" s="1"/>
  <c r="X4294" i="15"/>
  <c r="Y4293" i="15" s="1"/>
  <c r="X4295" i="15"/>
  <c r="Y4294" i="15" s="1"/>
  <c r="X4296" i="15"/>
  <c r="Y4295" i="15" s="1"/>
  <c r="X4297" i="15"/>
  <c r="Y4296" i="15" s="1"/>
  <c r="X4298" i="15"/>
  <c r="Y4297" i="15" s="1"/>
  <c r="X4299" i="15"/>
  <c r="Y4298" i="15" s="1"/>
  <c r="X4300" i="15"/>
  <c r="Y4299" i="15" s="1"/>
  <c r="X4301" i="15"/>
  <c r="Y4300" i="15" s="1"/>
  <c r="X4302" i="15"/>
  <c r="Y4301" i="15" s="1"/>
  <c r="X4303" i="15"/>
  <c r="Y4302" i="15" s="1"/>
  <c r="X4304" i="15"/>
  <c r="Y4303" i="15" s="1"/>
  <c r="X4305" i="15"/>
  <c r="Y4304" i="15" s="1"/>
  <c r="X4306" i="15"/>
  <c r="Y4305" i="15" s="1"/>
  <c r="X4307" i="15"/>
  <c r="Y4306" i="15" s="1"/>
  <c r="X4308" i="15"/>
  <c r="Y4307" i="15" s="1"/>
  <c r="X4309" i="15"/>
  <c r="Y4308" i="15" s="1"/>
  <c r="X4310" i="15"/>
  <c r="Y4309" i="15" s="1"/>
  <c r="X4311" i="15"/>
  <c r="Y4310" i="15" s="1"/>
  <c r="X4312" i="15"/>
  <c r="Y4311" i="15" s="1"/>
  <c r="X4313" i="15"/>
  <c r="Y4312" i="15" s="1"/>
  <c r="X4314" i="15"/>
  <c r="Y4313" i="15" s="1"/>
  <c r="X4315" i="15"/>
  <c r="Y4314" i="15" s="1"/>
  <c r="X4316" i="15"/>
  <c r="Y4315" i="15" s="1"/>
  <c r="X4317" i="15"/>
  <c r="Y4316" i="15" s="1"/>
  <c r="X4318" i="15"/>
  <c r="Y4317" i="15" s="1"/>
  <c r="X4319" i="15"/>
  <c r="Y4318" i="15" s="1"/>
  <c r="X4320" i="15"/>
  <c r="Y4319" i="15" s="1"/>
  <c r="X4321" i="15"/>
  <c r="Y4320" i="15" s="1"/>
  <c r="X4322" i="15"/>
  <c r="Y4321" i="15" s="1"/>
  <c r="X4323" i="15"/>
  <c r="Y4322" i="15" s="1"/>
  <c r="X4324" i="15"/>
  <c r="Y4323" i="15" s="1"/>
  <c r="X4325" i="15"/>
  <c r="Y4324" i="15" s="1"/>
  <c r="X4326" i="15"/>
  <c r="Y4325" i="15" s="1"/>
  <c r="X4327" i="15"/>
  <c r="Y4326" i="15" s="1"/>
  <c r="X4328" i="15"/>
  <c r="Y4327" i="15" s="1"/>
  <c r="X4329" i="15"/>
  <c r="Y4328" i="15" s="1"/>
  <c r="X4330" i="15"/>
  <c r="Y4329" i="15" s="1"/>
  <c r="X4331" i="15"/>
  <c r="Y4330" i="15" s="1"/>
  <c r="X4332" i="15"/>
  <c r="Y4331" i="15" s="1"/>
  <c r="X4333" i="15"/>
  <c r="Y4332" i="15" s="1"/>
  <c r="X4334" i="15"/>
  <c r="Y4333" i="15" s="1"/>
  <c r="X4335" i="15"/>
  <c r="Y4334" i="15" s="1"/>
  <c r="X4336" i="15"/>
  <c r="Y4335" i="15" s="1"/>
  <c r="X4337" i="15"/>
  <c r="Y4336" i="15" s="1"/>
  <c r="X4338" i="15"/>
  <c r="Y4337" i="15" s="1"/>
  <c r="X4339" i="15"/>
  <c r="Y4338" i="15" s="1"/>
  <c r="X4340" i="15"/>
  <c r="Y4339" i="15" s="1"/>
  <c r="X4341" i="15"/>
  <c r="Y4340" i="15" s="1"/>
  <c r="X4342" i="15"/>
  <c r="Y4341" i="15" s="1"/>
  <c r="X4343" i="15"/>
  <c r="Y4342" i="15" s="1"/>
  <c r="X4344" i="15"/>
  <c r="Y4343" i="15" s="1"/>
  <c r="X4345" i="15"/>
  <c r="Y4344" i="15" s="1"/>
  <c r="X4346" i="15"/>
  <c r="Y4345" i="15" s="1"/>
  <c r="X4347" i="15"/>
  <c r="Y4346" i="15" s="1"/>
  <c r="X4348" i="15"/>
  <c r="Y4347" i="15" s="1"/>
  <c r="X4349" i="15"/>
  <c r="Y4348" i="15" s="1"/>
  <c r="X4350" i="15"/>
  <c r="Y4349" i="15" s="1"/>
  <c r="X4351" i="15"/>
  <c r="Y4350" i="15" s="1"/>
  <c r="X4352" i="15"/>
  <c r="Y4351" i="15" s="1"/>
  <c r="X4353" i="15"/>
  <c r="Y4352" i="15" s="1"/>
  <c r="X4354" i="15"/>
  <c r="Y4353" i="15" s="1"/>
  <c r="X4355" i="15"/>
  <c r="Y4354" i="15" s="1"/>
  <c r="X4356" i="15"/>
  <c r="Y4355" i="15" s="1"/>
  <c r="X4357" i="15"/>
  <c r="Y4356" i="15" s="1"/>
  <c r="X4358" i="15"/>
  <c r="Y4357" i="15" s="1"/>
  <c r="X4359" i="15"/>
  <c r="Y4358" i="15" s="1"/>
  <c r="X4360" i="15"/>
  <c r="Y4359" i="15" s="1"/>
  <c r="X4361" i="15"/>
  <c r="Y4360" i="15" s="1"/>
  <c r="X4362" i="15"/>
  <c r="Y4361" i="15" s="1"/>
  <c r="X4363" i="15"/>
  <c r="Y4362" i="15" s="1"/>
  <c r="X4364" i="15"/>
  <c r="Y4363" i="15" s="1"/>
  <c r="X4365" i="15"/>
  <c r="Y4364" i="15" s="1"/>
  <c r="X4366" i="15"/>
  <c r="Y4365" i="15" s="1"/>
  <c r="X4367" i="15"/>
  <c r="Y4366" i="15" s="1"/>
  <c r="X4368" i="15"/>
  <c r="Y4367" i="15" s="1"/>
  <c r="X4369" i="15"/>
  <c r="Y4368" i="15" s="1"/>
  <c r="X4370" i="15"/>
  <c r="Y4369" i="15" s="1"/>
  <c r="X4371" i="15"/>
  <c r="Y4370" i="15" s="1"/>
  <c r="X4372" i="15"/>
  <c r="Y4371" i="15" s="1"/>
  <c r="X4373" i="15"/>
  <c r="Y4372" i="15" s="1"/>
  <c r="X4374" i="15"/>
  <c r="Y4373" i="15" s="1"/>
  <c r="X4375" i="15"/>
  <c r="Y4374" i="15" s="1"/>
  <c r="X4376" i="15"/>
  <c r="Y4375" i="15" s="1"/>
  <c r="X4377" i="15"/>
  <c r="Y4376" i="15" s="1"/>
  <c r="X4378" i="15"/>
  <c r="Y4377" i="15" s="1"/>
  <c r="X4379" i="15"/>
  <c r="Y4378" i="15" s="1"/>
  <c r="X4380" i="15"/>
  <c r="Y4379" i="15" s="1"/>
  <c r="X4381" i="15"/>
  <c r="Y4380" i="15" s="1"/>
  <c r="X4382" i="15"/>
  <c r="Y4381" i="15" s="1"/>
  <c r="X4383" i="15"/>
  <c r="Y4382" i="15" s="1"/>
  <c r="X4384" i="15"/>
  <c r="Y4383" i="15" s="1"/>
  <c r="X4385" i="15"/>
  <c r="Y4384" i="15" s="1"/>
  <c r="X4386" i="15"/>
  <c r="Y4385" i="15" s="1"/>
  <c r="X4387" i="15"/>
  <c r="Y4386" i="15" s="1"/>
  <c r="X4388" i="15"/>
  <c r="Y4387" i="15" s="1"/>
  <c r="X4389" i="15"/>
  <c r="Y4388" i="15" s="1"/>
  <c r="X4390" i="15"/>
  <c r="Y4389" i="15" s="1"/>
  <c r="X4391" i="15"/>
  <c r="Y4390" i="15" s="1"/>
  <c r="X4392" i="15"/>
  <c r="Y4391" i="15" s="1"/>
  <c r="X4393" i="15"/>
  <c r="Y4392" i="15" s="1"/>
  <c r="X4394" i="15"/>
  <c r="Y4393" i="15" s="1"/>
  <c r="X4395" i="15"/>
  <c r="Y4394" i="15" s="1"/>
  <c r="X4396" i="15"/>
  <c r="Y4395" i="15" s="1"/>
  <c r="X4397" i="15"/>
  <c r="Y4396" i="15" s="1"/>
  <c r="X4398" i="15"/>
  <c r="Y4397" i="15" s="1"/>
  <c r="X4399" i="15"/>
  <c r="Y4398" i="15" s="1"/>
  <c r="X4400" i="15"/>
  <c r="Y4399" i="15" s="1"/>
  <c r="X4401" i="15"/>
  <c r="Y4400" i="15" s="1"/>
  <c r="X4402" i="15"/>
  <c r="Y4401" i="15" s="1"/>
  <c r="X4403" i="15"/>
  <c r="Y4402" i="15" s="1"/>
  <c r="X4404" i="15"/>
  <c r="Y4403" i="15" s="1"/>
  <c r="X4405" i="15"/>
  <c r="Y4404" i="15" s="1"/>
  <c r="X4406" i="15"/>
  <c r="Y4405" i="15" s="1"/>
  <c r="X4407" i="15"/>
  <c r="Y4406" i="15" s="1"/>
  <c r="X4408" i="15"/>
  <c r="Y4407" i="15" s="1"/>
  <c r="X4409" i="15"/>
  <c r="Y4408" i="15" s="1"/>
  <c r="X4410" i="15"/>
  <c r="Y4409" i="15" s="1"/>
  <c r="X4411" i="15"/>
  <c r="Y4410" i="15" s="1"/>
  <c r="X4412" i="15"/>
  <c r="Y4411" i="15" s="1"/>
  <c r="X4413" i="15"/>
  <c r="Y4412" i="15" s="1"/>
  <c r="X4414" i="15"/>
  <c r="Y4413" i="15" s="1"/>
  <c r="X4415" i="15"/>
  <c r="Y4414" i="15" s="1"/>
  <c r="X4416" i="15"/>
  <c r="Y4415" i="15" s="1"/>
  <c r="X4417" i="15"/>
  <c r="Y4416" i="15" s="1"/>
  <c r="X4418" i="15"/>
  <c r="Y4417" i="15" s="1"/>
  <c r="X4419" i="15"/>
  <c r="Y4418" i="15" s="1"/>
  <c r="X4420" i="15"/>
  <c r="Y4419" i="15" s="1"/>
  <c r="X4421" i="15"/>
  <c r="Y4420" i="15" s="1"/>
  <c r="X4422" i="15"/>
  <c r="Y4421" i="15" s="1"/>
  <c r="X4423" i="15"/>
  <c r="Y4422" i="15" s="1"/>
  <c r="X4424" i="15"/>
  <c r="Y4423" i="15" s="1"/>
  <c r="X4425" i="15"/>
  <c r="Y4424" i="15" s="1"/>
  <c r="X4426" i="15"/>
  <c r="Y4425" i="15" s="1"/>
  <c r="X4427" i="15"/>
  <c r="Y4426" i="15" s="1"/>
  <c r="X4428" i="15"/>
  <c r="Y4427" i="15" s="1"/>
  <c r="X4429" i="15"/>
  <c r="Y4428" i="15" s="1"/>
  <c r="X4430" i="15"/>
  <c r="Y4429" i="15" s="1"/>
  <c r="X4431" i="15"/>
  <c r="Y4430" i="15" s="1"/>
  <c r="X4432" i="15"/>
  <c r="Y4431" i="15" s="1"/>
  <c r="X4433" i="15"/>
  <c r="Y4432" i="15" s="1"/>
  <c r="X4434" i="15"/>
  <c r="Y4433" i="15" s="1"/>
  <c r="X4435" i="15"/>
  <c r="Y4434" i="15" s="1"/>
  <c r="X4436" i="15"/>
  <c r="Y4435" i="15" s="1"/>
  <c r="X4437" i="15"/>
  <c r="Y4436" i="15" s="1"/>
  <c r="X4438" i="15"/>
  <c r="Y4437" i="15" s="1"/>
  <c r="X4439" i="15"/>
  <c r="Y4438" i="15" s="1"/>
  <c r="X4440" i="15"/>
  <c r="Y4439" i="15" s="1"/>
  <c r="X4441" i="15"/>
  <c r="Y4440" i="15" s="1"/>
  <c r="X4442" i="15"/>
  <c r="Y4441" i="15" s="1"/>
  <c r="X4443" i="15"/>
  <c r="Y4442" i="15" s="1"/>
  <c r="X4444" i="15"/>
  <c r="Y4443" i="15" s="1"/>
  <c r="X4445" i="15"/>
  <c r="Y4444" i="15" s="1"/>
  <c r="X4446" i="15"/>
  <c r="Y4445" i="15" s="1"/>
  <c r="X4447" i="15"/>
  <c r="Y4446" i="15" s="1"/>
  <c r="X4448" i="15"/>
  <c r="Y4447" i="15" s="1"/>
  <c r="X4449" i="15"/>
  <c r="Y4448" i="15" s="1"/>
  <c r="X4450" i="15"/>
  <c r="Y4449" i="15" s="1"/>
  <c r="X4451" i="15"/>
  <c r="Y4450" i="15" s="1"/>
  <c r="X4452" i="15"/>
  <c r="Y4451" i="15" s="1"/>
  <c r="X4453" i="15"/>
  <c r="Y4452" i="15" s="1"/>
  <c r="X4454" i="15"/>
  <c r="Y4453" i="15" s="1"/>
  <c r="X4455" i="15"/>
  <c r="Y4454" i="15" s="1"/>
  <c r="X4456" i="15"/>
  <c r="Y4455" i="15" s="1"/>
  <c r="X4457" i="15"/>
  <c r="Y4456" i="15" s="1"/>
  <c r="X4458" i="15"/>
  <c r="Y4457" i="15" s="1"/>
  <c r="X4459" i="15"/>
  <c r="Y4458" i="15" s="1"/>
  <c r="X4460" i="15"/>
  <c r="Y4459" i="15" s="1"/>
  <c r="X4461" i="15"/>
  <c r="Y4460" i="15" s="1"/>
  <c r="X4462" i="15"/>
  <c r="Y4461" i="15" s="1"/>
  <c r="X4463" i="15"/>
  <c r="Y4462" i="15" s="1"/>
  <c r="X4464" i="15"/>
  <c r="Y4463" i="15" s="1"/>
  <c r="X4465" i="15"/>
  <c r="Y4464" i="15" s="1"/>
  <c r="X4466" i="15"/>
  <c r="Y4465" i="15" s="1"/>
  <c r="X4467" i="15"/>
  <c r="Y4466" i="15" s="1"/>
  <c r="X4468" i="15"/>
  <c r="Y4467" i="15" s="1"/>
  <c r="X4469" i="15"/>
  <c r="Y4468" i="15" s="1"/>
  <c r="X4470" i="15"/>
  <c r="Y4469" i="15" s="1"/>
  <c r="X4471" i="15"/>
  <c r="Y4470" i="15" s="1"/>
  <c r="X4472" i="15"/>
  <c r="Y4471" i="15" s="1"/>
  <c r="X4473" i="15"/>
  <c r="Y4472" i="15" s="1"/>
  <c r="X4474" i="15"/>
  <c r="Y4473" i="15" s="1"/>
  <c r="X4475" i="15"/>
  <c r="Y4474" i="15" s="1"/>
  <c r="X4476" i="15"/>
  <c r="Y4475" i="15" s="1"/>
  <c r="X4477" i="15"/>
  <c r="Y4476" i="15" s="1"/>
  <c r="X4478" i="15"/>
  <c r="Y4477" i="15" s="1"/>
  <c r="X4479" i="15"/>
  <c r="Y4478" i="15" s="1"/>
  <c r="X4480" i="15"/>
  <c r="Y4479" i="15" s="1"/>
  <c r="X4481" i="15"/>
  <c r="Y4480" i="15" s="1"/>
  <c r="X4482" i="15"/>
  <c r="Y4481" i="15" s="1"/>
  <c r="X4483" i="15"/>
  <c r="Y4482" i="15" s="1"/>
  <c r="X4484" i="15"/>
  <c r="Y4483" i="15" s="1"/>
  <c r="X4485" i="15"/>
  <c r="Y4484" i="15" s="1"/>
  <c r="X4486" i="15"/>
  <c r="Y4485" i="15" s="1"/>
  <c r="X4487" i="15"/>
  <c r="Y4486" i="15" s="1"/>
  <c r="X4488" i="15"/>
  <c r="Y4487" i="15" s="1"/>
  <c r="X4489" i="15"/>
  <c r="Y4488" i="15" s="1"/>
  <c r="X4490" i="15"/>
  <c r="Y4489" i="15" s="1"/>
  <c r="X4491" i="15"/>
  <c r="Y4490" i="15" s="1"/>
  <c r="X4492" i="15"/>
  <c r="Y4491" i="15" s="1"/>
  <c r="X4493" i="15"/>
  <c r="Y4492" i="15" s="1"/>
  <c r="X4494" i="15"/>
  <c r="Y4493" i="15" s="1"/>
  <c r="X4495" i="15"/>
  <c r="Y4494" i="15" s="1"/>
  <c r="X4496" i="15"/>
  <c r="Y4495" i="15" s="1"/>
  <c r="X4497" i="15"/>
  <c r="Y4496" i="15" s="1"/>
  <c r="X4498" i="15"/>
  <c r="Y4497" i="15" s="1"/>
  <c r="X4499" i="15"/>
  <c r="Y4498" i="15" s="1"/>
  <c r="X4500" i="15"/>
  <c r="Y4499" i="15" s="1"/>
  <c r="X4501" i="15"/>
  <c r="Y4500" i="15" s="1"/>
  <c r="X4502" i="15"/>
  <c r="Y4501" i="15" s="1"/>
  <c r="X4503" i="15"/>
  <c r="Y4502" i="15" s="1"/>
  <c r="X4504" i="15"/>
  <c r="Y4503" i="15" s="1"/>
  <c r="X4505" i="15"/>
  <c r="Y4504" i="15" s="1"/>
  <c r="X4506" i="15"/>
  <c r="Y4505" i="15" s="1"/>
  <c r="X4507" i="15"/>
  <c r="Y4506" i="15" s="1"/>
  <c r="X4508" i="15"/>
  <c r="Y4507" i="15" s="1"/>
  <c r="X4509" i="15"/>
  <c r="Y4508" i="15" s="1"/>
  <c r="X4510" i="15"/>
  <c r="Y4509" i="15" s="1"/>
  <c r="X4511" i="15"/>
  <c r="Y4510" i="15" s="1"/>
  <c r="X4512" i="15"/>
  <c r="Y4511" i="15" s="1"/>
  <c r="X4513" i="15"/>
  <c r="Y4512" i="15" s="1"/>
  <c r="X4514" i="15"/>
  <c r="Y4513" i="15" s="1"/>
  <c r="X4515" i="15"/>
  <c r="Y4514" i="15" s="1"/>
  <c r="X4516" i="15"/>
  <c r="Y4515" i="15" s="1"/>
  <c r="X4517" i="15"/>
  <c r="Y4516" i="15" s="1"/>
  <c r="X4518" i="15"/>
  <c r="Y4517" i="15" s="1"/>
  <c r="X4519" i="15"/>
  <c r="Y4518" i="15" s="1"/>
  <c r="X4520" i="15"/>
  <c r="Y4519" i="15" s="1"/>
  <c r="X4521" i="15"/>
  <c r="Y4520" i="15" s="1"/>
  <c r="X4522" i="15"/>
  <c r="Y4521" i="15" s="1"/>
  <c r="X4523" i="15"/>
  <c r="Y4522" i="15" s="1"/>
  <c r="X4524" i="15"/>
  <c r="Y4523" i="15" s="1"/>
  <c r="X4525" i="15"/>
  <c r="Y4524" i="15" s="1"/>
  <c r="X4526" i="15"/>
  <c r="Y4525" i="15" s="1"/>
  <c r="X4527" i="15"/>
  <c r="Y4526" i="15" s="1"/>
  <c r="X4528" i="15"/>
  <c r="Y4527" i="15" s="1"/>
  <c r="X4529" i="15"/>
  <c r="Y4528" i="15" s="1"/>
  <c r="X4530" i="15"/>
  <c r="Y4529" i="15" s="1"/>
  <c r="X4531" i="15"/>
  <c r="Y4530" i="15" s="1"/>
  <c r="X4532" i="15"/>
  <c r="Y4531" i="15" s="1"/>
  <c r="X4533" i="15"/>
  <c r="Y4532" i="15" s="1"/>
  <c r="X4534" i="15"/>
  <c r="Y4533" i="15" s="1"/>
  <c r="X4535" i="15"/>
  <c r="Y4534" i="15" s="1"/>
  <c r="X4536" i="15"/>
  <c r="Y4535" i="15" s="1"/>
  <c r="X4537" i="15"/>
  <c r="Y4536" i="15" s="1"/>
  <c r="X4538" i="15"/>
  <c r="Y4537" i="15" s="1"/>
  <c r="X4539" i="15"/>
  <c r="Y4538" i="15" s="1"/>
  <c r="X4540" i="15"/>
  <c r="Y4539" i="15" s="1"/>
  <c r="X4541" i="15"/>
  <c r="Y4540" i="15" s="1"/>
  <c r="X4542" i="15"/>
  <c r="Y4541" i="15" s="1"/>
  <c r="X4543" i="15"/>
  <c r="Y4542" i="15" s="1"/>
  <c r="X4544" i="15"/>
  <c r="Y4543" i="15" s="1"/>
  <c r="X4545" i="15"/>
  <c r="Y4544" i="15" s="1"/>
  <c r="X4546" i="15"/>
  <c r="Y4545" i="15" s="1"/>
  <c r="X4547" i="15"/>
  <c r="Y4546" i="15" s="1"/>
  <c r="X4548" i="15"/>
  <c r="Y4547" i="15" s="1"/>
  <c r="X4549" i="15"/>
  <c r="Y4548" i="15" s="1"/>
  <c r="X4550" i="15"/>
  <c r="Y4549" i="15" s="1"/>
  <c r="X4551" i="15"/>
  <c r="Y4550" i="15" s="1"/>
  <c r="X4552" i="15"/>
  <c r="Y4551" i="15" s="1"/>
  <c r="X4553" i="15"/>
  <c r="Y4552" i="15" s="1"/>
  <c r="X4554" i="15"/>
  <c r="Y4553" i="15" s="1"/>
  <c r="X4555" i="15"/>
  <c r="Y4554" i="15" s="1"/>
  <c r="X4556" i="15"/>
  <c r="Y4555" i="15" s="1"/>
  <c r="X4557" i="15"/>
  <c r="Y4556" i="15" s="1"/>
  <c r="X4558" i="15"/>
  <c r="Y4557" i="15" s="1"/>
  <c r="X4559" i="15"/>
  <c r="Y4558" i="15" s="1"/>
  <c r="X4560" i="15"/>
  <c r="Y4559" i="15" s="1"/>
  <c r="X4561" i="15"/>
  <c r="Y4560" i="15" s="1"/>
  <c r="X4562" i="15"/>
  <c r="Y4561" i="15" s="1"/>
  <c r="X4563" i="15"/>
  <c r="Y4562" i="15" s="1"/>
  <c r="X4564" i="15"/>
  <c r="Y4563" i="15" s="1"/>
  <c r="X4565" i="15"/>
  <c r="Y4564" i="15" s="1"/>
  <c r="X4566" i="15"/>
  <c r="Y4565" i="15" s="1"/>
  <c r="X4567" i="15"/>
  <c r="Y4566" i="15" s="1"/>
  <c r="X4568" i="15"/>
  <c r="Y4567" i="15" s="1"/>
  <c r="X4569" i="15"/>
  <c r="Y4568" i="15" s="1"/>
  <c r="X4570" i="15"/>
  <c r="Y4569" i="15" s="1"/>
  <c r="X4571" i="15"/>
  <c r="Y4570" i="15" s="1"/>
  <c r="X4572" i="15"/>
  <c r="Y4571" i="15" s="1"/>
  <c r="X4573" i="15"/>
  <c r="Y4572" i="15" s="1"/>
  <c r="X4574" i="15"/>
  <c r="Y4573" i="15" s="1"/>
  <c r="X4575" i="15"/>
  <c r="Y4574" i="15" s="1"/>
  <c r="X4576" i="15"/>
  <c r="Y4575" i="15" s="1"/>
  <c r="X4577" i="15"/>
  <c r="Y4576" i="15" s="1"/>
  <c r="X4578" i="15"/>
  <c r="Y4577" i="15" s="1"/>
  <c r="X4579" i="15"/>
  <c r="Y4578" i="15" s="1"/>
  <c r="X4580" i="15"/>
  <c r="Y4579" i="15" s="1"/>
  <c r="X4581" i="15"/>
  <c r="Y4580" i="15" s="1"/>
  <c r="X4582" i="15"/>
  <c r="Y4581" i="15" s="1"/>
  <c r="X4583" i="15"/>
  <c r="Y4582" i="15" s="1"/>
  <c r="X4584" i="15"/>
  <c r="Y4583" i="15" s="1"/>
  <c r="X4585" i="15"/>
  <c r="Y4584" i="15" s="1"/>
  <c r="X4586" i="15"/>
  <c r="Y4585" i="15" s="1"/>
  <c r="X4587" i="15"/>
  <c r="Y4586" i="15" s="1"/>
  <c r="X4588" i="15"/>
  <c r="Y4587" i="15" s="1"/>
  <c r="X4589" i="15"/>
  <c r="Y4588" i="15" s="1"/>
  <c r="X4590" i="15"/>
  <c r="Y4589" i="15" s="1"/>
  <c r="X4591" i="15"/>
  <c r="Y4590" i="15" s="1"/>
  <c r="X4592" i="15"/>
  <c r="Y4591" i="15" s="1"/>
  <c r="X4593" i="15"/>
  <c r="Y4592" i="15" s="1"/>
  <c r="X4594" i="15"/>
  <c r="Y4593" i="15" s="1"/>
  <c r="X4595" i="15"/>
  <c r="Y4594" i="15" s="1"/>
  <c r="X4596" i="15"/>
  <c r="Y4595" i="15" s="1"/>
  <c r="X4597" i="15"/>
  <c r="Y4596" i="15" s="1"/>
  <c r="X4598" i="15"/>
  <c r="Y4597" i="15" s="1"/>
  <c r="X4599" i="15"/>
  <c r="Y4598" i="15" s="1"/>
  <c r="X4600" i="15"/>
  <c r="Y4599" i="15" s="1"/>
  <c r="X4601" i="15"/>
  <c r="Y4600" i="15" s="1"/>
  <c r="X4602" i="15"/>
  <c r="Y4601" i="15" s="1"/>
  <c r="X4603" i="15"/>
  <c r="Y4602" i="15" s="1"/>
  <c r="X4604" i="15"/>
  <c r="Y4603" i="15" s="1"/>
  <c r="X4605" i="15"/>
  <c r="Y4604" i="15" s="1"/>
  <c r="X4606" i="15"/>
  <c r="Y4605" i="15" s="1"/>
  <c r="X4607" i="15"/>
  <c r="Y4606" i="15" s="1"/>
  <c r="X4608" i="15"/>
  <c r="Y4607" i="15" s="1"/>
  <c r="X4609" i="15"/>
  <c r="Y4608" i="15" s="1"/>
  <c r="X4610" i="15"/>
  <c r="Y4609" i="15" s="1"/>
  <c r="X4611" i="15"/>
  <c r="Y4610" i="15" s="1"/>
  <c r="X4612" i="15"/>
  <c r="Y4611" i="15" s="1"/>
  <c r="X4613" i="15"/>
  <c r="Y4612" i="15" s="1"/>
  <c r="X4614" i="15"/>
  <c r="Y4613" i="15" s="1"/>
  <c r="X4615" i="15"/>
  <c r="Y4614" i="15" s="1"/>
  <c r="X4616" i="15"/>
  <c r="Y4615" i="15" s="1"/>
  <c r="X4617" i="15"/>
  <c r="Y4616" i="15" s="1"/>
  <c r="X4618" i="15"/>
  <c r="Y4617" i="15" s="1"/>
  <c r="X4619" i="15"/>
  <c r="Y4618" i="15" s="1"/>
  <c r="X4620" i="15"/>
  <c r="Y4619" i="15" s="1"/>
  <c r="X4621" i="15"/>
  <c r="Y4620" i="15" s="1"/>
  <c r="X4622" i="15"/>
  <c r="Y4621" i="15" s="1"/>
  <c r="X4623" i="15"/>
  <c r="Y4622" i="15" s="1"/>
  <c r="X4624" i="15"/>
  <c r="Y4623" i="15" s="1"/>
  <c r="X4625" i="15"/>
  <c r="Y4624" i="15" s="1"/>
  <c r="X4626" i="15"/>
  <c r="Y4625" i="15" s="1"/>
  <c r="X4627" i="15"/>
  <c r="Y4626" i="15" s="1"/>
  <c r="X4628" i="15"/>
  <c r="Y4627" i="15" s="1"/>
  <c r="X4629" i="15"/>
  <c r="Y4628" i="15" s="1"/>
  <c r="X4630" i="15"/>
  <c r="Y4629" i="15" s="1"/>
  <c r="X4631" i="15"/>
  <c r="Y4630" i="15" s="1"/>
  <c r="X4632" i="15"/>
  <c r="Y4631" i="15" s="1"/>
  <c r="X4633" i="15"/>
  <c r="Y4632" i="15" s="1"/>
  <c r="X4634" i="15"/>
  <c r="Y4633" i="15" s="1"/>
  <c r="X4635" i="15"/>
  <c r="Y4634" i="15" s="1"/>
  <c r="X4636" i="15"/>
  <c r="Y4635" i="15" s="1"/>
  <c r="X4637" i="15"/>
  <c r="Y4636" i="15" s="1"/>
  <c r="X4638" i="15"/>
  <c r="Y4637" i="15" s="1"/>
  <c r="X4639" i="15"/>
  <c r="Y4638" i="15" s="1"/>
  <c r="X4640" i="15"/>
  <c r="Y4639" i="15" s="1"/>
  <c r="X4641" i="15"/>
  <c r="Y4640" i="15" s="1"/>
  <c r="X4642" i="15"/>
  <c r="Y4641" i="15" s="1"/>
  <c r="X4643" i="15"/>
  <c r="Y4642" i="15" s="1"/>
  <c r="X4644" i="15"/>
  <c r="Y4643" i="15" s="1"/>
  <c r="X4645" i="15"/>
  <c r="Y4644" i="15" s="1"/>
  <c r="X4646" i="15"/>
  <c r="Y4645" i="15" s="1"/>
  <c r="X4647" i="15"/>
  <c r="Y4646" i="15" s="1"/>
  <c r="X4648" i="15"/>
  <c r="Y4647" i="15" s="1"/>
  <c r="X4649" i="15"/>
  <c r="Y4648" i="15" s="1"/>
  <c r="X4650" i="15"/>
  <c r="Y4649" i="15" s="1"/>
  <c r="X4651" i="15"/>
  <c r="Y4650" i="15" s="1"/>
  <c r="X4652" i="15"/>
  <c r="Y4651" i="15" s="1"/>
  <c r="X4653" i="15"/>
  <c r="Y4652" i="15" s="1"/>
  <c r="X4654" i="15"/>
  <c r="Y4653" i="15" s="1"/>
  <c r="X4655" i="15"/>
  <c r="Y4654" i="15" s="1"/>
  <c r="X4656" i="15"/>
  <c r="Y4655" i="15" s="1"/>
  <c r="X4657" i="15"/>
  <c r="Y4656" i="15" s="1"/>
  <c r="X4658" i="15"/>
  <c r="Y4657" i="15" s="1"/>
  <c r="X4659" i="15"/>
  <c r="Y4658" i="15" s="1"/>
  <c r="X4660" i="15"/>
  <c r="Y4659" i="15" s="1"/>
  <c r="X4661" i="15"/>
  <c r="Y4660" i="15" s="1"/>
  <c r="X4662" i="15"/>
  <c r="Y4661" i="15" s="1"/>
  <c r="X4663" i="15"/>
  <c r="Y4662" i="15" s="1"/>
  <c r="X4664" i="15"/>
  <c r="Y4663" i="15" s="1"/>
  <c r="X4665" i="15"/>
  <c r="Y4664" i="15" s="1"/>
  <c r="X4666" i="15"/>
  <c r="Y4665" i="15" s="1"/>
  <c r="X4667" i="15"/>
  <c r="Y4666" i="15" s="1"/>
  <c r="X4668" i="15"/>
  <c r="Y4667" i="15" s="1"/>
  <c r="X4669" i="15"/>
  <c r="Y4668" i="15" s="1"/>
  <c r="X4670" i="15"/>
  <c r="Y4669" i="15" s="1"/>
  <c r="X4671" i="15"/>
  <c r="Y4670" i="15" s="1"/>
  <c r="X4672" i="15"/>
  <c r="Y4671" i="15" s="1"/>
  <c r="X4673" i="15"/>
  <c r="Y4672" i="15" s="1"/>
  <c r="X4674" i="15"/>
  <c r="Y4673" i="15" s="1"/>
  <c r="X4675" i="15"/>
  <c r="Y4674" i="15" s="1"/>
  <c r="X4676" i="15"/>
  <c r="Y4675" i="15" s="1"/>
  <c r="X4677" i="15"/>
  <c r="Y4676" i="15" s="1"/>
  <c r="X4678" i="15"/>
  <c r="Y4677" i="15" s="1"/>
  <c r="X4679" i="15"/>
  <c r="Y4678" i="15" s="1"/>
  <c r="X4680" i="15"/>
  <c r="Y4679" i="15" s="1"/>
  <c r="X4681" i="15"/>
  <c r="Y4680" i="15" s="1"/>
  <c r="X4682" i="15"/>
  <c r="Y4681" i="15" s="1"/>
  <c r="X4683" i="15"/>
  <c r="Y4682" i="15" s="1"/>
  <c r="X4684" i="15"/>
  <c r="Y4683" i="15" s="1"/>
  <c r="X4685" i="15"/>
  <c r="Y4684" i="15" s="1"/>
  <c r="X4686" i="15"/>
  <c r="Y4685" i="15" s="1"/>
  <c r="X4687" i="15"/>
  <c r="Y4686" i="15" s="1"/>
  <c r="X4688" i="15"/>
  <c r="Y4687" i="15" s="1"/>
  <c r="X4689" i="15"/>
  <c r="Y4688" i="15" s="1"/>
  <c r="X4690" i="15"/>
  <c r="Y4689" i="15" s="1"/>
  <c r="X4691" i="15"/>
  <c r="Y4690" i="15" s="1"/>
  <c r="X4692" i="15"/>
  <c r="Y4691" i="15" s="1"/>
  <c r="X4693" i="15"/>
  <c r="Y4692" i="15" s="1"/>
  <c r="X4694" i="15"/>
  <c r="Y4693" i="15" s="1"/>
  <c r="X4695" i="15"/>
  <c r="Y4694" i="15" s="1"/>
  <c r="X4696" i="15"/>
  <c r="Y4695" i="15" s="1"/>
  <c r="X4697" i="15"/>
  <c r="Y4696" i="15" s="1"/>
  <c r="X4698" i="15"/>
  <c r="Y4697" i="15" s="1"/>
  <c r="X4699" i="15"/>
  <c r="Y4698" i="15" s="1"/>
  <c r="X4700" i="15"/>
  <c r="Y4699" i="15" s="1"/>
  <c r="X4701" i="15"/>
  <c r="Y4700" i="15" s="1"/>
  <c r="X4702" i="15"/>
  <c r="Y4701" i="15" s="1"/>
  <c r="X4703" i="15"/>
  <c r="Y4702" i="15" s="1"/>
  <c r="X4704" i="15"/>
  <c r="Y4703" i="15" s="1"/>
  <c r="X4705" i="15"/>
  <c r="Y4704" i="15" s="1"/>
  <c r="X4706" i="15"/>
  <c r="Y4705" i="15" s="1"/>
  <c r="X4707" i="15"/>
  <c r="Y4706" i="15" s="1"/>
  <c r="X4708" i="15"/>
  <c r="Y4707" i="15" s="1"/>
  <c r="X4709" i="15"/>
  <c r="Y4708" i="15" s="1"/>
  <c r="X4710" i="15"/>
  <c r="Y4709" i="15" s="1"/>
  <c r="X4711" i="15"/>
  <c r="Y4710" i="15" s="1"/>
  <c r="X4712" i="15"/>
  <c r="Y4711" i="15" s="1"/>
  <c r="X4713" i="15"/>
  <c r="Y4712" i="15" s="1"/>
  <c r="X4714" i="15"/>
  <c r="Y4713" i="15" s="1"/>
  <c r="X4715" i="15"/>
  <c r="Y4714" i="15" s="1"/>
  <c r="X4716" i="15"/>
  <c r="Y4715" i="15" s="1"/>
  <c r="X4717" i="15"/>
  <c r="Y4716" i="15" s="1"/>
  <c r="X4718" i="15"/>
  <c r="Y4717" i="15" s="1"/>
  <c r="X4719" i="15"/>
  <c r="Y4718" i="15" s="1"/>
  <c r="X4720" i="15"/>
  <c r="Y4719" i="15" s="1"/>
  <c r="X4721" i="15"/>
  <c r="Y4720" i="15" s="1"/>
  <c r="X4722" i="15"/>
  <c r="Y4721" i="15" s="1"/>
  <c r="X4723" i="15"/>
  <c r="Y4722" i="15" s="1"/>
  <c r="X4724" i="15"/>
  <c r="Y4723" i="15" s="1"/>
  <c r="X4725" i="15"/>
  <c r="Y4724" i="15" s="1"/>
  <c r="X4726" i="15"/>
  <c r="Y4725" i="15" s="1"/>
  <c r="X4727" i="15"/>
  <c r="Y4726" i="15" s="1"/>
  <c r="X4728" i="15"/>
  <c r="Y4727" i="15" s="1"/>
  <c r="X4729" i="15"/>
  <c r="Y4728" i="15" s="1"/>
  <c r="X4730" i="15"/>
  <c r="Y4729" i="15" s="1"/>
  <c r="X4731" i="15"/>
  <c r="Y4730" i="15" s="1"/>
  <c r="X4732" i="15"/>
  <c r="Y4731" i="15" s="1"/>
  <c r="X4733" i="15"/>
  <c r="Y4732" i="15" s="1"/>
  <c r="X4734" i="15"/>
  <c r="Y4733" i="15" s="1"/>
  <c r="X4735" i="15"/>
  <c r="Y4734" i="15" s="1"/>
  <c r="X4736" i="15"/>
  <c r="Y4735" i="15" s="1"/>
  <c r="X4737" i="15"/>
  <c r="Y4736" i="15" s="1"/>
  <c r="X4738" i="15"/>
  <c r="Y4737" i="15" s="1"/>
  <c r="X4739" i="15"/>
  <c r="Y4738" i="15" s="1"/>
  <c r="X4740" i="15"/>
  <c r="Y4739" i="15" s="1"/>
  <c r="X4741" i="15"/>
  <c r="Y4740" i="15" s="1"/>
  <c r="X4742" i="15"/>
  <c r="Y4741" i="15" s="1"/>
  <c r="X4743" i="15"/>
  <c r="Y4742" i="15" s="1"/>
  <c r="X4744" i="15"/>
  <c r="Y4743" i="15" s="1"/>
  <c r="X4745" i="15"/>
  <c r="Y4744" i="15" s="1"/>
  <c r="X4746" i="15"/>
  <c r="Y4745" i="15" s="1"/>
  <c r="X4747" i="15"/>
  <c r="Y4746" i="15" s="1"/>
  <c r="X4748" i="15"/>
  <c r="Y4747" i="15" s="1"/>
  <c r="X4749" i="15"/>
  <c r="Y4748" i="15" s="1"/>
  <c r="X4750" i="15"/>
  <c r="Y4749" i="15" s="1"/>
  <c r="X4751" i="15"/>
  <c r="Y4750" i="15" s="1"/>
  <c r="X4752" i="15"/>
  <c r="Y4751" i="15" s="1"/>
  <c r="X4753" i="15"/>
  <c r="Y4752" i="15" s="1"/>
  <c r="X4754" i="15"/>
  <c r="Y4753" i="15" s="1"/>
  <c r="X4755" i="15"/>
  <c r="Y4754" i="15" s="1"/>
  <c r="X4756" i="15"/>
  <c r="Y4755" i="15" s="1"/>
  <c r="X4757" i="15"/>
  <c r="Y4756" i="15" s="1"/>
  <c r="X4758" i="15"/>
  <c r="Y4757" i="15" s="1"/>
  <c r="X4759" i="15"/>
  <c r="Y4758" i="15" s="1"/>
  <c r="X4760" i="15"/>
  <c r="Y4759" i="15" s="1"/>
  <c r="X4761" i="15"/>
  <c r="Y4760" i="15" s="1"/>
  <c r="X4762" i="15"/>
  <c r="Y4761" i="15" s="1"/>
  <c r="X4763" i="15"/>
  <c r="Y4762" i="15" s="1"/>
  <c r="X4764" i="15"/>
  <c r="Y4763" i="15" s="1"/>
  <c r="X4765" i="15"/>
  <c r="Y4764" i="15" s="1"/>
  <c r="X4766" i="15"/>
  <c r="Y4765" i="15" s="1"/>
  <c r="X4767" i="15"/>
  <c r="Y4766" i="15" s="1"/>
  <c r="X4768" i="15"/>
  <c r="Y4767" i="15" s="1"/>
  <c r="X4769" i="15"/>
  <c r="Y4768" i="15" s="1"/>
  <c r="X4770" i="15"/>
  <c r="Y4769" i="15" s="1"/>
  <c r="X4771" i="15"/>
  <c r="Y4770" i="15" s="1"/>
  <c r="X4772" i="15"/>
  <c r="Y4771" i="15" s="1"/>
  <c r="X4773" i="15"/>
  <c r="Y4772" i="15" s="1"/>
  <c r="X4774" i="15"/>
  <c r="Y4773" i="15" s="1"/>
  <c r="X4775" i="15"/>
  <c r="Y4774" i="15" s="1"/>
  <c r="X4776" i="15"/>
  <c r="Y4775" i="15" s="1"/>
  <c r="X4777" i="15"/>
  <c r="Y4776" i="15" s="1"/>
  <c r="X4778" i="15"/>
  <c r="Y4777" i="15" s="1"/>
  <c r="X4779" i="15"/>
  <c r="Y4778" i="15" s="1"/>
  <c r="X4780" i="15"/>
  <c r="Y4779" i="15" s="1"/>
  <c r="X4781" i="15"/>
  <c r="Y4780" i="15" s="1"/>
  <c r="X4782" i="15"/>
  <c r="Y4781" i="15" s="1"/>
  <c r="X4783" i="15"/>
  <c r="Y4782" i="15" s="1"/>
  <c r="X4784" i="15"/>
  <c r="Y4783" i="15" s="1"/>
  <c r="X4785" i="15"/>
  <c r="Y4784" i="15" s="1"/>
  <c r="X4786" i="15"/>
  <c r="Y4785" i="15" s="1"/>
  <c r="X4787" i="15"/>
  <c r="Y4786" i="15" s="1"/>
  <c r="X4788" i="15"/>
  <c r="Y4787" i="15" s="1"/>
  <c r="X4789" i="15"/>
  <c r="Y4788" i="15" s="1"/>
  <c r="X4790" i="15"/>
  <c r="Y4789" i="15" s="1"/>
  <c r="X4791" i="15"/>
  <c r="Y4790" i="15" s="1"/>
  <c r="X4792" i="15"/>
  <c r="Y4791" i="15" s="1"/>
  <c r="X4793" i="15"/>
  <c r="Y4792" i="15" s="1"/>
  <c r="X4794" i="15"/>
  <c r="Y4793" i="15" s="1"/>
  <c r="X4795" i="15"/>
  <c r="Y4794" i="15" s="1"/>
  <c r="X4796" i="15"/>
  <c r="Y4795" i="15" s="1"/>
  <c r="X4797" i="15"/>
  <c r="Y4796" i="15" s="1"/>
  <c r="X4798" i="15"/>
  <c r="Y4797" i="15" s="1"/>
  <c r="X4799" i="15"/>
  <c r="Y4798" i="15" s="1"/>
  <c r="X4800" i="15"/>
  <c r="Y4799" i="15" s="1"/>
  <c r="X4801" i="15"/>
  <c r="Y4800" i="15" s="1"/>
  <c r="X4802" i="15"/>
  <c r="Y4801" i="15" s="1"/>
  <c r="X4803" i="15"/>
  <c r="Y4802" i="15" s="1"/>
  <c r="X4804" i="15"/>
  <c r="Y4803" i="15" s="1"/>
  <c r="X4805" i="15"/>
  <c r="Y4804" i="15" s="1"/>
  <c r="X4806" i="15"/>
  <c r="Y4805" i="15" s="1"/>
  <c r="X4807" i="15"/>
  <c r="Y4806" i="15" s="1"/>
  <c r="X4808" i="15"/>
  <c r="Y4807" i="15" s="1"/>
  <c r="X4809" i="15"/>
  <c r="Y4808" i="15" s="1"/>
  <c r="X4810" i="15"/>
  <c r="Y4809" i="15" s="1"/>
  <c r="X4811" i="15"/>
  <c r="Y4810" i="15" s="1"/>
  <c r="X4812" i="15"/>
  <c r="Y4811" i="15" s="1"/>
  <c r="X4813" i="15"/>
  <c r="Y4812" i="15" s="1"/>
  <c r="X4814" i="15"/>
  <c r="Y4813" i="15" s="1"/>
  <c r="X4815" i="15"/>
  <c r="Y4814" i="15" s="1"/>
  <c r="X4816" i="15"/>
  <c r="Y4815" i="15" s="1"/>
  <c r="X4817" i="15"/>
  <c r="Y4816" i="15" s="1"/>
  <c r="X4818" i="15"/>
  <c r="Y4817" i="15" s="1"/>
  <c r="X4819" i="15"/>
  <c r="Y4818" i="15" s="1"/>
  <c r="X4820" i="15"/>
  <c r="Y4819" i="15" s="1"/>
  <c r="X4821" i="15"/>
  <c r="Y4820" i="15" s="1"/>
  <c r="X4822" i="15"/>
  <c r="Y4821" i="15" s="1"/>
  <c r="X4823" i="15"/>
  <c r="Y4822" i="15" s="1"/>
  <c r="X4824" i="15"/>
  <c r="Y4823" i="15" s="1"/>
  <c r="X4825" i="15"/>
  <c r="Y4824" i="15" s="1"/>
  <c r="X4826" i="15"/>
  <c r="Y4825" i="15" s="1"/>
  <c r="X4827" i="15"/>
  <c r="Y4826" i="15" s="1"/>
  <c r="X4828" i="15"/>
  <c r="Y4827" i="15" s="1"/>
  <c r="X4829" i="15"/>
  <c r="Y4828" i="15" s="1"/>
  <c r="X4830" i="15"/>
  <c r="Y4829" i="15" s="1"/>
  <c r="X4831" i="15"/>
  <c r="Y4830" i="15" s="1"/>
  <c r="X4832" i="15"/>
  <c r="Y4831" i="15" s="1"/>
  <c r="X4833" i="15"/>
  <c r="Y4832" i="15" s="1"/>
  <c r="X4834" i="15"/>
  <c r="Y4833" i="15" s="1"/>
  <c r="X4835" i="15"/>
  <c r="Y4834" i="15" s="1"/>
  <c r="X4836" i="15"/>
  <c r="Y4835" i="15" s="1"/>
  <c r="X4837" i="15"/>
  <c r="Y4836" i="15" s="1"/>
  <c r="X4838" i="15"/>
  <c r="Y4837" i="15" s="1"/>
  <c r="X4839" i="15"/>
  <c r="Y4838" i="15" s="1"/>
  <c r="X4840" i="15"/>
  <c r="Y4839" i="15" s="1"/>
  <c r="X4841" i="15"/>
  <c r="Y4840" i="15" s="1"/>
  <c r="X4842" i="15"/>
  <c r="Y4841" i="15" s="1"/>
  <c r="X4843" i="15"/>
  <c r="Y4842" i="15" s="1"/>
  <c r="X4844" i="15"/>
  <c r="Y4843" i="15" s="1"/>
  <c r="X4845" i="15"/>
  <c r="Y4844" i="15" s="1"/>
  <c r="X4846" i="15"/>
  <c r="Y4845" i="15" s="1"/>
  <c r="X4847" i="15"/>
  <c r="Y4846" i="15" s="1"/>
  <c r="X4848" i="15"/>
  <c r="Y4847" i="15" s="1"/>
  <c r="X4849" i="15"/>
  <c r="Y4848" i="15" s="1"/>
  <c r="X4850" i="15"/>
  <c r="Y4849" i="15" s="1"/>
  <c r="X4851" i="15"/>
  <c r="Y4850" i="15" s="1"/>
  <c r="X4852" i="15"/>
  <c r="Y4851" i="15" s="1"/>
  <c r="X4853" i="15"/>
  <c r="Y4852" i="15" s="1"/>
  <c r="X4854" i="15"/>
  <c r="Y4853" i="15" s="1"/>
  <c r="X4855" i="15"/>
  <c r="Y4854" i="15" s="1"/>
  <c r="X4856" i="15"/>
  <c r="Y4855" i="15" s="1"/>
  <c r="X4857" i="15"/>
  <c r="Y4856" i="15" s="1"/>
  <c r="X4858" i="15"/>
  <c r="Y4857" i="15" s="1"/>
  <c r="X4859" i="15"/>
  <c r="Y4858" i="15" s="1"/>
  <c r="X4860" i="15"/>
  <c r="Y4859" i="15" s="1"/>
  <c r="X4861" i="15"/>
  <c r="Y4860" i="15" s="1"/>
  <c r="X4862" i="15"/>
  <c r="Y4861" i="15" s="1"/>
  <c r="X4863" i="15"/>
  <c r="Y4862" i="15" s="1"/>
  <c r="X4864" i="15"/>
  <c r="Y4863" i="15" s="1"/>
  <c r="X4865" i="15"/>
  <c r="Y4864" i="15" s="1"/>
  <c r="X4866" i="15"/>
  <c r="Y4865" i="15" s="1"/>
  <c r="X4867" i="15"/>
  <c r="Y4866" i="15" s="1"/>
  <c r="X4868" i="15"/>
  <c r="Y4867" i="15" s="1"/>
  <c r="X4869" i="15"/>
  <c r="Y4868" i="15" s="1"/>
  <c r="X4870" i="15"/>
  <c r="Y4869" i="15" s="1"/>
  <c r="X4871" i="15"/>
  <c r="Y4870" i="15" s="1"/>
  <c r="X4872" i="15"/>
  <c r="Y4871" i="15" s="1"/>
  <c r="X4873" i="15"/>
  <c r="Y4872" i="15" s="1"/>
  <c r="X4874" i="15"/>
  <c r="Y4873" i="15" s="1"/>
  <c r="X4875" i="15"/>
  <c r="Y4874" i="15" s="1"/>
  <c r="X4876" i="15"/>
  <c r="Y4875" i="15" s="1"/>
  <c r="X4877" i="15"/>
  <c r="Y4876" i="15" s="1"/>
  <c r="X4878" i="15"/>
  <c r="Y4877" i="15" s="1"/>
  <c r="X4879" i="15"/>
  <c r="Y4878" i="15" s="1"/>
  <c r="X4880" i="15"/>
  <c r="Y4879" i="15" s="1"/>
  <c r="X4881" i="15"/>
  <c r="Y4880" i="15" s="1"/>
  <c r="X4882" i="15"/>
  <c r="Y4881" i="15" s="1"/>
  <c r="X4883" i="15"/>
  <c r="Y4882" i="15" s="1"/>
  <c r="X4884" i="15"/>
  <c r="Y4883" i="15" s="1"/>
  <c r="X4885" i="15"/>
  <c r="Y4884" i="15" s="1"/>
  <c r="X4886" i="15"/>
  <c r="Y4885" i="15" s="1"/>
  <c r="X4887" i="15"/>
  <c r="Y4886" i="15" s="1"/>
  <c r="X4888" i="15"/>
  <c r="Y4887" i="15" s="1"/>
  <c r="X4889" i="15"/>
  <c r="Y4888" i="15" s="1"/>
  <c r="X4890" i="15"/>
  <c r="Y4889" i="15" s="1"/>
  <c r="X4891" i="15"/>
  <c r="Y4890" i="15" s="1"/>
  <c r="X4892" i="15"/>
  <c r="Y4891" i="15" s="1"/>
  <c r="X4893" i="15"/>
  <c r="Y4892" i="15" s="1"/>
  <c r="X4894" i="15"/>
  <c r="Y4893" i="15" s="1"/>
  <c r="X4895" i="15"/>
  <c r="Y4894" i="15" s="1"/>
  <c r="X4896" i="15"/>
  <c r="Y4895" i="15" s="1"/>
  <c r="X4897" i="15"/>
  <c r="Y4896" i="15" s="1"/>
  <c r="X4898" i="15"/>
  <c r="Y4897" i="15" s="1"/>
  <c r="X4899" i="15"/>
  <c r="Y4898" i="15" s="1"/>
  <c r="X4900" i="15"/>
  <c r="Y4899" i="15" s="1"/>
  <c r="X4901" i="15"/>
  <c r="Y4900" i="15" s="1"/>
  <c r="X4902" i="15"/>
  <c r="Y4901" i="15" s="1"/>
  <c r="X4903" i="15"/>
  <c r="Y4902" i="15" s="1"/>
  <c r="X4904" i="15"/>
  <c r="Y4903" i="15" s="1"/>
  <c r="X4905" i="15"/>
  <c r="Y4904" i="15" s="1"/>
  <c r="X4906" i="15"/>
  <c r="Y4905" i="15" s="1"/>
  <c r="X4907" i="15"/>
  <c r="Y4906" i="15" s="1"/>
  <c r="X4908" i="15"/>
  <c r="Y4907" i="15" s="1"/>
  <c r="X4909" i="15"/>
  <c r="Y4908" i="15" s="1"/>
  <c r="X4910" i="15"/>
  <c r="Y4909" i="15" s="1"/>
  <c r="X4911" i="15"/>
  <c r="Y4910" i="15" s="1"/>
  <c r="X4912" i="15"/>
  <c r="Y4911" i="15" s="1"/>
  <c r="X4913" i="15"/>
  <c r="Y4912" i="15" s="1"/>
  <c r="X4914" i="15"/>
  <c r="Y4913" i="15" s="1"/>
  <c r="X4915" i="15"/>
  <c r="Y4914" i="15" s="1"/>
  <c r="X4916" i="15"/>
  <c r="Y4915" i="15" s="1"/>
  <c r="X4917" i="15"/>
  <c r="Y4916" i="15" s="1"/>
  <c r="X4918" i="15"/>
  <c r="Y4917" i="15" s="1"/>
  <c r="X4919" i="15"/>
  <c r="Y4918" i="15" s="1"/>
  <c r="X4920" i="15"/>
  <c r="Y4919" i="15" s="1"/>
  <c r="X4921" i="15"/>
  <c r="Y4920" i="15" s="1"/>
  <c r="X4922" i="15"/>
  <c r="Y4921" i="15" s="1"/>
  <c r="X4923" i="15"/>
  <c r="Y4922" i="15" s="1"/>
  <c r="X4924" i="15"/>
  <c r="Y4923" i="15" s="1"/>
  <c r="X4925" i="15"/>
  <c r="Y4924" i="15" s="1"/>
  <c r="X4926" i="15"/>
  <c r="Y4925" i="15" s="1"/>
  <c r="X4927" i="15"/>
  <c r="Y4926" i="15" s="1"/>
  <c r="X4928" i="15"/>
  <c r="Y4927" i="15" s="1"/>
  <c r="X4929" i="15"/>
  <c r="Y4928" i="15" s="1"/>
  <c r="X4930" i="15"/>
  <c r="Y4929" i="15" s="1"/>
  <c r="X4931" i="15"/>
  <c r="Y4930" i="15" s="1"/>
  <c r="X4932" i="15"/>
  <c r="Y4931" i="15" s="1"/>
  <c r="X4933" i="15"/>
  <c r="Y4932" i="15" s="1"/>
  <c r="X4934" i="15"/>
  <c r="Y4933" i="15" s="1"/>
  <c r="X4935" i="15"/>
  <c r="Y4934" i="15" s="1"/>
  <c r="X4936" i="15"/>
  <c r="Y4935" i="15" s="1"/>
  <c r="X4937" i="15"/>
  <c r="Y4936" i="15" s="1"/>
  <c r="X4938" i="15"/>
  <c r="Y4937" i="15" s="1"/>
  <c r="X4939" i="15"/>
  <c r="Y4938" i="15" s="1"/>
  <c r="X4940" i="15"/>
  <c r="Y4939" i="15" s="1"/>
  <c r="X4941" i="15"/>
  <c r="Y4940" i="15" s="1"/>
  <c r="X4942" i="15"/>
  <c r="Y4941" i="15" s="1"/>
  <c r="X4943" i="15"/>
  <c r="Y4942" i="15" s="1"/>
  <c r="X4944" i="15"/>
  <c r="Y4943" i="15" s="1"/>
  <c r="X4945" i="15"/>
  <c r="Y4944" i="15" s="1"/>
  <c r="X4946" i="15"/>
  <c r="Y4945" i="15" s="1"/>
  <c r="X4947" i="15"/>
  <c r="Y4946" i="15" s="1"/>
  <c r="X4948" i="15"/>
  <c r="Y4947" i="15" s="1"/>
  <c r="X4949" i="15"/>
  <c r="Y4948" i="15" s="1"/>
  <c r="X4950" i="15"/>
  <c r="Y4949" i="15" s="1"/>
  <c r="X4951" i="15"/>
  <c r="Y4950" i="15" s="1"/>
  <c r="X4952" i="15"/>
  <c r="Y4951" i="15" s="1"/>
  <c r="X4953" i="15"/>
  <c r="Y4952" i="15" s="1"/>
  <c r="X4954" i="15"/>
  <c r="Y4953" i="15" s="1"/>
  <c r="X4955" i="15"/>
  <c r="Y4954" i="15" s="1"/>
  <c r="X4956" i="15"/>
  <c r="Y4955" i="15" s="1"/>
  <c r="X4957" i="15"/>
  <c r="Y4956" i="15" s="1"/>
  <c r="X4958" i="15"/>
  <c r="Y4957" i="15" s="1"/>
  <c r="X4959" i="15"/>
  <c r="Y4958" i="15" s="1"/>
  <c r="X4960" i="15"/>
  <c r="Y4959" i="15" s="1"/>
  <c r="X4961" i="15"/>
  <c r="Y4960" i="15" s="1"/>
  <c r="X4962" i="15"/>
  <c r="Y4961" i="15" s="1"/>
  <c r="X4963" i="15"/>
  <c r="Y4962" i="15" s="1"/>
  <c r="X4964" i="15"/>
  <c r="Y4963" i="15" s="1"/>
  <c r="X4965" i="15"/>
  <c r="Y4964" i="15" s="1"/>
  <c r="X4966" i="15"/>
  <c r="Y4965" i="15" s="1"/>
  <c r="X4967" i="15"/>
  <c r="Y4966" i="15" s="1"/>
  <c r="X4968" i="15"/>
  <c r="Y4967" i="15" s="1"/>
  <c r="X4969" i="15"/>
  <c r="Y4968" i="15" s="1"/>
  <c r="X4970" i="15"/>
  <c r="Y4969" i="15" s="1"/>
  <c r="X4971" i="15"/>
  <c r="Y4970" i="15" s="1"/>
  <c r="X4972" i="15"/>
  <c r="Y4971" i="15" s="1"/>
  <c r="X4973" i="15"/>
  <c r="Y4972" i="15" s="1"/>
  <c r="X4974" i="15"/>
  <c r="Y4973" i="15" s="1"/>
  <c r="X4975" i="15"/>
  <c r="Y4974" i="15" s="1"/>
  <c r="X4976" i="15"/>
  <c r="Y4975" i="15" s="1"/>
  <c r="X4977" i="15"/>
  <c r="Y4976" i="15" s="1"/>
  <c r="X4978" i="15"/>
  <c r="Y4977" i="15" s="1"/>
  <c r="X4979" i="15"/>
  <c r="Y4978" i="15" s="1"/>
  <c r="X4980" i="15"/>
  <c r="Y4979" i="15" s="1"/>
  <c r="X4981" i="15"/>
  <c r="Y4980" i="15" s="1"/>
  <c r="X4982" i="15"/>
  <c r="Y4981" i="15" s="1"/>
  <c r="X4983" i="15"/>
  <c r="Y4982" i="15" s="1"/>
  <c r="X4984" i="15"/>
  <c r="Y4983" i="15" s="1"/>
  <c r="X4985" i="15"/>
  <c r="Y4984" i="15" s="1"/>
  <c r="X4986" i="15"/>
  <c r="Y4985" i="15" s="1"/>
  <c r="X4987" i="15"/>
  <c r="Y4986" i="15" s="1"/>
  <c r="X4988" i="15"/>
  <c r="Y4987" i="15" s="1"/>
  <c r="X4989" i="15"/>
  <c r="Y4988" i="15" s="1"/>
  <c r="X4990" i="15"/>
  <c r="Y4989" i="15" s="1"/>
  <c r="X4991" i="15"/>
  <c r="Y4990" i="15" s="1"/>
  <c r="X4992" i="15"/>
  <c r="Y4991" i="15" s="1"/>
  <c r="X4993" i="15"/>
  <c r="Y4992" i="15" s="1"/>
  <c r="X4994" i="15"/>
  <c r="Y4993" i="15" s="1"/>
  <c r="X4995" i="15"/>
  <c r="Y4994" i="15" s="1"/>
  <c r="X4996" i="15"/>
  <c r="Y4995" i="15" s="1"/>
  <c r="X4997" i="15"/>
  <c r="Y4996" i="15" s="1"/>
  <c r="X4998" i="15"/>
  <c r="Y4997" i="15" s="1"/>
  <c r="X4999" i="15"/>
  <c r="Y4998" i="15" s="1"/>
  <c r="X5000" i="15"/>
  <c r="Y4999" i="15" s="1"/>
  <c r="X5001" i="15"/>
  <c r="Y5000" i="15" s="1"/>
  <c r="X5002" i="15"/>
  <c r="Y5001" i="15" s="1"/>
  <c r="X5003" i="15"/>
  <c r="Y5002" i="15" s="1"/>
  <c r="X5004" i="15"/>
  <c r="Y5003" i="15" s="1"/>
  <c r="X5005" i="15"/>
  <c r="Y5004" i="15" s="1"/>
  <c r="X5006" i="15"/>
  <c r="Y5005" i="15" s="1"/>
  <c r="X5007" i="15"/>
  <c r="Y5006" i="15" s="1"/>
  <c r="X5008" i="15"/>
  <c r="Y5007" i="15" s="1"/>
  <c r="X5009" i="15"/>
  <c r="Y5008" i="15" s="1"/>
  <c r="X5010" i="15"/>
  <c r="Y5009" i="15" s="1"/>
  <c r="X5011" i="15"/>
  <c r="Y5010" i="15" s="1"/>
  <c r="X5012" i="15"/>
  <c r="Y5011" i="15" s="1"/>
  <c r="X5013" i="15"/>
  <c r="Y5012" i="15" s="1"/>
  <c r="X5014" i="15"/>
  <c r="Y5013" i="15" s="1"/>
  <c r="X5015" i="15"/>
  <c r="Y5014" i="15" s="1"/>
  <c r="X5016" i="15"/>
  <c r="Y5015" i="15" s="1"/>
  <c r="X5017" i="15"/>
  <c r="Y5016" i="15" s="1"/>
  <c r="X5018" i="15"/>
  <c r="Y5017" i="15" s="1"/>
  <c r="X5019" i="15"/>
  <c r="Y5018" i="15" s="1"/>
  <c r="X5020" i="15"/>
  <c r="Y5019" i="15" s="1"/>
  <c r="X5021" i="15"/>
  <c r="Y5020" i="15" s="1"/>
  <c r="X5022" i="15"/>
  <c r="Y5021" i="15" s="1"/>
  <c r="X5023" i="15"/>
  <c r="Y5022" i="15" s="1"/>
  <c r="X5024" i="15"/>
  <c r="Y5023" i="15" s="1"/>
  <c r="X5025" i="15"/>
  <c r="Y5024" i="15" s="1"/>
  <c r="X5026" i="15"/>
  <c r="Y5025" i="15" s="1"/>
  <c r="X5027" i="15"/>
  <c r="Y5026" i="15" s="1"/>
  <c r="X5028" i="15"/>
  <c r="Y5027" i="15" s="1"/>
  <c r="X5029" i="15"/>
  <c r="Y5028" i="15" s="1"/>
  <c r="X5030" i="15"/>
  <c r="Y5029" i="15" s="1"/>
  <c r="X5031" i="15"/>
  <c r="Y5030" i="15" s="1"/>
  <c r="X5032" i="15"/>
  <c r="Y5031" i="15" s="1"/>
  <c r="X5033" i="15"/>
  <c r="Y5032" i="15" s="1"/>
  <c r="X5034" i="15"/>
  <c r="Y5033" i="15" s="1"/>
  <c r="X5035" i="15"/>
  <c r="Y5034" i="15" s="1"/>
  <c r="X5036" i="15"/>
  <c r="Y5035" i="15" s="1"/>
  <c r="X5037" i="15"/>
  <c r="Y5036" i="15" s="1"/>
  <c r="X5038" i="15"/>
  <c r="Y5037" i="15" s="1"/>
  <c r="X5039" i="15"/>
  <c r="Y5038" i="15" s="1"/>
  <c r="X5040" i="15"/>
  <c r="Y5039" i="15" s="1"/>
  <c r="X5041" i="15"/>
  <c r="Y5040" i="15" s="1"/>
  <c r="X5042" i="15"/>
  <c r="Y5041" i="15" s="1"/>
  <c r="X5043" i="15"/>
  <c r="Y5042" i="15" s="1"/>
  <c r="X5044" i="15"/>
  <c r="Y5043" i="15" s="1"/>
  <c r="X5045" i="15"/>
  <c r="Y5044" i="15" s="1"/>
  <c r="X5046" i="15"/>
  <c r="Y5045" i="15" s="1"/>
  <c r="X5047" i="15"/>
  <c r="Y5046" i="15" s="1"/>
  <c r="X5048" i="15"/>
  <c r="Y5047" i="15" s="1"/>
  <c r="X5049" i="15"/>
  <c r="Y5048" i="15" s="1"/>
  <c r="X5050" i="15"/>
  <c r="Y5049" i="15" s="1"/>
  <c r="X5051" i="15"/>
  <c r="Y5050" i="15" s="1"/>
  <c r="X5052" i="15"/>
  <c r="Y5051" i="15" s="1"/>
  <c r="X5053" i="15"/>
  <c r="Y5052" i="15" s="1"/>
  <c r="X5054" i="15"/>
  <c r="Y5053" i="15" s="1"/>
  <c r="X5055" i="15"/>
  <c r="Y5054" i="15" s="1"/>
  <c r="X5056" i="15"/>
  <c r="Y5055" i="15" s="1"/>
  <c r="X5057" i="15"/>
  <c r="Y5056" i="15" s="1"/>
  <c r="X5058" i="15"/>
  <c r="Y5057" i="15" s="1"/>
  <c r="X5059" i="15"/>
  <c r="Y5058" i="15" s="1"/>
  <c r="X5060" i="15"/>
  <c r="Y5059" i="15" s="1"/>
  <c r="X5061" i="15"/>
  <c r="Y5060" i="15" s="1"/>
  <c r="X5062" i="15"/>
  <c r="Y5061" i="15" s="1"/>
  <c r="X5063" i="15"/>
  <c r="Y5062" i="15" s="1"/>
  <c r="X5064" i="15"/>
  <c r="Y5063" i="15" s="1"/>
  <c r="X5065" i="15"/>
  <c r="Y5064" i="15" s="1"/>
  <c r="X5066" i="15"/>
  <c r="Y5065" i="15" s="1"/>
  <c r="X5067" i="15"/>
  <c r="Y5066" i="15" s="1"/>
  <c r="X5068" i="15"/>
  <c r="Y5067" i="15" s="1"/>
  <c r="X5069" i="15"/>
  <c r="Y5068" i="15" s="1"/>
  <c r="X5070" i="15"/>
  <c r="Y5069" i="15" s="1"/>
  <c r="X5071" i="15"/>
  <c r="Y5070" i="15" s="1"/>
  <c r="X5072" i="15"/>
  <c r="Y5071" i="15" s="1"/>
  <c r="X5073" i="15"/>
  <c r="Y5072" i="15" s="1"/>
  <c r="X5074" i="15"/>
  <c r="Y5073" i="15" s="1"/>
  <c r="X5075" i="15"/>
  <c r="Y5074" i="15" s="1"/>
  <c r="X5076" i="15"/>
  <c r="Y5075" i="15" s="1"/>
  <c r="X5077" i="15"/>
  <c r="Y5076" i="15" s="1"/>
  <c r="X5078" i="15"/>
  <c r="Y5077" i="15" s="1"/>
  <c r="X5079" i="15"/>
  <c r="Y5078" i="15" s="1"/>
  <c r="X5080" i="15"/>
  <c r="Y5079" i="15" s="1"/>
  <c r="X5081" i="15"/>
  <c r="Y5080" i="15" s="1"/>
  <c r="X5082" i="15"/>
  <c r="Y5081" i="15" s="1"/>
  <c r="X5083" i="15"/>
  <c r="Y5082" i="15" s="1"/>
  <c r="X5084" i="15"/>
  <c r="Y5083" i="15" s="1"/>
  <c r="X5085" i="15"/>
  <c r="Y5084" i="15" s="1"/>
  <c r="X5086" i="15"/>
  <c r="Y5085" i="15" s="1"/>
  <c r="X5087" i="15"/>
  <c r="Y5086" i="15" s="1"/>
  <c r="X5088" i="15"/>
  <c r="Y5087" i="15" s="1"/>
  <c r="X5089" i="15"/>
  <c r="Y5088" i="15" s="1"/>
  <c r="X5090" i="15"/>
  <c r="Y5089" i="15" s="1"/>
  <c r="X5091" i="15"/>
  <c r="Y5090" i="15" s="1"/>
  <c r="X5092" i="15"/>
  <c r="Y5091" i="15" s="1"/>
  <c r="X5093" i="15"/>
  <c r="Y5092" i="15" s="1"/>
  <c r="X5094" i="15"/>
  <c r="Y5093" i="15" s="1"/>
  <c r="X5095" i="15"/>
  <c r="Y5094" i="15" s="1"/>
  <c r="X5096" i="15"/>
  <c r="Y5095" i="15" s="1"/>
  <c r="X5097" i="15"/>
  <c r="Y5096" i="15" s="1"/>
  <c r="X5098" i="15"/>
  <c r="Y5097" i="15" s="1"/>
  <c r="X5099" i="15"/>
  <c r="Y5098" i="15" s="1"/>
  <c r="X5100" i="15"/>
  <c r="Y5099" i="15" s="1"/>
  <c r="X5101" i="15"/>
  <c r="Y5100" i="15" s="1"/>
  <c r="X5102" i="15"/>
  <c r="Y5101" i="15" s="1"/>
  <c r="X5103" i="15"/>
  <c r="Y5102" i="15" s="1"/>
  <c r="X5104" i="15"/>
  <c r="Y5103" i="15" s="1"/>
  <c r="X5105" i="15"/>
  <c r="Y5104" i="15" s="1"/>
  <c r="X5106" i="15"/>
  <c r="Y5105" i="15" s="1"/>
  <c r="X5107" i="15"/>
  <c r="Y5106" i="15" s="1"/>
  <c r="X5108" i="15"/>
  <c r="Y5107" i="15" s="1"/>
  <c r="X5109" i="15"/>
  <c r="Y5108" i="15" s="1"/>
  <c r="X5110" i="15"/>
  <c r="Y5109" i="15" s="1"/>
  <c r="X5111" i="15"/>
  <c r="Y5110" i="15" s="1"/>
  <c r="X5112" i="15"/>
  <c r="Y5111" i="15" s="1"/>
  <c r="X5113" i="15"/>
  <c r="Y5112" i="15" s="1"/>
  <c r="X5114" i="15"/>
  <c r="Y5113" i="15" s="1"/>
  <c r="X5115" i="15"/>
  <c r="Y5114" i="15" s="1"/>
  <c r="X5116" i="15"/>
  <c r="Y5115" i="15" s="1"/>
  <c r="X5117" i="15"/>
  <c r="Y5116" i="15" s="1"/>
  <c r="X5118" i="15"/>
  <c r="Y5117" i="15" s="1"/>
  <c r="X5119" i="15"/>
  <c r="Y5118" i="15" s="1"/>
  <c r="X5120" i="15"/>
  <c r="Y5119" i="15" s="1"/>
  <c r="X5121" i="15"/>
  <c r="Y5120" i="15" s="1"/>
  <c r="X5122" i="15"/>
  <c r="Y5121" i="15" s="1"/>
  <c r="X5123" i="15"/>
  <c r="Y5122" i="15" s="1"/>
  <c r="X5124" i="15"/>
  <c r="Y5123" i="15" s="1"/>
  <c r="X5125" i="15"/>
  <c r="Y5124" i="15" s="1"/>
  <c r="X5126" i="15"/>
  <c r="Y5125" i="15" s="1"/>
  <c r="X5127" i="15"/>
  <c r="Y5126" i="15" s="1"/>
  <c r="X5128" i="15"/>
  <c r="Y5127" i="15" s="1"/>
  <c r="X5129" i="15"/>
  <c r="Y5128" i="15" s="1"/>
  <c r="X5130" i="15"/>
  <c r="Y5129" i="15" s="1"/>
  <c r="X5131" i="15"/>
  <c r="Y5130" i="15" s="1"/>
  <c r="X5132" i="15"/>
  <c r="Y5131" i="15" s="1"/>
  <c r="X5133" i="15"/>
  <c r="Y5132" i="15" s="1"/>
  <c r="X5134" i="15"/>
  <c r="Y5133" i="15" s="1"/>
  <c r="X5135" i="15"/>
  <c r="Y5134" i="15" s="1"/>
  <c r="X5136" i="15"/>
  <c r="Y5135" i="15" s="1"/>
  <c r="X5137" i="15"/>
  <c r="Y5136" i="15" s="1"/>
  <c r="X5138" i="15"/>
  <c r="Y5137" i="15" s="1"/>
  <c r="X5139" i="15"/>
  <c r="Y5138" i="15" s="1"/>
  <c r="X5140" i="15"/>
  <c r="Y5139" i="15" s="1"/>
  <c r="X5141" i="15"/>
  <c r="Y5140" i="15" s="1"/>
  <c r="X5142" i="15"/>
  <c r="Y5141" i="15" s="1"/>
  <c r="X5143" i="15"/>
  <c r="Y5142" i="15" s="1"/>
  <c r="X5144" i="15"/>
  <c r="Y5143" i="15" s="1"/>
  <c r="X5145" i="15"/>
  <c r="Y5144" i="15" s="1"/>
  <c r="X5146" i="15"/>
  <c r="Y5145" i="15" s="1"/>
  <c r="X5147" i="15"/>
  <c r="Y5146" i="15" s="1"/>
  <c r="X5148" i="15"/>
  <c r="Y5147" i="15" s="1"/>
  <c r="X5149" i="15"/>
  <c r="Y5148" i="15" s="1"/>
  <c r="X5150" i="15"/>
  <c r="Y5149" i="15" s="1"/>
  <c r="X5151" i="15"/>
  <c r="Y5150" i="15" s="1"/>
  <c r="X5152" i="15"/>
  <c r="Y5151" i="15" s="1"/>
  <c r="X5153" i="15"/>
  <c r="Y5152" i="15" s="1"/>
  <c r="X5154" i="15"/>
  <c r="Y5153" i="15" s="1"/>
  <c r="X5155" i="15"/>
  <c r="Y5154" i="15" s="1"/>
  <c r="X5156" i="15"/>
  <c r="Y5155" i="15" s="1"/>
  <c r="X5157" i="15"/>
  <c r="Y5156" i="15" s="1"/>
  <c r="X5158" i="15"/>
  <c r="Y5157" i="15" s="1"/>
  <c r="X5159" i="15"/>
  <c r="Y5158" i="15" s="1"/>
  <c r="X5160" i="15"/>
  <c r="Y5159" i="15" s="1"/>
  <c r="X5161" i="15"/>
  <c r="Y5160" i="15" s="1"/>
  <c r="X5162" i="15"/>
  <c r="Y5161" i="15" s="1"/>
  <c r="X5163" i="15"/>
  <c r="Y5162" i="15" s="1"/>
  <c r="X5164" i="15"/>
  <c r="Y5163" i="15" s="1"/>
  <c r="X5165" i="15"/>
  <c r="Y5164" i="15" s="1"/>
  <c r="X5166" i="15"/>
  <c r="Y5165" i="15" s="1"/>
  <c r="X5167" i="15"/>
  <c r="Y5166" i="15" s="1"/>
  <c r="X5168" i="15"/>
  <c r="Y5167" i="15" s="1"/>
  <c r="X5169" i="15"/>
  <c r="Y5168" i="15" s="1"/>
  <c r="X5170" i="15"/>
  <c r="Y5169" i="15" s="1"/>
  <c r="X5171" i="15"/>
  <c r="Y5170" i="15" s="1"/>
  <c r="X5172" i="15"/>
  <c r="Y5171" i="15" s="1"/>
  <c r="X5173" i="15"/>
  <c r="Y5172" i="15" s="1"/>
  <c r="X5174" i="15"/>
  <c r="Y5173" i="15" s="1"/>
  <c r="X5175" i="15"/>
  <c r="Y5174" i="15" s="1"/>
  <c r="X5176" i="15"/>
  <c r="Y5175" i="15" s="1"/>
  <c r="X5177" i="15"/>
  <c r="Y5176" i="15" s="1"/>
  <c r="X5178" i="15"/>
  <c r="Y5177" i="15" s="1"/>
  <c r="X5179" i="15"/>
  <c r="Y5178" i="15" s="1"/>
  <c r="X5180" i="15"/>
  <c r="Y5179" i="15" s="1"/>
  <c r="X5181" i="15"/>
  <c r="Y5180" i="15" s="1"/>
  <c r="X5182" i="15"/>
  <c r="Y5181" i="15" s="1"/>
  <c r="X5183" i="15"/>
  <c r="Y5182" i="15" s="1"/>
  <c r="X5184" i="15"/>
  <c r="Y5183" i="15" s="1"/>
  <c r="X5185" i="15"/>
  <c r="Y5184" i="15" s="1"/>
  <c r="X5186" i="15"/>
  <c r="Y5185" i="15" s="1"/>
  <c r="X5187" i="15"/>
  <c r="Y5186" i="15" s="1"/>
  <c r="X5188" i="15"/>
  <c r="Y5187" i="15" s="1"/>
  <c r="X5189" i="15"/>
  <c r="Y5188" i="15" s="1"/>
  <c r="X5190" i="15"/>
  <c r="Y5189" i="15" s="1"/>
  <c r="X5191" i="15"/>
  <c r="Y5190" i="15" s="1"/>
  <c r="X5192" i="15"/>
  <c r="Y5191" i="15" s="1"/>
  <c r="X5193" i="15"/>
  <c r="Y5192" i="15" s="1"/>
  <c r="X5194" i="15"/>
  <c r="Y5193" i="15" s="1"/>
  <c r="X5195" i="15"/>
  <c r="Y5194" i="15" s="1"/>
  <c r="X5196" i="15"/>
  <c r="Y5195" i="15" s="1"/>
  <c r="X5197" i="15"/>
  <c r="Y5196" i="15" s="1"/>
  <c r="X5198" i="15"/>
  <c r="Y5197" i="15" s="1"/>
  <c r="X5199" i="15"/>
  <c r="Y5198" i="15" s="1"/>
  <c r="X5200" i="15"/>
  <c r="Y5199" i="15" s="1"/>
  <c r="X5201" i="15"/>
  <c r="Y5200" i="15" s="1"/>
  <c r="X5202" i="15"/>
  <c r="Y5201" i="15" s="1"/>
  <c r="X5203" i="15"/>
  <c r="Y5202" i="15" s="1"/>
  <c r="X5204" i="15"/>
  <c r="Y5203" i="15" s="1"/>
  <c r="X5205" i="15"/>
  <c r="Y5204" i="15" s="1"/>
  <c r="X5206" i="15"/>
  <c r="Y5205" i="15" s="1"/>
  <c r="X5207" i="15"/>
  <c r="Y5206" i="15" s="1"/>
  <c r="X5208" i="15"/>
  <c r="Y5207" i="15" s="1"/>
  <c r="X5209" i="15"/>
  <c r="Y5208" i="15" s="1"/>
  <c r="X5210" i="15"/>
  <c r="Y5209" i="15" s="1"/>
  <c r="X5211" i="15"/>
  <c r="Y5210" i="15" s="1"/>
  <c r="X5212" i="15"/>
  <c r="Y5211" i="15" s="1"/>
  <c r="X5213" i="15"/>
  <c r="Y5212" i="15" s="1"/>
  <c r="X5214" i="15"/>
  <c r="Y5213" i="15" s="1"/>
  <c r="X5215" i="15"/>
  <c r="Y5214" i="15" s="1"/>
  <c r="X5216" i="15"/>
  <c r="Y5215" i="15" s="1"/>
  <c r="X5217" i="15"/>
  <c r="Y5216" i="15" s="1"/>
  <c r="X5218" i="15"/>
  <c r="Y5217" i="15" s="1"/>
  <c r="X5219" i="15"/>
  <c r="Y5218" i="15" s="1"/>
  <c r="X5220" i="15"/>
  <c r="Y5219" i="15" s="1"/>
  <c r="X5221" i="15"/>
  <c r="Y5220" i="15" s="1"/>
  <c r="X5222" i="15"/>
  <c r="Y5221" i="15" s="1"/>
  <c r="X5223" i="15"/>
  <c r="Y5222" i="15" s="1"/>
  <c r="X5224" i="15"/>
  <c r="Y5223" i="15" s="1"/>
  <c r="X5225" i="15"/>
  <c r="Y5224" i="15" s="1"/>
  <c r="X5226" i="15"/>
  <c r="Y5225" i="15" s="1"/>
  <c r="X5227" i="15"/>
  <c r="Y5226" i="15" s="1"/>
  <c r="X5228" i="15"/>
  <c r="Y5227" i="15" s="1"/>
  <c r="X5229" i="15"/>
  <c r="Y5228" i="15" s="1"/>
  <c r="X5230" i="15"/>
  <c r="Y5229" i="15" s="1"/>
  <c r="X5231" i="15"/>
  <c r="Y5230" i="15" s="1"/>
  <c r="X5232" i="15"/>
  <c r="Y5231" i="15" s="1"/>
  <c r="X5233" i="15"/>
  <c r="Y5232" i="15" s="1"/>
  <c r="X5234" i="15"/>
  <c r="Y5233" i="15" s="1"/>
  <c r="X5235" i="15"/>
  <c r="Y5234" i="15" s="1"/>
  <c r="X5236" i="15"/>
  <c r="Y5235" i="15" s="1"/>
  <c r="X5237" i="15"/>
  <c r="Y5236" i="15" s="1"/>
  <c r="X5238" i="15"/>
  <c r="Y5237" i="15" s="1"/>
  <c r="X5239" i="15"/>
  <c r="Y5238" i="15" s="1"/>
  <c r="X5240" i="15"/>
  <c r="Y5239" i="15" s="1"/>
  <c r="X5241" i="15"/>
  <c r="Y5240" i="15" s="1"/>
  <c r="X5242" i="15"/>
  <c r="Y5241" i="15" s="1"/>
  <c r="X5243" i="15"/>
  <c r="Y5242" i="15" s="1"/>
  <c r="X5244" i="15"/>
  <c r="Y5243" i="15" s="1"/>
  <c r="X5245" i="15"/>
  <c r="Y5244" i="15" s="1"/>
  <c r="X5246" i="15"/>
  <c r="Y5245" i="15" s="1"/>
  <c r="X5247" i="15"/>
  <c r="Y5246" i="15" s="1"/>
  <c r="X5248" i="15"/>
  <c r="Y5247" i="15" s="1"/>
  <c r="X5249" i="15"/>
  <c r="Y5248" i="15" s="1"/>
  <c r="X5250" i="15"/>
  <c r="Y5249" i="15" s="1"/>
  <c r="X5251" i="15"/>
  <c r="Y5250" i="15" s="1"/>
  <c r="X5252" i="15"/>
  <c r="Y5251" i="15" s="1"/>
  <c r="X5253" i="15"/>
  <c r="Y5252" i="15" s="1"/>
  <c r="X5254" i="15"/>
  <c r="Y5253" i="15" s="1"/>
  <c r="X5255" i="15"/>
  <c r="Y5254" i="15" s="1"/>
  <c r="X5256" i="15"/>
  <c r="Y5255" i="15" s="1"/>
  <c r="X5257" i="15"/>
  <c r="Y5256" i="15" s="1"/>
  <c r="X5258" i="15"/>
  <c r="Y5257" i="15" s="1"/>
  <c r="X5259" i="15"/>
  <c r="Y5258" i="15" s="1"/>
  <c r="X5260" i="15"/>
  <c r="Y5259" i="15" s="1"/>
  <c r="X5261" i="15"/>
  <c r="Y5260" i="15" s="1"/>
  <c r="X5262" i="15"/>
  <c r="Y5261" i="15" s="1"/>
  <c r="X5263" i="15"/>
  <c r="Y5262" i="15" s="1"/>
  <c r="X5264" i="15"/>
  <c r="Y5263" i="15" s="1"/>
  <c r="X5265" i="15"/>
  <c r="Y5264" i="15" s="1"/>
  <c r="X5266" i="15"/>
  <c r="Y5265" i="15" s="1"/>
  <c r="X5267" i="15"/>
  <c r="Y5266" i="15" s="1"/>
  <c r="X5268" i="15"/>
  <c r="Y5267" i="15" s="1"/>
  <c r="X5269" i="15"/>
  <c r="Y5268" i="15" s="1"/>
  <c r="X5270" i="15"/>
  <c r="Y5269" i="15" s="1"/>
  <c r="X5271" i="15"/>
  <c r="Y5270" i="15" s="1"/>
  <c r="X5272" i="15"/>
  <c r="Y5271" i="15" s="1"/>
  <c r="X5273" i="15"/>
  <c r="Y5272" i="15" s="1"/>
  <c r="X5274" i="15"/>
  <c r="Y5273" i="15" s="1"/>
  <c r="X5275" i="15"/>
  <c r="Y5274" i="15" s="1"/>
  <c r="X5276" i="15"/>
  <c r="Y5275" i="15" s="1"/>
  <c r="X5277" i="15"/>
  <c r="Y5276" i="15" s="1"/>
  <c r="X5278" i="15"/>
  <c r="Y5277" i="15" s="1"/>
  <c r="X5279" i="15"/>
  <c r="Y5278" i="15" s="1"/>
  <c r="X5280" i="15"/>
  <c r="Y5279" i="15" s="1"/>
  <c r="X5281" i="15"/>
  <c r="Y5280" i="15" s="1"/>
  <c r="X5282" i="15"/>
  <c r="Y5281" i="15" s="1"/>
  <c r="X5283" i="15"/>
  <c r="Y5282" i="15" s="1"/>
  <c r="X5284" i="15"/>
  <c r="Y5283" i="15" s="1"/>
  <c r="X5285" i="15"/>
  <c r="Y5284" i="15" s="1"/>
  <c r="X5286" i="15"/>
  <c r="Y5285" i="15" s="1"/>
  <c r="X5287" i="15"/>
  <c r="Y5286" i="15" s="1"/>
  <c r="X5288" i="15"/>
  <c r="Y5287" i="15" s="1"/>
  <c r="X5289" i="15"/>
  <c r="Y5288" i="15" s="1"/>
  <c r="X5290" i="15"/>
  <c r="Y5289" i="15" s="1"/>
  <c r="X5291" i="15"/>
  <c r="Y5290" i="15" s="1"/>
  <c r="X5292" i="15"/>
  <c r="Y5291" i="15" s="1"/>
  <c r="X5293" i="15"/>
  <c r="Y5292" i="15" s="1"/>
  <c r="X5294" i="15"/>
  <c r="Y5293" i="15" s="1"/>
  <c r="X5295" i="15"/>
  <c r="Y5294" i="15" s="1"/>
  <c r="X5296" i="15"/>
  <c r="Y5295" i="15" s="1"/>
  <c r="X5297" i="15"/>
  <c r="Y5296" i="15" s="1"/>
  <c r="X5298" i="15"/>
  <c r="Y5297" i="15" s="1"/>
  <c r="X5299" i="15"/>
  <c r="Y5298" i="15" s="1"/>
  <c r="X5300" i="15"/>
  <c r="Y5299" i="15" s="1"/>
  <c r="X5301" i="15"/>
  <c r="Y5300" i="15" s="1"/>
  <c r="X5302" i="15"/>
  <c r="Y5301" i="15" s="1"/>
  <c r="X5303" i="15"/>
  <c r="Y5302" i="15" s="1"/>
  <c r="X5304" i="15"/>
  <c r="Y5303" i="15" s="1"/>
  <c r="X5305" i="15"/>
  <c r="Y5304" i="15" s="1"/>
  <c r="X5306" i="15"/>
  <c r="Y5305" i="15" s="1"/>
  <c r="X5307" i="15"/>
  <c r="Y5306" i="15" s="1"/>
  <c r="X5308" i="15"/>
  <c r="Y5307" i="15" s="1"/>
  <c r="X5309" i="15"/>
  <c r="Y5308" i="15" s="1"/>
  <c r="X5310" i="15"/>
  <c r="Y5309" i="15" s="1"/>
  <c r="X5311" i="15"/>
  <c r="Y5310" i="15" s="1"/>
  <c r="X5312" i="15"/>
  <c r="Y5311" i="15" s="1"/>
  <c r="X5313" i="15"/>
  <c r="Y5312" i="15" s="1"/>
  <c r="X5314" i="15"/>
  <c r="Y5313" i="15" s="1"/>
  <c r="X5315" i="15"/>
  <c r="Y5314" i="15" s="1"/>
  <c r="X5316" i="15"/>
  <c r="Y5315" i="15" s="1"/>
  <c r="X5317" i="15"/>
  <c r="Y5316" i="15" s="1"/>
  <c r="X5318" i="15"/>
  <c r="Y5317" i="15" s="1"/>
  <c r="X5319" i="15"/>
  <c r="Y5318" i="15" s="1"/>
  <c r="X5320" i="15"/>
  <c r="Y5319" i="15" s="1"/>
  <c r="X5321" i="15"/>
  <c r="Y5320" i="15" s="1"/>
  <c r="X5322" i="15"/>
  <c r="Y5321" i="15" s="1"/>
  <c r="X5323" i="15"/>
  <c r="Y5322" i="15" s="1"/>
  <c r="X5324" i="15"/>
  <c r="Y5323" i="15" s="1"/>
  <c r="X5325" i="15"/>
  <c r="Y5324" i="15" s="1"/>
  <c r="X5326" i="15"/>
  <c r="Y5325" i="15" s="1"/>
  <c r="X5327" i="15"/>
  <c r="Y5326" i="15" s="1"/>
  <c r="X5328" i="15"/>
  <c r="Y5327" i="15" s="1"/>
  <c r="X5329" i="15"/>
  <c r="Y5328" i="15" s="1"/>
  <c r="X5330" i="15"/>
  <c r="Y5329" i="15" s="1"/>
  <c r="X5331" i="15"/>
  <c r="Y5330" i="15" s="1"/>
  <c r="X5332" i="15"/>
  <c r="Y5331" i="15" s="1"/>
  <c r="X5333" i="15"/>
  <c r="Y5332" i="15" s="1"/>
  <c r="X5334" i="15"/>
  <c r="Y5333" i="15" s="1"/>
  <c r="X5335" i="15"/>
  <c r="Y5334" i="15" s="1"/>
  <c r="X5336" i="15"/>
  <c r="Y5335" i="15" s="1"/>
  <c r="X5337" i="15"/>
  <c r="Y5336" i="15" s="1"/>
  <c r="X5338" i="15"/>
  <c r="Y5337" i="15" s="1"/>
  <c r="X5339" i="15"/>
  <c r="Y5338" i="15" s="1"/>
  <c r="X5340" i="15"/>
  <c r="Y5339" i="15" s="1"/>
  <c r="X5341" i="15"/>
  <c r="Y5340" i="15" s="1"/>
  <c r="X5342" i="15"/>
  <c r="Y5341" i="15" s="1"/>
  <c r="X5343" i="15"/>
  <c r="Y5342" i="15" s="1"/>
  <c r="X5344" i="15"/>
  <c r="Y5343" i="15" s="1"/>
  <c r="X5345" i="15"/>
  <c r="Y5344" i="15" s="1"/>
  <c r="X5346" i="15"/>
  <c r="Y5345" i="15" s="1"/>
  <c r="X5347" i="15"/>
  <c r="Y5346" i="15" s="1"/>
  <c r="X5348" i="15"/>
  <c r="Y5347" i="15" s="1"/>
  <c r="X5349" i="15"/>
  <c r="Y5348" i="15" s="1"/>
  <c r="X5350" i="15"/>
  <c r="Y5349" i="15" s="1"/>
  <c r="X5351" i="15"/>
  <c r="Y5350" i="15" s="1"/>
  <c r="X5352" i="15"/>
  <c r="Y5351" i="15" s="1"/>
  <c r="X5353" i="15"/>
  <c r="Y5352" i="15" s="1"/>
  <c r="X5354" i="15"/>
  <c r="Y5353" i="15" s="1"/>
  <c r="X5355" i="15"/>
  <c r="Y5354" i="15" s="1"/>
  <c r="X5356" i="15"/>
  <c r="Y5355" i="15" s="1"/>
  <c r="X5357" i="15"/>
  <c r="Y5356" i="15" s="1"/>
  <c r="X5358" i="15"/>
  <c r="Y5357" i="15" s="1"/>
  <c r="X5359" i="15"/>
  <c r="Y5358" i="15" s="1"/>
  <c r="X5360" i="15"/>
  <c r="Y5359" i="15" s="1"/>
  <c r="X5361" i="15"/>
  <c r="Y5360" i="15" s="1"/>
  <c r="X5362" i="15"/>
  <c r="Y5361" i="15" s="1"/>
  <c r="X5363" i="15"/>
  <c r="Y5362" i="15" s="1"/>
  <c r="X5364" i="15"/>
  <c r="Y5363" i="15" s="1"/>
  <c r="X5365" i="15"/>
  <c r="Y5364" i="15" s="1"/>
  <c r="X5366" i="15"/>
  <c r="Y5365" i="15" s="1"/>
  <c r="X5367" i="15"/>
  <c r="Y5366" i="15" s="1"/>
  <c r="X5368" i="15"/>
  <c r="Y5367" i="15" s="1"/>
  <c r="X5369" i="15"/>
  <c r="Y5368" i="15" s="1"/>
  <c r="X5370" i="15"/>
  <c r="Y5369" i="15" s="1"/>
  <c r="X5371" i="15"/>
  <c r="Y5370" i="15" s="1"/>
  <c r="X5372" i="15"/>
  <c r="Y5371" i="15" s="1"/>
  <c r="X5373" i="15"/>
  <c r="Y5372" i="15" s="1"/>
  <c r="X5374" i="15"/>
  <c r="Y5373" i="15" s="1"/>
  <c r="X5375" i="15"/>
  <c r="Y5374" i="15" s="1"/>
  <c r="X5376" i="15"/>
  <c r="Y5375" i="15" s="1"/>
  <c r="X5377" i="15"/>
  <c r="Y5376" i="15" s="1"/>
  <c r="X5378" i="15"/>
  <c r="Y5377" i="15" s="1"/>
  <c r="X5379" i="15"/>
  <c r="Y5378" i="15" s="1"/>
  <c r="X5380" i="15"/>
  <c r="Y5379" i="15" s="1"/>
  <c r="X5381" i="15"/>
  <c r="Y5380" i="15" s="1"/>
  <c r="X5382" i="15"/>
  <c r="Y5381" i="15" s="1"/>
  <c r="X5383" i="15"/>
  <c r="Y5382" i="15" s="1"/>
  <c r="X5384" i="15"/>
  <c r="Y5383" i="15" s="1"/>
  <c r="X5385" i="15"/>
  <c r="Y5384" i="15" s="1"/>
  <c r="X5386" i="15"/>
  <c r="Y5385" i="15" s="1"/>
  <c r="X5387" i="15"/>
  <c r="Y5386" i="15" s="1"/>
  <c r="X5388" i="15"/>
  <c r="Y5387" i="15" s="1"/>
  <c r="X5389" i="15"/>
  <c r="Y5388" i="15" s="1"/>
  <c r="X5390" i="15"/>
  <c r="Y5389" i="15" s="1"/>
  <c r="X5391" i="15"/>
  <c r="Y5390" i="15" s="1"/>
  <c r="X5392" i="15"/>
  <c r="Y5391" i="15" s="1"/>
  <c r="X5393" i="15"/>
  <c r="Y5392" i="15" s="1"/>
  <c r="X5394" i="15"/>
  <c r="Y5393" i="15" s="1"/>
  <c r="X5395" i="15"/>
  <c r="Y5394" i="15" s="1"/>
  <c r="X5396" i="15"/>
  <c r="Y5395" i="15" s="1"/>
  <c r="X5397" i="15"/>
  <c r="Y5396" i="15" s="1"/>
  <c r="X5398" i="15"/>
  <c r="Y5397" i="15" s="1"/>
  <c r="X5399" i="15"/>
  <c r="Y5398" i="15" s="1"/>
  <c r="X5400" i="15"/>
  <c r="Y5399" i="15" s="1"/>
  <c r="X5401" i="15"/>
  <c r="Y5400" i="15" s="1"/>
  <c r="X5402" i="15"/>
  <c r="Y5401" i="15" s="1"/>
  <c r="X5403" i="15"/>
  <c r="Y5402" i="15" s="1"/>
  <c r="X5404" i="15"/>
  <c r="Y5403" i="15" s="1"/>
  <c r="X5405" i="15"/>
  <c r="Y5404" i="15" s="1"/>
  <c r="X5406" i="15"/>
  <c r="Y5405" i="15" s="1"/>
  <c r="X5407" i="15"/>
  <c r="Y5406" i="15" s="1"/>
  <c r="X5408" i="15"/>
  <c r="Y5407" i="15" s="1"/>
  <c r="X5409" i="15"/>
  <c r="Y5408" i="15" s="1"/>
  <c r="X5410" i="15"/>
  <c r="Y5409" i="15" s="1"/>
  <c r="X5411" i="15"/>
  <c r="Y5410" i="15" s="1"/>
  <c r="X5412" i="15"/>
  <c r="Y5411" i="15" s="1"/>
  <c r="X5413" i="15"/>
  <c r="Y5412" i="15" s="1"/>
  <c r="X5414" i="15"/>
  <c r="Y5413" i="15" s="1"/>
  <c r="X5415" i="15"/>
  <c r="Y5414" i="15" s="1"/>
  <c r="X5416" i="15"/>
  <c r="Y5415" i="15" s="1"/>
  <c r="X5417" i="15"/>
  <c r="Y5416" i="15" s="1"/>
  <c r="X5418" i="15"/>
  <c r="Y5417" i="15" s="1"/>
  <c r="X5419" i="15"/>
  <c r="Y5418" i="15" s="1"/>
  <c r="X5420" i="15"/>
  <c r="Y5419" i="15" s="1"/>
  <c r="X5421" i="15"/>
  <c r="Y5420" i="15" s="1"/>
  <c r="X5422" i="15"/>
  <c r="Y5421" i="15" s="1"/>
  <c r="X5423" i="15"/>
  <c r="Y5422" i="15" s="1"/>
  <c r="X5424" i="15"/>
  <c r="Y5423" i="15" s="1"/>
  <c r="X5425" i="15"/>
  <c r="Y5424" i="15" s="1"/>
  <c r="X5426" i="15"/>
  <c r="Y5425" i="15" s="1"/>
  <c r="X5427" i="15"/>
  <c r="Y5426" i="15" s="1"/>
  <c r="X5428" i="15"/>
  <c r="Y5427" i="15" s="1"/>
  <c r="X5429" i="15"/>
  <c r="Y5428" i="15" s="1"/>
  <c r="X5430" i="15"/>
  <c r="Y5429" i="15" s="1"/>
  <c r="X5431" i="15"/>
  <c r="Y5430" i="15" s="1"/>
  <c r="X5432" i="15"/>
  <c r="Y5431" i="15" s="1"/>
  <c r="X5433" i="15"/>
  <c r="Y5432" i="15" s="1"/>
  <c r="X5434" i="15"/>
  <c r="Y5433" i="15" s="1"/>
  <c r="X5435" i="15"/>
  <c r="Y5434" i="15" s="1"/>
  <c r="X5436" i="15"/>
  <c r="Y5435" i="15" s="1"/>
  <c r="X5437" i="15"/>
  <c r="Y5436" i="15" s="1"/>
  <c r="X5438" i="15"/>
  <c r="Y5437" i="15" s="1"/>
  <c r="X5439" i="15"/>
  <c r="Y5438" i="15" s="1"/>
  <c r="X5440" i="15"/>
  <c r="Y5439" i="15" s="1"/>
  <c r="X5441" i="15"/>
  <c r="Y5440" i="15" s="1"/>
  <c r="X5442" i="15"/>
  <c r="Y5441" i="15" s="1"/>
  <c r="X5443" i="15"/>
  <c r="Y5442" i="15" s="1"/>
  <c r="X5444" i="15"/>
  <c r="Y5443" i="15" s="1"/>
  <c r="X5445" i="15"/>
  <c r="Y5444" i="15" s="1"/>
  <c r="X5446" i="15"/>
  <c r="Y5445" i="15" s="1"/>
  <c r="X5447" i="15"/>
  <c r="Y5446" i="15" s="1"/>
  <c r="X5448" i="15"/>
  <c r="Y5447" i="15" s="1"/>
  <c r="X5449" i="15"/>
  <c r="Y5448" i="15" s="1"/>
  <c r="X5450" i="15"/>
  <c r="Y5449" i="15" s="1"/>
  <c r="X5451" i="15"/>
  <c r="Y5450" i="15" s="1"/>
  <c r="X5452" i="15"/>
  <c r="Y5451" i="15" s="1"/>
  <c r="X5453" i="15"/>
  <c r="Y5452" i="15" s="1"/>
  <c r="X5454" i="15"/>
  <c r="Y5453" i="15" s="1"/>
  <c r="X5455" i="15"/>
  <c r="Y5454" i="15" s="1"/>
  <c r="X5456" i="15"/>
  <c r="Y5455" i="15" s="1"/>
  <c r="X5457" i="15"/>
  <c r="Y5456" i="15" s="1"/>
  <c r="X5458" i="15"/>
  <c r="Y5457" i="15" s="1"/>
  <c r="X5459" i="15"/>
  <c r="Y5458" i="15" s="1"/>
  <c r="X5460" i="15"/>
  <c r="Y5459" i="15" s="1"/>
  <c r="X5461" i="15"/>
  <c r="Y5460" i="15" s="1"/>
  <c r="X5462" i="15"/>
  <c r="Y5461" i="15" s="1"/>
  <c r="X5463" i="15"/>
  <c r="Y5462" i="15" s="1"/>
  <c r="X5464" i="15"/>
  <c r="Y5463" i="15" s="1"/>
  <c r="X5465" i="15"/>
  <c r="Y5464" i="15" s="1"/>
  <c r="X5466" i="15"/>
  <c r="Y5465" i="15" s="1"/>
  <c r="X5467" i="15"/>
  <c r="Y5466" i="15" s="1"/>
  <c r="X5468" i="15"/>
  <c r="Y5467" i="15" s="1"/>
  <c r="X5469" i="15"/>
  <c r="Y5468" i="15" s="1"/>
  <c r="X5470" i="15"/>
  <c r="Y5469" i="15" s="1"/>
  <c r="X5471" i="15"/>
  <c r="Y5470" i="15" s="1"/>
  <c r="X5472" i="15"/>
  <c r="Y5471" i="15" s="1"/>
  <c r="X5473" i="15"/>
  <c r="Y5472" i="15" s="1"/>
  <c r="X5474" i="15"/>
  <c r="Y5473" i="15" s="1"/>
  <c r="X5475" i="15"/>
  <c r="Y5474" i="15" s="1"/>
  <c r="X5476" i="15"/>
  <c r="Y5475" i="15" s="1"/>
  <c r="X5477" i="15"/>
  <c r="Y5476" i="15" s="1"/>
  <c r="X5478" i="15"/>
  <c r="Y5477" i="15" s="1"/>
  <c r="X5479" i="15"/>
  <c r="Y5478" i="15" s="1"/>
  <c r="X5480" i="15"/>
  <c r="Y5479" i="15" s="1"/>
  <c r="X5481" i="15"/>
  <c r="Y5480" i="15" s="1"/>
  <c r="X5482" i="15"/>
  <c r="Y5481" i="15" s="1"/>
  <c r="X5483" i="15"/>
  <c r="Y5482" i="15" s="1"/>
  <c r="X5484" i="15"/>
  <c r="Y5483" i="15" s="1"/>
  <c r="X5485" i="15"/>
  <c r="Y5484" i="15" s="1"/>
  <c r="X5486" i="15"/>
  <c r="Y5485" i="15" s="1"/>
  <c r="X5487" i="15"/>
  <c r="Y5486" i="15" s="1"/>
  <c r="X5488" i="15"/>
  <c r="Y5487" i="15" s="1"/>
  <c r="X5489" i="15"/>
  <c r="Y5488" i="15" s="1"/>
  <c r="X5490" i="15"/>
  <c r="Y5489" i="15" s="1"/>
  <c r="X5491" i="15"/>
  <c r="Y5490" i="15" s="1"/>
  <c r="X5492" i="15"/>
  <c r="Y5491" i="15" s="1"/>
  <c r="X5493" i="15"/>
  <c r="Y5492" i="15" s="1"/>
  <c r="X5494" i="15"/>
  <c r="Y5493" i="15" s="1"/>
  <c r="X5495" i="15"/>
  <c r="Y5494" i="15" s="1"/>
  <c r="X5496" i="15"/>
  <c r="Y5495" i="15" s="1"/>
  <c r="X5497" i="15"/>
  <c r="Y5496" i="15" s="1"/>
  <c r="X5498" i="15"/>
  <c r="Y5497" i="15" s="1"/>
  <c r="X5499" i="15"/>
  <c r="Y5498" i="15" s="1"/>
  <c r="X5500" i="15"/>
  <c r="Y5499" i="15" s="1"/>
  <c r="X5501" i="15"/>
  <c r="Y5500" i="15" s="1"/>
  <c r="X5502" i="15"/>
  <c r="Y5501" i="15" s="1"/>
  <c r="X5503" i="15"/>
  <c r="Y5502" i="15" s="1"/>
  <c r="X5504" i="15"/>
  <c r="Y5503" i="15" s="1"/>
  <c r="X5505" i="15"/>
  <c r="Y5504" i="15" s="1"/>
  <c r="X5506" i="15"/>
  <c r="Y5505" i="15" s="1"/>
  <c r="X5507" i="15"/>
  <c r="Y5506" i="15" s="1"/>
  <c r="X5508" i="15"/>
  <c r="Y5507" i="15" s="1"/>
  <c r="X5509" i="15"/>
  <c r="Y5508" i="15" s="1"/>
  <c r="X5510" i="15"/>
  <c r="Y5509" i="15" s="1"/>
  <c r="X5511" i="15"/>
  <c r="Y5510" i="15" s="1"/>
  <c r="X5512" i="15"/>
  <c r="Y5511" i="15" s="1"/>
  <c r="X5513" i="15"/>
  <c r="Y5512" i="15" s="1"/>
  <c r="X5514" i="15"/>
  <c r="Y5513" i="15" s="1"/>
  <c r="X5515" i="15"/>
  <c r="Y5514" i="15" s="1"/>
  <c r="X5516" i="15"/>
  <c r="Y5515" i="15" s="1"/>
  <c r="X5517" i="15"/>
  <c r="Y5516" i="15" s="1"/>
  <c r="X5518" i="15"/>
  <c r="Y5517" i="15" s="1"/>
  <c r="X5519" i="15"/>
  <c r="Y5518" i="15" s="1"/>
  <c r="X5520" i="15"/>
  <c r="Y5519" i="15" s="1"/>
  <c r="X5521" i="15"/>
  <c r="Y5520" i="15" s="1"/>
  <c r="X5522" i="15"/>
  <c r="Y5521" i="15" s="1"/>
  <c r="X5523" i="15"/>
  <c r="Y5522" i="15" s="1"/>
  <c r="X5524" i="15"/>
  <c r="Y5523" i="15" s="1"/>
  <c r="X5525" i="15"/>
  <c r="Y5524" i="15" s="1"/>
  <c r="X5526" i="15"/>
  <c r="Y5525" i="15" s="1"/>
  <c r="X5527" i="15"/>
  <c r="Y5526" i="15" s="1"/>
  <c r="X5528" i="15"/>
  <c r="Y5527" i="15" s="1"/>
  <c r="X5529" i="15"/>
  <c r="Y5528" i="15" s="1"/>
  <c r="X5530" i="15"/>
  <c r="Y5529" i="15" s="1"/>
  <c r="X5531" i="15"/>
  <c r="Y5530" i="15" s="1"/>
  <c r="X5532" i="15"/>
  <c r="Y5531" i="15" s="1"/>
  <c r="X5533" i="15"/>
  <c r="Y5532" i="15" s="1"/>
  <c r="X5534" i="15"/>
  <c r="Y5533" i="15" s="1"/>
  <c r="X5535" i="15"/>
  <c r="Y5534" i="15" s="1"/>
  <c r="X5536" i="15"/>
  <c r="Y5535" i="15" s="1"/>
  <c r="X5537" i="15"/>
  <c r="Y5536" i="15" s="1"/>
  <c r="X5538" i="15"/>
  <c r="Y5537" i="15" s="1"/>
  <c r="X5539" i="15"/>
  <c r="Y5538" i="15" s="1"/>
  <c r="X5540" i="15"/>
  <c r="Y5539" i="15" s="1"/>
  <c r="X5541" i="15"/>
  <c r="Y5540" i="15" s="1"/>
  <c r="X5542" i="15"/>
  <c r="Y5541" i="15" s="1"/>
  <c r="X5543" i="15"/>
  <c r="Y5542" i="15" s="1"/>
  <c r="X5544" i="15"/>
  <c r="Y5543" i="15" s="1"/>
  <c r="X5545" i="15"/>
  <c r="Y5544" i="15" s="1"/>
  <c r="X5546" i="15"/>
  <c r="Y5545" i="15" s="1"/>
  <c r="X5547" i="15"/>
  <c r="Y5546" i="15" s="1"/>
  <c r="X5548" i="15"/>
  <c r="Y5547" i="15" s="1"/>
  <c r="X5549" i="15"/>
  <c r="Y5548" i="15" s="1"/>
  <c r="X5550" i="15"/>
  <c r="Y5549" i="15" s="1"/>
  <c r="X5551" i="15"/>
  <c r="Y5550" i="15" s="1"/>
  <c r="X5552" i="15"/>
  <c r="Y5551" i="15" s="1"/>
  <c r="X5553" i="15"/>
  <c r="Y5552" i="15" s="1"/>
  <c r="X5554" i="15"/>
  <c r="Y5553" i="15" s="1"/>
  <c r="X5555" i="15"/>
  <c r="Y5554" i="15" s="1"/>
  <c r="X5556" i="15"/>
  <c r="Y5555" i="15" s="1"/>
  <c r="X5557" i="15"/>
  <c r="Y5556" i="15" s="1"/>
  <c r="X5558" i="15"/>
  <c r="Y5557" i="15" s="1"/>
  <c r="X5559" i="15"/>
  <c r="Y5558" i="15" s="1"/>
  <c r="X5560" i="15"/>
  <c r="Y5559" i="15" s="1"/>
  <c r="X5561" i="15"/>
  <c r="Y5560" i="15" s="1"/>
  <c r="X5562" i="15"/>
  <c r="Y5561" i="15" s="1"/>
  <c r="X5563" i="15"/>
  <c r="Y5562" i="15" s="1"/>
  <c r="X5564" i="15"/>
  <c r="Y5563" i="15" s="1"/>
  <c r="X5565" i="15"/>
  <c r="Y5564" i="15" s="1"/>
  <c r="X5566" i="15"/>
  <c r="Y5565" i="15" s="1"/>
  <c r="X5567" i="15"/>
  <c r="Y5566" i="15" s="1"/>
  <c r="X5568" i="15"/>
  <c r="Y5567" i="15" s="1"/>
  <c r="X5569" i="15"/>
  <c r="Y5568" i="15" s="1"/>
  <c r="X5570" i="15"/>
  <c r="Y5569" i="15" s="1"/>
  <c r="X5571" i="15"/>
  <c r="Y5570" i="15" s="1"/>
  <c r="X5572" i="15"/>
  <c r="Y5571" i="15" s="1"/>
  <c r="X5573" i="15"/>
  <c r="Y5572" i="15" s="1"/>
  <c r="X5574" i="15"/>
  <c r="Y5573" i="15" s="1"/>
  <c r="X5575" i="15"/>
  <c r="Y5574" i="15" s="1"/>
  <c r="X5576" i="15"/>
  <c r="Y5575" i="15" s="1"/>
  <c r="X5577" i="15"/>
  <c r="Y5576" i="15" s="1"/>
  <c r="X5578" i="15"/>
  <c r="Y5577" i="15" s="1"/>
  <c r="X5579" i="15"/>
  <c r="Y5578" i="15" s="1"/>
  <c r="X5580" i="15"/>
  <c r="Y5579" i="15" s="1"/>
  <c r="X5581" i="15"/>
  <c r="Y5580" i="15" s="1"/>
  <c r="X5582" i="15"/>
  <c r="Y5581" i="15" s="1"/>
  <c r="X5583" i="15"/>
  <c r="Y5582" i="15" s="1"/>
  <c r="X5584" i="15"/>
  <c r="Y5583" i="15" s="1"/>
  <c r="X5585" i="15"/>
  <c r="Y5584" i="15" s="1"/>
  <c r="X5586" i="15"/>
  <c r="Y5585" i="15" s="1"/>
  <c r="X5587" i="15"/>
  <c r="Y5586" i="15" s="1"/>
  <c r="X5588" i="15"/>
  <c r="Y5587" i="15" s="1"/>
  <c r="X5589" i="15"/>
  <c r="Y5588" i="15" s="1"/>
  <c r="X5590" i="15"/>
  <c r="Y5589" i="15" s="1"/>
  <c r="X5591" i="15"/>
  <c r="Y5590" i="15" s="1"/>
  <c r="X5592" i="15"/>
  <c r="Y5591" i="15" s="1"/>
  <c r="X5593" i="15"/>
  <c r="Y5592" i="15" s="1"/>
  <c r="X5594" i="15"/>
  <c r="Y5593" i="15" s="1"/>
  <c r="X5595" i="15"/>
  <c r="Y5594" i="15" s="1"/>
  <c r="X5596" i="15"/>
  <c r="Y5595" i="15" s="1"/>
  <c r="X5597" i="15"/>
  <c r="Y5596" i="15" s="1"/>
  <c r="X5598" i="15"/>
  <c r="Y5597" i="15" s="1"/>
  <c r="X5599" i="15"/>
  <c r="Y5598" i="15" s="1"/>
  <c r="X5600" i="15"/>
  <c r="Y5599" i="15" s="1"/>
  <c r="X5601" i="15"/>
  <c r="Y5600" i="15" s="1"/>
  <c r="X5602" i="15"/>
  <c r="Y5601" i="15" s="1"/>
  <c r="X5603" i="15"/>
  <c r="Y5602" i="15" s="1"/>
  <c r="X5604" i="15"/>
  <c r="Y5603" i="15" s="1"/>
  <c r="X5605" i="15"/>
  <c r="Y5604" i="15" s="1"/>
  <c r="X5606" i="15"/>
  <c r="Y5605" i="15" s="1"/>
  <c r="X5607" i="15"/>
  <c r="Y5606" i="15" s="1"/>
  <c r="X5608" i="15"/>
  <c r="Y5607" i="15" s="1"/>
  <c r="X5609" i="15"/>
  <c r="Y5608" i="15" s="1"/>
  <c r="X5610" i="15"/>
  <c r="Y5609" i="15" s="1"/>
  <c r="X5611" i="15"/>
  <c r="Y5610" i="15" s="1"/>
  <c r="X5612" i="15"/>
  <c r="Y5611" i="15" s="1"/>
  <c r="X5613" i="15"/>
  <c r="Y5612" i="15" s="1"/>
  <c r="X5614" i="15"/>
  <c r="Y5613" i="15" s="1"/>
  <c r="X5615" i="15"/>
  <c r="Y5614" i="15" s="1"/>
  <c r="X5616" i="15"/>
  <c r="Y5615" i="15" s="1"/>
  <c r="X5617" i="15"/>
  <c r="Y5616" i="15" s="1"/>
  <c r="X5618" i="15"/>
  <c r="Y5617" i="15" s="1"/>
  <c r="X5619" i="15"/>
  <c r="Y5618" i="15" s="1"/>
  <c r="X5620" i="15"/>
  <c r="Y5619" i="15" s="1"/>
  <c r="X5621" i="15"/>
  <c r="Y5620" i="15" s="1"/>
  <c r="X5622" i="15"/>
  <c r="Y5621" i="15" s="1"/>
  <c r="X5623" i="15"/>
  <c r="Y5622" i="15" s="1"/>
  <c r="X5624" i="15"/>
  <c r="Y5623" i="15" s="1"/>
  <c r="X5625" i="15"/>
  <c r="Y5624" i="15" s="1"/>
  <c r="X5626" i="15"/>
  <c r="Y5625" i="15" s="1"/>
  <c r="X5627" i="15"/>
  <c r="Y5626" i="15" s="1"/>
  <c r="X5628" i="15"/>
  <c r="Y5627" i="15" s="1"/>
  <c r="X5629" i="15"/>
  <c r="Y5628" i="15" s="1"/>
  <c r="X5630" i="15"/>
  <c r="Y5629" i="15" s="1"/>
  <c r="X5631" i="15"/>
  <c r="Y5630" i="15" s="1"/>
  <c r="X5632" i="15"/>
  <c r="Y5631" i="15" s="1"/>
  <c r="X5633" i="15"/>
  <c r="Y5632" i="15" s="1"/>
  <c r="X5634" i="15"/>
  <c r="Y5633" i="15" s="1"/>
  <c r="X5635" i="15"/>
  <c r="Y5634" i="15" s="1"/>
  <c r="X5636" i="15"/>
  <c r="Y5635" i="15" s="1"/>
  <c r="X5637" i="15"/>
  <c r="Y5636" i="15" s="1"/>
  <c r="X5638" i="15"/>
  <c r="Y5637" i="15" s="1"/>
  <c r="X5639" i="15"/>
  <c r="Y5638" i="15" s="1"/>
  <c r="X5640" i="15"/>
  <c r="Y5639" i="15" s="1"/>
  <c r="X5641" i="15"/>
  <c r="Y5640" i="15" s="1"/>
  <c r="X5642" i="15"/>
  <c r="Y5641" i="15" s="1"/>
  <c r="X5643" i="15"/>
  <c r="Y5642" i="15" s="1"/>
  <c r="X5644" i="15"/>
  <c r="Y5643" i="15" s="1"/>
  <c r="X5645" i="15"/>
  <c r="Y5644" i="15" s="1"/>
  <c r="X5646" i="15"/>
  <c r="Y5645" i="15" s="1"/>
  <c r="X5647" i="15"/>
  <c r="Y5646" i="15" s="1"/>
  <c r="X5648" i="15"/>
  <c r="Y5647" i="15" s="1"/>
  <c r="X5649" i="15"/>
  <c r="Y5648" i="15" s="1"/>
  <c r="X5650" i="15"/>
  <c r="Y5649" i="15" s="1"/>
  <c r="X5651" i="15"/>
  <c r="Y5650" i="15" s="1"/>
  <c r="X5652" i="15"/>
  <c r="Y5651" i="15" s="1"/>
  <c r="X5653" i="15"/>
  <c r="Y5652" i="15" s="1"/>
  <c r="X5654" i="15"/>
  <c r="Y5653" i="15" s="1"/>
  <c r="X5655" i="15"/>
  <c r="Y5654" i="15" s="1"/>
  <c r="X5656" i="15"/>
  <c r="Y5655" i="15" s="1"/>
  <c r="X5657" i="15"/>
  <c r="Y5656" i="15" s="1"/>
  <c r="X5658" i="15"/>
  <c r="Y5657" i="15" s="1"/>
  <c r="X5659" i="15"/>
  <c r="Y5658" i="15" s="1"/>
  <c r="X5660" i="15"/>
  <c r="Y5659" i="15" s="1"/>
  <c r="X5661" i="15"/>
  <c r="Y5660" i="15" s="1"/>
  <c r="X5662" i="15"/>
  <c r="Y5661" i="15" s="1"/>
  <c r="X5663" i="15"/>
  <c r="Y5662" i="15" s="1"/>
  <c r="X5664" i="15"/>
  <c r="Y5663" i="15" s="1"/>
  <c r="X5665" i="15"/>
  <c r="Y5664" i="15" s="1"/>
  <c r="X5666" i="15"/>
  <c r="Y5665" i="15" s="1"/>
  <c r="X5667" i="15"/>
  <c r="Y5666" i="15" s="1"/>
  <c r="X5668" i="15"/>
  <c r="Y5667" i="15" s="1"/>
  <c r="X5669" i="15"/>
  <c r="Y5668" i="15" s="1"/>
  <c r="X5670" i="15"/>
  <c r="Y5669" i="15" s="1"/>
  <c r="X5671" i="15"/>
  <c r="Y5670" i="15" s="1"/>
  <c r="X5672" i="15"/>
  <c r="Y5671" i="15" s="1"/>
  <c r="X5673" i="15"/>
  <c r="Y5672" i="15" s="1"/>
  <c r="X5674" i="15"/>
  <c r="Y5673" i="15" s="1"/>
  <c r="X5675" i="15"/>
  <c r="Y5674" i="15" s="1"/>
  <c r="X5676" i="15"/>
  <c r="Y5675" i="15" s="1"/>
  <c r="X5677" i="15"/>
  <c r="Y5676" i="15" s="1"/>
  <c r="X5678" i="15"/>
  <c r="Y5677" i="15" s="1"/>
  <c r="X5679" i="15"/>
  <c r="Y5678" i="15" s="1"/>
  <c r="X5680" i="15"/>
  <c r="Y5679" i="15" s="1"/>
  <c r="X5681" i="15"/>
  <c r="Y5680" i="15" s="1"/>
  <c r="X5682" i="15"/>
  <c r="Y5681" i="15" s="1"/>
  <c r="X5683" i="15"/>
  <c r="Y5682" i="15" s="1"/>
  <c r="X5684" i="15"/>
  <c r="Y5683" i="15" s="1"/>
  <c r="X5685" i="15"/>
  <c r="Y5684" i="15" s="1"/>
  <c r="X5686" i="15"/>
  <c r="Y5685" i="15" s="1"/>
  <c r="X5687" i="15"/>
  <c r="Y5686" i="15" s="1"/>
  <c r="X5688" i="15"/>
  <c r="Y5687" i="15" s="1"/>
  <c r="X5689" i="15"/>
  <c r="Y5688" i="15" s="1"/>
  <c r="X5690" i="15"/>
  <c r="Y5689" i="15" s="1"/>
  <c r="X5691" i="15"/>
  <c r="Y5690" i="15" s="1"/>
  <c r="X5692" i="15"/>
  <c r="Y5691" i="15" s="1"/>
  <c r="X5693" i="15"/>
  <c r="Y5692" i="15" s="1"/>
  <c r="X5694" i="15"/>
  <c r="Y5693" i="15" s="1"/>
  <c r="X5695" i="15"/>
  <c r="Y5694" i="15" s="1"/>
  <c r="X5696" i="15"/>
  <c r="Y5695" i="15" s="1"/>
  <c r="X5697" i="15"/>
  <c r="Y5696" i="15" s="1"/>
  <c r="X5698" i="15"/>
  <c r="Y5697" i="15" s="1"/>
  <c r="X5699" i="15"/>
  <c r="Y5698" i="15" s="1"/>
  <c r="X5700" i="15"/>
  <c r="Y5699" i="15" s="1"/>
  <c r="X5701" i="15"/>
  <c r="Y5700" i="15" s="1"/>
  <c r="X5702" i="15"/>
  <c r="Y5701" i="15" s="1"/>
  <c r="X5703" i="15"/>
  <c r="Y5702" i="15" s="1"/>
  <c r="X5704" i="15"/>
  <c r="Y5703" i="15" s="1"/>
  <c r="X5705" i="15"/>
  <c r="Y5704" i="15" s="1"/>
  <c r="X5706" i="15"/>
  <c r="Y5705" i="15" s="1"/>
  <c r="X5707" i="15"/>
  <c r="Y5706" i="15" s="1"/>
  <c r="X5708" i="15"/>
  <c r="Y5707" i="15" s="1"/>
  <c r="X5709" i="15"/>
  <c r="Y5708" i="15" s="1"/>
  <c r="X5710" i="15"/>
  <c r="Y5709" i="15" s="1"/>
  <c r="X5711" i="15"/>
  <c r="Y5710" i="15" s="1"/>
  <c r="X5712" i="15"/>
  <c r="Y5711" i="15" s="1"/>
  <c r="X5713" i="15"/>
  <c r="Y5712" i="15" s="1"/>
  <c r="X5714" i="15"/>
  <c r="Y5713" i="15" s="1"/>
  <c r="X5715" i="15"/>
  <c r="Y5714" i="15" s="1"/>
  <c r="X5716" i="15"/>
  <c r="Y5715" i="15" s="1"/>
  <c r="X5717" i="15"/>
  <c r="Y5716" i="15" s="1"/>
  <c r="X5718" i="15"/>
  <c r="Y5717" i="15" s="1"/>
  <c r="X5719" i="15"/>
  <c r="Y5718" i="15" s="1"/>
  <c r="X5720" i="15"/>
  <c r="Y5719" i="15" s="1"/>
  <c r="X5721" i="15"/>
  <c r="Y5720" i="15" s="1"/>
  <c r="X5722" i="15"/>
  <c r="Y5721" i="15" s="1"/>
  <c r="X5723" i="15"/>
  <c r="Y5722" i="15" s="1"/>
  <c r="X5724" i="15"/>
  <c r="Y5723" i="15" s="1"/>
  <c r="X5725" i="15"/>
  <c r="Y5724" i="15" s="1"/>
  <c r="X5726" i="15"/>
  <c r="Y5725" i="15" s="1"/>
  <c r="X5727" i="15"/>
  <c r="Y5726" i="15" s="1"/>
  <c r="X5728" i="15"/>
  <c r="Y5727" i="15" s="1"/>
  <c r="X5729" i="15"/>
  <c r="Y5728" i="15" s="1"/>
  <c r="X5730" i="15"/>
  <c r="Y5729" i="15" s="1"/>
  <c r="X5731" i="15"/>
  <c r="Y5730" i="15" s="1"/>
  <c r="X5732" i="15"/>
  <c r="Y5731" i="15" s="1"/>
  <c r="X5733" i="15"/>
  <c r="Y5732" i="15" s="1"/>
  <c r="X5734" i="15"/>
  <c r="Y5733" i="15" s="1"/>
  <c r="X5735" i="15"/>
  <c r="Y5734" i="15" s="1"/>
  <c r="X5736" i="15"/>
  <c r="Y5735" i="15" s="1"/>
  <c r="X5737" i="15"/>
  <c r="Y5736" i="15" s="1"/>
  <c r="X5738" i="15"/>
  <c r="Y5737" i="15" s="1"/>
  <c r="X5739" i="15"/>
  <c r="Y5738" i="15" s="1"/>
  <c r="X5740" i="15"/>
  <c r="Y5739" i="15" s="1"/>
  <c r="X5741" i="15"/>
  <c r="Y5740" i="15" s="1"/>
  <c r="X5742" i="15"/>
  <c r="Y5741" i="15" s="1"/>
  <c r="X5743" i="15"/>
  <c r="Y5742" i="15" s="1"/>
  <c r="X5744" i="15"/>
  <c r="Y5743" i="15" s="1"/>
  <c r="X5745" i="15"/>
  <c r="Y5744" i="15" s="1"/>
  <c r="X5746" i="15"/>
  <c r="Y5745" i="15" s="1"/>
  <c r="X5747" i="15"/>
  <c r="Y5746" i="15" s="1"/>
  <c r="X5748" i="15"/>
  <c r="Y5747" i="15" s="1"/>
  <c r="X5749" i="15"/>
  <c r="Y5748" i="15" s="1"/>
  <c r="X5750" i="15"/>
  <c r="Y5749" i="15" s="1"/>
  <c r="X5751" i="15"/>
  <c r="Y5750" i="15" s="1"/>
  <c r="X5752" i="15"/>
  <c r="Y5751" i="15" s="1"/>
  <c r="X5753" i="15"/>
  <c r="Y5752" i="15" s="1"/>
  <c r="X5754" i="15"/>
  <c r="Y5753" i="15" s="1"/>
  <c r="X5755" i="15"/>
  <c r="Y5754" i="15" s="1"/>
  <c r="X5756" i="15"/>
  <c r="Y5755" i="15" s="1"/>
  <c r="X5757" i="15"/>
  <c r="Y5756" i="15" s="1"/>
  <c r="X5758" i="15"/>
  <c r="Y5757" i="15" s="1"/>
  <c r="X5759" i="15"/>
  <c r="Y5758" i="15" s="1"/>
  <c r="X5760" i="15"/>
  <c r="Y5759" i="15" s="1"/>
  <c r="X5761" i="15"/>
  <c r="Y5760" i="15" s="1"/>
  <c r="X5762" i="15"/>
  <c r="Y5761" i="15" s="1"/>
  <c r="X5763" i="15"/>
  <c r="Y5762" i="15" s="1"/>
  <c r="X5764" i="15"/>
  <c r="Y5763" i="15" s="1"/>
  <c r="X5765" i="15"/>
  <c r="Y5764" i="15" s="1"/>
  <c r="X5766" i="15"/>
  <c r="Y5765" i="15" s="1"/>
  <c r="X5767" i="15"/>
  <c r="Y5766" i="15" s="1"/>
  <c r="X5768" i="15"/>
  <c r="Y5767" i="15" s="1"/>
  <c r="X5769" i="15"/>
  <c r="Y5768" i="15" s="1"/>
  <c r="X5770" i="15"/>
  <c r="Y5769" i="15" s="1"/>
  <c r="X5771" i="15"/>
  <c r="Y5770" i="15" s="1"/>
  <c r="X5772" i="15"/>
  <c r="Y5771" i="15" s="1"/>
  <c r="X5773" i="15"/>
  <c r="Y5772" i="15" s="1"/>
  <c r="X5774" i="15"/>
  <c r="Y5773" i="15" s="1"/>
  <c r="X5775" i="15"/>
  <c r="Y5774" i="15" s="1"/>
  <c r="X5776" i="15"/>
  <c r="Y5775" i="15" s="1"/>
  <c r="X5777" i="15"/>
  <c r="Y5776" i="15" s="1"/>
  <c r="X5778" i="15"/>
  <c r="Y5777" i="15" s="1"/>
  <c r="X5779" i="15"/>
  <c r="Y5778" i="15" s="1"/>
  <c r="X5780" i="15"/>
  <c r="Y5779" i="15" s="1"/>
  <c r="X5781" i="15"/>
  <c r="Y5780" i="15" s="1"/>
  <c r="X5782" i="15"/>
  <c r="Y5781" i="15" s="1"/>
  <c r="X5783" i="15"/>
  <c r="Y5782" i="15" s="1"/>
  <c r="X5784" i="15"/>
  <c r="Y5783" i="15" s="1"/>
  <c r="X5785" i="15"/>
  <c r="Y5784" i="15" s="1"/>
  <c r="X5786" i="15"/>
  <c r="Y5785" i="15" s="1"/>
  <c r="X5787" i="15"/>
  <c r="Y5786" i="15" s="1"/>
  <c r="X5788" i="15"/>
  <c r="Y5787" i="15" s="1"/>
  <c r="X5789" i="15"/>
  <c r="Y5788" i="15" s="1"/>
  <c r="X5790" i="15"/>
  <c r="Y5789" i="15" s="1"/>
  <c r="X5791" i="15"/>
  <c r="Y5790" i="15" s="1"/>
  <c r="X5792" i="15"/>
  <c r="Y5791" i="15" s="1"/>
  <c r="X5793" i="15"/>
  <c r="Y5792" i="15" s="1"/>
  <c r="X5794" i="15"/>
  <c r="Y5793" i="15" s="1"/>
  <c r="X5795" i="15"/>
  <c r="Y5794" i="15" s="1"/>
  <c r="X5796" i="15"/>
  <c r="Y5795" i="15" s="1"/>
  <c r="X5797" i="15"/>
  <c r="Y5796" i="15" s="1"/>
  <c r="X5798" i="15"/>
  <c r="Y5797" i="15" s="1"/>
  <c r="X5799" i="15"/>
  <c r="Y5798" i="15" s="1"/>
  <c r="X5800" i="15"/>
  <c r="Y5799" i="15" s="1"/>
  <c r="X5801" i="15"/>
  <c r="Y5800" i="15" s="1"/>
  <c r="X5802" i="15"/>
  <c r="Y5801" i="15" s="1"/>
  <c r="X5803" i="15"/>
  <c r="Y5802" i="15" s="1"/>
  <c r="X5804" i="15"/>
  <c r="Y5803" i="15" s="1"/>
  <c r="X5805" i="15"/>
  <c r="Y5804" i="15" s="1"/>
  <c r="X5806" i="15"/>
  <c r="Y5805" i="15" s="1"/>
  <c r="X5807" i="15"/>
  <c r="Y5806" i="15" s="1"/>
  <c r="X5808" i="15"/>
  <c r="Y5807" i="15" s="1"/>
  <c r="X5809" i="15"/>
  <c r="Y5808" i="15" s="1"/>
  <c r="X5810" i="15"/>
  <c r="Y5809" i="15" s="1"/>
  <c r="X5811" i="15"/>
  <c r="Y5810" i="15" s="1"/>
  <c r="X5812" i="15"/>
  <c r="Y5811" i="15" s="1"/>
  <c r="X5813" i="15"/>
  <c r="Y5812" i="15" s="1"/>
  <c r="X5814" i="15"/>
  <c r="Y5813" i="15" s="1"/>
  <c r="X5815" i="15"/>
  <c r="Y5814" i="15" s="1"/>
  <c r="X5816" i="15"/>
  <c r="Y5815" i="15" s="1"/>
  <c r="X5817" i="15"/>
  <c r="Y5816" i="15" s="1"/>
  <c r="X5818" i="15"/>
  <c r="Y5817" i="15" s="1"/>
  <c r="X5819" i="15"/>
  <c r="Y5818" i="15" s="1"/>
  <c r="X5820" i="15"/>
  <c r="Y5819" i="15" s="1"/>
  <c r="X5821" i="15"/>
  <c r="Y5820" i="15" s="1"/>
  <c r="X5822" i="15"/>
  <c r="Y5821" i="15" s="1"/>
  <c r="X5823" i="15"/>
  <c r="Y5822" i="15" s="1"/>
  <c r="X5824" i="15"/>
  <c r="Y5823" i="15" s="1"/>
  <c r="X5825" i="15"/>
  <c r="Y5824" i="15" s="1"/>
  <c r="X5826" i="15"/>
  <c r="Y5825" i="15" s="1"/>
  <c r="X5827" i="15"/>
  <c r="Y5826" i="15" s="1"/>
  <c r="X5828" i="15"/>
  <c r="Y5827" i="15" s="1"/>
  <c r="X5829" i="15"/>
  <c r="Y5828" i="15" s="1"/>
  <c r="X5830" i="15"/>
  <c r="Y5829" i="15" s="1"/>
  <c r="X5831" i="15"/>
  <c r="Y5830" i="15" s="1"/>
  <c r="X5832" i="15"/>
  <c r="Y5831" i="15" s="1"/>
  <c r="X5833" i="15"/>
  <c r="Y5832" i="15" s="1"/>
  <c r="X5834" i="15"/>
  <c r="Y5833" i="15" s="1"/>
  <c r="X5835" i="15"/>
  <c r="Y5834" i="15" s="1"/>
  <c r="X5836" i="15"/>
  <c r="Y5835" i="15" s="1"/>
  <c r="X5837" i="15"/>
  <c r="Y5836" i="15" s="1"/>
  <c r="X5838" i="15"/>
  <c r="Y5837" i="15" s="1"/>
  <c r="X5839" i="15"/>
  <c r="Y5838" i="15" s="1"/>
  <c r="X5840" i="15"/>
  <c r="Y5839" i="15" s="1"/>
  <c r="X5841" i="15"/>
  <c r="Y5840" i="15" s="1"/>
  <c r="X5842" i="15"/>
  <c r="Y5841" i="15" s="1"/>
  <c r="X5843" i="15"/>
  <c r="Y5842" i="15" s="1"/>
  <c r="X5844" i="15"/>
  <c r="Y5843" i="15" s="1"/>
  <c r="X5845" i="15"/>
  <c r="Y5844" i="15" s="1"/>
  <c r="X5846" i="15"/>
  <c r="Y5845" i="15" s="1"/>
  <c r="X5847" i="15"/>
  <c r="Y5846" i="15" s="1"/>
  <c r="X5848" i="15"/>
  <c r="Y5847" i="15" s="1"/>
  <c r="X5849" i="15"/>
  <c r="Y5848" i="15" s="1"/>
  <c r="X5850" i="15"/>
  <c r="Y5849" i="15" s="1"/>
  <c r="X5851" i="15"/>
  <c r="Y5850" i="15" s="1"/>
  <c r="X5852" i="15"/>
  <c r="Y5851" i="15" s="1"/>
  <c r="X5853" i="15"/>
  <c r="Y5852" i="15" s="1"/>
  <c r="X5854" i="15"/>
  <c r="Y5853" i="15" s="1"/>
  <c r="X5855" i="15"/>
  <c r="Y5854" i="15" s="1"/>
  <c r="X5856" i="15"/>
  <c r="Y5855" i="15" s="1"/>
  <c r="X5857" i="15"/>
  <c r="Y5856" i="15" s="1"/>
  <c r="X5858" i="15"/>
  <c r="Y5857" i="15" s="1"/>
  <c r="X5859" i="15"/>
  <c r="Y5858" i="15" s="1"/>
  <c r="X5860" i="15"/>
  <c r="Y5859" i="15" s="1"/>
  <c r="X5861" i="15"/>
  <c r="Y5860" i="15" s="1"/>
  <c r="X5862" i="15"/>
  <c r="Y5861" i="15" s="1"/>
  <c r="X5863" i="15"/>
  <c r="Y5862" i="15" s="1"/>
  <c r="X5864" i="15"/>
  <c r="Y5863" i="15" s="1"/>
  <c r="X5865" i="15"/>
  <c r="Y5864" i="15" s="1"/>
  <c r="X5866" i="15"/>
  <c r="Y5865" i="15" s="1"/>
  <c r="X5867" i="15"/>
  <c r="Y5866" i="15" s="1"/>
  <c r="X5868" i="15"/>
  <c r="Y5867" i="15" s="1"/>
  <c r="X5869" i="15"/>
  <c r="Y5868" i="15" s="1"/>
  <c r="X5870" i="15"/>
  <c r="Y5869" i="15" s="1"/>
  <c r="X5871" i="15"/>
  <c r="Y5870" i="15" s="1"/>
  <c r="X5872" i="15"/>
  <c r="Y5871" i="15" s="1"/>
  <c r="X5873" i="15"/>
  <c r="Y5872" i="15" s="1"/>
  <c r="X5874" i="15"/>
  <c r="Y5873" i="15" s="1"/>
  <c r="X5875" i="15"/>
  <c r="Y5874" i="15" s="1"/>
  <c r="X5876" i="15"/>
  <c r="Y5875" i="15" s="1"/>
  <c r="X5877" i="15"/>
  <c r="Y5876" i="15" s="1"/>
  <c r="X5878" i="15"/>
  <c r="Y5877" i="15" s="1"/>
  <c r="X5879" i="15"/>
  <c r="Y5878" i="15" s="1"/>
  <c r="X5880" i="15"/>
  <c r="Y5879" i="15" s="1"/>
  <c r="X5881" i="15"/>
  <c r="Y5880" i="15" s="1"/>
  <c r="X5882" i="15"/>
  <c r="Y5881" i="15" s="1"/>
  <c r="X5883" i="15"/>
  <c r="Y5882" i="15" s="1"/>
  <c r="X5884" i="15"/>
  <c r="Y5883" i="15" s="1"/>
  <c r="X5885" i="15"/>
  <c r="Y5884" i="15" s="1"/>
  <c r="X5886" i="15"/>
  <c r="Y5885" i="15" s="1"/>
  <c r="X5887" i="15"/>
  <c r="Y5886" i="15" s="1"/>
  <c r="X5888" i="15"/>
  <c r="Y5887" i="15" s="1"/>
  <c r="X5889" i="15"/>
  <c r="Y5888" i="15" s="1"/>
  <c r="X5890" i="15"/>
  <c r="Y5889" i="15" s="1"/>
  <c r="X5891" i="15"/>
  <c r="Y5890" i="15" s="1"/>
  <c r="X5892" i="15"/>
  <c r="Y5891" i="15" s="1"/>
  <c r="X5893" i="15"/>
  <c r="Y5892" i="15" s="1"/>
  <c r="X5894" i="15"/>
  <c r="Y5893" i="15" s="1"/>
  <c r="X5895" i="15"/>
  <c r="Y5894" i="15" s="1"/>
  <c r="X5896" i="15"/>
  <c r="Y5895" i="15" s="1"/>
  <c r="X5897" i="15"/>
  <c r="Y5896" i="15" s="1"/>
  <c r="X5898" i="15"/>
  <c r="Y5897" i="15" s="1"/>
  <c r="X5899" i="15"/>
  <c r="Y5898" i="15" s="1"/>
  <c r="X5900" i="15"/>
  <c r="Y5899" i="15" s="1"/>
  <c r="X5901" i="15"/>
  <c r="Y5900" i="15" s="1"/>
  <c r="X5902" i="15"/>
  <c r="Y5901" i="15" s="1"/>
  <c r="X5903" i="15"/>
  <c r="Y5902" i="15" s="1"/>
  <c r="X5904" i="15"/>
  <c r="Y5903" i="15" s="1"/>
  <c r="X5905" i="15"/>
  <c r="Y5904" i="15" s="1"/>
  <c r="X5906" i="15"/>
  <c r="Y5905" i="15" s="1"/>
  <c r="X5907" i="15"/>
  <c r="Y5906" i="15" s="1"/>
  <c r="X5908" i="15"/>
  <c r="Y5907" i="15" s="1"/>
  <c r="X5909" i="15"/>
  <c r="Y5908" i="15" s="1"/>
  <c r="X5910" i="15"/>
  <c r="Y5909" i="15" s="1"/>
  <c r="X5911" i="15"/>
  <c r="Y5910" i="15" s="1"/>
  <c r="X5912" i="15"/>
  <c r="Y5911" i="15" s="1"/>
  <c r="X5913" i="15"/>
  <c r="Y5912" i="15" s="1"/>
  <c r="X5914" i="15"/>
  <c r="Y5913" i="15" s="1"/>
  <c r="X5915" i="15"/>
  <c r="Y5914" i="15" s="1"/>
  <c r="X5916" i="15"/>
  <c r="Y5915" i="15" s="1"/>
  <c r="X5917" i="15"/>
  <c r="Y5916" i="15" s="1"/>
  <c r="X5918" i="15"/>
  <c r="Y5917" i="15" s="1"/>
  <c r="X5919" i="15"/>
  <c r="Y5918" i="15" s="1"/>
  <c r="X5920" i="15"/>
  <c r="Y5919" i="15" s="1"/>
  <c r="X5921" i="15"/>
  <c r="Y5920" i="15" s="1"/>
  <c r="X5922" i="15"/>
  <c r="Y5921" i="15" s="1"/>
  <c r="X5923" i="15"/>
  <c r="Y5922" i="15" s="1"/>
  <c r="X5924" i="15"/>
  <c r="Y5923" i="15" s="1"/>
  <c r="X5925" i="15"/>
  <c r="Y5924" i="15" s="1"/>
  <c r="X5926" i="15"/>
  <c r="Y5925" i="15" s="1"/>
  <c r="X5927" i="15"/>
  <c r="Y5926" i="15" s="1"/>
  <c r="X5928" i="15"/>
  <c r="Y5927" i="15" s="1"/>
  <c r="X5929" i="15"/>
  <c r="Y5928" i="15" s="1"/>
  <c r="X5930" i="15"/>
  <c r="Y5929" i="15" s="1"/>
  <c r="X5931" i="15"/>
  <c r="Y5930" i="15" s="1"/>
  <c r="X5932" i="15"/>
  <c r="Y5931" i="15" s="1"/>
  <c r="X5933" i="15"/>
  <c r="Y5932" i="15" s="1"/>
  <c r="X5934" i="15"/>
  <c r="Y5933" i="15" s="1"/>
  <c r="X5935" i="15"/>
  <c r="Y5934" i="15" s="1"/>
  <c r="X5936" i="15"/>
  <c r="Y5935" i="15" s="1"/>
  <c r="X5937" i="15"/>
  <c r="Y5936" i="15" s="1"/>
  <c r="X5938" i="15"/>
  <c r="Y5937" i="15" s="1"/>
  <c r="X5939" i="15"/>
  <c r="Y5938" i="15" s="1"/>
  <c r="X5940" i="15"/>
  <c r="Y5939" i="15" s="1"/>
  <c r="X5941" i="15"/>
  <c r="Y5940" i="15" s="1"/>
  <c r="X5942" i="15"/>
  <c r="Y5941" i="15" s="1"/>
  <c r="X5943" i="15"/>
  <c r="Y5942" i="15" s="1"/>
  <c r="X5944" i="15"/>
  <c r="Y5943" i="15" s="1"/>
  <c r="X5945" i="15"/>
  <c r="Y5944" i="15" s="1"/>
  <c r="X5946" i="15"/>
  <c r="Y5945" i="15" s="1"/>
  <c r="X5947" i="15"/>
  <c r="Y5946" i="15" s="1"/>
  <c r="X5948" i="15"/>
  <c r="Y5947" i="15" s="1"/>
  <c r="X5949" i="15"/>
  <c r="Y5948" i="15" s="1"/>
  <c r="X5950" i="15"/>
  <c r="Y5949" i="15" s="1"/>
  <c r="X5951" i="15"/>
  <c r="Y5950" i="15" s="1"/>
  <c r="X5952" i="15"/>
  <c r="Y5951" i="15" s="1"/>
  <c r="X5953" i="15"/>
  <c r="Y5952" i="15" s="1"/>
  <c r="X5954" i="15"/>
  <c r="Y5953" i="15" s="1"/>
  <c r="X5955" i="15"/>
  <c r="Y5954" i="15" s="1"/>
  <c r="X5956" i="15"/>
  <c r="Y5955" i="15" s="1"/>
  <c r="X5957" i="15"/>
  <c r="Y5956" i="15" s="1"/>
  <c r="X5958" i="15"/>
  <c r="Y5957" i="15" s="1"/>
  <c r="X5959" i="15"/>
  <c r="Y5958" i="15" s="1"/>
  <c r="X5960" i="15"/>
  <c r="Y5959" i="15" s="1"/>
  <c r="X5961" i="15"/>
  <c r="Y5960" i="15" s="1"/>
  <c r="X5962" i="15"/>
  <c r="Y5961" i="15" s="1"/>
  <c r="X5963" i="15"/>
  <c r="Y5962" i="15" s="1"/>
  <c r="X5964" i="15"/>
  <c r="Y5963" i="15" s="1"/>
  <c r="X5965" i="15"/>
  <c r="Y5964" i="15" s="1"/>
  <c r="X5966" i="15"/>
  <c r="Y5965" i="15" s="1"/>
  <c r="X5967" i="15"/>
  <c r="Y5966" i="15" s="1"/>
  <c r="X5968" i="15"/>
  <c r="Y5967" i="15" s="1"/>
  <c r="X5969" i="15"/>
  <c r="Y5968" i="15" s="1"/>
  <c r="X5970" i="15"/>
  <c r="Y5969" i="15" s="1"/>
  <c r="X5971" i="15"/>
  <c r="Y5970" i="15" s="1"/>
  <c r="X5972" i="15"/>
  <c r="Y5971" i="15" s="1"/>
  <c r="X5973" i="15"/>
  <c r="Y5972" i="15" s="1"/>
  <c r="X5974" i="15"/>
  <c r="Y5973" i="15" s="1"/>
  <c r="X5975" i="15"/>
  <c r="Y5974" i="15" s="1"/>
  <c r="X5976" i="15"/>
  <c r="Y5975" i="15" s="1"/>
  <c r="X5977" i="15"/>
  <c r="Y5976" i="15" s="1"/>
  <c r="X5978" i="15"/>
  <c r="Y5977" i="15" s="1"/>
  <c r="X5979" i="15"/>
  <c r="Y5978" i="15" s="1"/>
  <c r="X5980" i="15"/>
  <c r="Y5979" i="15" s="1"/>
  <c r="X5981" i="15"/>
  <c r="Y5980" i="15" s="1"/>
  <c r="X5982" i="15"/>
  <c r="Y5981" i="15" s="1"/>
  <c r="X5983" i="15"/>
  <c r="Y5982" i="15" s="1"/>
  <c r="X5984" i="15"/>
  <c r="Y5983" i="15" s="1"/>
  <c r="X5985" i="15"/>
  <c r="Y5984" i="15" s="1"/>
  <c r="X5986" i="15"/>
  <c r="Y5985" i="15" s="1"/>
  <c r="X5987" i="15"/>
  <c r="Y5986" i="15" s="1"/>
  <c r="X5988" i="15"/>
  <c r="Y5987" i="15" s="1"/>
  <c r="X5989" i="15"/>
  <c r="Y5988" i="15" s="1"/>
  <c r="X5990" i="15"/>
  <c r="Y5989" i="15" s="1"/>
  <c r="X5991" i="15"/>
  <c r="Y5990" i="15" s="1"/>
  <c r="X5992" i="15"/>
  <c r="Y5991" i="15" s="1"/>
  <c r="X5993" i="15"/>
  <c r="Y5992" i="15" s="1"/>
  <c r="X5994" i="15"/>
  <c r="Y5993" i="15" s="1"/>
  <c r="X5995" i="15"/>
  <c r="Y5994" i="15" s="1"/>
  <c r="X5996" i="15"/>
  <c r="Y5995" i="15" s="1"/>
  <c r="X5997" i="15"/>
  <c r="Y5996" i="15" s="1"/>
  <c r="X5998" i="15"/>
  <c r="Y5997" i="15" s="1"/>
  <c r="X5999" i="15"/>
  <c r="Y5998" i="15" s="1"/>
  <c r="X6000" i="15"/>
  <c r="Y5999" i="15" s="1"/>
  <c r="X6001" i="15"/>
  <c r="Y6000" i="15" s="1"/>
  <c r="X6002" i="15"/>
  <c r="Y6001" i="15" s="1"/>
  <c r="X6003" i="15"/>
  <c r="Y6002" i="15" s="1"/>
  <c r="X6004" i="15"/>
  <c r="Y6003" i="15" s="1"/>
  <c r="X6005" i="15"/>
  <c r="Y6004" i="15" s="1"/>
  <c r="X6006" i="15"/>
  <c r="Y6005" i="15" s="1"/>
  <c r="X6007" i="15"/>
  <c r="Y6006" i="15" s="1"/>
  <c r="X6008" i="15"/>
  <c r="Y6007" i="15" s="1"/>
  <c r="X6009" i="15"/>
  <c r="Y6008" i="15" s="1"/>
  <c r="X6010" i="15"/>
  <c r="Y6009" i="15" s="1"/>
  <c r="X6011" i="15"/>
  <c r="Y6010" i="15" s="1"/>
  <c r="X6012" i="15"/>
  <c r="Y6011" i="15" s="1"/>
  <c r="X6013" i="15"/>
  <c r="Y6012" i="15" s="1"/>
  <c r="X6014" i="15"/>
  <c r="Y6013" i="15" s="1"/>
  <c r="X6015" i="15"/>
  <c r="Y6014" i="15" s="1"/>
  <c r="X6016" i="15"/>
  <c r="Y6015" i="15" s="1"/>
  <c r="X6017" i="15"/>
  <c r="Y6016" i="15" s="1"/>
  <c r="X6018" i="15"/>
  <c r="Y6017" i="15" s="1"/>
  <c r="X6019" i="15"/>
  <c r="Y6018" i="15" s="1"/>
  <c r="X6020" i="15"/>
  <c r="Y6019" i="15" s="1"/>
  <c r="X6021" i="15"/>
  <c r="Y6020" i="15" s="1"/>
  <c r="X6022" i="15"/>
  <c r="Y6021" i="15" s="1"/>
  <c r="X6023" i="15"/>
  <c r="Y6022" i="15" s="1"/>
  <c r="X6024" i="15"/>
  <c r="Y6023" i="15" s="1"/>
  <c r="X6025" i="15"/>
  <c r="Y6024" i="15" s="1"/>
  <c r="X6026" i="15"/>
  <c r="Y6025" i="15" s="1"/>
  <c r="X6027" i="15"/>
  <c r="Y6026" i="15" s="1"/>
  <c r="X6028" i="15"/>
  <c r="Y6027" i="15" s="1"/>
  <c r="X6029" i="15"/>
  <c r="Y6028" i="15" s="1"/>
  <c r="X6030" i="15"/>
  <c r="Y6029" i="15" s="1"/>
  <c r="X6031" i="15"/>
  <c r="Y6030" i="15" s="1"/>
  <c r="X6032" i="15"/>
  <c r="Y6031" i="15" s="1"/>
  <c r="X6033" i="15"/>
  <c r="Y6032" i="15" s="1"/>
  <c r="X6034" i="15"/>
  <c r="Y6033" i="15" s="1"/>
  <c r="X6035" i="15"/>
  <c r="Y6034" i="15" s="1"/>
  <c r="X6036" i="15"/>
  <c r="Y6035" i="15" s="1"/>
  <c r="X6037" i="15"/>
  <c r="Y6036" i="15" s="1"/>
  <c r="X6038" i="15"/>
  <c r="Y6037" i="15" s="1"/>
  <c r="X6039" i="15"/>
  <c r="Y6038" i="15" s="1"/>
  <c r="X6040" i="15"/>
  <c r="Y6039" i="15" s="1"/>
  <c r="X6041" i="15"/>
  <c r="Y6040" i="15" s="1"/>
  <c r="X6042" i="15"/>
  <c r="Y6041" i="15" s="1"/>
  <c r="X6043" i="15"/>
  <c r="Y6042" i="15" s="1"/>
  <c r="X6044" i="15"/>
  <c r="Y6043" i="15" s="1"/>
  <c r="X6045" i="15"/>
  <c r="Y6044" i="15" s="1"/>
  <c r="X6046" i="15"/>
  <c r="Y6045" i="15" s="1"/>
  <c r="X6047" i="15"/>
  <c r="Y6046" i="15" s="1"/>
  <c r="X6048" i="15"/>
  <c r="Y6047" i="15" s="1"/>
  <c r="X6049" i="15"/>
  <c r="Y6048" i="15" s="1"/>
  <c r="X6050" i="15"/>
  <c r="Y6049" i="15" s="1"/>
  <c r="X6051" i="15"/>
  <c r="Y6050" i="15" s="1"/>
  <c r="X6052" i="15"/>
  <c r="Y6051" i="15" s="1"/>
  <c r="X6053" i="15"/>
  <c r="Y6052" i="15" s="1"/>
  <c r="X6054" i="15"/>
  <c r="Y6053" i="15" s="1"/>
  <c r="X6055" i="15"/>
  <c r="Y6054" i="15" s="1"/>
  <c r="X6056" i="15"/>
  <c r="Y6055" i="15" s="1"/>
  <c r="X6057" i="15"/>
  <c r="Y6056" i="15" s="1"/>
  <c r="X6058" i="15"/>
  <c r="Y6057" i="15" s="1"/>
  <c r="X6059" i="15"/>
  <c r="Y6058" i="15" s="1"/>
  <c r="X6060" i="15"/>
  <c r="Y6059" i="15" s="1"/>
  <c r="X6061" i="15"/>
  <c r="Y6060" i="15" s="1"/>
  <c r="X6062" i="15"/>
  <c r="Y6061" i="15" s="1"/>
  <c r="X6063" i="15"/>
  <c r="Y6062" i="15" s="1"/>
  <c r="X6064" i="15"/>
  <c r="Y6063" i="15" s="1"/>
  <c r="X6065" i="15"/>
  <c r="Y6064" i="15" s="1"/>
  <c r="X6066" i="15"/>
  <c r="Y6065" i="15" s="1"/>
  <c r="X6067" i="15"/>
  <c r="Y6066" i="15" s="1"/>
  <c r="X6068" i="15"/>
  <c r="Y6067" i="15" s="1"/>
  <c r="X6069" i="15"/>
  <c r="Y6068" i="15" s="1"/>
  <c r="X6070" i="15"/>
  <c r="Y6069" i="15" s="1"/>
  <c r="X6071" i="15"/>
  <c r="Y6070" i="15" s="1"/>
  <c r="X6072" i="15"/>
  <c r="Y6071" i="15" s="1"/>
  <c r="X6073" i="15"/>
  <c r="Y6072" i="15" s="1"/>
  <c r="X6074" i="15"/>
  <c r="Y6073" i="15" s="1"/>
  <c r="X6075" i="15"/>
  <c r="Y6074" i="15" s="1"/>
  <c r="X6076" i="15"/>
  <c r="Y6075" i="15" s="1"/>
  <c r="X6077" i="15"/>
  <c r="Y6076" i="15" s="1"/>
  <c r="X6078" i="15"/>
  <c r="Y6077" i="15" s="1"/>
  <c r="X6079" i="15"/>
  <c r="Y6078" i="15" s="1"/>
  <c r="X6080" i="15"/>
  <c r="Y6079" i="15" s="1"/>
  <c r="X6081" i="15"/>
  <c r="Y6080" i="15" s="1"/>
  <c r="X6082" i="15"/>
  <c r="Y6081" i="15" s="1"/>
  <c r="X6083" i="15"/>
  <c r="Y6082" i="15" s="1"/>
  <c r="X6084" i="15"/>
  <c r="Y6083" i="15" s="1"/>
  <c r="X6085" i="15"/>
  <c r="Y6084" i="15" s="1"/>
  <c r="X6086" i="15"/>
  <c r="Y6085" i="15" s="1"/>
  <c r="X6087" i="15"/>
  <c r="Y6086" i="15" s="1"/>
  <c r="X6088" i="15"/>
  <c r="Y6087" i="15" s="1"/>
  <c r="X6089" i="15"/>
  <c r="Y6088" i="15" s="1"/>
  <c r="X6090" i="15"/>
  <c r="Y6089" i="15" s="1"/>
  <c r="X6091" i="15"/>
  <c r="Y6090" i="15" s="1"/>
  <c r="X6092" i="15"/>
  <c r="Y6091" i="15" s="1"/>
  <c r="X6093" i="15"/>
  <c r="Y6092" i="15" s="1"/>
  <c r="X6094" i="15"/>
  <c r="Y6093" i="15" s="1"/>
  <c r="X6095" i="15"/>
  <c r="Y6094" i="15" s="1"/>
  <c r="X6096" i="15"/>
  <c r="Y6095" i="15" s="1"/>
  <c r="X6097" i="15"/>
  <c r="Y6096" i="15" s="1"/>
  <c r="X6098" i="15"/>
  <c r="Y6097" i="15" s="1"/>
  <c r="X6099" i="15"/>
  <c r="Y6098" i="15" s="1"/>
  <c r="X6100" i="15"/>
  <c r="Y6099" i="15" s="1"/>
  <c r="X6101" i="15"/>
  <c r="Y6100" i="15" s="1"/>
  <c r="X6102" i="15"/>
  <c r="Y6101" i="15" s="1"/>
  <c r="X6103" i="15"/>
  <c r="Y6102" i="15" s="1"/>
  <c r="X6104" i="15"/>
  <c r="Y6103" i="15" s="1"/>
  <c r="X6105" i="15"/>
  <c r="Y6104" i="15" s="1"/>
  <c r="X6106" i="15"/>
  <c r="Y6105" i="15" s="1"/>
  <c r="X6107" i="15"/>
  <c r="Y6106" i="15" s="1"/>
  <c r="X6108" i="15"/>
  <c r="Y6107" i="15" s="1"/>
  <c r="X6109" i="15"/>
  <c r="Y6108" i="15" s="1"/>
  <c r="X6110" i="15"/>
  <c r="Y6109" i="15" s="1"/>
  <c r="X6111" i="15"/>
  <c r="Y6110" i="15" s="1"/>
  <c r="X6112" i="15"/>
  <c r="Y6111" i="15" s="1"/>
  <c r="X6113" i="15"/>
  <c r="Y6112" i="15" s="1"/>
  <c r="X6114" i="15"/>
  <c r="Y6113" i="15" s="1"/>
  <c r="X6115" i="15"/>
  <c r="Y6114" i="15" s="1"/>
  <c r="X6116" i="15"/>
  <c r="Y6115" i="15" s="1"/>
  <c r="X6117" i="15"/>
  <c r="Y6116" i="15" s="1"/>
  <c r="X6118" i="15"/>
  <c r="Y6117" i="15" s="1"/>
  <c r="X6119" i="15"/>
  <c r="Y6118" i="15" s="1"/>
  <c r="X6120" i="15"/>
  <c r="Y6119" i="15" s="1"/>
  <c r="X6121" i="15"/>
  <c r="Y6120" i="15" s="1"/>
  <c r="X6122" i="15"/>
  <c r="Y6121" i="15" s="1"/>
  <c r="X6123" i="15"/>
  <c r="Y6122" i="15" s="1"/>
  <c r="X6124" i="15"/>
  <c r="Y6123" i="15" s="1"/>
  <c r="X6125" i="15"/>
  <c r="Y6124" i="15" s="1"/>
  <c r="X6126" i="15"/>
  <c r="Y6125" i="15" s="1"/>
  <c r="X6127" i="15"/>
  <c r="Y6126" i="15" s="1"/>
  <c r="X6128" i="15"/>
  <c r="Y6127" i="15" s="1"/>
  <c r="X6129" i="15"/>
  <c r="Y6128" i="15" s="1"/>
  <c r="X6130" i="15"/>
  <c r="Y6129" i="15" s="1"/>
  <c r="X6131" i="15"/>
  <c r="Y6130" i="15" s="1"/>
  <c r="X6132" i="15"/>
  <c r="Y6131" i="15" s="1"/>
  <c r="X6133" i="15"/>
  <c r="Y6132" i="15" s="1"/>
  <c r="X6134" i="15"/>
  <c r="Y6133" i="15" s="1"/>
  <c r="X6135" i="15"/>
  <c r="Y6134" i="15" s="1"/>
  <c r="X6136" i="15"/>
  <c r="Y6135" i="15" s="1"/>
  <c r="X6137" i="15"/>
  <c r="Y6136" i="15" s="1"/>
  <c r="X6138" i="15"/>
  <c r="Y6137" i="15" s="1"/>
  <c r="X6139" i="15"/>
  <c r="Y6138" i="15" s="1"/>
  <c r="X6140" i="15"/>
  <c r="Y6139" i="15" s="1"/>
  <c r="X6141" i="15"/>
  <c r="Y6140" i="15" s="1"/>
  <c r="X6142" i="15"/>
  <c r="Y6141" i="15" s="1"/>
  <c r="X6143" i="15"/>
  <c r="Y6142" i="15" s="1"/>
  <c r="X6144" i="15"/>
  <c r="Y6143" i="15" s="1"/>
  <c r="X6145" i="15"/>
  <c r="Y6144" i="15" s="1"/>
  <c r="X6146" i="15"/>
  <c r="Y6145" i="15" s="1"/>
  <c r="X6147" i="15"/>
  <c r="Y6146" i="15" s="1"/>
  <c r="X6148" i="15"/>
  <c r="Y6147" i="15" s="1"/>
  <c r="X6149" i="15"/>
  <c r="Y6148" i="15" s="1"/>
  <c r="X6150" i="15"/>
  <c r="Y6149" i="15" s="1"/>
  <c r="X6151" i="15"/>
  <c r="Y6150" i="15" s="1"/>
  <c r="X6152" i="15"/>
  <c r="Y6151" i="15" s="1"/>
  <c r="X6153" i="15"/>
  <c r="Y6152" i="15" s="1"/>
  <c r="X6154" i="15"/>
  <c r="Y6153" i="15" s="1"/>
  <c r="X6155" i="15"/>
  <c r="Y6154" i="15" s="1"/>
  <c r="X6156" i="15"/>
  <c r="Y6155" i="15" s="1"/>
  <c r="X6157" i="15"/>
  <c r="Y6156" i="15" s="1"/>
  <c r="X6158" i="15"/>
  <c r="Y6157" i="15" s="1"/>
  <c r="X6159" i="15"/>
  <c r="Y6158" i="15" s="1"/>
  <c r="X6160" i="15"/>
  <c r="Y6159" i="15" s="1"/>
  <c r="X6161" i="15"/>
  <c r="Y6160" i="15" s="1"/>
  <c r="X6162" i="15"/>
  <c r="Y6161" i="15" s="1"/>
  <c r="X6163" i="15"/>
  <c r="Y6162" i="15" s="1"/>
  <c r="X6164" i="15"/>
  <c r="Y6163" i="15" s="1"/>
  <c r="X6165" i="15"/>
  <c r="Y6164" i="15" s="1"/>
  <c r="X6166" i="15"/>
  <c r="Y6165" i="15" s="1"/>
  <c r="X6167" i="15"/>
  <c r="Y6166" i="15" s="1"/>
  <c r="X6168" i="15"/>
  <c r="Y6167" i="15" s="1"/>
  <c r="X6169" i="15"/>
  <c r="Y6168" i="15" s="1"/>
  <c r="X6170" i="15"/>
  <c r="Y6169" i="15" s="1"/>
  <c r="X6171" i="15"/>
  <c r="Y6170" i="15" s="1"/>
  <c r="X6172" i="15"/>
  <c r="Y6171" i="15" s="1"/>
  <c r="X6173" i="15"/>
  <c r="Y6172" i="15" s="1"/>
  <c r="X6174" i="15"/>
  <c r="Y6173" i="15" s="1"/>
  <c r="X6175" i="15"/>
  <c r="Y6174" i="15" s="1"/>
  <c r="X6176" i="15"/>
  <c r="Y6175" i="15" s="1"/>
  <c r="X6177" i="15"/>
  <c r="Y6176" i="15" s="1"/>
  <c r="X6178" i="15"/>
  <c r="Y6177" i="15" s="1"/>
  <c r="X6179" i="15"/>
  <c r="Y6178" i="15" s="1"/>
  <c r="X6180" i="15"/>
  <c r="Y6179" i="15" s="1"/>
  <c r="X6181" i="15"/>
  <c r="Y6180" i="15" s="1"/>
  <c r="X6182" i="15"/>
  <c r="Y6181" i="15" s="1"/>
  <c r="X6183" i="15"/>
  <c r="Y6182" i="15" s="1"/>
  <c r="X6184" i="15"/>
  <c r="Y6183" i="15" s="1"/>
  <c r="X6185" i="15"/>
  <c r="Y6184" i="15" s="1"/>
  <c r="X6186" i="15"/>
  <c r="Y6185" i="15" s="1"/>
  <c r="X6187" i="15"/>
  <c r="Y6186" i="15" s="1"/>
  <c r="X6188" i="15"/>
  <c r="Y6187" i="15" s="1"/>
  <c r="X6189" i="15"/>
  <c r="Y6188" i="15" s="1"/>
  <c r="X6190" i="15"/>
  <c r="Y6189" i="15" s="1"/>
  <c r="X6191" i="15"/>
  <c r="Y6190" i="15" s="1"/>
  <c r="X6192" i="15"/>
  <c r="Y6191" i="15" s="1"/>
  <c r="X6193" i="15"/>
  <c r="Y6192" i="15" s="1"/>
  <c r="X6194" i="15"/>
  <c r="Y6193" i="15" s="1"/>
  <c r="X6195" i="15"/>
  <c r="Y6194" i="15" s="1"/>
  <c r="X6196" i="15"/>
  <c r="Y6195" i="15" s="1"/>
  <c r="X6197" i="15"/>
  <c r="Y6196" i="15" s="1"/>
  <c r="X6198" i="15"/>
  <c r="Y6197" i="15" s="1"/>
  <c r="X6199" i="15"/>
  <c r="Y6198" i="15" s="1"/>
  <c r="X6200" i="15"/>
  <c r="Y6199" i="15" s="1"/>
  <c r="X6201" i="15"/>
  <c r="Y6200" i="15" s="1"/>
  <c r="X6202" i="15"/>
  <c r="Y6201" i="15" s="1"/>
  <c r="X6203" i="15"/>
  <c r="Y6202" i="15" s="1"/>
  <c r="X6204" i="15"/>
  <c r="Y6203" i="15" s="1"/>
  <c r="X6205" i="15"/>
  <c r="Y6204" i="15" s="1"/>
  <c r="X6206" i="15"/>
  <c r="Y6205" i="15" s="1"/>
  <c r="X6207" i="15"/>
  <c r="Y6206" i="15" s="1"/>
  <c r="X6208" i="15"/>
  <c r="Y6207" i="15" s="1"/>
  <c r="X6209" i="15"/>
  <c r="Y6208" i="15" s="1"/>
  <c r="X6210" i="15"/>
  <c r="Y6209" i="15" s="1"/>
  <c r="X6211" i="15"/>
  <c r="Y6210" i="15" s="1"/>
  <c r="X6212" i="15"/>
  <c r="Y6211" i="15" s="1"/>
  <c r="X6213" i="15"/>
  <c r="Y6212" i="15" s="1"/>
  <c r="X6214" i="15"/>
  <c r="Y6213" i="15" s="1"/>
  <c r="X6215" i="15"/>
  <c r="Y6214" i="15" s="1"/>
  <c r="X6216" i="15"/>
  <c r="Y6215" i="15" s="1"/>
  <c r="X6217" i="15"/>
  <c r="Y6216" i="15" s="1"/>
  <c r="X6218" i="15"/>
  <c r="Y6217" i="15" s="1"/>
  <c r="X6219" i="15"/>
  <c r="Y6218" i="15" s="1"/>
  <c r="X6220" i="15"/>
  <c r="Y6219" i="15" s="1"/>
  <c r="X6221" i="15"/>
  <c r="Y6220" i="15" s="1"/>
  <c r="X6222" i="15"/>
  <c r="Y6221" i="15" s="1"/>
  <c r="X6223" i="15"/>
  <c r="Y6222" i="15" s="1"/>
  <c r="X6224" i="15"/>
  <c r="Y6223" i="15" s="1"/>
  <c r="X6225" i="15"/>
  <c r="Y6224" i="15" s="1"/>
  <c r="X6226" i="15"/>
  <c r="Y6225" i="15" s="1"/>
  <c r="X6227" i="15"/>
  <c r="Y6226" i="15" s="1"/>
  <c r="X6228" i="15"/>
  <c r="Y6227" i="15" s="1"/>
  <c r="X6229" i="15"/>
  <c r="Y6228" i="15" s="1"/>
  <c r="X6230" i="15"/>
  <c r="Y6229" i="15" s="1"/>
  <c r="X6231" i="15"/>
  <c r="Y6230" i="15" s="1"/>
  <c r="X6232" i="15"/>
  <c r="Y6231" i="15" s="1"/>
  <c r="X6233" i="15"/>
  <c r="Y6232" i="15" s="1"/>
  <c r="X6234" i="15"/>
  <c r="Y6233" i="15" s="1"/>
  <c r="X6235" i="15"/>
  <c r="Y6234" i="15" s="1"/>
  <c r="X6236" i="15"/>
  <c r="Y6235" i="15" s="1"/>
  <c r="X6237" i="15"/>
  <c r="Y6236" i="15" s="1"/>
  <c r="X6238" i="15"/>
  <c r="Y6237" i="15" s="1"/>
  <c r="X6239" i="15"/>
  <c r="Y6238" i="15" s="1"/>
  <c r="X6240" i="15"/>
  <c r="Y6239" i="15" s="1"/>
  <c r="X6241" i="15"/>
  <c r="Y6240" i="15" s="1"/>
  <c r="X6242" i="15"/>
  <c r="Y6241" i="15" s="1"/>
  <c r="X6243" i="15"/>
  <c r="Y6242" i="15" s="1"/>
  <c r="X6244" i="15"/>
  <c r="Y6243" i="15" s="1"/>
  <c r="X6245" i="15"/>
  <c r="Y6244" i="15" s="1"/>
  <c r="X6246" i="15"/>
  <c r="Y6245" i="15" s="1"/>
  <c r="X6247" i="15"/>
  <c r="Y6246" i="15" s="1"/>
  <c r="X6248" i="15"/>
  <c r="Y6247" i="15" s="1"/>
  <c r="X6249" i="15"/>
  <c r="Y6248" i="15" s="1"/>
  <c r="X6250" i="15"/>
  <c r="Y6249" i="15" s="1"/>
  <c r="X6251" i="15"/>
  <c r="Y6250" i="15" s="1"/>
  <c r="X6252" i="15"/>
  <c r="Y6251" i="15" s="1"/>
  <c r="X6253" i="15"/>
  <c r="Y6252" i="15" s="1"/>
  <c r="X6254" i="15"/>
  <c r="Y6253" i="15" s="1"/>
  <c r="X6255" i="15"/>
  <c r="Y6254" i="15" s="1"/>
  <c r="X6256" i="15"/>
  <c r="Y6255" i="15" s="1"/>
  <c r="X6257" i="15"/>
  <c r="Y6256" i="15" s="1"/>
  <c r="X6258" i="15"/>
  <c r="Y6257" i="15" s="1"/>
  <c r="X6259" i="15"/>
  <c r="Y6258" i="15" s="1"/>
  <c r="X6260" i="15"/>
  <c r="Y6259" i="15" s="1"/>
  <c r="X6261" i="15"/>
  <c r="Y6260" i="15" s="1"/>
  <c r="X6262" i="15"/>
  <c r="Y6261" i="15" s="1"/>
  <c r="X6263" i="15"/>
  <c r="Y6262" i="15" s="1"/>
  <c r="X6264" i="15"/>
  <c r="Y6263" i="15" s="1"/>
  <c r="X6265" i="15"/>
  <c r="Y6264" i="15" s="1"/>
  <c r="X6266" i="15"/>
  <c r="Y6265" i="15" s="1"/>
  <c r="X6267" i="15"/>
  <c r="Y6266" i="15" s="1"/>
  <c r="X6268" i="15"/>
  <c r="Y6267" i="15" s="1"/>
  <c r="X6269" i="15"/>
  <c r="Y6268" i="15" s="1"/>
  <c r="X6270" i="15"/>
  <c r="Y6269" i="15" s="1"/>
  <c r="X6271" i="15"/>
  <c r="Y6270" i="15" s="1"/>
  <c r="X6272" i="15"/>
  <c r="Y6271" i="15" s="1"/>
  <c r="X6273" i="15"/>
  <c r="Y6272" i="15" s="1"/>
  <c r="X6274" i="15"/>
  <c r="Y6273" i="15" s="1"/>
  <c r="X6275" i="15"/>
  <c r="Y6274" i="15" s="1"/>
  <c r="X6276" i="15"/>
  <c r="Y6275" i="15" s="1"/>
  <c r="X6277" i="15"/>
  <c r="Y6276" i="15" s="1"/>
  <c r="X6278" i="15"/>
  <c r="Y6277" i="15" s="1"/>
  <c r="X6279" i="15"/>
  <c r="Y6278" i="15" s="1"/>
  <c r="X6280" i="15"/>
  <c r="Y6279" i="15" s="1"/>
  <c r="X6281" i="15"/>
  <c r="Y6280" i="15" s="1"/>
  <c r="X6282" i="15"/>
  <c r="Y6281" i="15" s="1"/>
  <c r="X6283" i="15"/>
  <c r="Y6282" i="15" s="1"/>
  <c r="X6284" i="15"/>
  <c r="Y6283" i="15" s="1"/>
  <c r="X6285" i="15"/>
  <c r="Y6284" i="15" s="1"/>
  <c r="X6286" i="15"/>
  <c r="Y6285" i="15" s="1"/>
  <c r="X6287" i="15"/>
  <c r="Y6286" i="15" s="1"/>
  <c r="X6288" i="15"/>
  <c r="Y6287" i="15" s="1"/>
  <c r="X6289" i="15"/>
  <c r="Y6288" i="15" s="1"/>
  <c r="X6290" i="15"/>
  <c r="Y6289" i="15" s="1"/>
  <c r="X6291" i="15"/>
  <c r="Y6290" i="15" s="1"/>
  <c r="X6292" i="15"/>
  <c r="Y6291" i="15" s="1"/>
  <c r="X6293" i="15"/>
  <c r="Y6292" i="15" s="1"/>
  <c r="X6294" i="15"/>
  <c r="Y6293" i="15" s="1"/>
  <c r="X6295" i="15"/>
  <c r="Y6294" i="15" s="1"/>
  <c r="X6296" i="15"/>
  <c r="Y6295" i="15" s="1"/>
  <c r="X6297" i="15"/>
  <c r="Y6296" i="15" s="1"/>
  <c r="X6298" i="15"/>
  <c r="Y6297" i="15" s="1"/>
  <c r="X6299" i="15"/>
  <c r="Y6298" i="15" s="1"/>
  <c r="X6300" i="15"/>
  <c r="Y6299" i="15" s="1"/>
  <c r="X6301" i="15"/>
  <c r="Y6300" i="15" s="1"/>
  <c r="X6302" i="15"/>
  <c r="Y6301" i="15" s="1"/>
  <c r="X6303" i="15"/>
  <c r="Y6302" i="15" s="1"/>
  <c r="X6304" i="15"/>
  <c r="Y6303" i="15" s="1"/>
  <c r="X6305" i="15"/>
  <c r="Y6304" i="15" s="1"/>
  <c r="X6306" i="15"/>
  <c r="Y6305" i="15" s="1"/>
  <c r="X6307" i="15"/>
  <c r="Y6306" i="15" s="1"/>
  <c r="X6308" i="15"/>
  <c r="Y6307" i="15" s="1"/>
  <c r="X6309" i="15"/>
  <c r="Y6308" i="15" s="1"/>
  <c r="X6310" i="15"/>
  <c r="Y6309" i="15" s="1"/>
  <c r="X6311" i="15"/>
  <c r="Y6310" i="15" s="1"/>
  <c r="X6312" i="15"/>
  <c r="Y6311" i="15" s="1"/>
  <c r="X6313" i="15"/>
  <c r="Y6312" i="15" s="1"/>
  <c r="X6314" i="15"/>
  <c r="Y6313" i="15" s="1"/>
  <c r="X6315" i="15"/>
  <c r="Y6314" i="15" s="1"/>
  <c r="X6316" i="15"/>
  <c r="Y6315" i="15" s="1"/>
  <c r="X6317" i="15"/>
  <c r="Y6316" i="15" s="1"/>
  <c r="X6318" i="15"/>
  <c r="Y6317" i="15" s="1"/>
  <c r="X6319" i="15"/>
  <c r="Y6318" i="15" s="1"/>
  <c r="X6320" i="15"/>
  <c r="Y6319" i="15" s="1"/>
  <c r="X6321" i="15"/>
  <c r="Y6320" i="15" s="1"/>
  <c r="X6322" i="15"/>
  <c r="Y6321" i="15" s="1"/>
  <c r="X6323" i="15"/>
  <c r="Y6322" i="15" s="1"/>
  <c r="X6324" i="15"/>
  <c r="Y6323" i="15" s="1"/>
  <c r="X6325" i="15"/>
  <c r="Y6324" i="15" s="1"/>
  <c r="X6326" i="15"/>
  <c r="Y6325" i="15" s="1"/>
  <c r="X6327" i="15"/>
  <c r="Y6326" i="15" s="1"/>
  <c r="X6328" i="15"/>
  <c r="Y6327" i="15" s="1"/>
  <c r="X6329" i="15"/>
  <c r="Y6328" i="15" s="1"/>
  <c r="X6330" i="15"/>
  <c r="Y6329" i="15" s="1"/>
  <c r="X6331" i="15"/>
  <c r="Y6330" i="15" s="1"/>
  <c r="X6332" i="15"/>
  <c r="Y6331" i="15" s="1"/>
  <c r="X6333" i="15"/>
  <c r="Y6332" i="15" s="1"/>
  <c r="X6334" i="15"/>
  <c r="Y6333" i="15" s="1"/>
  <c r="X6335" i="15"/>
  <c r="Y6334" i="15" s="1"/>
  <c r="X6336" i="15"/>
  <c r="Y6335" i="15" s="1"/>
  <c r="X6337" i="15"/>
  <c r="Y6336" i="15" s="1"/>
  <c r="X6338" i="15"/>
  <c r="Y6337" i="15" s="1"/>
  <c r="X6339" i="15"/>
  <c r="Y6338" i="15" s="1"/>
  <c r="X6340" i="15"/>
  <c r="Y6339" i="15" s="1"/>
  <c r="X6341" i="15"/>
  <c r="Y6340" i="15" s="1"/>
  <c r="X6342" i="15"/>
  <c r="Y6341" i="15" s="1"/>
  <c r="X6343" i="15"/>
  <c r="Y6342" i="15" s="1"/>
  <c r="X6344" i="15"/>
  <c r="Y6343" i="15" s="1"/>
  <c r="X6345" i="15"/>
  <c r="Y6344" i="15" s="1"/>
  <c r="X6346" i="15"/>
  <c r="Y6345" i="15" s="1"/>
  <c r="X6347" i="15"/>
  <c r="Y6346" i="15" s="1"/>
  <c r="X6348" i="15"/>
  <c r="Y6347" i="15" s="1"/>
  <c r="X6349" i="15"/>
  <c r="Y6348" i="15" s="1"/>
  <c r="X6350" i="15"/>
  <c r="Y6349" i="15" s="1"/>
  <c r="X6351" i="15"/>
  <c r="Y6350" i="15" s="1"/>
  <c r="X6352" i="15"/>
  <c r="Y6351" i="15" s="1"/>
  <c r="X6353" i="15"/>
  <c r="Y6352" i="15" s="1"/>
  <c r="X6354" i="15"/>
  <c r="Y6353" i="15" s="1"/>
  <c r="X6355" i="15"/>
  <c r="Y6354" i="15" s="1"/>
  <c r="X6356" i="15"/>
  <c r="Y6355" i="15" s="1"/>
  <c r="X6357" i="15"/>
  <c r="Y6356" i="15" s="1"/>
  <c r="X6358" i="15"/>
  <c r="Y6357" i="15" s="1"/>
  <c r="X6359" i="15"/>
  <c r="Y6358" i="15" s="1"/>
  <c r="X6360" i="15"/>
  <c r="Y6359" i="15" s="1"/>
  <c r="X6361" i="15"/>
  <c r="Y6360" i="15" s="1"/>
  <c r="X6362" i="15"/>
  <c r="Y6361" i="15" s="1"/>
  <c r="X6363" i="15"/>
  <c r="Y6362" i="15" s="1"/>
  <c r="X6364" i="15"/>
  <c r="Y6363" i="15" s="1"/>
  <c r="X6365" i="15"/>
  <c r="Y6364" i="15" s="1"/>
  <c r="X6366" i="15"/>
  <c r="Y6365" i="15" s="1"/>
  <c r="X6367" i="15"/>
  <c r="Y6366" i="15" s="1"/>
  <c r="X6368" i="15"/>
  <c r="Y6367" i="15" s="1"/>
  <c r="X6369" i="15"/>
  <c r="Y6368" i="15" s="1"/>
  <c r="X6370" i="15"/>
  <c r="Y6369" i="15" s="1"/>
  <c r="X6371" i="15"/>
  <c r="Y6370" i="15" s="1"/>
  <c r="X6372" i="15"/>
  <c r="Y6371" i="15" s="1"/>
  <c r="X6373" i="15"/>
  <c r="Y6372" i="15" s="1"/>
  <c r="X6374" i="15"/>
  <c r="Y6373" i="15" s="1"/>
  <c r="X6375" i="15"/>
  <c r="Y6374" i="15" s="1"/>
  <c r="X6376" i="15"/>
  <c r="Y6375" i="15" s="1"/>
  <c r="X6377" i="15"/>
  <c r="Y6376" i="15" s="1"/>
  <c r="X6378" i="15"/>
  <c r="Y6377" i="15" s="1"/>
  <c r="X6379" i="15"/>
  <c r="Y6378" i="15" s="1"/>
  <c r="X6380" i="15"/>
  <c r="Y6379" i="15" s="1"/>
  <c r="X6381" i="15"/>
  <c r="Y6380" i="15" s="1"/>
  <c r="X6382" i="15"/>
  <c r="Y6381" i="15" s="1"/>
  <c r="X6383" i="15"/>
  <c r="Y6382" i="15" s="1"/>
  <c r="X6384" i="15"/>
  <c r="Y6383" i="15" s="1"/>
  <c r="X6385" i="15"/>
  <c r="Y6384" i="15" s="1"/>
  <c r="X6386" i="15"/>
  <c r="Y6385" i="15" s="1"/>
  <c r="X6387" i="15"/>
  <c r="Y6386" i="15" s="1"/>
  <c r="X6388" i="15"/>
  <c r="Y6387" i="15" s="1"/>
  <c r="X6389" i="15"/>
  <c r="Y6388" i="15" s="1"/>
  <c r="X6390" i="15"/>
  <c r="Y6389" i="15" s="1"/>
  <c r="X6391" i="15"/>
  <c r="Y6390" i="15" s="1"/>
  <c r="X6392" i="15"/>
  <c r="Y6391" i="15" s="1"/>
  <c r="X6393" i="15"/>
  <c r="Y6392" i="15" s="1"/>
  <c r="X6394" i="15"/>
  <c r="Y6393" i="15" s="1"/>
  <c r="X6395" i="15"/>
  <c r="Y6394" i="15" s="1"/>
  <c r="X6396" i="15"/>
  <c r="Y6395" i="15" s="1"/>
  <c r="X6397" i="15"/>
  <c r="Y6396" i="15" s="1"/>
  <c r="X6398" i="15"/>
  <c r="Y6397" i="15" s="1"/>
  <c r="X6399" i="15"/>
  <c r="Y6398" i="15" s="1"/>
  <c r="X6400" i="15"/>
  <c r="Y6399" i="15" s="1"/>
  <c r="X6401" i="15"/>
  <c r="Y6400" i="15" s="1"/>
  <c r="X6402" i="15"/>
  <c r="Y6401" i="15" s="1"/>
  <c r="X6403" i="15"/>
  <c r="Y6402" i="15" s="1"/>
  <c r="X6404" i="15"/>
  <c r="Y6403" i="15" s="1"/>
  <c r="X6405" i="15"/>
  <c r="Y6404" i="15" s="1"/>
  <c r="X6406" i="15"/>
  <c r="Y6405" i="15" s="1"/>
  <c r="X6407" i="15"/>
  <c r="Y6406" i="15" s="1"/>
  <c r="X6408" i="15"/>
  <c r="Y6407" i="15" s="1"/>
  <c r="X6409" i="15"/>
  <c r="Y6408" i="15" s="1"/>
  <c r="X6410" i="15"/>
  <c r="Y6409" i="15" s="1"/>
  <c r="X6411" i="15"/>
  <c r="Y6410" i="15" s="1"/>
  <c r="X6412" i="15"/>
  <c r="Y6411" i="15" s="1"/>
  <c r="X6413" i="15"/>
  <c r="Y6412" i="15" s="1"/>
  <c r="X6414" i="15"/>
  <c r="Y6413" i="15" s="1"/>
  <c r="X6415" i="15"/>
  <c r="Y6414" i="15" s="1"/>
  <c r="X6416" i="15"/>
  <c r="Y6415" i="15" s="1"/>
  <c r="X6417" i="15"/>
  <c r="Y6416" i="15" s="1"/>
  <c r="X6418" i="15"/>
  <c r="Y6417" i="15" s="1"/>
  <c r="X6419" i="15"/>
  <c r="Y6418" i="15" s="1"/>
  <c r="X6420" i="15"/>
  <c r="Y6419" i="15" s="1"/>
  <c r="X6421" i="15"/>
  <c r="Y6420" i="15" s="1"/>
  <c r="X6422" i="15"/>
  <c r="Y6421" i="15" s="1"/>
  <c r="X6423" i="15"/>
  <c r="Y6422" i="15" s="1"/>
  <c r="X6424" i="15"/>
  <c r="Y6423" i="15" s="1"/>
  <c r="X6425" i="15"/>
  <c r="Y6424" i="15" s="1"/>
  <c r="X6426" i="15"/>
  <c r="Y6425" i="15" s="1"/>
  <c r="X6427" i="15"/>
  <c r="Y6426" i="15" s="1"/>
  <c r="X6428" i="15"/>
  <c r="Y6427" i="15" s="1"/>
  <c r="X6429" i="15"/>
  <c r="Y6428" i="15" s="1"/>
  <c r="X6430" i="15"/>
  <c r="Y6429" i="15" s="1"/>
  <c r="X6431" i="15"/>
  <c r="Y6430" i="15" s="1"/>
  <c r="X6432" i="15"/>
  <c r="Y6431" i="15" s="1"/>
  <c r="X6433" i="15"/>
  <c r="Y6432" i="15" s="1"/>
  <c r="X6434" i="15"/>
  <c r="Y6433" i="15" s="1"/>
  <c r="X6435" i="15"/>
  <c r="Y6434" i="15" s="1"/>
  <c r="X6436" i="15"/>
  <c r="Y6435" i="15" s="1"/>
  <c r="X6437" i="15"/>
  <c r="Y6436" i="15" s="1"/>
  <c r="X6438" i="15"/>
  <c r="Y6437" i="15" s="1"/>
  <c r="X6439" i="15"/>
  <c r="Y6438" i="15" s="1"/>
  <c r="X6440" i="15"/>
  <c r="Y6439" i="15" s="1"/>
  <c r="X6441" i="15"/>
  <c r="Y6440" i="15" s="1"/>
  <c r="X6442" i="15"/>
  <c r="Y6441" i="15" s="1"/>
  <c r="X6443" i="15"/>
  <c r="Y6442" i="15" s="1"/>
  <c r="X6444" i="15"/>
  <c r="Y6443" i="15" s="1"/>
  <c r="X6445" i="15"/>
  <c r="Y6444" i="15" s="1"/>
  <c r="X6446" i="15"/>
  <c r="Y6445" i="15" s="1"/>
  <c r="X6447" i="15"/>
  <c r="Y6446" i="15" s="1"/>
  <c r="X6448" i="15"/>
  <c r="Y6447" i="15" s="1"/>
  <c r="X6449" i="15"/>
  <c r="Y6448" i="15" s="1"/>
  <c r="X6450" i="15"/>
  <c r="Y6449" i="15" s="1"/>
  <c r="X6451" i="15"/>
  <c r="Y6450" i="15" s="1"/>
  <c r="X6452" i="15"/>
  <c r="Y6451" i="15" s="1"/>
  <c r="X6453" i="15"/>
  <c r="Y6452" i="15" s="1"/>
  <c r="X6454" i="15"/>
  <c r="Y6453" i="15" s="1"/>
  <c r="X6455" i="15"/>
  <c r="Y6454" i="15" s="1"/>
  <c r="X6456" i="15"/>
  <c r="Y6455" i="15" s="1"/>
  <c r="X6457" i="15"/>
  <c r="Y6456" i="15" s="1"/>
  <c r="X6458" i="15"/>
  <c r="Y6457" i="15" s="1"/>
  <c r="X6459" i="15"/>
  <c r="Y6458" i="15" s="1"/>
  <c r="X6460" i="15"/>
  <c r="Y6459" i="15" s="1"/>
  <c r="X6461" i="15"/>
  <c r="Y6460" i="15" s="1"/>
  <c r="X6462" i="15"/>
  <c r="Y6461" i="15" s="1"/>
  <c r="X6463" i="15"/>
  <c r="Y6462" i="15" s="1"/>
  <c r="X6464" i="15"/>
  <c r="Y6463" i="15" s="1"/>
  <c r="X6465" i="15"/>
  <c r="Y6464" i="15" s="1"/>
  <c r="X6466" i="15"/>
  <c r="Y6465" i="15" s="1"/>
  <c r="X6467" i="15"/>
  <c r="Y6466" i="15" s="1"/>
  <c r="X6468" i="15"/>
  <c r="Y6467" i="15" s="1"/>
  <c r="X6469" i="15"/>
  <c r="Y6468" i="15" s="1"/>
  <c r="X6470" i="15"/>
  <c r="Y6469" i="15" s="1"/>
  <c r="X6471" i="15"/>
  <c r="Y6470" i="15" s="1"/>
  <c r="X6472" i="15"/>
  <c r="Y6471" i="15" s="1"/>
  <c r="X6473" i="15"/>
  <c r="Y6472" i="15" s="1"/>
  <c r="X6474" i="15"/>
  <c r="Y6473" i="15" s="1"/>
  <c r="X6475" i="15"/>
  <c r="Y6474" i="15" s="1"/>
  <c r="X6476" i="15"/>
  <c r="Y6475" i="15" s="1"/>
  <c r="X6477" i="15"/>
  <c r="Y6476" i="15" s="1"/>
  <c r="X6478" i="15"/>
  <c r="Y6477" i="15" s="1"/>
  <c r="X6479" i="15"/>
  <c r="Y6478" i="15" s="1"/>
  <c r="X6480" i="15"/>
  <c r="Y6479" i="15" s="1"/>
  <c r="X6481" i="15"/>
  <c r="Y6480" i="15" s="1"/>
  <c r="X6482" i="15"/>
  <c r="Y6481" i="15" s="1"/>
  <c r="X6483" i="15"/>
  <c r="Y6482" i="15" s="1"/>
  <c r="X6484" i="15"/>
  <c r="Y6483" i="15" s="1"/>
  <c r="X6485" i="15"/>
  <c r="Y6484" i="15" s="1"/>
  <c r="X6486" i="15"/>
  <c r="Y6485" i="15" s="1"/>
  <c r="X6487" i="15"/>
  <c r="Y6486" i="15" s="1"/>
  <c r="X6488" i="15"/>
  <c r="Y6487" i="15" s="1"/>
  <c r="X6489" i="15"/>
  <c r="Y6488" i="15" s="1"/>
  <c r="X6490" i="15"/>
  <c r="Y6489" i="15" s="1"/>
  <c r="X6491" i="15"/>
  <c r="Y6490" i="15" s="1"/>
  <c r="X6492" i="15"/>
  <c r="Y6491" i="15" s="1"/>
  <c r="X6493" i="15"/>
  <c r="Y6492" i="15" s="1"/>
  <c r="X6494" i="15"/>
  <c r="Y6493" i="15" s="1"/>
  <c r="X6495" i="15"/>
  <c r="Y6494" i="15" s="1"/>
  <c r="X6496" i="15"/>
  <c r="Y6495" i="15" s="1"/>
  <c r="X6497" i="15"/>
  <c r="Y6496" i="15" s="1"/>
  <c r="X6498" i="15"/>
  <c r="Y6497" i="15" s="1"/>
  <c r="X6499" i="15"/>
  <c r="Y6498" i="15" s="1"/>
  <c r="X6500" i="15"/>
  <c r="Y6499" i="15" s="1"/>
  <c r="X6501" i="15"/>
  <c r="Y6500" i="15" s="1"/>
  <c r="X6502" i="15"/>
  <c r="Y6501" i="15" s="1"/>
  <c r="X6503" i="15"/>
  <c r="Y6502" i="15" s="1"/>
  <c r="X6504" i="15"/>
  <c r="Y6503" i="15" s="1"/>
  <c r="X6505" i="15"/>
  <c r="Y6504" i="15" s="1"/>
  <c r="X6506" i="15"/>
  <c r="Y6505" i="15" s="1"/>
  <c r="X6507" i="15"/>
  <c r="Y6506" i="15" s="1"/>
  <c r="X6508" i="15"/>
  <c r="Y6507" i="15" s="1"/>
  <c r="X6509" i="15"/>
  <c r="Y6508" i="15" s="1"/>
  <c r="X6510" i="15"/>
  <c r="Y6509" i="15" s="1"/>
  <c r="X6511" i="15"/>
  <c r="Y6510" i="15" s="1"/>
  <c r="X6512" i="15"/>
  <c r="Y6511" i="15" s="1"/>
  <c r="X6513" i="15"/>
  <c r="Y6512" i="15" s="1"/>
  <c r="X6514" i="15"/>
  <c r="Y6513" i="15" s="1"/>
  <c r="X6515" i="15"/>
  <c r="Y6514" i="15" s="1"/>
  <c r="X6516" i="15"/>
  <c r="Y6515" i="15" s="1"/>
  <c r="X6517" i="15"/>
  <c r="Y6516" i="15" s="1"/>
  <c r="X6518" i="15"/>
  <c r="Y6517" i="15" s="1"/>
  <c r="X6519" i="15"/>
  <c r="Y6518" i="15" s="1"/>
  <c r="X6520" i="15"/>
  <c r="Y6519" i="15" s="1"/>
  <c r="X6521" i="15"/>
  <c r="Y6520" i="15" s="1"/>
  <c r="X6522" i="15"/>
  <c r="Y6521" i="15" s="1"/>
  <c r="X6523" i="15"/>
  <c r="Y6522" i="15" s="1"/>
  <c r="X6524" i="15"/>
  <c r="Y6523" i="15" s="1"/>
  <c r="X6525" i="15"/>
  <c r="Y6524" i="15" s="1"/>
  <c r="X6526" i="15"/>
  <c r="Y6525" i="15" s="1"/>
  <c r="X6527" i="15"/>
  <c r="Y6526" i="15" s="1"/>
  <c r="X6528" i="15"/>
  <c r="Y6527" i="15" s="1"/>
  <c r="X6529" i="15"/>
  <c r="Y6528" i="15" s="1"/>
  <c r="X6530" i="15"/>
  <c r="Y6529" i="15" s="1"/>
  <c r="X6531" i="15"/>
  <c r="Y6530" i="15" s="1"/>
  <c r="X6532" i="15"/>
  <c r="Y6531" i="15" s="1"/>
  <c r="X6533" i="15"/>
  <c r="Y6532" i="15" s="1"/>
  <c r="X6534" i="15"/>
  <c r="Y6533" i="15" s="1"/>
  <c r="X6535" i="15"/>
  <c r="Y6534" i="15" s="1"/>
  <c r="X6536" i="15"/>
  <c r="Y6535" i="15" s="1"/>
  <c r="X6537" i="15"/>
  <c r="Y6536" i="15" s="1"/>
  <c r="X6538" i="15"/>
  <c r="Y6537" i="15" s="1"/>
  <c r="X6539" i="15"/>
  <c r="Y6538" i="15" s="1"/>
  <c r="X6540" i="15"/>
  <c r="Y6539" i="15" s="1"/>
  <c r="X6541" i="15"/>
  <c r="Y6540" i="15" s="1"/>
  <c r="X6542" i="15"/>
  <c r="Y6541" i="15" s="1"/>
  <c r="X6543" i="15"/>
  <c r="Y6542" i="15" s="1"/>
  <c r="X6544" i="15"/>
  <c r="Y6543" i="15" s="1"/>
  <c r="X6545" i="15"/>
  <c r="Y6544" i="15" s="1"/>
  <c r="X6546" i="15"/>
  <c r="Y6545" i="15" s="1"/>
  <c r="X6547" i="15"/>
  <c r="Y6546" i="15" s="1"/>
  <c r="X6548" i="15"/>
  <c r="Y6547" i="15" s="1"/>
  <c r="X6549" i="15"/>
  <c r="Y6548" i="15" s="1"/>
  <c r="X6550" i="15"/>
  <c r="Y6549" i="15" s="1"/>
  <c r="X6551" i="15"/>
  <c r="Y6550" i="15" s="1"/>
  <c r="X6552" i="15"/>
  <c r="Y6551" i="15" s="1"/>
  <c r="X6553" i="15"/>
  <c r="Y6552" i="15" s="1"/>
  <c r="X6554" i="15"/>
  <c r="Y6553" i="15" s="1"/>
  <c r="X6555" i="15"/>
  <c r="Y6554" i="15" s="1"/>
  <c r="X6556" i="15"/>
  <c r="Y6555" i="15" s="1"/>
  <c r="X6557" i="15"/>
  <c r="Y6556" i="15" s="1"/>
  <c r="X6558" i="15"/>
  <c r="Y6557" i="15" s="1"/>
  <c r="X6559" i="15"/>
  <c r="Y6558" i="15" s="1"/>
  <c r="X6560" i="15"/>
  <c r="Y6559" i="15" s="1"/>
  <c r="X6561" i="15"/>
  <c r="Y6560" i="15" s="1"/>
  <c r="X6562" i="15"/>
  <c r="Y6561" i="15" s="1"/>
  <c r="X6563" i="15"/>
  <c r="Y6562" i="15" s="1"/>
  <c r="X6564" i="15"/>
  <c r="Y6563" i="15" s="1"/>
  <c r="X6565" i="15"/>
  <c r="Y6564" i="15" s="1"/>
  <c r="X6566" i="15"/>
  <c r="Y6565" i="15" s="1"/>
  <c r="X6567" i="15"/>
  <c r="Y6566" i="15" s="1"/>
  <c r="X6568" i="15"/>
  <c r="Y6567" i="15" s="1"/>
  <c r="X6569" i="15"/>
  <c r="Y6568" i="15" s="1"/>
  <c r="X6570" i="15"/>
  <c r="Y6569" i="15" s="1"/>
  <c r="X6571" i="15"/>
  <c r="Y6570" i="15" s="1"/>
  <c r="X6572" i="15"/>
  <c r="Y6571" i="15" s="1"/>
  <c r="X6573" i="15"/>
  <c r="Y6572" i="15" s="1"/>
  <c r="X6574" i="15"/>
  <c r="Y6573" i="15" s="1"/>
  <c r="X6575" i="15"/>
  <c r="Y6574" i="15" s="1"/>
  <c r="X6576" i="15"/>
  <c r="Y6575" i="15" s="1"/>
  <c r="X6577" i="15"/>
  <c r="Y6576" i="15" s="1"/>
  <c r="X6578" i="15"/>
  <c r="Y6577" i="15" s="1"/>
  <c r="X6579" i="15"/>
  <c r="Y6578" i="15" s="1"/>
  <c r="X6580" i="15"/>
  <c r="Y6579" i="15" s="1"/>
  <c r="X6581" i="15"/>
  <c r="Y6580" i="15" s="1"/>
  <c r="X6582" i="15"/>
  <c r="Y6581" i="15" s="1"/>
  <c r="X6583" i="15"/>
  <c r="Y6582" i="15" s="1"/>
  <c r="X6584" i="15"/>
  <c r="Y6583" i="15" s="1"/>
  <c r="X6585" i="15"/>
  <c r="Y6584" i="15" s="1"/>
  <c r="X6586" i="15"/>
  <c r="Y6585" i="15" s="1"/>
  <c r="X6587" i="15"/>
  <c r="Y6586" i="15" s="1"/>
  <c r="X6588" i="15"/>
  <c r="Y6587" i="15" s="1"/>
  <c r="X6589" i="15"/>
  <c r="Y6588" i="15" s="1"/>
  <c r="X6590" i="15"/>
  <c r="Y6589" i="15" s="1"/>
  <c r="X6591" i="15"/>
  <c r="Y6590" i="15" s="1"/>
  <c r="X6592" i="15"/>
  <c r="Y6591" i="15" s="1"/>
  <c r="X6593" i="15"/>
  <c r="Y6592" i="15" s="1"/>
  <c r="X6594" i="15"/>
  <c r="Y6593" i="15" s="1"/>
  <c r="X6595" i="15"/>
  <c r="Y6594" i="15" s="1"/>
  <c r="X6596" i="15"/>
  <c r="Y6595" i="15" s="1"/>
  <c r="X6597" i="15"/>
  <c r="Y6596" i="15" s="1"/>
  <c r="X6598" i="15"/>
  <c r="Y6597" i="15" s="1"/>
  <c r="X6599" i="15"/>
  <c r="Y6598" i="15" s="1"/>
  <c r="X6600" i="15"/>
  <c r="Y6599" i="15" s="1"/>
  <c r="X6601" i="15"/>
  <c r="Y6600" i="15" s="1"/>
  <c r="X6602" i="15"/>
  <c r="Y6601" i="15" s="1"/>
  <c r="X6603" i="15"/>
  <c r="Y6602" i="15" s="1"/>
  <c r="X6604" i="15"/>
  <c r="Y6603" i="15" s="1"/>
  <c r="X6605" i="15"/>
  <c r="Y6604" i="15" s="1"/>
  <c r="X6606" i="15"/>
  <c r="Y6605" i="15" s="1"/>
  <c r="X6607" i="15"/>
  <c r="Y6606" i="15" s="1"/>
  <c r="X6608" i="15"/>
  <c r="Y6607" i="15" s="1"/>
  <c r="X6609" i="15"/>
  <c r="Y6608" i="15" s="1"/>
  <c r="X6610" i="15"/>
  <c r="Y6609" i="15" s="1"/>
  <c r="X6611" i="15"/>
  <c r="Y6610" i="15" s="1"/>
  <c r="X6612" i="15"/>
  <c r="Y6611" i="15" s="1"/>
  <c r="X6613" i="15"/>
  <c r="Y6612" i="15" s="1"/>
  <c r="X6614" i="15"/>
  <c r="Y6613" i="15" s="1"/>
  <c r="X6615" i="15"/>
  <c r="Y6614" i="15" s="1"/>
  <c r="X6616" i="15"/>
  <c r="Y6615" i="15" s="1"/>
  <c r="X6617" i="15"/>
  <c r="Y6616" i="15" s="1"/>
  <c r="X6618" i="15"/>
  <c r="Y6617" i="15" s="1"/>
  <c r="X6619" i="15"/>
  <c r="Y6618" i="15" s="1"/>
  <c r="X6620" i="15"/>
  <c r="Y6619" i="15" s="1"/>
  <c r="X6621" i="15"/>
  <c r="Y6620" i="15" s="1"/>
  <c r="X6622" i="15"/>
  <c r="Y6621" i="15" s="1"/>
  <c r="X6623" i="15"/>
  <c r="Y6622" i="15" s="1"/>
  <c r="X6624" i="15"/>
  <c r="Y6623" i="15" s="1"/>
  <c r="X6625" i="15"/>
  <c r="Y6624" i="15" s="1"/>
  <c r="X6626" i="15"/>
  <c r="Y6625" i="15" s="1"/>
  <c r="X6627" i="15"/>
  <c r="Y6626" i="15" s="1"/>
  <c r="X6628" i="15"/>
  <c r="Y6627" i="15" s="1"/>
  <c r="X6629" i="15"/>
  <c r="Y6628" i="15" s="1"/>
  <c r="X6630" i="15"/>
  <c r="Y6629" i="15" s="1"/>
  <c r="X6631" i="15"/>
  <c r="Y6630" i="15" s="1"/>
  <c r="X6632" i="15"/>
  <c r="Y6631" i="15" s="1"/>
  <c r="X6633" i="15"/>
  <c r="Y6632" i="15" s="1"/>
  <c r="X6634" i="15"/>
  <c r="Y6633" i="15" s="1"/>
  <c r="X6635" i="15"/>
  <c r="Y6634" i="15" s="1"/>
  <c r="X6636" i="15"/>
  <c r="Y6635" i="15" s="1"/>
  <c r="X6637" i="15"/>
  <c r="Y6636" i="15" s="1"/>
  <c r="X6638" i="15"/>
  <c r="Y6637" i="15" s="1"/>
  <c r="X6639" i="15"/>
  <c r="Y6638" i="15" s="1"/>
  <c r="X6640" i="15"/>
  <c r="Y6639" i="15" s="1"/>
  <c r="X6641" i="15"/>
  <c r="Y6640" i="15" s="1"/>
  <c r="X6642" i="15"/>
  <c r="Y6641" i="15" s="1"/>
  <c r="X6643" i="15"/>
  <c r="Y6642" i="15" s="1"/>
  <c r="X6644" i="15"/>
  <c r="Y6643" i="15" s="1"/>
  <c r="X6645" i="15"/>
  <c r="Y6644" i="15" s="1"/>
  <c r="X6646" i="15"/>
  <c r="Y6645" i="15" s="1"/>
  <c r="X6647" i="15"/>
  <c r="Y6646" i="15" s="1"/>
  <c r="X6648" i="15"/>
  <c r="Y6647" i="15" s="1"/>
  <c r="X6649" i="15"/>
  <c r="Y6648" i="15" s="1"/>
  <c r="X6650" i="15"/>
  <c r="Y6649" i="15" s="1"/>
  <c r="X6651" i="15"/>
  <c r="Y6650" i="15" s="1"/>
  <c r="X6652" i="15"/>
  <c r="Y6651" i="15" s="1"/>
  <c r="X6653" i="15"/>
  <c r="Y6652" i="15" s="1"/>
  <c r="X6654" i="15"/>
  <c r="Y6653" i="15" s="1"/>
  <c r="X6655" i="15"/>
  <c r="Y6654" i="15" s="1"/>
  <c r="X6656" i="15"/>
  <c r="Y6655" i="15" s="1"/>
  <c r="X6657" i="15"/>
  <c r="Y6656" i="15" s="1"/>
  <c r="X6658" i="15"/>
  <c r="Y6657" i="15" s="1"/>
  <c r="X6659" i="15"/>
  <c r="Y6658" i="15" s="1"/>
  <c r="X6660" i="15"/>
  <c r="Y6659" i="15" s="1"/>
  <c r="X6661" i="15"/>
  <c r="Y6660" i="15" s="1"/>
  <c r="X6662" i="15"/>
  <c r="Y6661" i="15" s="1"/>
  <c r="X6663" i="15"/>
  <c r="Y6662" i="15" s="1"/>
  <c r="X6664" i="15"/>
  <c r="Y6663" i="15" s="1"/>
  <c r="X6665" i="15"/>
  <c r="Y6664" i="15" s="1"/>
  <c r="X6666" i="15"/>
  <c r="Y6665" i="15" s="1"/>
  <c r="X6667" i="15"/>
  <c r="Y6666" i="15" s="1"/>
  <c r="X6668" i="15"/>
  <c r="Y6667" i="15" s="1"/>
  <c r="X6669" i="15"/>
  <c r="Y6668" i="15" s="1"/>
  <c r="X6670" i="15"/>
  <c r="Y6669" i="15" s="1"/>
  <c r="X6671" i="15"/>
  <c r="Y6670" i="15" s="1"/>
  <c r="X6672" i="15"/>
  <c r="Y6671" i="15" s="1"/>
  <c r="X6673" i="15"/>
  <c r="Y6672" i="15" s="1"/>
  <c r="X6674" i="15"/>
  <c r="Y6673" i="15" s="1"/>
  <c r="X6675" i="15"/>
  <c r="Y6674" i="15" s="1"/>
  <c r="X6676" i="15"/>
  <c r="Y6675" i="15" s="1"/>
  <c r="X6677" i="15"/>
  <c r="Y6676" i="15" s="1"/>
  <c r="X6678" i="15"/>
  <c r="Y6677" i="15" s="1"/>
  <c r="X6679" i="15"/>
  <c r="Y6678" i="15" s="1"/>
  <c r="X6680" i="15"/>
  <c r="Y6679" i="15" s="1"/>
  <c r="X6681" i="15"/>
  <c r="Y6680" i="15" s="1"/>
  <c r="X6682" i="15"/>
  <c r="Y6681" i="15" s="1"/>
  <c r="X6683" i="15"/>
  <c r="Y6682" i="15" s="1"/>
  <c r="X6684" i="15"/>
  <c r="Y6683" i="15" s="1"/>
  <c r="X6685" i="15"/>
  <c r="Y6684" i="15" s="1"/>
  <c r="X6686" i="15"/>
  <c r="Y6685" i="15" s="1"/>
  <c r="X6687" i="15"/>
  <c r="Y6686" i="15" s="1"/>
  <c r="X6688" i="15"/>
  <c r="Y6687" i="15" s="1"/>
  <c r="X6689" i="15"/>
  <c r="Y6688" i="15" s="1"/>
  <c r="X6690" i="15"/>
  <c r="Y6689" i="15" s="1"/>
  <c r="X6691" i="15"/>
  <c r="Y6690" i="15" s="1"/>
  <c r="X6692" i="15"/>
  <c r="Y6691" i="15" s="1"/>
  <c r="X6693" i="15"/>
  <c r="Y6692" i="15" s="1"/>
  <c r="X6694" i="15"/>
  <c r="Y6693" i="15" s="1"/>
  <c r="X6695" i="15"/>
  <c r="Y6694" i="15" s="1"/>
  <c r="X6696" i="15"/>
  <c r="Y6695" i="15" s="1"/>
  <c r="X6697" i="15"/>
  <c r="Y6696" i="15" s="1"/>
  <c r="X6698" i="15"/>
  <c r="Y6697" i="15" s="1"/>
  <c r="X6699" i="15"/>
  <c r="Y6698" i="15" s="1"/>
  <c r="X6700" i="15"/>
  <c r="Y6699" i="15" s="1"/>
  <c r="X6701" i="15"/>
  <c r="Y6700" i="15" s="1"/>
  <c r="X6702" i="15"/>
  <c r="Y6701" i="15" s="1"/>
  <c r="X6703" i="15"/>
  <c r="Y6702" i="15" s="1"/>
  <c r="X6704" i="15"/>
  <c r="Y6703" i="15" s="1"/>
  <c r="X6705" i="15"/>
  <c r="Y6704" i="15" s="1"/>
  <c r="X6706" i="15"/>
  <c r="Y6705" i="15" s="1"/>
  <c r="X6707" i="15"/>
  <c r="Y6706" i="15" s="1"/>
  <c r="X6708" i="15"/>
  <c r="Y6707" i="15" s="1"/>
  <c r="X6709" i="15"/>
  <c r="Y6708" i="15" s="1"/>
  <c r="X6710" i="15"/>
  <c r="Y6709" i="15" s="1"/>
  <c r="X6711" i="15"/>
  <c r="Y6710" i="15" s="1"/>
  <c r="X6712" i="15"/>
  <c r="Y6711" i="15" s="1"/>
  <c r="X6713" i="15"/>
  <c r="Y6712" i="15" s="1"/>
  <c r="X6714" i="15"/>
  <c r="Y6713" i="15" s="1"/>
  <c r="X6715" i="15"/>
  <c r="Y6714" i="15" s="1"/>
  <c r="X6716" i="15"/>
  <c r="Y6715" i="15" s="1"/>
  <c r="X6717" i="15"/>
  <c r="Y6716" i="15" s="1"/>
  <c r="X6718" i="15"/>
  <c r="Y6717" i="15" s="1"/>
  <c r="X6719" i="15"/>
  <c r="Y6718" i="15" s="1"/>
  <c r="X6720" i="15"/>
  <c r="Y6719" i="15" s="1"/>
  <c r="X6721" i="15"/>
  <c r="Y6720" i="15" s="1"/>
  <c r="X6722" i="15"/>
  <c r="Y6721" i="15" s="1"/>
  <c r="X6723" i="15"/>
  <c r="Y6722" i="15" s="1"/>
  <c r="X6724" i="15"/>
  <c r="Y6723" i="15" s="1"/>
  <c r="X6725" i="15"/>
  <c r="Y6724" i="15" s="1"/>
  <c r="X6726" i="15"/>
  <c r="Y6725" i="15" s="1"/>
  <c r="X6727" i="15"/>
  <c r="Y6726" i="15" s="1"/>
  <c r="X6728" i="15"/>
  <c r="Y6727" i="15" s="1"/>
  <c r="X6729" i="15"/>
  <c r="Y6728" i="15" s="1"/>
  <c r="X6730" i="15"/>
  <c r="Y6729" i="15" s="1"/>
  <c r="X6731" i="15"/>
  <c r="Y6730" i="15" s="1"/>
  <c r="X6732" i="15"/>
  <c r="Y6731" i="15" s="1"/>
  <c r="X6733" i="15"/>
  <c r="Y6732" i="15" s="1"/>
  <c r="X6734" i="15"/>
  <c r="Y6733" i="15" s="1"/>
  <c r="X6735" i="15"/>
  <c r="Y6734" i="15" s="1"/>
  <c r="X6736" i="15"/>
  <c r="Y6735" i="15" s="1"/>
  <c r="X6737" i="15"/>
  <c r="Y6736" i="15" s="1"/>
  <c r="X6738" i="15"/>
  <c r="Y6737" i="15" s="1"/>
  <c r="X6739" i="15"/>
  <c r="Y6738" i="15" s="1"/>
  <c r="X6740" i="15"/>
  <c r="Y6739" i="15" s="1"/>
  <c r="X6741" i="15"/>
  <c r="Y6740" i="15" s="1"/>
  <c r="X6742" i="15"/>
  <c r="Y6741" i="15" s="1"/>
  <c r="X6743" i="15"/>
  <c r="Y6742" i="15" s="1"/>
  <c r="X6744" i="15"/>
  <c r="Y6743" i="15" s="1"/>
  <c r="X6745" i="15"/>
  <c r="Y6744" i="15" s="1"/>
  <c r="X6746" i="15"/>
  <c r="Y6745" i="15" s="1"/>
  <c r="X6747" i="15"/>
  <c r="Y6746" i="15" s="1"/>
  <c r="X6748" i="15"/>
  <c r="Y6747" i="15" s="1"/>
  <c r="X6749" i="15"/>
  <c r="Y6748" i="15" s="1"/>
  <c r="X6750" i="15"/>
  <c r="Y6749" i="15" s="1"/>
  <c r="X6751" i="15"/>
  <c r="Y6750" i="15" s="1"/>
  <c r="X6752" i="15"/>
  <c r="Y6751" i="15" s="1"/>
  <c r="X6753" i="15"/>
  <c r="Y6752" i="15" s="1"/>
  <c r="X6754" i="15"/>
  <c r="Y6753" i="15" s="1"/>
  <c r="X6755" i="15"/>
  <c r="Y6754" i="15" s="1"/>
  <c r="X6756" i="15"/>
  <c r="Y6755" i="15" s="1"/>
  <c r="X6757" i="15"/>
  <c r="Y6756" i="15" s="1"/>
  <c r="X6758" i="15"/>
  <c r="Y6757" i="15" s="1"/>
  <c r="X6759" i="15"/>
  <c r="Y6758" i="15" s="1"/>
  <c r="X6760" i="15"/>
  <c r="Y6759" i="15" s="1"/>
  <c r="X6761" i="15"/>
  <c r="Y6760" i="15" s="1"/>
  <c r="X6762" i="15"/>
  <c r="Y6761" i="15" s="1"/>
  <c r="X6763" i="15"/>
  <c r="Y6762" i="15" s="1"/>
  <c r="X6764" i="15"/>
  <c r="Y6763" i="15" s="1"/>
  <c r="X6765" i="15"/>
  <c r="Y6764" i="15" s="1"/>
  <c r="X6766" i="15"/>
  <c r="Y6765" i="15" s="1"/>
  <c r="X6767" i="15"/>
  <c r="Y6766" i="15" s="1"/>
  <c r="X6768" i="15"/>
  <c r="Y6767" i="15" s="1"/>
  <c r="X6769" i="15"/>
  <c r="Y6768" i="15" s="1"/>
  <c r="X6770" i="15"/>
  <c r="Y6769" i="15" s="1"/>
  <c r="X6771" i="15"/>
  <c r="Y6770" i="15" s="1"/>
  <c r="X6772" i="15"/>
  <c r="Y6771" i="15" s="1"/>
  <c r="X6773" i="15"/>
  <c r="Y6772" i="15" s="1"/>
  <c r="X6774" i="15"/>
  <c r="Y6773" i="15" s="1"/>
  <c r="X6775" i="15"/>
  <c r="Y6774" i="15" s="1"/>
  <c r="X6776" i="15"/>
  <c r="Y6775" i="15" s="1"/>
  <c r="X6777" i="15"/>
  <c r="Y6776" i="15" s="1"/>
  <c r="X6778" i="15"/>
  <c r="Y6777" i="15" s="1"/>
  <c r="X6779" i="15"/>
  <c r="Y6778" i="15" s="1"/>
  <c r="X6780" i="15"/>
  <c r="Y6779" i="15" s="1"/>
  <c r="X6781" i="15"/>
  <c r="Y6780" i="15" s="1"/>
  <c r="X6782" i="15"/>
  <c r="Y6781" i="15" s="1"/>
  <c r="X6783" i="15"/>
  <c r="Y6782" i="15" s="1"/>
  <c r="X6784" i="15"/>
  <c r="Y6783" i="15" s="1"/>
  <c r="X6785" i="15"/>
  <c r="Y6784" i="15" s="1"/>
  <c r="X6786" i="15"/>
  <c r="Y6785" i="15" s="1"/>
  <c r="X6787" i="15"/>
  <c r="Y6786" i="15" s="1"/>
  <c r="X6788" i="15"/>
  <c r="Y6787" i="15" s="1"/>
  <c r="X6789" i="15"/>
  <c r="Y6788" i="15" s="1"/>
  <c r="X6790" i="15"/>
  <c r="Y6789" i="15" s="1"/>
  <c r="X6791" i="15"/>
  <c r="Y6790" i="15" s="1"/>
  <c r="X6792" i="15"/>
  <c r="Y6791" i="15" s="1"/>
  <c r="X6793" i="15"/>
  <c r="Y6792" i="15" s="1"/>
  <c r="X6794" i="15"/>
  <c r="Y6793" i="15" s="1"/>
  <c r="X6795" i="15"/>
  <c r="Y6794" i="15" s="1"/>
  <c r="X6796" i="15"/>
  <c r="Y6795" i="15" s="1"/>
  <c r="X6797" i="15"/>
  <c r="Y6796" i="15" s="1"/>
  <c r="X6798" i="15"/>
  <c r="Y6797" i="15" s="1"/>
  <c r="X6799" i="15"/>
  <c r="Y6798" i="15" s="1"/>
  <c r="X6800" i="15"/>
  <c r="Y6799" i="15" s="1"/>
  <c r="X6801" i="15"/>
  <c r="Y6800" i="15" s="1"/>
  <c r="X6802" i="15"/>
  <c r="Y6801" i="15" s="1"/>
  <c r="X6803" i="15"/>
  <c r="Y6802" i="15" s="1"/>
  <c r="X6804" i="15"/>
  <c r="Y6803" i="15" s="1"/>
  <c r="X6805" i="15"/>
  <c r="Y6804" i="15" s="1"/>
  <c r="X6806" i="15"/>
  <c r="Y6805" i="15" s="1"/>
  <c r="X6807" i="15"/>
  <c r="Y6806" i="15" s="1"/>
  <c r="X6808" i="15"/>
  <c r="Y6807" i="15" s="1"/>
  <c r="X6809" i="15"/>
  <c r="Y6808" i="15" s="1"/>
  <c r="X6810" i="15"/>
  <c r="Y6809" i="15" s="1"/>
  <c r="X6811" i="15"/>
  <c r="Y6810" i="15" s="1"/>
  <c r="X6812" i="15"/>
  <c r="Y6811" i="15" s="1"/>
  <c r="X6813" i="15"/>
  <c r="Y6812" i="15" s="1"/>
  <c r="X6814" i="15"/>
  <c r="Y6813" i="15" s="1"/>
  <c r="X6815" i="15"/>
  <c r="Y6814" i="15" s="1"/>
  <c r="X6816" i="15"/>
  <c r="Y6815" i="15" s="1"/>
  <c r="X6817" i="15"/>
  <c r="Y6816" i="15" s="1"/>
  <c r="X6818" i="15"/>
  <c r="Y6817" i="15" s="1"/>
  <c r="X6819" i="15"/>
  <c r="Y6818" i="15" s="1"/>
  <c r="X6820" i="15"/>
  <c r="Y6819" i="15" s="1"/>
  <c r="X6821" i="15"/>
  <c r="Y6820" i="15" s="1"/>
  <c r="X6822" i="15"/>
  <c r="Y6821" i="15" s="1"/>
  <c r="X6823" i="15"/>
  <c r="Y6822" i="15" s="1"/>
  <c r="X6824" i="15"/>
  <c r="Y6823" i="15" s="1"/>
  <c r="X6825" i="15"/>
  <c r="Y6824" i="15" s="1"/>
  <c r="X6826" i="15"/>
  <c r="Y6825" i="15" s="1"/>
  <c r="X6827" i="15"/>
  <c r="Y6826" i="15" s="1"/>
  <c r="X6828" i="15"/>
  <c r="Y6827" i="15" s="1"/>
  <c r="X6829" i="15"/>
  <c r="Y6828" i="15" s="1"/>
  <c r="X6830" i="15"/>
  <c r="Y6829" i="15" s="1"/>
  <c r="X6831" i="15"/>
  <c r="Y6830" i="15" s="1"/>
  <c r="X6832" i="15"/>
  <c r="Y6831" i="15" s="1"/>
  <c r="X6833" i="15"/>
  <c r="Y6832" i="15" s="1"/>
  <c r="X6834" i="15"/>
  <c r="Y6833" i="15" s="1"/>
  <c r="X6835" i="15"/>
  <c r="Y6834" i="15" s="1"/>
  <c r="X6836" i="15"/>
  <c r="Y6835" i="15" s="1"/>
  <c r="X6837" i="15"/>
  <c r="Y6836" i="15" s="1"/>
  <c r="X6838" i="15"/>
  <c r="Y6837" i="15" s="1"/>
  <c r="X6839" i="15"/>
  <c r="Y6838" i="15" s="1"/>
  <c r="X6840" i="15"/>
  <c r="Y6839" i="15" s="1"/>
  <c r="X6841" i="15"/>
  <c r="Y6840" i="15" s="1"/>
  <c r="X6842" i="15"/>
  <c r="Y6841" i="15" s="1"/>
  <c r="X6843" i="15"/>
  <c r="Y6842" i="15" s="1"/>
  <c r="X6844" i="15"/>
  <c r="Y6843" i="15" s="1"/>
  <c r="X6845" i="15"/>
  <c r="Y6844" i="15" s="1"/>
  <c r="X6846" i="15"/>
  <c r="Y6845" i="15" s="1"/>
  <c r="X6847" i="15"/>
  <c r="Y6846" i="15" s="1"/>
  <c r="X6848" i="15"/>
  <c r="Y6847" i="15" s="1"/>
  <c r="X6849" i="15"/>
  <c r="Y6848" i="15" s="1"/>
  <c r="X6850" i="15"/>
  <c r="Y6849" i="15" s="1"/>
  <c r="X6851" i="15"/>
  <c r="Y6850" i="15" s="1"/>
  <c r="X6852" i="15"/>
  <c r="Y6851" i="15" s="1"/>
  <c r="X6853" i="15"/>
  <c r="Y6852" i="15" s="1"/>
  <c r="X6854" i="15"/>
  <c r="Y6853" i="15" s="1"/>
  <c r="X6855" i="15"/>
  <c r="Y6854" i="15" s="1"/>
  <c r="X6856" i="15"/>
  <c r="Y6855" i="15" s="1"/>
  <c r="X6857" i="15"/>
  <c r="Y6856" i="15" s="1"/>
  <c r="X6858" i="15"/>
  <c r="Y6857" i="15" s="1"/>
  <c r="X6859" i="15"/>
  <c r="Y6858" i="15" s="1"/>
  <c r="X6860" i="15"/>
  <c r="Y6859" i="15" s="1"/>
  <c r="X6861" i="15"/>
  <c r="Y6860" i="15" s="1"/>
  <c r="X6862" i="15"/>
  <c r="Y6861" i="15" s="1"/>
  <c r="X6863" i="15"/>
  <c r="Y6862" i="15" s="1"/>
  <c r="X6864" i="15"/>
  <c r="Y6863" i="15" s="1"/>
  <c r="X6865" i="15"/>
  <c r="Y6864" i="15" s="1"/>
  <c r="X6866" i="15"/>
  <c r="Y6865" i="15" s="1"/>
  <c r="X6867" i="15"/>
  <c r="Y6866" i="15" s="1"/>
  <c r="X6868" i="15"/>
  <c r="Y6867" i="15" s="1"/>
  <c r="X6869" i="15"/>
  <c r="Y6868" i="15" s="1"/>
  <c r="X6870" i="15"/>
  <c r="Y6869" i="15" s="1"/>
  <c r="X6871" i="15"/>
  <c r="Y6870" i="15" s="1"/>
  <c r="X6872" i="15"/>
  <c r="Y6871" i="15" s="1"/>
  <c r="X6873" i="15"/>
  <c r="Y6872" i="15" s="1"/>
  <c r="X6874" i="15"/>
  <c r="Y6873" i="15" s="1"/>
  <c r="X6875" i="15"/>
  <c r="Y6874" i="15" s="1"/>
  <c r="X6876" i="15"/>
  <c r="Y6875" i="15" s="1"/>
  <c r="X6877" i="15"/>
  <c r="Y6876" i="15" s="1"/>
  <c r="X6878" i="15"/>
  <c r="Y6877" i="15" s="1"/>
  <c r="X6879" i="15"/>
  <c r="Y6878" i="15" s="1"/>
  <c r="X6880" i="15"/>
  <c r="Y6879" i="15" s="1"/>
  <c r="X6881" i="15"/>
  <c r="Y6880" i="15" s="1"/>
  <c r="X6882" i="15"/>
  <c r="Y6881" i="15" s="1"/>
  <c r="X6883" i="15"/>
  <c r="Y6882" i="15" s="1"/>
  <c r="X6884" i="15"/>
  <c r="Y6883" i="15" s="1"/>
  <c r="X6885" i="15"/>
  <c r="Y6884" i="15" s="1"/>
  <c r="X6886" i="15"/>
  <c r="Y6885" i="15" s="1"/>
  <c r="X6887" i="15"/>
  <c r="Y6886" i="15" s="1"/>
  <c r="X6888" i="15"/>
  <c r="Y6887" i="15" s="1"/>
  <c r="X6889" i="15"/>
  <c r="Y6888" i="15" s="1"/>
  <c r="X6890" i="15"/>
  <c r="Y6889" i="15" s="1"/>
  <c r="X6891" i="15"/>
  <c r="Y6890" i="15" s="1"/>
  <c r="X6892" i="15"/>
  <c r="Y6891" i="15" s="1"/>
  <c r="X6893" i="15"/>
  <c r="Y6892" i="15" s="1"/>
  <c r="X6894" i="15"/>
  <c r="Y6893" i="15" s="1"/>
  <c r="X6895" i="15"/>
  <c r="Y6894" i="15" s="1"/>
  <c r="X6896" i="15"/>
  <c r="Y6895" i="15" s="1"/>
  <c r="X6897" i="15"/>
  <c r="Y6896" i="15" s="1"/>
  <c r="X6898" i="15"/>
  <c r="Y6897" i="15" s="1"/>
  <c r="X6899" i="15"/>
  <c r="Y6898" i="15" s="1"/>
  <c r="X6900" i="15"/>
  <c r="Y6899" i="15" s="1"/>
  <c r="X6901" i="15"/>
  <c r="Y6900" i="15" s="1"/>
  <c r="X6902" i="15"/>
  <c r="Y6901" i="15" s="1"/>
  <c r="X6903" i="15"/>
  <c r="Y6902" i="15" s="1"/>
  <c r="X6904" i="15"/>
  <c r="Y6903" i="15" s="1"/>
  <c r="X6905" i="15"/>
  <c r="Y6904" i="15" s="1"/>
  <c r="X6906" i="15"/>
  <c r="Y6905" i="15" s="1"/>
  <c r="X6907" i="15"/>
  <c r="Y6906" i="15" s="1"/>
  <c r="X6908" i="15"/>
  <c r="Y6907" i="15" s="1"/>
  <c r="X6909" i="15"/>
  <c r="Y6908" i="15" s="1"/>
  <c r="X6910" i="15"/>
  <c r="Y6909" i="15" s="1"/>
  <c r="X6911" i="15"/>
  <c r="Y6910" i="15" s="1"/>
  <c r="X6912" i="15"/>
  <c r="Y6911" i="15" s="1"/>
  <c r="X6913" i="15"/>
  <c r="Y6912" i="15" s="1"/>
  <c r="X6914" i="15"/>
  <c r="Y6913" i="15" s="1"/>
  <c r="X6915" i="15"/>
  <c r="Y6914" i="15" s="1"/>
  <c r="X6916" i="15"/>
  <c r="Y6915" i="15" s="1"/>
  <c r="X6917" i="15"/>
  <c r="Y6916" i="15" s="1"/>
  <c r="X6918" i="15"/>
  <c r="Y6917" i="15" s="1"/>
  <c r="X6919" i="15"/>
  <c r="Y6918" i="15" s="1"/>
  <c r="X6920" i="15"/>
  <c r="Y6919" i="15" s="1"/>
  <c r="X6921" i="15"/>
  <c r="Y6920" i="15" s="1"/>
  <c r="X6922" i="15"/>
  <c r="Y6921" i="15" s="1"/>
  <c r="X6923" i="15"/>
  <c r="Y6922" i="15" s="1"/>
  <c r="X6924" i="15"/>
  <c r="Y6923" i="15" s="1"/>
  <c r="X6925" i="15"/>
  <c r="Y6924" i="15" s="1"/>
  <c r="X6926" i="15"/>
  <c r="Y6925" i="15" s="1"/>
  <c r="X6927" i="15"/>
  <c r="Y6926" i="15" s="1"/>
  <c r="X6928" i="15"/>
  <c r="Y6927" i="15" s="1"/>
  <c r="X6929" i="15"/>
  <c r="Y6928" i="15" s="1"/>
  <c r="X6930" i="15"/>
  <c r="Y6929" i="15" s="1"/>
  <c r="X6931" i="15"/>
  <c r="Y6930" i="15" s="1"/>
  <c r="X6932" i="15"/>
  <c r="Y6931" i="15" s="1"/>
  <c r="X6933" i="15"/>
  <c r="Y6932" i="15" s="1"/>
  <c r="X6934" i="15"/>
  <c r="Y6933" i="15" s="1"/>
  <c r="X6935" i="15"/>
  <c r="Y6934" i="15" s="1"/>
  <c r="X6936" i="15"/>
  <c r="Y6935" i="15" s="1"/>
  <c r="X6937" i="15"/>
  <c r="Y6936" i="15" s="1"/>
  <c r="X6938" i="15"/>
  <c r="Y6937" i="15" s="1"/>
  <c r="X6939" i="15"/>
  <c r="Y6938" i="15" s="1"/>
  <c r="X6940" i="15"/>
  <c r="Y6939" i="15" s="1"/>
  <c r="X6941" i="15"/>
  <c r="Y6940" i="15" s="1"/>
  <c r="X6942" i="15"/>
  <c r="Y6941" i="15" s="1"/>
  <c r="X6943" i="15"/>
  <c r="Y6942" i="15" s="1"/>
  <c r="X6944" i="15"/>
  <c r="Y6943" i="15" s="1"/>
  <c r="X6945" i="15"/>
  <c r="Y6944" i="15" s="1"/>
  <c r="X6946" i="15"/>
  <c r="Y6945" i="15" s="1"/>
  <c r="X6947" i="15"/>
  <c r="Y6946" i="15" s="1"/>
  <c r="X6948" i="15"/>
  <c r="Y6947" i="15" s="1"/>
  <c r="X6949" i="15"/>
  <c r="Y6948" i="15" s="1"/>
  <c r="X6950" i="15"/>
  <c r="Y6949" i="15" s="1"/>
  <c r="X6951" i="15"/>
  <c r="Y6950" i="15" s="1"/>
  <c r="X6952" i="15"/>
  <c r="Y6951" i="15" s="1"/>
  <c r="X6953" i="15"/>
  <c r="Y6952" i="15" s="1"/>
  <c r="X6954" i="15"/>
  <c r="Y6953" i="15" s="1"/>
  <c r="X6955" i="15"/>
  <c r="Y6954" i="15" s="1"/>
  <c r="X6956" i="15"/>
  <c r="Y6955" i="15" s="1"/>
  <c r="X6957" i="15"/>
  <c r="Y6956" i="15" s="1"/>
  <c r="X6958" i="15"/>
  <c r="Y6957" i="15" s="1"/>
  <c r="X6959" i="15"/>
  <c r="Y6958" i="15" s="1"/>
  <c r="X6960" i="15"/>
  <c r="Y6959" i="15" s="1"/>
  <c r="X6961" i="15"/>
  <c r="Y6960" i="15" s="1"/>
  <c r="X6962" i="15"/>
  <c r="Y6961" i="15" s="1"/>
  <c r="X6963" i="15"/>
  <c r="Y6962" i="15" s="1"/>
  <c r="X6964" i="15"/>
  <c r="Y6963" i="15" s="1"/>
  <c r="X6965" i="15"/>
  <c r="Y6964" i="15" s="1"/>
  <c r="X6966" i="15"/>
  <c r="Y6965" i="15" s="1"/>
  <c r="X6967" i="15"/>
  <c r="Y6966" i="15" s="1"/>
  <c r="X6968" i="15"/>
  <c r="Y6967" i="15" s="1"/>
  <c r="X6969" i="15"/>
  <c r="Y6968" i="15" s="1"/>
  <c r="X6970" i="15"/>
  <c r="Y6969" i="15" s="1"/>
  <c r="X6971" i="15"/>
  <c r="Y6970" i="15" s="1"/>
  <c r="X6972" i="15"/>
  <c r="Y6971" i="15" s="1"/>
  <c r="X6973" i="15"/>
  <c r="Y6972" i="15" s="1"/>
  <c r="X6974" i="15"/>
  <c r="Y6973" i="15" s="1"/>
  <c r="X6975" i="15"/>
  <c r="Y6974" i="15" s="1"/>
  <c r="X6976" i="15"/>
  <c r="Y6975" i="15" s="1"/>
  <c r="X6977" i="15"/>
  <c r="Y6976" i="15" s="1"/>
  <c r="X6978" i="15"/>
  <c r="Y6977" i="15" s="1"/>
  <c r="X6979" i="15"/>
  <c r="Y6978" i="15" s="1"/>
  <c r="X6980" i="15"/>
  <c r="Y6979" i="15" s="1"/>
  <c r="X6981" i="15"/>
  <c r="Y6980" i="15" s="1"/>
  <c r="X6982" i="15"/>
  <c r="Y6981" i="15" s="1"/>
  <c r="X6983" i="15"/>
  <c r="Y6982" i="15" s="1"/>
  <c r="X6984" i="15"/>
  <c r="Y6983" i="15" s="1"/>
  <c r="X6985" i="15"/>
  <c r="Y6984" i="15" s="1"/>
  <c r="X6986" i="15"/>
  <c r="Y6985" i="15" s="1"/>
  <c r="X6987" i="15"/>
  <c r="Y6986" i="15" s="1"/>
  <c r="X6988" i="15"/>
  <c r="Y6987" i="15" s="1"/>
  <c r="X6989" i="15"/>
  <c r="Y6988" i="15" s="1"/>
  <c r="X6990" i="15"/>
  <c r="Y6989" i="15" s="1"/>
  <c r="X6991" i="15"/>
  <c r="Y6990" i="15" s="1"/>
  <c r="X6992" i="15"/>
  <c r="Y6991" i="15" s="1"/>
  <c r="X6993" i="15"/>
  <c r="Y6992" i="15" s="1"/>
  <c r="X6994" i="15"/>
  <c r="Y6993" i="15" s="1"/>
  <c r="X6995" i="15"/>
  <c r="Y6994" i="15" s="1"/>
  <c r="X6996" i="15"/>
  <c r="Y6995" i="15" s="1"/>
  <c r="X6997" i="15"/>
  <c r="Y6996" i="15" s="1"/>
  <c r="X6998" i="15"/>
  <c r="Y6997" i="15" s="1"/>
  <c r="X6999" i="15"/>
  <c r="Y6998" i="15" s="1"/>
  <c r="X7000" i="15"/>
  <c r="Y6999" i="15" s="1"/>
  <c r="X7001" i="15"/>
  <c r="Y7000" i="15" s="1"/>
  <c r="X7002" i="15"/>
  <c r="Y7001" i="15" s="1"/>
  <c r="X7003" i="15"/>
  <c r="Y7002" i="15" s="1"/>
  <c r="X7004" i="15"/>
  <c r="Y7003" i="15" s="1"/>
  <c r="X7005" i="15"/>
  <c r="Y7004" i="15" s="1"/>
  <c r="X7006" i="15"/>
  <c r="Y7005" i="15" s="1"/>
  <c r="X7007" i="15"/>
  <c r="Y7006" i="15" s="1"/>
  <c r="X7008" i="15"/>
  <c r="Y7007" i="15" s="1"/>
  <c r="X7009" i="15"/>
  <c r="Y7008" i="15" s="1"/>
  <c r="X7010" i="15"/>
  <c r="Y7009" i="15" s="1"/>
  <c r="X7011" i="15"/>
  <c r="Y7010" i="15" s="1"/>
  <c r="X7012" i="15"/>
  <c r="Y7011" i="15" s="1"/>
  <c r="X7013" i="15"/>
  <c r="Y7012" i="15" s="1"/>
  <c r="X7014" i="15"/>
  <c r="Y7013" i="15" s="1"/>
  <c r="X7015" i="15"/>
  <c r="Y7014" i="15" s="1"/>
  <c r="X7016" i="15"/>
  <c r="Y7015" i="15" s="1"/>
  <c r="X7017" i="15"/>
  <c r="Y7016" i="15" s="1"/>
  <c r="X7018" i="15"/>
  <c r="Y7017" i="15" s="1"/>
  <c r="X7019" i="15"/>
  <c r="Y7018" i="15" s="1"/>
  <c r="X7020" i="15"/>
  <c r="Y7019" i="15" s="1"/>
  <c r="X7021" i="15"/>
  <c r="Y7020" i="15" s="1"/>
  <c r="X7022" i="15"/>
  <c r="Y7021" i="15" s="1"/>
  <c r="X7023" i="15"/>
  <c r="Y7022" i="15" s="1"/>
  <c r="X7024" i="15"/>
  <c r="Y7023" i="15" s="1"/>
  <c r="X7025" i="15"/>
  <c r="Y7024" i="15" s="1"/>
  <c r="X7026" i="15"/>
  <c r="Y7025" i="15" s="1"/>
  <c r="X7027" i="15"/>
  <c r="Y7026" i="15" s="1"/>
  <c r="X7028" i="15"/>
  <c r="Y7027" i="15" s="1"/>
  <c r="X7029" i="15"/>
  <c r="Y7028" i="15" s="1"/>
  <c r="X7030" i="15"/>
  <c r="Y7029" i="15" s="1"/>
  <c r="X7031" i="15"/>
  <c r="Y7030" i="15" s="1"/>
  <c r="X7032" i="15"/>
  <c r="Y7031" i="15" s="1"/>
  <c r="X7033" i="15"/>
  <c r="Y7032" i="15" s="1"/>
  <c r="X7034" i="15"/>
  <c r="Y7033" i="15" s="1"/>
  <c r="X7035" i="15"/>
  <c r="Y7034" i="15" s="1"/>
  <c r="X7036" i="15"/>
  <c r="Y7035" i="15" s="1"/>
  <c r="X7037" i="15"/>
  <c r="Y7036" i="15" s="1"/>
  <c r="X7038" i="15"/>
  <c r="Y7037" i="15" s="1"/>
  <c r="X7039" i="15"/>
  <c r="Y7038" i="15" s="1"/>
  <c r="X7040" i="15"/>
  <c r="Y7039" i="15" s="1"/>
  <c r="X7041" i="15"/>
  <c r="Y7040" i="15" s="1"/>
  <c r="X7042" i="15"/>
  <c r="Y7041" i="15" s="1"/>
  <c r="X7043" i="15"/>
  <c r="Y7042" i="15" s="1"/>
  <c r="X7044" i="15"/>
  <c r="Y7043" i="15" s="1"/>
  <c r="X7045" i="15"/>
  <c r="Y7044" i="15" s="1"/>
  <c r="X7046" i="15"/>
  <c r="Y7045" i="15" s="1"/>
  <c r="X7047" i="15"/>
  <c r="Y7046" i="15" s="1"/>
  <c r="X7048" i="15"/>
  <c r="Y7047" i="15" s="1"/>
  <c r="X7049" i="15"/>
  <c r="Y7048" i="15" s="1"/>
  <c r="X7050" i="15"/>
  <c r="Y7049" i="15" s="1"/>
  <c r="X7051" i="15"/>
  <c r="Y7050" i="15" s="1"/>
  <c r="X7052" i="15"/>
  <c r="Y7051" i="15" s="1"/>
  <c r="X7053" i="15"/>
  <c r="Y7052" i="15" s="1"/>
  <c r="X7054" i="15"/>
  <c r="Y7053" i="15" s="1"/>
  <c r="X7055" i="15"/>
  <c r="Y7054" i="15" s="1"/>
  <c r="X7056" i="15"/>
  <c r="Y7055" i="15" s="1"/>
  <c r="X7057" i="15"/>
  <c r="Y7056" i="15" s="1"/>
  <c r="X7058" i="15"/>
  <c r="Y7057" i="15" s="1"/>
  <c r="X7059" i="15"/>
  <c r="Y7058" i="15" s="1"/>
  <c r="X7060" i="15"/>
  <c r="Y7059" i="15" s="1"/>
  <c r="X7061" i="15"/>
  <c r="Y7060" i="15" s="1"/>
  <c r="X7062" i="15"/>
  <c r="Y7061" i="15" s="1"/>
  <c r="X7063" i="15"/>
  <c r="Y7062" i="15" s="1"/>
  <c r="X7064" i="15"/>
  <c r="Y7063" i="15" s="1"/>
  <c r="X7065" i="15"/>
  <c r="Y7064" i="15" s="1"/>
  <c r="X7066" i="15"/>
  <c r="Y7065" i="15" s="1"/>
  <c r="X7067" i="15"/>
  <c r="Y7066" i="15" s="1"/>
  <c r="X7068" i="15"/>
  <c r="Y7067" i="15" s="1"/>
  <c r="X7069" i="15"/>
  <c r="Y7068" i="15" s="1"/>
  <c r="X7070" i="15"/>
  <c r="Y7069" i="15" s="1"/>
  <c r="X7071" i="15"/>
  <c r="Y7070" i="15" s="1"/>
  <c r="X7072" i="15"/>
  <c r="Y7071" i="15" s="1"/>
  <c r="X7073" i="15"/>
  <c r="Y7072" i="15" s="1"/>
  <c r="X7074" i="15"/>
  <c r="Y7073" i="15" s="1"/>
  <c r="X7075" i="15"/>
  <c r="Y7074" i="15" s="1"/>
  <c r="X7076" i="15"/>
  <c r="Y7075" i="15" s="1"/>
  <c r="X7077" i="15"/>
  <c r="Y7076" i="15" s="1"/>
  <c r="X7078" i="15"/>
  <c r="Y7077" i="15" s="1"/>
  <c r="X7079" i="15"/>
  <c r="Y7078" i="15" s="1"/>
  <c r="X7080" i="15"/>
  <c r="Y7079" i="15" s="1"/>
  <c r="X7081" i="15"/>
  <c r="Y7080" i="15" s="1"/>
  <c r="X7082" i="15"/>
  <c r="Y7081" i="15" s="1"/>
  <c r="X7083" i="15"/>
  <c r="Y7082" i="15" s="1"/>
  <c r="X7084" i="15"/>
  <c r="Y7083" i="15" s="1"/>
  <c r="X7085" i="15"/>
  <c r="Y7084" i="15" s="1"/>
  <c r="X7086" i="15"/>
  <c r="Y7085" i="15" s="1"/>
  <c r="X7087" i="15"/>
  <c r="Y7086" i="15" s="1"/>
  <c r="X7088" i="15"/>
  <c r="Y7087" i="15" s="1"/>
  <c r="X7089" i="15"/>
  <c r="Y7088" i="15" s="1"/>
  <c r="X7090" i="15"/>
  <c r="Y7089" i="15" s="1"/>
  <c r="X7091" i="15"/>
  <c r="Y7090" i="15" s="1"/>
  <c r="X7092" i="15"/>
  <c r="Y7091" i="15" s="1"/>
  <c r="X7093" i="15"/>
  <c r="Y7092" i="15" s="1"/>
  <c r="X7094" i="15"/>
  <c r="Y7093" i="15" s="1"/>
  <c r="X7095" i="15"/>
  <c r="Y7094" i="15" s="1"/>
  <c r="X7096" i="15"/>
  <c r="Y7095" i="15" s="1"/>
  <c r="X7097" i="15"/>
  <c r="Y7096" i="15" s="1"/>
  <c r="X7098" i="15"/>
  <c r="Y7097" i="15" s="1"/>
  <c r="X7099" i="15"/>
  <c r="Y7098" i="15" s="1"/>
  <c r="X7100" i="15"/>
  <c r="Y7099" i="15" s="1"/>
  <c r="X7101" i="15"/>
  <c r="Y7100" i="15" s="1"/>
  <c r="X7102" i="15"/>
  <c r="Y7101" i="15" s="1"/>
  <c r="X7103" i="15"/>
  <c r="Y7102" i="15" s="1"/>
  <c r="X7104" i="15"/>
  <c r="Y7103" i="15" s="1"/>
  <c r="X7105" i="15"/>
  <c r="Y7104" i="15" s="1"/>
  <c r="X7106" i="15"/>
  <c r="Y7105" i="15" s="1"/>
  <c r="X7107" i="15"/>
  <c r="Y7106" i="15" s="1"/>
  <c r="X7108" i="15"/>
  <c r="Y7107" i="15" s="1"/>
  <c r="X7109" i="15"/>
  <c r="Y7108" i="15" s="1"/>
  <c r="X7110" i="15"/>
  <c r="Y7109" i="15" s="1"/>
  <c r="X7111" i="15"/>
  <c r="Y7110" i="15" s="1"/>
  <c r="X7112" i="15"/>
  <c r="Y7111" i="15" s="1"/>
  <c r="X7113" i="15"/>
  <c r="Y7112" i="15" s="1"/>
  <c r="X7114" i="15"/>
  <c r="Y7113" i="15" s="1"/>
  <c r="X7115" i="15"/>
  <c r="Y7114" i="15" s="1"/>
  <c r="X7116" i="15"/>
  <c r="Y7115" i="15" s="1"/>
  <c r="X7117" i="15"/>
  <c r="Y7116" i="15" s="1"/>
  <c r="X7118" i="15"/>
  <c r="Y7117" i="15" s="1"/>
  <c r="X7119" i="15"/>
  <c r="Y7118" i="15" s="1"/>
  <c r="X7120" i="15"/>
  <c r="Y7119" i="15" s="1"/>
  <c r="X7121" i="15"/>
  <c r="Y7120" i="15" s="1"/>
  <c r="X7122" i="15"/>
  <c r="Y7121" i="15" s="1"/>
  <c r="X7123" i="15"/>
  <c r="Y7122" i="15" s="1"/>
  <c r="X7124" i="15"/>
  <c r="Y7123" i="15" s="1"/>
  <c r="X7125" i="15"/>
  <c r="Y7124" i="15" s="1"/>
  <c r="X7126" i="15"/>
  <c r="Y7125" i="15" s="1"/>
  <c r="X7127" i="15"/>
  <c r="Y7126" i="15" s="1"/>
  <c r="X7128" i="15"/>
  <c r="Y7127" i="15" s="1"/>
  <c r="X7129" i="15"/>
  <c r="Y7128" i="15" s="1"/>
  <c r="X7130" i="15"/>
  <c r="Y7129" i="15" s="1"/>
  <c r="X7131" i="15"/>
  <c r="Y7130" i="15" s="1"/>
  <c r="X7132" i="15"/>
  <c r="Y7131" i="15" s="1"/>
  <c r="X7133" i="15"/>
  <c r="Y7132" i="15" s="1"/>
  <c r="X7134" i="15"/>
  <c r="Y7133" i="15" s="1"/>
  <c r="X7135" i="15"/>
  <c r="Y7134" i="15" s="1"/>
  <c r="X7136" i="15"/>
  <c r="Y7135" i="15" s="1"/>
  <c r="X7137" i="15"/>
  <c r="Y7136" i="15" s="1"/>
  <c r="X7138" i="15"/>
  <c r="Y7137" i="15" s="1"/>
  <c r="X7139" i="15"/>
  <c r="Y7138" i="15" s="1"/>
  <c r="X7140" i="15"/>
  <c r="Y7139" i="15" s="1"/>
  <c r="X7141" i="15"/>
  <c r="Y7140" i="15" s="1"/>
  <c r="X7142" i="15"/>
  <c r="Y7141" i="15" s="1"/>
  <c r="X7143" i="15"/>
  <c r="Y7142" i="15" s="1"/>
  <c r="X7144" i="15"/>
  <c r="Y7143" i="15" s="1"/>
  <c r="X7145" i="15"/>
  <c r="Y7144" i="15" s="1"/>
  <c r="X7146" i="15"/>
  <c r="Y7145" i="15" s="1"/>
  <c r="X7147" i="15"/>
  <c r="Y7146" i="15" s="1"/>
  <c r="X7148" i="15"/>
  <c r="Y7147" i="15" s="1"/>
  <c r="X7149" i="15"/>
  <c r="Y7148" i="15" s="1"/>
  <c r="X7150" i="15"/>
  <c r="Y7149" i="15" s="1"/>
  <c r="X7151" i="15"/>
  <c r="Y7150" i="15" s="1"/>
  <c r="X7152" i="15"/>
  <c r="Y7151" i="15" s="1"/>
  <c r="X7153" i="15"/>
  <c r="Y7152" i="15" s="1"/>
  <c r="X7154" i="15"/>
  <c r="Y7153" i="15" s="1"/>
  <c r="X7155" i="15"/>
  <c r="Y7154" i="15" s="1"/>
  <c r="X7156" i="15"/>
  <c r="Y7155" i="15" s="1"/>
  <c r="X7157" i="15"/>
  <c r="Y7156" i="15" s="1"/>
  <c r="X7158" i="15"/>
  <c r="Y7157" i="15" s="1"/>
  <c r="X7159" i="15"/>
  <c r="Y7158" i="15" s="1"/>
  <c r="X7160" i="15"/>
  <c r="Y7159" i="15" s="1"/>
  <c r="X7161" i="15"/>
  <c r="Y7160" i="15" s="1"/>
  <c r="X7162" i="15"/>
  <c r="Y7161" i="15" s="1"/>
  <c r="X7163" i="15"/>
  <c r="Y7162" i="15" s="1"/>
  <c r="X7164" i="15"/>
  <c r="Y7163" i="15" s="1"/>
  <c r="X7165" i="15"/>
  <c r="Y7164" i="15" s="1"/>
  <c r="X7166" i="15"/>
  <c r="Y7165" i="15" s="1"/>
  <c r="X7167" i="15"/>
  <c r="Y7166" i="15" s="1"/>
  <c r="X7168" i="15"/>
  <c r="Y7167" i="15" s="1"/>
  <c r="X7169" i="15"/>
  <c r="Y7168" i="15" s="1"/>
  <c r="X7170" i="15"/>
  <c r="Y7169" i="15" s="1"/>
  <c r="X7171" i="15"/>
  <c r="Y7170" i="15" s="1"/>
  <c r="X7172" i="15"/>
  <c r="Y7171" i="15" s="1"/>
  <c r="X7173" i="15"/>
  <c r="Y7172" i="15" s="1"/>
  <c r="X7174" i="15"/>
  <c r="Y7173" i="15" s="1"/>
  <c r="X7175" i="15"/>
  <c r="Y7174" i="15" s="1"/>
  <c r="X7176" i="15"/>
  <c r="Y7175" i="15" s="1"/>
  <c r="X7177" i="15"/>
  <c r="Y7176" i="15" s="1"/>
  <c r="X7178" i="15"/>
  <c r="Y7177" i="15" s="1"/>
  <c r="X7179" i="15"/>
  <c r="Y7178" i="15" s="1"/>
  <c r="X7180" i="15"/>
  <c r="Y7179" i="15" s="1"/>
  <c r="X7181" i="15"/>
  <c r="Y7180" i="15" s="1"/>
  <c r="X7182" i="15"/>
  <c r="Y7181" i="15" s="1"/>
  <c r="X7183" i="15"/>
  <c r="Y7182" i="15" s="1"/>
  <c r="X7184" i="15"/>
  <c r="Y7183" i="15" s="1"/>
  <c r="X7185" i="15"/>
  <c r="Y7184" i="15" s="1"/>
  <c r="X7186" i="15"/>
  <c r="Y7185" i="15" s="1"/>
  <c r="X7187" i="15"/>
  <c r="Y7186" i="15" s="1"/>
  <c r="X7188" i="15"/>
  <c r="Y7187" i="15" s="1"/>
  <c r="X7189" i="15"/>
  <c r="Y7188" i="15" s="1"/>
  <c r="X7190" i="15"/>
  <c r="Y7189" i="15" s="1"/>
  <c r="X7191" i="15"/>
  <c r="Y7190" i="15" s="1"/>
  <c r="X7192" i="15"/>
  <c r="Y7191" i="15" s="1"/>
  <c r="X7193" i="15"/>
  <c r="Y7192" i="15" s="1"/>
  <c r="X7194" i="15"/>
  <c r="Y7193" i="15" s="1"/>
  <c r="X7195" i="15"/>
  <c r="Y7194" i="15" s="1"/>
  <c r="X7196" i="15"/>
  <c r="Y7195" i="15" s="1"/>
  <c r="X7197" i="15"/>
  <c r="Y7196" i="15" s="1"/>
  <c r="X7198" i="15"/>
  <c r="Y7197" i="15" s="1"/>
  <c r="X7199" i="15"/>
  <c r="Y7198" i="15" s="1"/>
  <c r="X7200" i="15"/>
  <c r="Y7199" i="15" s="1"/>
  <c r="X7201" i="15"/>
  <c r="Y7200" i="15" s="1"/>
  <c r="X7202" i="15"/>
  <c r="Y7201" i="15" s="1"/>
  <c r="X7203" i="15"/>
  <c r="Y7202" i="15" s="1"/>
  <c r="X7204" i="15"/>
  <c r="Y7203" i="15" s="1"/>
  <c r="X7205" i="15"/>
  <c r="Y7204" i="15" s="1"/>
  <c r="X7206" i="15"/>
  <c r="Y7205" i="15" s="1"/>
  <c r="X7207" i="15"/>
  <c r="Y7206" i="15" s="1"/>
  <c r="X7208" i="15"/>
  <c r="Y7207" i="15" s="1"/>
  <c r="X7209" i="15"/>
  <c r="Y7208" i="15" s="1"/>
  <c r="X7210" i="15"/>
  <c r="Y7209" i="15" s="1"/>
  <c r="X7211" i="15"/>
  <c r="Y7210" i="15" s="1"/>
  <c r="X7212" i="15"/>
  <c r="Y7211" i="15" s="1"/>
  <c r="X7213" i="15"/>
  <c r="Y7212" i="15" s="1"/>
  <c r="X7214" i="15"/>
  <c r="Y7213" i="15" s="1"/>
  <c r="X7215" i="15"/>
  <c r="Y7214" i="15" s="1"/>
  <c r="X7216" i="15"/>
  <c r="Y7215" i="15" s="1"/>
  <c r="X7217" i="15"/>
  <c r="Y7216" i="15" s="1"/>
  <c r="X7218" i="15"/>
  <c r="Y7217" i="15" s="1"/>
  <c r="X7219" i="15"/>
  <c r="Y7218" i="15" s="1"/>
  <c r="X7220" i="15"/>
  <c r="Y7219" i="15" s="1"/>
  <c r="X7221" i="15"/>
  <c r="Y7220" i="15" s="1"/>
  <c r="X7222" i="15"/>
  <c r="Y7221" i="15" s="1"/>
  <c r="X7223" i="15"/>
  <c r="Y7222" i="15" s="1"/>
  <c r="X7224" i="15"/>
  <c r="Y7223" i="15" s="1"/>
  <c r="X7225" i="15"/>
  <c r="Y7224" i="15" s="1"/>
  <c r="X7226" i="15"/>
  <c r="Y7225" i="15" s="1"/>
  <c r="X7227" i="15"/>
  <c r="Y7226" i="15" s="1"/>
  <c r="X7228" i="15"/>
  <c r="Y7227" i="15" s="1"/>
  <c r="X7229" i="15"/>
  <c r="Y7228" i="15" s="1"/>
  <c r="X7230" i="15"/>
  <c r="Y7229" i="15" s="1"/>
  <c r="X7231" i="15"/>
  <c r="Y7230" i="15" s="1"/>
  <c r="X7232" i="15"/>
  <c r="Y7231" i="15" s="1"/>
  <c r="X7233" i="15"/>
  <c r="Y7232" i="15" s="1"/>
  <c r="X7234" i="15"/>
  <c r="Y7233" i="15" s="1"/>
  <c r="X7235" i="15"/>
  <c r="Y7234" i="15" s="1"/>
  <c r="X7236" i="15"/>
  <c r="Y7235" i="15" s="1"/>
  <c r="X7237" i="15"/>
  <c r="Y7236" i="15" s="1"/>
  <c r="X7238" i="15"/>
  <c r="Y7237" i="15" s="1"/>
  <c r="X7239" i="15"/>
  <c r="Y7238" i="15" s="1"/>
  <c r="X7240" i="15"/>
  <c r="Y7239" i="15" s="1"/>
  <c r="X7241" i="15"/>
  <c r="Y7240" i="15" s="1"/>
  <c r="X7242" i="15"/>
  <c r="Y7241" i="15" s="1"/>
  <c r="X7243" i="15"/>
  <c r="Y7242" i="15" s="1"/>
  <c r="X7244" i="15"/>
  <c r="Y7243" i="15" s="1"/>
  <c r="X7245" i="15"/>
  <c r="Y7244" i="15" s="1"/>
  <c r="X7246" i="15"/>
  <c r="Y7245" i="15" s="1"/>
  <c r="X7247" i="15"/>
  <c r="Y7246" i="15" s="1"/>
  <c r="X7248" i="15"/>
  <c r="Y7247" i="15" s="1"/>
  <c r="X7249" i="15"/>
  <c r="Y7248" i="15" s="1"/>
  <c r="X7250" i="15"/>
  <c r="Y7249" i="15" s="1"/>
  <c r="X7251" i="15"/>
  <c r="Y7250" i="15" s="1"/>
  <c r="X7252" i="15"/>
  <c r="Y7251" i="15" s="1"/>
  <c r="X7253" i="15"/>
  <c r="Y7252" i="15" s="1"/>
  <c r="X7254" i="15"/>
  <c r="Y7253" i="15" s="1"/>
  <c r="X7255" i="15"/>
  <c r="Y7254" i="15" s="1"/>
  <c r="X7256" i="15"/>
  <c r="Y7255" i="15" s="1"/>
  <c r="X7257" i="15"/>
  <c r="Y7256" i="15" s="1"/>
  <c r="X7258" i="15"/>
  <c r="Y7257" i="15" s="1"/>
  <c r="X7259" i="15"/>
  <c r="Y7258" i="15" s="1"/>
  <c r="X7260" i="15"/>
  <c r="Y7259" i="15" s="1"/>
  <c r="X7261" i="15"/>
  <c r="Y7260" i="15" s="1"/>
  <c r="X7262" i="15"/>
  <c r="Y7261" i="15" s="1"/>
  <c r="X7263" i="15"/>
  <c r="Y7262" i="15" s="1"/>
  <c r="X7264" i="15"/>
  <c r="Y7263" i="15" s="1"/>
  <c r="X7265" i="15"/>
  <c r="Y7264" i="15" s="1"/>
  <c r="X7266" i="15"/>
  <c r="Y7265" i="15" s="1"/>
  <c r="X7267" i="15"/>
  <c r="Y7266" i="15" s="1"/>
  <c r="X7268" i="15"/>
  <c r="Y7267" i="15" s="1"/>
  <c r="X7269" i="15"/>
  <c r="Y7268" i="15" s="1"/>
  <c r="X7270" i="15"/>
  <c r="Y7269" i="15" s="1"/>
  <c r="X7271" i="15"/>
  <c r="Y7270" i="15" s="1"/>
  <c r="X7272" i="15"/>
  <c r="Y7271" i="15" s="1"/>
  <c r="X7273" i="15"/>
  <c r="Y7272" i="15" s="1"/>
  <c r="X7274" i="15"/>
  <c r="Y7273" i="15" s="1"/>
  <c r="X7275" i="15"/>
  <c r="Y7274" i="15" s="1"/>
  <c r="X7276" i="15"/>
  <c r="Y7275" i="15" s="1"/>
  <c r="X7277" i="15"/>
  <c r="Y7276" i="15" s="1"/>
  <c r="X7278" i="15"/>
  <c r="Y7277" i="15" s="1"/>
  <c r="X7279" i="15"/>
  <c r="Y7278" i="15" s="1"/>
  <c r="X7280" i="15"/>
  <c r="Y7279" i="15" s="1"/>
  <c r="X7281" i="15"/>
  <c r="Y7280" i="15" s="1"/>
  <c r="X7282" i="15"/>
  <c r="Y7281" i="15" s="1"/>
  <c r="X7283" i="15"/>
  <c r="Y7282" i="15" s="1"/>
  <c r="X7284" i="15"/>
  <c r="Y7283" i="15" s="1"/>
  <c r="X7285" i="15"/>
  <c r="Y7284" i="15" s="1"/>
  <c r="X7286" i="15"/>
  <c r="Y7285" i="15" s="1"/>
  <c r="X7287" i="15"/>
  <c r="Y7286" i="15" s="1"/>
  <c r="X7288" i="15"/>
  <c r="Y7287" i="15" s="1"/>
  <c r="X7289" i="15"/>
  <c r="Y7288" i="15" s="1"/>
  <c r="X7290" i="15"/>
  <c r="Y7289" i="15" s="1"/>
  <c r="X7291" i="15"/>
  <c r="Y7290" i="15" s="1"/>
  <c r="X7292" i="15"/>
  <c r="Y7291" i="15" s="1"/>
  <c r="X7293" i="15"/>
  <c r="Y7292" i="15" s="1"/>
  <c r="X7294" i="15"/>
  <c r="Y7293" i="15" s="1"/>
  <c r="X7295" i="15"/>
  <c r="Y7294" i="15" s="1"/>
  <c r="X7296" i="15"/>
  <c r="Y7295" i="15" s="1"/>
  <c r="X7297" i="15"/>
  <c r="Y7296" i="15" s="1"/>
  <c r="X7298" i="15"/>
  <c r="Y7297" i="15" s="1"/>
  <c r="X7299" i="15"/>
  <c r="Y7298" i="15" s="1"/>
  <c r="X7300" i="15"/>
  <c r="Y7299" i="15" s="1"/>
  <c r="X7301" i="15"/>
  <c r="Y7300" i="15" s="1"/>
  <c r="X7302" i="15"/>
  <c r="Y7301" i="15" s="1"/>
  <c r="X7303" i="15"/>
  <c r="Y7302" i="15" s="1"/>
  <c r="X7304" i="15"/>
  <c r="Y7303" i="15" s="1"/>
  <c r="X7305" i="15"/>
  <c r="Y7304" i="15" s="1"/>
  <c r="X7306" i="15"/>
  <c r="Y7305" i="15" s="1"/>
  <c r="X7307" i="15"/>
  <c r="Y7306" i="15" s="1"/>
  <c r="X7308" i="15"/>
  <c r="Y7307" i="15" s="1"/>
  <c r="X7309" i="15"/>
  <c r="Y7308" i="15" s="1"/>
  <c r="X7310" i="15"/>
  <c r="Y7309" i="15" s="1"/>
  <c r="X7311" i="15"/>
  <c r="Y7310" i="15" s="1"/>
  <c r="X7312" i="15"/>
  <c r="Y7311" i="15" s="1"/>
  <c r="X7313" i="15"/>
  <c r="Y7312" i="15" s="1"/>
  <c r="X7314" i="15"/>
  <c r="Y7313" i="15" s="1"/>
  <c r="X7315" i="15"/>
  <c r="Y7314" i="15" s="1"/>
  <c r="X7316" i="15"/>
  <c r="Y7315" i="15" s="1"/>
  <c r="X7317" i="15"/>
  <c r="Y7316" i="15" s="1"/>
  <c r="X7318" i="15"/>
  <c r="Y7317" i="15" s="1"/>
  <c r="X7319" i="15"/>
  <c r="Y7318" i="15" s="1"/>
  <c r="X7320" i="15"/>
  <c r="Y7319" i="15" s="1"/>
  <c r="X7321" i="15"/>
  <c r="Y7320" i="15" s="1"/>
  <c r="X7322" i="15"/>
  <c r="Y7321" i="15" s="1"/>
  <c r="X7323" i="15"/>
  <c r="Y7322" i="15" s="1"/>
  <c r="X7324" i="15"/>
  <c r="Y7323" i="15" s="1"/>
  <c r="X7325" i="15"/>
  <c r="Y7324" i="15" s="1"/>
  <c r="X7326" i="15"/>
  <c r="Y7325" i="15" s="1"/>
  <c r="X7327" i="15"/>
  <c r="Y7326" i="15" s="1"/>
  <c r="X7328" i="15"/>
  <c r="Y7327" i="15" s="1"/>
  <c r="X7329" i="15"/>
  <c r="Y7328" i="15" s="1"/>
  <c r="X7330" i="15"/>
  <c r="Y7329" i="15" s="1"/>
  <c r="X7331" i="15"/>
  <c r="Y7330" i="15" s="1"/>
  <c r="X7332" i="15"/>
  <c r="Y7331" i="15" s="1"/>
  <c r="X7333" i="15"/>
  <c r="Y7332" i="15" s="1"/>
  <c r="X7334" i="15"/>
  <c r="Y7333" i="15" s="1"/>
  <c r="X7335" i="15"/>
  <c r="Y7334" i="15" s="1"/>
  <c r="X7336" i="15"/>
  <c r="Y7335" i="15" s="1"/>
  <c r="X7337" i="15"/>
  <c r="Y7336" i="15" s="1"/>
  <c r="X7338" i="15"/>
  <c r="Y7337" i="15" s="1"/>
  <c r="X7339" i="15"/>
  <c r="Y7338" i="15" s="1"/>
  <c r="X7340" i="15"/>
  <c r="Y7339" i="15" s="1"/>
  <c r="X7341" i="15"/>
  <c r="Y7340" i="15" s="1"/>
  <c r="X7342" i="15"/>
  <c r="Y7341" i="15" s="1"/>
  <c r="X7343" i="15"/>
  <c r="Y7342" i="15" s="1"/>
  <c r="X7344" i="15"/>
  <c r="Y7343" i="15" s="1"/>
  <c r="X7345" i="15"/>
  <c r="Y7344" i="15" s="1"/>
  <c r="X7346" i="15"/>
  <c r="Y7345" i="15" s="1"/>
  <c r="X7347" i="15"/>
  <c r="Y7346" i="15" s="1"/>
  <c r="X7348" i="15"/>
  <c r="Y7347" i="15" s="1"/>
  <c r="X7349" i="15"/>
  <c r="Y7348" i="15" s="1"/>
  <c r="X7350" i="15"/>
  <c r="Y7349" i="15" s="1"/>
  <c r="X7351" i="15"/>
  <c r="Y7350" i="15" s="1"/>
  <c r="X7352" i="15"/>
  <c r="Y7351" i="15" s="1"/>
  <c r="X7353" i="15"/>
  <c r="Y7352" i="15" s="1"/>
  <c r="X7354" i="15"/>
  <c r="Y7353" i="15" s="1"/>
  <c r="X7355" i="15"/>
  <c r="Y7354" i="15" s="1"/>
  <c r="X7356" i="15"/>
  <c r="Y7355" i="15" s="1"/>
  <c r="X7357" i="15"/>
  <c r="Y7356" i="15" s="1"/>
  <c r="X7358" i="15"/>
  <c r="Y7357" i="15" s="1"/>
  <c r="X7359" i="15"/>
  <c r="Y7358" i="15" s="1"/>
  <c r="X7360" i="15"/>
  <c r="Y7359" i="15" s="1"/>
  <c r="X7361" i="15"/>
  <c r="Y7360" i="15" s="1"/>
  <c r="X7362" i="15"/>
  <c r="Y7361" i="15" s="1"/>
  <c r="X7363" i="15"/>
  <c r="Y7362" i="15" s="1"/>
  <c r="X7364" i="15"/>
  <c r="Y7363" i="15" s="1"/>
  <c r="X7365" i="15"/>
  <c r="Y7364" i="15" s="1"/>
  <c r="X7366" i="15"/>
  <c r="Y7365" i="15" s="1"/>
  <c r="X7367" i="15"/>
  <c r="Y7366" i="15" s="1"/>
  <c r="X7368" i="15"/>
  <c r="Y7367" i="15" s="1"/>
  <c r="X7369" i="15"/>
  <c r="Y7368" i="15" s="1"/>
  <c r="X7370" i="15"/>
  <c r="Y7369" i="15" s="1"/>
  <c r="X7371" i="15"/>
  <c r="Y7370" i="15" s="1"/>
  <c r="X7372" i="15"/>
  <c r="Y7371" i="15" s="1"/>
  <c r="X7373" i="15"/>
  <c r="Y7372" i="15" s="1"/>
  <c r="X7374" i="15"/>
  <c r="Y7373" i="15" s="1"/>
  <c r="X7375" i="15"/>
  <c r="Y7374" i="15" s="1"/>
  <c r="X7376" i="15"/>
  <c r="Y7375" i="15" s="1"/>
  <c r="X7377" i="15"/>
  <c r="Y7376" i="15" s="1"/>
  <c r="X7378" i="15"/>
  <c r="Y7377" i="15" s="1"/>
  <c r="X7379" i="15"/>
  <c r="Y7378" i="15" s="1"/>
  <c r="X7380" i="15"/>
  <c r="Y7379" i="15" s="1"/>
  <c r="X7381" i="15"/>
  <c r="Y7380" i="15" s="1"/>
  <c r="X7382" i="15"/>
  <c r="Y7381" i="15" s="1"/>
  <c r="X7383" i="15"/>
  <c r="Y7382" i="15" s="1"/>
  <c r="X7384" i="15"/>
  <c r="Y7383" i="15" s="1"/>
  <c r="X7385" i="15"/>
  <c r="Y7384" i="15" s="1"/>
  <c r="X7386" i="15"/>
  <c r="Y7385" i="15" s="1"/>
  <c r="X7387" i="15"/>
  <c r="Y7386" i="15" s="1"/>
  <c r="X7388" i="15"/>
  <c r="Y7387" i="15" s="1"/>
  <c r="X7389" i="15"/>
  <c r="Y7388" i="15" s="1"/>
  <c r="X7390" i="15"/>
  <c r="Y7389" i="15" s="1"/>
  <c r="X7391" i="15"/>
  <c r="Y7390" i="15" s="1"/>
  <c r="X7392" i="15"/>
  <c r="Y7391" i="15" s="1"/>
  <c r="X7393" i="15"/>
  <c r="Y7392" i="15" s="1"/>
  <c r="X7394" i="15"/>
  <c r="Y7393" i="15" s="1"/>
  <c r="X7395" i="15"/>
  <c r="Y7394" i="15" s="1"/>
  <c r="X7396" i="15"/>
  <c r="Y7395" i="15" s="1"/>
  <c r="X7397" i="15"/>
  <c r="Y7396" i="15" s="1"/>
  <c r="X7398" i="15"/>
  <c r="Y7397" i="15" s="1"/>
  <c r="X7399" i="15"/>
  <c r="Y7398" i="15" s="1"/>
  <c r="X7400" i="15"/>
  <c r="Y7399" i="15" s="1"/>
  <c r="X7401" i="15"/>
  <c r="Y7400" i="15" s="1"/>
  <c r="X7402" i="15"/>
  <c r="Y7401" i="15" s="1"/>
  <c r="X7403" i="15"/>
  <c r="Y7402" i="15" s="1"/>
  <c r="X7404" i="15"/>
  <c r="Y7403" i="15" s="1"/>
  <c r="X7405" i="15"/>
  <c r="Y7404" i="15" s="1"/>
  <c r="X7406" i="15"/>
  <c r="Y7405" i="15" s="1"/>
  <c r="X7407" i="15"/>
  <c r="Y7406" i="15" s="1"/>
  <c r="X7408" i="15"/>
  <c r="Y7407" i="15" s="1"/>
  <c r="X7409" i="15"/>
  <c r="Y7408" i="15" s="1"/>
  <c r="X7410" i="15"/>
  <c r="Y7409" i="15" s="1"/>
  <c r="X7411" i="15"/>
  <c r="Y7410" i="15" s="1"/>
  <c r="X7412" i="15"/>
  <c r="Y7411" i="15" s="1"/>
  <c r="X7413" i="15"/>
  <c r="Y7412" i="15" s="1"/>
  <c r="X7414" i="15"/>
  <c r="Y7413" i="15" s="1"/>
  <c r="X7415" i="15"/>
  <c r="Y7414" i="15" s="1"/>
  <c r="X7416" i="15"/>
  <c r="Y7415" i="15" s="1"/>
  <c r="X7417" i="15"/>
  <c r="Y7416" i="15" s="1"/>
  <c r="X7418" i="15"/>
  <c r="Y7417" i="15" s="1"/>
  <c r="X7419" i="15"/>
  <c r="Y7418" i="15" s="1"/>
  <c r="X7420" i="15"/>
  <c r="Y7419" i="15" s="1"/>
  <c r="X7421" i="15"/>
  <c r="Y7420" i="15" s="1"/>
  <c r="X7422" i="15"/>
  <c r="Y7421" i="15" s="1"/>
  <c r="X7423" i="15"/>
  <c r="Y7422" i="15" s="1"/>
  <c r="X7424" i="15"/>
  <c r="Y7423" i="15" s="1"/>
  <c r="X7425" i="15"/>
  <c r="Y7424" i="15" s="1"/>
  <c r="X7426" i="15"/>
  <c r="Y7425" i="15" s="1"/>
  <c r="X7427" i="15"/>
  <c r="Y7426" i="15" s="1"/>
  <c r="X7428" i="15"/>
  <c r="Y7427" i="15" s="1"/>
  <c r="X7429" i="15"/>
  <c r="Y7428" i="15" s="1"/>
  <c r="X7430" i="15"/>
  <c r="Y7429" i="15" s="1"/>
  <c r="X7431" i="15"/>
  <c r="Y7430" i="15" s="1"/>
  <c r="X7432" i="15"/>
  <c r="Y7431" i="15" s="1"/>
  <c r="X7433" i="15"/>
  <c r="Y7432" i="15" s="1"/>
  <c r="X7434" i="15"/>
  <c r="Y7433" i="15" s="1"/>
  <c r="X7435" i="15"/>
  <c r="Y7434" i="15" s="1"/>
  <c r="X7436" i="15"/>
  <c r="Y7435" i="15" s="1"/>
  <c r="X7437" i="15"/>
  <c r="Y7436" i="15" s="1"/>
  <c r="X7438" i="15"/>
  <c r="Y7437" i="15" s="1"/>
  <c r="X7439" i="15"/>
  <c r="Y7438" i="15" s="1"/>
  <c r="X7440" i="15"/>
  <c r="Y7439" i="15" s="1"/>
  <c r="X7441" i="15"/>
  <c r="Y7440" i="15" s="1"/>
  <c r="X7442" i="15"/>
  <c r="Y7441" i="15" s="1"/>
  <c r="X7443" i="15"/>
  <c r="Y7442" i="15" s="1"/>
  <c r="X7444" i="15"/>
  <c r="Y7443" i="15" s="1"/>
  <c r="X7445" i="15"/>
  <c r="Y7444" i="15" s="1"/>
  <c r="X7446" i="15"/>
  <c r="Y7445" i="15" s="1"/>
  <c r="X7447" i="15"/>
  <c r="Y7446" i="15" s="1"/>
  <c r="X7448" i="15"/>
  <c r="Y7447" i="15" s="1"/>
  <c r="X7449" i="15"/>
  <c r="Y7448" i="15" s="1"/>
  <c r="X7450" i="15"/>
  <c r="Y7449" i="15" s="1"/>
  <c r="X7451" i="15"/>
  <c r="Y7450" i="15" s="1"/>
  <c r="X7452" i="15"/>
  <c r="Y7451" i="15" s="1"/>
  <c r="X7453" i="15"/>
  <c r="Y7452" i="15" s="1"/>
  <c r="X7454" i="15"/>
  <c r="Y7453" i="15" s="1"/>
  <c r="X7455" i="15"/>
  <c r="Y7454" i="15" s="1"/>
  <c r="X7456" i="15"/>
  <c r="Y7455" i="15" s="1"/>
  <c r="X7457" i="15"/>
  <c r="Y7456" i="15" s="1"/>
  <c r="X7458" i="15"/>
  <c r="Y7457" i="15" s="1"/>
  <c r="X7459" i="15"/>
  <c r="Y7458" i="15" s="1"/>
  <c r="X7460" i="15"/>
  <c r="Y7459" i="15" s="1"/>
  <c r="X7461" i="15"/>
  <c r="Y7460" i="15" s="1"/>
  <c r="X7462" i="15"/>
  <c r="Y7461" i="15" s="1"/>
  <c r="X7463" i="15"/>
  <c r="Y7462" i="15" s="1"/>
  <c r="X7464" i="15"/>
  <c r="Y7463" i="15" s="1"/>
  <c r="X7465" i="15"/>
  <c r="Y7464" i="15" s="1"/>
  <c r="X7466" i="15"/>
  <c r="Y7465" i="15" s="1"/>
  <c r="X7467" i="15"/>
  <c r="Y7466" i="15" s="1"/>
  <c r="X7468" i="15"/>
  <c r="Y7467" i="15" s="1"/>
  <c r="X7469" i="15"/>
  <c r="Y7468" i="15" s="1"/>
  <c r="X7470" i="15"/>
  <c r="Y7469" i="15" s="1"/>
  <c r="X7471" i="15"/>
  <c r="Y7470" i="15" s="1"/>
  <c r="X7472" i="15"/>
  <c r="Y7471" i="15" s="1"/>
  <c r="X7473" i="15"/>
  <c r="Y7472" i="15" s="1"/>
  <c r="X7474" i="15"/>
  <c r="Y7473" i="15" s="1"/>
  <c r="X7475" i="15"/>
  <c r="Y7474" i="15" s="1"/>
  <c r="X7476" i="15"/>
  <c r="Y7475" i="15" s="1"/>
  <c r="X7477" i="15"/>
  <c r="Y7476" i="15" s="1"/>
  <c r="X7478" i="15"/>
  <c r="Y7477" i="15" s="1"/>
  <c r="X7479" i="15"/>
  <c r="Y7478" i="15" s="1"/>
  <c r="X7480" i="15"/>
  <c r="Y7479" i="15" s="1"/>
  <c r="X7481" i="15"/>
  <c r="Y7480" i="15" s="1"/>
  <c r="X7482" i="15"/>
  <c r="Y7481" i="15" s="1"/>
  <c r="X7483" i="15"/>
  <c r="Y7482" i="15" s="1"/>
  <c r="X7484" i="15"/>
  <c r="Y7483" i="15" s="1"/>
  <c r="X7485" i="15"/>
  <c r="Y7484" i="15" s="1"/>
  <c r="X7486" i="15"/>
  <c r="Y7485" i="15" s="1"/>
  <c r="X7487" i="15"/>
  <c r="Y7486" i="15" s="1"/>
  <c r="X7488" i="15"/>
  <c r="Y7487" i="15" s="1"/>
  <c r="X7489" i="15"/>
  <c r="Y7488" i="15" s="1"/>
  <c r="X7490" i="15"/>
  <c r="Y7489" i="15" s="1"/>
  <c r="X7491" i="15"/>
  <c r="Y7490" i="15" s="1"/>
  <c r="X7492" i="15"/>
  <c r="Y7491" i="15" s="1"/>
  <c r="X7493" i="15"/>
  <c r="Y7492" i="15" s="1"/>
  <c r="X7494" i="15"/>
  <c r="Y7493" i="15" s="1"/>
  <c r="X7495" i="15"/>
  <c r="Y7494" i="15" s="1"/>
  <c r="X7496" i="15"/>
  <c r="Y7495" i="15" s="1"/>
  <c r="X7497" i="15"/>
  <c r="Y7496" i="15" s="1"/>
  <c r="X7498" i="15"/>
  <c r="Y7497" i="15" s="1"/>
  <c r="X7499" i="15"/>
  <c r="Y7498" i="15" s="1"/>
  <c r="X7500" i="15"/>
  <c r="Y7499" i="15" s="1"/>
  <c r="X7501" i="15"/>
  <c r="Y7500" i="15" s="1"/>
  <c r="X7502" i="15"/>
  <c r="Y7501" i="15" s="1"/>
  <c r="X7503" i="15"/>
  <c r="Y7502" i="15" s="1"/>
  <c r="X7504" i="15"/>
  <c r="Y7503" i="15" s="1"/>
  <c r="X7505" i="15"/>
  <c r="Y7504" i="15" s="1"/>
  <c r="X7506" i="15"/>
  <c r="Y7505" i="15" s="1"/>
  <c r="X7507" i="15"/>
  <c r="Y7506" i="15" s="1"/>
  <c r="X7508" i="15"/>
  <c r="Y7507" i="15" s="1"/>
  <c r="X7509" i="15"/>
  <c r="Y7508" i="15" s="1"/>
  <c r="X7510" i="15"/>
  <c r="Y7509" i="15" s="1"/>
  <c r="X7511" i="15"/>
  <c r="Y7510" i="15" s="1"/>
  <c r="X7512" i="15"/>
  <c r="Y7511" i="15" s="1"/>
  <c r="X7513" i="15"/>
  <c r="Y7512" i="15" s="1"/>
  <c r="X7514" i="15"/>
  <c r="Y7513" i="15" s="1"/>
  <c r="X7515" i="15"/>
  <c r="Y7514" i="15" s="1"/>
  <c r="X7516" i="15"/>
  <c r="Y7515" i="15" s="1"/>
  <c r="X7517" i="15"/>
  <c r="Y7516" i="15" s="1"/>
  <c r="X7518" i="15"/>
  <c r="Y7517" i="15" s="1"/>
  <c r="X7519" i="15"/>
  <c r="Y7518" i="15" s="1"/>
  <c r="X7520" i="15"/>
  <c r="Y7519" i="15" s="1"/>
  <c r="X7521" i="15"/>
  <c r="Y7520" i="15" s="1"/>
  <c r="X7522" i="15"/>
  <c r="Y7521" i="15" s="1"/>
  <c r="X7523" i="15"/>
  <c r="Y7522" i="15" s="1"/>
  <c r="X7524" i="15"/>
  <c r="Y7523" i="15" s="1"/>
  <c r="X7525" i="15"/>
  <c r="Y7524" i="15" s="1"/>
  <c r="X7526" i="15"/>
  <c r="Y7525" i="15" s="1"/>
  <c r="X7527" i="15"/>
  <c r="Y7526" i="15" s="1"/>
  <c r="X7528" i="15"/>
  <c r="Y7527" i="15" s="1"/>
  <c r="X7529" i="15"/>
  <c r="Y7528" i="15" s="1"/>
  <c r="X7530" i="15"/>
  <c r="Y7529" i="15" s="1"/>
  <c r="X7531" i="15"/>
  <c r="Y7530" i="15" s="1"/>
  <c r="X7532" i="15"/>
  <c r="Y7531" i="15" s="1"/>
  <c r="X7533" i="15"/>
  <c r="Y7532" i="15" s="1"/>
  <c r="X7534" i="15"/>
  <c r="Y7533" i="15" s="1"/>
  <c r="X7535" i="15"/>
  <c r="Y7534" i="15" s="1"/>
  <c r="X7536" i="15"/>
  <c r="Y7535" i="15" s="1"/>
  <c r="X7537" i="15"/>
  <c r="Y7536" i="15" s="1"/>
  <c r="X7538" i="15"/>
  <c r="Y7537" i="15" s="1"/>
  <c r="X7539" i="15"/>
  <c r="Y7538" i="15" s="1"/>
  <c r="X7540" i="15"/>
  <c r="Y7539" i="15" s="1"/>
  <c r="X7541" i="15"/>
  <c r="Y7540" i="15" s="1"/>
  <c r="X7542" i="15"/>
  <c r="Y7541" i="15" s="1"/>
  <c r="X7543" i="15"/>
  <c r="Y7542" i="15" s="1"/>
  <c r="X7544" i="15"/>
  <c r="Y7543" i="15" s="1"/>
  <c r="X7545" i="15"/>
  <c r="Y7544" i="15" s="1"/>
  <c r="X7546" i="15"/>
  <c r="Y7545" i="15" s="1"/>
  <c r="X7547" i="15"/>
  <c r="Y7546" i="15" s="1"/>
  <c r="X7548" i="15"/>
  <c r="Y7547" i="15" s="1"/>
  <c r="X7549" i="15"/>
  <c r="Y7548" i="15" s="1"/>
  <c r="X7550" i="15"/>
  <c r="Y7549" i="15" s="1"/>
  <c r="X7551" i="15"/>
  <c r="Y7550" i="15" s="1"/>
  <c r="X7552" i="15"/>
  <c r="Y7551" i="15" s="1"/>
  <c r="X7553" i="15"/>
  <c r="Y7552" i="15" s="1"/>
  <c r="X7554" i="15"/>
  <c r="Y7553" i="15" s="1"/>
  <c r="X7555" i="15"/>
  <c r="Y7554" i="15" s="1"/>
  <c r="X7556" i="15"/>
  <c r="Y7555" i="15" s="1"/>
  <c r="X7557" i="15"/>
  <c r="Y7556" i="15" s="1"/>
  <c r="X7558" i="15"/>
  <c r="Y7557" i="15" s="1"/>
  <c r="X7559" i="15"/>
  <c r="Y7558" i="15" s="1"/>
  <c r="X7560" i="15"/>
  <c r="Y7559" i="15" s="1"/>
  <c r="X7561" i="15"/>
  <c r="Y7560" i="15" s="1"/>
  <c r="X7562" i="15"/>
  <c r="Y7561" i="15" s="1"/>
  <c r="X7563" i="15"/>
  <c r="Y7562" i="15" s="1"/>
  <c r="X7564" i="15"/>
  <c r="Y7563" i="15" s="1"/>
  <c r="X7565" i="15"/>
  <c r="Y7564" i="15" s="1"/>
  <c r="X7566" i="15"/>
  <c r="Y7565" i="15" s="1"/>
  <c r="X7567" i="15"/>
  <c r="Y7566" i="15" s="1"/>
  <c r="X7568" i="15"/>
  <c r="Y7567" i="15" s="1"/>
  <c r="X7569" i="15"/>
  <c r="Y7568" i="15" s="1"/>
  <c r="X7570" i="15"/>
  <c r="Y7569" i="15" s="1"/>
  <c r="X7571" i="15"/>
  <c r="Y7570" i="15" s="1"/>
  <c r="X7572" i="15"/>
  <c r="Y7571" i="15" s="1"/>
  <c r="X7573" i="15"/>
  <c r="Y7572" i="15" s="1"/>
  <c r="X7574" i="15"/>
  <c r="Y7573" i="15" s="1"/>
  <c r="X7575" i="15"/>
  <c r="Y7574" i="15" s="1"/>
  <c r="X7576" i="15"/>
  <c r="Y7575" i="15" s="1"/>
  <c r="X7577" i="15"/>
  <c r="Y7576" i="15" s="1"/>
  <c r="X7578" i="15"/>
  <c r="Y7577" i="15" s="1"/>
  <c r="X7579" i="15"/>
  <c r="Y7578" i="15" s="1"/>
  <c r="X7580" i="15"/>
  <c r="Y7579" i="15" s="1"/>
  <c r="X7581" i="15"/>
  <c r="Y7580" i="15" s="1"/>
  <c r="X7582" i="15"/>
  <c r="Y7581" i="15" s="1"/>
  <c r="X7583" i="15"/>
  <c r="Y7582" i="15" s="1"/>
  <c r="X7584" i="15"/>
  <c r="Y7583" i="15" s="1"/>
  <c r="X7585" i="15"/>
  <c r="Y7584" i="15" s="1"/>
  <c r="X7586" i="15"/>
  <c r="Y7585" i="15" s="1"/>
  <c r="X7587" i="15"/>
  <c r="Y7586" i="15" s="1"/>
  <c r="X7588" i="15"/>
  <c r="Y7587" i="15" s="1"/>
  <c r="X7589" i="15"/>
  <c r="Y7588" i="15" s="1"/>
  <c r="X7590" i="15"/>
  <c r="Y7589" i="15" s="1"/>
  <c r="X7591" i="15"/>
  <c r="Y7590" i="15" s="1"/>
  <c r="X7592" i="15"/>
  <c r="Y7591" i="15" s="1"/>
  <c r="X7593" i="15"/>
  <c r="Y7592" i="15" s="1"/>
  <c r="X7594" i="15"/>
  <c r="Y7593" i="15" s="1"/>
  <c r="X7595" i="15"/>
  <c r="Y7594" i="15" s="1"/>
  <c r="X7596" i="15"/>
  <c r="Y7595" i="15" s="1"/>
  <c r="X7597" i="15"/>
  <c r="Y7596" i="15" s="1"/>
  <c r="X7598" i="15"/>
  <c r="Y7597" i="15" s="1"/>
  <c r="X7599" i="15"/>
  <c r="Y7598" i="15" s="1"/>
  <c r="X7600" i="15"/>
  <c r="Y7599" i="15" s="1"/>
  <c r="X7601" i="15"/>
  <c r="Y7600" i="15" s="1"/>
  <c r="X7602" i="15"/>
  <c r="Y7601" i="15" s="1"/>
  <c r="X7603" i="15"/>
  <c r="Y7602" i="15" s="1"/>
  <c r="X7604" i="15"/>
  <c r="Y7603" i="15" s="1"/>
  <c r="X7605" i="15"/>
  <c r="Y7604" i="15" s="1"/>
  <c r="X7606" i="15"/>
  <c r="Y7605" i="15" s="1"/>
  <c r="X7607" i="15"/>
  <c r="Y7606" i="15" s="1"/>
  <c r="X7608" i="15"/>
  <c r="Y7607" i="15" s="1"/>
  <c r="X7609" i="15"/>
  <c r="Y7608" i="15" s="1"/>
  <c r="X7610" i="15"/>
  <c r="Y7609" i="15" s="1"/>
  <c r="X7611" i="15"/>
  <c r="Y7610" i="15" s="1"/>
  <c r="X7612" i="15"/>
  <c r="Y7611" i="15" s="1"/>
  <c r="X7613" i="15"/>
  <c r="Y7612" i="15" s="1"/>
  <c r="X7614" i="15"/>
  <c r="Y7613" i="15" s="1"/>
  <c r="X7615" i="15"/>
  <c r="Y7614" i="15" s="1"/>
  <c r="X7616" i="15"/>
  <c r="Y7615" i="15" s="1"/>
  <c r="X7617" i="15"/>
  <c r="Y7616" i="15" s="1"/>
  <c r="X7618" i="15"/>
  <c r="Y7617" i="15" s="1"/>
  <c r="X7619" i="15"/>
  <c r="Y7618" i="15" s="1"/>
  <c r="X7620" i="15"/>
  <c r="Y7619" i="15" s="1"/>
  <c r="X7621" i="15"/>
  <c r="Y7620" i="15" s="1"/>
  <c r="X7622" i="15"/>
  <c r="Y7621" i="15" s="1"/>
  <c r="X7623" i="15"/>
  <c r="Y7622" i="15" s="1"/>
  <c r="X7624" i="15"/>
  <c r="Y7623" i="15" s="1"/>
  <c r="X7625" i="15"/>
  <c r="Y7624" i="15" s="1"/>
  <c r="X7626" i="15"/>
  <c r="Y7625" i="15" s="1"/>
  <c r="X7627" i="15"/>
  <c r="Y7626" i="15" s="1"/>
  <c r="X7628" i="15"/>
  <c r="Y7627" i="15" s="1"/>
  <c r="X7629" i="15"/>
  <c r="Y7628" i="15" s="1"/>
  <c r="X7630" i="15"/>
  <c r="Y7629" i="15" s="1"/>
  <c r="X7631" i="15"/>
  <c r="Y7630" i="15" s="1"/>
  <c r="X7632" i="15"/>
  <c r="Y7631" i="15" s="1"/>
  <c r="X7633" i="15"/>
  <c r="Y7632" i="15" s="1"/>
  <c r="X7634" i="15"/>
  <c r="Y7633" i="15" s="1"/>
  <c r="X7635" i="15"/>
  <c r="Y7634" i="15" s="1"/>
  <c r="X7636" i="15"/>
  <c r="Y7635" i="15" s="1"/>
  <c r="X7637" i="15"/>
  <c r="Y7636" i="15" s="1"/>
  <c r="X7638" i="15"/>
  <c r="Y7637" i="15" s="1"/>
  <c r="X7639" i="15"/>
  <c r="Y7638" i="15" s="1"/>
  <c r="X7640" i="15"/>
  <c r="Y7639" i="15" s="1"/>
  <c r="X7641" i="15"/>
  <c r="Y7640" i="15" s="1"/>
  <c r="X7642" i="15"/>
  <c r="Y7641" i="15" s="1"/>
  <c r="X7643" i="15"/>
  <c r="Y7642" i="15" s="1"/>
  <c r="X7644" i="15"/>
  <c r="Y7643" i="15" s="1"/>
  <c r="X7645" i="15"/>
  <c r="Y7644" i="15" s="1"/>
  <c r="X7646" i="15"/>
  <c r="Y7645" i="15" s="1"/>
  <c r="X7647" i="15"/>
  <c r="Y7646" i="15" s="1"/>
  <c r="X7648" i="15"/>
  <c r="Y7647" i="15" s="1"/>
  <c r="X7649" i="15"/>
  <c r="Y7648" i="15" s="1"/>
  <c r="X7650" i="15"/>
  <c r="Y7649" i="15" s="1"/>
  <c r="X7651" i="15"/>
  <c r="Y7650" i="15" s="1"/>
  <c r="X7652" i="15"/>
  <c r="Y7651" i="15" s="1"/>
  <c r="X7653" i="15"/>
  <c r="Y7652" i="15" s="1"/>
  <c r="X7654" i="15"/>
  <c r="Y7653" i="15" s="1"/>
  <c r="X7655" i="15"/>
  <c r="Y7654" i="15" s="1"/>
  <c r="X7656" i="15"/>
  <c r="Y7655" i="15" s="1"/>
  <c r="X7657" i="15"/>
  <c r="Y7656" i="15" s="1"/>
  <c r="X7658" i="15"/>
  <c r="Y7657" i="15" s="1"/>
  <c r="X7659" i="15"/>
  <c r="Y7658" i="15" s="1"/>
  <c r="X7660" i="15"/>
  <c r="Y7659" i="15" s="1"/>
  <c r="X7661" i="15"/>
  <c r="Y7660" i="15" s="1"/>
  <c r="X7662" i="15"/>
  <c r="Y7661" i="15" s="1"/>
  <c r="X7663" i="15"/>
  <c r="Y7662" i="15" s="1"/>
  <c r="X7664" i="15"/>
  <c r="Y7663" i="15" s="1"/>
  <c r="X7665" i="15"/>
  <c r="Y7664" i="15" s="1"/>
  <c r="X7666" i="15"/>
  <c r="Y7665" i="15" s="1"/>
  <c r="X7667" i="15"/>
  <c r="Y7666" i="15" s="1"/>
  <c r="X7668" i="15"/>
  <c r="Y7667" i="15" s="1"/>
  <c r="X7669" i="15"/>
  <c r="Y7668" i="15" s="1"/>
  <c r="X7670" i="15"/>
  <c r="Y7669" i="15" s="1"/>
  <c r="X7671" i="15"/>
  <c r="Y7670" i="15" s="1"/>
  <c r="X7672" i="15"/>
  <c r="Y7671" i="15" s="1"/>
  <c r="X7673" i="15"/>
  <c r="Y7672" i="15" s="1"/>
  <c r="X7674" i="15"/>
  <c r="Y7673" i="15" s="1"/>
  <c r="X7675" i="15"/>
  <c r="Y7674" i="15" s="1"/>
  <c r="X7676" i="15"/>
  <c r="Y7675" i="15" s="1"/>
  <c r="X7677" i="15"/>
  <c r="Y7676" i="15" s="1"/>
  <c r="X7678" i="15"/>
  <c r="Y7677" i="15" s="1"/>
  <c r="X7679" i="15"/>
  <c r="Y7678" i="15" s="1"/>
  <c r="X7680" i="15"/>
  <c r="Y7679" i="15" s="1"/>
  <c r="X7681" i="15"/>
  <c r="Y7680" i="15" s="1"/>
  <c r="X7682" i="15"/>
  <c r="Y7681" i="15" s="1"/>
  <c r="X7683" i="15"/>
  <c r="Y7682" i="15" s="1"/>
  <c r="X7684" i="15"/>
  <c r="Y7683" i="15" s="1"/>
  <c r="X7685" i="15"/>
  <c r="Y7684" i="15" s="1"/>
  <c r="X7686" i="15"/>
  <c r="Y7685" i="15" s="1"/>
  <c r="X7687" i="15"/>
  <c r="Y7686" i="15" s="1"/>
  <c r="X7688" i="15"/>
  <c r="Y7687" i="15" s="1"/>
  <c r="X7689" i="15"/>
  <c r="Y7688" i="15" s="1"/>
  <c r="X7690" i="15"/>
  <c r="Y7689" i="15" s="1"/>
  <c r="X7691" i="15"/>
  <c r="Y7690" i="15" s="1"/>
  <c r="X7692" i="15"/>
  <c r="Y7691" i="15" s="1"/>
  <c r="X7693" i="15"/>
  <c r="Y7692" i="15" s="1"/>
  <c r="X7694" i="15"/>
  <c r="Y7693" i="15" s="1"/>
  <c r="X7695" i="15"/>
  <c r="Y7694" i="15" s="1"/>
  <c r="X7696" i="15"/>
  <c r="Y7695" i="15" s="1"/>
  <c r="X7697" i="15"/>
  <c r="Y7696" i="15" s="1"/>
  <c r="X7698" i="15"/>
  <c r="Y7697" i="15" s="1"/>
  <c r="X7699" i="15"/>
  <c r="Y7698" i="15" s="1"/>
  <c r="X7700" i="15"/>
  <c r="Y7699" i="15" s="1"/>
  <c r="X7701" i="15"/>
  <c r="Y7700" i="15" s="1"/>
  <c r="X7702" i="15"/>
  <c r="Y7701" i="15" s="1"/>
  <c r="X7703" i="15"/>
  <c r="Y7702" i="15" s="1"/>
  <c r="X7704" i="15"/>
  <c r="Y7703" i="15" s="1"/>
  <c r="X7705" i="15"/>
  <c r="Y7704" i="15" s="1"/>
  <c r="X7706" i="15"/>
  <c r="Y7705" i="15" s="1"/>
  <c r="X7707" i="15"/>
  <c r="Y7706" i="15" s="1"/>
  <c r="X7708" i="15"/>
  <c r="Y7707" i="15" s="1"/>
  <c r="X7709" i="15"/>
  <c r="Y7708" i="15" s="1"/>
  <c r="X7710" i="15"/>
  <c r="Y7709" i="15" s="1"/>
  <c r="X7711" i="15"/>
  <c r="Y7710" i="15" s="1"/>
  <c r="X7712" i="15"/>
  <c r="Y7711" i="15" s="1"/>
  <c r="X7713" i="15"/>
  <c r="Y7712" i="15" s="1"/>
  <c r="X7714" i="15"/>
  <c r="Y7713" i="15" s="1"/>
  <c r="X7715" i="15"/>
  <c r="Y7714" i="15" s="1"/>
  <c r="X7716" i="15"/>
  <c r="Y7715" i="15" s="1"/>
  <c r="X7717" i="15"/>
  <c r="Y7716" i="15" s="1"/>
  <c r="X7718" i="15"/>
  <c r="Y7717" i="15" s="1"/>
  <c r="X7719" i="15"/>
  <c r="Y7718" i="15" s="1"/>
  <c r="X7720" i="15"/>
  <c r="Y7719" i="15" s="1"/>
  <c r="X7721" i="15"/>
  <c r="Y7720" i="15" s="1"/>
  <c r="X7722" i="15"/>
  <c r="Y7721" i="15" s="1"/>
  <c r="X7723" i="15"/>
  <c r="Y7722" i="15" s="1"/>
  <c r="X7724" i="15"/>
  <c r="Y7723" i="15" s="1"/>
  <c r="X7725" i="15"/>
  <c r="Y7724" i="15" s="1"/>
  <c r="X7726" i="15"/>
  <c r="Y7725" i="15" s="1"/>
  <c r="X7727" i="15"/>
  <c r="Y7726" i="15" s="1"/>
  <c r="X7728" i="15"/>
  <c r="Y7727" i="15" s="1"/>
  <c r="X7729" i="15"/>
  <c r="Y7728" i="15" s="1"/>
  <c r="X7730" i="15"/>
  <c r="Y7729" i="15" s="1"/>
  <c r="X7731" i="15"/>
  <c r="Y7730" i="15" s="1"/>
  <c r="X7732" i="15"/>
  <c r="Y7731" i="15" s="1"/>
  <c r="X7733" i="15"/>
  <c r="Y7732" i="15" s="1"/>
  <c r="X7734" i="15"/>
  <c r="Y7733" i="15" s="1"/>
  <c r="X7735" i="15"/>
  <c r="Y7734" i="15" s="1"/>
  <c r="X7736" i="15"/>
  <c r="Y7735" i="15" s="1"/>
  <c r="X7737" i="15"/>
  <c r="Y7736" i="15" s="1"/>
  <c r="X7738" i="15"/>
  <c r="Y7737" i="15" s="1"/>
  <c r="X7739" i="15"/>
  <c r="Y7738" i="15" s="1"/>
  <c r="X7740" i="15"/>
  <c r="Y7739" i="15" s="1"/>
  <c r="X7741" i="15"/>
  <c r="Y7740" i="15" s="1"/>
  <c r="X7742" i="15"/>
  <c r="Y7741" i="15" s="1"/>
  <c r="X7743" i="15"/>
  <c r="Y7742" i="15" s="1"/>
  <c r="X7744" i="15"/>
  <c r="Y7743" i="15" s="1"/>
  <c r="X7745" i="15"/>
  <c r="Y7744" i="15" s="1"/>
  <c r="X7746" i="15"/>
  <c r="Y7745" i="15" s="1"/>
  <c r="X7747" i="15"/>
  <c r="Y7746" i="15" s="1"/>
  <c r="X7748" i="15"/>
  <c r="Y7747" i="15" s="1"/>
  <c r="X7749" i="15"/>
  <c r="Y7748" i="15" s="1"/>
  <c r="X7750" i="15"/>
  <c r="Y7749" i="15" s="1"/>
  <c r="X7751" i="15"/>
  <c r="Y7750" i="15" s="1"/>
  <c r="X7752" i="15"/>
  <c r="Y7751" i="15" s="1"/>
  <c r="X7753" i="15"/>
  <c r="Y7752" i="15" s="1"/>
  <c r="X7754" i="15"/>
  <c r="Y7753" i="15" s="1"/>
  <c r="X7755" i="15"/>
  <c r="Y7754" i="15" s="1"/>
  <c r="X7756" i="15"/>
  <c r="Y7755" i="15" s="1"/>
  <c r="X7757" i="15"/>
  <c r="Y7756" i="15" s="1"/>
  <c r="X7758" i="15"/>
  <c r="Y7757" i="15" s="1"/>
  <c r="X7759" i="15"/>
  <c r="Y7758" i="15" s="1"/>
  <c r="X7760" i="15"/>
  <c r="Y7759" i="15" s="1"/>
  <c r="X7761" i="15"/>
  <c r="Y7760" i="15" s="1"/>
  <c r="X7762" i="15"/>
  <c r="Y7761" i="15" s="1"/>
  <c r="X7763" i="15"/>
  <c r="Y7762" i="15" s="1"/>
  <c r="X7764" i="15"/>
  <c r="Y7763" i="15" s="1"/>
  <c r="X7765" i="15"/>
  <c r="Y7764" i="15" s="1"/>
  <c r="X7766" i="15"/>
  <c r="Y7765" i="15" s="1"/>
  <c r="X7767" i="15"/>
  <c r="Y7766" i="15" s="1"/>
  <c r="X7768" i="15"/>
  <c r="Y7767" i="15" s="1"/>
  <c r="X7769" i="15"/>
  <c r="Y7768" i="15" s="1"/>
  <c r="X7770" i="15"/>
  <c r="Y7769" i="15" s="1"/>
  <c r="X7771" i="15"/>
  <c r="Y7770" i="15" s="1"/>
  <c r="X7772" i="15"/>
  <c r="Y7771" i="15" s="1"/>
  <c r="X7773" i="15"/>
  <c r="Y7772" i="15" s="1"/>
  <c r="X7774" i="15"/>
  <c r="Y7773" i="15" s="1"/>
  <c r="X7775" i="15"/>
  <c r="Y7774" i="15" s="1"/>
  <c r="X7776" i="15"/>
  <c r="Y7775" i="15" s="1"/>
  <c r="X7777" i="15"/>
  <c r="Y7776" i="15" s="1"/>
  <c r="X7778" i="15"/>
  <c r="Y7777" i="15" s="1"/>
  <c r="X7779" i="15"/>
  <c r="Y7778" i="15" s="1"/>
  <c r="X7780" i="15"/>
  <c r="Y7779" i="15" s="1"/>
  <c r="X7781" i="15"/>
  <c r="Y7780" i="15" s="1"/>
  <c r="X7782" i="15"/>
  <c r="Y7781" i="15" s="1"/>
  <c r="X7783" i="15"/>
  <c r="Y7782" i="15" s="1"/>
  <c r="X7784" i="15"/>
  <c r="Y7783" i="15" s="1"/>
  <c r="X7785" i="15"/>
  <c r="Y7784" i="15" s="1"/>
  <c r="X7786" i="15"/>
  <c r="Y7785" i="15" s="1"/>
  <c r="X7787" i="15"/>
  <c r="Y7786" i="15" s="1"/>
  <c r="X7788" i="15"/>
  <c r="Y7787" i="15" s="1"/>
  <c r="X7789" i="15"/>
  <c r="Y7788" i="15" s="1"/>
  <c r="X7790" i="15"/>
  <c r="Y7789" i="15" s="1"/>
  <c r="X7791" i="15"/>
  <c r="Y7790" i="15" s="1"/>
  <c r="X7792" i="15"/>
  <c r="Y7791" i="15" s="1"/>
  <c r="X7793" i="15"/>
  <c r="Y7792" i="15" s="1"/>
  <c r="X7794" i="15"/>
  <c r="Y7793" i="15" s="1"/>
  <c r="X7795" i="15"/>
  <c r="Y7794" i="15" s="1"/>
  <c r="X7796" i="15"/>
  <c r="Y7795" i="15" s="1"/>
  <c r="X7797" i="15"/>
  <c r="Y7796" i="15" s="1"/>
  <c r="X7798" i="15"/>
  <c r="Y7797" i="15" s="1"/>
  <c r="X7799" i="15"/>
  <c r="Y7798" i="15" s="1"/>
  <c r="X7800" i="15"/>
  <c r="Y7799" i="15" s="1"/>
  <c r="X7801" i="15"/>
  <c r="Y7800" i="15" s="1"/>
  <c r="X7802" i="15"/>
  <c r="Y7801" i="15" s="1"/>
  <c r="X7803" i="15"/>
  <c r="Y7802" i="15" s="1"/>
  <c r="X7804" i="15"/>
  <c r="Y7803" i="15" s="1"/>
  <c r="X7805" i="15"/>
  <c r="Y7804" i="15" s="1"/>
  <c r="X7806" i="15"/>
  <c r="Y7805" i="15" s="1"/>
  <c r="X7807" i="15"/>
  <c r="Y7806" i="15" s="1"/>
  <c r="X7808" i="15"/>
  <c r="Y7807" i="15" s="1"/>
  <c r="X7809" i="15"/>
  <c r="Y7808" i="15" s="1"/>
  <c r="X7810" i="15"/>
  <c r="Y7809" i="15" s="1"/>
  <c r="X7811" i="15"/>
  <c r="Y7810" i="15" s="1"/>
  <c r="X7812" i="15"/>
  <c r="Y7811" i="15" s="1"/>
  <c r="X7813" i="15"/>
  <c r="Y7812" i="15" s="1"/>
  <c r="X7814" i="15"/>
  <c r="Y7813" i="15" s="1"/>
  <c r="X7815" i="15"/>
  <c r="Y7814" i="15" s="1"/>
  <c r="X7816" i="15"/>
  <c r="Y7815" i="15" s="1"/>
  <c r="X7817" i="15"/>
  <c r="Y7816" i="15" s="1"/>
  <c r="X7818" i="15"/>
  <c r="Y7817" i="15" s="1"/>
  <c r="X7819" i="15"/>
  <c r="Y7818" i="15" s="1"/>
  <c r="X7820" i="15"/>
  <c r="Y7819" i="15" s="1"/>
  <c r="X7821" i="15"/>
  <c r="Y7820" i="15" s="1"/>
  <c r="X7822" i="15"/>
  <c r="Y7821" i="15" s="1"/>
  <c r="X7823" i="15"/>
  <c r="Y7822" i="15" s="1"/>
  <c r="X7824" i="15"/>
  <c r="Y7823" i="15" s="1"/>
  <c r="X7825" i="15"/>
  <c r="Y7824" i="15" s="1"/>
  <c r="X7826" i="15"/>
  <c r="Y7825" i="15" s="1"/>
  <c r="X7827" i="15"/>
  <c r="Y7826" i="15" s="1"/>
  <c r="X7828" i="15"/>
  <c r="Y7827" i="15" s="1"/>
  <c r="X7829" i="15"/>
  <c r="Y7828" i="15" s="1"/>
  <c r="X7830" i="15"/>
  <c r="Y7829" i="15" s="1"/>
  <c r="X7831" i="15"/>
  <c r="Y7830" i="15" s="1"/>
  <c r="X7832" i="15"/>
  <c r="Y7831" i="15" s="1"/>
  <c r="X7833" i="15"/>
  <c r="Y7832" i="15" s="1"/>
  <c r="X7834" i="15"/>
  <c r="Y7833" i="15" s="1"/>
  <c r="X7835" i="15"/>
  <c r="Y7834" i="15" s="1"/>
  <c r="X7836" i="15"/>
  <c r="Y7835" i="15" s="1"/>
  <c r="X7837" i="15"/>
  <c r="Y7836" i="15" s="1"/>
  <c r="X7838" i="15"/>
  <c r="Y7837" i="15" s="1"/>
  <c r="X7839" i="15"/>
  <c r="Y7838" i="15" s="1"/>
  <c r="X7840" i="15"/>
  <c r="Y7839" i="15" s="1"/>
  <c r="X7841" i="15"/>
  <c r="Y7840" i="15" s="1"/>
  <c r="X7842" i="15"/>
  <c r="Y7841" i="15" s="1"/>
  <c r="X7843" i="15"/>
  <c r="Y7842" i="15" s="1"/>
  <c r="X7844" i="15"/>
  <c r="Y7843" i="15" s="1"/>
  <c r="X7845" i="15"/>
  <c r="Y7844" i="15" s="1"/>
  <c r="X7846" i="15"/>
  <c r="Y7845" i="15" s="1"/>
  <c r="X7847" i="15"/>
  <c r="Y7846" i="15" s="1"/>
  <c r="X7848" i="15"/>
  <c r="Y7847" i="15" s="1"/>
  <c r="X7849" i="15"/>
  <c r="Y7848" i="15" s="1"/>
  <c r="X7850" i="15"/>
  <c r="Y7849" i="15" s="1"/>
  <c r="X7851" i="15"/>
  <c r="Y7850" i="15" s="1"/>
  <c r="X7852" i="15"/>
  <c r="Y7851" i="15" s="1"/>
  <c r="X7853" i="15"/>
  <c r="Y7852" i="15" s="1"/>
  <c r="X7854" i="15"/>
  <c r="Y7853" i="15" s="1"/>
  <c r="X7855" i="15"/>
  <c r="Y7854" i="15" s="1"/>
  <c r="X7856" i="15"/>
  <c r="Y7855" i="15" s="1"/>
  <c r="X7857" i="15"/>
  <c r="Y7856" i="15" s="1"/>
  <c r="X7858" i="15"/>
  <c r="Y7857" i="15" s="1"/>
  <c r="X7859" i="15"/>
  <c r="Y7858" i="15" s="1"/>
  <c r="X7860" i="15"/>
  <c r="Y7859" i="15" s="1"/>
  <c r="X7861" i="15"/>
  <c r="Y7860" i="15" s="1"/>
  <c r="X7862" i="15"/>
  <c r="Y7861" i="15" s="1"/>
  <c r="X7863" i="15"/>
  <c r="Y7862" i="15" s="1"/>
  <c r="X7864" i="15"/>
  <c r="Y7863" i="15" s="1"/>
  <c r="X7865" i="15"/>
  <c r="Y7864" i="15" s="1"/>
  <c r="X7866" i="15"/>
  <c r="Y7865" i="15" s="1"/>
  <c r="X7867" i="15"/>
  <c r="Y7866" i="15" s="1"/>
  <c r="X7868" i="15"/>
  <c r="Y7867" i="15" s="1"/>
  <c r="X7869" i="15"/>
  <c r="Y7868" i="15" s="1"/>
  <c r="X7870" i="15"/>
  <c r="Y7869" i="15" s="1"/>
  <c r="X7871" i="15"/>
  <c r="Y7870" i="15" s="1"/>
  <c r="X7872" i="15"/>
  <c r="Y7871" i="15" s="1"/>
  <c r="X7873" i="15"/>
  <c r="Y7872" i="15" s="1"/>
  <c r="X7874" i="15"/>
  <c r="Y7873" i="15" s="1"/>
  <c r="X7875" i="15"/>
  <c r="Y7874" i="15" s="1"/>
  <c r="X7876" i="15"/>
  <c r="Y7875" i="15" s="1"/>
  <c r="X7877" i="15"/>
  <c r="Y7876" i="15" s="1"/>
  <c r="X7878" i="15"/>
  <c r="Y7877" i="15" s="1"/>
  <c r="X7879" i="15"/>
  <c r="Y7878" i="15" s="1"/>
  <c r="X7880" i="15"/>
  <c r="Y7879" i="15" s="1"/>
  <c r="X7881" i="15"/>
  <c r="Y7880" i="15" s="1"/>
  <c r="X7882" i="15"/>
  <c r="Y7881" i="15" s="1"/>
  <c r="X7883" i="15"/>
  <c r="Y7882" i="15" s="1"/>
  <c r="X7884" i="15"/>
  <c r="Y7883" i="15" s="1"/>
  <c r="X7885" i="15"/>
  <c r="Y7884" i="15" s="1"/>
  <c r="X7886" i="15"/>
  <c r="Y7885" i="15" s="1"/>
  <c r="X7887" i="15"/>
  <c r="Y7886" i="15" s="1"/>
  <c r="X7888" i="15"/>
  <c r="Y7887" i="15" s="1"/>
  <c r="X7889" i="15"/>
  <c r="Y7888" i="15" s="1"/>
  <c r="X7890" i="15"/>
  <c r="Y7889" i="15" s="1"/>
  <c r="X7891" i="15"/>
  <c r="Y7890" i="15" s="1"/>
  <c r="X7892" i="15"/>
  <c r="Y7891" i="15" s="1"/>
  <c r="X7893" i="15"/>
  <c r="Y7892" i="15" s="1"/>
  <c r="X7894" i="15"/>
  <c r="Y7893" i="15" s="1"/>
  <c r="X7895" i="15"/>
  <c r="Y7894" i="15" s="1"/>
  <c r="X7896" i="15"/>
  <c r="Y7895" i="15" s="1"/>
  <c r="X7897" i="15"/>
  <c r="Y7896" i="15" s="1"/>
  <c r="X7898" i="15"/>
  <c r="Y7897" i="15" s="1"/>
  <c r="X7899" i="15"/>
  <c r="Y7898" i="15" s="1"/>
  <c r="X7900" i="15"/>
  <c r="Y7899" i="15" s="1"/>
  <c r="X7901" i="15"/>
  <c r="Y7900" i="15" s="1"/>
  <c r="X7902" i="15"/>
  <c r="Y7901" i="15" s="1"/>
  <c r="X7903" i="15"/>
  <c r="Y7902" i="15" s="1"/>
  <c r="X7904" i="15"/>
  <c r="Y7903" i="15" s="1"/>
  <c r="X7905" i="15"/>
  <c r="Y7904" i="15" s="1"/>
  <c r="X7906" i="15"/>
  <c r="Y7905" i="15" s="1"/>
  <c r="X7907" i="15"/>
  <c r="Y7906" i="15" s="1"/>
  <c r="X7908" i="15"/>
  <c r="Y7907" i="15" s="1"/>
  <c r="X7909" i="15"/>
  <c r="Y7908" i="15" s="1"/>
  <c r="X7910" i="15"/>
  <c r="Y7909" i="15" s="1"/>
  <c r="X7911" i="15"/>
  <c r="Y7910" i="15" s="1"/>
  <c r="X7912" i="15"/>
  <c r="Y7911" i="15" s="1"/>
  <c r="X7913" i="15"/>
  <c r="Y7912" i="15" s="1"/>
  <c r="X7914" i="15"/>
  <c r="Y7913" i="15" s="1"/>
  <c r="X7915" i="15"/>
  <c r="Y7914" i="15" s="1"/>
  <c r="X7916" i="15"/>
  <c r="Y7915" i="15" s="1"/>
  <c r="X7917" i="15"/>
  <c r="Y7916" i="15" s="1"/>
  <c r="X7918" i="15"/>
  <c r="Y7917" i="15" s="1"/>
  <c r="X7919" i="15"/>
  <c r="Y7918" i="15" s="1"/>
  <c r="X7920" i="15"/>
  <c r="Y7919" i="15" s="1"/>
  <c r="X7921" i="15"/>
  <c r="Y7920" i="15" s="1"/>
  <c r="X7922" i="15"/>
  <c r="Y7921" i="15" s="1"/>
  <c r="X7923" i="15"/>
  <c r="Y7922" i="15" s="1"/>
  <c r="X7924" i="15"/>
  <c r="Y7923" i="15" s="1"/>
  <c r="X7925" i="15"/>
  <c r="Y7924" i="15" s="1"/>
  <c r="X7926" i="15"/>
  <c r="Y7925" i="15" s="1"/>
  <c r="X7927" i="15"/>
  <c r="Y7926" i="15" s="1"/>
  <c r="X7928" i="15"/>
  <c r="Y7927" i="15" s="1"/>
  <c r="X7929" i="15"/>
  <c r="Y7928" i="15" s="1"/>
  <c r="X7930" i="15"/>
  <c r="Y7929" i="15" s="1"/>
  <c r="X7931" i="15"/>
  <c r="Y7930" i="15" s="1"/>
  <c r="X7932" i="15"/>
  <c r="Y7931" i="15" s="1"/>
  <c r="X7933" i="15"/>
  <c r="Y7932" i="15" s="1"/>
  <c r="X7934" i="15"/>
  <c r="Y7933" i="15" s="1"/>
  <c r="X7935" i="15"/>
  <c r="Y7934" i="15" s="1"/>
  <c r="X7936" i="15"/>
  <c r="Y7935" i="15" s="1"/>
  <c r="X7937" i="15"/>
  <c r="Y7936" i="15" s="1"/>
  <c r="X7938" i="15"/>
  <c r="Y7937" i="15" s="1"/>
  <c r="X7939" i="15"/>
  <c r="Y7938" i="15" s="1"/>
  <c r="X7940" i="15"/>
  <c r="Y7939" i="15" s="1"/>
  <c r="X7941" i="15"/>
  <c r="Y7940" i="15" s="1"/>
  <c r="X7942" i="15"/>
  <c r="Y7941" i="15" s="1"/>
  <c r="X7943" i="15"/>
  <c r="Y7942" i="15" s="1"/>
  <c r="X7944" i="15"/>
  <c r="Y7943" i="15" s="1"/>
  <c r="X7945" i="15"/>
  <c r="Y7944" i="15" s="1"/>
  <c r="X7946" i="15"/>
  <c r="Y7945" i="15" s="1"/>
  <c r="X7947" i="15"/>
  <c r="Y7946" i="15" s="1"/>
  <c r="X7948" i="15"/>
  <c r="Y7947" i="15" s="1"/>
  <c r="X7949" i="15"/>
  <c r="Y7948" i="15" s="1"/>
  <c r="X7950" i="15"/>
  <c r="Y7949" i="15" s="1"/>
  <c r="X7951" i="15"/>
  <c r="Y7950" i="15" s="1"/>
  <c r="X7952" i="15"/>
  <c r="Y7951" i="15" s="1"/>
  <c r="X7953" i="15"/>
  <c r="Y7952" i="15" s="1"/>
  <c r="X7954" i="15"/>
  <c r="Y7953" i="15" s="1"/>
  <c r="X7955" i="15"/>
  <c r="Y7954" i="15" s="1"/>
  <c r="X7956" i="15"/>
  <c r="Y7955" i="15" s="1"/>
  <c r="X7957" i="15"/>
  <c r="Y7956" i="15" s="1"/>
  <c r="X7958" i="15"/>
  <c r="Y7957" i="15" s="1"/>
  <c r="X7959" i="15"/>
  <c r="Y7958" i="15" s="1"/>
  <c r="X7960" i="15"/>
  <c r="Y7959" i="15" s="1"/>
  <c r="X7961" i="15"/>
  <c r="Y7960" i="15" s="1"/>
  <c r="X7962" i="15"/>
  <c r="Y7961" i="15" s="1"/>
  <c r="X7963" i="15"/>
  <c r="Y7962" i="15" s="1"/>
  <c r="X7964" i="15"/>
  <c r="Y7963" i="15" s="1"/>
  <c r="X7965" i="15"/>
  <c r="Y7964" i="15" s="1"/>
  <c r="X7966" i="15"/>
  <c r="Y7965" i="15" s="1"/>
  <c r="X7967" i="15"/>
  <c r="Y7966" i="15" s="1"/>
  <c r="X7968" i="15"/>
  <c r="Y7967" i="15" s="1"/>
  <c r="X7969" i="15"/>
  <c r="Y7968" i="15" s="1"/>
  <c r="X7970" i="15"/>
  <c r="Y7969" i="15" s="1"/>
  <c r="X7971" i="15"/>
  <c r="Y7970" i="15" s="1"/>
  <c r="X7972" i="15"/>
  <c r="Y7971" i="15" s="1"/>
  <c r="X7973" i="15"/>
  <c r="Y7972" i="15" s="1"/>
  <c r="X7974" i="15"/>
  <c r="Y7973" i="15" s="1"/>
  <c r="X7975" i="15"/>
  <c r="Y7974" i="15" s="1"/>
  <c r="X7976" i="15"/>
  <c r="Y7975" i="15" s="1"/>
  <c r="X7977" i="15"/>
  <c r="Y7976" i="15" s="1"/>
  <c r="X7978" i="15"/>
  <c r="Y7977" i="15" s="1"/>
  <c r="X7979" i="15"/>
  <c r="Y7978" i="15" s="1"/>
  <c r="X7980" i="15"/>
  <c r="Y7979" i="15" s="1"/>
  <c r="X7981" i="15"/>
  <c r="Y7980" i="15" s="1"/>
  <c r="X7982" i="15"/>
  <c r="Y7981" i="15" s="1"/>
  <c r="X7983" i="15"/>
  <c r="Y7982" i="15" s="1"/>
  <c r="X7984" i="15"/>
  <c r="Y7983" i="15" s="1"/>
  <c r="X7985" i="15"/>
  <c r="Y7984" i="15" s="1"/>
  <c r="X7986" i="15"/>
  <c r="Y7985" i="15" s="1"/>
  <c r="X7987" i="15"/>
  <c r="Y7986" i="15" s="1"/>
  <c r="X7988" i="15"/>
  <c r="Y7987" i="15" s="1"/>
  <c r="X7989" i="15"/>
  <c r="Y7988" i="15" s="1"/>
  <c r="X7990" i="15"/>
  <c r="Y7989" i="15" s="1"/>
  <c r="X7991" i="15"/>
  <c r="Y7990" i="15" s="1"/>
  <c r="X7992" i="15"/>
  <c r="Y7991" i="15" s="1"/>
  <c r="X7993" i="15"/>
  <c r="Y7992" i="15" s="1"/>
  <c r="X7994" i="15"/>
  <c r="Y7993" i="15" s="1"/>
  <c r="X7995" i="15"/>
  <c r="Y7994" i="15" s="1"/>
  <c r="X7996" i="15"/>
  <c r="Y7995" i="15" s="1"/>
  <c r="X7997" i="15"/>
  <c r="Y7996" i="15" s="1"/>
  <c r="X7998" i="15"/>
  <c r="Y7997" i="15" s="1"/>
  <c r="X7999" i="15"/>
  <c r="Y7998" i="15" s="1"/>
  <c r="X8000" i="15"/>
  <c r="Y7999" i="15" s="1"/>
  <c r="X8001" i="15"/>
  <c r="Y8000" i="15" s="1"/>
  <c r="X8002" i="15"/>
  <c r="Y8001" i="15" s="1"/>
  <c r="X8003" i="15"/>
  <c r="Y8002" i="15" s="1"/>
  <c r="X8004" i="15"/>
  <c r="Y8003" i="15" s="1"/>
  <c r="X8005" i="15"/>
  <c r="Y8004" i="15" s="1"/>
  <c r="X8006" i="15"/>
  <c r="Y8005" i="15" s="1"/>
  <c r="X8007" i="15"/>
  <c r="Y8006" i="15" s="1"/>
  <c r="X8008" i="15"/>
  <c r="Y8007" i="15" s="1"/>
  <c r="X8009" i="15"/>
  <c r="Y8008" i="15" s="1"/>
  <c r="X8010" i="15"/>
  <c r="Y8009" i="15" s="1"/>
  <c r="X8011" i="15"/>
  <c r="Y8010" i="15" s="1"/>
  <c r="X8012" i="15"/>
  <c r="Y8011" i="15" s="1"/>
  <c r="X8013" i="15"/>
  <c r="Y8012" i="15" s="1"/>
  <c r="X8014" i="15"/>
  <c r="Y8013" i="15" s="1"/>
  <c r="X8015" i="15"/>
  <c r="Y8014" i="15" s="1"/>
  <c r="X8016" i="15"/>
  <c r="Y8015" i="15" s="1"/>
  <c r="X8017" i="15"/>
  <c r="Y8016" i="15" s="1"/>
  <c r="X8018" i="15"/>
  <c r="Y8017" i="15" s="1"/>
  <c r="X8019" i="15"/>
  <c r="Y8018" i="15" s="1"/>
  <c r="X8020" i="15"/>
  <c r="Y8019" i="15" s="1"/>
  <c r="X8021" i="15"/>
  <c r="Y8020" i="15" s="1"/>
  <c r="X8022" i="15"/>
  <c r="Y8021" i="15" s="1"/>
  <c r="X8023" i="15"/>
  <c r="Y8022" i="15" s="1"/>
  <c r="X8024" i="15"/>
  <c r="Y8023" i="15" s="1"/>
  <c r="X8025" i="15"/>
  <c r="Y8024" i="15" s="1"/>
  <c r="X8026" i="15"/>
  <c r="Y8025" i="15" s="1"/>
  <c r="X8027" i="15"/>
  <c r="Y8026" i="15" s="1"/>
  <c r="X8028" i="15"/>
  <c r="Y8027" i="15" s="1"/>
  <c r="X8029" i="15"/>
  <c r="Y8028" i="15" s="1"/>
  <c r="X8030" i="15"/>
  <c r="Y8029" i="15" s="1"/>
  <c r="X8031" i="15"/>
  <c r="Y8030" i="15" s="1"/>
  <c r="X8032" i="15"/>
  <c r="Y8031" i="15" s="1"/>
  <c r="X8033" i="15"/>
  <c r="Y8032" i="15" s="1"/>
  <c r="X8034" i="15"/>
  <c r="Y8033" i="15" s="1"/>
  <c r="X8035" i="15"/>
  <c r="Y8034" i="15" s="1"/>
  <c r="X8036" i="15"/>
  <c r="Y8035" i="15" s="1"/>
  <c r="X8037" i="15"/>
  <c r="Y8036" i="15" s="1"/>
  <c r="X8038" i="15"/>
  <c r="Y8037" i="15" s="1"/>
  <c r="X8039" i="15"/>
  <c r="Y8038" i="15" s="1"/>
  <c r="X8040" i="15"/>
  <c r="Y8039" i="15" s="1"/>
  <c r="X8041" i="15"/>
  <c r="Y8040" i="15" s="1"/>
  <c r="X8042" i="15"/>
  <c r="Y8041" i="15" s="1"/>
  <c r="X8043" i="15"/>
  <c r="Y8042" i="15" s="1"/>
  <c r="X8044" i="15"/>
  <c r="Y8043" i="15" s="1"/>
  <c r="X8045" i="15"/>
  <c r="Y8044" i="15" s="1"/>
  <c r="X8046" i="15"/>
  <c r="Y8045" i="15" s="1"/>
  <c r="X8047" i="15"/>
  <c r="Y8046" i="15" s="1"/>
  <c r="X8048" i="15"/>
  <c r="Y8047" i="15" s="1"/>
  <c r="X8049" i="15"/>
  <c r="Y8048" i="15" s="1"/>
  <c r="X8050" i="15"/>
  <c r="Y8049" i="15" s="1"/>
  <c r="X8051" i="15"/>
  <c r="Y8050" i="15" s="1"/>
  <c r="X8052" i="15"/>
  <c r="Y8051" i="15" s="1"/>
  <c r="X8053" i="15"/>
  <c r="Y8052" i="15" s="1"/>
  <c r="X8054" i="15"/>
  <c r="Y8053" i="15" s="1"/>
  <c r="X8055" i="15"/>
  <c r="Y8054" i="15" s="1"/>
  <c r="X8056" i="15"/>
  <c r="Y8055" i="15" s="1"/>
  <c r="X8057" i="15"/>
  <c r="Y8056" i="15" s="1"/>
  <c r="X8058" i="15"/>
  <c r="Y8057" i="15" s="1"/>
  <c r="X8059" i="15"/>
  <c r="Y8058" i="15" s="1"/>
  <c r="X8060" i="15"/>
  <c r="Y8059" i="15" s="1"/>
  <c r="X8061" i="15"/>
  <c r="Y8060" i="15" s="1"/>
  <c r="X8062" i="15"/>
  <c r="Y8061" i="15" s="1"/>
  <c r="X8063" i="15"/>
  <c r="Y8062" i="15" s="1"/>
  <c r="X8064" i="15"/>
  <c r="Y8063" i="15" s="1"/>
  <c r="X8065" i="15"/>
  <c r="Y8064" i="15" s="1"/>
  <c r="X8066" i="15"/>
  <c r="Y8065" i="15" s="1"/>
  <c r="X8067" i="15"/>
  <c r="Y8066" i="15" s="1"/>
  <c r="X8068" i="15"/>
  <c r="Y8067" i="15" s="1"/>
  <c r="X8069" i="15"/>
  <c r="Y8068" i="15" s="1"/>
  <c r="X8070" i="15"/>
  <c r="Y8069" i="15" s="1"/>
  <c r="X8071" i="15"/>
  <c r="Y8070" i="15" s="1"/>
  <c r="X8072" i="15"/>
  <c r="Y8071" i="15" s="1"/>
  <c r="X8073" i="15"/>
  <c r="Y8072" i="15" s="1"/>
  <c r="X8074" i="15"/>
  <c r="Y8073" i="15" s="1"/>
  <c r="X8075" i="15"/>
  <c r="Y8074" i="15" s="1"/>
  <c r="X8076" i="15"/>
  <c r="Y8075" i="15" s="1"/>
  <c r="X8077" i="15"/>
  <c r="Y8076" i="15" s="1"/>
  <c r="X8078" i="15"/>
  <c r="Y8077" i="15" s="1"/>
  <c r="X8079" i="15"/>
  <c r="Y8078" i="15" s="1"/>
  <c r="X8080" i="15"/>
  <c r="Y8079" i="15" s="1"/>
  <c r="X8081" i="15"/>
  <c r="Y8080" i="15" s="1"/>
  <c r="X8082" i="15"/>
  <c r="Y8081" i="15" s="1"/>
  <c r="X8083" i="15"/>
  <c r="Y8082" i="15" s="1"/>
  <c r="X8084" i="15"/>
  <c r="Y8083" i="15" s="1"/>
  <c r="X8085" i="15"/>
  <c r="Y8084" i="15" s="1"/>
  <c r="X8086" i="15"/>
  <c r="Y8085" i="15" s="1"/>
  <c r="X8087" i="15"/>
  <c r="Y8086" i="15" s="1"/>
  <c r="X8088" i="15"/>
  <c r="Y8087" i="15" s="1"/>
  <c r="X8089" i="15"/>
  <c r="Y8088" i="15" s="1"/>
  <c r="X8090" i="15"/>
  <c r="Y8089" i="15" s="1"/>
  <c r="X8091" i="15"/>
  <c r="Y8090" i="15" s="1"/>
  <c r="X8092" i="15"/>
  <c r="Y8091" i="15" s="1"/>
  <c r="X8093" i="15"/>
  <c r="Y8092" i="15" s="1"/>
  <c r="X8094" i="15"/>
  <c r="Y8093" i="15" s="1"/>
  <c r="X8095" i="15"/>
  <c r="Y8094" i="15" s="1"/>
  <c r="X8096" i="15"/>
  <c r="Y8095" i="15" s="1"/>
  <c r="X8097" i="15"/>
  <c r="Y8096" i="15" s="1"/>
  <c r="X8098" i="15"/>
  <c r="Y8097" i="15" s="1"/>
  <c r="X8099" i="15"/>
  <c r="Y8098" i="15" s="1"/>
  <c r="X8100" i="15"/>
  <c r="Y8099" i="15" s="1"/>
  <c r="X8101" i="15"/>
  <c r="Y8100" i="15" s="1"/>
  <c r="X8102" i="15"/>
  <c r="Y8101" i="15" s="1"/>
  <c r="X8103" i="15"/>
  <c r="Y8102" i="15" s="1"/>
  <c r="X8104" i="15"/>
  <c r="Y8103" i="15" s="1"/>
  <c r="X8105" i="15"/>
  <c r="Y8104" i="15" s="1"/>
  <c r="X8106" i="15"/>
  <c r="Y8105" i="15" s="1"/>
  <c r="X8107" i="15"/>
  <c r="Y8106" i="15" s="1"/>
  <c r="X8108" i="15"/>
  <c r="Y8107" i="15" s="1"/>
  <c r="X8109" i="15"/>
  <c r="Y8108" i="15" s="1"/>
  <c r="X8110" i="15"/>
  <c r="Y8109" i="15" s="1"/>
  <c r="X8111" i="15"/>
  <c r="Y8110" i="15" s="1"/>
  <c r="X8112" i="15"/>
  <c r="Y8111" i="15" s="1"/>
  <c r="X8113" i="15"/>
  <c r="Y8112" i="15" s="1"/>
  <c r="X8114" i="15"/>
  <c r="Y8113" i="15" s="1"/>
  <c r="X8115" i="15"/>
  <c r="Y8114" i="15" s="1"/>
  <c r="X8116" i="15"/>
  <c r="Y8115" i="15" s="1"/>
  <c r="X8117" i="15"/>
  <c r="Y8116" i="15" s="1"/>
  <c r="X8118" i="15"/>
  <c r="Y8117" i="15" s="1"/>
  <c r="X8119" i="15"/>
  <c r="Y8118" i="15" s="1"/>
  <c r="X8120" i="15"/>
  <c r="Y8119" i="15" s="1"/>
  <c r="X8121" i="15"/>
  <c r="Y8120" i="15" s="1"/>
  <c r="X8122" i="15"/>
  <c r="Y8121" i="15" s="1"/>
  <c r="X8123" i="15"/>
  <c r="Y8122" i="15" s="1"/>
  <c r="X8124" i="15"/>
  <c r="Y8123" i="15" s="1"/>
  <c r="X8125" i="15"/>
  <c r="Y8124" i="15" s="1"/>
  <c r="X8126" i="15"/>
  <c r="Y8125" i="15" s="1"/>
  <c r="X8127" i="15"/>
  <c r="Y8126" i="15" s="1"/>
  <c r="X8128" i="15"/>
  <c r="Y8127" i="15" s="1"/>
  <c r="X8129" i="15"/>
  <c r="Y8128" i="15" s="1"/>
  <c r="X8130" i="15"/>
  <c r="Y8129" i="15" s="1"/>
  <c r="X8131" i="15"/>
  <c r="Y8130" i="15" s="1"/>
  <c r="X8132" i="15"/>
  <c r="Y8131" i="15" s="1"/>
  <c r="X8133" i="15"/>
  <c r="Y8132" i="15" s="1"/>
  <c r="X8134" i="15"/>
  <c r="Y8133" i="15" s="1"/>
  <c r="X8135" i="15"/>
  <c r="Y8134" i="15" s="1"/>
  <c r="X8136" i="15"/>
  <c r="Y8135" i="15" s="1"/>
  <c r="X8137" i="15"/>
  <c r="Y8136" i="15" s="1"/>
  <c r="X8138" i="15"/>
  <c r="Y8137" i="15" s="1"/>
  <c r="X8139" i="15"/>
  <c r="Y8138" i="15" s="1"/>
  <c r="X8140" i="15"/>
  <c r="Y8139" i="15" s="1"/>
  <c r="X8141" i="15"/>
  <c r="Y8140" i="15" s="1"/>
  <c r="X8142" i="15"/>
  <c r="Y8141" i="15" s="1"/>
  <c r="X8143" i="15"/>
  <c r="Y8142" i="15" s="1"/>
  <c r="X8144" i="15"/>
  <c r="Y8143" i="15" s="1"/>
  <c r="X8145" i="15"/>
  <c r="Y8144" i="15" s="1"/>
  <c r="X8146" i="15"/>
  <c r="Y8145" i="15" s="1"/>
  <c r="X8147" i="15"/>
  <c r="Y8146" i="15" s="1"/>
  <c r="X8148" i="15"/>
  <c r="Y8147" i="15" s="1"/>
  <c r="X8149" i="15"/>
  <c r="Y8148" i="15" s="1"/>
  <c r="X8150" i="15"/>
  <c r="Y8149" i="15" s="1"/>
  <c r="X8151" i="15"/>
  <c r="Y8150" i="15" s="1"/>
  <c r="X8152" i="15"/>
  <c r="Y8151" i="15" s="1"/>
  <c r="X8153" i="15"/>
  <c r="Y8152" i="15" s="1"/>
  <c r="X8154" i="15"/>
  <c r="Y8153" i="15" s="1"/>
  <c r="X8155" i="15"/>
  <c r="Y8154" i="15" s="1"/>
  <c r="X8156" i="15"/>
  <c r="Y8155" i="15" s="1"/>
  <c r="X8157" i="15"/>
  <c r="Y8156" i="15" s="1"/>
  <c r="X8158" i="15"/>
  <c r="Y8157" i="15" s="1"/>
  <c r="X8159" i="15"/>
  <c r="Y8158" i="15" s="1"/>
  <c r="X8160" i="15"/>
  <c r="Y8159" i="15" s="1"/>
  <c r="X8161" i="15"/>
  <c r="Y8160" i="15" s="1"/>
  <c r="X8162" i="15"/>
  <c r="Y8161" i="15" s="1"/>
  <c r="X8163" i="15"/>
  <c r="Y8162" i="15" s="1"/>
  <c r="X8164" i="15"/>
  <c r="Y8163" i="15" s="1"/>
  <c r="X8165" i="15"/>
  <c r="Y8164" i="15" s="1"/>
  <c r="X8166" i="15"/>
  <c r="Y8165" i="15" s="1"/>
  <c r="X8167" i="15"/>
  <c r="Y8166" i="15" s="1"/>
  <c r="X8168" i="15"/>
  <c r="Y8167" i="15" s="1"/>
  <c r="X8169" i="15"/>
  <c r="Y8168" i="15" s="1"/>
  <c r="X8170" i="15"/>
  <c r="Y8169" i="15" s="1"/>
  <c r="X8171" i="15"/>
  <c r="Y8170" i="15" s="1"/>
  <c r="X8172" i="15"/>
  <c r="Y8171" i="15" s="1"/>
  <c r="X8173" i="15"/>
  <c r="Y8172" i="15" s="1"/>
  <c r="X8174" i="15"/>
  <c r="Y8173" i="15" s="1"/>
  <c r="X8175" i="15"/>
  <c r="Y8174" i="15" s="1"/>
  <c r="X8176" i="15"/>
  <c r="Y8175" i="15" s="1"/>
  <c r="X8177" i="15"/>
  <c r="Y8176" i="15" s="1"/>
  <c r="X8178" i="15"/>
  <c r="Y8177" i="15" s="1"/>
  <c r="X8179" i="15"/>
  <c r="Y8178" i="15" s="1"/>
  <c r="X8180" i="15"/>
  <c r="Y8179" i="15" s="1"/>
  <c r="X8181" i="15"/>
  <c r="Y8180" i="15" s="1"/>
  <c r="X8182" i="15"/>
  <c r="Y8181" i="15" s="1"/>
  <c r="X8183" i="15"/>
  <c r="Y8182" i="15" s="1"/>
  <c r="X8184" i="15"/>
  <c r="Y8183" i="15" s="1"/>
  <c r="X8185" i="15"/>
  <c r="Y8184" i="15" s="1"/>
  <c r="X8186" i="15"/>
  <c r="Y8185" i="15" s="1"/>
  <c r="X8187" i="15"/>
  <c r="Y8186" i="15" s="1"/>
  <c r="X8188" i="15"/>
  <c r="Y8187" i="15" s="1"/>
  <c r="X8189" i="15"/>
  <c r="Y8188" i="15" s="1"/>
  <c r="X8190" i="15"/>
  <c r="Y8189" i="15" s="1"/>
  <c r="X8191" i="15"/>
  <c r="Y8190" i="15" s="1"/>
  <c r="X8192" i="15"/>
  <c r="Y8191" i="15" s="1"/>
  <c r="X8193" i="15"/>
  <c r="Y8192" i="15" s="1"/>
  <c r="X8194" i="15"/>
  <c r="Y8193" i="15" s="1"/>
  <c r="X8195" i="15"/>
  <c r="Y8194" i="15" s="1"/>
  <c r="X8196" i="15"/>
  <c r="Y8195" i="15" s="1"/>
  <c r="X8197" i="15"/>
  <c r="Y8196" i="15" s="1"/>
  <c r="X8198" i="15"/>
  <c r="Y8197" i="15" s="1"/>
  <c r="X8199" i="15"/>
  <c r="Y8198" i="15" s="1"/>
  <c r="X8200" i="15"/>
  <c r="Y8199" i="15" s="1"/>
  <c r="X8201" i="15"/>
  <c r="Y8200" i="15" s="1"/>
  <c r="X8202" i="15"/>
  <c r="Y8201" i="15" s="1"/>
  <c r="X8203" i="15"/>
  <c r="Y8202" i="15" s="1"/>
  <c r="X8204" i="15"/>
  <c r="Y8203" i="15" s="1"/>
  <c r="X8205" i="15"/>
  <c r="Y8204" i="15" s="1"/>
  <c r="X8206" i="15"/>
  <c r="Y8205" i="15" s="1"/>
  <c r="X8207" i="15"/>
  <c r="Y8206" i="15" s="1"/>
  <c r="X8208" i="15"/>
  <c r="Y8207" i="15" s="1"/>
  <c r="X8209" i="15"/>
  <c r="Y8208" i="15" s="1"/>
  <c r="X8210" i="15"/>
  <c r="Y8209" i="15" s="1"/>
  <c r="X8211" i="15"/>
  <c r="Y8210" i="15" s="1"/>
  <c r="X8212" i="15"/>
  <c r="Y8211" i="15" s="1"/>
  <c r="X8213" i="15"/>
  <c r="Y8212" i="15" s="1"/>
  <c r="X8214" i="15"/>
  <c r="Y8213" i="15" s="1"/>
  <c r="X8215" i="15"/>
  <c r="Y8214" i="15" s="1"/>
  <c r="X8216" i="15"/>
  <c r="Y8215" i="15" s="1"/>
  <c r="X8217" i="15"/>
  <c r="Y8216" i="15" s="1"/>
  <c r="X8218" i="15"/>
  <c r="Y8217" i="15" s="1"/>
  <c r="X8219" i="15"/>
  <c r="Y8218" i="15" s="1"/>
  <c r="X8220" i="15"/>
  <c r="Y8219" i="15" s="1"/>
  <c r="X8221" i="15"/>
  <c r="Y8220" i="15" s="1"/>
  <c r="X8222" i="15"/>
  <c r="Y8221" i="15" s="1"/>
  <c r="X8223" i="15"/>
  <c r="Y8222" i="15" s="1"/>
  <c r="X8224" i="15"/>
  <c r="Y8223" i="15" s="1"/>
  <c r="X8225" i="15"/>
  <c r="Y8224" i="15" s="1"/>
  <c r="X8226" i="15"/>
  <c r="Y8225" i="15" s="1"/>
  <c r="X8227" i="15"/>
  <c r="Y8226" i="15" s="1"/>
  <c r="X8228" i="15"/>
  <c r="Y8227" i="15" s="1"/>
  <c r="X8229" i="15"/>
  <c r="Y8228" i="15" s="1"/>
  <c r="X8230" i="15"/>
  <c r="Y8229" i="15" s="1"/>
  <c r="X8231" i="15"/>
  <c r="Y8230" i="15" s="1"/>
  <c r="X8232" i="15"/>
  <c r="Y8231" i="15" s="1"/>
  <c r="X8233" i="15"/>
  <c r="Y8232" i="15" s="1"/>
  <c r="X8234" i="15"/>
  <c r="Y8233" i="15" s="1"/>
  <c r="X8235" i="15"/>
  <c r="Y8234" i="15" s="1"/>
  <c r="X8236" i="15"/>
  <c r="Y8235" i="15" s="1"/>
  <c r="X8237" i="15"/>
  <c r="Y8236" i="15" s="1"/>
  <c r="X8238" i="15"/>
  <c r="Y8237" i="15" s="1"/>
  <c r="X8239" i="15"/>
  <c r="Y8238" i="15" s="1"/>
  <c r="X8240" i="15"/>
  <c r="Y8239" i="15" s="1"/>
  <c r="X8241" i="15"/>
  <c r="Y8240" i="15" s="1"/>
  <c r="X8242" i="15"/>
  <c r="Y8241" i="15" s="1"/>
  <c r="X8243" i="15"/>
  <c r="Y8242" i="15" s="1"/>
  <c r="X8244" i="15"/>
  <c r="Y8243" i="15" s="1"/>
  <c r="X8245" i="15"/>
  <c r="Y8244" i="15" s="1"/>
  <c r="X8246" i="15"/>
  <c r="Y8245" i="15" s="1"/>
  <c r="X8247" i="15"/>
  <c r="Y8246" i="15" s="1"/>
  <c r="X8248" i="15"/>
  <c r="Y8247" i="15" s="1"/>
  <c r="X8249" i="15"/>
  <c r="Y8248" i="15" s="1"/>
  <c r="X8250" i="15"/>
  <c r="Y8249" i="15" s="1"/>
  <c r="X8251" i="15"/>
  <c r="Y8250" i="15" s="1"/>
  <c r="X8252" i="15"/>
  <c r="Y8251" i="15" s="1"/>
  <c r="X8253" i="15"/>
  <c r="Y8252" i="15" s="1"/>
  <c r="X8254" i="15"/>
  <c r="Y8253" i="15" s="1"/>
  <c r="X8255" i="15"/>
  <c r="Y8254" i="15" s="1"/>
  <c r="X8256" i="15"/>
  <c r="Y8255" i="15" s="1"/>
  <c r="X8257" i="15"/>
  <c r="Y8256" i="15" s="1"/>
  <c r="X8258" i="15"/>
  <c r="Y8257" i="15" s="1"/>
  <c r="X8259" i="15"/>
  <c r="Y8258" i="15" s="1"/>
  <c r="X8260" i="15"/>
  <c r="Y8259" i="15" s="1"/>
  <c r="X8261" i="15"/>
  <c r="Y8260" i="15" s="1"/>
  <c r="X8262" i="15"/>
  <c r="Y8261" i="15" s="1"/>
  <c r="X8263" i="15"/>
  <c r="Y8262" i="15" s="1"/>
  <c r="X8264" i="15"/>
  <c r="Y8263" i="15" s="1"/>
  <c r="X8265" i="15"/>
  <c r="Y8264" i="15" s="1"/>
  <c r="X8266" i="15"/>
  <c r="Y8265" i="15" s="1"/>
  <c r="X8267" i="15"/>
  <c r="Y8266" i="15" s="1"/>
  <c r="X8268" i="15"/>
  <c r="Y8267" i="15" s="1"/>
  <c r="X8269" i="15"/>
  <c r="Y8268" i="15" s="1"/>
  <c r="X8270" i="15"/>
  <c r="Y8269" i="15" s="1"/>
  <c r="X8271" i="15"/>
  <c r="Y8270" i="15" s="1"/>
  <c r="X8272" i="15"/>
  <c r="Y8271" i="15" s="1"/>
  <c r="X8273" i="15"/>
  <c r="Y8272" i="15" s="1"/>
  <c r="X8274" i="15"/>
  <c r="Y8273" i="15" s="1"/>
  <c r="X8275" i="15"/>
  <c r="Y8274" i="15" s="1"/>
  <c r="X8276" i="15"/>
  <c r="Y8275" i="15" s="1"/>
  <c r="X8277" i="15"/>
  <c r="Y8276" i="15" s="1"/>
  <c r="X8278" i="15"/>
  <c r="Y8277" i="15" s="1"/>
  <c r="X8279" i="15"/>
  <c r="Y8278" i="15" s="1"/>
  <c r="X8280" i="15"/>
  <c r="Y8279" i="15" s="1"/>
  <c r="X8281" i="15"/>
  <c r="Y8280" i="15" s="1"/>
  <c r="X8282" i="15"/>
  <c r="Y8281" i="15" s="1"/>
  <c r="X8283" i="15"/>
  <c r="Y8282" i="15" s="1"/>
  <c r="X8284" i="15"/>
  <c r="Y8283" i="15" s="1"/>
  <c r="X8285" i="15"/>
  <c r="Y8284" i="15" s="1"/>
  <c r="X8286" i="15"/>
  <c r="Y8285" i="15" s="1"/>
  <c r="X8287" i="15"/>
  <c r="Y8286" i="15" s="1"/>
  <c r="X8288" i="15"/>
  <c r="Y8287" i="15" s="1"/>
  <c r="X8289" i="15"/>
  <c r="Y8288" i="15" s="1"/>
  <c r="X8290" i="15"/>
  <c r="Y8289" i="15" s="1"/>
  <c r="X8291" i="15"/>
  <c r="Y8290" i="15" s="1"/>
  <c r="X8292" i="15"/>
  <c r="Y8291" i="15" s="1"/>
  <c r="X8293" i="15"/>
  <c r="Y8292" i="15" s="1"/>
  <c r="X8294" i="15"/>
  <c r="Y8293" i="15" s="1"/>
  <c r="X8295" i="15"/>
  <c r="Y8294" i="15" s="1"/>
  <c r="X8296" i="15"/>
  <c r="Y8295" i="15" s="1"/>
  <c r="X8297" i="15"/>
  <c r="Y8296" i="15" s="1"/>
  <c r="X8298" i="15"/>
  <c r="Y8297" i="15" s="1"/>
  <c r="X8299" i="15"/>
  <c r="Y8298" i="15" s="1"/>
  <c r="X8300" i="15"/>
  <c r="Y8299" i="15" s="1"/>
  <c r="X8301" i="15"/>
  <c r="Y8300" i="15" s="1"/>
  <c r="X8302" i="15"/>
  <c r="Y8301" i="15" s="1"/>
  <c r="X8303" i="15"/>
  <c r="Y8302" i="15" s="1"/>
  <c r="X8304" i="15"/>
  <c r="Y8303" i="15" s="1"/>
  <c r="X8305" i="15"/>
  <c r="Y8304" i="15" s="1"/>
  <c r="X8306" i="15"/>
  <c r="Y8305" i="15" s="1"/>
  <c r="X8307" i="15"/>
  <c r="Y8306" i="15" s="1"/>
  <c r="X8308" i="15"/>
  <c r="Y8307" i="15" s="1"/>
  <c r="X8309" i="15"/>
  <c r="Y8308" i="15" s="1"/>
  <c r="X8310" i="15"/>
  <c r="Y8309" i="15" s="1"/>
  <c r="X8311" i="15"/>
  <c r="Y8310" i="15" s="1"/>
  <c r="X8312" i="15"/>
  <c r="Y8311" i="15" s="1"/>
  <c r="X8313" i="15"/>
  <c r="Y8312" i="15" s="1"/>
  <c r="X8314" i="15"/>
  <c r="Y8313" i="15" s="1"/>
  <c r="X8315" i="15"/>
  <c r="Y8314" i="15" s="1"/>
  <c r="X8316" i="15"/>
  <c r="Y8315" i="15" s="1"/>
  <c r="X8317" i="15"/>
  <c r="Y8316" i="15" s="1"/>
  <c r="X8318" i="15"/>
  <c r="Y8317" i="15" s="1"/>
  <c r="X8319" i="15"/>
  <c r="Y8318" i="15" s="1"/>
  <c r="X8320" i="15"/>
  <c r="Y8319" i="15" s="1"/>
  <c r="X8321" i="15"/>
  <c r="Y8320" i="15" s="1"/>
  <c r="X8322" i="15"/>
  <c r="Y8321" i="15" s="1"/>
  <c r="X8323" i="15"/>
  <c r="Y8322" i="15" s="1"/>
  <c r="X8324" i="15"/>
  <c r="Y8323" i="15" s="1"/>
  <c r="X8325" i="15"/>
  <c r="Y8324" i="15" s="1"/>
  <c r="X8326" i="15"/>
  <c r="Y8325" i="15" s="1"/>
  <c r="X8327" i="15"/>
  <c r="Y8326" i="15" s="1"/>
  <c r="X8328" i="15"/>
  <c r="Y8327" i="15" s="1"/>
  <c r="X8329" i="15"/>
  <c r="Y8328" i="15" s="1"/>
  <c r="X8330" i="15"/>
  <c r="Y8329" i="15" s="1"/>
  <c r="X8331" i="15"/>
  <c r="Y8330" i="15" s="1"/>
  <c r="X8332" i="15"/>
  <c r="Y8331" i="15" s="1"/>
  <c r="X8333" i="15"/>
  <c r="Y8332" i="15" s="1"/>
  <c r="X8334" i="15"/>
  <c r="Y8333" i="15" s="1"/>
  <c r="X8335" i="15"/>
  <c r="Y8334" i="15" s="1"/>
  <c r="X8336" i="15"/>
  <c r="Y8335" i="15" s="1"/>
  <c r="X8337" i="15"/>
  <c r="Y8336" i="15" s="1"/>
  <c r="X8338" i="15"/>
  <c r="Y8337" i="15" s="1"/>
  <c r="X8339" i="15"/>
  <c r="Y8338" i="15" s="1"/>
  <c r="X8340" i="15"/>
  <c r="Y8339" i="15" s="1"/>
  <c r="X8341" i="15"/>
  <c r="Y8340" i="15" s="1"/>
  <c r="X8342" i="15"/>
  <c r="Y8341" i="15" s="1"/>
  <c r="X8343" i="15"/>
  <c r="Y8342" i="15" s="1"/>
  <c r="X8344" i="15"/>
  <c r="Y8343" i="15" s="1"/>
  <c r="X8345" i="15"/>
  <c r="Y8344" i="15" s="1"/>
  <c r="X8346" i="15"/>
  <c r="Y8345" i="15" s="1"/>
  <c r="X8347" i="15"/>
  <c r="Y8346" i="15" s="1"/>
  <c r="X8348" i="15"/>
  <c r="Y8347" i="15" s="1"/>
  <c r="X8349" i="15"/>
  <c r="Y8348" i="15" s="1"/>
  <c r="X8350" i="15"/>
  <c r="Y8349" i="15" s="1"/>
  <c r="X8351" i="15"/>
  <c r="Y8350" i="15" s="1"/>
  <c r="X8352" i="15"/>
  <c r="Y8351" i="15" s="1"/>
  <c r="X8353" i="15"/>
  <c r="Y8352" i="15" s="1"/>
  <c r="X8354" i="15"/>
  <c r="Y8353" i="15" s="1"/>
  <c r="X8355" i="15"/>
  <c r="Y8354" i="15" s="1"/>
  <c r="X8356" i="15"/>
  <c r="Y8355" i="15" s="1"/>
  <c r="X8357" i="15"/>
  <c r="Y8356" i="15" s="1"/>
  <c r="X8358" i="15"/>
  <c r="Y8357" i="15" s="1"/>
  <c r="X8359" i="15"/>
  <c r="Y8358" i="15" s="1"/>
  <c r="X8360" i="15"/>
  <c r="Y8359" i="15" s="1"/>
  <c r="X8361" i="15"/>
  <c r="Y8360" i="15" s="1"/>
  <c r="X8362" i="15"/>
  <c r="Y8361" i="15" s="1"/>
  <c r="X8363" i="15"/>
  <c r="Y8362" i="15" s="1"/>
  <c r="X8364" i="15"/>
  <c r="Y8363" i="15" s="1"/>
  <c r="X8365" i="15"/>
  <c r="Y8364" i="15" s="1"/>
  <c r="X8366" i="15"/>
  <c r="Y8365" i="15" s="1"/>
  <c r="X8367" i="15"/>
  <c r="Y8366" i="15" s="1"/>
  <c r="X8368" i="15"/>
  <c r="Y8367" i="15" s="1"/>
  <c r="X8369" i="15"/>
  <c r="Y8368" i="15" s="1"/>
  <c r="X8370" i="15"/>
  <c r="Y8369" i="15" s="1"/>
  <c r="X8371" i="15"/>
  <c r="Y8370" i="15" s="1"/>
  <c r="X8372" i="15"/>
  <c r="Y8371" i="15" s="1"/>
  <c r="X8373" i="15"/>
  <c r="Y8372" i="15" s="1"/>
  <c r="X8374" i="15"/>
  <c r="Y8373" i="15" s="1"/>
  <c r="X8375" i="15"/>
  <c r="Y8374" i="15" s="1"/>
  <c r="X8376" i="15"/>
  <c r="Y8375" i="15" s="1"/>
  <c r="X8377" i="15"/>
  <c r="Y8376" i="15" s="1"/>
  <c r="X8378" i="15"/>
  <c r="Y8377" i="15" s="1"/>
  <c r="X8379" i="15"/>
  <c r="Y8378" i="15" s="1"/>
  <c r="X8380" i="15"/>
  <c r="Y8379" i="15" s="1"/>
  <c r="X8381" i="15"/>
  <c r="Y8380" i="15" s="1"/>
  <c r="X8382" i="15"/>
  <c r="Y8381" i="15" s="1"/>
  <c r="X8383" i="15"/>
  <c r="Y8382" i="15" s="1"/>
  <c r="X8384" i="15"/>
  <c r="Y8383" i="15" s="1"/>
  <c r="X8385" i="15"/>
  <c r="Y8384" i="15" s="1"/>
  <c r="X8386" i="15"/>
  <c r="Y8385" i="15" s="1"/>
  <c r="X8387" i="15"/>
  <c r="Y8386" i="15" s="1"/>
  <c r="X8388" i="15"/>
  <c r="Y8387" i="15" s="1"/>
  <c r="X8389" i="15"/>
  <c r="Y8388" i="15" s="1"/>
  <c r="X8390" i="15"/>
  <c r="Y8389" i="15" s="1"/>
  <c r="X8391" i="15"/>
  <c r="Y8390" i="15" s="1"/>
  <c r="X8392" i="15"/>
  <c r="Y8391" i="15" s="1"/>
  <c r="X8393" i="15"/>
  <c r="Y8392" i="15" s="1"/>
  <c r="X8394" i="15"/>
  <c r="Y8393" i="15" s="1"/>
  <c r="X8395" i="15"/>
  <c r="Y8394" i="15" s="1"/>
  <c r="X8396" i="15"/>
  <c r="Y8395" i="15" s="1"/>
  <c r="X8397" i="15"/>
  <c r="Y8396" i="15" s="1"/>
  <c r="X8398" i="15"/>
  <c r="Y8397" i="15" s="1"/>
  <c r="X8399" i="15"/>
  <c r="Y8398" i="15" s="1"/>
  <c r="X8400" i="15"/>
  <c r="Y8399" i="15" s="1"/>
  <c r="X8401" i="15"/>
  <c r="Y8400" i="15" s="1"/>
  <c r="X8402" i="15"/>
  <c r="Y8401" i="15" s="1"/>
  <c r="X8403" i="15"/>
  <c r="Y8402" i="15" s="1"/>
  <c r="X8404" i="15"/>
  <c r="Y8403" i="15" s="1"/>
  <c r="X8405" i="15"/>
  <c r="Y8404" i="15" s="1"/>
  <c r="X8406" i="15"/>
  <c r="Y8405" i="15" s="1"/>
  <c r="X8407" i="15"/>
  <c r="Y8406" i="15" s="1"/>
  <c r="X8408" i="15"/>
  <c r="Y8407" i="15" s="1"/>
  <c r="X8409" i="15"/>
  <c r="Y8408" i="15" s="1"/>
  <c r="X8410" i="15"/>
  <c r="Y8409" i="15" s="1"/>
  <c r="X8411" i="15"/>
  <c r="Y8410" i="15" s="1"/>
  <c r="X8412" i="15"/>
  <c r="Y8411" i="15" s="1"/>
  <c r="X8413" i="15"/>
  <c r="Y8412" i="15" s="1"/>
  <c r="X8414" i="15"/>
  <c r="Y8413" i="15" s="1"/>
  <c r="X8415" i="15"/>
  <c r="Y8414" i="15" s="1"/>
  <c r="X8416" i="15"/>
  <c r="Y8415" i="15" s="1"/>
  <c r="X8417" i="15"/>
  <c r="Y8416" i="15" s="1"/>
  <c r="X8418" i="15"/>
  <c r="Y8417" i="15" s="1"/>
  <c r="X8419" i="15"/>
  <c r="Y8418" i="15" s="1"/>
  <c r="X8420" i="15"/>
  <c r="Y8419" i="15" s="1"/>
  <c r="X8421" i="15"/>
  <c r="Y8420" i="15" s="1"/>
  <c r="X8422" i="15"/>
  <c r="Y8421" i="15" s="1"/>
  <c r="X8423" i="15"/>
  <c r="Y8422" i="15" s="1"/>
  <c r="X8424" i="15"/>
  <c r="Y8423" i="15" s="1"/>
  <c r="X8425" i="15"/>
  <c r="Y8424" i="15" s="1"/>
  <c r="X8426" i="15"/>
  <c r="Y8425" i="15" s="1"/>
  <c r="X8427" i="15"/>
  <c r="Y8426" i="15" s="1"/>
  <c r="X8428" i="15"/>
  <c r="Y8427" i="15" s="1"/>
  <c r="X8429" i="15"/>
  <c r="Y8428" i="15" s="1"/>
  <c r="X8430" i="15"/>
  <c r="Y8429" i="15" s="1"/>
  <c r="X8431" i="15"/>
  <c r="Y8430" i="15" s="1"/>
  <c r="X8432" i="15"/>
  <c r="Y8431" i="15" s="1"/>
  <c r="X8433" i="15"/>
  <c r="Y8432" i="15" s="1"/>
  <c r="X8434" i="15"/>
  <c r="Y8433" i="15" s="1"/>
  <c r="X8435" i="15"/>
  <c r="Y8434" i="15" s="1"/>
  <c r="X8436" i="15"/>
  <c r="Y8435" i="15" s="1"/>
  <c r="X8437" i="15"/>
  <c r="Y8436" i="15" s="1"/>
  <c r="X8438" i="15"/>
  <c r="Y8437" i="15" s="1"/>
  <c r="X8439" i="15"/>
  <c r="Y8438" i="15" s="1"/>
  <c r="X8440" i="15"/>
  <c r="Y8439" i="15" s="1"/>
  <c r="X8441" i="15"/>
  <c r="Y8440" i="15" s="1"/>
  <c r="X8442" i="15"/>
  <c r="Y8441" i="15" s="1"/>
  <c r="X8443" i="15"/>
  <c r="Y8442" i="15" s="1"/>
  <c r="X8444" i="15"/>
  <c r="Y8443" i="15" s="1"/>
  <c r="X8445" i="15"/>
  <c r="Y8444" i="15" s="1"/>
  <c r="X8446" i="15"/>
  <c r="Y8445" i="15" s="1"/>
  <c r="X8447" i="15"/>
  <c r="Y8446" i="15" s="1"/>
  <c r="X8448" i="15"/>
  <c r="Y8447" i="15" s="1"/>
  <c r="X8449" i="15"/>
  <c r="Y8448" i="15" s="1"/>
  <c r="X8450" i="15"/>
  <c r="Y8449" i="15" s="1"/>
  <c r="X8451" i="15"/>
  <c r="Y8450" i="15" s="1"/>
  <c r="X8452" i="15"/>
  <c r="Y8451" i="15" s="1"/>
  <c r="X8453" i="15"/>
  <c r="Y8452" i="15" s="1"/>
  <c r="X8454" i="15"/>
  <c r="Y8453" i="15" s="1"/>
  <c r="X8455" i="15"/>
  <c r="Y8454" i="15" s="1"/>
  <c r="X8456" i="15"/>
  <c r="Y8455" i="15" s="1"/>
  <c r="X8457" i="15"/>
  <c r="Y8456" i="15" s="1"/>
  <c r="X8458" i="15"/>
  <c r="Y8457" i="15" s="1"/>
  <c r="X8459" i="15"/>
  <c r="Y8458" i="15" s="1"/>
  <c r="X8460" i="15"/>
  <c r="Y8459" i="15" s="1"/>
  <c r="X8461" i="15"/>
  <c r="Y8460" i="15" s="1"/>
  <c r="X8462" i="15"/>
  <c r="Y8461" i="15" s="1"/>
  <c r="X8463" i="15"/>
  <c r="Y8462" i="15" s="1"/>
  <c r="X8464" i="15"/>
  <c r="Y8463" i="15" s="1"/>
  <c r="X8465" i="15"/>
  <c r="Y8464" i="15" s="1"/>
  <c r="X8466" i="15"/>
  <c r="Y8465" i="15" s="1"/>
  <c r="X8467" i="15"/>
  <c r="Y8466" i="15" s="1"/>
  <c r="X8468" i="15"/>
  <c r="Y8467" i="15" s="1"/>
  <c r="X8469" i="15"/>
  <c r="Y8468" i="15" s="1"/>
  <c r="X8470" i="15"/>
  <c r="Y8469" i="15" s="1"/>
  <c r="X8471" i="15"/>
  <c r="Y8470" i="15" s="1"/>
  <c r="X8472" i="15"/>
  <c r="Y8471" i="15" s="1"/>
  <c r="X8473" i="15"/>
  <c r="Y8472" i="15" s="1"/>
  <c r="X8474" i="15"/>
  <c r="Y8473" i="15" s="1"/>
  <c r="X8475" i="15"/>
  <c r="Y8474" i="15" s="1"/>
  <c r="X8476" i="15"/>
  <c r="Y8475" i="15" s="1"/>
  <c r="X8477" i="15"/>
  <c r="Y8476" i="15" s="1"/>
  <c r="X8478" i="15"/>
  <c r="Y8477" i="15" s="1"/>
  <c r="X8479" i="15"/>
  <c r="Y8478" i="15" s="1"/>
  <c r="X8480" i="15"/>
  <c r="Y8479" i="15" s="1"/>
  <c r="X8481" i="15"/>
  <c r="Y8480" i="15" s="1"/>
  <c r="X8482" i="15"/>
  <c r="Y8481" i="15" s="1"/>
  <c r="X8483" i="15"/>
  <c r="Y8482" i="15" s="1"/>
  <c r="X8484" i="15"/>
  <c r="Y8483" i="15" s="1"/>
  <c r="X8485" i="15"/>
  <c r="Y8484" i="15" s="1"/>
  <c r="X8486" i="15"/>
  <c r="Y8485" i="15" s="1"/>
  <c r="X8487" i="15"/>
  <c r="Y8486" i="15" s="1"/>
  <c r="X8488" i="15"/>
  <c r="Y8487" i="15" s="1"/>
  <c r="X8489" i="15"/>
  <c r="Y8488" i="15" s="1"/>
  <c r="X8490" i="15"/>
  <c r="Y8489" i="15" s="1"/>
  <c r="X8491" i="15"/>
  <c r="Y8490" i="15" s="1"/>
  <c r="X8492" i="15"/>
  <c r="Y8491" i="15" s="1"/>
  <c r="X8493" i="15"/>
  <c r="Y8492" i="15" s="1"/>
  <c r="X8494" i="15"/>
  <c r="Y8493" i="15" s="1"/>
  <c r="X8495" i="15"/>
  <c r="Y8494" i="15" s="1"/>
  <c r="X8496" i="15"/>
  <c r="Y8495" i="15" s="1"/>
  <c r="X8497" i="15"/>
  <c r="Y8496" i="15" s="1"/>
  <c r="X8498" i="15"/>
  <c r="Y8497" i="15" s="1"/>
  <c r="X8499" i="15"/>
  <c r="Y8498" i="15" s="1"/>
  <c r="X8500" i="15"/>
  <c r="Y8499" i="15" s="1"/>
  <c r="X8501" i="15"/>
  <c r="Y8500" i="15" s="1"/>
  <c r="X8502" i="15"/>
  <c r="Y8501" i="15" s="1"/>
  <c r="X8503" i="15"/>
  <c r="Y8502" i="15" s="1"/>
  <c r="X8504" i="15"/>
  <c r="Y8503" i="15" s="1"/>
  <c r="X8505" i="15"/>
  <c r="Y8504" i="15" s="1"/>
  <c r="X8506" i="15"/>
  <c r="Y8505" i="15" s="1"/>
  <c r="X8507" i="15"/>
  <c r="Y8506" i="15" s="1"/>
  <c r="X8508" i="15"/>
  <c r="Y8507" i="15" s="1"/>
  <c r="X8509" i="15"/>
  <c r="Y8508" i="15" s="1"/>
  <c r="X8510" i="15"/>
  <c r="Y8509" i="15" s="1"/>
  <c r="X8511" i="15"/>
  <c r="Y8510" i="15" s="1"/>
  <c r="X8512" i="15"/>
  <c r="Y8511" i="15" s="1"/>
  <c r="X8513" i="15"/>
  <c r="Y8512" i="15" s="1"/>
  <c r="X8514" i="15"/>
  <c r="Y8513" i="15" s="1"/>
  <c r="X8515" i="15"/>
  <c r="Y8514" i="15" s="1"/>
  <c r="X8516" i="15"/>
  <c r="Y8515" i="15" s="1"/>
  <c r="X8517" i="15"/>
  <c r="Y8516" i="15" s="1"/>
  <c r="X8518" i="15"/>
  <c r="Y8517" i="15" s="1"/>
  <c r="X8519" i="15"/>
  <c r="Y8518" i="15" s="1"/>
  <c r="X8520" i="15"/>
  <c r="Y8519" i="15" s="1"/>
  <c r="X8521" i="15"/>
  <c r="Y8520" i="15" s="1"/>
  <c r="X8522" i="15"/>
  <c r="Y8521" i="15" s="1"/>
  <c r="X8523" i="15"/>
  <c r="Y8522" i="15" s="1"/>
  <c r="X8524" i="15"/>
  <c r="Y8523" i="15" s="1"/>
  <c r="X8525" i="15"/>
  <c r="Y8524" i="15" s="1"/>
  <c r="X8526" i="15"/>
  <c r="Y8525" i="15" s="1"/>
  <c r="X8527" i="15"/>
  <c r="Y8526" i="15" s="1"/>
  <c r="X8528" i="15"/>
  <c r="Y8527" i="15" s="1"/>
  <c r="X8529" i="15"/>
  <c r="Y8528" i="15" s="1"/>
  <c r="X8530" i="15"/>
  <c r="Y8529" i="15" s="1"/>
  <c r="X8531" i="15"/>
  <c r="Y8530" i="15" s="1"/>
  <c r="X8532" i="15"/>
  <c r="Y8531" i="15" s="1"/>
  <c r="X8533" i="15"/>
  <c r="Y8532" i="15" s="1"/>
  <c r="X8534" i="15"/>
  <c r="Y8533" i="15" s="1"/>
  <c r="X8535" i="15"/>
  <c r="Y8534" i="15" s="1"/>
  <c r="X8536" i="15"/>
  <c r="Y8535" i="15" s="1"/>
  <c r="X8537" i="15"/>
  <c r="Y8536" i="15" s="1"/>
  <c r="X8538" i="15"/>
  <c r="Y8537" i="15" s="1"/>
  <c r="X8539" i="15"/>
  <c r="Y8538" i="15" s="1"/>
  <c r="X8540" i="15"/>
  <c r="Y8539" i="15" s="1"/>
  <c r="X8541" i="15"/>
  <c r="Y8540" i="15" s="1"/>
  <c r="X8542" i="15"/>
  <c r="Y8541" i="15" s="1"/>
  <c r="X8543" i="15"/>
  <c r="Y8542" i="15" s="1"/>
  <c r="X8544" i="15"/>
  <c r="Y8543" i="15" s="1"/>
  <c r="X8545" i="15"/>
  <c r="Y8544" i="15" s="1"/>
  <c r="X8546" i="15"/>
  <c r="Y8545" i="15" s="1"/>
  <c r="X8547" i="15"/>
  <c r="Y8546" i="15" s="1"/>
  <c r="X8548" i="15"/>
  <c r="Y8547" i="15" s="1"/>
  <c r="X8549" i="15"/>
  <c r="Y8548" i="15" s="1"/>
  <c r="X8550" i="15"/>
  <c r="Y8549" i="15" s="1"/>
  <c r="X8551" i="15"/>
  <c r="Y8550" i="15" s="1"/>
  <c r="X8552" i="15"/>
  <c r="Y8551" i="15" s="1"/>
  <c r="X8553" i="15"/>
  <c r="Y8552" i="15" s="1"/>
  <c r="X8554" i="15"/>
  <c r="Y8553" i="15" s="1"/>
  <c r="X8555" i="15"/>
  <c r="Y8554" i="15" s="1"/>
  <c r="X8556" i="15"/>
  <c r="Y8555" i="15" s="1"/>
  <c r="X8557" i="15"/>
  <c r="Y8556" i="15" s="1"/>
  <c r="X8558" i="15"/>
  <c r="Y8557" i="15" s="1"/>
  <c r="X8559" i="15"/>
  <c r="Y8558" i="15" s="1"/>
  <c r="X8560" i="15"/>
  <c r="Y8559" i="15" s="1"/>
  <c r="X8561" i="15"/>
  <c r="Y8560" i="15" s="1"/>
  <c r="X8562" i="15"/>
  <c r="Y8561" i="15" s="1"/>
  <c r="X8563" i="15"/>
  <c r="Y8562" i="15" s="1"/>
  <c r="X8564" i="15"/>
  <c r="Y8563" i="15" s="1"/>
  <c r="X8565" i="15"/>
  <c r="Y8564" i="15" s="1"/>
  <c r="X8566" i="15"/>
  <c r="Y8565" i="15" s="1"/>
  <c r="X8567" i="15"/>
  <c r="Y8566" i="15" s="1"/>
  <c r="X8568" i="15"/>
  <c r="Y8567" i="15" s="1"/>
  <c r="X8569" i="15"/>
  <c r="Y8568" i="15" s="1"/>
  <c r="X8570" i="15"/>
  <c r="Y8569" i="15" s="1"/>
  <c r="X8571" i="15"/>
  <c r="Y8570" i="15" s="1"/>
  <c r="X8572" i="15"/>
  <c r="Y8571" i="15" s="1"/>
  <c r="X8573" i="15"/>
  <c r="Y8572" i="15" s="1"/>
  <c r="X8574" i="15"/>
  <c r="Y8573" i="15" s="1"/>
  <c r="X8575" i="15"/>
  <c r="Y8574" i="15" s="1"/>
  <c r="X8576" i="15"/>
  <c r="Y8575" i="15" s="1"/>
  <c r="X8577" i="15"/>
  <c r="Y8576" i="15" s="1"/>
  <c r="X8578" i="15"/>
  <c r="Y8577" i="15" s="1"/>
  <c r="X8579" i="15"/>
  <c r="Y8578" i="15" s="1"/>
  <c r="X8580" i="15"/>
  <c r="Y8579" i="15" s="1"/>
  <c r="X8581" i="15"/>
  <c r="Y8580" i="15" s="1"/>
  <c r="X8582" i="15"/>
  <c r="Y8581" i="15" s="1"/>
  <c r="X8583" i="15"/>
  <c r="Y8582" i="15" s="1"/>
  <c r="X8584" i="15"/>
  <c r="Y8583" i="15" s="1"/>
  <c r="X8585" i="15"/>
  <c r="Y8584" i="15" s="1"/>
  <c r="X8586" i="15"/>
  <c r="Y8585" i="15" s="1"/>
  <c r="X8587" i="15"/>
  <c r="Y8586" i="15" s="1"/>
  <c r="X8588" i="15"/>
  <c r="Y8587" i="15" s="1"/>
  <c r="X8589" i="15"/>
  <c r="Y8588" i="15" s="1"/>
  <c r="X8590" i="15"/>
  <c r="Y8589" i="15" s="1"/>
  <c r="X8591" i="15"/>
  <c r="Y8590" i="15" s="1"/>
  <c r="X8592" i="15"/>
  <c r="Y8591" i="15" s="1"/>
  <c r="X8593" i="15"/>
  <c r="Y8592" i="15" s="1"/>
  <c r="X8594" i="15"/>
  <c r="Y8593" i="15" s="1"/>
  <c r="X8595" i="15"/>
  <c r="Y8594" i="15" s="1"/>
  <c r="X8596" i="15"/>
  <c r="Y8595" i="15" s="1"/>
  <c r="X8597" i="15"/>
  <c r="Y8596" i="15" s="1"/>
  <c r="X8598" i="15"/>
  <c r="Y8597" i="15" s="1"/>
  <c r="X8599" i="15"/>
  <c r="Y8598" i="15" s="1"/>
  <c r="X8600" i="15"/>
  <c r="Y8599" i="15" s="1"/>
  <c r="X8601" i="15"/>
  <c r="Y8600" i="15" s="1"/>
  <c r="X8602" i="15"/>
  <c r="Y8601" i="15" s="1"/>
  <c r="X8603" i="15"/>
  <c r="Y8602" i="15" s="1"/>
  <c r="X8604" i="15"/>
  <c r="Y8603" i="15" s="1"/>
  <c r="X8605" i="15"/>
  <c r="Y8604" i="15" s="1"/>
  <c r="X8606" i="15"/>
  <c r="Y8605" i="15" s="1"/>
  <c r="X8607" i="15"/>
  <c r="Y8606" i="15" s="1"/>
  <c r="X8608" i="15"/>
  <c r="Y8607" i="15" s="1"/>
  <c r="X8609" i="15"/>
  <c r="Y8608" i="15" s="1"/>
  <c r="X8610" i="15"/>
  <c r="Y8609" i="15" s="1"/>
  <c r="X8611" i="15"/>
  <c r="Y8610" i="15" s="1"/>
  <c r="X8612" i="15"/>
  <c r="Y8611" i="15" s="1"/>
  <c r="X8613" i="15"/>
  <c r="Y8612" i="15" s="1"/>
  <c r="X8614" i="15"/>
  <c r="Y8613" i="15" s="1"/>
  <c r="X8615" i="15"/>
  <c r="Y8614" i="15" s="1"/>
  <c r="X8616" i="15"/>
  <c r="Y8615" i="15" s="1"/>
  <c r="X8617" i="15"/>
  <c r="Y8616" i="15" s="1"/>
  <c r="X8618" i="15"/>
  <c r="Y8617" i="15" s="1"/>
  <c r="X8619" i="15"/>
  <c r="Y8618" i="15" s="1"/>
  <c r="X8620" i="15"/>
  <c r="Y8619" i="15" s="1"/>
  <c r="X8621" i="15"/>
  <c r="Y8620" i="15" s="1"/>
  <c r="X8622" i="15"/>
  <c r="Y8621" i="15" s="1"/>
  <c r="X8623" i="15"/>
  <c r="Y8622" i="15" s="1"/>
  <c r="X8624" i="15"/>
  <c r="Y8623" i="15" s="1"/>
  <c r="X8625" i="15"/>
  <c r="Y8624" i="15" s="1"/>
  <c r="X8626" i="15"/>
  <c r="Y8625" i="15" s="1"/>
  <c r="X8627" i="15"/>
  <c r="Y8626" i="15" s="1"/>
  <c r="X8628" i="15"/>
  <c r="Y8627" i="15" s="1"/>
  <c r="X8629" i="15"/>
  <c r="Y8628" i="15" s="1"/>
  <c r="X8630" i="15"/>
  <c r="Y8629" i="15" s="1"/>
  <c r="X8631" i="15"/>
  <c r="Y8630" i="15" s="1"/>
  <c r="X8632" i="15"/>
  <c r="Y8631" i="15" s="1"/>
  <c r="X8633" i="15"/>
  <c r="Y8632" i="15" s="1"/>
  <c r="X8634" i="15"/>
  <c r="Y8633" i="15" s="1"/>
  <c r="X8635" i="15"/>
  <c r="Y8634" i="15" s="1"/>
  <c r="X8636" i="15"/>
  <c r="Y8635" i="15" s="1"/>
  <c r="X8637" i="15"/>
  <c r="Y8636" i="15" s="1"/>
  <c r="X8638" i="15"/>
  <c r="Y8637" i="15" s="1"/>
  <c r="X8639" i="15"/>
  <c r="Y8638" i="15" s="1"/>
  <c r="X8640" i="15"/>
  <c r="Y8639" i="15" s="1"/>
  <c r="X8641" i="15"/>
  <c r="Y8640" i="15" s="1"/>
  <c r="X8642" i="15"/>
  <c r="Y8641" i="15" s="1"/>
  <c r="X8643" i="15"/>
  <c r="Y8642" i="15" s="1"/>
  <c r="X8644" i="15"/>
  <c r="Y8643" i="15" s="1"/>
  <c r="X8645" i="15"/>
  <c r="Y8644" i="15" s="1"/>
  <c r="X8646" i="15"/>
  <c r="Y8645" i="15" s="1"/>
  <c r="X8647" i="15"/>
  <c r="Y8646" i="15" s="1"/>
  <c r="X8648" i="15"/>
  <c r="Y8647" i="15" s="1"/>
  <c r="X8649" i="15"/>
  <c r="Y8648" i="15" s="1"/>
  <c r="X8650" i="15"/>
  <c r="Y8649" i="15" s="1"/>
  <c r="X8651" i="15"/>
  <c r="Y8650" i="15" s="1"/>
  <c r="X8652" i="15"/>
  <c r="Y8651" i="15" s="1"/>
  <c r="X8653" i="15"/>
  <c r="Y8652" i="15" s="1"/>
  <c r="X8654" i="15"/>
  <c r="Y8653" i="15" s="1"/>
  <c r="X8655" i="15"/>
  <c r="Y8654" i="15" s="1"/>
  <c r="X8656" i="15"/>
  <c r="Y8655" i="15" s="1"/>
  <c r="X8657" i="15"/>
  <c r="Y8656" i="15" s="1"/>
  <c r="X8658" i="15"/>
  <c r="Y8657" i="15" s="1"/>
  <c r="X8659" i="15"/>
  <c r="Y8658" i="15" s="1"/>
  <c r="X8660" i="15"/>
  <c r="Y8659" i="15" s="1"/>
  <c r="X8661" i="15"/>
  <c r="Y8660" i="15" s="1"/>
  <c r="X8662" i="15"/>
  <c r="Y8661" i="15" s="1"/>
  <c r="X8663" i="15"/>
  <c r="Y8662" i="15" s="1"/>
  <c r="X8664" i="15"/>
  <c r="Y8663" i="15" s="1"/>
  <c r="X8665" i="15"/>
  <c r="Y8664" i="15" s="1"/>
  <c r="X8666" i="15"/>
  <c r="Y8665" i="15" s="1"/>
  <c r="X8667" i="15"/>
  <c r="Y8666" i="15" s="1"/>
  <c r="X8668" i="15"/>
  <c r="Y8667" i="15" s="1"/>
  <c r="X8669" i="15"/>
  <c r="Y8668" i="15" s="1"/>
  <c r="X8670" i="15"/>
  <c r="Y8669" i="15" s="1"/>
  <c r="X8671" i="15"/>
  <c r="Y8670" i="15" s="1"/>
  <c r="X8672" i="15"/>
  <c r="Y8671" i="15" s="1"/>
  <c r="X8673" i="15"/>
  <c r="Y8672" i="15" s="1"/>
  <c r="X8674" i="15"/>
  <c r="Y8673" i="15" s="1"/>
  <c r="X8675" i="15"/>
  <c r="Y8674" i="15" s="1"/>
  <c r="X8676" i="15"/>
  <c r="Y8675" i="15" s="1"/>
  <c r="X8677" i="15"/>
  <c r="Y8676" i="15" s="1"/>
  <c r="X8678" i="15"/>
  <c r="Y8677" i="15" s="1"/>
  <c r="X8679" i="15"/>
  <c r="Y8678" i="15" s="1"/>
  <c r="X8680" i="15"/>
  <c r="Y8679" i="15" s="1"/>
  <c r="X8681" i="15"/>
  <c r="Y8680" i="15" s="1"/>
  <c r="X8682" i="15"/>
  <c r="Y8681" i="15" s="1"/>
  <c r="X8683" i="15"/>
  <c r="Y8682" i="15" s="1"/>
  <c r="X8684" i="15"/>
  <c r="Y8683" i="15" s="1"/>
  <c r="X8685" i="15"/>
  <c r="Y8684" i="15" s="1"/>
  <c r="X8686" i="15"/>
  <c r="Y8685" i="15" s="1"/>
  <c r="X8687" i="15"/>
  <c r="Y8686" i="15" s="1"/>
  <c r="X8688" i="15"/>
  <c r="Y8687" i="15" s="1"/>
  <c r="X8689" i="15"/>
  <c r="Y8688" i="15" s="1"/>
  <c r="X8690" i="15"/>
  <c r="Y8689" i="15" s="1"/>
  <c r="X8691" i="15"/>
  <c r="Y8690" i="15" s="1"/>
  <c r="X8692" i="15"/>
  <c r="Y8691" i="15" s="1"/>
  <c r="X8693" i="15"/>
  <c r="Y8692" i="15" s="1"/>
  <c r="X8694" i="15"/>
  <c r="Y8693" i="15" s="1"/>
  <c r="X8695" i="15"/>
  <c r="Y8694" i="15" s="1"/>
  <c r="X8696" i="15"/>
  <c r="Y8695" i="15" s="1"/>
  <c r="X8697" i="15"/>
  <c r="Y8696" i="15" s="1"/>
  <c r="X8698" i="15"/>
  <c r="Y8697" i="15" s="1"/>
  <c r="X8699" i="15"/>
  <c r="Y8698" i="15" s="1"/>
  <c r="X8700" i="15"/>
  <c r="Y8699" i="15" s="1"/>
  <c r="X8701" i="15"/>
  <c r="Y8700" i="15" s="1"/>
  <c r="X8702" i="15"/>
  <c r="Y8701" i="15" s="1"/>
  <c r="X8703" i="15"/>
  <c r="Y8702" i="15" s="1"/>
  <c r="X8704" i="15"/>
  <c r="Y8703" i="15" s="1"/>
  <c r="X8705" i="15"/>
  <c r="Y8704" i="15" s="1"/>
  <c r="X8706" i="15"/>
  <c r="Y8705" i="15" s="1"/>
  <c r="X8707" i="15"/>
  <c r="Y8706" i="15" s="1"/>
  <c r="X8708" i="15"/>
  <c r="Y8707" i="15" s="1"/>
  <c r="X8709" i="15"/>
  <c r="Y8708" i="15" s="1"/>
  <c r="X8710" i="15"/>
  <c r="Y8709" i="15" s="1"/>
  <c r="X8711" i="15"/>
  <c r="Y8710" i="15" s="1"/>
  <c r="X8712" i="15"/>
  <c r="Y8711" i="15" s="1"/>
  <c r="X8713" i="15"/>
  <c r="Y8712" i="15" s="1"/>
  <c r="X8714" i="15"/>
  <c r="Y8713" i="15" s="1"/>
  <c r="X8715" i="15"/>
  <c r="Y8714" i="15" s="1"/>
  <c r="X8716" i="15"/>
  <c r="Y8715" i="15" s="1"/>
  <c r="X8717" i="15"/>
  <c r="Y8716" i="15" s="1"/>
  <c r="X8718" i="15"/>
  <c r="Y8717" i="15" s="1"/>
  <c r="X8719" i="15"/>
  <c r="Y8718" i="15" s="1"/>
  <c r="X8720" i="15"/>
  <c r="Y8719" i="15" s="1"/>
  <c r="X8721" i="15"/>
  <c r="Y8720" i="15" s="1"/>
  <c r="X8722" i="15"/>
  <c r="Y8721" i="15" s="1"/>
  <c r="X8723" i="15"/>
  <c r="Y8722" i="15" s="1"/>
  <c r="X8724" i="15"/>
  <c r="Y8723" i="15" s="1"/>
  <c r="X8725" i="15"/>
  <c r="Y8724" i="15" s="1"/>
  <c r="X8726" i="15"/>
  <c r="Y8725" i="15" s="1"/>
  <c r="X8727" i="15"/>
  <c r="Y8726" i="15" s="1"/>
  <c r="X8728" i="15"/>
  <c r="Y8727" i="15" s="1"/>
  <c r="X8729" i="15"/>
  <c r="Y8728" i="15" s="1"/>
  <c r="X8730" i="15"/>
  <c r="Y8729" i="15" s="1"/>
  <c r="X8731" i="15"/>
  <c r="Y8730" i="15" s="1"/>
  <c r="X8732" i="15"/>
  <c r="Y8731" i="15" s="1"/>
  <c r="X8733" i="15"/>
  <c r="Y8732" i="15" s="1"/>
  <c r="X8734" i="15"/>
  <c r="Y8733" i="15" s="1"/>
  <c r="X8735" i="15"/>
  <c r="Y8734" i="15" s="1"/>
  <c r="X8736" i="15"/>
  <c r="Y8735" i="15" s="1"/>
  <c r="X8737" i="15"/>
  <c r="Y8736" i="15" s="1"/>
  <c r="X8738" i="15"/>
  <c r="Y8737" i="15" s="1"/>
  <c r="X8739" i="15"/>
  <c r="Y8738" i="15" s="1"/>
  <c r="X8740" i="15"/>
  <c r="Y8739" i="15" s="1"/>
  <c r="X8741" i="15"/>
  <c r="Y8740" i="15" s="1"/>
  <c r="X8742" i="15"/>
  <c r="Y8741" i="15" s="1"/>
  <c r="X8743" i="15"/>
  <c r="Y8742" i="15" s="1"/>
  <c r="X8744" i="15"/>
  <c r="Y8743" i="15" s="1"/>
  <c r="X8745" i="15"/>
  <c r="Y8744" i="15" s="1"/>
  <c r="X8746" i="15"/>
  <c r="Y8745" i="15" s="1"/>
  <c r="X8747" i="15"/>
  <c r="Y8746" i="15" s="1"/>
  <c r="X8748" i="15"/>
  <c r="Y8747" i="15" s="1"/>
  <c r="X8749" i="15"/>
  <c r="Y8748" i="15" s="1"/>
  <c r="X8750" i="15"/>
  <c r="Y8749" i="15" s="1"/>
  <c r="X8751" i="15"/>
  <c r="Y8750" i="15" s="1"/>
  <c r="X8752" i="15"/>
  <c r="Y8751" i="15" s="1"/>
  <c r="X8753" i="15"/>
  <c r="Y8752" i="15" s="1"/>
  <c r="X8754" i="15"/>
  <c r="Y8753" i="15" s="1"/>
  <c r="X8755" i="15"/>
  <c r="Y8754" i="15" s="1"/>
  <c r="X8756" i="15"/>
  <c r="Y8755" i="15" s="1"/>
  <c r="X8757" i="15"/>
  <c r="Y8756" i="15" s="1"/>
  <c r="X8758" i="15"/>
  <c r="Y8757" i="15" s="1"/>
  <c r="X8759" i="15"/>
  <c r="Y8758" i="15" s="1"/>
  <c r="X8760" i="15"/>
  <c r="Y8759" i="15" s="1"/>
  <c r="X8761" i="15"/>
  <c r="Y8760" i="15" s="1"/>
  <c r="X8762" i="15"/>
  <c r="Y8761" i="15" s="1"/>
  <c r="X8763" i="15"/>
  <c r="Y8762" i="15" s="1"/>
  <c r="X8764" i="15"/>
  <c r="Y8763" i="15" s="1"/>
  <c r="X8765" i="15"/>
  <c r="Y8764" i="15" s="1"/>
  <c r="X8766" i="15"/>
  <c r="Y8765" i="15" s="1"/>
  <c r="X8767" i="15"/>
  <c r="Y8766" i="15" s="1"/>
  <c r="X8768" i="15"/>
  <c r="Y8767" i="15" s="1"/>
  <c r="X8769" i="15"/>
  <c r="Y8768" i="15" s="1"/>
  <c r="X8770" i="15"/>
  <c r="Y8769" i="15" s="1"/>
  <c r="X8771" i="15"/>
  <c r="Y8770" i="15" s="1"/>
  <c r="X8772" i="15"/>
  <c r="Y8771" i="15" s="1"/>
  <c r="X8773" i="15"/>
  <c r="Y8772" i="15" s="1"/>
  <c r="X8774" i="15"/>
  <c r="Y8773" i="15" s="1"/>
  <c r="X8775" i="15"/>
  <c r="Y8774" i="15" s="1"/>
  <c r="X8776" i="15"/>
  <c r="Y8775" i="15" s="1"/>
  <c r="X8777" i="15"/>
  <c r="Y8776" i="15" s="1"/>
  <c r="X8778" i="15"/>
  <c r="Y8777" i="15" s="1"/>
  <c r="X8779" i="15"/>
  <c r="Y8778" i="15" s="1"/>
  <c r="X8780" i="15"/>
  <c r="Y8779" i="15" s="1"/>
  <c r="X8781" i="15"/>
  <c r="Y8780" i="15" s="1"/>
  <c r="X8782" i="15"/>
  <c r="Y8781" i="15" s="1"/>
  <c r="X8783" i="15"/>
  <c r="Y8782" i="15" s="1"/>
  <c r="X8784" i="15"/>
  <c r="Y8783" i="15" s="1"/>
  <c r="X8785" i="15"/>
  <c r="Y8784" i="15" s="1"/>
  <c r="X8786" i="15"/>
  <c r="Y8785" i="15" s="1"/>
  <c r="X8787" i="15"/>
  <c r="Y8786" i="15" s="1"/>
  <c r="X8788" i="15"/>
  <c r="Y8787" i="15" s="1"/>
  <c r="X8789" i="15"/>
  <c r="Y8788" i="15" s="1"/>
  <c r="X8790" i="15"/>
  <c r="Y8789" i="15" s="1"/>
  <c r="X8791" i="15"/>
  <c r="Y8790" i="15" s="1"/>
  <c r="X8792" i="15"/>
  <c r="Y8791" i="15" s="1"/>
  <c r="X8793" i="15"/>
  <c r="Y8792" i="15" s="1"/>
  <c r="X8794" i="15"/>
  <c r="Y8793" i="15" s="1"/>
  <c r="X8795" i="15"/>
  <c r="Y8794" i="15" s="1"/>
  <c r="X8796" i="15"/>
  <c r="Y8795" i="15" s="1"/>
  <c r="X8797" i="15"/>
  <c r="Y8796" i="15" s="1"/>
  <c r="X8798" i="15"/>
  <c r="Y8797" i="15" s="1"/>
  <c r="X8799" i="15"/>
  <c r="Y8798" i="15" s="1"/>
  <c r="X8800" i="15"/>
  <c r="Y8799" i="15" s="1"/>
  <c r="X8801" i="15"/>
  <c r="Y8800" i="15" s="1"/>
  <c r="X8802" i="15"/>
  <c r="Y8801" i="15" s="1"/>
  <c r="X8803" i="15"/>
  <c r="Y8802" i="15" s="1"/>
  <c r="X8804" i="15"/>
  <c r="Y8803" i="15" s="1"/>
  <c r="X8805" i="15"/>
  <c r="Y8804" i="15" s="1"/>
  <c r="X8806" i="15"/>
  <c r="Y8805" i="15" s="1"/>
  <c r="X8807" i="15"/>
  <c r="Y8806" i="15" s="1"/>
  <c r="X8808" i="15"/>
  <c r="Y8807" i="15" s="1"/>
  <c r="X8809" i="15"/>
  <c r="Y8808" i="15" s="1"/>
  <c r="X8810" i="15"/>
  <c r="Y8809" i="15" s="1"/>
  <c r="X8811" i="15"/>
  <c r="Y8810" i="15" s="1"/>
  <c r="X8812" i="15"/>
  <c r="Y8811" i="15" s="1"/>
  <c r="X8813" i="15"/>
  <c r="Y8812" i="15" s="1"/>
  <c r="X8814" i="15"/>
  <c r="Y8813" i="15" s="1"/>
  <c r="X8815" i="15"/>
  <c r="Y8814" i="15" s="1"/>
  <c r="X8816" i="15"/>
  <c r="Y8815" i="15" s="1"/>
  <c r="X8817" i="15"/>
  <c r="Y8816" i="15" s="1"/>
  <c r="X8818" i="15"/>
  <c r="Y8817" i="15" s="1"/>
  <c r="X8819" i="15"/>
  <c r="Y8818" i="15" s="1"/>
  <c r="X8820" i="15"/>
  <c r="Y8819" i="15" s="1"/>
  <c r="X8821" i="15"/>
  <c r="Y8820" i="15" s="1"/>
  <c r="X8822" i="15"/>
  <c r="Y8821" i="15" s="1"/>
  <c r="X8823" i="15"/>
  <c r="Y8822" i="15" s="1"/>
  <c r="X8824" i="15"/>
  <c r="Y8823" i="15" s="1"/>
  <c r="X8825" i="15"/>
  <c r="Y8824" i="15" s="1"/>
  <c r="X8826" i="15"/>
  <c r="Y8825" i="15" s="1"/>
  <c r="X8827" i="15"/>
  <c r="Y8826" i="15" s="1"/>
  <c r="X8828" i="15"/>
  <c r="Y8827" i="15" s="1"/>
  <c r="X8829" i="15"/>
  <c r="Y8828" i="15" s="1"/>
  <c r="X8830" i="15"/>
  <c r="Y8829" i="15" s="1"/>
  <c r="X8831" i="15"/>
  <c r="Y8830" i="15" s="1"/>
  <c r="X8832" i="15"/>
  <c r="Y8831" i="15" s="1"/>
  <c r="X8833" i="15"/>
  <c r="Y8832" i="15" s="1"/>
  <c r="X8834" i="15"/>
  <c r="Y8833" i="15" s="1"/>
  <c r="X8835" i="15"/>
  <c r="Y8834" i="15" s="1"/>
  <c r="X8836" i="15"/>
  <c r="Y8835" i="15" s="1"/>
  <c r="X8837" i="15"/>
  <c r="Y8836" i="15" s="1"/>
  <c r="X8838" i="15"/>
  <c r="Y8837" i="15" s="1"/>
  <c r="X8839" i="15"/>
  <c r="Y8838" i="15" s="1"/>
  <c r="X8840" i="15"/>
  <c r="Y8839" i="15" s="1"/>
  <c r="X8841" i="15"/>
  <c r="Y8840" i="15" s="1"/>
  <c r="X8842" i="15"/>
  <c r="Y8841" i="15" s="1"/>
  <c r="X8843" i="15"/>
  <c r="Y8842" i="15" s="1"/>
  <c r="X8844" i="15"/>
  <c r="Y8843" i="15" s="1"/>
  <c r="X8845" i="15"/>
  <c r="Y8844" i="15" s="1"/>
  <c r="X8846" i="15"/>
  <c r="Y8845" i="15" s="1"/>
  <c r="X8847" i="15"/>
  <c r="Y8846" i="15" s="1"/>
  <c r="X8848" i="15"/>
  <c r="Y8847" i="15" s="1"/>
  <c r="X8849" i="15"/>
  <c r="Y8848" i="15" s="1"/>
  <c r="X8850" i="15"/>
  <c r="Y8849" i="15" s="1"/>
  <c r="X8851" i="15"/>
  <c r="Y8850" i="15" s="1"/>
  <c r="X8852" i="15"/>
  <c r="Y8851" i="15" s="1"/>
  <c r="X8853" i="15"/>
  <c r="Y8852" i="15" s="1"/>
  <c r="X8854" i="15"/>
  <c r="Y8853" i="15" s="1"/>
  <c r="X8855" i="15"/>
  <c r="Y8854" i="15" s="1"/>
  <c r="X8856" i="15"/>
  <c r="Y8855" i="15" s="1"/>
  <c r="X2" i="15"/>
  <c r="A36" i="19" l="1"/>
  <c r="B26" i="19"/>
  <c r="B27" i="19"/>
  <c r="B28" i="19"/>
  <c r="B29" i="19"/>
  <c r="B30" i="19"/>
  <c r="B31" i="19"/>
  <c r="B32" i="19"/>
  <c r="B33" i="19"/>
  <c r="A17" i="19"/>
  <c r="A18" i="19"/>
  <c r="A19" i="19"/>
  <c r="A20" i="19"/>
  <c r="A21" i="19"/>
  <c r="A22" i="19"/>
  <c r="A23" i="19"/>
  <c r="A16" i="19"/>
  <c r="A3" i="19"/>
  <c r="A4" i="19"/>
  <c r="A5" i="19"/>
  <c r="A6" i="19"/>
  <c r="A7" i="19"/>
  <c r="A8" i="19"/>
  <c r="A9" i="19"/>
  <c r="A10" i="19"/>
  <c r="A11" i="19"/>
  <c r="A12" i="19"/>
  <c r="A13" i="19"/>
  <c r="A2" i="19"/>
  <c r="N160" i="4"/>
  <c r="M160" i="4"/>
  <c r="L160" i="4"/>
  <c r="K160" i="4"/>
  <c r="J160" i="4"/>
  <c r="I160" i="4"/>
  <c r="H160" i="4"/>
  <c r="G160" i="4"/>
  <c r="F160" i="4"/>
  <c r="E160" i="4"/>
  <c r="F13" i="19" l="1"/>
  <c r="F12" i="19"/>
  <c r="F11" i="19"/>
  <c r="F10" i="19"/>
  <c r="F9" i="19"/>
  <c r="F8" i="19"/>
  <c r="F7" i="19"/>
  <c r="F6" i="19"/>
  <c r="F5" i="19"/>
  <c r="F4" i="19"/>
  <c r="Q91" i="7" l="1"/>
  <c r="E18" i="14" l="1"/>
  <c r="M3" i="16" s="1"/>
  <c r="E19" i="14"/>
  <c r="M4" i="16" s="1"/>
  <c r="E20" i="14"/>
  <c r="M5" i="16" s="1"/>
  <c r="E21" i="14"/>
  <c r="M6" i="16" s="1"/>
  <c r="E22" i="14"/>
  <c r="M7" i="16" s="1"/>
  <c r="E23" i="14"/>
  <c r="M8" i="16" s="1"/>
  <c r="E24" i="14"/>
  <c r="M9" i="16" s="1"/>
  <c r="E25" i="14"/>
  <c r="M10" i="16" s="1"/>
  <c r="E26" i="14"/>
  <c r="M11" i="16" s="1"/>
  <c r="E27" i="14"/>
  <c r="M12" i="16" s="1"/>
  <c r="E28" i="14"/>
  <c r="M13" i="16" s="1"/>
  <c r="E17" i="14"/>
  <c r="M2" i="16" s="1"/>
  <c r="V2" i="15"/>
  <c r="A4" i="14" l="1"/>
  <c r="A3" i="16" s="1"/>
  <c r="A5" i="14"/>
  <c r="A4" i="16" s="1"/>
  <c r="A6" i="14"/>
  <c r="A5" i="16" s="1"/>
  <c r="A7" i="14"/>
  <c r="A6" i="16" s="1"/>
  <c r="A8" i="14"/>
  <c r="A7" i="16" s="1"/>
  <c r="A9" i="14"/>
  <c r="A8" i="16" s="1"/>
  <c r="A10" i="14"/>
  <c r="A9" i="16" s="1"/>
  <c r="A11" i="14"/>
  <c r="A10" i="16" s="1"/>
  <c r="A12" i="14"/>
  <c r="A11" i="16" s="1"/>
  <c r="A13" i="14"/>
  <c r="A12" i="16" s="1"/>
  <c r="A14" i="14"/>
  <c r="A13" i="16" s="1"/>
  <c r="A3" i="14"/>
  <c r="A2" i="16" s="1"/>
  <c r="D21" i="14" l="1"/>
  <c r="M14" i="8" s="1"/>
  <c r="D22" i="14"/>
  <c r="M12" i="8" s="1"/>
  <c r="D23" i="14"/>
  <c r="I21" i="8" s="1"/>
  <c r="D24" i="14"/>
  <c r="J21" i="8" s="1"/>
  <c r="D25" i="14"/>
  <c r="K21" i="8" s="1"/>
  <c r="D26" i="14"/>
  <c r="K7" i="8" s="1"/>
  <c r="D27" i="14"/>
  <c r="J7" i="8" s="1"/>
  <c r="D28" i="14"/>
  <c r="I7" i="8" s="1"/>
  <c r="D18" i="14"/>
  <c r="G14" i="8" s="1"/>
  <c r="D19" i="14"/>
  <c r="G16" i="8" s="1"/>
  <c r="D20" i="14"/>
  <c r="M16" i="8" s="1"/>
  <c r="D17" i="14"/>
  <c r="G12" i="8" s="1"/>
  <c r="C18" i="14"/>
  <c r="F14" i="8" s="1"/>
  <c r="C19" i="14"/>
  <c r="F16" i="8" s="1"/>
  <c r="C20" i="14"/>
  <c r="N16" i="8" s="1"/>
  <c r="C21" i="14"/>
  <c r="N14" i="8" s="1"/>
  <c r="C22" i="14"/>
  <c r="N12" i="8" s="1"/>
  <c r="C23" i="14"/>
  <c r="I22" i="8" s="1"/>
  <c r="C24" i="14"/>
  <c r="J22" i="8" s="1"/>
  <c r="C25" i="14"/>
  <c r="K22" i="8" s="1"/>
  <c r="C26" i="14"/>
  <c r="K6" i="8" s="1"/>
  <c r="C27" i="14"/>
  <c r="J6" i="8" s="1"/>
  <c r="C28" i="14"/>
  <c r="I6" i="8" s="1"/>
  <c r="C17" i="14"/>
  <c r="F12" i="8" s="1"/>
  <c r="J14" i="8" l="1"/>
  <c r="H7" i="8"/>
  <c r="G17" i="8"/>
  <c r="N11" i="8"/>
  <c r="L22"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I82" i="7"/>
  <c r="J82" i="7"/>
  <c r="K82" i="7"/>
  <c r="L82" i="7"/>
  <c r="M82" i="7"/>
  <c r="N82" i="7"/>
  <c r="C32" i="4"/>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19" s="1"/>
  <c r="G82" i="7"/>
  <c r="C160" i="4"/>
  <c r="F2" i="19" s="1"/>
  <c r="Z27" i="4"/>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D3" i="2"/>
  <c r="D14" i="2" s="1"/>
  <c r="C56" i="6"/>
  <c r="A29" i="7"/>
  <c r="D6" i="2"/>
  <c r="D11" i="2" s="1"/>
  <c r="AA13" i="7"/>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D57" i="6" s="1"/>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C18" i="6"/>
  <c r="C20" i="6"/>
  <c r="T23" i="9"/>
  <c r="T26" i="9"/>
  <c r="B14" i="2"/>
  <c r="K49" i="7"/>
  <c r="K29" i="7"/>
  <c r="A49" i="7"/>
  <c r="E68" i="7"/>
  <c r="R7" i="9"/>
  <c r="R9" i="9" s="1"/>
  <c r="R23" i="9"/>
  <c r="P24" i="9"/>
  <c r="P25" i="9" s="1"/>
  <c r="V23" i="9"/>
  <c r="P7" i="9"/>
  <c r="P9" i="9" s="1"/>
  <c r="F13" i="16" l="1"/>
  <c r="F5" i="16"/>
  <c r="F12" i="16"/>
  <c r="F4" i="16"/>
  <c r="F11" i="16"/>
  <c r="F3" i="16"/>
  <c r="F10" i="16"/>
  <c r="F2" i="16"/>
  <c r="F9" i="16"/>
  <c r="F8" i="16"/>
  <c r="F7" i="16"/>
  <c r="F6" i="16"/>
  <c r="AA15" i="7"/>
  <c r="R3" i="9" s="1"/>
  <c r="T19" i="9" s="1"/>
  <c r="U15" i="7"/>
  <c r="B13" i="7" s="1"/>
  <c r="V50" i="6"/>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C14" i="6"/>
  <c r="D17" i="6" s="1"/>
  <c r="T28" i="9"/>
  <c r="S28" i="9" s="1"/>
  <c r="E24" i="6"/>
  <c r="E27" i="6" s="1"/>
  <c r="E16" i="6" l="1"/>
  <c r="H11" i="7"/>
  <c r="B11" i="7"/>
  <c r="B9" i="7"/>
  <c r="P3" i="9"/>
  <c r="V19" i="9" s="1"/>
  <c r="H13" i="7"/>
  <c r="H9" i="7"/>
  <c r="V53" i="6"/>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R8" i="9"/>
  <c r="R10" i="9"/>
  <c r="R11" i="9" s="1"/>
  <c r="F5" i="4"/>
  <c r="D113" i="4" l="1"/>
  <c r="C132" i="4"/>
  <c r="C138" i="4" s="1"/>
  <c r="P10" i="9"/>
  <c r="P11" i="9" s="1"/>
  <c r="D36" i="4" s="1"/>
  <c r="E36" i="4" s="1"/>
  <c r="P8" i="9"/>
  <c r="D35" i="4" s="1"/>
  <c r="E35" i="4" s="1"/>
  <c r="BD53" i="6"/>
  <c r="M113" i="4"/>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F9" i="4"/>
  <c r="F7" i="4"/>
  <c r="G35" i="4"/>
  <c r="H35" i="4" s="1"/>
  <c r="C139" i="4" l="1"/>
  <c r="G139" i="4" s="1"/>
  <c r="AM48" i="6"/>
  <c r="AM49" i="6"/>
  <c r="D114" i="4"/>
  <c r="X12" i="2"/>
  <c r="B15" i="2" s="1"/>
  <c r="F139" i="4"/>
  <c r="C35" i="6"/>
  <c r="Z31" i="4"/>
  <c r="Y31" i="4"/>
  <c r="M36" i="4"/>
  <c r="N36" i="4" s="1"/>
  <c r="M35" i="4"/>
  <c r="N35" i="4" s="1"/>
  <c r="BC35" i="6"/>
  <c r="Z12" i="2"/>
  <c r="F15" i="2" s="1"/>
  <c r="G138"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BD48" i="6" l="1"/>
  <c r="BD49" i="6"/>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Z13" i="4" l="1"/>
  <c r="Z15" i="4" s="1"/>
  <c r="C151" i="4"/>
  <c r="H27" i="2"/>
  <c r="Z42" i="2" s="1"/>
  <c r="H28" i="2"/>
  <c r="AJ3" i="7" s="1"/>
  <c r="F27" i="2"/>
  <c r="AD42" i="2" s="1"/>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G35" i="2"/>
  <c r="AG42" i="2"/>
  <c r="M33" i="4"/>
  <c r="N19" i="4"/>
  <c r="T14" i="1"/>
  <c r="U15" i="1" s="1"/>
  <c r="E9" i="4"/>
  <c r="L9" i="4"/>
  <c r="L7" i="4"/>
  <c r="L26" i="4" s="1"/>
  <c r="Z17" i="4"/>
  <c r="I9" i="4"/>
  <c r="I7" i="4"/>
  <c r="O12" i="16" l="1"/>
  <c r="O13" i="16" s="1"/>
  <c r="M149" i="4"/>
  <c r="M150" i="4"/>
  <c r="AC13" i="4"/>
  <c r="AC15" i="4" s="1"/>
  <c r="AC17" i="4" s="1"/>
  <c r="L151" i="4"/>
  <c r="AB13" i="4"/>
  <c r="AB15" i="4" s="1"/>
  <c r="AB17" i="4" s="1"/>
  <c r="I151" i="4"/>
  <c r="O9" i="16"/>
  <c r="O10" i="16" s="1"/>
  <c r="J149" i="4"/>
  <c r="J150" i="4"/>
  <c r="G149" i="4"/>
  <c r="G150" i="4"/>
  <c r="AA13" i="4"/>
  <c r="AA15" i="4" s="1"/>
  <c r="AA17" i="4" s="1"/>
  <c r="F151" i="4"/>
  <c r="H33" i="4"/>
  <c r="O6" i="16"/>
  <c r="L19" i="4"/>
  <c r="D14" i="1"/>
  <c r="D42" i="2"/>
  <c r="I15" i="1"/>
  <c r="L18" i="4"/>
  <c r="L33" i="4" s="1"/>
  <c r="I14" i="1"/>
  <c r="V49" i="2"/>
  <c r="V50" i="2" s="1"/>
  <c r="AD41" i="2"/>
  <c r="T49" i="2"/>
  <c r="T50" i="2" s="1"/>
  <c r="AJ2" i="7"/>
  <c r="AJ5" i="7" s="1"/>
  <c r="P4" i="7" s="1"/>
  <c r="Z41" i="2"/>
  <c r="AH2" i="7"/>
  <c r="E30" i="2"/>
  <c r="I18" i="4"/>
  <c r="I33" i="4" s="1"/>
  <c r="I14" i="4"/>
  <c r="I66" i="4" s="1"/>
  <c r="AU26" i="4"/>
  <c r="AU27" i="4"/>
  <c r="J16" i="4"/>
  <c r="AT28" i="4" s="1"/>
  <c r="M16" i="4"/>
  <c r="AT24" i="4"/>
  <c r="M62" i="4"/>
  <c r="M66" i="4" s="1"/>
  <c r="AT2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Q42" i="2"/>
  <c r="F18" i="4"/>
  <c r="F33" i="4" s="1"/>
  <c r="AF41" i="2"/>
  <c r="R49" i="2"/>
  <c r="R50" i="2" s="1"/>
  <c r="AU10" i="4"/>
  <c r="V36" i="2"/>
  <c r="U41" i="2"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AB16" i="4" l="1"/>
  <c r="AB18" i="4" s="1"/>
  <c r="AC16" i="4"/>
  <c r="AC18" i="4" s="1"/>
  <c r="K9" i="16"/>
  <c r="K12" i="16"/>
  <c r="G156" i="4"/>
  <c r="B6" i="19" s="1"/>
  <c r="G155" i="4"/>
  <c r="G152" i="4"/>
  <c r="G159" i="4" s="1"/>
  <c r="E6" i="19" s="1"/>
  <c r="G158" i="4"/>
  <c r="D6" i="19" s="1"/>
  <c r="N4" i="7"/>
  <c r="N149" i="4"/>
  <c r="N150" i="4"/>
  <c r="Z16" i="4"/>
  <c r="Z18" i="4" s="1"/>
  <c r="O8" i="16"/>
  <c r="K8" i="16" s="1"/>
  <c r="I149" i="4"/>
  <c r="I150" i="4"/>
  <c r="M158" i="4"/>
  <c r="D12" i="19" s="1"/>
  <c r="M155" i="4"/>
  <c r="M152" i="4"/>
  <c r="M159" i="4" s="1"/>
  <c r="E12" i="19" s="1"/>
  <c r="M156" i="4"/>
  <c r="B12" i="19" s="1"/>
  <c r="O5" i="16"/>
  <c r="K5" i="16" s="1"/>
  <c r="F149" i="4"/>
  <c r="F150" i="4"/>
  <c r="P17" i="7"/>
  <c r="K150" i="4"/>
  <c r="K149" i="4"/>
  <c r="D149" i="4"/>
  <c r="D150" i="4"/>
  <c r="AA16" i="4"/>
  <c r="AA18" i="4" s="1"/>
  <c r="J156" i="4"/>
  <c r="B9" i="19" s="1"/>
  <c r="J158" i="4"/>
  <c r="D9" i="19" s="1"/>
  <c r="J155" i="4"/>
  <c r="J152" i="4"/>
  <c r="J159" i="4" s="1"/>
  <c r="E9" i="19" s="1"/>
  <c r="O11" i="16"/>
  <c r="K11" i="16" s="1"/>
  <c r="L149" i="4"/>
  <c r="L150" i="4"/>
  <c r="R9" i="7"/>
  <c r="H150" i="4"/>
  <c r="H149" i="4"/>
  <c r="E33" i="4"/>
  <c r="O3" i="16"/>
  <c r="K13" i="16"/>
  <c r="O7" i="16"/>
  <c r="K6" i="16"/>
  <c r="K10" i="16"/>
  <c r="L27" i="4"/>
  <c r="D16" i="1"/>
  <c r="I16" i="1"/>
  <c r="M26" i="4"/>
  <c r="M27" i="4" s="1"/>
  <c r="AH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C39" i="9"/>
  <c r="B51" i="1"/>
  <c r="AV10" i="4"/>
  <c r="AT4" i="4"/>
  <c r="C66" i="4"/>
  <c r="AU8" i="4"/>
  <c r="AT6" i="4"/>
  <c r="AU7" i="4"/>
  <c r="AT5" i="4"/>
  <c r="AV9" i="4"/>
  <c r="C98" i="4"/>
  <c r="C27" i="4"/>
  <c r="C33" i="4"/>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AB19" i="4" l="1"/>
  <c r="AB20" i="4" s="1"/>
  <c r="AB21" i="4" s="1"/>
  <c r="AI30" i="4" s="1"/>
  <c r="AJ32" i="4" s="1"/>
  <c r="AQ35" i="4" s="1"/>
  <c r="Z19" i="4"/>
  <c r="Z20" i="4" s="1"/>
  <c r="Z21" i="4" s="1"/>
  <c r="AI14" i="4" s="1"/>
  <c r="AL15" i="4" s="1"/>
  <c r="K156" i="4"/>
  <c r="B10" i="19" s="1"/>
  <c r="K155" i="4"/>
  <c r="K158" i="4"/>
  <c r="D10" i="19" s="1"/>
  <c r="K152" i="4"/>
  <c r="K159" i="4" s="1"/>
  <c r="E10" i="19" s="1"/>
  <c r="L13" i="7"/>
  <c r="E149" i="4"/>
  <c r="E150" i="4"/>
  <c r="I156" i="4"/>
  <c r="B8" i="19" s="1"/>
  <c r="I155" i="4"/>
  <c r="I158" i="4"/>
  <c r="D8" i="19" s="1"/>
  <c r="I152" i="4"/>
  <c r="I159" i="4" s="1"/>
  <c r="E8" i="19" s="1"/>
  <c r="F158" i="4"/>
  <c r="D5" i="19" s="1"/>
  <c r="F155" i="4"/>
  <c r="F156" i="4"/>
  <c r="B5" i="19" s="1"/>
  <c r="F152" i="4"/>
  <c r="F159" i="4" s="1"/>
  <c r="E5" i="19" s="1"/>
  <c r="H156" i="4"/>
  <c r="B7" i="19" s="1"/>
  <c r="H155" i="4"/>
  <c r="H158" i="4"/>
  <c r="D7" i="19" s="1"/>
  <c r="H152" i="4"/>
  <c r="H159" i="4" s="1"/>
  <c r="E7" i="19" s="1"/>
  <c r="C149" i="4"/>
  <c r="C150" i="4"/>
  <c r="L158" i="4"/>
  <c r="D11" i="19" s="1"/>
  <c r="L155" i="4"/>
  <c r="L156" i="4"/>
  <c r="B11" i="19" s="1"/>
  <c r="L152" i="4"/>
  <c r="L159" i="4" s="1"/>
  <c r="E11" i="19" s="1"/>
  <c r="D152" i="4"/>
  <c r="D159" i="4" s="1"/>
  <c r="E3" i="19" s="1"/>
  <c r="D155" i="4"/>
  <c r="D156" i="4"/>
  <c r="B3" i="19" s="1"/>
  <c r="D158" i="4"/>
  <c r="D3" i="19" s="1"/>
  <c r="N158" i="4"/>
  <c r="D13" i="19" s="1"/>
  <c r="N155" i="4"/>
  <c r="N156" i="4"/>
  <c r="B13" i="19" s="1"/>
  <c r="N152" i="4"/>
  <c r="N159" i="4" s="1"/>
  <c r="E13" i="19" s="1"/>
  <c r="K7" i="16"/>
  <c r="O4" i="16"/>
  <c r="K3" i="16"/>
  <c r="G83" i="7"/>
  <c r="G91" i="7" s="1"/>
  <c r="O2" i="16"/>
  <c r="Y36" i="4"/>
  <c r="Z36"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AL17" i="4" l="1"/>
  <c r="AL32" i="4"/>
  <c r="AS35" i="4" s="1"/>
  <c r="AJ31" i="4"/>
  <c r="AJ33" i="4"/>
  <c r="AJ17" i="4"/>
  <c r="AJ15" i="4"/>
  <c r="AL33" i="4"/>
  <c r="AK32" i="4"/>
  <c r="AR35" i="4" s="1"/>
  <c r="AK33" i="4"/>
  <c r="AL31" i="4"/>
  <c r="AK31" i="4"/>
  <c r="AK16" i="4"/>
  <c r="AR33" i="4" s="1"/>
  <c r="AK15" i="4"/>
  <c r="AJ16" i="4"/>
  <c r="AQ33" i="4" s="1"/>
  <c r="AK17" i="4"/>
  <c r="AL16" i="4"/>
  <c r="AS33" i="4" s="1"/>
  <c r="E158" i="4"/>
  <c r="D4" i="19" s="1"/>
  <c r="E155" i="4"/>
  <c r="E152" i="4"/>
  <c r="E159" i="4" s="1"/>
  <c r="E4" i="19" s="1"/>
  <c r="E156" i="4"/>
  <c r="B4" i="19" s="1"/>
  <c r="C156" i="4"/>
  <c r="B2" i="19" s="1"/>
  <c r="C158" i="4"/>
  <c r="D2" i="19" s="1"/>
  <c r="C155" i="4"/>
  <c r="C152" i="4"/>
  <c r="C159" i="4" s="1"/>
  <c r="E2" i="19" s="1"/>
  <c r="J91" i="7"/>
  <c r="J93" i="7" s="1"/>
  <c r="Q95" i="7" s="1"/>
  <c r="L91" i="7"/>
  <c r="L93" i="7" s="1"/>
  <c r="Q93" i="7" s="1"/>
  <c r="I91" i="7"/>
  <c r="I92" i="7" s="1"/>
  <c r="E67" i="1" s="1"/>
  <c r="M91" i="7"/>
  <c r="M93" i="7" s="1"/>
  <c r="Q92" i="7" s="1"/>
  <c r="N91" i="7"/>
  <c r="N93" i="7" s="1"/>
  <c r="Q90" i="7" s="1"/>
  <c r="H91" i="7"/>
  <c r="H92" i="7" s="1"/>
  <c r="D67" i="1" s="1"/>
  <c r="K91" i="7"/>
  <c r="K93" i="7" s="1"/>
  <c r="Q94" i="7" s="1"/>
  <c r="K4" i="16"/>
  <c r="K2" i="16"/>
  <c r="B53" i="1"/>
  <c r="C41" i="9"/>
  <c r="I6" i="9"/>
  <c r="I17" i="9" s="1"/>
  <c r="I33" i="9" s="1"/>
  <c r="H46" i="1" s="1"/>
  <c r="T18" i="9"/>
  <c r="S31" i="4"/>
  <c r="R63" i="4"/>
  <c r="S41" i="4"/>
  <c r="W63" i="4"/>
  <c r="T32" i="4"/>
  <c r="T42" i="4"/>
  <c r="G93" i="7"/>
  <c r="Q98" i="7" s="1"/>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U31" i="4"/>
  <c r="U41" i="4"/>
  <c r="T63" i="4"/>
  <c r="D50" i="9"/>
  <c r="C63" i="1" s="1"/>
  <c r="D46" i="9"/>
  <c r="D11" i="9"/>
  <c r="D31" i="9" s="1"/>
  <c r="D18" i="9"/>
  <c r="D43" i="9" s="1"/>
  <c r="D6" i="9"/>
  <c r="D17" i="9" s="1"/>
  <c r="D33" i="9" s="1"/>
  <c r="C46" i="1" s="1"/>
  <c r="R42" i="4"/>
  <c r="R32" i="4"/>
  <c r="U63" i="4"/>
  <c r="C23" i="4" l="1"/>
  <c r="O17" i="4"/>
  <c r="I93" i="7"/>
  <c r="Q96" i="7" s="1"/>
  <c r="J92" i="7"/>
  <c r="F67" i="1" s="1"/>
  <c r="F69" i="1" s="1"/>
  <c r="L92" i="7"/>
  <c r="H67" i="1" s="1"/>
  <c r="C69" i="1" s="1"/>
  <c r="K92" i="7"/>
  <c r="G67" i="1" s="1"/>
  <c r="G69" i="1" s="1"/>
  <c r="H93" i="7"/>
  <c r="Q97" i="7" s="1"/>
  <c r="N92" i="7"/>
  <c r="J67" i="1" s="1"/>
  <c r="E69" i="1" s="1"/>
  <c r="M92" i="7"/>
  <c r="I67" i="1" s="1"/>
  <c r="S12" i="9"/>
  <c r="O12" i="9"/>
  <c r="U12" i="9"/>
  <c r="Q12" i="9"/>
  <c r="C42" i="9"/>
  <c r="B54" i="1"/>
  <c r="F16" i="9"/>
  <c r="F36" i="9" s="1"/>
  <c r="E49" i="1" s="1"/>
  <c r="K17" i="9"/>
  <c r="K33" i="9" s="1"/>
  <c r="J46" i="1" s="1"/>
  <c r="K5" i="9"/>
  <c r="K11" i="9" s="1"/>
  <c r="X69" i="4"/>
  <c r="W69" i="4"/>
  <c r="J16" i="9"/>
  <c r="J36" i="9" s="1"/>
  <c r="I49" i="1" s="1"/>
  <c r="E5" i="9"/>
  <c r="E11" i="9" s="1"/>
  <c r="D16" i="9"/>
  <c r="D36" i="9" s="1"/>
  <c r="C49" i="1" s="1"/>
  <c r="G56" i="1"/>
  <c r="Y45" i="4"/>
  <c r="C59" i="1"/>
  <c r="C73" i="1" s="1"/>
  <c r="K49" i="2"/>
  <c r="J60" i="2" s="1"/>
  <c r="D69" i="1"/>
  <c r="H17" i="9"/>
  <c r="H33" i="9" s="1"/>
  <c r="G46" i="1" s="1"/>
  <c r="G5" i="9"/>
  <c r="G11" i="9" s="1"/>
  <c r="G17" i="9"/>
  <c r="G33" i="9" s="1"/>
  <c r="F46" i="1" s="1"/>
  <c r="Y44" i="4"/>
  <c r="C56" i="1"/>
  <c r="G59" i="1"/>
  <c r="G73" i="1" s="1"/>
  <c r="K50" i="2"/>
  <c r="J61" i="2" s="1"/>
  <c r="G7" i="9"/>
  <c r="G9" i="9"/>
  <c r="G8" i="9"/>
  <c r="E7" i="9"/>
  <c r="E9" i="9"/>
  <c r="E8" i="9"/>
  <c r="V69" i="4"/>
  <c r="R69" i="4"/>
  <c r="T69" i="4"/>
  <c r="U69" i="4"/>
  <c r="S69" i="4"/>
  <c r="Q69" i="4"/>
  <c r="I56" i="1"/>
  <c r="AA45" i="4"/>
  <c r="K9" i="9"/>
  <c r="K7" i="9"/>
  <c r="K8" i="9"/>
  <c r="I8" i="9"/>
  <c r="I7" i="9"/>
  <c r="I9" i="9"/>
  <c r="I16" i="9"/>
  <c r="I36" i="9" s="1"/>
  <c r="H49" i="1" s="1"/>
  <c r="AA44" i="4"/>
  <c r="E56" i="1"/>
  <c r="E17" i="9"/>
  <c r="E33" i="9" s="1"/>
  <c r="D46" i="1" s="1"/>
  <c r="I5" i="9"/>
  <c r="I11" i="9" s="1"/>
  <c r="C24" i="4" l="1"/>
  <c r="V23" i="4"/>
  <c r="AB24" i="4" s="1"/>
  <c r="AC24" i="4" s="1"/>
  <c r="I69" i="1"/>
  <c r="I76" i="1" s="1"/>
  <c r="I77" i="1" s="1"/>
  <c r="I71" i="1" s="1"/>
  <c r="H69" i="1"/>
  <c r="H70" i="1" s="1"/>
  <c r="J69" i="1"/>
  <c r="J77" i="1" s="1"/>
  <c r="J71" i="1" s="1"/>
  <c r="E31" i="9"/>
  <c r="P12" i="9"/>
  <c r="I31" i="9"/>
  <c r="R12" i="9"/>
  <c r="G31" i="9"/>
  <c r="V12" i="9"/>
  <c r="K31" i="9"/>
  <c r="T12" i="9"/>
  <c r="Y125" i="4"/>
  <c r="AA125" i="4"/>
  <c r="C43" i="9"/>
  <c r="B55" i="1"/>
  <c r="I57" i="9"/>
  <c r="AA35" i="9" s="1"/>
  <c r="I38" i="9"/>
  <c r="H51" i="1" s="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0" i="1"/>
  <c r="G38" i="9"/>
  <c r="F51" i="1" s="1"/>
  <c r="G57" i="9"/>
  <c r="AA37" i="9" s="1"/>
  <c r="K56" i="9"/>
  <c r="Y33" i="9" s="1"/>
  <c r="AE33" i="9" s="1"/>
  <c r="K37" i="9"/>
  <c r="J50" i="1" s="1"/>
  <c r="E37" i="9"/>
  <c r="D50" i="1" s="1"/>
  <c r="E56" i="9"/>
  <c r="Y39" i="9" s="1"/>
  <c r="AE39" i="9" s="1"/>
  <c r="F70" i="1"/>
  <c r="F77" i="1"/>
  <c r="F71" i="1" s="1"/>
  <c r="C70" i="1"/>
  <c r="I70" i="1" l="1"/>
  <c r="I68" i="1" s="1"/>
  <c r="H77" i="1"/>
  <c r="H71" i="1" s="1"/>
  <c r="C76" i="1"/>
  <c r="C77" i="1" s="1"/>
  <c r="C71" i="1" s="1"/>
  <c r="J70" i="1"/>
  <c r="E68" i="1" s="1"/>
  <c r="E76" i="1"/>
  <c r="E77" i="1" s="1"/>
  <c r="E71" i="1" s="1"/>
  <c r="B56" i="1"/>
  <c r="C44" i="9"/>
  <c r="K18" i="9"/>
  <c r="K43" i="9" s="1"/>
  <c r="G18" i="9"/>
  <c r="G43" i="9" s="1"/>
  <c r="AB44" i="4" s="1"/>
  <c r="D53" i="1"/>
  <c r="E42" i="9"/>
  <c r="D55" i="1" s="1"/>
  <c r="G42" i="9"/>
  <c r="F55" i="1" s="1"/>
  <c r="F53" i="1"/>
  <c r="E18" i="9"/>
  <c r="E43" i="9" s="1"/>
  <c r="I18" i="9"/>
  <c r="I43" i="9" s="1"/>
  <c r="I42" i="9"/>
  <c r="H55" i="1" s="1"/>
  <c r="H53" i="1"/>
  <c r="J53" i="1"/>
  <c r="K42" i="9"/>
  <c r="J55" i="1" s="1"/>
  <c r="C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D36" i="19" s="1"/>
  <c r="H4" i="16" l="1"/>
  <c r="H12" i="16"/>
  <c r="H5" i="16"/>
  <c r="H13" i="16"/>
  <c r="H3" i="16"/>
  <c r="H6" i="16"/>
  <c r="H2" i="16"/>
  <c r="H8" i="16"/>
  <c r="H7" i="16"/>
  <c r="H11" i="16"/>
  <c r="H9" i="16"/>
  <c r="H10" i="16"/>
  <c r="BM10" i="4"/>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5" i="4"/>
  <c r="R44" i="4" l="1"/>
  <c r="R125" i="4" s="1"/>
  <c r="S44" i="4"/>
  <c r="S125" i="4" s="1"/>
  <c r="S45" i="4"/>
  <c r="T45" i="4"/>
  <c r="U44" i="4"/>
  <c r="U125" i="4" s="1"/>
  <c r="U4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U64" i="4"/>
  <c r="G3" i="9"/>
  <c r="G44" i="9" s="1"/>
  <c r="F57" i="1" s="1"/>
  <c r="H14" i="9"/>
  <c r="H34" i="9" s="1"/>
  <c r="G47" i="1" s="1"/>
  <c r="T64" i="4"/>
  <c r="M34" i="4" s="1"/>
  <c r="N34" i="4" s="1"/>
  <c r="E41" i="1"/>
  <c r="C87" i="4"/>
  <c r="H30" i="9"/>
  <c r="G43" i="1" s="1"/>
  <c r="D87" i="4"/>
  <c r="X64" i="4"/>
  <c r="J34" i="4" s="1"/>
  <c r="K34" i="4" s="1"/>
  <c r="P21" i="9"/>
  <c r="X33" i="9" l="1"/>
  <c r="AD33" i="9" s="1"/>
  <c r="B23" i="19"/>
  <c r="R21" i="9"/>
  <c r="T21" i="9"/>
  <c r="U8" i="9"/>
  <c r="L39" i="4"/>
  <c r="I34" i="4"/>
  <c r="E30" i="9"/>
  <c r="D43" i="1" s="1"/>
  <c r="E14" i="9"/>
  <c r="E34" i="9" s="1"/>
  <c r="D47" i="1" s="1"/>
  <c r="E45" i="9"/>
  <c r="D58" i="1" s="1"/>
  <c r="E55" i="9"/>
  <c r="E58" i="9"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H45" i="1" l="1"/>
  <c r="H44" i="1" s="1"/>
  <c r="B21" i="19"/>
  <c r="D45" i="1"/>
  <c r="D44" i="1" s="1"/>
  <c r="B17" i="19"/>
  <c r="C23" i="19"/>
  <c r="D23" i="19" s="1"/>
  <c r="D33" i="19"/>
  <c r="U11"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E39" i="4"/>
  <c r="G58" i="9"/>
  <c r="G37" i="4"/>
  <c r="G107" i="4" s="1"/>
  <c r="G108" i="4" s="1"/>
  <c r="G109" i="4" s="1"/>
  <c r="G111" i="4" s="1"/>
  <c r="G126" i="4" s="1"/>
  <c r="E11" i="4"/>
  <c r="E14" i="4" s="1"/>
  <c r="P25" i="1" s="1"/>
  <c r="H84" i="7"/>
  <c r="F39" i="4"/>
  <c r="X35" i="9"/>
  <c r="AD35" i="9" s="1"/>
  <c r="I84" i="7"/>
  <c r="I94" i="7" s="1"/>
  <c r="H31" i="7"/>
  <c r="C39" i="4"/>
  <c r="C11" i="4"/>
  <c r="N24" i="1" s="1"/>
  <c r="B27" i="7"/>
  <c r="E19" i="9"/>
  <c r="E23" i="9" s="1"/>
  <c r="E50" i="9" s="1"/>
  <c r="D63" i="1" s="1"/>
  <c r="C72" i="4"/>
  <c r="F72" i="4"/>
  <c r="I59" i="9"/>
  <c r="Z35" i="9" s="1"/>
  <c r="G84" i="7"/>
  <c r="K94" i="7" s="1"/>
  <c r="F11" i="4"/>
  <c r="F67" i="4" s="1"/>
  <c r="N37" i="4"/>
  <c r="N38" i="4" s="1"/>
  <c r="N55" i="4" s="1"/>
  <c r="K66" i="1" s="1"/>
  <c r="M107" i="4"/>
  <c r="M108" i="4" s="1"/>
  <c r="M109" i="4" s="1"/>
  <c r="M111" i="4" s="1"/>
  <c r="M126" i="4" s="1"/>
  <c r="L71" i="4"/>
  <c r="J107" i="4"/>
  <c r="J108" i="4" s="1"/>
  <c r="J109" i="4" s="1"/>
  <c r="J111" i="4" s="1"/>
  <c r="J126" i="4" s="1"/>
  <c r="N94" i="7"/>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E33" i="19" l="1"/>
  <c r="G33" i="19"/>
  <c r="I33" i="19"/>
  <c r="C33" i="19"/>
  <c r="A33" i="19"/>
  <c r="J33" i="19"/>
  <c r="H33" i="19"/>
  <c r="F33" i="19"/>
  <c r="C17" i="19"/>
  <c r="D17" i="19" s="1"/>
  <c r="D27" i="19"/>
  <c r="F45" i="1"/>
  <c r="F44" i="1" s="1"/>
  <c r="B19" i="19"/>
  <c r="D31" i="19"/>
  <c r="C21" i="19"/>
  <c r="D21" i="19" s="1"/>
  <c r="J8" i="9"/>
  <c r="J38" i="9" s="1"/>
  <c r="I51" i="1" s="1"/>
  <c r="M94" i="7"/>
  <c r="J7" i="9"/>
  <c r="L94" i="7"/>
  <c r="J94" i="7"/>
  <c r="F57" i="9"/>
  <c r="F38" i="9"/>
  <c r="E51" i="1" s="1"/>
  <c r="I35" i="4"/>
  <c r="F7" i="9"/>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E4" i="16" s="1"/>
  <c r="I4" i="16"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C67" i="4"/>
  <c r="S24" i="1"/>
  <c r="K12" i="9"/>
  <c r="K32" i="9" s="1"/>
  <c r="N90" i="4"/>
  <c r="K17" i="1"/>
  <c r="M119" i="4"/>
  <c r="M144" i="4"/>
  <c r="J117" i="4"/>
  <c r="J119" i="4"/>
  <c r="M41" i="4"/>
  <c r="M40" i="4" s="1"/>
  <c r="M43" i="4" s="1"/>
  <c r="M117" i="4"/>
  <c r="N41" i="4"/>
  <c r="N22" i="7" s="1"/>
  <c r="E13" i="16" s="1"/>
  <c r="I13" i="16"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H31" i="19" l="1"/>
  <c r="C31" i="19"/>
  <c r="I31" i="19"/>
  <c r="G31" i="19"/>
  <c r="F31" i="19"/>
  <c r="J31" i="19"/>
  <c r="E31" i="19"/>
  <c r="A31" i="19"/>
  <c r="C19" i="19"/>
  <c r="D19" i="19" s="1"/>
  <c r="D29" i="19"/>
  <c r="H27" i="19"/>
  <c r="I27" i="19"/>
  <c r="F27" i="19"/>
  <c r="C27" i="19"/>
  <c r="J27" i="19"/>
  <c r="E27" i="19"/>
  <c r="A27" i="19"/>
  <c r="G27" i="19"/>
  <c r="J37" i="9"/>
  <c r="I50" i="1" s="1"/>
  <c r="J56" i="9"/>
  <c r="Y34" i="9" s="1"/>
  <c r="AE34" i="9" s="1"/>
  <c r="J57" i="9"/>
  <c r="J59" i="9" s="1"/>
  <c r="Z34" i="9" s="1"/>
  <c r="L49" i="2"/>
  <c r="L60" i="2" s="1"/>
  <c r="L64" i="2" s="1"/>
  <c r="I63" i="4"/>
  <c r="I64" i="4" s="1"/>
  <c r="I37" i="4" s="1"/>
  <c r="I38" i="4" s="1"/>
  <c r="I55" i="4" s="1"/>
  <c r="D66" i="1" s="1"/>
  <c r="F56" i="9"/>
  <c r="F37" i="9"/>
  <c r="E50" i="1" s="1"/>
  <c r="AA38" i="9"/>
  <c r="F59" i="9"/>
  <c r="Z38" i="9" s="1"/>
  <c r="I73" i="4"/>
  <c r="I77" i="4" s="1"/>
  <c r="I103" i="4" s="1"/>
  <c r="I60" i="4" s="1"/>
  <c r="I29" i="4"/>
  <c r="S16" i="9" s="1"/>
  <c r="C63" i="4"/>
  <c r="U17" i="9"/>
  <c r="J15" i="9" s="1"/>
  <c r="J35" i="9" s="1"/>
  <c r="I48" i="1" s="1"/>
  <c r="U24" i="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D112" i="4"/>
  <c r="U17" i="1"/>
  <c r="G55" i="4"/>
  <c r="T66" i="1" s="1"/>
  <c r="O17" i="1"/>
  <c r="D119" i="4"/>
  <c r="E40" i="4"/>
  <c r="E43" i="4" s="1"/>
  <c r="G119" i="4"/>
  <c r="G120" i="4" s="1"/>
  <c r="G127" i="4" s="1"/>
  <c r="G144" i="4"/>
  <c r="P18" i="1"/>
  <c r="G41" i="4"/>
  <c r="J85" i="7" s="1"/>
  <c r="D117" i="4"/>
  <c r="G90" i="4"/>
  <c r="T17" i="1"/>
  <c r="D41" i="4"/>
  <c r="L29" i="7" s="1"/>
  <c r="E3" i="16" s="1"/>
  <c r="I3" i="16" s="1"/>
  <c r="D90" i="4"/>
  <c r="D55" i="4"/>
  <c r="O66" i="1" s="1"/>
  <c r="F20" i="9"/>
  <c r="G19" i="9" s="1"/>
  <c r="G46" i="9" s="1"/>
  <c r="H55" i="4"/>
  <c r="U66" i="1" s="1"/>
  <c r="H41" i="4"/>
  <c r="E59" i="1"/>
  <c r="E73" i="1" s="1"/>
  <c r="E47" i="9"/>
  <c r="D59" i="1"/>
  <c r="N35" i="1" s="1"/>
  <c r="F23" i="9"/>
  <c r="F50" i="9" s="1"/>
  <c r="E63" i="1" s="1"/>
  <c r="E21" i="9"/>
  <c r="E24" i="9" s="1"/>
  <c r="E51" i="9" s="1"/>
  <c r="D64" i="1" s="1"/>
  <c r="M120" i="4"/>
  <c r="M127" i="4" s="1"/>
  <c r="J120" i="4"/>
  <c r="E42" i="7"/>
  <c r="N85" i="7"/>
  <c r="O22" i="7"/>
  <c r="E12" i="16" s="1"/>
  <c r="I12" i="16" s="1"/>
  <c r="M54" i="4"/>
  <c r="N86" i="7"/>
  <c r="J18" i="1"/>
  <c r="M42" i="4"/>
  <c r="M44" i="4" s="1"/>
  <c r="M145" i="4" s="1"/>
  <c r="J19" i="1"/>
  <c r="N40" i="4"/>
  <c r="N42" i="4" s="1"/>
  <c r="K18" i="1"/>
  <c r="K40" i="4"/>
  <c r="P35" i="7"/>
  <c r="E10" i="16" s="1"/>
  <c r="I10" i="16" s="1"/>
  <c r="F18" i="1"/>
  <c r="O35" i="7"/>
  <c r="E9" i="16" s="1"/>
  <c r="I9" i="16" s="1"/>
  <c r="E18" i="1"/>
  <c r="L85" i="7"/>
  <c r="J40" i="4"/>
  <c r="E55" i="7" s="1"/>
  <c r="J54" i="4"/>
  <c r="O36" i="1"/>
  <c r="P36" i="1" s="1"/>
  <c r="D36" i="1"/>
  <c r="J48" i="9"/>
  <c r="I61" i="1" s="1"/>
  <c r="J24" i="9"/>
  <c r="J22" i="9"/>
  <c r="J49" i="9" s="1"/>
  <c r="I62" i="1" s="1"/>
  <c r="K19" i="9"/>
  <c r="K20" i="9" s="1"/>
  <c r="J47" i="9"/>
  <c r="I25" i="9"/>
  <c r="I52" i="9" s="1"/>
  <c r="H65" i="1" s="1"/>
  <c r="I51" i="9"/>
  <c r="H64" i="1" s="1"/>
  <c r="J58" i="9" l="1"/>
  <c r="X34" i="9" s="1"/>
  <c r="AD34" i="9" s="1"/>
  <c r="E29" i="19"/>
  <c r="G29" i="19"/>
  <c r="H29" i="19"/>
  <c r="I29" i="19"/>
  <c r="A29" i="19"/>
  <c r="J29" i="19"/>
  <c r="F29" i="19"/>
  <c r="C29" i="19"/>
  <c r="AA34" i="9"/>
  <c r="P12" i="16"/>
  <c r="R12" i="16" s="1"/>
  <c r="P11" i="16"/>
  <c r="R11" i="16" s="1"/>
  <c r="P13" i="16"/>
  <c r="R13" i="16" s="1"/>
  <c r="P3" i="16"/>
  <c r="R3" i="16" s="1"/>
  <c r="P4" i="16"/>
  <c r="R4" i="16" s="1"/>
  <c r="P2" i="16"/>
  <c r="R2" i="16" s="1"/>
  <c r="D60" i="1"/>
  <c r="E36" i="1" s="1"/>
  <c r="F36" i="1" s="1"/>
  <c r="J12" i="16"/>
  <c r="J13" i="16"/>
  <c r="J9" i="16"/>
  <c r="J10" i="16"/>
  <c r="J3" i="16"/>
  <c r="J4" i="16"/>
  <c r="I96" i="4"/>
  <c r="I58" i="4" s="1"/>
  <c r="I45" i="1"/>
  <c r="I44" i="1" s="1"/>
  <c r="I76" i="4"/>
  <c r="S17" i="9"/>
  <c r="H15" i="9" s="1"/>
  <c r="H35" i="9" s="1"/>
  <c r="G48" i="1" s="1"/>
  <c r="F12" i="9"/>
  <c r="F32" i="9" s="1"/>
  <c r="Y38" i="9"/>
  <c r="AE38" i="9" s="1"/>
  <c r="F58" i="9"/>
  <c r="B18" i="19" s="1"/>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B16" i="19" s="1"/>
  <c r="F64" i="4"/>
  <c r="AA36" i="9"/>
  <c r="H59" i="9"/>
  <c r="Z36" i="9" s="1"/>
  <c r="H24" i="9"/>
  <c r="H48" i="9"/>
  <c r="G61" i="1" s="1"/>
  <c r="H22" i="9"/>
  <c r="H49" i="9" s="1"/>
  <c r="G62" i="1" s="1"/>
  <c r="Y36" i="9"/>
  <c r="AE36" i="9" s="1"/>
  <c r="H58" i="9"/>
  <c r="B20" i="19" s="1"/>
  <c r="D120" i="4"/>
  <c r="D127" i="4" s="1"/>
  <c r="F21" i="9"/>
  <c r="F48" i="9" s="1"/>
  <c r="E61" i="1" s="1"/>
  <c r="F47" i="9"/>
  <c r="M54" i="2" s="1"/>
  <c r="O60" i="2" s="1"/>
  <c r="D40" i="4"/>
  <c r="O19" i="1" s="1"/>
  <c r="T18" i="1"/>
  <c r="P19" i="1"/>
  <c r="E42" i="4"/>
  <c r="E44" i="4" s="1"/>
  <c r="E124" i="4" s="1"/>
  <c r="G54" i="4"/>
  <c r="D73" i="1"/>
  <c r="H85" i="7"/>
  <c r="O18" i="1"/>
  <c r="D54" i="4"/>
  <c r="G40" i="4"/>
  <c r="G42" i="4" s="1"/>
  <c r="B51" i="7"/>
  <c r="R29" i="7"/>
  <c r="E6" i="16" s="1"/>
  <c r="E48" i="9"/>
  <c r="D61" i="1" s="1"/>
  <c r="H40" i="4"/>
  <c r="H43" i="4" s="1"/>
  <c r="U18" i="1"/>
  <c r="R27" i="7"/>
  <c r="E7" i="16" s="1"/>
  <c r="I7" i="16" s="1"/>
  <c r="L54" i="2"/>
  <c r="M60" i="2" s="1"/>
  <c r="E22" i="9"/>
  <c r="E49" i="9" s="1"/>
  <c r="D62" i="1" s="1"/>
  <c r="E35" i="1"/>
  <c r="F35" i="1" s="1"/>
  <c r="E25" i="9"/>
  <c r="E52" i="9" s="1"/>
  <c r="D65" i="1" s="1"/>
  <c r="E39" i="1"/>
  <c r="K54" i="4"/>
  <c r="F39" i="1" s="1"/>
  <c r="J39" i="1"/>
  <c r="N54" i="4"/>
  <c r="K39" i="1" s="1"/>
  <c r="J127" i="4"/>
  <c r="N87" i="7"/>
  <c r="M124" i="4"/>
  <c r="M125" i="4"/>
  <c r="P42" i="7"/>
  <c r="J20" i="1"/>
  <c r="M45" i="4"/>
  <c r="J21" i="1" s="1"/>
  <c r="D42" i="7"/>
  <c r="N43" i="4"/>
  <c r="N44" i="4" s="1"/>
  <c r="K19" i="1"/>
  <c r="J43" i="4"/>
  <c r="K43" i="4"/>
  <c r="F55" i="7"/>
  <c r="F19" i="1"/>
  <c r="K42" i="4"/>
  <c r="L86" i="7"/>
  <c r="E19" i="1"/>
  <c r="J42" i="4"/>
  <c r="G23" i="9"/>
  <c r="G50" i="9" s="1"/>
  <c r="F63" i="1" s="1"/>
  <c r="G20" i="9"/>
  <c r="G47" i="9" s="1"/>
  <c r="K23" i="9"/>
  <c r="K50" i="9" s="1"/>
  <c r="J63" i="1" s="1"/>
  <c r="K46" i="9"/>
  <c r="J51" i="9"/>
  <c r="I64" i="1" s="1"/>
  <c r="J25" i="9"/>
  <c r="J52" i="9" s="1"/>
  <c r="I65" i="1" s="1"/>
  <c r="K47" i="9"/>
  <c r="Q9" i="16" s="1"/>
  <c r="S9" i="16" s="1"/>
  <c r="K21" i="9"/>
  <c r="M55" i="2"/>
  <c r="O61" i="2" s="1"/>
  <c r="I60" i="1"/>
  <c r="F59" i="1"/>
  <c r="N49" i="2"/>
  <c r="P60" i="2" s="1"/>
  <c r="N64" i="2" s="1"/>
  <c r="B22" i="19" l="1"/>
  <c r="C18" i="19"/>
  <c r="D18" i="19" s="1"/>
  <c r="D28" i="19"/>
  <c r="C20" i="19"/>
  <c r="D20" i="19" s="1"/>
  <c r="D30" i="19"/>
  <c r="D26" i="19"/>
  <c r="C16" i="19"/>
  <c r="D16" i="19" s="1"/>
  <c r="C22" i="19"/>
  <c r="D22" i="19" s="1"/>
  <c r="D32" i="19"/>
  <c r="Q8" i="16"/>
  <c r="S8" i="16" s="1"/>
  <c r="Q2" i="16"/>
  <c r="S2" i="16" s="1"/>
  <c r="B2" i="16" s="1"/>
  <c r="Q12" i="16"/>
  <c r="S12" i="16" s="1"/>
  <c r="B12" i="16" s="1"/>
  <c r="Q11" i="16"/>
  <c r="S11" i="16" s="1"/>
  <c r="B11" i="16" s="1"/>
  <c r="Q13" i="16"/>
  <c r="S13" i="16" s="1"/>
  <c r="B13" i="16" s="1"/>
  <c r="Q10" i="16"/>
  <c r="S10" i="16" s="1"/>
  <c r="P9" i="16"/>
  <c r="R9" i="16" s="1"/>
  <c r="P8" i="16"/>
  <c r="R8" i="16" s="1"/>
  <c r="P10" i="16"/>
  <c r="R10" i="16" s="1"/>
  <c r="Q3" i="16"/>
  <c r="Q4" i="16"/>
  <c r="P6" i="16"/>
  <c r="R6" i="16" s="1"/>
  <c r="P5" i="16"/>
  <c r="R5" i="16" s="1"/>
  <c r="P7" i="16"/>
  <c r="R7" i="16" s="1"/>
  <c r="Q5" i="16"/>
  <c r="Q6" i="16"/>
  <c r="Q7" i="16"/>
  <c r="N36" i="1"/>
  <c r="I6" i="16"/>
  <c r="J7" i="16" s="1"/>
  <c r="T39" i="1"/>
  <c r="H54" i="4"/>
  <c r="U39" i="1" s="1"/>
  <c r="O39" i="1"/>
  <c r="E54" i="4"/>
  <c r="P39" i="1" s="1"/>
  <c r="L68" i="4"/>
  <c r="L54" i="4" s="1"/>
  <c r="I39" i="1" s="1"/>
  <c r="X38" i="9"/>
  <c r="AD38" i="9" s="1"/>
  <c r="E45" i="1"/>
  <c r="E44" i="1" s="1"/>
  <c r="I93" i="4"/>
  <c r="I94" i="4" s="1"/>
  <c r="I99" i="4" s="1"/>
  <c r="I101" i="4" s="1"/>
  <c r="L55" i="4"/>
  <c r="I66" i="1" s="1"/>
  <c r="L90" i="4"/>
  <c r="I17" i="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J35" i="1"/>
  <c r="K35" i="1" s="1"/>
  <c r="H32" i="19" l="1"/>
  <c r="E32" i="19"/>
  <c r="A32" i="19"/>
  <c r="F32" i="19"/>
  <c r="C32" i="19"/>
  <c r="G32" i="19"/>
  <c r="E26" i="19"/>
  <c r="F26" i="19"/>
  <c r="H26" i="19"/>
  <c r="C26" i="19"/>
  <c r="G26" i="19"/>
  <c r="A26" i="19"/>
  <c r="E30" i="19"/>
  <c r="F30" i="19"/>
  <c r="H30" i="19"/>
  <c r="C30" i="19"/>
  <c r="A30" i="19"/>
  <c r="G30" i="19"/>
  <c r="H28" i="19"/>
  <c r="E28" i="19"/>
  <c r="G28" i="19"/>
  <c r="A28" i="19"/>
  <c r="F28" i="19"/>
  <c r="C28" i="19"/>
  <c r="S5" i="16"/>
  <c r="B5" i="16" s="1"/>
  <c r="S7" i="16"/>
  <c r="B7" i="16" s="1"/>
  <c r="S4" i="16"/>
  <c r="B4" i="16" s="1"/>
  <c r="S6" i="16"/>
  <c r="B6" i="16" s="1"/>
  <c r="S3" i="16"/>
  <c r="B3" i="16" s="1"/>
  <c r="B10" i="16"/>
  <c r="B9" i="16"/>
  <c r="J6" i="16"/>
  <c r="B8" i="16"/>
  <c r="F51" i="9"/>
  <c r="E64" i="1" s="1"/>
  <c r="I97" i="4"/>
  <c r="I57" i="4" s="1"/>
  <c r="I104" i="4"/>
  <c r="I59" i="4" s="1"/>
  <c r="L93" i="4"/>
  <c r="L92" i="4"/>
  <c r="F90" i="4"/>
  <c r="S17" i="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73" i="1"/>
  <c r="T35" i="1"/>
  <c r="U35" i="1" s="1"/>
  <c r="K25" i="9"/>
  <c r="K52" i="9" s="1"/>
  <c r="J65" i="1" s="1"/>
  <c r="K51" i="9"/>
  <c r="J64" i="1" s="1"/>
  <c r="S36" i="1"/>
  <c r="J36" i="1"/>
  <c r="K36" i="1" s="1"/>
  <c r="H72" i="1" l="1"/>
  <c r="H74" i="1" s="1"/>
  <c r="E72" i="1"/>
  <c r="E74" i="1" s="1"/>
  <c r="C72" i="1"/>
  <c r="C74" i="1" s="1"/>
  <c r="J72" i="1"/>
  <c r="J74" i="1" s="1"/>
  <c r="I41" i="4"/>
  <c r="N35" i="7" s="1"/>
  <c r="E8" i="16" s="1"/>
  <c r="I8" i="16" s="1"/>
  <c r="J8" i="16"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K85" i="7" l="1"/>
  <c r="I40" i="4"/>
  <c r="K86" i="7" s="1"/>
  <c r="D18" i="1"/>
  <c r="L104" i="4"/>
  <c r="L59" i="4" s="1"/>
  <c r="L97" i="4"/>
  <c r="L57" i="4" s="1"/>
  <c r="F94" i="4"/>
  <c r="F97" i="4" s="1"/>
  <c r="F57" i="4" s="1"/>
  <c r="G63" i="9"/>
  <c r="G64" i="9" s="1"/>
  <c r="G65" i="9" s="1"/>
  <c r="AC37" i="9"/>
  <c r="AF37" i="9" s="1"/>
  <c r="K63" i="9"/>
  <c r="K64" i="9" s="1"/>
  <c r="K65" i="9" s="1"/>
  <c r="AC33" i="9"/>
  <c r="AF33" i="9" s="1"/>
  <c r="H88" i="7"/>
  <c r="O21" i="1"/>
  <c r="L41" i="4" l="1"/>
  <c r="I18" i="1" s="1"/>
  <c r="I43" i="4"/>
  <c r="D19" i="1"/>
  <c r="D55" i="7"/>
  <c r="I42" i="4"/>
  <c r="F99" i="4"/>
  <c r="F101" i="4" s="1"/>
  <c r="F104" i="4"/>
  <c r="F59" i="4" s="1"/>
  <c r="F41" i="4" s="1"/>
  <c r="R31" i="7" s="1"/>
  <c r="E5" i="16" s="1"/>
  <c r="I5" i="16" s="1"/>
  <c r="J5" i="16" s="1"/>
  <c r="P22" i="7" l="1"/>
  <c r="E11" i="16" s="1"/>
  <c r="I11" i="16" s="1"/>
  <c r="J11" i="16" s="1"/>
  <c r="M85" i="7"/>
  <c r="L40" i="4"/>
  <c r="I19" i="1" s="1"/>
  <c r="I44" i="4"/>
  <c r="I45" i="4" s="1"/>
  <c r="I74" i="7" s="1"/>
  <c r="S18" i="1"/>
  <c r="I85" i="7"/>
  <c r="I95" i="7" s="1"/>
  <c r="F40" i="4"/>
  <c r="F43" i="4" s="1"/>
  <c r="G95" i="7" l="1"/>
  <c r="N95" i="7"/>
  <c r="L95" i="7"/>
  <c r="F42" i="7"/>
  <c r="L42" i="4"/>
  <c r="M86" i="7"/>
  <c r="L43" i="4"/>
  <c r="D20" i="1"/>
  <c r="I46" i="4"/>
  <c r="I47" i="4" s="1"/>
  <c r="J75" i="7" s="1"/>
  <c r="O55" i="7"/>
  <c r="D21" i="1"/>
  <c r="I125" i="4"/>
  <c r="I124" i="4"/>
  <c r="K88" i="7"/>
  <c r="K87" i="7"/>
  <c r="I86" i="7"/>
  <c r="I96" i="7" s="1"/>
  <c r="S19" i="1"/>
  <c r="H51" i="7"/>
  <c r="F42" i="4"/>
  <c r="F44" i="4" s="1"/>
  <c r="F46" i="4" s="1"/>
  <c r="L96" i="7" l="1"/>
  <c r="G96" i="7"/>
  <c r="N96" i="7"/>
  <c r="L44" i="4"/>
  <c r="M87" i="7" s="1"/>
  <c r="O56" i="7"/>
  <c r="F124" i="4"/>
  <c r="F45" i="4"/>
  <c r="M70" i="7" s="1"/>
  <c r="I87" i="7"/>
  <c r="S51" i="7"/>
  <c r="F125" i="4"/>
  <c r="S20" i="1"/>
  <c r="T49" i="7"/>
  <c r="F47" i="4"/>
  <c r="N68" i="7" s="1"/>
  <c r="G97" i="7" l="1"/>
  <c r="I97" i="7"/>
  <c r="N97" i="7"/>
  <c r="L97" i="7"/>
  <c r="Q42" i="7"/>
  <c r="I20" i="1"/>
  <c r="L124" i="4"/>
  <c r="L125" i="4"/>
  <c r="L45" i="4"/>
  <c r="I21" i="1" s="1"/>
  <c r="L46" i="4"/>
  <c r="L47" i="4" s="1"/>
  <c r="J60" i="7" s="1"/>
  <c r="I88" i="7"/>
  <c r="I98" i="7" s="1"/>
  <c r="S21" i="1"/>
  <c r="N98" i="7" l="1"/>
  <c r="K61" i="7"/>
  <c r="O41" i="7"/>
  <c r="M88" i="7"/>
  <c r="G98" i="7" s="1"/>
  <c r="C64" i="4"/>
  <c r="C96" i="4"/>
  <c r="C58" i="4" s="1"/>
  <c r="C73" i="4"/>
  <c r="C77" i="4" s="1"/>
  <c r="C29" i="4"/>
  <c r="O16" i="9" s="1"/>
  <c r="J12" i="9" s="1"/>
  <c r="J32" i="9" s="1"/>
  <c r="L98" i="7" l="1"/>
  <c r="C68" i="4"/>
  <c r="C54" i="4" s="1"/>
  <c r="N39" i="1" s="1"/>
  <c r="C37" i="4"/>
  <c r="O17" i="9"/>
  <c r="D15" i="9" s="1"/>
  <c r="D35" i="9" s="1"/>
  <c r="C48" i="1" s="1"/>
  <c r="H12" i="9"/>
  <c r="H32" i="9" s="1"/>
  <c r="C76" i="4"/>
  <c r="C103" i="4"/>
  <c r="C60" i="4" s="1"/>
  <c r="C38" i="4" l="1"/>
  <c r="N17" i="1" s="1"/>
  <c r="D72" i="1" l="1"/>
  <c r="D74" i="1" s="1"/>
  <c r="I72" i="1"/>
  <c r="I74" i="1" s="1"/>
  <c r="G72" i="1"/>
  <c r="G74" i="1" s="1"/>
  <c r="F72" i="1"/>
  <c r="F74" i="1" s="1"/>
  <c r="C90" i="4"/>
  <c r="C93" i="4" s="1"/>
  <c r="C94" i="4" s="1"/>
  <c r="C104" i="4" s="1"/>
  <c r="C59" i="4" s="1"/>
  <c r="C55" i="4"/>
  <c r="N66" i="1" s="1"/>
  <c r="C99" i="4" l="1"/>
  <c r="C101" i="4" s="1"/>
  <c r="C97" i="4"/>
  <c r="C57" i="4" s="1"/>
  <c r="C41" i="4" s="1"/>
  <c r="N18" i="1" s="1"/>
  <c r="C92" i="4"/>
  <c r="G85" i="7" l="1"/>
  <c r="C40" i="4"/>
  <c r="C42" i="4" s="1"/>
  <c r="L27" i="7"/>
  <c r="E2" i="16" s="1"/>
  <c r="H95" i="7" l="1"/>
  <c r="M95" i="7"/>
  <c r="K95" i="7"/>
  <c r="J95" i="7"/>
  <c r="I2" i="16"/>
  <c r="J2" i="16" s="1"/>
  <c r="C43" i="4"/>
  <c r="C44" i="4" s="1"/>
  <c r="N19" i="1"/>
  <c r="B47" i="7"/>
  <c r="G86" i="7"/>
  <c r="H96" i="7" l="1"/>
  <c r="M96" i="7"/>
  <c r="K96" i="7"/>
  <c r="J96" i="7"/>
  <c r="G87" i="7"/>
  <c r="C125" i="4"/>
  <c r="BF125" i="4" s="1"/>
  <c r="C49" i="4"/>
  <c r="C50" i="4" s="1"/>
  <c r="M47" i="7"/>
  <c r="C124" i="4"/>
  <c r="BF124" i="4" s="1"/>
  <c r="C45" i="4"/>
  <c r="G88" i="7" s="1"/>
  <c r="C46" i="4"/>
  <c r="L49" i="7" s="1"/>
  <c r="N20" i="1"/>
  <c r="T84" i="4"/>
  <c r="O48" i="7" s="1"/>
  <c r="H97" i="7" l="1"/>
  <c r="M97" i="7"/>
  <c r="H98" i="7"/>
  <c r="M98" i="7"/>
  <c r="K98" i="7"/>
  <c r="J98" i="7"/>
  <c r="K97" i="7"/>
  <c r="J97" i="7"/>
  <c r="C128" i="4"/>
  <c r="N21" i="1"/>
  <c r="G66" i="7"/>
  <c r="C47" i="4"/>
  <c r="F68" i="7" s="1"/>
  <c r="U84" i="4"/>
  <c r="I67"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6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<sst xmlns="http://schemas.openxmlformats.org/spreadsheetml/2006/main" count="1570" uniqueCount="666">
  <si>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</si>
  <si>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</si>
  <si>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</si>
  <si>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</si>
  <si>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</si>
  <si>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</si>
  <si>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</si>
  <si>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</si>
  <si>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</si>
  <si>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</si>
  <si>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</si>
  <si>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</si>
  <si>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</si>
  <si>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</si>
  <si>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</si>
  <si>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</si>
  <si>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</si>
  <si>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</si>
  <si>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</si>
  <si>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</si>
  <si>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</si>
  <si>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</si>
  <si>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</si>
  <si>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</si>
  <si>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</si>
  <si>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</si>
  <si>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</si>
  <si>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</si>
  <si>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</si>
  <si>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</si>
  <si>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</si>
  <si>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</si>
  <si>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</si>
  <si>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</si>
  <si>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</si>
  <si>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</si>
  <si>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</si>
  <si>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</si>
  <si>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</si>
  <si>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</si>
  <si>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</si>
  <si>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</si>
  <si>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</si>
  <si>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</si>
  <si>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</si>
  <si>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</si>
  <si>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</si>
  <si>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</si>
  <si>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</si>
  <si>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</si>
  <si>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</si>
  <si>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</si>
  <si>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</si>
  <si>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</si>
  <si>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</si>
  <si>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</si>
  <si>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</si>
  <si>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</si>
  <si>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</si>
  <si>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</si>
  <si>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</si>
  <si>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</si>
  <si>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</si>
  <si>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</si>
  <si>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</si>
  <si>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</si>
  <si>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</si>
  <si>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</si>
  <si>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</si>
  <si>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</si>
  <si>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</si>
  <si>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</si>
  <si>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</si>
  <si>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</si>
  <si>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</si>
  <si>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</si>
  <si>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</si>
  <si>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</si>
  <si>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</si>
  <si>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</si>
  <si>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</si>
  <si>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</si>
  <si>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</si>
  <si>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</si>
  <si>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</si>
  <si>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</si>
  <si>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</si>
  <si>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</si>
  <si>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</si>
  <si>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</si>
  <si>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</si>
  <si>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</si>
  <si>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</si>
  <si>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</si>
  <si>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</si>
  <si>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</si>
  <si>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</si>
  <si>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</si>
  <si>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</si>
  <si>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</si>
  <si>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</si>
  <si>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</si>
  <si>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</si>
  <si>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</si>
  <si>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</si>
  <si>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</si>
  <si>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</si>
  <si>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</si>
  <si>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</si>
  <si>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</si>
  <si>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</si>
  <si>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</si>
  <si>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</si>
  <si>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</si>
  <si>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</si>
  <si>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</si>
  <si>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</si>
  <si>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</si>
  <si>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</si>
  <si>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</si>
  <si>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</si>
  <si>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</si>
  <si>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</si>
  <si>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</si>
  <si>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</si>
  <si>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</si>
  <si>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</si>
  <si>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</si>
  <si>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</si>
  <si>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</si>
  <si>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</si>
  <si>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</si>
  <si>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</si>
  <si>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</si>
  <si>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</si>
  <si>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</si>
  <si>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</si>
  <si>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</si>
  <si>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</si>
  <si>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</si>
  <si>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</si>
  <si>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</si>
  <si>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</si>
  <si>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</si>
  <si>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</si>
  <si>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</si>
  <si>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</si>
  <si>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</si>
  <si>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</si>
  <si>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</si>
  <si>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</si>
  <si>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</si>
  <si>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</si>
  <si>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</si>
  <si>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</si>
  <si>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</si>
  <si>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</si>
  <si>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</si>
  <si>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</si>
  <si>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</si>
  <si>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</si>
  <si>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</si>
  <si>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</si>
  <si>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</si>
  <si>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</si>
  <si>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</si>
  <si>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</si>
  <si>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</si>
  <si>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</si>
  <si>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</si>
  <si>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</si>
  <si>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</si>
  <si>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</si>
  <si>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</si>
  <si>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</si>
  <si>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</si>
  <si>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</si>
  <si>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</si>
  <si>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</si>
  <si>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</si>
  <si>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</si>
  <si>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</si>
  <si>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</si>
  <si>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</si>
  <si>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</si>
  <si>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</si>
  <si>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</si>
  <si>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</si>
  <si>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</si>
  <si>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</si>
  <si>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</si>
  <si>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</si>
  <si>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</si>
  <si>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</si>
  <si>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</si>
  <si>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</si>
  <si>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</si>
  <si>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</si>
  <si>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</si>
  <si>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</si>
  <si>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</si>
  <si>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</si>
  <si>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</si>
  <si>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</si>
  <si>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</si>
  <si>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</si>
  <si>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</si>
  <si>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</si>
  <si>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</si>
  <si>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</si>
  <si>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</si>
  <si>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</si>
  <si>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</si>
  <si>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</si>
  <si>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</si>
  <si>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</si>
  <si>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</si>
  <si>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</si>
  <si>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</si>
  <si>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</si>
  <si>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</si>
  <si>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</si>
  <si>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</si>
  <si>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</si>
  <si>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</si>
  <si>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</si>
  <si>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</si>
  <si>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</si>
  <si>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</si>
  <si>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</si>
  <si>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</si>
  <si>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</si>
  <si>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</si>
  <si>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</si>
  <si>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</si>
  <si>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</si>
  <si>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</si>
  <si>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</si>
  <si>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</si>
  <si>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</si>
  <si>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</si>
  <si>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</si>
  <si>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</si>
  <si>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</si>
  <si>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</si>
  <si>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</si>
  <si>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</si>
  <si>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</si>
  <si>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</si>
  <si>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</si>
  <si>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</si>
  <si>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</si>
  <si>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</si>
  <si>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</si>
  <si>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</si>
  <si>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</si>
  <si>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</si>
  <si>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</si>
  <si>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</si>
  <si>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</si>
  <si>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</si>
  <si>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</si>
  <si>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</si>
  <si>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</si>
  <si>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</si>
  <si>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</si>
  <si>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</si>
  <si>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</si>
  <si>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</si>
  <si>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</si>
  <si>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</si>
  <si>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</si>
  <si>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</si>
  <si>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</si>
  <si>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</si>
  <si>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</si>
  <si>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</si>
  <si>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</si>
  <si>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</si>
  <si>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</si>
  <si>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</si>
  <si>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</si>
  <si>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</si>
  <si>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</si>
  <si>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</si>
  <si>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</si>
  <si>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</si>
  <si>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</si>
  <si>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</si>
  <si>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</si>
  <si>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</si>
  <si>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</si>
  <si>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</si>
  <si>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</si>
  <si>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</si>
  <si>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</si>
  <si>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</si>
  <si>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</si>
  <si>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</si>
  <si>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</si>
  <si>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</si>
  <si>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</si>
  <si>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</si>
  <si>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</si>
  <si>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</si>
  <si>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</si>
  <si>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</si>
  <si>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</si>
  <si>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</si>
  <si>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</si>
  <si>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</si>
  <si>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</si>
  <si>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</si>
  <si>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</si>
  <si>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</si>
  <si>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</si>
  <si>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</si>
  <si>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</si>
  <si>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</si>
  <si>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</si>
  <si>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</si>
  <si>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</si>
  <si>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</si>
  <si>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</si>
  <si>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</si>
  <si>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</si>
  <si>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</si>
  <si>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</si>
  <si>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</si>
  <si>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</si>
  <si>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</si>
  <si>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</si>
  <si>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</si>
  <si>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</si>
  <si>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</si>
  <si>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</si>
  <si>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</si>
  <si>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</si>
  <si>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</si>
  <si>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</si>
  <si>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</si>
  <si>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</si>
  <si>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</si>
  <si>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</si>
  <si>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</si>
  <si>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</si>
  <si>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</si>
  <si>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</si>
  <si>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</si>
  <si>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</si>
  <si>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</si>
  <si>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</si>
  <si>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</si>
  <si>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</si>
  <si>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</si>
  <si>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</si>
  <si>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</si>
  <si>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</si>
  <si>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</si>
  <si>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</si>
  <si>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</si>
  <si>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</si>
  <si>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</si>
  <si>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</si>
  <si>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</si>
  <si>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</si>
  <si>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</si>
  <si>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</si>
  <si>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</si>
  <si>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</si>
  <si>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</si>
  <si>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</si>
  <si>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</si>
  <si>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</si>
  <si>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</si>
  <si>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</si>
  <si>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</si>
  <si>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</si>
  <si>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</si>
  <si>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</si>
  <si>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</si>
  <si>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</si>
  <si>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</si>
  <si>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</si>
  <si>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</si>
  <si>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</si>
  <si>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</si>
  <si>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</si>
  <si>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</si>
  <si>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</si>
  <si>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</si>
  <si>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</si>
  <si>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</si>
  <si>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</si>
  <si>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</si>
  <si>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</si>
  <si>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</si>
  <si>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</si>
  <si>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</si>
  <si>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</si>
  <si>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</si>
  <si>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</si>
  <si>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</si>
  <si>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</si>
  <si>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</si>
  <si>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</si>
  <si>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</si>
  <si>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</si>
  <si>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</si>
  <si>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</si>
  <si>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</si>
  <si>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</si>
  <si>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</si>
  <si>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</si>
  <si>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</si>
  <si>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</si>
  <si>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</si>
  <si>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</si>
  <si>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</si>
  <si>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</si>
  <si>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</si>
  <si>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</si>
  <si>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</si>
  <si>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</si>
  <si>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</si>
  <si>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</si>
  <si>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</si>
  <si>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</si>
  <si>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</si>
  <si>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</si>
  <si>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</si>
  <si>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</si>
  <si>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</si>
  <si>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</si>
  <si>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</si>
  <si>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</si>
  <si>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</si>
  <si>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</si>
  <si>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</si>
  <si>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</si>
  <si>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</si>
  <si>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</si>
  <si>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</si>
  <si>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</si>
  <si>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</si>
  <si>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</si>
  <si>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</si>
  <si>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</si>
  <si>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</si>
  <si>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</si>
  <si>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</si>
  <si>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</si>
  <si>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</si>
  <si>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</si>
  <si>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</si>
  <si>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</si>
  <si>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</si>
  <si>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</si>
  <si>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</si>
  <si>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</si>
  <si>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</si>
  <si>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</si>
  <si>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</si>
  <si>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</si>
  <si>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</si>
  <si>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</si>
  <si>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</si>
  <si>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</si>
  <si>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</si>
  <si>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</si>
  <si>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</si>
  <si>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</si>
  <si>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</si>
  <si>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</si>
  <si>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</si>
  <si>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</si>
  <si>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</si>
  <si>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</si>
  <si>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</si>
  <si>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</si>
  <si>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</si>
  <si>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</si>
  <si>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</si>
  <si>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</si>
  <si>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</si>
  <si>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</si>
  <si>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</si>
  <si>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</si>
  <si>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</si>
  <si>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</si>
  <si>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</si>
  <si>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</si>
  <si>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</si>
  <si>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</si>
  <si>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</si>
  <si>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</si>
  <si>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</si>
  <si>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</si>
  <si>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</si>
  <si>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</si>
  <si>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</si>
  <si>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</si>
  <si>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</si>
  <si>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</si>
  <si>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</si>
  <si>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</si>
  <si>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</si>
  <si>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</si>
  <si>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</si>
  <si>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</si>
  <si>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</si>
  <si>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</si>
  <si>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</si>
  <si>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</si>
  <si>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</si>
  <si>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</si>
  <si>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</si>
  <si>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</si>
  <si>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</si>
  <si>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</si>
  <si>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</si>
  <si>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</si>
  <si>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</si>
  <si>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</si>
  <si>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</si>
  <si>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</si>
  <si>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</si>
  <si>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</si>
  <si>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</si>
  <si>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</si>
  <si>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</si>
  <si>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</si>
  <si>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</si>
  <si>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</si>
  <si>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</si>
  <si>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</si>
  <si>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</si>
  <si>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</si>
  <si>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</si>
  <si>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</si>
  <si>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</si>
  <si>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</si>
  <si>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</si>
  <si>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</si>
  <si>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</si>
  <si>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</si>
  <si>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</si>
  <si>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</si>
  <si>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</si>
  <si>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</si>
  <si>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</si>
  <si>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</si>
  <si>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</si>
  <si>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</si>
  <si>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</si>
  <si>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</si>
  <si>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</si>
  <si>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</si>
  <si>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</si>
  <si>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</si>
  <si>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node</t>
  </si>
  <si>
    <t>node_id</t>
  </si>
  <si>
    <t># of nodes</t>
  </si>
  <si>
    <t>start_row</t>
  </si>
  <si>
    <t>end_row</t>
  </si>
  <si>
    <t>Street 1</t>
  </si>
  <si>
    <t>Street 2</t>
  </si>
  <si>
    <t>time_window</t>
  </si>
  <si>
    <t>time_interval</t>
  </si>
  <si>
    <t>travel_time_delta</t>
  </si>
  <si>
    <t>capacity</t>
  </si>
  <si>
    <t>cycle_no</t>
  </si>
  <si>
    <t>cycle_length</t>
  </si>
  <si>
    <t>green_time</t>
  </si>
  <si>
    <t>red_time</t>
  </si>
  <si>
    <t>stage</t>
  </si>
  <si>
    <t>movement_str</t>
  </si>
  <si>
    <t>geometry</t>
  </si>
  <si>
    <t>phase</t>
  </si>
  <si>
    <t>start</t>
  </si>
  <si>
    <t>end</t>
  </si>
  <si>
    <t>start_hhmmss</t>
  </si>
  <si>
    <t>end_hhmmss</t>
  </si>
  <si>
    <t>volume</t>
  </si>
  <si>
    <t>movement</t>
  </si>
  <si>
    <t xml:space="preserve"> # lanes</t>
  </si>
  <si>
    <t># lanes</t>
  </si>
  <si>
    <t>osm_node_id</t>
  </si>
  <si>
    <t>None</t>
  </si>
  <si>
    <t>v_over_c</t>
  </si>
  <si>
    <t>=</t>
  </si>
  <si>
    <t>"</t>
  </si>
  <si>
    <t>&gt;</t>
  </si>
  <si>
    <t>!</t>
  </si>
  <si>
    <t>:</t>
  </si>
  <si>
    <t>#</t>
  </si>
  <si>
    <t>$</t>
  </si>
  <si>
    <t>mvmt_id</t>
  </si>
  <si>
    <t>offroad_link_id</t>
  </si>
  <si>
    <t>phase_num</t>
  </si>
  <si>
    <t>protection</t>
  </si>
  <si>
    <t>notes</t>
  </si>
  <si>
    <t>signal_phase</t>
  </si>
  <si>
    <t>signal_phase_id</t>
  </si>
  <si>
    <t>ring</t>
  </si>
  <si>
    <t>barrier</t>
  </si>
  <si>
    <t>signal_phase_concurrency</t>
  </si>
  <si>
    <t>timing_phase_id</t>
  </si>
  <si>
    <t>timing_plan_id</t>
  </si>
  <si>
    <t>min_green</t>
  </si>
  <si>
    <t>max_green</t>
  </si>
  <si>
    <t>extension</t>
  </si>
  <si>
    <t>clearance</t>
  </si>
  <si>
    <t>walk_time</t>
  </si>
  <si>
    <t>ped_clearance</t>
  </si>
  <si>
    <t>signal_timing_phase</t>
  </si>
  <si>
    <t>time_day</t>
  </si>
  <si>
    <t>coord_node_id</t>
  </si>
  <si>
    <t>coord_phase</t>
  </si>
  <si>
    <t>offset</t>
  </si>
  <si>
    <t>signal_timing_plan</t>
  </si>
  <si>
    <t>signal_phase data dictionary</t>
  </si>
  <si>
    <t>Field</t>
  </si>
  <si>
    <t>Type</t>
  </si>
  <si>
    <t>Required?</t>
  </si>
  <si>
    <t>Comment</t>
  </si>
  <si>
    <t>Node_ID</t>
  </si>
  <si>
    <t>Optional</t>
  </si>
  <si>
    <t>Redundant with Movement ID, but helps with clarity. Foreign key</t>
  </si>
  <si>
    <t>Movement_ID</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</si>
  <si>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</si>
  <si>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</si>
  <si>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</si>
  <si>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</si>
  <si>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</si>
  <si>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</si>
  <si>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</si>
  <si>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</si>
  <si>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</si>
  <si>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</si>
  <si>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</si>
  <si>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</si>
  <si>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</si>
  <si>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</si>
  <si>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</si>
  <si>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</si>
  <si>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</si>
  <si>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</si>
  <si>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</si>
  <si>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</si>
  <si>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</si>
  <si>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</si>
  <si>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</si>
  <si>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</si>
  <si>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</si>
  <si>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</si>
  <si>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</si>
  <si>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</si>
  <si>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</si>
  <si>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Phase_number</t>
  </si>
  <si>
    <t>Permissive</t>
  </si>
  <si>
    <t>Protection_original</t>
  </si>
  <si>
    <t>Protected/Permissive</t>
  </si>
  <si>
    <t>Protection</t>
  </si>
  <si>
    <t>For data dictionary:</t>
  </si>
  <si>
    <t>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</si>
</sst>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6"/>
      <color theme="1"/>
      <name val="Wingdings 3"/>
      <family val="1"/>
      <charset val="2"/>
    </font>
    <font>
      <sz val="16"/>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69">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165" fontId="0" fillId="0" borderId="0" xfId="0" applyNumberFormat="1"/>
    <xf numFmtId="0" fontId="0" fillId="0" borderId="0" xfId="0" applyAlignment="1">
      <alignment horizontal="center"/>
    </xf>
    <xf numFmtId="2" fontId="0" fillId="0" borderId="0" xfId="0" applyNumberFormat="1"/>
    <xf numFmtId="0" fontId="0" fillId="0" borderId="0" xfId="0" applyAlignment="1">
      <alignment horizontal="left"/>
    </xf>
    <xf numFmtId="0" fontId="23" fillId="0" borderId="0" xfId="0" applyNumberFormat="1" applyFont="1" applyAlignment="1">
      <alignment horizontal="center"/>
    </xf>
    <xf numFmtId="0" fontId="24" fillId="0" borderId="0" xfId="0" applyNumberFormat="1" applyFont="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7" fillId="0" borderId="0" xfId="0" applyFont="1" applyAlignment="1">
      <alignment horizontal="center" vertical="center"/>
    </xf>
    <xf numFmtId="0" fontId="0" fillId="0" borderId="0" xfId="0"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xr:uid="{00000000-0005-0000-0000-000001000000}"/>
  </cellStyles>
  <dxfs count="4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2.xml"/><Relationship Id="rId28"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5342054" y="864054"/>
          <a:ext cx="2891517"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216354</xdr:colOff>
      <xdr:row>92</xdr:row>
      <xdr:rowOff>38916</xdr:rowOff>
    </xdr:from>
    <xdr:to>
      <xdr:col>15</xdr:col>
      <xdr:colOff>102054</xdr:colOff>
      <xdr:row>122</xdr:row>
      <xdr:rowOff>62049</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Street 1 &amp; Street 2</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0</v>
      </c>
      <c r="E4" s="59">
        <f>'Input sheet'!J21</f>
        <v>0</v>
      </c>
      <c r="F4" s="59">
        <f>'Input sheet'!K21</f>
        <v>0</v>
      </c>
      <c r="G4" s="59">
        <v>0</v>
      </c>
      <c r="H4" s="59">
        <v>0</v>
      </c>
      <c r="I4" s="59">
        <f>'Input sheet'!K7</f>
        <v>0</v>
      </c>
      <c r="J4" s="59">
        <f>'Input sheet'!J7</f>
        <v>0</v>
      </c>
      <c r="K4" s="59">
        <f>'Input sheet'!I7</f>
        <v>0</v>
      </c>
      <c r="L4" s="59">
        <v>0</v>
      </c>
      <c r="M4" s="59">
        <v>0</v>
      </c>
      <c r="N4" s="59">
        <f>'Input sheet'!G12</f>
        <v>0</v>
      </c>
      <c r="O4" s="59">
        <f>'Input sheet'!G14</f>
        <v>0</v>
      </c>
      <c r="P4" s="59">
        <f>'Input sheet'!G16</f>
        <v>0</v>
      </c>
      <c r="Q4" s="59">
        <v>0</v>
      </c>
      <c r="R4" s="59">
        <v>0</v>
      </c>
      <c r="S4" s="59">
        <f>'Input sheet'!M16</f>
        <v>0</v>
      </c>
      <c r="T4" s="59">
        <f>'Input sheet'!M14</f>
        <v>0</v>
      </c>
      <c r="U4" s="59">
        <f>'Input sheet'!M12</f>
        <v>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20</v>
      </c>
      <c r="F11">
        <v>0</v>
      </c>
      <c r="G11">
        <v>0</v>
      </c>
      <c r="H11">
        <v>0</v>
      </c>
      <c r="I11">
        <v>0</v>
      </c>
      <c r="J11">
        <f>'Input sheet'!J4</f>
        <v>20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3">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156" customFormat="1" x14ac:dyDescent="0.3">
      <c r="A17" s="156" t="s">
        <v>148</v>
      </c>
      <c r="B17" s="156">
        <v>1</v>
      </c>
      <c r="D17" s="156" t="e">
        <f>'Phase calculation'!I38</f>
        <v>#N/A</v>
      </c>
      <c r="E17" s="156" t="e">
        <f>'Phase calculation'!J38</f>
        <v>#N/A</v>
      </c>
      <c r="F17" s="156" t="e">
        <f>'Phase calculation'!K38</f>
        <v>#N/A</v>
      </c>
      <c r="I17" s="156" t="e">
        <f>'Phase calculation'!L38</f>
        <v>#N/A</v>
      </c>
      <c r="J17" s="156" t="e">
        <f>'Phase calculation'!M38</f>
        <v>#N/A</v>
      </c>
      <c r="K17" s="156" t="e">
        <f>'Phase calculation'!N38</f>
        <v>#N/A</v>
      </c>
      <c r="N17" s="156" t="e">
        <f>'Phase calculation'!C38</f>
        <v>#N/A</v>
      </c>
      <c r="O17" s="156" t="e">
        <f>'Phase calculation'!D38</f>
        <v>#N/A</v>
      </c>
      <c r="P17" s="156" t="e">
        <f>'Phase calculation'!E38</f>
        <v>#N/A</v>
      </c>
      <c r="S17" s="156" t="e">
        <f>'Phase calculation'!F38</f>
        <v>#N/A</v>
      </c>
      <c r="T17" s="156" t="e">
        <f>'Phase calculation'!G38</f>
        <v>#N/A</v>
      </c>
      <c r="U17" s="156" t="e">
        <f>'Phase calculation'!H38</f>
        <v>#N/A</v>
      </c>
    </row>
    <row r="18" spans="1:21" s="1" customFormat="1" x14ac:dyDescent="0.3">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247" customFormat="1" x14ac:dyDescent="0.3">
      <c r="A19" s="247" t="s">
        <v>135</v>
      </c>
      <c r="B19" s="247">
        <v>1</v>
      </c>
      <c r="D19" s="247" t="e">
        <f>'Phase calculation'!I40</f>
        <v>#N/A</v>
      </c>
      <c r="E19" s="247" t="e">
        <f>'Phase calculation'!J40</f>
        <v>#N/A</v>
      </c>
      <c r="F19" s="247" t="e">
        <f>'Phase calculation'!K40</f>
        <v>#N/A</v>
      </c>
      <c r="I19" s="247" t="e">
        <f>'Phase calculation'!L40</f>
        <v>#N/A</v>
      </c>
      <c r="J19" s="247" t="e">
        <f>'Phase calculation'!M40</f>
        <v>#N/A</v>
      </c>
      <c r="K19" s="247" t="e">
        <f>'Phase calculation'!N40</f>
        <v>#N/A</v>
      </c>
      <c r="N19" s="247" t="e">
        <f>'Phase calculation'!C40</f>
        <v>#N/A</v>
      </c>
      <c r="O19" s="247" t="e">
        <f>'Phase calculation'!D40</f>
        <v>#N/A</v>
      </c>
      <c r="P19" s="247" t="e">
        <f>'Phase calculation'!E40</f>
        <v>#N/A</v>
      </c>
      <c r="S19" s="247" t="e">
        <f>'Phase calculation'!F40</f>
        <v>#N/A</v>
      </c>
      <c r="T19" s="247" t="e">
        <f>'Phase calculation'!G40</f>
        <v>#N/A</v>
      </c>
      <c r="U19" s="247" t="e">
        <f>'Phase calculation'!H40</f>
        <v>#N/A</v>
      </c>
    </row>
    <row r="20" spans="1:21" s="248" customFormat="1" x14ac:dyDescent="0.3">
      <c r="A20" s="248" t="s">
        <v>150</v>
      </c>
      <c r="B20" s="248">
        <v>1</v>
      </c>
      <c r="D20" s="248">
        <f>'Phase calculation'!I44</f>
        <v>0</v>
      </c>
      <c r="E20" s="248">
        <f>'Phase calculation'!J44</f>
        <v>0</v>
      </c>
      <c r="F20" s="248">
        <f>'Phase calculation'!K44</f>
        <v>0</v>
      </c>
      <c r="I20" s="248">
        <f>'Phase calculation'!L44</f>
        <v>0</v>
      </c>
      <c r="J20" s="248">
        <f>'Phase calculation'!M44</f>
        <v>0</v>
      </c>
      <c r="K20" s="248">
        <f>'Phase calculation'!N44</f>
        <v>0</v>
      </c>
      <c r="N20" s="248">
        <f>'Phase calculation'!C44</f>
        <v>0</v>
      </c>
      <c r="O20" s="248">
        <f>'Phase calculation'!D44</f>
        <v>0</v>
      </c>
      <c r="P20" s="248">
        <f>'Phase calculation'!E44</f>
        <v>0</v>
      </c>
      <c r="S20" s="248">
        <f>'Phase calculation'!F44</f>
        <v>0</v>
      </c>
      <c r="T20" s="248">
        <f>'Phase calculation'!G44</f>
        <v>0</v>
      </c>
      <c r="U20" s="248">
        <f>'Phase calculation'!H44</f>
        <v>0</v>
      </c>
    </row>
    <row r="21" spans="1:21" s="1" customFormat="1" x14ac:dyDescent="0.3">
      <c r="A21" s="1" t="s">
        <v>139</v>
      </c>
      <c r="B21" s="1">
        <v>1</v>
      </c>
      <c r="D21" s="73" t="str">
        <f>'Phase calculation'!I45</f>
        <v>N/A</v>
      </c>
      <c r="E21" s="243" t="str">
        <f>'Phase calculation'!J45</f>
        <v>N/A</v>
      </c>
      <c r="F21" s="243" t="str">
        <f>'Phase calculation'!K45</f>
        <v>N/A</v>
      </c>
      <c r="G21" s="73"/>
      <c r="H21" s="73"/>
      <c r="I21" s="73" t="str">
        <f>'Phase calculation'!L45</f>
        <v>N/A</v>
      </c>
      <c r="J21" s="243" t="str">
        <f>'Phase calculation'!M45</f>
        <v>N/A</v>
      </c>
      <c r="K21" s="243" t="str">
        <f>'Phase calculation'!N45</f>
        <v>N/A</v>
      </c>
      <c r="L21" s="73"/>
      <c r="M21" s="73"/>
      <c r="N21" s="73" t="str">
        <f>'Phase calculation'!C45</f>
        <v>N/A</v>
      </c>
      <c r="O21" s="243" t="str">
        <f>'Phase calculation'!D45</f>
        <v>N/A</v>
      </c>
      <c r="P21" s="243" t="str">
        <f>'Phase calculation'!E45</f>
        <v>N/A</v>
      </c>
      <c r="Q21" s="73"/>
      <c r="R21" s="73"/>
      <c r="S21" s="73" t="str">
        <f>'Phase calculation'!F45</f>
        <v>N/A</v>
      </c>
      <c r="T21" s="243" t="str">
        <f>'Phase calculation'!G45</f>
        <v>N/A</v>
      </c>
      <c r="U21" s="243"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465</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3">
      <c r="A25" s="1" t="s">
        <v>50</v>
      </c>
      <c r="B25" s="1">
        <v>1</v>
      </c>
      <c r="D25" s="1">
        <f>'Phase calculation'!I14</f>
        <v>1332</v>
      </c>
      <c r="E25" s="1" t="e">
        <f>'Phase calculation'!J14</f>
        <v>#N/A</v>
      </c>
      <c r="F25" s="1" t="e">
        <f>'Phase calculation'!K14</f>
        <v>#N/A</v>
      </c>
      <c r="I25" s="1">
        <f>'Phase calculation'!L14</f>
        <v>1332</v>
      </c>
      <c r="J25" s="1" t="e">
        <f>'Phase calculation'!M14</f>
        <v>#N/A</v>
      </c>
      <c r="K25" s="1" t="e">
        <f>'Phase calculation'!N14</f>
        <v>#N/A</v>
      </c>
      <c r="N25" s="1">
        <f>'Phase calculation'!C14</f>
        <v>1332</v>
      </c>
      <c r="O25" s="1" t="e">
        <f>'Phase calculation'!D14</f>
        <v>#N/A</v>
      </c>
      <c r="P25" s="1" t="e">
        <f>'Phase calculation'!E14</f>
        <v>#N/A</v>
      </c>
      <c r="S25" s="1">
        <f>'Phase calculation'!F14</f>
        <v>1332</v>
      </c>
      <c r="T25" s="1" t="e">
        <f>'Phase calculation'!G14</f>
        <v>#N/A</v>
      </c>
      <c r="U25" s="1" t="e">
        <f>'Phase calculation'!H14</f>
        <v>#N/A</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10</v>
      </c>
      <c r="J29" s="62">
        <f>IF('Input sheet'!L5="Yes",10,0)</f>
        <v>10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462</v>
      </c>
      <c r="B35" s="67">
        <v>1</v>
      </c>
      <c r="C35" s="67"/>
      <c r="D35" s="67" t="e">
        <f>IF(C70=0,0,INDEX($C$59:$J$59,C70))</f>
        <v>#N/A</v>
      </c>
      <c r="E35" s="67" t="e">
        <f>IF(D70=0,0,INDEX($C$59:$J$59,D70))</f>
        <v>#N/A</v>
      </c>
      <c r="F35" s="67" t="e">
        <f>E35</f>
        <v>#N/A</v>
      </c>
      <c r="G35" s="67"/>
      <c r="H35" s="67"/>
      <c r="I35" s="67" t="e">
        <f>IF(E70=0,0,INDEX($C$59:$J$59,E70))</f>
        <v>#N/A</v>
      </c>
      <c r="J35" s="67" t="e">
        <f>IF(F70=0,0,INDEX($C$59:$J$59,F70))</f>
        <v>#N/A</v>
      </c>
      <c r="K35" s="67" t="e">
        <f>J35</f>
        <v>#N/A</v>
      </c>
      <c r="L35" s="67"/>
      <c r="M35" s="67"/>
      <c r="N35" s="67" t="e">
        <f>IF(G70=0,0,INDEX($C$59:$J$59,G70))</f>
        <v>#N/A</v>
      </c>
      <c r="O35" s="67" t="e">
        <f>IF(H70=0,0,INDEX($C$59:$J$59,H70))</f>
        <v>#N/A</v>
      </c>
      <c r="P35" s="67" t="e">
        <f>O35</f>
        <v>#N/A</v>
      </c>
      <c r="Q35" s="67"/>
      <c r="R35" s="67"/>
      <c r="S35" s="67" t="e">
        <f>IF(I70=0,0,INDEX($C$59:$J$59,I70))</f>
        <v>#N/A</v>
      </c>
      <c r="T35" s="67" t="e">
        <f>IF(J70=0,0,INDEX($C$59:$J$59,J70))</f>
        <v>#N/A</v>
      </c>
      <c r="U35" s="67" t="e">
        <f>T35</f>
        <v>#N/A</v>
      </c>
      <c r="V35" s="67"/>
    </row>
    <row r="36" spans="1:31" x14ac:dyDescent="0.3">
      <c r="A36" s="59" t="s">
        <v>463</v>
      </c>
      <c r="B36" s="59">
        <v>1</v>
      </c>
      <c r="C36" s="59"/>
      <c r="D36" s="59" t="e">
        <f>IF(C70=0,0,INDEX($C$60:$J$60,C70))</f>
        <v>#N/A</v>
      </c>
      <c r="E36" s="59" t="e">
        <f>IF(D70=0,0,INDEX($C$60:$J$60,D70))</f>
        <v>#N/A</v>
      </c>
      <c r="F36" s="59" t="e">
        <f>E36</f>
        <v>#N/A</v>
      </c>
      <c r="G36" s="59"/>
      <c r="H36" s="59"/>
      <c r="I36" s="59" t="e">
        <f>IF(E70=0,0,INDEX($C$60:$J$60,E70))</f>
        <v>#N/A</v>
      </c>
      <c r="J36" s="59" t="e">
        <f>IF(F70=0,0,INDEX($C$60:$J$60,F70))</f>
        <v>#N/A</v>
      </c>
      <c r="K36" s="59" t="e">
        <f>J36</f>
        <v>#N/A</v>
      </c>
      <c r="L36" s="59"/>
      <c r="M36" s="59"/>
      <c r="N36" s="59" t="e">
        <f>IF(G70=0,0,INDEX($C$60:$J$60,G70))</f>
        <v>#N/A</v>
      </c>
      <c r="O36" s="59" t="e">
        <f>IF(H70=0,0,INDEX($C$60:$J$60,H70))</f>
        <v>#N/A</v>
      </c>
      <c r="P36" s="59" t="e">
        <f>O36</f>
        <v>#N/A</v>
      </c>
      <c r="Q36" s="59"/>
      <c r="R36" s="59"/>
      <c r="S36" s="59" t="e">
        <f>IF(I70=0,0,INDEX($C$60:$J$60,I70))</f>
        <v>#N/A</v>
      </c>
      <c r="T36" s="59" t="e">
        <f>IF(J70=0,0,INDEX($C$60:$J$60,J70))</f>
        <v>#N/A</v>
      </c>
      <c r="U36" s="59" t="e">
        <f>T36</f>
        <v>#N/A</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Street 1</v>
      </c>
      <c r="J38" s="155" t="str">
        <f>'Input sheet'!I2</f>
        <v>Street 1</v>
      </c>
      <c r="O38" s="155" t="str">
        <f>'Input sheet'!A13</f>
        <v>Street 2</v>
      </c>
      <c r="T38" s="155" t="str">
        <f>'Input sheet'!R13</f>
        <v>Street 2</v>
      </c>
    </row>
    <row r="39" spans="1:31" s="156" customFormat="1" x14ac:dyDescent="0.3">
      <c r="A39" s="156" t="s">
        <v>359</v>
      </c>
      <c r="D39" s="156" t="e">
        <f>'Phase calculation'!I54</f>
        <v>#N/A</v>
      </c>
      <c r="E39" s="156" t="e">
        <f>'Phase calculation'!J54</f>
        <v>#N/A</v>
      </c>
      <c r="F39" s="156" t="e">
        <f>'Phase calculation'!K54</f>
        <v>#N/A</v>
      </c>
      <c r="I39" s="156" t="e">
        <f>'Phase calculation'!L54</f>
        <v>#N/A</v>
      </c>
      <c r="J39" s="156" t="e">
        <f>'Phase calculation'!M54</f>
        <v>#N/A</v>
      </c>
      <c r="K39" s="156" t="e">
        <f>'Phase calculation'!N54</f>
        <v>#N/A</v>
      </c>
      <c r="N39" s="156" t="e">
        <f>'Phase calculation'!C54</f>
        <v>#N/A</v>
      </c>
      <c r="O39" s="156" t="e">
        <f>'Phase calculation'!D54</f>
        <v>#N/A</v>
      </c>
      <c r="P39" s="156" t="e">
        <f>'Phase calculation'!E54</f>
        <v>#N/A</v>
      </c>
      <c r="S39" s="156" t="e">
        <f>'Phase calculation'!F54</f>
        <v>#N/A</v>
      </c>
      <c r="T39" s="156" t="e">
        <f>'Phase calculation'!G54</f>
        <v>#N/A</v>
      </c>
      <c r="U39" s="156" t="e">
        <f>'Phase calculation'!H54</f>
        <v>#N/A</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t="e">
        <f>'Phase calculation'!C83</f>
        <v>#N/A</v>
      </c>
      <c r="C41" s="67" t="e">
        <f>'Phase calculation'!D83</f>
        <v>#N/A</v>
      </c>
      <c r="D41" s="67" t="e">
        <f>'Phase calculation'!E83</f>
        <v>#N/A</v>
      </c>
      <c r="E41" s="67" t="e">
        <f>'Phase calculation'!F83</f>
        <v>#N/A</v>
      </c>
      <c r="F41" s="67" t="e">
        <f>'Phase calculation'!C84</f>
        <v>#N/A</v>
      </c>
      <c r="G41" s="67" t="e">
        <f>'Phase calculation'!D84</f>
        <v>#N/A</v>
      </c>
      <c r="H41" s="67" t="e">
        <f>'Phase calculation'!E84</f>
        <v>#N/A</v>
      </c>
      <c r="I41" s="67" t="e">
        <f>'Phase calculation'!F84</f>
        <v>#N/A</v>
      </c>
      <c r="J41" s="67" t="e">
        <f>IF(SUM(B41:I41)=0,0,'Phase calculation'!C25)</f>
        <v>#N/A</v>
      </c>
      <c r="K41" s="62">
        <v>0</v>
      </c>
      <c r="L41" s="62">
        <v>1357</v>
      </c>
      <c r="M41" s="62">
        <v>0</v>
      </c>
    </row>
    <row r="42" spans="1:31" s="62" customFormat="1" x14ac:dyDescent="0.3">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3">
      <c r="A43" s="200" t="s">
        <v>254</v>
      </c>
      <c r="B43" s="62" t="str">
        <f>Phasing!C30</f>
        <v>Street 1 &amp; Street 2</v>
      </c>
      <c r="C43" s="389" t="e">
        <f>Phasing!D30</f>
        <v>#N/A</v>
      </c>
      <c r="D43" s="389" t="e">
        <f>Phasing!E30</f>
        <v>#N/A</v>
      </c>
      <c r="E43" s="389" t="e">
        <f>Phasing!F30</f>
        <v>#N/A</v>
      </c>
      <c r="F43" s="389" t="e">
        <f>Phasing!G30</f>
        <v>#N/A</v>
      </c>
      <c r="G43" s="389" t="e">
        <f>Phasing!H30</f>
        <v>#N/A</v>
      </c>
      <c r="H43" s="389" t="e">
        <f>Phasing!I30</f>
        <v>#N/A</v>
      </c>
      <c r="I43" s="389" t="e">
        <f>Phasing!J30</f>
        <v>#N/A</v>
      </c>
      <c r="J43" s="389" t="e">
        <f>Phasing!K30</f>
        <v>#N/A</v>
      </c>
      <c r="O43" s="518" t="s">
        <v>203</v>
      </c>
      <c r="P43" s="518"/>
      <c r="Q43" s="518"/>
      <c r="R43" s="518"/>
      <c r="S43" s="518"/>
      <c r="T43" s="518"/>
      <c r="U43" s="518"/>
      <c r="V43" s="518"/>
    </row>
    <row r="44" spans="1:31" x14ac:dyDescent="0.3">
      <c r="A44" s="200" t="s">
        <v>255</v>
      </c>
      <c r="B44" s="62" t="str">
        <f>Phasing!C31</f>
        <v>Street 1 &amp; Street 2</v>
      </c>
      <c r="C44" s="389" t="e">
        <f>C45</f>
        <v>#N/A</v>
      </c>
      <c r="D44" s="389" t="e">
        <f t="shared" ref="D44:J44" si="0">D45</f>
        <v>#N/A</v>
      </c>
      <c r="E44" s="389" t="e">
        <f t="shared" si="0"/>
        <v>#N/A</v>
      </c>
      <c r="F44" s="389" t="e">
        <f t="shared" si="0"/>
        <v>#N/A</v>
      </c>
      <c r="G44" s="389" t="e">
        <f t="shared" si="0"/>
        <v>#N/A</v>
      </c>
      <c r="H44" s="389" t="e">
        <f t="shared" si="0"/>
        <v>#N/A</v>
      </c>
      <c r="I44" s="389" t="e">
        <f t="shared" si="0"/>
        <v>#N/A</v>
      </c>
      <c r="J44" s="389" t="e">
        <f t="shared" si="0"/>
        <v>#N/A</v>
      </c>
      <c r="O44" s="515" t="s">
        <v>201</v>
      </c>
      <c r="P44" s="515"/>
      <c r="Q44" s="515"/>
      <c r="R44" s="515"/>
      <c r="S44" s="515"/>
      <c r="T44" s="515"/>
      <c r="U44" s="515"/>
      <c r="V44" s="515"/>
      <c r="X44" s="516" t="s">
        <v>239</v>
      </c>
      <c r="Y44" s="516"/>
      <c r="Z44" s="516"/>
      <c r="AA44" s="516"/>
      <c r="AB44" s="516"/>
      <c r="AC44" s="516"/>
      <c r="AD44" s="516"/>
      <c r="AE44" s="516"/>
    </row>
    <row r="45" spans="1:31" ht="15" customHeight="1" x14ac:dyDescent="0.3">
      <c r="A45" s="200" t="s">
        <v>256</v>
      </c>
      <c r="B45" s="62" t="str">
        <f>Phasing!C32</f>
        <v>Street 1 &amp; Street 2</v>
      </c>
      <c r="C45" s="389" t="e">
        <f>Phasing!D58</f>
        <v>#N/A</v>
      </c>
      <c r="D45" s="389" t="e">
        <f>Phasing!E58</f>
        <v>#N/A</v>
      </c>
      <c r="E45" s="389" t="e">
        <f>Phasing!F58</f>
        <v>#N/A</v>
      </c>
      <c r="F45" s="389" t="e">
        <f>Phasing!G58</f>
        <v>#N/A</v>
      </c>
      <c r="G45" s="389" t="e">
        <f>Phasing!H58</f>
        <v>#N/A</v>
      </c>
      <c r="H45" s="389" t="e">
        <f>Phasing!I58</f>
        <v>#N/A</v>
      </c>
      <c r="I45" s="389" t="e">
        <f>Phasing!J58</f>
        <v>#N/A</v>
      </c>
      <c r="J45" s="389" t="e">
        <f>Phasing!K58</f>
        <v>#N/A</v>
      </c>
      <c r="O45" s="98" t="s">
        <v>202</v>
      </c>
      <c r="P45" s="98"/>
      <c r="Q45" s="98"/>
      <c r="R45" s="98"/>
      <c r="S45" s="98"/>
      <c r="T45" s="98"/>
      <c r="U45" s="98"/>
      <c r="V45" s="99"/>
      <c r="X45" s="516"/>
      <c r="Y45" s="516"/>
      <c r="Z45" s="516"/>
      <c r="AA45" s="516"/>
      <c r="AB45" s="516"/>
      <c r="AC45" s="516"/>
      <c r="AD45" s="516"/>
      <c r="AE45" s="516"/>
    </row>
    <row r="46" spans="1:31" x14ac:dyDescent="0.3">
      <c r="A46" s="200" t="s">
        <v>257</v>
      </c>
      <c r="B46" s="62" t="str">
        <f>Phasing!C33</f>
        <v>Street 1 &amp; Street 2</v>
      </c>
      <c r="C46" s="389">
        <f>Phasing!D33</f>
        <v>0</v>
      </c>
      <c r="D46" s="389">
        <f>Phasing!E33</f>
        <v>1.5</v>
      </c>
      <c r="E46" s="389">
        <f>Phasing!F33</f>
        <v>0</v>
      </c>
      <c r="F46" s="389">
        <f>Phasing!G33</f>
        <v>1.5</v>
      </c>
      <c r="G46" s="389">
        <f>Phasing!H33</f>
        <v>0</v>
      </c>
      <c r="H46" s="389">
        <f>Phasing!I33</f>
        <v>1.5</v>
      </c>
      <c r="I46" s="389">
        <f>Phasing!J33</f>
        <v>0</v>
      </c>
      <c r="J46" s="389">
        <f>Phasing!K33</f>
        <v>1.5</v>
      </c>
      <c r="P46" s="97"/>
      <c r="Q46" s="97"/>
      <c r="R46" s="97"/>
      <c r="S46" s="97"/>
      <c r="T46" s="97"/>
      <c r="U46" s="97"/>
      <c r="X46" s="516"/>
      <c r="Y46" s="516"/>
      <c r="Z46" s="516"/>
      <c r="AA46" s="516"/>
      <c r="AB46" s="516"/>
      <c r="AC46" s="516"/>
      <c r="AD46" s="516"/>
      <c r="AE46" s="516"/>
    </row>
    <row r="47" spans="1:31" ht="15" customHeight="1" x14ac:dyDescent="0.3">
      <c r="A47" s="200" t="s">
        <v>258</v>
      </c>
      <c r="B47" s="62" t="str">
        <f>Phasing!C34</f>
        <v>Street 1 &amp; Street 2</v>
      </c>
      <c r="C47" s="389" t="e">
        <f>Phasing!D34</f>
        <v>#N/A</v>
      </c>
      <c r="D47" s="389" t="e">
        <f>Phasing!E34</f>
        <v>#N/A</v>
      </c>
      <c r="E47" s="389" t="e">
        <f>Phasing!F34</f>
        <v>#N/A</v>
      </c>
      <c r="F47" s="389" t="e">
        <f>Phasing!G34</f>
        <v>#N/A</v>
      </c>
      <c r="G47" s="389" t="e">
        <f>Phasing!H34</f>
        <v>#N/A</v>
      </c>
      <c r="H47" s="389" t="e">
        <f>Phasing!I34</f>
        <v>#N/A</v>
      </c>
      <c r="I47" s="389" t="e">
        <f>Phasing!J34</f>
        <v>#N/A</v>
      </c>
      <c r="J47" s="389" t="e">
        <f>Phasing!K34</f>
        <v>#N/A</v>
      </c>
      <c r="O47" s="517" t="s">
        <v>222</v>
      </c>
      <c r="P47" s="517"/>
      <c r="Q47" s="517"/>
      <c r="R47" s="517"/>
      <c r="S47" s="517"/>
      <c r="T47" s="517"/>
      <c r="U47" s="517"/>
      <c r="V47" s="517"/>
      <c r="X47" s="516"/>
      <c r="Y47" s="516"/>
      <c r="Z47" s="516"/>
      <c r="AA47" s="516"/>
      <c r="AB47" s="516"/>
      <c r="AC47" s="516"/>
      <c r="AD47" s="516"/>
      <c r="AE47" s="516"/>
    </row>
    <row r="48" spans="1:31" x14ac:dyDescent="0.3">
      <c r="A48" s="200" t="s">
        <v>259</v>
      </c>
      <c r="B48" s="62" t="str">
        <f>Phasing!C35</f>
        <v>Street 1 &amp; Street 2</v>
      </c>
      <c r="C48" s="389" t="e">
        <f>Phasing!D35</f>
        <v>#N/A</v>
      </c>
      <c r="D48" s="389" t="e">
        <f>Phasing!E35</f>
        <v>#N/A</v>
      </c>
      <c r="E48" s="389" t="e">
        <f>Phasing!F35</f>
        <v>#N/A</v>
      </c>
      <c r="F48" s="389" t="e">
        <f>Phasing!G35</f>
        <v>#N/A</v>
      </c>
      <c r="G48" s="389" t="e">
        <f>Phasing!H35</f>
        <v>#N/A</v>
      </c>
      <c r="H48" s="389" t="e">
        <f>Phasing!I35</f>
        <v>#N/A</v>
      </c>
      <c r="I48" s="389" t="e">
        <f>Phasing!J35</f>
        <v>#N/A</v>
      </c>
      <c r="J48" s="389" t="e">
        <f>Phasing!K35</f>
        <v>#N/A</v>
      </c>
      <c r="O48" s="517"/>
      <c r="P48" s="517"/>
      <c r="Q48" s="517"/>
      <c r="R48" s="517"/>
      <c r="S48" s="517"/>
      <c r="T48" s="517"/>
      <c r="U48" s="517"/>
      <c r="V48" s="517"/>
      <c r="X48" s="516"/>
      <c r="Y48" s="516"/>
      <c r="Z48" s="516"/>
      <c r="AA48" s="516"/>
      <c r="AB48" s="516"/>
      <c r="AC48" s="516"/>
      <c r="AD48" s="516"/>
      <c r="AE48" s="516"/>
    </row>
    <row r="49" spans="1:22" x14ac:dyDescent="0.3">
      <c r="A49" s="200" t="s">
        <v>260</v>
      </c>
      <c r="B49" s="62" t="str">
        <f>Phasing!C36</f>
        <v>Street 1 &amp; Street 2</v>
      </c>
      <c r="C49" s="389">
        <f>Phasing!D36</f>
        <v>0</v>
      </c>
      <c r="D49" s="389">
        <f>Phasing!E36</f>
        <v>0</v>
      </c>
      <c r="E49" s="389">
        <f>Phasing!F36</f>
        <v>0</v>
      </c>
      <c r="F49" s="389">
        <f>Phasing!G36</f>
        <v>0</v>
      </c>
      <c r="G49" s="389">
        <f>Phasing!H36</f>
        <v>0</v>
      </c>
      <c r="H49" s="389">
        <f>Phasing!I36</f>
        <v>0</v>
      </c>
      <c r="I49" s="389">
        <f>Phasing!J36</f>
        <v>0</v>
      </c>
      <c r="J49" s="389">
        <f>Phasing!K36</f>
        <v>0</v>
      </c>
      <c r="O49" s="517"/>
      <c r="P49" s="517"/>
      <c r="Q49" s="517"/>
      <c r="R49" s="517"/>
      <c r="S49" s="517"/>
      <c r="T49" s="517"/>
      <c r="U49" s="517"/>
      <c r="V49" s="517"/>
    </row>
    <row r="50" spans="1:22" x14ac:dyDescent="0.3">
      <c r="A50" s="200" t="s">
        <v>261</v>
      </c>
      <c r="B50" s="62" t="str">
        <f>Phasing!C37</f>
        <v>Street 1 &amp; Street 2</v>
      </c>
      <c r="C50" s="389">
        <f>Phasing!D37</f>
        <v>0</v>
      </c>
      <c r="D50" s="389">
        <f>Phasing!E37</f>
        <v>0</v>
      </c>
      <c r="E50" s="389">
        <f>Phasing!F37</f>
        <v>0</v>
      </c>
      <c r="F50" s="389">
        <f>Phasing!G37</f>
        <v>0</v>
      </c>
      <c r="G50" s="389">
        <f>Phasing!H37</f>
        <v>0</v>
      </c>
      <c r="H50" s="389">
        <f>Phasing!I37</f>
        <v>0</v>
      </c>
      <c r="I50" s="389">
        <f>Phasing!J37</f>
        <v>0</v>
      </c>
      <c r="J50" s="389">
        <f>Phasing!K37</f>
        <v>0</v>
      </c>
      <c r="O50" s="517"/>
      <c r="P50" s="517"/>
      <c r="Q50" s="517"/>
      <c r="R50" s="517"/>
      <c r="S50" s="517"/>
      <c r="T50" s="517"/>
      <c r="U50" s="517"/>
      <c r="V50" s="517"/>
    </row>
    <row r="51" spans="1:22" x14ac:dyDescent="0.3">
      <c r="A51" s="200" t="s">
        <v>262</v>
      </c>
      <c r="B51" s="62" t="str">
        <f>Phasing!C38</f>
        <v>Street 1 &amp; Street 2</v>
      </c>
      <c r="C51" s="389">
        <f>Phasing!D38</f>
        <v>0</v>
      </c>
      <c r="D51" s="389">
        <f>Phasing!E38</f>
        <v>0</v>
      </c>
      <c r="E51" s="389">
        <f>Phasing!F38</f>
        <v>0</v>
      </c>
      <c r="F51" s="389">
        <f>Phasing!G38</f>
        <v>0</v>
      </c>
      <c r="G51" s="389">
        <f>Phasing!H38</f>
        <v>0</v>
      </c>
      <c r="H51" s="389">
        <f>Phasing!I38</f>
        <v>0</v>
      </c>
      <c r="I51" s="389">
        <f>Phasing!J38</f>
        <v>0</v>
      </c>
      <c r="J51" s="389">
        <f>Phasing!K38</f>
        <v>0</v>
      </c>
      <c r="O51" s="517"/>
      <c r="P51" s="517"/>
      <c r="Q51" s="517"/>
      <c r="R51" s="517"/>
      <c r="S51" s="517"/>
      <c r="T51" s="517"/>
      <c r="U51" s="517"/>
      <c r="V51" s="517"/>
    </row>
    <row r="52" spans="1:22" x14ac:dyDescent="0.3">
      <c r="A52" s="200" t="s">
        <v>263</v>
      </c>
      <c r="B52" s="62" t="str">
        <f>Phasing!C39</f>
        <v>Street 1 &amp; Street 2</v>
      </c>
      <c r="C52" s="389">
        <f>Phasing!D39</f>
        <v>0</v>
      </c>
      <c r="D52" s="389">
        <f>Phasing!E39</f>
        <v>1</v>
      </c>
      <c r="E52" s="389">
        <f>Phasing!F39</f>
        <v>0</v>
      </c>
      <c r="F52" s="389">
        <f>Phasing!G39</f>
        <v>1</v>
      </c>
      <c r="G52" s="389">
        <f>Phasing!H39</f>
        <v>0</v>
      </c>
      <c r="H52" s="389">
        <f>Phasing!I39</f>
        <v>1</v>
      </c>
      <c r="I52" s="389">
        <f>Phasing!J39</f>
        <v>0</v>
      </c>
      <c r="J52" s="389">
        <f>Phasing!K39</f>
        <v>1</v>
      </c>
      <c r="O52" s="517"/>
      <c r="P52" s="517"/>
      <c r="Q52" s="517"/>
      <c r="R52" s="517"/>
      <c r="S52" s="517"/>
      <c r="T52" s="517"/>
      <c r="U52" s="517"/>
      <c r="V52" s="517"/>
    </row>
    <row r="53" spans="1:22" x14ac:dyDescent="0.3">
      <c r="A53" s="200" t="s">
        <v>264</v>
      </c>
      <c r="B53" s="62" t="str">
        <f>Phasing!C40</f>
        <v>Street 1 &amp; Street 2</v>
      </c>
      <c r="C53" s="389">
        <f>Phasing!D40</f>
        <v>0</v>
      </c>
      <c r="D53" s="389">
        <f>Phasing!E40</f>
        <v>5</v>
      </c>
      <c r="E53" s="389">
        <f>Phasing!F40</f>
        <v>0</v>
      </c>
      <c r="F53" s="389">
        <f>Phasing!G40</f>
        <v>5</v>
      </c>
      <c r="G53" s="389">
        <f>Phasing!H40</f>
        <v>0</v>
      </c>
      <c r="H53" s="389">
        <f>Phasing!I40</f>
        <v>5</v>
      </c>
      <c r="I53" s="389">
        <f>Phasing!J40</f>
        <v>0</v>
      </c>
      <c r="J53" s="389">
        <f>Phasing!K40</f>
        <v>5</v>
      </c>
      <c r="O53" s="517"/>
      <c r="P53" s="517"/>
      <c r="Q53" s="517"/>
      <c r="R53" s="517"/>
      <c r="S53" s="517"/>
      <c r="T53" s="517"/>
      <c r="U53" s="517"/>
      <c r="V53" s="517"/>
    </row>
    <row r="54" spans="1:22" x14ac:dyDescent="0.3">
      <c r="A54" s="200" t="s">
        <v>265</v>
      </c>
      <c r="B54" s="62" t="str">
        <f>Phasing!C41</f>
        <v>Street 1 &amp; Street 2</v>
      </c>
      <c r="C54" s="389">
        <f>Phasing!D41</f>
        <v>0</v>
      </c>
      <c r="D54" s="389">
        <f>Phasing!E41</f>
        <v>0</v>
      </c>
      <c r="E54" s="389">
        <f>Phasing!F41</f>
        <v>0</v>
      </c>
      <c r="F54" s="389">
        <f>Phasing!G41</f>
        <v>0</v>
      </c>
      <c r="G54" s="389">
        <f>Phasing!H41</f>
        <v>0</v>
      </c>
      <c r="H54" s="389">
        <f>Phasing!I41</f>
        <v>0</v>
      </c>
      <c r="I54" s="389">
        <f>Phasing!J41</f>
        <v>0</v>
      </c>
      <c r="J54" s="389">
        <f>Phasing!K41</f>
        <v>0</v>
      </c>
      <c r="O54" s="517"/>
      <c r="P54" s="517"/>
      <c r="Q54" s="517"/>
      <c r="R54" s="517"/>
      <c r="S54" s="517"/>
      <c r="T54" s="517"/>
      <c r="U54" s="517"/>
      <c r="V54" s="517"/>
    </row>
    <row r="55" spans="1:22" x14ac:dyDescent="0.3">
      <c r="A55" s="200" t="s">
        <v>266</v>
      </c>
      <c r="B55" s="62" t="str">
        <f>Phasing!C42</f>
        <v>Street 1 &amp; Street 2</v>
      </c>
      <c r="C55" s="389">
        <f>Phasing!D42</f>
        <v>0</v>
      </c>
      <c r="D55" s="389">
        <f>Phasing!E42</f>
        <v>1</v>
      </c>
      <c r="E55" s="389">
        <f>Phasing!F42</f>
        <v>0</v>
      </c>
      <c r="F55" s="389">
        <f>Phasing!G42</f>
        <v>1</v>
      </c>
      <c r="G55" s="389">
        <f>Phasing!H42</f>
        <v>0</v>
      </c>
      <c r="H55" s="389">
        <f>Phasing!I42</f>
        <v>1</v>
      </c>
      <c r="I55" s="389">
        <f>Phasing!J42</f>
        <v>0</v>
      </c>
      <c r="J55" s="389">
        <f>Phasing!K42</f>
        <v>1</v>
      </c>
      <c r="O55" s="517"/>
      <c r="P55" s="517"/>
      <c r="Q55" s="517"/>
      <c r="R55" s="517"/>
      <c r="S55" s="517"/>
      <c r="T55" s="517"/>
      <c r="U55" s="517"/>
      <c r="V55" s="517"/>
    </row>
    <row r="56" spans="1:22" x14ac:dyDescent="0.3">
      <c r="A56" s="200" t="s">
        <v>267</v>
      </c>
      <c r="B56" s="62" t="str">
        <f>Phasing!C43</f>
        <v>Street 1 &amp; Street 2</v>
      </c>
      <c r="C56" s="389">
        <f>Phasing!D43</f>
        <v>0</v>
      </c>
      <c r="D56" s="389">
        <f>Phasing!E43</f>
        <v>5</v>
      </c>
      <c r="E56" s="389">
        <f>Phasing!F43</f>
        <v>0</v>
      </c>
      <c r="F56" s="389">
        <f>Phasing!G43</f>
        <v>5</v>
      </c>
      <c r="G56" s="389">
        <f>Phasing!H43</f>
        <v>0</v>
      </c>
      <c r="H56" s="389">
        <f>Phasing!I43</f>
        <v>5</v>
      </c>
      <c r="I56" s="389">
        <f>Phasing!J43</f>
        <v>0</v>
      </c>
      <c r="J56" s="389">
        <f>Phasing!K43</f>
        <v>5</v>
      </c>
    </row>
    <row r="57" spans="1:22" x14ac:dyDescent="0.3">
      <c r="A57" s="200" t="s">
        <v>268</v>
      </c>
      <c r="B57" s="62" t="str">
        <f>Phasing!C44</f>
        <v>Street 1 &amp; Street 2</v>
      </c>
      <c r="C57" s="389">
        <f>Phasing!D44</f>
        <v>0</v>
      </c>
      <c r="D57" s="389" t="e">
        <f>Phasing!E44</f>
        <v>#N/A</v>
      </c>
      <c r="E57" s="389">
        <f>Phasing!F44</f>
        <v>0</v>
      </c>
      <c r="F57" s="389" t="e">
        <f>Phasing!G44</f>
        <v>#N/A</v>
      </c>
      <c r="G57" s="389">
        <f>Phasing!H44</f>
        <v>0</v>
      </c>
      <c r="H57" s="389" t="e">
        <f>Phasing!I44</f>
        <v>#N/A</v>
      </c>
      <c r="I57" s="389">
        <f>Phasing!J44</f>
        <v>0</v>
      </c>
      <c r="J57" s="389" t="e">
        <f>Phasing!K44</f>
        <v>#N/A</v>
      </c>
    </row>
    <row r="58" spans="1:22" x14ac:dyDescent="0.3">
      <c r="A58" s="200" t="s">
        <v>269</v>
      </c>
      <c r="B58" s="62" t="str">
        <f>Phasing!C45</f>
        <v>Street 1 &amp; Street 2</v>
      </c>
      <c r="C58" s="389" t="e">
        <f>Phasing!D45</f>
        <v>#N/A</v>
      </c>
      <c r="D58" s="389" t="e">
        <f>Phasing!E45</f>
        <v>#N/A</v>
      </c>
      <c r="E58" s="389" t="e">
        <f>Phasing!F45</f>
        <v>#N/A</v>
      </c>
      <c r="F58" s="389" t="e">
        <f>Phasing!G45</f>
        <v>#N/A</v>
      </c>
      <c r="G58" s="389" t="e">
        <f>Phasing!H45</f>
        <v>#N/A</v>
      </c>
      <c r="H58" s="389" t="e">
        <f>Phasing!I45</f>
        <v>#N/A</v>
      </c>
      <c r="I58" s="389" t="e">
        <f>Phasing!J45</f>
        <v>#N/A</v>
      </c>
      <c r="J58" s="389" t="e">
        <f>Phasing!K45</f>
        <v>#N/A</v>
      </c>
    </row>
    <row r="59" spans="1:22" x14ac:dyDescent="0.3">
      <c r="A59" s="200" t="s">
        <v>270</v>
      </c>
      <c r="B59" s="62" t="str">
        <f>Phasing!C46</f>
        <v>Street 1 &amp; Street 2</v>
      </c>
      <c r="C59" s="389">
        <f>Phasing!D46</f>
        <v>0</v>
      </c>
      <c r="D59" s="389" t="e">
        <f>Phasing!E46</f>
        <v>#N/A</v>
      </c>
      <c r="E59" s="389">
        <f>Phasing!F46</f>
        <v>0</v>
      </c>
      <c r="F59" s="389" t="e">
        <f>Phasing!G46</f>
        <v>#N/A</v>
      </c>
      <c r="G59" s="389">
        <f>Phasing!H46</f>
        <v>0</v>
      </c>
      <c r="H59" s="389" t="e">
        <f>Phasing!I46</f>
        <v>#N/A</v>
      </c>
      <c r="I59" s="389">
        <f>Phasing!J46</f>
        <v>0</v>
      </c>
      <c r="J59" s="389" t="e">
        <f>Phasing!K46</f>
        <v>#N/A</v>
      </c>
    </row>
    <row r="60" spans="1:22" x14ac:dyDescent="0.3">
      <c r="A60" s="200" t="s">
        <v>271</v>
      </c>
      <c r="B60" s="62" t="str">
        <f>Phasing!C47</f>
        <v>Street 1 &amp; Street 2</v>
      </c>
      <c r="C60" s="389">
        <f>Phasing!D47</f>
        <v>0</v>
      </c>
      <c r="D60" s="389" t="e">
        <f>Phasing!E47</f>
        <v>#N/A</v>
      </c>
      <c r="E60" s="389">
        <f>Phasing!F47</f>
        <v>0</v>
      </c>
      <c r="F60" s="389" t="e">
        <f>Phasing!G47</f>
        <v>#N/A</v>
      </c>
      <c r="G60" s="389">
        <f>Phasing!H47</f>
        <v>0</v>
      </c>
      <c r="H60" s="389" t="e">
        <f>Phasing!I47</f>
        <v>#N/A</v>
      </c>
      <c r="I60" s="389">
        <f>Phasing!J47</f>
        <v>0</v>
      </c>
      <c r="J60" s="389" t="e">
        <f>Phasing!K47</f>
        <v>#N/A</v>
      </c>
    </row>
    <row r="61" spans="1:22" x14ac:dyDescent="0.3">
      <c r="A61" s="200" t="s">
        <v>272</v>
      </c>
      <c r="B61" s="62" t="str">
        <f>Phasing!C48</f>
        <v>Street 1 &amp; Street 2</v>
      </c>
      <c r="C61" s="389">
        <f>Phasing!D48</f>
        <v>0</v>
      </c>
      <c r="D61" s="389" t="e">
        <f>Phasing!E48</f>
        <v>#N/A</v>
      </c>
      <c r="E61" s="389">
        <f>Phasing!F48</f>
        <v>0</v>
      </c>
      <c r="F61" s="389" t="e">
        <f>Phasing!G48</f>
        <v>#N/A</v>
      </c>
      <c r="G61" s="389">
        <f>Phasing!H48</f>
        <v>0</v>
      </c>
      <c r="H61" s="389" t="e">
        <f>Phasing!I48</f>
        <v>#N/A</v>
      </c>
      <c r="I61" s="389">
        <f>Phasing!J48</f>
        <v>0</v>
      </c>
      <c r="J61" s="389" t="e">
        <f>Phasing!K48</f>
        <v>#N/A</v>
      </c>
    </row>
    <row r="62" spans="1:22" x14ac:dyDescent="0.3">
      <c r="A62" s="200" t="s">
        <v>273</v>
      </c>
      <c r="B62" s="62" t="str">
        <f>Phasing!C49</f>
        <v>Street 1 &amp; Street 2</v>
      </c>
      <c r="C62" s="389">
        <f>Phasing!D49</f>
        <v>0</v>
      </c>
      <c r="D62" s="389" t="e">
        <f>Phasing!E49</f>
        <v>#N/A</v>
      </c>
      <c r="E62" s="389">
        <f>Phasing!F49</f>
        <v>0</v>
      </c>
      <c r="F62" s="389" t="e">
        <f>Phasing!G49</f>
        <v>#N/A</v>
      </c>
      <c r="G62" s="389">
        <f>Phasing!H49</f>
        <v>0</v>
      </c>
      <c r="H62" s="389" t="e">
        <f>Phasing!I49</f>
        <v>#N/A</v>
      </c>
      <c r="I62" s="389">
        <f>Phasing!J49</f>
        <v>0</v>
      </c>
      <c r="J62" s="389" t="e">
        <f>Phasing!K49</f>
        <v>#N/A</v>
      </c>
    </row>
    <row r="63" spans="1:22" x14ac:dyDescent="0.3">
      <c r="A63" s="200" t="s">
        <v>274</v>
      </c>
      <c r="B63" s="62" t="str">
        <f>Phasing!C50</f>
        <v>Street 1 &amp; Street 2</v>
      </c>
      <c r="C63" s="389">
        <f>Phasing!D50</f>
        <v>0</v>
      </c>
      <c r="D63" s="389" t="e">
        <f>Phasing!E50</f>
        <v>#N/A</v>
      </c>
      <c r="E63" s="389">
        <f>Phasing!F50</f>
        <v>0</v>
      </c>
      <c r="F63" s="389" t="e">
        <f>Phasing!G50</f>
        <v>#N/A</v>
      </c>
      <c r="G63" s="389">
        <f>Phasing!H50</f>
        <v>0</v>
      </c>
      <c r="H63" s="389" t="e">
        <f>Phasing!I50</f>
        <v>#N/A</v>
      </c>
      <c r="I63" s="389">
        <f>Phasing!J50</f>
        <v>0</v>
      </c>
      <c r="J63" s="389" t="e">
        <f>Phasing!K50</f>
        <v>#N/A</v>
      </c>
    </row>
    <row r="64" spans="1:22" x14ac:dyDescent="0.3">
      <c r="A64" s="200" t="s">
        <v>275</v>
      </c>
      <c r="B64" s="62" t="str">
        <f>Phasing!C51</f>
        <v>Street 1 &amp; Street 2</v>
      </c>
      <c r="C64" s="389">
        <f>Phasing!D51</f>
        <v>0</v>
      </c>
      <c r="D64" s="389" t="e">
        <f>Phasing!E51</f>
        <v>#N/A</v>
      </c>
      <c r="E64" s="389">
        <f>Phasing!F51</f>
        <v>0</v>
      </c>
      <c r="F64" s="389" t="e">
        <f>Phasing!G51</f>
        <v>#N/A</v>
      </c>
      <c r="G64" s="389">
        <f>Phasing!H51</f>
        <v>0</v>
      </c>
      <c r="H64" s="389" t="e">
        <f>Phasing!I51</f>
        <v>#N/A</v>
      </c>
      <c r="I64" s="389">
        <f>Phasing!J51</f>
        <v>0</v>
      </c>
      <c r="J64" s="389" t="e">
        <f>Phasing!K51</f>
        <v>#N/A</v>
      </c>
    </row>
    <row r="65" spans="1:21" x14ac:dyDescent="0.3">
      <c r="A65" s="200" t="s">
        <v>276</v>
      </c>
      <c r="B65" s="62" t="str">
        <f>Phasing!C52</f>
        <v>Street 1 &amp; Street 2</v>
      </c>
      <c r="C65" s="389">
        <f>Phasing!D52</f>
        <v>0</v>
      </c>
      <c r="D65" s="389" t="e">
        <f>Phasing!E52</f>
        <v>#N/A</v>
      </c>
      <c r="E65" s="389">
        <f>Phasing!F52</f>
        <v>0</v>
      </c>
      <c r="F65" s="389" t="e">
        <f>Phasing!G52</f>
        <v>#N/A</v>
      </c>
      <c r="G65" s="389">
        <f>Phasing!H52</f>
        <v>0</v>
      </c>
      <c r="H65" s="389" t="e">
        <f>Phasing!I52</f>
        <v>#N/A</v>
      </c>
      <c r="I65" s="389">
        <f>Phasing!J52</f>
        <v>0</v>
      </c>
      <c r="J65" s="389" t="e">
        <f>Phasing!K52</f>
        <v>#N/A</v>
      </c>
    </row>
    <row r="66" spans="1:21" s="156" customFormat="1" x14ac:dyDescent="0.3">
      <c r="A66" s="302" t="s">
        <v>360</v>
      </c>
      <c r="D66" s="156" t="e">
        <f>'Phase calculation'!I55</f>
        <v>#N/A</v>
      </c>
      <c r="E66" s="156" t="e">
        <f>'Phase calculation'!J55</f>
        <v>#N/A</v>
      </c>
      <c r="F66" s="156" t="e">
        <f>'Phase calculation'!K55</f>
        <v>#N/A</v>
      </c>
      <c r="I66" s="156" t="e">
        <f>'Phase calculation'!L55</f>
        <v>#N/A</v>
      </c>
      <c r="J66" s="156" t="e">
        <f>'Phase calculation'!M55</f>
        <v>#N/A</v>
      </c>
      <c r="K66" s="156" t="e">
        <f>'Phase calculation'!N55</f>
        <v>#N/A</v>
      </c>
      <c r="N66" s="156" t="e">
        <f>'Phase calculation'!C55</f>
        <v>#N/A</v>
      </c>
      <c r="O66" s="156" t="e">
        <f>'Phase calculation'!D55</f>
        <v>#N/A</v>
      </c>
      <c r="P66" s="156" t="e">
        <f>'Phase calculation'!E55</f>
        <v>#N/A</v>
      </c>
      <c r="S66" s="156" t="e">
        <f>'Phase calculation'!F55</f>
        <v>#N/A</v>
      </c>
      <c r="T66" s="156" t="e">
        <f>'Phase calculation'!G55</f>
        <v>#N/A</v>
      </c>
      <c r="U66" s="156" t="e">
        <f>'Phase calculation'!H55</f>
        <v>#N/A</v>
      </c>
    </row>
    <row r="67" spans="1:21" x14ac:dyDescent="0.3">
      <c r="A67" s="519" t="s">
        <v>73</v>
      </c>
      <c r="B67" s="519"/>
      <c r="C67" s="388" t="str">
        <f>'Summary sheet'!G92</f>
        <v>Not used</v>
      </c>
      <c r="D67" s="388" t="str">
        <f>'Summary sheet'!H92</f>
        <v>NBL</v>
      </c>
      <c r="E67" s="388" t="str">
        <f>'Summary sheet'!I92</f>
        <v>Not used</v>
      </c>
      <c r="F67" s="388" t="str">
        <f>'Summary sheet'!J92</f>
        <v>EBL</v>
      </c>
      <c r="G67" s="388" t="str">
        <f>'Summary sheet'!K92</f>
        <v>Not used</v>
      </c>
      <c r="H67" s="388" t="str">
        <f>'Summary sheet'!L92</f>
        <v>SBL</v>
      </c>
      <c r="I67" s="388" t="str">
        <f>'Summary sheet'!M92</f>
        <v>Not used</v>
      </c>
      <c r="J67" s="388" t="str">
        <f>'Summary sheet'!N92</f>
        <v>WBL</v>
      </c>
    </row>
    <row r="68" spans="1:21" x14ac:dyDescent="0.3">
      <c r="A68" s="519" t="s">
        <v>466</v>
      </c>
      <c r="B68" s="519"/>
      <c r="C68" s="388" t="str">
        <f>IF(AND(C70&gt;0,C70=H70),"X","")</f>
        <v>X</v>
      </c>
      <c r="D68" s="388"/>
      <c r="E68" s="388" t="str">
        <f>IF(AND(E70&gt;0,E70=J70),"X","")</f>
        <v>X</v>
      </c>
      <c r="F68" s="388"/>
      <c r="G68" s="388" t="str">
        <f>IF(AND(G70&gt;0,G70=D70),"X","")</f>
        <v>X</v>
      </c>
      <c r="H68" s="388"/>
      <c r="I68" s="388" t="str">
        <f>IF(AND(I70&gt;0,I70=F70),"X","")</f>
        <v>X</v>
      </c>
      <c r="J68" s="388"/>
    </row>
    <row r="69" spans="1:21" x14ac:dyDescent="0.3">
      <c r="A69" s="519" t="s">
        <v>464</v>
      </c>
      <c r="B69" s="519"/>
      <c r="C69" s="388" t="str">
        <f>IF(C67="Not used",H67,C67)</f>
        <v>SBL</v>
      </c>
      <c r="D69" s="388" t="str">
        <f>D67</f>
        <v>NBL</v>
      </c>
      <c r="E69" s="388" t="str">
        <f>IF(E67="Not used",J67,E67)</f>
        <v>WBL</v>
      </c>
      <c r="F69" s="388" t="str">
        <f>F67</f>
        <v>EBL</v>
      </c>
      <c r="G69" s="388" t="str">
        <f>IF(G67="Not used",D67,G67)</f>
        <v>NBL</v>
      </c>
      <c r="H69" s="388" t="str">
        <f>H67</f>
        <v>SBL</v>
      </c>
      <c r="I69" s="388" t="str">
        <f>IF(I67="Not used",F67,I67)</f>
        <v>EBL</v>
      </c>
      <c r="J69" s="388" t="str">
        <f>J67</f>
        <v>WBL</v>
      </c>
      <c r="O69" t="s">
        <v>4</v>
      </c>
      <c r="P69" t="s">
        <v>3</v>
      </c>
    </row>
    <row r="70" spans="1:21" x14ac:dyDescent="0.3">
      <c r="C70" s="388">
        <f t="shared" ref="C70:J70" si="1">IFERROR(MATCH(C69,$C$67:$J$67,0),0)</f>
        <v>6</v>
      </c>
      <c r="D70" s="388">
        <f t="shared" si="1"/>
        <v>2</v>
      </c>
      <c r="E70" s="388">
        <f t="shared" si="1"/>
        <v>8</v>
      </c>
      <c r="F70" s="388">
        <f t="shared" si="1"/>
        <v>4</v>
      </c>
      <c r="G70" s="388">
        <f t="shared" si="1"/>
        <v>2</v>
      </c>
      <c r="H70" s="388">
        <f t="shared" si="1"/>
        <v>6</v>
      </c>
      <c r="I70" s="388">
        <f t="shared" si="1"/>
        <v>4</v>
      </c>
      <c r="J70" s="388">
        <f t="shared" si="1"/>
        <v>8</v>
      </c>
      <c r="O70" t="s">
        <v>9</v>
      </c>
      <c r="P70" t="s">
        <v>8</v>
      </c>
    </row>
    <row r="71" spans="1:21" x14ac:dyDescent="0.3">
      <c r="A71" t="s">
        <v>467</v>
      </c>
      <c r="C71" s="388">
        <f t="shared" ref="C71:J71" si="2">IF(C67="Not used",0,MATCH(C77,$D$1:$U$1,0))</f>
        <v>0</v>
      </c>
      <c r="D71" s="388">
        <f t="shared" si="2"/>
        <v>1</v>
      </c>
      <c r="E71" s="388">
        <f t="shared" si="2"/>
        <v>0</v>
      </c>
      <c r="F71" s="388">
        <f t="shared" si="2"/>
        <v>11</v>
      </c>
      <c r="G71" s="388">
        <f t="shared" si="2"/>
        <v>0</v>
      </c>
      <c r="H71" s="388">
        <f t="shared" si="2"/>
        <v>6</v>
      </c>
      <c r="I71" s="388">
        <f t="shared" si="2"/>
        <v>0</v>
      </c>
      <c r="J71" s="388">
        <f t="shared" si="2"/>
        <v>16</v>
      </c>
      <c r="O71" t="s">
        <v>14</v>
      </c>
      <c r="P71" t="s">
        <v>13</v>
      </c>
    </row>
    <row r="72" spans="1:21" x14ac:dyDescent="0.3">
      <c r="A72" s="520" t="s">
        <v>468</v>
      </c>
      <c r="B72" s="520"/>
      <c r="C72" s="302">
        <f>IF(C71=0,0,INDEX($D$17:$U$17,1,C71))</f>
        <v>0</v>
      </c>
      <c r="D72" s="391" t="e">
        <f t="shared" ref="D72:J72" si="3">IF(D71=0,0,INDEX($D$17:$U$17,1,D71))</f>
        <v>#N/A</v>
      </c>
      <c r="E72" s="391">
        <f t="shared" si="3"/>
        <v>0</v>
      </c>
      <c r="F72" s="391" t="e">
        <f t="shared" si="3"/>
        <v>#N/A</v>
      </c>
      <c r="G72" s="391">
        <f t="shared" si="3"/>
        <v>0</v>
      </c>
      <c r="H72" s="391" t="e">
        <f t="shared" si="3"/>
        <v>#N/A</v>
      </c>
      <c r="I72" s="391">
        <f t="shared" si="3"/>
        <v>0</v>
      </c>
      <c r="J72" s="391" t="e">
        <f t="shared" si="3"/>
        <v>#N/A</v>
      </c>
      <c r="O72" t="s">
        <v>19</v>
      </c>
      <c r="P72" t="s">
        <v>18</v>
      </c>
    </row>
    <row r="73" spans="1:21" x14ac:dyDescent="0.3">
      <c r="A73" s="512" t="s">
        <v>469</v>
      </c>
      <c r="B73" s="512"/>
      <c r="C73" s="304">
        <f>C59</f>
        <v>0</v>
      </c>
      <c r="D73" s="304" t="e">
        <f t="shared" ref="D73:J73" si="4">D59</f>
        <v>#N/A</v>
      </c>
      <c r="E73" s="304">
        <f t="shared" si="4"/>
        <v>0</v>
      </c>
      <c r="F73" s="304" t="e">
        <f t="shared" si="4"/>
        <v>#N/A</v>
      </c>
      <c r="G73" s="304">
        <f t="shared" si="4"/>
        <v>0</v>
      </c>
      <c r="H73" s="304" t="e">
        <f t="shared" si="4"/>
        <v>#N/A</v>
      </c>
      <c r="I73" s="304">
        <f t="shared" si="4"/>
        <v>0</v>
      </c>
      <c r="J73" s="304" t="e">
        <f t="shared" si="4"/>
        <v>#N/A</v>
      </c>
      <c r="O73" t="s">
        <v>472</v>
      </c>
      <c r="P73">
        <v>0</v>
      </c>
    </row>
    <row r="74" spans="1:21" x14ac:dyDescent="0.3">
      <c r="A74" s="513" t="s">
        <v>470</v>
      </c>
      <c r="B74" s="513"/>
      <c r="C74" s="390">
        <f>C73+C72</f>
        <v>0</v>
      </c>
      <c r="D74" s="390" t="e">
        <f t="shared" ref="D74:J74" si="5">D73+D72</f>
        <v>#N/A</v>
      </c>
      <c r="E74" s="390">
        <f t="shared" si="5"/>
        <v>0</v>
      </c>
      <c r="F74" s="390" t="e">
        <f t="shared" si="5"/>
        <v>#N/A</v>
      </c>
      <c r="G74" s="390">
        <f t="shared" si="5"/>
        <v>0</v>
      </c>
      <c r="H74" s="390" t="e">
        <f t="shared" si="5"/>
        <v>#N/A</v>
      </c>
      <c r="I74" s="390">
        <f t="shared" si="5"/>
        <v>0</v>
      </c>
      <c r="J74" s="390" t="e">
        <f t="shared" si="5"/>
        <v>#N/A</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14" t="s">
        <v>471</v>
      </c>
      <c r="B76" s="514"/>
      <c r="C76" s="388">
        <f>IF(C69=H69,MATCH(C69,$O$69:$O$77,0),0)</f>
        <v>7</v>
      </c>
      <c r="D76" s="388"/>
      <c r="E76" s="388">
        <f>IF(E69=J69,MATCH(E69,$O$69:$O$77,0),0)</f>
        <v>9</v>
      </c>
      <c r="F76" s="388"/>
      <c r="G76" s="388">
        <f>IF(G69=D69,MATCH(G69,$O$69:$O$77,0),0)</f>
        <v>6</v>
      </c>
      <c r="H76" s="388"/>
      <c r="I76" s="388">
        <f>IF(I69=F69,MATCH(I69,$O$69:$O$77,0),0)</f>
        <v>8</v>
      </c>
      <c r="J76" s="388"/>
      <c r="K76" s="388"/>
      <c r="L76" s="388"/>
      <c r="M76" s="388"/>
      <c r="N76" s="388"/>
      <c r="O76" t="s">
        <v>13</v>
      </c>
      <c r="P76" t="s">
        <v>13</v>
      </c>
    </row>
    <row r="77" spans="1:21" x14ac:dyDescent="0.3">
      <c r="A77" s="514"/>
      <c r="B77" s="514"/>
      <c r="C77" s="388" t="str">
        <f>IF(C69=H69,INDEX(P69:P77,C76),C69)</f>
        <v>SBL</v>
      </c>
      <c r="D77" s="388" t="str">
        <f>D69</f>
        <v>NBL</v>
      </c>
      <c r="E77" s="388" t="str">
        <f>IF(E69=J69,INDEX(P69:P77,E76),E69)</f>
        <v>WBL</v>
      </c>
      <c r="F77" s="388" t="str">
        <f>F69</f>
        <v>EBL</v>
      </c>
      <c r="G77" s="388" t="str">
        <f>IF(G69=D69,INDEX(P69:P77,G76),G69)</f>
        <v>NBL</v>
      </c>
      <c r="H77" s="388" t="str">
        <f>H69</f>
        <v>SBL</v>
      </c>
      <c r="I77" s="388" t="str">
        <f>IF(I69=F69,INDEX(P69:P77,I76),I69)</f>
        <v>EBL</v>
      </c>
      <c r="J77" s="388" t="str">
        <f>J69</f>
        <v>WBL</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493</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494</v>
      </c>
      <c r="B2" s="461">
        <v>12.5</v>
      </c>
      <c r="C2" s="454"/>
      <c r="D2" s="454"/>
      <c r="E2" s="455"/>
      <c r="F2" s="400"/>
      <c r="G2" s="414"/>
      <c r="H2" s="414" t="s">
        <v>245</v>
      </c>
      <c r="I2" s="426" t="s">
        <v>565</v>
      </c>
      <c r="J2" s="427"/>
      <c r="K2" s="428"/>
      <c r="L2" s="414" t="s">
        <v>523</v>
      </c>
      <c r="M2" s="440">
        <v>2</v>
      </c>
      <c r="N2" s="414" t="s">
        <v>524</v>
      </c>
      <c r="O2" s="414"/>
      <c r="P2" s="414"/>
      <c r="Q2" s="414"/>
      <c r="R2" s="414"/>
      <c r="S2" s="414"/>
      <c r="T2" s="432">
        <f>IF(OR(Sheet1!O29&gt;0,D16="Yes"),1,0)</f>
        <v>1</v>
      </c>
      <c r="U2" s="432">
        <f>IF(OR(Sheet1!E29&gt;0,M22="Yes"),1,0)</f>
        <v>1</v>
      </c>
      <c r="V2" s="432">
        <f>IF(OR(Sheet1!T29&gt;0,P16="Yes"),1,0)</f>
        <v>1</v>
      </c>
      <c r="W2" s="432">
        <f>IF(OR(Sheet1!J29&gt;0,L5="Yes"),1,0)</f>
        <v>1</v>
      </c>
    </row>
    <row r="3" spans="1:26" ht="13.8" thickBot="1" x14ac:dyDescent="0.3">
      <c r="A3" s="460" t="s">
        <v>495</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496</v>
      </c>
      <c r="B4" s="463">
        <v>8</v>
      </c>
      <c r="C4" s="454"/>
      <c r="D4" s="454"/>
      <c r="E4" s="455"/>
      <c r="F4" s="400"/>
      <c r="G4" s="414"/>
      <c r="H4" s="414"/>
      <c r="I4" s="414" t="s">
        <v>231</v>
      </c>
      <c r="J4" s="405">
        <f>MAX(20,osm!F27)</f>
        <v>20</v>
      </c>
      <c r="K4" s="414"/>
      <c r="L4" s="414" t="s">
        <v>518</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478</v>
      </c>
      <c r="M5" s="439" t="s">
        <v>479</v>
      </c>
      <c r="N5" s="439" t="s">
        <v>480</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362</v>
      </c>
      <c r="I6" s="410">
        <f>osm!C28</f>
        <v>0</v>
      </c>
      <c r="J6" s="410">
        <f>osm!C27</f>
        <v>0</v>
      </c>
      <c r="K6" s="410">
        <f>osm!C26</f>
        <v>0</v>
      </c>
      <c r="L6" s="414"/>
      <c r="M6" s="440">
        <v>30</v>
      </c>
      <c r="N6" s="440">
        <v>4</v>
      </c>
      <c r="O6" s="414"/>
      <c r="P6" s="414"/>
      <c r="Q6" s="414"/>
      <c r="R6" s="414"/>
      <c r="S6" s="414"/>
      <c r="U6" s="403" t="s">
        <v>409</v>
      </c>
      <c r="V6" s="407">
        <v>4</v>
      </c>
      <c r="W6" s="408"/>
    </row>
    <row r="7" spans="1:26" ht="13.5" customHeight="1" thickBot="1" x14ac:dyDescent="0.3">
      <c r="A7" s="454"/>
      <c r="B7" s="454"/>
      <c r="C7" s="454"/>
      <c r="D7" s="454"/>
      <c r="E7" s="455"/>
      <c r="F7" s="400"/>
      <c r="G7" s="414" t="s">
        <v>53</v>
      </c>
      <c r="H7" s="409">
        <f>IF(I6=0,10,50)</f>
        <v>10</v>
      </c>
      <c r="I7" s="413">
        <f>osm!D28</f>
        <v>0</v>
      </c>
      <c r="J7" s="413">
        <f>osm!D27</f>
        <v>0</v>
      </c>
      <c r="K7" s="413">
        <f>osm!D26</f>
        <v>0</v>
      </c>
      <c r="L7" s="524" t="str">
        <f>IF($B$21="Yes","SB LT Treatment","")</f>
        <v/>
      </c>
      <c r="M7" s="524"/>
      <c r="N7" s="414"/>
      <c r="O7" s="414"/>
      <c r="P7" s="414"/>
      <c r="Q7" s="414"/>
      <c r="R7" s="414"/>
      <c r="S7" s="414"/>
      <c r="U7" s="411" t="s">
        <v>473</v>
      </c>
      <c r="V7" s="412" t="s">
        <v>411</v>
      </c>
      <c r="W7" s="433">
        <f>IF(V7="CBD",0.9,1)</f>
        <v>1</v>
      </c>
      <c r="X7" s="483"/>
      <c r="Y7" s="483"/>
    </row>
    <row r="8" spans="1:26" ht="13.8" thickBot="1" x14ac:dyDescent="0.3">
      <c r="A8" s="454"/>
      <c r="B8" s="454"/>
      <c r="C8" s="454"/>
      <c r="D8" s="454"/>
      <c r="F8" s="524" t="str">
        <f>IF($B$21="Yes","EB LT Treatment","")</f>
        <v/>
      </c>
      <c r="G8" s="524"/>
      <c r="H8" s="414"/>
      <c r="I8" s="414"/>
      <c r="J8" s="414"/>
      <c r="K8" s="414"/>
      <c r="L8" s="525"/>
      <c r="M8" s="526"/>
      <c r="N8" s="414"/>
      <c r="O8" s="414"/>
      <c r="P8" s="414"/>
      <c r="Q8" s="414"/>
      <c r="R8" s="414"/>
      <c r="S8" s="414"/>
      <c r="U8" s="403" t="s">
        <v>412</v>
      </c>
      <c r="V8" s="415">
        <v>40</v>
      </c>
    </row>
    <row r="9" spans="1:26" ht="13.8" thickBot="1" x14ac:dyDescent="0.3">
      <c r="A9" s="454"/>
      <c r="B9" s="454"/>
      <c r="C9" s="454"/>
      <c r="D9" s="454"/>
      <c r="F9" s="525"/>
      <c r="G9" s="526"/>
      <c r="H9" s="414"/>
      <c r="I9" s="414"/>
      <c r="J9" s="414"/>
      <c r="K9" s="414"/>
      <c r="L9" s="432">
        <f>IF(L8="",0,VLOOKUP(L8,$Y$12:$Z$14,2,FALSE))</f>
        <v>0</v>
      </c>
      <c r="M9" s="418"/>
      <c r="N9" s="414"/>
      <c r="O9" s="419"/>
      <c r="P9" s="420"/>
      <c r="Q9" s="414"/>
      <c r="R9" s="414"/>
      <c r="S9" s="414"/>
      <c r="U9" s="416" t="s">
        <v>413</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530</v>
      </c>
      <c r="V10" s="399">
        <v>3.5</v>
      </c>
      <c r="X10" s="481" t="s">
        <v>478</v>
      </c>
      <c r="Y10" s="481" t="s">
        <v>300</v>
      </c>
    </row>
    <row r="11" spans="1:26" x14ac:dyDescent="0.25">
      <c r="A11" s="414"/>
      <c r="B11" s="414"/>
      <c r="C11" s="414"/>
      <c r="D11" s="414"/>
      <c r="F11" s="414" t="s">
        <v>228</v>
      </c>
      <c r="G11" s="414" t="s">
        <v>53</v>
      </c>
      <c r="H11" s="414"/>
      <c r="I11" s="414"/>
      <c r="J11" s="414"/>
      <c r="K11" s="414"/>
      <c r="L11" s="414"/>
      <c r="M11" s="409" t="s">
        <v>362</v>
      </c>
      <c r="N11" s="409">
        <f>IF(N12=0,10,50)</f>
        <v>10</v>
      </c>
      <c r="O11" s="414"/>
      <c r="P11" s="414"/>
      <c r="Q11" s="414"/>
      <c r="R11" s="414"/>
      <c r="S11" s="414"/>
    </row>
    <row r="12" spans="1:26" ht="13.8" thickBot="1" x14ac:dyDescent="0.3">
      <c r="A12" s="429" t="s">
        <v>245</v>
      </c>
      <c r="B12" s="429"/>
      <c r="C12" s="414"/>
      <c r="D12" s="414" t="s">
        <v>229</v>
      </c>
      <c r="F12" s="410">
        <f>osm!C17</f>
        <v>0</v>
      </c>
      <c r="G12" s="413">
        <f>osm!D17</f>
        <v>0</v>
      </c>
      <c r="H12" s="414"/>
      <c r="I12" s="414"/>
      <c r="J12" s="414"/>
      <c r="K12" s="414"/>
      <c r="L12" s="414"/>
      <c r="M12" s="413">
        <f>osm!D22</f>
        <v>0</v>
      </c>
      <c r="N12" s="410">
        <f>osm!C22</f>
        <v>0</v>
      </c>
      <c r="O12" s="414"/>
      <c r="P12" s="414" t="s">
        <v>230</v>
      </c>
      <c r="Q12" s="414"/>
      <c r="R12" s="429" t="s">
        <v>245</v>
      </c>
      <c r="S12" s="429"/>
      <c r="V12" s="332"/>
      <c r="Y12" s="484" t="s">
        <v>82</v>
      </c>
      <c r="Z12" s="481">
        <v>1</v>
      </c>
    </row>
    <row r="13" spans="1:26" ht="13.8" thickBot="1" x14ac:dyDescent="0.3">
      <c r="A13" s="426" t="s">
        <v>566</v>
      </c>
      <c r="B13" s="428"/>
      <c r="C13" s="414"/>
      <c r="D13" s="405">
        <f>MAX(20,osm!F18)</f>
        <v>20</v>
      </c>
      <c r="F13" s="418"/>
      <c r="G13" s="418"/>
      <c r="H13" s="414"/>
      <c r="I13" s="414"/>
      <c r="J13" s="414"/>
      <c r="K13" s="414"/>
      <c r="L13" s="414"/>
      <c r="M13" s="418"/>
      <c r="N13" s="418"/>
      <c r="O13" s="414"/>
      <c r="P13" s="405">
        <f>MAX(20,osm!F21)</f>
        <v>20</v>
      </c>
      <c r="Q13" s="414"/>
      <c r="R13" s="426" t="s">
        <v>566</v>
      </c>
      <c r="S13" s="428"/>
      <c r="Y13" s="332" t="s">
        <v>83</v>
      </c>
      <c r="Z13" s="481">
        <v>2</v>
      </c>
    </row>
    <row r="14" spans="1:26" x14ac:dyDescent="0.25">
      <c r="A14" s="414" t="s">
        <v>523</v>
      </c>
      <c r="B14" s="414"/>
      <c r="C14" s="414"/>
      <c r="D14" s="414"/>
      <c r="F14" s="410">
        <f>osm!C18</f>
        <v>0</v>
      </c>
      <c r="G14" s="413">
        <f>osm!D18</f>
        <v>0</v>
      </c>
      <c r="H14" s="414"/>
      <c r="I14" s="414"/>
      <c r="J14" s="414">
        <f>osm!B1</f>
        <v>0</v>
      </c>
      <c r="K14" s="414"/>
      <c r="L14" s="414"/>
      <c r="M14" s="413">
        <f>osm!D21</f>
        <v>0</v>
      </c>
      <c r="N14" s="410">
        <f>osm!C21</f>
        <v>0</v>
      </c>
      <c r="O14" s="414"/>
      <c r="P14" s="414"/>
      <c r="Q14" s="414"/>
      <c r="R14" s="414" t="s">
        <v>523</v>
      </c>
      <c r="S14" s="414"/>
      <c r="V14" s="332"/>
      <c r="Y14" s="332" t="s">
        <v>531</v>
      </c>
      <c r="Z14" s="481">
        <v>3</v>
      </c>
    </row>
    <row r="15" spans="1:26" ht="13.8" thickBot="1" x14ac:dyDescent="0.3">
      <c r="A15" s="440">
        <v>2</v>
      </c>
      <c r="B15" s="414" t="s">
        <v>524</v>
      </c>
      <c r="C15" s="414"/>
      <c r="D15" s="414" t="s">
        <v>519</v>
      </c>
      <c r="F15" s="418"/>
      <c r="G15" s="418"/>
      <c r="H15" s="414"/>
      <c r="I15" s="414"/>
      <c r="J15" s="414"/>
      <c r="K15" s="414"/>
      <c r="L15" s="414"/>
      <c r="M15" s="418"/>
      <c r="N15" s="418"/>
      <c r="O15" s="414"/>
      <c r="P15" s="414" t="s">
        <v>520</v>
      </c>
      <c r="Q15" s="414"/>
      <c r="R15" s="440">
        <v>2</v>
      </c>
      <c r="S15" s="414"/>
    </row>
    <row r="16" spans="1:26" ht="13.8" thickBot="1" x14ac:dyDescent="0.3">
      <c r="A16" s="414"/>
      <c r="B16" s="414"/>
      <c r="C16" s="414"/>
      <c r="D16" s="406" t="s">
        <v>478</v>
      </c>
      <c r="F16" s="410">
        <f>osm!C19</f>
        <v>0</v>
      </c>
      <c r="G16" s="413">
        <f>osm!D19</f>
        <v>0</v>
      </c>
      <c r="H16" s="414"/>
      <c r="I16" s="414"/>
      <c r="J16" s="414"/>
      <c r="K16" s="414"/>
      <c r="L16" s="414"/>
      <c r="M16" s="413">
        <f>osm!D20</f>
        <v>0</v>
      </c>
      <c r="N16" s="410">
        <f>osm!C20</f>
        <v>0</v>
      </c>
      <c r="O16" s="414"/>
      <c r="P16" s="406" t="s">
        <v>478</v>
      </c>
      <c r="Q16" s="414"/>
      <c r="R16" s="414" t="s">
        <v>524</v>
      </c>
      <c r="S16" s="414"/>
    </row>
    <row r="17" spans="1:24" x14ac:dyDescent="0.25">
      <c r="A17" s="414"/>
      <c r="B17" s="414"/>
      <c r="C17" s="414"/>
      <c r="D17" s="439" t="s">
        <v>479</v>
      </c>
      <c r="E17" s="440">
        <v>30</v>
      </c>
      <c r="F17" s="409" t="s">
        <v>362</v>
      </c>
      <c r="G17" s="409">
        <f>IF(F16=0,10,50)</f>
        <v>10</v>
      </c>
      <c r="H17" s="414"/>
      <c r="I17" s="414"/>
      <c r="J17" s="414"/>
      <c r="K17" s="414"/>
      <c r="L17" s="414"/>
      <c r="M17" s="414"/>
      <c r="N17" s="414"/>
      <c r="O17" s="414"/>
      <c r="P17" s="439" t="s">
        <v>479</v>
      </c>
      <c r="Q17" s="440">
        <v>30</v>
      </c>
      <c r="R17" s="414"/>
      <c r="S17" s="414"/>
      <c r="U17" s="432" t="s">
        <v>410</v>
      </c>
      <c r="X17" s="481" t="s">
        <v>410</v>
      </c>
    </row>
    <row r="18" spans="1:24" ht="13.8" thickBot="1" x14ac:dyDescent="0.3">
      <c r="A18" s="414"/>
      <c r="B18" s="414"/>
      <c r="C18" s="414"/>
      <c r="D18" s="439" t="s">
        <v>480</v>
      </c>
      <c r="E18" s="440">
        <v>4</v>
      </c>
      <c r="F18" s="414"/>
      <c r="G18" s="414"/>
      <c r="H18" s="414"/>
      <c r="I18" s="414"/>
      <c r="J18" s="414"/>
      <c r="K18" s="414"/>
      <c r="L18" s="414"/>
      <c r="M18" s="524" t="str">
        <f>IF($B$21="Yes","WB LT Treatment","")</f>
        <v/>
      </c>
      <c r="N18" s="524"/>
      <c r="O18" s="414"/>
      <c r="P18" s="439" t="s">
        <v>480</v>
      </c>
      <c r="Q18" s="440">
        <v>4</v>
      </c>
      <c r="R18" s="414"/>
      <c r="S18" s="414"/>
      <c r="U18" s="432" t="s">
        <v>411</v>
      </c>
      <c r="X18" s="481" t="s">
        <v>411</v>
      </c>
    </row>
    <row r="19" spans="1:24" ht="13.8" thickBot="1" x14ac:dyDescent="0.3">
      <c r="A19" s="414"/>
      <c r="B19" s="414"/>
      <c r="C19" s="414"/>
      <c r="D19" s="414"/>
      <c r="F19" s="414"/>
      <c r="G19" s="414"/>
      <c r="H19" s="414"/>
      <c r="I19" s="414"/>
      <c r="J19" s="414"/>
      <c r="K19" s="414"/>
      <c r="L19" s="414"/>
      <c r="M19" s="525"/>
      <c r="N19" s="526"/>
      <c r="O19" s="414"/>
      <c r="P19" s="414"/>
      <c r="Q19" s="414"/>
      <c r="R19" s="414"/>
      <c r="S19" s="414"/>
    </row>
    <row r="20" spans="1:24" ht="13.8" thickBot="1" x14ac:dyDescent="0.3">
      <c r="A20" s="414"/>
      <c r="B20" s="430" t="s">
        <v>521</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f>osm!D23</f>
        <v>0</v>
      </c>
      <c r="J21" s="413">
        <f>osm!D24</f>
        <v>0</v>
      </c>
      <c r="K21" s="413">
        <f>osm!D25</f>
        <v>0</v>
      </c>
      <c r="L21" s="409" t="s">
        <v>362</v>
      </c>
      <c r="M21" s="414" t="s">
        <v>522</v>
      </c>
      <c r="O21" s="440">
        <v>59</v>
      </c>
      <c r="P21" s="441">
        <v>1</v>
      </c>
      <c r="Q21" s="414"/>
      <c r="R21" s="414"/>
      <c r="S21" s="414"/>
    </row>
    <row r="22" spans="1:24" ht="13.8" thickBot="1" x14ac:dyDescent="0.3">
      <c r="A22" s="414"/>
      <c r="B22" s="414"/>
      <c r="C22" s="414"/>
      <c r="D22" s="414"/>
      <c r="F22" s="414"/>
      <c r="G22" s="414"/>
      <c r="H22" s="414" t="s">
        <v>228</v>
      </c>
      <c r="I22" s="410">
        <f>osm!C23</f>
        <v>0</v>
      </c>
      <c r="J22" s="410">
        <f>osm!C24</f>
        <v>0</v>
      </c>
      <c r="K22" s="410">
        <f>osm!C25</f>
        <v>0</v>
      </c>
      <c r="L22" s="409">
        <f>IF(K22=0,10,50)</f>
        <v>10</v>
      </c>
      <c r="M22" s="406" t="s">
        <v>478</v>
      </c>
      <c r="O22" s="439" t="s">
        <v>479</v>
      </c>
      <c r="P22" s="439" t="s">
        <v>480</v>
      </c>
      <c r="Q22" s="414"/>
      <c r="R22" s="414"/>
      <c r="S22" s="414"/>
    </row>
    <row r="23" spans="1:24" ht="13.8" thickBot="1" x14ac:dyDescent="0.3">
      <c r="A23" s="414"/>
      <c r="B23" s="414"/>
      <c r="C23" s="414"/>
      <c r="D23" s="414"/>
      <c r="F23" s="524" t="str">
        <f>IF($B$21="Yes","NB LT Treatment","")</f>
        <v/>
      </c>
      <c r="G23" s="524"/>
      <c r="H23" s="414"/>
      <c r="I23" s="414"/>
      <c r="J23" s="414"/>
      <c r="K23" s="414"/>
      <c r="L23" s="414"/>
      <c r="M23" s="414"/>
      <c r="N23" s="414"/>
      <c r="O23" s="422"/>
      <c r="P23" s="422"/>
      <c r="Q23" s="414"/>
      <c r="R23" s="414"/>
      <c r="S23" s="414"/>
    </row>
    <row r="24" spans="1:24" ht="13.8" thickBot="1" x14ac:dyDescent="0.3">
      <c r="A24" s="414"/>
      <c r="B24" s="414"/>
      <c r="C24" s="414"/>
      <c r="D24" s="414"/>
      <c r="F24" s="525"/>
      <c r="G24" s="526"/>
      <c r="H24" s="414"/>
      <c r="I24" s="414" t="s">
        <v>232</v>
      </c>
      <c r="J24" s="405">
        <f>MAX(20,osm!F24)</f>
        <v>20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565</v>
      </c>
      <c r="J26" s="427"/>
      <c r="K26" s="428"/>
      <c r="L26" s="414" t="s">
        <v>523</v>
      </c>
      <c r="M26" s="440">
        <v>2</v>
      </c>
      <c r="N26" s="414" t="s">
        <v>524</v>
      </c>
      <c r="O26" s="422"/>
      <c r="P26" s="422"/>
      <c r="Q26" s="414"/>
      <c r="R26" s="414"/>
      <c r="S26" s="414"/>
    </row>
    <row r="27" spans="1:24" x14ac:dyDescent="0.25">
      <c r="O27" s="421"/>
      <c r="P27" s="421"/>
    </row>
    <row r="28" spans="1:24" x14ac:dyDescent="0.25">
      <c r="J28" s="399" t="str">
        <f>IF(AND(I2="",A13=""),"",I2&amp;" &amp; "&amp;A13)</f>
        <v>Street 1 &amp; Street 2</v>
      </c>
    </row>
    <row r="30" spans="1:24" ht="14.4" x14ac:dyDescent="0.3">
      <c r="A30" s="522" t="s">
        <v>203</v>
      </c>
      <c r="B30" s="522"/>
      <c r="C30" s="522"/>
      <c r="D30" s="522"/>
      <c r="E30" s="522"/>
      <c r="F30" s="522"/>
      <c r="G30" s="522"/>
      <c r="H30" s="522"/>
    </row>
    <row r="31" spans="1:24" ht="14.4" x14ac:dyDescent="0.3">
      <c r="A31" s="523" t="s">
        <v>532</v>
      </c>
      <c r="B31" s="523"/>
      <c r="C31" s="523"/>
      <c r="D31" s="523"/>
      <c r="E31" s="523"/>
      <c r="F31" s="523"/>
      <c r="G31" s="523"/>
      <c r="H31" s="523"/>
    </row>
    <row r="32" spans="1:24" ht="14.4" x14ac:dyDescent="0.3">
      <c r="A32" s="423" t="s">
        <v>559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21" t="s">
        <v>558</v>
      </c>
      <c r="B34" s="521"/>
      <c r="C34" s="521"/>
      <c r="D34" s="521"/>
      <c r="E34" s="521"/>
      <c r="F34" s="521"/>
      <c r="G34" s="521"/>
      <c r="H34" s="521"/>
    </row>
    <row r="35" spans="1:8" ht="12.75" customHeight="1" x14ac:dyDescent="0.25">
      <c r="A35" s="521"/>
      <c r="B35" s="521"/>
      <c r="C35" s="521"/>
      <c r="D35" s="521"/>
      <c r="E35" s="521"/>
      <c r="F35" s="521"/>
      <c r="G35" s="521"/>
      <c r="H35" s="521"/>
    </row>
    <row r="36" spans="1:8" ht="12.75" customHeight="1" x14ac:dyDescent="0.25">
      <c r="A36" s="521"/>
      <c r="B36" s="521"/>
      <c r="C36" s="521"/>
      <c r="D36" s="521"/>
      <c r="E36" s="521"/>
      <c r="F36" s="521"/>
      <c r="G36" s="521"/>
      <c r="H36" s="521"/>
    </row>
    <row r="37" spans="1:8" ht="12.75" customHeight="1" x14ac:dyDescent="0.25">
      <c r="A37" s="521"/>
      <c r="B37" s="521"/>
      <c r="C37" s="521"/>
      <c r="D37" s="521"/>
      <c r="E37" s="521"/>
      <c r="F37" s="521"/>
      <c r="G37" s="521"/>
      <c r="H37" s="521"/>
    </row>
    <row r="38" spans="1:8" ht="12.75" customHeight="1" x14ac:dyDescent="0.25">
      <c r="A38" s="521"/>
      <c r="B38" s="521"/>
      <c r="C38" s="521"/>
      <c r="D38" s="521"/>
      <c r="E38" s="521"/>
      <c r="F38" s="521"/>
      <c r="G38" s="521"/>
      <c r="H38" s="521"/>
    </row>
    <row r="39" spans="1:8" ht="12.75" customHeight="1" x14ac:dyDescent="0.25">
      <c r="A39" s="521"/>
      <c r="B39" s="521"/>
      <c r="C39" s="521"/>
      <c r="D39" s="521"/>
      <c r="E39" s="521"/>
      <c r="F39" s="521"/>
      <c r="G39" s="521"/>
      <c r="H39" s="521"/>
    </row>
    <row r="40" spans="1:8" ht="12.75" customHeight="1" x14ac:dyDescent="0.25">
      <c r="A40" s="521"/>
      <c r="B40" s="521"/>
      <c r="C40" s="521"/>
      <c r="D40" s="521"/>
      <c r="E40" s="521"/>
      <c r="F40" s="521"/>
      <c r="G40" s="521"/>
      <c r="H40" s="521"/>
    </row>
    <row r="41" spans="1:8" ht="12.75" customHeight="1" x14ac:dyDescent="0.25">
      <c r="A41" s="521"/>
      <c r="B41" s="521"/>
      <c r="C41" s="521"/>
      <c r="D41" s="521"/>
      <c r="E41" s="521"/>
      <c r="F41" s="521"/>
      <c r="G41" s="521"/>
      <c r="H41" s="521"/>
    </row>
    <row r="42" spans="1:8" ht="12.75" customHeight="1" x14ac:dyDescent="0.25">
      <c r="A42" s="521"/>
      <c r="B42" s="521"/>
      <c r="C42" s="521"/>
      <c r="D42" s="521"/>
      <c r="E42" s="521"/>
      <c r="F42" s="521"/>
      <c r="G42" s="521"/>
      <c r="H42" s="521"/>
    </row>
    <row r="43" spans="1:8" x14ac:dyDescent="0.25">
      <c r="A43" s="521"/>
      <c r="B43" s="521"/>
      <c r="C43" s="521"/>
      <c r="D43" s="521"/>
      <c r="E43" s="521"/>
      <c r="F43" s="521"/>
      <c r="G43" s="521"/>
      <c r="H43" s="521"/>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2" priority="23" stopIfTrue="1" operator="containsText" text="CS/RS">
      <formula>NOT(ISERROR(SEARCH("CS/RS",P9)))</formula>
    </cfRule>
    <cfRule type="containsText" dxfId="41" priority="24" stopIfTrue="1" operator="containsText" text="Webster">
      <formula>NOT(ISERROR(SEARCH("Webster",P9)))</formula>
    </cfRule>
  </conditionalFormatting>
  <conditionalFormatting sqref="F8:G8 F23:G23 L7:M7 M18:N18">
    <cfRule type="containsText" dxfId="40" priority="22" stopIfTrue="1" operator="containsText" text="LT">
      <formula>NOT(ISERROR(SEARCH("LT",F7)))</formula>
    </cfRule>
  </conditionalFormatting>
  <conditionalFormatting sqref="F9:G9 F24:G24 M19:N19 L8:M8">
    <cfRule type="containsText" dxfId="39" priority="18" stopIfTrue="1" operator="containsText" text="P">
      <formula>NOT(ISERROR(SEARCH("P",F8)))</formula>
    </cfRule>
  </conditionalFormatting>
  <conditionalFormatting sqref="F8:G8">
    <cfRule type="containsText" dxfId="38" priority="12" stopIfTrue="1" operator="containsText" text="LT">
      <formula>NOT(ISERROR(SEARCH("LT",F8)))</formula>
    </cfRule>
  </conditionalFormatting>
  <conditionalFormatting sqref="L7:M7">
    <cfRule type="containsText" dxfId="37" priority="11" stopIfTrue="1" operator="containsText" text="LT">
      <formula>NOT(ISERROR(SEARCH("LT",L7)))</formula>
    </cfRule>
  </conditionalFormatting>
  <conditionalFormatting sqref="F23:G23">
    <cfRule type="containsText" dxfId="36" priority="10" stopIfTrue="1" operator="containsText" text="LT">
      <formula>NOT(ISERROR(SEARCH("LT",F23)))</formula>
    </cfRule>
  </conditionalFormatting>
  <conditionalFormatting sqref="M18:N18">
    <cfRule type="containsText" dxfId="35" priority="9" stopIfTrue="1" operator="containsText" text="LT">
      <formula>NOT(ISERROR(SEARCH("LT",M18)))</formula>
    </cfRule>
  </conditionalFormatting>
  <conditionalFormatting sqref="F9:G9">
    <cfRule type="containsText" dxfId="34" priority="8" stopIfTrue="1" operator="containsText" text="P">
      <formula>NOT(ISERROR(SEARCH("P",F9)))</formula>
    </cfRule>
  </conditionalFormatting>
  <conditionalFormatting sqref="F24:G24">
    <cfRule type="containsText" dxfId="33" priority="7" stopIfTrue="1" operator="containsText" text="P">
      <formula>NOT(ISERROR(SEARCH("P",F24)))</formula>
    </cfRule>
  </conditionalFormatting>
  <conditionalFormatting sqref="M19:N19">
    <cfRule type="containsText" dxfId="32" priority="6" stopIfTrue="1" operator="containsText" text="P">
      <formula>NOT(ISERROR(SEARCH("P",M19)))</formula>
    </cfRule>
  </conditionalFormatting>
  <conditionalFormatting sqref="L8:M8">
    <cfRule type="containsText" dxfId="31" priority="5" stopIfTrue="1" operator="containsText" text="P">
      <formula>NOT(ISERROR(SEARCH("P",L8)))</formula>
    </cfRule>
  </conditionalFormatting>
  <conditionalFormatting sqref="F24:G24">
    <cfRule type="containsText" dxfId="30" priority="4" stopIfTrue="1" operator="containsText" text="P">
      <formula>NOT(ISERROR(SEARCH("P",F24)))</formula>
    </cfRule>
  </conditionalFormatting>
  <conditionalFormatting sqref="M19:N19">
    <cfRule type="containsText" dxfId="29" priority="3" stopIfTrue="1" operator="containsText" text="P">
      <formula>NOT(ISERROR(SEARCH("P",M19)))</formula>
    </cfRule>
  </conditionalFormatting>
  <conditionalFormatting sqref="L8:M8">
    <cfRule type="containsText" dxfId="28" priority="2" stopIfTrue="1" operator="containsText" text="P">
      <formula>NOT(ISERROR(SEARCH("P",L8)))</formula>
    </cfRule>
  </conditionalFormatting>
  <conditionalFormatting sqref="L8:M8">
    <cfRule type="containsText" dxfId="27" priority="1" stopIfTrue="1" operator="containsText" text="P">
      <formula>NOT(ISERROR(SEARCH("P",L8)))</formula>
    </cfRule>
  </conditionalFormatting>
  <dataValidations disablePrompts="1"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30" t="s">
        <v>204</v>
      </c>
      <c r="B1" s="530"/>
      <c r="C1" s="530"/>
      <c r="L1" s="527" t="s">
        <v>75</v>
      </c>
      <c r="M1" s="527"/>
      <c r="N1" s="519" t="s">
        <v>115</v>
      </c>
      <c r="O1" s="527"/>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N-S Major</v>
      </c>
      <c r="K2" s="7"/>
      <c r="L2" s="5" t="s">
        <v>13</v>
      </c>
      <c r="M2" s="5">
        <v>7</v>
      </c>
      <c r="N2" s="5" t="s">
        <v>13</v>
      </c>
      <c r="O2" s="5">
        <v>5</v>
      </c>
      <c r="Q2" s="5">
        <v>1</v>
      </c>
      <c r="R2" s="5">
        <v>50000</v>
      </c>
      <c r="W2" s="5">
        <v>1</v>
      </c>
      <c r="X2" s="5">
        <v>150000</v>
      </c>
    </row>
    <row r="3" spans="1:27" x14ac:dyDescent="0.3">
      <c r="A3" s="5" t="s">
        <v>74</v>
      </c>
      <c r="B3" s="6">
        <f>Sheet1!N4</f>
        <v>0</v>
      </c>
      <c r="C3" s="6">
        <f>IF(Sheet1!P5=0,Sheet1!O4+Sheet1!P4,Sheet1!O4)</f>
        <v>0</v>
      </c>
      <c r="D3" s="6">
        <f>IF(Sheet1!N4=Sheet1!S4, Sheet1!S4+1,Sheet1!S4)</f>
        <v>1</v>
      </c>
      <c r="E3" s="6">
        <f>IF(Sheet1!U5=0,Sheet1!T4+Sheet1!U4,Sheet1!T4)</f>
        <v>0</v>
      </c>
      <c r="F3" s="6">
        <f>Sheet1!D4+Sheet1!W4+Sheet1!Z4</f>
        <v>0</v>
      </c>
      <c r="G3" s="6">
        <f>IF(Sheet1!F5=0,Sheet1!E4+Sheet1!F4+Sheet1!X4+Sheet1!AA4,Sheet1!E4+Sheet1!X4+Sheet1!AA4)</f>
        <v>0</v>
      </c>
      <c r="H3" s="6">
        <f>IF(Sheet1!D4+Sheet1!W4+Sheet1!Z4=Sheet1!I4+Sheet1!AC4+Sheet1!AF4,Sheet1!I4+Sheet1!AC4+Sheet1!AF4+1,Sheet1!I4+Sheet1!AC4+Sheet1!AF4)</f>
        <v>1</v>
      </c>
      <c r="I3" s="6">
        <f>IF(Sheet1!K5=0,Sheet1!J4+Sheet1!K4+Sheet1!AD4+Sheet1!AG4,Sheet1!J4+Sheet1!AD4+Sheet1!AG4)</f>
        <v>0</v>
      </c>
      <c r="L3" s="5" t="s">
        <v>14</v>
      </c>
      <c r="M3" s="5">
        <v>4</v>
      </c>
      <c r="N3" s="5" t="s">
        <v>14</v>
      </c>
      <c r="O3" s="5">
        <v>2</v>
      </c>
      <c r="Q3" s="5">
        <v>2</v>
      </c>
      <c r="R3" s="5">
        <v>90000</v>
      </c>
      <c r="W3" s="5">
        <v>2</v>
      </c>
      <c r="X3" s="5">
        <v>300000</v>
      </c>
    </row>
    <row r="4" spans="1:27" x14ac:dyDescent="0.3">
      <c r="A4" s="281" t="s">
        <v>80</v>
      </c>
      <c r="B4" s="253">
        <f>IF($J$2="N-S Major",M2,O2)</f>
        <v>7</v>
      </c>
      <c r="C4" s="253">
        <f>IF($J$2="N-S Major",M3,O3)</f>
        <v>4</v>
      </c>
      <c r="D4" s="253">
        <f>IF($J$2="N-S Major",M4,O4)</f>
        <v>3</v>
      </c>
      <c r="E4" s="253">
        <f>IF($J$2="N-S Major",M5,O5)</f>
        <v>8</v>
      </c>
      <c r="F4" s="253">
        <f>IF($J$2="N-S Major",M6,O6)</f>
        <v>5</v>
      </c>
      <c r="G4" s="253">
        <f>IF($J$2="N-S Major",M7,O7)</f>
        <v>2</v>
      </c>
      <c r="H4" s="253">
        <f>IF($J$2="N-S Major",M8,O8)</f>
        <v>1</v>
      </c>
      <c r="I4" s="253">
        <f>IF($J$2="N-S Major",M9,O9)</f>
        <v>6</v>
      </c>
      <c r="L4" s="5" t="s">
        <v>18</v>
      </c>
      <c r="M4" s="5">
        <v>3</v>
      </c>
      <c r="N4" s="5" t="s">
        <v>18</v>
      </c>
      <c r="O4" s="5">
        <v>1</v>
      </c>
      <c r="Q4" s="5">
        <v>3</v>
      </c>
      <c r="R4" s="5">
        <v>110000</v>
      </c>
      <c r="W4" s="5">
        <v>3</v>
      </c>
      <c r="X4" s="5">
        <v>300000</v>
      </c>
    </row>
    <row r="5" spans="1:27" x14ac:dyDescent="0.3">
      <c r="A5" s="5" t="s">
        <v>97</v>
      </c>
      <c r="B5" s="87">
        <f>IF(B6=0,0,B4)</f>
        <v>0</v>
      </c>
      <c r="C5" s="87">
        <f>IF(AND(B6=0,C6=0),0,C4)</f>
        <v>0</v>
      </c>
      <c r="D5" s="87">
        <f>IF(D6=0,0,D4)</f>
        <v>0</v>
      </c>
      <c r="E5" s="87">
        <f>IF(AND(D6=0,E6=0),0,E4)</f>
        <v>0</v>
      </c>
      <c r="F5" s="87">
        <f>IF(F6=0,0,F4)</f>
        <v>0</v>
      </c>
      <c r="G5" s="87">
        <f>IF(AND(F6=0,G6=0),0,G4)</f>
        <v>0</v>
      </c>
      <c r="H5" s="87">
        <f>IF(H6=0,0,H4)</f>
        <v>0</v>
      </c>
      <c r="I5" s="87">
        <f>IF(AND(H6=0,I6=0),0,I4)</f>
        <v>0</v>
      </c>
      <c r="L5" s="5" t="s">
        <v>19</v>
      </c>
      <c r="M5" s="5">
        <v>8</v>
      </c>
      <c r="N5" s="5" t="s">
        <v>19</v>
      </c>
      <c r="O5" s="5">
        <v>6</v>
      </c>
    </row>
    <row r="6" spans="1:27" x14ac:dyDescent="0.3">
      <c r="A6" s="281" t="s">
        <v>79</v>
      </c>
      <c r="B6" s="253">
        <f>Sheet1!N5</f>
        <v>0</v>
      </c>
      <c r="C6" s="253">
        <f>Sheet1!O5</f>
        <v>0</v>
      </c>
      <c r="D6" s="253">
        <f>Sheet1!S5</f>
        <v>0</v>
      </c>
      <c r="E6" s="253">
        <f>Sheet1!T5</f>
        <v>0</v>
      </c>
      <c r="F6" s="253">
        <f>Sheet1!D5+Sheet1!W5+Sheet1!Z5</f>
        <v>0</v>
      </c>
      <c r="G6" s="253">
        <f>Sheet1!E5+Sheet1!X5+Sheet1!AA5</f>
        <v>0</v>
      </c>
      <c r="H6" s="253">
        <f>Sheet1!I5+Sheet1!AC5+Sheet1!AF5</f>
        <v>0</v>
      </c>
      <c r="I6" s="253">
        <f>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0</v>
      </c>
      <c r="S7" s="6">
        <f>C6</f>
        <v>0</v>
      </c>
      <c r="T7" s="6">
        <f>I6</f>
        <v>0</v>
      </c>
      <c r="U7" s="6">
        <f>G6</f>
        <v>0</v>
      </c>
      <c r="W7" s="5" t="s">
        <v>88</v>
      </c>
      <c r="X7" s="6">
        <f t="shared" ref="X7:AA8" si="0">R7</f>
        <v>0</v>
      </c>
      <c r="Y7" s="6">
        <f t="shared" si="0"/>
        <v>0</v>
      </c>
      <c r="Z7" s="6">
        <f t="shared" si="0"/>
        <v>0</v>
      </c>
      <c r="AA7" s="6">
        <f t="shared" si="0"/>
        <v>0</v>
      </c>
    </row>
    <row r="8" spans="1:27" x14ac:dyDescent="0.3">
      <c r="A8" s="282" t="s">
        <v>296</v>
      </c>
      <c r="B8" s="281"/>
      <c r="C8" s="253">
        <f>Phasing!P6</f>
        <v>25</v>
      </c>
      <c r="D8" s="253"/>
      <c r="E8" s="253">
        <f>Phasing!R6</f>
        <v>25</v>
      </c>
      <c r="F8" s="253"/>
      <c r="G8" s="253">
        <f>Phasing!T6</f>
        <v>25</v>
      </c>
      <c r="H8" s="253"/>
      <c r="I8" s="253">
        <f>Phasing!V6</f>
        <v>25</v>
      </c>
      <c r="L8" s="5" t="s">
        <v>8</v>
      </c>
      <c r="M8" s="5">
        <v>1</v>
      </c>
      <c r="N8" s="5" t="s">
        <v>8</v>
      </c>
      <c r="O8" s="5">
        <v>7</v>
      </c>
      <c r="Q8" s="5" t="s">
        <v>92</v>
      </c>
      <c r="R8" s="6">
        <f>B3*E3</f>
        <v>0</v>
      </c>
      <c r="S8" s="6">
        <f>D3*C3</f>
        <v>0</v>
      </c>
      <c r="T8" s="6">
        <f>F3*I3</f>
        <v>0</v>
      </c>
      <c r="U8" s="6">
        <f>H3*G3</f>
        <v>0</v>
      </c>
      <c r="W8" s="5" t="s">
        <v>92</v>
      </c>
      <c r="X8" s="6">
        <f t="shared" si="0"/>
        <v>0</v>
      </c>
      <c r="Y8" s="6">
        <f t="shared" si="0"/>
        <v>0</v>
      </c>
      <c r="Z8" s="6">
        <f t="shared" si="0"/>
        <v>0</v>
      </c>
      <c r="AA8" s="6">
        <f t="shared" si="0"/>
        <v>0</v>
      </c>
    </row>
    <row r="9" spans="1:27" x14ac:dyDescent="0.3">
      <c r="B9" s="81"/>
      <c r="C9" s="81"/>
      <c r="D9" s="81"/>
      <c r="E9" s="81"/>
      <c r="G9" s="529" t="s">
        <v>440</v>
      </c>
      <c r="H9" s="529"/>
      <c r="I9" s="81">
        <f>IF(OR(SUM(B5:E5)=0,SUM(D5:G5)=0,SUM(F5:I5)=0,SUM(B5:C5,F5:G5)=0,SUM(B5:C5,H5:I5)=0,SUM(D5:E5,H5:I5)=0),1,0)</f>
        <v>1</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0</v>
      </c>
      <c r="G11" s="87"/>
      <c r="H11" s="87">
        <f>IF(H6&gt;=2,1,0)</f>
        <v>0</v>
      </c>
      <c r="I11" s="535" t="s">
        <v>90</v>
      </c>
      <c r="L11" s="5" t="s">
        <v>15</v>
      </c>
      <c r="M11" s="5">
        <f>Sheet1!P4</f>
        <v>0</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35"/>
      <c r="J12" s="10"/>
      <c r="K12" s="10"/>
      <c r="L12" s="11" t="s">
        <v>20</v>
      </c>
      <c r="M12" s="11">
        <f>Sheet1!U4</f>
        <v>0</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35"/>
      <c r="J13" s="12"/>
      <c r="K13" s="12"/>
      <c r="L13" s="11" t="s">
        <v>5</v>
      </c>
      <c r="M13" s="11">
        <f>Sheet1!F4+Sheet1!Y4+Sheet1!AB4</f>
        <v>0</v>
      </c>
      <c r="N13" s="11">
        <v>3</v>
      </c>
      <c r="O13" s="11" t="s">
        <v>84</v>
      </c>
      <c r="Q13" s="519" t="s">
        <v>94</v>
      </c>
      <c r="R13" s="519"/>
      <c r="S13" s="519"/>
      <c r="T13" s="519"/>
      <c r="U13" s="519"/>
    </row>
    <row r="14" spans="1:27" x14ac:dyDescent="0.3">
      <c r="A14" s="281" t="s">
        <v>98</v>
      </c>
      <c r="B14" s="253">
        <f>IF(B3&gt;=240,1,0)</f>
        <v>0</v>
      </c>
      <c r="C14" s="253"/>
      <c r="D14" s="253">
        <f>IF(D3&gt;=240,1,0)</f>
        <v>0</v>
      </c>
      <c r="E14" s="253"/>
      <c r="F14" s="253">
        <f>IF(F3&gt;=240,1,0)</f>
        <v>0</v>
      </c>
      <c r="G14" s="253"/>
      <c r="H14" s="253">
        <f>IF(H3&gt;=240,1,0)</f>
        <v>0</v>
      </c>
      <c r="I14" s="535"/>
      <c r="J14" s="93"/>
      <c r="K14" s="93"/>
      <c r="L14" s="11" t="s">
        <v>10</v>
      </c>
      <c r="M14" s="11">
        <f>Sheet1!K4+Sheet1!AE4+Sheet1!AH4</f>
        <v>0</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35"/>
      <c r="J15" s="93"/>
      <c r="K15" s="534" t="s">
        <v>436</v>
      </c>
      <c r="L15" s="11" t="s">
        <v>402</v>
      </c>
      <c r="M15" s="11">
        <f>B3+C3+M11</f>
        <v>0</v>
      </c>
      <c r="N15" s="11"/>
      <c r="O15" s="11"/>
      <c r="Q15" s="2"/>
      <c r="R15" s="2"/>
      <c r="S15" s="2"/>
      <c r="T15" s="2"/>
      <c r="U15" s="2"/>
    </row>
    <row r="16" spans="1:27" x14ac:dyDescent="0.3">
      <c r="A16" s="282" t="s">
        <v>100</v>
      </c>
      <c r="B16" s="253">
        <f>IF(D3+E3=0,0,IF(AND(B14=1, SUM(B11:B13)=0),3,MAX(B11:B13)))</f>
        <v>0</v>
      </c>
      <c r="C16" s="253"/>
      <c r="D16" s="253">
        <f>IF(B3+C3=0,0,IF(AND(D14=1, SUM(D11:D13)=0),3,MAX(D11:D13)))</f>
        <v>0</v>
      </c>
      <c r="E16" s="253"/>
      <c r="F16" s="253">
        <f>IF(H3+I3=0,0,IF(AND(F14=1, SUM(F11:F13)=0),3,MAX(F11:F13)))</f>
        <v>0</v>
      </c>
      <c r="G16" s="253"/>
      <c r="H16" s="253">
        <f>IF(F3+G3=0,0,IF(AND(H14=1, SUM(H11:H13)=0),3,MAX(H11:H13)))</f>
        <v>0</v>
      </c>
      <c r="I16" s="278"/>
      <c r="J16" s="12"/>
      <c r="K16" s="534"/>
      <c r="L16" s="11" t="s">
        <v>403</v>
      </c>
      <c r="M16" s="11">
        <f>D3+E3+M12</f>
        <v>1</v>
      </c>
      <c r="N16" s="11"/>
      <c r="O16" s="11"/>
      <c r="P16" s="536" t="s">
        <v>108</v>
      </c>
      <c r="Q16" s="537"/>
      <c r="R16" s="537"/>
      <c r="S16" s="537"/>
      <c r="T16" s="537"/>
      <c r="U16" s="2"/>
    </row>
    <row r="17" spans="1:24" x14ac:dyDescent="0.3">
      <c r="A17" s="39" t="s">
        <v>92</v>
      </c>
      <c r="B17" s="279">
        <f>IF(OR(D16=3,R12=1),3,2)</f>
        <v>2</v>
      </c>
      <c r="C17" s="279"/>
      <c r="D17" s="279">
        <f>IF(OR(B16=3,S12=1),3,2)</f>
        <v>2</v>
      </c>
      <c r="E17" s="279"/>
      <c r="F17" s="279">
        <f>IF(OR(H16=3,T12=1),3,2)</f>
        <v>2</v>
      </c>
      <c r="G17" s="279"/>
      <c r="H17" s="279">
        <f>IF(OR(F16=3,U12=1),3,2)</f>
        <v>2</v>
      </c>
      <c r="I17" s="40" t="s">
        <v>96</v>
      </c>
      <c r="J17" s="16"/>
      <c r="K17" s="534"/>
      <c r="L17" s="15" t="s">
        <v>404</v>
      </c>
      <c r="M17" s="15">
        <f>F3+G3+M13</f>
        <v>0</v>
      </c>
      <c r="N17" s="17"/>
      <c r="O17" s="11"/>
      <c r="P17" s="15"/>
      <c r="Q17" s="531" t="s">
        <v>107</v>
      </c>
      <c r="R17" s="531"/>
      <c r="S17" s="531"/>
      <c r="T17" s="531"/>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34"/>
      <c r="L18" s="15" t="s">
        <v>405</v>
      </c>
      <c r="M18" s="15">
        <f>H3+I3+M14</f>
        <v>1</v>
      </c>
      <c r="N18" s="20"/>
      <c r="O18" s="11"/>
      <c r="P18" t="s">
        <v>105</v>
      </c>
      <c r="Q18" s="49">
        <v>1</v>
      </c>
      <c r="R18" s="50">
        <v>2</v>
      </c>
      <c r="S18" s="6">
        <v>3</v>
      </c>
      <c r="T18" s="6">
        <v>4</v>
      </c>
      <c r="V18" s="15"/>
    </row>
    <row r="19" spans="1:24" s="41" customFormat="1" x14ac:dyDescent="0.3">
      <c r="A19" s="46" t="s">
        <v>97</v>
      </c>
      <c r="B19" s="280">
        <f>IF(E5=0,2,0)</f>
        <v>2</v>
      </c>
      <c r="C19" s="280"/>
      <c r="D19" s="280">
        <f>IF(C5=0,2,0)</f>
        <v>2</v>
      </c>
      <c r="E19" s="280"/>
      <c r="F19" s="280">
        <f>IF(I5=0,2,0)</f>
        <v>2</v>
      </c>
      <c r="G19" s="280"/>
      <c r="H19" s="280">
        <f>IF(G5=0,2,0)</f>
        <v>2</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2</v>
      </c>
      <c r="C21" s="253"/>
      <c r="D21" s="253">
        <f>IF(AND(D16=1,D18=0),1,MAX(D16:D18))</f>
        <v>2</v>
      </c>
      <c r="E21" s="253"/>
      <c r="F21" s="253">
        <f>IF(AND(F16=1,F18=0),1,MAX(F16:F18))</f>
        <v>2</v>
      </c>
      <c r="G21" s="253"/>
      <c r="H21" s="253">
        <f>IF(AND(H16=1,H18=0),1,MAX(H16:H18))</f>
        <v>2</v>
      </c>
      <c r="I21" s="16"/>
      <c r="J21" s="15"/>
      <c r="K21" s="20" t="s">
        <v>13</v>
      </c>
      <c r="L21" s="20" t="s">
        <v>18</v>
      </c>
      <c r="M21" s="20" t="s">
        <v>3</v>
      </c>
      <c r="N21" s="20" t="s">
        <v>8</v>
      </c>
      <c r="O21" s="11"/>
      <c r="Q21" s="519" t="s">
        <v>109</v>
      </c>
      <c r="R21" s="519"/>
      <c r="S21" s="48"/>
      <c r="T21" s="48"/>
      <c r="V21" s="15"/>
    </row>
    <row r="22" spans="1:24" x14ac:dyDescent="0.3">
      <c r="A22" s="47" t="s">
        <v>101</v>
      </c>
      <c r="B22" s="87">
        <f>IF('Input sheet'!$B$21="Yes",'Phase designation'!K23,'Phase designation'!K22)</f>
        <v>2</v>
      </c>
      <c r="C22" s="87"/>
      <c r="D22" s="87">
        <f>IF('Input sheet'!$B$21="Yes",'Phase designation'!L23,'Phase designation'!L22)</f>
        <v>2</v>
      </c>
      <c r="E22" s="87"/>
      <c r="F22" s="87">
        <f>IF('Input sheet'!$B$21="Yes",'Phase designation'!M23,'Phase designation'!M22)</f>
        <v>2</v>
      </c>
      <c r="G22" s="87"/>
      <c r="H22" s="87">
        <f>IF('Input sheet'!$B$21="Yes",'Phase designation'!N23,'Phase designation'!N22)</f>
        <v>2</v>
      </c>
      <c r="I22" s="16"/>
      <c r="J22" s="15" t="s">
        <v>307</v>
      </c>
      <c r="K22" s="20">
        <f>IF(B19=0,B21,B19)</f>
        <v>2</v>
      </c>
      <c r="L22" s="20">
        <f>IF(D19=0,D21,D19)</f>
        <v>2</v>
      </c>
      <c r="M22" s="20">
        <f>IF(F19=0,F21,F19)</f>
        <v>2</v>
      </c>
      <c r="N22" s="20">
        <f>IF(H19=0,H21,H19)</f>
        <v>2</v>
      </c>
      <c r="O22" s="11"/>
      <c r="P22" t="s">
        <v>105</v>
      </c>
      <c r="Q22" s="50">
        <v>2</v>
      </c>
      <c r="R22" s="49">
        <v>4</v>
      </c>
      <c r="S22" s="6"/>
      <c r="T22" s="6"/>
      <c r="V22" s="15"/>
    </row>
    <row r="23" spans="1:24" s="42" customFormat="1" x14ac:dyDescent="0.3">
      <c r="A23" s="286"/>
      <c r="B23" s="286" t="str">
        <f>LOOKUP(B22,$N$11:$N$14,$O$11:$O$14)</f>
        <v>Permitted</v>
      </c>
      <c r="C23" s="286"/>
      <c r="D23" s="286" t="str">
        <f>LOOKUP(D22,$N$11:$N$14,$O$11:$O$14)</f>
        <v>Permitted</v>
      </c>
      <c r="E23" s="286"/>
      <c r="F23" s="286" t="str">
        <f>LOOKUP(F22,$N$11:$N$14,$O$11:$O$14)</f>
        <v>Permitted</v>
      </c>
      <c r="G23" s="286"/>
      <c r="H23" s="286" t="str">
        <f>LOOKUP(H22,$N$11:$N$14,$O$11:$O$14)</f>
        <v>Permitted</v>
      </c>
      <c r="I23" s="21"/>
      <c r="J23" s="22" t="s">
        <v>308</v>
      </c>
      <c r="K23" s="19">
        <f>IF('Input sheet'!F10=0,K22,'Input sheet'!F10)</f>
        <v>2</v>
      </c>
      <c r="L23" s="19">
        <f>IF('Input sheet'!M20=0,L22,'Input sheet'!M20)</f>
        <v>2</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19" t="s">
        <v>111</v>
      </c>
      <c r="R25" s="519"/>
      <c r="S25" s="519"/>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0</v>
      </c>
      <c r="C27" s="158">
        <f>IF(AND(C5=0,$I$9=1),C4,C5)</f>
        <v>4</v>
      </c>
      <c r="D27" s="158">
        <f>IF(OR(D22=1,D22=3),D5,0)</f>
        <v>0</v>
      </c>
      <c r="E27" s="376">
        <f>IF(AND(E5=0,$I$9=1),E4,E5)</f>
        <v>8</v>
      </c>
      <c r="F27" s="158">
        <f>IF(OR(F22=1,F22=3),F5,0)</f>
        <v>0</v>
      </c>
      <c r="G27" s="376">
        <f>IF(AND(G5=0,$I$9=1),G4,G5)</f>
        <v>2</v>
      </c>
      <c r="H27" s="158">
        <f>IF(OR(H22=1,H22=3),H5,0)</f>
        <v>0</v>
      </c>
      <c r="I27" s="376">
        <f>IF(AND(I5=0,$I$9=1),I4,I5)</f>
        <v>6</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4</v>
      </c>
      <c r="C28" s="258"/>
      <c r="D28" s="258">
        <f>IF(OR(D22=2,D22=3,D22=4),E27,0)</f>
        <v>8</v>
      </c>
      <c r="E28" s="258"/>
      <c r="F28" s="258">
        <f>IF(OR(F22=2,F22=3,F22=4),G27,0)</f>
        <v>2</v>
      </c>
      <c r="G28" s="258"/>
      <c r="H28" s="258">
        <f>IF(OR(H22=2,H22=3,H22=4),I27,0)</f>
        <v>6</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6</v>
      </c>
      <c r="E30" s="8" t="str">
        <f>H27&amp;"  "&amp;H28</f>
        <v>0  6</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28" t="s">
        <v>113</v>
      </c>
      <c r="L34" s="528"/>
      <c r="M34" s="528"/>
      <c r="N34" s="528"/>
      <c r="O34" s="82"/>
    </row>
    <row r="35" spans="2:33" x14ac:dyDescent="0.3">
      <c r="B35" s="44" t="str">
        <f>B27&amp;"  "&amp;B28</f>
        <v>0  4</v>
      </c>
      <c r="G35" s="9">
        <f>E27</f>
        <v>8</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0</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4</v>
      </c>
      <c r="C37" s="26"/>
      <c r="D37" s="11"/>
      <c r="E37" s="11"/>
      <c r="F37" s="11"/>
      <c r="G37" s="27" t="str">
        <f>D27&amp;"  "&amp;D28</f>
        <v>0  8</v>
      </c>
      <c r="H37" s="10"/>
      <c r="J37" s="61" t="s">
        <v>106</v>
      </c>
      <c r="K37" s="60">
        <f t="shared" si="1"/>
        <v>0</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28" t="s">
        <v>114</v>
      </c>
      <c r="L39" s="528"/>
      <c r="M39" s="528"/>
      <c r="N39" s="528"/>
    </row>
    <row r="40" spans="2:33" x14ac:dyDescent="0.3">
      <c r="C40" s="34"/>
      <c r="D40" s="15"/>
      <c r="E40" s="15"/>
      <c r="F40" s="15"/>
      <c r="G40" s="18"/>
      <c r="H40" s="18"/>
      <c r="J40" s="56"/>
      <c r="K40" s="57" t="str">
        <f>K35</f>
        <v/>
      </c>
      <c r="L40" s="57" t="str">
        <f>L35</f>
        <v>b</v>
      </c>
      <c r="M40" s="57" t="str">
        <f>M35</f>
        <v/>
      </c>
      <c r="N40" s="57"/>
      <c r="P40" s="15"/>
      <c r="Q40" s="531" t="s">
        <v>110</v>
      </c>
      <c r="R40" s="531"/>
      <c r="S40" s="531"/>
      <c r="T40" s="531"/>
      <c r="W40" s="15"/>
      <c r="X40" s="531" t="s">
        <v>115</v>
      </c>
      <c r="Y40" s="531"/>
      <c r="Z40" s="531"/>
      <c r="AA40" s="531"/>
      <c r="AC40" s="15"/>
      <c r="AD40" s="531" t="s">
        <v>75</v>
      </c>
      <c r="AE40" s="531"/>
      <c r="AF40" s="531"/>
      <c r="AG40" s="531"/>
    </row>
    <row r="41" spans="2:33" x14ac:dyDescent="0.3">
      <c r="C41" s="35"/>
      <c r="D41" s="15"/>
      <c r="E41" s="15" t="s">
        <v>77</v>
      </c>
      <c r="F41" s="15"/>
      <c r="G41" s="15"/>
      <c r="H41" s="15"/>
      <c r="J41" s="59" t="s">
        <v>105</v>
      </c>
      <c r="K41" s="60" t="str">
        <f t="shared" ref="K41:N42" si="3">IF(K36&lt;&gt;0,Q55,"")</f>
        <v/>
      </c>
      <c r="L41" s="60" t="str">
        <f t="shared" si="3"/>
        <v>NBT</v>
      </c>
      <c r="M41" s="60" t="str">
        <f t="shared" si="3"/>
        <v/>
      </c>
      <c r="N41" s="60" t="str">
        <f t="shared" si="3"/>
        <v>EBT</v>
      </c>
      <c r="P41" t="s">
        <v>105</v>
      </c>
      <c r="Q41" s="49">
        <f>MAX(X41,AD41)</f>
        <v>0</v>
      </c>
      <c r="R41" s="49">
        <f t="shared" ref="R41:T42" si="4">MAX(Y41,AE41)</f>
        <v>2</v>
      </c>
      <c r="S41" s="49">
        <f t="shared" si="4"/>
        <v>0</v>
      </c>
      <c r="T41" s="49">
        <f t="shared" si="4"/>
        <v>4</v>
      </c>
      <c r="U41" s="532">
        <f>IF(V36=0,1,0)</f>
        <v>1</v>
      </c>
      <c r="W41" t="s">
        <v>105</v>
      </c>
      <c r="X41" s="49">
        <f>IF(AND($X$40=$J$2,D27=1),1,0)</f>
        <v>0</v>
      </c>
      <c r="Y41" s="50">
        <f>IF(AND($X$40=$J$2,C27=2),2,0)</f>
        <v>0</v>
      </c>
      <c r="Z41" s="6">
        <f>IF(AND($X$40=$J$2,F27=3),3,0)</f>
        <v>0</v>
      </c>
      <c r="AA41" s="50">
        <f>IF(AND($X$40=$J$2,I27=4),4,0)</f>
        <v>0</v>
      </c>
      <c r="AC41" t="s">
        <v>105</v>
      </c>
      <c r="AD41" s="49">
        <f>IF(AND($AD$40=$J$2,H27=1),1,0)</f>
        <v>0</v>
      </c>
      <c r="AE41" s="50">
        <f>IF(AND($AD$40=$J$2,G27=2),2,0)</f>
        <v>2</v>
      </c>
      <c r="AF41" s="6">
        <f>IF(AND($AD$40=$J$2,D27=3),3,0)</f>
        <v>0</v>
      </c>
      <c r="AG41" s="50">
        <f>IF(AND($AD$40=$J$2,C27=4),4,0)</f>
        <v>4</v>
      </c>
    </row>
    <row r="42" spans="2:33" x14ac:dyDescent="0.3">
      <c r="C42" s="23"/>
      <c r="D42" s="36" t="str">
        <f>F27&amp;"  "&amp;F28</f>
        <v>0  2</v>
      </c>
      <c r="E42" s="37">
        <f>G27</f>
        <v>2</v>
      </c>
      <c r="F42" s="15"/>
      <c r="G42" s="15"/>
      <c r="H42" s="15"/>
      <c r="J42" s="61" t="s">
        <v>106</v>
      </c>
      <c r="K42" s="60" t="str">
        <f t="shared" si="3"/>
        <v/>
      </c>
      <c r="L42" s="60" t="str">
        <f t="shared" si="3"/>
        <v>SBT</v>
      </c>
      <c r="M42" s="60" t="str">
        <f t="shared" si="3"/>
        <v/>
      </c>
      <c r="N42" s="60" t="str">
        <f t="shared" si="3"/>
        <v>WBT</v>
      </c>
      <c r="P42" s="47" t="s">
        <v>106</v>
      </c>
      <c r="Q42" s="49">
        <f>MAX(X42,AD42)</f>
        <v>0</v>
      </c>
      <c r="R42" s="49">
        <f t="shared" si="4"/>
        <v>6</v>
      </c>
      <c r="S42" s="49">
        <f t="shared" si="4"/>
        <v>0</v>
      </c>
      <c r="T42" s="49">
        <f t="shared" si="4"/>
        <v>8</v>
      </c>
      <c r="U42" s="532"/>
      <c r="W42" s="47" t="s">
        <v>106</v>
      </c>
      <c r="X42" s="45">
        <f>IF(AND($X$40=$J$2,B27=5),5,0)</f>
        <v>0</v>
      </c>
      <c r="Y42" s="51">
        <f>IF(AND($X$40=$J$2,E27=6),6,0)</f>
        <v>0</v>
      </c>
      <c r="Z42" s="45">
        <f>IF(AND($X$40=$J$2,H27=7),7,0)</f>
        <v>0</v>
      </c>
      <c r="AA42" s="51">
        <f>IF(AND($X$40=$J$2,G27=8),8,0)</f>
        <v>0</v>
      </c>
      <c r="AC42" s="47" t="s">
        <v>106</v>
      </c>
      <c r="AD42" s="45">
        <f>IF(AND($AD$40=$J$2,F27=5),5,0)</f>
        <v>0</v>
      </c>
      <c r="AE42" s="51">
        <f>IF(AND($AD$40=$J$2,I27=6),6,0)</f>
        <v>6</v>
      </c>
      <c r="AF42" s="45">
        <f>IF(AND($AD$40=$J$2,B27=7),7,0)</f>
        <v>0</v>
      </c>
      <c r="AG42" s="51">
        <f>IF(AND($AD$40=$J$2,E27=8),8,0)</f>
        <v>8</v>
      </c>
    </row>
    <row r="43" spans="2:33" x14ac:dyDescent="0.3">
      <c r="P43"/>
      <c r="Q43" s="42"/>
      <c r="R43" s="42"/>
      <c r="S43" s="42"/>
      <c r="T43" s="42"/>
      <c r="U43" s="6"/>
    </row>
    <row r="44" spans="2:33" hidden="1" x14ac:dyDescent="0.3">
      <c r="P44" s="47"/>
      <c r="Q44" s="531" t="s">
        <v>112</v>
      </c>
      <c r="R44" s="531"/>
      <c r="S44" s="531"/>
      <c r="T44" s="531"/>
      <c r="U44" s="6"/>
    </row>
    <row r="45" spans="2:33" hidden="1" x14ac:dyDescent="0.3">
      <c r="P45" t="s">
        <v>105</v>
      </c>
      <c r="Q45" s="50">
        <f t="shared" ref="Q45:T46" si="5">IF(V36&lt;&gt;0,V36,0)</f>
        <v>0</v>
      </c>
      <c r="R45" s="50">
        <f t="shared" si="5"/>
        <v>0</v>
      </c>
      <c r="S45" s="50">
        <f t="shared" si="5"/>
        <v>0</v>
      </c>
      <c r="T45" s="50">
        <f t="shared" si="5"/>
        <v>0</v>
      </c>
      <c r="U45" s="533">
        <f>IF(V36=0,0,1)</f>
        <v>0</v>
      </c>
    </row>
    <row r="46" spans="2:33" hidden="1" x14ac:dyDescent="0.3">
      <c r="P46" s="47" t="s">
        <v>106</v>
      </c>
      <c r="Q46" s="50">
        <f t="shared" si="5"/>
        <v>0</v>
      </c>
      <c r="R46" s="50">
        <f t="shared" si="5"/>
        <v>0</v>
      </c>
      <c r="S46" s="50">
        <f t="shared" si="5"/>
        <v>0</v>
      </c>
      <c r="T46" s="50">
        <f t="shared" si="5"/>
        <v>0</v>
      </c>
      <c r="U46" s="533"/>
    </row>
    <row r="47" spans="2:33" x14ac:dyDescent="0.3">
      <c r="B47" s="55"/>
      <c r="C47" s="528" t="s">
        <v>113</v>
      </c>
      <c r="D47" s="528"/>
      <c r="E47" s="528"/>
      <c r="F47" s="528"/>
      <c r="J47" s="55"/>
      <c r="K47" s="528" t="s">
        <v>441</v>
      </c>
      <c r="L47" s="528"/>
      <c r="M47" s="528"/>
      <c r="N47" s="528"/>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0</v>
      </c>
      <c r="D49" s="57">
        <f t="shared" si="6"/>
        <v>2</v>
      </c>
      <c r="E49" s="57">
        <f t="shared" si="6"/>
        <v>0</v>
      </c>
      <c r="F49" s="57">
        <f t="shared" si="6"/>
        <v>4</v>
      </c>
      <c r="J49" s="59" t="s">
        <v>105</v>
      </c>
      <c r="K49" s="60">
        <f>Phasing!D46</f>
        <v>0</v>
      </c>
      <c r="L49" s="60" t="e">
        <f>Phasing!E46</f>
        <v>#N/A</v>
      </c>
      <c r="M49" s="60">
        <f>Phasing!F46</f>
        <v>0</v>
      </c>
      <c r="N49" s="60" t="e">
        <f>Phasing!G46</f>
        <v>#N/A</v>
      </c>
      <c r="P49" s="6">
        <f>B27</f>
        <v>0</v>
      </c>
      <c r="Q49" s="6">
        <f t="shared" ref="Q49:W49" si="7">C27</f>
        <v>4</v>
      </c>
      <c r="R49" s="6">
        <f t="shared" si="7"/>
        <v>0</v>
      </c>
      <c r="S49" s="6">
        <f t="shared" si="7"/>
        <v>8</v>
      </c>
      <c r="T49" s="6">
        <f t="shared" si="7"/>
        <v>0</v>
      </c>
      <c r="U49" s="6">
        <f t="shared" si="7"/>
        <v>2</v>
      </c>
      <c r="V49" s="6">
        <f t="shared" si="7"/>
        <v>0</v>
      </c>
      <c r="W49" s="6">
        <f t="shared" si="7"/>
        <v>6</v>
      </c>
    </row>
    <row r="50" spans="2:23" x14ac:dyDescent="0.3">
      <c r="B50" s="184" t="s">
        <v>106</v>
      </c>
      <c r="C50" s="57">
        <f t="shared" si="6"/>
        <v>0</v>
      </c>
      <c r="D50" s="57">
        <f t="shared" si="6"/>
        <v>6</v>
      </c>
      <c r="E50" s="57">
        <f t="shared" si="6"/>
        <v>0</v>
      </c>
      <c r="F50" s="57">
        <f t="shared" si="6"/>
        <v>8</v>
      </c>
      <c r="J50" s="61" t="s">
        <v>106</v>
      </c>
      <c r="K50" s="60">
        <f>Phasing!H46</f>
        <v>0</v>
      </c>
      <c r="L50" s="60" t="e">
        <f>Phasing!I46</f>
        <v>#N/A</v>
      </c>
      <c r="M50" s="60">
        <f>Phasing!J46</f>
        <v>0</v>
      </c>
      <c r="N50" s="60" t="e">
        <f>Phasing!K46</f>
        <v>#N/A</v>
      </c>
      <c r="P50" s="6">
        <f t="shared" ref="P50:W50" si="8">IF(P49&gt;0,B26,0)</f>
        <v>0</v>
      </c>
      <c r="Q50" s="6" t="str">
        <f t="shared" si="8"/>
        <v>EBT</v>
      </c>
      <c r="R50" s="6">
        <f t="shared" si="8"/>
        <v>0</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28" t="s">
        <v>442</v>
      </c>
      <c r="L52" s="528"/>
      <c r="M52" s="528"/>
      <c r="N52" s="528"/>
      <c r="P52" s="62" t="s">
        <v>105</v>
      </c>
      <c r="Q52" s="70">
        <f t="shared" ref="Q52:T53" si="9">MATCH(K36,$P$49:$W$49,0)</f>
        <v>1</v>
      </c>
      <c r="R52" s="70">
        <f t="shared" si="9"/>
        <v>6</v>
      </c>
      <c r="S52" s="70">
        <f t="shared" si="9"/>
        <v>1</v>
      </c>
      <c r="T52" s="70">
        <f t="shared" si="9"/>
        <v>2</v>
      </c>
    </row>
    <row r="53" spans="2:23" x14ac:dyDescent="0.3">
      <c r="J53" s="56"/>
      <c r="K53" s="57" t="str">
        <f>IF($U$41=0,"b","")</f>
        <v/>
      </c>
      <c r="L53" s="57" t="str">
        <f>IF(OR($U$41=0,$U$41=1),"b","")</f>
        <v>b</v>
      </c>
      <c r="M53" s="57" t="str">
        <f>IF($U$41=0,"b","")</f>
        <v/>
      </c>
      <c r="N53" s="58"/>
      <c r="P53" s="47" t="s">
        <v>106</v>
      </c>
      <c r="Q53" s="70">
        <f t="shared" si="9"/>
        <v>1</v>
      </c>
      <c r="R53" s="70">
        <f t="shared" si="9"/>
        <v>8</v>
      </c>
      <c r="S53" s="70">
        <f t="shared" si="9"/>
        <v>1</v>
      </c>
      <c r="T53" s="70">
        <f t="shared" si="9"/>
        <v>4</v>
      </c>
    </row>
    <row r="54" spans="2:23" x14ac:dyDescent="0.3">
      <c r="J54" s="59" t="s">
        <v>105</v>
      </c>
      <c r="K54" s="60">
        <f>Phasing!D47</f>
        <v>0</v>
      </c>
      <c r="L54" s="60" t="e">
        <f>Phasing!E47</f>
        <v>#N/A</v>
      </c>
      <c r="M54" s="60">
        <f>Phasing!F47</f>
        <v>0</v>
      </c>
      <c r="N54" s="60" t="e">
        <f>Phasing!G47</f>
        <v>#N/A</v>
      </c>
      <c r="Q54" s="70"/>
      <c r="R54" s="70"/>
      <c r="S54" s="70"/>
      <c r="T54" s="70"/>
    </row>
    <row r="55" spans="2:23" x14ac:dyDescent="0.3">
      <c r="J55" s="61" t="s">
        <v>106</v>
      </c>
      <c r="K55" s="60">
        <f>Phasing!H47</f>
        <v>0</v>
      </c>
      <c r="L55" s="60" t="e">
        <f>Phasing!I47</f>
        <v>#N/A</v>
      </c>
      <c r="M55" s="60">
        <f>Phasing!J47</f>
        <v>0</v>
      </c>
      <c r="N55" s="60" t="e">
        <f>Phasing!K47</f>
        <v>#N/A</v>
      </c>
      <c r="P55" s="62" t="s">
        <v>105</v>
      </c>
      <c r="Q55" s="70">
        <f>IF(Q52&gt;0,INDEX($P$49:$W$50,2,Q52),0)</f>
        <v>0</v>
      </c>
      <c r="R55" s="70" t="str">
        <f>IF(R52&gt;0,INDEX($P$49:$W$50,2,R52),0)</f>
        <v>NBT</v>
      </c>
      <c r="S55" s="70">
        <f>IF(S52&gt;0,INDEX($P$49:$W$50,2,S52),0)</f>
        <v>0</v>
      </c>
      <c r="T55" s="70" t="str">
        <f t="shared" ref="R55:T56" si="10">INDEX($P$49:$W$50,2,T52)</f>
        <v>EBT</v>
      </c>
    </row>
    <row r="56" spans="2:23" x14ac:dyDescent="0.3">
      <c r="P56" s="47" t="s">
        <v>106</v>
      </c>
      <c r="Q56" s="70">
        <f>INDEX($P$49:$W$50,2,Q53)</f>
        <v>0</v>
      </c>
      <c r="R56" s="70" t="str">
        <f t="shared" si="10"/>
        <v>SBT</v>
      </c>
      <c r="S56" s="70">
        <f t="shared" si="10"/>
        <v>0</v>
      </c>
      <c r="T56" s="70" t="str">
        <f t="shared" si="10"/>
        <v>WBT</v>
      </c>
    </row>
    <row r="59" spans="2:23" x14ac:dyDescent="0.3">
      <c r="J59" s="519" t="s">
        <v>443</v>
      </c>
      <c r="K59" s="527"/>
      <c r="L59" s="519" t="s">
        <v>444</v>
      </c>
      <c r="M59" s="527"/>
      <c r="N59" s="519" t="s">
        <v>445</v>
      </c>
      <c r="O59" s="527"/>
      <c r="P59" s="519" t="s">
        <v>446</v>
      </c>
      <c r="Q59" s="527"/>
      <c r="R59" s="84"/>
      <c r="S59" s="84"/>
      <c r="T59" s="84"/>
      <c r="U59" s="84"/>
      <c r="V59" s="84"/>
      <c r="W59" s="84"/>
    </row>
    <row r="60" spans="2:23" x14ac:dyDescent="0.3">
      <c r="I60" t="s">
        <v>105</v>
      </c>
      <c r="J60" s="379">
        <f>K49</f>
        <v>0</v>
      </c>
      <c r="K60" s="379">
        <f>K54</f>
        <v>0</v>
      </c>
      <c r="L60" s="379" t="e">
        <f>L49</f>
        <v>#N/A</v>
      </c>
      <c r="M60" s="379" t="e">
        <f>L54</f>
        <v>#N/A</v>
      </c>
      <c r="N60" s="379">
        <f>M49</f>
        <v>0</v>
      </c>
      <c r="O60" s="379">
        <f>M54</f>
        <v>0</v>
      </c>
      <c r="P60" s="87" t="e">
        <f>N49</f>
        <v>#N/A</v>
      </c>
      <c r="Q60" s="87" t="e">
        <f>N54</f>
        <v>#N/A</v>
      </c>
      <c r="R60" s="82"/>
      <c r="S60" s="82"/>
      <c r="T60" s="82"/>
      <c r="U60" s="82"/>
      <c r="V60" s="82"/>
      <c r="W60" s="83"/>
    </row>
    <row r="61" spans="2:23" x14ac:dyDescent="0.3">
      <c r="I61" t="s">
        <v>106</v>
      </c>
      <c r="J61" s="379">
        <f>K50</f>
        <v>0</v>
      </c>
      <c r="K61" s="379">
        <f>K55</f>
        <v>0</v>
      </c>
      <c r="L61" s="379" t="e">
        <f>L50</f>
        <v>#N/A</v>
      </c>
      <c r="M61" s="379" t="e">
        <f>L55</f>
        <v>#N/A</v>
      </c>
      <c r="N61" s="379">
        <f>M50</f>
        <v>0</v>
      </c>
      <c r="O61" s="379">
        <f>M55</f>
        <v>0</v>
      </c>
      <c r="P61" s="87" t="e">
        <f>N50</f>
        <v>#N/A</v>
      </c>
      <c r="Q61" s="87" t="e">
        <f>N55</f>
        <v>#N/A</v>
      </c>
      <c r="R61" s="45"/>
      <c r="S61" s="45"/>
      <c r="T61" s="45"/>
      <c r="U61" s="45"/>
      <c r="V61" s="45"/>
      <c r="W61" s="45"/>
    </row>
    <row r="62" spans="2:23" x14ac:dyDescent="0.3">
      <c r="J62" s="519" t="s">
        <v>447</v>
      </c>
      <c r="K62" s="527"/>
      <c r="L62" s="519" t="s">
        <v>448</v>
      </c>
      <c r="M62" s="527"/>
      <c r="N62" s="519" t="s">
        <v>449</v>
      </c>
      <c r="O62" s="527"/>
      <c r="P62" s="519" t="s">
        <v>450</v>
      </c>
      <c r="Q62" s="527"/>
      <c r="R62" s="45"/>
      <c r="S62" s="45"/>
      <c r="T62" s="45"/>
      <c r="U62" s="45"/>
      <c r="V62" s="45"/>
      <c r="W62" s="45"/>
    </row>
    <row r="63" spans="2:23" x14ac:dyDescent="0.3">
      <c r="P63" s="81"/>
      <c r="Q63" s="81"/>
      <c r="R63" s="81"/>
      <c r="S63" s="81"/>
      <c r="T63" s="81"/>
      <c r="U63" s="81"/>
      <c r="V63" s="81"/>
      <c r="W63" s="81"/>
    </row>
    <row r="64" spans="2:23" x14ac:dyDescent="0.3">
      <c r="J64" t="s">
        <v>105</v>
      </c>
      <c r="K64" s="379">
        <v>0</v>
      </c>
      <c r="L64" s="379" t="e">
        <f>L60</f>
        <v>#N/A</v>
      </c>
      <c r="M64" s="379">
        <f>N60</f>
        <v>0</v>
      </c>
      <c r="N64" s="379" t="e">
        <f>P60</f>
        <v>#N/A</v>
      </c>
      <c r="O64" s="379" t="e">
        <f>Q60</f>
        <v>#N/A</v>
      </c>
      <c r="P64" s="81"/>
      <c r="Q64" s="81"/>
      <c r="R64" s="81"/>
      <c r="S64" s="81"/>
      <c r="T64" s="81"/>
      <c r="U64" s="81"/>
      <c r="V64" s="81"/>
      <c r="W64" s="81"/>
    </row>
    <row r="65" spans="10:23" x14ac:dyDescent="0.3">
      <c r="J65" t="s">
        <v>106</v>
      </c>
      <c r="K65" s="379">
        <v>0</v>
      </c>
      <c r="L65" s="379" t="e">
        <f>L61</f>
        <v>#N/A</v>
      </c>
      <c r="M65" s="379">
        <f>N61</f>
        <v>0</v>
      </c>
      <c r="N65" s="379" t="e">
        <f>P61</f>
        <v>#N/A</v>
      </c>
      <c r="O65" s="379" t="e">
        <f>Q61</f>
        <v>#N/A</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38" t="s">
        <v>151</v>
      </c>
      <c r="C2" s="538"/>
      <c r="D2" s="538"/>
      <c r="E2" s="538"/>
      <c r="T2" s="538" t="s">
        <v>198</v>
      </c>
      <c r="U2" s="538"/>
      <c r="V2" s="538"/>
      <c r="W2" s="538"/>
      <c r="AK2" s="538" t="s">
        <v>199</v>
      </c>
      <c r="AL2" s="538"/>
      <c r="AM2" s="538"/>
      <c r="AN2" s="538"/>
      <c r="BB2" s="538" t="s">
        <v>200</v>
      </c>
      <c r="BC2" s="538"/>
      <c r="BD2" s="538"/>
      <c r="BE2" s="538"/>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0</v>
      </c>
      <c r="D5" s="77">
        <f>C5</f>
        <v>0</v>
      </c>
      <c r="T5" s="62" t="s">
        <v>164</v>
      </c>
      <c r="U5" s="77">
        <f>ROUND(Sheet1!U4*(1-'Input sheet'!N11/100),0)</f>
        <v>0</v>
      </c>
      <c r="V5" s="77">
        <f>U5</f>
        <v>0</v>
      </c>
      <c r="AK5" s="62" t="s">
        <v>164</v>
      </c>
      <c r="AL5" s="77">
        <f>ROUND((Sheet1!F4+Sheet1!Y4+Sheet1!AB4)*(1-'Input sheet'!L22/100),0)</f>
        <v>0</v>
      </c>
      <c r="AM5" s="77">
        <f>AL5</f>
        <v>0</v>
      </c>
      <c r="BB5" s="62" t="s">
        <v>164</v>
      </c>
      <c r="BC5" s="77">
        <f>ROUND((Sheet1!K4+Sheet1!AE4+Sheet1!AH4)*(1-'Input sheet'!H7/100),0)</f>
        <v>0</v>
      </c>
      <c r="BD5" s="77">
        <f>BC5</f>
        <v>0</v>
      </c>
    </row>
    <row r="6" spans="2:57" s="282" customFormat="1" x14ac:dyDescent="0.3">
      <c r="B6" s="282" t="s">
        <v>167</v>
      </c>
      <c r="C6" s="256">
        <f>Sheet1!P5</f>
        <v>0</v>
      </c>
      <c r="D6" s="256">
        <v>1</v>
      </c>
      <c r="T6" s="282" t="s">
        <v>167</v>
      </c>
      <c r="U6" s="256">
        <f>Sheet1!U5</f>
        <v>0</v>
      </c>
      <c r="V6" s="256">
        <v>1</v>
      </c>
      <c r="AK6" s="282" t="s">
        <v>167</v>
      </c>
      <c r="AL6" s="256">
        <f>Sheet1!F5+Sheet1!Y5+Sheet1!AB5</f>
        <v>0</v>
      </c>
      <c r="AM6" s="256">
        <v>1</v>
      </c>
      <c r="BB6" s="282" t="s">
        <v>167</v>
      </c>
      <c r="BC6" s="256">
        <f>Sheet1!K5+Sheet1!AE5+Sheet1!AH5</f>
        <v>0</v>
      </c>
      <c r="BD6" s="256">
        <v>1</v>
      </c>
    </row>
    <row r="7" spans="2:57" s="62" customFormat="1" x14ac:dyDescent="0.3">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82" customFormat="1" x14ac:dyDescent="0.3">
      <c r="B8" s="282" t="s">
        <v>168</v>
      </c>
      <c r="C8" s="256">
        <f>ROUND(IF(C6=0,0,C5/(C6*C7)),0)</f>
        <v>0</v>
      </c>
      <c r="D8" s="256">
        <f>ROUND(IF(C6=0,D5/(D6*D7),0),0)</f>
        <v>0</v>
      </c>
      <c r="T8" s="282" t="s">
        <v>168</v>
      </c>
      <c r="U8" s="256">
        <f>ROUND(IF(U6=0,0,U5/(U6*U7)),0)</f>
        <v>0</v>
      </c>
      <c r="V8" s="256">
        <f>ROUND(IF(U6=0,V5/(V6*V7),0),0)</f>
        <v>0</v>
      </c>
      <c r="AK8" s="282" t="s">
        <v>168</v>
      </c>
      <c r="AL8" s="256">
        <f>ROUND(IF(AL6=0,0,AL5/(AL6*AL7)),0)</f>
        <v>0</v>
      </c>
      <c r="AM8" s="256">
        <f>ROUND(IF(AL6=0,AM5/(AM6*AM7),0),0)</f>
        <v>0</v>
      </c>
      <c r="BB8" s="282" t="s">
        <v>168</v>
      </c>
      <c r="BC8" s="256">
        <f>ROUND(IF(BC6=0,0,BC5/(BC6*BC7)),0)</f>
        <v>0</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0</v>
      </c>
      <c r="T11" s="62" t="s">
        <v>165</v>
      </c>
      <c r="U11" s="77">
        <f>Sheet1!S4</f>
        <v>0</v>
      </c>
      <c r="AK11" s="62" t="s">
        <v>165</v>
      </c>
      <c r="AL11" s="77">
        <f>Sheet1!D4+Sheet1!W4+Sheet1!Z4</f>
        <v>0</v>
      </c>
      <c r="BB11" s="62" t="s">
        <v>165</v>
      </c>
      <c r="BC11" s="77">
        <f>Sheet1!I4+Sheet1!AC4+Sheet1!AF4</f>
        <v>0</v>
      </c>
    </row>
    <row r="12" spans="2:57" s="282" customFormat="1" x14ac:dyDescent="0.3">
      <c r="B12" s="282" t="s">
        <v>169</v>
      </c>
      <c r="C12" s="256">
        <f>SUM(Sheet1!S4:U4)-Sheet1!S4</f>
        <v>0</v>
      </c>
      <c r="T12" s="282" t="s">
        <v>169</v>
      </c>
      <c r="U12" s="256">
        <f>SUM(Sheet1!N4:P4)-Sheet1!N4</f>
        <v>0</v>
      </c>
      <c r="AK12" s="282" t="s">
        <v>169</v>
      </c>
      <c r="AL12" s="256">
        <f>SUM(Sheet1!I4:K4,Sheet1!AC4:AH4)-Sheet1!AF4-Sheet1!AC4-Sheet1!I4</f>
        <v>0</v>
      </c>
      <c r="BB12" s="282" t="s">
        <v>169</v>
      </c>
      <c r="BC12" s="256">
        <f>SUM(Sheet1!D4:F4,Sheet1!W4:AB4)-Sheet1!Z4-Sheet1!W4-Sheet1!D4</f>
        <v>0</v>
      </c>
    </row>
    <row r="13" spans="2:57" s="62" customFormat="1" x14ac:dyDescent="0.3">
      <c r="B13" s="62" t="s">
        <v>170</v>
      </c>
      <c r="C13" s="77">
        <f>Sheet1!N5</f>
        <v>0</v>
      </c>
      <c r="T13" s="62" t="s">
        <v>170</v>
      </c>
      <c r="U13" s="77">
        <f>Sheet1!S5</f>
        <v>0</v>
      </c>
      <c r="AK13" s="62" t="s">
        <v>170</v>
      </c>
      <c r="AL13" s="77">
        <f>Sheet1!D5+Sheet1!W5+Sheet1!Z5</f>
        <v>0</v>
      </c>
      <c r="BB13" s="62" t="s">
        <v>170</v>
      </c>
      <c r="BC13" s="77">
        <f>Sheet1!I5+Sheet1!AC4+Sheet1!AF4</f>
        <v>0</v>
      </c>
    </row>
    <row r="14" spans="2:57" s="282" customFormat="1" x14ac:dyDescent="0.3">
      <c r="B14" s="282" t="s">
        <v>171</v>
      </c>
      <c r="C14" s="256">
        <f>MAX(C18:C21)</f>
        <v>0</v>
      </c>
      <c r="D14" s="341">
        <f>IF(OR('Phase designation'!B22=1,'Phase designation'!B22=3),1,0)</f>
        <v>0</v>
      </c>
      <c r="T14" s="282" t="s">
        <v>171</v>
      </c>
      <c r="U14" s="256">
        <f>MAX(U18:U21)</f>
        <v>0</v>
      </c>
      <c r="V14" s="341">
        <f>IF(OR('Phase designation'!D22=1,'Phase designation'!D22=3),1,0)</f>
        <v>0</v>
      </c>
      <c r="AK14" s="282" t="s">
        <v>171</v>
      </c>
      <c r="AL14" s="256">
        <f>MAX(AL18:AL21)</f>
        <v>0</v>
      </c>
      <c r="AM14" s="341">
        <f>IF(OR('Phase designation'!F22=1,'Phase designation'!F22=3),1,0)</f>
        <v>0</v>
      </c>
      <c r="BB14" s="282" t="s">
        <v>171</v>
      </c>
      <c r="BC14" s="256">
        <f>MAX(BC18:BC21)</f>
        <v>0</v>
      </c>
      <c r="BD14" s="341">
        <f>IF(OR('Phase designation'!H22=1,'Phase designation'!H22=3),1,0)</f>
        <v>0</v>
      </c>
    </row>
    <row r="15" spans="2:57" s="62" customFormat="1" x14ac:dyDescent="0.3">
      <c r="B15" s="539" t="s">
        <v>156</v>
      </c>
      <c r="C15" s="77" t="s">
        <v>173</v>
      </c>
      <c r="D15" s="77" t="s">
        <v>174</v>
      </c>
      <c r="E15" s="77" t="s">
        <v>175</v>
      </c>
      <c r="T15" s="539" t="s">
        <v>156</v>
      </c>
      <c r="U15" s="77" t="s">
        <v>173</v>
      </c>
      <c r="V15" s="77" t="s">
        <v>174</v>
      </c>
      <c r="W15" s="77" t="s">
        <v>175</v>
      </c>
      <c r="AK15" s="539" t="s">
        <v>156</v>
      </c>
      <c r="AL15" s="77" t="s">
        <v>173</v>
      </c>
      <c r="AM15" s="77" t="s">
        <v>174</v>
      </c>
      <c r="AN15" s="77" t="s">
        <v>175</v>
      </c>
      <c r="BB15" s="539" t="s">
        <v>156</v>
      </c>
      <c r="BC15" s="77" t="s">
        <v>173</v>
      </c>
      <c r="BD15" s="77" t="s">
        <v>174</v>
      </c>
      <c r="BE15" s="77" t="s">
        <v>175</v>
      </c>
    </row>
    <row r="16" spans="2:57" s="282" customFormat="1" x14ac:dyDescent="0.3">
      <c r="B16" s="539"/>
      <c r="C16" s="293">
        <v>0</v>
      </c>
      <c r="D16" s="293">
        <f>IF(D14=1,D17,0)</f>
        <v>0</v>
      </c>
      <c r="E16" s="293">
        <f>ROUND(IF(OR(C20&gt;0,C21&gt;0),C11/(C13*C14),0),0)</f>
        <v>0</v>
      </c>
      <c r="T16" s="539"/>
      <c r="U16" s="293">
        <v>0</v>
      </c>
      <c r="V16" s="293">
        <f>IF(V14=1,V17,0)</f>
        <v>0</v>
      </c>
      <c r="W16" s="293">
        <f>ROUND(IF(OR(U20&gt;0,U21&gt;0),U11/(U13*U14),0),0)</f>
        <v>0</v>
      </c>
      <c r="AK16" s="539"/>
      <c r="AL16" s="293">
        <v>0</v>
      </c>
      <c r="AM16" s="293">
        <f>IF(AM14=1,AM17,0)</f>
        <v>0</v>
      </c>
      <c r="AN16" s="293">
        <f>ROUND(IF(OR(AL20&gt;0,AL21&gt;0),AL11/(AL13*AL14),0),0)</f>
        <v>0</v>
      </c>
      <c r="BB16" s="539"/>
      <c r="BC16" s="293">
        <v>0</v>
      </c>
      <c r="BD16" s="293">
        <f>IF(BD14=1,BD17,0)</f>
        <v>0</v>
      </c>
      <c r="BE16" s="293">
        <f>ROUND(IF(OR(BC20&gt;0,BC21&gt;0),BC11/(BC13*BC14),0),0)</f>
        <v>0</v>
      </c>
    </row>
    <row r="17" spans="2:57" s="62" customFormat="1" x14ac:dyDescent="0.3">
      <c r="D17" s="292">
        <f>ROUND(IF(OR(C18&gt;0,C19&gt;0),C11/(C13*C14),0),0)</f>
        <v>0</v>
      </c>
      <c r="V17" s="292">
        <f>ROUND(IF(OR(U18&gt;0,U19&gt;0),U11/(U13*U14),0),0)</f>
        <v>0</v>
      </c>
      <c r="AM17" s="292">
        <f>ROUND(IF(OR(AL18&gt;0,AL19&gt;0),AL11/(AL13*AL14),0),0)</f>
        <v>0</v>
      </c>
      <c r="BD17" s="292">
        <f>ROUND(IF(OR(BC18&gt;0,BC19&gt;0),BC11/(BC13*BC14),0),0)</f>
        <v>0</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v>
      </c>
      <c r="BB18" s="62" t="s">
        <v>157</v>
      </c>
      <c r="BC18" s="62">
        <f>IF(AND(SUM(Sheet1!D5:F5,Sheet1!W5:Y5,Sheet1!Z5:AB5)&gt;0,'Lane volumes'!BC13=1),0.95,0)</f>
        <v>0</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0</v>
      </c>
      <c r="E24" s="77">
        <f>IF(OR(C20&gt;0,C21&gt;0),Sheet1!O4,0)</f>
        <v>0</v>
      </c>
      <c r="T24" s="62" t="s">
        <v>193</v>
      </c>
      <c r="U24" s="77">
        <f>IF(AND('Phase designation'!D22=2,W16=0),Sheet1!T4,0)</f>
        <v>0</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0</v>
      </c>
      <c r="AN24" s="77">
        <f>IF(OR(AL20&gt;0,AL21&gt;0),Sheet1!E4+Sheet1!X4+Sheet1!AA4,0)</f>
        <v>0</v>
      </c>
      <c r="BB24" s="62" t="s">
        <v>193</v>
      </c>
      <c r="BC24" s="77">
        <f>IF(AND('Phase designation'!H22=2,BE16=0),Sheet1!J4+Sheet1!AD4+Sheet1!AG4,0)</f>
        <v>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0</v>
      </c>
      <c r="D26" s="77">
        <f>C26</f>
        <v>0</v>
      </c>
      <c r="E26" s="77">
        <f>C26</f>
        <v>0</v>
      </c>
      <c r="T26" s="62" t="s">
        <v>163</v>
      </c>
      <c r="U26" s="77">
        <f>Sheet1!T5</f>
        <v>0</v>
      </c>
      <c r="V26" s="77">
        <f>U26</f>
        <v>0</v>
      </c>
      <c r="W26" s="77">
        <f>U26</f>
        <v>0</v>
      </c>
      <c r="AK26" s="62" t="s">
        <v>163</v>
      </c>
      <c r="AL26" s="77">
        <f>Sheet1!E5+Sheet1!X5+Sheet1!AA5</f>
        <v>0</v>
      </c>
      <c r="AM26" s="77">
        <f>AL26</f>
        <v>0</v>
      </c>
      <c r="AN26" s="77">
        <f>AL26</f>
        <v>0</v>
      </c>
      <c r="BB26" s="62" t="s">
        <v>163</v>
      </c>
      <c r="BC26" s="77">
        <f>Sheet1!J5+Sheet1!AD5+Sheet1!AG5</f>
        <v>0</v>
      </c>
      <c r="BD26" s="77">
        <f>BC26</f>
        <v>0</v>
      </c>
      <c r="BE26" s="77">
        <f>BC26</f>
        <v>0</v>
      </c>
    </row>
    <row r="27" spans="2:57" s="282" customFormat="1" x14ac:dyDescent="0.3">
      <c r="B27" s="282" t="s">
        <v>162</v>
      </c>
      <c r="C27" s="256">
        <f>IF(C24=0,0,(D8+C24)/C25)</f>
        <v>0</v>
      </c>
      <c r="D27" s="256">
        <f>IF(D24=0,0,(D8+D24)/D25)</f>
        <v>0</v>
      </c>
      <c r="E27" s="256">
        <f>IF(E24=0,0,(D8+E24+E16)/E25)</f>
        <v>0</v>
      </c>
      <c r="T27" s="282" t="s">
        <v>162</v>
      </c>
      <c r="U27" s="256">
        <f>IF(U24=0,0,(V8+U24)/U25)</f>
        <v>0</v>
      </c>
      <c r="V27" s="256">
        <f>IF(V24=0,0,(V8+V24)/V25)</f>
        <v>0</v>
      </c>
      <c r="W27" s="256">
        <f>IF(W24=0,0,(V8+W24+W16)/W25)</f>
        <v>0</v>
      </c>
      <c r="AK27" s="282" t="s">
        <v>162</v>
      </c>
      <c r="AL27" s="256">
        <f>IF(AL24=0,0,(AM8+AL24)/AL25)</f>
        <v>0</v>
      </c>
      <c r="AM27" s="256">
        <f>IF(AM24=0,0,(AM8+AM24)/AM25)</f>
        <v>0</v>
      </c>
      <c r="AN27" s="256">
        <f>IF(AN24=0,0,(AM8+AN24+AN16)/AN25)</f>
        <v>0</v>
      </c>
      <c r="BB27" s="282" t="s">
        <v>162</v>
      </c>
      <c r="BC27" s="256">
        <f>IF(BC24=0,0,(BD8+BC24)/BC25)</f>
        <v>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0</v>
      </c>
      <c r="E30" s="77">
        <f>IF(E26&gt;0,ROUND(E27/E26,0),0)</f>
        <v>0</v>
      </c>
      <c r="T30" s="62" t="s">
        <v>178</v>
      </c>
      <c r="U30" s="77">
        <f>IF(U26&gt;0,ROUND(U27/U26,0),0)</f>
        <v>0</v>
      </c>
      <c r="V30" s="77">
        <f>IF(V26&gt;0,ROUND(V27/V26,0),0)</f>
        <v>0</v>
      </c>
      <c r="W30" s="77">
        <f>IF(W26&gt;0,ROUND(W27/W26,0),0)</f>
        <v>0</v>
      </c>
      <c r="AK30" s="62" t="s">
        <v>178</v>
      </c>
      <c r="AL30" s="77">
        <f>IF(AL26&gt;0,ROUND(AL27/AL26,0),0)</f>
        <v>0</v>
      </c>
      <c r="AM30" s="77">
        <f>IF(AM26&gt;0,ROUND(AM27/AM26,0),0)</f>
        <v>0</v>
      </c>
      <c r="AN30" s="77">
        <f>IF(AN26&gt;0,ROUND(AN27/AN26,0),0)</f>
        <v>0</v>
      </c>
      <c r="BB30" s="62" t="s">
        <v>178</v>
      </c>
      <c r="BC30" s="77">
        <f>IF(BC26&gt;0,ROUND(BC27/BC26,0),0)</f>
        <v>0</v>
      </c>
      <c r="BD30" s="77">
        <f>IF(BD26&gt;0,ROUND(BD27/BD26,0),0)</f>
        <v>0</v>
      </c>
      <c r="BE30" s="77">
        <f>IF(BE26&gt;0,ROUND(BE27/BE26,0),0)</f>
        <v>0</v>
      </c>
    </row>
    <row r="31" spans="2:57" s="282" customFormat="1" ht="30" customHeight="1" x14ac:dyDescent="0.3">
      <c r="B31" s="295" t="s">
        <v>177</v>
      </c>
      <c r="C31" s="293">
        <f>IF(C30=0,0,MAX(C30,C8,E16))</f>
        <v>0</v>
      </c>
      <c r="D31" s="293">
        <f>IF(D30=0,0,MAX(D30,C8,E16))</f>
        <v>0</v>
      </c>
      <c r="E31" s="293">
        <f>IF(E30=0,0,MAX(E30,C8,E16))</f>
        <v>0</v>
      </c>
      <c r="T31" s="295" t="s">
        <v>177</v>
      </c>
      <c r="U31" s="293">
        <f>IF(U30=0,0,MAX(U30,U8,W16))</f>
        <v>0</v>
      </c>
      <c r="V31" s="293">
        <f>IF(V30=0,0,MAX(V30,U8,W16))</f>
        <v>0</v>
      </c>
      <c r="W31" s="293">
        <f>IF(W30=0,0,MAX(W30,U8,W16))</f>
        <v>0</v>
      </c>
      <c r="AK31" s="295" t="s">
        <v>177</v>
      </c>
      <c r="AL31" s="293">
        <f>IF(AL30=0,0,MAX(AL30,AL8,AN16))</f>
        <v>0</v>
      </c>
      <c r="AM31" s="293">
        <f>IF(AM30=0,0,MAX(AM30,AL8,AN16))</f>
        <v>0</v>
      </c>
      <c r="AN31" s="293">
        <f>IF(AN30=0,0,MAX(AN30,AL8,AN16))</f>
        <v>0</v>
      </c>
      <c r="BB31" s="295" t="s">
        <v>177</v>
      </c>
      <c r="BC31" s="293">
        <f>IF(BC30=0,0,MAX(BC30,BC8,BE16))</f>
        <v>0</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0</v>
      </c>
      <c r="D34" s="77">
        <v>0</v>
      </c>
      <c r="E34" s="77">
        <v>0</v>
      </c>
      <c r="T34" s="62" t="s">
        <v>180</v>
      </c>
      <c r="U34" s="77">
        <f>MAX(V56:V57)</f>
        <v>0</v>
      </c>
      <c r="V34" s="77">
        <v>0</v>
      </c>
      <c r="W34" s="77">
        <v>0</v>
      </c>
      <c r="AK34" s="62" t="s">
        <v>180</v>
      </c>
      <c r="AL34" s="77">
        <f>MAX(AM56:AM57)</f>
        <v>0</v>
      </c>
      <c r="AM34" s="77">
        <v>0</v>
      </c>
      <c r="AN34" s="77">
        <v>0</v>
      </c>
      <c r="BB34" s="62" t="s">
        <v>180</v>
      </c>
      <c r="BC34" s="77">
        <f>MAX(BD56:BD57)</f>
        <v>0</v>
      </c>
      <c r="BD34" s="77">
        <v>0</v>
      </c>
      <c r="BE34" s="77">
        <v>0</v>
      </c>
    </row>
    <row r="35" spans="2:69" s="282" customFormat="1" x14ac:dyDescent="0.3">
      <c r="B35" s="282" t="s">
        <v>181</v>
      </c>
      <c r="C35" s="256">
        <f>IF(Sheet1!O6=0,INDEX(C42:Q43,2,C44+1),INDEX(C42:Q43,1,C44+1))</f>
        <v>1.3</v>
      </c>
      <c r="D35" s="256">
        <v>0</v>
      </c>
      <c r="E35" s="256">
        <v>0</v>
      </c>
      <c r="T35" s="282" t="s">
        <v>181</v>
      </c>
      <c r="U35" s="256">
        <f>IF(Sheet1!T6=0,INDEX(U42:AI43,2,U44+1),INDEX(U42:AI43,1,U44+1))</f>
        <v>1.3</v>
      </c>
      <c r="V35" s="256">
        <v>0</v>
      </c>
      <c r="W35" s="256">
        <v>0</v>
      </c>
      <c r="AK35" s="282" t="s">
        <v>181</v>
      </c>
      <c r="AL35" s="256">
        <f>IF(Sheet1!E6=0,INDEX(AL42:AZ43,2,AL44+1),INDEX(AL42:AZ43,1,AL44+1))</f>
        <v>1.3</v>
      </c>
      <c r="AM35" s="256">
        <v>0</v>
      </c>
      <c r="AN35" s="256">
        <v>0</v>
      </c>
      <c r="BB35" s="282" t="s">
        <v>181</v>
      </c>
      <c r="BC35" s="256">
        <f>IF(Sheet1!J6=0,INDEX(BC42:BQ43,2,BC44+1),INDEX(BC42:BQ43,1,BC44+1))</f>
        <v>1.3</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40" t="s">
        <v>184</v>
      </c>
      <c r="D40" s="540"/>
      <c r="E40" s="540"/>
      <c r="F40" s="540"/>
      <c r="G40" s="540"/>
      <c r="H40" s="540"/>
      <c r="I40" s="540"/>
      <c r="U40" s="540" t="s">
        <v>184</v>
      </c>
      <c r="V40" s="540"/>
      <c r="W40" s="540"/>
      <c r="X40" s="540"/>
      <c r="Y40" s="540"/>
      <c r="Z40" s="540"/>
      <c r="AA40" s="540"/>
      <c r="AL40" s="540" t="s">
        <v>184</v>
      </c>
      <c r="AM40" s="540"/>
      <c r="AN40" s="540"/>
      <c r="AO40" s="540"/>
      <c r="AP40" s="540"/>
      <c r="AQ40" s="540"/>
      <c r="AR40" s="540"/>
      <c r="BC40" s="540" t="s">
        <v>184</v>
      </c>
      <c r="BD40" s="540"/>
      <c r="BE40" s="540"/>
      <c r="BF40" s="540"/>
      <c r="BG40" s="540"/>
      <c r="BH40" s="540"/>
      <c r="BI40" s="540"/>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t="e">
        <f>ROUND((1750/J44)-J46,2)</f>
        <v>#DIV/0!</v>
      </c>
      <c r="K42" s="77" t="e">
        <f t="shared" ref="K42:Q42" si="0">ROUND((1750/K44)-K46,2)</f>
        <v>#DIV/0!</v>
      </c>
      <c r="L42" s="77" t="e">
        <f t="shared" si="0"/>
        <v>#DIV/0!</v>
      </c>
      <c r="M42" s="77" t="e">
        <f t="shared" si="0"/>
        <v>#DIV/0!</v>
      </c>
      <c r="N42" s="77" t="e">
        <f t="shared" si="0"/>
        <v>#DIV/0!</v>
      </c>
      <c r="O42" s="77" t="e">
        <f t="shared" si="0"/>
        <v>#DIV/0!</v>
      </c>
      <c r="P42" s="77" t="e">
        <f t="shared" si="0"/>
        <v>#DIV/0!</v>
      </c>
      <c r="Q42" s="77" t="e">
        <f t="shared" si="0"/>
        <v>#DIV/0!</v>
      </c>
      <c r="T42" s="62" t="s">
        <v>37</v>
      </c>
      <c r="U42" s="77">
        <v>1.4</v>
      </c>
      <c r="V42" s="77">
        <v>1.7</v>
      </c>
      <c r="W42" s="77">
        <v>2.1</v>
      </c>
      <c r="X42" s="77">
        <v>2.5</v>
      </c>
      <c r="Y42" s="77">
        <v>3.1</v>
      </c>
      <c r="Z42" s="77">
        <v>3.7</v>
      </c>
      <c r="AA42" s="77">
        <v>4.5</v>
      </c>
      <c r="AB42" s="77" t="e">
        <f>ROUND((1750/AB44)-AB46,2)</f>
        <v>#DIV/0!</v>
      </c>
      <c r="AC42" s="77" t="e">
        <f t="shared" ref="AC42:AI42" si="1">ROUND((1750/AC44)-AC46,2)</f>
        <v>#DIV/0!</v>
      </c>
      <c r="AD42" s="77" t="e">
        <f t="shared" si="1"/>
        <v>#DIV/0!</v>
      </c>
      <c r="AE42" s="77" t="e">
        <f t="shared" si="1"/>
        <v>#DIV/0!</v>
      </c>
      <c r="AF42" s="77" t="e">
        <f t="shared" si="1"/>
        <v>#DIV/0!</v>
      </c>
      <c r="AG42" s="77" t="e">
        <f t="shared" si="1"/>
        <v>#DIV/0!</v>
      </c>
      <c r="AH42" s="77" t="e">
        <f t="shared" si="1"/>
        <v>#DIV/0!</v>
      </c>
      <c r="AI42" s="77" t="e">
        <f t="shared" si="1"/>
        <v>#DIV/0!</v>
      </c>
      <c r="AK42" s="62" t="s">
        <v>37</v>
      </c>
      <c r="AL42" s="77">
        <v>1.4</v>
      </c>
      <c r="AM42" s="77">
        <v>1.7</v>
      </c>
      <c r="AN42" s="77">
        <v>2.1</v>
      </c>
      <c r="AO42" s="77">
        <v>2.5</v>
      </c>
      <c r="AP42" s="77">
        <v>3.1</v>
      </c>
      <c r="AQ42" s="77">
        <v>3.7</v>
      </c>
      <c r="AR42" s="77">
        <v>4.5</v>
      </c>
      <c r="AS42" s="77" t="e">
        <f>ROUND((1750/AS44)-AS46,2)</f>
        <v>#DIV/0!</v>
      </c>
      <c r="AT42" s="77" t="e">
        <f t="shared" ref="AT42:AZ42" si="2">ROUND((1750/AT44)-AT46,2)</f>
        <v>#DIV/0!</v>
      </c>
      <c r="AU42" s="77" t="e">
        <f t="shared" si="2"/>
        <v>#DIV/0!</v>
      </c>
      <c r="AV42" s="77" t="e">
        <f t="shared" si="2"/>
        <v>#DIV/0!</v>
      </c>
      <c r="AW42" s="77" t="e">
        <f t="shared" si="2"/>
        <v>#DIV/0!</v>
      </c>
      <c r="AX42" s="77" t="e">
        <f t="shared" si="2"/>
        <v>#DIV/0!</v>
      </c>
      <c r="AY42" s="77" t="e">
        <f t="shared" si="2"/>
        <v>#DIV/0!</v>
      </c>
      <c r="AZ42" s="77" t="e">
        <f t="shared" si="2"/>
        <v>#DIV/0!</v>
      </c>
      <c r="BB42" s="62" t="s">
        <v>37</v>
      </c>
      <c r="BC42" s="77">
        <v>1.4</v>
      </c>
      <c r="BD42" s="77">
        <v>1.7</v>
      </c>
      <c r="BE42" s="77">
        <v>2.1</v>
      </c>
      <c r="BF42" s="77">
        <v>2.5</v>
      </c>
      <c r="BG42" s="77">
        <v>3.1</v>
      </c>
      <c r="BH42" s="77">
        <v>3.7</v>
      </c>
      <c r="BI42" s="77">
        <v>4.5</v>
      </c>
      <c r="BJ42" s="77" t="e">
        <f>ROUND((1750/BJ44)-BJ46,2)</f>
        <v>#DIV/0!</v>
      </c>
      <c r="BK42" s="77" t="e">
        <f t="shared" ref="BK42:BQ42" si="3">ROUND((1750/BK44)-BK46,2)</f>
        <v>#DIV/0!</v>
      </c>
      <c r="BL42" s="77" t="e">
        <f t="shared" si="3"/>
        <v>#DIV/0!</v>
      </c>
      <c r="BM42" s="77" t="e">
        <f t="shared" si="3"/>
        <v>#DIV/0!</v>
      </c>
      <c r="BN42" s="77" t="e">
        <f t="shared" si="3"/>
        <v>#DIV/0!</v>
      </c>
      <c r="BO42" s="77" t="e">
        <f t="shared" si="3"/>
        <v>#DIV/0!</v>
      </c>
      <c r="BP42" s="77" t="e">
        <f t="shared" si="3"/>
        <v>#DIV/0!</v>
      </c>
      <c r="BQ42" s="77" t="e">
        <f t="shared" si="3"/>
        <v>#DIV/0!</v>
      </c>
    </row>
    <row r="43" spans="2:69" s="62" customFormat="1" hidden="1" x14ac:dyDescent="0.3">
      <c r="B43" s="62" t="s">
        <v>183</v>
      </c>
      <c r="C43" s="77">
        <v>1.3</v>
      </c>
      <c r="D43" s="77">
        <v>1.6</v>
      </c>
      <c r="E43" s="77">
        <v>1.9</v>
      </c>
      <c r="F43" s="77">
        <v>2.2999999999999998</v>
      </c>
      <c r="G43" s="77">
        <v>2.8</v>
      </c>
      <c r="H43" s="77">
        <v>3.3</v>
      </c>
      <c r="I43" s="77">
        <v>4</v>
      </c>
      <c r="J43" s="77" t="e">
        <f>ROUND((1750/J44)-J46,2)</f>
        <v>#DIV/0!</v>
      </c>
      <c r="K43" s="77" t="e">
        <f t="shared" ref="K43:Q43" si="4">ROUND((1750/K44)-K46,2)</f>
        <v>#DIV/0!</v>
      </c>
      <c r="L43" s="77" t="e">
        <f t="shared" si="4"/>
        <v>#DIV/0!</v>
      </c>
      <c r="M43" s="77" t="e">
        <f t="shared" si="4"/>
        <v>#DIV/0!</v>
      </c>
      <c r="N43" s="77" t="e">
        <f t="shared" si="4"/>
        <v>#DIV/0!</v>
      </c>
      <c r="O43" s="77" t="e">
        <f t="shared" si="4"/>
        <v>#DIV/0!</v>
      </c>
      <c r="P43" s="77" t="e">
        <f t="shared" si="4"/>
        <v>#DIV/0!</v>
      </c>
      <c r="Q43" s="77" t="e">
        <f t="shared" si="4"/>
        <v>#DIV/0!</v>
      </c>
      <c r="T43" s="62" t="s">
        <v>183</v>
      </c>
      <c r="U43" s="77">
        <v>1.3</v>
      </c>
      <c r="V43" s="77">
        <v>1.6</v>
      </c>
      <c r="W43" s="77">
        <v>1.9</v>
      </c>
      <c r="X43" s="77">
        <v>2.2999999999999998</v>
      </c>
      <c r="Y43" s="77">
        <v>2.8</v>
      </c>
      <c r="Z43" s="77">
        <v>3.3</v>
      </c>
      <c r="AA43" s="77">
        <v>4</v>
      </c>
      <c r="AB43" s="77" t="e">
        <f t="shared" ref="AB43:AI43" si="5">ROUND((1750/AB44)-AB46,2)</f>
        <v>#DIV/0!</v>
      </c>
      <c r="AC43" s="77" t="e">
        <f t="shared" si="5"/>
        <v>#DIV/0!</v>
      </c>
      <c r="AD43" s="77" t="e">
        <f t="shared" si="5"/>
        <v>#DIV/0!</v>
      </c>
      <c r="AE43" s="77" t="e">
        <f t="shared" si="5"/>
        <v>#DIV/0!</v>
      </c>
      <c r="AF43" s="77" t="e">
        <f t="shared" si="5"/>
        <v>#DIV/0!</v>
      </c>
      <c r="AG43" s="77" t="e">
        <f t="shared" si="5"/>
        <v>#DIV/0!</v>
      </c>
      <c r="AH43" s="77" t="e">
        <f t="shared" si="5"/>
        <v>#DIV/0!</v>
      </c>
      <c r="AI43" s="77" t="e">
        <f t="shared" si="5"/>
        <v>#DIV/0!</v>
      </c>
      <c r="AK43" s="62" t="s">
        <v>183</v>
      </c>
      <c r="AL43" s="77">
        <v>1.3</v>
      </c>
      <c r="AM43" s="77">
        <v>1.6</v>
      </c>
      <c r="AN43" s="77">
        <v>1.9</v>
      </c>
      <c r="AO43" s="77">
        <v>2.2999999999999998</v>
      </c>
      <c r="AP43" s="77">
        <v>2.8</v>
      </c>
      <c r="AQ43" s="77">
        <v>3.3</v>
      </c>
      <c r="AR43" s="77">
        <v>4</v>
      </c>
      <c r="AS43" s="77" t="e">
        <f t="shared" ref="AS43:AZ43" si="6">ROUND((1750/AS44)-AS46,2)</f>
        <v>#DIV/0!</v>
      </c>
      <c r="AT43" s="77" t="e">
        <f t="shared" si="6"/>
        <v>#DIV/0!</v>
      </c>
      <c r="AU43" s="77" t="e">
        <f t="shared" si="6"/>
        <v>#DIV/0!</v>
      </c>
      <c r="AV43" s="77" t="e">
        <f t="shared" si="6"/>
        <v>#DIV/0!</v>
      </c>
      <c r="AW43" s="77" t="e">
        <f t="shared" si="6"/>
        <v>#DIV/0!</v>
      </c>
      <c r="AX43" s="77" t="e">
        <f t="shared" si="6"/>
        <v>#DIV/0!</v>
      </c>
      <c r="AY43" s="77" t="e">
        <f t="shared" si="6"/>
        <v>#DIV/0!</v>
      </c>
      <c r="AZ43" s="77" t="e">
        <f t="shared" si="6"/>
        <v>#DIV/0!</v>
      </c>
      <c r="BB43" s="62" t="s">
        <v>183</v>
      </c>
      <c r="BC43" s="77">
        <v>1.3</v>
      </c>
      <c r="BD43" s="77">
        <v>1.6</v>
      </c>
      <c r="BE43" s="77">
        <v>1.9</v>
      </c>
      <c r="BF43" s="77">
        <v>2.2999999999999998</v>
      </c>
      <c r="BG43" s="77">
        <v>2.8</v>
      </c>
      <c r="BH43" s="77">
        <v>3.3</v>
      </c>
      <c r="BI43" s="77">
        <v>4</v>
      </c>
      <c r="BJ43" s="77" t="e">
        <f t="shared" ref="BJ43:BQ43" si="7">ROUND((1750/BJ44)-BJ46,2)</f>
        <v>#DIV/0!</v>
      </c>
      <c r="BK43" s="77" t="e">
        <f t="shared" si="7"/>
        <v>#DIV/0!</v>
      </c>
      <c r="BL43" s="77" t="e">
        <f t="shared" si="7"/>
        <v>#DIV/0!</v>
      </c>
      <c r="BM43" s="77" t="e">
        <f t="shared" si="7"/>
        <v>#DIV/0!</v>
      </c>
      <c r="BN43" s="77" t="e">
        <f t="shared" si="7"/>
        <v>#DIV/0!</v>
      </c>
      <c r="BO43" s="77" t="e">
        <f t="shared" si="7"/>
        <v>#DIV/0!</v>
      </c>
      <c r="BP43" s="77" t="e">
        <f t="shared" si="7"/>
        <v>#DIV/0!</v>
      </c>
      <c r="BQ43" s="77" t="e">
        <f t="shared" si="7"/>
        <v>#DIV/0!</v>
      </c>
    </row>
    <row r="44" spans="2:69" s="62" customFormat="1" hidden="1" x14ac:dyDescent="0.3">
      <c r="C44" s="292">
        <f>IF(C12&gt;0,MATCH($C$12,$C$41:$Q$41),0)</f>
        <v>0</v>
      </c>
      <c r="I44" s="77" t="s">
        <v>186</v>
      </c>
      <c r="J44" s="77" t="e">
        <f>ROUND(($C$12*EXP(-1*$C$12*4.5/3600))/(1-EXP(-1*$C$12*J45)),0)</f>
        <v>#DIV/0!</v>
      </c>
      <c r="K44" s="77" t="e">
        <f t="shared" ref="K44:Q44" si="8">ROUND(($C$12*EXP(-1*$C$12*4.5/3600))/(1-EXP(-1*$C$12*K45)),0)</f>
        <v>#DIV/0!</v>
      </c>
      <c r="L44" s="77" t="e">
        <f t="shared" si="8"/>
        <v>#DIV/0!</v>
      </c>
      <c r="M44" s="77" t="e">
        <f t="shared" si="8"/>
        <v>#DIV/0!</v>
      </c>
      <c r="N44" s="77" t="e">
        <f t="shared" si="8"/>
        <v>#DIV/0!</v>
      </c>
      <c r="O44" s="77" t="e">
        <f t="shared" si="8"/>
        <v>#DIV/0!</v>
      </c>
      <c r="P44" s="77" t="e">
        <f t="shared" si="8"/>
        <v>#DIV/0!</v>
      </c>
      <c r="Q44" s="77" t="e">
        <f t="shared" si="8"/>
        <v>#DIV/0!</v>
      </c>
      <c r="U44" s="292">
        <f>IF(U12&gt;0,MATCH($U$12,$U$41:$AI$41),0)</f>
        <v>0</v>
      </c>
      <c r="AA44" s="77" t="s">
        <v>186</v>
      </c>
      <c r="AB44" s="77" t="e">
        <f>ROUND(($U$12*EXP(-1*$U$12*4.5/3600))/(1-EXP(-1*$U$12*AB45)),0)</f>
        <v>#DIV/0!</v>
      </c>
      <c r="AC44" s="77" t="e">
        <f t="shared" ref="AC44:AI44" si="9">ROUND(($U$12*EXP(-1*$U$12*4.5/3600))/(1-EXP(-1*$U$12*AC45)),0)</f>
        <v>#DIV/0!</v>
      </c>
      <c r="AD44" s="77" t="e">
        <f t="shared" si="9"/>
        <v>#DIV/0!</v>
      </c>
      <c r="AE44" s="77" t="e">
        <f t="shared" si="9"/>
        <v>#DIV/0!</v>
      </c>
      <c r="AF44" s="77" t="e">
        <f t="shared" si="9"/>
        <v>#DIV/0!</v>
      </c>
      <c r="AG44" s="77" t="e">
        <f t="shared" si="9"/>
        <v>#DIV/0!</v>
      </c>
      <c r="AH44" s="77" t="e">
        <f t="shared" si="9"/>
        <v>#DIV/0!</v>
      </c>
      <c r="AI44" s="77" t="e">
        <f t="shared" si="9"/>
        <v>#DIV/0!</v>
      </c>
      <c r="AL44" s="292">
        <f>IF(AL12&gt;0,MATCH($AL$12,$AL$41:$AZ$41),0)</f>
        <v>0</v>
      </c>
      <c r="AR44" s="77" t="s">
        <v>186</v>
      </c>
      <c r="AS44" s="77" t="e">
        <f>ROUND(($AL$12*EXP(-1*$AL$12*4.5/3600))/(1-EXP(-1*$AL$12*AS45)),0)</f>
        <v>#DIV/0!</v>
      </c>
      <c r="AT44" s="77" t="e">
        <f t="shared" ref="AT44:AZ44" si="10">ROUND(($AL$12*EXP(-1*$AL$12*4.5/3600))/(1-EXP(-1*$AL$12*AT45)),0)</f>
        <v>#DIV/0!</v>
      </c>
      <c r="AU44" s="77" t="e">
        <f t="shared" si="10"/>
        <v>#DIV/0!</v>
      </c>
      <c r="AV44" s="77" t="e">
        <f t="shared" si="10"/>
        <v>#DIV/0!</v>
      </c>
      <c r="AW44" s="77" t="e">
        <f t="shared" si="10"/>
        <v>#DIV/0!</v>
      </c>
      <c r="AX44" s="77" t="e">
        <f t="shared" si="10"/>
        <v>#DIV/0!</v>
      </c>
      <c r="AY44" s="77" t="e">
        <f t="shared" si="10"/>
        <v>#DIV/0!</v>
      </c>
      <c r="AZ44" s="77" t="e">
        <f t="shared" si="10"/>
        <v>#DIV/0!</v>
      </c>
      <c r="BC44" s="292">
        <f>IF(BC12&gt;0,MATCH($BC$12,$BC$41:$BQ$41),0)</f>
        <v>0</v>
      </c>
      <c r="BI44" s="77" t="s">
        <v>186</v>
      </c>
      <c r="BJ44" s="77" t="e">
        <f>ROUND(($BC$12*EXP(-1*$BC$12*4.5/3600))/(1-EXP(-1*$BC$12*BJ45)),0)</f>
        <v>#DIV/0!</v>
      </c>
      <c r="BK44" s="77" t="e">
        <f t="shared" ref="BK44:BP44" si="11">ROUND(($BC$12*EXP(-1*$BC$12*4.5/3600))/(1-EXP(-1*$BC$12*BK45)),0)</f>
        <v>#DIV/0!</v>
      </c>
      <c r="BL44" s="77" t="e">
        <f t="shared" si="11"/>
        <v>#DIV/0!</v>
      </c>
      <c r="BM44" s="77" t="e">
        <f t="shared" si="11"/>
        <v>#DIV/0!</v>
      </c>
      <c r="BN44" s="77" t="e">
        <f t="shared" si="11"/>
        <v>#DIV/0!</v>
      </c>
      <c r="BO44" s="77" t="e">
        <f t="shared" si="11"/>
        <v>#DIV/0!</v>
      </c>
      <c r="BP44" s="77" t="e">
        <f t="shared" si="11"/>
        <v>#DIV/0!</v>
      </c>
      <c r="BQ44" s="77" t="e">
        <f>ROUND(($BC$12*EXP(-1*$BC$12*4.5/3600))/(1-EXP(-1*$BC$12*BQ45)),0)</f>
        <v>#DIV/0!</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39" t="s">
        <v>192</v>
      </c>
      <c r="C48" s="62" t="s">
        <v>189</v>
      </c>
      <c r="D48" s="62">
        <f>IF(C13&gt;=2,((C26-1)+EXP(-1*C26*C11*C35/600))/C26,0)</f>
        <v>0</v>
      </c>
      <c r="T48" s="539" t="s">
        <v>192</v>
      </c>
      <c r="U48" s="62" t="s">
        <v>189</v>
      </c>
      <c r="V48" s="62">
        <f>IF(U13&gt;=2,((U26-1)+EXP(-1*U26*U11*U35/600))/U26,0)</f>
        <v>0</v>
      </c>
      <c r="AK48" s="539" t="s">
        <v>192</v>
      </c>
      <c r="AL48" s="62" t="s">
        <v>189</v>
      </c>
      <c r="AM48" s="62">
        <f>IF(AL13&gt;=2,((AL26-1)+EXP(-1*AL26*AL11*AL35/600))/AL26,0)</f>
        <v>0</v>
      </c>
      <c r="BB48" s="539" t="s">
        <v>192</v>
      </c>
      <c r="BC48" s="62" t="s">
        <v>189</v>
      </c>
      <c r="BD48" s="62">
        <f>IF(BC13&gt;=2,((BC26-1)+EXP(-1*BC26*BC11*BC35/600))/BC26,0)</f>
        <v>0</v>
      </c>
    </row>
    <row r="49" spans="2:57" s="62" customFormat="1" hidden="1" x14ac:dyDescent="0.3">
      <c r="B49" s="539"/>
      <c r="C49" s="62" t="s">
        <v>190</v>
      </c>
      <c r="D49" s="62">
        <f>IF(SUM(Sheet1!N5:P5)=1,EXP(-0.02*(C35+10*C34)*C11*0.0444),0)</f>
        <v>0</v>
      </c>
      <c r="E49" s="62" t="e">
        <f>IF('Phase designation'!B22=2,MAX('Lane volumes'!D48:D50),1)</f>
        <v>#DIV/0!</v>
      </c>
      <c r="T49" s="539"/>
      <c r="U49" s="62" t="s">
        <v>190</v>
      </c>
      <c r="V49" s="62">
        <f>IF(SUM(Sheet1!S5:U5)=1,EXP(-0.02*(U35+10*U34)*U11*0.0444),0)</f>
        <v>0</v>
      </c>
      <c r="W49" s="62">
        <f>IF('Phase designation'!T22=2,MAX('Lane volumes'!V48:V50),1)</f>
        <v>1</v>
      </c>
      <c r="AK49" s="539"/>
      <c r="AL49" s="62" t="s">
        <v>190</v>
      </c>
      <c r="AM49" s="62">
        <f>IF(SUM(Sheet1!D5:F5)=1,EXP(-0.02*(AL35+10*AL34)*AL11*0.0444),0)</f>
        <v>0</v>
      </c>
      <c r="AN49" s="62" t="e">
        <f>IF('Phase designation'!F22=2,MAX('Lane volumes'!AM48:AM50),1)</f>
        <v>#DIV/0!</v>
      </c>
      <c r="BB49" s="539"/>
      <c r="BC49" s="62" t="s">
        <v>190</v>
      </c>
      <c r="BD49" s="62">
        <f>IF(SUM(Sheet1!I5:K5)=1,EXP(-0.02*(BC35+10*BC34)*BC11*0.0444),0)</f>
        <v>0</v>
      </c>
      <c r="BE49" s="62" t="e">
        <f>IF('Phase designation'!H22=2,MAX('Lane volumes'!BD48:BD50),1)</f>
        <v>#DIV/0!</v>
      </c>
    </row>
    <row r="50" spans="2:57" s="62" customFormat="1" hidden="1" x14ac:dyDescent="0.3">
      <c r="B50" s="539"/>
      <c r="C50" s="62" t="s">
        <v>191</v>
      </c>
      <c r="D50" s="62" t="e">
        <f>((C26-1)+EXP(-1*C11*0.0444))/C26</f>
        <v>#DIV/0!</v>
      </c>
      <c r="T50" s="539"/>
      <c r="U50" s="62" t="s">
        <v>191</v>
      </c>
      <c r="V50" s="62" t="e">
        <f>((U26-1)+EXP(-1*U11*0.0444))/U26</f>
        <v>#DIV/0!</v>
      </c>
      <c r="AK50" s="539"/>
      <c r="AL50" s="62" t="s">
        <v>191</v>
      </c>
      <c r="AM50" s="62" t="e">
        <f>((AL26-1)+EXP(-1*AL11*0.0444))/AL26</f>
        <v>#DIV/0!</v>
      </c>
      <c r="BB50" s="539"/>
      <c r="BC50" s="62" t="s">
        <v>191</v>
      </c>
      <c r="BD50" s="62" t="e">
        <f>((BC26-1)+EXP(-1*BC11*0.0444))/BC26</f>
        <v>#DIV/0!</v>
      </c>
    </row>
    <row r="51" spans="2:57" s="62" customFormat="1" hidden="1" x14ac:dyDescent="0.3"/>
    <row r="52" spans="2:57" s="62" customFormat="1" hidden="1" x14ac:dyDescent="0.3">
      <c r="B52" s="539" t="s">
        <v>194</v>
      </c>
      <c r="C52" s="62" t="s">
        <v>195</v>
      </c>
      <c r="D52" s="62">
        <f>IF(C12&lt;1220,1/(1+(C34*(235+0.435*C12)/(1400-C12))),0)</f>
        <v>1</v>
      </c>
      <c r="E52" s="62">
        <f>IF('Phase designation'!B22=3,MAX('Lane volumes'!D52:D53),1)</f>
        <v>1</v>
      </c>
      <c r="T52" s="539" t="s">
        <v>194</v>
      </c>
      <c r="U52" s="62" t="s">
        <v>195</v>
      </c>
      <c r="V52" s="62">
        <f>IF(U12&lt;1220,1/(1+(U34*(235+0.435*U12)/(1400-U12))),0)</f>
        <v>1</v>
      </c>
      <c r="W52" s="62">
        <f>IF('Phase designation'!T22=3,MAX('Lane volumes'!V52:V53),1)</f>
        <v>1</v>
      </c>
      <c r="AK52" s="539" t="s">
        <v>194</v>
      </c>
      <c r="AL52" s="62" t="s">
        <v>195</v>
      </c>
      <c r="AM52" s="62">
        <f>IF(AL12&lt;1220,1/(1+(AL34*(235+0.435*AL12)/(1400-AL12))),0)</f>
        <v>1</v>
      </c>
      <c r="AN52" s="62">
        <f>IF('Phase designation'!F22=3,MAX('Lane volumes'!AM52:AM53),1)</f>
        <v>1</v>
      </c>
      <c r="BB52" s="539" t="s">
        <v>194</v>
      </c>
      <c r="BC52" s="62" t="s">
        <v>195</v>
      </c>
      <c r="BD52" s="62">
        <f>IF(BC12&lt;1220,1/(1+(BC34*(235+0.435*BC12)/(1400-BC12))),0)</f>
        <v>1</v>
      </c>
      <c r="BE52" s="62">
        <f>IF('Phase designation'!H22=3,MAX('Lane volumes'!BD52:BD53),1)</f>
        <v>1</v>
      </c>
    </row>
    <row r="53" spans="2:57" s="62" customFormat="1" hidden="1" x14ac:dyDescent="0.3">
      <c r="B53" s="539"/>
      <c r="C53" s="62" t="s">
        <v>196</v>
      </c>
      <c r="D53" s="62">
        <f>IF(C12&gt;=1220,1/(1+4.525*C34),0)</f>
        <v>0</v>
      </c>
      <c r="T53" s="539"/>
      <c r="U53" s="62" t="s">
        <v>196</v>
      </c>
      <c r="V53" s="62">
        <f>IF(U12&gt;=1220,1/(1+4.525*U34),0)</f>
        <v>0</v>
      </c>
      <c r="AK53" s="539"/>
      <c r="AL53" s="62" t="s">
        <v>196</v>
      </c>
      <c r="AM53" s="62">
        <f>IF(AL12&gt;=1220,1/(1+4.525*AL34),0)</f>
        <v>0</v>
      </c>
      <c r="BB53" s="539"/>
      <c r="BC53" s="62" t="s">
        <v>196</v>
      </c>
      <c r="BD53" s="62">
        <f>IF(BC12&gt;=1220,1/(1+4.525*BC34),0)</f>
        <v>0</v>
      </c>
    </row>
    <row r="54" spans="2:57" s="62" customFormat="1" hidden="1" x14ac:dyDescent="0.3"/>
    <row r="55" spans="2:57" s="62" customFormat="1" hidden="1" x14ac:dyDescent="0.3"/>
    <row r="56" spans="2:57" s="62" customFormat="1" hidden="1" x14ac:dyDescent="0.3">
      <c r="B56" s="333" t="s">
        <v>363</v>
      </c>
      <c r="C56" s="324">
        <f>IF(Sheet1!N4&gt;0,ROUND(Sheet1!N4/SUM(Sheet1!N4:P4),2),0)</f>
        <v>0</v>
      </c>
      <c r="D56" s="62">
        <f>IF(C13=0,0,1)</f>
        <v>0</v>
      </c>
      <c r="T56" s="333" t="s">
        <v>363</v>
      </c>
      <c r="U56" s="324">
        <f>IF(Sheet1!S4&gt;0,ROUND(Sheet1!S4/SUM(Sheet1!S4:U4),2),0)</f>
        <v>0</v>
      </c>
      <c r="V56" s="62">
        <f>IF(U13=0,U560,1)</f>
        <v>0</v>
      </c>
      <c r="AK56" s="333" t="s">
        <v>363</v>
      </c>
      <c r="AL56" s="324">
        <f>IF((Sheet1!D4+Sheet1!W4+Sheet1!Z4)&gt;0,ROUND((Sheet1!D4+Sheet1!W4+Sheet1!Z4)/SUM(Sheet1!D4:F4,Sheet1!W4:AB4),2),0)</f>
        <v>0</v>
      </c>
      <c r="AM56" s="62">
        <f>IF(AL13=0,AL560,1)</f>
        <v>0</v>
      </c>
      <c r="BB56" s="333" t="s">
        <v>363</v>
      </c>
      <c r="BC56" s="324">
        <f>IF((Sheet1!I4+Sheet1!AC4+Sheet1!AF4)&gt;0,ROUND((Sheet1!I4+Sheet1!AC4+Sheet1!AF4)/SUM(Sheet1!I4:K4,Sheet1!AC4:AE4,Sheet1!AF4:AH4),2),0)</f>
        <v>0</v>
      </c>
      <c r="BD56" s="62">
        <f>IF(BC13=0,BC560,1)</f>
        <v>0</v>
      </c>
    </row>
    <row r="57" spans="2:57" s="62" customFormat="1" hidden="1" x14ac:dyDescent="0.3">
      <c r="B57" s="333" t="s">
        <v>364</v>
      </c>
      <c r="C57" s="324">
        <f>IF(Sheet1!N4&gt;0,ROUND(Sheet1!N4/SUM(Sheet1!N4:P4),2),0)</f>
        <v>0</v>
      </c>
      <c r="D57" s="62">
        <f>IF(C13=0,C57,0)</f>
        <v>0</v>
      </c>
      <c r="T57" s="333" t="s">
        <v>364</v>
      </c>
      <c r="U57" s="324">
        <f>IF(Sheet1!S4&gt;0,ROUND(Sheet1!S4/SUM(Sheet1!S4:U4),2),0)</f>
        <v>0</v>
      </c>
      <c r="V57" s="62">
        <f>IF(U13=0,U57,0)</f>
        <v>0</v>
      </c>
      <c r="AK57" s="333" t="s">
        <v>364</v>
      </c>
      <c r="AL57" s="324">
        <f>IF((Sheet1!D4+Sheet1!W4+Sheet1!Z4)&gt;0,ROUND((Sheet1!D4+Sheet1!W4+Sheet1!Z4)/SUM(Sheet1!D4:F4,Sheet1!W4:AB4),2),0)</f>
        <v>0</v>
      </c>
      <c r="AM57" s="62">
        <f>IF(AL13=0,AL57,0)</f>
        <v>0</v>
      </c>
      <c r="BB57" s="333" t="s">
        <v>364</v>
      </c>
      <c r="BC57" s="324">
        <f>IF((Sheet1!I4+Sheet1!AC4+Sheet1!AF4)&gt;0,ROUND((Sheet1!I4+Sheet1!AC4+Sheet1!AF4)/SUM(Sheet1!I4:K4,Sheet1!AC4:AE4,Sheet1!AF4:AH4),2),0)</f>
        <v>0</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zoomScale="80" zoomScaleNormal="80" workbookViewId="0">
      <selection activeCell="D161" sqref="D161"/>
    </sheetView>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30" t="s">
        <v>204</v>
      </c>
      <c r="C1" s="530"/>
      <c r="D1" s="530"/>
      <c r="E1" s="241"/>
      <c r="Q1" s="101"/>
      <c r="R1" s="101"/>
      <c r="S1" s="101"/>
      <c r="T1" s="101"/>
      <c r="U1" s="101"/>
      <c r="V1" s="101"/>
      <c r="Y1" s="519" t="s">
        <v>378</v>
      </c>
      <c r="Z1" s="519"/>
      <c r="AA1" s="519"/>
      <c r="AB1" s="519"/>
      <c r="AC1" s="519"/>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377</v>
      </c>
      <c r="Z2" s="334" t="s">
        <v>365</v>
      </c>
      <c r="AA2" s="334" t="s">
        <v>366</v>
      </c>
      <c r="AB2" s="334" t="s">
        <v>367</v>
      </c>
      <c r="AC2" s="334" t="s">
        <v>368</v>
      </c>
      <c r="AD2" s="396" t="s">
        <v>377</v>
      </c>
      <c r="AE2" s="394" t="s">
        <v>386</v>
      </c>
      <c r="AF2" s="338" t="s">
        <v>387</v>
      </c>
      <c r="AH2" s="251" t="s">
        <v>386</v>
      </c>
      <c r="AI2" s="78" t="s">
        <v>390</v>
      </c>
      <c r="AJ2" s="78" t="s">
        <v>124</v>
      </c>
      <c r="AN2" s="77" t="s">
        <v>391</v>
      </c>
      <c r="AO2" s="77" t="s">
        <v>124</v>
      </c>
      <c r="AS2" s="77" t="s">
        <v>392</v>
      </c>
      <c r="AT2" s="77" t="s">
        <v>124</v>
      </c>
      <c r="BI2" s="488" t="s">
        <v>302</v>
      </c>
      <c r="BJ2" s="488" t="s">
        <v>474</v>
      </c>
      <c r="BK2" s="488"/>
      <c r="BL2" s="488" t="s">
        <v>533</v>
      </c>
      <c r="BM2" s="488" t="s">
        <v>534</v>
      </c>
      <c r="BN2" s="488" t="s">
        <v>535</v>
      </c>
      <c r="BO2" s="488" t="s">
        <v>536</v>
      </c>
      <c r="BP2" s="488" t="s">
        <v>537</v>
      </c>
      <c r="BQ2" s="488" t="s">
        <v>538</v>
      </c>
      <c r="BR2" s="488" t="s">
        <v>539</v>
      </c>
      <c r="BS2" s="488" t="s">
        <v>540</v>
      </c>
      <c r="BT2" s="488" t="s">
        <v>541</v>
      </c>
      <c r="BU2" s="488" t="s">
        <v>542</v>
      </c>
      <c r="BV2" s="488" t="s">
        <v>543</v>
      </c>
      <c r="BW2" s="488" t="s">
        <v>544</v>
      </c>
      <c r="BX2" s="488"/>
    </row>
    <row r="3" spans="2:76" x14ac:dyDescent="0.3">
      <c r="B3" s="87" t="s">
        <v>74</v>
      </c>
      <c r="C3" s="249">
        <f>IF(SUM(C6:E6=0),0,'Phase designation'!B3)</f>
        <v>0</v>
      </c>
      <c r="D3" s="377">
        <f>'Phase designation'!C3</f>
        <v>0</v>
      </c>
      <c r="E3" s="45">
        <f>IF(SUM('Phase designation'!B19:H19)&gt;2,0,Sheet1!P4)</f>
        <v>0</v>
      </c>
      <c r="F3" s="249">
        <f>IF(SUM(F6:H6=0),0,'Phase designation'!D3)</f>
        <v>0</v>
      </c>
      <c r="G3" s="377">
        <f>'Phase designation'!E3</f>
        <v>0</v>
      </c>
      <c r="H3" s="45">
        <f>IF(SUM('Phase designation'!B19:H19)&gt;2,0,Sheet1!U4)</f>
        <v>0</v>
      </c>
      <c r="I3" s="249">
        <f>IF(SUM(I6:K6)=0,0,'Phase designation'!F3)</f>
        <v>0</v>
      </c>
      <c r="J3" s="377">
        <f>'Phase designation'!G3</f>
        <v>0</v>
      </c>
      <c r="K3" s="45">
        <f>IF(SUM('Phase designation'!B19:H19)&gt;2,0,Sheet1!F4+Sheet1!Y4+Sheet1!AB4)</f>
        <v>0</v>
      </c>
      <c r="L3" s="249">
        <f>IF(SUM(L6:N6)=0,0,'Phase designation'!H3)</f>
        <v>0</v>
      </c>
      <c r="M3" s="377">
        <f>'Phase designation'!I3</f>
        <v>0</v>
      </c>
      <c r="N3" s="45">
        <f>IF(SUM('Phase designation'!B19:H19)&gt;2,0,Sheet1!K4+Sheet1!AE4+Sheet1!AH4)</f>
        <v>0</v>
      </c>
      <c r="O3" s="250">
        <f>SUM(C3:N3)</f>
        <v>0</v>
      </c>
      <c r="Q3" s="10"/>
      <c r="R3" s="112" t="s">
        <v>206</v>
      </c>
      <c r="S3" s="113">
        <f>'Input sheet'!V5</f>
        <v>8</v>
      </c>
      <c r="T3" s="10"/>
      <c r="U3" s="10"/>
      <c r="V3" s="10"/>
      <c r="W3" s="5"/>
      <c r="Y3" s="397" t="s">
        <v>369</v>
      </c>
      <c r="Z3" s="168" t="s">
        <v>83</v>
      </c>
      <c r="AA3" s="168" t="s">
        <v>83</v>
      </c>
      <c r="AB3" s="168" t="s">
        <v>83</v>
      </c>
      <c r="AC3" s="168" t="s">
        <v>83</v>
      </c>
      <c r="AD3" s="397" t="s">
        <v>369</v>
      </c>
      <c r="AE3" s="392" t="str">
        <f>Z3&amp;" "&amp;AA3</f>
        <v>Permitted Permitted</v>
      </c>
      <c r="AF3" s="393" t="str">
        <f>AB3&amp;" "&amp;AC3</f>
        <v>Permitted Permitted</v>
      </c>
      <c r="AI3" s="78" t="s">
        <v>377</v>
      </c>
      <c r="AJ3" s="78">
        <v>1</v>
      </c>
      <c r="AK3" s="77">
        <v>2</v>
      </c>
      <c r="AL3" s="77">
        <v>3</v>
      </c>
      <c r="AN3" s="77" t="s">
        <v>377</v>
      </c>
      <c r="AO3" s="77">
        <v>1</v>
      </c>
      <c r="AP3" s="77">
        <v>2</v>
      </c>
      <c r="AQ3" s="77">
        <v>3</v>
      </c>
      <c r="AS3" s="77" t="s">
        <v>377</v>
      </c>
      <c r="AT3" s="77">
        <v>1</v>
      </c>
      <c r="AU3" s="77">
        <v>2</v>
      </c>
      <c r="AV3" s="77">
        <v>3</v>
      </c>
      <c r="BI3" s="488">
        <f>MAX(F24,'Input sheet'!V8)</f>
        <v>40</v>
      </c>
      <c r="BJ3" s="488">
        <f>'Input sheet'!V9</f>
        <v>150</v>
      </c>
      <c r="BK3" s="488"/>
      <c r="BL3" s="489">
        <f>BI3</f>
        <v>40</v>
      </c>
      <c r="BM3" s="489">
        <f>IF(BI3+10&lt;=$BJ$3,BI3+10,0)</f>
        <v>50</v>
      </c>
      <c r="BN3" s="489">
        <f>IF(BM3=0,0,IF(BM3+10&lt;=$BJ$3,BM3+10,0))</f>
        <v>60</v>
      </c>
      <c r="BO3" s="489">
        <f t="shared" ref="BO3:BW3" si="0">IF(BN3=0,0,IF(BN3+10&lt;=$BJ$3,BN3+10,0))</f>
        <v>70</v>
      </c>
      <c r="BP3" s="489">
        <f t="shared" si="0"/>
        <v>80</v>
      </c>
      <c r="BQ3" s="489">
        <f t="shared" si="0"/>
        <v>90</v>
      </c>
      <c r="BR3" s="489">
        <f t="shared" si="0"/>
        <v>100</v>
      </c>
      <c r="BS3" s="489">
        <f t="shared" si="0"/>
        <v>110</v>
      </c>
      <c r="BT3" s="489">
        <f t="shared" si="0"/>
        <v>120</v>
      </c>
      <c r="BU3" s="489">
        <f t="shared" si="0"/>
        <v>130</v>
      </c>
      <c r="BV3" s="489">
        <f t="shared" si="0"/>
        <v>140</v>
      </c>
      <c r="BW3" s="489">
        <f t="shared" si="0"/>
        <v>150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370</v>
      </c>
      <c r="Z4" s="168" t="s">
        <v>83</v>
      </c>
      <c r="AA4" s="168" t="s">
        <v>376</v>
      </c>
      <c r="AB4" s="168" t="s">
        <v>83</v>
      </c>
      <c r="AC4" s="168" t="s">
        <v>376</v>
      </c>
      <c r="AD4" s="397" t="s">
        <v>370</v>
      </c>
      <c r="AE4" s="392" t="str">
        <f t="shared" ref="AE4:AE10" si="1">Z4&amp;" "&amp;AA4</f>
        <v>Permitted Not opposed</v>
      </c>
      <c r="AF4" s="393" t="str">
        <f t="shared" ref="AF4:AF10" si="2">AB4&amp;" "&amp;AC4</f>
        <v>Permitted Not opposed</v>
      </c>
      <c r="AI4" s="78" t="s">
        <v>369</v>
      </c>
      <c r="AJ4" s="78">
        <v>4</v>
      </c>
      <c r="AN4" s="77" t="s">
        <v>369</v>
      </c>
      <c r="AO4" s="340" t="s">
        <v>393</v>
      </c>
      <c r="AP4" s="340"/>
      <c r="AQ4" s="340"/>
      <c r="AS4" s="77" t="s">
        <v>369</v>
      </c>
      <c r="AT4" s="77">
        <f>MAX(D16,G16,F16)</f>
        <v>0</v>
      </c>
      <c r="BI4" s="488"/>
      <c r="BJ4" s="488"/>
      <c r="BK4" s="488"/>
      <c r="BL4" s="488" t="s">
        <v>545</v>
      </c>
      <c r="BM4" s="488" t="s">
        <v>546</v>
      </c>
      <c r="BN4" s="488" t="s">
        <v>547</v>
      </c>
      <c r="BO4" s="488" t="s">
        <v>548</v>
      </c>
      <c r="BP4" s="488" t="s">
        <v>549</v>
      </c>
      <c r="BQ4" s="488" t="s">
        <v>550</v>
      </c>
      <c r="BR4" s="488" t="s">
        <v>551</v>
      </c>
      <c r="BS4" s="488" t="s">
        <v>552</v>
      </c>
      <c r="BT4" s="488" t="s">
        <v>553</v>
      </c>
      <c r="BU4" s="488" t="s">
        <v>554</v>
      </c>
      <c r="BV4" s="488" t="s">
        <v>555</v>
      </c>
      <c r="BW4" s="488"/>
      <c r="BX4" s="488"/>
    </row>
    <row r="5" spans="2:76" x14ac:dyDescent="0.3">
      <c r="B5" s="324" t="s">
        <v>123</v>
      </c>
      <c r="C5" s="250">
        <f>ROUND(C3/C4,0)</f>
        <v>0</v>
      </c>
      <c r="D5" s="251">
        <f t="shared" ref="D5:N5" si="3">ROUND(D3/D4,0)</f>
        <v>0</v>
      </c>
      <c r="E5" s="251">
        <f t="shared" si="3"/>
        <v>0</v>
      </c>
      <c r="F5" s="250">
        <f t="shared" si="3"/>
        <v>0</v>
      </c>
      <c r="G5" s="251">
        <f t="shared" si="3"/>
        <v>0</v>
      </c>
      <c r="H5" s="251">
        <f t="shared" si="3"/>
        <v>0</v>
      </c>
      <c r="I5" s="250">
        <f t="shared" si="3"/>
        <v>0</v>
      </c>
      <c r="J5" s="251">
        <f t="shared" si="3"/>
        <v>0</v>
      </c>
      <c r="K5" s="251">
        <f t="shared" si="3"/>
        <v>0</v>
      </c>
      <c r="L5" s="250">
        <f t="shared" si="3"/>
        <v>0</v>
      </c>
      <c r="M5" s="251">
        <f t="shared" si="3"/>
        <v>0</v>
      </c>
      <c r="N5" s="251">
        <f t="shared" si="3"/>
        <v>0</v>
      </c>
      <c r="O5" s="250"/>
      <c r="Q5" s="10"/>
      <c r="R5" s="10"/>
      <c r="S5" s="101" t="s">
        <v>209</v>
      </c>
      <c r="T5" s="10"/>
      <c r="U5" s="10"/>
      <c r="V5" s="10"/>
      <c r="W5" s="5"/>
      <c r="Y5" s="397" t="s">
        <v>371</v>
      </c>
      <c r="Z5" s="168" t="s">
        <v>376</v>
      </c>
      <c r="AA5" s="168" t="s">
        <v>83</v>
      </c>
      <c r="AB5" s="168" t="s">
        <v>376</v>
      </c>
      <c r="AC5" s="168" t="s">
        <v>83</v>
      </c>
      <c r="AD5" s="397" t="s">
        <v>371</v>
      </c>
      <c r="AE5" s="392" t="str">
        <f t="shared" si="1"/>
        <v>Not opposed Permitted</v>
      </c>
      <c r="AF5" s="393" t="str">
        <f t="shared" si="2"/>
        <v>Not opposed Permitted</v>
      </c>
      <c r="AI5" s="78" t="s">
        <v>370</v>
      </c>
      <c r="AJ5" s="78">
        <v>4</v>
      </c>
      <c r="AN5" s="77" t="s">
        <v>370</v>
      </c>
      <c r="AO5" s="340" t="s">
        <v>393</v>
      </c>
      <c r="AP5" s="340"/>
      <c r="AQ5" s="340"/>
      <c r="AS5" s="77" t="s">
        <v>370</v>
      </c>
      <c r="AT5" s="324">
        <f>MAX(D16,G16,F16)</f>
        <v>0</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0</v>
      </c>
      <c r="D6" s="325">
        <f>'Phase designation'!C6</f>
        <v>0</v>
      </c>
      <c r="E6" s="326">
        <f>IF(SUM('Phase designation'!B19:H19)&gt;2,0,'Summary sheet'!U13)</f>
        <v>0</v>
      </c>
      <c r="F6" s="325">
        <f>'Phase designation'!D6</f>
        <v>0</v>
      </c>
      <c r="G6" s="325">
        <f>'Phase designation'!E6</f>
        <v>0</v>
      </c>
      <c r="H6" s="326">
        <f>IF(SUM('Phase designation'!B19:H19)&gt;2,0,'Summary sheet'!AA9)</f>
        <v>0</v>
      </c>
      <c r="I6" s="325">
        <f>'Phase designation'!F6</f>
        <v>0</v>
      </c>
      <c r="J6" s="325">
        <f>'Phase designation'!G6</f>
        <v>0</v>
      </c>
      <c r="K6" s="326">
        <f>IF(SUM('Phase designation'!B19:H19)&gt;2,0,'Summary sheet'!Y17)</f>
        <v>0</v>
      </c>
      <c r="L6" s="325">
        <f>'Phase designation'!H6</f>
        <v>0</v>
      </c>
      <c r="M6" s="325">
        <f>'Phase designation'!I6</f>
        <v>0</v>
      </c>
      <c r="N6" s="326">
        <f>IF(SUM('Phase designation'!B19:H19)&gt;2,0,'Summary sheet'!W4)</f>
        <v>0</v>
      </c>
      <c r="O6" s="250"/>
      <c r="Q6" s="10"/>
      <c r="R6" s="545" t="s">
        <v>207</v>
      </c>
      <c r="S6" s="101">
        <v>1</v>
      </c>
      <c r="T6" s="101">
        <v>1</v>
      </c>
      <c r="U6" s="10"/>
      <c r="V6" s="10"/>
      <c r="W6" s="5"/>
      <c r="Y6" s="397" t="s">
        <v>372</v>
      </c>
      <c r="Z6" s="168" t="s">
        <v>83</v>
      </c>
      <c r="AA6" s="168" t="s">
        <v>82</v>
      </c>
      <c r="AB6" s="168" t="s">
        <v>83</v>
      </c>
      <c r="AC6" s="168" t="s">
        <v>82</v>
      </c>
      <c r="AD6" s="397" t="s">
        <v>372</v>
      </c>
      <c r="AE6" s="392" t="str">
        <f t="shared" si="1"/>
        <v>Permitted Protected</v>
      </c>
      <c r="AF6" s="393" t="str">
        <f t="shared" si="2"/>
        <v>Permitted Protected</v>
      </c>
      <c r="AI6" s="78" t="s">
        <v>371</v>
      </c>
      <c r="AJ6" s="78">
        <v>4</v>
      </c>
      <c r="AN6" s="77" t="s">
        <v>371</v>
      </c>
      <c r="AO6" s="340" t="s">
        <v>393</v>
      </c>
      <c r="AP6" s="340"/>
      <c r="AQ6" s="340"/>
      <c r="AS6" s="77" t="s">
        <v>371</v>
      </c>
      <c r="AT6" s="324">
        <f>MAX(D16,G16,F16)</f>
        <v>0</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0</v>
      </c>
      <c r="D7" s="251">
        <f t="shared" ref="D7:M7" si="5">IF(D6&gt;0,ROUND(D5/D6,0),0)</f>
        <v>0</v>
      </c>
      <c r="E7" s="251"/>
      <c r="F7" s="250">
        <f t="shared" si="5"/>
        <v>0</v>
      </c>
      <c r="G7" s="251">
        <f t="shared" si="5"/>
        <v>0</v>
      </c>
      <c r="H7" s="251"/>
      <c r="I7" s="250">
        <f t="shared" si="5"/>
        <v>0</v>
      </c>
      <c r="J7" s="251">
        <f t="shared" si="5"/>
        <v>0</v>
      </c>
      <c r="K7" s="251"/>
      <c r="L7" s="250">
        <f t="shared" si="5"/>
        <v>0</v>
      </c>
      <c r="M7" s="251">
        <f t="shared" si="5"/>
        <v>0</v>
      </c>
      <c r="N7" s="251"/>
      <c r="O7" s="250"/>
      <c r="P7" s="291"/>
      <c r="Q7" s="102"/>
      <c r="R7" s="545"/>
      <c r="S7" s="101">
        <v>2</v>
      </c>
      <c r="T7" s="101">
        <v>0.95199999999999996</v>
      </c>
      <c r="U7" s="10"/>
      <c r="V7" s="103"/>
      <c r="W7" s="5"/>
      <c r="Y7" s="397" t="s">
        <v>373</v>
      </c>
      <c r="Z7" s="168" t="s">
        <v>82</v>
      </c>
      <c r="AA7" s="168" t="s">
        <v>83</v>
      </c>
      <c r="AB7" s="168" t="s">
        <v>82</v>
      </c>
      <c r="AC7" s="168" t="s">
        <v>83</v>
      </c>
      <c r="AD7" s="397" t="s">
        <v>373</v>
      </c>
      <c r="AE7" s="392" t="str">
        <f t="shared" si="1"/>
        <v>Protected Permitted</v>
      </c>
      <c r="AF7" s="393" t="str">
        <f t="shared" si="2"/>
        <v>Protected Permitted</v>
      </c>
      <c r="AG7" s="78"/>
      <c r="AH7" s="78"/>
      <c r="AI7" s="78" t="s">
        <v>372</v>
      </c>
      <c r="AJ7" s="78">
        <v>4</v>
      </c>
      <c r="AK7" s="77">
        <v>4</v>
      </c>
      <c r="AL7" s="77"/>
      <c r="AM7" s="77"/>
      <c r="AN7" s="77" t="s">
        <v>372</v>
      </c>
      <c r="AO7" s="340" t="s">
        <v>394</v>
      </c>
      <c r="AP7" s="340" t="s">
        <v>393</v>
      </c>
      <c r="AQ7" s="340"/>
      <c r="AR7" s="77"/>
      <c r="AS7" s="77" t="s">
        <v>372</v>
      </c>
      <c r="AT7" s="77">
        <f>F16</f>
        <v>0</v>
      </c>
      <c r="AU7" s="77">
        <f>MAX(G16-F16,D16)</f>
        <v>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330</v>
      </c>
      <c r="C8" s="250"/>
      <c r="D8" s="251"/>
      <c r="E8" s="251">
        <f>ROUND('Input sheet'!G17/100*E5,0)</f>
        <v>0</v>
      </c>
      <c r="F8" s="250"/>
      <c r="G8" s="251"/>
      <c r="H8" s="251">
        <f>ROUND('Input sheet'!N11/100*H5,0)</f>
        <v>0</v>
      </c>
      <c r="I8" s="250"/>
      <c r="J8" s="251"/>
      <c r="K8" s="251">
        <f>ROUND('Input sheet'!L22/100*K5,0)</f>
        <v>0</v>
      </c>
      <c r="L8" s="250"/>
      <c r="M8" s="251"/>
      <c r="N8" s="251">
        <f>ROUND('Input sheet'!H7/100*N5,0)</f>
        <v>0</v>
      </c>
      <c r="O8" s="250"/>
      <c r="P8" s="291"/>
      <c r="Q8" s="102"/>
      <c r="R8" s="545"/>
      <c r="S8" s="101"/>
      <c r="T8" s="101"/>
      <c r="U8" s="10"/>
      <c r="V8" s="103"/>
      <c r="W8" s="5"/>
      <c r="Y8" s="397" t="s">
        <v>374</v>
      </c>
      <c r="Z8" s="168" t="s">
        <v>383</v>
      </c>
      <c r="AA8" s="168" t="s">
        <v>82</v>
      </c>
      <c r="AB8" s="168" t="s">
        <v>383</v>
      </c>
      <c r="AC8" s="168" t="s">
        <v>82</v>
      </c>
      <c r="AD8" s="397" t="s">
        <v>374</v>
      </c>
      <c r="AE8" s="392" t="str">
        <f t="shared" si="1"/>
        <v>ProtectedA Protected</v>
      </c>
      <c r="AF8" s="393" t="str">
        <f t="shared" si="2"/>
        <v>ProtectedA Protected</v>
      </c>
      <c r="AG8" s="78"/>
      <c r="AH8" s="78"/>
      <c r="AI8" s="78" t="s">
        <v>373</v>
      </c>
      <c r="AJ8" s="78">
        <v>4</v>
      </c>
      <c r="AK8" s="77">
        <v>4</v>
      </c>
      <c r="AL8" s="77"/>
      <c r="AM8" s="77"/>
      <c r="AN8" s="77" t="s">
        <v>373</v>
      </c>
      <c r="AO8" s="340" t="s">
        <v>395</v>
      </c>
      <c r="AP8" s="340" t="s">
        <v>393</v>
      </c>
      <c r="AQ8" s="340"/>
      <c r="AR8" s="77"/>
      <c r="AS8" s="77" t="s">
        <v>373</v>
      </c>
      <c r="AT8" s="77">
        <f>C16</f>
        <v>0</v>
      </c>
      <c r="AU8" s="77">
        <f>MAX(D16-C16,G16)</f>
        <v>0</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331</v>
      </c>
      <c r="C9" s="325">
        <f>C5</f>
        <v>0</v>
      </c>
      <c r="D9" s="326">
        <f>IF(AND(E3&gt;0,E6=0),D5+E5,D5)</f>
        <v>0</v>
      </c>
      <c r="E9" s="326">
        <f>IF(AND(E3&gt;0,E6=0),0,E5-E8)</f>
        <v>0</v>
      </c>
      <c r="F9" s="325">
        <f>F5</f>
        <v>0</v>
      </c>
      <c r="G9" s="326">
        <f>IF(AND(H3&gt;0,H6=0),G5+H5,G5)</f>
        <v>0</v>
      </c>
      <c r="H9" s="326">
        <f>IF(AND(H3&gt;0,H6=0),0,H5-H8)</f>
        <v>0</v>
      </c>
      <c r="I9" s="325">
        <f>I5</f>
        <v>0</v>
      </c>
      <c r="J9" s="326">
        <f>IF(AND(K3&gt;0,K6=0),J5+K5,J5)</f>
        <v>0</v>
      </c>
      <c r="K9" s="326">
        <f>IF(AND(K3&gt;0,K6=0),0,K5-K8)</f>
        <v>0</v>
      </c>
      <c r="L9" s="325">
        <f>L5</f>
        <v>0</v>
      </c>
      <c r="M9" s="326">
        <f>IF(AND(N3&gt;0,N6=0),M5+N5,M5)</f>
        <v>0</v>
      </c>
      <c r="N9" s="326">
        <f>IF(AND(N3&gt;0,N6=0),0,N5-N8)</f>
        <v>0</v>
      </c>
      <c r="O9" s="250">
        <f>SUM(C9:N9)</f>
        <v>0</v>
      </c>
      <c r="P9" s="291"/>
      <c r="Q9" s="102"/>
      <c r="R9" s="545"/>
      <c r="S9" s="101"/>
      <c r="T9" s="101"/>
      <c r="U9" s="10"/>
      <c r="V9" s="103"/>
      <c r="W9" s="5"/>
      <c r="Y9" s="397" t="s">
        <v>375</v>
      </c>
      <c r="Z9" s="168" t="s">
        <v>82</v>
      </c>
      <c r="AA9" s="168" t="s">
        <v>383</v>
      </c>
      <c r="AB9" s="168" t="s">
        <v>82</v>
      </c>
      <c r="AC9" s="168" t="s">
        <v>383</v>
      </c>
      <c r="AD9" s="397" t="s">
        <v>375</v>
      </c>
      <c r="AE9" s="392" t="str">
        <f t="shared" si="1"/>
        <v>Protected ProtectedA</v>
      </c>
      <c r="AF9" s="393" t="str">
        <f t="shared" si="2"/>
        <v>Protected ProtectedA</v>
      </c>
      <c r="AG9" s="78"/>
      <c r="AH9" s="78"/>
      <c r="AI9" s="78" t="s">
        <v>374</v>
      </c>
      <c r="AJ9" s="78">
        <v>4</v>
      </c>
      <c r="AK9" s="77">
        <v>0</v>
      </c>
      <c r="AL9" s="77">
        <v>4</v>
      </c>
      <c r="AM9" s="77"/>
      <c r="AN9" s="77" t="s">
        <v>374</v>
      </c>
      <c r="AO9" s="340" t="s">
        <v>396</v>
      </c>
      <c r="AP9" s="340" t="s">
        <v>395</v>
      </c>
      <c r="AQ9" s="340" t="s">
        <v>393</v>
      </c>
      <c r="AR9" s="77"/>
      <c r="AS9" s="77" t="s">
        <v>374</v>
      </c>
      <c r="AT9" s="77">
        <f>F16</f>
        <v>0</v>
      </c>
      <c r="AU9" s="77">
        <f>C16-F16</f>
        <v>0</v>
      </c>
      <c r="AV9" s="77">
        <f>MAX(G16,D16-(C16-F16))</f>
        <v>0</v>
      </c>
      <c r="BI9" s="488"/>
      <c r="BJ9" s="488"/>
      <c r="BK9" s="488"/>
      <c r="BL9" s="488" t="s">
        <v>556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1</v>
      </c>
      <c r="D10" s="251">
        <f>IF(D6=0,1,LOOKUP(D6,$S$6:$S$10,$T$6:$T$10))</f>
        <v>1</v>
      </c>
      <c r="E10" s="251"/>
      <c r="F10" s="250">
        <f>IF(F6=0,1,LOOKUP(F6,$S$18:$S$19,$T$18:$T$19))</f>
        <v>1</v>
      </c>
      <c r="G10" s="251">
        <f>IF(G6=0,1,LOOKUP(G6,$S$6:$S$10,$T$6:$T$10))</f>
        <v>1</v>
      </c>
      <c r="H10" s="251"/>
      <c r="I10" s="250">
        <f>IF(I6=0,1,LOOKUP(I6,$S$18:$S$19,$T$18:$T$19))</f>
        <v>1</v>
      </c>
      <c r="J10" s="251">
        <f>IF(J6=0,1,LOOKUP(J6,$S$6:$S$10,$T$6:$T$10))</f>
        <v>1</v>
      </c>
      <c r="K10" s="251"/>
      <c r="L10" s="250">
        <f>IF(L6=0,1,LOOKUP(L6,$S$18:$S$19,$T$18:$T$19))</f>
        <v>1</v>
      </c>
      <c r="M10" s="251">
        <f>IF(M6=0,1,LOOKUP(M6,$S$6:$S$10,$T$6:$T$10))</f>
        <v>1</v>
      </c>
      <c r="N10" s="251"/>
      <c r="O10" s="250"/>
      <c r="P10" s="291"/>
      <c r="Q10" s="102"/>
      <c r="R10" s="545"/>
      <c r="S10" s="101">
        <v>3</v>
      </c>
      <c r="T10" s="101">
        <v>0.90800000000000003</v>
      </c>
      <c r="U10" s="10"/>
      <c r="V10" s="103"/>
      <c r="W10" s="5"/>
      <c r="Y10" s="397">
        <v>4</v>
      </c>
      <c r="Z10" s="168" t="s">
        <v>376</v>
      </c>
      <c r="AA10" s="168" t="s">
        <v>376</v>
      </c>
      <c r="AB10" s="168" t="s">
        <v>376</v>
      </c>
      <c r="AC10" s="168" t="s">
        <v>376</v>
      </c>
      <c r="AD10" s="397">
        <v>4</v>
      </c>
      <c r="AE10" s="392" t="str">
        <f t="shared" si="1"/>
        <v>Not opposed Not opposed</v>
      </c>
      <c r="AF10" s="393" t="str">
        <f t="shared" si="2"/>
        <v>Not opposed Not opposed</v>
      </c>
      <c r="AG10" s="78"/>
      <c r="AH10" s="78"/>
      <c r="AI10" s="78" t="s">
        <v>375</v>
      </c>
      <c r="AJ10" s="78">
        <v>4</v>
      </c>
      <c r="AK10" s="77">
        <v>0</v>
      </c>
      <c r="AL10" s="77">
        <v>4</v>
      </c>
      <c r="AM10" s="77"/>
      <c r="AN10" s="77" t="s">
        <v>375</v>
      </c>
      <c r="AO10" s="340" t="s">
        <v>396</v>
      </c>
      <c r="AP10" s="340" t="s">
        <v>394</v>
      </c>
      <c r="AQ10" s="340" t="s">
        <v>393</v>
      </c>
      <c r="AR10" s="77"/>
      <c r="AS10" s="77" t="s">
        <v>375</v>
      </c>
      <c r="AT10" s="77">
        <f>C16</f>
        <v>0</v>
      </c>
      <c r="AU10" s="77">
        <f>F16-C16</f>
        <v>0</v>
      </c>
      <c r="AV10" s="77">
        <f>MAX(D16,G16-(F16-C16))</f>
        <v>0</v>
      </c>
      <c r="BI10" s="488"/>
      <c r="BJ10" s="488"/>
      <c r="BK10" s="488"/>
      <c r="BL10" s="488" t="s">
        <v>557</v>
      </c>
      <c r="BM10" s="488">
        <f>IF(BM9=0,0,INDEX(BL3:BW3,MATCH(BM9,BL5:BW5,0)))</f>
        <v>70</v>
      </c>
      <c r="BN10" s="488"/>
      <c r="BO10" s="488"/>
      <c r="BP10" s="488"/>
      <c r="BQ10" s="488"/>
      <c r="BR10" s="488"/>
      <c r="BS10" s="488"/>
      <c r="BT10" s="488"/>
      <c r="BU10" s="488"/>
      <c r="BV10" s="488"/>
      <c r="BW10" s="488"/>
      <c r="BX10" s="488"/>
    </row>
    <row r="11" spans="2:76" x14ac:dyDescent="0.3">
      <c r="B11" s="256" t="s">
        <v>332</v>
      </c>
      <c r="C11" s="325" t="e">
        <f>IF(C34=0,0,ROUND(C6*1530*C4*'Input sheet'!$W$7,0))</f>
        <v>#N/A</v>
      </c>
      <c r="D11" s="326" t="e">
        <f>IF(D34=0,0,ROUND(D6*1530*D4*'Input sheet'!$W$7,0))</f>
        <v>#N/A</v>
      </c>
      <c r="E11" s="327" t="e">
        <f>IF(E34=0,0,ROUND(E6*1530*E4*'Input sheet'!$W$7,0))</f>
        <v>#N/A</v>
      </c>
      <c r="F11" s="325" t="e">
        <f>IF(F34=0,0,ROUND(F6*1530*F4*'Input sheet'!$W$7,0))</f>
        <v>#N/A</v>
      </c>
      <c r="G11" s="326" t="e">
        <f>IF(G34=0,0,ROUND(G6*1530*G4*'Input sheet'!$W$7,0))</f>
        <v>#N/A</v>
      </c>
      <c r="H11" s="327" t="e">
        <f>IF(H34=0,0,ROUND(H6*1530*H4*'Input sheet'!$W$7,0))</f>
        <v>#N/A</v>
      </c>
      <c r="I11" s="325" t="e">
        <f>IF(I34=0,0,ROUND(I6*1530*I4*'Input sheet'!$W$7,0))</f>
        <v>#N/A</v>
      </c>
      <c r="J11" s="326" t="e">
        <f>IF(J34=0,0,ROUND(J6*1530*J4*'Input sheet'!$W$7,0))</f>
        <v>#N/A</v>
      </c>
      <c r="K11" s="327" t="e">
        <f>IF(K34=0,0,ROUND(K6*1530*K4*'Input sheet'!$W$7,0))</f>
        <v>#N/A</v>
      </c>
      <c r="L11" s="325" t="e">
        <f>IF(L34=0,0,ROUND(L6*1530*L4*'Input sheet'!$W$7,0))</f>
        <v>#N/A</v>
      </c>
      <c r="M11" s="326" t="e">
        <f>IF(M34=0,0,ROUND(M6*1530*M4*'Input sheet'!$W$7,0))</f>
        <v>#N/A</v>
      </c>
      <c r="N11" s="326" t="e">
        <f>IF(N34=0,0,ROUND(N6*1530*N4*'Input sheet'!$W$7,0))</f>
        <v>#N/A</v>
      </c>
      <c r="O11" s="346">
        <f>ROUND(1530*O4*'Input sheet'!W7,0)</f>
        <v>1530</v>
      </c>
      <c r="P11" s="291" t="s">
        <v>212</v>
      </c>
      <c r="Q11" s="77"/>
      <c r="R11" s="111"/>
      <c r="U11" s="10"/>
      <c r="V11" s="103"/>
      <c r="W11" s="10"/>
      <c r="Y11" s="398" t="s">
        <v>374</v>
      </c>
      <c r="Z11" s="337" t="s">
        <v>383</v>
      </c>
      <c r="AA11" s="337" t="s">
        <v>383</v>
      </c>
      <c r="AB11" s="337" t="s">
        <v>383</v>
      </c>
      <c r="AC11" s="337" t="s">
        <v>383</v>
      </c>
      <c r="AD11" s="398" t="s">
        <v>374</v>
      </c>
      <c r="AE11" s="395" t="str">
        <f>Z11&amp;" "&amp;AA11</f>
        <v>ProtectedA ProtectedA</v>
      </c>
      <c r="AF11" s="339" t="str">
        <f>AB11&amp;" "&amp;AC11</f>
        <v>ProtectedA ProtectedA</v>
      </c>
      <c r="AI11" s="78">
        <v>4</v>
      </c>
      <c r="AJ11" s="78">
        <v>4</v>
      </c>
      <c r="AK11" s="77">
        <v>4</v>
      </c>
      <c r="AN11" s="77">
        <v>4</v>
      </c>
      <c r="AO11" s="340" t="s">
        <v>395</v>
      </c>
      <c r="AP11" s="340" t="s">
        <v>394</v>
      </c>
      <c r="AQ11" s="340"/>
      <c r="AS11" s="77">
        <v>4</v>
      </c>
      <c r="AT11" s="77">
        <f>MAX(D16,C16)</f>
        <v>0</v>
      </c>
      <c r="AU11" s="77">
        <f>MAX(G16,F16)</f>
        <v>0</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334</v>
      </c>
      <c r="C12" s="250">
        <f>MAX(1,'Lane volumes'!C12)</f>
        <v>1</v>
      </c>
      <c r="D12" s="251"/>
      <c r="E12" s="251"/>
      <c r="F12" s="250">
        <f>MAX(1,'Lane volumes'!U12)</f>
        <v>1</v>
      </c>
      <c r="G12" s="251"/>
      <c r="H12" s="251"/>
      <c r="I12" s="250">
        <f>MAX(1,'Lane volumes'!AL12)</f>
        <v>1</v>
      </c>
      <c r="J12" s="251"/>
      <c r="K12" s="251"/>
      <c r="L12" s="250">
        <f>MAX(1,'Lane volumes'!BC12)</f>
        <v>1</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335</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379</v>
      </c>
      <c r="Z13" s="77" t="str">
        <f>'Phase designation'!B23</f>
        <v>Permitted</v>
      </c>
      <c r="AA13" s="324" t="str">
        <f>'Phase designation'!D23</f>
        <v>Permitted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333</v>
      </c>
      <c r="C14" s="250">
        <f>IF(D57+D59&gt;=1,ROUND(C10*$S$4*(C12*EXP(-1*C12*4.5/3600))/((1-EXP(-1*C12*C13/3600))),0),0)</f>
        <v>1332</v>
      </c>
      <c r="D14" s="251" t="e">
        <f>D11</f>
        <v>#N/A</v>
      </c>
      <c r="E14" s="251" t="e">
        <f>E11</f>
        <v>#N/A</v>
      </c>
      <c r="F14" s="250">
        <f>IF(G57+G59&gt;=1,ROUND(F10*$S$4*(F12*EXP(-1*F12*4.5/3600))/((1-EXP(-1*F12*F13/3600))),0),0)</f>
        <v>1332</v>
      </c>
      <c r="G14" s="251" t="e">
        <f>G11</f>
        <v>#N/A</v>
      </c>
      <c r="H14" s="251" t="e">
        <f>H11</f>
        <v>#N/A</v>
      </c>
      <c r="I14" s="250">
        <f>IF(J57+J59&gt;=1,ROUND(I10*$S$4*(I12*EXP(-1*I12*4.5/3600))/((1-EXP(-1*I12*I13/3600))),0),0)</f>
        <v>1332</v>
      </c>
      <c r="J14" s="251" t="e">
        <f>J11</f>
        <v>#N/A</v>
      </c>
      <c r="K14" s="251" t="e">
        <f>K11</f>
        <v>#N/A</v>
      </c>
      <c r="L14" s="250">
        <f>IF(M57+M59&gt;=1,ROUND(L10*$S$4*(L12*EXP(-1*L12*4.5/3600))/((1-EXP(-1*L12*L13/3600))),0),0)</f>
        <v>1332</v>
      </c>
      <c r="M14" s="251" t="e">
        <f>M11</f>
        <v>#N/A</v>
      </c>
      <c r="N14" s="251" t="e">
        <f>N11</f>
        <v>#N/A</v>
      </c>
      <c r="O14" s="250"/>
      <c r="P14" s="291"/>
      <c r="Q14" s="77"/>
      <c r="R14" s="111"/>
      <c r="U14" s="10"/>
      <c r="V14" s="103"/>
      <c r="W14" s="10"/>
      <c r="Y14" s="319" t="s">
        <v>382</v>
      </c>
      <c r="Z14" s="242">
        <f>IF(SUM(Sheet1!S5:U5)=0,1,0)</f>
        <v>1</v>
      </c>
      <c r="AA14" s="319">
        <f>IF(SUM(Sheet1!N5:P5)=0,1,0)</f>
        <v>1</v>
      </c>
      <c r="AB14" s="319">
        <f>IF(SUM(Sheet1!I5:K5,Sheet1!AC5:AH5)=0,1,0)</f>
        <v>1</v>
      </c>
      <c r="AC14" s="319">
        <f>IF(SUM(Sheet1!D5:F5,Sheet1!W5:AB5)=0,1,0)</f>
        <v>1</v>
      </c>
      <c r="AE14" s="78"/>
      <c r="AF14" s="78"/>
      <c r="AG14" s="78"/>
      <c r="AH14" s="167" t="s">
        <v>386</v>
      </c>
      <c r="AI14" s="342">
        <f>Z21</f>
        <v>4</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0</v>
      </c>
      <c r="D15" s="251">
        <f>IF(D7+F7&gt;G7+C7,D7,0)</f>
        <v>0</v>
      </c>
      <c r="E15" s="251"/>
      <c r="F15" s="250">
        <f>IF(F7+D7&gt;C7+G7,F7,0)</f>
        <v>0</v>
      </c>
      <c r="G15" s="251">
        <f>IF(G7+C7&gt;D7+F7,G7,0)</f>
        <v>0</v>
      </c>
      <c r="H15" s="251"/>
      <c r="I15" s="250">
        <f>IF(I7+M7&gt;L7+J7,I7,0)</f>
        <v>0</v>
      </c>
      <c r="J15" s="251">
        <f>IF(J7+L7&gt;M7+I7,J7,0)</f>
        <v>0</v>
      </c>
      <c r="K15" s="251"/>
      <c r="L15" s="250">
        <f>IF(L7+J7&gt;I7+M7,L7,0)</f>
        <v>0</v>
      </c>
      <c r="M15" s="251">
        <f>IF(M7+I7&gt;J7+L7,M7,0)</f>
        <v>0</v>
      </c>
      <c r="N15" s="251"/>
      <c r="O15" s="250">
        <f>SUM(C15:M15)</f>
        <v>0</v>
      </c>
      <c r="Q15" s="10"/>
      <c r="R15" s="13"/>
      <c r="S15" s="101"/>
      <c r="T15" s="101"/>
      <c r="U15" s="10"/>
      <c r="V15" s="103"/>
      <c r="W15" s="10"/>
      <c r="Y15" s="319" t="s">
        <v>381</v>
      </c>
      <c r="Z15" s="3" t="str">
        <f>IF(Z13="Prot+perm","Protected",Z13)</f>
        <v>Permitted</v>
      </c>
      <c r="AA15" s="319" t="str">
        <f>IF(AA13="Prot+perm","Protected",AA13)</f>
        <v>Permitted</v>
      </c>
      <c r="AB15" s="319" t="str">
        <f>IF(AB13="Prot+perm","Protected",AB13)</f>
        <v>Permitted</v>
      </c>
      <c r="AC15" s="319" t="str">
        <f>IF(AC13="Prot+perm","Protected",AC13)</f>
        <v>Permitted</v>
      </c>
      <c r="AI15" s="167" t="s">
        <v>390</v>
      </c>
      <c r="AJ15" s="167">
        <f>INDEX(AJ4:AJ11,MATCH($AI$14,$AI$4:$AI$11,0))</f>
        <v>4</v>
      </c>
      <c r="AK15" s="167">
        <f>INDEX(AK4:AK11,MATCH($AI$14,$AI$4:$AI$11,0))</f>
        <v>4</v>
      </c>
      <c r="AL15" s="167">
        <f>INDEX(AL4:AL11,MATCH($AI$14,$AI$4:$AI$11,0))</f>
        <v>0</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336</v>
      </c>
      <c r="C16" s="325">
        <f>MAX('Lane volumes'!C16:E16)</f>
        <v>0</v>
      </c>
      <c r="D16" s="326">
        <f>IF(D6=0,0,ROUND(MAX('Lane volumes'!C31:E31,'Lane volumes'!C38:E38),0))</f>
        <v>0</v>
      </c>
      <c r="E16" s="326">
        <f>MAX('Lane volumes'!C8:D8)</f>
        <v>0</v>
      </c>
      <c r="F16" s="325">
        <f>MAX('Lane volumes'!U16:W16)</f>
        <v>0</v>
      </c>
      <c r="G16" s="326">
        <f>IF(G6=0,0,ROUND(MAX('Lane volumes'!U31:W31,'Lane volumes'!U38:W38),0))</f>
        <v>0</v>
      </c>
      <c r="H16" s="326">
        <f>MAX('Lane volumes'!U8:V8)</f>
        <v>0</v>
      </c>
      <c r="I16" s="325">
        <f>MAX('Lane volumes'!AL16:AN16)</f>
        <v>0</v>
      </c>
      <c r="J16" s="326">
        <f>IF(J6=0,0,ROUND(MAX('Lane volumes'!AL31:AN31,'Lane volumes'!AL38:AN38),0))</f>
        <v>0</v>
      </c>
      <c r="K16" s="326">
        <f>MAX('Lane volumes'!AL8:AM8)</f>
        <v>0</v>
      </c>
      <c r="L16" s="325">
        <f>MAX('Lane volumes'!BC16:BE16)</f>
        <v>0</v>
      </c>
      <c r="M16" s="326">
        <f>IF(M6=0,0,ROUND(MAX('Lane volumes'!BC31:BE31,'Lane volumes'!BC38:BE38),0))</f>
        <v>0</v>
      </c>
      <c r="N16" s="326">
        <f>MAX('Lane volumes'!BC8:BD8)</f>
        <v>0</v>
      </c>
      <c r="O16" s="250"/>
      <c r="Q16" s="10"/>
      <c r="R16" s="13"/>
      <c r="S16" s="101"/>
      <c r="T16" s="101"/>
      <c r="U16" s="10"/>
      <c r="V16" s="103"/>
      <c r="W16" s="10"/>
      <c r="Y16" s="324" t="s">
        <v>384</v>
      </c>
      <c r="Z16" s="291" t="str">
        <f>IF(AND(Z15="Protected",AA15="Protected",C3&gt;=F3),"ProtectedA","Protected")</f>
        <v>Protected</v>
      </c>
      <c r="AA16" s="324" t="str">
        <f>IF(AND(Z15="Protected",AA15="Protected",F3&gt;=C3),"ProtectedA","Protected")</f>
        <v>Protected</v>
      </c>
      <c r="AB16" s="324" t="str">
        <f>IF(AND(AB15="Protected",AC15="Protected",I3&gt;=L3),"ProtectedA","Protected")</f>
        <v>Protected</v>
      </c>
      <c r="AC16" s="324" t="str">
        <f>IF(AND(AB15="Protected",AC15="Protected",L3&gt;=I3),"ProtectedA","Protected")</f>
        <v>Protected</v>
      </c>
      <c r="AE16" s="251"/>
      <c r="AF16" s="251"/>
      <c r="AG16" s="251"/>
      <c r="AH16" s="251"/>
      <c r="AI16" s="167" t="s">
        <v>391</v>
      </c>
      <c r="AJ16" s="167" t="str">
        <f>INDEX(AO4:AO11,MATCH($AI$14,$AN$4:$AN$11,0))</f>
        <v>EBTHLT</v>
      </c>
      <c r="AK16" s="167" t="str">
        <f>INDEX(AP4:AP11,MATCH($AI$14,$AN$4:$AN$11,0))</f>
        <v>WBTHLT</v>
      </c>
      <c r="AL16" s="167">
        <f>INDEX(AQ4:AQ11,MATCH($AI$14,$AN$4:$AN$11,0))</f>
        <v>0</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46"/>
      <c r="D17" s="547"/>
      <c r="E17" s="548"/>
      <c r="F17" s="546"/>
      <c r="G17" s="547"/>
      <c r="H17" s="548"/>
      <c r="I17" s="546"/>
      <c r="J17" s="547"/>
      <c r="K17" s="548"/>
      <c r="L17" s="547"/>
      <c r="M17" s="547"/>
      <c r="N17" s="547"/>
      <c r="O17" s="346">
        <f>SUM(AJ17:AL17,AJ33:AL33)</f>
        <v>0</v>
      </c>
      <c r="P17" s="291" t="s">
        <v>213</v>
      </c>
      <c r="Q17" s="10"/>
      <c r="R17" s="13"/>
      <c r="S17" s="101"/>
      <c r="T17" s="101"/>
      <c r="U17" s="10"/>
      <c r="V17" s="103"/>
      <c r="W17" s="10"/>
      <c r="Y17" s="324" t="s">
        <v>385</v>
      </c>
      <c r="Z17" s="324" t="str">
        <f>IF(AND(Z14=1,Z15="Permitted"),"Not opposed",Z15)</f>
        <v>Not opposed</v>
      </c>
      <c r="AA17" s="324" t="str">
        <f>IF(AND(AA14=1,AA15="Permitted"),"Not opposed",AA15)</f>
        <v>Not opposed</v>
      </c>
      <c r="AB17" s="324" t="str">
        <f>IF(AND(AB14=1,AB15="Permitted"),"Not opposed",AB15)</f>
        <v>Not opposed</v>
      </c>
      <c r="AC17" s="324" t="str">
        <f>IF(AND(AC14=1,AC15="Permitted"),"Not opposed",AC15)</f>
        <v>Not opposed</v>
      </c>
      <c r="AE17" s="78"/>
      <c r="AF17" s="78"/>
      <c r="AG17" s="78"/>
      <c r="AH17" s="78"/>
      <c r="AI17" s="167" t="s">
        <v>392</v>
      </c>
      <c r="AJ17" s="167">
        <f>INDEX(AT4:AT11,MATCH($AI$14,$AS$4:$AS$11,0))</f>
        <v>0</v>
      </c>
      <c r="AK17" s="167">
        <f>INDEX(AU4:AU11,MATCH($AI$14,$AS$4:$AS$11,0))</f>
        <v>0</v>
      </c>
      <c r="AL17" s="167">
        <f>INDEX(AV4:AV11,MATCH($AI$14,$AS$4:$AS$11,0))</f>
        <v>0</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420</v>
      </c>
      <c r="C18" s="250">
        <f>'Phase designation'!B27</f>
        <v>0</v>
      </c>
      <c r="D18" s="251">
        <f>'Phase designation'!C27</f>
        <v>4</v>
      </c>
      <c r="E18" s="251"/>
      <c r="F18" s="250">
        <f>'Phase designation'!D27</f>
        <v>0</v>
      </c>
      <c r="G18" s="251">
        <f>'Phase designation'!E27</f>
        <v>8</v>
      </c>
      <c r="H18" s="251"/>
      <c r="I18" s="250">
        <f>'Phase designation'!F27</f>
        <v>0</v>
      </c>
      <c r="J18" s="251">
        <f>'Phase designation'!G27</f>
        <v>2</v>
      </c>
      <c r="K18" s="251"/>
      <c r="L18" s="250">
        <f>'Phase designation'!H27</f>
        <v>0</v>
      </c>
      <c r="M18" s="251">
        <f>'Phase designation'!I27</f>
        <v>6</v>
      </c>
      <c r="N18" s="251"/>
      <c r="O18" s="250"/>
      <c r="Q18" s="10"/>
      <c r="R18" s="550" t="s">
        <v>208</v>
      </c>
      <c r="S18" s="25">
        <v>1</v>
      </c>
      <c r="T18" s="25">
        <v>1</v>
      </c>
      <c r="U18" s="16"/>
      <c r="V18" s="13"/>
      <c r="W18" s="14"/>
      <c r="Y18" s="318" t="s">
        <v>380</v>
      </c>
      <c r="Z18" s="318" t="str">
        <f>IF(AND(Z16="ProtectedA",Z17="Protected"),"ProtectedA",Z17)</f>
        <v>Not opposed</v>
      </c>
      <c r="AA18" s="318" t="str">
        <f>IF(AND(AA16="ProtectedA",AA17="Protected"),"ProtectedA",AA17)</f>
        <v>Not opposed</v>
      </c>
      <c r="AB18" s="318" t="str">
        <f>IF(AND(AB16="ProtectedA",AB17="Protected"),"ProtectedA",AB17)</f>
        <v>Not opposed</v>
      </c>
      <c r="AC18" s="318" t="str">
        <f>IF(AND(AC16="ProtectedA",AC17="Protected"),"ProtectedA",AC17)</f>
        <v>Not opposed</v>
      </c>
      <c r="AI18" s="344" t="s">
        <v>401</v>
      </c>
      <c r="AJ18" s="344">
        <f>IF(AJ17=0,0,ROUND(($C$25-$C$23)*(AJ17/$O$17)+AJ15,1))</f>
        <v>0</v>
      </c>
      <c r="AK18" s="344">
        <f>IF(AK17=0,0,ROUND(($C$25-$C$23)*(AK17/$O$17)+AK15,1))</f>
        <v>0</v>
      </c>
      <c r="AL18" s="344">
        <f>IF(AL17=0,0,ROUND(($C$25-$C$23)*(AL17/$O$17)+AL15,1))</f>
        <v>0</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4</v>
      </c>
      <c r="D19" s="298">
        <f>'Phase designation'!C28</f>
        <v>0</v>
      </c>
      <c r="E19" s="298">
        <f>D18</f>
        <v>4</v>
      </c>
      <c r="F19" s="297">
        <f>'Phase designation'!D28</f>
        <v>8</v>
      </c>
      <c r="G19" s="298">
        <f>'Phase designation'!E28</f>
        <v>0</v>
      </c>
      <c r="H19" s="298">
        <f>D18</f>
        <v>4</v>
      </c>
      <c r="I19" s="297">
        <f>'Phase designation'!F28</f>
        <v>2</v>
      </c>
      <c r="J19" s="298">
        <f>'Phase designation'!G28</f>
        <v>0</v>
      </c>
      <c r="K19" s="298">
        <f>J18</f>
        <v>2</v>
      </c>
      <c r="L19" s="297">
        <f>'Phase designation'!H28</f>
        <v>6</v>
      </c>
      <c r="M19" s="298">
        <f>'Phase designation'!I28</f>
        <v>0</v>
      </c>
      <c r="N19" s="298">
        <f>M18</f>
        <v>6</v>
      </c>
      <c r="O19" s="347"/>
      <c r="P19" s="195"/>
      <c r="Q19" s="108"/>
      <c r="R19" s="550"/>
      <c r="S19" s="107">
        <v>2</v>
      </c>
      <c r="T19" s="107">
        <v>0.97099999999999997</v>
      </c>
      <c r="U19" s="106"/>
      <c r="V19" s="109"/>
      <c r="W19" s="109"/>
      <c r="Y19" s="226" t="s">
        <v>388</v>
      </c>
      <c r="Z19" s="544" t="str">
        <f>IF(OR(AND(Z18="Not opposed", AA18="Protected"),AND(AA18="Not opposed", Z18="Protected")),"ProtectedA Protected",Z18&amp;" "&amp;AA18)</f>
        <v>Not opposed Not opposed</v>
      </c>
      <c r="AA19" s="544"/>
      <c r="AB19" s="544" t="str">
        <f>IF(OR(AND(AB18="Protected",AC18="Not opposed"),AND(AC18="Protected",AB18="Not opposed")),"Protected ProtectedA",AB18&amp;" "&amp;AC18)</f>
        <v>Not opposed Not opposed</v>
      </c>
      <c r="AC19" s="544"/>
      <c r="AE19" s="198"/>
      <c r="AF19" s="198"/>
      <c r="AG19" s="198"/>
      <c r="AH19" s="301" t="s">
        <v>387</v>
      </c>
      <c r="AI19" s="78" t="s">
        <v>390</v>
      </c>
      <c r="AJ19" s="78" t="s">
        <v>124</v>
      </c>
      <c r="AK19" s="77"/>
      <c r="AL19" s="77"/>
      <c r="AM19" s="77"/>
      <c r="AN19" s="77" t="s">
        <v>391</v>
      </c>
      <c r="AO19" s="77" t="s">
        <v>124</v>
      </c>
      <c r="AP19" s="77"/>
      <c r="AQ19" s="77"/>
      <c r="AR19" s="77"/>
      <c r="AS19" s="77" t="s">
        <v>392</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389</v>
      </c>
      <c r="Z20" s="519">
        <f>MATCH(Z19,AE3:AE11,0)</f>
        <v>8</v>
      </c>
      <c r="AA20" s="519"/>
      <c r="AB20" s="519">
        <f>MATCH(AB19,AF3:AF11,0)</f>
        <v>8</v>
      </c>
      <c r="AC20" s="519"/>
      <c r="AI20" s="78" t="s">
        <v>377</v>
      </c>
      <c r="AJ20" s="78">
        <v>1</v>
      </c>
      <c r="AK20" s="77">
        <v>2</v>
      </c>
      <c r="AL20" s="77">
        <v>3</v>
      </c>
      <c r="AN20" s="77" t="s">
        <v>377</v>
      </c>
      <c r="AO20" s="77">
        <v>1</v>
      </c>
      <c r="AP20" s="77">
        <v>2</v>
      </c>
      <c r="AQ20" s="77">
        <v>3</v>
      </c>
      <c r="AS20" s="77" t="s">
        <v>377</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377</v>
      </c>
      <c r="Z21" s="519">
        <f>INDEX(AD3:AD13,Z20)</f>
        <v>4</v>
      </c>
      <c r="AA21" s="519"/>
      <c r="AB21" s="519">
        <f>INDEX(AD3:AD11,AB20)</f>
        <v>4</v>
      </c>
      <c r="AC21" s="519"/>
      <c r="AI21" s="78" t="s">
        <v>369</v>
      </c>
      <c r="AJ21" s="78">
        <v>4</v>
      </c>
      <c r="AN21" s="77" t="s">
        <v>369</v>
      </c>
      <c r="AO21" s="340" t="s">
        <v>397</v>
      </c>
      <c r="AP21" s="340"/>
      <c r="AQ21" s="340"/>
      <c r="AS21" s="77" t="s">
        <v>369</v>
      </c>
      <c r="AT21" s="77">
        <f>MAX(J16,I16,M16,L16)</f>
        <v>0</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370</v>
      </c>
      <c r="AJ22" s="78">
        <v>4</v>
      </c>
      <c r="AN22" s="77" t="s">
        <v>370</v>
      </c>
      <c r="AO22" s="340" t="s">
        <v>397</v>
      </c>
      <c r="AP22" s="340"/>
      <c r="AQ22" s="340"/>
      <c r="AS22" s="77" t="s">
        <v>370</v>
      </c>
      <c r="AT22" s="324">
        <f>MAX(J16,I16,M16,L16)</f>
        <v>0</v>
      </c>
      <c r="BI22" s="488"/>
      <c r="BJ22" s="488"/>
      <c r="BK22" s="488"/>
      <c r="BL22" s="488"/>
      <c r="BM22" s="488"/>
      <c r="BN22" s="488"/>
      <c r="BO22" s="488"/>
      <c r="BP22" s="488"/>
      <c r="BQ22" s="488"/>
      <c r="BR22" s="488"/>
      <c r="BS22" s="488"/>
      <c r="BT22" s="488"/>
      <c r="BU22" s="488"/>
      <c r="BV22" s="488"/>
      <c r="BW22" s="488"/>
      <c r="BX22" s="488"/>
    </row>
    <row r="23" spans="2:76" x14ac:dyDescent="0.3">
      <c r="B23" s="328" t="s">
        <v>421</v>
      </c>
      <c r="C23" s="328">
        <f>SUM(AJ15:AL15,AJ31:AL31)</f>
        <v>16</v>
      </c>
      <c r="F23" s="101"/>
      <c r="H23" s="101"/>
      <c r="M23" s="101"/>
      <c r="N23" s="101"/>
      <c r="O23" s="77"/>
      <c r="S23" s="85"/>
      <c r="V23" s="101">
        <f>IF(O17&gt;=O11,140,C23/(1-(O17/O11)))</f>
        <v>16</v>
      </c>
      <c r="Y23" s="331" t="s">
        <v>430</v>
      </c>
      <c r="Z23" s="331" t="s">
        <v>431</v>
      </c>
      <c r="AA23" s="331" t="s">
        <v>432</v>
      </c>
      <c r="AB23" s="101" t="s">
        <v>305</v>
      </c>
      <c r="AC23" s="331" t="s">
        <v>433</v>
      </c>
      <c r="AI23" s="78" t="s">
        <v>371</v>
      </c>
      <c r="AJ23" s="78">
        <v>4</v>
      </c>
      <c r="AN23" s="77" t="s">
        <v>371</v>
      </c>
      <c r="AO23" s="340" t="s">
        <v>397</v>
      </c>
      <c r="AP23" s="340"/>
      <c r="AQ23" s="340"/>
      <c r="AS23" s="77" t="s">
        <v>371</v>
      </c>
      <c r="AT23" s="324">
        <f>MAX(J16,I16,M16,L16)</f>
        <v>0</v>
      </c>
      <c r="BI23" s="488"/>
      <c r="BJ23" s="488"/>
      <c r="BK23" s="488"/>
      <c r="BL23" s="488"/>
      <c r="BM23" s="488"/>
      <c r="BN23" s="488"/>
      <c r="BO23" s="488"/>
      <c r="BP23" s="488"/>
      <c r="BQ23" s="488"/>
      <c r="BR23" s="488"/>
      <c r="BS23" s="488"/>
      <c r="BT23" s="488"/>
      <c r="BU23" s="488"/>
      <c r="BV23" s="488"/>
      <c r="BW23" s="488"/>
      <c r="BX23" s="488"/>
    </row>
    <row r="24" spans="2:76" x14ac:dyDescent="0.3">
      <c r="B24" s="330" t="s">
        <v>422</v>
      </c>
      <c r="C24" s="366">
        <f>C23/(1-(O17/O11))</f>
        <v>16</v>
      </c>
      <c r="D24" s="549" t="s">
        <v>435</v>
      </c>
      <c r="E24" s="549"/>
      <c r="F24" s="372">
        <f>V25</f>
        <v>10</v>
      </c>
      <c r="H24" s="101"/>
      <c r="M24" s="101"/>
      <c r="N24" s="101"/>
      <c r="O24" s="77"/>
      <c r="U24" s="101" t="s">
        <v>434</v>
      </c>
      <c r="V24" s="101" t="s">
        <v>302</v>
      </c>
      <c r="Y24" s="3">
        <v>-100000</v>
      </c>
      <c r="Z24" s="3">
        <v>0</v>
      </c>
      <c r="AA24" s="3">
        <f>'Input sheet'!V9</f>
        <v>150</v>
      </c>
      <c r="AB24" s="101">
        <f>V23</f>
        <v>16</v>
      </c>
      <c r="AC24" s="3">
        <f>LOOKUP(AB24,Y24:Z37,AA24:AA37)</f>
        <v>40</v>
      </c>
      <c r="AI24" s="78" t="s">
        <v>372</v>
      </c>
      <c r="AJ24" s="78">
        <v>4</v>
      </c>
      <c r="AK24" s="77">
        <v>4</v>
      </c>
      <c r="AN24" s="77" t="s">
        <v>372</v>
      </c>
      <c r="AO24" s="340" t="s">
        <v>398</v>
      </c>
      <c r="AP24" s="340" t="s">
        <v>397</v>
      </c>
      <c r="AQ24" s="340"/>
      <c r="AS24" s="77" t="s">
        <v>372</v>
      </c>
      <c r="AT24" s="77">
        <f>L16</f>
        <v>0</v>
      </c>
      <c r="AU24" s="324">
        <f>MAX(M16-L16,J16)</f>
        <v>0</v>
      </c>
    </row>
    <row r="25" spans="2:76" x14ac:dyDescent="0.3">
      <c r="B25" s="329" t="s">
        <v>423</v>
      </c>
      <c r="C25" s="244">
        <f>V27</f>
        <v>40</v>
      </c>
      <c r="D25" s="492"/>
      <c r="E25" s="77"/>
      <c r="F25" s="77"/>
      <c r="G25" s="101"/>
      <c r="H25" s="101"/>
      <c r="I25" s="101"/>
      <c r="J25" s="101"/>
      <c r="K25" s="101"/>
      <c r="L25" s="101"/>
      <c r="M25" s="101"/>
      <c r="N25" s="101"/>
      <c r="O25" s="77"/>
      <c r="Q25" s="75"/>
      <c r="R25" s="75"/>
      <c r="S25" s="75"/>
      <c r="U25" s="3">
        <f>Phasing!L27</f>
        <v>10</v>
      </c>
      <c r="V25" s="101">
        <f>10*ROUNDUP(U25/10,0)</f>
        <v>10</v>
      </c>
      <c r="Y25" s="3">
        <v>0</v>
      </c>
      <c r="Z25" s="3">
        <v>40</v>
      </c>
      <c r="AA25" s="3">
        <f>'Input sheet'!V8</f>
        <v>40</v>
      </c>
      <c r="AI25" s="78" t="s">
        <v>373</v>
      </c>
      <c r="AJ25" s="78">
        <v>4</v>
      </c>
      <c r="AK25" s="77">
        <v>4</v>
      </c>
      <c r="AN25" s="77" t="s">
        <v>373</v>
      </c>
      <c r="AO25" s="340" t="s">
        <v>399</v>
      </c>
      <c r="AP25" s="340" t="s">
        <v>397</v>
      </c>
      <c r="AQ25" s="340"/>
      <c r="AS25" s="77" t="s">
        <v>373</v>
      </c>
      <c r="AT25" s="77">
        <f>I16</f>
        <v>0</v>
      </c>
      <c r="AU25" s="77">
        <f>MAX(J16-I16,M16)</f>
        <v>0</v>
      </c>
    </row>
    <row r="26" spans="2:76" hidden="1" x14ac:dyDescent="0.3">
      <c r="B26" s="77" t="s">
        <v>244</v>
      </c>
      <c r="C26" s="77">
        <f>C7</f>
        <v>0</v>
      </c>
      <c r="D26" s="77">
        <f>IF(AND(C18=0,C26&gt;0,D3=0),C26,D7)</f>
        <v>0</v>
      </c>
      <c r="E26" s="77"/>
      <c r="F26" s="77">
        <f>F7</f>
        <v>0</v>
      </c>
      <c r="G26" s="77">
        <f>IF(AND(F18=0,F26&gt;0,G3=0),F26,G7)</f>
        <v>0</v>
      </c>
      <c r="H26" s="77"/>
      <c r="I26" s="77">
        <f>I7</f>
        <v>0</v>
      </c>
      <c r="J26" s="77">
        <f>IF(AND(I18=0,I26&gt;0,J3=0),I26,J7)</f>
        <v>0</v>
      </c>
      <c r="K26" s="77"/>
      <c r="L26" s="77">
        <f>L7</f>
        <v>0</v>
      </c>
      <c r="M26" s="77">
        <f>IF(AND(L18=0,L26&gt;0,M3=0),L26,M7)</f>
        <v>0</v>
      </c>
      <c r="N26" s="77"/>
      <c r="O26" s="77"/>
      <c r="V26" s="291" t="s">
        <v>337</v>
      </c>
      <c r="Y26" s="3">
        <f>Z25+0.001</f>
        <v>40.000999999999998</v>
      </c>
      <c r="Z26" s="3">
        <f>Z25+10</f>
        <v>50</v>
      </c>
      <c r="AA26" s="3">
        <f>AA25+10</f>
        <v>50</v>
      </c>
      <c r="AI26" s="78" t="s">
        <v>374</v>
      </c>
      <c r="AJ26" s="78">
        <v>4</v>
      </c>
      <c r="AK26" s="77">
        <v>0</v>
      </c>
      <c r="AL26" s="77">
        <v>4</v>
      </c>
      <c r="AN26" s="77" t="s">
        <v>374</v>
      </c>
      <c r="AO26" s="340" t="s">
        <v>400</v>
      </c>
      <c r="AP26" s="340" t="s">
        <v>399</v>
      </c>
      <c r="AQ26" s="340" t="s">
        <v>397</v>
      </c>
      <c r="AS26" s="77" t="s">
        <v>374</v>
      </c>
      <c r="AT26" s="77">
        <f>L16</f>
        <v>0</v>
      </c>
      <c r="AU26" s="77">
        <f>I16-L16</f>
        <v>0</v>
      </c>
      <c r="AV26" s="77">
        <f>MAX(M16,J16-(I16-L16))</f>
        <v>0</v>
      </c>
    </row>
    <row r="27" spans="2:76" hidden="1" x14ac:dyDescent="0.3">
      <c r="B27" s="77" t="s">
        <v>128</v>
      </c>
      <c r="C27" s="77">
        <f>IF(C18=0,0,MATCH(C26,'Max greens'!$B:$B))</f>
        <v>0</v>
      </c>
      <c r="D27" s="77">
        <f>IF(D18=0,0,MATCH(D26,'Max greens'!$B:$B))</f>
        <v>7</v>
      </c>
      <c r="E27" s="77"/>
      <c r="F27" s="77">
        <f>IF(F18=0,0,MATCH(F26,'Max greens'!$B:$B))</f>
        <v>0</v>
      </c>
      <c r="G27" s="77">
        <f>IF(G18=0,0,MATCH(G26,'Max greens'!$B:$B))</f>
        <v>7</v>
      </c>
      <c r="H27" s="77"/>
      <c r="I27" s="77">
        <f>IF(I18=0,0,MATCH(I26,'Max greens'!$B:$B))</f>
        <v>0</v>
      </c>
      <c r="J27" s="77">
        <f>IF(J18=0,0,MATCH(J26,'Max greens'!$B:$B))</f>
        <v>7</v>
      </c>
      <c r="K27" s="77"/>
      <c r="L27" s="77">
        <f>IF(L18=0,0,MATCH(L26,'Max greens'!$B:$B))</f>
        <v>0</v>
      </c>
      <c r="M27" s="77">
        <f>IF(M18=0,0,MATCH(M26,'Max greens'!$B:$B))</f>
        <v>7</v>
      </c>
      <c r="N27" s="77"/>
      <c r="O27" s="77"/>
      <c r="Q27" s="55"/>
      <c r="R27" s="528" t="s">
        <v>113</v>
      </c>
      <c r="S27" s="528"/>
      <c r="T27" s="528"/>
      <c r="U27" s="528"/>
      <c r="V27" s="77">
        <f>IF(MAX(V25,AC24)&gt;='Input sheet'!V9,'Input sheet'!V9,MAX(V25,AC24))</f>
        <v>40</v>
      </c>
      <c r="Y27" s="331">
        <f t="shared" ref="Y27:Y36" si="6">Z26+0.001</f>
        <v>50.000999999999998</v>
      </c>
      <c r="Z27" s="331">
        <f t="shared" ref="Z27:Z35" si="7">Z26+10</f>
        <v>60</v>
      </c>
      <c r="AA27" s="331">
        <f t="shared" ref="AA27:AA36" si="8">AA26+10</f>
        <v>60</v>
      </c>
      <c r="AI27" s="78" t="s">
        <v>375</v>
      </c>
      <c r="AJ27" s="78">
        <v>4</v>
      </c>
      <c r="AK27" s="77">
        <v>0</v>
      </c>
      <c r="AL27" s="77">
        <v>4</v>
      </c>
      <c r="AN27" s="77" t="s">
        <v>375</v>
      </c>
      <c r="AO27" s="340" t="s">
        <v>400</v>
      </c>
      <c r="AP27" s="340" t="s">
        <v>398</v>
      </c>
      <c r="AQ27" s="340" t="s">
        <v>397</v>
      </c>
      <c r="AS27" s="77" t="s">
        <v>375</v>
      </c>
      <c r="AT27" s="77">
        <f>I16</f>
        <v>0</v>
      </c>
      <c r="AU27" s="77">
        <f>L16-I16</f>
        <v>0</v>
      </c>
      <c r="AV27" s="77">
        <f>MAX(J16,M16-(L16-I16))</f>
        <v>0</v>
      </c>
    </row>
    <row r="28" spans="2:76" hidden="1" x14ac:dyDescent="0.3">
      <c r="B28" s="77" t="s">
        <v>129</v>
      </c>
      <c r="C28" s="77">
        <f>IF(SUM('Phase designation'!B19:H19)&gt;2,0,MATCH($C$25,'Max greens'!5:5))</f>
        <v>0</v>
      </c>
      <c r="D28" s="77">
        <f>IF(SUM('Phase designation'!B19:H19)&gt;2,0,MATCH($C$25,'Max greens'!5:5))</f>
        <v>0</v>
      </c>
      <c r="E28" s="77"/>
      <c r="F28" s="77">
        <f>IF(SUM('Phase designation'!B19:H19)&gt;2,0,MATCH($C$25,'Max greens'!5:5))</f>
        <v>0</v>
      </c>
      <c r="G28" s="77">
        <f>IF(SUM('Phase designation'!B19:H19)&gt;2,0,MATCH($C$25,'Max greens'!5:5))</f>
        <v>0</v>
      </c>
      <c r="H28" s="77"/>
      <c r="I28" s="77">
        <f>IF(SUM('Phase designation'!B19:H19)&gt;2,0,MATCH($C$25,'Max greens'!5:5))</f>
        <v>0</v>
      </c>
      <c r="J28" s="77">
        <f>IF(SUM('Phase designation'!B19:H19)&gt;2,0,MATCH($C$25,'Max greens'!5:5))</f>
        <v>0</v>
      </c>
      <c r="K28" s="77"/>
      <c r="L28" s="77">
        <f>IF(SUM('Phase designation'!B19:H19)&gt;2,0,MATCH($C$25,'Max greens'!5:5))</f>
        <v>0</v>
      </c>
      <c r="M28" s="77">
        <f>IF(SUM('Phase designation'!B19:H19)&gt;2,0,MATCH($C$25,'Max greens'!5:5))</f>
        <v>0</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399</v>
      </c>
      <c r="AP28" s="340" t="s">
        <v>398</v>
      </c>
      <c r="AQ28" s="340"/>
      <c r="AS28" s="77">
        <v>4</v>
      </c>
      <c r="AT28" s="77">
        <f>MAX(J16,I16)</f>
        <v>0</v>
      </c>
      <c r="AU28" s="77">
        <f>MAX(M16,L16)</f>
        <v>0</v>
      </c>
    </row>
    <row r="29" spans="2:76" hidden="1" x14ac:dyDescent="0.3">
      <c r="B29" s="324" t="s">
        <v>256</v>
      </c>
      <c r="C29" s="350" t="e">
        <f>MAX(INDEX('Max greens'!1:1048576,C27,C28),C34-C35-C36)</f>
        <v>#N/A</v>
      </c>
      <c r="D29" s="350" t="e">
        <f>MAX(INDEX('Max greens'!1:1048576,D27,D28),D34-D35-D36)</f>
        <v>#N/A</v>
      </c>
      <c r="E29" s="350" t="e">
        <f>D29</f>
        <v>#N/A</v>
      </c>
      <c r="F29" s="350" t="e">
        <f>MAX(INDEX('Max greens'!1:1048576,F27,F28),F34-F35-F36)</f>
        <v>#N/A</v>
      </c>
      <c r="G29" s="350" t="e">
        <f>MAX(INDEX('Max greens'!1:1048576,G27,G28),G34-G35-G36)</f>
        <v>#N/A</v>
      </c>
      <c r="H29" s="350" t="e">
        <f>G29</f>
        <v>#N/A</v>
      </c>
      <c r="I29" s="350" t="e">
        <f>MAX(INDEX('Max greens'!1:1048576,I27,I28),I34-I35-I36)</f>
        <v>#N/A</v>
      </c>
      <c r="J29" s="350" t="e">
        <f>MAX(INDEX('Max greens'!1:1048576,J27,J28),J34-J35-J36)</f>
        <v>#N/A</v>
      </c>
      <c r="K29" s="350" t="e">
        <f>J29</f>
        <v>#N/A</v>
      </c>
      <c r="L29" s="350" t="e">
        <f>MAX(INDEX('Max greens'!1:1048576,L27,L28),L34-L35-L36)</f>
        <v>#N/A</v>
      </c>
      <c r="M29" s="350" t="e">
        <f>MAX(INDEX('Max greens'!1:1048576,M27,M28),M34-M35-M36)</f>
        <v>#N/A</v>
      </c>
      <c r="N29" s="350" t="e">
        <f>M29</f>
        <v>#N/A</v>
      </c>
      <c r="O29" s="77"/>
      <c r="Q29" s="59" t="s">
        <v>105</v>
      </c>
      <c r="R29" s="80">
        <f>'Phase designation'!K36</f>
        <v>0</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414</v>
      </c>
      <c r="C30" s="77">
        <f>IF(SUM('Phase designation'!B19:H19)&gt;2,0,AQ48)</f>
        <v>0</v>
      </c>
      <c r="D30" s="324">
        <f>IF(SUM('Phase designation'!B19:H19)&gt;2,0,AR48)</f>
        <v>0</v>
      </c>
      <c r="E30" s="324">
        <f>IF(SUM('Phase designation'!B19:H19)&gt;2,0,AS48)</f>
        <v>0</v>
      </c>
      <c r="F30" s="324">
        <f>IF(SUM('Phase designation'!B19:H19)&gt;2,0,AT48)</f>
        <v>0</v>
      </c>
      <c r="G30" s="324">
        <f>IF(SUM('Phase designation'!B19:H19)&gt;2,0,AU48)</f>
        <v>0</v>
      </c>
      <c r="H30" s="324">
        <f>IF(SUM('Phase designation'!B19:H19)&gt;2,0,AV48)</f>
        <v>0</v>
      </c>
      <c r="I30" s="324">
        <f>IF(SUM('Phase designation'!B19:H19)&gt;2,0,AW48)</f>
        <v>0</v>
      </c>
      <c r="J30" s="324">
        <f>IF(SUM('Phase designation'!B19:H19)&gt;2,0,AX48)</f>
        <v>0</v>
      </c>
      <c r="K30" s="324">
        <f>IF(SUM('Phase designation'!B19:H19)&gt;2,0,AY48)</f>
        <v>0</v>
      </c>
      <c r="L30" s="324">
        <f>IF(SUM('Phase designation'!B19:H19)&gt;2,0,AZ48)</f>
        <v>0</v>
      </c>
      <c r="M30" s="324">
        <f>IF(SUM('Phase designation'!B19:H19)&gt;2,0,BA48)</f>
        <v>0</v>
      </c>
      <c r="N30" s="324">
        <f>IF(SUM('Phase designation'!B19:H19)&gt;2,0,BB48)</f>
        <v>0</v>
      </c>
      <c r="O30" s="77"/>
      <c r="Q30" s="61" t="s">
        <v>106</v>
      </c>
      <c r="R30" s="80">
        <f>'Phase designation'!K37</f>
        <v>0</v>
      </c>
      <c r="S30" s="80">
        <f>'Phase designation'!L37</f>
        <v>6</v>
      </c>
      <c r="T30" s="80">
        <f>'Phase designation'!M37</f>
        <v>0</v>
      </c>
      <c r="U30" s="80">
        <f>'Phase designation'!N37</f>
        <v>8</v>
      </c>
      <c r="Y30" s="331">
        <f t="shared" si="6"/>
        <v>80.001000000000005</v>
      </c>
      <c r="Z30" s="331">
        <f t="shared" si="7"/>
        <v>90</v>
      </c>
      <c r="AA30" s="331">
        <f t="shared" si="8"/>
        <v>90</v>
      </c>
      <c r="AH30" s="343" t="s">
        <v>387</v>
      </c>
      <c r="AI30" s="342">
        <f>AB21</f>
        <v>4</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0</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390</v>
      </c>
      <c r="AJ31" s="167">
        <f>INDEX(AJ21:AJ28,MATCH($AI$30,$AI$21:$AI$28,0))</f>
        <v>4</v>
      </c>
      <c r="AK31" s="167">
        <f>INDEX(AK21:AK28,MATCH($AI$30,$AI$21:$AI$28,0))</f>
        <v>4</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0</v>
      </c>
      <c r="S32" s="87">
        <f t="shared" si="9"/>
        <v>1</v>
      </c>
      <c r="T32" s="87">
        <f t="shared" si="9"/>
        <v>0</v>
      </c>
      <c r="U32" s="87">
        <f t="shared" si="9"/>
        <v>1</v>
      </c>
      <c r="Y32" s="331">
        <f t="shared" si="6"/>
        <v>100.001</v>
      </c>
      <c r="Z32" s="331">
        <f t="shared" si="7"/>
        <v>110</v>
      </c>
      <c r="AA32" s="331">
        <f t="shared" si="8"/>
        <v>110</v>
      </c>
      <c r="AI32" s="167" t="s">
        <v>391</v>
      </c>
      <c r="AJ32" s="167" t="str">
        <f>INDEX(AO21:AO28,MATCH($AI$30,$AN$21:$AN$28,0))</f>
        <v>NBTHLT</v>
      </c>
      <c r="AK32" s="167" t="str">
        <f>INDEX(AP21:AP28,MATCH($AI$30,$AN$21:$AN$28,0))</f>
        <v>SBTHLT</v>
      </c>
      <c r="AL32" s="167">
        <f>INDEX(AQ21:AQ28,MATCH($AI$30,$AN$21:$AN$28,0))</f>
        <v>0</v>
      </c>
    </row>
    <row r="33" spans="2:63" x14ac:dyDescent="0.3">
      <c r="B33" s="77" t="s">
        <v>124</v>
      </c>
      <c r="C33" s="250">
        <f>IF('Phase designation'!B19=2,D33,C18)</f>
        <v>4</v>
      </c>
      <c r="D33" s="251">
        <f>D18</f>
        <v>4</v>
      </c>
      <c r="E33" s="251">
        <f>D33</f>
        <v>4</v>
      </c>
      <c r="F33" s="250">
        <f>IF('Phase designation'!D19=2,G33,F18)</f>
        <v>8</v>
      </c>
      <c r="G33" s="251">
        <f>G18</f>
        <v>8</v>
      </c>
      <c r="H33" s="251">
        <f>G33</f>
        <v>8</v>
      </c>
      <c r="I33" s="250">
        <f>IF('Phase designation'!F19=2,J33,I18)</f>
        <v>2</v>
      </c>
      <c r="J33" s="251">
        <f>J18</f>
        <v>2</v>
      </c>
      <c r="K33" s="251">
        <f>J33</f>
        <v>2</v>
      </c>
      <c r="L33" s="250">
        <f>IF('Phase designation'!H19=2,M33,L18)</f>
        <v>6</v>
      </c>
      <c r="M33" s="251">
        <f>M18</f>
        <v>6</v>
      </c>
      <c r="N33" s="251">
        <f>M33</f>
        <v>6</v>
      </c>
      <c r="O33" s="324"/>
      <c r="Y33" s="331">
        <f t="shared" si="6"/>
        <v>110.001</v>
      </c>
      <c r="Z33" s="331">
        <f t="shared" si="7"/>
        <v>120</v>
      </c>
      <c r="AA33" s="331">
        <f t="shared" si="8"/>
        <v>120</v>
      </c>
      <c r="AI33" s="167" t="s">
        <v>392</v>
      </c>
      <c r="AJ33" s="167">
        <f>INDEX(AT21:AT28,MATCH($AI$30,$AS$21:$AS$28,0))</f>
        <v>0</v>
      </c>
      <c r="AK33" s="167">
        <f>INDEX(AU21:AU28,MATCH($AI$30,$AS$21:$AS$28,0))</f>
        <v>0</v>
      </c>
      <c r="AL33" s="167">
        <f>INDEX(AV21:AV28,MATCH($AI$30,$AS$21:$AS$28,0))</f>
        <v>0</v>
      </c>
      <c r="AP33" s="514" t="s">
        <v>386</v>
      </c>
      <c r="AQ33" s="318" t="str">
        <f>AJ16</f>
        <v>EBTHLT</v>
      </c>
      <c r="AR33" s="318" t="str">
        <f>AK16</f>
        <v>WBTHLT</v>
      </c>
      <c r="AS33" s="318">
        <f>AL16</f>
        <v>0</v>
      </c>
      <c r="AT33" s="242"/>
      <c r="AU33" s="242"/>
      <c r="AV33" s="242"/>
      <c r="AW33" s="242"/>
      <c r="AX33" s="242"/>
      <c r="AY33" s="242"/>
      <c r="AZ33" s="242"/>
      <c r="BA33" s="242"/>
      <c r="BB33" s="242"/>
    </row>
    <row r="34" spans="2:63" x14ac:dyDescent="0.3">
      <c r="B34" s="256" t="s">
        <v>134</v>
      </c>
      <c r="C34" s="325" t="e">
        <f>IF(C33=0,0,INDEX($Q$64:$X$64,1,Q69))</f>
        <v>#N/A</v>
      </c>
      <c r="D34" s="326" t="e">
        <f>IF(D33=0,0,INDEX($Q$64:$X$64,1,R69))</f>
        <v>#N/A</v>
      </c>
      <c r="E34" s="326" t="e">
        <f>D34</f>
        <v>#N/A</v>
      </c>
      <c r="F34" s="325" t="e">
        <f>IF(F33=0,0,INDEX($Q$64:$X$64,1,S69))</f>
        <v>#N/A</v>
      </c>
      <c r="G34" s="326" t="e">
        <f>IF(G33=0,0,INDEX($Q$64:$X$64,1,T69))</f>
        <v>#N/A</v>
      </c>
      <c r="H34" s="326" t="e">
        <f>G34</f>
        <v>#N/A</v>
      </c>
      <c r="I34" s="325" t="e">
        <f>IF(I33=0,0,INDEX($Q$64:$X$64,1,U69))</f>
        <v>#N/A</v>
      </c>
      <c r="J34" s="326" t="e">
        <f>IF(J33=0,0,INDEX($Q$64:$X$64,1,V69))</f>
        <v>#N/A</v>
      </c>
      <c r="K34" s="326" t="e">
        <f>J34</f>
        <v>#N/A</v>
      </c>
      <c r="L34" s="325" t="e">
        <f>IF(L33=0,0,INDEX($Q$64:$X$64,1,W69))</f>
        <v>#N/A</v>
      </c>
      <c r="M34" s="326" t="e">
        <f>IF(M33=0,0,INDEX($Q$64:$X$64,1,X69))</f>
        <v>#N/A</v>
      </c>
      <c r="N34" s="326" t="e">
        <f>M34</f>
        <v>#N/A</v>
      </c>
      <c r="O34" s="324"/>
      <c r="Y34" s="331">
        <f t="shared" si="6"/>
        <v>120.001</v>
      </c>
      <c r="Z34" s="331">
        <f t="shared" si="7"/>
        <v>130</v>
      </c>
      <c r="AA34" s="331">
        <f t="shared" si="8"/>
        <v>130</v>
      </c>
      <c r="AI34" s="344" t="s">
        <v>401</v>
      </c>
      <c r="AJ34" s="344">
        <f>IF(AJ33=0,0,ROUND(($C$25-$C$23)*(AJ33/$O$17)+AJ31,1))</f>
        <v>0</v>
      </c>
      <c r="AK34" s="344">
        <f>IF(AK33=0,0,ROUND(($C$25-$C$23)*(AK33/$O$17)+AK31,1))</f>
        <v>0</v>
      </c>
      <c r="AL34" s="344">
        <f>IF(AL33=0,0,ROUND(($C$25-$C$23)*(AL33/$O$17)+AL31,1))</f>
        <v>0</v>
      </c>
      <c r="AP34" s="514"/>
      <c r="AQ34" s="304">
        <f>AJ18</f>
        <v>0</v>
      </c>
      <c r="AR34" s="304">
        <f>AK18</f>
        <v>0</v>
      </c>
      <c r="AS34" s="304">
        <f>AL18</f>
        <v>0</v>
      </c>
      <c r="AT34" s="3"/>
      <c r="AU34" s="3"/>
      <c r="AV34" s="3"/>
    </row>
    <row r="35" spans="2:63" s="240" customFormat="1" x14ac:dyDescent="0.3">
      <c r="B35" s="77" t="s">
        <v>261</v>
      </c>
      <c r="C35" s="250" t="e">
        <f>Phasing!O8</f>
        <v>#N/A</v>
      </c>
      <c r="D35" s="251">
        <f>Phasing!P8</f>
        <v>0</v>
      </c>
      <c r="E35" s="251">
        <f>D35</f>
        <v>0</v>
      </c>
      <c r="F35" s="250" t="e">
        <f>Phasing!Q8</f>
        <v>#N/A</v>
      </c>
      <c r="G35" s="251">
        <f>Phasing!R8</f>
        <v>0</v>
      </c>
      <c r="H35" s="251">
        <f>G35</f>
        <v>0</v>
      </c>
      <c r="I35" s="250" t="e">
        <f>Phasing!S8</f>
        <v>#N/A</v>
      </c>
      <c r="J35" s="251">
        <f>Phasing!T8</f>
        <v>0</v>
      </c>
      <c r="K35" s="251">
        <f>J35</f>
        <v>0</v>
      </c>
      <c r="L35" s="250" t="e">
        <f>Phasing!U8</f>
        <v>#N/A</v>
      </c>
      <c r="M35" s="251">
        <f>Phasing!V8</f>
        <v>0</v>
      </c>
      <c r="N35" s="251">
        <f>M35</f>
        <v>0</v>
      </c>
      <c r="O35" s="324"/>
      <c r="P35" s="291"/>
      <c r="Q35" s="77">
        <f>C33</f>
        <v>4</v>
      </c>
      <c r="R35" s="77">
        <f>D33</f>
        <v>4</v>
      </c>
      <c r="S35" s="77">
        <f>F33</f>
        <v>8</v>
      </c>
      <c r="T35" s="77">
        <f>G33</f>
        <v>8</v>
      </c>
      <c r="U35" s="77">
        <f>I33</f>
        <v>2</v>
      </c>
      <c r="V35" s="77">
        <f>J33</f>
        <v>2</v>
      </c>
      <c r="W35" s="77">
        <f>L33</f>
        <v>6</v>
      </c>
      <c r="X35" s="77">
        <f>M33</f>
        <v>6</v>
      </c>
      <c r="Y35" s="331">
        <f t="shared" si="6"/>
        <v>130.001</v>
      </c>
      <c r="Z35" s="331">
        <f t="shared" si="7"/>
        <v>140</v>
      </c>
      <c r="AA35" s="331">
        <f t="shared" si="8"/>
        <v>140</v>
      </c>
      <c r="AE35" s="78"/>
      <c r="AF35" s="78"/>
      <c r="AG35" s="78"/>
      <c r="AH35" s="78"/>
      <c r="AI35" s="78"/>
      <c r="AJ35" s="251"/>
      <c r="AK35" s="324"/>
      <c r="AL35" s="324"/>
      <c r="AM35" s="77"/>
      <c r="AN35" s="77"/>
      <c r="AO35" s="77"/>
      <c r="AP35" s="539" t="s">
        <v>387</v>
      </c>
      <c r="AQ35" s="318" t="str">
        <f>AJ32</f>
        <v>NBTHLT</v>
      </c>
      <c r="AR35" s="318" t="str">
        <f>AK32</f>
        <v>SBTHLT</v>
      </c>
      <c r="AS35" s="318">
        <f>AL32</f>
        <v>0</v>
      </c>
      <c r="AT35" s="291"/>
      <c r="AU35" s="291"/>
      <c r="AV35" s="291"/>
      <c r="AW35" s="291"/>
      <c r="AX35" s="291"/>
      <c r="AY35" s="291"/>
      <c r="AZ35" s="291"/>
      <c r="BA35" s="291"/>
      <c r="BB35" s="291"/>
      <c r="BK35" s="434"/>
    </row>
    <row r="36" spans="2:63" s="240" customFormat="1" x14ac:dyDescent="0.3">
      <c r="B36" s="256" t="s">
        <v>262</v>
      </c>
      <c r="C36" s="325" t="e">
        <f>Phasing!O11</f>
        <v>#N/A</v>
      </c>
      <c r="D36" s="326">
        <f>Phasing!P11</f>
        <v>0</v>
      </c>
      <c r="E36" s="326">
        <f>D36</f>
        <v>0</v>
      </c>
      <c r="F36" s="325" t="e">
        <f>Phasing!Q11</f>
        <v>#N/A</v>
      </c>
      <c r="G36" s="326">
        <f>Phasing!R11</f>
        <v>0</v>
      </c>
      <c r="H36" s="326">
        <f>G36</f>
        <v>0</v>
      </c>
      <c r="I36" s="325" t="e">
        <f>Phasing!S11</f>
        <v>#N/A</v>
      </c>
      <c r="J36" s="326">
        <f>Phasing!T11</f>
        <v>0</v>
      </c>
      <c r="K36" s="326">
        <f>J36</f>
        <v>0</v>
      </c>
      <c r="L36" s="325" t="e">
        <f>Phasing!U11</f>
        <v>#N/A</v>
      </c>
      <c r="M36" s="326">
        <f>Phasing!V11</f>
        <v>0</v>
      </c>
      <c r="N36" s="326">
        <f>M36</f>
        <v>0</v>
      </c>
      <c r="O36" s="324"/>
      <c r="P36" s="291"/>
      <c r="Q36" s="78">
        <f>Q40</f>
        <v>0</v>
      </c>
      <c r="R36" s="251">
        <f t="shared" ref="R36:X36" si="10">R40</f>
        <v>0</v>
      </c>
      <c r="S36" s="251">
        <f t="shared" si="10"/>
        <v>0</v>
      </c>
      <c r="T36" s="251">
        <f t="shared" si="10"/>
        <v>0</v>
      </c>
      <c r="U36" s="251">
        <f t="shared" si="10"/>
        <v>0</v>
      </c>
      <c r="V36" s="251">
        <f t="shared" si="10"/>
        <v>0</v>
      </c>
      <c r="W36" s="251">
        <f t="shared" si="10"/>
        <v>0</v>
      </c>
      <c r="X36" s="251">
        <f t="shared" si="10"/>
        <v>0</v>
      </c>
      <c r="Y36" s="331">
        <f t="shared" si="6"/>
        <v>140.001</v>
      </c>
      <c r="Z36" s="331">
        <f>Z35+10</f>
        <v>150</v>
      </c>
      <c r="AA36" s="331">
        <f t="shared" si="8"/>
        <v>150</v>
      </c>
      <c r="AE36" s="78"/>
      <c r="AF36" s="78"/>
      <c r="AG36" s="78"/>
      <c r="AH36" s="78"/>
      <c r="AI36" s="78"/>
      <c r="AJ36" s="251"/>
      <c r="AK36" s="324"/>
      <c r="AL36" s="324"/>
      <c r="AM36" s="77"/>
      <c r="AN36" s="77"/>
      <c r="AO36" s="77"/>
      <c r="AP36" s="539"/>
      <c r="AQ36" s="304">
        <f>AJ34</f>
        <v>0</v>
      </c>
      <c r="AR36" s="304">
        <f>AK34</f>
        <v>0</v>
      </c>
      <c r="AS36" s="304">
        <f>AL34</f>
        <v>0</v>
      </c>
      <c r="AT36" s="164"/>
      <c r="AU36" s="164"/>
      <c r="AV36" s="164"/>
      <c r="AW36" s="164"/>
      <c r="AX36" s="164"/>
      <c r="AY36" s="164"/>
      <c r="AZ36" s="164"/>
      <c r="BA36" s="164"/>
      <c r="BB36" s="164"/>
      <c r="BK36" s="434"/>
    </row>
    <row r="37" spans="2:63" s="240" customFormat="1" x14ac:dyDescent="0.3">
      <c r="B37" s="77" t="s">
        <v>325</v>
      </c>
      <c r="C37" s="250" t="e">
        <f>MAX(0,SUMPRODUCT(C62:C64,D62:D64))</f>
        <v>#N/A</v>
      </c>
      <c r="D37" s="251" t="e">
        <f>MAX(0,D34-D35-D36)</f>
        <v>#N/A</v>
      </c>
      <c r="E37" s="251" t="e">
        <f>D37</f>
        <v>#N/A</v>
      </c>
      <c r="F37" s="250" t="e">
        <f>MAX(0,SUMPRODUCT(F62:F64,G62:G64))</f>
        <v>#N/A</v>
      </c>
      <c r="G37" s="251" t="e">
        <f>MAX(0,G34-G35-G36)</f>
        <v>#N/A</v>
      </c>
      <c r="H37" s="251" t="e">
        <f>G37</f>
        <v>#N/A</v>
      </c>
      <c r="I37" s="250" t="e">
        <f>MAX(0,SUMPRODUCT(I62:I64,J62:J64))</f>
        <v>#N/A</v>
      </c>
      <c r="J37" s="251" t="e">
        <f>MAX(0,J34-J35-J36)</f>
        <v>#N/A</v>
      </c>
      <c r="K37" s="251" t="e">
        <f>J37</f>
        <v>#N/A</v>
      </c>
      <c r="L37" s="250" t="e">
        <f>MAX(0,SUMPRODUCT(L62:L64,M62:M64))</f>
        <v>#N/A</v>
      </c>
      <c r="M37" s="251" t="e">
        <f>MAX(0,M34-M35-M36)</f>
        <v>#N/A</v>
      </c>
      <c r="N37" s="251" t="e">
        <f>M37</f>
        <v>#N/A</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326</v>
      </c>
      <c r="C38" s="325" t="e">
        <f>IF(C37=0,0,(C37+C36+C35)-C20)</f>
        <v>#N/A</v>
      </c>
      <c r="D38" s="326" t="e">
        <f t="shared" ref="D38:N38" si="11">IF(D37=0,0,(D37+D36+D35)-D20)</f>
        <v>#N/A</v>
      </c>
      <c r="E38" s="326" t="e">
        <f t="shared" si="11"/>
        <v>#N/A</v>
      </c>
      <c r="F38" s="325" t="e">
        <f t="shared" si="11"/>
        <v>#N/A</v>
      </c>
      <c r="G38" s="326" t="e">
        <f t="shared" si="11"/>
        <v>#N/A</v>
      </c>
      <c r="H38" s="326" t="e">
        <f t="shared" si="11"/>
        <v>#N/A</v>
      </c>
      <c r="I38" s="325" t="e">
        <f t="shared" si="11"/>
        <v>#N/A</v>
      </c>
      <c r="J38" s="326" t="e">
        <f t="shared" si="11"/>
        <v>#N/A</v>
      </c>
      <c r="K38" s="326" t="e">
        <f t="shared" si="11"/>
        <v>#N/A</v>
      </c>
      <c r="L38" s="325" t="e">
        <f t="shared" si="11"/>
        <v>#N/A</v>
      </c>
      <c r="M38" s="326" t="e">
        <f t="shared" si="11"/>
        <v>#N/A</v>
      </c>
      <c r="N38" s="326" t="e">
        <f t="shared" si="11"/>
        <v>#N/A</v>
      </c>
      <c r="O38" s="324"/>
      <c r="P38" s="291"/>
      <c r="Q38" s="78"/>
      <c r="R38" s="78"/>
      <c r="S38" s="78"/>
      <c r="T38" s="78"/>
      <c r="U38" s="78"/>
      <c r="V38" s="78"/>
      <c r="W38" s="78"/>
      <c r="X38" s="78"/>
      <c r="AE38" s="78"/>
      <c r="AF38" s="78"/>
      <c r="AG38" s="78"/>
      <c r="AH38" s="78"/>
      <c r="AI38" s="78"/>
      <c r="AJ38" s="78"/>
      <c r="AK38" s="77"/>
      <c r="AL38" s="77"/>
      <c r="AM38" s="77"/>
      <c r="AN38" s="77"/>
      <c r="AO38" s="77"/>
      <c r="AP38" s="356"/>
      <c r="AQ38" s="532" t="s">
        <v>402</v>
      </c>
      <c r="AR38" s="533"/>
      <c r="AS38" s="533"/>
      <c r="AT38" s="532" t="s">
        <v>403</v>
      </c>
      <c r="AU38" s="533"/>
      <c r="AV38" s="533"/>
      <c r="AW38" s="532" t="s">
        <v>404</v>
      </c>
      <c r="AX38" s="533"/>
      <c r="AY38" s="533"/>
      <c r="AZ38" s="532" t="s">
        <v>405</v>
      </c>
      <c r="BA38" s="533"/>
      <c r="BB38" s="533"/>
      <c r="BF38" s="166" t="s">
        <v>142</v>
      </c>
      <c r="BG38" s="67"/>
      <c r="BK38" s="434"/>
    </row>
    <row r="39" spans="2:63" s="319" customFormat="1" x14ac:dyDescent="0.3">
      <c r="B39" s="324" t="s">
        <v>429</v>
      </c>
      <c r="C39" s="369" t="e">
        <f t="shared" ref="C39:N39" si="12">IF($C$25=0,0,C34/$C$25)</f>
        <v>#N/A</v>
      </c>
      <c r="D39" s="368" t="e">
        <f t="shared" si="12"/>
        <v>#N/A</v>
      </c>
      <c r="E39" s="368" t="e">
        <f t="shared" si="12"/>
        <v>#N/A</v>
      </c>
      <c r="F39" s="369" t="e">
        <f t="shared" si="12"/>
        <v>#N/A</v>
      </c>
      <c r="G39" s="368" t="e">
        <f t="shared" si="12"/>
        <v>#N/A</v>
      </c>
      <c r="H39" s="368" t="e">
        <f t="shared" si="12"/>
        <v>#N/A</v>
      </c>
      <c r="I39" s="369" t="e">
        <f t="shared" si="12"/>
        <v>#N/A</v>
      </c>
      <c r="J39" s="368" t="e">
        <f t="shared" si="12"/>
        <v>#N/A</v>
      </c>
      <c r="K39" s="368" t="e">
        <f t="shared" si="12"/>
        <v>#N/A</v>
      </c>
      <c r="L39" s="369" t="e">
        <f t="shared" si="12"/>
        <v>#N/A</v>
      </c>
      <c r="M39" s="368" t="e">
        <f t="shared" si="12"/>
        <v>#N/A</v>
      </c>
      <c r="N39" s="368" t="e">
        <f t="shared" si="12"/>
        <v>#N/A</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406</v>
      </c>
      <c r="AR39" s="321" t="s">
        <v>407</v>
      </c>
      <c r="AS39" s="321" t="s">
        <v>408</v>
      </c>
      <c r="AT39" s="320" t="s">
        <v>406</v>
      </c>
      <c r="AU39" s="321" t="s">
        <v>407</v>
      </c>
      <c r="AV39" s="321" t="s">
        <v>408</v>
      </c>
      <c r="AW39" s="320" t="s">
        <v>406</v>
      </c>
      <c r="AX39" s="321" t="s">
        <v>407</v>
      </c>
      <c r="AY39" s="321" t="s">
        <v>408</v>
      </c>
      <c r="AZ39" s="320" t="s">
        <v>406</v>
      </c>
      <c r="BA39" s="321" t="s">
        <v>407</v>
      </c>
      <c r="BB39" s="321" t="s">
        <v>408</v>
      </c>
      <c r="BF39" s="166" t="s">
        <v>143</v>
      </c>
      <c r="BG39" s="156"/>
      <c r="BK39" s="434"/>
    </row>
    <row r="40" spans="2:63" x14ac:dyDescent="0.3">
      <c r="B40" s="256" t="s">
        <v>135</v>
      </c>
      <c r="C40" s="325" t="e">
        <f>IF(C41=0,0,ROUND(C5/C41,2))</f>
        <v>#N/A</v>
      </c>
      <c r="D40" s="326" t="e">
        <f>IF(D41=0,0,ROUND(D5/D41,2))</f>
        <v>#N/A</v>
      </c>
      <c r="E40" s="354" t="e">
        <f>IF(E41=0,0,E9/E41)</f>
        <v>#N/A</v>
      </c>
      <c r="F40" s="325" t="e">
        <f>IF(F41=0,0,ROUND(F5/F41,2))</f>
        <v>#N/A</v>
      </c>
      <c r="G40" s="326" t="e">
        <f>IF(G41=0,0,ROUND(G5/G41,2))</f>
        <v>#N/A</v>
      </c>
      <c r="H40" s="354" t="e">
        <f>IF(H41=0,0,H9/H41)</f>
        <v>#N/A</v>
      </c>
      <c r="I40" s="325" t="e">
        <f>IF(I41=0,0,ROUND(I5/I41,2))</f>
        <v>#N/A</v>
      </c>
      <c r="J40" s="326" t="e">
        <f>IF(J41=0,0,ROUND(J5/J41,2))</f>
        <v>#N/A</v>
      </c>
      <c r="K40" s="354" t="e">
        <f>IF(K41=0,0,K9/K41)</f>
        <v>#N/A</v>
      </c>
      <c r="L40" s="325" t="e">
        <f>IF(L41=0,0,ROUND(L5/L41,2))</f>
        <v>#N/A</v>
      </c>
      <c r="M40" s="326" t="e">
        <f>IF(M41=0,0,ROUND(M5/M41,2))</f>
        <v>#N/A</v>
      </c>
      <c r="N40" s="354" t="e">
        <f>IF(N41=0,0,N9/N41)</f>
        <v>#N/A</v>
      </c>
      <c r="Q40" s="78">
        <f>C30</f>
        <v>0</v>
      </c>
      <c r="R40" s="78">
        <f>D30</f>
        <v>0</v>
      </c>
      <c r="S40" s="78">
        <f>F30</f>
        <v>0</v>
      </c>
      <c r="T40" s="78">
        <f>G30</f>
        <v>0</v>
      </c>
      <c r="U40" s="78">
        <f>I30</f>
        <v>0</v>
      </c>
      <c r="V40" s="78">
        <f>J30</f>
        <v>0</v>
      </c>
      <c r="W40" s="78">
        <f>L30</f>
        <v>0</v>
      </c>
      <c r="X40" s="78">
        <f>M30</f>
        <v>0</v>
      </c>
      <c r="Y40" s="164"/>
      <c r="AP40" s="357" t="s">
        <v>393</v>
      </c>
      <c r="AQ40" s="358"/>
      <c r="AR40" s="357">
        <f>IF($AP$40=$AQ$33,$AQ$34,0)+IF($AP40=$AR$33,$AR$34,0)+IF($AP40=$AS$33,$AS$34,0)</f>
        <v>0</v>
      </c>
      <c r="AS40" s="357">
        <f>IF($AP$40=$AQ$33,$AQ$34,0)+IF($AP40=$AR$33,$AR$34,0)+IF($AP40=$AS$33,$AS$34,0)</f>
        <v>0</v>
      </c>
      <c r="AT40" s="358"/>
      <c r="AU40" s="357">
        <f>IF($AP$40=$AQ$33,$AQ$34,0)+IF($AP40=$AR$33,$AR$34,0)+IF($AP40=$AS$33,$AS$34,0)</f>
        <v>0</v>
      </c>
      <c r="AV40" s="357">
        <f>IF($AP$40=$AQ$33,$AQ$34,0)+IF($AP40=$AR$33,$AR$34,0)+IF($AP40=$AS$33,$AS$34,0)</f>
        <v>0</v>
      </c>
      <c r="AW40" s="358"/>
      <c r="AX40" s="357"/>
      <c r="AY40" s="357"/>
      <c r="AZ40" s="358"/>
      <c r="BA40" s="357"/>
      <c r="BB40" s="357"/>
      <c r="BF40" s="166" t="s">
        <v>144</v>
      </c>
      <c r="BG40" s="157"/>
    </row>
    <row r="41" spans="2:63" x14ac:dyDescent="0.3">
      <c r="B41" s="324" t="s">
        <v>361</v>
      </c>
      <c r="C41" s="250" t="e">
        <f>IF($C$25=0,0,IF('Phase designation'!B19=0,SUMPRODUCT(C57:C60,D57:D60),(D41/MAX(1,D6))*C6))</f>
        <v>#N/A</v>
      </c>
      <c r="D41" s="251" t="e">
        <f>IF($C$25=0,0,IF(AND(C6&gt;0,D6=0),ROUND(C6*C11*D38/$C$25,0),ROUND(D11*D38/$C$25,0)))</f>
        <v>#N/A</v>
      </c>
      <c r="E41" s="251" t="e">
        <f>IF($C$25=0,0,ROUND(E6*E11*E38/$C$25,0))</f>
        <v>#N/A</v>
      </c>
      <c r="F41" s="250" t="e">
        <f>IF($C$25=0,0,IF('Phase designation'!D19=0,SUMPRODUCT(F57:F60,G57:G60),(G41/MAX(1,G6))*F6))</f>
        <v>#N/A</v>
      </c>
      <c r="G41" s="251" t="e">
        <f>IF($C$25=0,0,IF(AND(F6&gt;0,G6=0),ROUND(F6*F11*G38/$C$25,0),ROUND(G11*G38/$C$25,0)))</f>
        <v>#N/A</v>
      </c>
      <c r="H41" s="251" t="e">
        <f>IF($C$25=0,0,ROUND(H6*H11*H38/$C$25,0))</f>
        <v>#N/A</v>
      </c>
      <c r="I41" s="250" t="e">
        <f>IF($C$25=0,0,IF('Phase designation'!F19=0,SUMPRODUCT(I57:I60,J57:J60),(J41/MAX(1,J6))*I6))</f>
        <v>#N/A</v>
      </c>
      <c r="J41" s="251" t="e">
        <f>IF($C$25=0,0,IF(AND(I6&gt;0,J6=0),ROUND(I6*I11*J38/$C$25,0),ROUND(J11*J38/$C$25,0)))</f>
        <v>#N/A</v>
      </c>
      <c r="K41" s="251" t="e">
        <f>IF($C$25=0,0,ROUND(K6*K11*K38/$C$25,0))</f>
        <v>#N/A</v>
      </c>
      <c r="L41" s="250" t="e">
        <f>IF($C$25=0,0,IF('Phase designation'!H19=0,SUMPRODUCT(L57:L60,M57:M60),(M41/MAX(1,M6))*L6))</f>
        <v>#N/A</v>
      </c>
      <c r="M41" s="251" t="e">
        <f>IF($C$25=0,0,IF(AND(L6&gt;0,M6=0),ROUND(L6*L11*M38/$C$25,0),ROUND(M11*M38/$C$25,0)))</f>
        <v>#N/A</v>
      </c>
      <c r="N41" s="251" t="e">
        <f>IF($C$25=0,0,ROUND(N6*N11*N38/$C$25,0))</f>
        <v>#N/A</v>
      </c>
      <c r="Q41" s="62" t="s">
        <v>105</v>
      </c>
      <c r="R41" s="70" t="e">
        <f t="shared" ref="R41:U42" si="13">MATCH(R29,$Q$35:$X$35,0)</f>
        <v>#N/A</v>
      </c>
      <c r="S41" s="70">
        <f t="shared" si="13"/>
        <v>5</v>
      </c>
      <c r="T41" s="70" t="e">
        <f t="shared" si="13"/>
        <v>#N/A</v>
      </c>
      <c r="U41" s="70">
        <f t="shared" si="13"/>
        <v>1</v>
      </c>
      <c r="AP41" s="357" t="s">
        <v>394</v>
      </c>
      <c r="AQ41" s="358"/>
      <c r="AR41" s="357"/>
      <c r="AS41" s="357"/>
      <c r="AT41" s="358">
        <f>IF($AP$41=$AQ$33,$AQ$34,0)+IF($AP41=$AR$33,$AR$34,0)+IF($AP41=$AS$33,$AS$34,0)</f>
        <v>0</v>
      </c>
      <c r="AU41" s="357">
        <f>IF($AP$41=$AQ$33,$AQ$34,0)+IF($AP41=$AR$33,$AR$34,0)+IF($AP41=$AS$33,$AS$34,0)</f>
        <v>0</v>
      </c>
      <c r="AV41" s="357">
        <f>IF($AP$41=$AQ$33,$AQ$34,0)+IF($AP41=$AR$33,$AR$34,0)+IF($AP41=$AS$33,$AS$34,0)</f>
        <v>0</v>
      </c>
      <c r="AW41" s="358"/>
      <c r="AX41" s="357"/>
      <c r="AY41" s="357"/>
      <c r="AZ41" s="358"/>
      <c r="BA41" s="357"/>
      <c r="BB41" s="357"/>
      <c r="BF41" s="166" t="s">
        <v>145</v>
      </c>
      <c r="BG41" s="1"/>
    </row>
    <row r="42" spans="2:63" hidden="1" x14ac:dyDescent="0.3">
      <c r="B42" s="324" t="s">
        <v>136</v>
      </c>
      <c r="C42" s="250" t="e">
        <f t="shared" ref="C42:N42" si="14">IF(C40=0,0,ROUND((0.5*$C$25*(1-(C38)/$C$25)^2)/(1-(MIN(1,C40)*(C38))/$C$25),2))</f>
        <v>#N/A</v>
      </c>
      <c r="D42" s="251" t="e">
        <f t="shared" si="14"/>
        <v>#N/A</v>
      </c>
      <c r="E42" s="251" t="e">
        <f t="shared" si="14"/>
        <v>#N/A</v>
      </c>
      <c r="F42" s="250" t="e">
        <f t="shared" si="14"/>
        <v>#N/A</v>
      </c>
      <c r="G42" s="251" t="e">
        <f t="shared" si="14"/>
        <v>#N/A</v>
      </c>
      <c r="H42" s="251" t="e">
        <f t="shared" si="14"/>
        <v>#N/A</v>
      </c>
      <c r="I42" s="250" t="e">
        <f t="shared" si="14"/>
        <v>#N/A</v>
      </c>
      <c r="J42" s="251" t="e">
        <f t="shared" si="14"/>
        <v>#N/A</v>
      </c>
      <c r="K42" s="251" t="e">
        <f t="shared" si="14"/>
        <v>#N/A</v>
      </c>
      <c r="L42" s="250" t="e">
        <f t="shared" si="14"/>
        <v>#N/A</v>
      </c>
      <c r="M42" s="251" t="e">
        <f t="shared" si="14"/>
        <v>#N/A</v>
      </c>
      <c r="N42" s="251" t="e">
        <f t="shared" si="14"/>
        <v>#N/A</v>
      </c>
      <c r="O42" s="324"/>
      <c r="Q42" s="47" t="s">
        <v>106</v>
      </c>
      <c r="R42" s="70" t="e">
        <f t="shared" si="13"/>
        <v>#N/A</v>
      </c>
      <c r="S42" s="70">
        <f t="shared" si="13"/>
        <v>7</v>
      </c>
      <c r="T42" s="70" t="e">
        <f t="shared" si="13"/>
        <v>#N/A</v>
      </c>
      <c r="U42" s="70">
        <f t="shared" si="13"/>
        <v>3</v>
      </c>
      <c r="AP42" s="357" t="s">
        <v>395</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3">
      <c r="B43" s="324" t="s">
        <v>137</v>
      </c>
      <c r="C43" s="250" t="e">
        <f>IF(OR(C41=0,C11+C14=0),0,ROUND(225*((C40-1)+SQRT((C40-1)^2+(4*C40)/(C41*0.25))),2))</f>
        <v>#N/A</v>
      </c>
      <c r="D43" s="251" t="e">
        <f>IF(OR(D41=0,D11=0),0,ROUND(225*((D40-1)+SQRT((D40-1)^2+(4*D40)/(D41*0.25))),2))</f>
        <v>#N/A</v>
      </c>
      <c r="E43" s="251" t="e">
        <f>IF(OR(E41=0,E11=0),0,ROUND(225*((E40-1)+SQRT((E40-1)^2+(4*E40)/(E41*0.25))),2))</f>
        <v>#N/A</v>
      </c>
      <c r="F43" s="250" t="e">
        <f>IF(OR(F41=0,F11+F14=0),0,ROUND(225*((F40-1)+SQRT((F40-1)^2+(4*F40)/(F41*0.25))),2))</f>
        <v>#N/A</v>
      </c>
      <c r="G43" s="251" t="e">
        <f>IF(OR(G41=0,G11=0),0,ROUND(225*((G40-1)+SQRT((G40-1)^2+(4*G40)/(G41*0.25))),2))</f>
        <v>#N/A</v>
      </c>
      <c r="H43" s="251" t="e">
        <f>IF(OR(H41=0,H11=0),0,ROUND(225*((H40-1)+SQRT((H40-1)^2+(4*H40)/(H41*0.25))),2))</f>
        <v>#N/A</v>
      </c>
      <c r="I43" s="250" t="e">
        <f>IF(OR(I41=0,I11+I14=0),0,ROUND(225*((I40-1)+SQRT((I40-1)^2+(4*I40)/(I41*0.25))),2))</f>
        <v>#N/A</v>
      </c>
      <c r="J43" s="251" t="e">
        <f>IF(OR(J41=0,J11=0),0,ROUND(225*((J40-1)+SQRT((J40-1)^2+(4*J40)/(J41*0.25))),2))</f>
        <v>#N/A</v>
      </c>
      <c r="K43" s="251" t="e">
        <f>IF(OR(K41=0,K11=0),0,ROUND(225*((K40-1)+SQRT((K40-1)^2+(4*K40)/(K41*0.25))),2))</f>
        <v>#N/A</v>
      </c>
      <c r="L43" s="250" t="e">
        <f>IF(OR(L41=0,L11+L14=0),0,ROUND(225*((L40-1)+SQRT((L40-1)^2+(4*L40)/(L41*0.25))),2))</f>
        <v>#N/A</v>
      </c>
      <c r="M43" s="251" t="e">
        <f>IF(OR(M41=0,M41=0),0,ROUND(225*((M40-1)+SQRT((M40-1)^2+(4*M40)/(M41*0.25))),2))</f>
        <v>#N/A</v>
      </c>
      <c r="N43" s="251" t="e">
        <f>IF(OR(N41=0,N11=0),0,ROUND(225*((N40-1)+SQRT((N40-1)^2+(4*N40)/(N41*0.25))),2))</f>
        <v>#N/A</v>
      </c>
      <c r="O43" s="324"/>
      <c r="R43" s="69"/>
      <c r="S43" s="69"/>
      <c r="T43" s="69"/>
      <c r="U43" s="69"/>
      <c r="Y43" s="554" t="s">
        <v>306</v>
      </c>
      <c r="Z43" s="554"/>
      <c r="AA43" s="554"/>
      <c r="AB43" s="554"/>
      <c r="AF43" s="78" t="s">
        <v>237</v>
      </c>
      <c r="AG43" s="78" t="s">
        <v>238</v>
      </c>
      <c r="AP43" s="357" t="s">
        <v>396</v>
      </c>
      <c r="AQ43" s="358">
        <f>IF($AP$43=$AQ$33,$AQ$34,0)+IF($AP43=$AR$33,$AR$34,0)+IF($AP43=$AS$33,$AS$34,0)</f>
        <v>0</v>
      </c>
      <c r="AR43" s="357"/>
      <c r="AS43" s="357"/>
      <c r="AT43" s="358">
        <f>IF($AP$43=$AQ$33,$AQ$34,0)+IF($AP43=$AR$33,$AR$34,0)+IF($AP43=$AS$33,$AS$34,0)</f>
        <v>0</v>
      </c>
      <c r="AU43" s="357"/>
      <c r="AV43" s="357"/>
      <c r="AW43" s="358"/>
      <c r="AX43" s="357"/>
      <c r="AY43" s="357"/>
      <c r="AZ43" s="358"/>
      <c r="BA43" s="357"/>
      <c r="BB43" s="357"/>
      <c r="BF43" s="77"/>
      <c r="BG43" s="62"/>
    </row>
    <row r="44" spans="2:63" x14ac:dyDescent="0.3">
      <c r="B44" s="256" t="s">
        <v>138</v>
      </c>
      <c r="C44" s="370">
        <f>IF(C3=0,0,C42+C43)</f>
        <v>0</v>
      </c>
      <c r="D44" s="371">
        <f>IF(OR(D3=0,D6=0),0,D42+D43)</f>
        <v>0</v>
      </c>
      <c r="E44" s="371">
        <f>IF(E3=0,0,E42+E43)</f>
        <v>0</v>
      </c>
      <c r="F44" s="370">
        <f>IF(F3=0,0,F42+F43)</f>
        <v>0</v>
      </c>
      <c r="G44" s="371">
        <f>IF(OR(G3=0,G6=0),0,G42+G43)</f>
        <v>0</v>
      </c>
      <c r="H44" s="371">
        <f>IF(H3=0,0,H42+H43)</f>
        <v>0</v>
      </c>
      <c r="I44" s="370">
        <f>IF(I3=0,0,I42+I43)</f>
        <v>0</v>
      </c>
      <c r="J44" s="371">
        <f>IF(OR(J3=0,J6=0),0,J42+J43)</f>
        <v>0</v>
      </c>
      <c r="K44" s="371">
        <f>IF(K3=0,0,K42+K43)</f>
        <v>0</v>
      </c>
      <c r="L44" s="370">
        <f>IF(L3=0,0,L42+L43)</f>
        <v>0</v>
      </c>
      <c r="M44" s="371">
        <f>IF(OR(M3=0,M6=0),0,M42+M43)</f>
        <v>0</v>
      </c>
      <c r="N44" s="371">
        <f>IF(N3=0,0,N42+N43)</f>
        <v>0</v>
      </c>
      <c r="Q44" s="62" t="s">
        <v>105</v>
      </c>
      <c r="R44" s="70" t="e">
        <f t="shared" ref="R44:U45" si="15">IF(R41&gt;0,MAX(Y44,INDEX($Q$35:$X$36,2,R41),0))</f>
        <v>#N/A</v>
      </c>
      <c r="S44" s="70">
        <f t="shared" si="15"/>
        <v>5</v>
      </c>
      <c r="T44" s="70" t="e">
        <f t="shared" si="15"/>
        <v>#N/A</v>
      </c>
      <c r="U44" s="70">
        <f t="shared" si="15"/>
        <v>5</v>
      </c>
      <c r="V44" s="71" t="e">
        <f>SUM(R44:U44)</f>
        <v>#N/A</v>
      </c>
      <c r="X44" s="62" t="s">
        <v>105</v>
      </c>
      <c r="Y44" s="45">
        <f>Phasing!D43</f>
        <v>0</v>
      </c>
      <c r="Z44" s="45">
        <f>Phasing!E43</f>
        <v>5</v>
      </c>
      <c r="AA44" s="45">
        <f>Phasing!F43</f>
        <v>0</v>
      </c>
      <c r="AB44" s="45">
        <f>Phasing!G43</f>
        <v>5</v>
      </c>
      <c r="AC44" s="170" t="s">
        <v>237</v>
      </c>
      <c r="AD44" s="170" t="s">
        <v>238</v>
      </c>
      <c r="AE44" s="47"/>
      <c r="AF44" s="167">
        <f>Y44+Z44</f>
        <v>5</v>
      </c>
      <c r="AG44" s="167">
        <f>AA44+AB44</f>
        <v>5</v>
      </c>
      <c r="AH44" s="62" t="s">
        <v>105</v>
      </c>
      <c r="AI44" s="78">
        <f>IF(MIN(AF44,$AC$45)=0,0,ROUND(Y44*MAX(AF44,$AC$45)/MIN(AF44,$AC$45)*$C$25/$AE$45,0))</f>
        <v>0</v>
      </c>
      <c r="AJ44" s="78">
        <f>IF(MIN(AF44,$AC$45)=0,0,ROUND(Z44*MAX(AF44,$AC$45)/MIN(AF44,$AC$45)*$C$25/$AE$45,0))</f>
        <v>20</v>
      </c>
      <c r="AK44" s="78">
        <f>IF(MIN(AG44,$AD$45)=0,0,ROUND(AA44*MAX(AG44,$AD$45)/MIN(AG44,$AD$45)*$C$25/$AE$45,0))</f>
        <v>0</v>
      </c>
      <c r="AL44" s="78">
        <f>$C$25-SUM(AI44:AK44)</f>
        <v>20</v>
      </c>
      <c r="AM44" s="87"/>
      <c r="AN44" s="87"/>
      <c r="AO44" s="87"/>
      <c r="AP44" s="359" t="s">
        <v>397</v>
      </c>
      <c r="AQ44" s="360"/>
      <c r="AR44" s="359"/>
      <c r="AS44" s="359"/>
      <c r="AT44" s="360"/>
      <c r="AU44" s="359"/>
      <c r="AV44" s="359"/>
      <c r="AW44" s="360"/>
      <c r="AX44" s="359">
        <f>IF($AP$44=$AQ$35,$AQ$36,0)+IF($AP44=$AR$35,$AR$36,0)+IF($AP44=$AS$35,$AS$36,0)</f>
        <v>0</v>
      </c>
      <c r="AY44" s="359">
        <f>IF($AP$44=$AQ$35,$AQ$36,0)+IF($AP44=$AR$35,$AR$36,0)+IF($AP44=$AS$35,$AS$36,0)</f>
        <v>0</v>
      </c>
      <c r="AZ44" s="360"/>
      <c r="BA44" s="359">
        <f>IF($AP$44=$AQ$35,$AQ$36,0)+IF($AP44=$AR$35,$AR$36,0)+IF($AP44=$AS$35,$AS$36,0)</f>
        <v>0</v>
      </c>
      <c r="BB44" s="359">
        <f>IF($AP$44=$AQ$35,$AQ$36,0)+IF($AP44=$AR$35,$AR$36,0)+IF($AP44=$AS$35,$AS$36,0)</f>
        <v>0</v>
      </c>
      <c r="BF44" s="194" t="s">
        <v>146</v>
      </c>
      <c r="BG44" s="155"/>
    </row>
    <row r="45" spans="2:63" x14ac:dyDescent="0.3">
      <c r="B45" s="324" t="s">
        <v>139</v>
      </c>
      <c r="C45" s="249" t="str">
        <f>IF(C44=0,"N/A",VLOOKUP(C44,'LOS table'!$B$3:$D$8,3))</f>
        <v>N/A</v>
      </c>
      <c r="D45" s="45" t="str">
        <f>IF(D44=0,"N/A",VLOOKUP(D44,'LOS table'!$B$3:$D$8,3))</f>
        <v>N/A</v>
      </c>
      <c r="E45" s="45" t="str">
        <f>IF(E44=0,"N/A",VLOOKUP(E44,'LOS table'!$B$3:$D$8,3))</f>
        <v>N/A</v>
      </c>
      <c r="F45" s="249" t="str">
        <f>IF(F44=0,"N/A",VLOOKUP(F44,'LOS table'!$B$3:$D$8,3))</f>
        <v>N/A</v>
      </c>
      <c r="G45" s="45" t="str">
        <f>IF(G44=0,"N/A",VLOOKUP(G44,'LOS table'!$B$3:$D$8,3))</f>
        <v>N/A</v>
      </c>
      <c r="H45" s="45" t="str">
        <f>IF(H44=0,"N/A",VLOOKUP(H44,'LOS table'!$B$3:$D$8,3))</f>
        <v>N/A</v>
      </c>
      <c r="I45" s="249" t="str">
        <f>IF(I44=0,"N/A",VLOOKUP(I44,'LOS table'!$B$3:$D$8,3))</f>
        <v>N/A</v>
      </c>
      <c r="J45" s="45" t="str">
        <f>IF(J44=0,"N/A",VLOOKUP(J44,'LOS table'!$B$3:$D$8,3))</f>
        <v>N/A</v>
      </c>
      <c r="K45" s="45" t="str">
        <f>IF(K44=0,"N/A",VLOOKUP(K44,'LOS table'!$B$3:$D$8,3))</f>
        <v>N/A</v>
      </c>
      <c r="L45" s="249" t="str">
        <f>IF(L44=0,"N/A",VLOOKUP(L44,'LOS table'!$B$3:$D$8,3))</f>
        <v>N/A</v>
      </c>
      <c r="M45" s="45" t="str">
        <f>IF(M44=0,"N/A",VLOOKUP(M44,'LOS table'!$B$3:$D$8,3))</f>
        <v>N/A</v>
      </c>
      <c r="N45" s="45" t="str">
        <f>IF(N44=0,"N/A",VLOOKUP(N44,'LOS table'!$B$3:$D$8,3))</f>
        <v>N/A</v>
      </c>
      <c r="Q45" s="47" t="s">
        <v>106</v>
      </c>
      <c r="R45" s="211" t="e">
        <f t="shared" si="15"/>
        <v>#N/A</v>
      </c>
      <c r="S45" s="70">
        <f t="shared" si="15"/>
        <v>5</v>
      </c>
      <c r="T45" s="70" t="e">
        <f t="shared" si="15"/>
        <v>#N/A</v>
      </c>
      <c r="U45" s="70">
        <f t="shared" si="15"/>
        <v>5</v>
      </c>
      <c r="V45" s="71" t="e">
        <f>SUM(R45:U45)</f>
        <v>#N/A</v>
      </c>
      <c r="X45" s="47" t="s">
        <v>106</v>
      </c>
      <c r="Y45" s="45">
        <f>Phasing!H43</f>
        <v>0</v>
      </c>
      <c r="Z45" s="45">
        <f>Phasing!I43</f>
        <v>5</v>
      </c>
      <c r="AA45" s="45">
        <f>Phasing!J43</f>
        <v>0</v>
      </c>
      <c r="AB45" s="45">
        <f>Phasing!K43</f>
        <v>5</v>
      </c>
      <c r="AC45" s="170">
        <f>MAX(Y44+Z44,Y45+Z45)</f>
        <v>5</v>
      </c>
      <c r="AD45" s="170">
        <f>MAX(AA44+AB44,AA45+AB45)</f>
        <v>5</v>
      </c>
      <c r="AE45" s="219">
        <f>SUM(AC45:AD45)</f>
        <v>10</v>
      </c>
      <c r="AF45" s="167">
        <f>Y45+Z45</f>
        <v>5</v>
      </c>
      <c r="AG45" s="167">
        <f>AA45+AB45</f>
        <v>5</v>
      </c>
      <c r="AH45" s="47" t="s">
        <v>106</v>
      </c>
      <c r="AI45" s="78">
        <f>IF(MIN(AF45,$AC$45)=0,0,ROUND(Y45*MAX(AF45,$AC$45)/MIN(AF45,$AC$45)*$C$25/$AE$45,0))</f>
        <v>0</v>
      </c>
      <c r="AJ45" s="78">
        <f>IF(MIN(AF45,$AC$45)=0,0,ROUND(Z45*MAX(AF45,$AC$45)/MIN(AF45,$AC$45)*$C$25/$AE$45,0))</f>
        <v>20</v>
      </c>
      <c r="AK45" s="78">
        <f>IF(MIN(AG45,$AD$45)=0,0,ROUND(AA45*MAX(AG45,$AD$45)/MIN(AG45,$AD$45)*$C$25/$AE$45,0))</f>
        <v>0</v>
      </c>
      <c r="AL45" s="78">
        <f>$C$25-SUM(AI45:AK45)</f>
        <v>20</v>
      </c>
      <c r="AM45" s="87"/>
      <c r="AN45" s="87"/>
      <c r="AO45" s="87"/>
      <c r="AP45" s="359" t="s">
        <v>398</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415</v>
      </c>
      <c r="C46" s="472">
        <f>IF(SUM(C3:E3)=0,0,SUMPRODUCT(C3:E3,C44:E44)/SUM(C3:E3))</f>
        <v>0</v>
      </c>
      <c r="D46" s="473"/>
      <c r="E46" s="478"/>
      <c r="F46" s="472">
        <f>IF(SUM(F3:H3)=0,0,SUMPRODUCT(F3:H3,F44:H44)/SUM(F3:H3))</f>
        <v>0</v>
      </c>
      <c r="G46" s="473"/>
      <c r="H46" s="478"/>
      <c r="I46" s="472">
        <f>IF(SUM(I3:K3)=0,0,SUMPRODUCT(I3:K3,I44:K44)/SUM(I3:K3))</f>
        <v>0</v>
      </c>
      <c r="J46" s="473"/>
      <c r="K46" s="478"/>
      <c r="L46" s="472">
        <f>IF(SUM(L3:N3)=0,0,SUMPRODUCT(L3:N3,L44:N44)/SUM(L3:N3))</f>
        <v>0</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399</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416</v>
      </c>
      <c r="C47" s="474" t="str">
        <f>IF(C46=0,"N/A",VLOOKUP(C46,'LOS table'!$B$3:$D$8,3))</f>
        <v>N/A</v>
      </c>
      <c r="D47" s="475"/>
      <c r="E47" s="51"/>
      <c r="F47" s="474" t="str">
        <f>IF(F46=0,"N/A",VLOOKUP(F46,'LOS table'!$B$3:$D$8,3))</f>
        <v>N/A</v>
      </c>
      <c r="G47" s="475"/>
      <c r="H47" s="51"/>
      <c r="I47" s="474" t="str">
        <f>IF(I46=0,"N/A",VLOOKUP(I46,'LOS table'!$B$3:$D$8,3))</f>
        <v>N/A</v>
      </c>
      <c r="J47" s="475"/>
      <c r="K47" s="51"/>
      <c r="L47" s="474" t="str">
        <f>IF(L46=0,"N/A",VLOOKUP(L46,'LOS table'!$B$3:$D$8,3))</f>
        <v>N/A</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400</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0</v>
      </c>
      <c r="AR48" s="363">
        <f t="shared" ref="AR48:BB48" si="16">SUM(AR40:AR47)</f>
        <v>0</v>
      </c>
      <c r="AS48" s="363">
        <f t="shared" si="16"/>
        <v>0</v>
      </c>
      <c r="AT48" s="362">
        <f t="shared" si="16"/>
        <v>0</v>
      </c>
      <c r="AU48" s="363">
        <f t="shared" si="16"/>
        <v>0</v>
      </c>
      <c r="AV48" s="363">
        <f t="shared" si="16"/>
        <v>0</v>
      </c>
      <c r="AW48" s="362">
        <f t="shared" si="16"/>
        <v>0</v>
      </c>
      <c r="AX48" s="363">
        <f t="shared" si="16"/>
        <v>0</v>
      </c>
      <c r="AY48" s="363">
        <f t="shared" si="16"/>
        <v>0</v>
      </c>
      <c r="AZ48" s="362">
        <f t="shared" si="16"/>
        <v>0</v>
      </c>
      <c r="BA48" s="363">
        <f t="shared" si="16"/>
        <v>0</v>
      </c>
      <c r="BB48" s="363">
        <f t="shared" si="16"/>
        <v>0</v>
      </c>
      <c r="BK48" s="434"/>
    </row>
    <row r="49" spans="2:63" s="319" customFormat="1" x14ac:dyDescent="0.3">
      <c r="B49" s="365" t="s">
        <v>417</v>
      </c>
      <c r="C49" s="476">
        <f>IF($C$25=0,"CHECK INPUT DATA!",IF(OR(SUM(C9:H9)=0,SUM(I9:N9)=0),0,ROUND(SUMPRODUCT(C9:N9,C44:N44)/O9,2)))</f>
        <v>0</v>
      </c>
      <c r="D49" s="476"/>
      <c r="E49" s="355"/>
      <c r="G49" s="87"/>
      <c r="H49" s="87"/>
      <c r="M49" s="87"/>
      <c r="N49" s="87"/>
      <c r="O49" s="323"/>
      <c r="P49" s="324"/>
      <c r="Q49" s="47"/>
      <c r="R49" s="345">
        <v>0</v>
      </c>
      <c r="S49" s="345">
        <v>0.85</v>
      </c>
      <c r="T49" s="345" t="s">
        <v>425</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418</v>
      </c>
      <c r="C50" s="471" t="str">
        <f>IF($C$25=0,"CHECK INPUT DATA",IF(C49=0,"N/A",VLOOKUP(C49,'LOS table'!$B$3:$D$8,3)))</f>
        <v>N/A</v>
      </c>
      <c r="D50" s="471"/>
      <c r="E50" s="87"/>
      <c r="F50" s="87"/>
      <c r="G50" s="87"/>
      <c r="H50" s="87"/>
      <c r="I50" s="87"/>
      <c r="J50" s="87"/>
      <c r="K50" s="87"/>
      <c r="L50" s="87"/>
      <c r="M50" s="87"/>
      <c r="N50" s="87"/>
      <c r="O50" s="323"/>
      <c r="P50" s="324"/>
      <c r="Q50" s="47"/>
      <c r="R50" s="345">
        <v>0.85</v>
      </c>
      <c r="S50" s="345">
        <v>0.95</v>
      </c>
      <c r="T50" s="345" t="s">
        <v>426</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419</v>
      </c>
      <c r="C51" s="477">
        <f>IF($C$25=0,"CHECK INPUT DATA",ROUND(O17/(1700*O4*'Input sheet'!W7*(1-C23/C25)),2))</f>
        <v>0</v>
      </c>
      <c r="D51" s="477"/>
      <c r="E51" s="87"/>
      <c r="F51" s="87"/>
      <c r="G51" s="87"/>
      <c r="H51" s="87"/>
      <c r="I51" s="87"/>
      <c r="J51" s="87"/>
      <c r="K51" s="87"/>
      <c r="L51" s="87"/>
      <c r="M51" s="87"/>
      <c r="N51" s="87"/>
      <c r="O51" s="323"/>
      <c r="P51" s="324"/>
      <c r="Q51" s="47"/>
      <c r="R51" s="345">
        <v>0.95</v>
      </c>
      <c r="S51" s="345">
        <v>1</v>
      </c>
      <c r="T51" s="345" t="s">
        <v>427</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424</v>
      </c>
      <c r="C52" s="471" t="str">
        <f>IF($C$25=0,"CHECK INPUT DATA",VLOOKUP(C51,R49:T52,3))</f>
        <v>Under Capacity</v>
      </c>
      <c r="D52" s="471"/>
      <c r="E52" s="87"/>
      <c r="F52" s="87"/>
      <c r="G52" s="87"/>
      <c r="H52" s="87"/>
      <c r="I52" s="87"/>
      <c r="J52" s="87"/>
      <c r="K52" s="87"/>
      <c r="L52" s="87"/>
      <c r="M52" s="87"/>
      <c r="N52" s="87"/>
      <c r="O52" s="323"/>
      <c r="P52" s="324"/>
      <c r="Q52" s="47"/>
      <c r="R52" s="345">
        <v>1</v>
      </c>
      <c r="S52" s="345">
        <v>100</v>
      </c>
      <c r="T52" s="345" t="s">
        <v>428</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359</v>
      </c>
      <c r="C54" s="3" t="e">
        <f>ROUND(SUMPRODUCT(C66:C68,D66:D68),0)</f>
        <v>#N/A</v>
      </c>
      <c r="D54" s="85" t="e">
        <f>IF($C$25=0,0,IF(D41=0,0,D11))</f>
        <v>#N/A</v>
      </c>
      <c r="E54" s="246" t="e">
        <f>IF($C$25=0,0,IF(AND(E6=0,E3&gt;0),ROUND(0.25*D54,0),E11))</f>
        <v>#N/A</v>
      </c>
      <c r="F54" s="373" t="e">
        <f>ROUND(SUMPRODUCT(F66:F68,G66:G68),0)</f>
        <v>#N/A</v>
      </c>
      <c r="G54" s="246" t="e">
        <f>IF($C$25=0,0,IF(G41=0,0,G11))</f>
        <v>#N/A</v>
      </c>
      <c r="H54" s="246" t="e">
        <f>IF($C$25=0,0,IF(AND(H6=0,H3&gt;0),ROUND(0.25*G54,0),H11))</f>
        <v>#N/A</v>
      </c>
      <c r="I54" s="373" t="e">
        <f>ROUND(SUMPRODUCT(I66:I68,J66:J68),0)</f>
        <v>#N/A</v>
      </c>
      <c r="J54" s="246" t="e">
        <f>IF($C$25=0,0,IF(J41=0,0,J11))</f>
        <v>#N/A</v>
      </c>
      <c r="K54" s="246" t="e">
        <f>IF($C$25=0,0,IF(AND(K6=0,K3&gt;0),ROUND(0.25*J54,0),K11))</f>
        <v>#N/A</v>
      </c>
      <c r="L54" s="373" t="e">
        <f>ROUND(SUMPRODUCT(L66:L68,M66:M68),0)</f>
        <v>#N/A</v>
      </c>
      <c r="M54" s="246" t="e">
        <f>IF($C$25=0,0,IF(M41=0,0,M11))</f>
        <v>#N/A</v>
      </c>
      <c r="N54" s="246" t="e">
        <f>IF($C$25=0,0,IF(AND(N6=0,N3&gt;0),ROUND(0.25*M54,0),N11))</f>
        <v>#N/A</v>
      </c>
      <c r="Y54" s="78"/>
      <c r="Z54" s="78"/>
      <c r="AA54" s="78"/>
      <c r="AB54" s="78"/>
      <c r="AC54" s="78"/>
      <c r="AD54" s="78"/>
    </row>
    <row r="55" spans="2:63" hidden="1" x14ac:dyDescent="0.3">
      <c r="B55" s="246" t="s">
        <v>360</v>
      </c>
      <c r="C55" s="3" t="e">
        <f t="shared" ref="C55:N55" si="17">IF($C$25=0,0,C38/$C$25)</f>
        <v>#N/A</v>
      </c>
      <c r="D55" s="246" t="e">
        <f t="shared" si="17"/>
        <v>#N/A</v>
      </c>
      <c r="E55" s="246" t="e">
        <f t="shared" si="17"/>
        <v>#N/A</v>
      </c>
      <c r="F55" s="246" t="e">
        <f t="shared" si="17"/>
        <v>#N/A</v>
      </c>
      <c r="G55" s="246" t="e">
        <f t="shared" si="17"/>
        <v>#N/A</v>
      </c>
      <c r="H55" s="246" t="e">
        <f t="shared" si="17"/>
        <v>#N/A</v>
      </c>
      <c r="I55" s="246" t="e">
        <f t="shared" si="17"/>
        <v>#N/A</v>
      </c>
      <c r="J55" s="246" t="e">
        <f t="shared" si="17"/>
        <v>#N/A</v>
      </c>
      <c r="K55" s="246" t="e">
        <f t="shared" si="17"/>
        <v>#N/A</v>
      </c>
      <c r="L55" s="246" t="e">
        <f t="shared" si="17"/>
        <v>#N/A</v>
      </c>
      <c r="M55" s="246" t="e">
        <f t="shared" si="17"/>
        <v>#N/A</v>
      </c>
      <c r="N55" s="246" t="e">
        <f t="shared" si="17"/>
        <v>#N/A</v>
      </c>
      <c r="Q55" s="62" t="s">
        <v>105</v>
      </c>
      <c r="R55" s="70" t="e">
        <f>IF(V44=0,0,ROUND(R44*$C$25/$V$44,0))</f>
        <v>#N/A</v>
      </c>
      <c r="S55" s="70" t="e">
        <f>IF(V44=0,0,ROUND(S44*$C$25/$V$44,0))</f>
        <v>#N/A</v>
      </c>
      <c r="T55" s="70" t="e">
        <f>IF(V44=0,0,ROUND(T44*$C$25/$V$44,0))</f>
        <v>#N/A</v>
      </c>
      <c r="U55" s="70" t="e">
        <f>IF(V44=0,0,ROUND(U44*$C$25/$V$44,0))</f>
        <v>#N/A</v>
      </c>
      <c r="W55" s="71" t="e">
        <f>SUM(R55:S55)</f>
        <v>#N/A</v>
      </c>
      <c r="X55" s="71" t="e">
        <f>SUM(T55:U55)</f>
        <v>#N/A</v>
      </c>
      <c r="Y55" s="47"/>
      <c r="Z55" s="62" t="s">
        <v>105</v>
      </c>
      <c r="AA55" s="193" t="e">
        <f>IF(W55=0,0,R31*MAX(Y44,ROUNDDOWN($W$58/W55*R55,0)))</f>
        <v>#N/A</v>
      </c>
      <c r="AB55" s="193" t="e">
        <f>IF(W55=0,0,S31*MAX(Z44,ROUNDUP($W$58/W55*S55,0)))</f>
        <v>#N/A</v>
      </c>
      <c r="AC55" s="193" t="e">
        <f>IF(X55=0,0,T31*MAX(AA44,ROUNDDOWN($X$58/X55*T55,0)))</f>
        <v>#N/A</v>
      </c>
      <c r="AD55" s="193" t="e">
        <f>IF(X55=0,0,U31*MAX(AB44,ROUNDUP($X$58/X55*U55,0)))</f>
        <v>#N/A</v>
      </c>
      <c r="AE55" s="47"/>
      <c r="AF55" s="62" t="s">
        <v>105</v>
      </c>
      <c r="AG55" s="193" t="e">
        <f>IF(AND(AB55=Z44,AA55+AB55&gt;W58),W58-AB57,AA57)</f>
        <v>#N/A</v>
      </c>
      <c r="AH55" s="193" t="e">
        <f>IF(AND(AA55=Y44,AA55+AB55&gt;W58),W58-AA57,AB57)</f>
        <v>#N/A</v>
      </c>
      <c r="AI55" s="193" t="e">
        <f>IF(AND(AD55=AB44,AC55+AD55&gt;X58),X58-AD57,AC57)</f>
        <v>#N/A</v>
      </c>
      <c r="AJ55" s="193" t="e">
        <f>IF(AND(AC55=AA44,AC55+AD55&gt;X58),X58-AC57,AD57)</f>
        <v>#N/A</v>
      </c>
      <c r="AK55" s="196"/>
      <c r="AM55" s="62"/>
      <c r="AN55" s="87"/>
      <c r="AO55" s="87"/>
      <c r="AP55" s="87"/>
      <c r="AQ55" s="87"/>
      <c r="AT55" s="62"/>
      <c r="AU55" s="87"/>
      <c r="AV55" s="87"/>
      <c r="AW55" s="87"/>
      <c r="AX55" s="87"/>
      <c r="AY55" s="77"/>
    </row>
    <row r="56" spans="2:63" hidden="1" x14ac:dyDescent="0.3">
      <c r="C56" s="519" t="s">
        <v>13</v>
      </c>
      <c r="D56" s="519"/>
      <c r="F56" s="519" t="s">
        <v>18</v>
      </c>
      <c r="G56" s="519"/>
      <c r="I56" s="519" t="s">
        <v>3</v>
      </c>
      <c r="J56" s="519"/>
      <c r="L56" s="519" t="s">
        <v>8</v>
      </c>
      <c r="M56" s="519"/>
      <c r="Q56" s="47" t="s">
        <v>106</v>
      </c>
      <c r="R56" s="70" t="e">
        <f>IF(V45=0,0,ROUND(R45*$C$25/$V$45,0))</f>
        <v>#N/A</v>
      </c>
      <c r="S56" s="70" t="e">
        <f>IF(V45=0,0,ROUND(S45*$C$25/$V$45,0))</f>
        <v>#N/A</v>
      </c>
      <c r="T56" s="70" t="e">
        <f>IF(V45=0,0,ROUND(T45*$C$25/$V$45,0))</f>
        <v>#N/A</v>
      </c>
      <c r="U56" s="70" t="e">
        <f>IF(V45=0,0,ROUND(U45*$C$25/$V$45,0))</f>
        <v>#N/A</v>
      </c>
      <c r="W56" s="71" t="e">
        <f>SUM(R56:S56)</f>
        <v>#N/A</v>
      </c>
      <c r="X56" s="71" t="e">
        <f>SUM(T56:U56)</f>
        <v>#N/A</v>
      </c>
      <c r="Y56" s="214"/>
      <c r="Z56" s="47" t="s">
        <v>106</v>
      </c>
      <c r="AA56" s="193" t="e">
        <f>IF(W56=0,0,R32*MAX(Y45,ROUNDDOWN($W$58/W56*R56,0)))</f>
        <v>#N/A</v>
      </c>
      <c r="AB56" s="193" t="e">
        <f>IF(W56=0,0,S32*MAX(Z45,ROUNDUP($W$58/W56*S56,0)))</f>
        <v>#N/A</v>
      </c>
      <c r="AC56" s="193" t="e">
        <f>IF(X56=0,0,T32*MAX(AA45,ROUNDDOWN($X$58/X56*T56,0)))</f>
        <v>#N/A</v>
      </c>
      <c r="AD56" s="193" t="e">
        <f>IF(X56=0,0,U32*MAX(AB45,ROUNDUP($X$58/X56*U56,0)))</f>
        <v>#N/A</v>
      </c>
      <c r="AE56" s="47"/>
      <c r="AF56" s="47" t="s">
        <v>106</v>
      </c>
      <c r="AG56" s="193" t="e">
        <f>IF(AND(AB56=Z45,AA56+AB56&gt;W58),W58-AB56,AA58)</f>
        <v>#N/A</v>
      </c>
      <c r="AH56" s="193" t="e">
        <f>IF(AND(AA56=Y45,AA56+AB56&gt;W58),W58-AA58,AB58)</f>
        <v>#N/A</v>
      </c>
      <c r="AI56" s="193" t="e">
        <f>IF(AND(AD56=AB45,AC56+AD56&gt;X58),X58-AD58,AC58)</f>
        <v>#N/A</v>
      </c>
      <c r="AJ56" s="193" t="e">
        <f>IF(AND(AC56=AA45,AC56+AD56&gt;X58),X58-AC58,AD58)</f>
        <v>#N/A</v>
      </c>
      <c r="AK56" s="196"/>
      <c r="AM56" s="47"/>
      <c r="AN56" s="87"/>
      <c r="AO56" s="87"/>
      <c r="AP56" s="87"/>
      <c r="AQ56" s="87"/>
      <c r="AT56" s="47"/>
      <c r="AU56" s="87"/>
      <c r="AV56" s="87"/>
      <c r="AW56" s="87"/>
      <c r="AX56" s="87"/>
      <c r="AY56" s="77"/>
    </row>
    <row r="57" spans="2:63" hidden="1" x14ac:dyDescent="0.3">
      <c r="B57" s="164" t="s">
        <v>224</v>
      </c>
      <c r="C57" s="164" t="e">
        <f>C97</f>
        <v>#N/A</v>
      </c>
      <c r="D57" s="163">
        <f>IF('Phase designation'!B22=2,1,0)</f>
        <v>1</v>
      </c>
      <c r="F57" s="246" t="e">
        <f>F97</f>
        <v>#N/A</v>
      </c>
      <c r="G57" s="164">
        <f>IF('Phase designation'!D22=2,1,0)</f>
        <v>1</v>
      </c>
      <c r="I57" s="246" t="e">
        <f>I97</f>
        <v>#N/A</v>
      </c>
      <c r="J57" s="164">
        <f>IF('Phase designation'!F22=2,1,0)</f>
        <v>1</v>
      </c>
      <c r="L57" s="246" t="e">
        <f>L97</f>
        <v>#N/A</v>
      </c>
      <c r="M57" s="164">
        <f>IF('Phase designation'!H22=2,1,0)</f>
        <v>1</v>
      </c>
      <c r="W57" s="65" t="e">
        <f>MAX(AC45,MAX(W55:W56))</f>
        <v>#N/A</v>
      </c>
      <c r="X57" s="65" t="e">
        <f>MAX(AD45,MAX(X55:X56))</f>
        <v>#N/A</v>
      </c>
      <c r="Y57" s="214"/>
      <c r="Z57" s="62" t="s">
        <v>105</v>
      </c>
      <c r="AA57" s="193" t="e">
        <f>AA55</f>
        <v>#N/A</v>
      </c>
      <c r="AB57" s="193" t="e">
        <f t="shared" ref="AB57:AD58" si="18">AB55</f>
        <v>#N/A</v>
      </c>
      <c r="AC57" s="193" t="e">
        <f t="shared" si="18"/>
        <v>#N/A</v>
      </c>
      <c r="AD57" s="193" t="e">
        <f t="shared" si="18"/>
        <v>#N/A</v>
      </c>
    </row>
    <row r="58" spans="2:63" ht="15" hidden="1" thickBot="1" x14ac:dyDescent="0.35">
      <c r="B58" s="164" t="s">
        <v>225</v>
      </c>
      <c r="C58" s="3" t="e">
        <f>C96</f>
        <v>#N/A</v>
      </c>
      <c r="D58" s="164">
        <f>IF('Phase designation'!B22=1,1,0)</f>
        <v>0</v>
      </c>
      <c r="F58" s="246" t="e">
        <f>F96</f>
        <v>#N/A</v>
      </c>
      <c r="G58" s="164">
        <f>IF('Phase designation'!D22=1,1,0)</f>
        <v>0</v>
      </c>
      <c r="I58" s="246" t="e">
        <f>I96</f>
        <v>#N/A</v>
      </c>
      <c r="J58" s="164">
        <f>IF('Phase designation'!F22=1,1,0)</f>
        <v>0</v>
      </c>
      <c r="L58" s="246" t="e">
        <f>L96</f>
        <v>#N/A</v>
      </c>
      <c r="M58" s="164">
        <f>IF('Phase designation'!H22=1,1,0)</f>
        <v>0</v>
      </c>
      <c r="W58" s="76" t="e">
        <f>C25-MIN(W57:X57)</f>
        <v>#N/A</v>
      </c>
      <c r="X58" s="76" t="e">
        <f>C25-W58</f>
        <v>#N/A</v>
      </c>
      <c r="Y58" s="47"/>
      <c r="Z58" s="47" t="s">
        <v>106</v>
      </c>
      <c r="AA58" s="193" t="e">
        <f>AA56</f>
        <v>#N/A</v>
      </c>
      <c r="AB58" s="193" t="e">
        <f t="shared" si="18"/>
        <v>#N/A</v>
      </c>
      <c r="AC58" s="193" t="e">
        <f t="shared" si="18"/>
        <v>#N/A</v>
      </c>
      <c r="AD58" s="193" t="e">
        <f t="shared" si="18"/>
        <v>#N/A</v>
      </c>
      <c r="AE58" s="197" t="s">
        <v>223</v>
      </c>
    </row>
    <row r="59" spans="2:63" s="77" customFormat="1" hidden="1" x14ac:dyDescent="0.3">
      <c r="B59" s="77" t="s">
        <v>226</v>
      </c>
      <c r="C59" s="77" t="e">
        <f>C104</f>
        <v>#N/A</v>
      </c>
      <c r="D59" s="77">
        <f>IF('Phase designation'!B22=3,1,0)</f>
        <v>0</v>
      </c>
      <c r="F59" s="291" t="e">
        <f>F104</f>
        <v>#N/A</v>
      </c>
      <c r="G59" s="77">
        <f>IF('Phase designation'!D22=3,1,0)</f>
        <v>0</v>
      </c>
      <c r="I59" s="291" t="e">
        <f>I104</f>
        <v>#N/A</v>
      </c>
      <c r="J59" s="77">
        <f>IF('Phase designation'!F22=3,1,0)</f>
        <v>0</v>
      </c>
      <c r="L59" s="291" t="e">
        <f>L104</f>
        <v>#N/A</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358</v>
      </c>
      <c r="C60" s="3" t="e">
        <f>C103</f>
        <v>#N/A</v>
      </c>
      <c r="D60" s="77">
        <f>IF(AND(C6=0,C3&gt;0),1,0)</f>
        <v>0</v>
      </c>
      <c r="F60" s="246" t="e">
        <f>F103</f>
        <v>#N/A</v>
      </c>
      <c r="G60" s="291">
        <f>IF(AND(F6=0,F3&gt;0),1,0)</f>
        <v>0</v>
      </c>
      <c r="I60" s="246" t="e">
        <f>I103</f>
        <v>#N/A</v>
      </c>
      <c r="J60" s="291">
        <f>IF(AND(I6=0,I3&gt;0),1,0)</f>
        <v>0</v>
      </c>
      <c r="L60" s="246" t="e">
        <f>L103</f>
        <v>#N/A</v>
      </c>
      <c r="M60" s="291">
        <f>IF(AND(L6=0,L3&gt;0),1,0)</f>
        <v>0</v>
      </c>
      <c r="P60" s="291"/>
      <c r="Q60" s="177" t="s">
        <v>105</v>
      </c>
      <c r="R60" s="169" t="e">
        <f t="shared" ref="R60:U61" si="19">AG55</f>
        <v>#N/A</v>
      </c>
      <c r="S60" s="169" t="e">
        <f t="shared" si="19"/>
        <v>#N/A</v>
      </c>
      <c r="T60" s="169" t="e">
        <f t="shared" si="19"/>
        <v>#N/A</v>
      </c>
      <c r="U60" s="169" t="e">
        <f t="shared" si="19"/>
        <v>#N/A</v>
      </c>
      <c r="V60" s="167" t="e">
        <f>SUM(R60:U60)</f>
        <v>#N/A</v>
      </c>
      <c r="W60" s="170" t="e">
        <f>R60+S60</f>
        <v>#N/A</v>
      </c>
      <c r="X60" s="178" t="e">
        <f>T60+U60</f>
        <v>#N/A</v>
      </c>
      <c r="Y60" s="47"/>
      <c r="Z60" s="62" t="s">
        <v>105</v>
      </c>
      <c r="AA60" s="217" t="e">
        <f t="shared" ref="AA60:AD61" si="20">IF(R60&lt;Y44,1,0)</f>
        <v>#N/A</v>
      </c>
      <c r="AB60" s="217" t="e">
        <f t="shared" si="20"/>
        <v>#N/A</v>
      </c>
      <c r="AC60" s="217" t="e">
        <f t="shared" si="20"/>
        <v>#N/A</v>
      </c>
      <c r="AD60" s="217" t="e">
        <f t="shared" si="20"/>
        <v>#N/A</v>
      </c>
      <c r="AE60" s="78"/>
      <c r="AF60" s="45"/>
      <c r="AG60" s="45"/>
      <c r="AH60" s="45"/>
      <c r="AI60" s="45"/>
      <c r="AJ60" s="78"/>
      <c r="BK60" s="435"/>
    </row>
    <row r="61" spans="2:63" s="77" customFormat="1" ht="15" hidden="1" thickBot="1" x14ac:dyDescent="0.35">
      <c r="P61" s="291"/>
      <c r="Q61" s="179" t="s">
        <v>106</v>
      </c>
      <c r="R61" s="180" t="e">
        <f t="shared" si="19"/>
        <v>#N/A</v>
      </c>
      <c r="S61" s="180" t="e">
        <f t="shared" si="19"/>
        <v>#N/A</v>
      </c>
      <c r="T61" s="180" t="e">
        <f t="shared" si="19"/>
        <v>#N/A</v>
      </c>
      <c r="U61" s="180" t="e">
        <f t="shared" si="19"/>
        <v>#N/A</v>
      </c>
      <c r="V61" s="181" t="e">
        <f>SUM(R61:U61)</f>
        <v>#N/A</v>
      </c>
      <c r="W61" s="182" t="e">
        <f>R61+S61</f>
        <v>#N/A</v>
      </c>
      <c r="X61" s="183" t="e">
        <f>T61+U61</f>
        <v>#N/A</v>
      </c>
      <c r="Y61" s="47"/>
      <c r="Z61" s="47" t="s">
        <v>106</v>
      </c>
      <c r="AA61" s="217" t="e">
        <f t="shared" si="20"/>
        <v>#N/A</v>
      </c>
      <c r="AB61" s="217" t="e">
        <f t="shared" si="20"/>
        <v>#N/A</v>
      </c>
      <c r="AC61" s="217" t="e">
        <f t="shared" si="20"/>
        <v>#N/A</v>
      </c>
      <c r="AD61" s="217" t="e">
        <f t="shared" si="20"/>
        <v>#N/A</v>
      </c>
      <c r="AE61" s="218" t="e">
        <f>SUM(AA60:AD61)</f>
        <v>#N/A</v>
      </c>
      <c r="AF61" s="45"/>
      <c r="AG61" s="45"/>
      <c r="AH61" s="45"/>
      <c r="AI61" s="45"/>
      <c r="AJ61" s="78"/>
      <c r="BK61" s="435"/>
    </row>
    <row r="62" spans="2:63" hidden="1" x14ac:dyDescent="0.3">
      <c r="B62" s="240" t="s">
        <v>327</v>
      </c>
      <c r="C62" s="77" t="e">
        <f>MAX(0,D37)</f>
        <v>#N/A</v>
      </c>
      <c r="D62" s="77">
        <f>D57</f>
        <v>1</v>
      </c>
      <c r="E62" s="77"/>
      <c r="F62" s="291" t="e">
        <f>MAX(0,G37)</f>
        <v>#N/A</v>
      </c>
      <c r="G62" s="77">
        <f>G57</f>
        <v>1</v>
      </c>
      <c r="H62" s="77"/>
      <c r="I62" s="291" t="e">
        <f>MAX(0,J37)</f>
        <v>#N/A</v>
      </c>
      <c r="J62" s="77">
        <f>J57</f>
        <v>1</v>
      </c>
      <c r="K62" s="77"/>
      <c r="L62" s="291" t="e">
        <f>MAX(0,M37)</f>
        <v>#N/A</v>
      </c>
      <c r="M62" s="77">
        <f>M57</f>
        <v>1</v>
      </c>
      <c r="N62" s="77"/>
      <c r="X62" s="77"/>
      <c r="Z62" s="197"/>
      <c r="AA62" s="197"/>
      <c r="AB62" s="197"/>
      <c r="AC62" s="197"/>
      <c r="AD62" s="197"/>
      <c r="AE62" s="199"/>
      <c r="AF62" s="199"/>
      <c r="AG62" s="199"/>
      <c r="AH62" s="199"/>
      <c r="AI62" s="199"/>
    </row>
    <row r="63" spans="2:63" hidden="1" x14ac:dyDescent="0.3">
      <c r="B63" s="240" t="s">
        <v>328</v>
      </c>
      <c r="C63" s="240" t="e">
        <f>MAX(0,C34-C35-C36)</f>
        <v>#N/A</v>
      </c>
      <c r="D63" s="77">
        <f>D58</f>
        <v>0</v>
      </c>
      <c r="E63" s="77"/>
      <c r="F63" s="246" t="e">
        <f>MAX(0,F34-F35-F36)</f>
        <v>#N/A</v>
      </c>
      <c r="G63" s="77">
        <f>G58</f>
        <v>0</v>
      </c>
      <c r="H63" s="77"/>
      <c r="I63" s="246" t="e">
        <f>MAX(0,I34-I35-I36)</f>
        <v>#N/A</v>
      </c>
      <c r="J63" s="77">
        <f>J58</f>
        <v>0</v>
      </c>
      <c r="K63" s="77"/>
      <c r="L63" s="246" t="e">
        <f>MAX(0,L34-L35-L36)</f>
        <v>#N/A</v>
      </c>
      <c r="M63" s="77">
        <f>M58</f>
        <v>0</v>
      </c>
      <c r="N63" s="77"/>
      <c r="Q63" s="3">
        <f>R29</f>
        <v>0</v>
      </c>
      <c r="R63" s="69">
        <f>S29</f>
        <v>2</v>
      </c>
      <c r="S63" s="69">
        <f>T29</f>
        <v>0</v>
      </c>
      <c r="T63" s="69">
        <f>U29</f>
        <v>4</v>
      </c>
      <c r="U63" s="69">
        <f>R30</f>
        <v>0</v>
      </c>
      <c r="V63" s="69">
        <f>S30</f>
        <v>6</v>
      </c>
      <c r="W63" s="69">
        <f>T30</f>
        <v>0</v>
      </c>
      <c r="X63" s="69">
        <f>U30</f>
        <v>8</v>
      </c>
    </row>
    <row r="64" spans="2:63" hidden="1" x14ac:dyDescent="0.3">
      <c r="B64" s="77" t="s">
        <v>329</v>
      </c>
      <c r="C64" s="3" t="e">
        <f>MAX(0,C63+C62-C35-C36)</f>
        <v>#N/A</v>
      </c>
      <c r="D64" s="77">
        <f>D59</f>
        <v>0</v>
      </c>
      <c r="E64" s="77"/>
      <c r="F64" s="246" t="e">
        <f>MAX(0,F63+F62-F35-F36)</f>
        <v>#N/A</v>
      </c>
      <c r="G64" s="77">
        <f>G59</f>
        <v>0</v>
      </c>
      <c r="H64" s="77"/>
      <c r="I64" s="246" t="e">
        <f>MAX(0,I63+I62-I35-I36)</f>
        <v>#N/A</v>
      </c>
      <c r="J64" s="77">
        <f>J59</f>
        <v>0</v>
      </c>
      <c r="K64" s="77"/>
      <c r="L64" s="246" t="e">
        <f>MAX(0,L63+L62-L35-L36)</f>
        <v>#N/A</v>
      </c>
      <c r="M64" s="77">
        <f>M59</f>
        <v>0</v>
      </c>
      <c r="Q64" s="3" t="e">
        <f>C83</f>
        <v>#N/A</v>
      </c>
      <c r="R64" s="216" t="e">
        <f>D83</f>
        <v>#N/A</v>
      </c>
      <c r="S64" s="216" t="e">
        <f>E83</f>
        <v>#N/A</v>
      </c>
      <c r="T64" s="216" t="e">
        <f>F83</f>
        <v>#N/A</v>
      </c>
      <c r="U64" s="3" t="e">
        <f>C84</f>
        <v>#N/A</v>
      </c>
      <c r="V64" s="216" t="e">
        <f>D84</f>
        <v>#N/A</v>
      </c>
      <c r="W64" s="216" t="e">
        <f>E84</f>
        <v>#N/A</v>
      </c>
      <c r="X64" s="216" t="e">
        <f>F84</f>
        <v>#N/A</v>
      </c>
    </row>
    <row r="65" spans="2:63" hidden="1" x14ac:dyDescent="0.3">
      <c r="D65" s="246"/>
      <c r="F65" s="246"/>
      <c r="G65" s="246"/>
      <c r="I65" s="246"/>
      <c r="J65" s="246"/>
      <c r="L65" s="246"/>
      <c r="M65" s="246"/>
      <c r="Q65" s="3">
        <f>C33</f>
        <v>4</v>
      </c>
      <c r="R65" s="163">
        <f>D33</f>
        <v>4</v>
      </c>
      <c r="S65" s="163">
        <f>F33</f>
        <v>8</v>
      </c>
      <c r="T65" s="163">
        <f>G33</f>
        <v>8</v>
      </c>
      <c r="U65" s="163">
        <f>I33</f>
        <v>2</v>
      </c>
      <c r="V65" s="163">
        <f>J33</f>
        <v>2</v>
      </c>
      <c r="W65" s="163">
        <f>L33</f>
        <v>6</v>
      </c>
      <c r="X65" s="163">
        <f>M33</f>
        <v>6</v>
      </c>
    </row>
    <row r="66" spans="2:63" s="373" customFormat="1" hidden="1" x14ac:dyDescent="0.3">
      <c r="B66" s="373" t="s">
        <v>437</v>
      </c>
      <c r="C66" s="373">
        <f>C14</f>
        <v>1332</v>
      </c>
      <c r="D66" s="373">
        <f>D62</f>
        <v>1</v>
      </c>
      <c r="F66" s="373">
        <f>F14</f>
        <v>1332</v>
      </c>
      <c r="G66" s="373">
        <f>G62</f>
        <v>1</v>
      </c>
      <c r="I66" s="373">
        <f>I14</f>
        <v>1332</v>
      </c>
      <c r="J66" s="373">
        <f>J62</f>
        <v>1</v>
      </c>
      <c r="L66" s="373">
        <f>L14</f>
        <v>1332</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438</v>
      </c>
      <c r="C67" s="373" t="e">
        <f>C11</f>
        <v>#N/A</v>
      </c>
      <c r="D67" s="373">
        <f>D63</f>
        <v>0</v>
      </c>
      <c r="F67" s="373" t="e">
        <f>F11</f>
        <v>#N/A</v>
      </c>
      <c r="G67" s="373">
        <f>G63</f>
        <v>0</v>
      </c>
      <c r="I67" s="373" t="e">
        <f>I11</f>
        <v>#N/A</v>
      </c>
      <c r="J67" s="373">
        <f>J63</f>
        <v>0</v>
      </c>
      <c r="L67" s="373" t="e">
        <f>L11</f>
        <v>#N/A</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439</v>
      </c>
      <c r="C68" s="351" t="e">
        <f>IF(C64=0,0,(C67*C63+C66*C62)/C64)</f>
        <v>#N/A</v>
      </c>
      <c r="D68" s="373">
        <f>D64</f>
        <v>0</v>
      </c>
      <c r="F68" s="351" t="e">
        <f>IF(F64=0,0,(F67*F63+F66*F62)/F64)</f>
        <v>#N/A</v>
      </c>
      <c r="G68" s="373">
        <f>G64</f>
        <v>0</v>
      </c>
      <c r="I68" s="351" t="e">
        <f>IF(I64=0,0,(I67*I63+I66*I62)/I64)</f>
        <v>#N/A</v>
      </c>
      <c r="J68" s="373">
        <f>J64</f>
        <v>0</v>
      </c>
      <c r="L68" s="351" t="e">
        <f>IF(L64=0,0,(L67*L63+L66*L62)/L64)</f>
        <v>#N/A</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4</v>
      </c>
      <c r="R69" s="77">
        <f t="shared" ref="R69:X69" si="21">IF(R65=0,0,MATCH(R65,$Q$63:$X$63,0))</f>
        <v>4</v>
      </c>
      <c r="S69" s="77">
        <f t="shared" si="21"/>
        <v>8</v>
      </c>
      <c r="T69" s="77">
        <f t="shared" si="21"/>
        <v>8</v>
      </c>
      <c r="U69" s="77">
        <f t="shared" si="21"/>
        <v>2</v>
      </c>
      <c r="V69" s="77">
        <f t="shared" si="21"/>
        <v>2</v>
      </c>
      <c r="W69" s="77">
        <f t="shared" si="21"/>
        <v>6</v>
      </c>
      <c r="X69" s="77">
        <f t="shared" si="21"/>
        <v>6</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338</v>
      </c>
      <c r="C71" s="246" t="e">
        <f>IF(C34&lt;F34,MAX(0,MIN(C34+G34-F34-D35-D36,G34-D35-D36-G37)),G34-D35-D36-G37)</f>
        <v>#N/A</v>
      </c>
      <c r="F71" s="246" t="e">
        <f>IF(F34&lt;C34,MAX(0,MIN(F34+D34-C34-G35-G36,D34-G35-G36-D37)),D34-G35-G36-D37)</f>
        <v>#N/A</v>
      </c>
      <c r="I71" s="246" t="e">
        <f>IF(I34&lt;L34,MAX(0,MIN(I34+M34-L34-J35-J36,M34-J35-J36-M37)),M34-J35-J36-M37)</f>
        <v>#N/A</v>
      </c>
      <c r="L71" s="246" t="e">
        <f>IF(L34&lt;I34,MAX(0,MIN(L34+J34-I34-M35-M36,J34-M35-M36-J37)),J34-M35-M36-J37)</f>
        <v>#N/A</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339</v>
      </c>
      <c r="C72" s="246" t="e">
        <f>IF(C34&lt;F34,MAX(0,MIN(C34+G34-F34-D35-D36,G34-D35-D36)),G34-D35-D36)</f>
        <v>#N/A</v>
      </c>
      <c r="F72" s="246" t="e">
        <f>IF(F34&lt;C34,MAX(0,MIN(F34+D34-C34-G35-G36,D34-G35-G36)),D34-G35-G36)</f>
        <v>#N/A</v>
      </c>
      <c r="I72" s="246" t="e">
        <f>IF(I34&lt;L34,MAX(0,MIN(I34+M34-L34-J35-J36,M34-J35-J36)),M34-J35-J36)</f>
        <v>#N/A</v>
      </c>
      <c r="L72" s="246" t="e">
        <f>IF(L34&lt;I34,MAX(0,MIN(L34+J34-I34-M35-M36,J34-M35-M36)),J34-M35-M36)</f>
        <v>#N/A</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342</v>
      </c>
      <c r="C73" s="246" t="e">
        <f>IF(F34&gt;(C34-C35-C36),MIN(C74,F34-(C34-C35-C36)+C74-C75),0)</f>
        <v>#N/A</v>
      </c>
      <c r="F73" s="246" t="e">
        <f>IF(C34&gt;(F34-F35-F36),MIN(F74,C34-(F34-F35-F36)+F74-F75),0)</f>
        <v>#N/A</v>
      </c>
      <c r="I73" s="246" t="e">
        <f>IF(L34&gt;(I34-I35-I36),MIN(I74,L34-(I34-I35-I36)+I74-I75),0)</f>
        <v>#N/A</v>
      </c>
      <c r="L73" s="246" t="e">
        <f>IF(I34&gt;(L34-L35-L36),MIN(L74,I34-(L34-L35-L36)+L74-L75),0)</f>
        <v>#N/A</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344</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343</v>
      </c>
      <c r="C75" s="246">
        <f>Phasing!O27</f>
        <v>1.5</v>
      </c>
      <c r="F75" s="246">
        <f>Phasing!Q27</f>
        <v>1.5</v>
      </c>
      <c r="I75" s="246">
        <f>Phasing!S27</f>
        <v>1.5</v>
      </c>
      <c r="L75" s="246">
        <f>Phasing!U27</f>
        <v>1.5</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340</v>
      </c>
      <c r="C76" s="246" t="e">
        <f>MIN(C71+C75,C77)</f>
        <v>#N/A</v>
      </c>
      <c r="F76" s="246" t="e">
        <f>MIN(F71+F75,F77)</f>
        <v>#N/A</v>
      </c>
      <c r="I76" s="246" t="e">
        <f>MIN(I71+I75,I77)</f>
        <v>#N/A</v>
      </c>
      <c r="L76" s="246" t="e">
        <f>MIN(L71+L75,L77)</f>
        <v>#N/A</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341</v>
      </c>
      <c r="C77" s="246" t="e">
        <f>MAX(0,C72-C73+C75)</f>
        <v>#N/A</v>
      </c>
      <c r="F77" s="246" t="e">
        <f>MAX(0,F72-F73+F75)</f>
        <v>#N/A</v>
      </c>
      <c r="I77" s="246" t="e">
        <f>MAX(0,I72-I73+I75)</f>
        <v>#N/A</v>
      </c>
      <c r="L77" s="246" t="e">
        <f>MAX(0,L72-L73+L75)</f>
        <v>#N/A</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v>
      </c>
      <c r="U82" s="87"/>
      <c r="V82" s="77"/>
      <c r="W82" s="77"/>
    </row>
    <row r="83" spans="2:63" x14ac:dyDescent="0.3">
      <c r="B83" s="188" t="s">
        <v>105</v>
      </c>
      <c r="C83" s="188" t="e">
        <f t="shared" ref="C83:F84" si="22">IF($C$25=0,0,IF($AE$61=0,R60,AI44))</f>
        <v>#N/A</v>
      </c>
      <c r="D83" s="188" t="e">
        <f t="shared" si="22"/>
        <v>#N/A</v>
      </c>
      <c r="E83" s="188" t="e">
        <f t="shared" si="22"/>
        <v>#N/A</v>
      </c>
      <c r="F83" s="188" t="e">
        <f t="shared" si="22"/>
        <v>#N/A</v>
      </c>
      <c r="G83" s="190" t="e">
        <f>SUM(C83:F83)</f>
        <v>#N/A</v>
      </c>
      <c r="H83" s="191" t="e">
        <f>C83+D83</f>
        <v>#N/A</v>
      </c>
      <c r="I83" s="191" t="e">
        <f>E83+F83</f>
        <v>#N/A</v>
      </c>
      <c r="Q83" s="47"/>
      <c r="R83" s="87"/>
      <c r="S83" s="87"/>
      <c r="T83" s="87"/>
      <c r="U83" s="87"/>
      <c r="V83" s="77"/>
      <c r="W83" s="77"/>
    </row>
    <row r="84" spans="2:63" x14ac:dyDescent="0.3">
      <c r="B84" s="188" t="s">
        <v>106</v>
      </c>
      <c r="C84" s="188" t="e">
        <f t="shared" si="22"/>
        <v>#N/A</v>
      </c>
      <c r="D84" s="188" t="e">
        <f t="shared" si="22"/>
        <v>#N/A</v>
      </c>
      <c r="E84" s="188" t="e">
        <f t="shared" si="22"/>
        <v>#N/A</v>
      </c>
      <c r="F84" s="188" t="e">
        <f t="shared" si="22"/>
        <v>#N/A</v>
      </c>
      <c r="G84" s="190" t="e">
        <f>SUM(C84:F84)</f>
        <v>#N/A</v>
      </c>
      <c r="H84" s="191" t="e">
        <f>C84+D84</f>
        <v>#N/A</v>
      </c>
      <c r="I84" s="191" t="e">
        <f>E84+F84</f>
        <v>#N/A</v>
      </c>
      <c r="T84" s="252">
        <f>IF($C$25=0,"CHECK INPUT DATA",IF(OR(SUM(C9:H9)=0,SUM(I9:N9)=0),0,ROUND(SUMPRODUCT(C9:N9,C44:N44)/O9,2)))</f>
        <v>0</v>
      </c>
      <c r="U84" s="158" t="str">
        <f>IF($C$25=0,"CHECK INPUT DATA",IF(T84=0,"N/A",VLOOKUP(T84,'LOS table'!$B$3:$D$8,3)))</f>
        <v>N/A</v>
      </c>
    </row>
    <row r="85" spans="2:63" hidden="1" x14ac:dyDescent="0.3"/>
    <row r="86" spans="2:63" hidden="1" x14ac:dyDescent="0.3">
      <c r="C86" s="3" t="e">
        <f>IF(C83&lt;Y44,1,0)</f>
        <v>#N/A</v>
      </c>
      <c r="D86" s="210" t="e">
        <f>IF(D83&lt;Z44,1,0)</f>
        <v>#N/A</v>
      </c>
      <c r="F86" s="210" t="e">
        <f>IF(E83&lt;AA44,1,0)</f>
        <v>#N/A</v>
      </c>
      <c r="G86" s="210" t="e">
        <f>IF(F83&lt;AB44,1,0)</f>
        <v>#N/A</v>
      </c>
    </row>
    <row r="87" spans="2:63" hidden="1" x14ac:dyDescent="0.3">
      <c r="C87" s="210" t="e">
        <f>IF(C84&lt;Y45,1,0)</f>
        <v>#N/A</v>
      </c>
      <c r="D87" s="210" t="e">
        <f>IF(D84&lt;Z45,1,0)</f>
        <v>#N/A</v>
      </c>
      <c r="F87" s="210" t="e">
        <f>IF(E84&lt;AA45,1,0)</f>
        <v>#N/A</v>
      </c>
      <c r="G87" s="210" t="e">
        <f>IF(F84&lt;AB45,1,0)</f>
        <v>#N/A</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326</v>
      </c>
      <c r="C90" s="299" t="e">
        <f>C38</f>
        <v>#N/A</v>
      </c>
      <c r="D90" s="299" t="e">
        <f t="shared" ref="D90:N90" si="23">D38</f>
        <v>#N/A</v>
      </c>
      <c r="E90" s="299" t="e">
        <f t="shared" si="23"/>
        <v>#N/A</v>
      </c>
      <c r="F90" s="299" t="e">
        <f t="shared" si="23"/>
        <v>#N/A</v>
      </c>
      <c r="G90" s="299" t="e">
        <f t="shared" si="23"/>
        <v>#N/A</v>
      </c>
      <c r="H90" s="299" t="e">
        <f t="shared" si="23"/>
        <v>#N/A</v>
      </c>
      <c r="I90" s="299" t="e">
        <f t="shared" si="23"/>
        <v>#N/A</v>
      </c>
      <c r="J90" s="299" t="e">
        <f t="shared" si="23"/>
        <v>#N/A</v>
      </c>
      <c r="K90" s="299" t="e">
        <f t="shared" si="23"/>
        <v>#N/A</v>
      </c>
      <c r="L90" s="299" t="e">
        <f t="shared" si="23"/>
        <v>#N/A</v>
      </c>
      <c r="M90" s="299" t="e">
        <f t="shared" si="23"/>
        <v>#N/A</v>
      </c>
      <c r="N90" s="299" t="e">
        <f t="shared" si="23"/>
        <v>#N/A</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347</v>
      </c>
      <c r="C91" s="3">
        <f>C3*$C$25/3600</f>
        <v>0</v>
      </c>
      <c r="E91" s="246"/>
      <c r="F91" s="246">
        <f>F3*$C$25/3600</f>
        <v>0</v>
      </c>
      <c r="G91" s="246"/>
      <c r="I91" s="246">
        <f>I3*$C$25/3600</f>
        <v>0</v>
      </c>
      <c r="L91" s="246">
        <f>L3*$C$25/3600</f>
        <v>0</v>
      </c>
    </row>
    <row r="92" spans="2:63" hidden="1" x14ac:dyDescent="0.3">
      <c r="B92" s="246" t="s">
        <v>346</v>
      </c>
      <c r="C92" s="3" t="e">
        <f>MAX(C90*EXP(-0.86*(C91^0.629)-C73),0)</f>
        <v>#N/A</v>
      </c>
      <c r="F92" s="246" t="e">
        <f>MAX(F90*EXP(-0.86*(F91^0.629)-F73),0)</f>
        <v>#N/A</v>
      </c>
      <c r="I92" s="246" t="e">
        <f>MAX(I90*EXP(-0.86*(I91^0.629)-I73),0)</f>
        <v>#N/A</v>
      </c>
      <c r="L92" s="246" t="e">
        <f>MAX(L90*EXP(-0.86*(L91^0.629)-L73),0)</f>
        <v>#N/A</v>
      </c>
    </row>
    <row r="93" spans="2:63" hidden="1" x14ac:dyDescent="0.3">
      <c r="B93" s="246" t="s">
        <v>348</v>
      </c>
      <c r="C93" s="246" t="e">
        <f>MAX(C90*EXP(-0.882*(C91^0.717)-C73),0)</f>
        <v>#N/A</v>
      </c>
      <c r="F93" s="246" t="e">
        <f>MAX(F90*EXP(-0.882*(F91^0.717)-F73),0)</f>
        <v>#N/A</v>
      </c>
      <c r="I93" s="246" t="e">
        <f>MAX(I90*EXP(-0.882*(I91^0.717)-I73),0)</f>
        <v>#N/A</v>
      </c>
      <c r="L93" s="246" t="e">
        <f>MAX(L90*EXP(-0.882*(L91^0.717)-L73),0)</f>
        <v>#N/A</v>
      </c>
    </row>
    <row r="94" spans="2:63" hidden="1" x14ac:dyDescent="0.3">
      <c r="B94" s="246" t="s">
        <v>345</v>
      </c>
      <c r="C94" s="3" t="e">
        <f>IF(SUM(C6:E6)=1,C92,C93)</f>
        <v>#N/A</v>
      </c>
      <c r="F94" s="246" t="e">
        <f>IF(SUM(F6:H6)=1,F92,F93)</f>
        <v>#N/A</v>
      </c>
      <c r="I94" s="246" t="e">
        <f>IF(SUM(I6:K6)=1,I92,I93)</f>
        <v>#N/A</v>
      </c>
      <c r="L94" s="246" t="e">
        <f>IF(SUM(L6:N6)=1,L92,L93)</f>
        <v>#N/A</v>
      </c>
    </row>
    <row r="95" spans="2:63" hidden="1" x14ac:dyDescent="0.3"/>
    <row r="96" spans="2:63" s="246" customFormat="1" hidden="1" x14ac:dyDescent="0.3">
      <c r="B96" s="256" t="s">
        <v>354</v>
      </c>
      <c r="C96" s="256" t="e">
        <f>MAX(0,ROUND(C6*(C63+C35-1)*C11/$C$25,0))</f>
        <v>#N/A</v>
      </c>
      <c r="D96" s="256"/>
      <c r="E96" s="256"/>
      <c r="F96" s="256" t="e">
        <f>MAX(0,ROUND(F6*(F63+F35-1)*F11/$C$25,0))</f>
        <v>#N/A</v>
      </c>
      <c r="G96" s="256"/>
      <c r="H96" s="256"/>
      <c r="I96" s="256" t="e">
        <f>MAX(0,ROUND(I6*(I63+I35-1)*I11/$C$25,0))</f>
        <v>#N/A</v>
      </c>
      <c r="J96" s="256"/>
      <c r="K96" s="256"/>
      <c r="L96" s="256" t="e">
        <f>MAX(0,ROUND(L6*(L63+L35-1)*L11/$C$25,0))</f>
        <v>#N/A</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349</v>
      </c>
      <c r="C97" s="256" t="e">
        <f>ROUND(((MIN(C77-C94,C76)*C14+7200)/$C$25)*C6,0)</f>
        <v>#N/A</v>
      </c>
      <c r="D97" s="256"/>
      <c r="E97" s="256"/>
      <c r="F97" s="256" t="e">
        <f>ROUND(((MIN(F77-F94,F76)*F14+7200)/$C$25)*F6,0)</f>
        <v>#N/A</v>
      </c>
      <c r="G97" s="256"/>
      <c r="H97" s="256"/>
      <c r="I97" s="256" t="e">
        <f>ROUND(((MIN(I77-I94,I76)*I14+7200)/$C$25)*I6,0)</f>
        <v>#N/A</v>
      </c>
      <c r="J97" s="256"/>
      <c r="K97" s="256"/>
      <c r="L97" s="256" t="e">
        <f>ROUND(((MIN(L77-L94,L76)*L14+7200)/$C$25)*L6,0)</f>
        <v>#N/A</v>
      </c>
    </row>
    <row r="98" spans="1:13" hidden="1" x14ac:dyDescent="0.3">
      <c r="B98" s="246" t="s">
        <v>350</v>
      </c>
      <c r="C98" s="3">
        <f>IF(C14=0,0,$S$2/C14)</f>
        <v>1.4264264264264264</v>
      </c>
      <c r="F98" s="246">
        <f>IF(F14=0,0,$S$2/F14)</f>
        <v>1.4264264264264264</v>
      </c>
      <c r="I98" s="246">
        <f>IF(I14=0,0,$S$2/I14)</f>
        <v>1.4264264264264264</v>
      </c>
      <c r="L98" s="246">
        <f>IF(L14=0,0,$S$2/L14)</f>
        <v>1.4264264264264264</v>
      </c>
    </row>
    <row r="99" spans="1:13" hidden="1" x14ac:dyDescent="0.3">
      <c r="B99" s="246" t="s">
        <v>351</v>
      </c>
      <c r="C99" s="3" t="e">
        <f>MAX(0,0.5*(C77-C76-C94))</f>
        <v>#N/A</v>
      </c>
      <c r="F99" s="246" t="e">
        <f>MAX(0,0.5*(F77-F76-F94))</f>
        <v>#N/A</v>
      </c>
      <c r="I99" s="246" t="e">
        <f>MAX(0,0.5*(I77-I76-I94))</f>
        <v>#N/A</v>
      </c>
      <c r="L99" s="246" t="e">
        <f>MAX(0,0.5*(L77-L76-L94))</f>
        <v>#N/A</v>
      </c>
    </row>
    <row r="100" spans="1:13" hidden="1" x14ac:dyDescent="0.3">
      <c r="B100" s="246" t="s">
        <v>353</v>
      </c>
      <c r="C100" s="3">
        <f>IF(SUM(F3:H3)=0,0,F3/SUM(F3:H3))</f>
        <v>0</v>
      </c>
      <c r="F100" s="246">
        <f>IF(SUM(C3:E3)=0,0,C3/SUM(C3:E3))</f>
        <v>0</v>
      </c>
      <c r="I100" s="246">
        <f>IF(SUM(L3:N3)=0,0,L3/SUM(L3:N3))</f>
        <v>0</v>
      </c>
      <c r="L100" s="246">
        <f>IF(SUM(I3:K3)=0,0,I3/SUM(I3:K3))</f>
        <v>0</v>
      </c>
    </row>
    <row r="101" spans="1:13" hidden="1" x14ac:dyDescent="0.3">
      <c r="B101" s="246" t="s">
        <v>352</v>
      </c>
      <c r="C101" s="3">
        <f>IF(C100=0,0,MAX(1,(1-(1-C100)^C99)/C100))</f>
        <v>0</v>
      </c>
      <c r="F101" s="246">
        <f>IF(F100=0,0,MAX(1,(1-(1-F100)^F99)/F100))</f>
        <v>0</v>
      </c>
      <c r="I101" s="246">
        <f>IF(I100=0,0,MAX(1,(1-(1-I100)^I99)/I100))</f>
        <v>0</v>
      </c>
      <c r="L101" s="246">
        <f>IF(L100=0,0,MAX(1,(1-(1-L100)^L99)/L100))</f>
        <v>0</v>
      </c>
    </row>
    <row r="102" spans="1:13" hidden="1" x14ac:dyDescent="0.3">
      <c r="B102" s="246" t="s">
        <v>356</v>
      </c>
      <c r="C102" s="3">
        <f>IF(SUM(C3:E3)=0,0,C3/SUM(C3:E3))</f>
        <v>0</v>
      </c>
      <c r="F102" s="246">
        <f>IF(SUM(F3:H3)=0,0,F3/SUM(F3:H3))</f>
        <v>0</v>
      </c>
      <c r="I102" s="246">
        <f>IF(SUM(I3:K3)=0,0,I3/SUM(I3:K3))</f>
        <v>0</v>
      </c>
      <c r="L102" s="246">
        <f>IF(SUM(L3:N3)=0,0,L3/SUM(L3:N3))</f>
        <v>0</v>
      </c>
    </row>
    <row r="103" spans="1:13" hidden="1" x14ac:dyDescent="0.3">
      <c r="B103" s="256" t="s">
        <v>355</v>
      </c>
      <c r="C103" s="256" t="e">
        <f>ROUND((C77*C14+3600*(1+C102))/$C$25,0)</f>
        <v>#N/A</v>
      </c>
      <c r="D103" s="256"/>
      <c r="E103" s="256"/>
      <c r="F103" s="256" t="e">
        <f>ROUND((F77*F14+3600*(1+F102))/$C$25,0)</f>
        <v>#N/A</v>
      </c>
      <c r="G103" s="256"/>
      <c r="H103" s="256"/>
      <c r="I103" s="256" t="e">
        <f>ROUND((I77*I14+3600*(1+I102))/$C$25,0)</f>
        <v>#N/A</v>
      </c>
      <c r="J103" s="256"/>
      <c r="K103" s="256"/>
      <c r="L103" s="256" t="e">
        <f>ROUND((L77*L14+3600*(1+L102))/$C$25,0)</f>
        <v>#N/A</v>
      </c>
    </row>
    <row r="104" spans="1:13" hidden="1" x14ac:dyDescent="0.3">
      <c r="B104" s="256" t="s">
        <v>357</v>
      </c>
      <c r="C104" s="256" t="e">
        <f>MAX(0,ROUND(((C63+C35-1)*C11/$C$25+(MIN(C77-C94,C76)*C14+7200)/$C$25)*C6,0))</f>
        <v>#N/A</v>
      </c>
      <c r="D104" s="256"/>
      <c r="E104" s="256"/>
      <c r="F104" s="256" t="e">
        <f>MAX(0,ROUND(((F63+F35-1)*F11/$C$25+(MIN(F77-F94,F76)*F14+7200)/$C$25)*F6,0))</f>
        <v>#N/A</v>
      </c>
      <c r="G104" s="256"/>
      <c r="H104" s="256"/>
      <c r="I104" s="256" t="e">
        <f>MAX(0,ROUND(((I63+I35-1)*I11/$C$25+(MIN(I77-I94,I76)*I14+7200)/$C$25)*I6,0))</f>
        <v>#N/A</v>
      </c>
      <c r="J104" s="256"/>
      <c r="K104" s="256"/>
      <c r="L104" s="256" t="e">
        <f>MAX(0,ROUND(((L63+L35-1)*L11/$C$25+(MIN(L77-L94,L76)*L14+7200)/$C$25)*L6,0))</f>
        <v>#N/A</v>
      </c>
    </row>
    <row r="105" spans="1:13" hidden="1" x14ac:dyDescent="0.3"/>
    <row r="106" spans="1:13" hidden="1" x14ac:dyDescent="0.3">
      <c r="A106" s="551" t="s">
        <v>484</v>
      </c>
      <c r="B106" s="334" t="s">
        <v>73</v>
      </c>
      <c r="C106" s="334"/>
      <c r="D106" s="334" t="s">
        <v>14</v>
      </c>
      <c r="E106" s="334"/>
      <c r="F106" s="334"/>
      <c r="G106" s="334" t="s">
        <v>19</v>
      </c>
      <c r="H106" s="334"/>
      <c r="I106" s="334"/>
      <c r="J106" s="334" t="s">
        <v>4</v>
      </c>
      <c r="K106" s="334"/>
      <c r="L106" s="334"/>
      <c r="M106" s="442" t="s">
        <v>9</v>
      </c>
    </row>
    <row r="107" spans="1:13" hidden="1" x14ac:dyDescent="0.3">
      <c r="A107" s="552"/>
      <c r="B107" s="168" t="s">
        <v>475</v>
      </c>
      <c r="C107" s="168"/>
      <c r="D107" s="168" t="e">
        <f>D37-Phasing!P19</f>
        <v>#N/A</v>
      </c>
      <c r="E107" s="168"/>
      <c r="F107" s="168"/>
      <c r="G107" s="168" t="e">
        <f>G37-Phasing!R19</f>
        <v>#N/A</v>
      </c>
      <c r="H107" s="168"/>
      <c r="I107" s="168"/>
      <c r="J107" s="168" t="e">
        <f>J37-Phasing!T19</f>
        <v>#N/A</v>
      </c>
      <c r="K107" s="168"/>
      <c r="L107" s="168"/>
      <c r="M107" s="443" t="e">
        <f>M37-Phasing!V19</f>
        <v>#N/A</v>
      </c>
    </row>
    <row r="108" spans="1:13" hidden="1" x14ac:dyDescent="0.3">
      <c r="A108" s="552"/>
      <c r="B108" s="168" t="s">
        <v>476</v>
      </c>
      <c r="C108" s="168"/>
      <c r="D108" s="168" t="e">
        <f>D107+4</f>
        <v>#N/A</v>
      </c>
      <c r="E108" s="168"/>
      <c r="F108" s="168"/>
      <c r="G108" s="168" t="e">
        <f>G107+4</f>
        <v>#N/A</v>
      </c>
      <c r="H108" s="168"/>
      <c r="I108" s="168"/>
      <c r="J108" s="168" t="e">
        <f>J107+4</f>
        <v>#N/A</v>
      </c>
      <c r="K108" s="168"/>
      <c r="L108" s="168"/>
      <c r="M108" s="443" t="e">
        <f>M107+4</f>
        <v>#N/A</v>
      </c>
    </row>
    <row r="109" spans="1:13" hidden="1" x14ac:dyDescent="0.3">
      <c r="A109" s="552"/>
      <c r="B109" s="168" t="s">
        <v>477</v>
      </c>
      <c r="C109" s="444"/>
      <c r="D109" s="444" t="e">
        <f>(($C$25-D108)^2)/(2*$C$25)</f>
        <v>#N/A</v>
      </c>
      <c r="E109" s="444"/>
      <c r="F109" s="444"/>
      <c r="G109" s="444" t="e">
        <f>(($C$25-G108)^2)/(2*$C$25)</f>
        <v>#N/A</v>
      </c>
      <c r="H109" s="444"/>
      <c r="I109" s="444"/>
      <c r="J109" s="444" t="e">
        <f>(($C$25-J108)^2)/(2*$C$25)</f>
        <v>#N/A</v>
      </c>
      <c r="K109" s="444"/>
      <c r="L109" s="444"/>
      <c r="M109" s="445" t="e">
        <f>(($C$25-M108)^2)/(2*$C$25)</f>
        <v>#N/A</v>
      </c>
    </row>
    <row r="110" spans="1:13" hidden="1" x14ac:dyDescent="0.3">
      <c r="A110" s="552"/>
      <c r="B110" s="168" t="s">
        <v>481</v>
      </c>
      <c r="C110" s="168"/>
      <c r="D110" s="168">
        <f>'Input sheet'!E17</f>
        <v>30</v>
      </c>
      <c r="E110" s="168"/>
      <c r="F110" s="168"/>
      <c r="G110" s="168">
        <f>'Input sheet'!Q17</f>
        <v>30</v>
      </c>
      <c r="H110" s="168"/>
      <c r="I110" s="168"/>
      <c r="J110" s="168">
        <f>'Input sheet'!O21</f>
        <v>59</v>
      </c>
      <c r="K110" s="168"/>
      <c r="L110" s="168"/>
      <c r="M110" s="443">
        <f>'Input sheet'!M6</f>
        <v>30</v>
      </c>
    </row>
    <row r="111" spans="1:13" hidden="1" x14ac:dyDescent="0.3">
      <c r="A111" s="552"/>
      <c r="B111" s="168" t="s">
        <v>483</v>
      </c>
      <c r="C111" s="168"/>
      <c r="D111" s="446" t="e">
        <f>D109*D110/3600</f>
        <v>#N/A</v>
      </c>
      <c r="E111" s="446"/>
      <c r="F111" s="446"/>
      <c r="G111" s="446" t="e">
        <f>G109*G110/3600</f>
        <v>#N/A</v>
      </c>
      <c r="H111" s="446"/>
      <c r="I111" s="446"/>
      <c r="J111" s="446" t="e">
        <f>J109*J110/3600</f>
        <v>#N/A</v>
      </c>
      <c r="K111" s="446"/>
      <c r="L111" s="446"/>
      <c r="M111" s="447" t="e">
        <f>M109*M110/3600</f>
        <v>#N/A</v>
      </c>
    </row>
    <row r="112" spans="1:13" hidden="1" x14ac:dyDescent="0.3">
      <c r="A112" s="552"/>
      <c r="B112" s="168" t="s">
        <v>482</v>
      </c>
      <c r="C112" s="168"/>
      <c r="D112" s="446" t="e">
        <f>D111+G111+J111+M111</f>
        <v>#N/A</v>
      </c>
      <c r="E112" s="446"/>
      <c r="F112" s="446"/>
      <c r="G112" s="446"/>
      <c r="H112" s="446"/>
      <c r="I112" s="446"/>
      <c r="J112" s="446"/>
      <c r="K112" s="446"/>
      <c r="L112" s="446"/>
      <c r="M112" s="447"/>
    </row>
    <row r="113" spans="1:58" s="436" customFormat="1" hidden="1" x14ac:dyDescent="0.3">
      <c r="A113" s="552"/>
      <c r="B113" s="168" t="s">
        <v>491</v>
      </c>
      <c r="C113" s="168"/>
      <c r="D113" s="449">
        <f>Phasing!P3</f>
        <v>0</v>
      </c>
      <c r="E113" s="449"/>
      <c r="F113" s="449"/>
      <c r="G113" s="449">
        <f>Phasing!R3</f>
        <v>0</v>
      </c>
      <c r="H113" s="449"/>
      <c r="I113" s="449"/>
      <c r="J113" s="449">
        <f>Phasing!T3</f>
        <v>0</v>
      </c>
      <c r="K113" s="449"/>
      <c r="L113" s="449"/>
      <c r="M113" s="450">
        <f>Phasing!V3</f>
        <v>0</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53"/>
      <c r="B114" s="337" t="s">
        <v>492</v>
      </c>
      <c r="C114" s="337"/>
      <c r="D114" s="452">
        <f>MAX(D113:M113)</f>
        <v>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51" t="s">
        <v>490</v>
      </c>
      <c r="B116" s="334" t="s">
        <v>73</v>
      </c>
      <c r="C116" s="334"/>
      <c r="D116" s="334" t="s">
        <v>14</v>
      </c>
      <c r="E116" s="334"/>
      <c r="F116" s="334"/>
      <c r="G116" s="334" t="s">
        <v>19</v>
      </c>
      <c r="H116" s="334"/>
      <c r="I116" s="334"/>
      <c r="J116" s="334" t="s">
        <v>4</v>
      </c>
      <c r="K116" s="334"/>
      <c r="L116" s="334"/>
      <c r="M116" s="442" t="s">
        <v>9</v>
      </c>
    </row>
    <row r="117" spans="1:58" hidden="1" x14ac:dyDescent="0.3">
      <c r="A117" s="552"/>
      <c r="B117" s="168" t="s">
        <v>485</v>
      </c>
      <c r="C117" s="168"/>
      <c r="D117" s="449" t="e">
        <f>2000*D38/$C$25</f>
        <v>#N/A</v>
      </c>
      <c r="E117" s="449"/>
      <c r="F117" s="449"/>
      <c r="G117" s="449" t="e">
        <f>2000*G38/$C$25</f>
        <v>#N/A</v>
      </c>
      <c r="H117" s="449"/>
      <c r="I117" s="449"/>
      <c r="J117" s="449" t="e">
        <f>2000*J38/$C$25</f>
        <v>#N/A</v>
      </c>
      <c r="K117" s="449"/>
      <c r="L117" s="449"/>
      <c r="M117" s="450" t="e">
        <f>2000*M38/$C$25</f>
        <v>#N/A</v>
      </c>
    </row>
    <row r="118" spans="1:58" s="436" customFormat="1" hidden="1" x14ac:dyDescent="0.3">
      <c r="A118" s="552"/>
      <c r="B118" s="168" t="s">
        <v>487</v>
      </c>
      <c r="C118" s="168"/>
      <c r="D118" s="449">
        <f>'Input sheet'!E18</f>
        <v>4</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52"/>
      <c r="B119" s="168" t="s">
        <v>488</v>
      </c>
      <c r="C119" s="168"/>
      <c r="D119" s="449" t="e">
        <f>D38</f>
        <v>#N/A</v>
      </c>
      <c r="E119" s="449"/>
      <c r="F119" s="449"/>
      <c r="G119" s="449" t="e">
        <f>G38</f>
        <v>#N/A</v>
      </c>
      <c r="H119" s="449"/>
      <c r="I119" s="449"/>
      <c r="J119" s="449" t="e">
        <f>J38</f>
        <v>#N/A</v>
      </c>
      <c r="K119" s="449"/>
      <c r="L119" s="449"/>
      <c r="M119" s="450" t="e">
        <f>M38</f>
        <v>#N/A</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52"/>
      <c r="B120" s="168" t="s">
        <v>486</v>
      </c>
      <c r="C120" s="168"/>
      <c r="D120" s="444" t="e">
        <f>(0.5*$C$25*(1-D119/$C$25)^2)/(1-(D118/D117)*(D119/$C$25))</f>
        <v>#N/A</v>
      </c>
      <c r="E120" s="444"/>
      <c r="F120" s="444"/>
      <c r="G120" s="444" t="e">
        <f>(0.5*$C$25*(1-G119/$C$25)^2)/(1-(G118/G117)*(G119/$C$25))</f>
        <v>#N/A</v>
      </c>
      <c r="H120" s="444"/>
      <c r="I120" s="444"/>
      <c r="J120" s="444" t="e">
        <f>(0.5*$C$25*(1-J119/$C$25)^2)/(1-(J118/J117)*(J119/$C$25))</f>
        <v>#N/A</v>
      </c>
      <c r="K120" s="444"/>
      <c r="L120" s="444"/>
      <c r="M120" s="445" t="e">
        <f>(0.5*$C$25*(1-M119/$C$25)^2)/(1-(M118/M117)*(M119/$C$25))</f>
        <v>#N/A</v>
      </c>
    </row>
    <row r="121" spans="1:58" hidden="1" x14ac:dyDescent="0.3">
      <c r="A121" s="553"/>
      <c r="B121" s="337" t="s">
        <v>489</v>
      </c>
      <c r="C121" s="337"/>
      <c r="D121" s="448" t="e">
        <f>(D118*D120+G118*G120+J118*J120+M118*M120)/3600</f>
        <v>#N/A</v>
      </c>
      <c r="E121" s="337"/>
      <c r="F121" s="337"/>
      <c r="G121" s="337"/>
      <c r="H121" s="337"/>
      <c r="I121" s="337"/>
      <c r="J121" s="337"/>
      <c r="K121" s="337"/>
      <c r="L121" s="337"/>
      <c r="M121" s="451"/>
    </row>
    <row r="122" spans="1:58" hidden="1" x14ac:dyDescent="0.3"/>
    <row r="123" spans="1:58" hidden="1" x14ac:dyDescent="0.3">
      <c r="A123" s="551" t="s">
        <v>501</v>
      </c>
      <c r="B123" s="334" t="s">
        <v>497</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499</v>
      </c>
    </row>
    <row r="124" spans="1:58" hidden="1" x14ac:dyDescent="0.3">
      <c r="A124" s="552"/>
      <c r="B124" s="168" t="s">
        <v>494</v>
      </c>
      <c r="C124" s="446">
        <f>(((100-'Input sheet'!$B$4)/100)*'Phase calculation'!C3*'Phase calculation'!C44*'Input sheet'!$B$2)/3600</f>
        <v>0</v>
      </c>
      <c r="D124" s="446">
        <f>(((100-'Input sheet'!$B$4)/100)*'Phase calculation'!D3*'Phase calculation'!D44*'Input sheet'!$B$2)/3600</f>
        <v>0</v>
      </c>
      <c r="E124" s="446">
        <f>(((100-'Input sheet'!$B$4)/100)*'Phase calculation'!E3*'Phase calculation'!E44*'Input sheet'!$B$2)/3600</f>
        <v>0</v>
      </c>
      <c r="F124" s="446">
        <f>(((100-'Input sheet'!$B$4)/100)*'Phase calculation'!F3*'Phase calculation'!F44*'Input sheet'!$B$2)/3600</f>
        <v>0</v>
      </c>
      <c r="G124" s="446">
        <f>(((100-'Input sheet'!$B$4)/100)*'Phase calculation'!G3*'Phase calculation'!G44*'Input sheet'!$B$2)/3600</f>
        <v>0</v>
      </c>
      <c r="H124" s="446">
        <f>(((100-'Input sheet'!$B$4)/100)*'Phase calculation'!H3*'Phase calculation'!H44*'Input sheet'!$B$2)/3600</f>
        <v>0</v>
      </c>
      <c r="I124" s="446">
        <f>(((100-'Input sheet'!$B$4)/100)*'Phase calculation'!I3*'Phase calculation'!I44*'Input sheet'!$B$2)/3600</f>
        <v>0</v>
      </c>
      <c r="J124" s="446">
        <f>(((100-'Input sheet'!$B$4)/100)*'Phase calculation'!J3*'Phase calculation'!J44*'Input sheet'!$B$2)/3600</f>
        <v>0</v>
      </c>
      <c r="K124" s="446">
        <f>(((100-'Input sheet'!$B$4)/100)*'Phase calculation'!K3*'Phase calculation'!K44*'Input sheet'!$B$2)/3600</f>
        <v>0</v>
      </c>
      <c r="L124" s="446">
        <f>(((100-'Input sheet'!$B$4)/100)*'Phase calculation'!L3*'Phase calculation'!L44*'Input sheet'!$B$2)/3600</f>
        <v>0</v>
      </c>
      <c r="M124" s="446">
        <f>(((100-'Input sheet'!$B$4)/100)*'Phase calculation'!M3*'Phase calculation'!M44*'Input sheet'!$B$2)/3600</f>
        <v>0</v>
      </c>
      <c r="N124" s="446">
        <f>(((100-'Input sheet'!$B$4)/100)*'Phase calculation'!N3*'Phase calculation'!N44*'Input sheet'!$B$2)/3600</f>
        <v>0</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0</v>
      </c>
    </row>
    <row r="125" spans="1:58" hidden="1" x14ac:dyDescent="0.3">
      <c r="A125" s="552"/>
      <c r="B125" s="168" t="s">
        <v>495</v>
      </c>
      <c r="C125" s="446">
        <f>(('Input sheet'!$B$4/100)*'Phase calculation'!C3*'Phase calculation'!C44*'Input sheet'!$B$3)/3600</f>
        <v>0</v>
      </c>
      <c r="D125" s="446">
        <f>(('Input sheet'!$B$4/100)*'Phase calculation'!D3*'Phase calculation'!D44*'Input sheet'!$B$3)/3600</f>
        <v>0</v>
      </c>
      <c r="E125" s="446">
        <f>(('Input sheet'!$B$4/100)*'Phase calculation'!E3*'Phase calculation'!E44*'Input sheet'!$B$3)/3600</f>
        <v>0</v>
      </c>
      <c r="F125" s="446">
        <f>(('Input sheet'!$B$4/100)*'Phase calculation'!F3*'Phase calculation'!F44*'Input sheet'!$B$3)/3600</f>
        <v>0</v>
      </c>
      <c r="G125" s="446">
        <f>(('Input sheet'!$B$4/100)*'Phase calculation'!G3*'Phase calculation'!G44*'Input sheet'!$B$3)/3600</f>
        <v>0</v>
      </c>
      <c r="H125" s="446">
        <f>(('Input sheet'!$B$4/100)*'Phase calculation'!H3*'Phase calculation'!H44*'Input sheet'!$B$3)/3600</f>
        <v>0</v>
      </c>
      <c r="I125" s="446">
        <f>(('Input sheet'!$B$4/100)*'Phase calculation'!I3*'Phase calculation'!I44*'Input sheet'!$B$3)/3600</f>
        <v>0</v>
      </c>
      <c r="J125" s="446">
        <f>(('Input sheet'!$B$4/100)*'Phase calculation'!J3*'Phase calculation'!J44*'Input sheet'!$B$3)/3600</f>
        <v>0</v>
      </c>
      <c r="K125" s="446">
        <f>(('Input sheet'!$B$4/100)*'Phase calculation'!K3*'Phase calculation'!K44*'Input sheet'!$B$3)/3600</f>
        <v>0</v>
      </c>
      <c r="L125" s="446">
        <f>(('Input sheet'!$B$4/100)*'Phase calculation'!L3*'Phase calculation'!L44*'Input sheet'!$B$3)/3600</f>
        <v>0</v>
      </c>
      <c r="M125" s="446">
        <f>(('Input sheet'!$B$4/100)*'Phase calculation'!M3*'Phase calculation'!M44*'Input sheet'!$B$3)/3600</f>
        <v>0</v>
      </c>
      <c r="N125" s="446">
        <f>(('Input sheet'!$B$4/100)*'Phase calculation'!N3*'Phase calculation'!N44*'Input sheet'!$B$3)/3600</f>
        <v>0</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2.8000000000000004E-2</v>
      </c>
      <c r="T125" s="446" t="e">
        <f>(('Input sheet'!$B$4/100)*'Phase calculation'!T3*'Phase calculation'!T44*'Input sheet'!$B$3)/3600</f>
        <v>#N/A</v>
      </c>
      <c r="U125" s="446">
        <f>(('Input sheet'!$B$4/100)*'Phase calculation'!U3*'Phase calculation'!U44*'Input sheet'!$B$3)/3600</f>
        <v>0</v>
      </c>
      <c r="V125" s="446" t="e">
        <f>(('Input sheet'!$B$4/100)*'Phase calculation'!V3*'Phase calculation'!V44*'Input sheet'!$B$3)/3600</f>
        <v>#N/A</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1.4000000000000002E-2</v>
      </c>
      <c r="AK125" s="446">
        <f>(('Input sheet'!$B$4/100)*'Phase calculation'!AK3*'Phase calculation'!AK44*'Input sheet'!$B$3)/3600</f>
        <v>0</v>
      </c>
      <c r="AL125" s="446">
        <f>(('Input sheet'!$B$4/100)*'Phase calculation'!AL3*'Phase calculation'!AL44*'Input sheet'!$B$3)/3600</f>
        <v>4.1999999999999996E-2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0</v>
      </c>
    </row>
    <row r="126" spans="1:58" hidden="1" x14ac:dyDescent="0.3">
      <c r="A126" s="552"/>
      <c r="B126" s="168" t="s">
        <v>54</v>
      </c>
      <c r="C126" s="168"/>
      <c r="D126" s="446" t="e">
        <f>D111*'Input sheet'!$B$2</f>
        <v>#N/A</v>
      </c>
      <c r="E126" s="168"/>
      <c r="F126" s="168"/>
      <c r="G126" s="446" t="e">
        <f>G111*'Input sheet'!$B$2</f>
        <v>#N/A</v>
      </c>
      <c r="H126" s="168"/>
      <c r="I126" s="168"/>
      <c r="J126" s="446" t="e">
        <f>J111*'Input sheet'!$B$2</f>
        <v>#N/A</v>
      </c>
      <c r="K126" s="168"/>
      <c r="L126" s="168"/>
      <c r="M126" s="446" t="e">
        <f>M111*'Input sheet'!$B$2</f>
        <v>#N/A</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t="e">
        <f>SUM(C126:N126)</f>
        <v>#N/A</v>
      </c>
    </row>
    <row r="127" spans="1:58" hidden="1" x14ac:dyDescent="0.3">
      <c r="A127" s="552"/>
      <c r="B127" s="168" t="s">
        <v>498</v>
      </c>
      <c r="C127" s="168"/>
      <c r="D127" s="446" t="e">
        <f>(D118*D120/3600)*'Input sheet'!$B$2</f>
        <v>#N/A</v>
      </c>
      <c r="E127" s="168"/>
      <c r="F127" s="168"/>
      <c r="G127" s="446" t="e">
        <f>(G118*G120/3600)*'Input sheet'!$B$2</f>
        <v>#N/A</v>
      </c>
      <c r="H127" s="168"/>
      <c r="I127" s="168"/>
      <c r="J127" s="446" t="e">
        <f>(J118*J120/3600)*'Input sheet'!$B$2</f>
        <v>#N/A</v>
      </c>
      <c r="K127" s="168"/>
      <c r="L127" s="168"/>
      <c r="M127" s="446" t="e">
        <f>(M118*M120/3600)*'Input sheet'!$B$2</f>
        <v>#N/A</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t="e">
        <f>SUM(C127:N127)</f>
        <v>#N/A</v>
      </c>
    </row>
    <row r="128" spans="1:58" hidden="1" x14ac:dyDescent="0.3">
      <c r="A128" s="553"/>
      <c r="B128" s="464" t="s">
        <v>500</v>
      </c>
      <c r="C128" s="465" t="e">
        <f>SUM(BF124:BF127)</f>
        <v>#N/A</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503</v>
      </c>
      <c r="D131" s="334" t="s">
        <v>504</v>
      </c>
      <c r="E131" s="334" t="s">
        <v>505</v>
      </c>
      <c r="F131" s="334" t="s">
        <v>506</v>
      </c>
      <c r="G131" s="442"/>
      <c r="BI131" s="436" t="s">
        <v>507</v>
      </c>
      <c r="BJ131" s="436" t="s">
        <v>508</v>
      </c>
      <c r="BK131" s="436" t="s">
        <v>509</v>
      </c>
    </row>
    <row r="132" spans="1:63" hidden="1" x14ac:dyDescent="0.3">
      <c r="B132" s="335" t="s">
        <v>502</v>
      </c>
      <c r="C132" s="168">
        <f>Phasing!P3</f>
        <v>0</v>
      </c>
      <c r="D132" s="168">
        <f>Phasing!R3</f>
        <v>0</v>
      </c>
      <c r="E132" s="168">
        <f>Phasing!T3</f>
        <v>0</v>
      </c>
      <c r="F132" s="168">
        <f>Phasing!V3</f>
        <v>0</v>
      </c>
      <c r="G132" s="443"/>
      <c r="BI132" s="436">
        <v>8</v>
      </c>
      <c r="BJ132" s="436" t="s">
        <v>513</v>
      </c>
      <c r="BK132" s="436">
        <v>300</v>
      </c>
    </row>
    <row r="133" spans="1:63" hidden="1" x14ac:dyDescent="0.3">
      <c r="B133" s="335" t="s">
        <v>42</v>
      </c>
      <c r="C133" s="168">
        <f>'Input sheet'!D13</f>
        <v>20</v>
      </c>
      <c r="D133" s="168">
        <f>'Input sheet'!P13</f>
        <v>20</v>
      </c>
      <c r="E133" s="168">
        <f>'Input sheet'!J24</f>
        <v>20</v>
      </c>
      <c r="F133" s="168">
        <f>'Input sheet'!J4</f>
        <v>20</v>
      </c>
      <c r="G133" s="443"/>
      <c r="BI133" s="436">
        <v>6</v>
      </c>
      <c r="BJ133" s="436" t="s">
        <v>512</v>
      </c>
      <c r="BK133" s="436">
        <v>350</v>
      </c>
    </row>
    <row r="134" spans="1:63" hidden="1" x14ac:dyDescent="0.3">
      <c r="B134" s="335" t="s">
        <v>514</v>
      </c>
      <c r="C134" s="168" t="e">
        <f>VLOOKUP(C133,#REF!,3)</f>
        <v>#REF!</v>
      </c>
      <c r="D134" s="168" t="e">
        <f>VLOOKUP(D133,#REF!,3)</f>
        <v>#REF!</v>
      </c>
      <c r="E134" s="168" t="e">
        <f>VLOOKUP(E133,#REF!,3)</f>
        <v>#REF!</v>
      </c>
      <c r="F134" s="168" t="e">
        <f>VLOOKUP(F133,#REF!,3)</f>
        <v>#REF!</v>
      </c>
      <c r="G134" s="443"/>
      <c r="BI134" s="436">
        <v>5</v>
      </c>
      <c r="BJ134" s="436" t="s">
        <v>511</v>
      </c>
      <c r="BK134" s="436">
        <v>660</v>
      </c>
    </row>
    <row r="135" spans="1:63" hidden="1" x14ac:dyDescent="0.3">
      <c r="B135" s="335" t="s">
        <v>509</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510</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517</v>
      </c>
      <c r="C137" s="168" t="e">
        <f>INDEX(#REF!,MATCH(C134,$BJ$132:$BJ$134,0))</f>
        <v>#REF!</v>
      </c>
      <c r="D137" s="168" t="e">
        <f>INDEX(#REF!,MATCH(D134,$BJ$132:$BJ$134,0))</f>
        <v>#REF!</v>
      </c>
      <c r="E137" s="168" t="e">
        <f>INDEX(#REF!,MATCH(E134,$BJ$132:$BJ$134,0))</f>
        <v>#REF!</v>
      </c>
      <c r="F137" s="168" t="e">
        <f>INDEX(#REF!,MATCH(F134,$BJ$132:$BJ$134,0))</f>
        <v>#REF!</v>
      </c>
      <c r="G137" s="468" t="s">
        <v>499</v>
      </c>
    </row>
    <row r="138" spans="1:63" hidden="1" x14ac:dyDescent="0.3">
      <c r="B138" s="335" t="s">
        <v>515</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516</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41" t="s">
        <v>525</v>
      </c>
      <c r="B142" s="334" t="s">
        <v>73</v>
      </c>
      <c r="C142" s="334"/>
      <c r="D142" s="334" t="s">
        <v>14</v>
      </c>
      <c r="E142" s="334"/>
      <c r="F142" s="334"/>
      <c r="G142" s="334" t="s">
        <v>19</v>
      </c>
      <c r="H142" s="334"/>
      <c r="I142" s="334"/>
      <c r="J142" s="334" t="s">
        <v>4</v>
      </c>
      <c r="K142" s="334"/>
      <c r="L142" s="334"/>
      <c r="M142" s="442" t="s">
        <v>9</v>
      </c>
    </row>
    <row r="143" spans="1:63" hidden="1" x14ac:dyDescent="0.3">
      <c r="A143" s="542"/>
      <c r="B143" s="168" t="s">
        <v>526</v>
      </c>
      <c r="C143" s="168"/>
      <c r="D143" s="449">
        <f>'Input sheet'!A15</f>
        <v>2</v>
      </c>
      <c r="E143" s="449"/>
      <c r="F143" s="449"/>
      <c r="G143" s="449">
        <f>'Input sheet'!R15</f>
        <v>2</v>
      </c>
      <c r="H143" s="449"/>
      <c r="I143" s="449"/>
      <c r="J143" s="449">
        <f>'Input sheet'!M26</f>
        <v>2</v>
      </c>
      <c r="K143" s="449"/>
      <c r="L143" s="449"/>
      <c r="M143" s="450">
        <f>'Input sheet'!M2</f>
        <v>2</v>
      </c>
    </row>
    <row r="144" spans="1:63" hidden="1" x14ac:dyDescent="0.3">
      <c r="A144" s="542"/>
      <c r="B144" s="168" t="s">
        <v>527</v>
      </c>
      <c r="C144" s="168"/>
      <c r="D144" s="449" t="e">
        <f>D38</f>
        <v>#N/A</v>
      </c>
      <c r="E144" s="449"/>
      <c r="F144" s="449"/>
      <c r="G144" s="449" t="e">
        <f>G38</f>
        <v>#N/A</v>
      </c>
      <c r="H144" s="449"/>
      <c r="I144" s="449"/>
      <c r="J144" s="449" t="e">
        <f>J38</f>
        <v>#N/A</v>
      </c>
      <c r="K144" s="449"/>
      <c r="L144" s="449"/>
      <c r="M144" s="450" t="e">
        <f>M38</f>
        <v>#N/A</v>
      </c>
    </row>
    <row r="145" spans="1:65" hidden="1" x14ac:dyDescent="0.3">
      <c r="A145" s="542"/>
      <c r="B145" s="168" t="s">
        <v>528</v>
      </c>
      <c r="C145" s="168"/>
      <c r="D145" s="444">
        <f>D44</f>
        <v>0</v>
      </c>
      <c r="E145" s="444"/>
      <c r="F145" s="444"/>
      <c r="G145" s="444">
        <f>G44</f>
        <v>0</v>
      </c>
      <c r="H145" s="444"/>
      <c r="I145" s="444"/>
      <c r="J145" s="444">
        <f>J44</f>
        <v>0</v>
      </c>
      <c r="K145" s="444"/>
      <c r="L145" s="444"/>
      <c r="M145" s="445">
        <f>M44</f>
        <v>0</v>
      </c>
    </row>
    <row r="146" spans="1:65" hidden="1" x14ac:dyDescent="0.3">
      <c r="A146" s="543"/>
      <c r="B146" s="337" t="s">
        <v>529</v>
      </c>
      <c r="C146" s="337"/>
      <c r="D146" s="448">
        <f>(D143*D145+G143*G145+J143*J145+M143*M145)/3600</f>
        <v>0</v>
      </c>
      <c r="E146" s="337"/>
      <c r="F146" s="337"/>
      <c r="G146" s="337"/>
      <c r="H146" s="337"/>
      <c r="I146" s="337"/>
      <c r="J146" s="337"/>
      <c r="K146" s="337"/>
      <c r="L146" s="337"/>
      <c r="M146" s="451"/>
    </row>
    <row r="147" spans="1:65" hidden="1" x14ac:dyDescent="0.3"/>
    <row r="149" spans="1:65" x14ac:dyDescent="0.3">
      <c r="B149" s="504" t="s">
        <v>629</v>
      </c>
      <c r="C149" s="504">
        <f>IF(C33=0,D33&amp;"2",C33)</f>
        <v>4</v>
      </c>
      <c r="D149" s="504">
        <f>D33</f>
        <v>4</v>
      </c>
      <c r="E149" s="504" t="str">
        <f>E33&amp;"1"</f>
        <v>41</v>
      </c>
      <c r="F149" s="504">
        <f>IF(F33=0,G33&amp;"2",F33)</f>
        <v>8</v>
      </c>
      <c r="G149" s="504">
        <f>G33</f>
        <v>8</v>
      </c>
      <c r="H149" s="504" t="str">
        <f>H33&amp;"1"</f>
        <v>81</v>
      </c>
      <c r="I149" s="504">
        <f>IF(I33=0,J33&amp;"2",I33)</f>
        <v>2</v>
      </c>
      <c r="J149" s="504">
        <f>J33</f>
        <v>2</v>
      </c>
      <c r="K149" s="504" t="str">
        <f>K33&amp;"1"</f>
        <v>21</v>
      </c>
      <c r="L149" s="504">
        <f>IF(L33=0,M33&amp;"2",L33)</f>
        <v>6</v>
      </c>
      <c r="M149" s="504">
        <f>M33</f>
        <v>6</v>
      </c>
      <c r="N149" s="504" t="str">
        <f>N33&amp;"1"</f>
        <v>61</v>
      </c>
      <c r="O149" s="504"/>
      <c r="P149" s="505"/>
      <c r="Q149" s="504"/>
      <c r="R149" s="504"/>
      <c r="S149" s="504"/>
      <c r="T149" s="504"/>
      <c r="U149" s="504"/>
      <c r="V149" s="504"/>
      <c r="W149" s="504"/>
      <c r="X149" s="504"/>
      <c r="Y149" s="504"/>
      <c r="Z149" s="504"/>
      <c r="AA149" s="504"/>
      <c r="AB149" s="504"/>
      <c r="AC149" s="504"/>
      <c r="AD149" s="504"/>
      <c r="AE149" s="506"/>
      <c r="AF149" s="506"/>
      <c r="AG149" s="506"/>
      <c r="AH149" s="506"/>
      <c r="AI149" s="506"/>
      <c r="AJ149" s="506"/>
      <c r="AK149" s="505"/>
      <c r="AL149" s="505"/>
      <c r="AM149" s="505"/>
      <c r="AN149" s="505"/>
      <c r="AO149" s="505"/>
      <c r="AP149" s="505"/>
      <c r="AQ149" s="505"/>
      <c r="AR149" s="505"/>
      <c r="AS149" s="505"/>
      <c r="AT149" s="505"/>
      <c r="AU149" s="505"/>
      <c r="AV149" s="505"/>
      <c r="AW149" s="504"/>
      <c r="AX149" s="504"/>
      <c r="AY149" s="504"/>
      <c r="AZ149" s="504"/>
      <c r="BA149" s="504"/>
      <c r="BB149" s="504"/>
      <c r="BC149" s="504"/>
      <c r="BD149" s="504"/>
      <c r="BE149" s="504"/>
      <c r="BF149" s="504"/>
      <c r="BG149" s="504"/>
      <c r="BH149" s="504"/>
      <c r="BI149" s="504"/>
      <c r="BJ149" s="504"/>
      <c r="BK149" s="504" t="s">
        <v>82</v>
      </c>
      <c r="BL149" s="504" t="s">
        <v>82</v>
      </c>
      <c r="BM149" s="504"/>
    </row>
    <row r="150" spans="1:65" x14ac:dyDescent="0.3">
      <c r="B150" s="504" t="s">
        <v>659</v>
      </c>
      <c r="C150" s="504">
        <f>IF(C33=0,D33,C33)</f>
        <v>4</v>
      </c>
      <c r="D150" s="504">
        <f>D33</f>
        <v>4</v>
      </c>
      <c r="E150" s="504">
        <f>E33</f>
        <v>4</v>
      </c>
      <c r="F150" s="504">
        <f>IF(F33=0,G33,F33)</f>
        <v>8</v>
      </c>
      <c r="G150" s="504">
        <f>G33</f>
        <v>8</v>
      </c>
      <c r="H150" s="504">
        <f>H33</f>
        <v>8</v>
      </c>
      <c r="I150" s="504">
        <f>IF(I33=0,J33,I33)</f>
        <v>2</v>
      </c>
      <c r="J150" s="504">
        <f>J33</f>
        <v>2</v>
      </c>
      <c r="K150" s="504">
        <f>K33</f>
        <v>2</v>
      </c>
      <c r="L150" s="504">
        <f>IF(L33=0,M33,L33)</f>
        <v>6</v>
      </c>
      <c r="M150" s="504">
        <f>M33</f>
        <v>6</v>
      </c>
      <c r="N150" s="504">
        <f>N33</f>
        <v>6</v>
      </c>
      <c r="O150" s="504"/>
      <c r="P150" s="505"/>
      <c r="Q150" s="504"/>
      <c r="R150" s="504"/>
      <c r="S150" s="504"/>
      <c r="T150" s="504"/>
      <c r="U150" s="504"/>
      <c r="V150" s="504"/>
      <c r="W150" s="504"/>
      <c r="X150" s="504"/>
      <c r="Y150" s="504"/>
      <c r="Z150" s="504"/>
      <c r="AA150" s="504"/>
      <c r="AB150" s="504"/>
      <c r="AC150" s="504"/>
      <c r="AD150" s="504"/>
      <c r="AE150" s="506"/>
      <c r="AF150" s="506"/>
      <c r="AG150" s="506"/>
      <c r="AH150" s="506"/>
      <c r="AI150" s="506"/>
      <c r="AJ150" s="506"/>
      <c r="AK150" s="505"/>
      <c r="AL150" s="505"/>
      <c r="AM150" s="505"/>
      <c r="AN150" s="505"/>
      <c r="AO150" s="505"/>
      <c r="AP150" s="505"/>
      <c r="AQ150" s="505"/>
      <c r="AR150" s="505"/>
      <c r="AS150" s="505"/>
      <c r="AT150" s="505"/>
      <c r="AU150" s="505"/>
      <c r="AV150" s="505"/>
      <c r="AW150" s="504"/>
      <c r="AX150" s="504"/>
      <c r="AY150" s="504"/>
      <c r="AZ150" s="504"/>
      <c r="BA150" s="504"/>
      <c r="BB150" s="504"/>
      <c r="BC150" s="504"/>
      <c r="BD150" s="504"/>
      <c r="BE150" s="504"/>
      <c r="BF150" s="504"/>
      <c r="BG150" s="504"/>
      <c r="BH150" s="504"/>
      <c r="BI150" s="504"/>
      <c r="BJ150" s="504"/>
      <c r="BK150" s="504" t="s">
        <v>83</v>
      </c>
      <c r="BL150" s="504" t="s">
        <v>660</v>
      </c>
      <c r="BM150" s="504"/>
    </row>
    <row r="151" spans="1:65" x14ac:dyDescent="0.3">
      <c r="B151" s="504" t="s">
        <v>661</v>
      </c>
      <c r="C151" s="504" t="str">
        <f>'Phase designation'!B23</f>
        <v>Permitted</v>
      </c>
      <c r="D151" s="504"/>
      <c r="E151" s="504"/>
      <c r="F151" s="504" t="str">
        <f>'Phase designation'!D23</f>
        <v>Permitted</v>
      </c>
      <c r="G151" s="504"/>
      <c r="H151" s="504"/>
      <c r="I151" s="504" t="str">
        <f>'Phase designation'!F23</f>
        <v>Permitted</v>
      </c>
      <c r="J151" s="504"/>
      <c r="K151" s="504"/>
      <c r="L151" s="504" t="str">
        <f>'Phase designation'!H23</f>
        <v>Permitted</v>
      </c>
      <c r="M151" s="504"/>
      <c r="N151" s="504"/>
      <c r="O151" s="504"/>
      <c r="P151" s="505"/>
      <c r="Q151" s="504"/>
      <c r="R151" s="504"/>
      <c r="S151" s="504"/>
      <c r="T151" s="504"/>
      <c r="U151" s="504"/>
      <c r="V151" s="504"/>
      <c r="W151" s="504"/>
      <c r="X151" s="504"/>
      <c r="Y151" s="504"/>
      <c r="Z151" s="504"/>
      <c r="AA151" s="504"/>
      <c r="AB151" s="504"/>
      <c r="AC151" s="504"/>
      <c r="AD151" s="504"/>
      <c r="AE151" s="506"/>
      <c r="AF151" s="506"/>
      <c r="AG151" s="506"/>
      <c r="AH151" s="506"/>
      <c r="AI151" s="506"/>
      <c r="AJ151" s="506"/>
      <c r="AK151" s="505"/>
      <c r="AL151" s="505"/>
      <c r="AM151" s="505"/>
      <c r="AN151" s="505"/>
      <c r="AO151" s="505"/>
      <c r="AP151" s="505"/>
      <c r="AQ151" s="505"/>
      <c r="AR151" s="505"/>
      <c r="AS151" s="505"/>
      <c r="AT151" s="505"/>
      <c r="AU151" s="505"/>
      <c r="AV151" s="505"/>
      <c r="AW151" s="504"/>
      <c r="AX151" s="504"/>
      <c r="AY151" s="504"/>
      <c r="AZ151" s="504"/>
      <c r="BA151" s="504"/>
      <c r="BB151" s="504"/>
      <c r="BC151" s="504"/>
      <c r="BD151" s="504"/>
      <c r="BE151" s="504"/>
      <c r="BF151" s="504"/>
      <c r="BG151" s="504"/>
      <c r="BH151" s="504"/>
      <c r="BI151" s="504"/>
      <c r="BJ151" s="504"/>
      <c r="BK151" s="504" t="s">
        <v>84</v>
      </c>
      <c r="BL151" s="504" t="s">
        <v>662</v>
      </c>
      <c r="BM151" s="504"/>
    </row>
    <row r="152" spans="1:65" x14ac:dyDescent="0.3">
      <c r="B152" s="504" t="s">
        <v>663</v>
      </c>
      <c r="C152" s="504" t="str">
        <f>IF(C150=0,"",INDEX($BL$149:$BL$151,MATCH(C151,$BK$149:$BK$151,0)))</f>
        <v>Permissive</v>
      </c>
      <c r="D152" s="504" t="str">
        <f>IF(D150=0,"","Protected")</f>
        <v>Protected</v>
      </c>
      <c r="E152" s="504" t="str">
        <f>IF(E150=0,"","RTOR")</f>
        <v>RTOR</v>
      </c>
      <c r="F152" s="504" t="str">
        <f>IF(F150=0,"",INDEX($BL$149:$BL$151,MATCH(F151,$BK$149:$BK$151,0)))</f>
        <v>Permissive</v>
      </c>
      <c r="G152" s="504" t="str">
        <f>IF(G150=0,"","Protected")</f>
        <v>Protected</v>
      </c>
      <c r="H152" s="504" t="str">
        <f>IF(H150=0,"","RTOR")</f>
        <v>RTOR</v>
      </c>
      <c r="I152" s="504" t="str">
        <f>IF(I150=0,"",INDEX($BL$149:$BL$151,MATCH(I151,$BK$149:$BK$151,0)))</f>
        <v>Permissive</v>
      </c>
      <c r="J152" s="504" t="str">
        <f>IF(J150=0,"","Protected")</f>
        <v>Protected</v>
      </c>
      <c r="K152" s="504" t="str">
        <f>IF(K150=0,"","RTOR")</f>
        <v>RTOR</v>
      </c>
      <c r="L152" s="504" t="str">
        <f>IF(L150=0,"",INDEX($BL$149:$BL$151,MATCH(L151,$BK$149:$BK$151,0)))</f>
        <v>Permissive</v>
      </c>
      <c r="M152" s="504" t="str">
        <f>IF(M150=0,"","Protected")</f>
        <v>Protected</v>
      </c>
      <c r="N152" s="504" t="str">
        <f>IF(N150=0,"","RTOR")</f>
        <v>RTOR</v>
      </c>
      <c r="O152" s="504"/>
      <c r="P152" s="505"/>
      <c r="Q152" s="504"/>
      <c r="R152" s="504"/>
      <c r="S152" s="504"/>
      <c r="T152" s="504"/>
      <c r="U152" s="504"/>
      <c r="V152" s="504"/>
      <c r="W152" s="504"/>
      <c r="X152" s="504"/>
      <c r="Y152" s="504"/>
      <c r="Z152" s="504"/>
      <c r="AA152" s="504"/>
      <c r="AB152" s="504"/>
      <c r="AC152" s="504"/>
      <c r="AD152" s="504"/>
      <c r="AE152" s="506"/>
      <c r="AF152" s="506"/>
      <c r="AG152" s="506"/>
      <c r="AH152" s="506"/>
      <c r="AI152" s="506"/>
      <c r="AJ152" s="506"/>
      <c r="AK152" s="505"/>
      <c r="AL152" s="505"/>
      <c r="AM152" s="505"/>
      <c r="AN152" s="505"/>
      <c r="AO152" s="505"/>
      <c r="AP152" s="505"/>
      <c r="AQ152" s="505"/>
      <c r="AR152" s="505"/>
      <c r="AS152" s="505"/>
      <c r="AT152" s="505"/>
      <c r="AU152" s="505"/>
      <c r="AV152" s="505"/>
      <c r="AW152" s="504"/>
      <c r="AX152" s="504"/>
      <c r="AY152" s="504"/>
      <c r="AZ152" s="504"/>
      <c r="BA152" s="504"/>
      <c r="BB152" s="504"/>
      <c r="BC152" s="504"/>
      <c r="BD152" s="504"/>
      <c r="BE152" s="504"/>
      <c r="BF152" s="504"/>
      <c r="BG152" s="504"/>
      <c r="BH152" s="504"/>
      <c r="BI152" s="504"/>
      <c r="BJ152" s="504"/>
      <c r="BK152" s="504"/>
      <c r="BL152" s="504"/>
      <c r="BM152" s="504"/>
    </row>
    <row r="153" spans="1:65" x14ac:dyDescent="0.3">
      <c r="B153" s="504"/>
      <c r="C153" s="504"/>
      <c r="D153" s="504"/>
      <c r="E153" s="504"/>
      <c r="F153" s="504"/>
      <c r="G153" s="504"/>
      <c r="H153" s="504"/>
      <c r="I153" s="504"/>
      <c r="J153" s="504"/>
      <c r="K153" s="504"/>
      <c r="L153" s="504"/>
      <c r="M153" s="504"/>
      <c r="N153" s="504"/>
      <c r="O153" s="504"/>
      <c r="P153" s="505"/>
      <c r="Q153" s="504"/>
      <c r="R153" s="504"/>
      <c r="S153" s="504"/>
      <c r="T153" s="504"/>
      <c r="U153" s="504"/>
      <c r="V153" s="504"/>
      <c r="W153" s="504"/>
      <c r="X153" s="504"/>
      <c r="Y153" s="504"/>
      <c r="Z153" s="504"/>
      <c r="AA153" s="504"/>
      <c r="AB153" s="504"/>
      <c r="AC153" s="504"/>
      <c r="AD153" s="504"/>
      <c r="AE153" s="506"/>
      <c r="AF153" s="506"/>
      <c r="AG153" s="506"/>
      <c r="AH153" s="506"/>
      <c r="AI153" s="506"/>
      <c r="AJ153" s="506"/>
      <c r="AK153" s="505"/>
      <c r="AL153" s="505"/>
      <c r="AM153" s="505"/>
      <c r="AN153" s="505"/>
      <c r="AO153" s="505"/>
      <c r="AP153" s="505"/>
      <c r="AQ153" s="505"/>
      <c r="AR153" s="505"/>
      <c r="AS153" s="505"/>
      <c r="AT153" s="505"/>
      <c r="AU153" s="505"/>
      <c r="AV153" s="505"/>
      <c r="AW153" s="504"/>
      <c r="AX153" s="504"/>
      <c r="AY153" s="504"/>
      <c r="AZ153" s="504"/>
      <c r="BA153" s="504"/>
      <c r="BB153" s="504"/>
      <c r="BC153" s="504"/>
      <c r="BD153" s="504"/>
      <c r="BE153" s="504"/>
      <c r="BF153" s="504"/>
      <c r="BG153" s="504"/>
      <c r="BH153" s="504"/>
      <c r="BI153" s="504"/>
      <c r="BJ153" s="504"/>
      <c r="BK153" s="504"/>
      <c r="BL153" s="504"/>
      <c r="BM153" s="504"/>
    </row>
    <row r="154" spans="1:65" x14ac:dyDescent="0.3">
      <c r="B154" s="504" t="s">
        <v>664</v>
      </c>
      <c r="C154" s="504"/>
      <c r="D154" s="504"/>
      <c r="E154" s="504"/>
      <c r="F154" s="504"/>
      <c r="G154" s="504"/>
      <c r="H154" s="504"/>
      <c r="I154" s="504"/>
      <c r="J154" s="504"/>
      <c r="K154" s="504"/>
      <c r="L154" s="504"/>
      <c r="M154" s="504"/>
      <c r="N154" s="504"/>
      <c r="O154" s="504"/>
      <c r="P154" s="505"/>
      <c r="Q154" s="504"/>
      <c r="R154" s="504"/>
      <c r="S154" s="504"/>
      <c r="T154" s="504"/>
      <c r="U154" s="504"/>
      <c r="V154" s="504"/>
      <c r="W154" s="504"/>
      <c r="X154" s="504"/>
      <c r="Y154" s="504"/>
      <c r="Z154" s="504"/>
      <c r="AA154" s="504"/>
      <c r="AB154" s="504"/>
      <c r="AC154" s="504"/>
      <c r="AD154" s="504"/>
      <c r="AE154" s="506"/>
      <c r="AF154" s="506"/>
      <c r="AG154" s="506"/>
      <c r="AH154" s="506"/>
      <c r="AI154" s="506"/>
      <c r="AJ154" s="506"/>
      <c r="AK154" s="505"/>
      <c r="AL154" s="505"/>
      <c r="AM154" s="505"/>
      <c r="AN154" s="505"/>
      <c r="AO154" s="505"/>
      <c r="AP154" s="505"/>
      <c r="AQ154" s="505"/>
      <c r="AR154" s="505"/>
      <c r="AS154" s="505"/>
      <c r="AT154" s="505"/>
      <c r="AU154" s="505"/>
      <c r="AV154" s="505"/>
      <c r="AW154" s="504"/>
      <c r="AX154" s="504"/>
      <c r="AY154" s="504"/>
      <c r="AZ154" s="504"/>
      <c r="BA154" s="504"/>
      <c r="BB154" s="504"/>
      <c r="BC154" s="504"/>
      <c r="BD154" s="504"/>
      <c r="BE154" s="504"/>
      <c r="BF154" s="504"/>
      <c r="BG154" s="504"/>
      <c r="BH154" s="504"/>
      <c r="BI154" s="504"/>
      <c r="BJ154" s="504"/>
      <c r="BK154" s="504"/>
      <c r="BL154" s="504"/>
      <c r="BM154" s="504"/>
    </row>
    <row r="155" spans="1:65" x14ac:dyDescent="0.3">
      <c r="B155" s="345" t="s">
        <v>561</v>
      </c>
      <c r="C155" s="504" t="str">
        <f>IF(C150=0,"",Sheet1!$B$2)</f>
        <v>Street 1 &amp; Street 2</v>
      </c>
      <c r="D155" s="504" t="str">
        <f>IF(D150=0,"",Sheet1!$B$2)</f>
        <v>Street 1 &amp; Street 2</v>
      </c>
      <c r="E155" s="504" t="str">
        <f>IF(E150=0,"",Sheet1!$B$2)</f>
        <v>Street 1 &amp; Street 2</v>
      </c>
      <c r="F155" s="504" t="str">
        <f>IF(F150=0,"",Sheet1!$B$2)</f>
        <v>Street 1 &amp; Street 2</v>
      </c>
      <c r="G155" s="504" t="str">
        <f>IF(G150=0,"",Sheet1!$B$2)</f>
        <v>Street 1 &amp; Street 2</v>
      </c>
      <c r="H155" s="504" t="str">
        <f>IF(H150=0,"",Sheet1!$B$2)</f>
        <v>Street 1 &amp; Street 2</v>
      </c>
      <c r="I155" s="504" t="str">
        <f>IF(I150=0,"",Sheet1!$B$2)</f>
        <v>Street 1 &amp; Street 2</v>
      </c>
      <c r="J155" s="504" t="str">
        <f>IF(J150=0,"",Sheet1!$B$2)</f>
        <v>Street 1 &amp; Street 2</v>
      </c>
      <c r="K155" s="504" t="str">
        <f>IF(K150=0,"",Sheet1!$B$2)</f>
        <v>Street 1 &amp; Street 2</v>
      </c>
      <c r="L155" s="504" t="str">
        <f>IF(L150=0,"",Sheet1!$B$2)</f>
        <v>Street 1 &amp; Street 2</v>
      </c>
      <c r="M155" s="504" t="str">
        <f>IF(M150=0,"",Sheet1!$B$2)</f>
        <v>Street 1 &amp; Street 2</v>
      </c>
      <c r="N155" s="504" t="str">
        <f>IF(N150=0,"",Sheet1!$B$2)</f>
        <v>Street 1 &amp; Street 2</v>
      </c>
      <c r="O155" s="504"/>
      <c r="P155" s="505"/>
      <c r="Q155" s="504"/>
      <c r="R155" s="504"/>
      <c r="S155" s="504"/>
      <c r="T155" s="504"/>
      <c r="U155" s="504"/>
      <c r="V155" s="504"/>
      <c r="W155" s="504"/>
      <c r="X155" s="504"/>
      <c r="Y155" s="504"/>
      <c r="Z155" s="504"/>
      <c r="AA155" s="504"/>
      <c r="AB155" s="504"/>
      <c r="AC155" s="504"/>
      <c r="AD155" s="504"/>
      <c r="AE155" s="506"/>
      <c r="AF155" s="506"/>
      <c r="AG155" s="506"/>
      <c r="AH155" s="506"/>
      <c r="AI155" s="506"/>
      <c r="AJ155" s="506"/>
      <c r="AK155" s="505"/>
      <c r="AL155" s="505"/>
      <c r="AM155" s="505"/>
      <c r="AN155" s="505"/>
      <c r="AO155" s="505"/>
      <c r="AP155" s="505"/>
      <c r="AQ155" s="505"/>
      <c r="AR155" s="505"/>
      <c r="AS155" s="505"/>
      <c r="AT155" s="505"/>
      <c r="AU155" s="505"/>
      <c r="AV155" s="505"/>
      <c r="AW155" s="504"/>
      <c r="AX155" s="504"/>
      <c r="AY155" s="504"/>
      <c r="AZ155" s="504"/>
      <c r="BA155" s="504"/>
      <c r="BB155" s="504"/>
      <c r="BC155" s="504"/>
      <c r="BD155" s="504"/>
      <c r="BE155" s="504"/>
      <c r="BF155" s="504"/>
      <c r="BG155" s="504"/>
      <c r="BH155" s="504"/>
      <c r="BI155" s="504"/>
      <c r="BJ155" s="504"/>
      <c r="BK155" s="504"/>
      <c r="BL155" s="504"/>
      <c r="BM155" s="504"/>
    </row>
    <row r="156" spans="1:65" x14ac:dyDescent="0.3">
      <c r="B156" s="345" t="s">
        <v>597</v>
      </c>
      <c r="C156" s="504">
        <f>IF(C150=0,"",C149)</f>
        <v>4</v>
      </c>
      <c r="D156" s="504">
        <f t="shared" ref="D156:N156" si="27">IF(D150=0,"",D149)</f>
        <v>4</v>
      </c>
      <c r="E156" s="504" t="str">
        <f t="shared" si="27"/>
        <v>41</v>
      </c>
      <c r="F156" s="504">
        <f t="shared" si="27"/>
        <v>8</v>
      </c>
      <c r="G156" s="504">
        <f t="shared" si="27"/>
        <v>8</v>
      </c>
      <c r="H156" s="504" t="str">
        <f t="shared" si="27"/>
        <v>81</v>
      </c>
      <c r="I156" s="504">
        <f t="shared" si="27"/>
        <v>2</v>
      </c>
      <c r="J156" s="504">
        <f t="shared" si="27"/>
        <v>2</v>
      </c>
      <c r="K156" s="504" t="str">
        <f t="shared" si="27"/>
        <v>21</v>
      </c>
      <c r="L156" s="504">
        <f t="shared" si="27"/>
        <v>6</v>
      </c>
      <c r="M156" s="504">
        <f t="shared" si="27"/>
        <v>6</v>
      </c>
      <c r="N156" s="504" t="str">
        <f t="shared" si="27"/>
        <v>61</v>
      </c>
      <c r="O156" s="504"/>
      <c r="P156" s="505"/>
      <c r="Q156" s="504"/>
      <c r="R156" s="504"/>
      <c r="S156" s="504"/>
      <c r="T156" s="504"/>
      <c r="U156" s="504"/>
      <c r="V156" s="504"/>
      <c r="W156" s="504"/>
      <c r="X156" s="504"/>
      <c r="Y156" s="504"/>
      <c r="Z156" s="504"/>
      <c r="AA156" s="504"/>
      <c r="AB156" s="504"/>
      <c r="AC156" s="504"/>
      <c r="AD156" s="504"/>
      <c r="AE156" s="506"/>
      <c r="AF156" s="506"/>
      <c r="AG156" s="506"/>
      <c r="AH156" s="506"/>
      <c r="AI156" s="506"/>
      <c r="AJ156" s="506"/>
      <c r="AK156" s="505"/>
      <c r="AL156" s="505"/>
      <c r="AM156" s="505"/>
      <c r="AN156" s="505"/>
      <c r="AO156" s="505"/>
      <c r="AP156" s="505"/>
      <c r="AQ156" s="505"/>
      <c r="AR156" s="505"/>
      <c r="AS156" s="505"/>
      <c r="AT156" s="505"/>
      <c r="AU156" s="505"/>
      <c r="AV156" s="505"/>
      <c r="AW156" s="504"/>
      <c r="AX156" s="504"/>
      <c r="AY156" s="504"/>
      <c r="AZ156" s="504"/>
      <c r="BA156" s="504"/>
      <c r="BB156" s="504"/>
      <c r="BC156" s="504"/>
      <c r="BD156" s="504"/>
      <c r="BE156" s="504"/>
      <c r="BF156" s="504"/>
      <c r="BG156" s="504"/>
      <c r="BH156" s="504"/>
      <c r="BI156" s="504"/>
      <c r="BJ156" s="504"/>
      <c r="BK156" s="504"/>
      <c r="BL156" s="504"/>
      <c r="BM156" s="504"/>
    </row>
    <row r="157" spans="1:65" x14ac:dyDescent="0.3">
      <c r="B157" s="345" t="s">
        <v>598</v>
      </c>
      <c r="C157" s="504"/>
      <c r="D157" s="504"/>
      <c r="E157" s="504"/>
      <c r="F157" s="504"/>
      <c r="G157" s="504"/>
      <c r="H157" s="504"/>
      <c r="I157" s="504"/>
      <c r="J157" s="504"/>
      <c r="K157" s="504"/>
      <c r="L157" s="504"/>
      <c r="M157" s="504"/>
      <c r="N157" s="504"/>
      <c r="O157" s="504"/>
      <c r="P157" s="505"/>
      <c r="Q157" s="504"/>
      <c r="R157" s="504"/>
      <c r="S157" s="504"/>
      <c r="T157" s="504"/>
      <c r="U157" s="504"/>
      <c r="V157" s="504"/>
      <c r="W157" s="504"/>
      <c r="X157" s="504"/>
      <c r="Y157" s="504"/>
      <c r="Z157" s="504"/>
      <c r="AA157" s="504"/>
      <c r="AB157" s="504"/>
      <c r="AC157" s="504"/>
      <c r="AD157" s="504"/>
      <c r="AE157" s="506"/>
      <c r="AF157" s="506"/>
      <c r="AG157" s="506"/>
      <c r="AH157" s="506"/>
      <c r="AI157" s="506"/>
      <c r="AJ157" s="506"/>
      <c r="AK157" s="505"/>
      <c r="AL157" s="505"/>
      <c r="AM157" s="505"/>
      <c r="AN157" s="505"/>
      <c r="AO157" s="505"/>
      <c r="AP157" s="505"/>
      <c r="AQ157" s="505"/>
      <c r="AR157" s="505"/>
      <c r="AS157" s="505"/>
      <c r="AT157" s="505"/>
      <c r="AU157" s="505"/>
      <c r="AV157" s="505"/>
      <c r="AW157" s="504"/>
      <c r="AX157" s="504"/>
      <c r="AY157" s="504"/>
      <c r="AZ157" s="504"/>
      <c r="BA157" s="504"/>
      <c r="BB157" s="504"/>
      <c r="BC157" s="504"/>
      <c r="BD157" s="504"/>
      <c r="BE157" s="504"/>
      <c r="BF157" s="504"/>
      <c r="BG157" s="504"/>
      <c r="BH157" s="504"/>
      <c r="BI157" s="504"/>
      <c r="BJ157" s="504"/>
      <c r="BK157" s="504"/>
      <c r="BL157" s="504"/>
      <c r="BM157" s="504"/>
    </row>
    <row r="158" spans="1:65" x14ac:dyDescent="0.3">
      <c r="B158" s="345" t="s">
        <v>599</v>
      </c>
      <c r="C158" s="504">
        <f>IF(C150=0,"",C150)</f>
        <v>4</v>
      </c>
      <c r="D158" s="504">
        <f t="shared" ref="D158:N158" si="28">IF(D150=0,"",D150)</f>
        <v>4</v>
      </c>
      <c r="E158" s="504">
        <f t="shared" si="28"/>
        <v>4</v>
      </c>
      <c r="F158" s="504">
        <f t="shared" si="28"/>
        <v>8</v>
      </c>
      <c r="G158" s="504">
        <f t="shared" si="28"/>
        <v>8</v>
      </c>
      <c r="H158" s="504">
        <f t="shared" si="28"/>
        <v>8</v>
      </c>
      <c r="I158" s="504">
        <f t="shared" si="28"/>
        <v>2</v>
      </c>
      <c r="J158" s="504">
        <f t="shared" si="28"/>
        <v>2</v>
      </c>
      <c r="K158" s="504">
        <f t="shared" si="28"/>
        <v>2</v>
      </c>
      <c r="L158" s="504">
        <f t="shared" si="28"/>
        <v>6</v>
      </c>
      <c r="M158" s="504">
        <f t="shared" si="28"/>
        <v>6</v>
      </c>
      <c r="N158" s="504">
        <f t="shared" si="28"/>
        <v>6</v>
      </c>
      <c r="O158" s="504"/>
      <c r="P158" s="505"/>
      <c r="Q158" s="504"/>
      <c r="R158" s="504"/>
      <c r="S158" s="504"/>
      <c r="T158" s="504"/>
      <c r="U158" s="504"/>
      <c r="V158" s="504"/>
      <c r="W158" s="504"/>
      <c r="X158" s="504"/>
      <c r="Y158" s="504"/>
      <c r="Z158" s="504"/>
      <c r="AA158" s="504"/>
      <c r="AB158" s="504"/>
      <c r="AC158" s="504"/>
      <c r="AD158" s="504"/>
      <c r="AE158" s="506"/>
      <c r="AF158" s="506"/>
      <c r="AG158" s="506"/>
      <c r="AH158" s="506"/>
      <c r="AI158" s="506"/>
      <c r="AJ158" s="506"/>
      <c r="AK158" s="505"/>
      <c r="AL158" s="505"/>
      <c r="AM158" s="505"/>
      <c r="AN158" s="505"/>
      <c r="AO158" s="505"/>
      <c r="AP158" s="505"/>
      <c r="AQ158" s="505"/>
      <c r="AR158" s="505"/>
      <c r="AS158" s="505"/>
      <c r="AT158" s="505"/>
      <c r="AU158" s="505"/>
      <c r="AV158" s="505"/>
      <c r="AW158" s="504"/>
      <c r="AX158" s="504"/>
      <c r="AY158" s="504"/>
      <c r="AZ158" s="504"/>
      <c r="BA158" s="504"/>
      <c r="BB158" s="504"/>
      <c r="BC158" s="504"/>
      <c r="BD158" s="504"/>
      <c r="BE158" s="504"/>
      <c r="BF158" s="504"/>
      <c r="BG158" s="504"/>
      <c r="BH158" s="504"/>
      <c r="BI158" s="504"/>
      <c r="BJ158" s="504"/>
      <c r="BK158" s="504"/>
      <c r="BL158" s="504"/>
      <c r="BM158" s="504"/>
    </row>
    <row r="159" spans="1:65" x14ac:dyDescent="0.3">
      <c r="B159" s="345" t="s">
        <v>600</v>
      </c>
      <c r="C159" s="504" t="str">
        <f>C152</f>
        <v>Permissive</v>
      </c>
      <c r="D159" s="504" t="str">
        <f t="shared" ref="D159:N159" si="29">D152</f>
        <v>Protected</v>
      </c>
      <c r="E159" s="504" t="str">
        <f t="shared" si="29"/>
        <v>RTOR</v>
      </c>
      <c r="F159" s="504" t="str">
        <f t="shared" si="29"/>
        <v>Permissive</v>
      </c>
      <c r="G159" s="504" t="str">
        <f t="shared" si="29"/>
        <v>Protected</v>
      </c>
      <c r="H159" s="504" t="str">
        <f t="shared" si="29"/>
        <v>RTOR</v>
      </c>
      <c r="I159" s="504" t="str">
        <f t="shared" si="29"/>
        <v>Permissive</v>
      </c>
      <c r="J159" s="504" t="str">
        <f t="shared" si="29"/>
        <v>Protected</v>
      </c>
      <c r="K159" s="504" t="str">
        <f t="shared" si="29"/>
        <v>RTOR</v>
      </c>
      <c r="L159" s="504" t="str">
        <f t="shared" si="29"/>
        <v>Permissive</v>
      </c>
      <c r="M159" s="504" t="str">
        <f t="shared" si="29"/>
        <v>Protected</v>
      </c>
      <c r="N159" s="504" t="str">
        <f t="shared" si="29"/>
        <v>RTOR</v>
      </c>
      <c r="O159" s="504"/>
      <c r="P159" s="505"/>
      <c r="Q159" s="504"/>
      <c r="R159" s="504"/>
      <c r="S159" s="504"/>
      <c r="T159" s="504"/>
      <c r="U159" s="504"/>
      <c r="V159" s="504"/>
      <c r="W159" s="504"/>
      <c r="X159" s="504"/>
      <c r="Y159" s="504"/>
      <c r="Z159" s="504"/>
      <c r="AA159" s="504"/>
      <c r="AB159" s="504"/>
      <c r="AC159" s="504"/>
      <c r="AD159" s="504"/>
      <c r="AE159" s="506"/>
      <c r="AF159" s="506"/>
      <c r="AG159" s="506"/>
      <c r="AH159" s="506"/>
      <c r="AI159" s="506"/>
      <c r="AJ159" s="506"/>
      <c r="AK159" s="505"/>
      <c r="AL159" s="505"/>
      <c r="AM159" s="505"/>
      <c r="AN159" s="505"/>
      <c r="AO159" s="505"/>
      <c r="AP159" s="505"/>
      <c r="AQ159" s="505"/>
      <c r="AR159" s="505"/>
      <c r="AS159" s="505"/>
      <c r="AT159" s="505"/>
      <c r="AU159" s="505"/>
      <c r="AV159" s="505"/>
      <c r="AW159" s="504"/>
      <c r="AX159" s="504"/>
      <c r="AY159" s="504"/>
      <c r="AZ159" s="504"/>
      <c r="BA159" s="504"/>
      <c r="BB159" s="504"/>
      <c r="BC159" s="504"/>
      <c r="BD159" s="504"/>
      <c r="BE159" s="504"/>
      <c r="BF159" s="504"/>
      <c r="BG159" s="504"/>
      <c r="BH159" s="504"/>
      <c r="BI159" s="504"/>
      <c r="BJ159" s="504"/>
      <c r="BK159" s="504"/>
      <c r="BL159" s="504"/>
      <c r="BM159" s="504"/>
    </row>
    <row r="160" spans="1:65" x14ac:dyDescent="0.3">
      <c r="B160" s="345" t="s">
        <v>601</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504"/>
      <c r="P160" s="505"/>
      <c r="Q160" s="504"/>
      <c r="R160" s="504"/>
      <c r="S160" s="504"/>
      <c r="T160" s="504"/>
      <c r="U160" s="504"/>
      <c r="V160" s="504"/>
      <c r="W160" s="504"/>
      <c r="X160" s="504"/>
      <c r="Y160" s="504"/>
      <c r="Z160" s="504"/>
      <c r="AA160" s="504"/>
      <c r="AB160" s="504"/>
      <c r="AC160" s="504"/>
      <c r="AD160" s="504"/>
      <c r="AE160" s="506"/>
      <c r="AF160" s="506"/>
      <c r="AG160" s="506"/>
      <c r="AH160" s="506"/>
      <c r="AI160" s="506"/>
      <c r="AJ160" s="506"/>
      <c r="AK160" s="505"/>
      <c r="AL160" s="505"/>
      <c r="AM160" s="505"/>
      <c r="AN160" s="505"/>
      <c r="AO160" s="505"/>
      <c r="AP160" s="505"/>
      <c r="AQ160" s="505"/>
      <c r="AR160" s="505"/>
      <c r="AS160" s="505"/>
      <c r="AT160" s="505"/>
      <c r="AU160" s="505"/>
      <c r="AV160" s="505"/>
      <c r="AW160" s="504"/>
      <c r="AX160" s="504"/>
      <c r="AY160" s="504"/>
      <c r="AZ160" s="504"/>
      <c r="BA160" s="504"/>
      <c r="BB160" s="504"/>
      <c r="BC160" s="504"/>
      <c r="BD160" s="504"/>
      <c r="BE160" s="504"/>
      <c r="BF160" s="504"/>
      <c r="BG160" s="504"/>
      <c r="BH160" s="504"/>
      <c r="BI160" s="504"/>
      <c r="BJ160" s="504"/>
      <c r="BK160" s="504"/>
      <c r="BL160" s="504"/>
      <c r="BM160" s="504"/>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19" t="s">
        <v>116</v>
      </c>
      <c r="E3" s="519"/>
      <c r="F3" s="519"/>
      <c r="G3" s="519"/>
      <c r="H3" s="519"/>
      <c r="I3" s="519"/>
      <c r="J3" s="519"/>
      <c r="K3" s="519"/>
      <c r="L3" s="519" t="s">
        <v>117</v>
      </c>
      <c r="M3" s="519"/>
      <c r="N3" s="519"/>
    </row>
    <row r="4" spans="1:14" x14ac:dyDescent="0.3">
      <c r="D4" s="519" t="s">
        <v>118</v>
      </c>
      <c r="E4" s="519"/>
      <c r="F4" s="519"/>
      <c r="G4" s="519"/>
      <c r="H4" s="519"/>
      <c r="I4" s="519"/>
      <c r="J4" s="519"/>
      <c r="K4" s="519"/>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19" t="s">
        <v>121</v>
      </c>
      <c r="E6" s="519"/>
      <c r="F6" s="519"/>
      <c r="G6" s="519"/>
      <c r="H6" s="519"/>
      <c r="I6" s="519"/>
      <c r="J6" s="519"/>
      <c r="K6" s="519"/>
    </row>
    <row r="7" spans="1:14" x14ac:dyDescent="0.3">
      <c r="A7" s="514" t="s">
        <v>133</v>
      </c>
      <c r="B7" s="65">
        <v>0</v>
      </c>
      <c r="C7" s="65">
        <v>5</v>
      </c>
      <c r="D7" s="65">
        <v>5</v>
      </c>
      <c r="E7" s="65">
        <v>5</v>
      </c>
      <c r="F7" s="65">
        <v>5</v>
      </c>
      <c r="G7" s="65">
        <v>5</v>
      </c>
      <c r="H7" s="65">
        <v>5</v>
      </c>
      <c r="I7" s="65">
        <v>5</v>
      </c>
      <c r="J7" s="65">
        <v>5</v>
      </c>
      <c r="K7" s="65">
        <v>5</v>
      </c>
      <c r="L7" s="65">
        <v>5</v>
      </c>
      <c r="M7" s="65">
        <v>5</v>
      </c>
      <c r="N7" s="65">
        <v>5</v>
      </c>
    </row>
    <row r="8" spans="1:14" x14ac:dyDescent="0.3">
      <c r="A8" s="514"/>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F32"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t="e">
        <f>'Phase calculation'!C83</f>
        <v>#N/A</v>
      </c>
      <c r="E3" s="213" t="e">
        <f>'Phase calculation'!D83</f>
        <v>#N/A</v>
      </c>
      <c r="F3" s="213" t="e">
        <f>'Phase calculation'!E83</f>
        <v>#N/A</v>
      </c>
      <c r="G3" s="213" t="e">
        <f>'Phase calculation'!F83</f>
        <v>#N/A</v>
      </c>
      <c r="H3" s="200" t="e">
        <f>'Phase calculation'!C84</f>
        <v>#N/A</v>
      </c>
      <c r="I3" s="213" t="e">
        <f>'Phase calculation'!D84</f>
        <v>#N/A</v>
      </c>
      <c r="J3" s="213" t="e">
        <f>'Phase calculation'!E84</f>
        <v>#N/A</v>
      </c>
      <c r="K3" s="213" t="e">
        <f>'Phase calculation'!F84</f>
        <v>#N/A</v>
      </c>
      <c r="N3" s="200" t="s">
        <v>279</v>
      </c>
      <c r="P3" s="200">
        <f>IF('Summary sheet'!U15=0,0,MAX(30,12*'Summary sheet'!U15+12))</f>
        <v>0</v>
      </c>
      <c r="R3" s="200">
        <f>IF('Summary sheet'!AA15=0,0,MAX(30,12*'Summary sheet'!AA15+12))</f>
        <v>0</v>
      </c>
      <c r="T3" s="200">
        <f>IF('Summary sheet'!Z17=0,0,MAX(30,12*'Summary sheet'!Z17+12))</f>
        <v>0</v>
      </c>
      <c r="V3" s="200">
        <f>IF('Summary sheet'!Z4=0,0,MAX(30,12*'Summary sheet'!Z4+12))</f>
        <v>0</v>
      </c>
    </row>
    <row r="4" spans="2:27" x14ac:dyDescent="0.3">
      <c r="B4" s="200" t="s">
        <v>73</v>
      </c>
      <c r="D4" s="200" t="str">
        <f>'Phase designation'!K41</f>
        <v/>
      </c>
      <c r="E4" s="200" t="str">
        <f>'Phase designation'!L41</f>
        <v>NBT</v>
      </c>
      <c r="F4" s="200" t="str">
        <f>'Phase designation'!M41</f>
        <v/>
      </c>
      <c r="G4" s="200" t="str">
        <f>'Phase designation'!N41</f>
        <v>EBT</v>
      </c>
      <c r="H4" s="200" t="str">
        <f>'Phase designation'!K42</f>
        <v/>
      </c>
      <c r="I4" s="200" t="str">
        <f>'Phase designation'!L42</f>
        <v>SBT</v>
      </c>
      <c r="J4" s="200" t="str">
        <f>'Phase designation'!M42</f>
        <v/>
      </c>
      <c r="K4" s="200" t="str">
        <f>'Phase designation'!N42</f>
        <v>WBT</v>
      </c>
      <c r="N4" s="204" t="s">
        <v>294</v>
      </c>
      <c r="P4" s="200">
        <f>MAX(Sheet1!N11:P11)</f>
        <v>20</v>
      </c>
      <c r="R4" s="200">
        <f>MAX(Sheet1!S11:U11)</f>
        <v>20</v>
      </c>
      <c r="T4" s="200">
        <f>MAX(Sheet1!C11:F11,Sheet1!W11:AB11)</f>
        <v>20</v>
      </c>
      <c r="V4" s="200">
        <f>MAX(Sheet1!I11:K11,Sheet1!AC11:AH11)</f>
        <v>20</v>
      </c>
    </row>
    <row r="5" spans="2:27" s="210" customFormat="1" x14ac:dyDescent="0.3">
      <c r="B5" s="210" t="s">
        <v>42</v>
      </c>
      <c r="E5" s="210">
        <f>IF(E4="",0,INDEX($O$6:$V$6,1,E6))</f>
        <v>25</v>
      </c>
      <c r="G5" s="210">
        <f>IF(G4="",0,INDEX($O$6:$V$6,1,G6))</f>
        <v>25</v>
      </c>
      <c r="I5" s="210">
        <f>IF(I4="",0,INDEX($O$6:$V$6,1,I6))</f>
        <v>25</v>
      </c>
      <c r="K5" s="210">
        <f>IF(K4="",0,INDEX($O$6:$V$6,1,K6))</f>
        <v>25</v>
      </c>
      <c r="AA5" s="381"/>
    </row>
    <row r="6" spans="2:27" x14ac:dyDescent="0.3">
      <c r="B6" s="210" t="s">
        <v>301</v>
      </c>
      <c r="D6" s="200">
        <f t="shared" ref="D6:K6" si="0">IF(D4="",0,MATCH(D4,$O$2:$V$2,0))</f>
        <v>0</v>
      </c>
      <c r="E6" s="200">
        <f t="shared" si="0"/>
        <v>6</v>
      </c>
      <c r="F6" s="200">
        <f t="shared" si="0"/>
        <v>0</v>
      </c>
      <c r="G6" s="200">
        <f t="shared" si="0"/>
        <v>2</v>
      </c>
      <c r="H6" s="200">
        <f t="shared" si="0"/>
        <v>0</v>
      </c>
      <c r="I6" s="200">
        <f t="shared" si="0"/>
        <v>8</v>
      </c>
      <c r="J6" s="200">
        <f t="shared" si="0"/>
        <v>0</v>
      </c>
      <c r="K6" s="200">
        <f t="shared" si="0"/>
        <v>4</v>
      </c>
      <c r="N6" s="204" t="s">
        <v>295</v>
      </c>
      <c r="P6" s="200">
        <f>IF(P4&lt;25,25,ROUNDDOWN(P4/5,0)*5)</f>
        <v>25</v>
      </c>
      <c r="R6" s="204">
        <f>IF(R4&lt;25,25,ROUNDDOWN(R4/5,0)*5)</f>
        <v>25</v>
      </c>
      <c r="T6" s="204">
        <f>IF(T4&lt;25,25,ROUNDDOWN(T4/5,0)*5)</f>
        <v>25</v>
      </c>
      <c r="V6" s="204">
        <f>IF(V4&lt;25,25,ROUNDDOWN(V4/5,0)*5)</f>
        <v>25</v>
      </c>
    </row>
    <row r="7" spans="2:27" x14ac:dyDescent="0.3">
      <c r="B7" s="200" t="s">
        <v>261</v>
      </c>
      <c r="D7" s="200">
        <f>IF(D6=0,0,INDEX($O$8:$V$8,1,D6))</f>
        <v>0</v>
      </c>
      <c r="E7" s="200">
        <f t="shared" ref="E7:K7" si="1">IF(E6=0,0,INDEX($O$8:$V$8,1,E6))</f>
        <v>0</v>
      </c>
      <c r="F7" s="200">
        <f t="shared" si="1"/>
        <v>0</v>
      </c>
      <c r="G7" s="200">
        <f t="shared" si="1"/>
        <v>0</v>
      </c>
      <c r="H7" s="200">
        <f t="shared" si="1"/>
        <v>0</v>
      </c>
      <c r="I7" s="200">
        <f t="shared" si="1"/>
        <v>0</v>
      </c>
      <c r="J7" s="200">
        <f t="shared" si="1"/>
        <v>0</v>
      </c>
      <c r="K7" s="200">
        <f t="shared" si="1"/>
        <v>0</v>
      </c>
      <c r="N7" s="200" t="s">
        <v>282</v>
      </c>
      <c r="P7" s="200">
        <f>IF(P6=0,0,MATCH(P6,'Y-AllRed'!$A:$A))</f>
        <v>4</v>
      </c>
      <c r="R7" s="200">
        <f>IF(R6=0,0,MATCH(R6,'Y-AllRed'!$A:$A))</f>
        <v>4</v>
      </c>
      <c r="T7" s="200">
        <f>IF(T6=0,0,MATCH(T6,'Y-AllRed'!$A:$A))</f>
        <v>4</v>
      </c>
      <c r="V7" s="200">
        <f>IF(V6=0,0,MATCH(V6,'Y-AllRed'!$A:$A))</f>
        <v>4</v>
      </c>
    </row>
    <row r="8" spans="2:27" x14ac:dyDescent="0.3">
      <c r="B8" s="200" t="s">
        <v>285</v>
      </c>
      <c r="D8" s="200">
        <f>IF(D6=0,0,INDEX($O$11:$V$11,1,D6))</f>
        <v>0</v>
      </c>
      <c r="E8" s="200">
        <f t="shared" ref="E8:K8" si="2">IF(E6=0,0,INDEX($O$11:$V$11,1,E6))</f>
        <v>0</v>
      </c>
      <c r="F8" s="200">
        <f t="shared" si="2"/>
        <v>0</v>
      </c>
      <c r="G8" s="200">
        <f t="shared" si="2"/>
        <v>0</v>
      </c>
      <c r="H8" s="200">
        <f t="shared" si="2"/>
        <v>0</v>
      </c>
      <c r="I8" s="200">
        <f t="shared" si="2"/>
        <v>0</v>
      </c>
      <c r="J8" s="200">
        <f t="shared" si="2"/>
        <v>0</v>
      </c>
      <c r="K8" s="200">
        <f t="shared" si="2"/>
        <v>0</v>
      </c>
      <c r="N8" s="201" t="s">
        <v>261</v>
      </c>
      <c r="O8" s="201" t="e">
        <f>IF('Phase calculation'!C34=0,P8,IF('Phase calculation'!C34&lt;11.9,3,P8))</f>
        <v>#N/A</v>
      </c>
      <c r="P8" s="201">
        <f>IF(P3=0,0,INDEX('Y-AllRed'!$B:$B,Phasing!P7))</f>
        <v>0</v>
      </c>
      <c r="Q8" s="496" t="e">
        <f>IF('Phase calculation'!F34=0,R8,IF('Phase calculation'!F34&lt;11.9,3,R8))</f>
        <v>#N/A</v>
      </c>
      <c r="R8" s="201">
        <f>IF(R3=0,0,INDEX('Y-AllRed'!$B:$B,Phasing!R7))</f>
        <v>0</v>
      </c>
      <c r="S8" s="496" t="e">
        <f>IF('Phase calculation'!I34=0,T8,IF('Phase calculation'!I34&lt;11.9,3,T8))</f>
        <v>#N/A</v>
      </c>
      <c r="T8" s="201">
        <f>IF(T3=0,0,INDEX('Y-AllRed'!$B:$B,Phasing!T7))</f>
        <v>0</v>
      </c>
      <c r="U8" s="496" t="e">
        <f>IF('Phase calculation'!L34=0,V8,IF('Phase calculation'!L34&lt;11.9,3,V8))</f>
        <v>#N/A</v>
      </c>
      <c r="V8" s="201">
        <f>IF(V3=0,0,INDEX('Y-AllRed'!$B:$B,Phasing!V7))</f>
        <v>0</v>
      </c>
    </row>
    <row r="9" spans="2:27" x14ac:dyDescent="0.3">
      <c r="B9" s="200" t="s">
        <v>264</v>
      </c>
      <c r="E9" s="203">
        <f>IF(E6=0,0,INDEX($O$22:$V$22,1,E6))</f>
        <v>5</v>
      </c>
      <c r="G9" s="215">
        <f>IF(G6=0,0,INDEX($O$22:$V$22,1,G6))</f>
        <v>5</v>
      </c>
      <c r="I9" s="215">
        <f>IF(I6=0,0,INDEX($O$22:$V$22,1,I6))</f>
        <v>5</v>
      </c>
      <c r="K9" s="215">
        <f>IF(K6=0,0,INDEX($O$22:$V$22,1,K6))</f>
        <v>5</v>
      </c>
      <c r="N9" s="200" t="s">
        <v>283</v>
      </c>
      <c r="P9" s="200">
        <f>P7</f>
        <v>4</v>
      </c>
      <c r="R9" s="200">
        <f>R7</f>
        <v>4</v>
      </c>
      <c r="T9" s="200">
        <f>T7</f>
        <v>4</v>
      </c>
      <c r="V9" s="200">
        <f>V7</f>
        <v>4</v>
      </c>
    </row>
    <row r="10" spans="2:27" x14ac:dyDescent="0.3">
      <c r="B10" s="200" t="s">
        <v>286</v>
      </c>
      <c r="E10" s="200">
        <f>IF(E9=0,0,INDEX($O$19:$V$19,E6))</f>
        <v>0</v>
      </c>
      <c r="F10" s="203"/>
      <c r="G10" s="210">
        <f>IF(G9=0,0,INDEX($O$19:$V$19,G6))</f>
        <v>0</v>
      </c>
      <c r="H10" s="203"/>
      <c r="I10" s="210">
        <f>IF(I9=0,0,INDEX($O$19:$V$19,I6))</f>
        <v>0</v>
      </c>
      <c r="J10" s="203"/>
      <c r="K10" s="210">
        <f>IF(K9=0,0,INDEX($O$19:$V$19,K6))</f>
        <v>0</v>
      </c>
      <c r="N10" s="200" t="s">
        <v>284</v>
      </c>
      <c r="P10" s="200">
        <f>IF(P3=0,0,1+MATCH(P3,'Y-AllRed'!$3:$3))</f>
        <v>0</v>
      </c>
      <c r="R10" s="200">
        <f>IF(R3=0,0,1+MATCH(R3,'Y-AllRed'!$3:$3))</f>
        <v>0</v>
      </c>
      <c r="T10" s="200">
        <f>IF(T3=0,0,1+MATCH(T3,'Y-AllRed'!$3:$3))</f>
        <v>0</v>
      </c>
      <c r="V10" s="200">
        <f>IF(V3=0,0,1+MATCH(V3,'Y-AllRed'!$3:$3))</f>
        <v>0</v>
      </c>
    </row>
    <row r="11" spans="2:27" x14ac:dyDescent="0.3">
      <c r="B11" s="200" t="s">
        <v>287</v>
      </c>
      <c r="D11" s="200">
        <f>IF(D4="",0,5)</f>
        <v>0</v>
      </c>
      <c r="E11" s="200">
        <f>IF(E5&gt;40,15,10)</f>
        <v>10</v>
      </c>
      <c r="F11" s="210">
        <f>IF(F4="",0,5)</f>
        <v>0</v>
      </c>
      <c r="G11" s="210">
        <f>IF(G5&gt;40,15,10)</f>
        <v>10</v>
      </c>
      <c r="H11" s="210">
        <f>IF(H4="",0,5)</f>
        <v>0</v>
      </c>
      <c r="I11" s="210">
        <f>IF(I5&gt;40,15,10)</f>
        <v>10</v>
      </c>
      <c r="J11" s="210">
        <f>IF(J4="",0,5)</f>
        <v>0</v>
      </c>
      <c r="K11" s="210">
        <f>IF(K5&gt;40,15,10)</f>
        <v>10</v>
      </c>
      <c r="N11" s="76" t="s">
        <v>262</v>
      </c>
      <c r="O11" s="76" t="e">
        <f>IF('Phase calculation'!C34=0,P11,IF('Phase calculation'!C34&lt;11.9,'Phase calculation'!C34-O8-O12,P11))</f>
        <v>#N/A</v>
      </c>
      <c r="P11" s="76">
        <f>INDEX('Y-AllRed'!1:1048576,Phasing!P9,Phasing!P10)</f>
        <v>0</v>
      </c>
      <c r="Q11" s="494" t="e">
        <f>IF('Phase calculation'!F34=0,R11,IF('Phase calculation'!F34&lt;11.9,'Phase calculation'!F34-Q8-Q12,R11))</f>
        <v>#N/A</v>
      </c>
      <c r="R11" s="76">
        <f>INDEX('Y-AllRed'!1:1048576,Phasing!R9,Phasing!R10)</f>
        <v>0</v>
      </c>
      <c r="S11" s="494" t="e">
        <f>IF('Phase calculation'!I34=0,T11,IF('Phase calculation'!I34&lt;11.9,'Phase calculation'!I34-S8-S12,T11))</f>
        <v>#N/A</v>
      </c>
      <c r="T11" s="76">
        <f>INDEX('Y-AllRed'!1:1048576,Phasing!T9,Phasing!T10)</f>
        <v>0</v>
      </c>
      <c r="U11" s="494" t="e">
        <f>IF('Phase calculation'!L34=0,V11,IF('Phase calculation'!L34&lt;11.9,'Phase calculation'!L34-U8-U12,V11))</f>
        <v>#N/A</v>
      </c>
      <c r="V11" s="76">
        <f>INDEX('Y-AllRed'!1:1048576,Phasing!V9,Phasing!V10)</f>
        <v>0</v>
      </c>
    </row>
    <row r="12" spans="2:27" x14ac:dyDescent="0.3">
      <c r="B12" s="200" t="s">
        <v>288</v>
      </c>
      <c r="D12" s="77">
        <f>IF(D4="",0,ROUNDUP(INDEX($O$16:$V$16,D6),0))</f>
        <v>0</v>
      </c>
      <c r="E12" s="324" t="e">
        <f t="shared" ref="E12:K12" si="3">IF(E4="",0,ROUNDUP(INDEX($O$16:$V$16,E6),0))</f>
        <v>#N/A</v>
      </c>
      <c r="F12" s="324">
        <f t="shared" si="3"/>
        <v>0</v>
      </c>
      <c r="G12" s="324" t="e">
        <f t="shared" si="3"/>
        <v>#N/A</v>
      </c>
      <c r="H12" s="324">
        <f t="shared" si="3"/>
        <v>0</v>
      </c>
      <c r="I12" s="324" t="e">
        <f t="shared" si="3"/>
        <v>#N/A</v>
      </c>
      <c r="J12" s="324">
        <f t="shared" si="3"/>
        <v>0</v>
      </c>
      <c r="K12" s="324" t="e">
        <f t="shared" si="3"/>
        <v>#N/A</v>
      </c>
      <c r="L12" s="77"/>
      <c r="N12" s="200" t="s">
        <v>255</v>
      </c>
      <c r="O12" s="200" t="str">
        <f>IFERROR(INDEX($D$11:$K$11,MATCH(O2,$D$4:$K$4,0)),"")</f>
        <v/>
      </c>
      <c r="P12" s="495">
        <f t="shared" ref="P12:V12" si="4">IFERROR(INDEX($D$11:$K$11,MATCH(P2,$D$4:$K$4,0)),"")</f>
        <v>10</v>
      </c>
      <c r="Q12" s="495" t="str">
        <f t="shared" si="4"/>
        <v/>
      </c>
      <c r="R12" s="495">
        <f t="shared" si="4"/>
        <v>10</v>
      </c>
      <c r="S12" s="495" t="str">
        <f t="shared" si="4"/>
        <v/>
      </c>
      <c r="T12" s="495">
        <f t="shared" si="4"/>
        <v>10</v>
      </c>
      <c r="U12" s="495" t="str">
        <f t="shared" si="4"/>
        <v/>
      </c>
      <c r="V12" s="495">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t="e">
        <f>IF(D3=0,0,10)</f>
        <v>#N/A</v>
      </c>
      <c r="E14" s="200" t="e">
        <f t="shared" ref="E14:K14" si="5">IF(E3=0,0,10)</f>
        <v>#N/A</v>
      </c>
      <c r="F14" s="200" t="e">
        <f t="shared" si="5"/>
        <v>#N/A</v>
      </c>
      <c r="G14" s="200" t="e">
        <f t="shared" si="5"/>
        <v>#N/A</v>
      </c>
      <c r="H14" s="200" t="e">
        <f t="shared" si="5"/>
        <v>#N/A</v>
      </c>
      <c r="I14" s="200" t="e">
        <f t="shared" si="5"/>
        <v>#N/A</v>
      </c>
      <c r="J14" s="200" t="e">
        <f t="shared" si="5"/>
        <v>#N/A</v>
      </c>
      <c r="K14" s="200" t="e">
        <f t="shared" si="5"/>
        <v>#N/A</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t="e">
        <f>IF(D3=0,0,INDEX($O$14:$Z$14,1,O17))</f>
        <v>#N/A</v>
      </c>
      <c r="E15" s="203" t="e">
        <f t="shared" ref="E15:K15" si="6">IF(E3=0,0,INDEX($O$14:$Z$14,1,P17))</f>
        <v>#N/A</v>
      </c>
      <c r="F15" s="203" t="e">
        <f t="shared" si="6"/>
        <v>#N/A</v>
      </c>
      <c r="G15" s="203" t="e">
        <f t="shared" si="6"/>
        <v>#N/A</v>
      </c>
      <c r="H15" s="203" t="e">
        <f t="shared" si="6"/>
        <v>#N/A</v>
      </c>
      <c r="I15" s="203" t="e">
        <f t="shared" si="6"/>
        <v>#N/A</v>
      </c>
      <c r="J15" s="203" t="e">
        <f t="shared" si="6"/>
        <v>#N/A</v>
      </c>
      <c r="K15" s="203" t="e">
        <f t="shared" si="6"/>
        <v>#N/A</v>
      </c>
      <c r="O15" s="200">
        <v>1</v>
      </c>
      <c r="P15" s="200">
        <v>2</v>
      </c>
      <c r="Q15" s="200">
        <v>3</v>
      </c>
      <c r="R15" s="200">
        <v>4</v>
      </c>
      <c r="S15" s="200">
        <v>5</v>
      </c>
      <c r="T15" s="200">
        <v>6</v>
      </c>
      <c r="U15" s="200">
        <v>7</v>
      </c>
      <c r="V15" s="200">
        <v>8</v>
      </c>
    </row>
    <row r="16" spans="2:27" x14ac:dyDescent="0.3">
      <c r="B16" s="200" t="s">
        <v>290</v>
      </c>
      <c r="D16" s="200">
        <f>IF(D4="",0,INDEX($O$28:$V$28,D6))</f>
        <v>0</v>
      </c>
      <c r="E16" s="222">
        <f t="shared" ref="E16:K16" si="7">IF(E4="",0,INDEX($O$28:$V$28,E6))</f>
        <v>0</v>
      </c>
      <c r="F16" s="222">
        <f t="shared" si="7"/>
        <v>0</v>
      </c>
      <c r="G16" s="222">
        <f t="shared" si="7"/>
        <v>0</v>
      </c>
      <c r="H16" s="222">
        <f t="shared" si="7"/>
        <v>0</v>
      </c>
      <c r="I16" s="222">
        <f t="shared" si="7"/>
        <v>0</v>
      </c>
      <c r="J16" s="222">
        <f t="shared" si="7"/>
        <v>0</v>
      </c>
      <c r="K16" s="222">
        <f t="shared" si="7"/>
        <v>0</v>
      </c>
      <c r="N16" s="200" t="s">
        <v>288</v>
      </c>
      <c r="O16" s="351" t="e">
        <f>'Phase calculation'!C29</f>
        <v>#N/A</v>
      </c>
      <c r="P16" s="351" t="e">
        <f>'Phase calculation'!D29</f>
        <v>#N/A</v>
      </c>
      <c r="Q16" s="351" t="e">
        <f>'Phase calculation'!F29</f>
        <v>#N/A</v>
      </c>
      <c r="R16" s="351" t="e">
        <f>'Phase calculation'!G29</f>
        <v>#N/A</v>
      </c>
      <c r="S16" s="351" t="e">
        <f>'Phase calculation'!I29</f>
        <v>#N/A</v>
      </c>
      <c r="T16" s="351" t="e">
        <f>'Phase calculation'!J29</f>
        <v>#N/A</v>
      </c>
      <c r="U16" s="351" t="e">
        <f>'Phase calculation'!L29</f>
        <v>#N/A</v>
      </c>
      <c r="V16" s="351" t="e">
        <f>'Phase calculation'!M29</f>
        <v>#N/A</v>
      </c>
    </row>
    <row r="17" spans="1:32" x14ac:dyDescent="0.3">
      <c r="B17" s="200" t="s">
        <v>257</v>
      </c>
      <c r="D17" s="200">
        <f>IF(D4="",0,INDEX($O$27:$V$27,D6))</f>
        <v>0</v>
      </c>
      <c r="E17" s="222">
        <f t="shared" ref="E17:K17" si="8">IF(E4="",0,INDEX($O$27:$V$27,E6))</f>
        <v>1.5</v>
      </c>
      <c r="F17" s="222">
        <f t="shared" si="8"/>
        <v>0</v>
      </c>
      <c r="G17" s="222">
        <f t="shared" si="8"/>
        <v>1.5</v>
      </c>
      <c r="H17" s="222">
        <f t="shared" si="8"/>
        <v>0</v>
      </c>
      <c r="I17" s="222">
        <f t="shared" si="8"/>
        <v>1.5</v>
      </c>
      <c r="J17" s="222">
        <f t="shared" si="8"/>
        <v>0</v>
      </c>
      <c r="K17" s="222">
        <f t="shared" si="8"/>
        <v>1.5</v>
      </c>
      <c r="N17" s="200" t="s">
        <v>289</v>
      </c>
      <c r="O17" s="200" t="e">
        <f>IF(O16=0,0,MATCH(O16,$O$13:$Z$13,1))</f>
        <v>#N/A</v>
      </c>
      <c r="P17" s="203" t="e">
        <f t="shared" ref="P17:V17" si="9">IF(P16=0,0,MATCH(P16,$O$13:$Z$13,1))</f>
        <v>#N/A</v>
      </c>
      <c r="Q17" s="203" t="e">
        <f t="shared" si="9"/>
        <v>#N/A</v>
      </c>
      <c r="R17" s="203" t="e">
        <f t="shared" si="9"/>
        <v>#N/A</v>
      </c>
      <c r="S17" s="203" t="e">
        <f t="shared" si="9"/>
        <v>#N/A</v>
      </c>
      <c r="T17" s="203" t="e">
        <f t="shared" si="9"/>
        <v>#N/A</v>
      </c>
      <c r="U17" s="203" t="e">
        <f t="shared" si="9"/>
        <v>#N/A</v>
      </c>
      <c r="V17" s="203" t="e">
        <f t="shared" si="9"/>
        <v>#N/A</v>
      </c>
    </row>
    <row r="18" spans="1:32" x14ac:dyDescent="0.3">
      <c r="B18" s="200" t="s">
        <v>267</v>
      </c>
      <c r="D18" s="200">
        <f>IF(D4="",0,9)</f>
        <v>0</v>
      </c>
      <c r="E18" s="210">
        <f>IF(E9=0,ROUNDUP(E11+E7+E8,0),ROUNDUP(E9+E10+E7+E8,0))</f>
        <v>5</v>
      </c>
      <c r="F18" s="210">
        <f>IF(F4="",0,9)</f>
        <v>0</v>
      </c>
      <c r="G18" s="222">
        <f>IF(G9=0,ROUNDUP(G11+G7+G8,0),ROUNDUP(G9+G10+G7+G8,0))</f>
        <v>5</v>
      </c>
      <c r="H18" s="210">
        <f>IF(H4="",0,9)</f>
        <v>0</v>
      </c>
      <c r="I18" s="222">
        <f>IF(I9=0,ROUNDUP(I11+I7+I8,0),ROUNDUP(I9+I10+I7+I8,0))</f>
        <v>5</v>
      </c>
      <c r="J18" s="210">
        <f>IF(J4="",0,9)</f>
        <v>0</v>
      </c>
      <c r="K18" s="222">
        <f>IF(K9=0,ROUNDUP(K11+K7+K8,0),ROUNDUP(K9+K10+K7+K8,0))</f>
        <v>5</v>
      </c>
      <c r="N18" s="203" t="s">
        <v>291</v>
      </c>
      <c r="P18" s="203">
        <f>IF(E4="",0,MATCH(E4,$O$2:$V$2,0))</f>
        <v>6</v>
      </c>
      <c r="Q18" s="203"/>
      <c r="R18" s="203">
        <f>IF(G4="",0,MATCH(G4,$O$2:$V$2,0))</f>
        <v>2</v>
      </c>
      <c r="S18" s="203"/>
      <c r="T18" s="203">
        <f>IF(I4="",0,MATCH(I4,$O$2:$V$2,0))</f>
        <v>8</v>
      </c>
      <c r="U18" s="203"/>
      <c r="V18" s="203">
        <f>IF(K4="",0,MATCH(K4,$O$2:$V$2,0))</f>
        <v>4</v>
      </c>
    </row>
    <row r="19" spans="1:32" x14ac:dyDescent="0.3">
      <c r="B19" s="200" t="s">
        <v>270</v>
      </c>
      <c r="D19" s="200">
        <v>0</v>
      </c>
      <c r="E19" s="200" t="e">
        <f>IF(D3=0,0,D20)</f>
        <v>#N/A</v>
      </c>
      <c r="F19" s="200" t="e">
        <f>E20</f>
        <v>#N/A</v>
      </c>
      <c r="G19" s="200" t="e">
        <f>F20</f>
        <v>#N/A</v>
      </c>
      <c r="H19" s="200">
        <v>0</v>
      </c>
      <c r="I19" s="200" t="e">
        <f>IF(H3=0,0,H20)</f>
        <v>#N/A</v>
      </c>
      <c r="J19" s="200" t="e">
        <f>I20</f>
        <v>#N/A</v>
      </c>
      <c r="K19" s="200" t="e">
        <f>J20</f>
        <v>#N/A</v>
      </c>
      <c r="N19" s="203" t="s">
        <v>265</v>
      </c>
      <c r="P19" s="200">
        <f>ROUND(T3/'Input sheet'!$V$10,0)</f>
        <v>0</v>
      </c>
      <c r="Q19" s="203"/>
      <c r="R19" s="479">
        <f>ROUND(V3/'Input sheet'!$V$10,0)</f>
        <v>0</v>
      </c>
      <c r="S19" s="203"/>
      <c r="T19" s="479">
        <f>ROUND(R3/'Input sheet'!$V$10,0)</f>
        <v>0</v>
      </c>
      <c r="U19" s="203"/>
      <c r="V19" s="479">
        <f>ROUND(P3/'Input sheet'!$V$10,0)</f>
        <v>0</v>
      </c>
    </row>
    <row r="20" spans="1:32" x14ac:dyDescent="0.3">
      <c r="B20" s="200" t="s">
        <v>271</v>
      </c>
      <c r="D20" s="200" t="e">
        <f t="shared" ref="D20:K20" si="10">D19+D3</f>
        <v>#N/A</v>
      </c>
      <c r="E20" s="200" t="e">
        <f t="shared" si="10"/>
        <v>#N/A</v>
      </c>
      <c r="F20" s="200" t="e">
        <f t="shared" si="10"/>
        <v>#N/A</v>
      </c>
      <c r="G20" s="200" t="e">
        <f t="shared" si="10"/>
        <v>#N/A</v>
      </c>
      <c r="H20" s="200" t="e">
        <f t="shared" si="10"/>
        <v>#N/A</v>
      </c>
      <c r="I20" s="200" t="e">
        <f t="shared" si="10"/>
        <v>#N/A</v>
      </c>
      <c r="J20" s="200" t="e">
        <f t="shared" si="10"/>
        <v>#N/A</v>
      </c>
      <c r="K20" s="200" t="e">
        <f t="shared" si="10"/>
        <v>#N/A</v>
      </c>
      <c r="N20" s="203" t="s">
        <v>292</v>
      </c>
      <c r="P20" s="200">
        <v>4</v>
      </c>
      <c r="R20" s="200">
        <v>4</v>
      </c>
      <c r="T20" s="200">
        <v>4</v>
      </c>
      <c r="V20" s="200">
        <v>4</v>
      </c>
    </row>
    <row r="21" spans="1:32" x14ac:dyDescent="0.3">
      <c r="B21" s="200" t="s">
        <v>272</v>
      </c>
      <c r="D21" s="200" t="e">
        <f>ROUND(IF(D3=0,0,D20-D7-D8),0)</f>
        <v>#N/A</v>
      </c>
      <c r="E21" s="200" t="e">
        <f t="shared" ref="E21:K21" si="11">ROUND(IF(E3=0,0,E20-E7-E8),0)</f>
        <v>#N/A</v>
      </c>
      <c r="F21" s="200" t="e">
        <f t="shared" si="11"/>
        <v>#N/A</v>
      </c>
      <c r="G21" s="200" t="e">
        <f t="shared" si="11"/>
        <v>#N/A</v>
      </c>
      <c r="H21" s="200" t="e">
        <f t="shared" si="11"/>
        <v>#N/A</v>
      </c>
      <c r="I21" s="200" t="e">
        <f t="shared" si="11"/>
        <v>#N/A</v>
      </c>
      <c r="J21" s="200" t="e">
        <f t="shared" si="11"/>
        <v>#N/A</v>
      </c>
      <c r="K21" s="200" t="e">
        <f t="shared" si="11"/>
        <v>#N/A</v>
      </c>
      <c r="N21" s="203" t="s">
        <v>293</v>
      </c>
      <c r="P21" s="203" t="e">
        <f>IF(E9=0,0,MIN(ROUNDDOWN(E3-E7-E8-E9,0),ROUNDUP(E9+P19+E7+E8,0)))</f>
        <v>#N/A</v>
      </c>
      <c r="Q21" s="203"/>
      <c r="R21" s="203" t="e">
        <f>IF(G9=0,0,MIN(ROUNDDOWN(G3-G7-G8-G9,0),ROUNDUP(G9+R19+G7+G8,0)))</f>
        <v>#N/A</v>
      </c>
      <c r="S21" s="203"/>
      <c r="T21" s="203" t="e">
        <f>IF(I9=0,0,MIN(ROUNDDOWN(I3-I7-I8-I9,0),ROUNDUP(I9+T19+I7+I8,0)))</f>
        <v>#N/A</v>
      </c>
      <c r="U21" s="203"/>
      <c r="V21" s="203" t="e">
        <f>IF(K9=0,0,MIN(ROUNDDOWN(K3-K7-K8-K9,0),ROUNDUP(K9+V19+K7+K8,0)))</f>
        <v>#N/A</v>
      </c>
    </row>
    <row r="22" spans="1:32" x14ac:dyDescent="0.3">
      <c r="B22" s="200" t="s">
        <v>273</v>
      </c>
      <c r="D22" s="200" t="e">
        <f>D21</f>
        <v>#N/A</v>
      </c>
      <c r="E22" s="200" t="e">
        <f t="shared" ref="E22:K22" si="12">E21</f>
        <v>#N/A</v>
      </c>
      <c r="F22" s="200" t="e">
        <f t="shared" si="12"/>
        <v>#N/A</v>
      </c>
      <c r="G22" s="200" t="e">
        <f t="shared" si="12"/>
        <v>#N/A</v>
      </c>
      <c r="H22" s="200" t="e">
        <f t="shared" si="12"/>
        <v>#N/A</v>
      </c>
      <c r="I22" s="200" t="e">
        <f t="shared" si="12"/>
        <v>#N/A</v>
      </c>
      <c r="J22" s="200" t="e">
        <f t="shared" si="12"/>
        <v>#N/A</v>
      </c>
      <c r="K22" s="200" t="e">
        <f t="shared" si="12"/>
        <v>#N/A</v>
      </c>
      <c r="N22" s="210" t="s">
        <v>264</v>
      </c>
      <c r="P22" s="200">
        <f>IF('Input sheet'!T2=1,5,0)</f>
        <v>5</v>
      </c>
      <c r="R22" s="200">
        <f>IF('Input sheet'!V2=1,5,0)</f>
        <v>5</v>
      </c>
      <c r="T22" s="200">
        <f>IF('Input sheet'!U2=1,5,0)</f>
        <v>5</v>
      </c>
      <c r="V22" s="200">
        <f>IF('Input sheet'!W2=1,5,0)</f>
        <v>5</v>
      </c>
    </row>
    <row r="23" spans="1:32" x14ac:dyDescent="0.3">
      <c r="B23" s="200" t="s">
        <v>274</v>
      </c>
      <c r="D23" s="200">
        <f>D19</f>
        <v>0</v>
      </c>
      <c r="E23" s="200" t="e">
        <f t="shared" ref="E23:K23" si="13">E19</f>
        <v>#N/A</v>
      </c>
      <c r="F23" s="200" t="e">
        <f t="shared" si="13"/>
        <v>#N/A</v>
      </c>
      <c r="G23" s="200" t="e">
        <f t="shared" si="13"/>
        <v>#N/A</v>
      </c>
      <c r="H23" s="200">
        <f t="shared" si="13"/>
        <v>0</v>
      </c>
      <c r="I23" s="200" t="e">
        <f t="shared" si="13"/>
        <v>#N/A</v>
      </c>
      <c r="J23" s="200" t="e">
        <f t="shared" si="13"/>
        <v>#N/A</v>
      </c>
      <c r="K23" s="200" t="e">
        <f t="shared" si="13"/>
        <v>#N/A</v>
      </c>
      <c r="N23" s="222" t="s">
        <v>309</v>
      </c>
      <c r="P23" s="200">
        <f>IF(P6&lt;=25,3,3.5)</f>
        <v>3</v>
      </c>
      <c r="Q23" s="210"/>
      <c r="R23" s="222">
        <f>IF(R6&lt;=25,3,3.5)</f>
        <v>3</v>
      </c>
      <c r="S23" s="210"/>
      <c r="T23" s="222">
        <f>IF(T6&lt;=25,3,3.5)</f>
        <v>3</v>
      </c>
      <c r="U23" s="210"/>
      <c r="V23" s="222">
        <f>IF(V6&lt;=25,3,3.5)</f>
        <v>3</v>
      </c>
    </row>
    <row r="24" spans="1:32" x14ac:dyDescent="0.3">
      <c r="B24" s="200" t="s">
        <v>275</v>
      </c>
      <c r="D24" s="200" t="e">
        <f>D21</f>
        <v>#N/A</v>
      </c>
      <c r="E24" s="200" t="e">
        <f t="shared" ref="E24:K24" si="14">E21</f>
        <v>#N/A</v>
      </c>
      <c r="F24" s="200" t="e">
        <f t="shared" si="14"/>
        <v>#N/A</v>
      </c>
      <c r="G24" s="200" t="e">
        <f t="shared" si="14"/>
        <v>#N/A</v>
      </c>
      <c r="H24" s="200" t="e">
        <f t="shared" si="14"/>
        <v>#N/A</v>
      </c>
      <c r="I24" s="200" t="e">
        <f t="shared" si="14"/>
        <v>#N/A</v>
      </c>
      <c r="J24" s="200" t="e">
        <f t="shared" si="14"/>
        <v>#N/A</v>
      </c>
      <c r="K24" s="200" t="e">
        <f t="shared" si="14"/>
        <v>#N/A</v>
      </c>
      <c r="N24" s="210" t="s">
        <v>299</v>
      </c>
      <c r="P24" s="200">
        <f>VLOOKUP(P6,DetZone!$G$4:$H$10,2,FALSE)</f>
        <v>60</v>
      </c>
      <c r="Q24" s="210"/>
      <c r="R24" s="222">
        <f>VLOOKUP(R6,DetZone!$G$4:$H$10,2,FALSE)</f>
        <v>60</v>
      </c>
      <c r="S24" s="210"/>
      <c r="T24" s="222">
        <f>VLOOKUP(T6,DetZone!$G$4:$H$10,2,FALSE)</f>
        <v>60</v>
      </c>
      <c r="U24" s="210"/>
      <c r="V24" s="222">
        <f>VLOOKUP(V6,DetZone!$G$4:$H$10,2,FALSE)</f>
        <v>60</v>
      </c>
    </row>
    <row r="25" spans="1:32" x14ac:dyDescent="0.3">
      <c r="B25" s="200" t="s">
        <v>276</v>
      </c>
      <c r="D25" s="200" t="e">
        <f>D24</f>
        <v>#N/A</v>
      </c>
      <c r="E25" s="200" t="e">
        <f t="shared" ref="E25:K25" si="15">E24</f>
        <v>#N/A</v>
      </c>
      <c r="F25" s="200" t="e">
        <f t="shared" si="15"/>
        <v>#N/A</v>
      </c>
      <c r="G25" s="200" t="e">
        <f t="shared" si="15"/>
        <v>#N/A</v>
      </c>
      <c r="H25" s="200" t="e">
        <f t="shared" si="15"/>
        <v>#N/A</v>
      </c>
      <c r="I25" s="200" t="e">
        <f t="shared" si="15"/>
        <v>#N/A</v>
      </c>
      <c r="J25" s="200" t="e">
        <f t="shared" si="15"/>
        <v>#N/A</v>
      </c>
      <c r="K25" s="200" t="e">
        <f t="shared" si="15"/>
        <v>#N/A</v>
      </c>
      <c r="N25" s="222" t="s">
        <v>316</v>
      </c>
      <c r="P25" s="200">
        <f>MATCH(P24,DetZone!$B$18:$B$22,0)</f>
        <v>2</v>
      </c>
      <c r="R25" s="222">
        <f>MATCH(R24,DetZone!$B$18:$B$22,0)</f>
        <v>2</v>
      </c>
      <c r="T25" s="222">
        <f>MATCH(T24,DetZone!$B$18:$B$22,0)</f>
        <v>2</v>
      </c>
      <c r="V25" s="222">
        <f>MATCH(V24,DetZone!$B$18:$B$22,0)</f>
        <v>2</v>
      </c>
    </row>
    <row r="26" spans="1:32" x14ac:dyDescent="0.3">
      <c r="G26" s="65" t="s">
        <v>303</v>
      </c>
      <c r="K26" s="65" t="s">
        <v>304</v>
      </c>
      <c r="L26" s="212" t="s">
        <v>302</v>
      </c>
      <c r="N26" s="222" t="s">
        <v>317</v>
      </c>
      <c r="P26" s="200">
        <f>MATCH(P6,DetZone!$C$17:$I$17,0)</f>
        <v>1</v>
      </c>
      <c r="R26" s="222">
        <f>MATCH(R6,DetZone!$C$17:$I$17,0)</f>
        <v>1</v>
      </c>
      <c r="T26" s="222">
        <f>MATCH(T6,DetZone!$C$17:$I$17,0)</f>
        <v>1</v>
      </c>
      <c r="V26" s="222">
        <f>MATCH(V6,DetZone!$C$17:$I$17,0)</f>
        <v>1</v>
      </c>
    </row>
    <row r="27" spans="1:32" s="210" customFormat="1" x14ac:dyDescent="0.3">
      <c r="G27" s="65">
        <f>MAX(D43+E43,H43+I43)</f>
        <v>5</v>
      </c>
      <c r="K27" s="65">
        <f>MAX(F43+G43,J43+K43)</f>
        <v>5</v>
      </c>
      <c r="L27" s="212">
        <f>G27+K27</f>
        <v>10</v>
      </c>
      <c r="N27" s="122" t="s">
        <v>257</v>
      </c>
      <c r="O27" s="122">
        <f>P27</f>
        <v>1.5</v>
      </c>
      <c r="P27" s="122">
        <f>INDEX(DetZone!$C$18:$I$22,Phasing!P25,Phasing!P26)</f>
        <v>1.5</v>
      </c>
      <c r="Q27" s="122">
        <f>R27</f>
        <v>1.5</v>
      </c>
      <c r="R27" s="122">
        <f>INDEX(DetZone!$C$18:$I$22,Phasing!R25,Phasing!R26)</f>
        <v>1.5</v>
      </c>
      <c r="S27" s="122">
        <f>T27</f>
        <v>1.5</v>
      </c>
      <c r="T27" s="122">
        <f>INDEX(DetZone!$C$18:$I$22,Phasing!T25,Phasing!T26)</f>
        <v>1.5</v>
      </c>
      <c r="U27" s="122">
        <f>V27</f>
        <v>1.5</v>
      </c>
      <c r="V27" s="122">
        <f>INDEX(DetZone!$C$18:$I$22,Phasing!V25,Phasing!V26)</f>
        <v>1.5</v>
      </c>
      <c r="AA27" s="381"/>
    </row>
    <row r="28" spans="1:32" x14ac:dyDescent="0.3">
      <c r="A28" s="530" t="s">
        <v>204</v>
      </c>
      <c r="B28" s="530"/>
      <c r="C28" s="530"/>
      <c r="N28" s="224" t="s">
        <v>319</v>
      </c>
      <c r="O28" s="224">
        <f>P28</f>
        <v>0</v>
      </c>
      <c r="P28" s="224">
        <f>INDEX(DetZone!$C$27:$I$31,Phasing!P25,Phasing!P26)</f>
        <v>0</v>
      </c>
      <c r="Q28" s="224">
        <f>R28</f>
        <v>0</v>
      </c>
      <c r="R28" s="224">
        <f>INDEX(DetZone!$C$27:$I$31,Phasing!R25,Phasing!R26)</f>
        <v>0</v>
      </c>
      <c r="S28" s="224">
        <f>T28</f>
        <v>0</v>
      </c>
      <c r="T28" s="224">
        <f>INDEX(DetZone!$C$27:$I$31,Phasing!T25,Phasing!T26)</f>
        <v>0</v>
      </c>
      <c r="U28" s="224">
        <f>V28</f>
        <v>0</v>
      </c>
      <c r="V28" s="224">
        <f>INDEX(DetZone!$C$27:$I$31,Phasing!V25,Phasing!V26)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Street 1 &amp; Street 2</v>
      </c>
      <c r="D30" s="200" t="e">
        <f>IF(D3=0,0,D1)</f>
        <v>#N/A</v>
      </c>
      <c r="E30" s="202" t="e">
        <f t="shared" ref="E30:K30" si="16">IF(E3=0,0,E1)</f>
        <v>#N/A</v>
      </c>
      <c r="F30" s="202" t="e">
        <f t="shared" si="16"/>
        <v>#N/A</v>
      </c>
      <c r="G30" s="202" t="e">
        <f t="shared" si="16"/>
        <v>#N/A</v>
      </c>
      <c r="H30" s="202" t="e">
        <f t="shared" si="16"/>
        <v>#N/A</v>
      </c>
      <c r="I30" s="202" t="e">
        <f t="shared" si="16"/>
        <v>#N/A</v>
      </c>
      <c r="J30" s="202" t="e">
        <f t="shared" si="16"/>
        <v>#N/A</v>
      </c>
      <c r="K30" s="202" t="e">
        <f t="shared" si="16"/>
        <v>#N/A</v>
      </c>
    </row>
    <row r="31" spans="1:32" x14ac:dyDescent="0.3">
      <c r="B31" s="256" t="s">
        <v>255</v>
      </c>
      <c r="C31" s="256" t="str">
        <f>C30</f>
        <v>Street 1 &amp; Street 2</v>
      </c>
      <c r="D31" s="256">
        <f>IF(D4="",0,D11)</f>
        <v>0</v>
      </c>
      <c r="E31" s="256">
        <f t="shared" ref="E31:K31" si="17">IF(E4="",0,E11)</f>
        <v>10</v>
      </c>
      <c r="F31" s="256">
        <f t="shared" si="17"/>
        <v>0</v>
      </c>
      <c r="G31" s="256">
        <f t="shared" si="17"/>
        <v>10</v>
      </c>
      <c r="H31" s="256">
        <f t="shared" si="17"/>
        <v>0</v>
      </c>
      <c r="I31" s="256">
        <f t="shared" si="17"/>
        <v>10</v>
      </c>
      <c r="J31" s="256">
        <f t="shared" si="17"/>
        <v>0</v>
      </c>
      <c r="K31" s="256">
        <f t="shared" si="17"/>
        <v>10</v>
      </c>
      <c r="W31" s="519" t="s">
        <v>461</v>
      </c>
      <c r="X31" s="519"/>
      <c r="Y31" s="519"/>
      <c r="Z31" s="519"/>
      <c r="AA31" s="519"/>
      <c r="AB31" s="519"/>
      <c r="AC31" s="519"/>
      <c r="AD31" s="519"/>
      <c r="AE31" s="519"/>
      <c r="AF31" s="519"/>
    </row>
    <row r="32" spans="1:32" x14ac:dyDescent="0.3">
      <c r="B32" s="200" t="s">
        <v>256</v>
      </c>
      <c r="C32" s="200" t="str">
        <f t="shared" ref="C32:C52" si="18">C31</f>
        <v>Street 1 &amp; Street 2</v>
      </c>
      <c r="D32" s="200">
        <f>D12</f>
        <v>0</v>
      </c>
      <c r="E32" s="200" t="e">
        <f t="shared" ref="E32:K32" si="19">E12</f>
        <v>#N/A</v>
      </c>
      <c r="F32" s="200">
        <f t="shared" si="19"/>
        <v>0</v>
      </c>
      <c r="G32" s="200" t="e">
        <f t="shared" si="19"/>
        <v>#N/A</v>
      </c>
      <c r="H32" s="200">
        <f t="shared" si="19"/>
        <v>0</v>
      </c>
      <c r="I32" s="200" t="e">
        <f t="shared" si="19"/>
        <v>#N/A</v>
      </c>
      <c r="J32" s="200">
        <f t="shared" si="19"/>
        <v>0</v>
      </c>
      <c r="K32" s="200" t="e">
        <f t="shared" si="19"/>
        <v>#N/A</v>
      </c>
      <c r="W32" s="381" t="s">
        <v>124</v>
      </c>
      <c r="X32" s="381" t="s">
        <v>451</v>
      </c>
      <c r="Y32" s="381" t="s">
        <v>261</v>
      </c>
      <c r="Z32" s="381" t="s">
        <v>456</v>
      </c>
      <c r="AA32" s="381" t="s">
        <v>285</v>
      </c>
      <c r="AB32" s="381" t="s">
        <v>124</v>
      </c>
      <c r="AC32" s="381" t="s">
        <v>457</v>
      </c>
      <c r="AD32" s="381" t="s">
        <v>458</v>
      </c>
      <c r="AE32" s="381" t="s">
        <v>459</v>
      </c>
      <c r="AF32" s="381" t="s">
        <v>460</v>
      </c>
    </row>
    <row r="33" spans="2:32" x14ac:dyDescent="0.3">
      <c r="B33" s="256" t="s">
        <v>257</v>
      </c>
      <c r="C33" s="256" t="str">
        <f t="shared" si="18"/>
        <v>Street 1 &amp; Street 2</v>
      </c>
      <c r="D33" s="256">
        <f>IF(D4="",0,D17)</f>
        <v>0</v>
      </c>
      <c r="E33" s="256">
        <f t="shared" ref="E33:K33" si="20">IF(E4="",0,E17)</f>
        <v>1.5</v>
      </c>
      <c r="F33" s="256">
        <f t="shared" si="20"/>
        <v>0</v>
      </c>
      <c r="G33" s="256">
        <f t="shared" si="20"/>
        <v>1.5</v>
      </c>
      <c r="H33" s="256">
        <f t="shared" si="20"/>
        <v>0</v>
      </c>
      <c r="I33" s="256">
        <f t="shared" si="20"/>
        <v>1.5</v>
      </c>
      <c r="J33" s="256">
        <f t="shared" si="20"/>
        <v>0</v>
      </c>
      <c r="K33" s="256">
        <f t="shared" si="20"/>
        <v>1.5</v>
      </c>
      <c r="W33" s="200">
        <v>8</v>
      </c>
      <c r="X33" s="304" t="e">
        <f>K58</f>
        <v>#N/A</v>
      </c>
      <c r="Y33" s="380">
        <f>K56</f>
        <v>0</v>
      </c>
      <c r="Z33" s="382" t="e">
        <f>K59</f>
        <v>#N/A</v>
      </c>
      <c r="AA33" s="65">
        <f>K57</f>
        <v>0</v>
      </c>
      <c r="AB33" s="381">
        <v>8</v>
      </c>
      <c r="AC33" s="200" t="e">
        <f>K62</f>
        <v>#N/A</v>
      </c>
      <c r="AD33" s="200" t="e">
        <f>X33</f>
        <v>#N/A</v>
      </c>
      <c r="AE33" s="200">
        <f>Y33</f>
        <v>0</v>
      </c>
      <c r="AF33" s="387" t="e">
        <f>$C$62-AE33-AD33-AC33</f>
        <v>#N/A</v>
      </c>
    </row>
    <row r="34" spans="2:32" x14ac:dyDescent="0.3">
      <c r="B34" s="200" t="s">
        <v>258</v>
      </c>
      <c r="C34" s="200" t="str">
        <f t="shared" si="18"/>
        <v>Street 1 &amp; Street 2</v>
      </c>
      <c r="D34" s="200" t="e">
        <f>D14</f>
        <v>#N/A</v>
      </c>
      <c r="E34" s="200" t="e">
        <f t="shared" ref="E34:K34" si="21">E14</f>
        <v>#N/A</v>
      </c>
      <c r="F34" s="200" t="e">
        <f t="shared" si="21"/>
        <v>#N/A</v>
      </c>
      <c r="G34" s="200" t="e">
        <f t="shared" si="21"/>
        <v>#N/A</v>
      </c>
      <c r="H34" s="200" t="e">
        <f t="shared" si="21"/>
        <v>#N/A</v>
      </c>
      <c r="I34" s="200" t="e">
        <f t="shared" si="21"/>
        <v>#N/A</v>
      </c>
      <c r="J34" s="200" t="e">
        <f t="shared" si="21"/>
        <v>#N/A</v>
      </c>
      <c r="K34" s="200" t="e">
        <f t="shared" si="21"/>
        <v>#N/A</v>
      </c>
      <c r="W34" s="200">
        <v>7</v>
      </c>
      <c r="X34" s="304" t="e">
        <f>J58</f>
        <v>#N/A</v>
      </c>
      <c r="Y34" s="380">
        <f>J56</f>
        <v>0</v>
      </c>
      <c r="Z34" s="382" t="e">
        <f>J59</f>
        <v>#N/A</v>
      </c>
      <c r="AA34" s="65">
        <f>J57</f>
        <v>0</v>
      </c>
      <c r="AB34" s="381">
        <v>7</v>
      </c>
      <c r="AC34" s="200" t="e">
        <f>J62</f>
        <v>#N/A</v>
      </c>
      <c r="AD34" s="381" t="e">
        <f t="shared" ref="AD34:AD40" si="22">X34</f>
        <v>#N/A</v>
      </c>
      <c r="AE34" s="381">
        <f t="shared" ref="AE34:AE40" si="23">Y34</f>
        <v>0</v>
      </c>
      <c r="AF34" s="387" t="e">
        <f t="shared" ref="AF34:AF40" si="24">$C$62-AE34-AD34-AC34</f>
        <v>#N/A</v>
      </c>
    </row>
    <row r="35" spans="2:32" x14ac:dyDescent="0.3">
      <c r="B35" s="256" t="s">
        <v>259</v>
      </c>
      <c r="C35" s="256" t="str">
        <f t="shared" si="18"/>
        <v>Street 1 &amp; Street 2</v>
      </c>
      <c r="D35" s="256" t="e">
        <f>D15</f>
        <v>#N/A</v>
      </c>
      <c r="E35" s="256" t="e">
        <f t="shared" ref="E35:K35" si="25">E15</f>
        <v>#N/A</v>
      </c>
      <c r="F35" s="256" t="e">
        <f t="shared" si="25"/>
        <v>#N/A</v>
      </c>
      <c r="G35" s="256" t="e">
        <f t="shared" si="25"/>
        <v>#N/A</v>
      </c>
      <c r="H35" s="256" t="e">
        <f t="shared" si="25"/>
        <v>#N/A</v>
      </c>
      <c r="I35" s="256" t="e">
        <f t="shared" si="25"/>
        <v>#N/A</v>
      </c>
      <c r="J35" s="256" t="e">
        <f t="shared" si="25"/>
        <v>#N/A</v>
      </c>
      <c r="K35" s="256" t="e">
        <f t="shared" si="25"/>
        <v>#N/A</v>
      </c>
      <c r="W35" s="200">
        <v>6</v>
      </c>
      <c r="X35" s="304" t="e">
        <f>I58</f>
        <v>#N/A</v>
      </c>
      <c r="Y35" s="380">
        <f>I56</f>
        <v>0</v>
      </c>
      <c r="Z35" s="382" t="e">
        <f>I59</f>
        <v>#N/A</v>
      </c>
      <c r="AA35" s="65">
        <f>I57</f>
        <v>0</v>
      </c>
      <c r="AB35" s="381">
        <v>6</v>
      </c>
      <c r="AC35" s="200" t="e">
        <f>I62</f>
        <v>#N/A</v>
      </c>
      <c r="AD35" s="381" t="e">
        <f t="shared" si="22"/>
        <v>#N/A</v>
      </c>
      <c r="AE35" s="381">
        <f t="shared" si="23"/>
        <v>0</v>
      </c>
      <c r="AF35" s="387" t="e">
        <f t="shared" si="24"/>
        <v>#N/A</v>
      </c>
    </row>
    <row r="36" spans="2:32" x14ac:dyDescent="0.3">
      <c r="B36" s="200" t="s">
        <v>260</v>
      </c>
      <c r="C36" s="200" t="str">
        <f t="shared" si="18"/>
        <v>Street 1 &amp; Street 2</v>
      </c>
      <c r="D36" s="200">
        <f>IF(D4="",0,D16)</f>
        <v>0</v>
      </c>
      <c r="E36" s="222">
        <f t="shared" ref="E36:K36" si="26">IF(E4="",0,E16)</f>
        <v>0</v>
      </c>
      <c r="F36" s="222">
        <f t="shared" si="26"/>
        <v>0</v>
      </c>
      <c r="G36" s="222">
        <f t="shared" si="26"/>
        <v>0</v>
      </c>
      <c r="H36" s="222">
        <f t="shared" si="26"/>
        <v>0</v>
      </c>
      <c r="I36" s="222">
        <f t="shared" si="26"/>
        <v>0</v>
      </c>
      <c r="J36" s="222">
        <f t="shared" si="26"/>
        <v>0</v>
      </c>
      <c r="K36" s="222">
        <f t="shared" si="26"/>
        <v>0</v>
      </c>
      <c r="W36" s="200">
        <v>5</v>
      </c>
      <c r="X36" s="304" t="e">
        <f>H58</f>
        <v>#N/A</v>
      </c>
      <c r="Y36" s="380">
        <f>H56</f>
        <v>0</v>
      </c>
      <c r="Z36" s="382" t="e">
        <f>H59</f>
        <v>#N/A</v>
      </c>
      <c r="AA36" s="65">
        <f>H57</f>
        <v>0</v>
      </c>
      <c r="AB36" s="381">
        <v>5</v>
      </c>
      <c r="AC36" s="200">
        <f>H62</f>
        <v>0</v>
      </c>
      <c r="AD36" s="381" t="e">
        <f t="shared" si="22"/>
        <v>#N/A</v>
      </c>
      <c r="AE36" s="381">
        <f t="shared" si="23"/>
        <v>0</v>
      </c>
      <c r="AF36" s="387" t="e">
        <f t="shared" si="24"/>
        <v>#N/A</v>
      </c>
    </row>
    <row r="37" spans="2:32" x14ac:dyDescent="0.3">
      <c r="B37" s="256" t="s">
        <v>261</v>
      </c>
      <c r="C37" s="256" t="str">
        <f t="shared" si="18"/>
        <v>Street 1 &amp; Street 2</v>
      </c>
      <c r="D37" s="256">
        <f>D7</f>
        <v>0</v>
      </c>
      <c r="E37" s="256">
        <f t="shared" ref="E37:K37" si="27">E7</f>
        <v>0</v>
      </c>
      <c r="F37" s="256">
        <f t="shared" si="27"/>
        <v>0</v>
      </c>
      <c r="G37" s="256">
        <f t="shared" si="27"/>
        <v>0</v>
      </c>
      <c r="H37" s="256">
        <f t="shared" si="27"/>
        <v>0</v>
      </c>
      <c r="I37" s="256">
        <f t="shared" si="27"/>
        <v>0</v>
      </c>
      <c r="J37" s="256">
        <f t="shared" si="27"/>
        <v>0</v>
      </c>
      <c r="K37" s="256">
        <f t="shared" si="27"/>
        <v>0</v>
      </c>
      <c r="W37" s="200">
        <v>4</v>
      </c>
      <c r="X37" s="304" t="e">
        <f>G58</f>
        <v>#N/A</v>
      </c>
      <c r="Y37" s="380">
        <f>G56</f>
        <v>0</v>
      </c>
      <c r="Z37" s="382" t="e">
        <f>G59</f>
        <v>#N/A</v>
      </c>
      <c r="AA37" s="65">
        <f>G57</f>
        <v>0</v>
      </c>
      <c r="AB37" s="381">
        <v>4</v>
      </c>
      <c r="AC37" s="200" t="e">
        <f>G62</f>
        <v>#N/A</v>
      </c>
      <c r="AD37" s="381" t="e">
        <f t="shared" si="22"/>
        <v>#N/A</v>
      </c>
      <c r="AE37" s="381">
        <f t="shared" si="23"/>
        <v>0</v>
      </c>
      <c r="AF37" s="387" t="e">
        <f t="shared" si="24"/>
        <v>#N/A</v>
      </c>
    </row>
    <row r="38" spans="2:32" x14ac:dyDescent="0.3">
      <c r="B38" s="200" t="s">
        <v>262</v>
      </c>
      <c r="C38" s="200" t="str">
        <f t="shared" si="18"/>
        <v>Street 1 &amp; Street 2</v>
      </c>
      <c r="D38" s="200">
        <f>D8</f>
        <v>0</v>
      </c>
      <c r="E38" s="200">
        <f t="shared" ref="E38:K38" si="28">E8</f>
        <v>0</v>
      </c>
      <c r="F38" s="200">
        <f t="shared" si="28"/>
        <v>0</v>
      </c>
      <c r="G38" s="200">
        <f t="shared" si="28"/>
        <v>0</v>
      </c>
      <c r="H38" s="200">
        <f t="shared" si="28"/>
        <v>0</v>
      </c>
      <c r="I38" s="200">
        <f t="shared" si="28"/>
        <v>0</v>
      </c>
      <c r="J38" s="200">
        <f t="shared" si="28"/>
        <v>0</v>
      </c>
      <c r="K38" s="200">
        <f t="shared" si="28"/>
        <v>0</v>
      </c>
      <c r="W38" s="200">
        <v>3</v>
      </c>
      <c r="X38" s="304" t="e">
        <f>F58</f>
        <v>#N/A</v>
      </c>
      <c r="Y38" s="380">
        <f>F56</f>
        <v>0</v>
      </c>
      <c r="Z38" s="382" t="e">
        <f>F59</f>
        <v>#N/A</v>
      </c>
      <c r="AA38" s="65">
        <f>F57</f>
        <v>0</v>
      </c>
      <c r="AB38" s="381">
        <v>3</v>
      </c>
      <c r="AC38" s="200" t="e">
        <f>F62</f>
        <v>#N/A</v>
      </c>
      <c r="AD38" s="381" t="e">
        <f t="shared" si="22"/>
        <v>#N/A</v>
      </c>
      <c r="AE38" s="381">
        <f t="shared" si="23"/>
        <v>0</v>
      </c>
      <c r="AF38" s="387" t="e">
        <f t="shared" si="24"/>
        <v>#N/A</v>
      </c>
    </row>
    <row r="39" spans="2:32" x14ac:dyDescent="0.3">
      <c r="B39" s="256" t="s">
        <v>263</v>
      </c>
      <c r="C39" s="256" t="str">
        <f t="shared" si="18"/>
        <v>Street 1 &amp; Street 2</v>
      </c>
      <c r="D39" s="256">
        <v>0</v>
      </c>
      <c r="E39" s="256">
        <f>IF(E9=0,0,1)</f>
        <v>1</v>
      </c>
      <c r="F39" s="256">
        <v>0</v>
      </c>
      <c r="G39" s="256">
        <f>IF(G9=0,0,1)</f>
        <v>1</v>
      </c>
      <c r="H39" s="256">
        <v>0</v>
      </c>
      <c r="I39" s="256">
        <f>IF(I9=0,0,1)</f>
        <v>1</v>
      </c>
      <c r="J39" s="256">
        <v>0</v>
      </c>
      <c r="K39" s="256">
        <f>IF(K9=0,0,1)</f>
        <v>1</v>
      </c>
      <c r="W39" s="200">
        <v>2</v>
      </c>
      <c r="X39" s="304" t="e">
        <f>E58</f>
        <v>#N/A</v>
      </c>
      <c r="Y39" s="380">
        <f>E56</f>
        <v>0</v>
      </c>
      <c r="Z39" s="382" t="e">
        <f>E59</f>
        <v>#N/A</v>
      </c>
      <c r="AA39" s="65">
        <f>E57</f>
        <v>0</v>
      </c>
      <c r="AB39" s="381">
        <v>2</v>
      </c>
      <c r="AC39" s="200" t="e">
        <f>E62</f>
        <v>#N/A</v>
      </c>
      <c r="AD39" s="381" t="e">
        <f t="shared" si="22"/>
        <v>#N/A</v>
      </c>
      <c r="AE39" s="381">
        <f t="shared" si="23"/>
        <v>0</v>
      </c>
      <c r="AF39" s="387" t="e">
        <f t="shared" si="24"/>
        <v>#N/A</v>
      </c>
    </row>
    <row r="40" spans="2:32" x14ac:dyDescent="0.3">
      <c r="B40" s="200" t="s">
        <v>264</v>
      </c>
      <c r="C40" s="200" t="str">
        <f t="shared" si="18"/>
        <v>Street 1 &amp; Street 2</v>
      </c>
      <c r="E40" s="200">
        <f>E9</f>
        <v>5</v>
      </c>
      <c r="G40" s="200">
        <f>G9</f>
        <v>5</v>
      </c>
      <c r="I40" s="200">
        <f>I9</f>
        <v>5</v>
      </c>
      <c r="K40" s="200">
        <f>K9</f>
        <v>5</v>
      </c>
      <c r="W40" s="200">
        <v>1</v>
      </c>
      <c r="X40" s="304" t="e">
        <f>D58</f>
        <v>#N/A</v>
      </c>
      <c r="Y40" s="380">
        <f>D56</f>
        <v>0</v>
      </c>
      <c r="Z40" s="382" t="e">
        <f>D59</f>
        <v>#N/A</v>
      </c>
      <c r="AA40" s="65">
        <f>D57</f>
        <v>0</v>
      </c>
      <c r="AB40" s="381">
        <v>1</v>
      </c>
      <c r="AC40" s="200">
        <f>D62</f>
        <v>0</v>
      </c>
      <c r="AD40" s="381" t="e">
        <f t="shared" si="22"/>
        <v>#N/A</v>
      </c>
      <c r="AE40" s="381">
        <f t="shared" si="23"/>
        <v>0</v>
      </c>
      <c r="AF40" s="387" t="e">
        <f t="shared" si="24"/>
        <v>#N/A</v>
      </c>
    </row>
    <row r="41" spans="2:32" x14ac:dyDescent="0.3">
      <c r="B41" s="256" t="s">
        <v>265</v>
      </c>
      <c r="C41" s="256" t="str">
        <f t="shared" si="18"/>
        <v>Street 1 &amp; Street 2</v>
      </c>
      <c r="D41" s="256"/>
      <c r="E41" s="256">
        <f>E10</f>
        <v>0</v>
      </c>
      <c r="F41" s="256"/>
      <c r="G41" s="256">
        <f>G10</f>
        <v>0</v>
      </c>
      <c r="H41" s="256"/>
      <c r="I41" s="256">
        <f>I10</f>
        <v>0</v>
      </c>
      <c r="J41" s="256"/>
      <c r="K41" s="256">
        <f>K10</f>
        <v>0</v>
      </c>
    </row>
    <row r="42" spans="2:32" x14ac:dyDescent="0.3">
      <c r="B42" s="200" t="s">
        <v>266</v>
      </c>
      <c r="C42" s="200" t="str">
        <f t="shared" si="18"/>
        <v>Street 1 &amp; Street 2</v>
      </c>
      <c r="E42" s="200">
        <f>IF(E40=0,0,1)</f>
        <v>1</v>
      </c>
      <c r="G42" s="215">
        <f>IF(G40=0,0,1)</f>
        <v>1</v>
      </c>
      <c r="I42" s="215">
        <f>IF(I40=0,0,1)</f>
        <v>1</v>
      </c>
      <c r="K42" s="215">
        <f>IF(K40=0,0,1)</f>
        <v>1</v>
      </c>
      <c r="AD42" s="381"/>
      <c r="AE42" s="381"/>
      <c r="AF42" s="387"/>
    </row>
    <row r="43" spans="2:32" x14ac:dyDescent="0.3">
      <c r="B43" s="256" t="s">
        <v>267</v>
      </c>
      <c r="C43" s="256" t="str">
        <f t="shared" si="18"/>
        <v>Street 1 &amp; Street 2</v>
      </c>
      <c r="D43" s="256">
        <f>IF(D4="",0,D18)</f>
        <v>0</v>
      </c>
      <c r="E43" s="256">
        <f t="shared" ref="E43:K43" si="29">IF(E4="",0,E18)</f>
        <v>5</v>
      </c>
      <c r="F43" s="256">
        <f t="shared" si="29"/>
        <v>0</v>
      </c>
      <c r="G43" s="256">
        <f t="shared" si="29"/>
        <v>5</v>
      </c>
      <c r="H43" s="256">
        <f t="shared" si="29"/>
        <v>0</v>
      </c>
      <c r="I43" s="256">
        <f t="shared" si="29"/>
        <v>5</v>
      </c>
      <c r="J43" s="256">
        <f t="shared" si="29"/>
        <v>0</v>
      </c>
      <c r="K43" s="256">
        <f t="shared" si="29"/>
        <v>5</v>
      </c>
      <c r="AD43" s="381"/>
      <c r="AE43" s="381"/>
      <c r="AF43" s="387"/>
    </row>
    <row r="44" spans="2:32" x14ac:dyDescent="0.3">
      <c r="B44" s="200" t="s">
        <v>268</v>
      </c>
      <c r="C44" s="200" t="str">
        <f t="shared" si="18"/>
        <v>Street 1 &amp; Street 2</v>
      </c>
      <c r="D44" s="200">
        <v>0</v>
      </c>
      <c r="E44" s="200" t="e">
        <f>IF(E3=0,0,1)</f>
        <v>#N/A</v>
      </c>
      <c r="F44" s="200">
        <v>0</v>
      </c>
      <c r="G44" s="200" t="e">
        <f>IF(G3=0,0,1)</f>
        <v>#N/A</v>
      </c>
      <c r="H44" s="200">
        <v>0</v>
      </c>
      <c r="I44" s="200" t="e">
        <f>IF(I3=0,0,1)</f>
        <v>#N/A</v>
      </c>
      <c r="J44" s="200">
        <v>0</v>
      </c>
      <c r="K44" s="200" t="e">
        <f>IF(K3=0,0,1)</f>
        <v>#N/A</v>
      </c>
      <c r="AD44" s="381"/>
      <c r="AE44" s="381"/>
      <c r="AF44" s="387"/>
    </row>
    <row r="45" spans="2:32" x14ac:dyDescent="0.3">
      <c r="B45" s="256" t="s">
        <v>269</v>
      </c>
      <c r="C45" s="256" t="str">
        <f t="shared" si="18"/>
        <v>Street 1 &amp; Street 2</v>
      </c>
      <c r="D45" s="256" t="e">
        <f>IF(D3=0,0,1)</f>
        <v>#N/A</v>
      </c>
      <c r="E45" s="256" t="e">
        <f t="shared" ref="E45:K45" si="30">IF(E3=0,0,1)</f>
        <v>#N/A</v>
      </c>
      <c r="F45" s="256" t="e">
        <f t="shared" si="30"/>
        <v>#N/A</v>
      </c>
      <c r="G45" s="256" t="e">
        <f t="shared" si="30"/>
        <v>#N/A</v>
      </c>
      <c r="H45" s="256" t="e">
        <f t="shared" si="30"/>
        <v>#N/A</v>
      </c>
      <c r="I45" s="256" t="e">
        <f t="shared" si="30"/>
        <v>#N/A</v>
      </c>
      <c r="J45" s="256" t="e">
        <f t="shared" si="30"/>
        <v>#N/A</v>
      </c>
      <c r="K45" s="256" t="e">
        <f t="shared" si="30"/>
        <v>#N/A</v>
      </c>
      <c r="AD45" s="381"/>
      <c r="AE45" s="381"/>
      <c r="AF45" s="387"/>
    </row>
    <row r="46" spans="2:32" x14ac:dyDescent="0.3">
      <c r="B46" s="200" t="s">
        <v>270</v>
      </c>
      <c r="C46" s="200" t="str">
        <f t="shared" si="18"/>
        <v>Street 1 &amp; Street 2</v>
      </c>
      <c r="D46" s="200">
        <f>IF(D4="",0,D19)</f>
        <v>0</v>
      </c>
      <c r="E46" s="222" t="e">
        <f t="shared" ref="E46:K46" si="31">IF(E4="",0,E19)</f>
        <v>#N/A</v>
      </c>
      <c r="F46" s="222">
        <f t="shared" si="31"/>
        <v>0</v>
      </c>
      <c r="G46" s="222" t="e">
        <f t="shared" si="31"/>
        <v>#N/A</v>
      </c>
      <c r="H46" s="222">
        <f t="shared" si="31"/>
        <v>0</v>
      </c>
      <c r="I46" s="222" t="e">
        <f t="shared" si="31"/>
        <v>#N/A</v>
      </c>
      <c r="J46" s="222">
        <f t="shared" si="31"/>
        <v>0</v>
      </c>
      <c r="K46" s="222" t="e">
        <f t="shared" si="31"/>
        <v>#N/A</v>
      </c>
      <c r="AD46" s="381"/>
      <c r="AE46" s="381"/>
      <c r="AF46" s="387"/>
    </row>
    <row r="47" spans="2:32" x14ac:dyDescent="0.3">
      <c r="B47" s="256" t="s">
        <v>271</v>
      </c>
      <c r="C47" s="256" t="str">
        <f t="shared" si="18"/>
        <v>Street 1 &amp; Street 2</v>
      </c>
      <c r="D47" s="256">
        <f>IF(D4="",0,D20)</f>
        <v>0</v>
      </c>
      <c r="E47" s="256" t="e">
        <f t="shared" ref="E47:K47" si="32">IF(E4="",0,E20)</f>
        <v>#N/A</v>
      </c>
      <c r="F47" s="256">
        <f t="shared" si="32"/>
        <v>0</v>
      </c>
      <c r="G47" s="256" t="e">
        <f t="shared" si="32"/>
        <v>#N/A</v>
      </c>
      <c r="H47" s="256">
        <f t="shared" si="32"/>
        <v>0</v>
      </c>
      <c r="I47" s="256" t="e">
        <f t="shared" si="32"/>
        <v>#N/A</v>
      </c>
      <c r="J47" s="256">
        <f t="shared" si="32"/>
        <v>0</v>
      </c>
      <c r="K47" s="256" t="e">
        <f t="shared" si="32"/>
        <v>#N/A</v>
      </c>
      <c r="AD47" s="381"/>
      <c r="AE47" s="381"/>
      <c r="AF47" s="387"/>
    </row>
    <row r="48" spans="2:32" x14ac:dyDescent="0.3">
      <c r="B48" s="200" t="s">
        <v>272</v>
      </c>
      <c r="C48" s="200" t="str">
        <f t="shared" si="18"/>
        <v>Street 1 &amp; Street 2</v>
      </c>
      <c r="D48" s="200">
        <f>IF(D4="",0,D21)</f>
        <v>0</v>
      </c>
      <c r="E48" s="222" t="e">
        <f t="shared" ref="E48:K48" si="33">IF(E4="",0,E21)</f>
        <v>#N/A</v>
      </c>
      <c r="F48" s="222">
        <f t="shared" si="33"/>
        <v>0</v>
      </c>
      <c r="G48" s="222" t="e">
        <f t="shared" si="33"/>
        <v>#N/A</v>
      </c>
      <c r="H48" s="222">
        <f t="shared" si="33"/>
        <v>0</v>
      </c>
      <c r="I48" s="222" t="e">
        <f t="shared" si="33"/>
        <v>#N/A</v>
      </c>
      <c r="J48" s="222">
        <f t="shared" si="33"/>
        <v>0</v>
      </c>
      <c r="K48" s="222" t="e">
        <f t="shared" si="33"/>
        <v>#N/A</v>
      </c>
      <c r="AD48" s="381"/>
      <c r="AE48" s="381"/>
      <c r="AF48" s="387"/>
    </row>
    <row r="49" spans="2:32" x14ac:dyDescent="0.3">
      <c r="B49" s="256" t="s">
        <v>273</v>
      </c>
      <c r="C49" s="256" t="str">
        <f t="shared" si="18"/>
        <v>Street 1 &amp; Street 2</v>
      </c>
      <c r="D49" s="256">
        <f>IF(D4="",0,D22)</f>
        <v>0</v>
      </c>
      <c r="E49" s="256" t="e">
        <f t="shared" ref="E49:K49" si="34">IF(E4="",0,E22)</f>
        <v>#N/A</v>
      </c>
      <c r="F49" s="256">
        <f t="shared" si="34"/>
        <v>0</v>
      </c>
      <c r="G49" s="256" t="e">
        <f t="shared" si="34"/>
        <v>#N/A</v>
      </c>
      <c r="H49" s="256">
        <f t="shared" si="34"/>
        <v>0</v>
      </c>
      <c r="I49" s="256" t="e">
        <f t="shared" si="34"/>
        <v>#N/A</v>
      </c>
      <c r="J49" s="256">
        <f t="shared" si="34"/>
        <v>0</v>
      </c>
      <c r="K49" s="256" t="e">
        <f t="shared" si="34"/>
        <v>#N/A</v>
      </c>
      <c r="AD49" s="381"/>
      <c r="AE49" s="381"/>
      <c r="AF49" s="387"/>
    </row>
    <row r="50" spans="2:32" x14ac:dyDescent="0.3">
      <c r="B50" s="200" t="s">
        <v>274</v>
      </c>
      <c r="C50" s="200" t="str">
        <f t="shared" si="18"/>
        <v>Street 1 &amp; Street 2</v>
      </c>
      <c r="D50" s="200">
        <f>IF(D4="",0,D23)</f>
        <v>0</v>
      </c>
      <c r="E50" s="222" t="e">
        <f t="shared" ref="E50:K50" si="35">IF(E4="",0,E23)</f>
        <v>#N/A</v>
      </c>
      <c r="F50" s="222">
        <f t="shared" si="35"/>
        <v>0</v>
      </c>
      <c r="G50" s="222" t="e">
        <f t="shared" si="35"/>
        <v>#N/A</v>
      </c>
      <c r="H50" s="222">
        <f t="shared" si="35"/>
        <v>0</v>
      </c>
      <c r="I50" s="222" t="e">
        <f t="shared" si="35"/>
        <v>#N/A</v>
      </c>
      <c r="J50" s="222">
        <f t="shared" si="35"/>
        <v>0</v>
      </c>
      <c r="K50" s="222" t="e">
        <f t="shared" si="35"/>
        <v>#N/A</v>
      </c>
    </row>
    <row r="51" spans="2:32" x14ac:dyDescent="0.3">
      <c r="B51" s="256" t="s">
        <v>275</v>
      </c>
      <c r="C51" s="256" t="str">
        <f t="shared" si="18"/>
        <v>Street 1 &amp; Street 2</v>
      </c>
      <c r="D51" s="256">
        <f>IF(D4="",0,D24)</f>
        <v>0</v>
      </c>
      <c r="E51" s="256" t="e">
        <f t="shared" ref="E51:K51" si="36">IF(E4="",0,E24)</f>
        <v>#N/A</v>
      </c>
      <c r="F51" s="256">
        <f t="shared" si="36"/>
        <v>0</v>
      </c>
      <c r="G51" s="256" t="e">
        <f t="shared" si="36"/>
        <v>#N/A</v>
      </c>
      <c r="H51" s="256">
        <f t="shared" si="36"/>
        <v>0</v>
      </c>
      <c r="I51" s="256" t="e">
        <f t="shared" si="36"/>
        <v>#N/A</v>
      </c>
      <c r="J51" s="256">
        <f t="shared" si="36"/>
        <v>0</v>
      </c>
      <c r="K51" s="256" t="e">
        <f t="shared" si="36"/>
        <v>#N/A</v>
      </c>
    </row>
    <row r="52" spans="2:32" x14ac:dyDescent="0.3">
      <c r="B52" s="200" t="s">
        <v>276</v>
      </c>
      <c r="C52" s="200" t="str">
        <f t="shared" si="18"/>
        <v>Street 1 &amp; Street 2</v>
      </c>
      <c r="D52" s="200">
        <f>IF(D4="",0,D25)</f>
        <v>0</v>
      </c>
      <c r="E52" s="222" t="e">
        <f t="shared" ref="E52:K52" si="37">IF(E4="",0,E25)</f>
        <v>#N/A</v>
      </c>
      <c r="F52" s="222">
        <f t="shared" si="37"/>
        <v>0</v>
      </c>
      <c r="G52" s="222" t="e">
        <f t="shared" si="37"/>
        <v>#N/A</v>
      </c>
      <c r="H52" s="222">
        <f t="shared" si="37"/>
        <v>0</v>
      </c>
      <c r="I52" s="222" t="e">
        <f t="shared" si="37"/>
        <v>#N/A</v>
      </c>
      <c r="J52" s="222">
        <f t="shared" si="37"/>
        <v>0</v>
      </c>
      <c r="K52" s="222" t="e">
        <f t="shared" si="37"/>
        <v>#N/A</v>
      </c>
    </row>
    <row r="54" spans="2:32" x14ac:dyDescent="0.3">
      <c r="D54" s="200">
        <v>1</v>
      </c>
      <c r="E54" s="200">
        <v>2</v>
      </c>
      <c r="F54" s="200">
        <v>3</v>
      </c>
      <c r="G54" s="200">
        <v>4</v>
      </c>
      <c r="H54" s="200">
        <v>5</v>
      </c>
      <c r="I54" s="200">
        <v>6</v>
      </c>
      <c r="J54" s="200">
        <v>7</v>
      </c>
      <c r="K54" s="200">
        <v>8</v>
      </c>
    </row>
    <row r="55" spans="2:32" x14ac:dyDescent="0.3">
      <c r="B55" s="256" t="s">
        <v>321</v>
      </c>
      <c r="C55" s="256"/>
      <c r="D55" s="256" t="e">
        <f>D3</f>
        <v>#N/A</v>
      </c>
      <c r="E55" s="256" t="e">
        <f t="shared" ref="E55:K55" si="38">E3</f>
        <v>#N/A</v>
      </c>
      <c r="F55" s="256" t="e">
        <f t="shared" si="38"/>
        <v>#N/A</v>
      </c>
      <c r="G55" s="256" t="e">
        <f t="shared" si="38"/>
        <v>#N/A</v>
      </c>
      <c r="H55" s="256" t="e">
        <f t="shared" si="38"/>
        <v>#N/A</v>
      </c>
      <c r="I55" s="256" t="e">
        <f t="shared" si="38"/>
        <v>#N/A</v>
      </c>
      <c r="J55" s="256" t="e">
        <f t="shared" si="38"/>
        <v>#N/A</v>
      </c>
      <c r="K55" s="256" t="e">
        <f t="shared" si="38"/>
        <v>#N/A</v>
      </c>
    </row>
    <row r="56" spans="2:32" x14ac:dyDescent="0.3">
      <c r="B56" s="378" t="s">
        <v>261</v>
      </c>
      <c r="D56" s="380">
        <f>D7</f>
        <v>0</v>
      </c>
      <c r="E56" s="380">
        <f t="shared" ref="E56:K56" si="39">E7</f>
        <v>0</v>
      </c>
      <c r="F56" s="380">
        <f t="shared" si="39"/>
        <v>0</v>
      </c>
      <c r="G56" s="380">
        <f t="shared" si="39"/>
        <v>0</v>
      </c>
      <c r="H56" s="380">
        <f t="shared" si="39"/>
        <v>0</v>
      </c>
      <c r="I56" s="380">
        <f t="shared" si="39"/>
        <v>0</v>
      </c>
      <c r="J56" s="380">
        <f t="shared" si="39"/>
        <v>0</v>
      </c>
      <c r="K56" s="380">
        <f t="shared" si="39"/>
        <v>0</v>
      </c>
    </row>
    <row r="57" spans="2:32" x14ac:dyDescent="0.3">
      <c r="B57" s="256" t="s">
        <v>285</v>
      </c>
      <c r="C57" s="256"/>
      <c r="D57" s="256">
        <f>D8</f>
        <v>0</v>
      </c>
      <c r="E57" s="256">
        <f t="shared" ref="E57:K57" si="40">E8</f>
        <v>0</v>
      </c>
      <c r="F57" s="256">
        <f t="shared" si="40"/>
        <v>0</v>
      </c>
      <c r="G57" s="256">
        <f t="shared" si="40"/>
        <v>0</v>
      </c>
      <c r="H57" s="256">
        <f t="shared" si="40"/>
        <v>0</v>
      </c>
      <c r="I57" s="256">
        <f t="shared" si="40"/>
        <v>0</v>
      </c>
      <c r="J57" s="256">
        <f t="shared" si="40"/>
        <v>0</v>
      </c>
      <c r="K57" s="256">
        <f t="shared" si="40"/>
        <v>0</v>
      </c>
    </row>
    <row r="58" spans="2:32" x14ac:dyDescent="0.3">
      <c r="B58" s="378" t="s">
        <v>451</v>
      </c>
      <c r="D58" s="304" t="e">
        <f>D55-D56-D57</f>
        <v>#N/A</v>
      </c>
      <c r="E58" s="304" t="e">
        <f t="shared" ref="E58:K58" si="41">E55-E56-E57</f>
        <v>#N/A</v>
      </c>
      <c r="F58" s="304" t="e">
        <f t="shared" si="41"/>
        <v>#N/A</v>
      </c>
      <c r="G58" s="304" t="e">
        <f t="shared" si="41"/>
        <v>#N/A</v>
      </c>
      <c r="H58" s="304" t="e">
        <f t="shared" si="41"/>
        <v>#N/A</v>
      </c>
      <c r="I58" s="304" t="e">
        <f t="shared" si="41"/>
        <v>#N/A</v>
      </c>
      <c r="J58" s="304" t="e">
        <f t="shared" si="41"/>
        <v>#N/A</v>
      </c>
      <c r="K58" s="304" t="e">
        <f t="shared" si="41"/>
        <v>#N/A</v>
      </c>
    </row>
    <row r="59" spans="2:32" s="378" customFormat="1" x14ac:dyDescent="0.3">
      <c r="B59" s="381" t="s">
        <v>456</v>
      </c>
      <c r="D59" s="378" t="e">
        <f>$C$62-D55+D57</f>
        <v>#N/A</v>
      </c>
      <c r="E59" s="381" t="e">
        <f t="shared" ref="E59:K59" si="42">$C$62-E55+E57</f>
        <v>#N/A</v>
      </c>
      <c r="F59" s="381" t="e">
        <f t="shared" si="42"/>
        <v>#N/A</v>
      </c>
      <c r="G59" s="381" t="e">
        <f t="shared" si="42"/>
        <v>#N/A</v>
      </c>
      <c r="H59" s="381" t="e">
        <f t="shared" si="42"/>
        <v>#N/A</v>
      </c>
      <c r="I59" s="381" t="e">
        <f t="shared" si="42"/>
        <v>#N/A</v>
      </c>
      <c r="J59" s="381" t="e">
        <f t="shared" si="42"/>
        <v>#N/A</v>
      </c>
      <c r="K59" s="381" t="e">
        <f t="shared" si="42"/>
        <v>#N/A</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452</v>
      </c>
      <c r="C62" s="386">
        <f>'Phase calculation'!C25</f>
        <v>40</v>
      </c>
      <c r="D62" s="304">
        <v>0</v>
      </c>
      <c r="E62" s="304" t="e">
        <f>D65</f>
        <v>#N/A</v>
      </c>
      <c r="F62" s="304" t="e">
        <f>E65</f>
        <v>#N/A</v>
      </c>
      <c r="G62" s="304" t="e">
        <f>F65</f>
        <v>#N/A</v>
      </c>
      <c r="H62" s="383">
        <v>0</v>
      </c>
      <c r="I62" s="344" t="e">
        <f>H65</f>
        <v>#N/A</v>
      </c>
      <c r="J62" s="344" t="e">
        <f>I65</f>
        <v>#N/A</v>
      </c>
      <c r="K62" s="344" t="e">
        <f>J65</f>
        <v>#N/A</v>
      </c>
    </row>
    <row r="63" spans="2:32" x14ac:dyDescent="0.3">
      <c r="B63" s="378" t="s">
        <v>453</v>
      </c>
      <c r="D63" s="380" t="e">
        <f t="shared" ref="D63:K63" si="43">D62+D58</f>
        <v>#N/A</v>
      </c>
      <c r="E63" s="380" t="e">
        <f t="shared" si="43"/>
        <v>#N/A</v>
      </c>
      <c r="F63" s="380" t="e">
        <f t="shared" si="43"/>
        <v>#N/A</v>
      </c>
      <c r="G63" s="380" t="e">
        <f t="shared" si="43"/>
        <v>#N/A</v>
      </c>
      <c r="H63" s="384" t="e">
        <f t="shared" si="43"/>
        <v>#N/A</v>
      </c>
      <c r="I63" s="167" t="e">
        <f t="shared" si="43"/>
        <v>#N/A</v>
      </c>
      <c r="J63" s="167" t="e">
        <f t="shared" si="43"/>
        <v>#N/A</v>
      </c>
      <c r="K63" s="167" t="e">
        <f t="shared" si="43"/>
        <v>#N/A</v>
      </c>
    </row>
    <row r="64" spans="2:32" x14ac:dyDescent="0.3">
      <c r="B64" s="256" t="s">
        <v>454</v>
      </c>
      <c r="C64" s="256"/>
      <c r="D64" s="382" t="e">
        <f t="shared" ref="D64:K65" si="44">D63+D56</f>
        <v>#N/A</v>
      </c>
      <c r="E64" s="382" t="e">
        <f t="shared" si="44"/>
        <v>#N/A</v>
      </c>
      <c r="F64" s="382" t="e">
        <f t="shared" si="44"/>
        <v>#N/A</v>
      </c>
      <c r="G64" s="382" t="e">
        <f t="shared" si="44"/>
        <v>#N/A</v>
      </c>
      <c r="H64" s="385" t="e">
        <f t="shared" si="44"/>
        <v>#N/A</v>
      </c>
      <c r="I64" s="219" t="e">
        <f t="shared" si="44"/>
        <v>#N/A</v>
      </c>
      <c r="J64" s="219" t="e">
        <f t="shared" si="44"/>
        <v>#N/A</v>
      </c>
      <c r="K64" s="219" t="e">
        <f t="shared" si="44"/>
        <v>#N/A</v>
      </c>
    </row>
    <row r="65" spans="2:11" x14ac:dyDescent="0.3">
      <c r="B65" s="378" t="s">
        <v>455</v>
      </c>
      <c r="D65" s="200" t="e">
        <f t="shared" si="44"/>
        <v>#N/A</v>
      </c>
      <c r="E65" s="200" t="e">
        <f t="shared" si="44"/>
        <v>#N/A</v>
      </c>
      <c r="F65" s="200" t="e">
        <f t="shared" si="44"/>
        <v>#N/A</v>
      </c>
      <c r="G65" s="200" t="e">
        <f t="shared" si="44"/>
        <v>#N/A</v>
      </c>
      <c r="H65" s="335" t="e">
        <f t="shared" si="44"/>
        <v>#N/A</v>
      </c>
      <c r="I65" s="168" t="e">
        <f t="shared" si="44"/>
        <v>#N/A</v>
      </c>
      <c r="J65" s="168" t="e">
        <f t="shared" si="44"/>
        <v>#N/A</v>
      </c>
      <c r="K65" s="168" t="e">
        <f t="shared" si="44"/>
        <v>#N/A</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K247"/>
  <sheetViews>
    <sheetView showGridLines="0" topLeftCell="A77" zoomScale="70" zoomScaleNormal="70" workbookViewId="0">
      <selection activeCell="Q90" sqref="Q90"/>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55" t="s">
        <v>216</v>
      </c>
      <c r="C2" s="555"/>
      <c r="D2" s="555"/>
      <c r="E2" s="555"/>
      <c r="F2" s="555"/>
      <c r="G2" s="555"/>
      <c r="H2" s="555"/>
      <c r="I2" s="116"/>
      <c r="L2" s="557" t="s">
        <v>217</v>
      </c>
      <c r="M2" s="557"/>
      <c r="N2" s="557"/>
      <c r="O2" s="557"/>
      <c r="P2" s="557"/>
      <c r="Q2" s="557"/>
      <c r="R2" s="116"/>
      <c r="U2" s="555" t="s">
        <v>240</v>
      </c>
      <c r="V2" s="555"/>
      <c r="W2" s="555"/>
      <c r="X2" s="555"/>
      <c r="Y2" s="555"/>
      <c r="Z2" s="555"/>
      <c r="AA2" s="555"/>
      <c r="AD2" s="91">
        <f>'Phase designation'!B27</f>
        <v>0</v>
      </c>
      <c r="AE2" s="91">
        <f>'Phase designation'!C27</f>
        <v>4</v>
      </c>
      <c r="AF2" s="91">
        <f>'Phase designation'!D27</f>
        <v>0</v>
      </c>
      <c r="AG2" s="91">
        <f>'Phase designation'!E27</f>
        <v>8</v>
      </c>
      <c r="AH2" s="91">
        <f>'Phase designation'!F27</f>
        <v>0</v>
      </c>
      <c r="AI2" s="91">
        <f>'Phase designation'!G27</f>
        <v>2</v>
      </c>
      <c r="AJ2" s="91">
        <f>'Phase designation'!H27</f>
        <v>0</v>
      </c>
      <c r="AK2" s="91">
        <f>'Phase designation'!I27</f>
        <v>6</v>
      </c>
    </row>
    <row r="3" spans="1:37" x14ac:dyDescent="0.3">
      <c r="D3" s="556" t="str">
        <f>Sheet1!J38</f>
        <v>Street 1</v>
      </c>
      <c r="E3" s="556"/>
      <c r="F3" s="556"/>
      <c r="N3" s="556" t="str">
        <f>D3</f>
        <v>Street 1</v>
      </c>
      <c r="O3" s="556"/>
      <c r="P3" s="556"/>
      <c r="AD3" s="91">
        <f>'Phase designation'!B28</f>
        <v>4</v>
      </c>
      <c r="AE3" s="91">
        <f>'Phase designation'!C28</f>
        <v>0</v>
      </c>
      <c r="AF3" s="91">
        <f>'Phase designation'!D28</f>
        <v>8</v>
      </c>
      <c r="AG3" s="91">
        <f>'Phase designation'!E28</f>
        <v>0</v>
      </c>
      <c r="AH3" s="91">
        <f>'Phase designation'!F28</f>
        <v>2</v>
      </c>
      <c r="AI3" s="91">
        <f>'Phase designation'!G28</f>
        <v>0</v>
      </c>
      <c r="AJ3" s="91">
        <f>'Phase designation'!H28</f>
        <v>6</v>
      </c>
      <c r="AK3" s="91">
        <f>'Phase designation'!I28</f>
        <v>0</v>
      </c>
    </row>
    <row r="4" spans="1:37" x14ac:dyDescent="0.3">
      <c r="C4" s="5"/>
      <c r="D4" s="117">
        <f>IF(Z4=0,0,Sheet1!K4+Sheet1!AE4+Sheet1!AH4)</f>
        <v>0</v>
      </c>
      <c r="E4" s="117">
        <f>IF(Z4=0,0,Sheet1!J4+Sheet1!AD4+Sheet1!AG4)</f>
        <v>0</v>
      </c>
      <c r="F4" s="117">
        <f>IF(Z4=0,0,Sheet1!I4+Sheet1!AC4+Sheet1!AF4)</f>
        <v>0</v>
      </c>
      <c r="G4" s="5"/>
      <c r="H4" s="5"/>
      <c r="I4" s="5"/>
      <c r="L4" s="5"/>
      <c r="M4" s="5"/>
      <c r="N4" s="307">
        <f>'Phase calculation'!N33</f>
        <v>6</v>
      </c>
      <c r="O4" s="130" t="str">
        <f>IF(X4=0,"N/A",AK5)</f>
        <v>N/A</v>
      </c>
      <c r="P4" s="130" t="str">
        <f>IF(Y4=0,"N/A",AJ5)</f>
        <v>N/A</v>
      </c>
      <c r="Q4" s="5"/>
      <c r="R4" s="5"/>
      <c r="V4" s="5"/>
      <c r="W4" s="117">
        <f>Sheet1!K5+Sheet1!AE5+Sheet1!AH5</f>
        <v>0</v>
      </c>
      <c r="X4" s="117">
        <f>Sheet1!J5+Sheet1!AD5+Sheet1!AG5</f>
        <v>0</v>
      </c>
      <c r="Y4" s="117">
        <f>Sheet1!I5+Sheet1!AC5+Sheet1!AF5</f>
        <v>0</v>
      </c>
      <c r="Z4" s="186">
        <f>SUM(W4:Y4)+X17</f>
        <v>0</v>
      </c>
      <c r="AA4" s="5"/>
    </row>
    <row r="5" spans="1:37" x14ac:dyDescent="0.3">
      <c r="C5" s="5"/>
      <c r="D5" s="5"/>
      <c r="E5" s="5"/>
      <c r="F5" s="5"/>
      <c r="G5" s="5"/>
      <c r="H5" s="5"/>
      <c r="I5" s="5"/>
      <c r="L5" s="5"/>
      <c r="M5" s="5"/>
      <c r="N5" s="5"/>
      <c r="O5" s="5"/>
      <c r="P5" s="5"/>
      <c r="Q5" s="5"/>
      <c r="R5" s="5"/>
      <c r="T5" s="242"/>
      <c r="V5" s="5"/>
      <c r="W5" s="5"/>
      <c r="X5" s="5"/>
      <c r="Y5" s="5"/>
      <c r="Z5" s="5"/>
      <c r="AA5" s="5"/>
      <c r="AD5" s="91">
        <f>IF(AD2=0,AD3,AD2&amp;"+"&amp;AD3)</f>
        <v>4</v>
      </c>
      <c r="AE5" s="91">
        <f>AE2</f>
        <v>4</v>
      </c>
      <c r="AF5" s="91">
        <f>IF(AF2=0,AF3,AF2&amp;"+"&amp;AF3)</f>
        <v>8</v>
      </c>
      <c r="AG5" s="91">
        <f>AG2</f>
        <v>8</v>
      </c>
      <c r="AH5" s="91">
        <f>IF(AH2=0,AH3,AH2&amp;"+"&amp;AH3)</f>
        <v>2</v>
      </c>
      <c r="AI5" s="91">
        <f>AI2</f>
        <v>2</v>
      </c>
      <c r="AJ5" s="91">
        <f>IF(AJ2=0,AJ3,AJ2&amp;"+"&amp;AJ3)</f>
        <v>6</v>
      </c>
      <c r="AK5" s="91">
        <f>AK2</f>
        <v>6</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0</v>
      </c>
      <c r="C9" s="83"/>
      <c r="D9" s="5"/>
      <c r="E9" s="5"/>
      <c r="F9" s="5"/>
      <c r="G9" s="5"/>
      <c r="H9" s="118">
        <f>IF(AA15=0,0,Sheet1!U4)</f>
        <v>0</v>
      </c>
      <c r="I9" s="5"/>
      <c r="L9" s="131" t="str">
        <f>IF(U9=0,"N/A",AD5)</f>
        <v>N/A</v>
      </c>
      <c r="M9" s="5"/>
      <c r="N9" s="5"/>
      <c r="O9" s="5"/>
      <c r="P9" s="5"/>
      <c r="R9" s="306">
        <f>'Phase calculation'!H33</f>
        <v>8</v>
      </c>
      <c r="T9" s="242"/>
      <c r="U9" s="94">
        <f>Sheet1!N5</f>
        <v>0</v>
      </c>
      <c r="V9" s="83"/>
      <c r="W9" s="5"/>
      <c r="X9" s="5"/>
      <c r="Y9" s="5"/>
      <c r="Z9" s="5"/>
      <c r="AA9" s="118">
        <f>Sheet1!U5</f>
        <v>0</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Street 2</v>
      </c>
      <c r="B11" s="94">
        <f>IF(U15=0,0,Sheet1!O4)</f>
        <v>0</v>
      </c>
      <c r="C11" s="81"/>
      <c r="D11" s="26"/>
      <c r="E11" s="12" t="str">
        <f>Sheet1!B2</f>
        <v>Street 1 &amp; Street 2</v>
      </c>
      <c r="F11" s="11"/>
      <c r="G11" s="11"/>
      <c r="H11" s="119">
        <f>IF(AA15=0,0,Sheet1!T4)</f>
        <v>0</v>
      </c>
      <c r="I11" s="205" t="str">
        <f>Sheet1!T38</f>
        <v>Street 2</v>
      </c>
      <c r="K11" s="206" t="str">
        <f>A11</f>
        <v>Street 2</v>
      </c>
      <c r="L11" s="131" t="str">
        <f>IF(U11=0,"N/A",AE5)</f>
        <v>N/A</v>
      </c>
      <c r="M11" s="26"/>
      <c r="N11" s="11"/>
      <c r="O11" s="11"/>
      <c r="P11" s="11"/>
      <c r="R11" s="134" t="str">
        <f>IF(AA11=0,"N/A",AG5)</f>
        <v>N/A</v>
      </c>
      <c r="S11" s="205" t="str">
        <f>I11</f>
        <v>Street 2</v>
      </c>
      <c r="U11" s="94">
        <f>Sheet1!O5</f>
        <v>0</v>
      </c>
      <c r="V11" s="81"/>
      <c r="W11" s="26"/>
      <c r="X11" s="11"/>
      <c r="Y11" s="11"/>
      <c r="Z11" s="11"/>
      <c r="AA11" s="119">
        <f>Sheet1!T5</f>
        <v>0</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0</v>
      </c>
      <c r="C13" s="5"/>
      <c r="D13" s="31"/>
      <c r="E13" s="32"/>
      <c r="F13" s="32"/>
      <c r="G13" s="33"/>
      <c r="H13" s="121">
        <f>IF(AA15=0,0,Sheet1!S4)</f>
        <v>0</v>
      </c>
      <c r="I13" s="16"/>
      <c r="L13" s="305">
        <f>'Phase calculation'!E33</f>
        <v>4</v>
      </c>
      <c r="M13" s="31"/>
      <c r="N13" s="32"/>
      <c r="O13" s="32"/>
      <c r="P13" s="33"/>
      <c r="R13" s="135" t="str">
        <f>IF(AA13=0,"N/A",AF5)</f>
        <v>N/A</v>
      </c>
      <c r="U13" s="94">
        <f>Sheet1!P5</f>
        <v>0</v>
      </c>
      <c r="V13" s="5"/>
      <c r="W13" s="31"/>
      <c r="X13" s="32"/>
      <c r="Y13" s="32"/>
      <c r="Z13" s="33"/>
      <c r="AA13" s="121">
        <f>Sheet1!S5</f>
        <v>0</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0</v>
      </c>
      <c r="V15" s="5"/>
      <c r="W15" s="35"/>
      <c r="X15" s="15"/>
      <c r="Y15" s="15" t="s">
        <v>77</v>
      </c>
      <c r="Z15" s="15"/>
      <c r="AA15" s="187">
        <f>SUM(AA9:AA13)+U11</f>
        <v>0</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0</v>
      </c>
      <c r="E17" s="122">
        <f>IF(Z17=0,0,Sheet1!E4+Sheet1!X4+Sheet1!AA4)</f>
        <v>0</v>
      </c>
      <c r="F17" s="122">
        <f>IF(Z17=0,0,Sheet1!F4+Sheet1!Y4+Sheet1!AB4)</f>
        <v>0</v>
      </c>
      <c r="N17" s="132" t="str">
        <f>IF(W17=0,"N/A",AH5)</f>
        <v>N/A</v>
      </c>
      <c r="O17" s="133" t="str">
        <f>IF(X17=0,"N/A",AI5)</f>
        <v>N/A</v>
      </c>
      <c r="P17" s="307">
        <f>'Phase calculation'!K33</f>
        <v>2</v>
      </c>
      <c r="W17" s="122">
        <f>Sheet1!D5+Sheet1!W5+Sheet1!Z5</f>
        <v>0</v>
      </c>
      <c r="X17" s="122">
        <f>Sheet1!E5+Sheet1!X5+Sheet1!AA5</f>
        <v>0</v>
      </c>
      <c r="Y17" s="122">
        <f>Sheet1!F5+Sheet1!Y5+Sheet1!AB5</f>
        <v>0</v>
      </c>
      <c r="Z17" s="185">
        <f>SUM(W17:Y17)+X4</f>
        <v>0</v>
      </c>
    </row>
    <row r="18" spans="1:26" x14ac:dyDescent="0.3">
      <c r="D18" s="556" t="str">
        <f>Sheet1!E38</f>
        <v>Street 1</v>
      </c>
      <c r="E18" s="556"/>
      <c r="F18" s="556"/>
      <c r="N18" s="556" t="str">
        <f>D18</f>
        <v>Street 1</v>
      </c>
      <c r="O18" s="556"/>
      <c r="P18" s="556"/>
    </row>
    <row r="20" spans="1:26" x14ac:dyDescent="0.3">
      <c r="B20" s="558" t="s">
        <v>215</v>
      </c>
      <c r="C20" s="558"/>
      <c r="D20" s="558"/>
      <c r="E20" s="558"/>
      <c r="F20" s="558"/>
      <c r="G20" s="558"/>
      <c r="H20" s="116"/>
      <c r="L20" s="518" t="s">
        <v>214</v>
      </c>
      <c r="M20" s="518"/>
      <c r="N20" s="518"/>
      <c r="O20" s="518"/>
      <c r="P20" s="518"/>
      <c r="Q20" s="518"/>
    </row>
    <row r="21" spans="1:26" x14ac:dyDescent="0.3">
      <c r="D21" s="556" t="str">
        <f>D3</f>
        <v>Street 1</v>
      </c>
      <c r="E21" s="556"/>
      <c r="F21" s="556"/>
      <c r="N21" s="556" t="str">
        <f>D3</f>
        <v>Street 1</v>
      </c>
      <c r="O21" s="556"/>
      <c r="P21" s="556"/>
    </row>
    <row r="22" spans="1:26" x14ac:dyDescent="0.3">
      <c r="B22" s="5"/>
      <c r="C22" s="5"/>
      <c r="D22" s="304" t="e">
        <f>'Phase calculation'!N34</f>
        <v>#N/A</v>
      </c>
      <c r="E22" s="79">
        <f>IF(X4=0,0,'Phase calculation'!M34)</f>
        <v>0</v>
      </c>
      <c r="F22" s="79" t="e">
        <f>IF(Z17=0,'Phase calculation'!M34,'Phase calculation'!L34)</f>
        <v>#N/A</v>
      </c>
      <c r="G22" s="5"/>
      <c r="H22" s="5"/>
      <c r="I22" s="5"/>
      <c r="L22" s="5"/>
      <c r="M22" s="5"/>
      <c r="N22" s="245" t="e">
        <f>'Phase calculation'!N41</f>
        <v>#N/A</v>
      </c>
      <c r="O22" s="92" t="str">
        <f>IF(X4=0,"N/A",'Phase calculation'!M41)</f>
        <v>N/A</v>
      </c>
      <c r="P22" s="92" t="str">
        <f>IF(Y4=0,"N/A",'Phase calculation'!L41)</f>
        <v>N/A</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t="e">
        <f>IF(AA15=0,'Phase calculation'!D34,'Phase calculation'!C34)</f>
        <v>#N/A</v>
      </c>
      <c r="C27" s="5"/>
      <c r="E27" s="129"/>
      <c r="G27" s="5"/>
      <c r="H27" s="125" t="e">
        <f>'Phase calculation'!H34</f>
        <v>#N/A</v>
      </c>
      <c r="L27" s="44" t="str">
        <f>IF(U9=0,"N/A",'Phase calculation'!C41)</f>
        <v>N/A</v>
      </c>
      <c r="M27" s="5"/>
      <c r="N27" s="129"/>
      <c r="O27" s="129"/>
      <c r="P27" s="5"/>
      <c r="R27" s="308" t="e">
        <f>'Phase calculation'!H41</f>
        <v>#N/A</v>
      </c>
    </row>
    <row r="28" spans="1:26" x14ac:dyDescent="0.3">
      <c r="B28" s="5"/>
      <c r="C28" s="11"/>
      <c r="D28" s="129"/>
      <c r="E28" s="560" t="e">
        <f>IF(E22+F22+H27+H29+E35+D35+B29+B27=0,0,"C = "&amp;'Phase calculation'!C25&amp;" s")</f>
        <v>#N/A</v>
      </c>
      <c r="G28" s="11"/>
      <c r="H28" s="24"/>
      <c r="I28" s="10"/>
      <c r="L28" s="192"/>
      <c r="M28" s="11"/>
      <c r="N28" s="129"/>
      <c r="O28" s="129"/>
      <c r="P28" s="11"/>
    </row>
    <row r="29" spans="1:26" x14ac:dyDescent="0.3">
      <c r="A29" s="206" t="str">
        <f>A11</f>
        <v>Street 2</v>
      </c>
      <c r="B29" s="124">
        <f>IF(U11=0,0,'Phase calculation'!D34)</f>
        <v>0</v>
      </c>
      <c r="C29" s="26"/>
      <c r="D29" s="11"/>
      <c r="E29" s="560"/>
      <c r="G29" s="11"/>
      <c r="H29" s="126">
        <f>IF(AA11=0,0,'Phase calculation'!G34)</f>
        <v>0</v>
      </c>
      <c r="I29" s="207" t="str">
        <f>I11</f>
        <v>Street 2</v>
      </c>
      <c r="K29" s="206" t="str">
        <f>A11</f>
        <v>Street 2</v>
      </c>
      <c r="L29" s="44" t="str">
        <f>IF(U11=0,"N/A",'Phase calculation'!D41)</f>
        <v>N/A</v>
      </c>
      <c r="M29" s="26"/>
      <c r="N29" s="11"/>
      <c r="O29" s="11"/>
      <c r="P29" s="11"/>
      <c r="R29" s="9" t="str">
        <f>IF(AA11=0,"N/A",'Phase calculation'!G41)</f>
        <v>N/A</v>
      </c>
      <c r="S29" s="206" t="str">
        <f>I11</f>
        <v>Street 2</v>
      </c>
    </row>
    <row r="30" spans="1:26" x14ac:dyDescent="0.3">
      <c r="B30" s="5"/>
      <c r="C30" s="30"/>
      <c r="D30" s="15"/>
      <c r="E30" s="560"/>
      <c r="G30" s="15"/>
      <c r="H30" s="26"/>
      <c r="I30" s="14"/>
      <c r="L30" s="5"/>
      <c r="M30" s="30"/>
      <c r="N30" s="15"/>
      <c r="O30" s="15"/>
      <c r="P30" s="15"/>
      <c r="Q30" s="26"/>
      <c r="R30" s="24"/>
    </row>
    <row r="31" spans="1:26" x14ac:dyDescent="0.3">
      <c r="B31" s="124" t="e">
        <f>'Phase calculation'!E34</f>
        <v>#N/A</v>
      </c>
      <c r="C31" s="31"/>
      <c r="D31" s="32"/>
      <c r="E31" s="32"/>
      <c r="F31" s="33"/>
      <c r="G31" s="15"/>
      <c r="H31" s="303" t="e">
        <f>IF(U15=0,'Phase calculation'!G34,'Phase calculation'!F34)</f>
        <v>#N/A</v>
      </c>
      <c r="L31" s="7" t="e">
        <f>'Phase calculation'!E41</f>
        <v>#N/A</v>
      </c>
      <c r="M31" s="31"/>
      <c r="N31" s="32"/>
      <c r="O31" s="32"/>
      <c r="P31" s="33"/>
      <c r="Q31" s="15"/>
      <c r="R31" s="27" t="str">
        <f>IF(AA13=0,"N/A",'Phase calculation'!F41)</f>
        <v>N/A</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t="e">
        <f>IF(Z4=0,'Phase calculation'!J34,'Phase calculation'!I34)</f>
        <v>#N/A</v>
      </c>
      <c r="E35" s="128">
        <f>IF(X17=0,0,'Phase calculation'!J34)</f>
        <v>0</v>
      </c>
      <c r="F35" s="304" t="e">
        <f>'Phase calculation'!K34</f>
        <v>#N/A</v>
      </c>
      <c r="N35" s="36" t="str">
        <f>IF(W17=0,"N/A",'Phase calculation'!I41)</f>
        <v>N/A</v>
      </c>
      <c r="O35" s="37" t="str">
        <f>IF(X17=0,"N/A",'Phase calculation'!J41)</f>
        <v>N/A</v>
      </c>
      <c r="P35" s="245" t="e">
        <f>'Phase calculation'!K41</f>
        <v>#N/A</v>
      </c>
    </row>
    <row r="36" spans="2:20" x14ac:dyDescent="0.3">
      <c r="D36" s="556" t="str">
        <f>D18</f>
        <v>Street 1</v>
      </c>
      <c r="E36" s="556"/>
      <c r="F36" s="556"/>
      <c r="G36" s="62"/>
      <c r="H36" s="62"/>
      <c r="I36" s="62"/>
      <c r="J36" s="62"/>
      <c r="K36" s="62"/>
      <c r="L36" s="62"/>
      <c r="M36" s="62"/>
      <c r="N36" s="556" t="str">
        <f>D18</f>
        <v>Street 1</v>
      </c>
      <c r="O36" s="556"/>
      <c r="P36" s="556"/>
    </row>
    <row r="37" spans="2:20" x14ac:dyDescent="0.3">
      <c r="D37" s="291"/>
      <c r="E37" s="291"/>
      <c r="F37" s="62"/>
      <c r="G37" s="62"/>
      <c r="H37" s="62"/>
      <c r="I37" s="62"/>
      <c r="J37" s="62"/>
      <c r="K37" s="62"/>
      <c r="L37" s="62"/>
      <c r="M37" s="62"/>
    </row>
    <row r="39" spans="2:20" x14ac:dyDescent="0.3">
      <c r="M39" s="567" t="s">
        <v>219</v>
      </c>
      <c r="N39" s="567"/>
      <c r="O39" s="567"/>
      <c r="P39" s="567"/>
      <c r="Q39" s="567"/>
      <c r="R39" s="567"/>
      <c r="S39" s="567"/>
    </row>
    <row r="40" spans="2:20" x14ac:dyDescent="0.3">
      <c r="B40" s="563" t="s">
        <v>218</v>
      </c>
      <c r="C40" s="563"/>
      <c r="D40" s="563"/>
      <c r="E40" s="563"/>
      <c r="F40" s="563"/>
      <c r="G40" s="563"/>
      <c r="L40" s="323"/>
      <c r="M40" s="323"/>
      <c r="O40" s="556" t="str">
        <f>D3</f>
        <v>Street 1</v>
      </c>
      <c r="P40" s="556"/>
      <c r="Q40" s="556"/>
    </row>
    <row r="41" spans="2:20" x14ac:dyDescent="0.3">
      <c r="D41" s="556" t="str">
        <f>D3</f>
        <v>Street 1</v>
      </c>
      <c r="E41" s="556"/>
      <c r="F41" s="556"/>
      <c r="O41" s="561">
        <f>'Phase calculation'!L46</f>
        <v>0</v>
      </c>
      <c r="P41" s="561"/>
      <c r="Q41" s="561"/>
    </row>
    <row r="42" spans="2:20" x14ac:dyDescent="0.3">
      <c r="B42" s="136"/>
      <c r="C42" s="136"/>
      <c r="D42" s="311" t="e">
        <f>'Phase calculation'!N40</f>
        <v>#N/A</v>
      </c>
      <c r="E42" s="137" t="str">
        <f>IF(X4=0,"N/A",'Phase calculation'!M40)</f>
        <v>N/A</v>
      </c>
      <c r="F42" s="137" t="str">
        <f>IF(Y4=0,"N/A",'Phase calculation'!L40)</f>
        <v>N/A</v>
      </c>
      <c r="G42" s="136"/>
      <c r="M42" s="259"/>
      <c r="N42" s="259"/>
      <c r="O42" s="316">
        <f>'Phase calculation'!N44</f>
        <v>0</v>
      </c>
      <c r="P42" s="260" t="str">
        <f>IF(X4=0,"N/A",'Phase calculation'!M44)</f>
        <v>N/A</v>
      </c>
      <c r="Q42" s="260" t="str">
        <f>IF(Y4=0,"N/A",'Phase calculation'!L44)</f>
        <v>N/A</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t="str">
        <f>IF(U9=0,"N/A",'Phase calculation'!C40)</f>
        <v>N/A</v>
      </c>
      <c r="C47" s="136"/>
      <c r="H47" s="310" t="e">
        <f>'Phase calculation'!H40</f>
        <v>#N/A</v>
      </c>
      <c r="M47" s="261" t="str">
        <f>IF(U9=0,"N/A",'Phase calculation'!C44)</f>
        <v>N/A</v>
      </c>
      <c r="N47" s="259"/>
      <c r="P47" s="313"/>
      <c r="Q47" s="259"/>
      <c r="S47" s="317">
        <f>'Phase calculation'!H44</f>
        <v>0</v>
      </c>
    </row>
    <row r="48" spans="2:20" x14ac:dyDescent="0.3">
      <c r="B48" s="136"/>
      <c r="C48" s="140"/>
      <c r="D48" s="566">
        <f>'Phase calculation'!T82</f>
        <v>0</v>
      </c>
      <c r="E48" s="566"/>
      <c r="F48" s="566"/>
      <c r="M48" s="259"/>
      <c r="N48" s="263"/>
      <c r="O48" s="559">
        <f>'Phase calculation'!T84</f>
        <v>0</v>
      </c>
      <c r="P48" s="559"/>
      <c r="Q48" s="559"/>
    </row>
    <row r="49" spans="1:21" x14ac:dyDescent="0.3">
      <c r="A49" s="206" t="str">
        <f>A11</f>
        <v>Street 2</v>
      </c>
      <c r="B49" s="138" t="str">
        <f>IF(U11=0,"N/A",'Phase calculation'!D40)</f>
        <v>N/A</v>
      </c>
      <c r="C49" s="142"/>
      <c r="D49" s="566" t="str">
        <f>'Phase calculation'!C52</f>
        <v>Under Capacity</v>
      </c>
      <c r="E49" s="566"/>
      <c r="F49" s="566"/>
      <c r="H49" s="139" t="str">
        <f>IF(AA11=0,"N/A",'Phase calculation'!G40)</f>
        <v>N/A</v>
      </c>
      <c r="I49" s="206" t="str">
        <f>I11</f>
        <v>Street 2</v>
      </c>
      <c r="K49" s="206" t="str">
        <f>A11</f>
        <v>Street 2</v>
      </c>
      <c r="L49" s="367">
        <f>'Phase calculation'!C46</f>
        <v>0</v>
      </c>
      <c r="M49" s="261" t="str">
        <f>IF(U11=0,"N/A",'Phase calculation'!D44)</f>
        <v>N/A</v>
      </c>
      <c r="N49" s="265"/>
      <c r="O49" s="559"/>
      <c r="P49" s="559"/>
      <c r="Q49" s="559"/>
      <c r="S49" s="262" t="str">
        <f>IF(AA11=0,"N/A",'Phase calculation'!G44)</f>
        <v>N/A</v>
      </c>
      <c r="T49" s="367">
        <f>'Phase calculation'!F46</f>
        <v>0</v>
      </c>
      <c r="U49" s="206" t="str">
        <f>I11</f>
        <v>Street 2</v>
      </c>
    </row>
    <row r="50" spans="1:21" x14ac:dyDescent="0.3">
      <c r="B50" s="136"/>
      <c r="C50" s="144"/>
      <c r="D50" s="145"/>
      <c r="E50" s="145"/>
      <c r="F50" s="145"/>
      <c r="G50" s="142"/>
      <c r="H50" s="141"/>
      <c r="M50" s="259"/>
      <c r="N50" s="267"/>
      <c r="O50" s="559"/>
      <c r="P50" s="559"/>
      <c r="Q50" s="559"/>
      <c r="R50" s="265"/>
      <c r="S50" s="264"/>
    </row>
    <row r="51" spans="1:21" x14ac:dyDescent="0.3">
      <c r="B51" s="309" t="e">
        <f>'Phase calculation'!E40</f>
        <v>#N/A</v>
      </c>
      <c r="C51" s="31"/>
      <c r="D51" s="146"/>
      <c r="E51" s="146"/>
      <c r="F51" s="147"/>
      <c r="G51" s="145"/>
      <c r="H51" s="143" t="str">
        <f>IF(AA13=0,"N/A",'Phase calculation'!F40)</f>
        <v>N/A</v>
      </c>
      <c r="M51" s="312">
        <f>'Phase calculation'!E44</f>
        <v>0</v>
      </c>
      <c r="N51" s="269"/>
      <c r="O51" s="270"/>
      <c r="P51" s="270"/>
      <c r="Q51" s="271"/>
      <c r="R51" s="268"/>
      <c r="S51" s="266" t="str">
        <f>IF(AA13=0,"N/A",'Phase calculation'!F44)</f>
        <v>N/A</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t="str">
        <f>IF(W17=0,"N/A",'Phase calculation'!I40)</f>
        <v>N/A</v>
      </c>
      <c r="E55" s="153" t="str">
        <f>IF(X17=0,"N/A",'Phase calculation'!J40)</f>
        <v>N/A</v>
      </c>
      <c r="F55" s="152" t="e">
        <f>'Phase calculation'!K40</f>
        <v>#N/A</v>
      </c>
      <c r="O55" s="276" t="str">
        <f>IF(W17=0,"N/A",'Phase calculation'!I44)</f>
        <v>N/A</v>
      </c>
      <c r="P55" s="277" t="str">
        <f>IF(X17=0,"N/A",'Phase calculation'!J44)</f>
        <v>N/A</v>
      </c>
      <c r="Q55" s="316">
        <f>'Phase calculation'!K44</f>
        <v>0</v>
      </c>
    </row>
    <row r="56" spans="1:21" x14ac:dyDescent="0.3">
      <c r="D56" s="556" t="str">
        <f>D18</f>
        <v>Street 1</v>
      </c>
      <c r="E56" s="556"/>
      <c r="F56" s="556"/>
      <c r="O56" s="561">
        <f>'Phase calculation'!I46</f>
        <v>0</v>
      </c>
      <c r="P56" s="561"/>
      <c r="Q56" s="561"/>
    </row>
    <row r="57" spans="1:21" x14ac:dyDescent="0.3">
      <c r="D57" s="88"/>
      <c r="E57" s="88"/>
      <c r="O57" s="556" t="str">
        <f>D18</f>
        <v>Street 1</v>
      </c>
      <c r="P57" s="556"/>
      <c r="Q57" s="556"/>
    </row>
    <row r="58" spans="1:21" x14ac:dyDescent="0.3">
      <c r="G58" s="564" t="s">
        <v>220</v>
      </c>
      <c r="H58" s="564"/>
      <c r="I58" s="564"/>
      <c r="J58" s="564"/>
      <c r="K58" s="564"/>
      <c r="L58" s="564"/>
      <c r="M58" s="116"/>
    </row>
    <row r="59" spans="1:21" x14ac:dyDescent="0.3">
      <c r="I59" s="556" t="str">
        <f>D3</f>
        <v>Street 1</v>
      </c>
      <c r="J59" s="556"/>
      <c r="K59" s="556"/>
    </row>
    <row r="60" spans="1:21" s="62" customFormat="1" x14ac:dyDescent="0.3">
      <c r="I60" s="324"/>
      <c r="J60" s="159" t="str">
        <f>'Phase calculation'!L47</f>
        <v>N/A</v>
      </c>
      <c r="K60" s="324"/>
    </row>
    <row r="61" spans="1:21" x14ac:dyDescent="0.3">
      <c r="G61" s="81"/>
      <c r="H61" s="81"/>
      <c r="I61" s="288" t="str">
        <f>'Phase calculation'!N45</f>
        <v>N/A</v>
      </c>
      <c r="J61" s="158" t="str">
        <f>'Phase calculation'!M45</f>
        <v>N/A</v>
      </c>
      <c r="K61" s="158" t="str">
        <f>'Phase calculation'!L45</f>
        <v>N/A</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N/A</v>
      </c>
      <c r="H66" s="81"/>
      <c r="J66" s="314"/>
      <c r="K66" s="81"/>
      <c r="M66" s="161" t="str">
        <f>'Phase calculation'!H45</f>
        <v>N/A</v>
      </c>
      <c r="P66" s="91" t="s">
        <v>146</v>
      </c>
      <c r="Q66" s="155"/>
    </row>
    <row r="67" spans="5:17" ht="15" customHeight="1" x14ac:dyDescent="0.3">
      <c r="G67" s="82"/>
      <c r="H67" s="10"/>
      <c r="I67" s="565" t="str">
        <f>'Phase calculation'!U84</f>
        <v>N/A</v>
      </c>
      <c r="J67" s="565"/>
      <c r="K67" s="565"/>
      <c r="P67" s="91" t="s">
        <v>147</v>
      </c>
      <c r="Q67" s="59"/>
    </row>
    <row r="68" spans="5:17" ht="15" customHeight="1" x14ac:dyDescent="0.3">
      <c r="E68" s="206" t="str">
        <f>A11</f>
        <v>Street 2</v>
      </c>
      <c r="F68" s="159" t="str">
        <f>'Phase calculation'!C47</f>
        <v>N/A</v>
      </c>
      <c r="G68" s="82" t="str">
        <f>'Phase calculation'!D45</f>
        <v>N/A</v>
      </c>
      <c r="H68" s="13"/>
      <c r="I68" s="565"/>
      <c r="J68" s="565"/>
      <c r="K68" s="565"/>
      <c r="M68" s="161" t="str">
        <f>'Phase calculation'!G45</f>
        <v>N/A</v>
      </c>
      <c r="N68" s="159" t="str">
        <f>'Phase calculation'!F47</f>
        <v>N/A</v>
      </c>
      <c r="O68" s="207" t="str">
        <f>I11</f>
        <v>Street 2</v>
      </c>
    </row>
    <row r="69" spans="5:17" ht="15" customHeight="1" x14ac:dyDescent="0.3">
      <c r="G69" s="81"/>
      <c r="H69" s="104"/>
      <c r="I69" s="565"/>
      <c r="J69" s="565"/>
      <c r="K69" s="565"/>
      <c r="L69" s="13"/>
      <c r="M69" s="162"/>
      <c r="N69" s="10"/>
    </row>
    <row r="70" spans="5:17" x14ac:dyDescent="0.3">
      <c r="G70" s="82" t="str">
        <f>'Phase calculation'!E45</f>
        <v>N/A</v>
      </c>
      <c r="H70" s="31"/>
      <c r="I70" s="32"/>
      <c r="J70" s="32"/>
      <c r="K70" s="154"/>
      <c r="L70" s="16"/>
      <c r="M70" s="162" t="str">
        <f>'Phase calculation'!F45</f>
        <v>N/A</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N/A</v>
      </c>
      <c r="J74" s="160" t="str">
        <f>'Phase calculation'!J45</f>
        <v>N/A</v>
      </c>
      <c r="K74" s="288" t="str">
        <f>'Phase calculation'!K45</f>
        <v>N/A</v>
      </c>
    </row>
    <row r="75" spans="5:17" x14ac:dyDescent="0.3">
      <c r="J75" s="159" t="str">
        <f>'Phase calculation'!I47</f>
        <v>N/A</v>
      </c>
    </row>
    <row r="76" spans="5:17" s="62" customFormat="1" x14ac:dyDescent="0.3">
      <c r="I76" s="556" t="str">
        <f>D18</f>
        <v>Street 1</v>
      </c>
      <c r="J76" s="556"/>
      <c r="K76" s="556"/>
    </row>
    <row r="79" spans="5:17" s="225" customFormat="1" x14ac:dyDescent="0.3"/>
    <row r="80" spans="5:17" s="225" customFormat="1" x14ac:dyDescent="0.3"/>
    <row r="81" spans="6:19" s="225" customFormat="1" x14ac:dyDescent="0.3"/>
    <row r="82" spans="6:19" s="225" customFormat="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x14ac:dyDescent="0.3">
      <c r="F83" s="226" t="s">
        <v>124</v>
      </c>
      <c r="G83" s="226">
        <f>'Phase calculation'!C33</f>
        <v>4</v>
      </c>
      <c r="H83" s="226">
        <f>'Phase calculation'!D33</f>
        <v>4</v>
      </c>
      <c r="I83" s="226">
        <f>'Phase calculation'!F33</f>
        <v>8</v>
      </c>
      <c r="J83" s="226">
        <f>'Phase calculation'!G33</f>
        <v>8</v>
      </c>
      <c r="K83" s="226">
        <f>'Phase calculation'!I33</f>
        <v>2</v>
      </c>
      <c r="L83" s="226">
        <f>'Phase calculation'!J33</f>
        <v>2</v>
      </c>
      <c r="M83" s="226">
        <f>'Phase calculation'!L33</f>
        <v>6</v>
      </c>
      <c r="N83" s="226">
        <f>'Phase calculation'!M33</f>
        <v>6</v>
      </c>
    </row>
    <row r="84" spans="6:19" s="225" customFormat="1" x14ac:dyDescent="0.3">
      <c r="F84" s="226" t="s">
        <v>321</v>
      </c>
      <c r="G84" s="226" t="e">
        <f>'Phase calculation'!C34</f>
        <v>#N/A</v>
      </c>
      <c r="H84" s="226" t="e">
        <f>'Phase calculation'!D34</f>
        <v>#N/A</v>
      </c>
      <c r="I84" s="226" t="e">
        <f>'Phase calculation'!F34</f>
        <v>#N/A</v>
      </c>
      <c r="J84" s="226" t="e">
        <f>'Phase calculation'!G34</f>
        <v>#N/A</v>
      </c>
      <c r="K84" s="226" t="e">
        <f>'Phase calculation'!I34</f>
        <v>#N/A</v>
      </c>
      <c r="L84" s="226" t="e">
        <f>'Phase calculation'!J34</f>
        <v>#N/A</v>
      </c>
      <c r="M84" s="226" t="e">
        <f>'Phase calculation'!L34</f>
        <v>#N/A</v>
      </c>
      <c r="N84" s="226" t="e">
        <f>'Phase calculation'!M34</f>
        <v>#N/A</v>
      </c>
    </row>
    <row r="85" spans="6:19" s="225" customFormat="1" x14ac:dyDescent="0.3">
      <c r="F85" s="226" t="s">
        <v>149</v>
      </c>
      <c r="G85" s="226" t="e">
        <f>'Phase calculation'!C41</f>
        <v>#N/A</v>
      </c>
      <c r="H85" s="226" t="e">
        <f>'Phase calculation'!D41</f>
        <v>#N/A</v>
      </c>
      <c r="I85" s="226" t="e">
        <f>'Phase calculation'!F41</f>
        <v>#N/A</v>
      </c>
      <c r="J85" s="226" t="e">
        <f>'Phase calculation'!G41</f>
        <v>#N/A</v>
      </c>
      <c r="K85" s="226" t="e">
        <f>'Phase calculation'!I41</f>
        <v>#N/A</v>
      </c>
      <c r="L85" s="226" t="e">
        <f>'Phase calculation'!J41</f>
        <v>#N/A</v>
      </c>
      <c r="M85" s="226" t="e">
        <f>'Phase calculation'!L41</f>
        <v>#N/A</v>
      </c>
      <c r="N85" s="226" t="e">
        <f>'Phase calculation'!M41</f>
        <v>#N/A</v>
      </c>
    </row>
    <row r="86" spans="6:19" s="225" customFormat="1" x14ac:dyDescent="0.3">
      <c r="F86" s="226" t="s">
        <v>135</v>
      </c>
      <c r="G86" s="226" t="e">
        <f>'Phase calculation'!C40</f>
        <v>#N/A</v>
      </c>
      <c r="H86" s="226" t="e">
        <f>'Phase calculation'!D40</f>
        <v>#N/A</v>
      </c>
      <c r="I86" s="226" t="e">
        <f>'Phase calculation'!F40</f>
        <v>#N/A</v>
      </c>
      <c r="J86" s="226" t="e">
        <f>'Phase calculation'!G40</f>
        <v>#N/A</v>
      </c>
      <c r="K86" s="226" t="e">
        <f>'Phase calculation'!I40</f>
        <v>#N/A</v>
      </c>
      <c r="L86" s="226" t="e">
        <f>'Phase calculation'!J40</f>
        <v>#N/A</v>
      </c>
      <c r="M86" s="226" t="e">
        <f>'Phase calculation'!L40</f>
        <v>#N/A</v>
      </c>
      <c r="N86" s="226" t="e">
        <f>'Phase calculation'!M40</f>
        <v>#N/A</v>
      </c>
    </row>
    <row r="87" spans="6:19" s="225" customFormat="1" x14ac:dyDescent="0.3">
      <c r="F87" s="226" t="s">
        <v>150</v>
      </c>
      <c r="G87" s="226">
        <f>'Phase calculation'!C44</f>
        <v>0</v>
      </c>
      <c r="H87" s="226">
        <f>'Phase calculation'!D44</f>
        <v>0</v>
      </c>
      <c r="I87" s="226">
        <f>'Phase calculation'!F44</f>
        <v>0</v>
      </c>
      <c r="J87" s="226">
        <f>'Phase calculation'!G44</f>
        <v>0</v>
      </c>
      <c r="K87" s="226">
        <f>'Phase calculation'!I44</f>
        <v>0</v>
      </c>
      <c r="L87" s="226">
        <f>'Phase calculation'!J44</f>
        <v>0</v>
      </c>
      <c r="M87" s="226">
        <f>'Phase calculation'!L44</f>
        <v>0</v>
      </c>
      <c r="N87" s="226">
        <f>'Phase calculation'!M44</f>
        <v>0</v>
      </c>
    </row>
    <row r="88" spans="6:19" s="225" customFormat="1" x14ac:dyDescent="0.3">
      <c r="F88" s="226" t="s">
        <v>139</v>
      </c>
      <c r="G88" s="226" t="str">
        <f>'Phase calculation'!C45</f>
        <v>N/A</v>
      </c>
      <c r="H88" s="226" t="str">
        <f>'Phase calculation'!D45</f>
        <v>N/A</v>
      </c>
      <c r="I88" s="226" t="str">
        <f>'Phase calculation'!F45</f>
        <v>N/A</v>
      </c>
      <c r="J88" s="226" t="str">
        <f>'Phase calculation'!G45</f>
        <v>N/A</v>
      </c>
      <c r="K88" s="226" t="str">
        <f>'Phase calculation'!I45</f>
        <v>N/A</v>
      </c>
      <c r="L88" s="226" t="str">
        <f>'Phase calculation'!J45</f>
        <v>N/A</v>
      </c>
      <c r="M88" s="226" t="str">
        <f>'Phase calculation'!L45</f>
        <v>N/A</v>
      </c>
      <c r="N88" s="226" t="str">
        <f>'Phase calculation'!M45</f>
        <v>N/A</v>
      </c>
    </row>
    <row r="89" spans="6:19" s="225" customFormat="1" ht="21" thickBot="1" x14ac:dyDescent="0.4">
      <c r="G89" s="502" t="s">
        <v>590</v>
      </c>
      <c r="H89" s="502" t="s">
        <v>591</v>
      </c>
      <c r="I89" s="502" t="s">
        <v>592</v>
      </c>
      <c r="J89" s="502" t="s">
        <v>593</v>
      </c>
      <c r="K89" s="502" t="s">
        <v>594</v>
      </c>
      <c r="L89" s="502" t="s">
        <v>595</v>
      </c>
      <c r="M89" s="502">
        <v>9</v>
      </c>
      <c r="N89" s="502" t="s">
        <v>596</v>
      </c>
    </row>
    <row r="90" spans="6:19" s="226" customFormat="1" ht="20.399999999999999" x14ac:dyDescent="0.35">
      <c r="F90" s="228" t="s">
        <v>124</v>
      </c>
      <c r="G90" s="228">
        <v>1</v>
      </c>
      <c r="H90" s="229">
        <v>2</v>
      </c>
      <c r="I90" s="229">
        <v>3</v>
      </c>
      <c r="J90" s="229">
        <v>4</v>
      </c>
      <c r="K90" s="229">
        <v>5</v>
      </c>
      <c r="L90" s="229">
        <v>6</v>
      </c>
      <c r="M90" s="229">
        <v>7</v>
      </c>
      <c r="N90" s="230">
        <v>8</v>
      </c>
      <c r="P90" s="226">
        <v>8</v>
      </c>
      <c r="Q90" s="502" t="str">
        <f>INDEX($G$93:$N$93,1,P90)</f>
        <v>&gt;</v>
      </c>
    </row>
    <row r="91" spans="6:19" s="226" customFormat="1" ht="21" hidden="1" x14ac:dyDescent="0.4">
      <c r="F91" s="231" t="s">
        <v>320</v>
      </c>
      <c r="G91" s="231">
        <f>IFERROR(MATCH(G90,$G$83:$N$83,0),0)</f>
        <v>0</v>
      </c>
      <c r="H91" s="232">
        <f t="shared" ref="H91:N91" si="0">IFERROR(MATCH(H90,$G$83:$N$83,0),0)</f>
        <v>5</v>
      </c>
      <c r="I91" s="232">
        <f t="shared" si="0"/>
        <v>0</v>
      </c>
      <c r="J91" s="232">
        <f t="shared" si="0"/>
        <v>1</v>
      </c>
      <c r="K91" s="232">
        <f t="shared" si="0"/>
        <v>0</v>
      </c>
      <c r="L91" s="232">
        <f t="shared" si="0"/>
        <v>7</v>
      </c>
      <c r="M91" s="232">
        <f t="shared" si="0"/>
        <v>0</v>
      </c>
      <c r="N91" s="233">
        <f t="shared" si="0"/>
        <v>3</v>
      </c>
      <c r="Q91" s="503" t="e">
        <f t="shared" ref="Q91:Q98" si="1">INDEX($G$93:$N$93,1,P91)</f>
        <v>#VALUE!</v>
      </c>
    </row>
    <row r="92" spans="6:19" s="226" customFormat="1" ht="20.399999999999999" x14ac:dyDescent="0.35">
      <c r="F92" s="562" t="s">
        <v>73</v>
      </c>
      <c r="G92" s="231" t="str">
        <f>IF(G91=0,"Not used",INDEX($G$82:$N$82,G91))</f>
        <v>Not used</v>
      </c>
      <c r="H92" s="232" t="str">
        <f t="shared" ref="H92:N92" si="2">IF(H91=0,"Not used",INDEX($G$82:$N$82,H91))</f>
        <v>NBL</v>
      </c>
      <c r="I92" s="232" t="str">
        <f t="shared" si="2"/>
        <v>Not used</v>
      </c>
      <c r="J92" s="232" t="str">
        <f t="shared" si="2"/>
        <v>EBL</v>
      </c>
      <c r="K92" s="232" t="str">
        <f t="shared" si="2"/>
        <v>Not used</v>
      </c>
      <c r="L92" s="232" t="str">
        <f t="shared" si="2"/>
        <v>SBL</v>
      </c>
      <c r="M92" s="232" t="str">
        <f t="shared" si="2"/>
        <v>Not used</v>
      </c>
      <c r="N92" s="233" t="str">
        <f t="shared" si="2"/>
        <v>WBL</v>
      </c>
      <c r="P92" s="226">
        <v>7</v>
      </c>
      <c r="Q92" s="502" t="str">
        <f t="shared" si="1"/>
        <v/>
      </c>
    </row>
    <row r="93" spans="6:19" s="226" customFormat="1" ht="24.6" x14ac:dyDescent="0.4">
      <c r="F93" s="562"/>
      <c r="G93" s="234" t="str">
        <f t="shared" ref="G93:N93" si="3">IF(G91=0,"",INDEX($G$89:$N$89,G91))</f>
        <v/>
      </c>
      <c r="H93" s="235" t="str">
        <f t="shared" si="3"/>
        <v>:</v>
      </c>
      <c r="I93" s="235" t="str">
        <f t="shared" si="3"/>
        <v/>
      </c>
      <c r="J93" s="235" t="str">
        <f t="shared" si="3"/>
        <v>=</v>
      </c>
      <c r="K93" s="235" t="str">
        <f t="shared" si="3"/>
        <v/>
      </c>
      <c r="L93" s="235">
        <f t="shared" si="3"/>
        <v>9</v>
      </c>
      <c r="M93" s="235" t="str">
        <f t="shared" si="3"/>
        <v/>
      </c>
      <c r="N93" s="236" t="str">
        <f t="shared" si="3"/>
        <v>&gt;</v>
      </c>
      <c r="P93" s="226">
        <v>6</v>
      </c>
      <c r="Q93" s="502">
        <f t="shared" si="1"/>
        <v>9</v>
      </c>
      <c r="S93" s="227"/>
    </row>
    <row r="94" spans="6:19" s="226" customFormat="1" ht="20.399999999999999" x14ac:dyDescent="0.35">
      <c r="F94" s="231" t="s">
        <v>322</v>
      </c>
      <c r="G94" s="231" t="str">
        <f>IF(G91=0,"Not used",INDEX($G$84:$N$84,G91))</f>
        <v>Not used</v>
      </c>
      <c r="H94" s="232" t="e">
        <f t="shared" ref="H94:N94" si="4">IF(H91=0,"Not used",INDEX($G$84:$N$84,H91))</f>
        <v>#N/A</v>
      </c>
      <c r="I94" s="232" t="str">
        <f t="shared" si="4"/>
        <v>Not used</v>
      </c>
      <c r="J94" s="232" t="e">
        <f t="shared" si="4"/>
        <v>#N/A</v>
      </c>
      <c r="K94" s="232" t="str">
        <f t="shared" si="4"/>
        <v>Not used</v>
      </c>
      <c r="L94" s="232" t="e">
        <f t="shared" si="4"/>
        <v>#N/A</v>
      </c>
      <c r="M94" s="232" t="str">
        <f t="shared" si="4"/>
        <v>Not used</v>
      </c>
      <c r="N94" s="233" t="e">
        <f t="shared" si="4"/>
        <v>#N/A</v>
      </c>
      <c r="P94" s="226">
        <v>5</v>
      </c>
      <c r="Q94" s="502" t="str">
        <f t="shared" si="1"/>
        <v/>
      </c>
    </row>
    <row r="95" spans="6:19" s="226" customFormat="1" ht="20.399999999999999" x14ac:dyDescent="0.35">
      <c r="F95" s="231" t="s">
        <v>323</v>
      </c>
      <c r="G95" s="231" t="str">
        <f>IF(G91=0,"Not used",INDEX($G$85:$N$85,G91))</f>
        <v>Not used</v>
      </c>
      <c r="H95" s="232" t="e">
        <f t="shared" ref="H95:N95" si="5">IF(H91=0,"Not used",INDEX($G$85:$N$85,H91))</f>
        <v>#N/A</v>
      </c>
      <c r="I95" s="232" t="str">
        <f t="shared" si="5"/>
        <v>Not used</v>
      </c>
      <c r="J95" s="232" t="e">
        <f t="shared" si="5"/>
        <v>#N/A</v>
      </c>
      <c r="K95" s="232" t="str">
        <f t="shared" si="5"/>
        <v>Not used</v>
      </c>
      <c r="L95" s="232" t="e">
        <f t="shared" si="5"/>
        <v>#N/A</v>
      </c>
      <c r="M95" s="232" t="str">
        <f t="shared" si="5"/>
        <v>Not used</v>
      </c>
      <c r="N95" s="233" t="e">
        <f t="shared" si="5"/>
        <v>#N/A</v>
      </c>
      <c r="P95" s="226">
        <v>4</v>
      </c>
      <c r="Q95" s="502" t="str">
        <f t="shared" si="1"/>
        <v>=</v>
      </c>
    </row>
    <row r="96" spans="6:19" s="226" customFormat="1" ht="20.399999999999999" x14ac:dyDescent="0.35">
      <c r="F96" s="231" t="s">
        <v>135</v>
      </c>
      <c r="G96" s="231" t="str">
        <f>IF(G91=0,"Not used",INDEX($G$86:$N$86,G91))</f>
        <v>Not used</v>
      </c>
      <c r="H96" s="232" t="e">
        <f t="shared" ref="H96:N96" si="6">IF(H91=0,"Not used",INDEX($G$86:$N$86,H91))</f>
        <v>#N/A</v>
      </c>
      <c r="I96" s="232" t="str">
        <f t="shared" si="6"/>
        <v>Not used</v>
      </c>
      <c r="J96" s="232" t="e">
        <f t="shared" si="6"/>
        <v>#N/A</v>
      </c>
      <c r="K96" s="232" t="str">
        <f t="shared" si="6"/>
        <v>Not used</v>
      </c>
      <c r="L96" s="232" t="e">
        <f t="shared" si="6"/>
        <v>#N/A</v>
      </c>
      <c r="M96" s="232" t="str">
        <f t="shared" si="6"/>
        <v>Not used</v>
      </c>
      <c r="N96" s="233" t="e">
        <f t="shared" si="6"/>
        <v>#N/A</v>
      </c>
      <c r="P96" s="226">
        <v>3</v>
      </c>
      <c r="Q96" s="502" t="str">
        <f t="shared" si="1"/>
        <v/>
      </c>
    </row>
    <row r="97" spans="6:17" s="226" customFormat="1" ht="20.399999999999999" x14ac:dyDescent="0.35">
      <c r="F97" s="231" t="s">
        <v>324</v>
      </c>
      <c r="G97" s="231" t="str">
        <f>IF(G91=0,"Not used",INDEX($G$87:$N$87,G91))</f>
        <v>Not used</v>
      </c>
      <c r="H97" s="232">
        <f t="shared" ref="H97:N97" si="7">IF(H91=0,"Not used",INDEX($G$87:$N$87,H91))</f>
        <v>0</v>
      </c>
      <c r="I97" s="232" t="str">
        <f t="shared" si="7"/>
        <v>Not used</v>
      </c>
      <c r="J97" s="232">
        <f t="shared" si="7"/>
        <v>0</v>
      </c>
      <c r="K97" s="232" t="str">
        <f t="shared" si="7"/>
        <v>Not used</v>
      </c>
      <c r="L97" s="232">
        <f t="shared" si="7"/>
        <v>0</v>
      </c>
      <c r="M97" s="232" t="str">
        <f t="shared" si="7"/>
        <v>Not used</v>
      </c>
      <c r="N97" s="233">
        <f t="shared" si="7"/>
        <v>0</v>
      </c>
      <c r="P97" s="226">
        <v>2</v>
      </c>
      <c r="Q97" s="502" t="str">
        <f t="shared" si="1"/>
        <v>:</v>
      </c>
    </row>
    <row r="98" spans="6:17" s="226" customFormat="1" ht="21" thickBot="1" x14ac:dyDescent="0.4">
      <c r="F98" s="237" t="s">
        <v>139</v>
      </c>
      <c r="G98" s="237" t="str">
        <f>IF(G91=0,"Not used",INDEX($G$88:$N$88,G91))</f>
        <v>Not used</v>
      </c>
      <c r="H98" s="238" t="str">
        <f t="shared" ref="H98:N98" si="8">IF(H91=0,"Not used",INDEX($G$88:$N$88,H91))</f>
        <v>N/A</v>
      </c>
      <c r="I98" s="238" t="str">
        <f t="shared" si="8"/>
        <v>Not used</v>
      </c>
      <c r="J98" s="238" t="str">
        <f t="shared" si="8"/>
        <v>N/A</v>
      </c>
      <c r="K98" s="238" t="str">
        <f t="shared" si="8"/>
        <v>Not used</v>
      </c>
      <c r="L98" s="238" t="str">
        <f t="shared" si="8"/>
        <v>N/A</v>
      </c>
      <c r="M98" s="238" t="str">
        <f t="shared" si="8"/>
        <v>Not used</v>
      </c>
      <c r="N98" s="239" t="str">
        <f t="shared" si="8"/>
        <v>N/A</v>
      </c>
      <c r="P98" s="226">
        <v>1</v>
      </c>
      <c r="Q98" s="502" t="str">
        <f t="shared" si="1"/>
        <v/>
      </c>
    </row>
    <row r="99" spans="6:17" s="226" customFormat="1" x14ac:dyDescent="0.3"/>
    <row r="100" spans="6:17" s="226" customFormat="1" x14ac:dyDescent="0.3"/>
    <row r="101" spans="6:17" s="226" customFormat="1" x14ac:dyDescent="0.3"/>
    <row r="102" spans="6:17" s="226" customFormat="1" x14ac:dyDescent="0.3"/>
    <row r="103" spans="6:17" s="226" customFormat="1" x14ac:dyDescent="0.3"/>
    <row r="104" spans="6:17" s="226" customFormat="1" x14ac:dyDescent="0.3"/>
    <row r="105" spans="6:17" s="226" customFormat="1" x14ac:dyDescent="0.3"/>
    <row r="106" spans="6:17" s="226" customFormat="1" x14ac:dyDescent="0.3"/>
    <row r="107" spans="6:17" s="226" customFormat="1" x14ac:dyDescent="0.3"/>
    <row r="108" spans="6:17" s="226" customFormat="1" x14ac:dyDescent="0.3"/>
    <row r="109" spans="6:17" s="226" customFormat="1" x14ac:dyDescent="0.3"/>
    <row r="110" spans="6:17" s="226" customFormat="1" x14ac:dyDescent="0.3"/>
    <row r="111" spans="6:17" s="226" customFormat="1" x14ac:dyDescent="0.3"/>
    <row r="112" spans="6:17"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D36:F36"/>
    <mergeCell ref="D48:F48"/>
    <mergeCell ref="D49:F49"/>
    <mergeCell ref="O40:Q40"/>
    <mergeCell ref="M39:S39"/>
    <mergeCell ref="O41:Q41"/>
    <mergeCell ref="F92:F93"/>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H28"/>
  <sheetViews>
    <sheetView workbookViewId="0"/>
  </sheetViews>
  <sheetFormatPr defaultRowHeight="14.4" x14ac:dyDescent="0.3"/>
  <sheetData>
    <row r="1" spans="1:8" x14ac:dyDescent="0.3">
      <c r="A1" t="s">
        <v>561</v>
      </c>
      <c r="B1">
        <v>0</v>
      </c>
    </row>
    <row r="2" spans="1:8" x14ac:dyDescent="0.3">
      <c r="A2" t="s">
        <v>560</v>
      </c>
      <c r="B2" t="s">
        <v>584</v>
      </c>
      <c r="C2" t="s">
        <v>585</v>
      </c>
      <c r="D2" t="s">
        <v>583</v>
      </c>
      <c r="E2" t="s">
        <v>577</v>
      </c>
      <c r="F2" t="s">
        <v>665</v>
      </c>
    </row>
    <row r="3" spans="1:8" x14ac:dyDescent="0.3">
      <c r="A3">
        <f>$B$1</f>
        <v>0</v>
      </c>
      <c r="F3" t="e">
        <f>INDEX(link!I:I,MATCH(B1,link!E:E,0))</f>
        <v>#N/A</v>
      </c>
    </row>
    <row r="4" spans="1:8" x14ac:dyDescent="0.3">
      <c r="A4">
        <f t="shared" ref="A4:A14" si="0">$B$1</f>
        <v>0</v>
      </c>
      <c r="F4" t="e">
        <f>$F$3</f>
        <v>#N/A</v>
      </c>
    </row>
    <row r="5" spans="1:8" x14ac:dyDescent="0.3">
      <c r="A5">
        <f t="shared" si="0"/>
        <v>0</v>
      </c>
      <c r="F5" t="e">
        <f t="shared" ref="F5:F14" si="1">$F$3</f>
        <v>#N/A</v>
      </c>
    </row>
    <row r="6" spans="1:8" x14ac:dyDescent="0.3">
      <c r="A6">
        <f t="shared" si="0"/>
        <v>0</v>
      </c>
      <c r="F6" t="e">
        <f t="shared" si="1"/>
        <v>#N/A</v>
      </c>
    </row>
    <row r="7" spans="1:8" x14ac:dyDescent="0.3">
      <c r="A7">
        <f t="shared" si="0"/>
        <v>0</v>
      </c>
      <c r="F7" t="e">
        <f t="shared" si="1"/>
        <v>#N/A</v>
      </c>
    </row>
    <row r="8" spans="1:8" x14ac:dyDescent="0.3">
      <c r="A8">
        <f t="shared" si="0"/>
        <v>0</v>
      </c>
      <c r="F8" t="e">
        <f t="shared" si="1"/>
        <v>#N/A</v>
      </c>
    </row>
    <row r="9" spans="1:8" x14ac:dyDescent="0.3">
      <c r="A9">
        <f t="shared" si="0"/>
        <v>0</v>
      </c>
      <c r="F9" t="e">
        <f t="shared" si="1"/>
        <v>#N/A</v>
      </c>
    </row>
    <row r="10" spans="1:8" x14ac:dyDescent="0.3">
      <c r="A10">
        <f t="shared" si="0"/>
        <v>0</v>
      </c>
      <c r="F10" t="e">
        <f t="shared" si="1"/>
        <v>#N/A</v>
      </c>
    </row>
    <row r="11" spans="1:8" x14ac:dyDescent="0.3">
      <c r="A11">
        <f t="shared" si="0"/>
        <v>0</v>
      </c>
      <c r="F11" t="e">
        <f t="shared" si="1"/>
        <v>#N/A</v>
      </c>
    </row>
    <row r="12" spans="1:8" x14ac:dyDescent="0.3">
      <c r="A12">
        <f t="shared" si="0"/>
        <v>0</v>
      </c>
      <c r="F12" t="e">
        <f t="shared" si="1"/>
        <v>#N/A</v>
      </c>
    </row>
    <row r="13" spans="1:8" x14ac:dyDescent="0.3">
      <c r="A13">
        <f t="shared" si="0"/>
        <v>0</v>
      </c>
      <c r="F13" t="e">
        <f t="shared" si="1"/>
        <v>#N/A</v>
      </c>
    </row>
    <row r="14" spans="1:8" x14ac:dyDescent="0.3">
      <c r="A14">
        <f t="shared" si="0"/>
        <v>0</v>
      </c>
      <c r="F14" t="e">
        <f t="shared" si="1"/>
        <v>#N/A</v>
      </c>
    </row>
    <row r="16" spans="1:8" x14ac:dyDescent="0.3">
      <c r="B16" t="s">
        <v>73</v>
      </c>
      <c r="C16" s="497" t="s">
        <v>586</v>
      </c>
      <c r="D16" s="497" t="s">
        <v>583</v>
      </c>
      <c r="E16" s="497" t="s">
        <v>577</v>
      </c>
      <c r="F16" s="497" t="s">
        <v>665</v>
      </c>
      <c r="G16" s="497"/>
      <c r="H16" s="497"/>
    </row>
    <row r="17" spans="2:8" x14ac:dyDescent="0.3">
      <c r="B17" t="s">
        <v>13</v>
      </c>
      <c r="C17" s="497">
        <f>IFERROR(INDEX($C$3:$C$14,MATCH($B17,$B$3:$B$14,0)),0)</f>
        <v>0</v>
      </c>
      <c r="D17" s="497">
        <f>IFERROR(INDEX($D$3:$D$14,MATCH($B17,$B$3:$B$14,0)),0)</f>
        <v>0</v>
      </c>
      <c r="E17" s="501">
        <f>IFERROR(INDEX($E$3:$E$14,MATCH($B17,$B$3:$B$14,0)),0)</f>
        <v>0</v>
      </c>
      <c r="F17" s="497"/>
      <c r="G17" s="497"/>
      <c r="H17" s="497"/>
    </row>
    <row r="18" spans="2:8" x14ac:dyDescent="0.3">
      <c r="B18" t="s">
        <v>14</v>
      </c>
      <c r="C18" s="499">
        <f t="shared" ref="C18:C28" si="2">IFERROR(INDEX($C$3:$C$14,MATCH($B18,$B$3:$B$14,0)),0)</f>
        <v>0</v>
      </c>
      <c r="D18" s="499">
        <f t="shared" ref="D18:D28" si="3">IFERROR(INDEX($D$3:$D$14,MATCH($B18,$B$3:$B$14,0)),0)</f>
        <v>0</v>
      </c>
      <c r="E18" s="501">
        <f t="shared" ref="E18:E28" si="4">IFERROR(INDEX($E$3:$E$14,MATCH($B18,$B$3:$B$14,0)),0)</f>
        <v>0</v>
      </c>
      <c r="F18" s="511">
        <f t="shared" ref="F18:F27" si="5">IFERROR(INDEX($F$3:$F$14,MATCH($B18,$B$3:$B$14,0)),0)</f>
        <v>0</v>
      </c>
      <c r="G18" s="497"/>
      <c r="H18" s="497"/>
    </row>
    <row r="19" spans="2:8" x14ac:dyDescent="0.3">
      <c r="B19" t="s">
        <v>15</v>
      </c>
      <c r="C19" s="499">
        <f t="shared" si="2"/>
        <v>0</v>
      </c>
      <c r="D19" s="499">
        <f t="shared" si="3"/>
        <v>0</v>
      </c>
      <c r="E19" s="501">
        <f t="shared" si="4"/>
        <v>0</v>
      </c>
      <c r="F19" s="511"/>
      <c r="G19" s="497"/>
      <c r="H19" s="497"/>
    </row>
    <row r="20" spans="2:8" x14ac:dyDescent="0.3">
      <c r="B20" t="s">
        <v>18</v>
      </c>
      <c r="C20" s="499">
        <f t="shared" si="2"/>
        <v>0</v>
      </c>
      <c r="D20" s="499">
        <f t="shared" si="3"/>
        <v>0</v>
      </c>
      <c r="E20" s="501">
        <f t="shared" si="4"/>
        <v>0</v>
      </c>
      <c r="F20" s="511"/>
      <c r="G20" s="497"/>
      <c r="H20" s="497"/>
    </row>
    <row r="21" spans="2:8" x14ac:dyDescent="0.3">
      <c r="B21" t="s">
        <v>19</v>
      </c>
      <c r="C21" s="499">
        <f t="shared" si="2"/>
        <v>0</v>
      </c>
      <c r="D21" s="499">
        <f t="shared" si="3"/>
        <v>0</v>
      </c>
      <c r="E21" s="501">
        <f t="shared" si="4"/>
        <v>0</v>
      </c>
      <c r="F21" s="511">
        <f t="shared" si="5"/>
        <v>0</v>
      </c>
    </row>
    <row r="22" spans="2:8" x14ac:dyDescent="0.3">
      <c r="B22" t="s">
        <v>20</v>
      </c>
      <c r="C22" s="499">
        <f t="shared" si="2"/>
        <v>0</v>
      </c>
      <c r="D22" s="499">
        <f t="shared" si="3"/>
        <v>0</v>
      </c>
      <c r="E22" s="501">
        <f t="shared" si="4"/>
        <v>0</v>
      </c>
      <c r="F22" s="511"/>
    </row>
    <row r="23" spans="2:8" x14ac:dyDescent="0.3">
      <c r="B23" t="s">
        <v>3</v>
      </c>
      <c r="C23" s="499">
        <f t="shared" si="2"/>
        <v>0</v>
      </c>
      <c r="D23" s="499">
        <f t="shared" si="3"/>
        <v>0</v>
      </c>
      <c r="E23" s="501">
        <f t="shared" si="4"/>
        <v>0</v>
      </c>
      <c r="F23" s="511"/>
    </row>
    <row r="24" spans="2:8" x14ac:dyDescent="0.3">
      <c r="B24" t="s">
        <v>4</v>
      </c>
      <c r="C24" s="499">
        <f t="shared" si="2"/>
        <v>0</v>
      </c>
      <c r="D24" s="499">
        <f t="shared" si="3"/>
        <v>0</v>
      </c>
      <c r="E24" s="501">
        <f t="shared" si="4"/>
        <v>0</v>
      </c>
      <c r="F24" s="511">
        <f t="shared" si="5"/>
        <v>0</v>
      </c>
    </row>
    <row r="25" spans="2:8" x14ac:dyDescent="0.3">
      <c r="B25" t="s">
        <v>5</v>
      </c>
      <c r="C25" s="499">
        <f t="shared" si="2"/>
        <v>0</v>
      </c>
      <c r="D25" s="499">
        <f t="shared" si="3"/>
        <v>0</v>
      </c>
      <c r="E25" s="501">
        <f t="shared" si="4"/>
        <v>0</v>
      </c>
      <c r="F25" s="511"/>
    </row>
    <row r="26" spans="2:8" x14ac:dyDescent="0.3">
      <c r="B26" t="s">
        <v>8</v>
      </c>
      <c r="C26" s="499">
        <f t="shared" si="2"/>
        <v>0</v>
      </c>
      <c r="D26" s="499">
        <f t="shared" si="3"/>
        <v>0</v>
      </c>
      <c r="E26" s="501">
        <f t="shared" si="4"/>
        <v>0</v>
      </c>
      <c r="F26" s="511"/>
    </row>
    <row r="27" spans="2:8" x14ac:dyDescent="0.3">
      <c r="B27" t="s">
        <v>9</v>
      </c>
      <c r="C27" s="499">
        <f t="shared" si="2"/>
        <v>0</v>
      </c>
      <c r="D27" s="499">
        <f t="shared" si="3"/>
        <v>0</v>
      </c>
      <c r="E27" s="501">
        <f t="shared" si="4"/>
        <v>0</v>
      </c>
      <c r="F27" s="511">
        <f t="shared" si="5"/>
        <v>0</v>
      </c>
    </row>
    <row r="28" spans="2:8" x14ac:dyDescent="0.3">
      <c r="B28" t="s">
        <v>10</v>
      </c>
      <c r="C28" s="499">
        <f t="shared" si="2"/>
        <v>0</v>
      </c>
      <c r="D28" s="499">
        <f t="shared" si="3"/>
        <v>0</v>
      </c>
      <c r="E28" s="501">
        <f t="shared" si="4"/>
        <v>0</v>
      </c>
      <c r="F28" s="5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2:E46"/>
  <sheetViews>
    <sheetView workbookViewId="0"/>
  </sheetViews>
  <sheetFormatPr defaultRowHeight="14.4" x14ac:dyDescent="0.3"/>
  <cols>
    <col min="2" max="2" width="15" customWidth="1"/>
    <col min="3" max="3" width="17" customWidth="1"/>
    <col min="4" max="4" width="20.33203125" customWidth="1"/>
  </cols>
  <sheetData>
    <row r="2" spans="2:5" x14ac:dyDescent="0.3">
      <c r="B2" s="97" t="s">
        <v>621</v>
      </c>
      <c r="C2" s="97"/>
      <c r="D2" s="97"/>
      <c r="E2" s="97"/>
    </row>
    <row r="3" spans="2:5" x14ac:dyDescent="0.3">
      <c r="B3" s="97"/>
      <c r="C3" s="97"/>
      <c r="D3" s="97"/>
      <c r="E3" s="97"/>
    </row>
    <row r="4" spans="2:5" x14ac:dyDescent="0.3">
      <c r="B4" s="510" t="s">
        <v>622</v>
      </c>
      <c r="C4" s="510" t="s">
        <v>623</v>
      </c>
      <c r="D4" s="510" t="s">
        <v>624</v>
      </c>
      <c r="E4" s="510" t="s">
        <v>625</v>
      </c>
    </row>
    <row r="5" spans="2:5" x14ac:dyDescent="0.3">
      <c r="B5" s="345" t="s">
        <v>561</v>
      </c>
      <c r="C5" s="345" t="s">
        <v>626</v>
      </c>
      <c r="D5" s="345" t="s">
        <v>627</v>
      </c>
      <c r="E5" s="345" t="s">
        <v>628</v>
      </c>
    </row>
    <row r="6" spans="2:5" x14ac:dyDescent="0.3">
      <c r="B6" s="345" t="s">
        <v>597</v>
      </c>
      <c r="C6" s="345" t="s">
        <v>629</v>
      </c>
      <c r="D6" s="345" t="s">
        <v>630</v>
      </c>
      <c r="E6" s="345" t="s">
        <v>631</v>
      </c>
    </row>
    <row r="7" spans="2:5" x14ac:dyDescent="0.3">
      <c r="B7" s="345" t="s">
        <v>598</v>
      </c>
      <c r="C7" s="345" t="s">
        <v>632</v>
      </c>
      <c r="D7" s="345" t="s">
        <v>630</v>
      </c>
      <c r="E7" s="345" t="s">
        <v>633</v>
      </c>
    </row>
    <row r="8" spans="2:5" x14ac:dyDescent="0.3">
      <c r="B8" s="345" t="s">
        <v>599</v>
      </c>
      <c r="C8" s="345" t="s">
        <v>634</v>
      </c>
      <c r="D8" s="345" t="s">
        <v>635</v>
      </c>
      <c r="E8" s="345" t="s">
        <v>636</v>
      </c>
    </row>
    <row r="9" spans="2:5" x14ac:dyDescent="0.3">
      <c r="B9" s="345" t="s">
        <v>600</v>
      </c>
      <c r="C9" s="345" t="s">
        <v>637</v>
      </c>
      <c r="D9" s="345" t="s">
        <v>627</v>
      </c>
      <c r="E9" s="345" t="s">
        <v>638</v>
      </c>
    </row>
    <row r="10" spans="2:5" x14ac:dyDescent="0.3">
      <c r="B10" s="345" t="s">
        <v>601</v>
      </c>
      <c r="C10" s="345" t="s">
        <v>639</v>
      </c>
      <c r="D10" s="345" t="s">
        <v>627</v>
      </c>
      <c r="E10" s="345"/>
    </row>
    <row r="13" spans="2:5" x14ac:dyDescent="0.3">
      <c r="B13" s="97" t="s">
        <v>640</v>
      </c>
      <c r="C13" s="97"/>
      <c r="D13" s="97"/>
      <c r="E13" s="97"/>
    </row>
    <row r="14" spans="2:5" x14ac:dyDescent="0.3">
      <c r="B14" s="97"/>
      <c r="C14" s="97"/>
      <c r="D14" s="97"/>
      <c r="E14" s="97"/>
    </row>
    <row r="15" spans="2:5" x14ac:dyDescent="0.3">
      <c r="B15" s="510" t="s">
        <v>622</v>
      </c>
      <c r="C15" s="510" t="s">
        <v>623</v>
      </c>
      <c r="D15" s="510" t="s">
        <v>624</v>
      </c>
      <c r="E15" s="510" t="s">
        <v>625</v>
      </c>
    </row>
    <row r="16" spans="2:5" x14ac:dyDescent="0.3">
      <c r="B16" s="345" t="s">
        <v>561</v>
      </c>
      <c r="C16" s="345" t="s">
        <v>626</v>
      </c>
      <c r="D16" s="345" t="s">
        <v>635</v>
      </c>
      <c r="E16" s="345" t="s">
        <v>641</v>
      </c>
    </row>
    <row r="17" spans="2:5" x14ac:dyDescent="0.3">
      <c r="B17" s="345" t="s">
        <v>603</v>
      </c>
      <c r="C17" s="345" t="s">
        <v>634</v>
      </c>
      <c r="D17" s="345" t="s">
        <v>635</v>
      </c>
      <c r="E17" s="345" t="s">
        <v>642</v>
      </c>
    </row>
    <row r="18" spans="2:5" x14ac:dyDescent="0.3">
      <c r="B18" s="345" t="s">
        <v>604</v>
      </c>
      <c r="C18" s="345" t="s">
        <v>634</v>
      </c>
      <c r="D18" s="345" t="s">
        <v>635</v>
      </c>
      <c r="E18" s="345"/>
    </row>
    <row r="19" spans="2:5" x14ac:dyDescent="0.3">
      <c r="B19" s="345" t="s">
        <v>605</v>
      </c>
      <c r="C19" s="345" t="s">
        <v>634</v>
      </c>
      <c r="D19" s="345" t="s">
        <v>635</v>
      </c>
      <c r="E19" s="345"/>
    </row>
    <row r="22" spans="2:5" x14ac:dyDescent="0.3">
      <c r="B22" s="97" t="s">
        <v>643</v>
      </c>
      <c r="C22" s="97"/>
      <c r="D22" s="97"/>
      <c r="E22" s="97"/>
    </row>
    <row r="23" spans="2:5" x14ac:dyDescent="0.3">
      <c r="B23" s="97"/>
      <c r="C23" s="97"/>
      <c r="D23" s="97"/>
      <c r="E23" s="97"/>
    </row>
    <row r="24" spans="2:5" x14ac:dyDescent="0.3">
      <c r="B24" s="510" t="s">
        <v>622</v>
      </c>
      <c r="C24" s="510" t="s">
        <v>623</v>
      </c>
      <c r="D24" s="510" t="s">
        <v>624</v>
      </c>
      <c r="E24" s="510" t="s">
        <v>625</v>
      </c>
    </row>
    <row r="25" spans="2:5" x14ac:dyDescent="0.3">
      <c r="B25" s="345" t="s">
        <v>561</v>
      </c>
      <c r="C25" s="345" t="s">
        <v>626</v>
      </c>
      <c r="D25" s="345" t="s">
        <v>635</v>
      </c>
      <c r="E25" s="345" t="s">
        <v>641</v>
      </c>
    </row>
    <row r="26" spans="2:5" x14ac:dyDescent="0.3">
      <c r="B26" s="345" t="s">
        <v>608</v>
      </c>
      <c r="C26" s="345" t="s">
        <v>644</v>
      </c>
      <c r="D26" s="345" t="s">
        <v>635</v>
      </c>
      <c r="E26" s="345" t="s">
        <v>642</v>
      </c>
    </row>
    <row r="27" spans="2:5" x14ac:dyDescent="0.3">
      <c r="B27" s="345" t="s">
        <v>616</v>
      </c>
      <c r="C27" s="345" t="s">
        <v>645</v>
      </c>
      <c r="D27" s="345" t="s">
        <v>635</v>
      </c>
      <c r="E27" s="345"/>
    </row>
    <row r="28" spans="2:5" x14ac:dyDescent="0.3">
      <c r="B28" s="345" t="s">
        <v>572</v>
      </c>
      <c r="C28" s="345" t="s">
        <v>634</v>
      </c>
      <c r="D28" s="345" t="s">
        <v>627</v>
      </c>
      <c r="E28" s="345" t="s">
        <v>646</v>
      </c>
    </row>
    <row r="29" spans="2:5" x14ac:dyDescent="0.3">
      <c r="B29" s="345" t="s">
        <v>617</v>
      </c>
      <c r="C29" s="345" t="s">
        <v>626</v>
      </c>
      <c r="D29" s="345" t="s">
        <v>627</v>
      </c>
      <c r="E29" s="345" t="s">
        <v>647</v>
      </c>
    </row>
    <row r="30" spans="2:5" x14ac:dyDescent="0.3">
      <c r="B30" s="345" t="s">
        <v>618</v>
      </c>
      <c r="C30" s="345" t="s">
        <v>634</v>
      </c>
      <c r="D30" s="345" t="s">
        <v>627</v>
      </c>
      <c r="E30" s="345" t="s">
        <v>648</v>
      </c>
    </row>
    <row r="31" spans="2:5" x14ac:dyDescent="0.3">
      <c r="B31" s="345" t="s">
        <v>619</v>
      </c>
      <c r="C31" s="345" t="s">
        <v>634</v>
      </c>
      <c r="D31" s="345" t="s">
        <v>627</v>
      </c>
      <c r="E31" s="345" t="s">
        <v>649</v>
      </c>
    </row>
    <row r="34" spans="2:5" x14ac:dyDescent="0.3">
      <c r="B34" s="97" t="s">
        <v>650</v>
      </c>
      <c r="C34" s="97"/>
      <c r="D34" s="97"/>
      <c r="E34" s="97"/>
    </row>
    <row r="35" spans="2:5" x14ac:dyDescent="0.3">
      <c r="B35" s="97"/>
      <c r="C35" s="97"/>
      <c r="D35" s="97"/>
      <c r="E35" s="97"/>
    </row>
    <row r="36" spans="2:5" x14ac:dyDescent="0.3">
      <c r="B36" s="510" t="s">
        <v>622</v>
      </c>
      <c r="C36" s="510" t="s">
        <v>623</v>
      </c>
      <c r="D36" s="510" t="s">
        <v>624</v>
      </c>
      <c r="E36" s="510" t="s">
        <v>625</v>
      </c>
    </row>
    <row r="37" spans="2:5" x14ac:dyDescent="0.3">
      <c r="B37" s="345" t="s">
        <v>607</v>
      </c>
      <c r="C37" s="345" t="s">
        <v>651</v>
      </c>
      <c r="D37" s="345" t="s">
        <v>635</v>
      </c>
      <c r="E37" s="345" t="s">
        <v>642</v>
      </c>
    </row>
    <row r="38" spans="2:5" x14ac:dyDescent="0.3">
      <c r="B38" s="345" t="s">
        <v>561</v>
      </c>
      <c r="C38" s="345" t="s">
        <v>626</v>
      </c>
      <c r="D38" s="345" t="s">
        <v>627</v>
      </c>
      <c r="E38" s="345" t="s">
        <v>628</v>
      </c>
    </row>
    <row r="39" spans="2:5" x14ac:dyDescent="0.3">
      <c r="B39" s="345" t="s">
        <v>608</v>
      </c>
      <c r="C39" s="345" t="s">
        <v>644</v>
      </c>
      <c r="D39" s="345" t="s">
        <v>627</v>
      </c>
      <c r="E39" s="345" t="s">
        <v>633</v>
      </c>
    </row>
    <row r="40" spans="2:5" x14ac:dyDescent="0.3">
      <c r="B40" s="345" t="s">
        <v>599</v>
      </c>
      <c r="C40" s="345" t="s">
        <v>634</v>
      </c>
      <c r="D40" s="345" t="s">
        <v>635</v>
      </c>
      <c r="E40" s="345" t="s">
        <v>652</v>
      </c>
    </row>
    <row r="41" spans="2:5" x14ac:dyDescent="0.3">
      <c r="B41" s="345" t="s">
        <v>609</v>
      </c>
      <c r="C41" s="345" t="s">
        <v>634</v>
      </c>
      <c r="D41" s="345" t="s">
        <v>635</v>
      </c>
      <c r="E41" s="345" t="s">
        <v>653</v>
      </c>
    </row>
    <row r="42" spans="2:5" x14ac:dyDescent="0.3">
      <c r="B42" s="345" t="s">
        <v>610</v>
      </c>
      <c r="C42" s="345" t="s">
        <v>634</v>
      </c>
      <c r="D42" s="345" t="s">
        <v>627</v>
      </c>
      <c r="E42" s="345" t="s">
        <v>654</v>
      </c>
    </row>
    <row r="43" spans="2:5" x14ac:dyDescent="0.3">
      <c r="B43" s="345" t="s">
        <v>611</v>
      </c>
      <c r="C43" s="345" t="s">
        <v>634</v>
      </c>
      <c r="D43" s="345" t="s">
        <v>627</v>
      </c>
      <c r="E43" s="345" t="s">
        <v>655</v>
      </c>
    </row>
    <row r="44" spans="2:5" x14ac:dyDescent="0.3">
      <c r="B44" s="345" t="s">
        <v>612</v>
      </c>
      <c r="C44" s="345" t="s">
        <v>634</v>
      </c>
      <c r="D44" s="345" t="s">
        <v>635</v>
      </c>
      <c r="E44" s="345" t="s">
        <v>656</v>
      </c>
    </row>
    <row r="45" spans="2:5" x14ac:dyDescent="0.3">
      <c r="B45" s="345" t="s">
        <v>613</v>
      </c>
      <c r="C45" s="345" t="s">
        <v>634</v>
      </c>
      <c r="D45" s="345" t="s">
        <v>635</v>
      </c>
      <c r="E45" s="345" t="s">
        <v>657</v>
      </c>
    </row>
    <row r="46" spans="2:5" x14ac:dyDescent="0.3">
      <c r="B46" s="345" t="s">
        <v>614</v>
      </c>
      <c r="C46" s="345" t="s">
        <v>634</v>
      </c>
      <c r="D46" s="345" t="s">
        <v>635</v>
      </c>
      <c r="E46" s="345" t="s">
        <v>658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L36"/>
  <sheetViews>
    <sheetView workbookViewId="0">
      <selection activeCell="B13" sqref="B13"/>
    </sheetView>
  </sheetViews>
  <sheetFormatPr defaultRowHeight="14.4" x14ac:dyDescent="0.3"/>
  <sheetData>
    <row r="1" spans="1:7" x14ac:dyDescent="0.3">
      <c r="A1" s="507" t="s">
        <v>561</v>
      </c>
      <c r="B1" s="507" t="s">
        <v>597</v>
      </c>
      <c r="C1" s="507" t="s">
        <v>598</v>
      </c>
      <c r="D1" s="507" t="s">
        <v>599</v>
      </c>
      <c r="E1" s="507" t="s">
        <v>600</v>
      </c>
      <c r="F1" s="507" t="s">
        <v>601</v>
      </c>
      <c r="G1" s="508" t="s">
        <v>602</v>
      </c>
    </row>
    <row r="2" spans="1:7" x14ac:dyDescent="0.3">
      <c r="A2" s="501">
        <f>osm!$B$1</f>
        <v>0</v>
      </c>
      <c r="B2" s="501">
        <f>'Phase calculation'!C156</f>
        <v>4</v>
      </c>
      <c r="C2" s="501"/>
      <c r="D2" s="501">
        <f>'Phase calculation'!C158</f>
        <v>4</v>
      </c>
      <c r="E2" s="501" t="str">
        <f>'Phase calculation'!C159</f>
        <v>Permissive</v>
      </c>
      <c r="F2" s="509" t="str">
        <f>'Phase calculation'!C160</f>
        <v>EBL</v>
      </c>
    </row>
    <row r="3" spans="1:7" x14ac:dyDescent="0.3">
      <c r="A3" s="501">
        <f>osm!$B$1</f>
        <v>0</v>
      </c>
      <c r="B3" s="501">
        <f>'Phase calculation'!D156</f>
        <v>4</v>
      </c>
      <c r="C3" s="501"/>
      <c r="D3" s="501">
        <f>'Phase calculation'!D158</f>
        <v>4</v>
      </c>
      <c r="E3" s="501" t="str">
        <f>'Phase calculation'!D159</f>
        <v>Protected</v>
      </c>
      <c r="F3" s="509" t="str">
        <f>'Phase calculation'!D160</f>
        <v>EBT</v>
      </c>
    </row>
    <row r="4" spans="1:7" x14ac:dyDescent="0.3">
      <c r="A4" s="501">
        <f>osm!$B$1</f>
        <v>0</v>
      </c>
      <c r="B4" s="501" t="str">
        <f>'Phase calculation'!E156</f>
        <v>41</v>
      </c>
      <c r="C4" s="501"/>
      <c r="D4" s="501">
        <f>'Phase calculation'!E158</f>
        <v>4</v>
      </c>
      <c r="E4" s="501" t="str">
        <f>'Phase calculation'!E159</f>
        <v>RTOR</v>
      </c>
      <c r="F4" s="509" t="str">
        <f>'Phase calculation'!E160</f>
        <v>EBR</v>
      </c>
    </row>
    <row r="5" spans="1:7" x14ac:dyDescent="0.3">
      <c r="A5" s="501">
        <f>osm!$B$1</f>
        <v>0</v>
      </c>
      <c r="B5" s="501">
        <f>'Phase calculation'!F156</f>
        <v>8</v>
      </c>
      <c r="C5" s="501"/>
      <c r="D5" s="501">
        <f>'Phase calculation'!F158</f>
        <v>8</v>
      </c>
      <c r="E5" s="501" t="str">
        <f>'Phase calculation'!F159</f>
        <v>Permissive</v>
      </c>
      <c r="F5" s="509" t="str">
        <f>'Phase calculation'!F160</f>
        <v>WBL</v>
      </c>
    </row>
    <row r="6" spans="1:7" x14ac:dyDescent="0.3">
      <c r="A6" s="501">
        <f>osm!$B$1</f>
        <v>0</v>
      </c>
      <c r="B6" s="501">
        <f>'Phase calculation'!G156</f>
        <v>8</v>
      </c>
      <c r="C6" s="501"/>
      <c r="D6" s="501">
        <f>'Phase calculation'!G158</f>
        <v>8</v>
      </c>
      <c r="E6" s="501" t="str">
        <f>'Phase calculation'!G159</f>
        <v>Protected</v>
      </c>
      <c r="F6" s="509" t="str">
        <f>'Phase calculation'!G160</f>
        <v>WBT</v>
      </c>
    </row>
    <row r="7" spans="1:7" x14ac:dyDescent="0.3">
      <c r="A7" s="501">
        <f>osm!$B$1</f>
        <v>0</v>
      </c>
      <c r="B7" s="501" t="str">
        <f>'Phase calculation'!H156</f>
        <v>81</v>
      </c>
      <c r="C7" s="501"/>
      <c r="D7" s="501">
        <f>'Phase calculation'!H158</f>
        <v>8</v>
      </c>
      <c r="E7" s="501" t="str">
        <f>'Phase calculation'!H159</f>
        <v>RTOR</v>
      </c>
      <c r="F7" s="509" t="str">
        <f>'Phase calculation'!H160</f>
        <v>WBR</v>
      </c>
    </row>
    <row r="8" spans="1:7" x14ac:dyDescent="0.3">
      <c r="A8" s="501">
        <f>osm!$B$1</f>
        <v>0</v>
      </c>
      <c r="B8" s="501">
        <f>'Phase calculation'!I156</f>
        <v>2</v>
      </c>
      <c r="C8" s="501"/>
      <c r="D8" s="501">
        <f>'Phase calculation'!I158</f>
        <v>2</v>
      </c>
      <c r="E8" s="501" t="str">
        <f>'Phase calculation'!I159</f>
        <v>Permissive</v>
      </c>
      <c r="F8" s="509" t="str">
        <f>'Phase calculation'!I160</f>
        <v>NBL</v>
      </c>
    </row>
    <row r="9" spans="1:7" x14ac:dyDescent="0.3">
      <c r="A9" s="501">
        <f>osm!$B$1</f>
        <v>0</v>
      </c>
      <c r="B9" s="501">
        <f>'Phase calculation'!J156</f>
        <v>2</v>
      </c>
      <c r="C9" s="501"/>
      <c r="D9" s="501">
        <f>'Phase calculation'!J158</f>
        <v>2</v>
      </c>
      <c r="E9" s="501" t="str">
        <f>'Phase calculation'!J159</f>
        <v>Protected</v>
      </c>
      <c r="F9" s="509" t="str">
        <f>'Phase calculation'!J160</f>
        <v>NBT</v>
      </c>
    </row>
    <row r="10" spans="1:7" x14ac:dyDescent="0.3">
      <c r="A10" s="501">
        <f>osm!$B$1</f>
        <v>0</v>
      </c>
      <c r="B10" s="501" t="str">
        <f>'Phase calculation'!K156</f>
        <v>21</v>
      </c>
      <c r="C10" s="501"/>
      <c r="D10" s="501">
        <f>'Phase calculation'!K158</f>
        <v>2</v>
      </c>
      <c r="E10" s="501" t="str">
        <f>'Phase calculation'!K159</f>
        <v>RTOR</v>
      </c>
      <c r="F10" s="509" t="str">
        <f>'Phase calculation'!K160</f>
        <v>NBR</v>
      </c>
    </row>
    <row r="11" spans="1:7" x14ac:dyDescent="0.3">
      <c r="A11" s="501">
        <f>osm!$B$1</f>
        <v>0</v>
      </c>
      <c r="B11" s="501">
        <f>'Phase calculation'!L156</f>
        <v>6</v>
      </c>
      <c r="C11" s="501"/>
      <c r="D11" s="501">
        <f>'Phase calculation'!L158</f>
        <v>6</v>
      </c>
      <c r="E11" s="501" t="str">
        <f>'Phase calculation'!L159</f>
        <v>Permissive</v>
      </c>
      <c r="F11" s="509" t="str">
        <f>'Phase calculation'!L160</f>
        <v>SBL</v>
      </c>
    </row>
    <row r="12" spans="1:7" x14ac:dyDescent="0.3">
      <c r="A12" s="501">
        <f>osm!$B$1</f>
        <v>0</v>
      </c>
      <c r="B12" s="501">
        <f>'Phase calculation'!M156</f>
        <v>6</v>
      </c>
      <c r="C12" s="501"/>
      <c r="D12" s="501">
        <f>'Phase calculation'!M158</f>
        <v>6</v>
      </c>
      <c r="E12" s="501" t="str">
        <f>'Phase calculation'!M159</f>
        <v>Protected</v>
      </c>
      <c r="F12" s="509" t="str">
        <f>'Phase calculation'!M160</f>
        <v>SBT</v>
      </c>
    </row>
    <row r="13" spans="1:7" x14ac:dyDescent="0.3">
      <c r="A13" s="501">
        <f>osm!$B$1</f>
        <v>0</v>
      </c>
      <c r="B13" s="501" t="str">
        <f>'Phase calculation'!N156</f>
        <v>61</v>
      </c>
      <c r="C13" s="501"/>
      <c r="D13" s="501">
        <f>'Phase calculation'!N158</f>
        <v>6</v>
      </c>
      <c r="E13" s="501" t="str">
        <f>'Phase calculation'!N159</f>
        <v>RTOR</v>
      </c>
      <c r="F13" s="509" t="str">
        <f>'Phase calculation'!N160</f>
        <v>SBR</v>
      </c>
    </row>
    <row r="14" spans="1:7" x14ac:dyDescent="0.3">
      <c r="A14" s="501"/>
      <c r="B14" s="501"/>
      <c r="C14" s="501"/>
      <c r="D14" s="501"/>
      <c r="E14" s="501"/>
      <c r="F14" s="501"/>
    </row>
    <row r="15" spans="1:7" x14ac:dyDescent="0.3">
      <c r="A15" t="s">
        <v>561</v>
      </c>
      <c r="B15" t="s">
        <v>603</v>
      </c>
      <c r="C15" t="s">
        <v>604</v>
      </c>
      <c r="D15" t="s">
        <v>605</v>
      </c>
      <c r="G15" s="1" t="s">
        <v>606</v>
      </c>
    </row>
    <row r="16" spans="1:7" x14ac:dyDescent="0.3">
      <c r="A16">
        <f>osm!$B$1</f>
        <v>0</v>
      </c>
      <c r="B16" t="e">
        <f>IF(Phasing!D58=0,"",Phasing!D54)</f>
        <v>#N/A</v>
      </c>
      <c r="C16" t="e">
        <f>IF(B16="","",IF(B16&lt;=4,1,2))</f>
        <v>#N/A</v>
      </c>
      <c r="D16" t="e">
        <f>IF(C16="","",IF(OR(B16=1,B16=2,B16=5,B16=6),1,2))</f>
        <v>#N/A</v>
      </c>
    </row>
    <row r="17" spans="1:12" x14ac:dyDescent="0.3">
      <c r="A17">
        <f>osm!$B$1</f>
        <v>0</v>
      </c>
      <c r="B17" t="e">
        <f>IF(Phasing!E58=0,"",Phasing!E54)</f>
        <v>#N/A</v>
      </c>
      <c r="C17" t="e">
        <f t="shared" ref="C17:C23" si="0">IF(B17="","",IF(B17&lt;=4,1,2))</f>
        <v>#N/A</v>
      </c>
      <c r="D17" t="e">
        <f t="shared" ref="D17:D23" si="1">IF(C17="","",IF(OR(B17=1,B17=2,B17=5,B17=6),1,2))</f>
        <v>#N/A</v>
      </c>
    </row>
    <row r="18" spans="1:12" x14ac:dyDescent="0.3">
      <c r="A18">
        <f>osm!$B$1</f>
        <v>0</v>
      </c>
      <c r="B18" t="e">
        <f>IF(Phasing!F58=0,"",Phasing!F54)</f>
        <v>#N/A</v>
      </c>
      <c r="C18" t="e">
        <f t="shared" si="0"/>
        <v>#N/A</v>
      </c>
      <c r="D18" t="e">
        <f t="shared" si="1"/>
        <v>#N/A</v>
      </c>
    </row>
    <row r="19" spans="1:12" x14ac:dyDescent="0.3">
      <c r="A19">
        <f>osm!$B$1</f>
        <v>0</v>
      </c>
      <c r="B19" t="e">
        <f>IF(Phasing!G58=0,"",Phasing!G54)</f>
        <v>#N/A</v>
      </c>
      <c r="C19" t="e">
        <f t="shared" si="0"/>
        <v>#N/A</v>
      </c>
      <c r="D19" t="e">
        <f t="shared" si="1"/>
        <v>#N/A</v>
      </c>
    </row>
    <row r="20" spans="1:12" x14ac:dyDescent="0.3">
      <c r="A20">
        <f>osm!$B$1</f>
        <v>0</v>
      </c>
      <c r="B20" t="e">
        <f>IF(Phasing!H58=0,"",Phasing!H54)</f>
        <v>#N/A</v>
      </c>
      <c r="C20" t="e">
        <f t="shared" si="0"/>
        <v>#N/A</v>
      </c>
      <c r="D20" t="e">
        <f t="shared" si="1"/>
        <v>#N/A</v>
      </c>
    </row>
    <row r="21" spans="1:12" x14ac:dyDescent="0.3">
      <c r="A21">
        <f>osm!$B$1</f>
        <v>0</v>
      </c>
      <c r="B21" t="e">
        <f>IF(Phasing!I58=0,"",Phasing!I54)</f>
        <v>#N/A</v>
      </c>
      <c r="C21" t="e">
        <f t="shared" si="0"/>
        <v>#N/A</v>
      </c>
      <c r="D21" t="e">
        <f t="shared" si="1"/>
        <v>#N/A</v>
      </c>
    </row>
    <row r="22" spans="1:12" x14ac:dyDescent="0.3">
      <c r="A22">
        <f>osm!$B$1</f>
        <v>0</v>
      </c>
      <c r="B22" t="e">
        <f>IF(Phasing!J58=0,"",Phasing!J54)</f>
        <v>#N/A</v>
      </c>
      <c r="C22" t="e">
        <f t="shared" si="0"/>
        <v>#N/A</v>
      </c>
      <c r="D22" t="e">
        <f t="shared" si="1"/>
        <v>#N/A</v>
      </c>
    </row>
    <row r="23" spans="1:12" x14ac:dyDescent="0.3">
      <c r="A23">
        <f>osm!$B$1</f>
        <v>0</v>
      </c>
      <c r="B23" t="e">
        <f>IF(Phasing!K58=0,"",Phasing!K54)</f>
        <v>#N/A</v>
      </c>
      <c r="C23" t="e">
        <f t="shared" si="0"/>
        <v>#N/A</v>
      </c>
      <c r="D23" t="e">
        <f t="shared" si="1"/>
        <v>#N/A</v>
      </c>
    </row>
    <row r="25" spans="1:12" x14ac:dyDescent="0.3">
      <c r="A25" s="501" t="s">
        <v>607</v>
      </c>
      <c r="B25" s="501" t="s">
        <v>561</v>
      </c>
      <c r="C25" s="501" t="s">
        <v>608</v>
      </c>
      <c r="D25" s="501" t="s">
        <v>599</v>
      </c>
      <c r="E25" s="501" t="s">
        <v>609</v>
      </c>
      <c r="F25" s="501" t="s">
        <v>610</v>
      </c>
      <c r="G25" s="501" t="s">
        <v>611</v>
      </c>
      <c r="H25" s="501" t="s">
        <v>612</v>
      </c>
      <c r="I25" s="501" t="s">
        <v>613</v>
      </c>
      <c r="J25" s="501" t="s">
        <v>614</v>
      </c>
      <c r="L25" s="1" t="s">
        <v>615</v>
      </c>
    </row>
    <row r="26" spans="1:12" x14ac:dyDescent="0.3">
      <c r="A26" s="501" t="e">
        <f>IF(D26="","",1)</f>
        <v>#N/A</v>
      </c>
      <c r="B26" s="501">
        <f>osm!$B$1</f>
        <v>0</v>
      </c>
      <c r="C26" s="501" t="e">
        <f>IF(D26="","",1)</f>
        <v>#N/A</v>
      </c>
      <c r="D26" s="501" t="e">
        <f>B16</f>
        <v>#N/A</v>
      </c>
      <c r="E26" s="501" t="e">
        <f>IF(D26="","",Phasing!D31)</f>
        <v>#N/A</v>
      </c>
      <c r="F26" s="501" t="e">
        <f>IF(D26="","",Phasing!D32)</f>
        <v>#N/A</v>
      </c>
      <c r="G26" s="501" t="e">
        <f>IF(D26="","",Phasing!D33)</f>
        <v>#N/A</v>
      </c>
      <c r="H26" s="501" t="e">
        <f>IF(D26="","",INDEX(Phasing!$Y$33:$Y$40,MATCH(D26,Phasing!$W$33:$W$40,0))+INDEX(Phasing!$AA$33:$AA$40,MATCH(D26,Phasing!$W$33:$W$40,0)))</f>
        <v>#N/A</v>
      </c>
      <c r="I26" s="501"/>
      <c r="J26" s="501"/>
    </row>
    <row r="27" spans="1:12" x14ac:dyDescent="0.3">
      <c r="A27" s="501" t="e">
        <f t="shared" ref="A27:A33" si="2">IF(D27="","",1)</f>
        <v>#N/A</v>
      </c>
      <c r="B27" s="501">
        <f>osm!$B$1</f>
        <v>0</v>
      </c>
      <c r="C27" s="501" t="e">
        <f t="shared" ref="C27:C33" si="3">IF(D27="","",1)</f>
        <v>#N/A</v>
      </c>
      <c r="D27" s="501" t="e">
        <f t="shared" ref="D27:D33" si="4">B17</f>
        <v>#N/A</v>
      </c>
      <c r="E27" s="501" t="e">
        <f>IF(D27="","",Phasing!E31)</f>
        <v>#N/A</v>
      </c>
      <c r="F27" s="501" t="e">
        <f>IF(D27="","",Phasing!E32)</f>
        <v>#N/A</v>
      </c>
      <c r="G27" s="501" t="e">
        <f>IF(D27="","",Phasing!E33)</f>
        <v>#N/A</v>
      </c>
      <c r="H27" s="501" t="e">
        <f>IF(D27="","",INDEX(Phasing!$Y$33:$Y$40,MATCH(D27,Phasing!$W$33:$W$40,0))+INDEX(Phasing!$AA$33:$AA$40,MATCH(D27,Phasing!$W$33:$W$40,0)))</f>
        <v>#N/A</v>
      </c>
      <c r="I27" s="501" t="e">
        <f>IF(D27="","",Phasing!E40)</f>
        <v>#N/A</v>
      </c>
      <c r="J27" s="501" t="e">
        <f>IF(D27="","",Phasing!E41)</f>
        <v>#N/A</v>
      </c>
    </row>
    <row r="28" spans="1:12" x14ac:dyDescent="0.3">
      <c r="A28" s="501" t="e">
        <f t="shared" si="2"/>
        <v>#N/A</v>
      </c>
      <c r="B28" s="501">
        <f>osm!$B$1</f>
        <v>0</v>
      </c>
      <c r="C28" s="501" t="e">
        <f t="shared" si="3"/>
        <v>#N/A</v>
      </c>
      <c r="D28" s="501" t="e">
        <f t="shared" si="4"/>
        <v>#N/A</v>
      </c>
      <c r="E28" s="501" t="e">
        <f>IF(D28="","",Phasing!F31)</f>
        <v>#N/A</v>
      </c>
      <c r="F28" s="501" t="e">
        <f>IF(D28="","",Phasing!F32)</f>
        <v>#N/A</v>
      </c>
      <c r="G28" s="501" t="e">
        <f>IF(D28="","",Phasing!F33)</f>
        <v>#N/A</v>
      </c>
      <c r="H28" s="501" t="e">
        <f>IF(D28="","",INDEX(Phasing!$Y$33:$Y$40,MATCH(D28,Phasing!$W$33:$W$40,0))+INDEX(Phasing!$AA$33:$AA$40,MATCH(D28,Phasing!$W$33:$W$40,0)))</f>
        <v>#N/A</v>
      </c>
      <c r="I28" s="501"/>
      <c r="J28" s="501"/>
    </row>
    <row r="29" spans="1:12" x14ac:dyDescent="0.3">
      <c r="A29" s="501" t="e">
        <f t="shared" si="2"/>
        <v>#N/A</v>
      </c>
      <c r="B29" s="501">
        <f>osm!$B$1</f>
        <v>0</v>
      </c>
      <c r="C29" s="501" t="e">
        <f t="shared" si="3"/>
        <v>#N/A</v>
      </c>
      <c r="D29" s="501" t="e">
        <f t="shared" si="4"/>
        <v>#N/A</v>
      </c>
      <c r="E29" s="501" t="e">
        <f>IF(D29="","",Phasing!G31)</f>
        <v>#N/A</v>
      </c>
      <c r="F29" s="501" t="e">
        <f>IF(D29="","",Phasing!G32)</f>
        <v>#N/A</v>
      </c>
      <c r="G29" s="501" t="e">
        <f>IF(D29="","",Phasing!G33)</f>
        <v>#N/A</v>
      </c>
      <c r="H29" s="501" t="e">
        <f>IF(D29="","",INDEX(Phasing!$Y$33:$Y$40,MATCH(D29,Phasing!$W$33:$W$40,0))+INDEX(Phasing!$AA$33:$AA$40,MATCH(D29,Phasing!$W$33:$W$40,0)))</f>
        <v>#N/A</v>
      </c>
      <c r="I29" s="501" t="e">
        <f>IF(D29="","",Phasing!G40)</f>
        <v>#N/A</v>
      </c>
      <c r="J29" s="501" t="e">
        <f>IF(D29="","",Phasing!G41)</f>
        <v>#N/A</v>
      </c>
    </row>
    <row r="30" spans="1:12" x14ac:dyDescent="0.3">
      <c r="A30" s="501" t="e">
        <f t="shared" si="2"/>
        <v>#N/A</v>
      </c>
      <c r="B30" s="501">
        <f>osm!$B$1</f>
        <v>0</v>
      </c>
      <c r="C30" s="501" t="e">
        <f t="shared" si="3"/>
        <v>#N/A</v>
      </c>
      <c r="D30" s="501" t="e">
        <f t="shared" si="4"/>
        <v>#N/A</v>
      </c>
      <c r="E30" s="501" t="e">
        <f>IF(D30="","",Phasing!H31)</f>
        <v>#N/A</v>
      </c>
      <c r="F30" s="501" t="e">
        <f>IF(D30="","",Phasing!H32)</f>
        <v>#N/A</v>
      </c>
      <c r="G30" s="501" t="e">
        <f>IF(D30="","",Phasing!H33)</f>
        <v>#N/A</v>
      </c>
      <c r="H30" s="501" t="e">
        <f>IF(D30="","",INDEX(Phasing!$Y$33:$Y$40,MATCH(D30,Phasing!$W$33:$W$40,0))+INDEX(Phasing!$AA$33:$AA$40,MATCH(D30,Phasing!$W$33:$W$40,0)))</f>
        <v>#N/A</v>
      </c>
      <c r="I30" s="501"/>
      <c r="J30" s="501"/>
    </row>
    <row r="31" spans="1:12" x14ac:dyDescent="0.3">
      <c r="A31" s="501" t="e">
        <f t="shared" si="2"/>
        <v>#N/A</v>
      </c>
      <c r="B31" s="501">
        <f>osm!$B$1</f>
        <v>0</v>
      </c>
      <c r="C31" s="501" t="e">
        <f t="shared" si="3"/>
        <v>#N/A</v>
      </c>
      <c r="D31" s="501" t="e">
        <f t="shared" si="4"/>
        <v>#N/A</v>
      </c>
      <c r="E31" s="501" t="e">
        <f>IF(D31="","",Phasing!I31)</f>
        <v>#N/A</v>
      </c>
      <c r="F31" s="501" t="e">
        <f>IF(D31="","",Phasing!I32)</f>
        <v>#N/A</v>
      </c>
      <c r="G31" s="501" t="e">
        <f>IF(D31="","",Phasing!I33)</f>
        <v>#N/A</v>
      </c>
      <c r="H31" s="501" t="e">
        <f>IF(D31="","",INDEX(Phasing!$Y$33:$Y$40,MATCH(D31,Phasing!$W$33:$W$40,0))+INDEX(Phasing!$AA$33:$AA$40,MATCH(D31,Phasing!$W$33:$W$40,0)))</f>
        <v>#N/A</v>
      </c>
      <c r="I31" s="501" t="e">
        <f>IF(D31="","",Phasing!I40)</f>
        <v>#N/A</v>
      </c>
      <c r="J31" s="501" t="e">
        <f>IF(D31="","",Phasing!I41)</f>
        <v>#N/A</v>
      </c>
    </row>
    <row r="32" spans="1:12" x14ac:dyDescent="0.3">
      <c r="A32" s="501" t="e">
        <f t="shared" si="2"/>
        <v>#N/A</v>
      </c>
      <c r="B32" s="501">
        <f>osm!$B$1</f>
        <v>0</v>
      </c>
      <c r="C32" s="501" t="e">
        <f t="shared" si="3"/>
        <v>#N/A</v>
      </c>
      <c r="D32" s="501" t="e">
        <f t="shared" si="4"/>
        <v>#N/A</v>
      </c>
      <c r="E32" s="501" t="e">
        <f>IF(D32="","",Phasing!J31)</f>
        <v>#N/A</v>
      </c>
      <c r="F32" s="501" t="e">
        <f>IF(D32="","",Phasing!J32)</f>
        <v>#N/A</v>
      </c>
      <c r="G32" s="501" t="e">
        <f>IF(D32="","",Phasing!J33)</f>
        <v>#N/A</v>
      </c>
      <c r="H32" s="501" t="e">
        <f>IF(D32="","",INDEX(Phasing!$Y$33:$Y$40,MATCH(D32,Phasing!$W$33:$W$40,0))+INDEX(Phasing!$AA$33:$AA$40,MATCH(D32,Phasing!$W$33:$W$40,0)))</f>
        <v>#N/A</v>
      </c>
      <c r="I32" s="501"/>
      <c r="J32" s="501"/>
    </row>
    <row r="33" spans="1:12" x14ac:dyDescent="0.3">
      <c r="A33" s="501" t="e">
        <f t="shared" si="2"/>
        <v>#N/A</v>
      </c>
      <c r="B33" s="501">
        <f>osm!$B$1</f>
        <v>0</v>
      </c>
      <c r="C33" s="501" t="e">
        <f t="shared" si="3"/>
        <v>#N/A</v>
      </c>
      <c r="D33" s="501" t="e">
        <f t="shared" si="4"/>
        <v>#N/A</v>
      </c>
      <c r="E33" s="501" t="e">
        <f>IF(D33="","",Phasing!K31)</f>
        <v>#N/A</v>
      </c>
      <c r="F33" s="501" t="e">
        <f>IF(D33="","",Phasing!K32)</f>
        <v>#N/A</v>
      </c>
      <c r="G33" s="501" t="e">
        <f>IF(D33="","",Phasing!K33)</f>
        <v>#N/A</v>
      </c>
      <c r="H33" s="501" t="e">
        <f>IF(D33="","",INDEX(Phasing!$Y$33:$Y$40,MATCH(D33,Phasing!$W$33:$W$40,0))+INDEX(Phasing!$AA$33:$AA$40,MATCH(D33,Phasing!$W$33:$W$40,0)))</f>
        <v>#N/A</v>
      </c>
      <c r="I33" s="501" t="e">
        <f>IF(D33="","",Phasing!K40)</f>
        <v>#N/A</v>
      </c>
      <c r="J33" s="501" t="e">
        <f>IF(D33="","",Phasing!K41)</f>
        <v>#N/A</v>
      </c>
    </row>
    <row r="35" spans="1:12" x14ac:dyDescent="0.3">
      <c r="A35" t="s">
        <v>561</v>
      </c>
      <c r="B35" t="s">
        <v>608</v>
      </c>
      <c r="C35" t="s">
        <v>616</v>
      </c>
      <c r="D35" t="s">
        <v>572</v>
      </c>
      <c r="E35" t="s">
        <v>617</v>
      </c>
      <c r="F35" t="s">
        <v>618</v>
      </c>
      <c r="G35" t="s">
        <v>619</v>
      </c>
      <c r="L35" s="1" t="s">
        <v>620</v>
      </c>
    </row>
    <row r="36" spans="1:12" x14ac:dyDescent="0.3">
      <c r="A36">
        <f>osm!$B$1</f>
        <v>0</v>
      </c>
      <c r="B36">
        <v>1</v>
      </c>
      <c r="C36">
        <v>1700</v>
      </c>
      <c r="D36">
        <f>'Phase calculation'!C25</f>
        <v>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V1:Y8856"/>
  <sheetViews>
    <sheetView workbookViewId="0">
      <selection activeCell="W1" sqref="W1:W1039723"/>
    </sheetView>
  </sheetViews>
  <sheetFormatPr defaultRowHeight="14.4" x14ac:dyDescent="0.3"/>
  <cols>
    <col min="22" max="25" width="8.88671875" style="1"/>
  </cols>
  <sheetData>
    <row r="1" spans="22:25" x14ac:dyDescent="0.3">
      <c r="V1" s="1" t="s">
        <v>562</v>
      </c>
      <c r="X1" s="1" t="s">
        <v>563</v>
      </c>
      <c r="Y1" s="1" t="s">
        <v>564</v>
      </c>
    </row>
    <row r="2" spans="22:25" x14ac:dyDescent="0.3">
      <c r="V2" s="1">
        <f>COUNT(W:W)</f>
        <v>0</v>
      </c>
      <c r="X2" s="1">
        <f>IFERROR(MATCH(W2,$B:$B,0),0)</f>
        <v>0</v>
      </c>
      <c r="Y2" s="1">
        <f>IF(X3=0,COUNTA(A:A),X3-1)</f>
        <v>0</v>
      </c>
    </row>
    <row r="3" spans="22:25" x14ac:dyDescent="0.3">
      <c r="X3" s="1">
        <f t="shared" ref="X3:X66" si="0">IFERROR(MATCH(W3,$B:$B,0),0)</f>
        <v>0</v>
      </c>
      <c r="Y3" s="1">
        <f t="shared" ref="Y3:Y66" si="1">IF(X4=0,COUNTA(A:A),X4-1)</f>
        <v>0</v>
      </c>
    </row>
    <row r="4" spans="22:25" x14ac:dyDescent="0.3">
      <c r="X4" s="1">
        <f t="shared" si="0"/>
        <v>0</v>
      </c>
      <c r="Y4" s="1">
        <f t="shared" si="1"/>
        <v>0</v>
      </c>
    </row>
    <row r="5" spans="22:25" x14ac:dyDescent="0.3">
      <c r="X5" s="1">
        <f t="shared" si="0"/>
        <v>0</v>
      </c>
      <c r="Y5" s="1">
        <f t="shared" si="1"/>
        <v>0</v>
      </c>
    </row>
    <row r="6" spans="22:25" x14ac:dyDescent="0.3">
      <c r="X6" s="1">
        <f t="shared" si="0"/>
        <v>0</v>
      </c>
      <c r="Y6" s="1">
        <f t="shared" si="1"/>
        <v>0</v>
      </c>
    </row>
    <row r="7" spans="22:25" x14ac:dyDescent="0.3">
      <c r="X7" s="1">
        <f t="shared" si="0"/>
        <v>0</v>
      </c>
      <c r="Y7" s="1">
        <f t="shared" si="1"/>
        <v>0</v>
      </c>
    </row>
    <row r="8" spans="22:25" x14ac:dyDescent="0.3">
      <c r="X8" s="1">
        <f t="shared" si="0"/>
        <v>0</v>
      </c>
      <c r="Y8" s="1">
        <f t="shared" si="1"/>
        <v>0</v>
      </c>
    </row>
    <row r="9" spans="22:25" x14ac:dyDescent="0.3">
      <c r="X9" s="1">
        <f t="shared" si="0"/>
        <v>0</v>
      </c>
      <c r="Y9" s="1">
        <f t="shared" si="1"/>
        <v>0</v>
      </c>
    </row>
    <row r="10" spans="22:25" x14ac:dyDescent="0.3">
      <c r="X10" s="1">
        <f t="shared" si="0"/>
        <v>0</v>
      </c>
      <c r="Y10" s="1">
        <f t="shared" si="1"/>
        <v>0</v>
      </c>
    </row>
    <row r="11" spans="22:25" x14ac:dyDescent="0.3">
      <c r="X11" s="1">
        <f t="shared" si="0"/>
        <v>0</v>
      </c>
      <c r="Y11" s="1">
        <f t="shared" si="1"/>
        <v>0</v>
      </c>
    </row>
    <row r="12" spans="22:25" x14ac:dyDescent="0.3">
      <c r="X12" s="1">
        <f t="shared" si="0"/>
        <v>0</v>
      </c>
      <c r="Y12" s="1">
        <f t="shared" si="1"/>
        <v>0</v>
      </c>
    </row>
    <row r="13" spans="22:25" x14ac:dyDescent="0.3">
      <c r="X13" s="1">
        <f t="shared" si="0"/>
        <v>0</v>
      </c>
      <c r="Y13" s="1">
        <f t="shared" si="1"/>
        <v>0</v>
      </c>
    </row>
    <row r="14" spans="22:25" x14ac:dyDescent="0.3">
      <c r="X14" s="1">
        <f t="shared" si="0"/>
        <v>0</v>
      </c>
      <c r="Y14" s="1">
        <f t="shared" si="1"/>
        <v>0</v>
      </c>
    </row>
    <row r="15" spans="22:25" x14ac:dyDescent="0.3">
      <c r="X15" s="1">
        <f t="shared" si="0"/>
        <v>0</v>
      </c>
      <c r="Y15" s="1">
        <f t="shared" si="1"/>
        <v>0</v>
      </c>
    </row>
    <row r="16" spans="22:25" x14ac:dyDescent="0.3">
      <c r="X16" s="1">
        <f t="shared" si="0"/>
        <v>0</v>
      </c>
      <c r="Y16" s="1">
        <f t="shared" si="1"/>
        <v>0</v>
      </c>
    </row>
    <row r="17" spans="24:25" x14ac:dyDescent="0.3">
      <c r="X17" s="1">
        <f t="shared" si="0"/>
        <v>0</v>
      </c>
      <c r="Y17" s="1">
        <f t="shared" si="1"/>
        <v>0</v>
      </c>
    </row>
    <row r="18" spans="24:25" x14ac:dyDescent="0.3">
      <c r="X18" s="1">
        <f t="shared" si="0"/>
        <v>0</v>
      </c>
      <c r="Y18" s="1">
        <f t="shared" si="1"/>
        <v>0</v>
      </c>
    </row>
    <row r="19" spans="24:25" x14ac:dyDescent="0.3">
      <c r="X19" s="1">
        <f t="shared" si="0"/>
        <v>0</v>
      </c>
      <c r="Y19" s="1">
        <f t="shared" si="1"/>
        <v>0</v>
      </c>
    </row>
    <row r="20" spans="24:25" x14ac:dyDescent="0.3">
      <c r="X20" s="1">
        <f t="shared" si="0"/>
        <v>0</v>
      </c>
      <c r="Y20" s="1">
        <f t="shared" si="1"/>
        <v>0</v>
      </c>
    </row>
    <row r="21" spans="24:25" x14ac:dyDescent="0.3">
      <c r="X21" s="1">
        <f t="shared" si="0"/>
        <v>0</v>
      </c>
      <c r="Y21" s="1">
        <f t="shared" si="1"/>
        <v>0</v>
      </c>
    </row>
    <row r="22" spans="24:25" x14ac:dyDescent="0.3">
      <c r="X22" s="1">
        <f t="shared" si="0"/>
        <v>0</v>
      </c>
      <c r="Y22" s="1">
        <f t="shared" si="1"/>
        <v>0</v>
      </c>
    </row>
    <row r="23" spans="24:25" x14ac:dyDescent="0.3">
      <c r="X23" s="1">
        <f t="shared" si="0"/>
        <v>0</v>
      </c>
      <c r="Y23" s="1">
        <f t="shared" si="1"/>
        <v>0</v>
      </c>
    </row>
    <row r="24" spans="24:25" x14ac:dyDescent="0.3">
      <c r="X24" s="1">
        <f t="shared" si="0"/>
        <v>0</v>
      </c>
      <c r="Y24" s="1">
        <f t="shared" si="1"/>
        <v>0</v>
      </c>
    </row>
    <row r="25" spans="24:25" x14ac:dyDescent="0.3">
      <c r="X25" s="1">
        <f t="shared" si="0"/>
        <v>0</v>
      </c>
      <c r="Y25" s="1">
        <f t="shared" si="1"/>
        <v>0</v>
      </c>
    </row>
    <row r="26" spans="24:25" x14ac:dyDescent="0.3">
      <c r="X26" s="1">
        <f t="shared" si="0"/>
        <v>0</v>
      </c>
      <c r="Y26" s="1">
        <f t="shared" si="1"/>
        <v>0</v>
      </c>
    </row>
    <row r="27" spans="24:25" x14ac:dyDescent="0.3">
      <c r="X27" s="1">
        <f t="shared" si="0"/>
        <v>0</v>
      </c>
      <c r="Y27" s="1">
        <f t="shared" si="1"/>
        <v>0</v>
      </c>
    </row>
    <row r="28" spans="24:25" x14ac:dyDescent="0.3">
      <c r="X28" s="1">
        <f t="shared" si="0"/>
        <v>0</v>
      </c>
      <c r="Y28" s="1">
        <f t="shared" si="1"/>
        <v>0</v>
      </c>
    </row>
    <row r="29" spans="24:25" x14ac:dyDescent="0.3">
      <c r="X29" s="1">
        <f t="shared" si="0"/>
        <v>0</v>
      </c>
      <c r="Y29" s="1">
        <f t="shared" si="1"/>
        <v>0</v>
      </c>
    </row>
    <row r="30" spans="24:25" x14ac:dyDescent="0.3">
      <c r="X30" s="1">
        <f t="shared" si="0"/>
        <v>0</v>
      </c>
      <c r="Y30" s="1">
        <f t="shared" si="1"/>
        <v>0</v>
      </c>
    </row>
    <row r="31" spans="24:25" x14ac:dyDescent="0.3">
      <c r="X31" s="1">
        <f t="shared" si="0"/>
        <v>0</v>
      </c>
      <c r="Y31" s="1">
        <f t="shared" si="1"/>
        <v>0</v>
      </c>
    </row>
    <row r="32" spans="24:25" x14ac:dyDescent="0.3">
      <c r="X32" s="1">
        <f t="shared" si="0"/>
        <v>0</v>
      </c>
      <c r="Y32" s="1">
        <f t="shared" si="1"/>
        <v>0</v>
      </c>
    </row>
    <row r="33" spans="24:25" x14ac:dyDescent="0.3">
      <c r="X33" s="1">
        <f t="shared" si="0"/>
        <v>0</v>
      </c>
      <c r="Y33" s="1">
        <f t="shared" si="1"/>
        <v>0</v>
      </c>
    </row>
    <row r="34" spans="24:25" x14ac:dyDescent="0.3">
      <c r="X34" s="1">
        <f t="shared" si="0"/>
        <v>0</v>
      </c>
      <c r="Y34" s="1">
        <f t="shared" si="1"/>
        <v>0</v>
      </c>
    </row>
    <row r="35" spans="24:25" x14ac:dyDescent="0.3">
      <c r="X35" s="1">
        <f t="shared" si="0"/>
        <v>0</v>
      </c>
      <c r="Y35" s="1">
        <f t="shared" si="1"/>
        <v>0</v>
      </c>
    </row>
    <row r="36" spans="24:25" x14ac:dyDescent="0.3">
      <c r="X36" s="1">
        <f t="shared" si="0"/>
        <v>0</v>
      </c>
      <c r="Y36" s="1">
        <f t="shared" si="1"/>
        <v>0</v>
      </c>
    </row>
    <row r="37" spans="24:25" x14ac:dyDescent="0.3">
      <c r="X37" s="1">
        <f t="shared" si="0"/>
        <v>0</v>
      </c>
      <c r="Y37" s="1">
        <f t="shared" si="1"/>
        <v>0</v>
      </c>
    </row>
    <row r="38" spans="24:25" x14ac:dyDescent="0.3">
      <c r="X38" s="1">
        <f t="shared" si="0"/>
        <v>0</v>
      </c>
      <c r="Y38" s="1">
        <f t="shared" si="1"/>
        <v>0</v>
      </c>
    </row>
    <row r="39" spans="24:25" x14ac:dyDescent="0.3">
      <c r="X39" s="1">
        <f t="shared" si="0"/>
        <v>0</v>
      </c>
      <c r="Y39" s="1">
        <f t="shared" si="1"/>
        <v>0</v>
      </c>
    </row>
    <row r="40" spans="24:25" x14ac:dyDescent="0.3">
      <c r="X40" s="1">
        <f t="shared" si="0"/>
        <v>0</v>
      </c>
      <c r="Y40" s="1">
        <f t="shared" si="1"/>
        <v>0</v>
      </c>
    </row>
    <row r="41" spans="24:25" x14ac:dyDescent="0.3">
      <c r="X41" s="1">
        <f t="shared" si="0"/>
        <v>0</v>
      </c>
      <c r="Y41" s="1">
        <f t="shared" si="1"/>
        <v>0</v>
      </c>
    </row>
    <row r="42" spans="24:25" x14ac:dyDescent="0.3">
      <c r="X42" s="1">
        <f t="shared" si="0"/>
        <v>0</v>
      </c>
      <c r="Y42" s="1">
        <f t="shared" si="1"/>
        <v>0</v>
      </c>
    </row>
    <row r="43" spans="24:25" x14ac:dyDescent="0.3">
      <c r="X43" s="1">
        <f t="shared" si="0"/>
        <v>0</v>
      </c>
      <c r="Y43" s="1">
        <f t="shared" si="1"/>
        <v>0</v>
      </c>
    </row>
    <row r="44" spans="24:25" x14ac:dyDescent="0.3">
      <c r="X44" s="1">
        <f t="shared" si="0"/>
        <v>0</v>
      </c>
      <c r="Y44" s="1">
        <f t="shared" si="1"/>
        <v>0</v>
      </c>
    </row>
    <row r="45" spans="24:25" x14ac:dyDescent="0.3">
      <c r="X45" s="1">
        <f t="shared" si="0"/>
        <v>0</v>
      </c>
      <c r="Y45" s="1">
        <f t="shared" si="1"/>
        <v>0</v>
      </c>
    </row>
    <row r="46" spans="24:25" x14ac:dyDescent="0.3">
      <c r="X46" s="1">
        <f t="shared" si="0"/>
        <v>0</v>
      </c>
      <c r="Y46" s="1">
        <f t="shared" si="1"/>
        <v>0</v>
      </c>
    </row>
    <row r="47" spans="24:25" x14ac:dyDescent="0.3">
      <c r="X47" s="1">
        <f t="shared" si="0"/>
        <v>0</v>
      </c>
      <c r="Y47" s="1">
        <f t="shared" si="1"/>
        <v>0</v>
      </c>
    </row>
    <row r="48" spans="24:25" x14ac:dyDescent="0.3">
      <c r="X48" s="1">
        <f t="shared" si="0"/>
        <v>0</v>
      </c>
      <c r="Y48" s="1">
        <f t="shared" si="1"/>
        <v>0</v>
      </c>
    </row>
    <row r="49" spans="24:25" x14ac:dyDescent="0.3">
      <c r="X49" s="1">
        <f t="shared" si="0"/>
        <v>0</v>
      </c>
      <c r="Y49" s="1">
        <f t="shared" si="1"/>
        <v>0</v>
      </c>
    </row>
    <row r="50" spans="24:25" x14ac:dyDescent="0.3">
      <c r="X50" s="1">
        <f t="shared" si="0"/>
        <v>0</v>
      </c>
      <c r="Y50" s="1">
        <f t="shared" si="1"/>
        <v>0</v>
      </c>
    </row>
    <row r="51" spans="24:25" x14ac:dyDescent="0.3">
      <c r="X51" s="1">
        <f t="shared" si="0"/>
        <v>0</v>
      </c>
      <c r="Y51" s="1">
        <f t="shared" si="1"/>
        <v>0</v>
      </c>
    </row>
    <row r="52" spans="24:25" x14ac:dyDescent="0.3">
      <c r="X52" s="1">
        <f t="shared" si="0"/>
        <v>0</v>
      </c>
      <c r="Y52" s="1">
        <f t="shared" si="1"/>
        <v>0</v>
      </c>
    </row>
    <row r="53" spans="24:25" x14ac:dyDescent="0.3">
      <c r="X53" s="1">
        <f t="shared" si="0"/>
        <v>0</v>
      </c>
      <c r="Y53" s="1">
        <f t="shared" si="1"/>
        <v>0</v>
      </c>
    </row>
    <row r="54" spans="24:25" x14ac:dyDescent="0.3">
      <c r="X54" s="1">
        <f t="shared" si="0"/>
        <v>0</v>
      </c>
      <c r="Y54" s="1">
        <f t="shared" si="1"/>
        <v>0</v>
      </c>
    </row>
    <row r="55" spans="24:25" x14ac:dyDescent="0.3">
      <c r="X55" s="1">
        <f t="shared" si="0"/>
        <v>0</v>
      </c>
      <c r="Y55" s="1">
        <f t="shared" si="1"/>
        <v>0</v>
      </c>
    </row>
    <row r="56" spans="24:25" x14ac:dyDescent="0.3">
      <c r="X56" s="1">
        <f t="shared" si="0"/>
        <v>0</v>
      </c>
      <c r="Y56" s="1">
        <f t="shared" si="1"/>
        <v>0</v>
      </c>
    </row>
    <row r="57" spans="24:25" x14ac:dyDescent="0.3">
      <c r="X57" s="1">
        <f t="shared" si="0"/>
        <v>0</v>
      </c>
      <c r="Y57" s="1">
        <f t="shared" si="1"/>
        <v>0</v>
      </c>
    </row>
    <row r="58" spans="24:25" x14ac:dyDescent="0.3">
      <c r="X58" s="1">
        <f t="shared" si="0"/>
        <v>0</v>
      </c>
      <c r="Y58" s="1">
        <f t="shared" si="1"/>
        <v>0</v>
      </c>
    </row>
    <row r="59" spans="24:25" x14ac:dyDescent="0.3">
      <c r="X59" s="1">
        <f t="shared" si="0"/>
        <v>0</v>
      </c>
      <c r="Y59" s="1">
        <f t="shared" si="1"/>
        <v>0</v>
      </c>
    </row>
    <row r="60" spans="24:25" x14ac:dyDescent="0.3">
      <c r="X60" s="1">
        <f t="shared" si="0"/>
        <v>0</v>
      </c>
      <c r="Y60" s="1">
        <f t="shared" si="1"/>
        <v>0</v>
      </c>
    </row>
    <row r="61" spans="24:25" x14ac:dyDescent="0.3">
      <c r="X61" s="1">
        <f t="shared" si="0"/>
        <v>0</v>
      </c>
      <c r="Y61" s="1">
        <f t="shared" si="1"/>
        <v>0</v>
      </c>
    </row>
    <row r="62" spans="24:25" x14ac:dyDescent="0.3">
      <c r="X62" s="1">
        <f t="shared" si="0"/>
        <v>0</v>
      </c>
      <c r="Y62" s="1">
        <f t="shared" si="1"/>
        <v>0</v>
      </c>
    </row>
    <row r="63" spans="24:25" x14ac:dyDescent="0.3">
      <c r="X63" s="1">
        <f t="shared" si="0"/>
        <v>0</v>
      </c>
      <c r="Y63" s="1">
        <f t="shared" si="1"/>
        <v>0</v>
      </c>
    </row>
    <row r="64" spans="24:25" x14ac:dyDescent="0.3">
      <c r="X64" s="1">
        <f t="shared" si="0"/>
        <v>0</v>
      </c>
      <c r="Y64" s="1">
        <f t="shared" si="1"/>
        <v>0</v>
      </c>
    </row>
    <row r="65" spans="24:25" x14ac:dyDescent="0.3">
      <c r="X65" s="1">
        <f t="shared" si="0"/>
        <v>0</v>
      </c>
      <c r="Y65" s="1">
        <f t="shared" si="1"/>
        <v>0</v>
      </c>
    </row>
    <row r="66" spans="24:25" x14ac:dyDescent="0.3">
      <c r="X66" s="1">
        <f t="shared" si="0"/>
        <v>0</v>
      </c>
      <c r="Y66" s="1">
        <f t="shared" si="1"/>
        <v>0</v>
      </c>
    </row>
    <row r="67" spans="24:25" x14ac:dyDescent="0.3">
      <c r="X67" s="1">
        <f t="shared" ref="X67:X130" si="2">IFERROR(MATCH(W67,$B:$B,0),0)</f>
        <v>0</v>
      </c>
      <c r="Y67" s="1">
        <f t="shared" ref="Y67:Y130" si="3">IF(X68=0,COUNTA(A:A),X68-1)</f>
        <v>0</v>
      </c>
    </row>
    <row r="68" spans="24:25" x14ac:dyDescent="0.3">
      <c r="X68" s="1">
        <f t="shared" si="2"/>
        <v>0</v>
      </c>
      <c r="Y68" s="1">
        <f t="shared" si="3"/>
        <v>0</v>
      </c>
    </row>
    <row r="69" spans="24:25" x14ac:dyDescent="0.3">
      <c r="X69" s="1">
        <f t="shared" si="2"/>
        <v>0</v>
      </c>
      <c r="Y69" s="1">
        <f t="shared" si="3"/>
        <v>0</v>
      </c>
    </row>
    <row r="70" spans="24:25" x14ac:dyDescent="0.3">
      <c r="X70" s="1">
        <f t="shared" si="2"/>
        <v>0</v>
      </c>
      <c r="Y70" s="1">
        <f t="shared" si="3"/>
        <v>0</v>
      </c>
    </row>
    <row r="71" spans="24:25" x14ac:dyDescent="0.3">
      <c r="X71" s="1">
        <f t="shared" si="2"/>
        <v>0</v>
      </c>
      <c r="Y71" s="1">
        <f t="shared" si="3"/>
        <v>0</v>
      </c>
    </row>
    <row r="72" spans="24:25" x14ac:dyDescent="0.3">
      <c r="X72" s="1">
        <f t="shared" si="2"/>
        <v>0</v>
      </c>
      <c r="Y72" s="1">
        <f t="shared" si="3"/>
        <v>0</v>
      </c>
    </row>
    <row r="73" spans="24:25" x14ac:dyDescent="0.3">
      <c r="X73" s="1">
        <f t="shared" si="2"/>
        <v>0</v>
      </c>
      <c r="Y73" s="1">
        <f t="shared" si="3"/>
        <v>0</v>
      </c>
    </row>
    <row r="74" spans="24:25" x14ac:dyDescent="0.3">
      <c r="X74" s="1">
        <f t="shared" si="2"/>
        <v>0</v>
      </c>
      <c r="Y74" s="1">
        <f t="shared" si="3"/>
        <v>0</v>
      </c>
    </row>
    <row r="75" spans="24:25" x14ac:dyDescent="0.3">
      <c r="X75" s="1">
        <f t="shared" si="2"/>
        <v>0</v>
      </c>
      <c r="Y75" s="1">
        <f t="shared" si="3"/>
        <v>0</v>
      </c>
    </row>
    <row r="76" spans="24:25" x14ac:dyDescent="0.3">
      <c r="X76" s="1">
        <f t="shared" si="2"/>
        <v>0</v>
      </c>
      <c r="Y76" s="1">
        <f t="shared" si="3"/>
        <v>0</v>
      </c>
    </row>
    <row r="77" spans="24:25" x14ac:dyDescent="0.3">
      <c r="X77" s="1">
        <f t="shared" si="2"/>
        <v>0</v>
      </c>
      <c r="Y77" s="1">
        <f t="shared" si="3"/>
        <v>0</v>
      </c>
    </row>
    <row r="78" spans="24:25" x14ac:dyDescent="0.3">
      <c r="X78" s="1">
        <f t="shared" si="2"/>
        <v>0</v>
      </c>
      <c r="Y78" s="1">
        <f t="shared" si="3"/>
        <v>0</v>
      </c>
    </row>
    <row r="79" spans="24:25" x14ac:dyDescent="0.3">
      <c r="X79" s="1">
        <f t="shared" si="2"/>
        <v>0</v>
      </c>
      <c r="Y79" s="1">
        <f t="shared" si="3"/>
        <v>0</v>
      </c>
    </row>
    <row r="80" spans="24:25" x14ac:dyDescent="0.3">
      <c r="X80" s="1">
        <f t="shared" si="2"/>
        <v>0</v>
      </c>
      <c r="Y80" s="1">
        <f t="shared" si="3"/>
        <v>0</v>
      </c>
    </row>
    <row r="81" spans="24:25" x14ac:dyDescent="0.3">
      <c r="X81" s="1">
        <f t="shared" si="2"/>
        <v>0</v>
      </c>
      <c r="Y81" s="1">
        <f t="shared" si="3"/>
        <v>0</v>
      </c>
    </row>
    <row r="82" spans="24:25" x14ac:dyDescent="0.3">
      <c r="X82" s="1">
        <f t="shared" si="2"/>
        <v>0</v>
      </c>
      <c r="Y82" s="1">
        <f t="shared" si="3"/>
        <v>0</v>
      </c>
    </row>
    <row r="83" spans="24:25" x14ac:dyDescent="0.3">
      <c r="X83" s="1">
        <f t="shared" si="2"/>
        <v>0</v>
      </c>
      <c r="Y83" s="1">
        <f t="shared" si="3"/>
        <v>0</v>
      </c>
    </row>
    <row r="84" spans="24:25" x14ac:dyDescent="0.3">
      <c r="X84" s="1">
        <f t="shared" si="2"/>
        <v>0</v>
      </c>
      <c r="Y84" s="1">
        <f t="shared" si="3"/>
        <v>0</v>
      </c>
    </row>
    <row r="85" spans="24:25" x14ac:dyDescent="0.3">
      <c r="X85" s="1">
        <f t="shared" si="2"/>
        <v>0</v>
      </c>
      <c r="Y85" s="1">
        <f t="shared" si="3"/>
        <v>0</v>
      </c>
    </row>
    <row r="86" spans="24:25" x14ac:dyDescent="0.3">
      <c r="X86" s="1">
        <f t="shared" si="2"/>
        <v>0</v>
      </c>
      <c r="Y86" s="1">
        <f t="shared" si="3"/>
        <v>0</v>
      </c>
    </row>
    <row r="87" spans="24:25" x14ac:dyDescent="0.3">
      <c r="X87" s="1">
        <f t="shared" si="2"/>
        <v>0</v>
      </c>
      <c r="Y87" s="1">
        <f t="shared" si="3"/>
        <v>0</v>
      </c>
    </row>
    <row r="88" spans="24:25" x14ac:dyDescent="0.3">
      <c r="X88" s="1">
        <f t="shared" si="2"/>
        <v>0</v>
      </c>
      <c r="Y88" s="1">
        <f t="shared" si="3"/>
        <v>0</v>
      </c>
    </row>
    <row r="89" spans="24:25" x14ac:dyDescent="0.3">
      <c r="X89" s="1">
        <f t="shared" si="2"/>
        <v>0</v>
      </c>
      <c r="Y89" s="1">
        <f t="shared" si="3"/>
        <v>0</v>
      </c>
    </row>
    <row r="90" spans="24:25" x14ac:dyDescent="0.3">
      <c r="X90" s="1">
        <f t="shared" si="2"/>
        <v>0</v>
      </c>
      <c r="Y90" s="1">
        <f t="shared" si="3"/>
        <v>0</v>
      </c>
    </row>
    <row r="91" spans="24:25" x14ac:dyDescent="0.3">
      <c r="X91" s="1">
        <f t="shared" si="2"/>
        <v>0</v>
      </c>
      <c r="Y91" s="1">
        <f t="shared" si="3"/>
        <v>0</v>
      </c>
    </row>
    <row r="92" spans="24:25" x14ac:dyDescent="0.3">
      <c r="X92" s="1">
        <f t="shared" si="2"/>
        <v>0</v>
      </c>
      <c r="Y92" s="1">
        <f t="shared" si="3"/>
        <v>0</v>
      </c>
    </row>
    <row r="93" spans="24:25" x14ac:dyDescent="0.3">
      <c r="X93" s="1">
        <f t="shared" si="2"/>
        <v>0</v>
      </c>
      <c r="Y93" s="1">
        <f t="shared" si="3"/>
        <v>0</v>
      </c>
    </row>
    <row r="94" spans="24:25" x14ac:dyDescent="0.3">
      <c r="X94" s="1">
        <f t="shared" si="2"/>
        <v>0</v>
      </c>
      <c r="Y94" s="1">
        <f t="shared" si="3"/>
        <v>0</v>
      </c>
    </row>
    <row r="95" spans="24:25" x14ac:dyDescent="0.3">
      <c r="X95" s="1">
        <f t="shared" si="2"/>
        <v>0</v>
      </c>
      <c r="Y95" s="1">
        <f t="shared" si="3"/>
        <v>0</v>
      </c>
    </row>
    <row r="96" spans="24:25" x14ac:dyDescent="0.3">
      <c r="X96" s="1">
        <f t="shared" si="2"/>
        <v>0</v>
      </c>
      <c r="Y96" s="1">
        <f t="shared" si="3"/>
        <v>0</v>
      </c>
    </row>
    <row r="97" spans="24:25" x14ac:dyDescent="0.3">
      <c r="X97" s="1">
        <f t="shared" si="2"/>
        <v>0</v>
      </c>
      <c r="Y97" s="1">
        <f t="shared" si="3"/>
        <v>0</v>
      </c>
    </row>
    <row r="98" spans="24:25" x14ac:dyDescent="0.3">
      <c r="X98" s="1">
        <f t="shared" si="2"/>
        <v>0</v>
      </c>
      <c r="Y98" s="1">
        <f t="shared" si="3"/>
        <v>0</v>
      </c>
    </row>
    <row r="99" spans="24:25" x14ac:dyDescent="0.3">
      <c r="X99" s="1">
        <f t="shared" si="2"/>
        <v>0</v>
      </c>
      <c r="Y99" s="1">
        <f t="shared" si="3"/>
        <v>0</v>
      </c>
    </row>
    <row r="100" spans="24:25" x14ac:dyDescent="0.3">
      <c r="X100" s="1">
        <f t="shared" si="2"/>
        <v>0</v>
      </c>
      <c r="Y100" s="1">
        <f t="shared" si="3"/>
        <v>0</v>
      </c>
    </row>
    <row r="101" spans="24:25" x14ac:dyDescent="0.3">
      <c r="X101" s="1">
        <f t="shared" si="2"/>
        <v>0</v>
      </c>
      <c r="Y101" s="1">
        <f t="shared" si="3"/>
        <v>0</v>
      </c>
    </row>
    <row r="102" spans="24:25" x14ac:dyDescent="0.3">
      <c r="X102" s="1">
        <f t="shared" si="2"/>
        <v>0</v>
      </c>
      <c r="Y102" s="1">
        <f t="shared" si="3"/>
        <v>0</v>
      </c>
    </row>
    <row r="103" spans="24:25" x14ac:dyDescent="0.3">
      <c r="X103" s="1">
        <f t="shared" si="2"/>
        <v>0</v>
      </c>
      <c r="Y103" s="1">
        <f t="shared" si="3"/>
        <v>0</v>
      </c>
    </row>
    <row r="104" spans="24:25" x14ac:dyDescent="0.3">
      <c r="X104" s="1">
        <f t="shared" si="2"/>
        <v>0</v>
      </c>
      <c r="Y104" s="1">
        <f t="shared" si="3"/>
        <v>0</v>
      </c>
    </row>
    <row r="105" spans="24:25" x14ac:dyDescent="0.3">
      <c r="X105" s="1">
        <f t="shared" si="2"/>
        <v>0</v>
      </c>
      <c r="Y105" s="1">
        <f t="shared" si="3"/>
        <v>0</v>
      </c>
    </row>
    <row r="106" spans="24:25" x14ac:dyDescent="0.3">
      <c r="X106" s="1">
        <f t="shared" si="2"/>
        <v>0</v>
      </c>
      <c r="Y106" s="1">
        <f t="shared" si="3"/>
        <v>0</v>
      </c>
    </row>
    <row r="107" spans="24:25" x14ac:dyDescent="0.3">
      <c r="X107" s="1">
        <f t="shared" si="2"/>
        <v>0</v>
      </c>
      <c r="Y107" s="1">
        <f t="shared" si="3"/>
        <v>0</v>
      </c>
    </row>
    <row r="108" spans="24:25" x14ac:dyDescent="0.3">
      <c r="X108" s="1">
        <f t="shared" si="2"/>
        <v>0</v>
      </c>
      <c r="Y108" s="1">
        <f t="shared" si="3"/>
        <v>0</v>
      </c>
    </row>
    <row r="109" spans="24:25" x14ac:dyDescent="0.3">
      <c r="X109" s="1">
        <f t="shared" si="2"/>
        <v>0</v>
      </c>
      <c r="Y109" s="1">
        <f t="shared" si="3"/>
        <v>0</v>
      </c>
    </row>
    <row r="110" spans="24:25" x14ac:dyDescent="0.3">
      <c r="X110" s="1">
        <f t="shared" si="2"/>
        <v>0</v>
      </c>
      <c r="Y110" s="1">
        <f t="shared" si="3"/>
        <v>0</v>
      </c>
    </row>
    <row r="111" spans="24:25" x14ac:dyDescent="0.3">
      <c r="X111" s="1">
        <f t="shared" si="2"/>
        <v>0</v>
      </c>
      <c r="Y111" s="1">
        <f t="shared" si="3"/>
        <v>0</v>
      </c>
    </row>
    <row r="112" spans="24:25" x14ac:dyDescent="0.3">
      <c r="X112" s="1">
        <f t="shared" si="2"/>
        <v>0</v>
      </c>
      <c r="Y112" s="1">
        <f t="shared" si="3"/>
        <v>0</v>
      </c>
    </row>
    <row r="113" spans="24:25" x14ac:dyDescent="0.3">
      <c r="X113" s="1">
        <f t="shared" si="2"/>
        <v>0</v>
      </c>
      <c r="Y113" s="1">
        <f t="shared" si="3"/>
        <v>0</v>
      </c>
    </row>
    <row r="114" spans="24:25" x14ac:dyDescent="0.3">
      <c r="X114" s="1">
        <f t="shared" si="2"/>
        <v>0</v>
      </c>
      <c r="Y114" s="1">
        <f t="shared" si="3"/>
        <v>0</v>
      </c>
    </row>
    <row r="115" spans="24:25" x14ac:dyDescent="0.3">
      <c r="X115" s="1">
        <f t="shared" si="2"/>
        <v>0</v>
      </c>
      <c r="Y115" s="1">
        <f t="shared" si="3"/>
        <v>0</v>
      </c>
    </row>
    <row r="116" spans="24:25" x14ac:dyDescent="0.3">
      <c r="X116" s="1">
        <f t="shared" si="2"/>
        <v>0</v>
      </c>
      <c r="Y116" s="1">
        <f t="shared" si="3"/>
        <v>0</v>
      </c>
    </row>
    <row r="117" spans="24:25" x14ac:dyDescent="0.3">
      <c r="X117" s="1">
        <f t="shared" si="2"/>
        <v>0</v>
      </c>
      <c r="Y117" s="1">
        <f t="shared" si="3"/>
        <v>0</v>
      </c>
    </row>
    <row r="118" spans="24:25" x14ac:dyDescent="0.3">
      <c r="X118" s="1">
        <f t="shared" si="2"/>
        <v>0</v>
      </c>
      <c r="Y118" s="1">
        <f t="shared" si="3"/>
        <v>0</v>
      </c>
    </row>
    <row r="119" spans="24:25" x14ac:dyDescent="0.3">
      <c r="X119" s="1">
        <f t="shared" si="2"/>
        <v>0</v>
      </c>
      <c r="Y119" s="1">
        <f t="shared" si="3"/>
        <v>0</v>
      </c>
    </row>
    <row r="120" spans="24:25" x14ac:dyDescent="0.3">
      <c r="X120" s="1">
        <f t="shared" si="2"/>
        <v>0</v>
      </c>
      <c r="Y120" s="1">
        <f t="shared" si="3"/>
        <v>0</v>
      </c>
    </row>
    <row r="121" spans="24:25" x14ac:dyDescent="0.3">
      <c r="X121" s="1">
        <f t="shared" si="2"/>
        <v>0</v>
      </c>
      <c r="Y121" s="1">
        <f t="shared" si="3"/>
        <v>0</v>
      </c>
    </row>
    <row r="122" spans="24:25" x14ac:dyDescent="0.3">
      <c r="X122" s="1">
        <f t="shared" si="2"/>
        <v>0</v>
      </c>
      <c r="Y122" s="1">
        <f t="shared" si="3"/>
        <v>0</v>
      </c>
    </row>
    <row r="123" spans="24:25" x14ac:dyDescent="0.3">
      <c r="X123" s="1">
        <f t="shared" si="2"/>
        <v>0</v>
      </c>
      <c r="Y123" s="1">
        <f t="shared" si="3"/>
        <v>0</v>
      </c>
    </row>
    <row r="124" spans="24:25" x14ac:dyDescent="0.3">
      <c r="X124" s="1">
        <f t="shared" si="2"/>
        <v>0</v>
      </c>
      <c r="Y124" s="1">
        <f t="shared" si="3"/>
        <v>0</v>
      </c>
    </row>
    <row r="125" spans="24:25" x14ac:dyDescent="0.3">
      <c r="X125" s="1">
        <f t="shared" si="2"/>
        <v>0</v>
      </c>
      <c r="Y125" s="1">
        <f t="shared" si="3"/>
        <v>0</v>
      </c>
    </row>
    <row r="126" spans="24:25" x14ac:dyDescent="0.3">
      <c r="X126" s="1">
        <f t="shared" si="2"/>
        <v>0</v>
      </c>
      <c r="Y126" s="1">
        <f t="shared" si="3"/>
        <v>0</v>
      </c>
    </row>
    <row r="127" spans="24:25" x14ac:dyDescent="0.3">
      <c r="X127" s="1">
        <f t="shared" si="2"/>
        <v>0</v>
      </c>
      <c r="Y127" s="1">
        <f t="shared" si="3"/>
        <v>0</v>
      </c>
    </row>
    <row r="128" spans="24:25" x14ac:dyDescent="0.3">
      <c r="X128" s="1">
        <f t="shared" si="2"/>
        <v>0</v>
      </c>
      <c r="Y128" s="1">
        <f t="shared" si="3"/>
        <v>0</v>
      </c>
    </row>
    <row r="129" spans="24:25" x14ac:dyDescent="0.3">
      <c r="X129" s="1">
        <f t="shared" si="2"/>
        <v>0</v>
      </c>
      <c r="Y129" s="1">
        <f t="shared" si="3"/>
        <v>0</v>
      </c>
    </row>
    <row r="130" spans="24:25" x14ac:dyDescent="0.3">
      <c r="X130" s="1">
        <f t="shared" si="2"/>
        <v>0</v>
      </c>
      <c r="Y130" s="1">
        <f t="shared" si="3"/>
        <v>0</v>
      </c>
    </row>
    <row r="131" spans="24:25" x14ac:dyDescent="0.3">
      <c r="X131" s="1">
        <f t="shared" ref="X131:X194" si="4">IFERROR(MATCH(W131,$B:$B,0),0)</f>
        <v>0</v>
      </c>
      <c r="Y131" s="1">
        <f t="shared" ref="Y131:Y194" si="5">IF(X132=0,COUNTA(A:A),X132-1)</f>
        <v>0</v>
      </c>
    </row>
    <row r="132" spans="24:25" x14ac:dyDescent="0.3">
      <c r="X132" s="1">
        <f t="shared" si="4"/>
        <v>0</v>
      </c>
      <c r="Y132" s="1">
        <f t="shared" si="5"/>
        <v>0</v>
      </c>
    </row>
    <row r="133" spans="24:25" x14ac:dyDescent="0.3">
      <c r="X133" s="1">
        <f t="shared" si="4"/>
        <v>0</v>
      </c>
      <c r="Y133" s="1">
        <f t="shared" si="5"/>
        <v>0</v>
      </c>
    </row>
    <row r="134" spans="24:25" x14ac:dyDescent="0.3">
      <c r="X134" s="1">
        <f t="shared" si="4"/>
        <v>0</v>
      </c>
      <c r="Y134" s="1">
        <f t="shared" si="5"/>
        <v>0</v>
      </c>
    </row>
    <row r="135" spans="24:25" x14ac:dyDescent="0.3">
      <c r="X135" s="1">
        <f t="shared" si="4"/>
        <v>0</v>
      </c>
      <c r="Y135" s="1">
        <f t="shared" si="5"/>
        <v>0</v>
      </c>
    </row>
    <row r="136" spans="24:25" x14ac:dyDescent="0.3">
      <c r="X136" s="1">
        <f t="shared" si="4"/>
        <v>0</v>
      </c>
      <c r="Y136" s="1">
        <f t="shared" si="5"/>
        <v>0</v>
      </c>
    </row>
    <row r="137" spans="24:25" x14ac:dyDescent="0.3">
      <c r="X137" s="1">
        <f t="shared" si="4"/>
        <v>0</v>
      </c>
      <c r="Y137" s="1">
        <f t="shared" si="5"/>
        <v>0</v>
      </c>
    </row>
    <row r="138" spans="24:25" x14ac:dyDescent="0.3">
      <c r="X138" s="1">
        <f t="shared" si="4"/>
        <v>0</v>
      </c>
      <c r="Y138" s="1">
        <f t="shared" si="5"/>
        <v>0</v>
      </c>
    </row>
    <row r="139" spans="24:25" x14ac:dyDescent="0.3">
      <c r="X139" s="1">
        <f t="shared" si="4"/>
        <v>0</v>
      </c>
      <c r="Y139" s="1">
        <f t="shared" si="5"/>
        <v>0</v>
      </c>
    </row>
    <row r="140" spans="24:25" x14ac:dyDescent="0.3">
      <c r="X140" s="1">
        <f t="shared" si="4"/>
        <v>0</v>
      </c>
      <c r="Y140" s="1">
        <f t="shared" si="5"/>
        <v>0</v>
      </c>
    </row>
    <row r="141" spans="24:25" x14ac:dyDescent="0.3">
      <c r="X141" s="1">
        <f t="shared" si="4"/>
        <v>0</v>
      </c>
      <c r="Y141" s="1">
        <f t="shared" si="5"/>
        <v>0</v>
      </c>
    </row>
    <row r="142" spans="24:25" x14ac:dyDescent="0.3">
      <c r="X142" s="1">
        <f t="shared" si="4"/>
        <v>0</v>
      </c>
      <c r="Y142" s="1">
        <f t="shared" si="5"/>
        <v>0</v>
      </c>
    </row>
    <row r="143" spans="24:25" x14ac:dyDescent="0.3">
      <c r="X143" s="1">
        <f t="shared" si="4"/>
        <v>0</v>
      </c>
      <c r="Y143" s="1">
        <f t="shared" si="5"/>
        <v>0</v>
      </c>
    </row>
    <row r="144" spans="24:25" x14ac:dyDescent="0.3">
      <c r="X144" s="1">
        <f t="shared" si="4"/>
        <v>0</v>
      </c>
      <c r="Y144" s="1">
        <f t="shared" si="5"/>
        <v>0</v>
      </c>
    </row>
    <row r="145" spans="24:25" x14ac:dyDescent="0.3">
      <c r="X145" s="1">
        <f t="shared" si="4"/>
        <v>0</v>
      </c>
      <c r="Y145" s="1">
        <f t="shared" si="5"/>
        <v>0</v>
      </c>
    </row>
    <row r="146" spans="24:25" x14ac:dyDescent="0.3">
      <c r="X146" s="1">
        <f t="shared" si="4"/>
        <v>0</v>
      </c>
      <c r="Y146" s="1">
        <f t="shared" si="5"/>
        <v>0</v>
      </c>
    </row>
    <row r="147" spans="24:25" x14ac:dyDescent="0.3">
      <c r="X147" s="1">
        <f t="shared" si="4"/>
        <v>0</v>
      </c>
      <c r="Y147" s="1">
        <f t="shared" si="5"/>
        <v>0</v>
      </c>
    </row>
    <row r="148" spans="24:25" x14ac:dyDescent="0.3">
      <c r="X148" s="1">
        <f t="shared" si="4"/>
        <v>0</v>
      </c>
      <c r="Y148" s="1">
        <f t="shared" si="5"/>
        <v>0</v>
      </c>
    </row>
    <row r="149" spans="24:25" x14ac:dyDescent="0.3">
      <c r="X149" s="1">
        <f t="shared" si="4"/>
        <v>0</v>
      </c>
      <c r="Y149" s="1">
        <f t="shared" si="5"/>
        <v>0</v>
      </c>
    </row>
    <row r="150" spans="24:25" x14ac:dyDescent="0.3">
      <c r="X150" s="1">
        <f t="shared" si="4"/>
        <v>0</v>
      </c>
      <c r="Y150" s="1">
        <f t="shared" si="5"/>
        <v>0</v>
      </c>
    </row>
    <row r="151" spans="24:25" x14ac:dyDescent="0.3">
      <c r="X151" s="1">
        <f t="shared" si="4"/>
        <v>0</v>
      </c>
      <c r="Y151" s="1">
        <f t="shared" si="5"/>
        <v>0</v>
      </c>
    </row>
    <row r="152" spans="24:25" x14ac:dyDescent="0.3">
      <c r="X152" s="1">
        <f t="shared" si="4"/>
        <v>0</v>
      </c>
      <c r="Y152" s="1">
        <f t="shared" si="5"/>
        <v>0</v>
      </c>
    </row>
    <row r="153" spans="24:25" x14ac:dyDescent="0.3">
      <c r="X153" s="1">
        <f t="shared" si="4"/>
        <v>0</v>
      </c>
      <c r="Y153" s="1">
        <f t="shared" si="5"/>
        <v>0</v>
      </c>
    </row>
    <row r="154" spans="24:25" x14ac:dyDescent="0.3">
      <c r="X154" s="1">
        <f t="shared" si="4"/>
        <v>0</v>
      </c>
      <c r="Y154" s="1">
        <f t="shared" si="5"/>
        <v>0</v>
      </c>
    </row>
    <row r="155" spans="24:25" x14ac:dyDescent="0.3">
      <c r="X155" s="1">
        <f t="shared" si="4"/>
        <v>0</v>
      </c>
      <c r="Y155" s="1">
        <f t="shared" si="5"/>
        <v>0</v>
      </c>
    </row>
    <row r="156" spans="24:25" x14ac:dyDescent="0.3">
      <c r="X156" s="1">
        <f t="shared" si="4"/>
        <v>0</v>
      </c>
      <c r="Y156" s="1">
        <f t="shared" si="5"/>
        <v>0</v>
      </c>
    </row>
    <row r="157" spans="24:25" x14ac:dyDescent="0.3">
      <c r="X157" s="1">
        <f t="shared" si="4"/>
        <v>0</v>
      </c>
      <c r="Y157" s="1">
        <f t="shared" si="5"/>
        <v>0</v>
      </c>
    </row>
    <row r="158" spans="24:25" x14ac:dyDescent="0.3">
      <c r="X158" s="1">
        <f t="shared" si="4"/>
        <v>0</v>
      </c>
      <c r="Y158" s="1">
        <f t="shared" si="5"/>
        <v>0</v>
      </c>
    </row>
    <row r="159" spans="24:25" x14ac:dyDescent="0.3">
      <c r="X159" s="1">
        <f t="shared" si="4"/>
        <v>0</v>
      </c>
      <c r="Y159" s="1">
        <f t="shared" si="5"/>
        <v>0</v>
      </c>
    </row>
    <row r="160" spans="24:25" x14ac:dyDescent="0.3">
      <c r="X160" s="1">
        <f t="shared" si="4"/>
        <v>0</v>
      </c>
      <c r="Y160" s="1">
        <f t="shared" si="5"/>
        <v>0</v>
      </c>
    </row>
    <row r="161" spans="24:25" x14ac:dyDescent="0.3">
      <c r="X161" s="1">
        <f t="shared" si="4"/>
        <v>0</v>
      </c>
      <c r="Y161" s="1">
        <f t="shared" si="5"/>
        <v>0</v>
      </c>
    </row>
    <row r="162" spans="24:25" x14ac:dyDescent="0.3">
      <c r="X162" s="1">
        <f t="shared" si="4"/>
        <v>0</v>
      </c>
      <c r="Y162" s="1">
        <f t="shared" si="5"/>
        <v>0</v>
      </c>
    </row>
    <row r="163" spans="24:25" x14ac:dyDescent="0.3">
      <c r="X163" s="1">
        <f t="shared" si="4"/>
        <v>0</v>
      </c>
      <c r="Y163" s="1">
        <f t="shared" si="5"/>
        <v>0</v>
      </c>
    </row>
    <row r="164" spans="24:25" x14ac:dyDescent="0.3">
      <c r="X164" s="1">
        <f t="shared" si="4"/>
        <v>0</v>
      </c>
      <c r="Y164" s="1">
        <f t="shared" si="5"/>
        <v>0</v>
      </c>
    </row>
    <row r="165" spans="24:25" x14ac:dyDescent="0.3">
      <c r="X165" s="1">
        <f t="shared" si="4"/>
        <v>0</v>
      </c>
      <c r="Y165" s="1">
        <f t="shared" si="5"/>
        <v>0</v>
      </c>
    </row>
    <row r="166" spans="24:25" x14ac:dyDescent="0.3">
      <c r="X166" s="1">
        <f t="shared" si="4"/>
        <v>0</v>
      </c>
      <c r="Y166" s="1">
        <f t="shared" si="5"/>
        <v>0</v>
      </c>
    </row>
    <row r="167" spans="24:25" x14ac:dyDescent="0.3">
      <c r="X167" s="1">
        <f t="shared" si="4"/>
        <v>0</v>
      </c>
      <c r="Y167" s="1">
        <f t="shared" si="5"/>
        <v>0</v>
      </c>
    </row>
    <row r="168" spans="24:25" x14ac:dyDescent="0.3">
      <c r="X168" s="1">
        <f t="shared" si="4"/>
        <v>0</v>
      </c>
      <c r="Y168" s="1">
        <f t="shared" si="5"/>
        <v>0</v>
      </c>
    </row>
    <row r="169" spans="24:25" x14ac:dyDescent="0.3">
      <c r="X169" s="1">
        <f t="shared" si="4"/>
        <v>0</v>
      </c>
      <c r="Y169" s="1">
        <f t="shared" si="5"/>
        <v>0</v>
      </c>
    </row>
    <row r="170" spans="24:25" x14ac:dyDescent="0.3">
      <c r="X170" s="1">
        <f t="shared" si="4"/>
        <v>0</v>
      </c>
      <c r="Y170" s="1">
        <f t="shared" si="5"/>
        <v>0</v>
      </c>
    </row>
    <row r="171" spans="24:25" x14ac:dyDescent="0.3">
      <c r="X171" s="1">
        <f t="shared" si="4"/>
        <v>0</v>
      </c>
      <c r="Y171" s="1">
        <f t="shared" si="5"/>
        <v>0</v>
      </c>
    </row>
    <row r="172" spans="24:25" x14ac:dyDescent="0.3">
      <c r="X172" s="1">
        <f t="shared" si="4"/>
        <v>0</v>
      </c>
      <c r="Y172" s="1">
        <f t="shared" si="5"/>
        <v>0</v>
      </c>
    </row>
    <row r="173" spans="24:25" x14ac:dyDescent="0.3">
      <c r="X173" s="1">
        <f t="shared" si="4"/>
        <v>0</v>
      </c>
      <c r="Y173" s="1">
        <f t="shared" si="5"/>
        <v>0</v>
      </c>
    </row>
    <row r="174" spans="24:25" x14ac:dyDescent="0.3">
      <c r="X174" s="1">
        <f t="shared" si="4"/>
        <v>0</v>
      </c>
      <c r="Y174" s="1">
        <f t="shared" si="5"/>
        <v>0</v>
      </c>
    </row>
    <row r="175" spans="24:25" x14ac:dyDescent="0.3">
      <c r="X175" s="1">
        <f t="shared" si="4"/>
        <v>0</v>
      </c>
      <c r="Y175" s="1">
        <f t="shared" si="5"/>
        <v>0</v>
      </c>
    </row>
    <row r="176" spans="24:25" x14ac:dyDescent="0.3">
      <c r="X176" s="1">
        <f t="shared" si="4"/>
        <v>0</v>
      </c>
      <c r="Y176" s="1">
        <f t="shared" si="5"/>
        <v>0</v>
      </c>
    </row>
    <row r="177" spans="24:25" x14ac:dyDescent="0.3">
      <c r="X177" s="1">
        <f t="shared" si="4"/>
        <v>0</v>
      </c>
      <c r="Y177" s="1">
        <f t="shared" si="5"/>
        <v>0</v>
      </c>
    </row>
    <row r="178" spans="24:25" x14ac:dyDescent="0.3">
      <c r="X178" s="1">
        <f t="shared" si="4"/>
        <v>0</v>
      </c>
      <c r="Y178" s="1">
        <f t="shared" si="5"/>
        <v>0</v>
      </c>
    </row>
    <row r="179" spans="24:25" x14ac:dyDescent="0.3">
      <c r="X179" s="1">
        <f t="shared" si="4"/>
        <v>0</v>
      </c>
      <c r="Y179" s="1">
        <f t="shared" si="5"/>
        <v>0</v>
      </c>
    </row>
    <row r="180" spans="24:25" x14ac:dyDescent="0.3">
      <c r="X180" s="1">
        <f t="shared" si="4"/>
        <v>0</v>
      </c>
      <c r="Y180" s="1">
        <f t="shared" si="5"/>
        <v>0</v>
      </c>
    </row>
    <row r="181" spans="24:25" x14ac:dyDescent="0.3">
      <c r="X181" s="1">
        <f t="shared" si="4"/>
        <v>0</v>
      </c>
      <c r="Y181" s="1">
        <f t="shared" si="5"/>
        <v>0</v>
      </c>
    </row>
    <row r="182" spans="24:25" x14ac:dyDescent="0.3">
      <c r="X182" s="1">
        <f t="shared" si="4"/>
        <v>0</v>
      </c>
      <c r="Y182" s="1">
        <f t="shared" si="5"/>
        <v>0</v>
      </c>
    </row>
    <row r="183" spans="24:25" x14ac:dyDescent="0.3">
      <c r="X183" s="1">
        <f t="shared" si="4"/>
        <v>0</v>
      </c>
      <c r="Y183" s="1">
        <f t="shared" si="5"/>
        <v>0</v>
      </c>
    </row>
    <row r="184" spans="24:25" x14ac:dyDescent="0.3">
      <c r="X184" s="1">
        <f t="shared" si="4"/>
        <v>0</v>
      </c>
      <c r="Y184" s="1">
        <f t="shared" si="5"/>
        <v>0</v>
      </c>
    </row>
    <row r="185" spans="24:25" x14ac:dyDescent="0.3">
      <c r="X185" s="1">
        <f t="shared" si="4"/>
        <v>0</v>
      </c>
      <c r="Y185" s="1">
        <f t="shared" si="5"/>
        <v>0</v>
      </c>
    </row>
    <row r="186" spans="24:25" x14ac:dyDescent="0.3">
      <c r="X186" s="1">
        <f t="shared" si="4"/>
        <v>0</v>
      </c>
      <c r="Y186" s="1">
        <f t="shared" si="5"/>
        <v>0</v>
      </c>
    </row>
    <row r="187" spans="24:25" x14ac:dyDescent="0.3">
      <c r="X187" s="1">
        <f t="shared" si="4"/>
        <v>0</v>
      </c>
      <c r="Y187" s="1">
        <f t="shared" si="5"/>
        <v>0</v>
      </c>
    </row>
    <row r="188" spans="24:25" x14ac:dyDescent="0.3">
      <c r="X188" s="1">
        <f t="shared" si="4"/>
        <v>0</v>
      </c>
      <c r="Y188" s="1">
        <f t="shared" si="5"/>
        <v>0</v>
      </c>
    </row>
    <row r="189" spans="24:25" x14ac:dyDescent="0.3">
      <c r="X189" s="1">
        <f t="shared" si="4"/>
        <v>0</v>
      </c>
      <c r="Y189" s="1">
        <f t="shared" si="5"/>
        <v>0</v>
      </c>
    </row>
    <row r="190" spans="24:25" x14ac:dyDescent="0.3">
      <c r="X190" s="1">
        <f t="shared" si="4"/>
        <v>0</v>
      </c>
      <c r="Y190" s="1">
        <f t="shared" si="5"/>
        <v>0</v>
      </c>
    </row>
    <row r="191" spans="24:25" x14ac:dyDescent="0.3">
      <c r="X191" s="1">
        <f t="shared" si="4"/>
        <v>0</v>
      </c>
      <c r="Y191" s="1">
        <f t="shared" si="5"/>
        <v>0</v>
      </c>
    </row>
    <row r="192" spans="24:25" x14ac:dyDescent="0.3">
      <c r="X192" s="1">
        <f t="shared" si="4"/>
        <v>0</v>
      </c>
      <c r="Y192" s="1">
        <f t="shared" si="5"/>
        <v>0</v>
      </c>
    </row>
    <row r="193" spans="24:25" x14ac:dyDescent="0.3">
      <c r="X193" s="1">
        <f t="shared" si="4"/>
        <v>0</v>
      </c>
      <c r="Y193" s="1">
        <f t="shared" si="5"/>
        <v>0</v>
      </c>
    </row>
    <row r="194" spans="24:25" x14ac:dyDescent="0.3">
      <c r="X194" s="1">
        <f t="shared" si="4"/>
        <v>0</v>
      </c>
      <c r="Y194" s="1">
        <f t="shared" si="5"/>
        <v>0</v>
      </c>
    </row>
    <row r="195" spans="24:25" x14ac:dyDescent="0.3">
      <c r="X195" s="1">
        <f t="shared" ref="X195:X258" si="6">IFERROR(MATCH(W195,$B:$B,0),0)</f>
        <v>0</v>
      </c>
      <c r="Y195" s="1">
        <f t="shared" ref="Y195:Y258" si="7">IF(X196=0,COUNTA(A:A),X196-1)</f>
        <v>0</v>
      </c>
    </row>
    <row r="196" spans="24:25" x14ac:dyDescent="0.3">
      <c r="X196" s="1">
        <f t="shared" si="6"/>
        <v>0</v>
      </c>
      <c r="Y196" s="1">
        <f t="shared" si="7"/>
        <v>0</v>
      </c>
    </row>
    <row r="197" spans="24:25" x14ac:dyDescent="0.3">
      <c r="X197" s="1">
        <f t="shared" si="6"/>
        <v>0</v>
      </c>
      <c r="Y197" s="1">
        <f t="shared" si="7"/>
        <v>0</v>
      </c>
    </row>
    <row r="198" spans="24:25" x14ac:dyDescent="0.3">
      <c r="X198" s="1">
        <f t="shared" si="6"/>
        <v>0</v>
      </c>
      <c r="Y198" s="1">
        <f t="shared" si="7"/>
        <v>0</v>
      </c>
    </row>
    <row r="199" spans="24:25" x14ac:dyDescent="0.3">
      <c r="X199" s="1">
        <f t="shared" si="6"/>
        <v>0</v>
      </c>
      <c r="Y199" s="1">
        <f t="shared" si="7"/>
        <v>0</v>
      </c>
    </row>
    <row r="200" spans="24:25" x14ac:dyDescent="0.3">
      <c r="X200" s="1">
        <f t="shared" si="6"/>
        <v>0</v>
      </c>
      <c r="Y200" s="1">
        <f t="shared" si="7"/>
        <v>0</v>
      </c>
    </row>
    <row r="201" spans="24:25" x14ac:dyDescent="0.3">
      <c r="X201" s="1">
        <f t="shared" si="6"/>
        <v>0</v>
      </c>
      <c r="Y201" s="1">
        <f t="shared" si="7"/>
        <v>0</v>
      </c>
    </row>
    <row r="202" spans="24:25" x14ac:dyDescent="0.3">
      <c r="X202" s="1">
        <f t="shared" si="6"/>
        <v>0</v>
      </c>
      <c r="Y202" s="1">
        <f t="shared" si="7"/>
        <v>0</v>
      </c>
    </row>
    <row r="203" spans="24:25" x14ac:dyDescent="0.3">
      <c r="X203" s="1">
        <f t="shared" si="6"/>
        <v>0</v>
      </c>
      <c r="Y203" s="1">
        <f t="shared" si="7"/>
        <v>0</v>
      </c>
    </row>
    <row r="204" spans="24:25" x14ac:dyDescent="0.3">
      <c r="X204" s="1">
        <f t="shared" si="6"/>
        <v>0</v>
      </c>
      <c r="Y204" s="1">
        <f t="shared" si="7"/>
        <v>0</v>
      </c>
    </row>
    <row r="205" spans="24:25" x14ac:dyDescent="0.3">
      <c r="X205" s="1">
        <f t="shared" si="6"/>
        <v>0</v>
      </c>
      <c r="Y205" s="1">
        <f t="shared" si="7"/>
        <v>0</v>
      </c>
    </row>
    <row r="206" spans="24:25" x14ac:dyDescent="0.3">
      <c r="X206" s="1">
        <f t="shared" si="6"/>
        <v>0</v>
      </c>
      <c r="Y206" s="1">
        <f t="shared" si="7"/>
        <v>0</v>
      </c>
    </row>
    <row r="207" spans="24:25" x14ac:dyDescent="0.3">
      <c r="X207" s="1">
        <f t="shared" si="6"/>
        <v>0</v>
      </c>
      <c r="Y207" s="1">
        <f t="shared" si="7"/>
        <v>0</v>
      </c>
    </row>
    <row r="208" spans="24:25" x14ac:dyDescent="0.3">
      <c r="X208" s="1">
        <f t="shared" si="6"/>
        <v>0</v>
      </c>
      <c r="Y208" s="1">
        <f t="shared" si="7"/>
        <v>0</v>
      </c>
    </row>
    <row r="209" spans="24:25" x14ac:dyDescent="0.3">
      <c r="X209" s="1">
        <f t="shared" si="6"/>
        <v>0</v>
      </c>
      <c r="Y209" s="1">
        <f t="shared" si="7"/>
        <v>0</v>
      </c>
    </row>
    <row r="210" spans="24:25" x14ac:dyDescent="0.3">
      <c r="X210" s="1">
        <f t="shared" si="6"/>
        <v>0</v>
      </c>
      <c r="Y210" s="1">
        <f t="shared" si="7"/>
        <v>0</v>
      </c>
    </row>
    <row r="211" spans="24:25" x14ac:dyDescent="0.3">
      <c r="X211" s="1">
        <f t="shared" si="6"/>
        <v>0</v>
      </c>
      <c r="Y211" s="1">
        <f t="shared" si="7"/>
        <v>0</v>
      </c>
    </row>
    <row r="212" spans="24:25" x14ac:dyDescent="0.3">
      <c r="X212" s="1">
        <f t="shared" si="6"/>
        <v>0</v>
      </c>
      <c r="Y212" s="1">
        <f t="shared" si="7"/>
        <v>0</v>
      </c>
    </row>
    <row r="213" spans="24:25" x14ac:dyDescent="0.3">
      <c r="X213" s="1">
        <f t="shared" si="6"/>
        <v>0</v>
      </c>
      <c r="Y213" s="1">
        <f t="shared" si="7"/>
        <v>0</v>
      </c>
    </row>
    <row r="214" spans="24:25" x14ac:dyDescent="0.3">
      <c r="X214" s="1">
        <f t="shared" si="6"/>
        <v>0</v>
      </c>
      <c r="Y214" s="1">
        <f t="shared" si="7"/>
        <v>0</v>
      </c>
    </row>
    <row r="215" spans="24:25" x14ac:dyDescent="0.3">
      <c r="X215" s="1">
        <f t="shared" si="6"/>
        <v>0</v>
      </c>
      <c r="Y215" s="1">
        <f t="shared" si="7"/>
        <v>0</v>
      </c>
    </row>
    <row r="216" spans="24:25" x14ac:dyDescent="0.3">
      <c r="X216" s="1">
        <f t="shared" si="6"/>
        <v>0</v>
      </c>
      <c r="Y216" s="1">
        <f t="shared" si="7"/>
        <v>0</v>
      </c>
    </row>
    <row r="217" spans="24:25" x14ac:dyDescent="0.3">
      <c r="X217" s="1">
        <f t="shared" si="6"/>
        <v>0</v>
      </c>
      <c r="Y217" s="1">
        <f t="shared" si="7"/>
        <v>0</v>
      </c>
    </row>
    <row r="218" spans="24:25" x14ac:dyDescent="0.3">
      <c r="X218" s="1">
        <f t="shared" si="6"/>
        <v>0</v>
      </c>
      <c r="Y218" s="1">
        <f t="shared" si="7"/>
        <v>0</v>
      </c>
    </row>
    <row r="219" spans="24:25" x14ac:dyDescent="0.3">
      <c r="X219" s="1">
        <f t="shared" si="6"/>
        <v>0</v>
      </c>
      <c r="Y219" s="1">
        <f t="shared" si="7"/>
        <v>0</v>
      </c>
    </row>
    <row r="220" spans="24:25" x14ac:dyDescent="0.3">
      <c r="X220" s="1">
        <f t="shared" si="6"/>
        <v>0</v>
      </c>
      <c r="Y220" s="1">
        <f t="shared" si="7"/>
        <v>0</v>
      </c>
    </row>
    <row r="221" spans="24:25" x14ac:dyDescent="0.3">
      <c r="X221" s="1">
        <f t="shared" si="6"/>
        <v>0</v>
      </c>
      <c r="Y221" s="1">
        <f t="shared" si="7"/>
        <v>0</v>
      </c>
    </row>
    <row r="222" spans="24:25" x14ac:dyDescent="0.3">
      <c r="X222" s="1">
        <f t="shared" si="6"/>
        <v>0</v>
      </c>
      <c r="Y222" s="1">
        <f t="shared" si="7"/>
        <v>0</v>
      </c>
    </row>
    <row r="223" spans="24:25" x14ac:dyDescent="0.3">
      <c r="X223" s="1">
        <f t="shared" si="6"/>
        <v>0</v>
      </c>
      <c r="Y223" s="1">
        <f t="shared" si="7"/>
        <v>0</v>
      </c>
    </row>
    <row r="224" spans="24:25" x14ac:dyDescent="0.3">
      <c r="X224" s="1">
        <f t="shared" si="6"/>
        <v>0</v>
      </c>
      <c r="Y224" s="1">
        <f t="shared" si="7"/>
        <v>0</v>
      </c>
    </row>
    <row r="225" spans="24:25" x14ac:dyDescent="0.3">
      <c r="X225" s="1">
        <f t="shared" si="6"/>
        <v>0</v>
      </c>
      <c r="Y225" s="1">
        <f t="shared" si="7"/>
        <v>0</v>
      </c>
    </row>
    <row r="226" spans="24:25" x14ac:dyDescent="0.3">
      <c r="X226" s="1">
        <f t="shared" si="6"/>
        <v>0</v>
      </c>
      <c r="Y226" s="1">
        <f t="shared" si="7"/>
        <v>0</v>
      </c>
    </row>
    <row r="227" spans="24:25" x14ac:dyDescent="0.3">
      <c r="X227" s="1">
        <f t="shared" si="6"/>
        <v>0</v>
      </c>
      <c r="Y227" s="1">
        <f t="shared" si="7"/>
        <v>0</v>
      </c>
    </row>
    <row r="228" spans="24:25" x14ac:dyDescent="0.3">
      <c r="X228" s="1">
        <f t="shared" si="6"/>
        <v>0</v>
      </c>
      <c r="Y228" s="1">
        <f t="shared" si="7"/>
        <v>0</v>
      </c>
    </row>
    <row r="229" spans="24:25" x14ac:dyDescent="0.3">
      <c r="X229" s="1">
        <f t="shared" si="6"/>
        <v>0</v>
      </c>
      <c r="Y229" s="1">
        <f t="shared" si="7"/>
        <v>0</v>
      </c>
    </row>
    <row r="230" spans="24:25" x14ac:dyDescent="0.3">
      <c r="X230" s="1">
        <f t="shared" si="6"/>
        <v>0</v>
      </c>
      <c r="Y230" s="1">
        <f t="shared" si="7"/>
        <v>0</v>
      </c>
    </row>
    <row r="231" spans="24:25" x14ac:dyDescent="0.3">
      <c r="X231" s="1">
        <f t="shared" si="6"/>
        <v>0</v>
      </c>
      <c r="Y231" s="1">
        <f t="shared" si="7"/>
        <v>0</v>
      </c>
    </row>
    <row r="232" spans="24:25" x14ac:dyDescent="0.3">
      <c r="X232" s="1">
        <f t="shared" si="6"/>
        <v>0</v>
      </c>
      <c r="Y232" s="1">
        <f t="shared" si="7"/>
        <v>0</v>
      </c>
    </row>
    <row r="233" spans="24:25" x14ac:dyDescent="0.3">
      <c r="X233" s="1">
        <f t="shared" si="6"/>
        <v>0</v>
      </c>
      <c r="Y233" s="1">
        <f t="shared" si="7"/>
        <v>0</v>
      </c>
    </row>
    <row r="234" spans="24:25" x14ac:dyDescent="0.3">
      <c r="X234" s="1">
        <f t="shared" si="6"/>
        <v>0</v>
      </c>
      <c r="Y234" s="1">
        <f t="shared" si="7"/>
        <v>0</v>
      </c>
    </row>
    <row r="235" spans="24:25" x14ac:dyDescent="0.3">
      <c r="X235" s="1">
        <f t="shared" si="6"/>
        <v>0</v>
      </c>
      <c r="Y235" s="1">
        <f t="shared" si="7"/>
        <v>0</v>
      </c>
    </row>
    <row r="236" spans="24:25" x14ac:dyDescent="0.3">
      <c r="X236" s="1">
        <f t="shared" si="6"/>
        <v>0</v>
      </c>
      <c r="Y236" s="1">
        <f t="shared" si="7"/>
        <v>0</v>
      </c>
    </row>
    <row r="237" spans="24:25" x14ac:dyDescent="0.3">
      <c r="X237" s="1">
        <f t="shared" si="6"/>
        <v>0</v>
      </c>
      <c r="Y237" s="1">
        <f t="shared" si="7"/>
        <v>0</v>
      </c>
    </row>
    <row r="238" spans="24:25" x14ac:dyDescent="0.3">
      <c r="X238" s="1">
        <f t="shared" si="6"/>
        <v>0</v>
      </c>
      <c r="Y238" s="1">
        <f t="shared" si="7"/>
        <v>0</v>
      </c>
    </row>
    <row r="239" spans="24:25" x14ac:dyDescent="0.3">
      <c r="X239" s="1">
        <f t="shared" si="6"/>
        <v>0</v>
      </c>
      <c r="Y239" s="1">
        <f t="shared" si="7"/>
        <v>0</v>
      </c>
    </row>
    <row r="240" spans="24:25" x14ac:dyDescent="0.3">
      <c r="X240" s="1">
        <f t="shared" si="6"/>
        <v>0</v>
      </c>
      <c r="Y240" s="1">
        <f t="shared" si="7"/>
        <v>0</v>
      </c>
    </row>
    <row r="241" spans="24:25" x14ac:dyDescent="0.3">
      <c r="X241" s="1">
        <f t="shared" si="6"/>
        <v>0</v>
      </c>
      <c r="Y241" s="1">
        <f t="shared" si="7"/>
        <v>0</v>
      </c>
    </row>
    <row r="242" spans="24:25" x14ac:dyDescent="0.3">
      <c r="X242" s="1">
        <f t="shared" si="6"/>
        <v>0</v>
      </c>
      <c r="Y242" s="1">
        <f t="shared" si="7"/>
        <v>0</v>
      </c>
    </row>
    <row r="243" spans="24:25" x14ac:dyDescent="0.3">
      <c r="X243" s="1">
        <f t="shared" si="6"/>
        <v>0</v>
      </c>
      <c r="Y243" s="1">
        <f t="shared" si="7"/>
        <v>0</v>
      </c>
    </row>
    <row r="244" spans="24:25" x14ac:dyDescent="0.3">
      <c r="X244" s="1">
        <f t="shared" si="6"/>
        <v>0</v>
      </c>
      <c r="Y244" s="1">
        <f t="shared" si="7"/>
        <v>0</v>
      </c>
    </row>
    <row r="245" spans="24:25" x14ac:dyDescent="0.3">
      <c r="X245" s="1">
        <f t="shared" si="6"/>
        <v>0</v>
      </c>
      <c r="Y245" s="1">
        <f t="shared" si="7"/>
        <v>0</v>
      </c>
    </row>
    <row r="246" spans="24:25" x14ac:dyDescent="0.3">
      <c r="X246" s="1">
        <f t="shared" si="6"/>
        <v>0</v>
      </c>
      <c r="Y246" s="1">
        <f t="shared" si="7"/>
        <v>0</v>
      </c>
    </row>
    <row r="247" spans="24:25" x14ac:dyDescent="0.3">
      <c r="X247" s="1">
        <f t="shared" si="6"/>
        <v>0</v>
      </c>
      <c r="Y247" s="1">
        <f t="shared" si="7"/>
        <v>0</v>
      </c>
    </row>
    <row r="248" spans="24:25" x14ac:dyDescent="0.3">
      <c r="X248" s="1">
        <f t="shared" si="6"/>
        <v>0</v>
      </c>
      <c r="Y248" s="1">
        <f t="shared" si="7"/>
        <v>0</v>
      </c>
    </row>
    <row r="249" spans="24:25" x14ac:dyDescent="0.3">
      <c r="X249" s="1">
        <f t="shared" si="6"/>
        <v>0</v>
      </c>
      <c r="Y249" s="1">
        <f t="shared" si="7"/>
        <v>0</v>
      </c>
    </row>
    <row r="250" spans="24:25" x14ac:dyDescent="0.3">
      <c r="X250" s="1">
        <f t="shared" si="6"/>
        <v>0</v>
      </c>
      <c r="Y250" s="1">
        <f t="shared" si="7"/>
        <v>0</v>
      </c>
    </row>
    <row r="251" spans="24:25" x14ac:dyDescent="0.3">
      <c r="X251" s="1">
        <f t="shared" si="6"/>
        <v>0</v>
      </c>
      <c r="Y251" s="1">
        <f t="shared" si="7"/>
        <v>0</v>
      </c>
    </row>
    <row r="252" spans="24:25" x14ac:dyDescent="0.3">
      <c r="X252" s="1">
        <f t="shared" si="6"/>
        <v>0</v>
      </c>
      <c r="Y252" s="1">
        <f t="shared" si="7"/>
        <v>0</v>
      </c>
    </row>
    <row r="253" spans="24:25" x14ac:dyDescent="0.3">
      <c r="X253" s="1">
        <f t="shared" si="6"/>
        <v>0</v>
      </c>
      <c r="Y253" s="1">
        <f t="shared" si="7"/>
        <v>0</v>
      </c>
    </row>
    <row r="254" spans="24:25" x14ac:dyDescent="0.3">
      <c r="X254" s="1">
        <f t="shared" si="6"/>
        <v>0</v>
      </c>
      <c r="Y254" s="1">
        <f t="shared" si="7"/>
        <v>0</v>
      </c>
    </row>
    <row r="255" spans="24:25" x14ac:dyDescent="0.3">
      <c r="X255" s="1">
        <f t="shared" si="6"/>
        <v>0</v>
      </c>
      <c r="Y255" s="1">
        <f t="shared" si="7"/>
        <v>0</v>
      </c>
    </row>
    <row r="256" spans="24:25" x14ac:dyDescent="0.3">
      <c r="X256" s="1">
        <f t="shared" si="6"/>
        <v>0</v>
      </c>
      <c r="Y256" s="1">
        <f t="shared" si="7"/>
        <v>0</v>
      </c>
    </row>
    <row r="257" spans="24:25" x14ac:dyDescent="0.3">
      <c r="X257" s="1">
        <f t="shared" si="6"/>
        <v>0</v>
      </c>
      <c r="Y257" s="1">
        <f t="shared" si="7"/>
        <v>0</v>
      </c>
    </row>
    <row r="258" spans="24:25" x14ac:dyDescent="0.3">
      <c r="X258" s="1">
        <f t="shared" si="6"/>
        <v>0</v>
      </c>
      <c r="Y258" s="1">
        <f t="shared" si="7"/>
        <v>0</v>
      </c>
    </row>
    <row r="259" spans="24:25" x14ac:dyDescent="0.3">
      <c r="X259" s="1">
        <f t="shared" ref="X259:X322" si="8">IFERROR(MATCH(W259,$B:$B,0),0)</f>
        <v>0</v>
      </c>
      <c r="Y259" s="1">
        <f t="shared" ref="Y259:Y322" si="9">IF(X260=0,COUNTA(A:A),X260-1)</f>
        <v>0</v>
      </c>
    </row>
    <row r="260" spans="24:25" x14ac:dyDescent="0.3">
      <c r="X260" s="1">
        <f t="shared" si="8"/>
        <v>0</v>
      </c>
      <c r="Y260" s="1">
        <f t="shared" si="9"/>
        <v>0</v>
      </c>
    </row>
    <row r="261" spans="24:25" x14ac:dyDescent="0.3">
      <c r="X261" s="1">
        <f t="shared" si="8"/>
        <v>0</v>
      </c>
      <c r="Y261" s="1">
        <f t="shared" si="9"/>
        <v>0</v>
      </c>
    </row>
    <row r="262" spans="24:25" x14ac:dyDescent="0.3">
      <c r="X262" s="1">
        <f t="shared" si="8"/>
        <v>0</v>
      </c>
      <c r="Y262" s="1">
        <f t="shared" si="9"/>
        <v>0</v>
      </c>
    </row>
    <row r="263" spans="24:25" x14ac:dyDescent="0.3">
      <c r="X263" s="1">
        <f t="shared" si="8"/>
        <v>0</v>
      </c>
      <c r="Y263" s="1">
        <f t="shared" si="9"/>
        <v>0</v>
      </c>
    </row>
    <row r="264" spans="24:25" x14ac:dyDescent="0.3">
      <c r="X264" s="1">
        <f t="shared" si="8"/>
        <v>0</v>
      </c>
      <c r="Y264" s="1">
        <f t="shared" si="9"/>
        <v>0</v>
      </c>
    </row>
    <row r="265" spans="24:25" x14ac:dyDescent="0.3">
      <c r="X265" s="1">
        <f t="shared" si="8"/>
        <v>0</v>
      </c>
      <c r="Y265" s="1">
        <f t="shared" si="9"/>
        <v>0</v>
      </c>
    </row>
    <row r="266" spans="24:25" x14ac:dyDescent="0.3">
      <c r="X266" s="1">
        <f t="shared" si="8"/>
        <v>0</v>
      </c>
      <c r="Y266" s="1">
        <f t="shared" si="9"/>
        <v>0</v>
      </c>
    </row>
    <row r="267" spans="24:25" x14ac:dyDescent="0.3">
      <c r="X267" s="1">
        <f t="shared" si="8"/>
        <v>0</v>
      </c>
      <c r="Y267" s="1">
        <f t="shared" si="9"/>
        <v>0</v>
      </c>
    </row>
    <row r="268" spans="24:25" x14ac:dyDescent="0.3">
      <c r="X268" s="1">
        <f t="shared" si="8"/>
        <v>0</v>
      </c>
      <c r="Y268" s="1">
        <f t="shared" si="9"/>
        <v>0</v>
      </c>
    </row>
    <row r="269" spans="24:25" x14ac:dyDescent="0.3">
      <c r="X269" s="1">
        <f t="shared" si="8"/>
        <v>0</v>
      </c>
      <c r="Y269" s="1">
        <f t="shared" si="9"/>
        <v>0</v>
      </c>
    </row>
    <row r="270" spans="24:25" x14ac:dyDescent="0.3">
      <c r="X270" s="1">
        <f t="shared" si="8"/>
        <v>0</v>
      </c>
      <c r="Y270" s="1">
        <f t="shared" si="9"/>
        <v>0</v>
      </c>
    </row>
    <row r="271" spans="24:25" x14ac:dyDescent="0.3">
      <c r="X271" s="1">
        <f t="shared" si="8"/>
        <v>0</v>
      </c>
      <c r="Y271" s="1">
        <f t="shared" si="9"/>
        <v>0</v>
      </c>
    </row>
    <row r="272" spans="24:25" x14ac:dyDescent="0.3">
      <c r="X272" s="1">
        <f t="shared" si="8"/>
        <v>0</v>
      </c>
      <c r="Y272" s="1">
        <f t="shared" si="9"/>
        <v>0</v>
      </c>
    </row>
    <row r="273" spans="24:25" x14ac:dyDescent="0.3">
      <c r="X273" s="1">
        <f t="shared" si="8"/>
        <v>0</v>
      </c>
      <c r="Y273" s="1">
        <f t="shared" si="9"/>
        <v>0</v>
      </c>
    </row>
    <row r="274" spans="24:25" x14ac:dyDescent="0.3">
      <c r="X274" s="1">
        <f t="shared" si="8"/>
        <v>0</v>
      </c>
      <c r="Y274" s="1">
        <f t="shared" si="9"/>
        <v>0</v>
      </c>
    </row>
    <row r="275" spans="24:25" x14ac:dyDescent="0.3">
      <c r="X275" s="1">
        <f t="shared" si="8"/>
        <v>0</v>
      </c>
      <c r="Y275" s="1">
        <f t="shared" si="9"/>
        <v>0</v>
      </c>
    </row>
    <row r="276" spans="24:25" x14ac:dyDescent="0.3">
      <c r="X276" s="1">
        <f t="shared" si="8"/>
        <v>0</v>
      </c>
      <c r="Y276" s="1">
        <f t="shared" si="9"/>
        <v>0</v>
      </c>
    </row>
    <row r="277" spans="24:25" x14ac:dyDescent="0.3">
      <c r="X277" s="1">
        <f t="shared" si="8"/>
        <v>0</v>
      </c>
      <c r="Y277" s="1">
        <f t="shared" si="9"/>
        <v>0</v>
      </c>
    </row>
    <row r="278" spans="24:25" x14ac:dyDescent="0.3">
      <c r="X278" s="1">
        <f t="shared" si="8"/>
        <v>0</v>
      </c>
      <c r="Y278" s="1">
        <f t="shared" si="9"/>
        <v>0</v>
      </c>
    </row>
    <row r="279" spans="24:25" x14ac:dyDescent="0.3">
      <c r="X279" s="1">
        <f t="shared" si="8"/>
        <v>0</v>
      </c>
      <c r="Y279" s="1">
        <f t="shared" si="9"/>
        <v>0</v>
      </c>
    </row>
    <row r="280" spans="24:25" x14ac:dyDescent="0.3">
      <c r="X280" s="1">
        <f t="shared" si="8"/>
        <v>0</v>
      </c>
      <c r="Y280" s="1">
        <f t="shared" si="9"/>
        <v>0</v>
      </c>
    </row>
    <row r="281" spans="24:25" x14ac:dyDescent="0.3">
      <c r="X281" s="1">
        <f t="shared" si="8"/>
        <v>0</v>
      </c>
      <c r="Y281" s="1">
        <f t="shared" si="9"/>
        <v>0</v>
      </c>
    </row>
    <row r="282" spans="24:25" x14ac:dyDescent="0.3">
      <c r="X282" s="1">
        <f t="shared" si="8"/>
        <v>0</v>
      </c>
      <c r="Y282" s="1">
        <f t="shared" si="9"/>
        <v>0</v>
      </c>
    </row>
    <row r="283" spans="24:25" x14ac:dyDescent="0.3">
      <c r="X283" s="1">
        <f t="shared" si="8"/>
        <v>0</v>
      </c>
      <c r="Y283" s="1">
        <f t="shared" si="9"/>
        <v>0</v>
      </c>
    </row>
    <row r="284" spans="24:25" x14ac:dyDescent="0.3">
      <c r="X284" s="1">
        <f t="shared" si="8"/>
        <v>0</v>
      </c>
      <c r="Y284" s="1">
        <f t="shared" si="9"/>
        <v>0</v>
      </c>
    </row>
    <row r="285" spans="24:25" x14ac:dyDescent="0.3">
      <c r="X285" s="1">
        <f t="shared" si="8"/>
        <v>0</v>
      </c>
      <c r="Y285" s="1">
        <f t="shared" si="9"/>
        <v>0</v>
      </c>
    </row>
    <row r="286" spans="24:25" x14ac:dyDescent="0.3">
      <c r="X286" s="1">
        <f t="shared" si="8"/>
        <v>0</v>
      </c>
      <c r="Y286" s="1">
        <f t="shared" si="9"/>
        <v>0</v>
      </c>
    </row>
    <row r="287" spans="24:25" x14ac:dyDescent="0.3">
      <c r="X287" s="1">
        <f t="shared" si="8"/>
        <v>0</v>
      </c>
      <c r="Y287" s="1">
        <f t="shared" si="9"/>
        <v>0</v>
      </c>
    </row>
    <row r="288" spans="24:25" x14ac:dyDescent="0.3">
      <c r="X288" s="1">
        <f t="shared" si="8"/>
        <v>0</v>
      </c>
      <c r="Y288" s="1">
        <f t="shared" si="9"/>
        <v>0</v>
      </c>
    </row>
    <row r="289" spans="24:25" x14ac:dyDescent="0.3">
      <c r="X289" s="1">
        <f t="shared" si="8"/>
        <v>0</v>
      </c>
      <c r="Y289" s="1">
        <f t="shared" si="9"/>
        <v>0</v>
      </c>
    </row>
    <row r="290" spans="24:25" x14ac:dyDescent="0.3">
      <c r="X290" s="1">
        <f t="shared" si="8"/>
        <v>0</v>
      </c>
      <c r="Y290" s="1">
        <f t="shared" si="9"/>
        <v>0</v>
      </c>
    </row>
    <row r="291" spans="24:25" x14ac:dyDescent="0.3">
      <c r="X291" s="1">
        <f t="shared" si="8"/>
        <v>0</v>
      </c>
      <c r="Y291" s="1">
        <f t="shared" si="9"/>
        <v>0</v>
      </c>
    </row>
    <row r="292" spans="24:25" x14ac:dyDescent="0.3">
      <c r="X292" s="1">
        <f t="shared" si="8"/>
        <v>0</v>
      </c>
      <c r="Y292" s="1">
        <f t="shared" si="9"/>
        <v>0</v>
      </c>
    </row>
    <row r="293" spans="24:25" x14ac:dyDescent="0.3">
      <c r="X293" s="1">
        <f t="shared" si="8"/>
        <v>0</v>
      </c>
      <c r="Y293" s="1">
        <f t="shared" si="9"/>
        <v>0</v>
      </c>
    </row>
    <row r="294" spans="24:25" x14ac:dyDescent="0.3">
      <c r="X294" s="1">
        <f t="shared" si="8"/>
        <v>0</v>
      </c>
      <c r="Y294" s="1">
        <f t="shared" si="9"/>
        <v>0</v>
      </c>
    </row>
    <row r="295" spans="24:25" x14ac:dyDescent="0.3">
      <c r="X295" s="1">
        <f t="shared" si="8"/>
        <v>0</v>
      </c>
      <c r="Y295" s="1">
        <f t="shared" si="9"/>
        <v>0</v>
      </c>
    </row>
    <row r="296" spans="24:25" x14ac:dyDescent="0.3">
      <c r="X296" s="1">
        <f t="shared" si="8"/>
        <v>0</v>
      </c>
      <c r="Y296" s="1">
        <f t="shared" si="9"/>
        <v>0</v>
      </c>
    </row>
    <row r="297" spans="24:25" x14ac:dyDescent="0.3">
      <c r="X297" s="1">
        <f t="shared" si="8"/>
        <v>0</v>
      </c>
      <c r="Y297" s="1">
        <f t="shared" si="9"/>
        <v>0</v>
      </c>
    </row>
    <row r="298" spans="24:25" x14ac:dyDescent="0.3">
      <c r="X298" s="1">
        <f t="shared" si="8"/>
        <v>0</v>
      </c>
      <c r="Y298" s="1">
        <f t="shared" si="9"/>
        <v>0</v>
      </c>
    </row>
    <row r="299" spans="24:25" x14ac:dyDescent="0.3">
      <c r="X299" s="1">
        <f t="shared" si="8"/>
        <v>0</v>
      </c>
      <c r="Y299" s="1">
        <f t="shared" si="9"/>
        <v>0</v>
      </c>
    </row>
    <row r="300" spans="24:25" x14ac:dyDescent="0.3">
      <c r="X300" s="1">
        <f t="shared" si="8"/>
        <v>0</v>
      </c>
      <c r="Y300" s="1">
        <f t="shared" si="9"/>
        <v>0</v>
      </c>
    </row>
    <row r="301" spans="24:25" x14ac:dyDescent="0.3">
      <c r="X301" s="1">
        <f t="shared" si="8"/>
        <v>0</v>
      </c>
      <c r="Y301" s="1">
        <f t="shared" si="9"/>
        <v>0</v>
      </c>
    </row>
    <row r="302" spans="24:25" x14ac:dyDescent="0.3">
      <c r="X302" s="1">
        <f t="shared" si="8"/>
        <v>0</v>
      </c>
      <c r="Y302" s="1">
        <f t="shared" si="9"/>
        <v>0</v>
      </c>
    </row>
    <row r="303" spans="24:25" x14ac:dyDescent="0.3">
      <c r="X303" s="1">
        <f t="shared" si="8"/>
        <v>0</v>
      </c>
      <c r="Y303" s="1">
        <f t="shared" si="9"/>
        <v>0</v>
      </c>
    </row>
    <row r="304" spans="24:25" x14ac:dyDescent="0.3">
      <c r="X304" s="1">
        <f t="shared" si="8"/>
        <v>0</v>
      </c>
      <c r="Y304" s="1">
        <f t="shared" si="9"/>
        <v>0</v>
      </c>
    </row>
    <row r="305" spans="24:25" x14ac:dyDescent="0.3">
      <c r="X305" s="1">
        <f t="shared" si="8"/>
        <v>0</v>
      </c>
      <c r="Y305" s="1">
        <f t="shared" si="9"/>
        <v>0</v>
      </c>
    </row>
    <row r="306" spans="24:25" x14ac:dyDescent="0.3">
      <c r="X306" s="1">
        <f t="shared" si="8"/>
        <v>0</v>
      </c>
      <c r="Y306" s="1">
        <f t="shared" si="9"/>
        <v>0</v>
      </c>
    </row>
    <row r="307" spans="24:25" x14ac:dyDescent="0.3">
      <c r="X307" s="1">
        <f t="shared" si="8"/>
        <v>0</v>
      </c>
      <c r="Y307" s="1">
        <f t="shared" si="9"/>
        <v>0</v>
      </c>
    </row>
    <row r="308" spans="24:25" x14ac:dyDescent="0.3">
      <c r="X308" s="1">
        <f t="shared" si="8"/>
        <v>0</v>
      </c>
      <c r="Y308" s="1">
        <f t="shared" si="9"/>
        <v>0</v>
      </c>
    </row>
    <row r="309" spans="24:25" x14ac:dyDescent="0.3">
      <c r="X309" s="1">
        <f t="shared" si="8"/>
        <v>0</v>
      </c>
      <c r="Y309" s="1">
        <f t="shared" si="9"/>
        <v>0</v>
      </c>
    </row>
    <row r="310" spans="24:25" x14ac:dyDescent="0.3">
      <c r="X310" s="1">
        <f t="shared" si="8"/>
        <v>0</v>
      </c>
      <c r="Y310" s="1">
        <f t="shared" si="9"/>
        <v>0</v>
      </c>
    </row>
    <row r="311" spans="24:25" x14ac:dyDescent="0.3">
      <c r="X311" s="1">
        <f t="shared" si="8"/>
        <v>0</v>
      </c>
      <c r="Y311" s="1">
        <f t="shared" si="9"/>
        <v>0</v>
      </c>
    </row>
    <row r="312" spans="24:25" x14ac:dyDescent="0.3">
      <c r="X312" s="1">
        <f t="shared" si="8"/>
        <v>0</v>
      </c>
      <c r="Y312" s="1">
        <f t="shared" si="9"/>
        <v>0</v>
      </c>
    </row>
    <row r="313" spans="24:25" x14ac:dyDescent="0.3">
      <c r="X313" s="1">
        <f t="shared" si="8"/>
        <v>0</v>
      </c>
      <c r="Y313" s="1">
        <f t="shared" si="9"/>
        <v>0</v>
      </c>
    </row>
    <row r="314" spans="24:25" x14ac:dyDescent="0.3">
      <c r="X314" s="1">
        <f t="shared" si="8"/>
        <v>0</v>
      </c>
      <c r="Y314" s="1">
        <f t="shared" si="9"/>
        <v>0</v>
      </c>
    </row>
    <row r="315" spans="24:25" x14ac:dyDescent="0.3">
      <c r="X315" s="1">
        <f t="shared" si="8"/>
        <v>0</v>
      </c>
      <c r="Y315" s="1">
        <f t="shared" si="9"/>
        <v>0</v>
      </c>
    </row>
    <row r="316" spans="24:25" x14ac:dyDescent="0.3">
      <c r="X316" s="1">
        <f t="shared" si="8"/>
        <v>0</v>
      </c>
      <c r="Y316" s="1">
        <f t="shared" si="9"/>
        <v>0</v>
      </c>
    </row>
    <row r="317" spans="24:25" x14ac:dyDescent="0.3">
      <c r="X317" s="1">
        <f t="shared" si="8"/>
        <v>0</v>
      </c>
      <c r="Y317" s="1">
        <f t="shared" si="9"/>
        <v>0</v>
      </c>
    </row>
    <row r="318" spans="24:25" x14ac:dyDescent="0.3">
      <c r="X318" s="1">
        <f t="shared" si="8"/>
        <v>0</v>
      </c>
      <c r="Y318" s="1">
        <f t="shared" si="9"/>
        <v>0</v>
      </c>
    </row>
    <row r="319" spans="24:25" x14ac:dyDescent="0.3">
      <c r="X319" s="1">
        <f t="shared" si="8"/>
        <v>0</v>
      </c>
      <c r="Y319" s="1">
        <f t="shared" si="9"/>
        <v>0</v>
      </c>
    </row>
    <row r="320" spans="24:25" x14ac:dyDescent="0.3">
      <c r="X320" s="1">
        <f t="shared" si="8"/>
        <v>0</v>
      </c>
      <c r="Y320" s="1">
        <f t="shared" si="9"/>
        <v>0</v>
      </c>
    </row>
    <row r="321" spans="24:25" x14ac:dyDescent="0.3">
      <c r="X321" s="1">
        <f t="shared" si="8"/>
        <v>0</v>
      </c>
      <c r="Y321" s="1">
        <f t="shared" si="9"/>
        <v>0</v>
      </c>
    </row>
    <row r="322" spans="24:25" x14ac:dyDescent="0.3">
      <c r="X322" s="1">
        <f t="shared" si="8"/>
        <v>0</v>
      </c>
      <c r="Y322" s="1">
        <f t="shared" si="9"/>
        <v>0</v>
      </c>
    </row>
    <row r="323" spans="24:25" x14ac:dyDescent="0.3">
      <c r="X323" s="1">
        <f t="shared" ref="X323:X386" si="10">IFERROR(MATCH(W323,$B:$B,0),0)</f>
        <v>0</v>
      </c>
      <c r="Y323" s="1">
        <f t="shared" ref="Y323:Y386" si="11">IF(X324=0,COUNTA(A:A),X324-1)</f>
        <v>0</v>
      </c>
    </row>
    <row r="324" spans="24:25" x14ac:dyDescent="0.3">
      <c r="X324" s="1">
        <f t="shared" si="10"/>
        <v>0</v>
      </c>
      <c r="Y324" s="1">
        <f t="shared" si="11"/>
        <v>0</v>
      </c>
    </row>
    <row r="325" spans="24:25" x14ac:dyDescent="0.3">
      <c r="X325" s="1">
        <f t="shared" si="10"/>
        <v>0</v>
      </c>
      <c r="Y325" s="1">
        <f t="shared" si="11"/>
        <v>0</v>
      </c>
    </row>
    <row r="326" spans="24:25" x14ac:dyDescent="0.3">
      <c r="X326" s="1">
        <f t="shared" si="10"/>
        <v>0</v>
      </c>
      <c r="Y326" s="1">
        <f t="shared" si="11"/>
        <v>0</v>
      </c>
    </row>
    <row r="327" spans="24:25" x14ac:dyDescent="0.3">
      <c r="X327" s="1">
        <f t="shared" si="10"/>
        <v>0</v>
      </c>
      <c r="Y327" s="1">
        <f t="shared" si="11"/>
        <v>0</v>
      </c>
    </row>
    <row r="328" spans="24:25" x14ac:dyDescent="0.3">
      <c r="X328" s="1">
        <f t="shared" si="10"/>
        <v>0</v>
      </c>
      <c r="Y328" s="1">
        <f t="shared" si="11"/>
        <v>0</v>
      </c>
    </row>
    <row r="329" spans="24:25" x14ac:dyDescent="0.3">
      <c r="X329" s="1">
        <f t="shared" si="10"/>
        <v>0</v>
      </c>
      <c r="Y329" s="1">
        <f t="shared" si="11"/>
        <v>0</v>
      </c>
    </row>
    <row r="330" spans="24:25" x14ac:dyDescent="0.3">
      <c r="X330" s="1">
        <f t="shared" si="10"/>
        <v>0</v>
      </c>
      <c r="Y330" s="1">
        <f t="shared" si="11"/>
        <v>0</v>
      </c>
    </row>
    <row r="331" spans="24:25" x14ac:dyDescent="0.3">
      <c r="X331" s="1">
        <f t="shared" si="10"/>
        <v>0</v>
      </c>
      <c r="Y331" s="1">
        <f t="shared" si="11"/>
        <v>0</v>
      </c>
    </row>
    <row r="332" spans="24:25" x14ac:dyDescent="0.3">
      <c r="X332" s="1">
        <f t="shared" si="10"/>
        <v>0</v>
      </c>
      <c r="Y332" s="1">
        <f t="shared" si="11"/>
        <v>0</v>
      </c>
    </row>
    <row r="333" spans="24:25" x14ac:dyDescent="0.3">
      <c r="X333" s="1">
        <f t="shared" si="10"/>
        <v>0</v>
      </c>
      <c r="Y333" s="1">
        <f t="shared" si="11"/>
        <v>0</v>
      </c>
    </row>
    <row r="334" spans="24:25" x14ac:dyDescent="0.3">
      <c r="X334" s="1">
        <f t="shared" si="10"/>
        <v>0</v>
      </c>
      <c r="Y334" s="1">
        <f t="shared" si="11"/>
        <v>0</v>
      </c>
    </row>
    <row r="335" spans="24:25" x14ac:dyDescent="0.3">
      <c r="X335" s="1">
        <f t="shared" si="10"/>
        <v>0</v>
      </c>
      <c r="Y335" s="1">
        <f t="shared" si="11"/>
        <v>0</v>
      </c>
    </row>
    <row r="336" spans="24:25" x14ac:dyDescent="0.3">
      <c r="X336" s="1">
        <f t="shared" si="10"/>
        <v>0</v>
      </c>
      <c r="Y336" s="1">
        <f t="shared" si="11"/>
        <v>0</v>
      </c>
    </row>
    <row r="337" spans="24:25" x14ac:dyDescent="0.3">
      <c r="X337" s="1">
        <f t="shared" si="10"/>
        <v>0</v>
      </c>
      <c r="Y337" s="1">
        <f t="shared" si="11"/>
        <v>0</v>
      </c>
    </row>
    <row r="338" spans="24:25" x14ac:dyDescent="0.3">
      <c r="X338" s="1">
        <f t="shared" si="10"/>
        <v>0</v>
      </c>
      <c r="Y338" s="1">
        <f t="shared" si="11"/>
        <v>0</v>
      </c>
    </row>
    <row r="339" spans="24:25" x14ac:dyDescent="0.3">
      <c r="X339" s="1">
        <f t="shared" si="10"/>
        <v>0</v>
      </c>
      <c r="Y339" s="1">
        <f t="shared" si="11"/>
        <v>0</v>
      </c>
    </row>
    <row r="340" spans="24:25" x14ac:dyDescent="0.3">
      <c r="X340" s="1">
        <f t="shared" si="10"/>
        <v>0</v>
      </c>
      <c r="Y340" s="1">
        <f t="shared" si="11"/>
        <v>0</v>
      </c>
    </row>
    <row r="341" spans="24:25" x14ac:dyDescent="0.3">
      <c r="X341" s="1">
        <f t="shared" si="10"/>
        <v>0</v>
      </c>
      <c r="Y341" s="1">
        <f t="shared" si="11"/>
        <v>0</v>
      </c>
    </row>
    <row r="342" spans="24:25" x14ac:dyDescent="0.3">
      <c r="X342" s="1">
        <f t="shared" si="10"/>
        <v>0</v>
      </c>
      <c r="Y342" s="1">
        <f t="shared" si="11"/>
        <v>0</v>
      </c>
    </row>
    <row r="343" spans="24:25" x14ac:dyDescent="0.3">
      <c r="X343" s="1">
        <f t="shared" si="10"/>
        <v>0</v>
      </c>
      <c r="Y343" s="1">
        <f t="shared" si="11"/>
        <v>0</v>
      </c>
    </row>
    <row r="344" spans="24:25" x14ac:dyDescent="0.3">
      <c r="X344" s="1">
        <f t="shared" si="10"/>
        <v>0</v>
      </c>
      <c r="Y344" s="1">
        <f t="shared" si="11"/>
        <v>0</v>
      </c>
    </row>
    <row r="345" spans="24:25" x14ac:dyDescent="0.3">
      <c r="X345" s="1">
        <f t="shared" si="10"/>
        <v>0</v>
      </c>
      <c r="Y345" s="1">
        <f t="shared" si="11"/>
        <v>0</v>
      </c>
    </row>
    <row r="346" spans="24:25" x14ac:dyDescent="0.3">
      <c r="X346" s="1">
        <f t="shared" si="10"/>
        <v>0</v>
      </c>
      <c r="Y346" s="1">
        <f t="shared" si="11"/>
        <v>0</v>
      </c>
    </row>
    <row r="347" spans="24:25" x14ac:dyDescent="0.3">
      <c r="X347" s="1">
        <f t="shared" si="10"/>
        <v>0</v>
      </c>
      <c r="Y347" s="1">
        <f t="shared" si="11"/>
        <v>0</v>
      </c>
    </row>
    <row r="348" spans="24:25" x14ac:dyDescent="0.3">
      <c r="X348" s="1">
        <f t="shared" si="10"/>
        <v>0</v>
      </c>
      <c r="Y348" s="1">
        <f t="shared" si="11"/>
        <v>0</v>
      </c>
    </row>
    <row r="349" spans="24:25" x14ac:dyDescent="0.3">
      <c r="X349" s="1">
        <f t="shared" si="10"/>
        <v>0</v>
      </c>
      <c r="Y349" s="1">
        <f t="shared" si="11"/>
        <v>0</v>
      </c>
    </row>
    <row r="350" spans="24:25" x14ac:dyDescent="0.3">
      <c r="X350" s="1">
        <f t="shared" si="10"/>
        <v>0</v>
      </c>
      <c r="Y350" s="1">
        <f t="shared" si="11"/>
        <v>0</v>
      </c>
    </row>
    <row r="351" spans="24:25" x14ac:dyDescent="0.3">
      <c r="X351" s="1">
        <f t="shared" si="10"/>
        <v>0</v>
      </c>
      <c r="Y351" s="1">
        <f t="shared" si="11"/>
        <v>0</v>
      </c>
    </row>
    <row r="352" spans="24:25" x14ac:dyDescent="0.3">
      <c r="X352" s="1">
        <f t="shared" si="10"/>
        <v>0</v>
      </c>
      <c r="Y352" s="1">
        <f t="shared" si="11"/>
        <v>0</v>
      </c>
    </row>
    <row r="353" spans="24:25" x14ac:dyDescent="0.3">
      <c r="X353" s="1">
        <f t="shared" si="10"/>
        <v>0</v>
      </c>
      <c r="Y353" s="1">
        <f t="shared" si="11"/>
        <v>0</v>
      </c>
    </row>
    <row r="354" spans="24:25" x14ac:dyDescent="0.3">
      <c r="X354" s="1">
        <f t="shared" si="10"/>
        <v>0</v>
      </c>
      <c r="Y354" s="1">
        <f t="shared" si="11"/>
        <v>0</v>
      </c>
    </row>
    <row r="355" spans="24:25" x14ac:dyDescent="0.3">
      <c r="X355" s="1">
        <f t="shared" si="10"/>
        <v>0</v>
      </c>
      <c r="Y355" s="1">
        <f t="shared" si="11"/>
        <v>0</v>
      </c>
    </row>
    <row r="356" spans="24:25" x14ac:dyDescent="0.3">
      <c r="X356" s="1">
        <f t="shared" si="10"/>
        <v>0</v>
      </c>
      <c r="Y356" s="1">
        <f t="shared" si="11"/>
        <v>0</v>
      </c>
    </row>
    <row r="357" spans="24:25" x14ac:dyDescent="0.3">
      <c r="X357" s="1">
        <f t="shared" si="10"/>
        <v>0</v>
      </c>
      <c r="Y357" s="1">
        <f t="shared" si="11"/>
        <v>0</v>
      </c>
    </row>
    <row r="358" spans="24:25" x14ac:dyDescent="0.3">
      <c r="X358" s="1">
        <f t="shared" si="10"/>
        <v>0</v>
      </c>
      <c r="Y358" s="1">
        <f t="shared" si="11"/>
        <v>0</v>
      </c>
    </row>
    <row r="359" spans="24:25" x14ac:dyDescent="0.3">
      <c r="X359" s="1">
        <f t="shared" si="10"/>
        <v>0</v>
      </c>
      <c r="Y359" s="1">
        <f t="shared" si="11"/>
        <v>0</v>
      </c>
    </row>
    <row r="360" spans="24:25" x14ac:dyDescent="0.3">
      <c r="X360" s="1">
        <f t="shared" si="10"/>
        <v>0</v>
      </c>
      <c r="Y360" s="1">
        <f t="shared" si="11"/>
        <v>0</v>
      </c>
    </row>
    <row r="361" spans="24:25" x14ac:dyDescent="0.3">
      <c r="X361" s="1">
        <f t="shared" si="10"/>
        <v>0</v>
      </c>
      <c r="Y361" s="1">
        <f t="shared" si="11"/>
        <v>0</v>
      </c>
    </row>
    <row r="362" spans="24:25" x14ac:dyDescent="0.3">
      <c r="X362" s="1">
        <f t="shared" si="10"/>
        <v>0</v>
      </c>
      <c r="Y362" s="1">
        <f t="shared" si="11"/>
        <v>0</v>
      </c>
    </row>
    <row r="363" spans="24:25" x14ac:dyDescent="0.3">
      <c r="X363" s="1">
        <f t="shared" si="10"/>
        <v>0</v>
      </c>
      <c r="Y363" s="1">
        <f t="shared" si="11"/>
        <v>0</v>
      </c>
    </row>
    <row r="364" spans="24:25" x14ac:dyDescent="0.3">
      <c r="X364" s="1">
        <f t="shared" si="10"/>
        <v>0</v>
      </c>
      <c r="Y364" s="1">
        <f t="shared" si="11"/>
        <v>0</v>
      </c>
    </row>
    <row r="365" spans="24:25" x14ac:dyDescent="0.3">
      <c r="X365" s="1">
        <f t="shared" si="10"/>
        <v>0</v>
      </c>
      <c r="Y365" s="1">
        <f t="shared" si="11"/>
        <v>0</v>
      </c>
    </row>
    <row r="366" spans="24:25" x14ac:dyDescent="0.3">
      <c r="X366" s="1">
        <f t="shared" si="10"/>
        <v>0</v>
      </c>
      <c r="Y366" s="1">
        <f t="shared" si="11"/>
        <v>0</v>
      </c>
    </row>
    <row r="367" spans="24:25" x14ac:dyDescent="0.3">
      <c r="X367" s="1">
        <f t="shared" si="10"/>
        <v>0</v>
      </c>
      <c r="Y367" s="1">
        <f t="shared" si="11"/>
        <v>0</v>
      </c>
    </row>
    <row r="368" spans="24:25" x14ac:dyDescent="0.3">
      <c r="X368" s="1">
        <f t="shared" si="10"/>
        <v>0</v>
      </c>
      <c r="Y368" s="1">
        <f t="shared" si="11"/>
        <v>0</v>
      </c>
    </row>
    <row r="369" spans="24:25" x14ac:dyDescent="0.3">
      <c r="X369" s="1">
        <f t="shared" si="10"/>
        <v>0</v>
      </c>
      <c r="Y369" s="1">
        <f t="shared" si="11"/>
        <v>0</v>
      </c>
    </row>
    <row r="370" spans="24:25" x14ac:dyDescent="0.3">
      <c r="X370" s="1">
        <f t="shared" si="10"/>
        <v>0</v>
      </c>
      <c r="Y370" s="1">
        <f t="shared" si="11"/>
        <v>0</v>
      </c>
    </row>
    <row r="371" spans="24:25" x14ac:dyDescent="0.3">
      <c r="X371" s="1">
        <f t="shared" si="10"/>
        <v>0</v>
      </c>
      <c r="Y371" s="1">
        <f t="shared" si="11"/>
        <v>0</v>
      </c>
    </row>
    <row r="372" spans="24:25" x14ac:dyDescent="0.3">
      <c r="X372" s="1">
        <f t="shared" si="10"/>
        <v>0</v>
      </c>
      <c r="Y372" s="1">
        <f t="shared" si="11"/>
        <v>0</v>
      </c>
    </row>
    <row r="373" spans="24:25" x14ac:dyDescent="0.3">
      <c r="X373" s="1">
        <f t="shared" si="10"/>
        <v>0</v>
      </c>
      <c r="Y373" s="1">
        <f t="shared" si="11"/>
        <v>0</v>
      </c>
    </row>
    <row r="374" spans="24:25" x14ac:dyDescent="0.3">
      <c r="X374" s="1">
        <f t="shared" si="10"/>
        <v>0</v>
      </c>
      <c r="Y374" s="1">
        <f t="shared" si="11"/>
        <v>0</v>
      </c>
    </row>
    <row r="375" spans="24:25" x14ac:dyDescent="0.3">
      <c r="X375" s="1">
        <f t="shared" si="10"/>
        <v>0</v>
      </c>
      <c r="Y375" s="1">
        <f t="shared" si="11"/>
        <v>0</v>
      </c>
    </row>
    <row r="376" spans="24:25" x14ac:dyDescent="0.3">
      <c r="X376" s="1">
        <f t="shared" si="10"/>
        <v>0</v>
      </c>
      <c r="Y376" s="1">
        <f t="shared" si="11"/>
        <v>0</v>
      </c>
    </row>
    <row r="377" spans="24:25" x14ac:dyDescent="0.3">
      <c r="X377" s="1">
        <f t="shared" si="10"/>
        <v>0</v>
      </c>
      <c r="Y377" s="1">
        <f t="shared" si="11"/>
        <v>0</v>
      </c>
    </row>
    <row r="378" spans="24:25" x14ac:dyDescent="0.3">
      <c r="X378" s="1">
        <f t="shared" si="10"/>
        <v>0</v>
      </c>
      <c r="Y378" s="1">
        <f t="shared" si="11"/>
        <v>0</v>
      </c>
    </row>
    <row r="379" spans="24:25" x14ac:dyDescent="0.3">
      <c r="X379" s="1">
        <f t="shared" si="10"/>
        <v>0</v>
      </c>
      <c r="Y379" s="1">
        <f t="shared" si="11"/>
        <v>0</v>
      </c>
    </row>
    <row r="380" spans="24:25" x14ac:dyDescent="0.3">
      <c r="X380" s="1">
        <f t="shared" si="10"/>
        <v>0</v>
      </c>
      <c r="Y380" s="1">
        <f t="shared" si="11"/>
        <v>0</v>
      </c>
    </row>
    <row r="381" spans="24:25" x14ac:dyDescent="0.3">
      <c r="X381" s="1">
        <f t="shared" si="10"/>
        <v>0</v>
      </c>
      <c r="Y381" s="1">
        <f t="shared" si="11"/>
        <v>0</v>
      </c>
    </row>
    <row r="382" spans="24:25" x14ac:dyDescent="0.3">
      <c r="X382" s="1">
        <f t="shared" si="10"/>
        <v>0</v>
      </c>
      <c r="Y382" s="1">
        <f t="shared" si="11"/>
        <v>0</v>
      </c>
    </row>
    <row r="383" spans="24:25" x14ac:dyDescent="0.3">
      <c r="X383" s="1">
        <f t="shared" si="10"/>
        <v>0</v>
      </c>
      <c r="Y383" s="1">
        <f t="shared" si="11"/>
        <v>0</v>
      </c>
    </row>
    <row r="384" spans="24:25" x14ac:dyDescent="0.3">
      <c r="X384" s="1">
        <f t="shared" si="10"/>
        <v>0</v>
      </c>
      <c r="Y384" s="1">
        <f t="shared" si="11"/>
        <v>0</v>
      </c>
    </row>
    <row r="385" spans="24:25" x14ac:dyDescent="0.3">
      <c r="X385" s="1">
        <f t="shared" si="10"/>
        <v>0</v>
      </c>
      <c r="Y385" s="1">
        <f t="shared" si="11"/>
        <v>0</v>
      </c>
    </row>
    <row r="386" spans="24:25" x14ac:dyDescent="0.3">
      <c r="X386" s="1">
        <f t="shared" si="10"/>
        <v>0</v>
      </c>
      <c r="Y386" s="1">
        <f t="shared" si="11"/>
        <v>0</v>
      </c>
    </row>
    <row r="387" spans="24:25" x14ac:dyDescent="0.3">
      <c r="X387" s="1">
        <f t="shared" ref="X387:X450" si="12">IFERROR(MATCH(W387,$B:$B,0),0)</f>
        <v>0</v>
      </c>
      <c r="Y387" s="1">
        <f t="shared" ref="Y387:Y450" si="13">IF(X388=0,COUNTA(A:A),X388-1)</f>
        <v>0</v>
      </c>
    </row>
    <row r="388" spans="24:25" x14ac:dyDescent="0.3">
      <c r="X388" s="1">
        <f t="shared" si="12"/>
        <v>0</v>
      </c>
      <c r="Y388" s="1">
        <f t="shared" si="13"/>
        <v>0</v>
      </c>
    </row>
    <row r="389" spans="24:25" x14ac:dyDescent="0.3">
      <c r="X389" s="1">
        <f t="shared" si="12"/>
        <v>0</v>
      </c>
      <c r="Y389" s="1">
        <f t="shared" si="13"/>
        <v>0</v>
      </c>
    </row>
    <row r="390" spans="24:25" x14ac:dyDescent="0.3">
      <c r="X390" s="1">
        <f t="shared" si="12"/>
        <v>0</v>
      </c>
      <c r="Y390" s="1">
        <f t="shared" si="13"/>
        <v>0</v>
      </c>
    </row>
    <row r="391" spans="24:25" x14ac:dyDescent="0.3">
      <c r="X391" s="1">
        <f t="shared" si="12"/>
        <v>0</v>
      </c>
      <c r="Y391" s="1">
        <f t="shared" si="13"/>
        <v>0</v>
      </c>
    </row>
    <row r="392" spans="24:25" x14ac:dyDescent="0.3">
      <c r="X392" s="1">
        <f t="shared" si="12"/>
        <v>0</v>
      </c>
      <c r="Y392" s="1">
        <f t="shared" si="13"/>
        <v>0</v>
      </c>
    </row>
    <row r="393" spans="24:25" x14ac:dyDescent="0.3">
      <c r="X393" s="1">
        <f t="shared" si="12"/>
        <v>0</v>
      </c>
      <c r="Y393" s="1">
        <f t="shared" si="13"/>
        <v>0</v>
      </c>
    </row>
    <row r="394" spans="24:25" x14ac:dyDescent="0.3">
      <c r="X394" s="1">
        <f t="shared" si="12"/>
        <v>0</v>
      </c>
      <c r="Y394" s="1">
        <f t="shared" si="13"/>
        <v>0</v>
      </c>
    </row>
    <row r="395" spans="24:25" x14ac:dyDescent="0.3">
      <c r="X395" s="1">
        <f t="shared" si="12"/>
        <v>0</v>
      </c>
      <c r="Y395" s="1">
        <f t="shared" si="13"/>
        <v>0</v>
      </c>
    </row>
    <row r="396" spans="24:25" x14ac:dyDescent="0.3">
      <c r="X396" s="1">
        <f t="shared" si="12"/>
        <v>0</v>
      </c>
      <c r="Y396" s="1">
        <f t="shared" si="13"/>
        <v>0</v>
      </c>
    </row>
    <row r="397" spans="24:25" x14ac:dyDescent="0.3">
      <c r="X397" s="1">
        <f t="shared" si="12"/>
        <v>0</v>
      </c>
      <c r="Y397" s="1">
        <f t="shared" si="13"/>
        <v>0</v>
      </c>
    </row>
    <row r="398" spans="24:25" x14ac:dyDescent="0.3">
      <c r="X398" s="1">
        <f t="shared" si="12"/>
        <v>0</v>
      </c>
      <c r="Y398" s="1">
        <f t="shared" si="13"/>
        <v>0</v>
      </c>
    </row>
    <row r="399" spans="24:25" x14ac:dyDescent="0.3">
      <c r="X399" s="1">
        <f t="shared" si="12"/>
        <v>0</v>
      </c>
      <c r="Y399" s="1">
        <f t="shared" si="13"/>
        <v>0</v>
      </c>
    </row>
    <row r="400" spans="24:25" x14ac:dyDescent="0.3">
      <c r="X400" s="1">
        <f t="shared" si="12"/>
        <v>0</v>
      </c>
      <c r="Y400" s="1">
        <f t="shared" si="13"/>
        <v>0</v>
      </c>
    </row>
    <row r="401" spans="24:25" x14ac:dyDescent="0.3">
      <c r="X401" s="1">
        <f t="shared" si="12"/>
        <v>0</v>
      </c>
      <c r="Y401" s="1">
        <f t="shared" si="13"/>
        <v>0</v>
      </c>
    </row>
    <row r="402" spans="24:25" x14ac:dyDescent="0.3">
      <c r="X402" s="1">
        <f t="shared" si="12"/>
        <v>0</v>
      </c>
      <c r="Y402" s="1">
        <f t="shared" si="13"/>
        <v>0</v>
      </c>
    </row>
    <row r="403" spans="24:25" x14ac:dyDescent="0.3">
      <c r="X403" s="1">
        <f t="shared" si="12"/>
        <v>0</v>
      </c>
      <c r="Y403" s="1">
        <f t="shared" si="13"/>
        <v>0</v>
      </c>
    </row>
    <row r="404" spans="24:25" x14ac:dyDescent="0.3">
      <c r="X404" s="1">
        <f t="shared" si="12"/>
        <v>0</v>
      </c>
      <c r="Y404" s="1">
        <f t="shared" si="13"/>
        <v>0</v>
      </c>
    </row>
    <row r="405" spans="24:25" x14ac:dyDescent="0.3">
      <c r="X405" s="1">
        <f t="shared" si="12"/>
        <v>0</v>
      </c>
      <c r="Y405" s="1">
        <f t="shared" si="13"/>
        <v>0</v>
      </c>
    </row>
    <row r="406" spans="24:25" x14ac:dyDescent="0.3">
      <c r="X406" s="1">
        <f t="shared" si="12"/>
        <v>0</v>
      </c>
      <c r="Y406" s="1">
        <f t="shared" si="13"/>
        <v>0</v>
      </c>
    </row>
    <row r="407" spans="24:25" x14ac:dyDescent="0.3">
      <c r="X407" s="1">
        <f t="shared" si="12"/>
        <v>0</v>
      </c>
      <c r="Y407" s="1">
        <f t="shared" si="13"/>
        <v>0</v>
      </c>
    </row>
    <row r="408" spans="24:25" x14ac:dyDescent="0.3">
      <c r="X408" s="1">
        <f t="shared" si="12"/>
        <v>0</v>
      </c>
      <c r="Y408" s="1">
        <f t="shared" si="13"/>
        <v>0</v>
      </c>
    </row>
    <row r="409" spans="24:25" x14ac:dyDescent="0.3">
      <c r="X409" s="1">
        <f t="shared" si="12"/>
        <v>0</v>
      </c>
      <c r="Y409" s="1">
        <f t="shared" si="13"/>
        <v>0</v>
      </c>
    </row>
    <row r="410" spans="24:25" x14ac:dyDescent="0.3">
      <c r="X410" s="1">
        <f t="shared" si="12"/>
        <v>0</v>
      </c>
      <c r="Y410" s="1">
        <f t="shared" si="13"/>
        <v>0</v>
      </c>
    </row>
    <row r="411" spans="24:25" x14ac:dyDescent="0.3">
      <c r="X411" s="1">
        <f t="shared" si="12"/>
        <v>0</v>
      </c>
      <c r="Y411" s="1">
        <f t="shared" si="13"/>
        <v>0</v>
      </c>
    </row>
    <row r="412" spans="24:25" x14ac:dyDescent="0.3">
      <c r="X412" s="1">
        <f t="shared" si="12"/>
        <v>0</v>
      </c>
      <c r="Y412" s="1">
        <f t="shared" si="13"/>
        <v>0</v>
      </c>
    </row>
    <row r="413" spans="24:25" x14ac:dyDescent="0.3">
      <c r="X413" s="1">
        <f t="shared" si="12"/>
        <v>0</v>
      </c>
      <c r="Y413" s="1">
        <f t="shared" si="13"/>
        <v>0</v>
      </c>
    </row>
    <row r="414" spans="24:25" x14ac:dyDescent="0.3">
      <c r="X414" s="1">
        <f t="shared" si="12"/>
        <v>0</v>
      </c>
      <c r="Y414" s="1">
        <f t="shared" si="13"/>
        <v>0</v>
      </c>
    </row>
    <row r="415" spans="24:25" x14ac:dyDescent="0.3">
      <c r="X415" s="1">
        <f t="shared" si="12"/>
        <v>0</v>
      </c>
      <c r="Y415" s="1">
        <f t="shared" si="13"/>
        <v>0</v>
      </c>
    </row>
    <row r="416" spans="24:25" x14ac:dyDescent="0.3">
      <c r="X416" s="1">
        <f t="shared" si="12"/>
        <v>0</v>
      </c>
      <c r="Y416" s="1">
        <f t="shared" si="13"/>
        <v>0</v>
      </c>
    </row>
    <row r="417" spans="24:25" x14ac:dyDescent="0.3">
      <c r="X417" s="1">
        <f t="shared" si="12"/>
        <v>0</v>
      </c>
      <c r="Y417" s="1">
        <f t="shared" si="13"/>
        <v>0</v>
      </c>
    </row>
    <row r="418" spans="24:25" x14ac:dyDescent="0.3">
      <c r="X418" s="1">
        <f t="shared" si="12"/>
        <v>0</v>
      </c>
      <c r="Y418" s="1">
        <f t="shared" si="13"/>
        <v>0</v>
      </c>
    </row>
    <row r="419" spans="24:25" x14ac:dyDescent="0.3">
      <c r="X419" s="1">
        <f t="shared" si="12"/>
        <v>0</v>
      </c>
      <c r="Y419" s="1">
        <f t="shared" si="13"/>
        <v>0</v>
      </c>
    </row>
    <row r="420" spans="24:25" x14ac:dyDescent="0.3">
      <c r="X420" s="1">
        <f t="shared" si="12"/>
        <v>0</v>
      </c>
      <c r="Y420" s="1">
        <f t="shared" si="13"/>
        <v>0</v>
      </c>
    </row>
    <row r="421" spans="24:25" x14ac:dyDescent="0.3">
      <c r="X421" s="1">
        <f t="shared" si="12"/>
        <v>0</v>
      </c>
      <c r="Y421" s="1">
        <f t="shared" si="13"/>
        <v>0</v>
      </c>
    </row>
    <row r="422" spans="24:25" x14ac:dyDescent="0.3">
      <c r="X422" s="1">
        <f t="shared" si="12"/>
        <v>0</v>
      </c>
      <c r="Y422" s="1">
        <f t="shared" si="13"/>
        <v>0</v>
      </c>
    </row>
    <row r="423" spans="24:25" x14ac:dyDescent="0.3">
      <c r="X423" s="1">
        <f t="shared" si="12"/>
        <v>0</v>
      </c>
      <c r="Y423" s="1">
        <f t="shared" si="13"/>
        <v>0</v>
      </c>
    </row>
    <row r="424" spans="24:25" x14ac:dyDescent="0.3">
      <c r="X424" s="1">
        <f t="shared" si="12"/>
        <v>0</v>
      </c>
      <c r="Y424" s="1">
        <f t="shared" si="13"/>
        <v>0</v>
      </c>
    </row>
    <row r="425" spans="24:25" x14ac:dyDescent="0.3">
      <c r="X425" s="1">
        <f t="shared" si="12"/>
        <v>0</v>
      </c>
      <c r="Y425" s="1">
        <f t="shared" si="13"/>
        <v>0</v>
      </c>
    </row>
    <row r="426" spans="24:25" x14ac:dyDescent="0.3">
      <c r="X426" s="1">
        <f t="shared" si="12"/>
        <v>0</v>
      </c>
      <c r="Y426" s="1">
        <f t="shared" si="13"/>
        <v>0</v>
      </c>
    </row>
    <row r="427" spans="24:25" x14ac:dyDescent="0.3">
      <c r="X427" s="1">
        <f t="shared" si="12"/>
        <v>0</v>
      </c>
      <c r="Y427" s="1">
        <f t="shared" si="13"/>
        <v>0</v>
      </c>
    </row>
    <row r="428" spans="24:25" x14ac:dyDescent="0.3">
      <c r="X428" s="1">
        <f t="shared" si="12"/>
        <v>0</v>
      </c>
      <c r="Y428" s="1">
        <f t="shared" si="13"/>
        <v>0</v>
      </c>
    </row>
    <row r="429" spans="24:25" x14ac:dyDescent="0.3">
      <c r="X429" s="1">
        <f t="shared" si="12"/>
        <v>0</v>
      </c>
      <c r="Y429" s="1">
        <f t="shared" si="13"/>
        <v>0</v>
      </c>
    </row>
    <row r="430" spans="24:25" x14ac:dyDescent="0.3">
      <c r="X430" s="1">
        <f t="shared" si="12"/>
        <v>0</v>
      </c>
      <c r="Y430" s="1">
        <f t="shared" si="13"/>
        <v>0</v>
      </c>
    </row>
    <row r="431" spans="24:25" x14ac:dyDescent="0.3">
      <c r="X431" s="1">
        <f t="shared" si="12"/>
        <v>0</v>
      </c>
      <c r="Y431" s="1">
        <f t="shared" si="13"/>
        <v>0</v>
      </c>
    </row>
    <row r="432" spans="24:25" x14ac:dyDescent="0.3">
      <c r="X432" s="1">
        <f t="shared" si="12"/>
        <v>0</v>
      </c>
      <c r="Y432" s="1">
        <f t="shared" si="13"/>
        <v>0</v>
      </c>
    </row>
    <row r="433" spans="24:25" x14ac:dyDescent="0.3">
      <c r="X433" s="1">
        <f t="shared" si="12"/>
        <v>0</v>
      </c>
      <c r="Y433" s="1">
        <f t="shared" si="13"/>
        <v>0</v>
      </c>
    </row>
    <row r="434" spans="24:25" x14ac:dyDescent="0.3">
      <c r="X434" s="1">
        <f t="shared" si="12"/>
        <v>0</v>
      </c>
      <c r="Y434" s="1">
        <f t="shared" si="13"/>
        <v>0</v>
      </c>
    </row>
    <row r="435" spans="24:25" x14ac:dyDescent="0.3">
      <c r="X435" s="1">
        <f t="shared" si="12"/>
        <v>0</v>
      </c>
      <c r="Y435" s="1">
        <f t="shared" si="13"/>
        <v>0</v>
      </c>
    </row>
    <row r="436" spans="24:25" x14ac:dyDescent="0.3">
      <c r="X436" s="1">
        <f t="shared" si="12"/>
        <v>0</v>
      </c>
      <c r="Y436" s="1">
        <f t="shared" si="13"/>
        <v>0</v>
      </c>
    </row>
    <row r="437" spans="24:25" x14ac:dyDescent="0.3">
      <c r="X437" s="1">
        <f t="shared" si="12"/>
        <v>0</v>
      </c>
      <c r="Y437" s="1">
        <f t="shared" si="13"/>
        <v>0</v>
      </c>
    </row>
    <row r="438" spans="24:25" x14ac:dyDescent="0.3">
      <c r="X438" s="1">
        <f t="shared" si="12"/>
        <v>0</v>
      </c>
      <c r="Y438" s="1">
        <f t="shared" si="13"/>
        <v>0</v>
      </c>
    </row>
    <row r="439" spans="24:25" x14ac:dyDescent="0.3">
      <c r="X439" s="1">
        <f t="shared" si="12"/>
        <v>0</v>
      </c>
      <c r="Y439" s="1">
        <f t="shared" si="13"/>
        <v>0</v>
      </c>
    </row>
    <row r="440" spans="24:25" x14ac:dyDescent="0.3">
      <c r="X440" s="1">
        <f t="shared" si="12"/>
        <v>0</v>
      </c>
      <c r="Y440" s="1">
        <f t="shared" si="13"/>
        <v>0</v>
      </c>
    </row>
    <row r="441" spans="24:25" x14ac:dyDescent="0.3">
      <c r="X441" s="1">
        <f t="shared" si="12"/>
        <v>0</v>
      </c>
      <c r="Y441" s="1">
        <f t="shared" si="13"/>
        <v>0</v>
      </c>
    </row>
    <row r="442" spans="24:25" x14ac:dyDescent="0.3">
      <c r="X442" s="1">
        <f t="shared" si="12"/>
        <v>0</v>
      </c>
      <c r="Y442" s="1">
        <f t="shared" si="13"/>
        <v>0</v>
      </c>
    </row>
    <row r="443" spans="24:25" x14ac:dyDescent="0.3">
      <c r="X443" s="1">
        <f t="shared" si="12"/>
        <v>0</v>
      </c>
      <c r="Y443" s="1">
        <f t="shared" si="13"/>
        <v>0</v>
      </c>
    </row>
    <row r="444" spans="24:25" x14ac:dyDescent="0.3">
      <c r="X444" s="1">
        <f t="shared" si="12"/>
        <v>0</v>
      </c>
      <c r="Y444" s="1">
        <f t="shared" si="13"/>
        <v>0</v>
      </c>
    </row>
    <row r="445" spans="24:25" x14ac:dyDescent="0.3">
      <c r="X445" s="1">
        <f t="shared" si="12"/>
        <v>0</v>
      </c>
      <c r="Y445" s="1">
        <f t="shared" si="13"/>
        <v>0</v>
      </c>
    </row>
    <row r="446" spans="24:25" x14ac:dyDescent="0.3">
      <c r="X446" s="1">
        <f t="shared" si="12"/>
        <v>0</v>
      </c>
      <c r="Y446" s="1">
        <f t="shared" si="13"/>
        <v>0</v>
      </c>
    </row>
    <row r="447" spans="24:25" x14ac:dyDescent="0.3">
      <c r="X447" s="1">
        <f t="shared" si="12"/>
        <v>0</v>
      </c>
      <c r="Y447" s="1">
        <f t="shared" si="13"/>
        <v>0</v>
      </c>
    </row>
    <row r="448" spans="24:25" x14ac:dyDescent="0.3">
      <c r="X448" s="1">
        <f t="shared" si="12"/>
        <v>0</v>
      </c>
      <c r="Y448" s="1">
        <f t="shared" si="13"/>
        <v>0</v>
      </c>
    </row>
    <row r="449" spans="24:25" x14ac:dyDescent="0.3">
      <c r="X449" s="1">
        <f t="shared" si="12"/>
        <v>0</v>
      </c>
      <c r="Y449" s="1">
        <f t="shared" si="13"/>
        <v>0</v>
      </c>
    </row>
    <row r="450" spans="24:25" x14ac:dyDescent="0.3">
      <c r="X450" s="1">
        <f t="shared" si="12"/>
        <v>0</v>
      </c>
      <c r="Y450" s="1">
        <f t="shared" si="13"/>
        <v>0</v>
      </c>
    </row>
    <row r="451" spans="24:25" x14ac:dyDescent="0.3">
      <c r="X451" s="1">
        <f t="shared" ref="X451:X514" si="14">IFERROR(MATCH(W451,$B:$B,0),0)</f>
        <v>0</v>
      </c>
      <c r="Y451" s="1">
        <f t="shared" ref="Y451:Y514" si="15">IF(X452=0,COUNTA(A:A),X452-1)</f>
        <v>0</v>
      </c>
    </row>
    <row r="452" spans="24:25" x14ac:dyDescent="0.3">
      <c r="X452" s="1">
        <f t="shared" si="14"/>
        <v>0</v>
      </c>
      <c r="Y452" s="1">
        <f t="shared" si="15"/>
        <v>0</v>
      </c>
    </row>
    <row r="453" spans="24:25" x14ac:dyDescent="0.3">
      <c r="X453" s="1">
        <f t="shared" si="14"/>
        <v>0</v>
      </c>
      <c r="Y453" s="1">
        <f t="shared" si="15"/>
        <v>0</v>
      </c>
    </row>
    <row r="454" spans="24:25" x14ac:dyDescent="0.3">
      <c r="X454" s="1">
        <f t="shared" si="14"/>
        <v>0</v>
      </c>
      <c r="Y454" s="1">
        <f t="shared" si="15"/>
        <v>0</v>
      </c>
    </row>
    <row r="455" spans="24:25" x14ac:dyDescent="0.3">
      <c r="X455" s="1">
        <f t="shared" si="14"/>
        <v>0</v>
      </c>
      <c r="Y455" s="1">
        <f t="shared" si="15"/>
        <v>0</v>
      </c>
    </row>
    <row r="456" spans="24:25" x14ac:dyDescent="0.3">
      <c r="X456" s="1">
        <f t="shared" si="14"/>
        <v>0</v>
      </c>
      <c r="Y456" s="1">
        <f t="shared" si="15"/>
        <v>0</v>
      </c>
    </row>
    <row r="457" spans="24:25" x14ac:dyDescent="0.3">
      <c r="X457" s="1">
        <f t="shared" si="14"/>
        <v>0</v>
      </c>
      <c r="Y457" s="1">
        <f t="shared" si="15"/>
        <v>0</v>
      </c>
    </row>
    <row r="458" spans="24:25" x14ac:dyDescent="0.3">
      <c r="X458" s="1">
        <f t="shared" si="14"/>
        <v>0</v>
      </c>
      <c r="Y458" s="1">
        <f t="shared" si="15"/>
        <v>0</v>
      </c>
    </row>
    <row r="459" spans="24:25" x14ac:dyDescent="0.3">
      <c r="X459" s="1">
        <f t="shared" si="14"/>
        <v>0</v>
      </c>
      <c r="Y459" s="1">
        <f t="shared" si="15"/>
        <v>0</v>
      </c>
    </row>
    <row r="460" spans="24:25" x14ac:dyDescent="0.3">
      <c r="X460" s="1">
        <f t="shared" si="14"/>
        <v>0</v>
      </c>
      <c r="Y460" s="1">
        <f t="shared" si="15"/>
        <v>0</v>
      </c>
    </row>
    <row r="461" spans="24:25" x14ac:dyDescent="0.3">
      <c r="X461" s="1">
        <f t="shared" si="14"/>
        <v>0</v>
      </c>
      <c r="Y461" s="1">
        <f t="shared" si="15"/>
        <v>0</v>
      </c>
    </row>
    <row r="462" spans="24:25" x14ac:dyDescent="0.3">
      <c r="X462" s="1">
        <f t="shared" si="14"/>
        <v>0</v>
      </c>
      <c r="Y462" s="1">
        <f t="shared" si="15"/>
        <v>0</v>
      </c>
    </row>
    <row r="463" spans="24:25" x14ac:dyDescent="0.3">
      <c r="X463" s="1">
        <f t="shared" si="14"/>
        <v>0</v>
      </c>
      <c r="Y463" s="1">
        <f t="shared" si="15"/>
        <v>0</v>
      </c>
    </row>
    <row r="464" spans="24:25" x14ac:dyDescent="0.3">
      <c r="X464" s="1">
        <f t="shared" si="14"/>
        <v>0</v>
      </c>
      <c r="Y464" s="1">
        <f t="shared" si="15"/>
        <v>0</v>
      </c>
    </row>
    <row r="465" spans="24:25" x14ac:dyDescent="0.3">
      <c r="X465" s="1">
        <f t="shared" si="14"/>
        <v>0</v>
      </c>
      <c r="Y465" s="1">
        <f t="shared" si="15"/>
        <v>0</v>
      </c>
    </row>
    <row r="466" spans="24:25" x14ac:dyDescent="0.3">
      <c r="X466" s="1">
        <f t="shared" si="14"/>
        <v>0</v>
      </c>
      <c r="Y466" s="1">
        <f t="shared" si="15"/>
        <v>0</v>
      </c>
    </row>
    <row r="467" spans="24:25" x14ac:dyDescent="0.3">
      <c r="X467" s="1">
        <f t="shared" si="14"/>
        <v>0</v>
      </c>
      <c r="Y467" s="1">
        <f t="shared" si="15"/>
        <v>0</v>
      </c>
    </row>
    <row r="468" spans="24:25" x14ac:dyDescent="0.3">
      <c r="X468" s="1">
        <f t="shared" si="14"/>
        <v>0</v>
      </c>
      <c r="Y468" s="1">
        <f t="shared" si="15"/>
        <v>0</v>
      </c>
    </row>
    <row r="469" spans="24:25" x14ac:dyDescent="0.3">
      <c r="X469" s="1">
        <f t="shared" si="14"/>
        <v>0</v>
      </c>
      <c r="Y469" s="1">
        <f t="shared" si="15"/>
        <v>0</v>
      </c>
    </row>
    <row r="470" spans="24:25" x14ac:dyDescent="0.3">
      <c r="X470" s="1">
        <f t="shared" si="14"/>
        <v>0</v>
      </c>
      <c r="Y470" s="1">
        <f t="shared" si="15"/>
        <v>0</v>
      </c>
    </row>
    <row r="471" spans="24:25" x14ac:dyDescent="0.3">
      <c r="X471" s="1">
        <f t="shared" si="14"/>
        <v>0</v>
      </c>
      <c r="Y471" s="1">
        <f t="shared" si="15"/>
        <v>0</v>
      </c>
    </row>
    <row r="472" spans="24:25" x14ac:dyDescent="0.3">
      <c r="X472" s="1">
        <f t="shared" si="14"/>
        <v>0</v>
      </c>
      <c r="Y472" s="1">
        <f t="shared" si="15"/>
        <v>0</v>
      </c>
    </row>
    <row r="473" spans="24:25" x14ac:dyDescent="0.3">
      <c r="X473" s="1">
        <f t="shared" si="14"/>
        <v>0</v>
      </c>
      <c r="Y473" s="1">
        <f t="shared" si="15"/>
        <v>0</v>
      </c>
    </row>
    <row r="474" spans="24:25" x14ac:dyDescent="0.3">
      <c r="X474" s="1">
        <f t="shared" si="14"/>
        <v>0</v>
      </c>
      <c r="Y474" s="1">
        <f t="shared" si="15"/>
        <v>0</v>
      </c>
    </row>
    <row r="475" spans="24:25" x14ac:dyDescent="0.3">
      <c r="X475" s="1">
        <f t="shared" si="14"/>
        <v>0</v>
      </c>
      <c r="Y475" s="1">
        <f t="shared" si="15"/>
        <v>0</v>
      </c>
    </row>
    <row r="476" spans="24:25" x14ac:dyDescent="0.3">
      <c r="X476" s="1">
        <f t="shared" si="14"/>
        <v>0</v>
      </c>
      <c r="Y476" s="1">
        <f t="shared" si="15"/>
        <v>0</v>
      </c>
    </row>
    <row r="477" spans="24:25" x14ac:dyDescent="0.3">
      <c r="X477" s="1">
        <f t="shared" si="14"/>
        <v>0</v>
      </c>
      <c r="Y477" s="1">
        <f t="shared" si="15"/>
        <v>0</v>
      </c>
    </row>
    <row r="478" spans="24:25" x14ac:dyDescent="0.3">
      <c r="X478" s="1">
        <f t="shared" si="14"/>
        <v>0</v>
      </c>
      <c r="Y478" s="1">
        <f t="shared" si="15"/>
        <v>0</v>
      </c>
    </row>
    <row r="479" spans="24:25" x14ac:dyDescent="0.3">
      <c r="X479" s="1">
        <f t="shared" si="14"/>
        <v>0</v>
      </c>
      <c r="Y479" s="1">
        <f t="shared" si="15"/>
        <v>0</v>
      </c>
    </row>
    <row r="480" spans="24:25" x14ac:dyDescent="0.3">
      <c r="X480" s="1">
        <f t="shared" si="14"/>
        <v>0</v>
      </c>
      <c r="Y480" s="1">
        <f t="shared" si="15"/>
        <v>0</v>
      </c>
    </row>
    <row r="481" spans="24:25" x14ac:dyDescent="0.3">
      <c r="X481" s="1">
        <f t="shared" si="14"/>
        <v>0</v>
      </c>
      <c r="Y481" s="1">
        <f t="shared" si="15"/>
        <v>0</v>
      </c>
    </row>
    <row r="482" spans="24:25" x14ac:dyDescent="0.3">
      <c r="X482" s="1">
        <f t="shared" si="14"/>
        <v>0</v>
      </c>
      <c r="Y482" s="1">
        <f t="shared" si="15"/>
        <v>0</v>
      </c>
    </row>
    <row r="483" spans="24:25" x14ac:dyDescent="0.3">
      <c r="X483" s="1">
        <f t="shared" si="14"/>
        <v>0</v>
      </c>
      <c r="Y483" s="1">
        <f t="shared" si="15"/>
        <v>0</v>
      </c>
    </row>
    <row r="484" spans="24:25" x14ac:dyDescent="0.3">
      <c r="X484" s="1">
        <f t="shared" si="14"/>
        <v>0</v>
      </c>
      <c r="Y484" s="1">
        <f t="shared" si="15"/>
        <v>0</v>
      </c>
    </row>
    <row r="485" spans="24:25" x14ac:dyDescent="0.3">
      <c r="X485" s="1">
        <f t="shared" si="14"/>
        <v>0</v>
      </c>
      <c r="Y485" s="1">
        <f t="shared" si="15"/>
        <v>0</v>
      </c>
    </row>
    <row r="486" spans="24:25" x14ac:dyDescent="0.3">
      <c r="X486" s="1">
        <f t="shared" si="14"/>
        <v>0</v>
      </c>
      <c r="Y486" s="1">
        <f t="shared" si="15"/>
        <v>0</v>
      </c>
    </row>
    <row r="487" spans="24:25" x14ac:dyDescent="0.3">
      <c r="X487" s="1">
        <f t="shared" si="14"/>
        <v>0</v>
      </c>
      <c r="Y487" s="1">
        <f t="shared" si="15"/>
        <v>0</v>
      </c>
    </row>
    <row r="488" spans="24:25" x14ac:dyDescent="0.3">
      <c r="X488" s="1">
        <f t="shared" si="14"/>
        <v>0</v>
      </c>
      <c r="Y488" s="1">
        <f t="shared" si="15"/>
        <v>0</v>
      </c>
    </row>
    <row r="489" spans="24:25" x14ac:dyDescent="0.3">
      <c r="X489" s="1">
        <f t="shared" si="14"/>
        <v>0</v>
      </c>
      <c r="Y489" s="1">
        <f t="shared" si="15"/>
        <v>0</v>
      </c>
    </row>
    <row r="490" spans="24:25" x14ac:dyDescent="0.3">
      <c r="X490" s="1">
        <f t="shared" si="14"/>
        <v>0</v>
      </c>
      <c r="Y490" s="1">
        <f t="shared" si="15"/>
        <v>0</v>
      </c>
    </row>
    <row r="491" spans="24:25" x14ac:dyDescent="0.3">
      <c r="X491" s="1">
        <f t="shared" si="14"/>
        <v>0</v>
      </c>
      <c r="Y491" s="1">
        <f t="shared" si="15"/>
        <v>0</v>
      </c>
    </row>
    <row r="492" spans="24:25" x14ac:dyDescent="0.3">
      <c r="X492" s="1">
        <f t="shared" si="14"/>
        <v>0</v>
      </c>
      <c r="Y492" s="1">
        <f t="shared" si="15"/>
        <v>0</v>
      </c>
    </row>
    <row r="493" spans="24:25" x14ac:dyDescent="0.3">
      <c r="X493" s="1">
        <f t="shared" si="14"/>
        <v>0</v>
      </c>
      <c r="Y493" s="1">
        <f t="shared" si="15"/>
        <v>0</v>
      </c>
    </row>
    <row r="494" spans="24:25" x14ac:dyDescent="0.3">
      <c r="X494" s="1">
        <f t="shared" si="14"/>
        <v>0</v>
      </c>
      <c r="Y494" s="1">
        <f t="shared" si="15"/>
        <v>0</v>
      </c>
    </row>
    <row r="495" spans="24:25" x14ac:dyDescent="0.3">
      <c r="X495" s="1">
        <f t="shared" si="14"/>
        <v>0</v>
      </c>
      <c r="Y495" s="1">
        <f t="shared" si="15"/>
        <v>0</v>
      </c>
    </row>
    <row r="496" spans="24:25" x14ac:dyDescent="0.3">
      <c r="X496" s="1">
        <f t="shared" si="14"/>
        <v>0</v>
      </c>
      <c r="Y496" s="1">
        <f t="shared" si="15"/>
        <v>0</v>
      </c>
    </row>
    <row r="497" spans="24:25" x14ac:dyDescent="0.3">
      <c r="X497" s="1">
        <f t="shared" si="14"/>
        <v>0</v>
      </c>
      <c r="Y497" s="1">
        <f t="shared" si="15"/>
        <v>0</v>
      </c>
    </row>
    <row r="498" spans="24:25" x14ac:dyDescent="0.3">
      <c r="X498" s="1">
        <f t="shared" si="14"/>
        <v>0</v>
      </c>
      <c r="Y498" s="1">
        <f t="shared" si="15"/>
        <v>0</v>
      </c>
    </row>
    <row r="499" spans="24:25" x14ac:dyDescent="0.3">
      <c r="X499" s="1">
        <f t="shared" si="14"/>
        <v>0</v>
      </c>
      <c r="Y499" s="1">
        <f t="shared" si="15"/>
        <v>0</v>
      </c>
    </row>
    <row r="500" spans="24:25" x14ac:dyDescent="0.3">
      <c r="X500" s="1">
        <f t="shared" si="14"/>
        <v>0</v>
      </c>
      <c r="Y500" s="1">
        <f t="shared" si="15"/>
        <v>0</v>
      </c>
    </row>
    <row r="501" spans="24:25" x14ac:dyDescent="0.3">
      <c r="X501" s="1">
        <f t="shared" si="14"/>
        <v>0</v>
      </c>
      <c r="Y501" s="1">
        <f t="shared" si="15"/>
        <v>0</v>
      </c>
    </row>
    <row r="502" spans="24:25" x14ac:dyDescent="0.3">
      <c r="X502" s="1">
        <f t="shared" si="14"/>
        <v>0</v>
      </c>
      <c r="Y502" s="1">
        <f t="shared" si="15"/>
        <v>0</v>
      </c>
    </row>
    <row r="503" spans="24:25" x14ac:dyDescent="0.3">
      <c r="X503" s="1">
        <f t="shared" si="14"/>
        <v>0</v>
      </c>
      <c r="Y503" s="1">
        <f t="shared" si="15"/>
        <v>0</v>
      </c>
    </row>
    <row r="504" spans="24:25" x14ac:dyDescent="0.3">
      <c r="X504" s="1">
        <f t="shared" si="14"/>
        <v>0</v>
      </c>
      <c r="Y504" s="1">
        <f t="shared" si="15"/>
        <v>0</v>
      </c>
    </row>
    <row r="505" spans="24:25" x14ac:dyDescent="0.3">
      <c r="X505" s="1">
        <f t="shared" si="14"/>
        <v>0</v>
      </c>
      <c r="Y505" s="1">
        <f t="shared" si="15"/>
        <v>0</v>
      </c>
    </row>
    <row r="506" spans="24:25" x14ac:dyDescent="0.3">
      <c r="X506" s="1">
        <f t="shared" si="14"/>
        <v>0</v>
      </c>
      <c r="Y506" s="1">
        <f t="shared" si="15"/>
        <v>0</v>
      </c>
    </row>
    <row r="507" spans="24:25" x14ac:dyDescent="0.3">
      <c r="X507" s="1">
        <f t="shared" si="14"/>
        <v>0</v>
      </c>
      <c r="Y507" s="1">
        <f t="shared" si="15"/>
        <v>0</v>
      </c>
    </row>
    <row r="508" spans="24:25" x14ac:dyDescent="0.3">
      <c r="X508" s="1">
        <f t="shared" si="14"/>
        <v>0</v>
      </c>
      <c r="Y508" s="1">
        <f t="shared" si="15"/>
        <v>0</v>
      </c>
    </row>
    <row r="509" spans="24:25" x14ac:dyDescent="0.3">
      <c r="X509" s="1">
        <f t="shared" si="14"/>
        <v>0</v>
      </c>
      <c r="Y509" s="1">
        <f t="shared" si="15"/>
        <v>0</v>
      </c>
    </row>
    <row r="510" spans="24:25" x14ac:dyDescent="0.3">
      <c r="X510" s="1">
        <f t="shared" si="14"/>
        <v>0</v>
      </c>
      <c r="Y510" s="1">
        <f t="shared" si="15"/>
        <v>0</v>
      </c>
    </row>
    <row r="511" spans="24:25" x14ac:dyDescent="0.3">
      <c r="X511" s="1">
        <f t="shared" si="14"/>
        <v>0</v>
      </c>
      <c r="Y511" s="1">
        <f t="shared" si="15"/>
        <v>0</v>
      </c>
    </row>
    <row r="512" spans="24:25" x14ac:dyDescent="0.3">
      <c r="X512" s="1">
        <f t="shared" si="14"/>
        <v>0</v>
      </c>
      <c r="Y512" s="1">
        <f t="shared" si="15"/>
        <v>0</v>
      </c>
    </row>
    <row r="513" spans="24:25" x14ac:dyDescent="0.3">
      <c r="X513" s="1">
        <f t="shared" si="14"/>
        <v>0</v>
      </c>
      <c r="Y513" s="1">
        <f t="shared" si="15"/>
        <v>0</v>
      </c>
    </row>
    <row r="514" spans="24:25" x14ac:dyDescent="0.3">
      <c r="X514" s="1">
        <f t="shared" si="14"/>
        <v>0</v>
      </c>
      <c r="Y514" s="1">
        <f t="shared" si="15"/>
        <v>0</v>
      </c>
    </row>
    <row r="515" spans="24:25" x14ac:dyDescent="0.3">
      <c r="X515" s="1">
        <f t="shared" ref="X515:X578" si="16">IFERROR(MATCH(W515,$B:$B,0),0)</f>
        <v>0</v>
      </c>
      <c r="Y515" s="1">
        <f t="shared" ref="Y515:Y578" si="17">IF(X516=0,COUNTA(A:A),X516-1)</f>
        <v>0</v>
      </c>
    </row>
    <row r="516" spans="24:25" x14ac:dyDescent="0.3">
      <c r="X516" s="1">
        <f t="shared" si="16"/>
        <v>0</v>
      </c>
      <c r="Y516" s="1">
        <f t="shared" si="17"/>
        <v>0</v>
      </c>
    </row>
    <row r="517" spans="24:25" x14ac:dyDescent="0.3">
      <c r="X517" s="1">
        <f t="shared" si="16"/>
        <v>0</v>
      </c>
      <c r="Y517" s="1">
        <f t="shared" si="17"/>
        <v>0</v>
      </c>
    </row>
    <row r="518" spans="24:25" x14ac:dyDescent="0.3">
      <c r="X518" s="1">
        <f t="shared" si="16"/>
        <v>0</v>
      </c>
      <c r="Y518" s="1">
        <f t="shared" si="17"/>
        <v>0</v>
      </c>
    </row>
    <row r="519" spans="24:25" x14ac:dyDescent="0.3">
      <c r="X519" s="1">
        <f t="shared" si="16"/>
        <v>0</v>
      </c>
      <c r="Y519" s="1">
        <f t="shared" si="17"/>
        <v>0</v>
      </c>
    </row>
    <row r="520" spans="24:25" x14ac:dyDescent="0.3">
      <c r="X520" s="1">
        <f t="shared" si="16"/>
        <v>0</v>
      </c>
      <c r="Y520" s="1">
        <f t="shared" si="17"/>
        <v>0</v>
      </c>
    </row>
    <row r="521" spans="24:25" x14ac:dyDescent="0.3">
      <c r="X521" s="1">
        <f t="shared" si="16"/>
        <v>0</v>
      </c>
      <c r="Y521" s="1">
        <f t="shared" si="17"/>
        <v>0</v>
      </c>
    </row>
    <row r="522" spans="24:25" x14ac:dyDescent="0.3">
      <c r="X522" s="1">
        <f t="shared" si="16"/>
        <v>0</v>
      </c>
      <c r="Y522" s="1">
        <f t="shared" si="17"/>
        <v>0</v>
      </c>
    </row>
    <row r="523" spans="24:25" x14ac:dyDescent="0.3">
      <c r="X523" s="1">
        <f t="shared" si="16"/>
        <v>0</v>
      </c>
      <c r="Y523" s="1">
        <f t="shared" si="17"/>
        <v>0</v>
      </c>
    </row>
    <row r="524" spans="24:25" x14ac:dyDescent="0.3">
      <c r="X524" s="1">
        <f t="shared" si="16"/>
        <v>0</v>
      </c>
      <c r="Y524" s="1">
        <f t="shared" si="17"/>
        <v>0</v>
      </c>
    </row>
    <row r="525" spans="24:25" x14ac:dyDescent="0.3">
      <c r="X525" s="1">
        <f t="shared" si="16"/>
        <v>0</v>
      </c>
      <c r="Y525" s="1">
        <f t="shared" si="17"/>
        <v>0</v>
      </c>
    </row>
    <row r="526" spans="24:25" x14ac:dyDescent="0.3">
      <c r="X526" s="1">
        <f t="shared" si="16"/>
        <v>0</v>
      </c>
      <c r="Y526" s="1">
        <f t="shared" si="17"/>
        <v>0</v>
      </c>
    </row>
    <row r="527" spans="24:25" x14ac:dyDescent="0.3">
      <c r="X527" s="1">
        <f t="shared" si="16"/>
        <v>0</v>
      </c>
      <c r="Y527" s="1">
        <f t="shared" si="17"/>
        <v>0</v>
      </c>
    </row>
    <row r="528" spans="24:25" x14ac:dyDescent="0.3">
      <c r="X528" s="1">
        <f t="shared" si="16"/>
        <v>0</v>
      </c>
      <c r="Y528" s="1">
        <f t="shared" si="17"/>
        <v>0</v>
      </c>
    </row>
    <row r="529" spans="24:25" x14ac:dyDescent="0.3">
      <c r="X529" s="1">
        <f t="shared" si="16"/>
        <v>0</v>
      </c>
      <c r="Y529" s="1">
        <f t="shared" si="17"/>
        <v>0</v>
      </c>
    </row>
    <row r="530" spans="24:25" x14ac:dyDescent="0.3">
      <c r="X530" s="1">
        <f t="shared" si="16"/>
        <v>0</v>
      </c>
      <c r="Y530" s="1">
        <f t="shared" si="17"/>
        <v>0</v>
      </c>
    </row>
    <row r="531" spans="24:25" x14ac:dyDescent="0.3">
      <c r="X531" s="1">
        <f t="shared" si="16"/>
        <v>0</v>
      </c>
      <c r="Y531" s="1">
        <f t="shared" si="17"/>
        <v>0</v>
      </c>
    </row>
    <row r="532" spans="24:25" x14ac:dyDescent="0.3">
      <c r="X532" s="1">
        <f t="shared" si="16"/>
        <v>0</v>
      </c>
      <c r="Y532" s="1">
        <f t="shared" si="17"/>
        <v>0</v>
      </c>
    </row>
    <row r="533" spans="24:25" x14ac:dyDescent="0.3">
      <c r="X533" s="1">
        <f t="shared" si="16"/>
        <v>0</v>
      </c>
      <c r="Y533" s="1">
        <f t="shared" si="17"/>
        <v>0</v>
      </c>
    </row>
    <row r="534" spans="24:25" x14ac:dyDescent="0.3">
      <c r="X534" s="1">
        <f t="shared" si="16"/>
        <v>0</v>
      </c>
      <c r="Y534" s="1">
        <f t="shared" si="17"/>
        <v>0</v>
      </c>
    </row>
    <row r="535" spans="24:25" x14ac:dyDescent="0.3">
      <c r="X535" s="1">
        <f t="shared" si="16"/>
        <v>0</v>
      </c>
      <c r="Y535" s="1">
        <f t="shared" si="17"/>
        <v>0</v>
      </c>
    </row>
    <row r="536" spans="24:25" x14ac:dyDescent="0.3">
      <c r="X536" s="1">
        <f t="shared" si="16"/>
        <v>0</v>
      </c>
      <c r="Y536" s="1">
        <f t="shared" si="17"/>
        <v>0</v>
      </c>
    </row>
    <row r="537" spans="24:25" x14ac:dyDescent="0.3">
      <c r="X537" s="1">
        <f t="shared" si="16"/>
        <v>0</v>
      </c>
      <c r="Y537" s="1">
        <f t="shared" si="17"/>
        <v>0</v>
      </c>
    </row>
    <row r="538" spans="24:25" x14ac:dyDescent="0.3">
      <c r="X538" s="1">
        <f t="shared" si="16"/>
        <v>0</v>
      </c>
      <c r="Y538" s="1">
        <f t="shared" si="17"/>
        <v>0</v>
      </c>
    </row>
    <row r="539" spans="24:25" x14ac:dyDescent="0.3">
      <c r="X539" s="1">
        <f t="shared" si="16"/>
        <v>0</v>
      </c>
      <c r="Y539" s="1">
        <f t="shared" si="17"/>
        <v>0</v>
      </c>
    </row>
    <row r="540" spans="24:25" x14ac:dyDescent="0.3">
      <c r="X540" s="1">
        <f t="shared" si="16"/>
        <v>0</v>
      </c>
      <c r="Y540" s="1">
        <f t="shared" si="17"/>
        <v>0</v>
      </c>
    </row>
    <row r="541" spans="24:25" x14ac:dyDescent="0.3">
      <c r="X541" s="1">
        <f t="shared" si="16"/>
        <v>0</v>
      </c>
      <c r="Y541" s="1">
        <f t="shared" si="17"/>
        <v>0</v>
      </c>
    </row>
    <row r="542" spans="24:25" x14ac:dyDescent="0.3">
      <c r="X542" s="1">
        <f t="shared" si="16"/>
        <v>0</v>
      </c>
      <c r="Y542" s="1">
        <f t="shared" si="17"/>
        <v>0</v>
      </c>
    </row>
    <row r="543" spans="24:25" x14ac:dyDescent="0.3">
      <c r="X543" s="1">
        <f t="shared" si="16"/>
        <v>0</v>
      </c>
      <c r="Y543" s="1">
        <f t="shared" si="17"/>
        <v>0</v>
      </c>
    </row>
    <row r="544" spans="24:25" x14ac:dyDescent="0.3">
      <c r="X544" s="1">
        <f t="shared" si="16"/>
        <v>0</v>
      </c>
      <c r="Y544" s="1">
        <f t="shared" si="17"/>
        <v>0</v>
      </c>
    </row>
    <row r="545" spans="24:25" x14ac:dyDescent="0.3">
      <c r="X545" s="1">
        <f t="shared" si="16"/>
        <v>0</v>
      </c>
      <c r="Y545" s="1">
        <f t="shared" si="17"/>
        <v>0</v>
      </c>
    </row>
    <row r="546" spans="24:25" x14ac:dyDescent="0.3">
      <c r="X546" s="1">
        <f t="shared" si="16"/>
        <v>0</v>
      </c>
      <c r="Y546" s="1">
        <f t="shared" si="17"/>
        <v>0</v>
      </c>
    </row>
    <row r="547" spans="24:25" x14ac:dyDescent="0.3">
      <c r="X547" s="1">
        <f t="shared" si="16"/>
        <v>0</v>
      </c>
      <c r="Y547" s="1">
        <f t="shared" si="17"/>
        <v>0</v>
      </c>
    </row>
    <row r="548" spans="24:25" x14ac:dyDescent="0.3">
      <c r="X548" s="1">
        <f t="shared" si="16"/>
        <v>0</v>
      </c>
      <c r="Y548" s="1">
        <f t="shared" si="17"/>
        <v>0</v>
      </c>
    </row>
    <row r="549" spans="24:25" x14ac:dyDescent="0.3">
      <c r="X549" s="1">
        <f t="shared" si="16"/>
        <v>0</v>
      </c>
      <c r="Y549" s="1">
        <f t="shared" si="17"/>
        <v>0</v>
      </c>
    </row>
    <row r="550" spans="24:25" x14ac:dyDescent="0.3">
      <c r="X550" s="1">
        <f t="shared" si="16"/>
        <v>0</v>
      </c>
      <c r="Y550" s="1">
        <f t="shared" si="17"/>
        <v>0</v>
      </c>
    </row>
    <row r="551" spans="24:25" x14ac:dyDescent="0.3">
      <c r="X551" s="1">
        <f t="shared" si="16"/>
        <v>0</v>
      </c>
      <c r="Y551" s="1">
        <f t="shared" si="17"/>
        <v>0</v>
      </c>
    </row>
    <row r="552" spans="24:25" x14ac:dyDescent="0.3">
      <c r="X552" s="1">
        <f t="shared" si="16"/>
        <v>0</v>
      </c>
      <c r="Y552" s="1">
        <f t="shared" si="17"/>
        <v>0</v>
      </c>
    </row>
    <row r="553" spans="24:25" x14ac:dyDescent="0.3">
      <c r="X553" s="1">
        <f t="shared" si="16"/>
        <v>0</v>
      </c>
      <c r="Y553" s="1">
        <f t="shared" si="17"/>
        <v>0</v>
      </c>
    </row>
    <row r="554" spans="24:25" x14ac:dyDescent="0.3">
      <c r="X554" s="1">
        <f t="shared" si="16"/>
        <v>0</v>
      </c>
      <c r="Y554" s="1">
        <f t="shared" si="17"/>
        <v>0</v>
      </c>
    </row>
    <row r="555" spans="24:25" x14ac:dyDescent="0.3">
      <c r="X555" s="1">
        <f t="shared" si="16"/>
        <v>0</v>
      </c>
      <c r="Y555" s="1">
        <f t="shared" si="17"/>
        <v>0</v>
      </c>
    </row>
    <row r="556" spans="24:25" x14ac:dyDescent="0.3">
      <c r="X556" s="1">
        <f t="shared" si="16"/>
        <v>0</v>
      </c>
      <c r="Y556" s="1">
        <f t="shared" si="17"/>
        <v>0</v>
      </c>
    </row>
    <row r="557" spans="24:25" x14ac:dyDescent="0.3">
      <c r="X557" s="1">
        <f t="shared" si="16"/>
        <v>0</v>
      </c>
      <c r="Y557" s="1">
        <f t="shared" si="17"/>
        <v>0</v>
      </c>
    </row>
    <row r="558" spans="24:25" x14ac:dyDescent="0.3">
      <c r="X558" s="1">
        <f t="shared" si="16"/>
        <v>0</v>
      </c>
      <c r="Y558" s="1">
        <f t="shared" si="17"/>
        <v>0</v>
      </c>
    </row>
    <row r="559" spans="24:25" x14ac:dyDescent="0.3">
      <c r="X559" s="1">
        <f t="shared" si="16"/>
        <v>0</v>
      </c>
      <c r="Y559" s="1">
        <f t="shared" si="17"/>
        <v>0</v>
      </c>
    </row>
    <row r="560" spans="24:25" x14ac:dyDescent="0.3">
      <c r="X560" s="1">
        <f t="shared" si="16"/>
        <v>0</v>
      </c>
      <c r="Y560" s="1">
        <f t="shared" si="17"/>
        <v>0</v>
      </c>
    </row>
    <row r="561" spans="24:25" x14ac:dyDescent="0.3">
      <c r="X561" s="1">
        <f t="shared" si="16"/>
        <v>0</v>
      </c>
      <c r="Y561" s="1">
        <f t="shared" si="17"/>
        <v>0</v>
      </c>
    </row>
    <row r="562" spans="24:25" x14ac:dyDescent="0.3">
      <c r="X562" s="1">
        <f t="shared" si="16"/>
        <v>0</v>
      </c>
      <c r="Y562" s="1">
        <f t="shared" si="17"/>
        <v>0</v>
      </c>
    </row>
    <row r="563" spans="24:25" x14ac:dyDescent="0.3">
      <c r="X563" s="1">
        <f t="shared" si="16"/>
        <v>0</v>
      </c>
      <c r="Y563" s="1">
        <f t="shared" si="17"/>
        <v>0</v>
      </c>
    </row>
    <row r="564" spans="24:25" x14ac:dyDescent="0.3">
      <c r="X564" s="1">
        <f t="shared" si="16"/>
        <v>0</v>
      </c>
      <c r="Y564" s="1">
        <f t="shared" si="17"/>
        <v>0</v>
      </c>
    </row>
    <row r="565" spans="24:25" x14ac:dyDescent="0.3">
      <c r="X565" s="1">
        <f t="shared" si="16"/>
        <v>0</v>
      </c>
      <c r="Y565" s="1">
        <f t="shared" si="17"/>
        <v>0</v>
      </c>
    </row>
    <row r="566" spans="24:25" x14ac:dyDescent="0.3">
      <c r="X566" s="1">
        <f t="shared" si="16"/>
        <v>0</v>
      </c>
      <c r="Y566" s="1">
        <f t="shared" si="17"/>
        <v>0</v>
      </c>
    </row>
    <row r="567" spans="24:25" x14ac:dyDescent="0.3">
      <c r="X567" s="1">
        <f t="shared" si="16"/>
        <v>0</v>
      </c>
      <c r="Y567" s="1">
        <f t="shared" si="17"/>
        <v>0</v>
      </c>
    </row>
    <row r="568" spans="24:25" x14ac:dyDescent="0.3">
      <c r="X568" s="1">
        <f t="shared" si="16"/>
        <v>0</v>
      </c>
      <c r="Y568" s="1">
        <f t="shared" si="17"/>
        <v>0</v>
      </c>
    </row>
    <row r="569" spans="24:25" x14ac:dyDescent="0.3">
      <c r="X569" s="1">
        <f t="shared" si="16"/>
        <v>0</v>
      </c>
      <c r="Y569" s="1">
        <f t="shared" si="17"/>
        <v>0</v>
      </c>
    </row>
    <row r="570" spans="24:25" x14ac:dyDescent="0.3">
      <c r="X570" s="1">
        <f t="shared" si="16"/>
        <v>0</v>
      </c>
      <c r="Y570" s="1">
        <f t="shared" si="17"/>
        <v>0</v>
      </c>
    </row>
    <row r="571" spans="24:25" x14ac:dyDescent="0.3">
      <c r="X571" s="1">
        <f t="shared" si="16"/>
        <v>0</v>
      </c>
      <c r="Y571" s="1">
        <f t="shared" si="17"/>
        <v>0</v>
      </c>
    </row>
    <row r="572" spans="24:25" x14ac:dyDescent="0.3">
      <c r="X572" s="1">
        <f t="shared" si="16"/>
        <v>0</v>
      </c>
      <c r="Y572" s="1">
        <f t="shared" si="17"/>
        <v>0</v>
      </c>
    </row>
    <row r="573" spans="24:25" x14ac:dyDescent="0.3">
      <c r="X573" s="1">
        <f t="shared" si="16"/>
        <v>0</v>
      </c>
      <c r="Y573" s="1">
        <f t="shared" si="17"/>
        <v>0</v>
      </c>
    </row>
    <row r="574" spans="24:25" x14ac:dyDescent="0.3">
      <c r="X574" s="1">
        <f t="shared" si="16"/>
        <v>0</v>
      </c>
      <c r="Y574" s="1">
        <f t="shared" si="17"/>
        <v>0</v>
      </c>
    </row>
    <row r="575" spans="24:25" x14ac:dyDescent="0.3">
      <c r="X575" s="1">
        <f t="shared" si="16"/>
        <v>0</v>
      </c>
      <c r="Y575" s="1">
        <f t="shared" si="17"/>
        <v>0</v>
      </c>
    </row>
    <row r="576" spans="24:25" x14ac:dyDescent="0.3">
      <c r="X576" s="1">
        <f t="shared" si="16"/>
        <v>0</v>
      </c>
      <c r="Y576" s="1">
        <f t="shared" si="17"/>
        <v>0</v>
      </c>
    </row>
    <row r="577" spans="24:25" x14ac:dyDescent="0.3">
      <c r="X577" s="1">
        <f t="shared" si="16"/>
        <v>0</v>
      </c>
      <c r="Y577" s="1">
        <f t="shared" si="17"/>
        <v>0</v>
      </c>
    </row>
    <row r="578" spans="24:25" x14ac:dyDescent="0.3">
      <c r="X578" s="1">
        <f t="shared" si="16"/>
        <v>0</v>
      </c>
      <c r="Y578" s="1">
        <f t="shared" si="17"/>
        <v>0</v>
      </c>
    </row>
    <row r="579" spans="24:25" x14ac:dyDescent="0.3">
      <c r="X579" s="1">
        <f t="shared" ref="X579:X642" si="18">IFERROR(MATCH(W579,$B:$B,0),0)</f>
        <v>0</v>
      </c>
      <c r="Y579" s="1">
        <f t="shared" ref="Y579:Y642" si="19">IF(X580=0,COUNTA(A:A),X580-1)</f>
        <v>0</v>
      </c>
    </row>
    <row r="580" spans="24:25" x14ac:dyDescent="0.3">
      <c r="X580" s="1">
        <f t="shared" si="18"/>
        <v>0</v>
      </c>
      <c r="Y580" s="1">
        <f t="shared" si="19"/>
        <v>0</v>
      </c>
    </row>
    <row r="581" spans="24:25" x14ac:dyDescent="0.3">
      <c r="X581" s="1">
        <f t="shared" si="18"/>
        <v>0</v>
      </c>
      <c r="Y581" s="1">
        <f t="shared" si="19"/>
        <v>0</v>
      </c>
    </row>
    <row r="582" spans="24:25" x14ac:dyDescent="0.3">
      <c r="X582" s="1">
        <f t="shared" si="18"/>
        <v>0</v>
      </c>
      <c r="Y582" s="1">
        <f t="shared" si="19"/>
        <v>0</v>
      </c>
    </row>
    <row r="583" spans="24:25" x14ac:dyDescent="0.3">
      <c r="X583" s="1">
        <f t="shared" si="18"/>
        <v>0</v>
      </c>
      <c r="Y583" s="1">
        <f t="shared" si="19"/>
        <v>0</v>
      </c>
    </row>
    <row r="584" spans="24:25" x14ac:dyDescent="0.3">
      <c r="X584" s="1">
        <f t="shared" si="18"/>
        <v>0</v>
      </c>
      <c r="Y584" s="1">
        <f t="shared" si="19"/>
        <v>0</v>
      </c>
    </row>
    <row r="585" spans="24:25" x14ac:dyDescent="0.3">
      <c r="X585" s="1">
        <f t="shared" si="18"/>
        <v>0</v>
      </c>
      <c r="Y585" s="1">
        <f t="shared" si="19"/>
        <v>0</v>
      </c>
    </row>
    <row r="586" spans="24:25" x14ac:dyDescent="0.3">
      <c r="X586" s="1">
        <f t="shared" si="18"/>
        <v>0</v>
      </c>
      <c r="Y586" s="1">
        <f t="shared" si="19"/>
        <v>0</v>
      </c>
    </row>
    <row r="587" spans="24:25" x14ac:dyDescent="0.3">
      <c r="X587" s="1">
        <f t="shared" si="18"/>
        <v>0</v>
      </c>
      <c r="Y587" s="1">
        <f t="shared" si="19"/>
        <v>0</v>
      </c>
    </row>
    <row r="588" spans="24:25" x14ac:dyDescent="0.3">
      <c r="X588" s="1">
        <f t="shared" si="18"/>
        <v>0</v>
      </c>
      <c r="Y588" s="1">
        <f t="shared" si="19"/>
        <v>0</v>
      </c>
    </row>
    <row r="589" spans="24:25" x14ac:dyDescent="0.3">
      <c r="X589" s="1">
        <f t="shared" si="18"/>
        <v>0</v>
      </c>
      <c r="Y589" s="1">
        <f t="shared" si="19"/>
        <v>0</v>
      </c>
    </row>
    <row r="590" spans="24:25" x14ac:dyDescent="0.3">
      <c r="X590" s="1">
        <f t="shared" si="18"/>
        <v>0</v>
      </c>
      <c r="Y590" s="1">
        <f t="shared" si="19"/>
        <v>0</v>
      </c>
    </row>
    <row r="591" spans="24:25" x14ac:dyDescent="0.3">
      <c r="X591" s="1">
        <f t="shared" si="18"/>
        <v>0</v>
      </c>
      <c r="Y591" s="1">
        <f t="shared" si="19"/>
        <v>0</v>
      </c>
    </row>
    <row r="592" spans="24:25" x14ac:dyDescent="0.3">
      <c r="X592" s="1">
        <f t="shared" si="18"/>
        <v>0</v>
      </c>
      <c r="Y592" s="1">
        <f t="shared" si="19"/>
        <v>0</v>
      </c>
    </row>
    <row r="593" spans="24:25" x14ac:dyDescent="0.3">
      <c r="X593" s="1">
        <f t="shared" si="18"/>
        <v>0</v>
      </c>
      <c r="Y593" s="1">
        <f t="shared" si="19"/>
        <v>0</v>
      </c>
    </row>
    <row r="594" spans="24:25" x14ac:dyDescent="0.3">
      <c r="X594" s="1">
        <f t="shared" si="18"/>
        <v>0</v>
      </c>
      <c r="Y594" s="1">
        <f t="shared" si="19"/>
        <v>0</v>
      </c>
    </row>
    <row r="595" spans="24:25" x14ac:dyDescent="0.3">
      <c r="X595" s="1">
        <f t="shared" si="18"/>
        <v>0</v>
      </c>
      <c r="Y595" s="1">
        <f t="shared" si="19"/>
        <v>0</v>
      </c>
    </row>
    <row r="596" spans="24:25" x14ac:dyDescent="0.3">
      <c r="X596" s="1">
        <f t="shared" si="18"/>
        <v>0</v>
      </c>
      <c r="Y596" s="1">
        <f t="shared" si="19"/>
        <v>0</v>
      </c>
    </row>
    <row r="597" spans="24:25" x14ac:dyDescent="0.3">
      <c r="X597" s="1">
        <f t="shared" si="18"/>
        <v>0</v>
      </c>
      <c r="Y597" s="1">
        <f t="shared" si="19"/>
        <v>0</v>
      </c>
    </row>
    <row r="598" spans="24:25" x14ac:dyDescent="0.3">
      <c r="X598" s="1">
        <f t="shared" si="18"/>
        <v>0</v>
      </c>
      <c r="Y598" s="1">
        <f t="shared" si="19"/>
        <v>0</v>
      </c>
    </row>
    <row r="599" spans="24:25" x14ac:dyDescent="0.3">
      <c r="X599" s="1">
        <f t="shared" si="18"/>
        <v>0</v>
      </c>
      <c r="Y599" s="1">
        <f t="shared" si="19"/>
        <v>0</v>
      </c>
    </row>
    <row r="600" spans="24:25" x14ac:dyDescent="0.3">
      <c r="X600" s="1">
        <f t="shared" si="18"/>
        <v>0</v>
      </c>
      <c r="Y600" s="1">
        <f t="shared" si="19"/>
        <v>0</v>
      </c>
    </row>
    <row r="601" spans="24:25" x14ac:dyDescent="0.3">
      <c r="X601" s="1">
        <f t="shared" si="18"/>
        <v>0</v>
      </c>
      <c r="Y601" s="1">
        <f t="shared" si="19"/>
        <v>0</v>
      </c>
    </row>
    <row r="602" spans="24:25" x14ac:dyDescent="0.3">
      <c r="X602" s="1">
        <f t="shared" si="18"/>
        <v>0</v>
      </c>
      <c r="Y602" s="1">
        <f t="shared" si="19"/>
        <v>0</v>
      </c>
    </row>
    <row r="603" spans="24:25" x14ac:dyDescent="0.3">
      <c r="X603" s="1">
        <f t="shared" si="18"/>
        <v>0</v>
      </c>
      <c r="Y603" s="1">
        <f t="shared" si="19"/>
        <v>0</v>
      </c>
    </row>
    <row r="604" spans="24:25" x14ac:dyDescent="0.3">
      <c r="X604" s="1">
        <f t="shared" si="18"/>
        <v>0</v>
      </c>
      <c r="Y604" s="1">
        <f t="shared" si="19"/>
        <v>0</v>
      </c>
    </row>
    <row r="605" spans="24:25" x14ac:dyDescent="0.3">
      <c r="X605" s="1">
        <f t="shared" si="18"/>
        <v>0</v>
      </c>
      <c r="Y605" s="1">
        <f t="shared" si="19"/>
        <v>0</v>
      </c>
    </row>
    <row r="606" spans="24:25" x14ac:dyDescent="0.3">
      <c r="X606" s="1">
        <f t="shared" si="18"/>
        <v>0</v>
      </c>
      <c r="Y606" s="1">
        <f t="shared" si="19"/>
        <v>0</v>
      </c>
    </row>
    <row r="607" spans="24:25" x14ac:dyDescent="0.3">
      <c r="X607" s="1">
        <f t="shared" si="18"/>
        <v>0</v>
      </c>
      <c r="Y607" s="1">
        <f t="shared" si="19"/>
        <v>0</v>
      </c>
    </row>
    <row r="608" spans="24:25" x14ac:dyDescent="0.3">
      <c r="X608" s="1">
        <f t="shared" si="18"/>
        <v>0</v>
      </c>
      <c r="Y608" s="1">
        <f t="shared" si="19"/>
        <v>0</v>
      </c>
    </row>
    <row r="609" spans="24:25" x14ac:dyDescent="0.3">
      <c r="X609" s="1">
        <f t="shared" si="18"/>
        <v>0</v>
      </c>
      <c r="Y609" s="1">
        <f t="shared" si="19"/>
        <v>0</v>
      </c>
    </row>
    <row r="610" spans="24:25" x14ac:dyDescent="0.3">
      <c r="X610" s="1">
        <f t="shared" si="18"/>
        <v>0</v>
      </c>
      <c r="Y610" s="1">
        <f t="shared" si="19"/>
        <v>0</v>
      </c>
    </row>
    <row r="611" spans="24:25" x14ac:dyDescent="0.3">
      <c r="X611" s="1">
        <f t="shared" si="18"/>
        <v>0</v>
      </c>
      <c r="Y611" s="1">
        <f t="shared" si="19"/>
        <v>0</v>
      </c>
    </row>
    <row r="612" spans="24:25" x14ac:dyDescent="0.3">
      <c r="X612" s="1">
        <f t="shared" si="18"/>
        <v>0</v>
      </c>
      <c r="Y612" s="1">
        <f t="shared" si="19"/>
        <v>0</v>
      </c>
    </row>
    <row r="613" spans="24:25" x14ac:dyDescent="0.3">
      <c r="X613" s="1">
        <f t="shared" si="18"/>
        <v>0</v>
      </c>
      <c r="Y613" s="1">
        <f t="shared" si="19"/>
        <v>0</v>
      </c>
    </row>
    <row r="614" spans="24:25" x14ac:dyDescent="0.3">
      <c r="X614" s="1">
        <f t="shared" si="18"/>
        <v>0</v>
      </c>
      <c r="Y614" s="1">
        <f t="shared" si="19"/>
        <v>0</v>
      </c>
    </row>
    <row r="615" spans="24:25" x14ac:dyDescent="0.3">
      <c r="X615" s="1">
        <f t="shared" si="18"/>
        <v>0</v>
      </c>
      <c r="Y615" s="1">
        <f t="shared" si="19"/>
        <v>0</v>
      </c>
    </row>
    <row r="616" spans="24:25" x14ac:dyDescent="0.3">
      <c r="X616" s="1">
        <f t="shared" si="18"/>
        <v>0</v>
      </c>
      <c r="Y616" s="1">
        <f t="shared" si="19"/>
        <v>0</v>
      </c>
    </row>
    <row r="617" spans="24:25" x14ac:dyDescent="0.3">
      <c r="X617" s="1">
        <f t="shared" si="18"/>
        <v>0</v>
      </c>
      <c r="Y617" s="1">
        <f t="shared" si="19"/>
        <v>0</v>
      </c>
    </row>
    <row r="618" spans="24:25" x14ac:dyDescent="0.3">
      <c r="X618" s="1">
        <f t="shared" si="18"/>
        <v>0</v>
      </c>
      <c r="Y618" s="1">
        <f t="shared" si="19"/>
        <v>0</v>
      </c>
    </row>
    <row r="619" spans="24:25" x14ac:dyDescent="0.3">
      <c r="X619" s="1">
        <f t="shared" si="18"/>
        <v>0</v>
      </c>
      <c r="Y619" s="1">
        <f t="shared" si="19"/>
        <v>0</v>
      </c>
    </row>
    <row r="620" spans="24:25" x14ac:dyDescent="0.3">
      <c r="X620" s="1">
        <f t="shared" si="18"/>
        <v>0</v>
      </c>
      <c r="Y620" s="1">
        <f t="shared" si="19"/>
        <v>0</v>
      </c>
    </row>
    <row r="621" spans="24:25" x14ac:dyDescent="0.3">
      <c r="X621" s="1">
        <f t="shared" si="18"/>
        <v>0</v>
      </c>
      <c r="Y621" s="1">
        <f t="shared" si="19"/>
        <v>0</v>
      </c>
    </row>
    <row r="622" spans="24:25" x14ac:dyDescent="0.3">
      <c r="X622" s="1">
        <f t="shared" si="18"/>
        <v>0</v>
      </c>
      <c r="Y622" s="1">
        <f t="shared" si="19"/>
        <v>0</v>
      </c>
    </row>
    <row r="623" spans="24:25" x14ac:dyDescent="0.3">
      <c r="X623" s="1">
        <f t="shared" si="18"/>
        <v>0</v>
      </c>
      <c r="Y623" s="1">
        <f t="shared" si="19"/>
        <v>0</v>
      </c>
    </row>
    <row r="624" spans="24:25" x14ac:dyDescent="0.3">
      <c r="X624" s="1">
        <f t="shared" si="18"/>
        <v>0</v>
      </c>
      <c r="Y624" s="1">
        <f t="shared" si="19"/>
        <v>0</v>
      </c>
    </row>
    <row r="625" spans="24:25" x14ac:dyDescent="0.3">
      <c r="X625" s="1">
        <f t="shared" si="18"/>
        <v>0</v>
      </c>
      <c r="Y625" s="1">
        <f t="shared" si="19"/>
        <v>0</v>
      </c>
    </row>
    <row r="626" spans="24:25" x14ac:dyDescent="0.3">
      <c r="X626" s="1">
        <f t="shared" si="18"/>
        <v>0</v>
      </c>
      <c r="Y626" s="1">
        <f t="shared" si="19"/>
        <v>0</v>
      </c>
    </row>
    <row r="627" spans="24:25" x14ac:dyDescent="0.3">
      <c r="X627" s="1">
        <f t="shared" si="18"/>
        <v>0</v>
      </c>
      <c r="Y627" s="1">
        <f t="shared" si="19"/>
        <v>0</v>
      </c>
    </row>
    <row r="628" spans="24:25" x14ac:dyDescent="0.3">
      <c r="X628" s="1">
        <f t="shared" si="18"/>
        <v>0</v>
      </c>
      <c r="Y628" s="1">
        <f t="shared" si="19"/>
        <v>0</v>
      </c>
    </row>
    <row r="629" spans="24:25" x14ac:dyDescent="0.3">
      <c r="X629" s="1">
        <f t="shared" si="18"/>
        <v>0</v>
      </c>
      <c r="Y629" s="1">
        <f t="shared" si="19"/>
        <v>0</v>
      </c>
    </row>
    <row r="630" spans="24:25" x14ac:dyDescent="0.3">
      <c r="X630" s="1">
        <f t="shared" si="18"/>
        <v>0</v>
      </c>
      <c r="Y630" s="1">
        <f t="shared" si="19"/>
        <v>0</v>
      </c>
    </row>
    <row r="631" spans="24:25" x14ac:dyDescent="0.3">
      <c r="X631" s="1">
        <f t="shared" si="18"/>
        <v>0</v>
      </c>
      <c r="Y631" s="1">
        <f t="shared" si="19"/>
        <v>0</v>
      </c>
    </row>
    <row r="632" spans="24:25" x14ac:dyDescent="0.3">
      <c r="X632" s="1">
        <f t="shared" si="18"/>
        <v>0</v>
      </c>
      <c r="Y632" s="1">
        <f t="shared" si="19"/>
        <v>0</v>
      </c>
    </row>
    <row r="633" spans="24:25" x14ac:dyDescent="0.3">
      <c r="X633" s="1">
        <f t="shared" si="18"/>
        <v>0</v>
      </c>
      <c r="Y633" s="1">
        <f t="shared" si="19"/>
        <v>0</v>
      </c>
    </row>
    <row r="634" spans="24:25" x14ac:dyDescent="0.3">
      <c r="X634" s="1">
        <f t="shared" si="18"/>
        <v>0</v>
      </c>
      <c r="Y634" s="1">
        <f t="shared" si="19"/>
        <v>0</v>
      </c>
    </row>
    <row r="635" spans="24:25" x14ac:dyDescent="0.3">
      <c r="X635" s="1">
        <f t="shared" si="18"/>
        <v>0</v>
      </c>
      <c r="Y635" s="1">
        <f t="shared" si="19"/>
        <v>0</v>
      </c>
    </row>
    <row r="636" spans="24:25" x14ac:dyDescent="0.3">
      <c r="X636" s="1">
        <f t="shared" si="18"/>
        <v>0</v>
      </c>
      <c r="Y636" s="1">
        <f t="shared" si="19"/>
        <v>0</v>
      </c>
    </row>
    <row r="637" spans="24:25" x14ac:dyDescent="0.3">
      <c r="X637" s="1">
        <f t="shared" si="18"/>
        <v>0</v>
      </c>
      <c r="Y637" s="1">
        <f t="shared" si="19"/>
        <v>0</v>
      </c>
    </row>
    <row r="638" spans="24:25" x14ac:dyDescent="0.3">
      <c r="X638" s="1">
        <f t="shared" si="18"/>
        <v>0</v>
      </c>
      <c r="Y638" s="1">
        <f t="shared" si="19"/>
        <v>0</v>
      </c>
    </row>
    <row r="639" spans="24:25" x14ac:dyDescent="0.3">
      <c r="X639" s="1">
        <f t="shared" si="18"/>
        <v>0</v>
      </c>
      <c r="Y639" s="1">
        <f t="shared" si="19"/>
        <v>0</v>
      </c>
    </row>
    <row r="640" spans="24:25" x14ac:dyDescent="0.3">
      <c r="X640" s="1">
        <f t="shared" si="18"/>
        <v>0</v>
      </c>
      <c r="Y640" s="1">
        <f t="shared" si="19"/>
        <v>0</v>
      </c>
    </row>
    <row r="641" spans="24:25" x14ac:dyDescent="0.3">
      <c r="X641" s="1">
        <f t="shared" si="18"/>
        <v>0</v>
      </c>
      <c r="Y641" s="1">
        <f t="shared" si="19"/>
        <v>0</v>
      </c>
    </row>
    <row r="642" spans="24:25" x14ac:dyDescent="0.3">
      <c r="X642" s="1">
        <f t="shared" si="18"/>
        <v>0</v>
      </c>
      <c r="Y642" s="1">
        <f t="shared" si="19"/>
        <v>0</v>
      </c>
    </row>
    <row r="643" spans="24:25" x14ac:dyDescent="0.3">
      <c r="X643" s="1">
        <f t="shared" ref="X643:X706" si="20">IFERROR(MATCH(W643,$B:$B,0),0)</f>
        <v>0</v>
      </c>
      <c r="Y643" s="1">
        <f t="shared" ref="Y643:Y706" si="21">IF(X644=0,COUNTA(A:A),X644-1)</f>
        <v>0</v>
      </c>
    </row>
    <row r="644" spans="24:25" x14ac:dyDescent="0.3">
      <c r="X644" s="1">
        <f t="shared" si="20"/>
        <v>0</v>
      </c>
      <c r="Y644" s="1">
        <f t="shared" si="21"/>
        <v>0</v>
      </c>
    </row>
    <row r="645" spans="24:25" x14ac:dyDescent="0.3">
      <c r="X645" s="1">
        <f t="shared" si="20"/>
        <v>0</v>
      </c>
      <c r="Y645" s="1">
        <f t="shared" si="21"/>
        <v>0</v>
      </c>
    </row>
    <row r="646" spans="24:25" x14ac:dyDescent="0.3">
      <c r="X646" s="1">
        <f t="shared" si="20"/>
        <v>0</v>
      </c>
      <c r="Y646" s="1">
        <f t="shared" si="21"/>
        <v>0</v>
      </c>
    </row>
    <row r="647" spans="24:25" x14ac:dyDescent="0.3">
      <c r="X647" s="1">
        <f t="shared" si="20"/>
        <v>0</v>
      </c>
      <c r="Y647" s="1">
        <f t="shared" si="21"/>
        <v>0</v>
      </c>
    </row>
    <row r="648" spans="24:25" x14ac:dyDescent="0.3">
      <c r="X648" s="1">
        <f t="shared" si="20"/>
        <v>0</v>
      </c>
      <c r="Y648" s="1">
        <f t="shared" si="21"/>
        <v>0</v>
      </c>
    </row>
    <row r="649" spans="24:25" x14ac:dyDescent="0.3">
      <c r="X649" s="1">
        <f t="shared" si="20"/>
        <v>0</v>
      </c>
      <c r="Y649" s="1">
        <f t="shared" si="21"/>
        <v>0</v>
      </c>
    </row>
    <row r="650" spans="24:25" x14ac:dyDescent="0.3">
      <c r="X650" s="1">
        <f t="shared" si="20"/>
        <v>0</v>
      </c>
      <c r="Y650" s="1">
        <f t="shared" si="21"/>
        <v>0</v>
      </c>
    </row>
    <row r="651" spans="24:25" x14ac:dyDescent="0.3">
      <c r="X651" s="1">
        <f t="shared" si="20"/>
        <v>0</v>
      </c>
      <c r="Y651" s="1">
        <f t="shared" si="21"/>
        <v>0</v>
      </c>
    </row>
    <row r="652" spans="24:25" x14ac:dyDescent="0.3">
      <c r="X652" s="1">
        <f t="shared" si="20"/>
        <v>0</v>
      </c>
      <c r="Y652" s="1">
        <f t="shared" si="21"/>
        <v>0</v>
      </c>
    </row>
    <row r="653" spans="24:25" x14ac:dyDescent="0.3">
      <c r="X653" s="1">
        <f t="shared" si="20"/>
        <v>0</v>
      </c>
      <c r="Y653" s="1">
        <f t="shared" si="21"/>
        <v>0</v>
      </c>
    </row>
    <row r="654" spans="24:25" x14ac:dyDescent="0.3">
      <c r="X654" s="1">
        <f t="shared" si="20"/>
        <v>0</v>
      </c>
      <c r="Y654" s="1">
        <f t="shared" si="21"/>
        <v>0</v>
      </c>
    </row>
    <row r="655" spans="24:25" x14ac:dyDescent="0.3">
      <c r="X655" s="1">
        <f t="shared" si="20"/>
        <v>0</v>
      </c>
      <c r="Y655" s="1">
        <f t="shared" si="21"/>
        <v>0</v>
      </c>
    </row>
    <row r="656" spans="24:25" x14ac:dyDescent="0.3">
      <c r="X656" s="1">
        <f t="shared" si="20"/>
        <v>0</v>
      </c>
      <c r="Y656" s="1">
        <f t="shared" si="21"/>
        <v>0</v>
      </c>
    </row>
    <row r="657" spans="24:25" x14ac:dyDescent="0.3">
      <c r="X657" s="1">
        <f t="shared" si="20"/>
        <v>0</v>
      </c>
      <c r="Y657" s="1">
        <f t="shared" si="21"/>
        <v>0</v>
      </c>
    </row>
    <row r="658" spans="24:25" x14ac:dyDescent="0.3">
      <c r="X658" s="1">
        <f t="shared" si="20"/>
        <v>0</v>
      </c>
      <c r="Y658" s="1">
        <f t="shared" si="21"/>
        <v>0</v>
      </c>
    </row>
    <row r="659" spans="24:25" x14ac:dyDescent="0.3">
      <c r="X659" s="1">
        <f t="shared" si="20"/>
        <v>0</v>
      </c>
      <c r="Y659" s="1">
        <f t="shared" si="21"/>
        <v>0</v>
      </c>
    </row>
    <row r="660" spans="24:25" x14ac:dyDescent="0.3">
      <c r="X660" s="1">
        <f t="shared" si="20"/>
        <v>0</v>
      </c>
      <c r="Y660" s="1">
        <f t="shared" si="21"/>
        <v>0</v>
      </c>
    </row>
    <row r="661" spans="24:25" x14ac:dyDescent="0.3">
      <c r="X661" s="1">
        <f t="shared" si="20"/>
        <v>0</v>
      </c>
      <c r="Y661" s="1">
        <f t="shared" si="21"/>
        <v>0</v>
      </c>
    </row>
    <row r="662" spans="24:25" x14ac:dyDescent="0.3">
      <c r="X662" s="1">
        <f t="shared" si="20"/>
        <v>0</v>
      </c>
      <c r="Y662" s="1">
        <f t="shared" si="21"/>
        <v>0</v>
      </c>
    </row>
    <row r="663" spans="24:25" x14ac:dyDescent="0.3">
      <c r="X663" s="1">
        <f t="shared" si="20"/>
        <v>0</v>
      </c>
      <c r="Y663" s="1">
        <f t="shared" si="21"/>
        <v>0</v>
      </c>
    </row>
    <row r="664" spans="24:25" x14ac:dyDescent="0.3">
      <c r="X664" s="1">
        <f t="shared" si="20"/>
        <v>0</v>
      </c>
      <c r="Y664" s="1">
        <f t="shared" si="21"/>
        <v>0</v>
      </c>
    </row>
    <row r="665" spans="24:25" x14ac:dyDescent="0.3">
      <c r="X665" s="1">
        <f t="shared" si="20"/>
        <v>0</v>
      </c>
      <c r="Y665" s="1">
        <f t="shared" si="21"/>
        <v>0</v>
      </c>
    </row>
    <row r="666" spans="24:25" x14ac:dyDescent="0.3">
      <c r="X666" s="1">
        <f t="shared" si="20"/>
        <v>0</v>
      </c>
      <c r="Y666" s="1">
        <f t="shared" si="21"/>
        <v>0</v>
      </c>
    </row>
    <row r="667" spans="24:25" x14ac:dyDescent="0.3">
      <c r="X667" s="1">
        <f t="shared" si="20"/>
        <v>0</v>
      </c>
      <c r="Y667" s="1">
        <f t="shared" si="21"/>
        <v>0</v>
      </c>
    </row>
    <row r="668" spans="24:25" x14ac:dyDescent="0.3">
      <c r="X668" s="1">
        <f t="shared" si="20"/>
        <v>0</v>
      </c>
      <c r="Y668" s="1">
        <f t="shared" si="21"/>
        <v>0</v>
      </c>
    </row>
    <row r="669" spans="24:25" x14ac:dyDescent="0.3">
      <c r="X669" s="1">
        <f t="shared" si="20"/>
        <v>0</v>
      </c>
      <c r="Y669" s="1">
        <f t="shared" si="21"/>
        <v>0</v>
      </c>
    </row>
    <row r="670" spans="24:25" x14ac:dyDescent="0.3">
      <c r="X670" s="1">
        <f t="shared" si="20"/>
        <v>0</v>
      </c>
      <c r="Y670" s="1">
        <f t="shared" si="21"/>
        <v>0</v>
      </c>
    </row>
    <row r="671" spans="24:25" x14ac:dyDescent="0.3">
      <c r="X671" s="1">
        <f t="shared" si="20"/>
        <v>0</v>
      </c>
      <c r="Y671" s="1">
        <f t="shared" si="21"/>
        <v>0</v>
      </c>
    </row>
    <row r="672" spans="24:25" x14ac:dyDescent="0.3">
      <c r="X672" s="1">
        <f t="shared" si="20"/>
        <v>0</v>
      </c>
      <c r="Y672" s="1">
        <f t="shared" si="21"/>
        <v>0</v>
      </c>
    </row>
    <row r="673" spans="24:25" x14ac:dyDescent="0.3">
      <c r="X673" s="1">
        <f t="shared" si="20"/>
        <v>0</v>
      </c>
      <c r="Y673" s="1">
        <f t="shared" si="21"/>
        <v>0</v>
      </c>
    </row>
    <row r="674" spans="24:25" x14ac:dyDescent="0.3">
      <c r="X674" s="1">
        <f t="shared" si="20"/>
        <v>0</v>
      </c>
      <c r="Y674" s="1">
        <f t="shared" si="21"/>
        <v>0</v>
      </c>
    </row>
    <row r="675" spans="24:25" x14ac:dyDescent="0.3">
      <c r="X675" s="1">
        <f t="shared" si="20"/>
        <v>0</v>
      </c>
      <c r="Y675" s="1">
        <f t="shared" si="21"/>
        <v>0</v>
      </c>
    </row>
    <row r="676" spans="24:25" x14ac:dyDescent="0.3">
      <c r="X676" s="1">
        <f t="shared" si="20"/>
        <v>0</v>
      </c>
      <c r="Y676" s="1">
        <f t="shared" si="21"/>
        <v>0</v>
      </c>
    </row>
    <row r="677" spans="24:25" x14ac:dyDescent="0.3">
      <c r="X677" s="1">
        <f t="shared" si="20"/>
        <v>0</v>
      </c>
      <c r="Y677" s="1">
        <f t="shared" si="21"/>
        <v>0</v>
      </c>
    </row>
    <row r="678" spans="24:25" x14ac:dyDescent="0.3">
      <c r="X678" s="1">
        <f t="shared" si="20"/>
        <v>0</v>
      </c>
      <c r="Y678" s="1">
        <f t="shared" si="21"/>
        <v>0</v>
      </c>
    </row>
    <row r="679" spans="24:25" x14ac:dyDescent="0.3">
      <c r="X679" s="1">
        <f t="shared" si="20"/>
        <v>0</v>
      </c>
      <c r="Y679" s="1">
        <f t="shared" si="21"/>
        <v>0</v>
      </c>
    </row>
    <row r="680" spans="24:25" x14ac:dyDescent="0.3">
      <c r="X680" s="1">
        <f t="shared" si="20"/>
        <v>0</v>
      </c>
      <c r="Y680" s="1">
        <f t="shared" si="21"/>
        <v>0</v>
      </c>
    </row>
    <row r="681" spans="24:25" x14ac:dyDescent="0.3">
      <c r="X681" s="1">
        <f t="shared" si="20"/>
        <v>0</v>
      </c>
      <c r="Y681" s="1">
        <f t="shared" si="21"/>
        <v>0</v>
      </c>
    </row>
    <row r="682" spans="24:25" x14ac:dyDescent="0.3">
      <c r="X682" s="1">
        <f t="shared" si="20"/>
        <v>0</v>
      </c>
      <c r="Y682" s="1">
        <f t="shared" si="21"/>
        <v>0</v>
      </c>
    </row>
    <row r="683" spans="24:25" x14ac:dyDescent="0.3">
      <c r="X683" s="1">
        <f t="shared" si="20"/>
        <v>0</v>
      </c>
      <c r="Y683" s="1">
        <f t="shared" si="21"/>
        <v>0</v>
      </c>
    </row>
    <row r="684" spans="24:25" x14ac:dyDescent="0.3">
      <c r="X684" s="1">
        <f t="shared" si="20"/>
        <v>0</v>
      </c>
      <c r="Y684" s="1">
        <f t="shared" si="21"/>
        <v>0</v>
      </c>
    </row>
    <row r="685" spans="24:25" x14ac:dyDescent="0.3">
      <c r="X685" s="1">
        <f t="shared" si="20"/>
        <v>0</v>
      </c>
      <c r="Y685" s="1">
        <f t="shared" si="21"/>
        <v>0</v>
      </c>
    </row>
    <row r="686" spans="24:25" x14ac:dyDescent="0.3">
      <c r="X686" s="1">
        <f t="shared" si="20"/>
        <v>0</v>
      </c>
      <c r="Y686" s="1">
        <f t="shared" si="21"/>
        <v>0</v>
      </c>
    </row>
    <row r="687" spans="24:25" x14ac:dyDescent="0.3">
      <c r="X687" s="1">
        <f t="shared" si="20"/>
        <v>0</v>
      </c>
      <c r="Y687" s="1">
        <f t="shared" si="21"/>
        <v>0</v>
      </c>
    </row>
    <row r="688" spans="24:25" x14ac:dyDescent="0.3">
      <c r="X688" s="1">
        <f t="shared" si="20"/>
        <v>0</v>
      </c>
      <c r="Y688" s="1">
        <f t="shared" si="21"/>
        <v>0</v>
      </c>
    </row>
    <row r="689" spans="24:25" x14ac:dyDescent="0.3">
      <c r="X689" s="1">
        <f t="shared" si="20"/>
        <v>0</v>
      </c>
      <c r="Y689" s="1">
        <f t="shared" si="21"/>
        <v>0</v>
      </c>
    </row>
    <row r="690" spans="24:25" x14ac:dyDescent="0.3">
      <c r="X690" s="1">
        <f t="shared" si="20"/>
        <v>0</v>
      </c>
      <c r="Y690" s="1">
        <f t="shared" si="21"/>
        <v>0</v>
      </c>
    </row>
    <row r="691" spans="24:25" x14ac:dyDescent="0.3">
      <c r="X691" s="1">
        <f t="shared" si="20"/>
        <v>0</v>
      </c>
      <c r="Y691" s="1">
        <f t="shared" si="21"/>
        <v>0</v>
      </c>
    </row>
    <row r="692" spans="24:25" x14ac:dyDescent="0.3">
      <c r="X692" s="1">
        <f t="shared" si="20"/>
        <v>0</v>
      </c>
      <c r="Y692" s="1">
        <f t="shared" si="21"/>
        <v>0</v>
      </c>
    </row>
    <row r="693" spans="24:25" x14ac:dyDescent="0.3">
      <c r="X693" s="1">
        <f t="shared" si="20"/>
        <v>0</v>
      </c>
      <c r="Y693" s="1">
        <f t="shared" si="21"/>
        <v>0</v>
      </c>
    </row>
    <row r="694" spans="24:25" x14ac:dyDescent="0.3">
      <c r="X694" s="1">
        <f t="shared" si="20"/>
        <v>0</v>
      </c>
      <c r="Y694" s="1">
        <f t="shared" si="21"/>
        <v>0</v>
      </c>
    </row>
    <row r="695" spans="24:25" x14ac:dyDescent="0.3">
      <c r="X695" s="1">
        <f t="shared" si="20"/>
        <v>0</v>
      </c>
      <c r="Y695" s="1">
        <f t="shared" si="21"/>
        <v>0</v>
      </c>
    </row>
    <row r="696" spans="24:25" x14ac:dyDescent="0.3">
      <c r="X696" s="1">
        <f t="shared" si="20"/>
        <v>0</v>
      </c>
      <c r="Y696" s="1">
        <f t="shared" si="21"/>
        <v>0</v>
      </c>
    </row>
    <row r="697" spans="24:25" x14ac:dyDescent="0.3">
      <c r="X697" s="1">
        <f t="shared" si="20"/>
        <v>0</v>
      </c>
      <c r="Y697" s="1">
        <f t="shared" si="21"/>
        <v>0</v>
      </c>
    </row>
    <row r="698" spans="24:25" x14ac:dyDescent="0.3">
      <c r="X698" s="1">
        <f t="shared" si="20"/>
        <v>0</v>
      </c>
      <c r="Y698" s="1">
        <f t="shared" si="21"/>
        <v>0</v>
      </c>
    </row>
    <row r="699" spans="24:25" x14ac:dyDescent="0.3">
      <c r="X699" s="1">
        <f t="shared" si="20"/>
        <v>0</v>
      </c>
      <c r="Y699" s="1">
        <f t="shared" si="21"/>
        <v>0</v>
      </c>
    </row>
    <row r="700" spans="24:25" x14ac:dyDescent="0.3">
      <c r="X700" s="1">
        <f t="shared" si="20"/>
        <v>0</v>
      </c>
      <c r="Y700" s="1">
        <f t="shared" si="21"/>
        <v>0</v>
      </c>
    </row>
    <row r="701" spans="24:25" x14ac:dyDescent="0.3">
      <c r="X701" s="1">
        <f t="shared" si="20"/>
        <v>0</v>
      </c>
      <c r="Y701" s="1">
        <f t="shared" si="21"/>
        <v>0</v>
      </c>
    </row>
    <row r="702" spans="24:25" x14ac:dyDescent="0.3">
      <c r="X702" s="1">
        <f t="shared" si="20"/>
        <v>0</v>
      </c>
      <c r="Y702" s="1">
        <f t="shared" si="21"/>
        <v>0</v>
      </c>
    </row>
    <row r="703" spans="24:25" x14ac:dyDescent="0.3">
      <c r="X703" s="1">
        <f t="shared" si="20"/>
        <v>0</v>
      </c>
      <c r="Y703" s="1">
        <f t="shared" si="21"/>
        <v>0</v>
      </c>
    </row>
    <row r="704" spans="24:25" x14ac:dyDescent="0.3">
      <c r="X704" s="1">
        <f t="shared" si="20"/>
        <v>0</v>
      </c>
      <c r="Y704" s="1">
        <f t="shared" si="21"/>
        <v>0</v>
      </c>
    </row>
    <row r="705" spans="24:25" x14ac:dyDescent="0.3">
      <c r="X705" s="1">
        <f t="shared" si="20"/>
        <v>0</v>
      </c>
      <c r="Y705" s="1">
        <f t="shared" si="21"/>
        <v>0</v>
      </c>
    </row>
    <row r="706" spans="24:25" x14ac:dyDescent="0.3">
      <c r="X706" s="1">
        <f t="shared" si="20"/>
        <v>0</v>
      </c>
      <c r="Y706" s="1">
        <f t="shared" si="21"/>
        <v>0</v>
      </c>
    </row>
    <row r="707" spans="24:25" x14ac:dyDescent="0.3">
      <c r="X707" s="1">
        <f t="shared" ref="X707:X770" si="22">IFERROR(MATCH(W707,$B:$B,0),0)</f>
        <v>0</v>
      </c>
      <c r="Y707" s="1">
        <f t="shared" ref="Y707:Y770" si="23">IF(X708=0,COUNTA(A:A),X708-1)</f>
        <v>0</v>
      </c>
    </row>
    <row r="708" spans="24:25" x14ac:dyDescent="0.3">
      <c r="X708" s="1">
        <f t="shared" si="22"/>
        <v>0</v>
      </c>
      <c r="Y708" s="1">
        <f t="shared" si="23"/>
        <v>0</v>
      </c>
    </row>
    <row r="709" spans="24:25" x14ac:dyDescent="0.3">
      <c r="X709" s="1">
        <f t="shared" si="22"/>
        <v>0</v>
      </c>
      <c r="Y709" s="1">
        <f t="shared" si="23"/>
        <v>0</v>
      </c>
    </row>
    <row r="710" spans="24:25" x14ac:dyDescent="0.3">
      <c r="X710" s="1">
        <f t="shared" si="22"/>
        <v>0</v>
      </c>
      <c r="Y710" s="1">
        <f t="shared" si="23"/>
        <v>0</v>
      </c>
    </row>
    <row r="711" spans="24:25" x14ac:dyDescent="0.3">
      <c r="X711" s="1">
        <f t="shared" si="22"/>
        <v>0</v>
      </c>
      <c r="Y711" s="1">
        <f t="shared" si="23"/>
        <v>0</v>
      </c>
    </row>
    <row r="712" spans="24:25" x14ac:dyDescent="0.3">
      <c r="X712" s="1">
        <f t="shared" si="22"/>
        <v>0</v>
      </c>
      <c r="Y712" s="1">
        <f t="shared" si="23"/>
        <v>0</v>
      </c>
    </row>
    <row r="713" spans="24:25" x14ac:dyDescent="0.3">
      <c r="X713" s="1">
        <f t="shared" si="22"/>
        <v>0</v>
      </c>
      <c r="Y713" s="1">
        <f t="shared" si="23"/>
        <v>0</v>
      </c>
    </row>
    <row r="714" spans="24:25" x14ac:dyDescent="0.3">
      <c r="X714" s="1">
        <f t="shared" si="22"/>
        <v>0</v>
      </c>
      <c r="Y714" s="1">
        <f t="shared" si="23"/>
        <v>0</v>
      </c>
    </row>
    <row r="715" spans="24:25" x14ac:dyDescent="0.3">
      <c r="X715" s="1">
        <f t="shared" si="22"/>
        <v>0</v>
      </c>
      <c r="Y715" s="1">
        <f t="shared" si="23"/>
        <v>0</v>
      </c>
    </row>
    <row r="716" spans="24:25" x14ac:dyDescent="0.3">
      <c r="X716" s="1">
        <f t="shared" si="22"/>
        <v>0</v>
      </c>
      <c r="Y716" s="1">
        <f t="shared" si="23"/>
        <v>0</v>
      </c>
    </row>
    <row r="717" spans="24:25" x14ac:dyDescent="0.3">
      <c r="X717" s="1">
        <f t="shared" si="22"/>
        <v>0</v>
      </c>
      <c r="Y717" s="1">
        <f t="shared" si="23"/>
        <v>0</v>
      </c>
    </row>
    <row r="718" spans="24:25" x14ac:dyDescent="0.3">
      <c r="X718" s="1">
        <f t="shared" si="22"/>
        <v>0</v>
      </c>
      <c r="Y718" s="1">
        <f t="shared" si="23"/>
        <v>0</v>
      </c>
    </row>
    <row r="719" spans="24:25" x14ac:dyDescent="0.3">
      <c r="X719" s="1">
        <f t="shared" si="22"/>
        <v>0</v>
      </c>
      <c r="Y719" s="1">
        <f t="shared" si="23"/>
        <v>0</v>
      </c>
    </row>
    <row r="720" spans="24:25" x14ac:dyDescent="0.3">
      <c r="X720" s="1">
        <f t="shared" si="22"/>
        <v>0</v>
      </c>
      <c r="Y720" s="1">
        <f t="shared" si="23"/>
        <v>0</v>
      </c>
    </row>
    <row r="721" spans="24:25" x14ac:dyDescent="0.3">
      <c r="X721" s="1">
        <f t="shared" si="22"/>
        <v>0</v>
      </c>
      <c r="Y721" s="1">
        <f t="shared" si="23"/>
        <v>0</v>
      </c>
    </row>
    <row r="722" spans="24:25" x14ac:dyDescent="0.3">
      <c r="X722" s="1">
        <f t="shared" si="22"/>
        <v>0</v>
      </c>
      <c r="Y722" s="1">
        <f t="shared" si="23"/>
        <v>0</v>
      </c>
    </row>
    <row r="723" spans="24:25" x14ac:dyDescent="0.3">
      <c r="X723" s="1">
        <f t="shared" si="22"/>
        <v>0</v>
      </c>
      <c r="Y723" s="1">
        <f t="shared" si="23"/>
        <v>0</v>
      </c>
    </row>
    <row r="724" spans="24:25" x14ac:dyDescent="0.3">
      <c r="X724" s="1">
        <f t="shared" si="22"/>
        <v>0</v>
      </c>
      <c r="Y724" s="1">
        <f t="shared" si="23"/>
        <v>0</v>
      </c>
    </row>
    <row r="725" spans="24:25" x14ac:dyDescent="0.3">
      <c r="X725" s="1">
        <f t="shared" si="22"/>
        <v>0</v>
      </c>
      <c r="Y725" s="1">
        <f t="shared" si="23"/>
        <v>0</v>
      </c>
    </row>
    <row r="726" spans="24:25" x14ac:dyDescent="0.3">
      <c r="X726" s="1">
        <f t="shared" si="22"/>
        <v>0</v>
      </c>
      <c r="Y726" s="1">
        <f t="shared" si="23"/>
        <v>0</v>
      </c>
    </row>
    <row r="727" spans="24:25" x14ac:dyDescent="0.3">
      <c r="X727" s="1">
        <f t="shared" si="22"/>
        <v>0</v>
      </c>
      <c r="Y727" s="1">
        <f t="shared" si="23"/>
        <v>0</v>
      </c>
    </row>
    <row r="728" spans="24:25" x14ac:dyDescent="0.3">
      <c r="X728" s="1">
        <f t="shared" si="22"/>
        <v>0</v>
      </c>
      <c r="Y728" s="1">
        <f t="shared" si="23"/>
        <v>0</v>
      </c>
    </row>
    <row r="729" spans="24:25" x14ac:dyDescent="0.3">
      <c r="X729" s="1">
        <f t="shared" si="22"/>
        <v>0</v>
      </c>
      <c r="Y729" s="1">
        <f t="shared" si="23"/>
        <v>0</v>
      </c>
    </row>
    <row r="730" spans="24:25" x14ac:dyDescent="0.3">
      <c r="X730" s="1">
        <f t="shared" si="22"/>
        <v>0</v>
      </c>
      <c r="Y730" s="1">
        <f t="shared" si="23"/>
        <v>0</v>
      </c>
    </row>
    <row r="731" spans="24:25" x14ac:dyDescent="0.3">
      <c r="X731" s="1">
        <f t="shared" si="22"/>
        <v>0</v>
      </c>
      <c r="Y731" s="1">
        <f t="shared" si="23"/>
        <v>0</v>
      </c>
    </row>
    <row r="732" spans="24:25" x14ac:dyDescent="0.3">
      <c r="X732" s="1">
        <f t="shared" si="22"/>
        <v>0</v>
      </c>
      <c r="Y732" s="1">
        <f t="shared" si="23"/>
        <v>0</v>
      </c>
    </row>
    <row r="733" spans="24:25" x14ac:dyDescent="0.3">
      <c r="X733" s="1">
        <f t="shared" si="22"/>
        <v>0</v>
      </c>
      <c r="Y733" s="1">
        <f t="shared" si="23"/>
        <v>0</v>
      </c>
    </row>
    <row r="734" spans="24:25" x14ac:dyDescent="0.3">
      <c r="X734" s="1">
        <f t="shared" si="22"/>
        <v>0</v>
      </c>
      <c r="Y734" s="1">
        <f t="shared" si="23"/>
        <v>0</v>
      </c>
    </row>
    <row r="735" spans="24:25" x14ac:dyDescent="0.3">
      <c r="X735" s="1">
        <f t="shared" si="22"/>
        <v>0</v>
      </c>
      <c r="Y735" s="1">
        <f t="shared" si="23"/>
        <v>0</v>
      </c>
    </row>
    <row r="736" spans="24:25" x14ac:dyDescent="0.3">
      <c r="X736" s="1">
        <f t="shared" si="22"/>
        <v>0</v>
      </c>
      <c r="Y736" s="1">
        <f t="shared" si="23"/>
        <v>0</v>
      </c>
    </row>
    <row r="737" spans="24:25" x14ac:dyDescent="0.3">
      <c r="X737" s="1">
        <f t="shared" si="22"/>
        <v>0</v>
      </c>
      <c r="Y737" s="1">
        <f t="shared" si="23"/>
        <v>0</v>
      </c>
    </row>
    <row r="738" spans="24:25" x14ac:dyDescent="0.3">
      <c r="X738" s="1">
        <f t="shared" si="22"/>
        <v>0</v>
      </c>
      <c r="Y738" s="1">
        <f t="shared" si="23"/>
        <v>0</v>
      </c>
    </row>
    <row r="739" spans="24:25" x14ac:dyDescent="0.3">
      <c r="X739" s="1">
        <f t="shared" si="22"/>
        <v>0</v>
      </c>
      <c r="Y739" s="1">
        <f t="shared" si="23"/>
        <v>0</v>
      </c>
    </row>
    <row r="740" spans="24:25" x14ac:dyDescent="0.3">
      <c r="X740" s="1">
        <f t="shared" si="22"/>
        <v>0</v>
      </c>
      <c r="Y740" s="1">
        <f t="shared" si="23"/>
        <v>0</v>
      </c>
    </row>
    <row r="741" spans="24:25" x14ac:dyDescent="0.3">
      <c r="X741" s="1">
        <f t="shared" si="22"/>
        <v>0</v>
      </c>
      <c r="Y741" s="1">
        <f t="shared" si="23"/>
        <v>0</v>
      </c>
    </row>
    <row r="742" spans="24:25" x14ac:dyDescent="0.3">
      <c r="X742" s="1">
        <f t="shared" si="22"/>
        <v>0</v>
      </c>
      <c r="Y742" s="1">
        <f t="shared" si="23"/>
        <v>0</v>
      </c>
    </row>
    <row r="743" spans="24:25" x14ac:dyDescent="0.3">
      <c r="X743" s="1">
        <f t="shared" si="22"/>
        <v>0</v>
      </c>
      <c r="Y743" s="1">
        <f t="shared" si="23"/>
        <v>0</v>
      </c>
    </row>
    <row r="744" spans="24:25" x14ac:dyDescent="0.3">
      <c r="X744" s="1">
        <f t="shared" si="22"/>
        <v>0</v>
      </c>
      <c r="Y744" s="1">
        <f t="shared" si="23"/>
        <v>0</v>
      </c>
    </row>
    <row r="745" spans="24:25" x14ac:dyDescent="0.3">
      <c r="X745" s="1">
        <f t="shared" si="22"/>
        <v>0</v>
      </c>
      <c r="Y745" s="1">
        <f t="shared" si="23"/>
        <v>0</v>
      </c>
    </row>
    <row r="746" spans="24:25" x14ac:dyDescent="0.3">
      <c r="X746" s="1">
        <f t="shared" si="22"/>
        <v>0</v>
      </c>
      <c r="Y746" s="1">
        <f t="shared" si="23"/>
        <v>0</v>
      </c>
    </row>
    <row r="747" spans="24:25" x14ac:dyDescent="0.3">
      <c r="X747" s="1">
        <f t="shared" si="22"/>
        <v>0</v>
      </c>
      <c r="Y747" s="1">
        <f t="shared" si="23"/>
        <v>0</v>
      </c>
    </row>
    <row r="748" spans="24:25" x14ac:dyDescent="0.3">
      <c r="X748" s="1">
        <f t="shared" si="22"/>
        <v>0</v>
      </c>
      <c r="Y748" s="1">
        <f t="shared" si="23"/>
        <v>0</v>
      </c>
    </row>
    <row r="749" spans="24:25" x14ac:dyDescent="0.3">
      <c r="X749" s="1">
        <f t="shared" si="22"/>
        <v>0</v>
      </c>
      <c r="Y749" s="1">
        <f t="shared" si="23"/>
        <v>0</v>
      </c>
    </row>
    <row r="750" spans="24:25" x14ac:dyDescent="0.3">
      <c r="X750" s="1">
        <f t="shared" si="22"/>
        <v>0</v>
      </c>
      <c r="Y750" s="1">
        <f t="shared" si="23"/>
        <v>0</v>
      </c>
    </row>
    <row r="751" spans="24:25" x14ac:dyDescent="0.3">
      <c r="X751" s="1">
        <f t="shared" si="22"/>
        <v>0</v>
      </c>
      <c r="Y751" s="1">
        <f t="shared" si="23"/>
        <v>0</v>
      </c>
    </row>
    <row r="752" spans="24:25" x14ac:dyDescent="0.3">
      <c r="X752" s="1">
        <f t="shared" si="22"/>
        <v>0</v>
      </c>
      <c r="Y752" s="1">
        <f t="shared" si="23"/>
        <v>0</v>
      </c>
    </row>
    <row r="753" spans="24:25" x14ac:dyDescent="0.3">
      <c r="X753" s="1">
        <f t="shared" si="22"/>
        <v>0</v>
      </c>
      <c r="Y753" s="1">
        <f t="shared" si="23"/>
        <v>0</v>
      </c>
    </row>
    <row r="754" spans="24:25" x14ac:dyDescent="0.3">
      <c r="X754" s="1">
        <f t="shared" si="22"/>
        <v>0</v>
      </c>
      <c r="Y754" s="1">
        <f t="shared" si="23"/>
        <v>0</v>
      </c>
    </row>
    <row r="755" spans="24:25" x14ac:dyDescent="0.3">
      <c r="X755" s="1">
        <f t="shared" si="22"/>
        <v>0</v>
      </c>
      <c r="Y755" s="1">
        <f t="shared" si="23"/>
        <v>0</v>
      </c>
    </row>
    <row r="756" spans="24:25" x14ac:dyDescent="0.3">
      <c r="X756" s="1">
        <f t="shared" si="22"/>
        <v>0</v>
      </c>
      <c r="Y756" s="1">
        <f t="shared" si="23"/>
        <v>0</v>
      </c>
    </row>
    <row r="757" spans="24:25" x14ac:dyDescent="0.3">
      <c r="X757" s="1">
        <f t="shared" si="22"/>
        <v>0</v>
      </c>
      <c r="Y757" s="1">
        <f t="shared" si="23"/>
        <v>0</v>
      </c>
    </row>
    <row r="758" spans="24:25" x14ac:dyDescent="0.3">
      <c r="X758" s="1">
        <f t="shared" si="22"/>
        <v>0</v>
      </c>
      <c r="Y758" s="1">
        <f t="shared" si="23"/>
        <v>0</v>
      </c>
    </row>
    <row r="759" spans="24:25" x14ac:dyDescent="0.3">
      <c r="X759" s="1">
        <f t="shared" si="22"/>
        <v>0</v>
      </c>
      <c r="Y759" s="1">
        <f t="shared" si="23"/>
        <v>0</v>
      </c>
    </row>
    <row r="760" spans="24:25" x14ac:dyDescent="0.3">
      <c r="X760" s="1">
        <f t="shared" si="22"/>
        <v>0</v>
      </c>
      <c r="Y760" s="1">
        <f t="shared" si="23"/>
        <v>0</v>
      </c>
    </row>
    <row r="761" spans="24:25" x14ac:dyDescent="0.3">
      <c r="X761" s="1">
        <f t="shared" si="22"/>
        <v>0</v>
      </c>
      <c r="Y761" s="1">
        <f t="shared" si="23"/>
        <v>0</v>
      </c>
    </row>
    <row r="762" spans="24:25" x14ac:dyDescent="0.3">
      <c r="X762" s="1">
        <f t="shared" si="22"/>
        <v>0</v>
      </c>
      <c r="Y762" s="1">
        <f t="shared" si="23"/>
        <v>0</v>
      </c>
    </row>
    <row r="763" spans="24:25" x14ac:dyDescent="0.3">
      <c r="X763" s="1">
        <f t="shared" si="22"/>
        <v>0</v>
      </c>
      <c r="Y763" s="1">
        <f t="shared" si="23"/>
        <v>0</v>
      </c>
    </row>
    <row r="764" spans="24:25" x14ac:dyDescent="0.3">
      <c r="X764" s="1">
        <f t="shared" si="22"/>
        <v>0</v>
      </c>
      <c r="Y764" s="1">
        <f t="shared" si="23"/>
        <v>0</v>
      </c>
    </row>
    <row r="765" spans="24:25" x14ac:dyDescent="0.3">
      <c r="X765" s="1">
        <f t="shared" si="22"/>
        <v>0</v>
      </c>
      <c r="Y765" s="1">
        <f t="shared" si="23"/>
        <v>0</v>
      </c>
    </row>
    <row r="766" spans="24:25" x14ac:dyDescent="0.3">
      <c r="X766" s="1">
        <f t="shared" si="22"/>
        <v>0</v>
      </c>
      <c r="Y766" s="1">
        <f t="shared" si="23"/>
        <v>0</v>
      </c>
    </row>
    <row r="767" spans="24:25" x14ac:dyDescent="0.3">
      <c r="X767" s="1">
        <f t="shared" si="22"/>
        <v>0</v>
      </c>
      <c r="Y767" s="1">
        <f t="shared" si="23"/>
        <v>0</v>
      </c>
    </row>
    <row r="768" spans="24:25" x14ac:dyDescent="0.3">
      <c r="X768" s="1">
        <f t="shared" si="22"/>
        <v>0</v>
      </c>
      <c r="Y768" s="1">
        <f t="shared" si="23"/>
        <v>0</v>
      </c>
    </row>
    <row r="769" spans="24:25" x14ac:dyDescent="0.3">
      <c r="X769" s="1">
        <f t="shared" si="22"/>
        <v>0</v>
      </c>
      <c r="Y769" s="1">
        <f t="shared" si="23"/>
        <v>0</v>
      </c>
    </row>
    <row r="770" spans="24:25" x14ac:dyDescent="0.3">
      <c r="X770" s="1">
        <f t="shared" si="22"/>
        <v>0</v>
      </c>
      <c r="Y770" s="1">
        <f t="shared" si="23"/>
        <v>0</v>
      </c>
    </row>
    <row r="771" spans="24:25" x14ac:dyDescent="0.3">
      <c r="X771" s="1">
        <f t="shared" ref="X771:X834" si="24">IFERROR(MATCH(W771,$B:$B,0),0)</f>
        <v>0</v>
      </c>
      <c r="Y771" s="1">
        <f t="shared" ref="Y771:Y834" si="25">IF(X772=0,COUNTA(A:A),X772-1)</f>
        <v>0</v>
      </c>
    </row>
    <row r="772" spans="24:25" x14ac:dyDescent="0.3">
      <c r="X772" s="1">
        <f t="shared" si="24"/>
        <v>0</v>
      </c>
      <c r="Y772" s="1">
        <f t="shared" si="25"/>
        <v>0</v>
      </c>
    </row>
    <row r="773" spans="24:25" x14ac:dyDescent="0.3">
      <c r="X773" s="1">
        <f t="shared" si="24"/>
        <v>0</v>
      </c>
      <c r="Y773" s="1">
        <f t="shared" si="25"/>
        <v>0</v>
      </c>
    </row>
    <row r="774" spans="24:25" x14ac:dyDescent="0.3">
      <c r="X774" s="1">
        <f t="shared" si="24"/>
        <v>0</v>
      </c>
      <c r="Y774" s="1">
        <f t="shared" si="25"/>
        <v>0</v>
      </c>
    </row>
    <row r="775" spans="24:25" x14ac:dyDescent="0.3">
      <c r="X775" s="1">
        <f t="shared" si="24"/>
        <v>0</v>
      </c>
      <c r="Y775" s="1">
        <f t="shared" si="25"/>
        <v>0</v>
      </c>
    </row>
    <row r="776" spans="24:25" x14ac:dyDescent="0.3">
      <c r="X776" s="1">
        <f t="shared" si="24"/>
        <v>0</v>
      </c>
      <c r="Y776" s="1">
        <f t="shared" si="25"/>
        <v>0</v>
      </c>
    </row>
    <row r="777" spans="24:25" x14ac:dyDescent="0.3">
      <c r="X777" s="1">
        <f t="shared" si="24"/>
        <v>0</v>
      </c>
      <c r="Y777" s="1">
        <f t="shared" si="25"/>
        <v>0</v>
      </c>
    </row>
    <row r="778" spans="24:25" x14ac:dyDescent="0.3">
      <c r="X778" s="1">
        <f t="shared" si="24"/>
        <v>0</v>
      </c>
      <c r="Y778" s="1">
        <f t="shared" si="25"/>
        <v>0</v>
      </c>
    </row>
    <row r="779" spans="24:25" x14ac:dyDescent="0.3">
      <c r="X779" s="1">
        <f t="shared" si="24"/>
        <v>0</v>
      </c>
      <c r="Y779" s="1">
        <f t="shared" si="25"/>
        <v>0</v>
      </c>
    </row>
    <row r="780" spans="24:25" x14ac:dyDescent="0.3">
      <c r="X780" s="1">
        <f t="shared" si="24"/>
        <v>0</v>
      </c>
      <c r="Y780" s="1">
        <f t="shared" si="25"/>
        <v>0</v>
      </c>
    </row>
    <row r="781" spans="24:25" x14ac:dyDescent="0.3">
      <c r="X781" s="1">
        <f t="shared" si="24"/>
        <v>0</v>
      </c>
      <c r="Y781" s="1">
        <f t="shared" si="25"/>
        <v>0</v>
      </c>
    </row>
    <row r="782" spans="24:25" x14ac:dyDescent="0.3">
      <c r="X782" s="1">
        <f t="shared" si="24"/>
        <v>0</v>
      </c>
      <c r="Y782" s="1">
        <f t="shared" si="25"/>
        <v>0</v>
      </c>
    </row>
    <row r="783" spans="24:25" x14ac:dyDescent="0.3">
      <c r="X783" s="1">
        <f t="shared" si="24"/>
        <v>0</v>
      </c>
      <c r="Y783" s="1">
        <f t="shared" si="25"/>
        <v>0</v>
      </c>
    </row>
    <row r="784" spans="24:25" x14ac:dyDescent="0.3">
      <c r="X784" s="1">
        <f t="shared" si="24"/>
        <v>0</v>
      </c>
      <c r="Y784" s="1">
        <f t="shared" si="25"/>
        <v>0</v>
      </c>
    </row>
    <row r="785" spans="24:25" x14ac:dyDescent="0.3">
      <c r="X785" s="1">
        <f t="shared" si="24"/>
        <v>0</v>
      </c>
      <c r="Y785" s="1">
        <f t="shared" si="25"/>
        <v>0</v>
      </c>
    </row>
    <row r="786" spans="24:25" x14ac:dyDescent="0.3">
      <c r="X786" s="1">
        <f t="shared" si="24"/>
        <v>0</v>
      </c>
      <c r="Y786" s="1">
        <f t="shared" si="25"/>
        <v>0</v>
      </c>
    </row>
    <row r="787" spans="24:25" x14ac:dyDescent="0.3">
      <c r="X787" s="1">
        <f t="shared" si="24"/>
        <v>0</v>
      </c>
      <c r="Y787" s="1">
        <f t="shared" si="25"/>
        <v>0</v>
      </c>
    </row>
    <row r="788" spans="24:25" x14ac:dyDescent="0.3">
      <c r="X788" s="1">
        <f t="shared" si="24"/>
        <v>0</v>
      </c>
      <c r="Y788" s="1">
        <f t="shared" si="25"/>
        <v>0</v>
      </c>
    </row>
    <row r="789" spans="24:25" x14ac:dyDescent="0.3">
      <c r="X789" s="1">
        <f t="shared" si="24"/>
        <v>0</v>
      </c>
      <c r="Y789" s="1">
        <f t="shared" si="25"/>
        <v>0</v>
      </c>
    </row>
    <row r="790" spans="24:25" x14ac:dyDescent="0.3">
      <c r="X790" s="1">
        <f t="shared" si="24"/>
        <v>0</v>
      </c>
      <c r="Y790" s="1">
        <f t="shared" si="25"/>
        <v>0</v>
      </c>
    </row>
    <row r="791" spans="24:25" x14ac:dyDescent="0.3">
      <c r="X791" s="1">
        <f t="shared" si="24"/>
        <v>0</v>
      </c>
      <c r="Y791" s="1">
        <f t="shared" si="25"/>
        <v>0</v>
      </c>
    </row>
    <row r="792" spans="24:25" x14ac:dyDescent="0.3">
      <c r="X792" s="1">
        <f t="shared" si="24"/>
        <v>0</v>
      </c>
      <c r="Y792" s="1">
        <f t="shared" si="25"/>
        <v>0</v>
      </c>
    </row>
    <row r="793" spans="24:25" x14ac:dyDescent="0.3">
      <c r="X793" s="1">
        <f t="shared" si="24"/>
        <v>0</v>
      </c>
      <c r="Y793" s="1">
        <f t="shared" si="25"/>
        <v>0</v>
      </c>
    </row>
    <row r="794" spans="24:25" x14ac:dyDescent="0.3">
      <c r="X794" s="1">
        <f t="shared" si="24"/>
        <v>0</v>
      </c>
      <c r="Y794" s="1">
        <f t="shared" si="25"/>
        <v>0</v>
      </c>
    </row>
    <row r="795" spans="24:25" x14ac:dyDescent="0.3">
      <c r="X795" s="1">
        <f t="shared" si="24"/>
        <v>0</v>
      </c>
      <c r="Y795" s="1">
        <f t="shared" si="25"/>
        <v>0</v>
      </c>
    </row>
    <row r="796" spans="24:25" x14ac:dyDescent="0.3">
      <c r="X796" s="1">
        <f t="shared" si="24"/>
        <v>0</v>
      </c>
      <c r="Y796" s="1">
        <f t="shared" si="25"/>
        <v>0</v>
      </c>
    </row>
    <row r="797" spans="24:25" x14ac:dyDescent="0.3">
      <c r="X797" s="1">
        <f t="shared" si="24"/>
        <v>0</v>
      </c>
      <c r="Y797" s="1">
        <f t="shared" si="25"/>
        <v>0</v>
      </c>
    </row>
    <row r="798" spans="24:25" x14ac:dyDescent="0.3">
      <c r="X798" s="1">
        <f t="shared" si="24"/>
        <v>0</v>
      </c>
      <c r="Y798" s="1">
        <f t="shared" si="25"/>
        <v>0</v>
      </c>
    </row>
    <row r="799" spans="24:25" x14ac:dyDescent="0.3">
      <c r="X799" s="1">
        <f t="shared" si="24"/>
        <v>0</v>
      </c>
      <c r="Y799" s="1">
        <f t="shared" si="25"/>
        <v>0</v>
      </c>
    </row>
    <row r="800" spans="24:25" x14ac:dyDescent="0.3">
      <c r="X800" s="1">
        <f t="shared" si="24"/>
        <v>0</v>
      </c>
      <c r="Y800" s="1">
        <f t="shared" si="25"/>
        <v>0</v>
      </c>
    </row>
    <row r="801" spans="24:25" x14ac:dyDescent="0.3">
      <c r="X801" s="1">
        <f t="shared" si="24"/>
        <v>0</v>
      </c>
      <c r="Y801" s="1">
        <f t="shared" si="25"/>
        <v>0</v>
      </c>
    </row>
    <row r="802" spans="24:25" x14ac:dyDescent="0.3">
      <c r="X802" s="1">
        <f t="shared" si="24"/>
        <v>0</v>
      </c>
      <c r="Y802" s="1">
        <f t="shared" si="25"/>
        <v>0</v>
      </c>
    </row>
    <row r="803" spans="24:25" x14ac:dyDescent="0.3">
      <c r="X803" s="1">
        <f t="shared" si="24"/>
        <v>0</v>
      </c>
      <c r="Y803" s="1">
        <f t="shared" si="25"/>
        <v>0</v>
      </c>
    </row>
    <row r="804" spans="24:25" x14ac:dyDescent="0.3">
      <c r="X804" s="1">
        <f t="shared" si="24"/>
        <v>0</v>
      </c>
      <c r="Y804" s="1">
        <f t="shared" si="25"/>
        <v>0</v>
      </c>
    </row>
    <row r="805" spans="24:25" x14ac:dyDescent="0.3">
      <c r="X805" s="1">
        <f t="shared" si="24"/>
        <v>0</v>
      </c>
      <c r="Y805" s="1">
        <f t="shared" si="25"/>
        <v>0</v>
      </c>
    </row>
    <row r="806" spans="24:25" x14ac:dyDescent="0.3">
      <c r="X806" s="1">
        <f t="shared" si="24"/>
        <v>0</v>
      </c>
      <c r="Y806" s="1">
        <f t="shared" si="25"/>
        <v>0</v>
      </c>
    </row>
    <row r="807" spans="24:25" x14ac:dyDescent="0.3">
      <c r="X807" s="1">
        <f t="shared" si="24"/>
        <v>0</v>
      </c>
      <c r="Y807" s="1">
        <f t="shared" si="25"/>
        <v>0</v>
      </c>
    </row>
    <row r="808" spans="24:25" x14ac:dyDescent="0.3">
      <c r="X808" s="1">
        <f t="shared" si="24"/>
        <v>0</v>
      </c>
      <c r="Y808" s="1">
        <f t="shared" si="25"/>
        <v>0</v>
      </c>
    </row>
    <row r="809" spans="24:25" x14ac:dyDescent="0.3">
      <c r="X809" s="1">
        <f t="shared" si="24"/>
        <v>0</v>
      </c>
      <c r="Y809" s="1">
        <f t="shared" si="25"/>
        <v>0</v>
      </c>
    </row>
    <row r="810" spans="24:25" x14ac:dyDescent="0.3">
      <c r="X810" s="1">
        <f t="shared" si="24"/>
        <v>0</v>
      </c>
      <c r="Y810" s="1">
        <f t="shared" si="25"/>
        <v>0</v>
      </c>
    </row>
    <row r="811" spans="24:25" x14ac:dyDescent="0.3">
      <c r="X811" s="1">
        <f t="shared" si="24"/>
        <v>0</v>
      </c>
      <c r="Y811" s="1">
        <f t="shared" si="25"/>
        <v>0</v>
      </c>
    </row>
    <row r="812" spans="24:25" x14ac:dyDescent="0.3">
      <c r="X812" s="1">
        <f t="shared" si="24"/>
        <v>0</v>
      </c>
      <c r="Y812" s="1">
        <f t="shared" si="25"/>
        <v>0</v>
      </c>
    </row>
    <row r="813" spans="24:25" x14ac:dyDescent="0.3">
      <c r="X813" s="1">
        <f t="shared" si="24"/>
        <v>0</v>
      </c>
      <c r="Y813" s="1">
        <f t="shared" si="25"/>
        <v>0</v>
      </c>
    </row>
    <row r="814" spans="24:25" x14ac:dyDescent="0.3">
      <c r="X814" s="1">
        <f t="shared" si="24"/>
        <v>0</v>
      </c>
      <c r="Y814" s="1">
        <f t="shared" si="25"/>
        <v>0</v>
      </c>
    </row>
    <row r="815" spans="24:25" x14ac:dyDescent="0.3">
      <c r="X815" s="1">
        <f t="shared" si="24"/>
        <v>0</v>
      </c>
      <c r="Y815" s="1">
        <f t="shared" si="25"/>
        <v>0</v>
      </c>
    </row>
    <row r="816" spans="24:25" x14ac:dyDescent="0.3">
      <c r="X816" s="1">
        <f t="shared" si="24"/>
        <v>0</v>
      </c>
      <c r="Y816" s="1">
        <f t="shared" si="25"/>
        <v>0</v>
      </c>
    </row>
    <row r="817" spans="24:25" x14ac:dyDescent="0.3">
      <c r="X817" s="1">
        <f t="shared" si="24"/>
        <v>0</v>
      </c>
      <c r="Y817" s="1">
        <f t="shared" si="25"/>
        <v>0</v>
      </c>
    </row>
    <row r="818" spans="24:25" x14ac:dyDescent="0.3">
      <c r="X818" s="1">
        <f t="shared" si="24"/>
        <v>0</v>
      </c>
      <c r="Y818" s="1">
        <f t="shared" si="25"/>
        <v>0</v>
      </c>
    </row>
    <row r="819" spans="24:25" x14ac:dyDescent="0.3">
      <c r="X819" s="1">
        <f t="shared" si="24"/>
        <v>0</v>
      </c>
      <c r="Y819" s="1">
        <f t="shared" si="25"/>
        <v>0</v>
      </c>
    </row>
    <row r="820" spans="24:25" x14ac:dyDescent="0.3">
      <c r="X820" s="1">
        <f t="shared" si="24"/>
        <v>0</v>
      </c>
      <c r="Y820" s="1">
        <f t="shared" si="25"/>
        <v>0</v>
      </c>
    </row>
    <row r="821" spans="24:25" x14ac:dyDescent="0.3">
      <c r="X821" s="1">
        <f t="shared" si="24"/>
        <v>0</v>
      </c>
      <c r="Y821" s="1">
        <f t="shared" si="25"/>
        <v>0</v>
      </c>
    </row>
    <row r="822" spans="24:25" x14ac:dyDescent="0.3">
      <c r="X822" s="1">
        <f t="shared" si="24"/>
        <v>0</v>
      </c>
      <c r="Y822" s="1">
        <f t="shared" si="25"/>
        <v>0</v>
      </c>
    </row>
    <row r="823" spans="24:25" x14ac:dyDescent="0.3">
      <c r="X823" s="1">
        <f t="shared" si="24"/>
        <v>0</v>
      </c>
      <c r="Y823" s="1">
        <f t="shared" si="25"/>
        <v>0</v>
      </c>
    </row>
    <row r="824" spans="24:25" x14ac:dyDescent="0.3">
      <c r="X824" s="1">
        <f t="shared" si="24"/>
        <v>0</v>
      </c>
      <c r="Y824" s="1">
        <f t="shared" si="25"/>
        <v>0</v>
      </c>
    </row>
    <row r="825" spans="24:25" x14ac:dyDescent="0.3">
      <c r="X825" s="1">
        <f t="shared" si="24"/>
        <v>0</v>
      </c>
      <c r="Y825" s="1">
        <f t="shared" si="25"/>
        <v>0</v>
      </c>
    </row>
    <row r="826" spans="24:25" x14ac:dyDescent="0.3">
      <c r="X826" s="1">
        <f t="shared" si="24"/>
        <v>0</v>
      </c>
      <c r="Y826" s="1">
        <f t="shared" si="25"/>
        <v>0</v>
      </c>
    </row>
    <row r="827" spans="24:25" x14ac:dyDescent="0.3">
      <c r="X827" s="1">
        <f t="shared" si="24"/>
        <v>0</v>
      </c>
      <c r="Y827" s="1">
        <f t="shared" si="25"/>
        <v>0</v>
      </c>
    </row>
    <row r="828" spans="24:25" x14ac:dyDescent="0.3">
      <c r="X828" s="1">
        <f t="shared" si="24"/>
        <v>0</v>
      </c>
      <c r="Y828" s="1">
        <f t="shared" si="25"/>
        <v>0</v>
      </c>
    </row>
    <row r="829" spans="24:25" x14ac:dyDescent="0.3">
      <c r="X829" s="1">
        <f t="shared" si="24"/>
        <v>0</v>
      </c>
      <c r="Y829" s="1">
        <f t="shared" si="25"/>
        <v>0</v>
      </c>
    </row>
    <row r="830" spans="24:25" x14ac:dyDescent="0.3">
      <c r="X830" s="1">
        <f t="shared" si="24"/>
        <v>0</v>
      </c>
      <c r="Y830" s="1">
        <f t="shared" si="25"/>
        <v>0</v>
      </c>
    </row>
    <row r="831" spans="24:25" x14ac:dyDescent="0.3">
      <c r="X831" s="1">
        <f t="shared" si="24"/>
        <v>0</v>
      </c>
      <c r="Y831" s="1">
        <f t="shared" si="25"/>
        <v>0</v>
      </c>
    </row>
    <row r="832" spans="24:25" x14ac:dyDescent="0.3">
      <c r="X832" s="1">
        <f t="shared" si="24"/>
        <v>0</v>
      </c>
      <c r="Y832" s="1">
        <f t="shared" si="25"/>
        <v>0</v>
      </c>
    </row>
    <row r="833" spans="24:25" x14ac:dyDescent="0.3">
      <c r="X833" s="1">
        <f t="shared" si="24"/>
        <v>0</v>
      </c>
      <c r="Y833" s="1">
        <f t="shared" si="25"/>
        <v>0</v>
      </c>
    </row>
    <row r="834" spans="24:25" x14ac:dyDescent="0.3">
      <c r="X834" s="1">
        <f t="shared" si="24"/>
        <v>0</v>
      </c>
      <c r="Y834" s="1">
        <f t="shared" si="25"/>
        <v>0</v>
      </c>
    </row>
    <row r="835" spans="24:25" x14ac:dyDescent="0.3">
      <c r="X835" s="1">
        <f t="shared" ref="X835:X898" si="26">IFERROR(MATCH(W835,$B:$B,0),0)</f>
        <v>0</v>
      </c>
      <c r="Y835" s="1">
        <f t="shared" ref="Y835:Y898" si="27">IF(X836=0,COUNTA(A:A),X836-1)</f>
        <v>0</v>
      </c>
    </row>
    <row r="836" spans="24:25" x14ac:dyDescent="0.3">
      <c r="X836" s="1">
        <f t="shared" si="26"/>
        <v>0</v>
      </c>
      <c r="Y836" s="1">
        <f t="shared" si="27"/>
        <v>0</v>
      </c>
    </row>
    <row r="837" spans="24:25" x14ac:dyDescent="0.3">
      <c r="X837" s="1">
        <f t="shared" si="26"/>
        <v>0</v>
      </c>
      <c r="Y837" s="1">
        <f t="shared" si="27"/>
        <v>0</v>
      </c>
    </row>
    <row r="838" spans="24:25" x14ac:dyDescent="0.3">
      <c r="X838" s="1">
        <f t="shared" si="26"/>
        <v>0</v>
      </c>
      <c r="Y838" s="1">
        <f t="shared" si="27"/>
        <v>0</v>
      </c>
    </row>
    <row r="839" spans="24:25" x14ac:dyDescent="0.3">
      <c r="X839" s="1">
        <f t="shared" si="26"/>
        <v>0</v>
      </c>
      <c r="Y839" s="1">
        <f t="shared" si="27"/>
        <v>0</v>
      </c>
    </row>
    <row r="840" spans="24:25" x14ac:dyDescent="0.3">
      <c r="X840" s="1">
        <f t="shared" si="26"/>
        <v>0</v>
      </c>
      <c r="Y840" s="1">
        <f t="shared" si="27"/>
        <v>0</v>
      </c>
    </row>
    <row r="841" spans="24:25" x14ac:dyDescent="0.3">
      <c r="X841" s="1">
        <f t="shared" si="26"/>
        <v>0</v>
      </c>
      <c r="Y841" s="1">
        <f t="shared" si="27"/>
        <v>0</v>
      </c>
    </row>
    <row r="842" spans="24:25" x14ac:dyDescent="0.3">
      <c r="X842" s="1">
        <f t="shared" si="26"/>
        <v>0</v>
      </c>
      <c r="Y842" s="1">
        <f t="shared" si="27"/>
        <v>0</v>
      </c>
    </row>
    <row r="843" spans="24:25" x14ac:dyDescent="0.3">
      <c r="X843" s="1">
        <f t="shared" si="26"/>
        <v>0</v>
      </c>
      <c r="Y843" s="1">
        <f t="shared" si="27"/>
        <v>0</v>
      </c>
    </row>
    <row r="844" spans="24:25" x14ac:dyDescent="0.3">
      <c r="X844" s="1">
        <f t="shared" si="26"/>
        <v>0</v>
      </c>
      <c r="Y844" s="1">
        <f t="shared" si="27"/>
        <v>0</v>
      </c>
    </row>
    <row r="845" spans="24:25" x14ac:dyDescent="0.3">
      <c r="X845" s="1">
        <f t="shared" si="26"/>
        <v>0</v>
      </c>
      <c r="Y845" s="1">
        <f t="shared" si="27"/>
        <v>0</v>
      </c>
    </row>
    <row r="846" spans="24:25" x14ac:dyDescent="0.3">
      <c r="X846" s="1">
        <f t="shared" si="26"/>
        <v>0</v>
      </c>
      <c r="Y846" s="1">
        <f t="shared" si="27"/>
        <v>0</v>
      </c>
    </row>
    <row r="847" spans="24:25" x14ac:dyDescent="0.3">
      <c r="X847" s="1">
        <f t="shared" si="26"/>
        <v>0</v>
      </c>
      <c r="Y847" s="1">
        <f t="shared" si="27"/>
        <v>0</v>
      </c>
    </row>
    <row r="848" spans="24:25" x14ac:dyDescent="0.3">
      <c r="X848" s="1">
        <f t="shared" si="26"/>
        <v>0</v>
      </c>
      <c r="Y848" s="1">
        <f t="shared" si="27"/>
        <v>0</v>
      </c>
    </row>
    <row r="849" spans="24:25" x14ac:dyDescent="0.3">
      <c r="X849" s="1">
        <f t="shared" si="26"/>
        <v>0</v>
      </c>
      <c r="Y849" s="1">
        <f t="shared" si="27"/>
        <v>0</v>
      </c>
    </row>
    <row r="850" spans="24:25" x14ac:dyDescent="0.3">
      <c r="X850" s="1">
        <f t="shared" si="26"/>
        <v>0</v>
      </c>
      <c r="Y850" s="1">
        <f t="shared" si="27"/>
        <v>0</v>
      </c>
    </row>
    <row r="851" spans="24:25" x14ac:dyDescent="0.3">
      <c r="X851" s="1">
        <f t="shared" si="26"/>
        <v>0</v>
      </c>
      <c r="Y851" s="1">
        <f t="shared" si="27"/>
        <v>0</v>
      </c>
    </row>
    <row r="852" spans="24:25" x14ac:dyDescent="0.3">
      <c r="X852" s="1">
        <f t="shared" si="26"/>
        <v>0</v>
      </c>
      <c r="Y852" s="1">
        <f t="shared" si="27"/>
        <v>0</v>
      </c>
    </row>
    <row r="853" spans="24:25" x14ac:dyDescent="0.3">
      <c r="X853" s="1">
        <f t="shared" si="26"/>
        <v>0</v>
      </c>
      <c r="Y853" s="1">
        <f t="shared" si="27"/>
        <v>0</v>
      </c>
    </row>
    <row r="854" spans="24:25" x14ac:dyDescent="0.3">
      <c r="X854" s="1">
        <f t="shared" si="26"/>
        <v>0</v>
      </c>
      <c r="Y854" s="1">
        <f t="shared" si="27"/>
        <v>0</v>
      </c>
    </row>
    <row r="855" spans="24:25" x14ac:dyDescent="0.3">
      <c r="X855" s="1">
        <f t="shared" si="26"/>
        <v>0</v>
      </c>
      <c r="Y855" s="1">
        <f t="shared" si="27"/>
        <v>0</v>
      </c>
    </row>
    <row r="856" spans="24:25" x14ac:dyDescent="0.3">
      <c r="X856" s="1">
        <f t="shared" si="26"/>
        <v>0</v>
      </c>
      <c r="Y856" s="1">
        <f t="shared" si="27"/>
        <v>0</v>
      </c>
    </row>
    <row r="857" spans="24:25" x14ac:dyDescent="0.3">
      <c r="X857" s="1">
        <f t="shared" si="26"/>
        <v>0</v>
      </c>
      <c r="Y857" s="1">
        <f t="shared" si="27"/>
        <v>0</v>
      </c>
    </row>
    <row r="858" spans="24:25" x14ac:dyDescent="0.3">
      <c r="X858" s="1">
        <f t="shared" si="26"/>
        <v>0</v>
      </c>
      <c r="Y858" s="1">
        <f t="shared" si="27"/>
        <v>0</v>
      </c>
    </row>
    <row r="859" spans="24:25" x14ac:dyDescent="0.3">
      <c r="X859" s="1">
        <f t="shared" si="26"/>
        <v>0</v>
      </c>
      <c r="Y859" s="1">
        <f t="shared" si="27"/>
        <v>0</v>
      </c>
    </row>
    <row r="860" spans="24:25" x14ac:dyDescent="0.3">
      <c r="X860" s="1">
        <f t="shared" si="26"/>
        <v>0</v>
      </c>
      <c r="Y860" s="1">
        <f t="shared" si="27"/>
        <v>0</v>
      </c>
    </row>
    <row r="861" spans="24:25" x14ac:dyDescent="0.3">
      <c r="X861" s="1">
        <f t="shared" si="26"/>
        <v>0</v>
      </c>
      <c r="Y861" s="1">
        <f t="shared" si="27"/>
        <v>0</v>
      </c>
    </row>
    <row r="862" spans="24:25" x14ac:dyDescent="0.3">
      <c r="X862" s="1">
        <f t="shared" si="26"/>
        <v>0</v>
      </c>
      <c r="Y862" s="1">
        <f t="shared" si="27"/>
        <v>0</v>
      </c>
    </row>
    <row r="863" spans="24:25" x14ac:dyDescent="0.3">
      <c r="X863" s="1">
        <f t="shared" si="26"/>
        <v>0</v>
      </c>
      <c r="Y863" s="1">
        <f t="shared" si="27"/>
        <v>0</v>
      </c>
    </row>
    <row r="864" spans="24:25" x14ac:dyDescent="0.3">
      <c r="X864" s="1">
        <f t="shared" si="26"/>
        <v>0</v>
      </c>
      <c r="Y864" s="1">
        <f t="shared" si="27"/>
        <v>0</v>
      </c>
    </row>
    <row r="865" spans="24:25" x14ac:dyDescent="0.3">
      <c r="X865" s="1">
        <f t="shared" si="26"/>
        <v>0</v>
      </c>
      <c r="Y865" s="1">
        <f t="shared" si="27"/>
        <v>0</v>
      </c>
    </row>
    <row r="866" spans="24:25" x14ac:dyDescent="0.3">
      <c r="X866" s="1">
        <f t="shared" si="26"/>
        <v>0</v>
      </c>
      <c r="Y866" s="1">
        <f t="shared" si="27"/>
        <v>0</v>
      </c>
    </row>
    <row r="867" spans="24:25" x14ac:dyDescent="0.3">
      <c r="X867" s="1">
        <f t="shared" si="26"/>
        <v>0</v>
      </c>
      <c r="Y867" s="1">
        <f t="shared" si="27"/>
        <v>0</v>
      </c>
    </row>
    <row r="868" spans="24:25" x14ac:dyDescent="0.3">
      <c r="X868" s="1">
        <f t="shared" si="26"/>
        <v>0</v>
      </c>
      <c r="Y868" s="1">
        <f t="shared" si="27"/>
        <v>0</v>
      </c>
    </row>
    <row r="869" spans="24:25" x14ac:dyDescent="0.3">
      <c r="X869" s="1">
        <f t="shared" si="26"/>
        <v>0</v>
      </c>
      <c r="Y869" s="1">
        <f t="shared" si="27"/>
        <v>0</v>
      </c>
    </row>
    <row r="870" spans="24:25" x14ac:dyDescent="0.3">
      <c r="X870" s="1">
        <f t="shared" si="26"/>
        <v>0</v>
      </c>
      <c r="Y870" s="1">
        <f t="shared" si="27"/>
        <v>0</v>
      </c>
    </row>
    <row r="871" spans="24:25" x14ac:dyDescent="0.3">
      <c r="X871" s="1">
        <f t="shared" si="26"/>
        <v>0</v>
      </c>
      <c r="Y871" s="1">
        <f t="shared" si="27"/>
        <v>0</v>
      </c>
    </row>
    <row r="872" spans="24:25" x14ac:dyDescent="0.3">
      <c r="X872" s="1">
        <f t="shared" si="26"/>
        <v>0</v>
      </c>
      <c r="Y872" s="1">
        <f t="shared" si="27"/>
        <v>0</v>
      </c>
    </row>
    <row r="873" spans="24:25" x14ac:dyDescent="0.3">
      <c r="X873" s="1">
        <f t="shared" si="26"/>
        <v>0</v>
      </c>
      <c r="Y873" s="1">
        <f t="shared" si="27"/>
        <v>0</v>
      </c>
    </row>
    <row r="874" spans="24:25" x14ac:dyDescent="0.3">
      <c r="X874" s="1">
        <f t="shared" si="26"/>
        <v>0</v>
      </c>
      <c r="Y874" s="1">
        <f t="shared" si="27"/>
        <v>0</v>
      </c>
    </row>
    <row r="875" spans="24:25" x14ac:dyDescent="0.3">
      <c r="X875" s="1">
        <f t="shared" si="26"/>
        <v>0</v>
      </c>
      <c r="Y875" s="1">
        <f t="shared" si="27"/>
        <v>0</v>
      </c>
    </row>
    <row r="876" spans="24:25" x14ac:dyDescent="0.3">
      <c r="X876" s="1">
        <f t="shared" si="26"/>
        <v>0</v>
      </c>
      <c r="Y876" s="1">
        <f t="shared" si="27"/>
        <v>0</v>
      </c>
    </row>
    <row r="877" spans="24:25" x14ac:dyDescent="0.3">
      <c r="X877" s="1">
        <f t="shared" si="26"/>
        <v>0</v>
      </c>
      <c r="Y877" s="1">
        <f t="shared" si="27"/>
        <v>0</v>
      </c>
    </row>
    <row r="878" spans="24:25" x14ac:dyDescent="0.3">
      <c r="X878" s="1">
        <f t="shared" si="26"/>
        <v>0</v>
      </c>
      <c r="Y878" s="1">
        <f t="shared" si="27"/>
        <v>0</v>
      </c>
    </row>
    <row r="879" spans="24:25" x14ac:dyDescent="0.3">
      <c r="X879" s="1">
        <f t="shared" si="26"/>
        <v>0</v>
      </c>
      <c r="Y879" s="1">
        <f t="shared" si="27"/>
        <v>0</v>
      </c>
    </row>
    <row r="880" spans="24:25" x14ac:dyDescent="0.3">
      <c r="X880" s="1">
        <f t="shared" si="26"/>
        <v>0</v>
      </c>
      <c r="Y880" s="1">
        <f t="shared" si="27"/>
        <v>0</v>
      </c>
    </row>
    <row r="881" spans="24:25" x14ac:dyDescent="0.3">
      <c r="X881" s="1">
        <f t="shared" si="26"/>
        <v>0</v>
      </c>
      <c r="Y881" s="1">
        <f t="shared" si="27"/>
        <v>0</v>
      </c>
    </row>
    <row r="882" spans="24:25" x14ac:dyDescent="0.3">
      <c r="X882" s="1">
        <f t="shared" si="26"/>
        <v>0</v>
      </c>
      <c r="Y882" s="1">
        <f t="shared" si="27"/>
        <v>0</v>
      </c>
    </row>
    <row r="883" spans="24:25" x14ac:dyDescent="0.3">
      <c r="X883" s="1">
        <f t="shared" si="26"/>
        <v>0</v>
      </c>
      <c r="Y883" s="1">
        <f t="shared" si="27"/>
        <v>0</v>
      </c>
    </row>
    <row r="884" spans="24:25" x14ac:dyDescent="0.3">
      <c r="X884" s="1">
        <f t="shared" si="26"/>
        <v>0</v>
      </c>
      <c r="Y884" s="1">
        <f t="shared" si="27"/>
        <v>0</v>
      </c>
    </row>
    <row r="885" spans="24:25" x14ac:dyDescent="0.3">
      <c r="X885" s="1">
        <f t="shared" si="26"/>
        <v>0</v>
      </c>
      <c r="Y885" s="1">
        <f t="shared" si="27"/>
        <v>0</v>
      </c>
    </row>
    <row r="886" spans="24:25" x14ac:dyDescent="0.3">
      <c r="X886" s="1">
        <f t="shared" si="26"/>
        <v>0</v>
      </c>
      <c r="Y886" s="1">
        <f t="shared" si="27"/>
        <v>0</v>
      </c>
    </row>
    <row r="887" spans="24:25" x14ac:dyDescent="0.3">
      <c r="X887" s="1">
        <f t="shared" si="26"/>
        <v>0</v>
      </c>
      <c r="Y887" s="1">
        <f t="shared" si="27"/>
        <v>0</v>
      </c>
    </row>
    <row r="888" spans="24:25" x14ac:dyDescent="0.3">
      <c r="X888" s="1">
        <f t="shared" si="26"/>
        <v>0</v>
      </c>
      <c r="Y888" s="1">
        <f t="shared" si="27"/>
        <v>0</v>
      </c>
    </row>
    <row r="889" spans="24:25" x14ac:dyDescent="0.3">
      <c r="X889" s="1">
        <f t="shared" si="26"/>
        <v>0</v>
      </c>
      <c r="Y889" s="1">
        <f t="shared" si="27"/>
        <v>0</v>
      </c>
    </row>
    <row r="890" spans="24:25" x14ac:dyDescent="0.3">
      <c r="X890" s="1">
        <f t="shared" si="26"/>
        <v>0</v>
      </c>
      <c r="Y890" s="1">
        <f t="shared" si="27"/>
        <v>0</v>
      </c>
    </row>
    <row r="891" spans="24:25" x14ac:dyDescent="0.3">
      <c r="X891" s="1">
        <f t="shared" si="26"/>
        <v>0</v>
      </c>
      <c r="Y891" s="1">
        <f t="shared" si="27"/>
        <v>0</v>
      </c>
    </row>
    <row r="892" spans="24:25" x14ac:dyDescent="0.3">
      <c r="X892" s="1">
        <f t="shared" si="26"/>
        <v>0</v>
      </c>
      <c r="Y892" s="1">
        <f t="shared" si="27"/>
        <v>0</v>
      </c>
    </row>
    <row r="893" spans="24:25" x14ac:dyDescent="0.3">
      <c r="X893" s="1">
        <f t="shared" si="26"/>
        <v>0</v>
      </c>
      <c r="Y893" s="1">
        <f t="shared" si="27"/>
        <v>0</v>
      </c>
    </row>
    <row r="894" spans="24:25" x14ac:dyDescent="0.3">
      <c r="X894" s="1">
        <f t="shared" si="26"/>
        <v>0</v>
      </c>
      <c r="Y894" s="1">
        <f t="shared" si="27"/>
        <v>0</v>
      </c>
    </row>
    <row r="895" spans="24:25" x14ac:dyDescent="0.3">
      <c r="X895" s="1">
        <f t="shared" si="26"/>
        <v>0</v>
      </c>
      <c r="Y895" s="1">
        <f t="shared" si="27"/>
        <v>0</v>
      </c>
    </row>
    <row r="896" spans="24:25" x14ac:dyDescent="0.3">
      <c r="X896" s="1">
        <f t="shared" si="26"/>
        <v>0</v>
      </c>
      <c r="Y896" s="1">
        <f t="shared" si="27"/>
        <v>0</v>
      </c>
    </row>
    <row r="897" spans="24:25" x14ac:dyDescent="0.3">
      <c r="X897" s="1">
        <f t="shared" si="26"/>
        <v>0</v>
      </c>
      <c r="Y897" s="1">
        <f t="shared" si="27"/>
        <v>0</v>
      </c>
    </row>
    <row r="898" spans="24:25" x14ac:dyDescent="0.3">
      <c r="X898" s="1">
        <f t="shared" si="26"/>
        <v>0</v>
      </c>
      <c r="Y898" s="1">
        <f t="shared" si="27"/>
        <v>0</v>
      </c>
    </row>
    <row r="899" spans="24:25" x14ac:dyDescent="0.3">
      <c r="X899" s="1">
        <f t="shared" ref="X899:X962" si="28">IFERROR(MATCH(W899,$B:$B,0),0)</f>
        <v>0</v>
      </c>
      <c r="Y899" s="1">
        <f t="shared" ref="Y899:Y962" si="29">IF(X900=0,COUNTA(A:A),X900-1)</f>
        <v>0</v>
      </c>
    </row>
    <row r="900" spans="24:25" x14ac:dyDescent="0.3">
      <c r="X900" s="1">
        <f t="shared" si="28"/>
        <v>0</v>
      </c>
      <c r="Y900" s="1">
        <f t="shared" si="29"/>
        <v>0</v>
      </c>
    </row>
    <row r="901" spans="24:25" x14ac:dyDescent="0.3">
      <c r="X901" s="1">
        <f t="shared" si="28"/>
        <v>0</v>
      </c>
      <c r="Y901" s="1">
        <f t="shared" si="29"/>
        <v>0</v>
      </c>
    </row>
    <row r="902" spans="24:25" x14ac:dyDescent="0.3">
      <c r="X902" s="1">
        <f t="shared" si="28"/>
        <v>0</v>
      </c>
      <c r="Y902" s="1">
        <f t="shared" si="29"/>
        <v>0</v>
      </c>
    </row>
    <row r="903" spans="24:25" x14ac:dyDescent="0.3">
      <c r="X903" s="1">
        <f t="shared" si="28"/>
        <v>0</v>
      </c>
      <c r="Y903" s="1">
        <f t="shared" si="29"/>
        <v>0</v>
      </c>
    </row>
    <row r="904" spans="24:25" x14ac:dyDescent="0.3">
      <c r="X904" s="1">
        <f t="shared" si="28"/>
        <v>0</v>
      </c>
      <c r="Y904" s="1">
        <f t="shared" si="29"/>
        <v>0</v>
      </c>
    </row>
    <row r="905" spans="24:25" x14ac:dyDescent="0.3">
      <c r="X905" s="1">
        <f t="shared" si="28"/>
        <v>0</v>
      </c>
      <c r="Y905" s="1">
        <f t="shared" si="29"/>
        <v>0</v>
      </c>
    </row>
    <row r="906" spans="24:25" x14ac:dyDescent="0.3">
      <c r="X906" s="1">
        <f t="shared" si="28"/>
        <v>0</v>
      </c>
      <c r="Y906" s="1">
        <f t="shared" si="29"/>
        <v>0</v>
      </c>
    </row>
    <row r="907" spans="24:25" x14ac:dyDescent="0.3">
      <c r="X907" s="1">
        <f t="shared" si="28"/>
        <v>0</v>
      </c>
      <c r="Y907" s="1">
        <f t="shared" si="29"/>
        <v>0</v>
      </c>
    </row>
    <row r="908" spans="24:25" x14ac:dyDescent="0.3">
      <c r="X908" s="1">
        <f t="shared" si="28"/>
        <v>0</v>
      </c>
      <c r="Y908" s="1">
        <f t="shared" si="29"/>
        <v>0</v>
      </c>
    </row>
    <row r="909" spans="24:25" x14ac:dyDescent="0.3">
      <c r="X909" s="1">
        <f t="shared" si="28"/>
        <v>0</v>
      </c>
      <c r="Y909" s="1">
        <f t="shared" si="29"/>
        <v>0</v>
      </c>
    </row>
    <row r="910" spans="24:25" x14ac:dyDescent="0.3">
      <c r="X910" s="1">
        <f t="shared" si="28"/>
        <v>0</v>
      </c>
      <c r="Y910" s="1">
        <f t="shared" si="29"/>
        <v>0</v>
      </c>
    </row>
    <row r="911" spans="24:25" x14ac:dyDescent="0.3">
      <c r="X911" s="1">
        <f t="shared" si="28"/>
        <v>0</v>
      </c>
      <c r="Y911" s="1">
        <f t="shared" si="29"/>
        <v>0</v>
      </c>
    </row>
    <row r="912" spans="24:25" x14ac:dyDescent="0.3">
      <c r="X912" s="1">
        <f t="shared" si="28"/>
        <v>0</v>
      </c>
      <c r="Y912" s="1">
        <f t="shared" si="29"/>
        <v>0</v>
      </c>
    </row>
    <row r="913" spans="24:25" x14ac:dyDescent="0.3">
      <c r="X913" s="1">
        <f t="shared" si="28"/>
        <v>0</v>
      </c>
      <c r="Y913" s="1">
        <f t="shared" si="29"/>
        <v>0</v>
      </c>
    </row>
    <row r="914" spans="24:25" x14ac:dyDescent="0.3">
      <c r="X914" s="1">
        <f t="shared" si="28"/>
        <v>0</v>
      </c>
      <c r="Y914" s="1">
        <f t="shared" si="29"/>
        <v>0</v>
      </c>
    </row>
    <row r="915" spans="24:25" x14ac:dyDescent="0.3">
      <c r="X915" s="1">
        <f t="shared" si="28"/>
        <v>0</v>
      </c>
      <c r="Y915" s="1">
        <f t="shared" si="29"/>
        <v>0</v>
      </c>
    </row>
    <row r="916" spans="24:25" x14ac:dyDescent="0.3">
      <c r="X916" s="1">
        <f t="shared" si="28"/>
        <v>0</v>
      </c>
      <c r="Y916" s="1">
        <f t="shared" si="29"/>
        <v>0</v>
      </c>
    </row>
    <row r="917" spans="24:25" x14ac:dyDescent="0.3">
      <c r="X917" s="1">
        <f t="shared" si="28"/>
        <v>0</v>
      </c>
      <c r="Y917" s="1">
        <f t="shared" si="29"/>
        <v>0</v>
      </c>
    </row>
    <row r="918" spans="24:25" x14ac:dyDescent="0.3">
      <c r="X918" s="1">
        <f t="shared" si="28"/>
        <v>0</v>
      </c>
      <c r="Y918" s="1">
        <f t="shared" si="29"/>
        <v>0</v>
      </c>
    </row>
    <row r="919" spans="24:25" x14ac:dyDescent="0.3">
      <c r="X919" s="1">
        <f t="shared" si="28"/>
        <v>0</v>
      </c>
      <c r="Y919" s="1">
        <f t="shared" si="29"/>
        <v>0</v>
      </c>
    </row>
    <row r="920" spans="24:25" x14ac:dyDescent="0.3">
      <c r="X920" s="1">
        <f t="shared" si="28"/>
        <v>0</v>
      </c>
      <c r="Y920" s="1">
        <f t="shared" si="29"/>
        <v>0</v>
      </c>
    </row>
    <row r="921" spans="24:25" x14ac:dyDescent="0.3">
      <c r="X921" s="1">
        <f t="shared" si="28"/>
        <v>0</v>
      </c>
      <c r="Y921" s="1">
        <f t="shared" si="29"/>
        <v>0</v>
      </c>
    </row>
    <row r="922" spans="24:25" x14ac:dyDescent="0.3">
      <c r="X922" s="1">
        <f t="shared" si="28"/>
        <v>0</v>
      </c>
      <c r="Y922" s="1">
        <f t="shared" si="29"/>
        <v>0</v>
      </c>
    </row>
    <row r="923" spans="24:25" x14ac:dyDescent="0.3">
      <c r="X923" s="1">
        <f t="shared" si="28"/>
        <v>0</v>
      </c>
      <c r="Y923" s="1">
        <f t="shared" si="29"/>
        <v>0</v>
      </c>
    </row>
    <row r="924" spans="24:25" x14ac:dyDescent="0.3">
      <c r="X924" s="1">
        <f t="shared" si="28"/>
        <v>0</v>
      </c>
      <c r="Y924" s="1">
        <f t="shared" si="29"/>
        <v>0</v>
      </c>
    </row>
    <row r="925" spans="24:25" x14ac:dyDescent="0.3">
      <c r="X925" s="1">
        <f t="shared" si="28"/>
        <v>0</v>
      </c>
      <c r="Y925" s="1">
        <f t="shared" si="29"/>
        <v>0</v>
      </c>
    </row>
    <row r="926" spans="24:25" x14ac:dyDescent="0.3">
      <c r="X926" s="1">
        <f t="shared" si="28"/>
        <v>0</v>
      </c>
      <c r="Y926" s="1">
        <f t="shared" si="29"/>
        <v>0</v>
      </c>
    </row>
    <row r="927" spans="24:25" x14ac:dyDescent="0.3">
      <c r="X927" s="1">
        <f t="shared" si="28"/>
        <v>0</v>
      </c>
      <c r="Y927" s="1">
        <f t="shared" si="29"/>
        <v>0</v>
      </c>
    </row>
    <row r="928" spans="24:25" x14ac:dyDescent="0.3">
      <c r="X928" s="1">
        <f t="shared" si="28"/>
        <v>0</v>
      </c>
      <c r="Y928" s="1">
        <f t="shared" si="29"/>
        <v>0</v>
      </c>
    </row>
    <row r="929" spans="24:25" x14ac:dyDescent="0.3">
      <c r="X929" s="1">
        <f t="shared" si="28"/>
        <v>0</v>
      </c>
      <c r="Y929" s="1">
        <f t="shared" si="29"/>
        <v>0</v>
      </c>
    </row>
    <row r="930" spans="24:25" x14ac:dyDescent="0.3">
      <c r="X930" s="1">
        <f t="shared" si="28"/>
        <v>0</v>
      </c>
      <c r="Y930" s="1">
        <f t="shared" si="29"/>
        <v>0</v>
      </c>
    </row>
    <row r="931" spans="24:25" x14ac:dyDescent="0.3">
      <c r="X931" s="1">
        <f t="shared" si="28"/>
        <v>0</v>
      </c>
      <c r="Y931" s="1">
        <f t="shared" si="29"/>
        <v>0</v>
      </c>
    </row>
    <row r="932" spans="24:25" x14ac:dyDescent="0.3">
      <c r="X932" s="1">
        <f t="shared" si="28"/>
        <v>0</v>
      </c>
      <c r="Y932" s="1">
        <f t="shared" si="29"/>
        <v>0</v>
      </c>
    </row>
    <row r="933" spans="24:25" x14ac:dyDescent="0.3">
      <c r="X933" s="1">
        <f t="shared" si="28"/>
        <v>0</v>
      </c>
      <c r="Y933" s="1">
        <f t="shared" si="29"/>
        <v>0</v>
      </c>
    </row>
    <row r="934" spans="24:25" x14ac:dyDescent="0.3">
      <c r="X934" s="1">
        <f t="shared" si="28"/>
        <v>0</v>
      </c>
      <c r="Y934" s="1">
        <f t="shared" si="29"/>
        <v>0</v>
      </c>
    </row>
    <row r="935" spans="24:25" x14ac:dyDescent="0.3">
      <c r="X935" s="1">
        <f t="shared" si="28"/>
        <v>0</v>
      </c>
      <c r="Y935" s="1">
        <f t="shared" si="29"/>
        <v>0</v>
      </c>
    </row>
    <row r="936" spans="24:25" x14ac:dyDescent="0.3">
      <c r="X936" s="1">
        <f t="shared" si="28"/>
        <v>0</v>
      </c>
      <c r="Y936" s="1">
        <f t="shared" si="29"/>
        <v>0</v>
      </c>
    </row>
    <row r="937" spans="24:25" x14ac:dyDescent="0.3">
      <c r="X937" s="1">
        <f t="shared" si="28"/>
        <v>0</v>
      </c>
      <c r="Y937" s="1">
        <f t="shared" si="29"/>
        <v>0</v>
      </c>
    </row>
    <row r="938" spans="24:25" x14ac:dyDescent="0.3">
      <c r="X938" s="1">
        <f t="shared" si="28"/>
        <v>0</v>
      </c>
      <c r="Y938" s="1">
        <f t="shared" si="29"/>
        <v>0</v>
      </c>
    </row>
    <row r="939" spans="24:25" x14ac:dyDescent="0.3">
      <c r="X939" s="1">
        <f t="shared" si="28"/>
        <v>0</v>
      </c>
      <c r="Y939" s="1">
        <f t="shared" si="29"/>
        <v>0</v>
      </c>
    </row>
    <row r="940" spans="24:25" x14ac:dyDescent="0.3">
      <c r="X940" s="1">
        <f t="shared" si="28"/>
        <v>0</v>
      </c>
      <c r="Y940" s="1">
        <f t="shared" si="29"/>
        <v>0</v>
      </c>
    </row>
    <row r="941" spans="24:25" x14ac:dyDescent="0.3">
      <c r="X941" s="1">
        <f t="shared" si="28"/>
        <v>0</v>
      </c>
      <c r="Y941" s="1">
        <f t="shared" si="29"/>
        <v>0</v>
      </c>
    </row>
    <row r="942" spans="24:25" x14ac:dyDescent="0.3">
      <c r="X942" s="1">
        <f t="shared" si="28"/>
        <v>0</v>
      </c>
      <c r="Y942" s="1">
        <f t="shared" si="29"/>
        <v>0</v>
      </c>
    </row>
    <row r="943" spans="24:25" x14ac:dyDescent="0.3">
      <c r="X943" s="1">
        <f t="shared" si="28"/>
        <v>0</v>
      </c>
      <c r="Y943" s="1">
        <f t="shared" si="29"/>
        <v>0</v>
      </c>
    </row>
    <row r="944" spans="24:25" x14ac:dyDescent="0.3">
      <c r="X944" s="1">
        <f t="shared" si="28"/>
        <v>0</v>
      </c>
      <c r="Y944" s="1">
        <f t="shared" si="29"/>
        <v>0</v>
      </c>
    </row>
    <row r="945" spans="24:25" x14ac:dyDescent="0.3">
      <c r="X945" s="1">
        <f t="shared" si="28"/>
        <v>0</v>
      </c>
      <c r="Y945" s="1">
        <f t="shared" si="29"/>
        <v>0</v>
      </c>
    </row>
    <row r="946" spans="24:25" x14ac:dyDescent="0.3">
      <c r="X946" s="1">
        <f t="shared" si="28"/>
        <v>0</v>
      </c>
      <c r="Y946" s="1">
        <f t="shared" si="29"/>
        <v>0</v>
      </c>
    </row>
    <row r="947" spans="24:25" x14ac:dyDescent="0.3">
      <c r="X947" s="1">
        <f t="shared" si="28"/>
        <v>0</v>
      </c>
      <c r="Y947" s="1">
        <f t="shared" si="29"/>
        <v>0</v>
      </c>
    </row>
    <row r="948" spans="24:25" x14ac:dyDescent="0.3">
      <c r="X948" s="1">
        <f t="shared" si="28"/>
        <v>0</v>
      </c>
      <c r="Y948" s="1">
        <f t="shared" si="29"/>
        <v>0</v>
      </c>
    </row>
    <row r="949" spans="24:25" x14ac:dyDescent="0.3">
      <c r="X949" s="1">
        <f t="shared" si="28"/>
        <v>0</v>
      </c>
      <c r="Y949" s="1">
        <f t="shared" si="29"/>
        <v>0</v>
      </c>
    </row>
    <row r="950" spans="24:25" x14ac:dyDescent="0.3">
      <c r="X950" s="1">
        <f t="shared" si="28"/>
        <v>0</v>
      </c>
      <c r="Y950" s="1">
        <f t="shared" si="29"/>
        <v>0</v>
      </c>
    </row>
    <row r="951" spans="24:25" x14ac:dyDescent="0.3">
      <c r="X951" s="1">
        <f t="shared" si="28"/>
        <v>0</v>
      </c>
      <c r="Y951" s="1">
        <f t="shared" si="29"/>
        <v>0</v>
      </c>
    </row>
    <row r="952" spans="24:25" x14ac:dyDescent="0.3">
      <c r="X952" s="1">
        <f t="shared" si="28"/>
        <v>0</v>
      </c>
      <c r="Y952" s="1">
        <f t="shared" si="29"/>
        <v>0</v>
      </c>
    </row>
    <row r="953" spans="24:25" x14ac:dyDescent="0.3">
      <c r="X953" s="1">
        <f t="shared" si="28"/>
        <v>0</v>
      </c>
      <c r="Y953" s="1">
        <f t="shared" si="29"/>
        <v>0</v>
      </c>
    </row>
    <row r="954" spans="24:25" x14ac:dyDescent="0.3">
      <c r="X954" s="1">
        <f t="shared" si="28"/>
        <v>0</v>
      </c>
      <c r="Y954" s="1">
        <f t="shared" si="29"/>
        <v>0</v>
      </c>
    </row>
    <row r="955" spans="24:25" x14ac:dyDescent="0.3">
      <c r="X955" s="1">
        <f t="shared" si="28"/>
        <v>0</v>
      </c>
      <c r="Y955" s="1">
        <f t="shared" si="29"/>
        <v>0</v>
      </c>
    </row>
    <row r="956" spans="24:25" x14ac:dyDescent="0.3">
      <c r="X956" s="1">
        <f t="shared" si="28"/>
        <v>0</v>
      </c>
      <c r="Y956" s="1">
        <f t="shared" si="29"/>
        <v>0</v>
      </c>
    </row>
    <row r="957" spans="24:25" x14ac:dyDescent="0.3">
      <c r="X957" s="1">
        <f t="shared" si="28"/>
        <v>0</v>
      </c>
      <c r="Y957" s="1">
        <f t="shared" si="29"/>
        <v>0</v>
      </c>
    </row>
    <row r="958" spans="24:25" x14ac:dyDescent="0.3">
      <c r="X958" s="1">
        <f t="shared" si="28"/>
        <v>0</v>
      </c>
      <c r="Y958" s="1">
        <f t="shared" si="29"/>
        <v>0</v>
      </c>
    </row>
    <row r="959" spans="24:25" x14ac:dyDescent="0.3">
      <c r="X959" s="1">
        <f t="shared" si="28"/>
        <v>0</v>
      </c>
      <c r="Y959" s="1">
        <f t="shared" si="29"/>
        <v>0</v>
      </c>
    </row>
    <row r="960" spans="24:25" x14ac:dyDescent="0.3">
      <c r="X960" s="1">
        <f t="shared" si="28"/>
        <v>0</v>
      </c>
      <c r="Y960" s="1">
        <f t="shared" si="29"/>
        <v>0</v>
      </c>
    </row>
    <row r="961" spans="24:25" x14ac:dyDescent="0.3">
      <c r="X961" s="1">
        <f t="shared" si="28"/>
        <v>0</v>
      </c>
      <c r="Y961" s="1">
        <f t="shared" si="29"/>
        <v>0</v>
      </c>
    </row>
    <row r="962" spans="24:25" x14ac:dyDescent="0.3">
      <c r="X962" s="1">
        <f t="shared" si="28"/>
        <v>0</v>
      </c>
      <c r="Y962" s="1">
        <f t="shared" si="29"/>
        <v>0</v>
      </c>
    </row>
    <row r="963" spans="24:25" x14ac:dyDescent="0.3">
      <c r="X963" s="1">
        <f t="shared" ref="X963:X1026" si="30">IFERROR(MATCH(W963,$B:$B,0),0)</f>
        <v>0</v>
      </c>
      <c r="Y963" s="1">
        <f t="shared" ref="Y963:Y1026" si="31">IF(X964=0,COUNTA(A:A),X964-1)</f>
        <v>0</v>
      </c>
    </row>
    <row r="964" spans="24:25" x14ac:dyDescent="0.3">
      <c r="X964" s="1">
        <f t="shared" si="30"/>
        <v>0</v>
      </c>
      <c r="Y964" s="1">
        <f t="shared" si="31"/>
        <v>0</v>
      </c>
    </row>
    <row r="965" spans="24:25" x14ac:dyDescent="0.3">
      <c r="X965" s="1">
        <f t="shared" si="30"/>
        <v>0</v>
      </c>
      <c r="Y965" s="1">
        <f t="shared" si="31"/>
        <v>0</v>
      </c>
    </row>
    <row r="966" spans="24:25" x14ac:dyDescent="0.3">
      <c r="X966" s="1">
        <f t="shared" si="30"/>
        <v>0</v>
      </c>
      <c r="Y966" s="1">
        <f t="shared" si="31"/>
        <v>0</v>
      </c>
    </row>
    <row r="967" spans="24:25" x14ac:dyDescent="0.3">
      <c r="X967" s="1">
        <f t="shared" si="30"/>
        <v>0</v>
      </c>
      <c r="Y967" s="1">
        <f t="shared" si="31"/>
        <v>0</v>
      </c>
    </row>
    <row r="968" spans="24:25" x14ac:dyDescent="0.3">
      <c r="X968" s="1">
        <f t="shared" si="30"/>
        <v>0</v>
      </c>
      <c r="Y968" s="1">
        <f t="shared" si="31"/>
        <v>0</v>
      </c>
    </row>
    <row r="969" spans="24:25" x14ac:dyDescent="0.3">
      <c r="X969" s="1">
        <f t="shared" si="30"/>
        <v>0</v>
      </c>
      <c r="Y969" s="1">
        <f t="shared" si="31"/>
        <v>0</v>
      </c>
    </row>
    <row r="970" spans="24:25" x14ac:dyDescent="0.3">
      <c r="X970" s="1">
        <f t="shared" si="30"/>
        <v>0</v>
      </c>
      <c r="Y970" s="1">
        <f t="shared" si="31"/>
        <v>0</v>
      </c>
    </row>
    <row r="971" spans="24:25" x14ac:dyDescent="0.3">
      <c r="X971" s="1">
        <f t="shared" si="30"/>
        <v>0</v>
      </c>
      <c r="Y971" s="1">
        <f t="shared" si="31"/>
        <v>0</v>
      </c>
    </row>
    <row r="972" spans="24:25" x14ac:dyDescent="0.3">
      <c r="X972" s="1">
        <f t="shared" si="30"/>
        <v>0</v>
      </c>
      <c r="Y972" s="1">
        <f t="shared" si="31"/>
        <v>0</v>
      </c>
    </row>
    <row r="973" spans="24:25" x14ac:dyDescent="0.3">
      <c r="X973" s="1">
        <f t="shared" si="30"/>
        <v>0</v>
      </c>
      <c r="Y973" s="1">
        <f t="shared" si="31"/>
        <v>0</v>
      </c>
    </row>
    <row r="974" spans="24:25" x14ac:dyDescent="0.3">
      <c r="X974" s="1">
        <f t="shared" si="30"/>
        <v>0</v>
      </c>
      <c r="Y974" s="1">
        <f t="shared" si="31"/>
        <v>0</v>
      </c>
    </row>
    <row r="975" spans="24:25" x14ac:dyDescent="0.3">
      <c r="X975" s="1">
        <f t="shared" si="30"/>
        <v>0</v>
      </c>
      <c r="Y975" s="1">
        <f t="shared" si="31"/>
        <v>0</v>
      </c>
    </row>
    <row r="976" spans="24:25" x14ac:dyDescent="0.3">
      <c r="X976" s="1">
        <f t="shared" si="30"/>
        <v>0</v>
      </c>
      <c r="Y976" s="1">
        <f t="shared" si="31"/>
        <v>0</v>
      </c>
    </row>
    <row r="977" spans="24:25" x14ac:dyDescent="0.3">
      <c r="X977" s="1">
        <f t="shared" si="30"/>
        <v>0</v>
      </c>
      <c r="Y977" s="1">
        <f t="shared" si="31"/>
        <v>0</v>
      </c>
    </row>
    <row r="978" spans="24:25" x14ac:dyDescent="0.3">
      <c r="X978" s="1">
        <f t="shared" si="30"/>
        <v>0</v>
      </c>
      <c r="Y978" s="1">
        <f t="shared" si="31"/>
        <v>0</v>
      </c>
    </row>
    <row r="979" spans="24:25" x14ac:dyDescent="0.3">
      <c r="X979" s="1">
        <f t="shared" si="30"/>
        <v>0</v>
      </c>
      <c r="Y979" s="1">
        <f t="shared" si="31"/>
        <v>0</v>
      </c>
    </row>
    <row r="980" spans="24:25" x14ac:dyDescent="0.3">
      <c r="X980" s="1">
        <f t="shared" si="30"/>
        <v>0</v>
      </c>
      <c r="Y980" s="1">
        <f t="shared" si="31"/>
        <v>0</v>
      </c>
    </row>
    <row r="981" spans="24:25" x14ac:dyDescent="0.3">
      <c r="X981" s="1">
        <f t="shared" si="30"/>
        <v>0</v>
      </c>
      <c r="Y981" s="1">
        <f t="shared" si="31"/>
        <v>0</v>
      </c>
    </row>
    <row r="982" spans="24:25" x14ac:dyDescent="0.3">
      <c r="X982" s="1">
        <f t="shared" si="30"/>
        <v>0</v>
      </c>
      <c r="Y982" s="1">
        <f t="shared" si="31"/>
        <v>0</v>
      </c>
    </row>
    <row r="983" spans="24:25" x14ac:dyDescent="0.3">
      <c r="X983" s="1">
        <f t="shared" si="30"/>
        <v>0</v>
      </c>
      <c r="Y983" s="1">
        <f t="shared" si="31"/>
        <v>0</v>
      </c>
    </row>
    <row r="984" spans="24:25" x14ac:dyDescent="0.3">
      <c r="X984" s="1">
        <f t="shared" si="30"/>
        <v>0</v>
      </c>
      <c r="Y984" s="1">
        <f t="shared" si="31"/>
        <v>0</v>
      </c>
    </row>
    <row r="985" spans="24:25" x14ac:dyDescent="0.3">
      <c r="X985" s="1">
        <f t="shared" si="30"/>
        <v>0</v>
      </c>
      <c r="Y985" s="1">
        <f t="shared" si="31"/>
        <v>0</v>
      </c>
    </row>
    <row r="986" spans="24:25" x14ac:dyDescent="0.3">
      <c r="X986" s="1">
        <f t="shared" si="30"/>
        <v>0</v>
      </c>
      <c r="Y986" s="1">
        <f t="shared" si="31"/>
        <v>0</v>
      </c>
    </row>
    <row r="987" spans="24:25" x14ac:dyDescent="0.3">
      <c r="X987" s="1">
        <f t="shared" si="30"/>
        <v>0</v>
      </c>
      <c r="Y987" s="1">
        <f t="shared" si="31"/>
        <v>0</v>
      </c>
    </row>
    <row r="988" spans="24:25" x14ac:dyDescent="0.3">
      <c r="X988" s="1">
        <f t="shared" si="30"/>
        <v>0</v>
      </c>
      <c r="Y988" s="1">
        <f t="shared" si="31"/>
        <v>0</v>
      </c>
    </row>
    <row r="989" spans="24:25" x14ac:dyDescent="0.3">
      <c r="X989" s="1">
        <f t="shared" si="30"/>
        <v>0</v>
      </c>
      <c r="Y989" s="1">
        <f t="shared" si="31"/>
        <v>0</v>
      </c>
    </row>
    <row r="990" spans="24:25" x14ac:dyDescent="0.3">
      <c r="X990" s="1">
        <f t="shared" si="30"/>
        <v>0</v>
      </c>
      <c r="Y990" s="1">
        <f t="shared" si="31"/>
        <v>0</v>
      </c>
    </row>
    <row r="991" spans="24:25" x14ac:dyDescent="0.3">
      <c r="X991" s="1">
        <f t="shared" si="30"/>
        <v>0</v>
      </c>
      <c r="Y991" s="1">
        <f t="shared" si="31"/>
        <v>0</v>
      </c>
    </row>
    <row r="992" spans="24:25" x14ac:dyDescent="0.3">
      <c r="X992" s="1">
        <f t="shared" si="30"/>
        <v>0</v>
      </c>
      <c r="Y992" s="1">
        <f t="shared" si="31"/>
        <v>0</v>
      </c>
    </row>
    <row r="993" spans="24:25" x14ac:dyDescent="0.3">
      <c r="X993" s="1">
        <f t="shared" si="30"/>
        <v>0</v>
      </c>
      <c r="Y993" s="1">
        <f t="shared" si="31"/>
        <v>0</v>
      </c>
    </row>
    <row r="994" spans="24:25" x14ac:dyDescent="0.3">
      <c r="X994" s="1">
        <f t="shared" si="30"/>
        <v>0</v>
      </c>
      <c r="Y994" s="1">
        <f t="shared" si="31"/>
        <v>0</v>
      </c>
    </row>
    <row r="995" spans="24:25" x14ac:dyDescent="0.3">
      <c r="X995" s="1">
        <f t="shared" si="30"/>
        <v>0</v>
      </c>
      <c r="Y995" s="1">
        <f t="shared" si="31"/>
        <v>0</v>
      </c>
    </row>
    <row r="996" spans="24:25" x14ac:dyDescent="0.3">
      <c r="X996" s="1">
        <f t="shared" si="30"/>
        <v>0</v>
      </c>
      <c r="Y996" s="1">
        <f t="shared" si="31"/>
        <v>0</v>
      </c>
    </row>
    <row r="997" spans="24:25" x14ac:dyDescent="0.3">
      <c r="X997" s="1">
        <f t="shared" si="30"/>
        <v>0</v>
      </c>
      <c r="Y997" s="1">
        <f t="shared" si="31"/>
        <v>0</v>
      </c>
    </row>
    <row r="998" spans="24:25" x14ac:dyDescent="0.3">
      <c r="X998" s="1">
        <f t="shared" si="30"/>
        <v>0</v>
      </c>
      <c r="Y998" s="1">
        <f t="shared" si="31"/>
        <v>0</v>
      </c>
    </row>
    <row r="999" spans="24:25" x14ac:dyDescent="0.3">
      <c r="X999" s="1">
        <f t="shared" si="30"/>
        <v>0</v>
      </c>
      <c r="Y999" s="1">
        <f t="shared" si="31"/>
        <v>0</v>
      </c>
    </row>
    <row r="1000" spans="24:25" x14ac:dyDescent="0.3">
      <c r="X1000" s="1">
        <f t="shared" si="30"/>
        <v>0</v>
      </c>
      <c r="Y1000" s="1">
        <f t="shared" si="31"/>
        <v>0</v>
      </c>
    </row>
    <row r="1001" spans="24:25" x14ac:dyDescent="0.3">
      <c r="X1001" s="1">
        <f t="shared" si="30"/>
        <v>0</v>
      </c>
      <c r="Y1001" s="1">
        <f t="shared" si="31"/>
        <v>0</v>
      </c>
    </row>
    <row r="1002" spans="24:25" x14ac:dyDescent="0.3">
      <c r="X1002" s="1">
        <f t="shared" si="30"/>
        <v>0</v>
      </c>
      <c r="Y1002" s="1">
        <f t="shared" si="31"/>
        <v>0</v>
      </c>
    </row>
    <row r="1003" spans="24:25" x14ac:dyDescent="0.3">
      <c r="X1003" s="1">
        <f t="shared" si="30"/>
        <v>0</v>
      </c>
      <c r="Y1003" s="1">
        <f t="shared" si="31"/>
        <v>0</v>
      </c>
    </row>
    <row r="1004" spans="24:25" x14ac:dyDescent="0.3">
      <c r="X1004" s="1">
        <f t="shared" si="30"/>
        <v>0</v>
      </c>
      <c r="Y1004" s="1">
        <f t="shared" si="31"/>
        <v>0</v>
      </c>
    </row>
    <row r="1005" spans="24:25" x14ac:dyDescent="0.3">
      <c r="X1005" s="1">
        <f t="shared" si="30"/>
        <v>0</v>
      </c>
      <c r="Y1005" s="1">
        <f t="shared" si="31"/>
        <v>0</v>
      </c>
    </row>
    <row r="1006" spans="24:25" x14ac:dyDescent="0.3">
      <c r="X1006" s="1">
        <f t="shared" si="30"/>
        <v>0</v>
      </c>
      <c r="Y1006" s="1">
        <f t="shared" si="31"/>
        <v>0</v>
      </c>
    </row>
    <row r="1007" spans="24:25" x14ac:dyDescent="0.3">
      <c r="X1007" s="1">
        <f t="shared" si="30"/>
        <v>0</v>
      </c>
      <c r="Y1007" s="1">
        <f t="shared" si="31"/>
        <v>0</v>
      </c>
    </row>
    <row r="1008" spans="24:25" x14ac:dyDescent="0.3">
      <c r="X1008" s="1">
        <f t="shared" si="30"/>
        <v>0</v>
      </c>
      <c r="Y1008" s="1">
        <f t="shared" si="31"/>
        <v>0</v>
      </c>
    </row>
    <row r="1009" spans="24:25" x14ac:dyDescent="0.3">
      <c r="X1009" s="1">
        <f t="shared" si="30"/>
        <v>0</v>
      </c>
      <c r="Y1009" s="1">
        <f t="shared" si="31"/>
        <v>0</v>
      </c>
    </row>
    <row r="1010" spans="24:25" x14ac:dyDescent="0.3">
      <c r="X1010" s="1">
        <f t="shared" si="30"/>
        <v>0</v>
      </c>
      <c r="Y1010" s="1">
        <f t="shared" si="31"/>
        <v>0</v>
      </c>
    </row>
    <row r="1011" spans="24:25" x14ac:dyDescent="0.3">
      <c r="X1011" s="1">
        <f t="shared" si="30"/>
        <v>0</v>
      </c>
      <c r="Y1011" s="1">
        <f t="shared" si="31"/>
        <v>0</v>
      </c>
    </row>
    <row r="1012" spans="24:25" x14ac:dyDescent="0.3">
      <c r="X1012" s="1">
        <f t="shared" si="30"/>
        <v>0</v>
      </c>
      <c r="Y1012" s="1">
        <f t="shared" si="31"/>
        <v>0</v>
      </c>
    </row>
    <row r="1013" spans="24:25" x14ac:dyDescent="0.3">
      <c r="X1013" s="1">
        <f t="shared" si="30"/>
        <v>0</v>
      </c>
      <c r="Y1013" s="1">
        <f t="shared" si="31"/>
        <v>0</v>
      </c>
    </row>
    <row r="1014" spans="24:25" x14ac:dyDescent="0.3">
      <c r="X1014" s="1">
        <f t="shared" si="30"/>
        <v>0</v>
      </c>
      <c r="Y1014" s="1">
        <f t="shared" si="31"/>
        <v>0</v>
      </c>
    </row>
    <row r="1015" spans="24:25" x14ac:dyDescent="0.3">
      <c r="X1015" s="1">
        <f t="shared" si="30"/>
        <v>0</v>
      </c>
      <c r="Y1015" s="1">
        <f t="shared" si="31"/>
        <v>0</v>
      </c>
    </row>
    <row r="1016" spans="24:25" x14ac:dyDescent="0.3">
      <c r="X1016" s="1">
        <f t="shared" si="30"/>
        <v>0</v>
      </c>
      <c r="Y1016" s="1">
        <f t="shared" si="31"/>
        <v>0</v>
      </c>
    </row>
    <row r="1017" spans="24:25" x14ac:dyDescent="0.3">
      <c r="X1017" s="1">
        <f t="shared" si="30"/>
        <v>0</v>
      </c>
      <c r="Y1017" s="1">
        <f t="shared" si="31"/>
        <v>0</v>
      </c>
    </row>
    <row r="1018" spans="24:25" x14ac:dyDescent="0.3">
      <c r="X1018" s="1">
        <f t="shared" si="30"/>
        <v>0</v>
      </c>
      <c r="Y1018" s="1">
        <f t="shared" si="31"/>
        <v>0</v>
      </c>
    </row>
    <row r="1019" spans="24:25" x14ac:dyDescent="0.3">
      <c r="X1019" s="1">
        <f t="shared" si="30"/>
        <v>0</v>
      </c>
      <c r="Y1019" s="1">
        <f t="shared" si="31"/>
        <v>0</v>
      </c>
    </row>
    <row r="1020" spans="24:25" x14ac:dyDescent="0.3">
      <c r="X1020" s="1">
        <f t="shared" si="30"/>
        <v>0</v>
      </c>
      <c r="Y1020" s="1">
        <f t="shared" si="31"/>
        <v>0</v>
      </c>
    </row>
    <row r="1021" spans="24:25" x14ac:dyDescent="0.3">
      <c r="X1021" s="1">
        <f t="shared" si="30"/>
        <v>0</v>
      </c>
      <c r="Y1021" s="1">
        <f t="shared" si="31"/>
        <v>0</v>
      </c>
    </row>
    <row r="1022" spans="24:25" x14ac:dyDescent="0.3">
      <c r="X1022" s="1">
        <f t="shared" si="30"/>
        <v>0</v>
      </c>
      <c r="Y1022" s="1">
        <f t="shared" si="31"/>
        <v>0</v>
      </c>
    </row>
    <row r="1023" spans="24:25" x14ac:dyDescent="0.3">
      <c r="X1023" s="1">
        <f t="shared" si="30"/>
        <v>0</v>
      </c>
      <c r="Y1023" s="1">
        <f t="shared" si="31"/>
        <v>0</v>
      </c>
    </row>
    <row r="1024" spans="24:25" x14ac:dyDescent="0.3">
      <c r="X1024" s="1">
        <f t="shared" si="30"/>
        <v>0</v>
      </c>
      <c r="Y1024" s="1">
        <f t="shared" si="31"/>
        <v>0</v>
      </c>
    </row>
    <row r="1025" spans="24:25" x14ac:dyDescent="0.3">
      <c r="X1025" s="1">
        <f t="shared" si="30"/>
        <v>0</v>
      </c>
      <c r="Y1025" s="1">
        <f t="shared" si="31"/>
        <v>0</v>
      </c>
    </row>
    <row r="1026" spans="24:25" x14ac:dyDescent="0.3">
      <c r="X1026" s="1">
        <f t="shared" si="30"/>
        <v>0</v>
      </c>
      <c r="Y1026" s="1">
        <f t="shared" si="31"/>
        <v>0</v>
      </c>
    </row>
    <row r="1027" spans="24:25" x14ac:dyDescent="0.3">
      <c r="X1027" s="1">
        <f t="shared" ref="X1027:X1090" si="32">IFERROR(MATCH(W1027,$B:$B,0),0)</f>
        <v>0</v>
      </c>
      <c r="Y1027" s="1">
        <f t="shared" ref="Y1027:Y1090" si="33">IF(X1028=0,COUNTA(A:A),X1028-1)</f>
        <v>0</v>
      </c>
    </row>
    <row r="1028" spans="24:25" x14ac:dyDescent="0.3">
      <c r="X1028" s="1">
        <f t="shared" si="32"/>
        <v>0</v>
      </c>
      <c r="Y1028" s="1">
        <f t="shared" si="33"/>
        <v>0</v>
      </c>
    </row>
    <row r="1029" spans="24:25" x14ac:dyDescent="0.3">
      <c r="X1029" s="1">
        <f t="shared" si="32"/>
        <v>0</v>
      </c>
      <c r="Y1029" s="1">
        <f t="shared" si="33"/>
        <v>0</v>
      </c>
    </row>
    <row r="1030" spans="24:25" x14ac:dyDescent="0.3">
      <c r="X1030" s="1">
        <f t="shared" si="32"/>
        <v>0</v>
      </c>
      <c r="Y1030" s="1">
        <f t="shared" si="33"/>
        <v>0</v>
      </c>
    </row>
    <row r="1031" spans="24:25" x14ac:dyDescent="0.3">
      <c r="X1031" s="1">
        <f t="shared" si="32"/>
        <v>0</v>
      </c>
      <c r="Y1031" s="1">
        <f t="shared" si="33"/>
        <v>0</v>
      </c>
    </row>
    <row r="1032" spans="24:25" x14ac:dyDescent="0.3">
      <c r="X1032" s="1">
        <f t="shared" si="32"/>
        <v>0</v>
      </c>
      <c r="Y1032" s="1">
        <f t="shared" si="33"/>
        <v>0</v>
      </c>
    </row>
    <row r="1033" spans="24:25" x14ac:dyDescent="0.3">
      <c r="X1033" s="1">
        <f t="shared" si="32"/>
        <v>0</v>
      </c>
      <c r="Y1033" s="1">
        <f t="shared" si="33"/>
        <v>0</v>
      </c>
    </row>
    <row r="1034" spans="24:25" x14ac:dyDescent="0.3">
      <c r="X1034" s="1">
        <f t="shared" si="32"/>
        <v>0</v>
      </c>
      <c r="Y1034" s="1">
        <f t="shared" si="33"/>
        <v>0</v>
      </c>
    </row>
    <row r="1035" spans="24:25" x14ac:dyDescent="0.3">
      <c r="X1035" s="1">
        <f t="shared" si="32"/>
        <v>0</v>
      </c>
      <c r="Y1035" s="1">
        <f t="shared" si="33"/>
        <v>0</v>
      </c>
    </row>
    <row r="1036" spans="24:25" x14ac:dyDescent="0.3">
      <c r="X1036" s="1">
        <f t="shared" si="32"/>
        <v>0</v>
      </c>
      <c r="Y1036" s="1">
        <f t="shared" si="33"/>
        <v>0</v>
      </c>
    </row>
    <row r="1037" spans="24:25" x14ac:dyDescent="0.3">
      <c r="X1037" s="1">
        <f t="shared" si="32"/>
        <v>0</v>
      </c>
      <c r="Y1037" s="1">
        <f t="shared" si="33"/>
        <v>0</v>
      </c>
    </row>
    <row r="1038" spans="24:25" x14ac:dyDescent="0.3">
      <c r="X1038" s="1">
        <f t="shared" si="32"/>
        <v>0</v>
      </c>
      <c r="Y1038" s="1">
        <f t="shared" si="33"/>
        <v>0</v>
      </c>
    </row>
    <row r="1039" spans="24:25" x14ac:dyDescent="0.3">
      <c r="X1039" s="1">
        <f t="shared" si="32"/>
        <v>0</v>
      </c>
      <c r="Y1039" s="1">
        <f t="shared" si="33"/>
        <v>0</v>
      </c>
    </row>
    <row r="1040" spans="24:25" x14ac:dyDescent="0.3">
      <c r="X1040" s="1">
        <f t="shared" si="32"/>
        <v>0</v>
      </c>
      <c r="Y1040" s="1">
        <f t="shared" si="33"/>
        <v>0</v>
      </c>
    </row>
    <row r="1041" spans="24:25" x14ac:dyDescent="0.3">
      <c r="X1041" s="1">
        <f t="shared" si="32"/>
        <v>0</v>
      </c>
      <c r="Y1041" s="1">
        <f t="shared" si="33"/>
        <v>0</v>
      </c>
    </row>
    <row r="1042" spans="24:25" x14ac:dyDescent="0.3">
      <c r="X1042" s="1">
        <f t="shared" si="32"/>
        <v>0</v>
      </c>
      <c r="Y1042" s="1">
        <f t="shared" si="33"/>
        <v>0</v>
      </c>
    </row>
    <row r="1043" spans="24:25" x14ac:dyDescent="0.3">
      <c r="X1043" s="1">
        <f t="shared" si="32"/>
        <v>0</v>
      </c>
      <c r="Y1043" s="1">
        <f t="shared" si="33"/>
        <v>0</v>
      </c>
    </row>
    <row r="1044" spans="24:25" x14ac:dyDescent="0.3">
      <c r="X1044" s="1">
        <f t="shared" si="32"/>
        <v>0</v>
      </c>
      <c r="Y1044" s="1">
        <f t="shared" si="33"/>
        <v>0</v>
      </c>
    </row>
    <row r="1045" spans="24:25" x14ac:dyDescent="0.3">
      <c r="X1045" s="1">
        <f t="shared" si="32"/>
        <v>0</v>
      </c>
      <c r="Y1045" s="1">
        <f t="shared" si="33"/>
        <v>0</v>
      </c>
    </row>
    <row r="1046" spans="24:25" x14ac:dyDescent="0.3">
      <c r="X1046" s="1">
        <f t="shared" si="32"/>
        <v>0</v>
      </c>
      <c r="Y1046" s="1">
        <f t="shared" si="33"/>
        <v>0</v>
      </c>
    </row>
    <row r="1047" spans="24:25" x14ac:dyDescent="0.3">
      <c r="X1047" s="1">
        <f t="shared" si="32"/>
        <v>0</v>
      </c>
      <c r="Y1047" s="1">
        <f t="shared" si="33"/>
        <v>0</v>
      </c>
    </row>
    <row r="1048" spans="24:25" x14ac:dyDescent="0.3">
      <c r="X1048" s="1">
        <f t="shared" si="32"/>
        <v>0</v>
      </c>
      <c r="Y1048" s="1">
        <f t="shared" si="33"/>
        <v>0</v>
      </c>
    </row>
    <row r="1049" spans="24:25" x14ac:dyDescent="0.3">
      <c r="X1049" s="1">
        <f t="shared" si="32"/>
        <v>0</v>
      </c>
      <c r="Y1049" s="1">
        <f t="shared" si="33"/>
        <v>0</v>
      </c>
    </row>
    <row r="1050" spans="24:25" x14ac:dyDescent="0.3">
      <c r="X1050" s="1">
        <f t="shared" si="32"/>
        <v>0</v>
      </c>
      <c r="Y1050" s="1">
        <f t="shared" si="33"/>
        <v>0</v>
      </c>
    </row>
    <row r="1051" spans="24:25" x14ac:dyDescent="0.3">
      <c r="X1051" s="1">
        <f t="shared" si="32"/>
        <v>0</v>
      </c>
      <c r="Y1051" s="1">
        <f t="shared" si="33"/>
        <v>0</v>
      </c>
    </row>
    <row r="1052" spans="24:25" x14ac:dyDescent="0.3">
      <c r="X1052" s="1">
        <f t="shared" si="32"/>
        <v>0</v>
      </c>
      <c r="Y1052" s="1">
        <f t="shared" si="33"/>
        <v>0</v>
      </c>
    </row>
    <row r="1053" spans="24:25" x14ac:dyDescent="0.3">
      <c r="X1053" s="1">
        <f t="shared" si="32"/>
        <v>0</v>
      </c>
      <c r="Y1053" s="1">
        <f t="shared" si="33"/>
        <v>0</v>
      </c>
    </row>
    <row r="1054" spans="24:25" x14ac:dyDescent="0.3">
      <c r="X1054" s="1">
        <f t="shared" si="32"/>
        <v>0</v>
      </c>
      <c r="Y1054" s="1">
        <f t="shared" si="33"/>
        <v>0</v>
      </c>
    </row>
    <row r="1055" spans="24:25" x14ac:dyDescent="0.3">
      <c r="X1055" s="1">
        <f t="shared" si="32"/>
        <v>0</v>
      </c>
      <c r="Y1055" s="1">
        <f t="shared" si="33"/>
        <v>0</v>
      </c>
    </row>
    <row r="1056" spans="24:25" x14ac:dyDescent="0.3">
      <c r="X1056" s="1">
        <f t="shared" si="32"/>
        <v>0</v>
      </c>
      <c r="Y1056" s="1">
        <f t="shared" si="33"/>
        <v>0</v>
      </c>
    </row>
    <row r="1057" spans="24:25" x14ac:dyDescent="0.3">
      <c r="X1057" s="1">
        <f t="shared" si="32"/>
        <v>0</v>
      </c>
      <c r="Y1057" s="1">
        <f t="shared" si="33"/>
        <v>0</v>
      </c>
    </row>
    <row r="1058" spans="24:25" x14ac:dyDescent="0.3">
      <c r="X1058" s="1">
        <f t="shared" si="32"/>
        <v>0</v>
      </c>
      <c r="Y1058" s="1">
        <f t="shared" si="33"/>
        <v>0</v>
      </c>
    </row>
    <row r="1059" spans="24:25" x14ac:dyDescent="0.3">
      <c r="X1059" s="1">
        <f t="shared" si="32"/>
        <v>0</v>
      </c>
      <c r="Y1059" s="1">
        <f t="shared" si="33"/>
        <v>0</v>
      </c>
    </row>
    <row r="1060" spans="24:25" x14ac:dyDescent="0.3">
      <c r="X1060" s="1">
        <f t="shared" si="32"/>
        <v>0</v>
      </c>
      <c r="Y1060" s="1">
        <f t="shared" si="33"/>
        <v>0</v>
      </c>
    </row>
    <row r="1061" spans="24:25" x14ac:dyDescent="0.3">
      <c r="X1061" s="1">
        <f t="shared" si="32"/>
        <v>0</v>
      </c>
      <c r="Y1061" s="1">
        <f t="shared" si="33"/>
        <v>0</v>
      </c>
    </row>
    <row r="1062" spans="24:25" x14ac:dyDescent="0.3">
      <c r="X1062" s="1">
        <f t="shared" si="32"/>
        <v>0</v>
      </c>
      <c r="Y1062" s="1">
        <f t="shared" si="33"/>
        <v>0</v>
      </c>
    </row>
    <row r="1063" spans="24:25" x14ac:dyDescent="0.3">
      <c r="X1063" s="1">
        <f t="shared" si="32"/>
        <v>0</v>
      </c>
      <c r="Y1063" s="1">
        <f t="shared" si="33"/>
        <v>0</v>
      </c>
    </row>
    <row r="1064" spans="24:25" x14ac:dyDescent="0.3">
      <c r="X1064" s="1">
        <f t="shared" si="32"/>
        <v>0</v>
      </c>
      <c r="Y1064" s="1">
        <f t="shared" si="33"/>
        <v>0</v>
      </c>
    </row>
    <row r="1065" spans="24:25" x14ac:dyDescent="0.3">
      <c r="X1065" s="1">
        <f t="shared" si="32"/>
        <v>0</v>
      </c>
      <c r="Y1065" s="1">
        <f t="shared" si="33"/>
        <v>0</v>
      </c>
    </row>
    <row r="1066" spans="24:25" x14ac:dyDescent="0.3">
      <c r="X1066" s="1">
        <f t="shared" si="32"/>
        <v>0</v>
      </c>
      <c r="Y1066" s="1">
        <f t="shared" si="33"/>
        <v>0</v>
      </c>
    </row>
    <row r="1067" spans="24:25" x14ac:dyDescent="0.3">
      <c r="X1067" s="1">
        <f t="shared" si="32"/>
        <v>0</v>
      </c>
      <c r="Y1067" s="1">
        <f t="shared" si="33"/>
        <v>0</v>
      </c>
    </row>
    <row r="1068" spans="24:25" x14ac:dyDescent="0.3">
      <c r="X1068" s="1">
        <f t="shared" si="32"/>
        <v>0</v>
      </c>
      <c r="Y1068" s="1">
        <f t="shared" si="33"/>
        <v>0</v>
      </c>
    </row>
    <row r="1069" spans="24:25" x14ac:dyDescent="0.3">
      <c r="X1069" s="1">
        <f t="shared" si="32"/>
        <v>0</v>
      </c>
      <c r="Y1069" s="1">
        <f t="shared" si="33"/>
        <v>0</v>
      </c>
    </row>
    <row r="1070" spans="24:25" x14ac:dyDescent="0.3">
      <c r="X1070" s="1">
        <f t="shared" si="32"/>
        <v>0</v>
      </c>
      <c r="Y1070" s="1">
        <f t="shared" si="33"/>
        <v>0</v>
      </c>
    </row>
    <row r="1071" spans="24:25" x14ac:dyDescent="0.3">
      <c r="X1071" s="1">
        <f t="shared" si="32"/>
        <v>0</v>
      </c>
      <c r="Y1071" s="1">
        <f t="shared" si="33"/>
        <v>0</v>
      </c>
    </row>
    <row r="1072" spans="24:25" x14ac:dyDescent="0.3">
      <c r="X1072" s="1">
        <f t="shared" si="32"/>
        <v>0</v>
      </c>
      <c r="Y1072" s="1">
        <f t="shared" si="33"/>
        <v>0</v>
      </c>
    </row>
    <row r="1073" spans="24:25" x14ac:dyDescent="0.3">
      <c r="X1073" s="1">
        <f t="shared" si="32"/>
        <v>0</v>
      </c>
      <c r="Y1073" s="1">
        <f t="shared" si="33"/>
        <v>0</v>
      </c>
    </row>
    <row r="1074" spans="24:25" x14ac:dyDescent="0.3">
      <c r="X1074" s="1">
        <f t="shared" si="32"/>
        <v>0</v>
      </c>
      <c r="Y1074" s="1">
        <f t="shared" si="33"/>
        <v>0</v>
      </c>
    </row>
    <row r="1075" spans="24:25" x14ac:dyDescent="0.3">
      <c r="X1075" s="1">
        <f t="shared" si="32"/>
        <v>0</v>
      </c>
      <c r="Y1075" s="1">
        <f t="shared" si="33"/>
        <v>0</v>
      </c>
    </row>
    <row r="1076" spans="24:25" x14ac:dyDescent="0.3">
      <c r="X1076" s="1">
        <f t="shared" si="32"/>
        <v>0</v>
      </c>
      <c r="Y1076" s="1">
        <f t="shared" si="33"/>
        <v>0</v>
      </c>
    </row>
    <row r="1077" spans="24:25" x14ac:dyDescent="0.3">
      <c r="X1077" s="1">
        <f t="shared" si="32"/>
        <v>0</v>
      </c>
      <c r="Y1077" s="1">
        <f t="shared" si="33"/>
        <v>0</v>
      </c>
    </row>
    <row r="1078" spans="24:25" x14ac:dyDescent="0.3">
      <c r="X1078" s="1">
        <f t="shared" si="32"/>
        <v>0</v>
      </c>
      <c r="Y1078" s="1">
        <f t="shared" si="33"/>
        <v>0</v>
      </c>
    </row>
    <row r="1079" spans="24:25" x14ac:dyDescent="0.3">
      <c r="X1079" s="1">
        <f t="shared" si="32"/>
        <v>0</v>
      </c>
      <c r="Y1079" s="1">
        <f t="shared" si="33"/>
        <v>0</v>
      </c>
    </row>
    <row r="1080" spans="24:25" x14ac:dyDescent="0.3">
      <c r="X1080" s="1">
        <f t="shared" si="32"/>
        <v>0</v>
      </c>
      <c r="Y1080" s="1">
        <f t="shared" si="33"/>
        <v>0</v>
      </c>
    </row>
    <row r="1081" spans="24:25" x14ac:dyDescent="0.3">
      <c r="X1081" s="1">
        <f t="shared" si="32"/>
        <v>0</v>
      </c>
      <c r="Y1081" s="1">
        <f t="shared" si="33"/>
        <v>0</v>
      </c>
    </row>
    <row r="1082" spans="24:25" x14ac:dyDescent="0.3">
      <c r="X1082" s="1">
        <f t="shared" si="32"/>
        <v>0</v>
      </c>
      <c r="Y1082" s="1">
        <f t="shared" si="33"/>
        <v>0</v>
      </c>
    </row>
    <row r="1083" spans="24:25" x14ac:dyDescent="0.3">
      <c r="X1083" s="1">
        <f t="shared" si="32"/>
        <v>0</v>
      </c>
      <c r="Y1083" s="1">
        <f t="shared" si="33"/>
        <v>0</v>
      </c>
    </row>
    <row r="1084" spans="24:25" x14ac:dyDescent="0.3">
      <c r="X1084" s="1">
        <f t="shared" si="32"/>
        <v>0</v>
      </c>
      <c r="Y1084" s="1">
        <f t="shared" si="33"/>
        <v>0</v>
      </c>
    </row>
    <row r="1085" spans="24:25" x14ac:dyDescent="0.3">
      <c r="X1085" s="1">
        <f t="shared" si="32"/>
        <v>0</v>
      </c>
      <c r="Y1085" s="1">
        <f t="shared" si="33"/>
        <v>0</v>
      </c>
    </row>
    <row r="1086" spans="24:25" x14ac:dyDescent="0.3">
      <c r="X1086" s="1">
        <f t="shared" si="32"/>
        <v>0</v>
      </c>
      <c r="Y1086" s="1">
        <f t="shared" si="33"/>
        <v>0</v>
      </c>
    </row>
    <row r="1087" spans="24:25" x14ac:dyDescent="0.3">
      <c r="X1087" s="1">
        <f t="shared" si="32"/>
        <v>0</v>
      </c>
      <c r="Y1087" s="1">
        <f t="shared" si="33"/>
        <v>0</v>
      </c>
    </row>
    <row r="1088" spans="24:25" x14ac:dyDescent="0.3">
      <c r="X1088" s="1">
        <f t="shared" si="32"/>
        <v>0</v>
      </c>
      <c r="Y1088" s="1">
        <f t="shared" si="33"/>
        <v>0</v>
      </c>
    </row>
    <row r="1089" spans="24:25" x14ac:dyDescent="0.3">
      <c r="X1089" s="1">
        <f t="shared" si="32"/>
        <v>0</v>
      </c>
      <c r="Y1089" s="1">
        <f t="shared" si="33"/>
        <v>0</v>
      </c>
    </row>
    <row r="1090" spans="24:25" x14ac:dyDescent="0.3">
      <c r="X1090" s="1">
        <f t="shared" si="32"/>
        <v>0</v>
      </c>
      <c r="Y1090" s="1">
        <f t="shared" si="33"/>
        <v>0</v>
      </c>
    </row>
    <row r="1091" spans="24:25" x14ac:dyDescent="0.3">
      <c r="X1091" s="1">
        <f t="shared" ref="X1091:X1154" si="34">IFERROR(MATCH(W1091,$B:$B,0),0)</f>
        <v>0</v>
      </c>
      <c r="Y1091" s="1">
        <f t="shared" ref="Y1091:Y1154" si="35">IF(X1092=0,COUNTA(A:A),X1092-1)</f>
        <v>0</v>
      </c>
    </row>
    <row r="1092" spans="24:25" x14ac:dyDescent="0.3">
      <c r="X1092" s="1">
        <f t="shared" si="34"/>
        <v>0</v>
      </c>
      <c r="Y1092" s="1">
        <f t="shared" si="35"/>
        <v>0</v>
      </c>
    </row>
    <row r="1093" spans="24:25" x14ac:dyDescent="0.3">
      <c r="X1093" s="1">
        <f t="shared" si="34"/>
        <v>0</v>
      </c>
      <c r="Y1093" s="1">
        <f t="shared" si="35"/>
        <v>0</v>
      </c>
    </row>
    <row r="1094" spans="24:25" x14ac:dyDescent="0.3">
      <c r="X1094" s="1">
        <f t="shared" si="34"/>
        <v>0</v>
      </c>
      <c r="Y1094" s="1">
        <f t="shared" si="35"/>
        <v>0</v>
      </c>
    </row>
    <row r="1095" spans="24:25" x14ac:dyDescent="0.3">
      <c r="X1095" s="1">
        <f t="shared" si="34"/>
        <v>0</v>
      </c>
      <c r="Y1095" s="1">
        <f t="shared" si="35"/>
        <v>0</v>
      </c>
    </row>
    <row r="1096" spans="24:25" x14ac:dyDescent="0.3">
      <c r="X1096" s="1">
        <f t="shared" si="34"/>
        <v>0</v>
      </c>
      <c r="Y1096" s="1">
        <f t="shared" si="35"/>
        <v>0</v>
      </c>
    </row>
    <row r="1097" spans="24:25" x14ac:dyDescent="0.3">
      <c r="X1097" s="1">
        <f t="shared" si="34"/>
        <v>0</v>
      </c>
      <c r="Y1097" s="1">
        <f t="shared" si="35"/>
        <v>0</v>
      </c>
    </row>
    <row r="1098" spans="24:25" x14ac:dyDescent="0.3">
      <c r="X1098" s="1">
        <f t="shared" si="34"/>
        <v>0</v>
      </c>
      <c r="Y1098" s="1">
        <f t="shared" si="35"/>
        <v>0</v>
      </c>
    </row>
    <row r="1099" spans="24:25" x14ac:dyDescent="0.3">
      <c r="X1099" s="1">
        <f t="shared" si="34"/>
        <v>0</v>
      </c>
      <c r="Y1099" s="1">
        <f t="shared" si="35"/>
        <v>0</v>
      </c>
    </row>
    <row r="1100" spans="24:25" x14ac:dyDescent="0.3">
      <c r="X1100" s="1">
        <f t="shared" si="34"/>
        <v>0</v>
      </c>
      <c r="Y1100" s="1">
        <f t="shared" si="35"/>
        <v>0</v>
      </c>
    </row>
    <row r="1101" spans="24:25" x14ac:dyDescent="0.3">
      <c r="X1101" s="1">
        <f t="shared" si="34"/>
        <v>0</v>
      </c>
      <c r="Y1101" s="1">
        <f t="shared" si="35"/>
        <v>0</v>
      </c>
    </row>
    <row r="1102" spans="24:25" x14ac:dyDescent="0.3">
      <c r="X1102" s="1">
        <f t="shared" si="34"/>
        <v>0</v>
      </c>
      <c r="Y1102" s="1">
        <f t="shared" si="35"/>
        <v>0</v>
      </c>
    </row>
    <row r="1103" spans="24:25" x14ac:dyDescent="0.3">
      <c r="X1103" s="1">
        <f t="shared" si="34"/>
        <v>0</v>
      </c>
      <c r="Y1103" s="1">
        <f t="shared" si="35"/>
        <v>0</v>
      </c>
    </row>
    <row r="1104" spans="24:25" x14ac:dyDescent="0.3">
      <c r="X1104" s="1">
        <f t="shared" si="34"/>
        <v>0</v>
      </c>
      <c r="Y1104" s="1">
        <f t="shared" si="35"/>
        <v>0</v>
      </c>
    </row>
    <row r="1105" spans="24:25" x14ac:dyDescent="0.3">
      <c r="X1105" s="1">
        <f t="shared" si="34"/>
        <v>0</v>
      </c>
      <c r="Y1105" s="1">
        <f t="shared" si="35"/>
        <v>0</v>
      </c>
    </row>
    <row r="1106" spans="24:25" x14ac:dyDescent="0.3">
      <c r="X1106" s="1">
        <f t="shared" si="34"/>
        <v>0</v>
      </c>
      <c r="Y1106" s="1">
        <f t="shared" si="35"/>
        <v>0</v>
      </c>
    </row>
    <row r="1107" spans="24:25" x14ac:dyDescent="0.3">
      <c r="X1107" s="1">
        <f t="shared" si="34"/>
        <v>0</v>
      </c>
      <c r="Y1107" s="1">
        <f t="shared" si="35"/>
        <v>0</v>
      </c>
    </row>
    <row r="1108" spans="24:25" x14ac:dyDescent="0.3">
      <c r="X1108" s="1">
        <f t="shared" si="34"/>
        <v>0</v>
      </c>
      <c r="Y1108" s="1">
        <f t="shared" si="35"/>
        <v>0</v>
      </c>
    </row>
    <row r="1109" spans="24:25" x14ac:dyDescent="0.3">
      <c r="X1109" s="1">
        <f t="shared" si="34"/>
        <v>0</v>
      </c>
      <c r="Y1109" s="1">
        <f t="shared" si="35"/>
        <v>0</v>
      </c>
    </row>
    <row r="1110" spans="24:25" x14ac:dyDescent="0.3">
      <c r="X1110" s="1">
        <f t="shared" si="34"/>
        <v>0</v>
      </c>
      <c r="Y1110" s="1">
        <f t="shared" si="35"/>
        <v>0</v>
      </c>
    </row>
    <row r="1111" spans="24:25" x14ac:dyDescent="0.3">
      <c r="X1111" s="1">
        <f t="shared" si="34"/>
        <v>0</v>
      </c>
      <c r="Y1111" s="1">
        <f t="shared" si="35"/>
        <v>0</v>
      </c>
    </row>
    <row r="1112" spans="24:25" x14ac:dyDescent="0.3">
      <c r="X1112" s="1">
        <f t="shared" si="34"/>
        <v>0</v>
      </c>
      <c r="Y1112" s="1">
        <f t="shared" si="35"/>
        <v>0</v>
      </c>
    </row>
    <row r="1113" spans="24:25" x14ac:dyDescent="0.3">
      <c r="X1113" s="1">
        <f t="shared" si="34"/>
        <v>0</v>
      </c>
      <c r="Y1113" s="1">
        <f t="shared" si="35"/>
        <v>0</v>
      </c>
    </row>
    <row r="1114" spans="24:25" x14ac:dyDescent="0.3">
      <c r="X1114" s="1">
        <f t="shared" si="34"/>
        <v>0</v>
      </c>
      <c r="Y1114" s="1">
        <f t="shared" si="35"/>
        <v>0</v>
      </c>
    </row>
    <row r="1115" spans="24:25" x14ac:dyDescent="0.3">
      <c r="X1115" s="1">
        <f t="shared" si="34"/>
        <v>0</v>
      </c>
      <c r="Y1115" s="1">
        <f t="shared" si="35"/>
        <v>0</v>
      </c>
    </row>
    <row r="1116" spans="24:25" x14ac:dyDescent="0.3">
      <c r="X1116" s="1">
        <f t="shared" si="34"/>
        <v>0</v>
      </c>
      <c r="Y1116" s="1">
        <f t="shared" si="35"/>
        <v>0</v>
      </c>
    </row>
    <row r="1117" spans="24:25" x14ac:dyDescent="0.3">
      <c r="X1117" s="1">
        <f t="shared" si="34"/>
        <v>0</v>
      </c>
      <c r="Y1117" s="1">
        <f t="shared" si="35"/>
        <v>0</v>
      </c>
    </row>
    <row r="1118" spans="24:25" x14ac:dyDescent="0.3">
      <c r="X1118" s="1">
        <f t="shared" si="34"/>
        <v>0</v>
      </c>
      <c r="Y1118" s="1">
        <f t="shared" si="35"/>
        <v>0</v>
      </c>
    </row>
    <row r="1119" spans="24:25" x14ac:dyDescent="0.3">
      <c r="X1119" s="1">
        <f t="shared" si="34"/>
        <v>0</v>
      </c>
      <c r="Y1119" s="1">
        <f t="shared" si="35"/>
        <v>0</v>
      </c>
    </row>
    <row r="1120" spans="24:25" x14ac:dyDescent="0.3">
      <c r="X1120" s="1">
        <f t="shared" si="34"/>
        <v>0</v>
      </c>
      <c r="Y1120" s="1">
        <f t="shared" si="35"/>
        <v>0</v>
      </c>
    </row>
    <row r="1121" spans="24:25" x14ac:dyDescent="0.3">
      <c r="X1121" s="1">
        <f t="shared" si="34"/>
        <v>0</v>
      </c>
      <c r="Y1121" s="1">
        <f t="shared" si="35"/>
        <v>0</v>
      </c>
    </row>
    <row r="1122" spans="24:25" x14ac:dyDescent="0.3">
      <c r="X1122" s="1">
        <f t="shared" si="34"/>
        <v>0</v>
      </c>
      <c r="Y1122" s="1">
        <f t="shared" si="35"/>
        <v>0</v>
      </c>
    </row>
    <row r="1123" spans="24:25" x14ac:dyDescent="0.3">
      <c r="X1123" s="1">
        <f t="shared" si="34"/>
        <v>0</v>
      </c>
      <c r="Y1123" s="1">
        <f t="shared" si="35"/>
        <v>0</v>
      </c>
    </row>
    <row r="1124" spans="24:25" x14ac:dyDescent="0.3">
      <c r="X1124" s="1">
        <f t="shared" si="34"/>
        <v>0</v>
      </c>
      <c r="Y1124" s="1">
        <f t="shared" si="35"/>
        <v>0</v>
      </c>
    </row>
    <row r="1125" spans="24:25" x14ac:dyDescent="0.3">
      <c r="X1125" s="1">
        <f t="shared" si="34"/>
        <v>0</v>
      </c>
      <c r="Y1125" s="1">
        <f t="shared" si="35"/>
        <v>0</v>
      </c>
    </row>
    <row r="1126" spans="24:25" x14ac:dyDescent="0.3">
      <c r="X1126" s="1">
        <f t="shared" si="34"/>
        <v>0</v>
      </c>
      <c r="Y1126" s="1">
        <f t="shared" si="35"/>
        <v>0</v>
      </c>
    </row>
    <row r="1127" spans="24:25" x14ac:dyDescent="0.3">
      <c r="X1127" s="1">
        <f t="shared" si="34"/>
        <v>0</v>
      </c>
      <c r="Y1127" s="1">
        <f t="shared" si="35"/>
        <v>0</v>
      </c>
    </row>
    <row r="1128" spans="24:25" x14ac:dyDescent="0.3">
      <c r="X1128" s="1">
        <f t="shared" si="34"/>
        <v>0</v>
      </c>
      <c r="Y1128" s="1">
        <f t="shared" si="35"/>
        <v>0</v>
      </c>
    </row>
    <row r="1129" spans="24:25" x14ac:dyDescent="0.3">
      <c r="X1129" s="1">
        <f t="shared" si="34"/>
        <v>0</v>
      </c>
      <c r="Y1129" s="1">
        <f t="shared" si="35"/>
        <v>0</v>
      </c>
    </row>
    <row r="1130" spans="24:25" x14ac:dyDescent="0.3">
      <c r="X1130" s="1">
        <f t="shared" si="34"/>
        <v>0</v>
      </c>
      <c r="Y1130" s="1">
        <f t="shared" si="35"/>
        <v>0</v>
      </c>
    </row>
    <row r="1131" spans="24:25" x14ac:dyDescent="0.3">
      <c r="X1131" s="1">
        <f t="shared" si="34"/>
        <v>0</v>
      </c>
      <c r="Y1131" s="1">
        <f t="shared" si="35"/>
        <v>0</v>
      </c>
    </row>
    <row r="1132" spans="24:25" x14ac:dyDescent="0.3">
      <c r="X1132" s="1">
        <f t="shared" si="34"/>
        <v>0</v>
      </c>
      <c r="Y1132" s="1">
        <f t="shared" si="35"/>
        <v>0</v>
      </c>
    </row>
    <row r="1133" spans="24:25" x14ac:dyDescent="0.3">
      <c r="X1133" s="1">
        <f t="shared" si="34"/>
        <v>0</v>
      </c>
      <c r="Y1133" s="1">
        <f t="shared" si="35"/>
        <v>0</v>
      </c>
    </row>
    <row r="1134" spans="24:25" x14ac:dyDescent="0.3">
      <c r="X1134" s="1">
        <f t="shared" si="34"/>
        <v>0</v>
      </c>
      <c r="Y1134" s="1">
        <f t="shared" si="35"/>
        <v>0</v>
      </c>
    </row>
    <row r="1135" spans="24:25" x14ac:dyDescent="0.3">
      <c r="X1135" s="1">
        <f t="shared" si="34"/>
        <v>0</v>
      </c>
      <c r="Y1135" s="1">
        <f t="shared" si="35"/>
        <v>0</v>
      </c>
    </row>
    <row r="1136" spans="24:25" x14ac:dyDescent="0.3">
      <c r="X1136" s="1">
        <f t="shared" si="34"/>
        <v>0</v>
      </c>
      <c r="Y1136" s="1">
        <f t="shared" si="35"/>
        <v>0</v>
      </c>
    </row>
    <row r="1137" spans="24:25" x14ac:dyDescent="0.3">
      <c r="X1137" s="1">
        <f t="shared" si="34"/>
        <v>0</v>
      </c>
      <c r="Y1137" s="1">
        <f t="shared" si="35"/>
        <v>0</v>
      </c>
    </row>
    <row r="1138" spans="24:25" x14ac:dyDescent="0.3">
      <c r="X1138" s="1">
        <f t="shared" si="34"/>
        <v>0</v>
      </c>
      <c r="Y1138" s="1">
        <f t="shared" si="35"/>
        <v>0</v>
      </c>
    </row>
    <row r="1139" spans="24:25" x14ac:dyDescent="0.3">
      <c r="X1139" s="1">
        <f t="shared" si="34"/>
        <v>0</v>
      </c>
      <c r="Y1139" s="1">
        <f t="shared" si="35"/>
        <v>0</v>
      </c>
    </row>
    <row r="1140" spans="24:25" x14ac:dyDescent="0.3">
      <c r="X1140" s="1">
        <f t="shared" si="34"/>
        <v>0</v>
      </c>
      <c r="Y1140" s="1">
        <f t="shared" si="35"/>
        <v>0</v>
      </c>
    </row>
    <row r="1141" spans="24:25" x14ac:dyDescent="0.3">
      <c r="X1141" s="1">
        <f t="shared" si="34"/>
        <v>0</v>
      </c>
      <c r="Y1141" s="1">
        <f t="shared" si="35"/>
        <v>0</v>
      </c>
    </row>
    <row r="1142" spans="24:25" x14ac:dyDescent="0.3">
      <c r="X1142" s="1">
        <f t="shared" si="34"/>
        <v>0</v>
      </c>
      <c r="Y1142" s="1">
        <f t="shared" si="35"/>
        <v>0</v>
      </c>
    </row>
    <row r="1143" spans="24:25" x14ac:dyDescent="0.3">
      <c r="X1143" s="1">
        <f t="shared" si="34"/>
        <v>0</v>
      </c>
      <c r="Y1143" s="1">
        <f t="shared" si="35"/>
        <v>0</v>
      </c>
    </row>
    <row r="1144" spans="24:25" x14ac:dyDescent="0.3">
      <c r="X1144" s="1">
        <f t="shared" si="34"/>
        <v>0</v>
      </c>
      <c r="Y1144" s="1">
        <f t="shared" si="35"/>
        <v>0</v>
      </c>
    </row>
    <row r="1145" spans="24:25" x14ac:dyDescent="0.3">
      <c r="X1145" s="1">
        <f t="shared" si="34"/>
        <v>0</v>
      </c>
      <c r="Y1145" s="1">
        <f t="shared" si="35"/>
        <v>0</v>
      </c>
    </row>
    <row r="1146" spans="24:25" x14ac:dyDescent="0.3">
      <c r="X1146" s="1">
        <f t="shared" si="34"/>
        <v>0</v>
      </c>
      <c r="Y1146" s="1">
        <f t="shared" si="35"/>
        <v>0</v>
      </c>
    </row>
    <row r="1147" spans="24:25" x14ac:dyDescent="0.3">
      <c r="X1147" s="1">
        <f t="shared" si="34"/>
        <v>0</v>
      </c>
      <c r="Y1147" s="1">
        <f t="shared" si="35"/>
        <v>0</v>
      </c>
    </row>
    <row r="1148" spans="24:25" x14ac:dyDescent="0.3">
      <c r="X1148" s="1">
        <f t="shared" si="34"/>
        <v>0</v>
      </c>
      <c r="Y1148" s="1">
        <f t="shared" si="35"/>
        <v>0</v>
      </c>
    </row>
    <row r="1149" spans="24:25" x14ac:dyDescent="0.3">
      <c r="X1149" s="1">
        <f t="shared" si="34"/>
        <v>0</v>
      </c>
      <c r="Y1149" s="1">
        <f t="shared" si="35"/>
        <v>0</v>
      </c>
    </row>
    <row r="1150" spans="24:25" x14ac:dyDescent="0.3">
      <c r="X1150" s="1">
        <f t="shared" si="34"/>
        <v>0</v>
      </c>
      <c r="Y1150" s="1">
        <f t="shared" si="35"/>
        <v>0</v>
      </c>
    </row>
    <row r="1151" spans="24:25" x14ac:dyDescent="0.3">
      <c r="X1151" s="1">
        <f t="shared" si="34"/>
        <v>0</v>
      </c>
      <c r="Y1151" s="1">
        <f t="shared" si="35"/>
        <v>0</v>
      </c>
    </row>
    <row r="1152" spans="24:25" x14ac:dyDescent="0.3">
      <c r="X1152" s="1">
        <f t="shared" si="34"/>
        <v>0</v>
      </c>
      <c r="Y1152" s="1">
        <f t="shared" si="35"/>
        <v>0</v>
      </c>
    </row>
    <row r="1153" spans="24:25" x14ac:dyDescent="0.3">
      <c r="X1153" s="1">
        <f t="shared" si="34"/>
        <v>0</v>
      </c>
      <c r="Y1153" s="1">
        <f t="shared" si="35"/>
        <v>0</v>
      </c>
    </row>
    <row r="1154" spans="24:25" x14ac:dyDescent="0.3">
      <c r="X1154" s="1">
        <f t="shared" si="34"/>
        <v>0</v>
      </c>
      <c r="Y1154" s="1">
        <f t="shared" si="35"/>
        <v>0</v>
      </c>
    </row>
    <row r="1155" spans="24:25" x14ac:dyDescent="0.3">
      <c r="X1155" s="1">
        <f t="shared" ref="X1155:X1218" si="36">IFERROR(MATCH(W1155,$B:$B,0),0)</f>
        <v>0</v>
      </c>
      <c r="Y1155" s="1">
        <f t="shared" ref="Y1155:Y1218" si="37">IF(X1156=0,COUNTA(A:A),X1156-1)</f>
        <v>0</v>
      </c>
    </row>
    <row r="1156" spans="24:25" x14ac:dyDescent="0.3">
      <c r="X1156" s="1">
        <f t="shared" si="36"/>
        <v>0</v>
      </c>
      <c r="Y1156" s="1">
        <f t="shared" si="37"/>
        <v>0</v>
      </c>
    </row>
    <row r="1157" spans="24:25" x14ac:dyDescent="0.3">
      <c r="X1157" s="1">
        <f t="shared" si="36"/>
        <v>0</v>
      </c>
      <c r="Y1157" s="1">
        <f t="shared" si="37"/>
        <v>0</v>
      </c>
    </row>
    <row r="1158" spans="24:25" x14ac:dyDescent="0.3">
      <c r="X1158" s="1">
        <f t="shared" si="36"/>
        <v>0</v>
      </c>
      <c r="Y1158" s="1">
        <f t="shared" si="37"/>
        <v>0</v>
      </c>
    </row>
    <row r="1159" spans="24:25" x14ac:dyDescent="0.3">
      <c r="X1159" s="1">
        <f t="shared" si="36"/>
        <v>0</v>
      </c>
      <c r="Y1159" s="1">
        <f t="shared" si="37"/>
        <v>0</v>
      </c>
    </row>
    <row r="1160" spans="24:25" x14ac:dyDescent="0.3">
      <c r="X1160" s="1">
        <f t="shared" si="36"/>
        <v>0</v>
      </c>
      <c r="Y1160" s="1">
        <f t="shared" si="37"/>
        <v>0</v>
      </c>
    </row>
    <row r="1161" spans="24:25" x14ac:dyDescent="0.3">
      <c r="X1161" s="1">
        <f t="shared" si="36"/>
        <v>0</v>
      </c>
      <c r="Y1161" s="1">
        <f t="shared" si="37"/>
        <v>0</v>
      </c>
    </row>
    <row r="1162" spans="24:25" x14ac:dyDescent="0.3">
      <c r="X1162" s="1">
        <f t="shared" si="36"/>
        <v>0</v>
      </c>
      <c r="Y1162" s="1">
        <f t="shared" si="37"/>
        <v>0</v>
      </c>
    </row>
    <row r="1163" spans="24:25" x14ac:dyDescent="0.3">
      <c r="X1163" s="1">
        <f t="shared" si="36"/>
        <v>0</v>
      </c>
      <c r="Y1163" s="1">
        <f t="shared" si="37"/>
        <v>0</v>
      </c>
    </row>
    <row r="1164" spans="24:25" x14ac:dyDescent="0.3">
      <c r="X1164" s="1">
        <f t="shared" si="36"/>
        <v>0</v>
      </c>
      <c r="Y1164" s="1">
        <f t="shared" si="37"/>
        <v>0</v>
      </c>
    </row>
    <row r="1165" spans="24:25" x14ac:dyDescent="0.3">
      <c r="X1165" s="1">
        <f t="shared" si="36"/>
        <v>0</v>
      </c>
      <c r="Y1165" s="1">
        <f t="shared" si="37"/>
        <v>0</v>
      </c>
    </row>
    <row r="1166" spans="24:25" x14ac:dyDescent="0.3">
      <c r="X1166" s="1">
        <f t="shared" si="36"/>
        <v>0</v>
      </c>
      <c r="Y1166" s="1">
        <f t="shared" si="37"/>
        <v>0</v>
      </c>
    </row>
    <row r="1167" spans="24:25" x14ac:dyDescent="0.3">
      <c r="X1167" s="1">
        <f t="shared" si="36"/>
        <v>0</v>
      </c>
      <c r="Y1167" s="1">
        <f t="shared" si="37"/>
        <v>0</v>
      </c>
    </row>
    <row r="1168" spans="24:25" x14ac:dyDescent="0.3">
      <c r="X1168" s="1">
        <f t="shared" si="36"/>
        <v>0</v>
      </c>
      <c r="Y1168" s="1">
        <f t="shared" si="37"/>
        <v>0</v>
      </c>
    </row>
    <row r="1169" spans="24:25" x14ac:dyDescent="0.3">
      <c r="X1169" s="1">
        <f t="shared" si="36"/>
        <v>0</v>
      </c>
      <c r="Y1169" s="1">
        <f t="shared" si="37"/>
        <v>0</v>
      </c>
    </row>
    <row r="1170" spans="24:25" x14ac:dyDescent="0.3">
      <c r="X1170" s="1">
        <f t="shared" si="36"/>
        <v>0</v>
      </c>
      <c r="Y1170" s="1">
        <f t="shared" si="37"/>
        <v>0</v>
      </c>
    </row>
    <row r="1171" spans="24:25" x14ac:dyDescent="0.3">
      <c r="X1171" s="1">
        <f t="shared" si="36"/>
        <v>0</v>
      </c>
      <c r="Y1171" s="1">
        <f t="shared" si="37"/>
        <v>0</v>
      </c>
    </row>
    <row r="1172" spans="24:25" x14ac:dyDescent="0.3">
      <c r="X1172" s="1">
        <f t="shared" si="36"/>
        <v>0</v>
      </c>
      <c r="Y1172" s="1">
        <f t="shared" si="37"/>
        <v>0</v>
      </c>
    </row>
    <row r="1173" spans="24:25" x14ac:dyDescent="0.3">
      <c r="X1173" s="1">
        <f t="shared" si="36"/>
        <v>0</v>
      </c>
      <c r="Y1173" s="1">
        <f t="shared" si="37"/>
        <v>0</v>
      </c>
    </row>
    <row r="1174" spans="24:25" x14ac:dyDescent="0.3">
      <c r="X1174" s="1">
        <f t="shared" si="36"/>
        <v>0</v>
      </c>
      <c r="Y1174" s="1">
        <f t="shared" si="37"/>
        <v>0</v>
      </c>
    </row>
    <row r="1175" spans="24:25" x14ac:dyDescent="0.3">
      <c r="X1175" s="1">
        <f t="shared" si="36"/>
        <v>0</v>
      </c>
      <c r="Y1175" s="1">
        <f t="shared" si="37"/>
        <v>0</v>
      </c>
    </row>
    <row r="1176" spans="24:25" x14ac:dyDescent="0.3">
      <c r="X1176" s="1">
        <f t="shared" si="36"/>
        <v>0</v>
      </c>
      <c r="Y1176" s="1">
        <f t="shared" si="37"/>
        <v>0</v>
      </c>
    </row>
    <row r="1177" spans="24:25" x14ac:dyDescent="0.3">
      <c r="X1177" s="1">
        <f t="shared" si="36"/>
        <v>0</v>
      </c>
      <c r="Y1177" s="1">
        <f t="shared" si="37"/>
        <v>0</v>
      </c>
    </row>
    <row r="1178" spans="24:25" x14ac:dyDescent="0.3">
      <c r="X1178" s="1">
        <f t="shared" si="36"/>
        <v>0</v>
      </c>
      <c r="Y1178" s="1">
        <f t="shared" si="37"/>
        <v>0</v>
      </c>
    </row>
    <row r="1179" spans="24:25" x14ac:dyDescent="0.3">
      <c r="X1179" s="1">
        <f t="shared" si="36"/>
        <v>0</v>
      </c>
      <c r="Y1179" s="1">
        <f t="shared" si="37"/>
        <v>0</v>
      </c>
    </row>
    <row r="1180" spans="24:25" x14ac:dyDescent="0.3">
      <c r="X1180" s="1">
        <f t="shared" si="36"/>
        <v>0</v>
      </c>
      <c r="Y1180" s="1">
        <f t="shared" si="37"/>
        <v>0</v>
      </c>
    </row>
    <row r="1181" spans="24:25" x14ac:dyDescent="0.3">
      <c r="X1181" s="1">
        <f t="shared" si="36"/>
        <v>0</v>
      </c>
      <c r="Y1181" s="1">
        <f t="shared" si="37"/>
        <v>0</v>
      </c>
    </row>
    <row r="1182" spans="24:25" x14ac:dyDescent="0.3">
      <c r="X1182" s="1">
        <f t="shared" si="36"/>
        <v>0</v>
      </c>
      <c r="Y1182" s="1">
        <f t="shared" si="37"/>
        <v>0</v>
      </c>
    </row>
    <row r="1183" spans="24:25" x14ac:dyDescent="0.3">
      <c r="X1183" s="1">
        <f t="shared" si="36"/>
        <v>0</v>
      </c>
      <c r="Y1183" s="1">
        <f t="shared" si="37"/>
        <v>0</v>
      </c>
    </row>
    <row r="1184" spans="24:25" x14ac:dyDescent="0.3">
      <c r="X1184" s="1">
        <f t="shared" si="36"/>
        <v>0</v>
      </c>
      <c r="Y1184" s="1">
        <f t="shared" si="37"/>
        <v>0</v>
      </c>
    </row>
    <row r="1185" spans="24:25" x14ac:dyDescent="0.3">
      <c r="X1185" s="1">
        <f t="shared" si="36"/>
        <v>0</v>
      </c>
      <c r="Y1185" s="1">
        <f t="shared" si="37"/>
        <v>0</v>
      </c>
    </row>
    <row r="1186" spans="24:25" x14ac:dyDescent="0.3">
      <c r="X1186" s="1">
        <f t="shared" si="36"/>
        <v>0</v>
      </c>
      <c r="Y1186" s="1">
        <f t="shared" si="37"/>
        <v>0</v>
      </c>
    </row>
    <row r="1187" spans="24:25" x14ac:dyDescent="0.3">
      <c r="X1187" s="1">
        <f t="shared" si="36"/>
        <v>0</v>
      </c>
      <c r="Y1187" s="1">
        <f t="shared" si="37"/>
        <v>0</v>
      </c>
    </row>
    <row r="1188" spans="24:25" x14ac:dyDescent="0.3">
      <c r="X1188" s="1">
        <f t="shared" si="36"/>
        <v>0</v>
      </c>
      <c r="Y1188" s="1">
        <f t="shared" si="37"/>
        <v>0</v>
      </c>
    </row>
    <row r="1189" spans="24:25" x14ac:dyDescent="0.3">
      <c r="X1189" s="1">
        <f t="shared" si="36"/>
        <v>0</v>
      </c>
      <c r="Y1189" s="1">
        <f t="shared" si="37"/>
        <v>0</v>
      </c>
    </row>
    <row r="1190" spans="24:25" x14ac:dyDescent="0.3">
      <c r="X1190" s="1">
        <f t="shared" si="36"/>
        <v>0</v>
      </c>
      <c r="Y1190" s="1">
        <f t="shared" si="37"/>
        <v>0</v>
      </c>
    </row>
    <row r="1191" spans="24:25" x14ac:dyDescent="0.3">
      <c r="X1191" s="1">
        <f t="shared" si="36"/>
        <v>0</v>
      </c>
      <c r="Y1191" s="1">
        <f t="shared" si="37"/>
        <v>0</v>
      </c>
    </row>
    <row r="1192" spans="24:25" x14ac:dyDescent="0.3">
      <c r="X1192" s="1">
        <f t="shared" si="36"/>
        <v>0</v>
      </c>
      <c r="Y1192" s="1">
        <f t="shared" si="37"/>
        <v>0</v>
      </c>
    </row>
    <row r="1193" spans="24:25" x14ac:dyDescent="0.3">
      <c r="X1193" s="1">
        <f t="shared" si="36"/>
        <v>0</v>
      </c>
      <c r="Y1193" s="1">
        <f t="shared" si="37"/>
        <v>0</v>
      </c>
    </row>
    <row r="1194" spans="24:25" x14ac:dyDescent="0.3">
      <c r="X1194" s="1">
        <f t="shared" si="36"/>
        <v>0</v>
      </c>
      <c r="Y1194" s="1">
        <f t="shared" si="37"/>
        <v>0</v>
      </c>
    </row>
    <row r="1195" spans="24:25" x14ac:dyDescent="0.3">
      <c r="X1195" s="1">
        <f t="shared" si="36"/>
        <v>0</v>
      </c>
      <c r="Y1195" s="1">
        <f t="shared" si="37"/>
        <v>0</v>
      </c>
    </row>
    <row r="1196" spans="24:25" x14ac:dyDescent="0.3">
      <c r="X1196" s="1">
        <f t="shared" si="36"/>
        <v>0</v>
      </c>
      <c r="Y1196" s="1">
        <f t="shared" si="37"/>
        <v>0</v>
      </c>
    </row>
    <row r="1197" spans="24:25" x14ac:dyDescent="0.3">
      <c r="X1197" s="1">
        <f t="shared" si="36"/>
        <v>0</v>
      </c>
      <c r="Y1197" s="1">
        <f t="shared" si="37"/>
        <v>0</v>
      </c>
    </row>
    <row r="1198" spans="24:25" x14ac:dyDescent="0.3">
      <c r="X1198" s="1">
        <f t="shared" si="36"/>
        <v>0</v>
      </c>
      <c r="Y1198" s="1">
        <f t="shared" si="37"/>
        <v>0</v>
      </c>
    </row>
    <row r="1199" spans="24:25" x14ac:dyDescent="0.3">
      <c r="X1199" s="1">
        <f t="shared" si="36"/>
        <v>0</v>
      </c>
      <c r="Y1199" s="1">
        <f t="shared" si="37"/>
        <v>0</v>
      </c>
    </row>
    <row r="1200" spans="24:25" x14ac:dyDescent="0.3">
      <c r="X1200" s="1">
        <f t="shared" si="36"/>
        <v>0</v>
      </c>
      <c r="Y1200" s="1">
        <f t="shared" si="37"/>
        <v>0</v>
      </c>
    </row>
    <row r="1201" spans="24:25" x14ac:dyDescent="0.3">
      <c r="X1201" s="1">
        <f t="shared" si="36"/>
        <v>0</v>
      </c>
      <c r="Y1201" s="1">
        <f t="shared" si="37"/>
        <v>0</v>
      </c>
    </row>
    <row r="1202" spans="24:25" x14ac:dyDescent="0.3">
      <c r="X1202" s="1">
        <f t="shared" si="36"/>
        <v>0</v>
      </c>
      <c r="Y1202" s="1">
        <f t="shared" si="37"/>
        <v>0</v>
      </c>
    </row>
    <row r="1203" spans="24:25" x14ac:dyDescent="0.3">
      <c r="X1203" s="1">
        <f t="shared" si="36"/>
        <v>0</v>
      </c>
      <c r="Y1203" s="1">
        <f t="shared" si="37"/>
        <v>0</v>
      </c>
    </row>
    <row r="1204" spans="24:25" x14ac:dyDescent="0.3">
      <c r="X1204" s="1">
        <f t="shared" si="36"/>
        <v>0</v>
      </c>
      <c r="Y1204" s="1">
        <f t="shared" si="37"/>
        <v>0</v>
      </c>
    </row>
    <row r="1205" spans="24:25" x14ac:dyDescent="0.3">
      <c r="X1205" s="1">
        <f t="shared" si="36"/>
        <v>0</v>
      </c>
      <c r="Y1205" s="1">
        <f t="shared" si="37"/>
        <v>0</v>
      </c>
    </row>
    <row r="1206" spans="24:25" x14ac:dyDescent="0.3">
      <c r="X1206" s="1">
        <f t="shared" si="36"/>
        <v>0</v>
      </c>
      <c r="Y1206" s="1">
        <f t="shared" si="37"/>
        <v>0</v>
      </c>
    </row>
    <row r="1207" spans="24:25" x14ac:dyDescent="0.3">
      <c r="X1207" s="1">
        <f t="shared" si="36"/>
        <v>0</v>
      </c>
      <c r="Y1207" s="1">
        <f t="shared" si="37"/>
        <v>0</v>
      </c>
    </row>
    <row r="1208" spans="24:25" x14ac:dyDescent="0.3">
      <c r="X1208" s="1">
        <f t="shared" si="36"/>
        <v>0</v>
      </c>
      <c r="Y1208" s="1">
        <f t="shared" si="37"/>
        <v>0</v>
      </c>
    </row>
    <row r="1209" spans="24:25" x14ac:dyDescent="0.3">
      <c r="X1209" s="1">
        <f t="shared" si="36"/>
        <v>0</v>
      </c>
      <c r="Y1209" s="1">
        <f t="shared" si="37"/>
        <v>0</v>
      </c>
    </row>
    <row r="1210" spans="24:25" x14ac:dyDescent="0.3">
      <c r="X1210" s="1">
        <f t="shared" si="36"/>
        <v>0</v>
      </c>
      <c r="Y1210" s="1">
        <f t="shared" si="37"/>
        <v>0</v>
      </c>
    </row>
    <row r="1211" spans="24:25" x14ac:dyDescent="0.3">
      <c r="X1211" s="1">
        <f t="shared" si="36"/>
        <v>0</v>
      </c>
      <c r="Y1211" s="1">
        <f t="shared" si="37"/>
        <v>0</v>
      </c>
    </row>
    <row r="1212" spans="24:25" x14ac:dyDescent="0.3">
      <c r="X1212" s="1">
        <f t="shared" si="36"/>
        <v>0</v>
      </c>
      <c r="Y1212" s="1">
        <f t="shared" si="37"/>
        <v>0</v>
      </c>
    </row>
    <row r="1213" spans="24:25" x14ac:dyDescent="0.3">
      <c r="X1213" s="1">
        <f t="shared" si="36"/>
        <v>0</v>
      </c>
      <c r="Y1213" s="1">
        <f t="shared" si="37"/>
        <v>0</v>
      </c>
    </row>
    <row r="1214" spans="24:25" x14ac:dyDescent="0.3">
      <c r="X1214" s="1">
        <f t="shared" si="36"/>
        <v>0</v>
      </c>
      <c r="Y1214" s="1">
        <f t="shared" si="37"/>
        <v>0</v>
      </c>
    </row>
    <row r="1215" spans="24:25" x14ac:dyDescent="0.3">
      <c r="X1215" s="1">
        <f t="shared" si="36"/>
        <v>0</v>
      </c>
      <c r="Y1215" s="1">
        <f t="shared" si="37"/>
        <v>0</v>
      </c>
    </row>
    <row r="1216" spans="24:25" x14ac:dyDescent="0.3">
      <c r="X1216" s="1">
        <f t="shared" si="36"/>
        <v>0</v>
      </c>
      <c r="Y1216" s="1">
        <f t="shared" si="37"/>
        <v>0</v>
      </c>
    </row>
    <row r="1217" spans="24:25" x14ac:dyDescent="0.3">
      <c r="X1217" s="1">
        <f t="shared" si="36"/>
        <v>0</v>
      </c>
      <c r="Y1217" s="1">
        <f t="shared" si="37"/>
        <v>0</v>
      </c>
    </row>
    <row r="1218" spans="24:25" x14ac:dyDescent="0.3">
      <c r="X1218" s="1">
        <f t="shared" si="36"/>
        <v>0</v>
      </c>
      <c r="Y1218" s="1">
        <f t="shared" si="37"/>
        <v>0</v>
      </c>
    </row>
    <row r="1219" spans="24:25" x14ac:dyDescent="0.3">
      <c r="X1219" s="1">
        <f t="shared" ref="X1219:X1282" si="38">IFERROR(MATCH(W1219,$B:$B,0),0)</f>
        <v>0</v>
      </c>
      <c r="Y1219" s="1">
        <f t="shared" ref="Y1219:Y1282" si="39">IF(X1220=0,COUNTA(A:A),X1220-1)</f>
        <v>0</v>
      </c>
    </row>
    <row r="1220" spans="24:25" x14ac:dyDescent="0.3">
      <c r="X1220" s="1">
        <f t="shared" si="38"/>
        <v>0</v>
      </c>
      <c r="Y1220" s="1">
        <f t="shared" si="39"/>
        <v>0</v>
      </c>
    </row>
    <row r="1221" spans="24:25" x14ac:dyDescent="0.3">
      <c r="X1221" s="1">
        <f t="shared" si="38"/>
        <v>0</v>
      </c>
      <c r="Y1221" s="1">
        <f t="shared" si="39"/>
        <v>0</v>
      </c>
    </row>
    <row r="1222" spans="24:25" x14ac:dyDescent="0.3">
      <c r="X1222" s="1">
        <f t="shared" si="38"/>
        <v>0</v>
      </c>
      <c r="Y1222" s="1">
        <f t="shared" si="39"/>
        <v>0</v>
      </c>
    </row>
    <row r="1223" spans="24:25" x14ac:dyDescent="0.3">
      <c r="X1223" s="1">
        <f t="shared" si="38"/>
        <v>0</v>
      </c>
      <c r="Y1223" s="1">
        <f t="shared" si="39"/>
        <v>0</v>
      </c>
    </row>
    <row r="1224" spans="24:25" x14ac:dyDescent="0.3">
      <c r="X1224" s="1">
        <f t="shared" si="38"/>
        <v>0</v>
      </c>
      <c r="Y1224" s="1">
        <f t="shared" si="39"/>
        <v>0</v>
      </c>
    </row>
    <row r="1225" spans="24:25" x14ac:dyDescent="0.3">
      <c r="X1225" s="1">
        <f t="shared" si="38"/>
        <v>0</v>
      </c>
      <c r="Y1225" s="1">
        <f t="shared" si="39"/>
        <v>0</v>
      </c>
    </row>
    <row r="1226" spans="24:25" x14ac:dyDescent="0.3">
      <c r="X1226" s="1">
        <f t="shared" si="38"/>
        <v>0</v>
      </c>
      <c r="Y1226" s="1">
        <f t="shared" si="39"/>
        <v>0</v>
      </c>
    </row>
    <row r="1227" spans="24:25" x14ac:dyDescent="0.3">
      <c r="X1227" s="1">
        <f t="shared" si="38"/>
        <v>0</v>
      </c>
      <c r="Y1227" s="1">
        <f t="shared" si="39"/>
        <v>0</v>
      </c>
    </row>
    <row r="1228" spans="24:25" x14ac:dyDescent="0.3">
      <c r="X1228" s="1">
        <f t="shared" si="38"/>
        <v>0</v>
      </c>
      <c r="Y1228" s="1">
        <f t="shared" si="39"/>
        <v>0</v>
      </c>
    </row>
    <row r="1229" spans="24:25" x14ac:dyDescent="0.3">
      <c r="X1229" s="1">
        <f t="shared" si="38"/>
        <v>0</v>
      </c>
      <c r="Y1229" s="1">
        <f t="shared" si="39"/>
        <v>0</v>
      </c>
    </row>
    <row r="1230" spans="24:25" x14ac:dyDescent="0.3">
      <c r="X1230" s="1">
        <f t="shared" si="38"/>
        <v>0</v>
      </c>
      <c r="Y1230" s="1">
        <f t="shared" si="39"/>
        <v>0</v>
      </c>
    </row>
    <row r="1231" spans="24:25" x14ac:dyDescent="0.3">
      <c r="X1231" s="1">
        <f t="shared" si="38"/>
        <v>0</v>
      </c>
      <c r="Y1231" s="1">
        <f t="shared" si="39"/>
        <v>0</v>
      </c>
    </row>
    <row r="1232" spans="24:25" x14ac:dyDescent="0.3">
      <c r="X1232" s="1">
        <f t="shared" si="38"/>
        <v>0</v>
      </c>
      <c r="Y1232" s="1">
        <f t="shared" si="39"/>
        <v>0</v>
      </c>
    </row>
    <row r="1233" spans="24:25" x14ac:dyDescent="0.3">
      <c r="X1233" s="1">
        <f t="shared" si="38"/>
        <v>0</v>
      </c>
      <c r="Y1233" s="1">
        <f t="shared" si="39"/>
        <v>0</v>
      </c>
    </row>
    <row r="1234" spans="24:25" x14ac:dyDescent="0.3">
      <c r="X1234" s="1">
        <f t="shared" si="38"/>
        <v>0</v>
      </c>
      <c r="Y1234" s="1">
        <f t="shared" si="39"/>
        <v>0</v>
      </c>
    </row>
    <row r="1235" spans="24:25" x14ac:dyDescent="0.3">
      <c r="X1235" s="1">
        <f t="shared" si="38"/>
        <v>0</v>
      </c>
      <c r="Y1235" s="1">
        <f t="shared" si="39"/>
        <v>0</v>
      </c>
    </row>
    <row r="1236" spans="24:25" x14ac:dyDescent="0.3">
      <c r="X1236" s="1">
        <f t="shared" si="38"/>
        <v>0</v>
      </c>
      <c r="Y1236" s="1">
        <f t="shared" si="39"/>
        <v>0</v>
      </c>
    </row>
    <row r="1237" spans="24:25" x14ac:dyDescent="0.3">
      <c r="X1237" s="1">
        <f t="shared" si="38"/>
        <v>0</v>
      </c>
      <c r="Y1237" s="1">
        <f t="shared" si="39"/>
        <v>0</v>
      </c>
    </row>
    <row r="1238" spans="24:25" x14ac:dyDescent="0.3">
      <c r="X1238" s="1">
        <f t="shared" si="38"/>
        <v>0</v>
      </c>
      <c r="Y1238" s="1">
        <f t="shared" si="39"/>
        <v>0</v>
      </c>
    </row>
    <row r="1239" spans="24:25" x14ac:dyDescent="0.3">
      <c r="X1239" s="1">
        <f t="shared" si="38"/>
        <v>0</v>
      </c>
      <c r="Y1239" s="1">
        <f t="shared" si="39"/>
        <v>0</v>
      </c>
    </row>
    <row r="1240" spans="24:25" x14ac:dyDescent="0.3">
      <c r="X1240" s="1">
        <f t="shared" si="38"/>
        <v>0</v>
      </c>
      <c r="Y1240" s="1">
        <f t="shared" si="39"/>
        <v>0</v>
      </c>
    </row>
    <row r="1241" spans="24:25" x14ac:dyDescent="0.3">
      <c r="X1241" s="1">
        <f t="shared" si="38"/>
        <v>0</v>
      </c>
      <c r="Y1241" s="1">
        <f t="shared" si="39"/>
        <v>0</v>
      </c>
    </row>
    <row r="1242" spans="24:25" x14ac:dyDescent="0.3">
      <c r="X1242" s="1">
        <f t="shared" si="38"/>
        <v>0</v>
      </c>
      <c r="Y1242" s="1">
        <f t="shared" si="39"/>
        <v>0</v>
      </c>
    </row>
    <row r="1243" spans="24:25" x14ac:dyDescent="0.3">
      <c r="X1243" s="1">
        <f t="shared" si="38"/>
        <v>0</v>
      </c>
      <c r="Y1243" s="1">
        <f t="shared" si="39"/>
        <v>0</v>
      </c>
    </row>
    <row r="1244" spans="24:25" x14ac:dyDescent="0.3">
      <c r="X1244" s="1">
        <f t="shared" si="38"/>
        <v>0</v>
      </c>
      <c r="Y1244" s="1">
        <f t="shared" si="39"/>
        <v>0</v>
      </c>
    </row>
    <row r="1245" spans="24:25" x14ac:dyDescent="0.3">
      <c r="X1245" s="1">
        <f t="shared" si="38"/>
        <v>0</v>
      </c>
      <c r="Y1245" s="1">
        <f t="shared" si="39"/>
        <v>0</v>
      </c>
    </row>
    <row r="1246" spans="24:25" x14ac:dyDescent="0.3">
      <c r="X1246" s="1">
        <f t="shared" si="38"/>
        <v>0</v>
      </c>
      <c r="Y1246" s="1">
        <f t="shared" si="39"/>
        <v>0</v>
      </c>
    </row>
    <row r="1247" spans="24:25" x14ac:dyDescent="0.3">
      <c r="X1247" s="1">
        <f t="shared" si="38"/>
        <v>0</v>
      </c>
      <c r="Y1247" s="1">
        <f t="shared" si="39"/>
        <v>0</v>
      </c>
    </row>
    <row r="1248" spans="24:25" x14ac:dyDescent="0.3">
      <c r="X1248" s="1">
        <f t="shared" si="38"/>
        <v>0</v>
      </c>
      <c r="Y1248" s="1">
        <f t="shared" si="39"/>
        <v>0</v>
      </c>
    </row>
    <row r="1249" spans="24:25" x14ac:dyDescent="0.3">
      <c r="X1249" s="1">
        <f t="shared" si="38"/>
        <v>0</v>
      </c>
      <c r="Y1249" s="1">
        <f t="shared" si="39"/>
        <v>0</v>
      </c>
    </row>
    <row r="1250" spans="24:25" x14ac:dyDescent="0.3">
      <c r="X1250" s="1">
        <f t="shared" si="38"/>
        <v>0</v>
      </c>
      <c r="Y1250" s="1">
        <f t="shared" si="39"/>
        <v>0</v>
      </c>
    </row>
    <row r="1251" spans="24:25" x14ac:dyDescent="0.3">
      <c r="X1251" s="1">
        <f t="shared" si="38"/>
        <v>0</v>
      </c>
      <c r="Y1251" s="1">
        <f t="shared" si="39"/>
        <v>0</v>
      </c>
    </row>
    <row r="1252" spans="24:25" x14ac:dyDescent="0.3">
      <c r="X1252" s="1">
        <f t="shared" si="38"/>
        <v>0</v>
      </c>
      <c r="Y1252" s="1">
        <f t="shared" si="39"/>
        <v>0</v>
      </c>
    </row>
    <row r="1253" spans="24:25" x14ac:dyDescent="0.3">
      <c r="X1253" s="1">
        <f t="shared" si="38"/>
        <v>0</v>
      </c>
      <c r="Y1253" s="1">
        <f t="shared" si="39"/>
        <v>0</v>
      </c>
    </row>
    <row r="1254" spans="24:25" x14ac:dyDescent="0.3">
      <c r="X1254" s="1">
        <f t="shared" si="38"/>
        <v>0</v>
      </c>
      <c r="Y1254" s="1">
        <f t="shared" si="39"/>
        <v>0</v>
      </c>
    </row>
    <row r="1255" spans="24:25" x14ac:dyDescent="0.3">
      <c r="X1255" s="1">
        <f t="shared" si="38"/>
        <v>0</v>
      </c>
      <c r="Y1255" s="1">
        <f t="shared" si="39"/>
        <v>0</v>
      </c>
    </row>
    <row r="1256" spans="24:25" x14ac:dyDescent="0.3">
      <c r="X1256" s="1">
        <f t="shared" si="38"/>
        <v>0</v>
      </c>
      <c r="Y1256" s="1">
        <f t="shared" si="39"/>
        <v>0</v>
      </c>
    </row>
    <row r="1257" spans="24:25" x14ac:dyDescent="0.3">
      <c r="X1257" s="1">
        <f t="shared" si="38"/>
        <v>0</v>
      </c>
      <c r="Y1257" s="1">
        <f t="shared" si="39"/>
        <v>0</v>
      </c>
    </row>
    <row r="1258" spans="24:25" x14ac:dyDescent="0.3">
      <c r="X1258" s="1">
        <f t="shared" si="38"/>
        <v>0</v>
      </c>
      <c r="Y1258" s="1">
        <f t="shared" si="39"/>
        <v>0</v>
      </c>
    </row>
    <row r="1259" spans="24:25" x14ac:dyDescent="0.3">
      <c r="X1259" s="1">
        <f t="shared" si="38"/>
        <v>0</v>
      </c>
      <c r="Y1259" s="1">
        <f t="shared" si="39"/>
        <v>0</v>
      </c>
    </row>
    <row r="1260" spans="24:25" x14ac:dyDescent="0.3">
      <c r="X1260" s="1">
        <f t="shared" si="38"/>
        <v>0</v>
      </c>
      <c r="Y1260" s="1">
        <f t="shared" si="39"/>
        <v>0</v>
      </c>
    </row>
    <row r="1261" spans="24:25" x14ac:dyDescent="0.3">
      <c r="X1261" s="1">
        <f t="shared" si="38"/>
        <v>0</v>
      </c>
      <c r="Y1261" s="1">
        <f t="shared" si="39"/>
        <v>0</v>
      </c>
    </row>
    <row r="1262" spans="24:25" x14ac:dyDescent="0.3">
      <c r="X1262" s="1">
        <f t="shared" si="38"/>
        <v>0</v>
      </c>
      <c r="Y1262" s="1">
        <f t="shared" si="39"/>
        <v>0</v>
      </c>
    </row>
    <row r="1263" spans="24:25" x14ac:dyDescent="0.3">
      <c r="X1263" s="1">
        <f t="shared" si="38"/>
        <v>0</v>
      </c>
      <c r="Y1263" s="1">
        <f t="shared" si="39"/>
        <v>0</v>
      </c>
    </row>
    <row r="1264" spans="24:25" x14ac:dyDescent="0.3">
      <c r="X1264" s="1">
        <f t="shared" si="38"/>
        <v>0</v>
      </c>
      <c r="Y1264" s="1">
        <f t="shared" si="39"/>
        <v>0</v>
      </c>
    </row>
    <row r="1265" spans="24:25" x14ac:dyDescent="0.3">
      <c r="X1265" s="1">
        <f t="shared" si="38"/>
        <v>0</v>
      </c>
      <c r="Y1265" s="1">
        <f t="shared" si="39"/>
        <v>0</v>
      </c>
    </row>
    <row r="1266" spans="24:25" x14ac:dyDescent="0.3">
      <c r="X1266" s="1">
        <f t="shared" si="38"/>
        <v>0</v>
      </c>
      <c r="Y1266" s="1">
        <f t="shared" si="39"/>
        <v>0</v>
      </c>
    </row>
    <row r="1267" spans="24:25" x14ac:dyDescent="0.3">
      <c r="X1267" s="1">
        <f t="shared" si="38"/>
        <v>0</v>
      </c>
      <c r="Y1267" s="1">
        <f t="shared" si="39"/>
        <v>0</v>
      </c>
    </row>
    <row r="1268" spans="24:25" x14ac:dyDescent="0.3">
      <c r="X1268" s="1">
        <f t="shared" si="38"/>
        <v>0</v>
      </c>
      <c r="Y1268" s="1">
        <f t="shared" si="39"/>
        <v>0</v>
      </c>
    </row>
    <row r="1269" spans="24:25" x14ac:dyDescent="0.3">
      <c r="X1269" s="1">
        <f t="shared" si="38"/>
        <v>0</v>
      </c>
      <c r="Y1269" s="1">
        <f t="shared" si="39"/>
        <v>0</v>
      </c>
    </row>
    <row r="1270" spans="24:25" x14ac:dyDescent="0.3">
      <c r="X1270" s="1">
        <f t="shared" si="38"/>
        <v>0</v>
      </c>
      <c r="Y1270" s="1">
        <f t="shared" si="39"/>
        <v>0</v>
      </c>
    </row>
    <row r="1271" spans="24:25" x14ac:dyDescent="0.3">
      <c r="X1271" s="1">
        <f t="shared" si="38"/>
        <v>0</v>
      </c>
      <c r="Y1271" s="1">
        <f t="shared" si="39"/>
        <v>0</v>
      </c>
    </row>
    <row r="1272" spans="24:25" x14ac:dyDescent="0.3">
      <c r="X1272" s="1">
        <f t="shared" si="38"/>
        <v>0</v>
      </c>
      <c r="Y1272" s="1">
        <f t="shared" si="39"/>
        <v>0</v>
      </c>
    </row>
    <row r="1273" spans="24:25" x14ac:dyDescent="0.3">
      <c r="X1273" s="1">
        <f t="shared" si="38"/>
        <v>0</v>
      </c>
      <c r="Y1273" s="1">
        <f t="shared" si="39"/>
        <v>0</v>
      </c>
    </row>
    <row r="1274" spans="24:25" x14ac:dyDescent="0.3">
      <c r="X1274" s="1">
        <f t="shared" si="38"/>
        <v>0</v>
      </c>
      <c r="Y1274" s="1">
        <f t="shared" si="39"/>
        <v>0</v>
      </c>
    </row>
    <row r="1275" spans="24:25" x14ac:dyDescent="0.3">
      <c r="X1275" s="1">
        <f t="shared" si="38"/>
        <v>0</v>
      </c>
      <c r="Y1275" s="1">
        <f t="shared" si="39"/>
        <v>0</v>
      </c>
    </row>
    <row r="1276" spans="24:25" x14ac:dyDescent="0.3">
      <c r="X1276" s="1">
        <f t="shared" si="38"/>
        <v>0</v>
      </c>
      <c r="Y1276" s="1">
        <f t="shared" si="39"/>
        <v>0</v>
      </c>
    </row>
    <row r="1277" spans="24:25" x14ac:dyDescent="0.3">
      <c r="X1277" s="1">
        <f t="shared" si="38"/>
        <v>0</v>
      </c>
      <c r="Y1277" s="1">
        <f t="shared" si="39"/>
        <v>0</v>
      </c>
    </row>
    <row r="1278" spans="24:25" x14ac:dyDescent="0.3">
      <c r="X1278" s="1">
        <f t="shared" si="38"/>
        <v>0</v>
      </c>
      <c r="Y1278" s="1">
        <f t="shared" si="39"/>
        <v>0</v>
      </c>
    </row>
    <row r="1279" spans="24:25" x14ac:dyDescent="0.3">
      <c r="X1279" s="1">
        <f t="shared" si="38"/>
        <v>0</v>
      </c>
      <c r="Y1279" s="1">
        <f t="shared" si="39"/>
        <v>0</v>
      </c>
    </row>
    <row r="1280" spans="24:25" x14ac:dyDescent="0.3">
      <c r="X1280" s="1">
        <f t="shared" si="38"/>
        <v>0</v>
      </c>
      <c r="Y1280" s="1">
        <f t="shared" si="39"/>
        <v>0</v>
      </c>
    </row>
    <row r="1281" spans="24:25" x14ac:dyDescent="0.3">
      <c r="X1281" s="1">
        <f t="shared" si="38"/>
        <v>0</v>
      </c>
      <c r="Y1281" s="1">
        <f t="shared" si="39"/>
        <v>0</v>
      </c>
    </row>
    <row r="1282" spans="24:25" x14ac:dyDescent="0.3">
      <c r="X1282" s="1">
        <f t="shared" si="38"/>
        <v>0</v>
      </c>
      <c r="Y1282" s="1">
        <f t="shared" si="39"/>
        <v>0</v>
      </c>
    </row>
    <row r="1283" spans="24:25" x14ac:dyDescent="0.3">
      <c r="X1283" s="1">
        <f t="shared" ref="X1283:X1346" si="40">IFERROR(MATCH(W1283,$B:$B,0),0)</f>
        <v>0</v>
      </c>
      <c r="Y1283" s="1">
        <f t="shared" ref="Y1283:Y1346" si="41">IF(X1284=0,COUNTA(A:A),X1284-1)</f>
        <v>0</v>
      </c>
    </row>
    <row r="1284" spans="24:25" x14ac:dyDescent="0.3">
      <c r="X1284" s="1">
        <f t="shared" si="40"/>
        <v>0</v>
      </c>
      <c r="Y1284" s="1">
        <f t="shared" si="41"/>
        <v>0</v>
      </c>
    </row>
    <row r="1285" spans="24:25" x14ac:dyDescent="0.3">
      <c r="X1285" s="1">
        <f t="shared" si="40"/>
        <v>0</v>
      </c>
      <c r="Y1285" s="1">
        <f t="shared" si="41"/>
        <v>0</v>
      </c>
    </row>
    <row r="1286" spans="24:25" x14ac:dyDescent="0.3">
      <c r="X1286" s="1">
        <f t="shared" si="40"/>
        <v>0</v>
      </c>
      <c r="Y1286" s="1">
        <f t="shared" si="41"/>
        <v>0</v>
      </c>
    </row>
    <row r="1287" spans="24:25" x14ac:dyDescent="0.3">
      <c r="X1287" s="1">
        <f t="shared" si="40"/>
        <v>0</v>
      </c>
      <c r="Y1287" s="1">
        <f t="shared" si="41"/>
        <v>0</v>
      </c>
    </row>
    <row r="1288" spans="24:25" x14ac:dyDescent="0.3">
      <c r="X1288" s="1">
        <f t="shared" si="40"/>
        <v>0</v>
      </c>
      <c r="Y1288" s="1">
        <f t="shared" si="41"/>
        <v>0</v>
      </c>
    </row>
    <row r="1289" spans="24:25" x14ac:dyDescent="0.3">
      <c r="X1289" s="1">
        <f t="shared" si="40"/>
        <v>0</v>
      </c>
      <c r="Y1289" s="1">
        <f t="shared" si="41"/>
        <v>0</v>
      </c>
    </row>
    <row r="1290" spans="24:25" x14ac:dyDescent="0.3">
      <c r="X1290" s="1">
        <f t="shared" si="40"/>
        <v>0</v>
      </c>
      <c r="Y1290" s="1">
        <f t="shared" si="41"/>
        <v>0</v>
      </c>
    </row>
    <row r="1291" spans="24:25" x14ac:dyDescent="0.3">
      <c r="X1291" s="1">
        <f t="shared" si="40"/>
        <v>0</v>
      </c>
      <c r="Y1291" s="1">
        <f t="shared" si="41"/>
        <v>0</v>
      </c>
    </row>
    <row r="1292" spans="24:25" x14ac:dyDescent="0.3">
      <c r="X1292" s="1">
        <f t="shared" si="40"/>
        <v>0</v>
      </c>
      <c r="Y1292" s="1">
        <f t="shared" si="41"/>
        <v>0</v>
      </c>
    </row>
    <row r="1293" spans="24:25" x14ac:dyDescent="0.3">
      <c r="X1293" s="1">
        <f t="shared" si="40"/>
        <v>0</v>
      </c>
      <c r="Y1293" s="1">
        <f t="shared" si="41"/>
        <v>0</v>
      </c>
    </row>
    <row r="1294" spans="24:25" x14ac:dyDescent="0.3">
      <c r="X1294" s="1">
        <f t="shared" si="40"/>
        <v>0</v>
      </c>
      <c r="Y1294" s="1">
        <f t="shared" si="41"/>
        <v>0</v>
      </c>
    </row>
    <row r="1295" spans="24:25" x14ac:dyDescent="0.3">
      <c r="X1295" s="1">
        <f t="shared" si="40"/>
        <v>0</v>
      </c>
      <c r="Y1295" s="1">
        <f t="shared" si="41"/>
        <v>0</v>
      </c>
    </row>
    <row r="1296" spans="24:25" x14ac:dyDescent="0.3">
      <c r="X1296" s="1">
        <f t="shared" si="40"/>
        <v>0</v>
      </c>
      <c r="Y1296" s="1">
        <f t="shared" si="41"/>
        <v>0</v>
      </c>
    </row>
    <row r="1297" spans="24:25" x14ac:dyDescent="0.3">
      <c r="X1297" s="1">
        <f t="shared" si="40"/>
        <v>0</v>
      </c>
      <c r="Y1297" s="1">
        <f t="shared" si="41"/>
        <v>0</v>
      </c>
    </row>
    <row r="1298" spans="24:25" x14ac:dyDescent="0.3">
      <c r="X1298" s="1">
        <f t="shared" si="40"/>
        <v>0</v>
      </c>
      <c r="Y1298" s="1">
        <f t="shared" si="41"/>
        <v>0</v>
      </c>
    </row>
    <row r="1299" spans="24:25" x14ac:dyDescent="0.3">
      <c r="X1299" s="1">
        <f t="shared" si="40"/>
        <v>0</v>
      </c>
      <c r="Y1299" s="1">
        <f t="shared" si="41"/>
        <v>0</v>
      </c>
    </row>
    <row r="1300" spans="24:25" x14ac:dyDescent="0.3">
      <c r="X1300" s="1">
        <f t="shared" si="40"/>
        <v>0</v>
      </c>
      <c r="Y1300" s="1">
        <f t="shared" si="41"/>
        <v>0</v>
      </c>
    </row>
    <row r="1301" spans="24:25" x14ac:dyDescent="0.3">
      <c r="X1301" s="1">
        <f t="shared" si="40"/>
        <v>0</v>
      </c>
      <c r="Y1301" s="1">
        <f t="shared" si="41"/>
        <v>0</v>
      </c>
    </row>
    <row r="1302" spans="24:25" x14ac:dyDescent="0.3">
      <c r="X1302" s="1">
        <f t="shared" si="40"/>
        <v>0</v>
      </c>
      <c r="Y1302" s="1">
        <f t="shared" si="41"/>
        <v>0</v>
      </c>
    </row>
    <row r="1303" spans="24:25" x14ac:dyDescent="0.3">
      <c r="X1303" s="1">
        <f t="shared" si="40"/>
        <v>0</v>
      </c>
      <c r="Y1303" s="1">
        <f t="shared" si="41"/>
        <v>0</v>
      </c>
    </row>
    <row r="1304" spans="24:25" x14ac:dyDescent="0.3">
      <c r="X1304" s="1">
        <f t="shared" si="40"/>
        <v>0</v>
      </c>
      <c r="Y1304" s="1">
        <f t="shared" si="41"/>
        <v>0</v>
      </c>
    </row>
    <row r="1305" spans="24:25" x14ac:dyDescent="0.3">
      <c r="X1305" s="1">
        <f t="shared" si="40"/>
        <v>0</v>
      </c>
      <c r="Y1305" s="1">
        <f t="shared" si="41"/>
        <v>0</v>
      </c>
    </row>
    <row r="1306" spans="24:25" x14ac:dyDescent="0.3">
      <c r="X1306" s="1">
        <f t="shared" si="40"/>
        <v>0</v>
      </c>
      <c r="Y1306" s="1">
        <f t="shared" si="41"/>
        <v>0</v>
      </c>
    </row>
    <row r="1307" spans="24:25" x14ac:dyDescent="0.3">
      <c r="X1307" s="1">
        <f t="shared" si="40"/>
        <v>0</v>
      </c>
      <c r="Y1307" s="1">
        <f t="shared" si="41"/>
        <v>0</v>
      </c>
    </row>
    <row r="1308" spans="24:25" x14ac:dyDescent="0.3">
      <c r="X1308" s="1">
        <f t="shared" si="40"/>
        <v>0</v>
      </c>
      <c r="Y1308" s="1">
        <f t="shared" si="41"/>
        <v>0</v>
      </c>
    </row>
    <row r="1309" spans="24:25" x14ac:dyDescent="0.3">
      <c r="X1309" s="1">
        <f t="shared" si="40"/>
        <v>0</v>
      </c>
      <c r="Y1309" s="1">
        <f t="shared" si="41"/>
        <v>0</v>
      </c>
    </row>
    <row r="1310" spans="24:25" x14ac:dyDescent="0.3">
      <c r="X1310" s="1">
        <f t="shared" si="40"/>
        <v>0</v>
      </c>
      <c r="Y1310" s="1">
        <f t="shared" si="41"/>
        <v>0</v>
      </c>
    </row>
    <row r="1311" spans="24:25" x14ac:dyDescent="0.3">
      <c r="X1311" s="1">
        <f t="shared" si="40"/>
        <v>0</v>
      </c>
      <c r="Y1311" s="1">
        <f t="shared" si="41"/>
        <v>0</v>
      </c>
    </row>
    <row r="1312" spans="24:25" x14ac:dyDescent="0.3">
      <c r="X1312" s="1">
        <f t="shared" si="40"/>
        <v>0</v>
      </c>
      <c r="Y1312" s="1">
        <f t="shared" si="41"/>
        <v>0</v>
      </c>
    </row>
    <row r="1313" spans="24:25" x14ac:dyDescent="0.3">
      <c r="X1313" s="1">
        <f t="shared" si="40"/>
        <v>0</v>
      </c>
      <c r="Y1313" s="1">
        <f t="shared" si="41"/>
        <v>0</v>
      </c>
    </row>
    <row r="1314" spans="24:25" x14ac:dyDescent="0.3">
      <c r="X1314" s="1">
        <f t="shared" si="40"/>
        <v>0</v>
      </c>
      <c r="Y1314" s="1">
        <f t="shared" si="41"/>
        <v>0</v>
      </c>
    </row>
    <row r="1315" spans="24:25" x14ac:dyDescent="0.3">
      <c r="X1315" s="1">
        <f t="shared" si="40"/>
        <v>0</v>
      </c>
      <c r="Y1315" s="1">
        <f t="shared" si="41"/>
        <v>0</v>
      </c>
    </row>
    <row r="1316" spans="24:25" x14ac:dyDescent="0.3">
      <c r="X1316" s="1">
        <f t="shared" si="40"/>
        <v>0</v>
      </c>
      <c r="Y1316" s="1">
        <f t="shared" si="41"/>
        <v>0</v>
      </c>
    </row>
    <row r="1317" spans="24:25" x14ac:dyDescent="0.3">
      <c r="X1317" s="1">
        <f t="shared" si="40"/>
        <v>0</v>
      </c>
      <c r="Y1317" s="1">
        <f t="shared" si="41"/>
        <v>0</v>
      </c>
    </row>
    <row r="1318" spans="24:25" x14ac:dyDescent="0.3">
      <c r="X1318" s="1">
        <f t="shared" si="40"/>
        <v>0</v>
      </c>
      <c r="Y1318" s="1">
        <f t="shared" si="41"/>
        <v>0</v>
      </c>
    </row>
    <row r="1319" spans="24:25" x14ac:dyDescent="0.3">
      <c r="X1319" s="1">
        <f t="shared" si="40"/>
        <v>0</v>
      </c>
      <c r="Y1319" s="1">
        <f t="shared" si="41"/>
        <v>0</v>
      </c>
    </row>
    <row r="1320" spans="24:25" x14ac:dyDescent="0.3">
      <c r="X1320" s="1">
        <f t="shared" si="40"/>
        <v>0</v>
      </c>
      <c r="Y1320" s="1">
        <f t="shared" si="41"/>
        <v>0</v>
      </c>
    </row>
    <row r="1321" spans="24:25" x14ac:dyDescent="0.3">
      <c r="X1321" s="1">
        <f t="shared" si="40"/>
        <v>0</v>
      </c>
      <c r="Y1321" s="1">
        <f t="shared" si="41"/>
        <v>0</v>
      </c>
    </row>
    <row r="1322" spans="24:25" x14ac:dyDescent="0.3">
      <c r="X1322" s="1">
        <f t="shared" si="40"/>
        <v>0</v>
      </c>
      <c r="Y1322" s="1">
        <f t="shared" si="41"/>
        <v>0</v>
      </c>
    </row>
    <row r="1323" spans="24:25" x14ac:dyDescent="0.3">
      <c r="X1323" s="1">
        <f t="shared" si="40"/>
        <v>0</v>
      </c>
      <c r="Y1323" s="1">
        <f t="shared" si="41"/>
        <v>0</v>
      </c>
    </row>
    <row r="1324" spans="24:25" x14ac:dyDescent="0.3">
      <c r="X1324" s="1">
        <f t="shared" si="40"/>
        <v>0</v>
      </c>
      <c r="Y1324" s="1">
        <f t="shared" si="41"/>
        <v>0</v>
      </c>
    </row>
    <row r="1325" spans="24:25" x14ac:dyDescent="0.3">
      <c r="X1325" s="1">
        <f t="shared" si="40"/>
        <v>0</v>
      </c>
      <c r="Y1325" s="1">
        <f t="shared" si="41"/>
        <v>0</v>
      </c>
    </row>
    <row r="1326" spans="24:25" x14ac:dyDescent="0.3">
      <c r="X1326" s="1">
        <f t="shared" si="40"/>
        <v>0</v>
      </c>
      <c r="Y1326" s="1">
        <f t="shared" si="41"/>
        <v>0</v>
      </c>
    </row>
    <row r="1327" spans="24:25" x14ac:dyDescent="0.3">
      <c r="X1327" s="1">
        <f t="shared" si="40"/>
        <v>0</v>
      </c>
      <c r="Y1327" s="1">
        <f t="shared" si="41"/>
        <v>0</v>
      </c>
    </row>
    <row r="1328" spans="24:25" x14ac:dyDescent="0.3">
      <c r="X1328" s="1">
        <f t="shared" si="40"/>
        <v>0</v>
      </c>
      <c r="Y1328" s="1">
        <f t="shared" si="41"/>
        <v>0</v>
      </c>
    </row>
    <row r="1329" spans="24:25" x14ac:dyDescent="0.3">
      <c r="X1329" s="1">
        <f t="shared" si="40"/>
        <v>0</v>
      </c>
      <c r="Y1329" s="1">
        <f t="shared" si="41"/>
        <v>0</v>
      </c>
    </row>
    <row r="1330" spans="24:25" x14ac:dyDescent="0.3">
      <c r="X1330" s="1">
        <f t="shared" si="40"/>
        <v>0</v>
      </c>
      <c r="Y1330" s="1">
        <f t="shared" si="41"/>
        <v>0</v>
      </c>
    </row>
    <row r="1331" spans="24:25" x14ac:dyDescent="0.3">
      <c r="X1331" s="1">
        <f t="shared" si="40"/>
        <v>0</v>
      </c>
      <c r="Y1331" s="1">
        <f t="shared" si="41"/>
        <v>0</v>
      </c>
    </row>
    <row r="1332" spans="24:25" x14ac:dyDescent="0.3">
      <c r="X1332" s="1">
        <f t="shared" si="40"/>
        <v>0</v>
      </c>
      <c r="Y1332" s="1">
        <f t="shared" si="41"/>
        <v>0</v>
      </c>
    </row>
    <row r="1333" spans="24:25" x14ac:dyDescent="0.3">
      <c r="X1333" s="1">
        <f t="shared" si="40"/>
        <v>0</v>
      </c>
      <c r="Y1333" s="1">
        <f t="shared" si="41"/>
        <v>0</v>
      </c>
    </row>
    <row r="1334" spans="24:25" x14ac:dyDescent="0.3">
      <c r="X1334" s="1">
        <f t="shared" si="40"/>
        <v>0</v>
      </c>
      <c r="Y1334" s="1">
        <f t="shared" si="41"/>
        <v>0</v>
      </c>
    </row>
    <row r="1335" spans="24:25" x14ac:dyDescent="0.3">
      <c r="X1335" s="1">
        <f t="shared" si="40"/>
        <v>0</v>
      </c>
      <c r="Y1335" s="1">
        <f t="shared" si="41"/>
        <v>0</v>
      </c>
    </row>
    <row r="1336" spans="24:25" x14ac:dyDescent="0.3">
      <c r="X1336" s="1">
        <f t="shared" si="40"/>
        <v>0</v>
      </c>
      <c r="Y1336" s="1">
        <f t="shared" si="41"/>
        <v>0</v>
      </c>
    </row>
    <row r="1337" spans="24:25" x14ac:dyDescent="0.3">
      <c r="X1337" s="1">
        <f t="shared" si="40"/>
        <v>0</v>
      </c>
      <c r="Y1337" s="1">
        <f t="shared" si="41"/>
        <v>0</v>
      </c>
    </row>
    <row r="1338" spans="24:25" x14ac:dyDescent="0.3">
      <c r="X1338" s="1">
        <f t="shared" si="40"/>
        <v>0</v>
      </c>
      <c r="Y1338" s="1">
        <f t="shared" si="41"/>
        <v>0</v>
      </c>
    </row>
    <row r="1339" spans="24:25" x14ac:dyDescent="0.3">
      <c r="X1339" s="1">
        <f t="shared" si="40"/>
        <v>0</v>
      </c>
      <c r="Y1339" s="1">
        <f t="shared" si="41"/>
        <v>0</v>
      </c>
    </row>
    <row r="1340" spans="24:25" x14ac:dyDescent="0.3">
      <c r="X1340" s="1">
        <f t="shared" si="40"/>
        <v>0</v>
      </c>
      <c r="Y1340" s="1">
        <f t="shared" si="41"/>
        <v>0</v>
      </c>
    </row>
    <row r="1341" spans="24:25" x14ac:dyDescent="0.3">
      <c r="X1341" s="1">
        <f t="shared" si="40"/>
        <v>0</v>
      </c>
      <c r="Y1341" s="1">
        <f t="shared" si="41"/>
        <v>0</v>
      </c>
    </row>
    <row r="1342" spans="24:25" x14ac:dyDescent="0.3">
      <c r="X1342" s="1">
        <f t="shared" si="40"/>
        <v>0</v>
      </c>
      <c r="Y1342" s="1">
        <f t="shared" si="41"/>
        <v>0</v>
      </c>
    </row>
    <row r="1343" spans="24:25" x14ac:dyDescent="0.3">
      <c r="X1343" s="1">
        <f t="shared" si="40"/>
        <v>0</v>
      </c>
      <c r="Y1343" s="1">
        <f t="shared" si="41"/>
        <v>0</v>
      </c>
    </row>
    <row r="1344" spans="24:25" x14ac:dyDescent="0.3">
      <c r="X1344" s="1">
        <f t="shared" si="40"/>
        <v>0</v>
      </c>
      <c r="Y1344" s="1">
        <f t="shared" si="41"/>
        <v>0</v>
      </c>
    </row>
    <row r="1345" spans="24:25" x14ac:dyDescent="0.3">
      <c r="X1345" s="1">
        <f t="shared" si="40"/>
        <v>0</v>
      </c>
      <c r="Y1345" s="1">
        <f t="shared" si="41"/>
        <v>0</v>
      </c>
    </row>
    <row r="1346" spans="24:25" x14ac:dyDescent="0.3">
      <c r="X1346" s="1">
        <f t="shared" si="40"/>
        <v>0</v>
      </c>
      <c r="Y1346" s="1">
        <f t="shared" si="41"/>
        <v>0</v>
      </c>
    </row>
    <row r="1347" spans="24:25" x14ac:dyDescent="0.3">
      <c r="X1347" s="1">
        <f t="shared" ref="X1347:X1410" si="42">IFERROR(MATCH(W1347,$B:$B,0),0)</f>
        <v>0</v>
      </c>
      <c r="Y1347" s="1">
        <f t="shared" ref="Y1347:Y1410" si="43">IF(X1348=0,COUNTA(A:A),X1348-1)</f>
        <v>0</v>
      </c>
    </row>
    <row r="1348" spans="24:25" x14ac:dyDescent="0.3">
      <c r="X1348" s="1">
        <f t="shared" si="42"/>
        <v>0</v>
      </c>
      <c r="Y1348" s="1">
        <f t="shared" si="43"/>
        <v>0</v>
      </c>
    </row>
    <row r="1349" spans="24:25" x14ac:dyDescent="0.3">
      <c r="X1349" s="1">
        <f t="shared" si="42"/>
        <v>0</v>
      </c>
      <c r="Y1349" s="1">
        <f t="shared" si="43"/>
        <v>0</v>
      </c>
    </row>
    <row r="1350" spans="24:25" x14ac:dyDescent="0.3">
      <c r="X1350" s="1">
        <f t="shared" si="42"/>
        <v>0</v>
      </c>
      <c r="Y1350" s="1">
        <f t="shared" si="43"/>
        <v>0</v>
      </c>
    </row>
    <row r="1351" spans="24:25" x14ac:dyDescent="0.3">
      <c r="X1351" s="1">
        <f t="shared" si="42"/>
        <v>0</v>
      </c>
      <c r="Y1351" s="1">
        <f t="shared" si="43"/>
        <v>0</v>
      </c>
    </row>
    <row r="1352" spans="24:25" x14ac:dyDescent="0.3">
      <c r="X1352" s="1">
        <f t="shared" si="42"/>
        <v>0</v>
      </c>
      <c r="Y1352" s="1">
        <f t="shared" si="43"/>
        <v>0</v>
      </c>
    </row>
    <row r="1353" spans="24:25" x14ac:dyDescent="0.3">
      <c r="X1353" s="1">
        <f t="shared" si="42"/>
        <v>0</v>
      </c>
      <c r="Y1353" s="1">
        <f t="shared" si="43"/>
        <v>0</v>
      </c>
    </row>
    <row r="1354" spans="24:25" x14ac:dyDescent="0.3">
      <c r="X1354" s="1">
        <f t="shared" si="42"/>
        <v>0</v>
      </c>
      <c r="Y1354" s="1">
        <f t="shared" si="43"/>
        <v>0</v>
      </c>
    </row>
    <row r="1355" spans="24:25" x14ac:dyDescent="0.3">
      <c r="X1355" s="1">
        <f t="shared" si="42"/>
        <v>0</v>
      </c>
      <c r="Y1355" s="1">
        <f t="shared" si="43"/>
        <v>0</v>
      </c>
    </row>
    <row r="1356" spans="24:25" x14ac:dyDescent="0.3">
      <c r="X1356" s="1">
        <f t="shared" si="42"/>
        <v>0</v>
      </c>
      <c r="Y1356" s="1">
        <f t="shared" si="43"/>
        <v>0</v>
      </c>
    </row>
    <row r="1357" spans="24:25" x14ac:dyDescent="0.3">
      <c r="X1357" s="1">
        <f t="shared" si="42"/>
        <v>0</v>
      </c>
      <c r="Y1357" s="1">
        <f t="shared" si="43"/>
        <v>0</v>
      </c>
    </row>
    <row r="1358" spans="24:25" x14ac:dyDescent="0.3">
      <c r="X1358" s="1">
        <f t="shared" si="42"/>
        <v>0</v>
      </c>
      <c r="Y1358" s="1">
        <f t="shared" si="43"/>
        <v>0</v>
      </c>
    </row>
    <row r="1359" spans="24:25" x14ac:dyDescent="0.3">
      <c r="X1359" s="1">
        <f t="shared" si="42"/>
        <v>0</v>
      </c>
      <c r="Y1359" s="1">
        <f t="shared" si="43"/>
        <v>0</v>
      </c>
    </row>
    <row r="1360" spans="24:25" x14ac:dyDescent="0.3">
      <c r="X1360" s="1">
        <f t="shared" si="42"/>
        <v>0</v>
      </c>
      <c r="Y1360" s="1">
        <f t="shared" si="43"/>
        <v>0</v>
      </c>
    </row>
    <row r="1361" spans="24:25" x14ac:dyDescent="0.3">
      <c r="X1361" s="1">
        <f t="shared" si="42"/>
        <v>0</v>
      </c>
      <c r="Y1361" s="1">
        <f t="shared" si="43"/>
        <v>0</v>
      </c>
    </row>
    <row r="1362" spans="24:25" x14ac:dyDescent="0.3">
      <c r="X1362" s="1">
        <f t="shared" si="42"/>
        <v>0</v>
      </c>
      <c r="Y1362" s="1">
        <f t="shared" si="43"/>
        <v>0</v>
      </c>
    </row>
    <row r="1363" spans="24:25" x14ac:dyDescent="0.3">
      <c r="X1363" s="1">
        <f t="shared" si="42"/>
        <v>0</v>
      </c>
      <c r="Y1363" s="1">
        <f t="shared" si="43"/>
        <v>0</v>
      </c>
    </row>
    <row r="1364" spans="24:25" x14ac:dyDescent="0.3">
      <c r="X1364" s="1">
        <f t="shared" si="42"/>
        <v>0</v>
      </c>
      <c r="Y1364" s="1">
        <f t="shared" si="43"/>
        <v>0</v>
      </c>
    </row>
    <row r="1365" spans="24:25" x14ac:dyDescent="0.3">
      <c r="X1365" s="1">
        <f t="shared" si="42"/>
        <v>0</v>
      </c>
      <c r="Y1365" s="1">
        <f t="shared" si="43"/>
        <v>0</v>
      </c>
    </row>
    <row r="1366" spans="24:25" x14ac:dyDescent="0.3">
      <c r="X1366" s="1">
        <f t="shared" si="42"/>
        <v>0</v>
      </c>
      <c r="Y1366" s="1">
        <f t="shared" si="43"/>
        <v>0</v>
      </c>
    </row>
    <row r="1367" spans="24:25" x14ac:dyDescent="0.3">
      <c r="X1367" s="1">
        <f t="shared" si="42"/>
        <v>0</v>
      </c>
      <c r="Y1367" s="1">
        <f t="shared" si="43"/>
        <v>0</v>
      </c>
    </row>
    <row r="1368" spans="24:25" x14ac:dyDescent="0.3">
      <c r="X1368" s="1">
        <f t="shared" si="42"/>
        <v>0</v>
      </c>
      <c r="Y1368" s="1">
        <f t="shared" si="43"/>
        <v>0</v>
      </c>
    </row>
    <row r="1369" spans="24:25" x14ac:dyDescent="0.3">
      <c r="X1369" s="1">
        <f t="shared" si="42"/>
        <v>0</v>
      </c>
      <c r="Y1369" s="1">
        <f t="shared" si="43"/>
        <v>0</v>
      </c>
    </row>
    <row r="1370" spans="24:25" x14ac:dyDescent="0.3">
      <c r="X1370" s="1">
        <f t="shared" si="42"/>
        <v>0</v>
      </c>
      <c r="Y1370" s="1">
        <f t="shared" si="43"/>
        <v>0</v>
      </c>
    </row>
    <row r="1371" spans="24:25" x14ac:dyDescent="0.3">
      <c r="X1371" s="1">
        <f t="shared" si="42"/>
        <v>0</v>
      </c>
      <c r="Y1371" s="1">
        <f t="shared" si="43"/>
        <v>0</v>
      </c>
    </row>
    <row r="1372" spans="24:25" x14ac:dyDescent="0.3">
      <c r="X1372" s="1">
        <f t="shared" si="42"/>
        <v>0</v>
      </c>
      <c r="Y1372" s="1">
        <f t="shared" si="43"/>
        <v>0</v>
      </c>
    </row>
    <row r="1373" spans="24:25" x14ac:dyDescent="0.3">
      <c r="X1373" s="1">
        <f t="shared" si="42"/>
        <v>0</v>
      </c>
      <c r="Y1373" s="1">
        <f t="shared" si="43"/>
        <v>0</v>
      </c>
    </row>
    <row r="1374" spans="24:25" x14ac:dyDescent="0.3">
      <c r="X1374" s="1">
        <f t="shared" si="42"/>
        <v>0</v>
      </c>
      <c r="Y1374" s="1">
        <f t="shared" si="43"/>
        <v>0</v>
      </c>
    </row>
    <row r="1375" spans="24:25" x14ac:dyDescent="0.3">
      <c r="X1375" s="1">
        <f t="shared" si="42"/>
        <v>0</v>
      </c>
      <c r="Y1375" s="1">
        <f t="shared" si="43"/>
        <v>0</v>
      </c>
    </row>
    <row r="1376" spans="24:25" x14ac:dyDescent="0.3">
      <c r="X1376" s="1">
        <f t="shared" si="42"/>
        <v>0</v>
      </c>
      <c r="Y1376" s="1">
        <f t="shared" si="43"/>
        <v>0</v>
      </c>
    </row>
    <row r="1377" spans="24:25" x14ac:dyDescent="0.3">
      <c r="X1377" s="1">
        <f t="shared" si="42"/>
        <v>0</v>
      </c>
      <c r="Y1377" s="1">
        <f t="shared" si="43"/>
        <v>0</v>
      </c>
    </row>
    <row r="1378" spans="24:25" x14ac:dyDescent="0.3">
      <c r="X1378" s="1">
        <f t="shared" si="42"/>
        <v>0</v>
      </c>
      <c r="Y1378" s="1">
        <f t="shared" si="43"/>
        <v>0</v>
      </c>
    </row>
    <row r="1379" spans="24:25" x14ac:dyDescent="0.3">
      <c r="X1379" s="1">
        <f t="shared" si="42"/>
        <v>0</v>
      </c>
      <c r="Y1379" s="1">
        <f t="shared" si="43"/>
        <v>0</v>
      </c>
    </row>
    <row r="1380" spans="24:25" x14ac:dyDescent="0.3">
      <c r="X1380" s="1">
        <f t="shared" si="42"/>
        <v>0</v>
      </c>
      <c r="Y1380" s="1">
        <f t="shared" si="43"/>
        <v>0</v>
      </c>
    </row>
    <row r="1381" spans="24:25" x14ac:dyDescent="0.3">
      <c r="X1381" s="1">
        <f t="shared" si="42"/>
        <v>0</v>
      </c>
      <c r="Y1381" s="1">
        <f t="shared" si="43"/>
        <v>0</v>
      </c>
    </row>
    <row r="1382" spans="24:25" x14ac:dyDescent="0.3">
      <c r="X1382" s="1">
        <f t="shared" si="42"/>
        <v>0</v>
      </c>
      <c r="Y1382" s="1">
        <f t="shared" si="43"/>
        <v>0</v>
      </c>
    </row>
    <row r="1383" spans="24:25" x14ac:dyDescent="0.3">
      <c r="X1383" s="1">
        <f t="shared" si="42"/>
        <v>0</v>
      </c>
      <c r="Y1383" s="1">
        <f t="shared" si="43"/>
        <v>0</v>
      </c>
    </row>
    <row r="1384" spans="24:25" x14ac:dyDescent="0.3">
      <c r="X1384" s="1">
        <f t="shared" si="42"/>
        <v>0</v>
      </c>
      <c r="Y1384" s="1">
        <f t="shared" si="43"/>
        <v>0</v>
      </c>
    </row>
    <row r="1385" spans="24:25" x14ac:dyDescent="0.3">
      <c r="X1385" s="1">
        <f t="shared" si="42"/>
        <v>0</v>
      </c>
      <c r="Y1385" s="1">
        <f t="shared" si="43"/>
        <v>0</v>
      </c>
    </row>
    <row r="1386" spans="24:25" x14ac:dyDescent="0.3">
      <c r="X1386" s="1">
        <f t="shared" si="42"/>
        <v>0</v>
      </c>
      <c r="Y1386" s="1">
        <f t="shared" si="43"/>
        <v>0</v>
      </c>
    </row>
    <row r="1387" spans="24:25" x14ac:dyDescent="0.3">
      <c r="X1387" s="1">
        <f t="shared" si="42"/>
        <v>0</v>
      </c>
      <c r="Y1387" s="1">
        <f t="shared" si="43"/>
        <v>0</v>
      </c>
    </row>
    <row r="1388" spans="24:25" x14ac:dyDescent="0.3">
      <c r="X1388" s="1">
        <f t="shared" si="42"/>
        <v>0</v>
      </c>
      <c r="Y1388" s="1">
        <f t="shared" si="43"/>
        <v>0</v>
      </c>
    </row>
    <row r="1389" spans="24:25" x14ac:dyDescent="0.3">
      <c r="X1389" s="1">
        <f t="shared" si="42"/>
        <v>0</v>
      </c>
      <c r="Y1389" s="1">
        <f t="shared" si="43"/>
        <v>0</v>
      </c>
    </row>
    <row r="1390" spans="24:25" x14ac:dyDescent="0.3">
      <c r="X1390" s="1">
        <f t="shared" si="42"/>
        <v>0</v>
      </c>
      <c r="Y1390" s="1">
        <f t="shared" si="43"/>
        <v>0</v>
      </c>
    </row>
    <row r="1391" spans="24:25" x14ac:dyDescent="0.3">
      <c r="X1391" s="1">
        <f t="shared" si="42"/>
        <v>0</v>
      </c>
      <c r="Y1391" s="1">
        <f t="shared" si="43"/>
        <v>0</v>
      </c>
    </row>
    <row r="1392" spans="24:25" x14ac:dyDescent="0.3">
      <c r="X1392" s="1">
        <f t="shared" si="42"/>
        <v>0</v>
      </c>
      <c r="Y1392" s="1">
        <f t="shared" si="43"/>
        <v>0</v>
      </c>
    </row>
    <row r="1393" spans="24:25" x14ac:dyDescent="0.3">
      <c r="X1393" s="1">
        <f t="shared" si="42"/>
        <v>0</v>
      </c>
      <c r="Y1393" s="1">
        <f t="shared" si="43"/>
        <v>0</v>
      </c>
    </row>
    <row r="1394" spans="24:25" x14ac:dyDescent="0.3">
      <c r="X1394" s="1">
        <f t="shared" si="42"/>
        <v>0</v>
      </c>
      <c r="Y1394" s="1">
        <f t="shared" si="43"/>
        <v>0</v>
      </c>
    </row>
    <row r="1395" spans="24:25" x14ac:dyDescent="0.3">
      <c r="X1395" s="1">
        <f t="shared" si="42"/>
        <v>0</v>
      </c>
      <c r="Y1395" s="1">
        <f t="shared" si="43"/>
        <v>0</v>
      </c>
    </row>
    <row r="1396" spans="24:25" x14ac:dyDescent="0.3">
      <c r="X1396" s="1">
        <f t="shared" si="42"/>
        <v>0</v>
      </c>
      <c r="Y1396" s="1">
        <f t="shared" si="43"/>
        <v>0</v>
      </c>
    </row>
    <row r="1397" spans="24:25" x14ac:dyDescent="0.3">
      <c r="X1397" s="1">
        <f t="shared" si="42"/>
        <v>0</v>
      </c>
      <c r="Y1397" s="1">
        <f t="shared" si="43"/>
        <v>0</v>
      </c>
    </row>
    <row r="1398" spans="24:25" x14ac:dyDescent="0.3">
      <c r="X1398" s="1">
        <f t="shared" si="42"/>
        <v>0</v>
      </c>
      <c r="Y1398" s="1">
        <f t="shared" si="43"/>
        <v>0</v>
      </c>
    </row>
    <row r="1399" spans="24:25" x14ac:dyDescent="0.3">
      <c r="X1399" s="1">
        <f t="shared" si="42"/>
        <v>0</v>
      </c>
      <c r="Y1399" s="1">
        <f t="shared" si="43"/>
        <v>0</v>
      </c>
    </row>
    <row r="1400" spans="24:25" x14ac:dyDescent="0.3">
      <c r="X1400" s="1">
        <f t="shared" si="42"/>
        <v>0</v>
      </c>
      <c r="Y1400" s="1">
        <f t="shared" si="43"/>
        <v>0</v>
      </c>
    </row>
    <row r="1401" spans="24:25" x14ac:dyDescent="0.3">
      <c r="X1401" s="1">
        <f t="shared" si="42"/>
        <v>0</v>
      </c>
      <c r="Y1401" s="1">
        <f t="shared" si="43"/>
        <v>0</v>
      </c>
    </row>
    <row r="1402" spans="24:25" x14ac:dyDescent="0.3">
      <c r="X1402" s="1">
        <f t="shared" si="42"/>
        <v>0</v>
      </c>
      <c r="Y1402" s="1">
        <f t="shared" si="43"/>
        <v>0</v>
      </c>
    </row>
    <row r="1403" spans="24:25" x14ac:dyDescent="0.3">
      <c r="X1403" s="1">
        <f t="shared" si="42"/>
        <v>0</v>
      </c>
      <c r="Y1403" s="1">
        <f t="shared" si="43"/>
        <v>0</v>
      </c>
    </row>
    <row r="1404" spans="24:25" x14ac:dyDescent="0.3">
      <c r="X1404" s="1">
        <f t="shared" si="42"/>
        <v>0</v>
      </c>
      <c r="Y1404" s="1">
        <f t="shared" si="43"/>
        <v>0</v>
      </c>
    </row>
    <row r="1405" spans="24:25" x14ac:dyDescent="0.3">
      <c r="X1405" s="1">
        <f t="shared" si="42"/>
        <v>0</v>
      </c>
      <c r="Y1405" s="1">
        <f t="shared" si="43"/>
        <v>0</v>
      </c>
    </row>
    <row r="1406" spans="24:25" x14ac:dyDescent="0.3">
      <c r="X1406" s="1">
        <f t="shared" si="42"/>
        <v>0</v>
      </c>
      <c r="Y1406" s="1">
        <f t="shared" si="43"/>
        <v>0</v>
      </c>
    </row>
    <row r="1407" spans="24:25" x14ac:dyDescent="0.3">
      <c r="X1407" s="1">
        <f t="shared" si="42"/>
        <v>0</v>
      </c>
      <c r="Y1407" s="1">
        <f t="shared" si="43"/>
        <v>0</v>
      </c>
    </row>
    <row r="1408" spans="24:25" x14ac:dyDescent="0.3">
      <c r="X1408" s="1">
        <f t="shared" si="42"/>
        <v>0</v>
      </c>
      <c r="Y1408" s="1">
        <f t="shared" si="43"/>
        <v>0</v>
      </c>
    </row>
    <row r="1409" spans="24:25" x14ac:dyDescent="0.3">
      <c r="X1409" s="1">
        <f t="shared" si="42"/>
        <v>0</v>
      </c>
      <c r="Y1409" s="1">
        <f t="shared" si="43"/>
        <v>0</v>
      </c>
    </row>
    <row r="1410" spans="24:25" x14ac:dyDescent="0.3">
      <c r="X1410" s="1">
        <f t="shared" si="42"/>
        <v>0</v>
      </c>
      <c r="Y1410" s="1">
        <f t="shared" si="43"/>
        <v>0</v>
      </c>
    </row>
    <row r="1411" spans="24:25" x14ac:dyDescent="0.3">
      <c r="X1411" s="1">
        <f t="shared" ref="X1411:X1474" si="44">IFERROR(MATCH(W1411,$B:$B,0),0)</f>
        <v>0</v>
      </c>
      <c r="Y1411" s="1">
        <f t="shared" ref="Y1411:Y1474" si="45">IF(X1412=0,COUNTA(A:A),X1412-1)</f>
        <v>0</v>
      </c>
    </row>
    <row r="1412" spans="24:25" x14ac:dyDescent="0.3">
      <c r="X1412" s="1">
        <f t="shared" si="44"/>
        <v>0</v>
      </c>
      <c r="Y1412" s="1">
        <f t="shared" si="45"/>
        <v>0</v>
      </c>
    </row>
    <row r="1413" spans="24:25" x14ac:dyDescent="0.3">
      <c r="X1413" s="1">
        <f t="shared" si="44"/>
        <v>0</v>
      </c>
      <c r="Y1413" s="1">
        <f t="shared" si="45"/>
        <v>0</v>
      </c>
    </row>
    <row r="1414" spans="24:25" x14ac:dyDescent="0.3">
      <c r="X1414" s="1">
        <f t="shared" si="44"/>
        <v>0</v>
      </c>
      <c r="Y1414" s="1">
        <f t="shared" si="45"/>
        <v>0</v>
      </c>
    </row>
    <row r="1415" spans="24:25" x14ac:dyDescent="0.3">
      <c r="X1415" s="1">
        <f t="shared" si="44"/>
        <v>0</v>
      </c>
      <c r="Y1415" s="1">
        <f t="shared" si="45"/>
        <v>0</v>
      </c>
    </row>
    <row r="1416" spans="24:25" x14ac:dyDescent="0.3">
      <c r="X1416" s="1">
        <f t="shared" si="44"/>
        <v>0</v>
      </c>
      <c r="Y1416" s="1">
        <f t="shared" si="45"/>
        <v>0</v>
      </c>
    </row>
    <row r="1417" spans="24:25" x14ac:dyDescent="0.3">
      <c r="X1417" s="1">
        <f t="shared" si="44"/>
        <v>0</v>
      </c>
      <c r="Y1417" s="1">
        <f t="shared" si="45"/>
        <v>0</v>
      </c>
    </row>
    <row r="1418" spans="24:25" x14ac:dyDescent="0.3">
      <c r="X1418" s="1">
        <f t="shared" si="44"/>
        <v>0</v>
      </c>
      <c r="Y1418" s="1">
        <f t="shared" si="45"/>
        <v>0</v>
      </c>
    </row>
    <row r="1419" spans="24:25" x14ac:dyDescent="0.3">
      <c r="X1419" s="1">
        <f t="shared" si="44"/>
        <v>0</v>
      </c>
      <c r="Y1419" s="1">
        <f t="shared" si="45"/>
        <v>0</v>
      </c>
    </row>
    <row r="1420" spans="24:25" x14ac:dyDescent="0.3">
      <c r="X1420" s="1">
        <f t="shared" si="44"/>
        <v>0</v>
      </c>
      <c r="Y1420" s="1">
        <f t="shared" si="45"/>
        <v>0</v>
      </c>
    </row>
    <row r="1421" spans="24:25" x14ac:dyDescent="0.3">
      <c r="X1421" s="1">
        <f t="shared" si="44"/>
        <v>0</v>
      </c>
      <c r="Y1421" s="1">
        <f t="shared" si="45"/>
        <v>0</v>
      </c>
    </row>
    <row r="1422" spans="24:25" x14ac:dyDescent="0.3">
      <c r="X1422" s="1">
        <f t="shared" si="44"/>
        <v>0</v>
      </c>
      <c r="Y1422" s="1">
        <f t="shared" si="45"/>
        <v>0</v>
      </c>
    </row>
    <row r="1423" spans="24:25" x14ac:dyDescent="0.3">
      <c r="X1423" s="1">
        <f t="shared" si="44"/>
        <v>0</v>
      </c>
      <c r="Y1423" s="1">
        <f t="shared" si="45"/>
        <v>0</v>
      </c>
    </row>
    <row r="1424" spans="24:25" x14ac:dyDescent="0.3">
      <c r="X1424" s="1">
        <f t="shared" si="44"/>
        <v>0</v>
      </c>
      <c r="Y1424" s="1">
        <f t="shared" si="45"/>
        <v>0</v>
      </c>
    </row>
    <row r="1425" spans="24:25" x14ac:dyDescent="0.3">
      <c r="X1425" s="1">
        <f t="shared" si="44"/>
        <v>0</v>
      </c>
      <c r="Y1425" s="1">
        <f t="shared" si="45"/>
        <v>0</v>
      </c>
    </row>
    <row r="1426" spans="24:25" x14ac:dyDescent="0.3">
      <c r="X1426" s="1">
        <f t="shared" si="44"/>
        <v>0</v>
      </c>
      <c r="Y1426" s="1">
        <f t="shared" si="45"/>
        <v>0</v>
      </c>
    </row>
    <row r="1427" spans="24:25" x14ac:dyDescent="0.3">
      <c r="X1427" s="1">
        <f t="shared" si="44"/>
        <v>0</v>
      </c>
      <c r="Y1427" s="1">
        <f t="shared" si="45"/>
        <v>0</v>
      </c>
    </row>
    <row r="1428" spans="24:25" x14ac:dyDescent="0.3">
      <c r="X1428" s="1">
        <f t="shared" si="44"/>
        <v>0</v>
      </c>
      <c r="Y1428" s="1">
        <f t="shared" si="45"/>
        <v>0</v>
      </c>
    </row>
    <row r="1429" spans="24:25" x14ac:dyDescent="0.3">
      <c r="X1429" s="1">
        <f t="shared" si="44"/>
        <v>0</v>
      </c>
      <c r="Y1429" s="1">
        <f t="shared" si="45"/>
        <v>0</v>
      </c>
    </row>
    <row r="1430" spans="24:25" x14ac:dyDescent="0.3">
      <c r="X1430" s="1">
        <f t="shared" si="44"/>
        <v>0</v>
      </c>
      <c r="Y1430" s="1">
        <f t="shared" si="45"/>
        <v>0</v>
      </c>
    </row>
    <row r="1431" spans="24:25" x14ac:dyDescent="0.3">
      <c r="X1431" s="1">
        <f t="shared" si="44"/>
        <v>0</v>
      </c>
      <c r="Y1431" s="1">
        <f t="shared" si="45"/>
        <v>0</v>
      </c>
    </row>
    <row r="1432" spans="24:25" x14ac:dyDescent="0.3">
      <c r="X1432" s="1">
        <f t="shared" si="44"/>
        <v>0</v>
      </c>
      <c r="Y1432" s="1">
        <f t="shared" si="45"/>
        <v>0</v>
      </c>
    </row>
    <row r="1433" spans="24:25" x14ac:dyDescent="0.3">
      <c r="X1433" s="1">
        <f t="shared" si="44"/>
        <v>0</v>
      </c>
      <c r="Y1433" s="1">
        <f t="shared" si="45"/>
        <v>0</v>
      </c>
    </row>
    <row r="1434" spans="24:25" x14ac:dyDescent="0.3">
      <c r="X1434" s="1">
        <f t="shared" si="44"/>
        <v>0</v>
      </c>
      <c r="Y1434" s="1">
        <f t="shared" si="45"/>
        <v>0</v>
      </c>
    </row>
    <row r="1435" spans="24:25" x14ac:dyDescent="0.3">
      <c r="X1435" s="1">
        <f t="shared" si="44"/>
        <v>0</v>
      </c>
      <c r="Y1435" s="1">
        <f t="shared" si="45"/>
        <v>0</v>
      </c>
    </row>
    <row r="1436" spans="24:25" x14ac:dyDescent="0.3">
      <c r="X1436" s="1">
        <f t="shared" si="44"/>
        <v>0</v>
      </c>
      <c r="Y1436" s="1">
        <f t="shared" si="45"/>
        <v>0</v>
      </c>
    </row>
    <row r="1437" spans="24:25" x14ac:dyDescent="0.3">
      <c r="X1437" s="1">
        <f t="shared" si="44"/>
        <v>0</v>
      </c>
      <c r="Y1437" s="1">
        <f t="shared" si="45"/>
        <v>0</v>
      </c>
    </row>
    <row r="1438" spans="24:25" x14ac:dyDescent="0.3">
      <c r="X1438" s="1">
        <f t="shared" si="44"/>
        <v>0</v>
      </c>
      <c r="Y1438" s="1">
        <f t="shared" si="45"/>
        <v>0</v>
      </c>
    </row>
    <row r="1439" spans="24:25" x14ac:dyDescent="0.3">
      <c r="X1439" s="1">
        <f t="shared" si="44"/>
        <v>0</v>
      </c>
      <c r="Y1439" s="1">
        <f t="shared" si="45"/>
        <v>0</v>
      </c>
    </row>
    <row r="1440" spans="24:25" x14ac:dyDescent="0.3">
      <c r="X1440" s="1">
        <f t="shared" si="44"/>
        <v>0</v>
      </c>
      <c r="Y1440" s="1">
        <f t="shared" si="45"/>
        <v>0</v>
      </c>
    </row>
    <row r="1441" spans="24:25" x14ac:dyDescent="0.3">
      <c r="X1441" s="1">
        <f t="shared" si="44"/>
        <v>0</v>
      </c>
      <c r="Y1441" s="1">
        <f t="shared" si="45"/>
        <v>0</v>
      </c>
    </row>
    <row r="1442" spans="24:25" x14ac:dyDescent="0.3">
      <c r="X1442" s="1">
        <f t="shared" si="44"/>
        <v>0</v>
      </c>
      <c r="Y1442" s="1">
        <f t="shared" si="45"/>
        <v>0</v>
      </c>
    </row>
    <row r="1443" spans="24:25" x14ac:dyDescent="0.3">
      <c r="X1443" s="1">
        <f t="shared" si="44"/>
        <v>0</v>
      </c>
      <c r="Y1443" s="1">
        <f t="shared" si="45"/>
        <v>0</v>
      </c>
    </row>
    <row r="1444" spans="24:25" x14ac:dyDescent="0.3">
      <c r="X1444" s="1">
        <f t="shared" si="44"/>
        <v>0</v>
      </c>
      <c r="Y1444" s="1">
        <f t="shared" si="45"/>
        <v>0</v>
      </c>
    </row>
    <row r="1445" spans="24:25" x14ac:dyDescent="0.3">
      <c r="X1445" s="1">
        <f t="shared" si="44"/>
        <v>0</v>
      </c>
      <c r="Y1445" s="1">
        <f t="shared" si="45"/>
        <v>0</v>
      </c>
    </row>
    <row r="1446" spans="24:25" x14ac:dyDescent="0.3">
      <c r="X1446" s="1">
        <f t="shared" si="44"/>
        <v>0</v>
      </c>
      <c r="Y1446" s="1">
        <f t="shared" si="45"/>
        <v>0</v>
      </c>
    </row>
    <row r="1447" spans="24:25" x14ac:dyDescent="0.3">
      <c r="X1447" s="1">
        <f t="shared" si="44"/>
        <v>0</v>
      </c>
      <c r="Y1447" s="1">
        <f t="shared" si="45"/>
        <v>0</v>
      </c>
    </row>
    <row r="1448" spans="24:25" x14ac:dyDescent="0.3">
      <c r="X1448" s="1">
        <f t="shared" si="44"/>
        <v>0</v>
      </c>
      <c r="Y1448" s="1">
        <f t="shared" si="45"/>
        <v>0</v>
      </c>
    </row>
    <row r="1449" spans="24:25" x14ac:dyDescent="0.3">
      <c r="X1449" s="1">
        <f t="shared" si="44"/>
        <v>0</v>
      </c>
      <c r="Y1449" s="1">
        <f t="shared" si="45"/>
        <v>0</v>
      </c>
    </row>
    <row r="1450" spans="24:25" x14ac:dyDescent="0.3">
      <c r="X1450" s="1">
        <f t="shared" si="44"/>
        <v>0</v>
      </c>
      <c r="Y1450" s="1">
        <f t="shared" si="45"/>
        <v>0</v>
      </c>
    </row>
    <row r="1451" spans="24:25" x14ac:dyDescent="0.3">
      <c r="X1451" s="1">
        <f t="shared" si="44"/>
        <v>0</v>
      </c>
      <c r="Y1451" s="1">
        <f t="shared" si="45"/>
        <v>0</v>
      </c>
    </row>
    <row r="1452" spans="24:25" x14ac:dyDescent="0.3">
      <c r="X1452" s="1">
        <f t="shared" si="44"/>
        <v>0</v>
      </c>
      <c r="Y1452" s="1">
        <f t="shared" si="45"/>
        <v>0</v>
      </c>
    </row>
    <row r="1453" spans="24:25" x14ac:dyDescent="0.3">
      <c r="X1453" s="1">
        <f t="shared" si="44"/>
        <v>0</v>
      </c>
      <c r="Y1453" s="1">
        <f t="shared" si="45"/>
        <v>0</v>
      </c>
    </row>
    <row r="1454" spans="24:25" x14ac:dyDescent="0.3">
      <c r="X1454" s="1">
        <f t="shared" si="44"/>
        <v>0</v>
      </c>
      <c r="Y1454" s="1">
        <f t="shared" si="45"/>
        <v>0</v>
      </c>
    </row>
    <row r="1455" spans="24:25" x14ac:dyDescent="0.3">
      <c r="X1455" s="1">
        <f t="shared" si="44"/>
        <v>0</v>
      </c>
      <c r="Y1455" s="1">
        <f t="shared" si="45"/>
        <v>0</v>
      </c>
    </row>
    <row r="1456" spans="24:25" x14ac:dyDescent="0.3">
      <c r="X1456" s="1">
        <f t="shared" si="44"/>
        <v>0</v>
      </c>
      <c r="Y1456" s="1">
        <f t="shared" si="45"/>
        <v>0</v>
      </c>
    </row>
    <row r="1457" spans="24:25" x14ac:dyDescent="0.3">
      <c r="X1457" s="1">
        <f t="shared" si="44"/>
        <v>0</v>
      </c>
      <c r="Y1457" s="1">
        <f t="shared" si="45"/>
        <v>0</v>
      </c>
    </row>
    <row r="1458" spans="24:25" x14ac:dyDescent="0.3">
      <c r="X1458" s="1">
        <f t="shared" si="44"/>
        <v>0</v>
      </c>
      <c r="Y1458" s="1">
        <f t="shared" si="45"/>
        <v>0</v>
      </c>
    </row>
    <row r="1459" spans="24:25" x14ac:dyDescent="0.3">
      <c r="X1459" s="1">
        <f t="shared" si="44"/>
        <v>0</v>
      </c>
      <c r="Y1459" s="1">
        <f t="shared" si="45"/>
        <v>0</v>
      </c>
    </row>
    <row r="1460" spans="24:25" x14ac:dyDescent="0.3">
      <c r="X1460" s="1">
        <f t="shared" si="44"/>
        <v>0</v>
      </c>
      <c r="Y1460" s="1">
        <f t="shared" si="45"/>
        <v>0</v>
      </c>
    </row>
    <row r="1461" spans="24:25" x14ac:dyDescent="0.3">
      <c r="X1461" s="1">
        <f t="shared" si="44"/>
        <v>0</v>
      </c>
      <c r="Y1461" s="1">
        <f t="shared" si="45"/>
        <v>0</v>
      </c>
    </row>
    <row r="1462" spans="24:25" x14ac:dyDescent="0.3">
      <c r="X1462" s="1">
        <f t="shared" si="44"/>
        <v>0</v>
      </c>
      <c r="Y1462" s="1">
        <f t="shared" si="45"/>
        <v>0</v>
      </c>
    </row>
    <row r="1463" spans="24:25" x14ac:dyDescent="0.3">
      <c r="X1463" s="1">
        <f t="shared" si="44"/>
        <v>0</v>
      </c>
      <c r="Y1463" s="1">
        <f t="shared" si="45"/>
        <v>0</v>
      </c>
    </row>
    <row r="1464" spans="24:25" x14ac:dyDescent="0.3">
      <c r="X1464" s="1">
        <f t="shared" si="44"/>
        <v>0</v>
      </c>
      <c r="Y1464" s="1">
        <f t="shared" si="45"/>
        <v>0</v>
      </c>
    </row>
    <row r="1465" spans="24:25" x14ac:dyDescent="0.3">
      <c r="X1465" s="1">
        <f t="shared" si="44"/>
        <v>0</v>
      </c>
      <c r="Y1465" s="1">
        <f t="shared" si="45"/>
        <v>0</v>
      </c>
    </row>
    <row r="1466" spans="24:25" x14ac:dyDescent="0.3">
      <c r="X1466" s="1">
        <f t="shared" si="44"/>
        <v>0</v>
      </c>
      <c r="Y1466" s="1">
        <f t="shared" si="45"/>
        <v>0</v>
      </c>
    </row>
    <row r="1467" spans="24:25" x14ac:dyDescent="0.3">
      <c r="X1467" s="1">
        <f t="shared" si="44"/>
        <v>0</v>
      </c>
      <c r="Y1467" s="1">
        <f t="shared" si="45"/>
        <v>0</v>
      </c>
    </row>
    <row r="1468" spans="24:25" x14ac:dyDescent="0.3">
      <c r="X1468" s="1">
        <f t="shared" si="44"/>
        <v>0</v>
      </c>
      <c r="Y1468" s="1">
        <f t="shared" si="45"/>
        <v>0</v>
      </c>
    </row>
    <row r="1469" spans="24:25" x14ac:dyDescent="0.3">
      <c r="X1469" s="1">
        <f t="shared" si="44"/>
        <v>0</v>
      </c>
      <c r="Y1469" s="1">
        <f t="shared" si="45"/>
        <v>0</v>
      </c>
    </row>
    <row r="1470" spans="24:25" x14ac:dyDescent="0.3">
      <c r="X1470" s="1">
        <f t="shared" si="44"/>
        <v>0</v>
      </c>
      <c r="Y1470" s="1">
        <f t="shared" si="45"/>
        <v>0</v>
      </c>
    </row>
    <row r="1471" spans="24:25" x14ac:dyDescent="0.3">
      <c r="X1471" s="1">
        <f t="shared" si="44"/>
        <v>0</v>
      </c>
      <c r="Y1471" s="1">
        <f t="shared" si="45"/>
        <v>0</v>
      </c>
    </row>
    <row r="1472" spans="24:25" x14ac:dyDescent="0.3">
      <c r="X1472" s="1">
        <f t="shared" si="44"/>
        <v>0</v>
      </c>
      <c r="Y1472" s="1">
        <f t="shared" si="45"/>
        <v>0</v>
      </c>
    </row>
    <row r="1473" spans="24:25" x14ac:dyDescent="0.3">
      <c r="X1473" s="1">
        <f t="shared" si="44"/>
        <v>0</v>
      </c>
      <c r="Y1473" s="1">
        <f t="shared" si="45"/>
        <v>0</v>
      </c>
    </row>
    <row r="1474" spans="24:25" x14ac:dyDescent="0.3">
      <c r="X1474" s="1">
        <f t="shared" si="44"/>
        <v>0</v>
      </c>
      <c r="Y1474" s="1">
        <f t="shared" si="45"/>
        <v>0</v>
      </c>
    </row>
    <row r="1475" spans="24:25" x14ac:dyDescent="0.3">
      <c r="X1475" s="1">
        <f t="shared" ref="X1475:X1538" si="46">IFERROR(MATCH(W1475,$B:$B,0),0)</f>
        <v>0</v>
      </c>
      <c r="Y1475" s="1">
        <f t="shared" ref="Y1475:Y1538" si="47">IF(X1476=0,COUNTA(A:A),X1476-1)</f>
        <v>0</v>
      </c>
    </row>
    <row r="1476" spans="24:25" x14ac:dyDescent="0.3">
      <c r="X1476" s="1">
        <f t="shared" si="46"/>
        <v>0</v>
      </c>
      <c r="Y1476" s="1">
        <f t="shared" si="47"/>
        <v>0</v>
      </c>
    </row>
    <row r="1477" spans="24:25" x14ac:dyDescent="0.3">
      <c r="X1477" s="1">
        <f t="shared" si="46"/>
        <v>0</v>
      </c>
      <c r="Y1477" s="1">
        <f t="shared" si="47"/>
        <v>0</v>
      </c>
    </row>
    <row r="1478" spans="24:25" x14ac:dyDescent="0.3">
      <c r="X1478" s="1">
        <f t="shared" si="46"/>
        <v>0</v>
      </c>
      <c r="Y1478" s="1">
        <f t="shared" si="47"/>
        <v>0</v>
      </c>
    </row>
    <row r="1479" spans="24:25" x14ac:dyDescent="0.3">
      <c r="X1479" s="1">
        <f t="shared" si="46"/>
        <v>0</v>
      </c>
      <c r="Y1479" s="1">
        <f t="shared" si="47"/>
        <v>0</v>
      </c>
    </row>
    <row r="1480" spans="24:25" x14ac:dyDescent="0.3">
      <c r="X1480" s="1">
        <f t="shared" si="46"/>
        <v>0</v>
      </c>
      <c r="Y1480" s="1">
        <f t="shared" si="47"/>
        <v>0</v>
      </c>
    </row>
    <row r="1481" spans="24:25" x14ac:dyDescent="0.3">
      <c r="X1481" s="1">
        <f t="shared" si="46"/>
        <v>0</v>
      </c>
      <c r="Y1481" s="1">
        <f t="shared" si="47"/>
        <v>0</v>
      </c>
    </row>
    <row r="1482" spans="24:25" x14ac:dyDescent="0.3">
      <c r="X1482" s="1">
        <f t="shared" si="46"/>
        <v>0</v>
      </c>
      <c r="Y1482" s="1">
        <f t="shared" si="47"/>
        <v>0</v>
      </c>
    </row>
    <row r="1483" spans="24:25" x14ac:dyDescent="0.3">
      <c r="X1483" s="1">
        <f t="shared" si="46"/>
        <v>0</v>
      </c>
      <c r="Y1483" s="1">
        <f t="shared" si="47"/>
        <v>0</v>
      </c>
    </row>
    <row r="1484" spans="24:25" x14ac:dyDescent="0.3">
      <c r="X1484" s="1">
        <f t="shared" si="46"/>
        <v>0</v>
      </c>
      <c r="Y1484" s="1">
        <f t="shared" si="47"/>
        <v>0</v>
      </c>
    </row>
    <row r="1485" spans="24:25" x14ac:dyDescent="0.3">
      <c r="X1485" s="1">
        <f t="shared" si="46"/>
        <v>0</v>
      </c>
      <c r="Y1485" s="1">
        <f t="shared" si="47"/>
        <v>0</v>
      </c>
    </row>
    <row r="1486" spans="24:25" x14ac:dyDescent="0.3">
      <c r="X1486" s="1">
        <f t="shared" si="46"/>
        <v>0</v>
      </c>
      <c r="Y1486" s="1">
        <f t="shared" si="47"/>
        <v>0</v>
      </c>
    </row>
    <row r="1487" spans="24:25" x14ac:dyDescent="0.3">
      <c r="X1487" s="1">
        <f t="shared" si="46"/>
        <v>0</v>
      </c>
      <c r="Y1487" s="1">
        <f t="shared" si="47"/>
        <v>0</v>
      </c>
    </row>
    <row r="1488" spans="24:25" x14ac:dyDescent="0.3">
      <c r="X1488" s="1">
        <f t="shared" si="46"/>
        <v>0</v>
      </c>
      <c r="Y1488" s="1">
        <f t="shared" si="47"/>
        <v>0</v>
      </c>
    </row>
    <row r="1489" spans="24:25" x14ac:dyDescent="0.3">
      <c r="X1489" s="1">
        <f t="shared" si="46"/>
        <v>0</v>
      </c>
      <c r="Y1489" s="1">
        <f t="shared" si="47"/>
        <v>0</v>
      </c>
    </row>
    <row r="1490" spans="24:25" x14ac:dyDescent="0.3">
      <c r="X1490" s="1">
        <f t="shared" si="46"/>
        <v>0</v>
      </c>
      <c r="Y1490" s="1">
        <f t="shared" si="47"/>
        <v>0</v>
      </c>
    </row>
    <row r="1491" spans="24:25" x14ac:dyDescent="0.3">
      <c r="X1491" s="1">
        <f t="shared" si="46"/>
        <v>0</v>
      </c>
      <c r="Y1491" s="1">
        <f t="shared" si="47"/>
        <v>0</v>
      </c>
    </row>
    <row r="1492" spans="24:25" x14ac:dyDescent="0.3">
      <c r="X1492" s="1">
        <f t="shared" si="46"/>
        <v>0</v>
      </c>
      <c r="Y1492" s="1">
        <f t="shared" si="47"/>
        <v>0</v>
      </c>
    </row>
    <row r="1493" spans="24:25" x14ac:dyDescent="0.3">
      <c r="X1493" s="1">
        <f t="shared" si="46"/>
        <v>0</v>
      </c>
      <c r="Y1493" s="1">
        <f t="shared" si="47"/>
        <v>0</v>
      </c>
    </row>
    <row r="1494" spans="24:25" x14ac:dyDescent="0.3">
      <c r="X1494" s="1">
        <f t="shared" si="46"/>
        <v>0</v>
      </c>
      <c r="Y1494" s="1">
        <f t="shared" si="47"/>
        <v>0</v>
      </c>
    </row>
    <row r="1495" spans="24:25" x14ac:dyDescent="0.3">
      <c r="X1495" s="1">
        <f t="shared" si="46"/>
        <v>0</v>
      </c>
      <c r="Y1495" s="1">
        <f t="shared" si="47"/>
        <v>0</v>
      </c>
    </row>
    <row r="1496" spans="24:25" x14ac:dyDescent="0.3">
      <c r="X1496" s="1">
        <f t="shared" si="46"/>
        <v>0</v>
      </c>
      <c r="Y1496" s="1">
        <f t="shared" si="47"/>
        <v>0</v>
      </c>
    </row>
    <row r="1497" spans="24:25" x14ac:dyDescent="0.3">
      <c r="X1497" s="1">
        <f t="shared" si="46"/>
        <v>0</v>
      </c>
      <c r="Y1497" s="1">
        <f t="shared" si="47"/>
        <v>0</v>
      </c>
    </row>
    <row r="1498" spans="24:25" x14ac:dyDescent="0.3">
      <c r="X1498" s="1">
        <f t="shared" si="46"/>
        <v>0</v>
      </c>
      <c r="Y1498" s="1">
        <f t="shared" si="47"/>
        <v>0</v>
      </c>
    </row>
    <row r="1499" spans="24:25" x14ac:dyDescent="0.3">
      <c r="X1499" s="1">
        <f t="shared" si="46"/>
        <v>0</v>
      </c>
      <c r="Y1499" s="1">
        <f t="shared" si="47"/>
        <v>0</v>
      </c>
    </row>
    <row r="1500" spans="24:25" x14ac:dyDescent="0.3">
      <c r="X1500" s="1">
        <f t="shared" si="46"/>
        <v>0</v>
      </c>
      <c r="Y1500" s="1">
        <f t="shared" si="47"/>
        <v>0</v>
      </c>
    </row>
    <row r="1501" spans="24:25" x14ac:dyDescent="0.3">
      <c r="X1501" s="1">
        <f t="shared" si="46"/>
        <v>0</v>
      </c>
      <c r="Y1501" s="1">
        <f t="shared" si="47"/>
        <v>0</v>
      </c>
    </row>
    <row r="1502" spans="24:25" x14ac:dyDescent="0.3">
      <c r="X1502" s="1">
        <f t="shared" si="46"/>
        <v>0</v>
      </c>
      <c r="Y1502" s="1">
        <f t="shared" si="47"/>
        <v>0</v>
      </c>
    </row>
    <row r="1503" spans="24:25" x14ac:dyDescent="0.3">
      <c r="X1503" s="1">
        <f t="shared" si="46"/>
        <v>0</v>
      </c>
      <c r="Y1503" s="1">
        <f t="shared" si="47"/>
        <v>0</v>
      </c>
    </row>
    <row r="1504" spans="24:25" x14ac:dyDescent="0.3">
      <c r="X1504" s="1">
        <f t="shared" si="46"/>
        <v>0</v>
      </c>
      <c r="Y1504" s="1">
        <f t="shared" si="47"/>
        <v>0</v>
      </c>
    </row>
    <row r="1505" spans="24:25" x14ac:dyDescent="0.3">
      <c r="X1505" s="1">
        <f t="shared" si="46"/>
        <v>0</v>
      </c>
      <c r="Y1505" s="1">
        <f t="shared" si="47"/>
        <v>0</v>
      </c>
    </row>
    <row r="1506" spans="24:25" x14ac:dyDescent="0.3">
      <c r="X1506" s="1">
        <f t="shared" si="46"/>
        <v>0</v>
      </c>
      <c r="Y1506" s="1">
        <f t="shared" si="47"/>
        <v>0</v>
      </c>
    </row>
    <row r="1507" spans="24:25" x14ac:dyDescent="0.3">
      <c r="X1507" s="1">
        <f t="shared" si="46"/>
        <v>0</v>
      </c>
      <c r="Y1507" s="1">
        <f t="shared" si="47"/>
        <v>0</v>
      </c>
    </row>
    <row r="1508" spans="24:25" x14ac:dyDescent="0.3">
      <c r="X1508" s="1">
        <f t="shared" si="46"/>
        <v>0</v>
      </c>
      <c r="Y1508" s="1">
        <f t="shared" si="47"/>
        <v>0</v>
      </c>
    </row>
    <row r="1509" spans="24:25" x14ac:dyDescent="0.3">
      <c r="X1509" s="1">
        <f t="shared" si="46"/>
        <v>0</v>
      </c>
      <c r="Y1509" s="1">
        <f t="shared" si="47"/>
        <v>0</v>
      </c>
    </row>
    <row r="1510" spans="24:25" x14ac:dyDescent="0.3">
      <c r="X1510" s="1">
        <f t="shared" si="46"/>
        <v>0</v>
      </c>
      <c r="Y1510" s="1">
        <f t="shared" si="47"/>
        <v>0</v>
      </c>
    </row>
    <row r="1511" spans="24:25" x14ac:dyDescent="0.3">
      <c r="X1511" s="1">
        <f t="shared" si="46"/>
        <v>0</v>
      </c>
      <c r="Y1511" s="1">
        <f t="shared" si="47"/>
        <v>0</v>
      </c>
    </row>
    <row r="1512" spans="24:25" x14ac:dyDescent="0.3">
      <c r="X1512" s="1">
        <f t="shared" si="46"/>
        <v>0</v>
      </c>
      <c r="Y1512" s="1">
        <f t="shared" si="47"/>
        <v>0</v>
      </c>
    </row>
    <row r="1513" spans="24:25" x14ac:dyDescent="0.3">
      <c r="X1513" s="1">
        <f t="shared" si="46"/>
        <v>0</v>
      </c>
      <c r="Y1513" s="1">
        <f t="shared" si="47"/>
        <v>0</v>
      </c>
    </row>
    <row r="1514" spans="24:25" x14ac:dyDescent="0.3">
      <c r="X1514" s="1">
        <f t="shared" si="46"/>
        <v>0</v>
      </c>
      <c r="Y1514" s="1">
        <f t="shared" si="47"/>
        <v>0</v>
      </c>
    </row>
    <row r="1515" spans="24:25" x14ac:dyDescent="0.3">
      <c r="X1515" s="1">
        <f t="shared" si="46"/>
        <v>0</v>
      </c>
      <c r="Y1515" s="1">
        <f t="shared" si="47"/>
        <v>0</v>
      </c>
    </row>
    <row r="1516" spans="24:25" x14ac:dyDescent="0.3">
      <c r="X1516" s="1">
        <f t="shared" si="46"/>
        <v>0</v>
      </c>
      <c r="Y1516" s="1">
        <f t="shared" si="47"/>
        <v>0</v>
      </c>
    </row>
    <row r="1517" spans="24:25" x14ac:dyDescent="0.3">
      <c r="X1517" s="1">
        <f t="shared" si="46"/>
        <v>0</v>
      </c>
      <c r="Y1517" s="1">
        <f t="shared" si="47"/>
        <v>0</v>
      </c>
    </row>
    <row r="1518" spans="24:25" x14ac:dyDescent="0.3">
      <c r="X1518" s="1">
        <f t="shared" si="46"/>
        <v>0</v>
      </c>
      <c r="Y1518" s="1">
        <f t="shared" si="47"/>
        <v>0</v>
      </c>
    </row>
    <row r="1519" spans="24:25" x14ac:dyDescent="0.3">
      <c r="X1519" s="1">
        <f t="shared" si="46"/>
        <v>0</v>
      </c>
      <c r="Y1519" s="1">
        <f t="shared" si="47"/>
        <v>0</v>
      </c>
    </row>
    <row r="1520" spans="24:25" x14ac:dyDescent="0.3">
      <c r="X1520" s="1">
        <f t="shared" si="46"/>
        <v>0</v>
      </c>
      <c r="Y1520" s="1">
        <f t="shared" si="47"/>
        <v>0</v>
      </c>
    </row>
    <row r="1521" spans="24:25" x14ac:dyDescent="0.3">
      <c r="X1521" s="1">
        <f t="shared" si="46"/>
        <v>0</v>
      </c>
      <c r="Y1521" s="1">
        <f t="shared" si="47"/>
        <v>0</v>
      </c>
    </row>
    <row r="1522" spans="24:25" x14ac:dyDescent="0.3">
      <c r="X1522" s="1">
        <f t="shared" si="46"/>
        <v>0</v>
      </c>
      <c r="Y1522" s="1">
        <f t="shared" si="47"/>
        <v>0</v>
      </c>
    </row>
    <row r="1523" spans="24:25" x14ac:dyDescent="0.3">
      <c r="X1523" s="1">
        <f t="shared" si="46"/>
        <v>0</v>
      </c>
      <c r="Y1523" s="1">
        <f t="shared" si="47"/>
        <v>0</v>
      </c>
    </row>
    <row r="1524" spans="24:25" x14ac:dyDescent="0.3">
      <c r="X1524" s="1">
        <f t="shared" si="46"/>
        <v>0</v>
      </c>
      <c r="Y1524" s="1">
        <f t="shared" si="47"/>
        <v>0</v>
      </c>
    </row>
    <row r="1525" spans="24:25" x14ac:dyDescent="0.3">
      <c r="X1525" s="1">
        <f t="shared" si="46"/>
        <v>0</v>
      </c>
      <c r="Y1525" s="1">
        <f t="shared" si="47"/>
        <v>0</v>
      </c>
    </row>
    <row r="1526" spans="24:25" x14ac:dyDescent="0.3">
      <c r="X1526" s="1">
        <f t="shared" si="46"/>
        <v>0</v>
      </c>
      <c r="Y1526" s="1">
        <f t="shared" si="47"/>
        <v>0</v>
      </c>
    </row>
    <row r="1527" spans="24:25" x14ac:dyDescent="0.3">
      <c r="X1527" s="1">
        <f t="shared" si="46"/>
        <v>0</v>
      </c>
      <c r="Y1527" s="1">
        <f t="shared" si="47"/>
        <v>0</v>
      </c>
    </row>
    <row r="1528" spans="24:25" x14ac:dyDescent="0.3">
      <c r="X1528" s="1">
        <f t="shared" si="46"/>
        <v>0</v>
      </c>
      <c r="Y1528" s="1">
        <f t="shared" si="47"/>
        <v>0</v>
      </c>
    </row>
    <row r="1529" spans="24:25" x14ac:dyDescent="0.3">
      <c r="X1529" s="1">
        <f t="shared" si="46"/>
        <v>0</v>
      </c>
      <c r="Y1529" s="1">
        <f t="shared" si="47"/>
        <v>0</v>
      </c>
    </row>
    <row r="1530" spans="24:25" x14ac:dyDescent="0.3">
      <c r="X1530" s="1">
        <f t="shared" si="46"/>
        <v>0</v>
      </c>
      <c r="Y1530" s="1">
        <f t="shared" si="47"/>
        <v>0</v>
      </c>
    </row>
    <row r="1531" spans="24:25" x14ac:dyDescent="0.3">
      <c r="X1531" s="1">
        <f t="shared" si="46"/>
        <v>0</v>
      </c>
      <c r="Y1531" s="1">
        <f t="shared" si="47"/>
        <v>0</v>
      </c>
    </row>
    <row r="1532" spans="24:25" x14ac:dyDescent="0.3">
      <c r="X1532" s="1">
        <f t="shared" si="46"/>
        <v>0</v>
      </c>
      <c r="Y1532" s="1">
        <f t="shared" si="47"/>
        <v>0</v>
      </c>
    </row>
    <row r="1533" spans="24:25" x14ac:dyDescent="0.3">
      <c r="X1533" s="1">
        <f t="shared" si="46"/>
        <v>0</v>
      </c>
      <c r="Y1533" s="1">
        <f t="shared" si="47"/>
        <v>0</v>
      </c>
    </row>
    <row r="1534" spans="24:25" x14ac:dyDescent="0.3">
      <c r="X1534" s="1">
        <f t="shared" si="46"/>
        <v>0</v>
      </c>
      <c r="Y1534" s="1">
        <f t="shared" si="47"/>
        <v>0</v>
      </c>
    </row>
    <row r="1535" spans="24:25" x14ac:dyDescent="0.3">
      <c r="X1535" s="1">
        <f t="shared" si="46"/>
        <v>0</v>
      </c>
      <c r="Y1535" s="1">
        <f t="shared" si="47"/>
        <v>0</v>
      </c>
    </row>
    <row r="1536" spans="24:25" x14ac:dyDescent="0.3">
      <c r="X1536" s="1">
        <f t="shared" si="46"/>
        <v>0</v>
      </c>
      <c r="Y1536" s="1">
        <f t="shared" si="47"/>
        <v>0</v>
      </c>
    </row>
    <row r="1537" spans="24:25" x14ac:dyDescent="0.3">
      <c r="X1537" s="1">
        <f t="shared" si="46"/>
        <v>0</v>
      </c>
      <c r="Y1537" s="1">
        <f t="shared" si="47"/>
        <v>0</v>
      </c>
    </row>
    <row r="1538" spans="24:25" x14ac:dyDescent="0.3">
      <c r="X1538" s="1">
        <f t="shared" si="46"/>
        <v>0</v>
      </c>
      <c r="Y1538" s="1">
        <f t="shared" si="47"/>
        <v>0</v>
      </c>
    </row>
    <row r="1539" spans="24:25" x14ac:dyDescent="0.3">
      <c r="X1539" s="1">
        <f t="shared" ref="X1539:X1602" si="48">IFERROR(MATCH(W1539,$B:$B,0),0)</f>
        <v>0</v>
      </c>
      <c r="Y1539" s="1">
        <f t="shared" ref="Y1539:Y1602" si="49">IF(X1540=0,COUNTA(A:A),X1540-1)</f>
        <v>0</v>
      </c>
    </row>
    <row r="1540" spans="24:25" x14ac:dyDescent="0.3">
      <c r="X1540" s="1">
        <f t="shared" si="48"/>
        <v>0</v>
      </c>
      <c r="Y1540" s="1">
        <f t="shared" si="49"/>
        <v>0</v>
      </c>
    </row>
    <row r="1541" spans="24:25" x14ac:dyDescent="0.3">
      <c r="X1541" s="1">
        <f t="shared" si="48"/>
        <v>0</v>
      </c>
      <c r="Y1541" s="1">
        <f t="shared" si="49"/>
        <v>0</v>
      </c>
    </row>
    <row r="1542" spans="24:25" x14ac:dyDescent="0.3">
      <c r="X1542" s="1">
        <f t="shared" si="48"/>
        <v>0</v>
      </c>
      <c r="Y1542" s="1">
        <f t="shared" si="49"/>
        <v>0</v>
      </c>
    </row>
    <row r="1543" spans="24:25" x14ac:dyDescent="0.3">
      <c r="X1543" s="1">
        <f t="shared" si="48"/>
        <v>0</v>
      </c>
      <c r="Y1543" s="1">
        <f t="shared" si="49"/>
        <v>0</v>
      </c>
    </row>
    <row r="1544" spans="24:25" x14ac:dyDescent="0.3">
      <c r="X1544" s="1">
        <f t="shared" si="48"/>
        <v>0</v>
      </c>
      <c r="Y1544" s="1">
        <f t="shared" si="49"/>
        <v>0</v>
      </c>
    </row>
    <row r="1545" spans="24:25" x14ac:dyDescent="0.3">
      <c r="X1545" s="1">
        <f t="shared" si="48"/>
        <v>0</v>
      </c>
      <c r="Y1545" s="1">
        <f t="shared" si="49"/>
        <v>0</v>
      </c>
    </row>
    <row r="1546" spans="24:25" x14ac:dyDescent="0.3">
      <c r="X1546" s="1">
        <f t="shared" si="48"/>
        <v>0</v>
      </c>
      <c r="Y1546" s="1">
        <f t="shared" si="49"/>
        <v>0</v>
      </c>
    </row>
    <row r="1547" spans="24:25" x14ac:dyDescent="0.3">
      <c r="X1547" s="1">
        <f t="shared" si="48"/>
        <v>0</v>
      </c>
      <c r="Y1547" s="1">
        <f t="shared" si="49"/>
        <v>0</v>
      </c>
    </row>
    <row r="1548" spans="24:25" x14ac:dyDescent="0.3">
      <c r="X1548" s="1">
        <f t="shared" si="48"/>
        <v>0</v>
      </c>
      <c r="Y1548" s="1">
        <f t="shared" si="49"/>
        <v>0</v>
      </c>
    </row>
    <row r="1549" spans="24:25" x14ac:dyDescent="0.3">
      <c r="X1549" s="1">
        <f t="shared" si="48"/>
        <v>0</v>
      </c>
      <c r="Y1549" s="1">
        <f t="shared" si="49"/>
        <v>0</v>
      </c>
    </row>
    <row r="1550" spans="24:25" x14ac:dyDescent="0.3">
      <c r="X1550" s="1">
        <f t="shared" si="48"/>
        <v>0</v>
      </c>
      <c r="Y1550" s="1">
        <f t="shared" si="49"/>
        <v>0</v>
      </c>
    </row>
    <row r="1551" spans="24:25" x14ac:dyDescent="0.3">
      <c r="X1551" s="1">
        <f t="shared" si="48"/>
        <v>0</v>
      </c>
      <c r="Y1551" s="1">
        <f t="shared" si="49"/>
        <v>0</v>
      </c>
    </row>
    <row r="1552" spans="24:25" x14ac:dyDescent="0.3">
      <c r="X1552" s="1">
        <f t="shared" si="48"/>
        <v>0</v>
      </c>
      <c r="Y1552" s="1">
        <f t="shared" si="49"/>
        <v>0</v>
      </c>
    </row>
    <row r="1553" spans="24:25" x14ac:dyDescent="0.3">
      <c r="X1553" s="1">
        <f t="shared" si="48"/>
        <v>0</v>
      </c>
      <c r="Y1553" s="1">
        <f t="shared" si="49"/>
        <v>0</v>
      </c>
    </row>
    <row r="1554" spans="24:25" x14ac:dyDescent="0.3">
      <c r="X1554" s="1">
        <f t="shared" si="48"/>
        <v>0</v>
      </c>
      <c r="Y1554" s="1">
        <f t="shared" si="49"/>
        <v>0</v>
      </c>
    </row>
    <row r="1555" spans="24:25" x14ac:dyDescent="0.3">
      <c r="X1555" s="1">
        <f t="shared" si="48"/>
        <v>0</v>
      </c>
      <c r="Y1555" s="1">
        <f t="shared" si="49"/>
        <v>0</v>
      </c>
    </row>
    <row r="1556" spans="24:25" x14ac:dyDescent="0.3">
      <c r="X1556" s="1">
        <f t="shared" si="48"/>
        <v>0</v>
      </c>
      <c r="Y1556" s="1">
        <f t="shared" si="49"/>
        <v>0</v>
      </c>
    </row>
    <row r="1557" spans="24:25" x14ac:dyDescent="0.3">
      <c r="X1557" s="1">
        <f t="shared" si="48"/>
        <v>0</v>
      </c>
      <c r="Y1557" s="1">
        <f t="shared" si="49"/>
        <v>0</v>
      </c>
    </row>
    <row r="1558" spans="24:25" x14ac:dyDescent="0.3">
      <c r="X1558" s="1">
        <f t="shared" si="48"/>
        <v>0</v>
      </c>
      <c r="Y1558" s="1">
        <f t="shared" si="49"/>
        <v>0</v>
      </c>
    </row>
    <row r="1559" spans="24:25" x14ac:dyDescent="0.3">
      <c r="X1559" s="1">
        <f t="shared" si="48"/>
        <v>0</v>
      </c>
      <c r="Y1559" s="1">
        <f t="shared" si="49"/>
        <v>0</v>
      </c>
    </row>
    <row r="1560" spans="24:25" x14ac:dyDescent="0.3">
      <c r="X1560" s="1">
        <f t="shared" si="48"/>
        <v>0</v>
      </c>
      <c r="Y1560" s="1">
        <f t="shared" si="49"/>
        <v>0</v>
      </c>
    </row>
    <row r="1561" spans="24:25" x14ac:dyDescent="0.3">
      <c r="X1561" s="1">
        <f t="shared" si="48"/>
        <v>0</v>
      </c>
      <c r="Y1561" s="1">
        <f t="shared" si="49"/>
        <v>0</v>
      </c>
    </row>
    <row r="1562" spans="24:25" x14ac:dyDescent="0.3">
      <c r="X1562" s="1">
        <f t="shared" si="48"/>
        <v>0</v>
      </c>
      <c r="Y1562" s="1">
        <f t="shared" si="49"/>
        <v>0</v>
      </c>
    </row>
    <row r="1563" spans="24:25" x14ac:dyDescent="0.3">
      <c r="X1563" s="1">
        <f t="shared" si="48"/>
        <v>0</v>
      </c>
      <c r="Y1563" s="1">
        <f t="shared" si="49"/>
        <v>0</v>
      </c>
    </row>
    <row r="1564" spans="24:25" x14ac:dyDescent="0.3">
      <c r="X1564" s="1">
        <f t="shared" si="48"/>
        <v>0</v>
      </c>
      <c r="Y1564" s="1">
        <f t="shared" si="49"/>
        <v>0</v>
      </c>
    </row>
    <row r="1565" spans="24:25" x14ac:dyDescent="0.3">
      <c r="X1565" s="1">
        <f t="shared" si="48"/>
        <v>0</v>
      </c>
      <c r="Y1565" s="1">
        <f t="shared" si="49"/>
        <v>0</v>
      </c>
    </row>
    <row r="1566" spans="24:25" x14ac:dyDescent="0.3">
      <c r="X1566" s="1">
        <f t="shared" si="48"/>
        <v>0</v>
      </c>
      <c r="Y1566" s="1">
        <f t="shared" si="49"/>
        <v>0</v>
      </c>
    </row>
    <row r="1567" spans="24:25" x14ac:dyDescent="0.3">
      <c r="X1567" s="1">
        <f t="shared" si="48"/>
        <v>0</v>
      </c>
      <c r="Y1567" s="1">
        <f t="shared" si="49"/>
        <v>0</v>
      </c>
    </row>
    <row r="1568" spans="24:25" x14ac:dyDescent="0.3">
      <c r="X1568" s="1">
        <f t="shared" si="48"/>
        <v>0</v>
      </c>
      <c r="Y1568" s="1">
        <f t="shared" si="49"/>
        <v>0</v>
      </c>
    </row>
    <row r="1569" spans="24:25" x14ac:dyDescent="0.3">
      <c r="X1569" s="1">
        <f t="shared" si="48"/>
        <v>0</v>
      </c>
      <c r="Y1569" s="1">
        <f t="shared" si="49"/>
        <v>0</v>
      </c>
    </row>
    <row r="1570" spans="24:25" x14ac:dyDescent="0.3">
      <c r="X1570" s="1">
        <f t="shared" si="48"/>
        <v>0</v>
      </c>
      <c r="Y1570" s="1">
        <f t="shared" si="49"/>
        <v>0</v>
      </c>
    </row>
    <row r="1571" spans="24:25" x14ac:dyDescent="0.3">
      <c r="X1571" s="1">
        <f t="shared" si="48"/>
        <v>0</v>
      </c>
      <c r="Y1571" s="1">
        <f t="shared" si="49"/>
        <v>0</v>
      </c>
    </row>
    <row r="1572" spans="24:25" x14ac:dyDescent="0.3">
      <c r="X1572" s="1">
        <f t="shared" si="48"/>
        <v>0</v>
      </c>
      <c r="Y1572" s="1">
        <f t="shared" si="49"/>
        <v>0</v>
      </c>
    </row>
    <row r="1573" spans="24:25" x14ac:dyDescent="0.3">
      <c r="X1573" s="1">
        <f t="shared" si="48"/>
        <v>0</v>
      </c>
      <c r="Y1573" s="1">
        <f t="shared" si="49"/>
        <v>0</v>
      </c>
    </row>
    <row r="1574" spans="24:25" x14ac:dyDescent="0.3">
      <c r="X1574" s="1">
        <f t="shared" si="48"/>
        <v>0</v>
      </c>
      <c r="Y1574" s="1">
        <f t="shared" si="49"/>
        <v>0</v>
      </c>
    </row>
    <row r="1575" spans="24:25" x14ac:dyDescent="0.3">
      <c r="X1575" s="1">
        <f t="shared" si="48"/>
        <v>0</v>
      </c>
      <c r="Y1575" s="1">
        <f t="shared" si="49"/>
        <v>0</v>
      </c>
    </row>
    <row r="1576" spans="24:25" x14ac:dyDescent="0.3">
      <c r="X1576" s="1">
        <f t="shared" si="48"/>
        <v>0</v>
      </c>
      <c r="Y1576" s="1">
        <f t="shared" si="49"/>
        <v>0</v>
      </c>
    </row>
    <row r="1577" spans="24:25" x14ac:dyDescent="0.3">
      <c r="X1577" s="1">
        <f t="shared" si="48"/>
        <v>0</v>
      </c>
      <c r="Y1577" s="1">
        <f t="shared" si="49"/>
        <v>0</v>
      </c>
    </row>
    <row r="1578" spans="24:25" x14ac:dyDescent="0.3">
      <c r="X1578" s="1">
        <f t="shared" si="48"/>
        <v>0</v>
      </c>
      <c r="Y1578" s="1">
        <f t="shared" si="49"/>
        <v>0</v>
      </c>
    </row>
    <row r="1579" spans="24:25" x14ac:dyDescent="0.3">
      <c r="X1579" s="1">
        <f t="shared" si="48"/>
        <v>0</v>
      </c>
      <c r="Y1579" s="1">
        <f t="shared" si="49"/>
        <v>0</v>
      </c>
    </row>
    <row r="1580" spans="24:25" x14ac:dyDescent="0.3">
      <c r="X1580" s="1">
        <f t="shared" si="48"/>
        <v>0</v>
      </c>
      <c r="Y1580" s="1">
        <f t="shared" si="49"/>
        <v>0</v>
      </c>
    </row>
    <row r="1581" spans="24:25" x14ac:dyDescent="0.3">
      <c r="X1581" s="1">
        <f t="shared" si="48"/>
        <v>0</v>
      </c>
      <c r="Y1581" s="1">
        <f t="shared" si="49"/>
        <v>0</v>
      </c>
    </row>
    <row r="1582" spans="24:25" x14ac:dyDescent="0.3">
      <c r="X1582" s="1">
        <f t="shared" si="48"/>
        <v>0</v>
      </c>
      <c r="Y1582" s="1">
        <f t="shared" si="49"/>
        <v>0</v>
      </c>
    </row>
    <row r="1583" spans="24:25" x14ac:dyDescent="0.3">
      <c r="X1583" s="1">
        <f t="shared" si="48"/>
        <v>0</v>
      </c>
      <c r="Y1583" s="1">
        <f t="shared" si="49"/>
        <v>0</v>
      </c>
    </row>
    <row r="1584" spans="24:25" x14ac:dyDescent="0.3">
      <c r="X1584" s="1">
        <f t="shared" si="48"/>
        <v>0</v>
      </c>
      <c r="Y1584" s="1">
        <f t="shared" si="49"/>
        <v>0</v>
      </c>
    </row>
    <row r="1585" spans="24:25" x14ac:dyDescent="0.3">
      <c r="X1585" s="1">
        <f t="shared" si="48"/>
        <v>0</v>
      </c>
      <c r="Y1585" s="1">
        <f t="shared" si="49"/>
        <v>0</v>
      </c>
    </row>
    <row r="1586" spans="24:25" x14ac:dyDescent="0.3">
      <c r="X1586" s="1">
        <f t="shared" si="48"/>
        <v>0</v>
      </c>
      <c r="Y1586" s="1">
        <f t="shared" si="49"/>
        <v>0</v>
      </c>
    </row>
    <row r="1587" spans="24:25" x14ac:dyDescent="0.3">
      <c r="X1587" s="1">
        <f t="shared" si="48"/>
        <v>0</v>
      </c>
      <c r="Y1587" s="1">
        <f t="shared" si="49"/>
        <v>0</v>
      </c>
    </row>
    <row r="1588" spans="24:25" x14ac:dyDescent="0.3">
      <c r="X1588" s="1">
        <f t="shared" si="48"/>
        <v>0</v>
      </c>
      <c r="Y1588" s="1">
        <f t="shared" si="49"/>
        <v>0</v>
      </c>
    </row>
    <row r="1589" spans="24:25" x14ac:dyDescent="0.3">
      <c r="X1589" s="1">
        <f t="shared" si="48"/>
        <v>0</v>
      </c>
      <c r="Y1589" s="1">
        <f t="shared" si="49"/>
        <v>0</v>
      </c>
    </row>
    <row r="1590" spans="24:25" x14ac:dyDescent="0.3">
      <c r="X1590" s="1">
        <f t="shared" si="48"/>
        <v>0</v>
      </c>
      <c r="Y1590" s="1">
        <f t="shared" si="49"/>
        <v>0</v>
      </c>
    </row>
    <row r="1591" spans="24:25" x14ac:dyDescent="0.3">
      <c r="X1591" s="1">
        <f t="shared" si="48"/>
        <v>0</v>
      </c>
      <c r="Y1591" s="1">
        <f t="shared" si="49"/>
        <v>0</v>
      </c>
    </row>
    <row r="1592" spans="24:25" x14ac:dyDescent="0.3">
      <c r="X1592" s="1">
        <f t="shared" si="48"/>
        <v>0</v>
      </c>
      <c r="Y1592" s="1">
        <f t="shared" si="49"/>
        <v>0</v>
      </c>
    </row>
    <row r="1593" spans="24:25" x14ac:dyDescent="0.3">
      <c r="X1593" s="1">
        <f t="shared" si="48"/>
        <v>0</v>
      </c>
      <c r="Y1593" s="1">
        <f t="shared" si="49"/>
        <v>0</v>
      </c>
    </row>
    <row r="1594" spans="24:25" x14ac:dyDescent="0.3">
      <c r="X1594" s="1">
        <f t="shared" si="48"/>
        <v>0</v>
      </c>
      <c r="Y1594" s="1">
        <f t="shared" si="49"/>
        <v>0</v>
      </c>
    </row>
    <row r="1595" spans="24:25" x14ac:dyDescent="0.3">
      <c r="X1595" s="1">
        <f t="shared" si="48"/>
        <v>0</v>
      </c>
      <c r="Y1595" s="1">
        <f t="shared" si="49"/>
        <v>0</v>
      </c>
    </row>
    <row r="1596" spans="24:25" x14ac:dyDescent="0.3">
      <c r="X1596" s="1">
        <f t="shared" si="48"/>
        <v>0</v>
      </c>
      <c r="Y1596" s="1">
        <f t="shared" si="49"/>
        <v>0</v>
      </c>
    </row>
    <row r="1597" spans="24:25" x14ac:dyDescent="0.3">
      <c r="X1597" s="1">
        <f t="shared" si="48"/>
        <v>0</v>
      </c>
      <c r="Y1597" s="1">
        <f t="shared" si="49"/>
        <v>0</v>
      </c>
    </row>
    <row r="1598" spans="24:25" x14ac:dyDescent="0.3">
      <c r="X1598" s="1">
        <f t="shared" si="48"/>
        <v>0</v>
      </c>
      <c r="Y1598" s="1">
        <f t="shared" si="49"/>
        <v>0</v>
      </c>
    </row>
    <row r="1599" spans="24:25" x14ac:dyDescent="0.3">
      <c r="X1599" s="1">
        <f t="shared" si="48"/>
        <v>0</v>
      </c>
      <c r="Y1599" s="1">
        <f t="shared" si="49"/>
        <v>0</v>
      </c>
    </row>
    <row r="1600" spans="24:25" x14ac:dyDescent="0.3">
      <c r="X1600" s="1">
        <f t="shared" si="48"/>
        <v>0</v>
      </c>
      <c r="Y1600" s="1">
        <f t="shared" si="49"/>
        <v>0</v>
      </c>
    </row>
    <row r="1601" spans="24:25" x14ac:dyDescent="0.3">
      <c r="X1601" s="1">
        <f t="shared" si="48"/>
        <v>0</v>
      </c>
      <c r="Y1601" s="1">
        <f t="shared" si="49"/>
        <v>0</v>
      </c>
    </row>
    <row r="1602" spans="24:25" x14ac:dyDescent="0.3">
      <c r="X1602" s="1">
        <f t="shared" si="48"/>
        <v>0</v>
      </c>
      <c r="Y1602" s="1">
        <f t="shared" si="49"/>
        <v>0</v>
      </c>
    </row>
    <row r="1603" spans="24:25" x14ac:dyDescent="0.3">
      <c r="X1603" s="1">
        <f t="shared" ref="X1603:X1666" si="50">IFERROR(MATCH(W1603,$B:$B,0),0)</f>
        <v>0</v>
      </c>
      <c r="Y1603" s="1">
        <f t="shared" ref="Y1603:Y1666" si="51">IF(X1604=0,COUNTA(A:A),X1604-1)</f>
        <v>0</v>
      </c>
    </row>
    <row r="1604" spans="24:25" x14ac:dyDescent="0.3">
      <c r="X1604" s="1">
        <f t="shared" si="50"/>
        <v>0</v>
      </c>
      <c r="Y1604" s="1">
        <f t="shared" si="51"/>
        <v>0</v>
      </c>
    </row>
    <row r="1605" spans="24:25" x14ac:dyDescent="0.3">
      <c r="X1605" s="1">
        <f t="shared" si="50"/>
        <v>0</v>
      </c>
      <c r="Y1605" s="1">
        <f t="shared" si="51"/>
        <v>0</v>
      </c>
    </row>
    <row r="1606" spans="24:25" x14ac:dyDescent="0.3">
      <c r="X1606" s="1">
        <f t="shared" si="50"/>
        <v>0</v>
      </c>
      <c r="Y1606" s="1">
        <f t="shared" si="51"/>
        <v>0</v>
      </c>
    </row>
    <row r="1607" spans="24:25" x14ac:dyDescent="0.3">
      <c r="X1607" s="1">
        <f t="shared" si="50"/>
        <v>0</v>
      </c>
      <c r="Y1607" s="1">
        <f t="shared" si="51"/>
        <v>0</v>
      </c>
    </row>
    <row r="1608" spans="24:25" x14ac:dyDescent="0.3">
      <c r="X1608" s="1">
        <f t="shared" si="50"/>
        <v>0</v>
      </c>
      <c r="Y1608" s="1">
        <f t="shared" si="51"/>
        <v>0</v>
      </c>
    </row>
    <row r="1609" spans="24:25" x14ac:dyDescent="0.3">
      <c r="X1609" s="1">
        <f t="shared" si="50"/>
        <v>0</v>
      </c>
      <c r="Y1609" s="1">
        <f t="shared" si="51"/>
        <v>0</v>
      </c>
    </row>
    <row r="1610" spans="24:25" x14ac:dyDescent="0.3">
      <c r="X1610" s="1">
        <f t="shared" si="50"/>
        <v>0</v>
      </c>
      <c r="Y1610" s="1">
        <f t="shared" si="51"/>
        <v>0</v>
      </c>
    </row>
    <row r="1611" spans="24:25" x14ac:dyDescent="0.3">
      <c r="X1611" s="1">
        <f t="shared" si="50"/>
        <v>0</v>
      </c>
      <c r="Y1611" s="1">
        <f t="shared" si="51"/>
        <v>0</v>
      </c>
    </row>
    <row r="1612" spans="24:25" x14ac:dyDescent="0.3">
      <c r="X1612" s="1">
        <f t="shared" si="50"/>
        <v>0</v>
      </c>
      <c r="Y1612" s="1">
        <f t="shared" si="51"/>
        <v>0</v>
      </c>
    </row>
    <row r="1613" spans="24:25" x14ac:dyDescent="0.3">
      <c r="X1613" s="1">
        <f t="shared" si="50"/>
        <v>0</v>
      </c>
      <c r="Y1613" s="1">
        <f t="shared" si="51"/>
        <v>0</v>
      </c>
    </row>
    <row r="1614" spans="24:25" x14ac:dyDescent="0.3">
      <c r="X1614" s="1">
        <f t="shared" si="50"/>
        <v>0</v>
      </c>
      <c r="Y1614" s="1">
        <f t="shared" si="51"/>
        <v>0</v>
      </c>
    </row>
    <row r="1615" spans="24:25" x14ac:dyDescent="0.3">
      <c r="X1615" s="1">
        <f t="shared" si="50"/>
        <v>0</v>
      </c>
      <c r="Y1615" s="1">
        <f t="shared" si="51"/>
        <v>0</v>
      </c>
    </row>
    <row r="1616" spans="24:25" x14ac:dyDescent="0.3">
      <c r="X1616" s="1">
        <f t="shared" si="50"/>
        <v>0</v>
      </c>
      <c r="Y1616" s="1">
        <f t="shared" si="51"/>
        <v>0</v>
      </c>
    </row>
    <row r="1617" spans="24:25" x14ac:dyDescent="0.3">
      <c r="X1617" s="1">
        <f t="shared" si="50"/>
        <v>0</v>
      </c>
      <c r="Y1617" s="1">
        <f t="shared" si="51"/>
        <v>0</v>
      </c>
    </row>
    <row r="1618" spans="24:25" x14ac:dyDescent="0.3">
      <c r="X1618" s="1">
        <f t="shared" si="50"/>
        <v>0</v>
      </c>
      <c r="Y1618" s="1">
        <f t="shared" si="51"/>
        <v>0</v>
      </c>
    </row>
    <row r="1619" spans="24:25" x14ac:dyDescent="0.3">
      <c r="X1619" s="1">
        <f t="shared" si="50"/>
        <v>0</v>
      </c>
      <c r="Y1619" s="1">
        <f t="shared" si="51"/>
        <v>0</v>
      </c>
    </row>
    <row r="1620" spans="24:25" x14ac:dyDescent="0.3">
      <c r="X1620" s="1">
        <f t="shared" si="50"/>
        <v>0</v>
      </c>
      <c r="Y1620" s="1">
        <f t="shared" si="51"/>
        <v>0</v>
      </c>
    </row>
    <row r="1621" spans="24:25" x14ac:dyDescent="0.3">
      <c r="X1621" s="1">
        <f t="shared" si="50"/>
        <v>0</v>
      </c>
      <c r="Y1621" s="1">
        <f t="shared" si="51"/>
        <v>0</v>
      </c>
    </row>
    <row r="1622" spans="24:25" x14ac:dyDescent="0.3">
      <c r="X1622" s="1">
        <f t="shared" si="50"/>
        <v>0</v>
      </c>
      <c r="Y1622" s="1">
        <f t="shared" si="51"/>
        <v>0</v>
      </c>
    </row>
    <row r="1623" spans="24:25" x14ac:dyDescent="0.3">
      <c r="X1623" s="1">
        <f t="shared" si="50"/>
        <v>0</v>
      </c>
      <c r="Y1623" s="1">
        <f t="shared" si="51"/>
        <v>0</v>
      </c>
    </row>
    <row r="1624" spans="24:25" x14ac:dyDescent="0.3">
      <c r="X1624" s="1">
        <f t="shared" si="50"/>
        <v>0</v>
      </c>
      <c r="Y1624" s="1">
        <f t="shared" si="51"/>
        <v>0</v>
      </c>
    </row>
    <row r="1625" spans="24:25" x14ac:dyDescent="0.3">
      <c r="X1625" s="1">
        <f t="shared" si="50"/>
        <v>0</v>
      </c>
      <c r="Y1625" s="1">
        <f t="shared" si="51"/>
        <v>0</v>
      </c>
    </row>
    <row r="1626" spans="24:25" x14ac:dyDescent="0.3">
      <c r="X1626" s="1">
        <f t="shared" si="50"/>
        <v>0</v>
      </c>
      <c r="Y1626" s="1">
        <f t="shared" si="51"/>
        <v>0</v>
      </c>
    </row>
    <row r="1627" spans="24:25" x14ac:dyDescent="0.3">
      <c r="X1627" s="1">
        <f t="shared" si="50"/>
        <v>0</v>
      </c>
      <c r="Y1627" s="1">
        <f t="shared" si="51"/>
        <v>0</v>
      </c>
    </row>
    <row r="1628" spans="24:25" x14ac:dyDescent="0.3">
      <c r="X1628" s="1">
        <f t="shared" si="50"/>
        <v>0</v>
      </c>
      <c r="Y1628" s="1">
        <f t="shared" si="51"/>
        <v>0</v>
      </c>
    </row>
    <row r="1629" spans="24:25" x14ac:dyDescent="0.3">
      <c r="X1629" s="1">
        <f t="shared" si="50"/>
        <v>0</v>
      </c>
      <c r="Y1629" s="1">
        <f t="shared" si="51"/>
        <v>0</v>
      </c>
    </row>
    <row r="1630" spans="24:25" x14ac:dyDescent="0.3">
      <c r="X1630" s="1">
        <f t="shared" si="50"/>
        <v>0</v>
      </c>
      <c r="Y1630" s="1">
        <f t="shared" si="51"/>
        <v>0</v>
      </c>
    </row>
    <row r="1631" spans="24:25" x14ac:dyDescent="0.3">
      <c r="X1631" s="1">
        <f t="shared" si="50"/>
        <v>0</v>
      </c>
      <c r="Y1631" s="1">
        <f t="shared" si="51"/>
        <v>0</v>
      </c>
    </row>
    <row r="1632" spans="24:25" x14ac:dyDescent="0.3">
      <c r="X1632" s="1">
        <f t="shared" si="50"/>
        <v>0</v>
      </c>
      <c r="Y1632" s="1">
        <f t="shared" si="51"/>
        <v>0</v>
      </c>
    </row>
    <row r="1633" spans="24:25" x14ac:dyDescent="0.3">
      <c r="X1633" s="1">
        <f t="shared" si="50"/>
        <v>0</v>
      </c>
      <c r="Y1633" s="1">
        <f t="shared" si="51"/>
        <v>0</v>
      </c>
    </row>
    <row r="1634" spans="24:25" x14ac:dyDescent="0.3">
      <c r="X1634" s="1">
        <f t="shared" si="50"/>
        <v>0</v>
      </c>
      <c r="Y1634" s="1">
        <f t="shared" si="51"/>
        <v>0</v>
      </c>
    </row>
    <row r="1635" spans="24:25" x14ac:dyDescent="0.3">
      <c r="X1635" s="1">
        <f t="shared" si="50"/>
        <v>0</v>
      </c>
      <c r="Y1635" s="1">
        <f t="shared" si="51"/>
        <v>0</v>
      </c>
    </row>
    <row r="1636" spans="24:25" x14ac:dyDescent="0.3">
      <c r="X1636" s="1">
        <f t="shared" si="50"/>
        <v>0</v>
      </c>
      <c r="Y1636" s="1">
        <f t="shared" si="51"/>
        <v>0</v>
      </c>
    </row>
    <row r="1637" spans="24:25" x14ac:dyDescent="0.3">
      <c r="X1637" s="1">
        <f t="shared" si="50"/>
        <v>0</v>
      </c>
      <c r="Y1637" s="1">
        <f t="shared" si="51"/>
        <v>0</v>
      </c>
    </row>
    <row r="1638" spans="24:25" x14ac:dyDescent="0.3">
      <c r="X1638" s="1">
        <f t="shared" si="50"/>
        <v>0</v>
      </c>
      <c r="Y1638" s="1">
        <f t="shared" si="51"/>
        <v>0</v>
      </c>
    </row>
    <row r="1639" spans="24:25" x14ac:dyDescent="0.3">
      <c r="X1639" s="1">
        <f t="shared" si="50"/>
        <v>0</v>
      </c>
      <c r="Y1639" s="1">
        <f t="shared" si="51"/>
        <v>0</v>
      </c>
    </row>
    <row r="1640" spans="24:25" x14ac:dyDescent="0.3">
      <c r="X1640" s="1">
        <f t="shared" si="50"/>
        <v>0</v>
      </c>
      <c r="Y1640" s="1">
        <f t="shared" si="51"/>
        <v>0</v>
      </c>
    </row>
    <row r="1641" spans="24:25" x14ac:dyDescent="0.3">
      <c r="X1641" s="1">
        <f t="shared" si="50"/>
        <v>0</v>
      </c>
      <c r="Y1641" s="1">
        <f t="shared" si="51"/>
        <v>0</v>
      </c>
    </row>
    <row r="1642" spans="24:25" x14ac:dyDescent="0.3">
      <c r="X1642" s="1">
        <f t="shared" si="50"/>
        <v>0</v>
      </c>
      <c r="Y1642" s="1">
        <f t="shared" si="51"/>
        <v>0</v>
      </c>
    </row>
    <row r="1643" spans="24:25" x14ac:dyDescent="0.3">
      <c r="X1643" s="1">
        <f t="shared" si="50"/>
        <v>0</v>
      </c>
      <c r="Y1643" s="1">
        <f t="shared" si="51"/>
        <v>0</v>
      </c>
    </row>
    <row r="1644" spans="24:25" x14ac:dyDescent="0.3">
      <c r="X1644" s="1">
        <f t="shared" si="50"/>
        <v>0</v>
      </c>
      <c r="Y1644" s="1">
        <f t="shared" si="51"/>
        <v>0</v>
      </c>
    </row>
    <row r="1645" spans="24:25" x14ac:dyDescent="0.3">
      <c r="X1645" s="1">
        <f t="shared" si="50"/>
        <v>0</v>
      </c>
      <c r="Y1645" s="1">
        <f t="shared" si="51"/>
        <v>0</v>
      </c>
    </row>
    <row r="1646" spans="24:25" x14ac:dyDescent="0.3">
      <c r="X1646" s="1">
        <f t="shared" si="50"/>
        <v>0</v>
      </c>
      <c r="Y1646" s="1">
        <f t="shared" si="51"/>
        <v>0</v>
      </c>
    </row>
    <row r="1647" spans="24:25" x14ac:dyDescent="0.3">
      <c r="X1647" s="1">
        <f t="shared" si="50"/>
        <v>0</v>
      </c>
      <c r="Y1647" s="1">
        <f t="shared" si="51"/>
        <v>0</v>
      </c>
    </row>
    <row r="1648" spans="24:25" x14ac:dyDescent="0.3">
      <c r="X1648" s="1">
        <f t="shared" si="50"/>
        <v>0</v>
      </c>
      <c r="Y1648" s="1">
        <f t="shared" si="51"/>
        <v>0</v>
      </c>
    </row>
    <row r="1649" spans="24:25" x14ac:dyDescent="0.3">
      <c r="X1649" s="1">
        <f t="shared" si="50"/>
        <v>0</v>
      </c>
      <c r="Y1649" s="1">
        <f t="shared" si="51"/>
        <v>0</v>
      </c>
    </row>
    <row r="1650" spans="24:25" x14ac:dyDescent="0.3">
      <c r="X1650" s="1">
        <f t="shared" si="50"/>
        <v>0</v>
      </c>
      <c r="Y1650" s="1">
        <f t="shared" si="51"/>
        <v>0</v>
      </c>
    </row>
    <row r="1651" spans="24:25" x14ac:dyDescent="0.3">
      <c r="X1651" s="1">
        <f t="shared" si="50"/>
        <v>0</v>
      </c>
      <c r="Y1651" s="1">
        <f t="shared" si="51"/>
        <v>0</v>
      </c>
    </row>
    <row r="1652" spans="24:25" x14ac:dyDescent="0.3">
      <c r="X1652" s="1">
        <f t="shared" si="50"/>
        <v>0</v>
      </c>
      <c r="Y1652" s="1">
        <f t="shared" si="51"/>
        <v>0</v>
      </c>
    </row>
    <row r="1653" spans="24:25" x14ac:dyDescent="0.3">
      <c r="X1653" s="1">
        <f t="shared" si="50"/>
        <v>0</v>
      </c>
      <c r="Y1653" s="1">
        <f t="shared" si="51"/>
        <v>0</v>
      </c>
    </row>
    <row r="1654" spans="24:25" x14ac:dyDescent="0.3">
      <c r="X1654" s="1">
        <f t="shared" si="50"/>
        <v>0</v>
      </c>
      <c r="Y1654" s="1">
        <f t="shared" si="51"/>
        <v>0</v>
      </c>
    </row>
    <row r="1655" spans="24:25" x14ac:dyDescent="0.3">
      <c r="X1655" s="1">
        <f t="shared" si="50"/>
        <v>0</v>
      </c>
      <c r="Y1655" s="1">
        <f t="shared" si="51"/>
        <v>0</v>
      </c>
    </row>
    <row r="1656" spans="24:25" x14ac:dyDescent="0.3">
      <c r="X1656" s="1">
        <f t="shared" si="50"/>
        <v>0</v>
      </c>
      <c r="Y1656" s="1">
        <f t="shared" si="51"/>
        <v>0</v>
      </c>
    </row>
    <row r="1657" spans="24:25" x14ac:dyDescent="0.3">
      <c r="X1657" s="1">
        <f t="shared" si="50"/>
        <v>0</v>
      </c>
      <c r="Y1657" s="1">
        <f t="shared" si="51"/>
        <v>0</v>
      </c>
    </row>
    <row r="1658" spans="24:25" x14ac:dyDescent="0.3">
      <c r="X1658" s="1">
        <f t="shared" si="50"/>
        <v>0</v>
      </c>
      <c r="Y1658" s="1">
        <f t="shared" si="51"/>
        <v>0</v>
      </c>
    </row>
    <row r="1659" spans="24:25" x14ac:dyDescent="0.3">
      <c r="X1659" s="1">
        <f t="shared" si="50"/>
        <v>0</v>
      </c>
      <c r="Y1659" s="1">
        <f t="shared" si="51"/>
        <v>0</v>
      </c>
    </row>
    <row r="1660" spans="24:25" x14ac:dyDescent="0.3">
      <c r="X1660" s="1">
        <f t="shared" si="50"/>
        <v>0</v>
      </c>
      <c r="Y1660" s="1">
        <f t="shared" si="51"/>
        <v>0</v>
      </c>
    </row>
    <row r="1661" spans="24:25" x14ac:dyDescent="0.3">
      <c r="X1661" s="1">
        <f t="shared" si="50"/>
        <v>0</v>
      </c>
      <c r="Y1661" s="1">
        <f t="shared" si="51"/>
        <v>0</v>
      </c>
    </row>
    <row r="1662" spans="24:25" x14ac:dyDescent="0.3">
      <c r="X1662" s="1">
        <f t="shared" si="50"/>
        <v>0</v>
      </c>
      <c r="Y1662" s="1">
        <f t="shared" si="51"/>
        <v>0</v>
      </c>
    </row>
    <row r="1663" spans="24:25" x14ac:dyDescent="0.3">
      <c r="X1663" s="1">
        <f t="shared" si="50"/>
        <v>0</v>
      </c>
      <c r="Y1663" s="1">
        <f t="shared" si="51"/>
        <v>0</v>
      </c>
    </row>
    <row r="1664" spans="24:25" x14ac:dyDescent="0.3">
      <c r="X1664" s="1">
        <f t="shared" si="50"/>
        <v>0</v>
      </c>
      <c r="Y1664" s="1">
        <f t="shared" si="51"/>
        <v>0</v>
      </c>
    </row>
    <row r="1665" spans="24:25" x14ac:dyDescent="0.3">
      <c r="X1665" s="1">
        <f t="shared" si="50"/>
        <v>0</v>
      </c>
      <c r="Y1665" s="1">
        <f t="shared" si="51"/>
        <v>0</v>
      </c>
    </row>
    <row r="1666" spans="24:25" x14ac:dyDescent="0.3">
      <c r="X1666" s="1">
        <f t="shared" si="50"/>
        <v>0</v>
      </c>
      <c r="Y1666" s="1">
        <f t="shared" si="51"/>
        <v>0</v>
      </c>
    </row>
    <row r="1667" spans="24:25" x14ac:dyDescent="0.3">
      <c r="X1667" s="1">
        <f t="shared" ref="X1667:X1730" si="52">IFERROR(MATCH(W1667,$B:$B,0),0)</f>
        <v>0</v>
      </c>
      <c r="Y1667" s="1">
        <f t="shared" ref="Y1667:Y1730" si="53">IF(X1668=0,COUNTA(A:A),X1668-1)</f>
        <v>0</v>
      </c>
    </row>
    <row r="1668" spans="24:25" x14ac:dyDescent="0.3">
      <c r="X1668" s="1">
        <f t="shared" si="52"/>
        <v>0</v>
      </c>
      <c r="Y1668" s="1">
        <f t="shared" si="53"/>
        <v>0</v>
      </c>
    </row>
    <row r="1669" spans="24:25" x14ac:dyDescent="0.3">
      <c r="X1669" s="1">
        <f t="shared" si="52"/>
        <v>0</v>
      </c>
      <c r="Y1669" s="1">
        <f t="shared" si="53"/>
        <v>0</v>
      </c>
    </row>
    <row r="1670" spans="24:25" x14ac:dyDescent="0.3">
      <c r="X1670" s="1">
        <f t="shared" si="52"/>
        <v>0</v>
      </c>
      <c r="Y1670" s="1">
        <f t="shared" si="53"/>
        <v>0</v>
      </c>
    </row>
    <row r="1671" spans="24:25" x14ac:dyDescent="0.3">
      <c r="X1671" s="1">
        <f t="shared" si="52"/>
        <v>0</v>
      </c>
      <c r="Y1671" s="1">
        <f t="shared" si="53"/>
        <v>0</v>
      </c>
    </row>
    <row r="1672" spans="24:25" x14ac:dyDescent="0.3">
      <c r="X1672" s="1">
        <f t="shared" si="52"/>
        <v>0</v>
      </c>
      <c r="Y1672" s="1">
        <f t="shared" si="53"/>
        <v>0</v>
      </c>
    </row>
    <row r="1673" spans="24:25" x14ac:dyDescent="0.3">
      <c r="X1673" s="1">
        <f t="shared" si="52"/>
        <v>0</v>
      </c>
      <c r="Y1673" s="1">
        <f t="shared" si="53"/>
        <v>0</v>
      </c>
    </row>
    <row r="1674" spans="24:25" x14ac:dyDescent="0.3">
      <c r="X1674" s="1">
        <f t="shared" si="52"/>
        <v>0</v>
      </c>
      <c r="Y1674" s="1">
        <f t="shared" si="53"/>
        <v>0</v>
      </c>
    </row>
    <row r="1675" spans="24:25" x14ac:dyDescent="0.3">
      <c r="X1675" s="1">
        <f t="shared" si="52"/>
        <v>0</v>
      </c>
      <c r="Y1675" s="1">
        <f t="shared" si="53"/>
        <v>0</v>
      </c>
    </row>
    <row r="1676" spans="24:25" x14ac:dyDescent="0.3">
      <c r="X1676" s="1">
        <f t="shared" si="52"/>
        <v>0</v>
      </c>
      <c r="Y1676" s="1">
        <f t="shared" si="53"/>
        <v>0</v>
      </c>
    </row>
    <row r="1677" spans="24:25" x14ac:dyDescent="0.3">
      <c r="X1677" s="1">
        <f t="shared" si="52"/>
        <v>0</v>
      </c>
      <c r="Y1677" s="1">
        <f t="shared" si="53"/>
        <v>0</v>
      </c>
    </row>
    <row r="1678" spans="24:25" x14ac:dyDescent="0.3">
      <c r="X1678" s="1">
        <f t="shared" si="52"/>
        <v>0</v>
      </c>
      <c r="Y1678" s="1">
        <f t="shared" si="53"/>
        <v>0</v>
      </c>
    </row>
    <row r="1679" spans="24:25" x14ac:dyDescent="0.3">
      <c r="X1679" s="1">
        <f t="shared" si="52"/>
        <v>0</v>
      </c>
      <c r="Y1679" s="1">
        <f t="shared" si="53"/>
        <v>0</v>
      </c>
    </row>
    <row r="1680" spans="24:25" x14ac:dyDescent="0.3">
      <c r="X1680" s="1">
        <f t="shared" si="52"/>
        <v>0</v>
      </c>
      <c r="Y1680" s="1">
        <f t="shared" si="53"/>
        <v>0</v>
      </c>
    </row>
    <row r="1681" spans="24:25" x14ac:dyDescent="0.3">
      <c r="X1681" s="1">
        <f t="shared" si="52"/>
        <v>0</v>
      </c>
      <c r="Y1681" s="1">
        <f t="shared" si="53"/>
        <v>0</v>
      </c>
    </row>
    <row r="1682" spans="24:25" x14ac:dyDescent="0.3">
      <c r="X1682" s="1">
        <f t="shared" si="52"/>
        <v>0</v>
      </c>
      <c r="Y1682" s="1">
        <f t="shared" si="53"/>
        <v>0</v>
      </c>
    </row>
    <row r="1683" spans="24:25" x14ac:dyDescent="0.3">
      <c r="X1683" s="1">
        <f t="shared" si="52"/>
        <v>0</v>
      </c>
      <c r="Y1683" s="1">
        <f t="shared" si="53"/>
        <v>0</v>
      </c>
    </row>
    <row r="1684" spans="24:25" x14ac:dyDescent="0.3">
      <c r="X1684" s="1">
        <f t="shared" si="52"/>
        <v>0</v>
      </c>
      <c r="Y1684" s="1">
        <f t="shared" si="53"/>
        <v>0</v>
      </c>
    </row>
    <row r="1685" spans="24:25" x14ac:dyDescent="0.3">
      <c r="X1685" s="1">
        <f t="shared" si="52"/>
        <v>0</v>
      </c>
      <c r="Y1685" s="1">
        <f t="shared" si="53"/>
        <v>0</v>
      </c>
    </row>
    <row r="1686" spans="24:25" x14ac:dyDescent="0.3">
      <c r="X1686" s="1">
        <f t="shared" si="52"/>
        <v>0</v>
      </c>
      <c r="Y1686" s="1">
        <f t="shared" si="53"/>
        <v>0</v>
      </c>
    </row>
    <row r="1687" spans="24:25" x14ac:dyDescent="0.3">
      <c r="X1687" s="1">
        <f t="shared" si="52"/>
        <v>0</v>
      </c>
      <c r="Y1687" s="1">
        <f t="shared" si="53"/>
        <v>0</v>
      </c>
    </row>
    <row r="1688" spans="24:25" x14ac:dyDescent="0.3">
      <c r="X1688" s="1">
        <f t="shared" si="52"/>
        <v>0</v>
      </c>
      <c r="Y1688" s="1">
        <f t="shared" si="53"/>
        <v>0</v>
      </c>
    </row>
    <row r="1689" spans="24:25" x14ac:dyDescent="0.3">
      <c r="X1689" s="1">
        <f t="shared" si="52"/>
        <v>0</v>
      </c>
      <c r="Y1689" s="1">
        <f t="shared" si="53"/>
        <v>0</v>
      </c>
    </row>
    <row r="1690" spans="24:25" x14ac:dyDescent="0.3">
      <c r="X1690" s="1">
        <f t="shared" si="52"/>
        <v>0</v>
      </c>
      <c r="Y1690" s="1">
        <f t="shared" si="53"/>
        <v>0</v>
      </c>
    </row>
    <row r="1691" spans="24:25" x14ac:dyDescent="0.3">
      <c r="X1691" s="1">
        <f t="shared" si="52"/>
        <v>0</v>
      </c>
      <c r="Y1691" s="1">
        <f t="shared" si="53"/>
        <v>0</v>
      </c>
    </row>
    <row r="1692" spans="24:25" x14ac:dyDescent="0.3">
      <c r="X1692" s="1">
        <f t="shared" si="52"/>
        <v>0</v>
      </c>
      <c r="Y1692" s="1">
        <f t="shared" si="53"/>
        <v>0</v>
      </c>
    </row>
    <row r="1693" spans="24:25" x14ac:dyDescent="0.3">
      <c r="X1693" s="1">
        <f t="shared" si="52"/>
        <v>0</v>
      </c>
      <c r="Y1693" s="1">
        <f t="shared" si="53"/>
        <v>0</v>
      </c>
    </row>
    <row r="1694" spans="24:25" x14ac:dyDescent="0.3">
      <c r="X1694" s="1">
        <f t="shared" si="52"/>
        <v>0</v>
      </c>
      <c r="Y1694" s="1">
        <f t="shared" si="53"/>
        <v>0</v>
      </c>
    </row>
    <row r="1695" spans="24:25" x14ac:dyDescent="0.3">
      <c r="X1695" s="1">
        <f t="shared" si="52"/>
        <v>0</v>
      </c>
      <c r="Y1695" s="1">
        <f t="shared" si="53"/>
        <v>0</v>
      </c>
    </row>
    <row r="1696" spans="24:25" x14ac:dyDescent="0.3">
      <c r="X1696" s="1">
        <f t="shared" si="52"/>
        <v>0</v>
      </c>
      <c r="Y1696" s="1">
        <f t="shared" si="53"/>
        <v>0</v>
      </c>
    </row>
    <row r="1697" spans="24:25" x14ac:dyDescent="0.3">
      <c r="X1697" s="1">
        <f t="shared" si="52"/>
        <v>0</v>
      </c>
      <c r="Y1697" s="1">
        <f t="shared" si="53"/>
        <v>0</v>
      </c>
    </row>
    <row r="1698" spans="24:25" x14ac:dyDescent="0.3">
      <c r="X1698" s="1">
        <f t="shared" si="52"/>
        <v>0</v>
      </c>
      <c r="Y1698" s="1">
        <f t="shared" si="53"/>
        <v>0</v>
      </c>
    </row>
    <row r="1699" spans="24:25" x14ac:dyDescent="0.3">
      <c r="X1699" s="1">
        <f t="shared" si="52"/>
        <v>0</v>
      </c>
      <c r="Y1699" s="1">
        <f t="shared" si="53"/>
        <v>0</v>
      </c>
    </row>
    <row r="1700" spans="24:25" x14ac:dyDescent="0.3">
      <c r="X1700" s="1">
        <f t="shared" si="52"/>
        <v>0</v>
      </c>
      <c r="Y1700" s="1">
        <f t="shared" si="53"/>
        <v>0</v>
      </c>
    </row>
    <row r="1701" spans="24:25" x14ac:dyDescent="0.3">
      <c r="X1701" s="1">
        <f t="shared" si="52"/>
        <v>0</v>
      </c>
      <c r="Y1701" s="1">
        <f t="shared" si="53"/>
        <v>0</v>
      </c>
    </row>
    <row r="1702" spans="24:25" x14ac:dyDescent="0.3">
      <c r="X1702" s="1">
        <f t="shared" si="52"/>
        <v>0</v>
      </c>
      <c r="Y1702" s="1">
        <f t="shared" si="53"/>
        <v>0</v>
      </c>
    </row>
    <row r="1703" spans="24:25" x14ac:dyDescent="0.3">
      <c r="X1703" s="1">
        <f t="shared" si="52"/>
        <v>0</v>
      </c>
      <c r="Y1703" s="1">
        <f t="shared" si="53"/>
        <v>0</v>
      </c>
    </row>
    <row r="1704" spans="24:25" x14ac:dyDescent="0.3">
      <c r="X1704" s="1">
        <f t="shared" si="52"/>
        <v>0</v>
      </c>
      <c r="Y1704" s="1">
        <f t="shared" si="53"/>
        <v>0</v>
      </c>
    </row>
    <row r="1705" spans="24:25" x14ac:dyDescent="0.3">
      <c r="X1705" s="1">
        <f t="shared" si="52"/>
        <v>0</v>
      </c>
      <c r="Y1705" s="1">
        <f t="shared" si="53"/>
        <v>0</v>
      </c>
    </row>
    <row r="1706" spans="24:25" x14ac:dyDescent="0.3">
      <c r="X1706" s="1">
        <f t="shared" si="52"/>
        <v>0</v>
      </c>
      <c r="Y1706" s="1">
        <f t="shared" si="53"/>
        <v>0</v>
      </c>
    </row>
    <row r="1707" spans="24:25" x14ac:dyDescent="0.3">
      <c r="X1707" s="1">
        <f t="shared" si="52"/>
        <v>0</v>
      </c>
      <c r="Y1707" s="1">
        <f t="shared" si="53"/>
        <v>0</v>
      </c>
    </row>
    <row r="1708" spans="24:25" x14ac:dyDescent="0.3">
      <c r="X1708" s="1">
        <f t="shared" si="52"/>
        <v>0</v>
      </c>
      <c r="Y1708" s="1">
        <f t="shared" si="53"/>
        <v>0</v>
      </c>
    </row>
    <row r="1709" spans="24:25" x14ac:dyDescent="0.3">
      <c r="X1709" s="1">
        <f t="shared" si="52"/>
        <v>0</v>
      </c>
      <c r="Y1709" s="1">
        <f t="shared" si="53"/>
        <v>0</v>
      </c>
    </row>
    <row r="1710" spans="24:25" x14ac:dyDescent="0.3">
      <c r="X1710" s="1">
        <f t="shared" si="52"/>
        <v>0</v>
      </c>
      <c r="Y1710" s="1">
        <f t="shared" si="53"/>
        <v>0</v>
      </c>
    </row>
    <row r="1711" spans="24:25" x14ac:dyDescent="0.3">
      <c r="X1711" s="1">
        <f t="shared" si="52"/>
        <v>0</v>
      </c>
      <c r="Y1711" s="1">
        <f t="shared" si="53"/>
        <v>0</v>
      </c>
    </row>
    <row r="1712" spans="24:25" x14ac:dyDescent="0.3">
      <c r="X1712" s="1">
        <f t="shared" si="52"/>
        <v>0</v>
      </c>
      <c r="Y1712" s="1">
        <f t="shared" si="53"/>
        <v>0</v>
      </c>
    </row>
    <row r="1713" spans="24:25" x14ac:dyDescent="0.3">
      <c r="X1713" s="1">
        <f t="shared" si="52"/>
        <v>0</v>
      </c>
      <c r="Y1713" s="1">
        <f t="shared" si="53"/>
        <v>0</v>
      </c>
    </row>
    <row r="1714" spans="24:25" x14ac:dyDescent="0.3">
      <c r="X1714" s="1">
        <f t="shared" si="52"/>
        <v>0</v>
      </c>
      <c r="Y1714" s="1">
        <f t="shared" si="53"/>
        <v>0</v>
      </c>
    </row>
    <row r="1715" spans="24:25" x14ac:dyDescent="0.3">
      <c r="X1715" s="1">
        <f t="shared" si="52"/>
        <v>0</v>
      </c>
      <c r="Y1715" s="1">
        <f t="shared" si="53"/>
        <v>0</v>
      </c>
    </row>
    <row r="1716" spans="24:25" x14ac:dyDescent="0.3">
      <c r="X1716" s="1">
        <f t="shared" si="52"/>
        <v>0</v>
      </c>
      <c r="Y1716" s="1">
        <f t="shared" si="53"/>
        <v>0</v>
      </c>
    </row>
    <row r="1717" spans="24:25" x14ac:dyDescent="0.3">
      <c r="X1717" s="1">
        <f t="shared" si="52"/>
        <v>0</v>
      </c>
      <c r="Y1717" s="1">
        <f t="shared" si="53"/>
        <v>0</v>
      </c>
    </row>
    <row r="1718" spans="24:25" x14ac:dyDescent="0.3">
      <c r="X1718" s="1">
        <f t="shared" si="52"/>
        <v>0</v>
      </c>
      <c r="Y1718" s="1">
        <f t="shared" si="53"/>
        <v>0</v>
      </c>
    </row>
    <row r="1719" spans="24:25" x14ac:dyDescent="0.3">
      <c r="X1719" s="1">
        <f t="shared" si="52"/>
        <v>0</v>
      </c>
      <c r="Y1719" s="1">
        <f t="shared" si="53"/>
        <v>0</v>
      </c>
    </row>
    <row r="1720" spans="24:25" x14ac:dyDescent="0.3">
      <c r="X1720" s="1">
        <f t="shared" si="52"/>
        <v>0</v>
      </c>
      <c r="Y1720" s="1">
        <f t="shared" si="53"/>
        <v>0</v>
      </c>
    </row>
    <row r="1721" spans="24:25" x14ac:dyDescent="0.3">
      <c r="X1721" s="1">
        <f t="shared" si="52"/>
        <v>0</v>
      </c>
      <c r="Y1721" s="1">
        <f t="shared" si="53"/>
        <v>0</v>
      </c>
    </row>
    <row r="1722" spans="24:25" x14ac:dyDescent="0.3">
      <c r="X1722" s="1">
        <f t="shared" si="52"/>
        <v>0</v>
      </c>
      <c r="Y1722" s="1">
        <f t="shared" si="53"/>
        <v>0</v>
      </c>
    </row>
    <row r="1723" spans="24:25" x14ac:dyDescent="0.3">
      <c r="X1723" s="1">
        <f t="shared" si="52"/>
        <v>0</v>
      </c>
      <c r="Y1723" s="1">
        <f t="shared" si="53"/>
        <v>0</v>
      </c>
    </row>
    <row r="1724" spans="24:25" x14ac:dyDescent="0.3">
      <c r="X1724" s="1">
        <f t="shared" si="52"/>
        <v>0</v>
      </c>
      <c r="Y1724" s="1">
        <f t="shared" si="53"/>
        <v>0</v>
      </c>
    </row>
    <row r="1725" spans="24:25" x14ac:dyDescent="0.3">
      <c r="X1725" s="1">
        <f t="shared" si="52"/>
        <v>0</v>
      </c>
      <c r="Y1725" s="1">
        <f t="shared" si="53"/>
        <v>0</v>
      </c>
    </row>
    <row r="1726" spans="24:25" x14ac:dyDescent="0.3">
      <c r="X1726" s="1">
        <f t="shared" si="52"/>
        <v>0</v>
      </c>
      <c r="Y1726" s="1">
        <f t="shared" si="53"/>
        <v>0</v>
      </c>
    </row>
    <row r="1727" spans="24:25" x14ac:dyDescent="0.3">
      <c r="X1727" s="1">
        <f t="shared" si="52"/>
        <v>0</v>
      </c>
      <c r="Y1727" s="1">
        <f t="shared" si="53"/>
        <v>0</v>
      </c>
    </row>
    <row r="1728" spans="24:25" x14ac:dyDescent="0.3">
      <c r="X1728" s="1">
        <f t="shared" si="52"/>
        <v>0</v>
      </c>
      <c r="Y1728" s="1">
        <f t="shared" si="53"/>
        <v>0</v>
      </c>
    </row>
    <row r="1729" spans="24:25" x14ac:dyDescent="0.3">
      <c r="X1729" s="1">
        <f t="shared" si="52"/>
        <v>0</v>
      </c>
      <c r="Y1729" s="1">
        <f t="shared" si="53"/>
        <v>0</v>
      </c>
    </row>
    <row r="1730" spans="24:25" x14ac:dyDescent="0.3">
      <c r="X1730" s="1">
        <f t="shared" si="52"/>
        <v>0</v>
      </c>
      <c r="Y1730" s="1">
        <f t="shared" si="53"/>
        <v>0</v>
      </c>
    </row>
    <row r="1731" spans="24:25" x14ac:dyDescent="0.3">
      <c r="X1731" s="1">
        <f t="shared" ref="X1731:X1794" si="54">IFERROR(MATCH(W1731,$B:$B,0),0)</f>
        <v>0</v>
      </c>
      <c r="Y1731" s="1">
        <f t="shared" ref="Y1731:Y1794" si="55">IF(X1732=0,COUNTA(A:A),X1732-1)</f>
        <v>0</v>
      </c>
    </row>
    <row r="1732" spans="24:25" x14ac:dyDescent="0.3">
      <c r="X1732" s="1">
        <f t="shared" si="54"/>
        <v>0</v>
      </c>
      <c r="Y1732" s="1">
        <f t="shared" si="55"/>
        <v>0</v>
      </c>
    </row>
    <row r="1733" spans="24:25" x14ac:dyDescent="0.3">
      <c r="X1733" s="1">
        <f t="shared" si="54"/>
        <v>0</v>
      </c>
      <c r="Y1733" s="1">
        <f t="shared" si="55"/>
        <v>0</v>
      </c>
    </row>
    <row r="1734" spans="24:25" x14ac:dyDescent="0.3">
      <c r="X1734" s="1">
        <f t="shared" si="54"/>
        <v>0</v>
      </c>
      <c r="Y1734" s="1">
        <f t="shared" si="55"/>
        <v>0</v>
      </c>
    </row>
    <row r="1735" spans="24:25" x14ac:dyDescent="0.3">
      <c r="X1735" s="1">
        <f t="shared" si="54"/>
        <v>0</v>
      </c>
      <c r="Y1735" s="1">
        <f t="shared" si="55"/>
        <v>0</v>
      </c>
    </row>
    <row r="1736" spans="24:25" x14ac:dyDescent="0.3">
      <c r="X1736" s="1">
        <f t="shared" si="54"/>
        <v>0</v>
      </c>
      <c r="Y1736" s="1">
        <f t="shared" si="55"/>
        <v>0</v>
      </c>
    </row>
    <row r="1737" spans="24:25" x14ac:dyDescent="0.3">
      <c r="X1737" s="1">
        <f t="shared" si="54"/>
        <v>0</v>
      </c>
      <c r="Y1737" s="1">
        <f t="shared" si="55"/>
        <v>0</v>
      </c>
    </row>
    <row r="1738" spans="24:25" x14ac:dyDescent="0.3">
      <c r="X1738" s="1">
        <f t="shared" si="54"/>
        <v>0</v>
      </c>
      <c r="Y1738" s="1">
        <f t="shared" si="55"/>
        <v>0</v>
      </c>
    </row>
    <row r="1739" spans="24:25" x14ac:dyDescent="0.3">
      <c r="X1739" s="1">
        <f t="shared" si="54"/>
        <v>0</v>
      </c>
      <c r="Y1739" s="1">
        <f t="shared" si="55"/>
        <v>0</v>
      </c>
    </row>
    <row r="1740" spans="24:25" x14ac:dyDescent="0.3">
      <c r="X1740" s="1">
        <f t="shared" si="54"/>
        <v>0</v>
      </c>
      <c r="Y1740" s="1">
        <f t="shared" si="55"/>
        <v>0</v>
      </c>
    </row>
    <row r="1741" spans="24:25" x14ac:dyDescent="0.3">
      <c r="X1741" s="1">
        <f t="shared" si="54"/>
        <v>0</v>
      </c>
      <c r="Y1741" s="1">
        <f t="shared" si="55"/>
        <v>0</v>
      </c>
    </row>
    <row r="1742" spans="24:25" x14ac:dyDescent="0.3">
      <c r="X1742" s="1">
        <f t="shared" si="54"/>
        <v>0</v>
      </c>
      <c r="Y1742" s="1">
        <f t="shared" si="55"/>
        <v>0</v>
      </c>
    </row>
    <row r="1743" spans="24:25" x14ac:dyDescent="0.3">
      <c r="X1743" s="1">
        <f t="shared" si="54"/>
        <v>0</v>
      </c>
      <c r="Y1743" s="1">
        <f t="shared" si="55"/>
        <v>0</v>
      </c>
    </row>
    <row r="1744" spans="24:25" x14ac:dyDescent="0.3">
      <c r="X1744" s="1">
        <f t="shared" si="54"/>
        <v>0</v>
      </c>
      <c r="Y1744" s="1">
        <f t="shared" si="55"/>
        <v>0</v>
      </c>
    </row>
    <row r="1745" spans="24:25" x14ac:dyDescent="0.3">
      <c r="X1745" s="1">
        <f t="shared" si="54"/>
        <v>0</v>
      </c>
      <c r="Y1745" s="1">
        <f t="shared" si="55"/>
        <v>0</v>
      </c>
    </row>
    <row r="1746" spans="24:25" x14ac:dyDescent="0.3">
      <c r="X1746" s="1">
        <f t="shared" si="54"/>
        <v>0</v>
      </c>
      <c r="Y1746" s="1">
        <f t="shared" si="55"/>
        <v>0</v>
      </c>
    </row>
    <row r="1747" spans="24:25" x14ac:dyDescent="0.3">
      <c r="X1747" s="1">
        <f t="shared" si="54"/>
        <v>0</v>
      </c>
      <c r="Y1747" s="1">
        <f t="shared" si="55"/>
        <v>0</v>
      </c>
    </row>
    <row r="1748" spans="24:25" x14ac:dyDescent="0.3">
      <c r="X1748" s="1">
        <f t="shared" si="54"/>
        <v>0</v>
      </c>
      <c r="Y1748" s="1">
        <f t="shared" si="55"/>
        <v>0</v>
      </c>
    </row>
    <row r="1749" spans="24:25" x14ac:dyDescent="0.3">
      <c r="X1749" s="1">
        <f t="shared" si="54"/>
        <v>0</v>
      </c>
      <c r="Y1749" s="1">
        <f t="shared" si="55"/>
        <v>0</v>
      </c>
    </row>
    <row r="1750" spans="24:25" x14ac:dyDescent="0.3">
      <c r="X1750" s="1">
        <f t="shared" si="54"/>
        <v>0</v>
      </c>
      <c r="Y1750" s="1">
        <f t="shared" si="55"/>
        <v>0</v>
      </c>
    </row>
    <row r="1751" spans="24:25" x14ac:dyDescent="0.3">
      <c r="X1751" s="1">
        <f t="shared" si="54"/>
        <v>0</v>
      </c>
      <c r="Y1751" s="1">
        <f t="shared" si="55"/>
        <v>0</v>
      </c>
    </row>
    <row r="1752" spans="24:25" x14ac:dyDescent="0.3">
      <c r="X1752" s="1">
        <f t="shared" si="54"/>
        <v>0</v>
      </c>
      <c r="Y1752" s="1">
        <f t="shared" si="55"/>
        <v>0</v>
      </c>
    </row>
    <row r="1753" spans="24:25" x14ac:dyDescent="0.3">
      <c r="X1753" s="1">
        <f t="shared" si="54"/>
        <v>0</v>
      </c>
      <c r="Y1753" s="1">
        <f t="shared" si="55"/>
        <v>0</v>
      </c>
    </row>
    <row r="1754" spans="24:25" x14ac:dyDescent="0.3">
      <c r="X1754" s="1">
        <f t="shared" si="54"/>
        <v>0</v>
      </c>
      <c r="Y1754" s="1">
        <f t="shared" si="55"/>
        <v>0</v>
      </c>
    </row>
    <row r="1755" spans="24:25" x14ac:dyDescent="0.3">
      <c r="X1755" s="1">
        <f t="shared" si="54"/>
        <v>0</v>
      </c>
      <c r="Y1755" s="1">
        <f t="shared" si="55"/>
        <v>0</v>
      </c>
    </row>
    <row r="1756" spans="24:25" x14ac:dyDescent="0.3">
      <c r="X1756" s="1">
        <f t="shared" si="54"/>
        <v>0</v>
      </c>
      <c r="Y1756" s="1">
        <f t="shared" si="55"/>
        <v>0</v>
      </c>
    </row>
    <row r="1757" spans="24:25" x14ac:dyDescent="0.3">
      <c r="X1757" s="1">
        <f t="shared" si="54"/>
        <v>0</v>
      </c>
      <c r="Y1757" s="1">
        <f t="shared" si="55"/>
        <v>0</v>
      </c>
    </row>
    <row r="1758" spans="24:25" x14ac:dyDescent="0.3">
      <c r="X1758" s="1">
        <f t="shared" si="54"/>
        <v>0</v>
      </c>
      <c r="Y1758" s="1">
        <f t="shared" si="55"/>
        <v>0</v>
      </c>
    </row>
    <row r="1759" spans="24:25" x14ac:dyDescent="0.3">
      <c r="X1759" s="1">
        <f t="shared" si="54"/>
        <v>0</v>
      </c>
      <c r="Y1759" s="1">
        <f t="shared" si="55"/>
        <v>0</v>
      </c>
    </row>
    <row r="1760" spans="24:25" x14ac:dyDescent="0.3">
      <c r="X1760" s="1">
        <f t="shared" si="54"/>
        <v>0</v>
      </c>
      <c r="Y1760" s="1">
        <f t="shared" si="55"/>
        <v>0</v>
      </c>
    </row>
    <row r="1761" spans="24:25" x14ac:dyDescent="0.3">
      <c r="X1761" s="1">
        <f t="shared" si="54"/>
        <v>0</v>
      </c>
      <c r="Y1761" s="1">
        <f t="shared" si="55"/>
        <v>0</v>
      </c>
    </row>
    <row r="1762" spans="24:25" x14ac:dyDescent="0.3">
      <c r="X1762" s="1">
        <f t="shared" si="54"/>
        <v>0</v>
      </c>
      <c r="Y1762" s="1">
        <f t="shared" si="55"/>
        <v>0</v>
      </c>
    </row>
    <row r="1763" spans="24:25" x14ac:dyDescent="0.3">
      <c r="X1763" s="1">
        <f t="shared" si="54"/>
        <v>0</v>
      </c>
      <c r="Y1763" s="1">
        <f t="shared" si="55"/>
        <v>0</v>
      </c>
    </row>
    <row r="1764" spans="24:25" x14ac:dyDescent="0.3">
      <c r="X1764" s="1">
        <f t="shared" si="54"/>
        <v>0</v>
      </c>
      <c r="Y1764" s="1">
        <f t="shared" si="55"/>
        <v>0</v>
      </c>
    </row>
    <row r="1765" spans="24:25" x14ac:dyDescent="0.3">
      <c r="X1765" s="1">
        <f t="shared" si="54"/>
        <v>0</v>
      </c>
      <c r="Y1765" s="1">
        <f t="shared" si="55"/>
        <v>0</v>
      </c>
    </row>
    <row r="1766" spans="24:25" x14ac:dyDescent="0.3">
      <c r="X1766" s="1">
        <f t="shared" si="54"/>
        <v>0</v>
      </c>
      <c r="Y1766" s="1">
        <f t="shared" si="55"/>
        <v>0</v>
      </c>
    </row>
    <row r="1767" spans="24:25" x14ac:dyDescent="0.3">
      <c r="X1767" s="1">
        <f t="shared" si="54"/>
        <v>0</v>
      </c>
      <c r="Y1767" s="1">
        <f t="shared" si="55"/>
        <v>0</v>
      </c>
    </row>
    <row r="1768" spans="24:25" x14ac:dyDescent="0.3">
      <c r="X1768" s="1">
        <f t="shared" si="54"/>
        <v>0</v>
      </c>
      <c r="Y1768" s="1">
        <f t="shared" si="55"/>
        <v>0</v>
      </c>
    </row>
    <row r="1769" spans="24:25" x14ac:dyDescent="0.3">
      <c r="X1769" s="1">
        <f t="shared" si="54"/>
        <v>0</v>
      </c>
      <c r="Y1769" s="1">
        <f t="shared" si="55"/>
        <v>0</v>
      </c>
    </row>
    <row r="1770" spans="24:25" x14ac:dyDescent="0.3">
      <c r="X1770" s="1">
        <f t="shared" si="54"/>
        <v>0</v>
      </c>
      <c r="Y1770" s="1">
        <f t="shared" si="55"/>
        <v>0</v>
      </c>
    </row>
    <row r="1771" spans="24:25" x14ac:dyDescent="0.3">
      <c r="X1771" s="1">
        <f t="shared" si="54"/>
        <v>0</v>
      </c>
      <c r="Y1771" s="1">
        <f t="shared" si="55"/>
        <v>0</v>
      </c>
    </row>
    <row r="1772" spans="24:25" x14ac:dyDescent="0.3">
      <c r="X1772" s="1">
        <f t="shared" si="54"/>
        <v>0</v>
      </c>
      <c r="Y1772" s="1">
        <f t="shared" si="55"/>
        <v>0</v>
      </c>
    </row>
    <row r="1773" spans="24:25" x14ac:dyDescent="0.3">
      <c r="X1773" s="1">
        <f t="shared" si="54"/>
        <v>0</v>
      </c>
      <c r="Y1773" s="1">
        <f t="shared" si="55"/>
        <v>0</v>
      </c>
    </row>
    <row r="1774" spans="24:25" x14ac:dyDescent="0.3">
      <c r="X1774" s="1">
        <f t="shared" si="54"/>
        <v>0</v>
      </c>
      <c r="Y1774" s="1">
        <f t="shared" si="55"/>
        <v>0</v>
      </c>
    </row>
    <row r="1775" spans="24:25" x14ac:dyDescent="0.3">
      <c r="X1775" s="1">
        <f t="shared" si="54"/>
        <v>0</v>
      </c>
      <c r="Y1775" s="1">
        <f t="shared" si="55"/>
        <v>0</v>
      </c>
    </row>
    <row r="1776" spans="24:25" x14ac:dyDescent="0.3">
      <c r="X1776" s="1">
        <f t="shared" si="54"/>
        <v>0</v>
      </c>
      <c r="Y1776" s="1">
        <f t="shared" si="55"/>
        <v>0</v>
      </c>
    </row>
    <row r="1777" spans="24:25" x14ac:dyDescent="0.3">
      <c r="X1777" s="1">
        <f t="shared" si="54"/>
        <v>0</v>
      </c>
      <c r="Y1777" s="1">
        <f t="shared" si="55"/>
        <v>0</v>
      </c>
    </row>
    <row r="1778" spans="24:25" x14ac:dyDescent="0.3">
      <c r="X1778" s="1">
        <f t="shared" si="54"/>
        <v>0</v>
      </c>
      <c r="Y1778" s="1">
        <f t="shared" si="55"/>
        <v>0</v>
      </c>
    </row>
    <row r="1779" spans="24:25" x14ac:dyDescent="0.3">
      <c r="X1779" s="1">
        <f t="shared" si="54"/>
        <v>0</v>
      </c>
      <c r="Y1779" s="1">
        <f t="shared" si="55"/>
        <v>0</v>
      </c>
    </row>
    <row r="1780" spans="24:25" x14ac:dyDescent="0.3">
      <c r="X1780" s="1">
        <f t="shared" si="54"/>
        <v>0</v>
      </c>
      <c r="Y1780" s="1">
        <f t="shared" si="55"/>
        <v>0</v>
      </c>
    </row>
    <row r="1781" spans="24:25" x14ac:dyDescent="0.3">
      <c r="X1781" s="1">
        <f t="shared" si="54"/>
        <v>0</v>
      </c>
      <c r="Y1781" s="1">
        <f t="shared" si="55"/>
        <v>0</v>
      </c>
    </row>
    <row r="1782" spans="24:25" x14ac:dyDescent="0.3">
      <c r="X1782" s="1">
        <f t="shared" si="54"/>
        <v>0</v>
      </c>
      <c r="Y1782" s="1">
        <f t="shared" si="55"/>
        <v>0</v>
      </c>
    </row>
    <row r="1783" spans="24:25" x14ac:dyDescent="0.3">
      <c r="X1783" s="1">
        <f t="shared" si="54"/>
        <v>0</v>
      </c>
      <c r="Y1783" s="1">
        <f t="shared" si="55"/>
        <v>0</v>
      </c>
    </row>
    <row r="1784" spans="24:25" x14ac:dyDescent="0.3">
      <c r="X1784" s="1">
        <f t="shared" si="54"/>
        <v>0</v>
      </c>
      <c r="Y1784" s="1">
        <f t="shared" si="55"/>
        <v>0</v>
      </c>
    </row>
    <row r="1785" spans="24:25" x14ac:dyDescent="0.3">
      <c r="X1785" s="1">
        <f t="shared" si="54"/>
        <v>0</v>
      </c>
      <c r="Y1785" s="1">
        <f t="shared" si="55"/>
        <v>0</v>
      </c>
    </row>
    <row r="1786" spans="24:25" x14ac:dyDescent="0.3">
      <c r="X1786" s="1">
        <f t="shared" si="54"/>
        <v>0</v>
      </c>
      <c r="Y1786" s="1">
        <f t="shared" si="55"/>
        <v>0</v>
      </c>
    </row>
    <row r="1787" spans="24:25" x14ac:dyDescent="0.3">
      <c r="X1787" s="1">
        <f t="shared" si="54"/>
        <v>0</v>
      </c>
      <c r="Y1787" s="1">
        <f t="shared" si="55"/>
        <v>0</v>
      </c>
    </row>
    <row r="1788" spans="24:25" x14ac:dyDescent="0.3">
      <c r="X1788" s="1">
        <f t="shared" si="54"/>
        <v>0</v>
      </c>
      <c r="Y1788" s="1">
        <f t="shared" si="55"/>
        <v>0</v>
      </c>
    </row>
    <row r="1789" spans="24:25" x14ac:dyDescent="0.3">
      <c r="X1789" s="1">
        <f t="shared" si="54"/>
        <v>0</v>
      </c>
      <c r="Y1789" s="1">
        <f t="shared" si="55"/>
        <v>0</v>
      </c>
    </row>
    <row r="1790" spans="24:25" x14ac:dyDescent="0.3">
      <c r="X1790" s="1">
        <f t="shared" si="54"/>
        <v>0</v>
      </c>
      <c r="Y1790" s="1">
        <f t="shared" si="55"/>
        <v>0</v>
      </c>
    </row>
    <row r="1791" spans="24:25" x14ac:dyDescent="0.3">
      <c r="X1791" s="1">
        <f t="shared" si="54"/>
        <v>0</v>
      </c>
      <c r="Y1791" s="1">
        <f t="shared" si="55"/>
        <v>0</v>
      </c>
    </row>
    <row r="1792" spans="24:25" x14ac:dyDescent="0.3">
      <c r="X1792" s="1">
        <f t="shared" si="54"/>
        <v>0</v>
      </c>
      <c r="Y1792" s="1">
        <f t="shared" si="55"/>
        <v>0</v>
      </c>
    </row>
    <row r="1793" spans="24:25" x14ac:dyDescent="0.3">
      <c r="X1793" s="1">
        <f t="shared" si="54"/>
        <v>0</v>
      </c>
      <c r="Y1793" s="1">
        <f t="shared" si="55"/>
        <v>0</v>
      </c>
    </row>
    <row r="1794" spans="24:25" x14ac:dyDescent="0.3">
      <c r="X1794" s="1">
        <f t="shared" si="54"/>
        <v>0</v>
      </c>
      <c r="Y1794" s="1">
        <f t="shared" si="55"/>
        <v>0</v>
      </c>
    </row>
    <row r="1795" spans="24:25" x14ac:dyDescent="0.3">
      <c r="X1795" s="1">
        <f t="shared" ref="X1795:X1858" si="56">IFERROR(MATCH(W1795,$B:$B,0),0)</f>
        <v>0</v>
      </c>
      <c r="Y1795" s="1">
        <f t="shared" ref="Y1795:Y1858" si="57">IF(X1796=0,COUNTA(A:A),X1796-1)</f>
        <v>0</v>
      </c>
    </row>
    <row r="1796" spans="24:25" x14ac:dyDescent="0.3">
      <c r="X1796" s="1">
        <f t="shared" si="56"/>
        <v>0</v>
      </c>
      <c r="Y1796" s="1">
        <f t="shared" si="57"/>
        <v>0</v>
      </c>
    </row>
    <row r="1797" spans="24:25" x14ac:dyDescent="0.3">
      <c r="X1797" s="1">
        <f t="shared" si="56"/>
        <v>0</v>
      </c>
      <c r="Y1797" s="1">
        <f t="shared" si="57"/>
        <v>0</v>
      </c>
    </row>
    <row r="1798" spans="24:25" x14ac:dyDescent="0.3">
      <c r="X1798" s="1">
        <f t="shared" si="56"/>
        <v>0</v>
      </c>
      <c r="Y1798" s="1">
        <f t="shared" si="57"/>
        <v>0</v>
      </c>
    </row>
    <row r="1799" spans="24:25" x14ac:dyDescent="0.3">
      <c r="X1799" s="1">
        <f t="shared" si="56"/>
        <v>0</v>
      </c>
      <c r="Y1799" s="1">
        <f t="shared" si="57"/>
        <v>0</v>
      </c>
    </row>
    <row r="1800" spans="24:25" x14ac:dyDescent="0.3">
      <c r="X1800" s="1">
        <f t="shared" si="56"/>
        <v>0</v>
      </c>
      <c r="Y1800" s="1">
        <f t="shared" si="57"/>
        <v>0</v>
      </c>
    </row>
    <row r="1801" spans="24:25" x14ac:dyDescent="0.3">
      <c r="X1801" s="1">
        <f t="shared" si="56"/>
        <v>0</v>
      </c>
      <c r="Y1801" s="1">
        <f t="shared" si="57"/>
        <v>0</v>
      </c>
    </row>
    <row r="1802" spans="24:25" x14ac:dyDescent="0.3">
      <c r="X1802" s="1">
        <f t="shared" si="56"/>
        <v>0</v>
      </c>
      <c r="Y1802" s="1">
        <f t="shared" si="57"/>
        <v>0</v>
      </c>
    </row>
    <row r="1803" spans="24:25" x14ac:dyDescent="0.3">
      <c r="X1803" s="1">
        <f t="shared" si="56"/>
        <v>0</v>
      </c>
      <c r="Y1803" s="1">
        <f t="shared" si="57"/>
        <v>0</v>
      </c>
    </row>
    <row r="1804" spans="24:25" x14ac:dyDescent="0.3">
      <c r="X1804" s="1">
        <f t="shared" si="56"/>
        <v>0</v>
      </c>
      <c r="Y1804" s="1">
        <f t="shared" si="57"/>
        <v>0</v>
      </c>
    </row>
    <row r="1805" spans="24:25" x14ac:dyDescent="0.3">
      <c r="X1805" s="1">
        <f t="shared" si="56"/>
        <v>0</v>
      </c>
      <c r="Y1805" s="1">
        <f t="shared" si="57"/>
        <v>0</v>
      </c>
    </row>
    <row r="1806" spans="24:25" x14ac:dyDescent="0.3">
      <c r="X1806" s="1">
        <f t="shared" si="56"/>
        <v>0</v>
      </c>
      <c r="Y1806" s="1">
        <f t="shared" si="57"/>
        <v>0</v>
      </c>
    </row>
    <row r="1807" spans="24:25" x14ac:dyDescent="0.3">
      <c r="X1807" s="1">
        <f t="shared" si="56"/>
        <v>0</v>
      </c>
      <c r="Y1807" s="1">
        <f t="shared" si="57"/>
        <v>0</v>
      </c>
    </row>
    <row r="1808" spans="24:25" x14ac:dyDescent="0.3">
      <c r="X1808" s="1">
        <f t="shared" si="56"/>
        <v>0</v>
      </c>
      <c r="Y1808" s="1">
        <f t="shared" si="57"/>
        <v>0</v>
      </c>
    </row>
    <row r="1809" spans="24:25" x14ac:dyDescent="0.3">
      <c r="X1809" s="1">
        <f t="shared" si="56"/>
        <v>0</v>
      </c>
      <c r="Y1809" s="1">
        <f t="shared" si="57"/>
        <v>0</v>
      </c>
    </row>
    <row r="1810" spans="24:25" x14ac:dyDescent="0.3">
      <c r="X1810" s="1">
        <f t="shared" si="56"/>
        <v>0</v>
      </c>
      <c r="Y1810" s="1">
        <f t="shared" si="57"/>
        <v>0</v>
      </c>
    </row>
    <row r="1811" spans="24:25" x14ac:dyDescent="0.3">
      <c r="X1811" s="1">
        <f t="shared" si="56"/>
        <v>0</v>
      </c>
      <c r="Y1811" s="1">
        <f t="shared" si="57"/>
        <v>0</v>
      </c>
    </row>
    <row r="1812" spans="24:25" x14ac:dyDescent="0.3">
      <c r="X1812" s="1">
        <f t="shared" si="56"/>
        <v>0</v>
      </c>
      <c r="Y1812" s="1">
        <f t="shared" si="57"/>
        <v>0</v>
      </c>
    </row>
    <row r="1813" spans="24:25" x14ac:dyDescent="0.3">
      <c r="X1813" s="1">
        <f t="shared" si="56"/>
        <v>0</v>
      </c>
      <c r="Y1813" s="1">
        <f t="shared" si="57"/>
        <v>0</v>
      </c>
    </row>
    <row r="1814" spans="24:25" x14ac:dyDescent="0.3">
      <c r="X1814" s="1">
        <f t="shared" si="56"/>
        <v>0</v>
      </c>
      <c r="Y1814" s="1">
        <f t="shared" si="57"/>
        <v>0</v>
      </c>
    </row>
    <row r="1815" spans="24:25" x14ac:dyDescent="0.3">
      <c r="X1815" s="1">
        <f t="shared" si="56"/>
        <v>0</v>
      </c>
      <c r="Y1815" s="1">
        <f t="shared" si="57"/>
        <v>0</v>
      </c>
    </row>
    <row r="1816" spans="24:25" x14ac:dyDescent="0.3">
      <c r="X1816" s="1">
        <f t="shared" si="56"/>
        <v>0</v>
      </c>
      <c r="Y1816" s="1">
        <f t="shared" si="57"/>
        <v>0</v>
      </c>
    </row>
    <row r="1817" spans="24:25" x14ac:dyDescent="0.3">
      <c r="X1817" s="1">
        <f t="shared" si="56"/>
        <v>0</v>
      </c>
      <c r="Y1817" s="1">
        <f t="shared" si="57"/>
        <v>0</v>
      </c>
    </row>
    <row r="1818" spans="24:25" x14ac:dyDescent="0.3">
      <c r="X1818" s="1">
        <f t="shared" si="56"/>
        <v>0</v>
      </c>
      <c r="Y1818" s="1">
        <f t="shared" si="57"/>
        <v>0</v>
      </c>
    </row>
    <row r="1819" spans="24:25" x14ac:dyDescent="0.3">
      <c r="X1819" s="1">
        <f t="shared" si="56"/>
        <v>0</v>
      </c>
      <c r="Y1819" s="1">
        <f t="shared" si="57"/>
        <v>0</v>
      </c>
    </row>
    <row r="1820" spans="24:25" x14ac:dyDescent="0.3">
      <c r="X1820" s="1">
        <f t="shared" si="56"/>
        <v>0</v>
      </c>
      <c r="Y1820" s="1">
        <f t="shared" si="57"/>
        <v>0</v>
      </c>
    </row>
    <row r="1821" spans="24:25" x14ac:dyDescent="0.3">
      <c r="X1821" s="1">
        <f t="shared" si="56"/>
        <v>0</v>
      </c>
      <c r="Y1821" s="1">
        <f t="shared" si="57"/>
        <v>0</v>
      </c>
    </row>
    <row r="1822" spans="24:25" x14ac:dyDescent="0.3">
      <c r="X1822" s="1">
        <f t="shared" si="56"/>
        <v>0</v>
      </c>
      <c r="Y1822" s="1">
        <f t="shared" si="57"/>
        <v>0</v>
      </c>
    </row>
    <row r="1823" spans="24:25" x14ac:dyDescent="0.3">
      <c r="X1823" s="1">
        <f t="shared" si="56"/>
        <v>0</v>
      </c>
      <c r="Y1823" s="1">
        <f t="shared" si="57"/>
        <v>0</v>
      </c>
    </row>
    <row r="1824" spans="24:25" x14ac:dyDescent="0.3">
      <c r="X1824" s="1">
        <f t="shared" si="56"/>
        <v>0</v>
      </c>
      <c r="Y1824" s="1">
        <f t="shared" si="57"/>
        <v>0</v>
      </c>
    </row>
    <row r="1825" spans="24:25" x14ac:dyDescent="0.3">
      <c r="X1825" s="1">
        <f t="shared" si="56"/>
        <v>0</v>
      </c>
      <c r="Y1825" s="1">
        <f t="shared" si="57"/>
        <v>0</v>
      </c>
    </row>
    <row r="1826" spans="24:25" x14ac:dyDescent="0.3">
      <c r="X1826" s="1">
        <f t="shared" si="56"/>
        <v>0</v>
      </c>
      <c r="Y1826" s="1">
        <f t="shared" si="57"/>
        <v>0</v>
      </c>
    </row>
    <row r="1827" spans="24:25" x14ac:dyDescent="0.3">
      <c r="X1827" s="1">
        <f t="shared" si="56"/>
        <v>0</v>
      </c>
      <c r="Y1827" s="1">
        <f t="shared" si="57"/>
        <v>0</v>
      </c>
    </row>
    <row r="1828" spans="24:25" x14ac:dyDescent="0.3">
      <c r="X1828" s="1">
        <f t="shared" si="56"/>
        <v>0</v>
      </c>
      <c r="Y1828" s="1">
        <f t="shared" si="57"/>
        <v>0</v>
      </c>
    </row>
    <row r="1829" spans="24:25" x14ac:dyDescent="0.3">
      <c r="X1829" s="1">
        <f t="shared" si="56"/>
        <v>0</v>
      </c>
      <c r="Y1829" s="1">
        <f t="shared" si="57"/>
        <v>0</v>
      </c>
    </row>
    <row r="1830" spans="24:25" x14ac:dyDescent="0.3">
      <c r="X1830" s="1">
        <f t="shared" si="56"/>
        <v>0</v>
      </c>
      <c r="Y1830" s="1">
        <f t="shared" si="57"/>
        <v>0</v>
      </c>
    </row>
    <row r="1831" spans="24:25" x14ac:dyDescent="0.3">
      <c r="X1831" s="1">
        <f t="shared" si="56"/>
        <v>0</v>
      </c>
      <c r="Y1831" s="1">
        <f t="shared" si="57"/>
        <v>0</v>
      </c>
    </row>
    <row r="1832" spans="24:25" x14ac:dyDescent="0.3">
      <c r="X1832" s="1">
        <f t="shared" si="56"/>
        <v>0</v>
      </c>
      <c r="Y1832" s="1">
        <f t="shared" si="57"/>
        <v>0</v>
      </c>
    </row>
    <row r="1833" spans="24:25" x14ac:dyDescent="0.3">
      <c r="X1833" s="1">
        <f t="shared" si="56"/>
        <v>0</v>
      </c>
      <c r="Y1833" s="1">
        <f t="shared" si="57"/>
        <v>0</v>
      </c>
    </row>
    <row r="1834" spans="24:25" x14ac:dyDescent="0.3">
      <c r="X1834" s="1">
        <f t="shared" si="56"/>
        <v>0</v>
      </c>
      <c r="Y1834" s="1">
        <f t="shared" si="57"/>
        <v>0</v>
      </c>
    </row>
    <row r="1835" spans="24:25" x14ac:dyDescent="0.3">
      <c r="X1835" s="1">
        <f t="shared" si="56"/>
        <v>0</v>
      </c>
      <c r="Y1835" s="1">
        <f t="shared" si="57"/>
        <v>0</v>
      </c>
    </row>
    <row r="1836" spans="24:25" x14ac:dyDescent="0.3">
      <c r="X1836" s="1">
        <f t="shared" si="56"/>
        <v>0</v>
      </c>
      <c r="Y1836" s="1">
        <f t="shared" si="57"/>
        <v>0</v>
      </c>
    </row>
    <row r="1837" spans="24:25" x14ac:dyDescent="0.3">
      <c r="X1837" s="1">
        <f t="shared" si="56"/>
        <v>0</v>
      </c>
      <c r="Y1837" s="1">
        <f t="shared" si="57"/>
        <v>0</v>
      </c>
    </row>
    <row r="1838" spans="24:25" x14ac:dyDescent="0.3">
      <c r="X1838" s="1">
        <f t="shared" si="56"/>
        <v>0</v>
      </c>
      <c r="Y1838" s="1">
        <f t="shared" si="57"/>
        <v>0</v>
      </c>
    </row>
    <row r="1839" spans="24:25" x14ac:dyDescent="0.3">
      <c r="X1839" s="1">
        <f t="shared" si="56"/>
        <v>0</v>
      </c>
      <c r="Y1839" s="1">
        <f t="shared" si="57"/>
        <v>0</v>
      </c>
    </row>
    <row r="1840" spans="24:25" x14ac:dyDescent="0.3">
      <c r="X1840" s="1">
        <f t="shared" si="56"/>
        <v>0</v>
      </c>
      <c r="Y1840" s="1">
        <f t="shared" si="57"/>
        <v>0</v>
      </c>
    </row>
    <row r="1841" spans="24:25" x14ac:dyDescent="0.3">
      <c r="X1841" s="1">
        <f t="shared" si="56"/>
        <v>0</v>
      </c>
      <c r="Y1841" s="1">
        <f t="shared" si="57"/>
        <v>0</v>
      </c>
    </row>
    <row r="1842" spans="24:25" x14ac:dyDescent="0.3">
      <c r="X1842" s="1">
        <f t="shared" si="56"/>
        <v>0</v>
      </c>
      <c r="Y1842" s="1">
        <f t="shared" si="57"/>
        <v>0</v>
      </c>
    </row>
    <row r="1843" spans="24:25" x14ac:dyDescent="0.3">
      <c r="X1843" s="1">
        <f t="shared" si="56"/>
        <v>0</v>
      </c>
      <c r="Y1843" s="1">
        <f t="shared" si="57"/>
        <v>0</v>
      </c>
    </row>
    <row r="1844" spans="24:25" x14ac:dyDescent="0.3">
      <c r="X1844" s="1">
        <f t="shared" si="56"/>
        <v>0</v>
      </c>
      <c r="Y1844" s="1">
        <f t="shared" si="57"/>
        <v>0</v>
      </c>
    </row>
    <row r="1845" spans="24:25" x14ac:dyDescent="0.3">
      <c r="X1845" s="1">
        <f t="shared" si="56"/>
        <v>0</v>
      </c>
      <c r="Y1845" s="1">
        <f t="shared" si="57"/>
        <v>0</v>
      </c>
    </row>
    <row r="1846" spans="24:25" x14ac:dyDescent="0.3">
      <c r="X1846" s="1">
        <f t="shared" si="56"/>
        <v>0</v>
      </c>
      <c r="Y1846" s="1">
        <f t="shared" si="57"/>
        <v>0</v>
      </c>
    </row>
    <row r="1847" spans="24:25" x14ac:dyDescent="0.3">
      <c r="X1847" s="1">
        <f t="shared" si="56"/>
        <v>0</v>
      </c>
      <c r="Y1847" s="1">
        <f t="shared" si="57"/>
        <v>0</v>
      </c>
    </row>
    <row r="1848" spans="24:25" x14ac:dyDescent="0.3">
      <c r="X1848" s="1">
        <f t="shared" si="56"/>
        <v>0</v>
      </c>
      <c r="Y1848" s="1">
        <f t="shared" si="57"/>
        <v>0</v>
      </c>
    </row>
    <row r="1849" spans="24:25" x14ac:dyDescent="0.3">
      <c r="X1849" s="1">
        <f t="shared" si="56"/>
        <v>0</v>
      </c>
      <c r="Y1849" s="1">
        <f t="shared" si="57"/>
        <v>0</v>
      </c>
    </row>
    <row r="1850" spans="24:25" x14ac:dyDescent="0.3">
      <c r="X1850" s="1">
        <f t="shared" si="56"/>
        <v>0</v>
      </c>
      <c r="Y1850" s="1">
        <f t="shared" si="57"/>
        <v>0</v>
      </c>
    </row>
    <row r="1851" spans="24:25" x14ac:dyDescent="0.3">
      <c r="X1851" s="1">
        <f t="shared" si="56"/>
        <v>0</v>
      </c>
      <c r="Y1851" s="1">
        <f t="shared" si="57"/>
        <v>0</v>
      </c>
    </row>
    <row r="1852" spans="24:25" x14ac:dyDescent="0.3">
      <c r="X1852" s="1">
        <f t="shared" si="56"/>
        <v>0</v>
      </c>
      <c r="Y1852" s="1">
        <f t="shared" si="57"/>
        <v>0</v>
      </c>
    </row>
    <row r="1853" spans="24:25" x14ac:dyDescent="0.3">
      <c r="X1853" s="1">
        <f t="shared" si="56"/>
        <v>0</v>
      </c>
      <c r="Y1853" s="1">
        <f t="shared" si="57"/>
        <v>0</v>
      </c>
    </row>
    <row r="1854" spans="24:25" x14ac:dyDescent="0.3">
      <c r="X1854" s="1">
        <f t="shared" si="56"/>
        <v>0</v>
      </c>
      <c r="Y1854" s="1">
        <f t="shared" si="57"/>
        <v>0</v>
      </c>
    </row>
    <row r="1855" spans="24:25" x14ac:dyDescent="0.3">
      <c r="X1855" s="1">
        <f t="shared" si="56"/>
        <v>0</v>
      </c>
      <c r="Y1855" s="1">
        <f t="shared" si="57"/>
        <v>0</v>
      </c>
    </row>
    <row r="1856" spans="24:25" x14ac:dyDescent="0.3">
      <c r="X1856" s="1">
        <f t="shared" si="56"/>
        <v>0</v>
      </c>
      <c r="Y1856" s="1">
        <f t="shared" si="57"/>
        <v>0</v>
      </c>
    </row>
    <row r="1857" spans="24:25" x14ac:dyDescent="0.3">
      <c r="X1857" s="1">
        <f t="shared" si="56"/>
        <v>0</v>
      </c>
      <c r="Y1857" s="1">
        <f t="shared" si="57"/>
        <v>0</v>
      </c>
    </row>
    <row r="1858" spans="24:25" x14ac:dyDescent="0.3">
      <c r="X1858" s="1">
        <f t="shared" si="56"/>
        <v>0</v>
      </c>
      <c r="Y1858" s="1">
        <f t="shared" si="57"/>
        <v>0</v>
      </c>
    </row>
    <row r="1859" spans="24:25" x14ac:dyDescent="0.3">
      <c r="X1859" s="1">
        <f t="shared" ref="X1859:X1922" si="58">IFERROR(MATCH(W1859,$B:$B,0),0)</f>
        <v>0</v>
      </c>
      <c r="Y1859" s="1">
        <f t="shared" ref="Y1859:Y1922" si="59">IF(X1860=0,COUNTA(A:A),X1860-1)</f>
        <v>0</v>
      </c>
    </row>
    <row r="1860" spans="24:25" x14ac:dyDescent="0.3">
      <c r="X1860" s="1">
        <f t="shared" si="58"/>
        <v>0</v>
      </c>
      <c r="Y1860" s="1">
        <f t="shared" si="59"/>
        <v>0</v>
      </c>
    </row>
    <row r="1861" spans="24:25" x14ac:dyDescent="0.3">
      <c r="X1861" s="1">
        <f t="shared" si="58"/>
        <v>0</v>
      </c>
      <c r="Y1861" s="1">
        <f t="shared" si="59"/>
        <v>0</v>
      </c>
    </row>
    <row r="1862" spans="24:25" x14ac:dyDescent="0.3">
      <c r="X1862" s="1">
        <f t="shared" si="58"/>
        <v>0</v>
      </c>
      <c r="Y1862" s="1">
        <f t="shared" si="59"/>
        <v>0</v>
      </c>
    </row>
    <row r="1863" spans="24:25" x14ac:dyDescent="0.3">
      <c r="X1863" s="1">
        <f t="shared" si="58"/>
        <v>0</v>
      </c>
      <c r="Y1863" s="1">
        <f t="shared" si="59"/>
        <v>0</v>
      </c>
    </row>
    <row r="1864" spans="24:25" x14ac:dyDescent="0.3">
      <c r="X1864" s="1">
        <f t="shared" si="58"/>
        <v>0</v>
      </c>
      <c r="Y1864" s="1">
        <f t="shared" si="59"/>
        <v>0</v>
      </c>
    </row>
    <row r="1865" spans="24:25" x14ac:dyDescent="0.3">
      <c r="X1865" s="1">
        <f t="shared" si="58"/>
        <v>0</v>
      </c>
      <c r="Y1865" s="1">
        <f t="shared" si="59"/>
        <v>0</v>
      </c>
    </row>
    <row r="1866" spans="24:25" x14ac:dyDescent="0.3">
      <c r="X1866" s="1">
        <f t="shared" si="58"/>
        <v>0</v>
      </c>
      <c r="Y1866" s="1">
        <f t="shared" si="59"/>
        <v>0</v>
      </c>
    </row>
    <row r="1867" spans="24:25" x14ac:dyDescent="0.3">
      <c r="X1867" s="1">
        <f t="shared" si="58"/>
        <v>0</v>
      </c>
      <c r="Y1867" s="1">
        <f t="shared" si="59"/>
        <v>0</v>
      </c>
    </row>
    <row r="1868" spans="24:25" x14ac:dyDescent="0.3">
      <c r="X1868" s="1">
        <f t="shared" si="58"/>
        <v>0</v>
      </c>
      <c r="Y1868" s="1">
        <f t="shared" si="59"/>
        <v>0</v>
      </c>
    </row>
    <row r="1869" spans="24:25" x14ac:dyDescent="0.3">
      <c r="X1869" s="1">
        <f t="shared" si="58"/>
        <v>0</v>
      </c>
      <c r="Y1869" s="1">
        <f t="shared" si="59"/>
        <v>0</v>
      </c>
    </row>
    <row r="1870" spans="24:25" x14ac:dyDescent="0.3">
      <c r="X1870" s="1">
        <f t="shared" si="58"/>
        <v>0</v>
      </c>
      <c r="Y1870" s="1">
        <f t="shared" si="59"/>
        <v>0</v>
      </c>
    </row>
    <row r="1871" spans="24:25" x14ac:dyDescent="0.3">
      <c r="X1871" s="1">
        <f t="shared" si="58"/>
        <v>0</v>
      </c>
      <c r="Y1871" s="1">
        <f t="shared" si="59"/>
        <v>0</v>
      </c>
    </row>
    <row r="1872" spans="24:25" x14ac:dyDescent="0.3">
      <c r="X1872" s="1">
        <f t="shared" si="58"/>
        <v>0</v>
      </c>
      <c r="Y1872" s="1">
        <f t="shared" si="59"/>
        <v>0</v>
      </c>
    </row>
    <row r="1873" spans="24:25" x14ac:dyDescent="0.3">
      <c r="X1873" s="1">
        <f t="shared" si="58"/>
        <v>0</v>
      </c>
      <c r="Y1873" s="1">
        <f t="shared" si="59"/>
        <v>0</v>
      </c>
    </row>
    <row r="1874" spans="24:25" x14ac:dyDescent="0.3">
      <c r="X1874" s="1">
        <f t="shared" si="58"/>
        <v>0</v>
      </c>
      <c r="Y1874" s="1">
        <f t="shared" si="59"/>
        <v>0</v>
      </c>
    </row>
    <row r="1875" spans="24:25" x14ac:dyDescent="0.3">
      <c r="X1875" s="1">
        <f t="shared" si="58"/>
        <v>0</v>
      </c>
      <c r="Y1875" s="1">
        <f t="shared" si="59"/>
        <v>0</v>
      </c>
    </row>
    <row r="1876" spans="24:25" x14ac:dyDescent="0.3">
      <c r="X1876" s="1">
        <f t="shared" si="58"/>
        <v>0</v>
      </c>
      <c r="Y1876" s="1">
        <f t="shared" si="59"/>
        <v>0</v>
      </c>
    </row>
    <row r="1877" spans="24:25" x14ac:dyDescent="0.3">
      <c r="X1877" s="1">
        <f t="shared" si="58"/>
        <v>0</v>
      </c>
      <c r="Y1877" s="1">
        <f t="shared" si="59"/>
        <v>0</v>
      </c>
    </row>
    <row r="1878" spans="24:25" x14ac:dyDescent="0.3">
      <c r="X1878" s="1">
        <f t="shared" si="58"/>
        <v>0</v>
      </c>
      <c r="Y1878" s="1">
        <f t="shared" si="59"/>
        <v>0</v>
      </c>
    </row>
    <row r="1879" spans="24:25" x14ac:dyDescent="0.3">
      <c r="X1879" s="1">
        <f t="shared" si="58"/>
        <v>0</v>
      </c>
      <c r="Y1879" s="1">
        <f t="shared" si="59"/>
        <v>0</v>
      </c>
    </row>
    <row r="1880" spans="24:25" x14ac:dyDescent="0.3">
      <c r="X1880" s="1">
        <f t="shared" si="58"/>
        <v>0</v>
      </c>
      <c r="Y1880" s="1">
        <f t="shared" si="59"/>
        <v>0</v>
      </c>
    </row>
    <row r="1881" spans="24:25" x14ac:dyDescent="0.3">
      <c r="X1881" s="1">
        <f t="shared" si="58"/>
        <v>0</v>
      </c>
      <c r="Y1881" s="1">
        <f t="shared" si="59"/>
        <v>0</v>
      </c>
    </row>
    <row r="1882" spans="24:25" x14ac:dyDescent="0.3">
      <c r="X1882" s="1">
        <f t="shared" si="58"/>
        <v>0</v>
      </c>
      <c r="Y1882" s="1">
        <f t="shared" si="59"/>
        <v>0</v>
      </c>
    </row>
    <row r="1883" spans="24:25" x14ac:dyDescent="0.3">
      <c r="X1883" s="1">
        <f t="shared" si="58"/>
        <v>0</v>
      </c>
      <c r="Y1883" s="1">
        <f t="shared" si="59"/>
        <v>0</v>
      </c>
    </row>
    <row r="1884" spans="24:25" x14ac:dyDescent="0.3">
      <c r="X1884" s="1">
        <f t="shared" si="58"/>
        <v>0</v>
      </c>
      <c r="Y1884" s="1">
        <f t="shared" si="59"/>
        <v>0</v>
      </c>
    </row>
    <row r="1885" spans="24:25" x14ac:dyDescent="0.3">
      <c r="X1885" s="1">
        <f t="shared" si="58"/>
        <v>0</v>
      </c>
      <c r="Y1885" s="1">
        <f t="shared" si="59"/>
        <v>0</v>
      </c>
    </row>
    <row r="1886" spans="24:25" x14ac:dyDescent="0.3">
      <c r="X1886" s="1">
        <f t="shared" si="58"/>
        <v>0</v>
      </c>
      <c r="Y1886" s="1">
        <f t="shared" si="59"/>
        <v>0</v>
      </c>
    </row>
    <row r="1887" spans="24:25" x14ac:dyDescent="0.3">
      <c r="X1887" s="1">
        <f t="shared" si="58"/>
        <v>0</v>
      </c>
      <c r="Y1887" s="1">
        <f t="shared" si="59"/>
        <v>0</v>
      </c>
    </row>
    <row r="1888" spans="24:25" x14ac:dyDescent="0.3">
      <c r="X1888" s="1">
        <f t="shared" si="58"/>
        <v>0</v>
      </c>
      <c r="Y1888" s="1">
        <f t="shared" si="59"/>
        <v>0</v>
      </c>
    </row>
    <row r="1889" spans="24:25" x14ac:dyDescent="0.3">
      <c r="X1889" s="1">
        <f t="shared" si="58"/>
        <v>0</v>
      </c>
      <c r="Y1889" s="1">
        <f t="shared" si="59"/>
        <v>0</v>
      </c>
    </row>
    <row r="1890" spans="24:25" x14ac:dyDescent="0.3">
      <c r="X1890" s="1">
        <f t="shared" si="58"/>
        <v>0</v>
      </c>
      <c r="Y1890" s="1">
        <f t="shared" si="59"/>
        <v>0</v>
      </c>
    </row>
    <row r="1891" spans="24:25" x14ac:dyDescent="0.3">
      <c r="X1891" s="1">
        <f t="shared" si="58"/>
        <v>0</v>
      </c>
      <c r="Y1891" s="1">
        <f t="shared" si="59"/>
        <v>0</v>
      </c>
    </row>
    <row r="1892" spans="24:25" x14ac:dyDescent="0.3">
      <c r="X1892" s="1">
        <f t="shared" si="58"/>
        <v>0</v>
      </c>
      <c r="Y1892" s="1">
        <f t="shared" si="59"/>
        <v>0</v>
      </c>
    </row>
    <row r="1893" spans="24:25" x14ac:dyDescent="0.3">
      <c r="X1893" s="1">
        <f t="shared" si="58"/>
        <v>0</v>
      </c>
      <c r="Y1893" s="1">
        <f t="shared" si="59"/>
        <v>0</v>
      </c>
    </row>
    <row r="1894" spans="24:25" x14ac:dyDescent="0.3">
      <c r="X1894" s="1">
        <f t="shared" si="58"/>
        <v>0</v>
      </c>
      <c r="Y1894" s="1">
        <f t="shared" si="59"/>
        <v>0</v>
      </c>
    </row>
    <row r="1895" spans="24:25" x14ac:dyDescent="0.3">
      <c r="X1895" s="1">
        <f t="shared" si="58"/>
        <v>0</v>
      </c>
      <c r="Y1895" s="1">
        <f t="shared" si="59"/>
        <v>0</v>
      </c>
    </row>
    <row r="1896" spans="24:25" x14ac:dyDescent="0.3">
      <c r="X1896" s="1">
        <f t="shared" si="58"/>
        <v>0</v>
      </c>
      <c r="Y1896" s="1">
        <f t="shared" si="59"/>
        <v>0</v>
      </c>
    </row>
    <row r="1897" spans="24:25" x14ac:dyDescent="0.3">
      <c r="X1897" s="1">
        <f t="shared" si="58"/>
        <v>0</v>
      </c>
      <c r="Y1897" s="1">
        <f t="shared" si="59"/>
        <v>0</v>
      </c>
    </row>
    <row r="1898" spans="24:25" x14ac:dyDescent="0.3">
      <c r="X1898" s="1">
        <f t="shared" si="58"/>
        <v>0</v>
      </c>
      <c r="Y1898" s="1">
        <f t="shared" si="59"/>
        <v>0</v>
      </c>
    </row>
    <row r="1899" spans="24:25" x14ac:dyDescent="0.3">
      <c r="X1899" s="1">
        <f t="shared" si="58"/>
        <v>0</v>
      </c>
      <c r="Y1899" s="1">
        <f t="shared" si="59"/>
        <v>0</v>
      </c>
    </row>
    <row r="1900" spans="24:25" x14ac:dyDescent="0.3">
      <c r="X1900" s="1">
        <f t="shared" si="58"/>
        <v>0</v>
      </c>
      <c r="Y1900" s="1">
        <f t="shared" si="59"/>
        <v>0</v>
      </c>
    </row>
    <row r="1901" spans="24:25" x14ac:dyDescent="0.3">
      <c r="X1901" s="1">
        <f t="shared" si="58"/>
        <v>0</v>
      </c>
      <c r="Y1901" s="1">
        <f t="shared" si="59"/>
        <v>0</v>
      </c>
    </row>
    <row r="1902" spans="24:25" x14ac:dyDescent="0.3">
      <c r="X1902" s="1">
        <f t="shared" si="58"/>
        <v>0</v>
      </c>
      <c r="Y1902" s="1">
        <f t="shared" si="59"/>
        <v>0</v>
      </c>
    </row>
    <row r="1903" spans="24:25" x14ac:dyDescent="0.3">
      <c r="X1903" s="1">
        <f t="shared" si="58"/>
        <v>0</v>
      </c>
      <c r="Y1903" s="1">
        <f t="shared" si="59"/>
        <v>0</v>
      </c>
    </row>
    <row r="1904" spans="24:25" x14ac:dyDescent="0.3">
      <c r="X1904" s="1">
        <f t="shared" si="58"/>
        <v>0</v>
      </c>
      <c r="Y1904" s="1">
        <f t="shared" si="59"/>
        <v>0</v>
      </c>
    </row>
    <row r="1905" spans="24:25" x14ac:dyDescent="0.3">
      <c r="X1905" s="1">
        <f t="shared" si="58"/>
        <v>0</v>
      </c>
      <c r="Y1905" s="1">
        <f t="shared" si="59"/>
        <v>0</v>
      </c>
    </row>
    <row r="1906" spans="24:25" x14ac:dyDescent="0.3">
      <c r="X1906" s="1">
        <f t="shared" si="58"/>
        <v>0</v>
      </c>
      <c r="Y1906" s="1">
        <f t="shared" si="59"/>
        <v>0</v>
      </c>
    </row>
    <row r="1907" spans="24:25" x14ac:dyDescent="0.3">
      <c r="X1907" s="1">
        <f t="shared" si="58"/>
        <v>0</v>
      </c>
      <c r="Y1907" s="1">
        <f t="shared" si="59"/>
        <v>0</v>
      </c>
    </row>
    <row r="1908" spans="24:25" x14ac:dyDescent="0.3">
      <c r="X1908" s="1">
        <f t="shared" si="58"/>
        <v>0</v>
      </c>
      <c r="Y1908" s="1">
        <f t="shared" si="59"/>
        <v>0</v>
      </c>
    </row>
    <row r="1909" spans="24:25" x14ac:dyDescent="0.3">
      <c r="X1909" s="1">
        <f t="shared" si="58"/>
        <v>0</v>
      </c>
      <c r="Y1909" s="1">
        <f t="shared" si="59"/>
        <v>0</v>
      </c>
    </row>
    <row r="1910" spans="24:25" x14ac:dyDescent="0.3">
      <c r="X1910" s="1">
        <f t="shared" si="58"/>
        <v>0</v>
      </c>
      <c r="Y1910" s="1">
        <f t="shared" si="59"/>
        <v>0</v>
      </c>
    </row>
    <row r="1911" spans="24:25" x14ac:dyDescent="0.3">
      <c r="X1911" s="1">
        <f t="shared" si="58"/>
        <v>0</v>
      </c>
      <c r="Y1911" s="1">
        <f t="shared" si="59"/>
        <v>0</v>
      </c>
    </row>
    <row r="1912" spans="24:25" x14ac:dyDescent="0.3">
      <c r="X1912" s="1">
        <f t="shared" si="58"/>
        <v>0</v>
      </c>
      <c r="Y1912" s="1">
        <f t="shared" si="59"/>
        <v>0</v>
      </c>
    </row>
    <row r="1913" spans="24:25" x14ac:dyDescent="0.3">
      <c r="X1913" s="1">
        <f t="shared" si="58"/>
        <v>0</v>
      </c>
      <c r="Y1913" s="1">
        <f t="shared" si="59"/>
        <v>0</v>
      </c>
    </row>
    <row r="1914" spans="24:25" x14ac:dyDescent="0.3">
      <c r="X1914" s="1">
        <f t="shared" si="58"/>
        <v>0</v>
      </c>
      <c r="Y1914" s="1">
        <f t="shared" si="59"/>
        <v>0</v>
      </c>
    </row>
    <row r="1915" spans="24:25" x14ac:dyDescent="0.3">
      <c r="X1915" s="1">
        <f t="shared" si="58"/>
        <v>0</v>
      </c>
      <c r="Y1915" s="1">
        <f t="shared" si="59"/>
        <v>0</v>
      </c>
    </row>
    <row r="1916" spans="24:25" x14ac:dyDescent="0.3">
      <c r="X1916" s="1">
        <f t="shared" si="58"/>
        <v>0</v>
      </c>
      <c r="Y1916" s="1">
        <f t="shared" si="59"/>
        <v>0</v>
      </c>
    </row>
    <row r="1917" spans="24:25" x14ac:dyDescent="0.3">
      <c r="X1917" s="1">
        <f t="shared" si="58"/>
        <v>0</v>
      </c>
      <c r="Y1917" s="1">
        <f t="shared" si="59"/>
        <v>0</v>
      </c>
    </row>
    <row r="1918" spans="24:25" x14ac:dyDescent="0.3">
      <c r="X1918" s="1">
        <f t="shared" si="58"/>
        <v>0</v>
      </c>
      <c r="Y1918" s="1">
        <f t="shared" si="59"/>
        <v>0</v>
      </c>
    </row>
    <row r="1919" spans="24:25" x14ac:dyDescent="0.3">
      <c r="X1919" s="1">
        <f t="shared" si="58"/>
        <v>0</v>
      </c>
      <c r="Y1919" s="1">
        <f t="shared" si="59"/>
        <v>0</v>
      </c>
    </row>
    <row r="1920" spans="24:25" x14ac:dyDescent="0.3">
      <c r="X1920" s="1">
        <f t="shared" si="58"/>
        <v>0</v>
      </c>
      <c r="Y1920" s="1">
        <f t="shared" si="59"/>
        <v>0</v>
      </c>
    </row>
    <row r="1921" spans="24:25" x14ac:dyDescent="0.3">
      <c r="X1921" s="1">
        <f t="shared" si="58"/>
        <v>0</v>
      </c>
      <c r="Y1921" s="1">
        <f t="shared" si="59"/>
        <v>0</v>
      </c>
    </row>
    <row r="1922" spans="24:25" x14ac:dyDescent="0.3">
      <c r="X1922" s="1">
        <f t="shared" si="58"/>
        <v>0</v>
      </c>
      <c r="Y1922" s="1">
        <f t="shared" si="59"/>
        <v>0</v>
      </c>
    </row>
    <row r="1923" spans="24:25" x14ac:dyDescent="0.3">
      <c r="X1923" s="1">
        <f t="shared" ref="X1923:X1986" si="60">IFERROR(MATCH(W1923,$B:$B,0),0)</f>
        <v>0</v>
      </c>
      <c r="Y1923" s="1">
        <f t="shared" ref="Y1923:Y1986" si="61">IF(X1924=0,COUNTA(A:A),X1924-1)</f>
        <v>0</v>
      </c>
    </row>
    <row r="1924" spans="24:25" x14ac:dyDescent="0.3">
      <c r="X1924" s="1">
        <f t="shared" si="60"/>
        <v>0</v>
      </c>
      <c r="Y1924" s="1">
        <f t="shared" si="61"/>
        <v>0</v>
      </c>
    </row>
    <row r="1925" spans="24:25" x14ac:dyDescent="0.3">
      <c r="X1925" s="1">
        <f t="shared" si="60"/>
        <v>0</v>
      </c>
      <c r="Y1925" s="1">
        <f t="shared" si="61"/>
        <v>0</v>
      </c>
    </row>
    <row r="1926" spans="24:25" x14ac:dyDescent="0.3">
      <c r="X1926" s="1">
        <f t="shared" si="60"/>
        <v>0</v>
      </c>
      <c r="Y1926" s="1">
        <f t="shared" si="61"/>
        <v>0</v>
      </c>
    </row>
    <row r="1927" spans="24:25" x14ac:dyDescent="0.3">
      <c r="X1927" s="1">
        <f t="shared" si="60"/>
        <v>0</v>
      </c>
      <c r="Y1927" s="1">
        <f t="shared" si="61"/>
        <v>0</v>
      </c>
    </row>
    <row r="1928" spans="24:25" x14ac:dyDescent="0.3">
      <c r="X1928" s="1">
        <f t="shared" si="60"/>
        <v>0</v>
      </c>
      <c r="Y1928" s="1">
        <f t="shared" si="61"/>
        <v>0</v>
      </c>
    </row>
    <row r="1929" spans="24:25" x14ac:dyDescent="0.3">
      <c r="X1929" s="1">
        <f t="shared" si="60"/>
        <v>0</v>
      </c>
      <c r="Y1929" s="1">
        <f t="shared" si="61"/>
        <v>0</v>
      </c>
    </row>
    <row r="1930" spans="24:25" x14ac:dyDescent="0.3">
      <c r="X1930" s="1">
        <f t="shared" si="60"/>
        <v>0</v>
      </c>
      <c r="Y1930" s="1">
        <f t="shared" si="61"/>
        <v>0</v>
      </c>
    </row>
    <row r="1931" spans="24:25" x14ac:dyDescent="0.3">
      <c r="X1931" s="1">
        <f t="shared" si="60"/>
        <v>0</v>
      </c>
      <c r="Y1931" s="1">
        <f t="shared" si="61"/>
        <v>0</v>
      </c>
    </row>
    <row r="1932" spans="24:25" x14ac:dyDescent="0.3">
      <c r="X1932" s="1">
        <f t="shared" si="60"/>
        <v>0</v>
      </c>
      <c r="Y1932" s="1">
        <f t="shared" si="61"/>
        <v>0</v>
      </c>
    </row>
    <row r="1933" spans="24:25" x14ac:dyDescent="0.3">
      <c r="X1933" s="1">
        <f t="shared" si="60"/>
        <v>0</v>
      </c>
      <c r="Y1933" s="1">
        <f t="shared" si="61"/>
        <v>0</v>
      </c>
    </row>
    <row r="1934" spans="24:25" x14ac:dyDescent="0.3">
      <c r="X1934" s="1">
        <f t="shared" si="60"/>
        <v>0</v>
      </c>
      <c r="Y1934" s="1">
        <f t="shared" si="61"/>
        <v>0</v>
      </c>
    </row>
    <row r="1935" spans="24:25" x14ac:dyDescent="0.3">
      <c r="X1935" s="1">
        <f t="shared" si="60"/>
        <v>0</v>
      </c>
      <c r="Y1935" s="1">
        <f t="shared" si="61"/>
        <v>0</v>
      </c>
    </row>
    <row r="1936" spans="24:25" x14ac:dyDescent="0.3">
      <c r="X1936" s="1">
        <f t="shared" si="60"/>
        <v>0</v>
      </c>
      <c r="Y1936" s="1">
        <f t="shared" si="61"/>
        <v>0</v>
      </c>
    </row>
    <row r="1937" spans="24:25" x14ac:dyDescent="0.3">
      <c r="X1937" s="1">
        <f t="shared" si="60"/>
        <v>0</v>
      </c>
      <c r="Y1937" s="1">
        <f t="shared" si="61"/>
        <v>0</v>
      </c>
    </row>
    <row r="1938" spans="24:25" x14ac:dyDescent="0.3">
      <c r="X1938" s="1">
        <f t="shared" si="60"/>
        <v>0</v>
      </c>
      <c r="Y1938" s="1">
        <f t="shared" si="61"/>
        <v>0</v>
      </c>
    </row>
    <row r="1939" spans="24:25" x14ac:dyDescent="0.3">
      <c r="X1939" s="1">
        <f t="shared" si="60"/>
        <v>0</v>
      </c>
      <c r="Y1939" s="1">
        <f t="shared" si="61"/>
        <v>0</v>
      </c>
    </row>
    <row r="1940" spans="24:25" x14ac:dyDescent="0.3">
      <c r="X1940" s="1">
        <f t="shared" si="60"/>
        <v>0</v>
      </c>
      <c r="Y1940" s="1">
        <f t="shared" si="61"/>
        <v>0</v>
      </c>
    </row>
    <row r="1941" spans="24:25" x14ac:dyDescent="0.3">
      <c r="X1941" s="1">
        <f t="shared" si="60"/>
        <v>0</v>
      </c>
      <c r="Y1941" s="1">
        <f t="shared" si="61"/>
        <v>0</v>
      </c>
    </row>
    <row r="1942" spans="24:25" x14ac:dyDescent="0.3">
      <c r="X1942" s="1">
        <f t="shared" si="60"/>
        <v>0</v>
      </c>
      <c r="Y1942" s="1">
        <f t="shared" si="61"/>
        <v>0</v>
      </c>
    </row>
    <row r="1943" spans="24:25" x14ac:dyDescent="0.3">
      <c r="X1943" s="1">
        <f t="shared" si="60"/>
        <v>0</v>
      </c>
      <c r="Y1943" s="1">
        <f t="shared" si="61"/>
        <v>0</v>
      </c>
    </row>
    <row r="1944" spans="24:25" x14ac:dyDescent="0.3">
      <c r="X1944" s="1">
        <f t="shared" si="60"/>
        <v>0</v>
      </c>
      <c r="Y1944" s="1">
        <f t="shared" si="61"/>
        <v>0</v>
      </c>
    </row>
    <row r="1945" spans="24:25" x14ac:dyDescent="0.3">
      <c r="X1945" s="1">
        <f t="shared" si="60"/>
        <v>0</v>
      </c>
      <c r="Y1945" s="1">
        <f t="shared" si="61"/>
        <v>0</v>
      </c>
    </row>
    <row r="1946" spans="24:25" x14ac:dyDescent="0.3">
      <c r="X1946" s="1">
        <f t="shared" si="60"/>
        <v>0</v>
      </c>
      <c r="Y1946" s="1">
        <f t="shared" si="61"/>
        <v>0</v>
      </c>
    </row>
    <row r="1947" spans="24:25" x14ac:dyDescent="0.3">
      <c r="X1947" s="1">
        <f t="shared" si="60"/>
        <v>0</v>
      </c>
      <c r="Y1947" s="1">
        <f t="shared" si="61"/>
        <v>0</v>
      </c>
    </row>
    <row r="1948" spans="24:25" x14ac:dyDescent="0.3">
      <c r="X1948" s="1">
        <f t="shared" si="60"/>
        <v>0</v>
      </c>
      <c r="Y1948" s="1">
        <f t="shared" si="61"/>
        <v>0</v>
      </c>
    </row>
    <row r="1949" spans="24:25" x14ac:dyDescent="0.3">
      <c r="X1949" s="1">
        <f t="shared" si="60"/>
        <v>0</v>
      </c>
      <c r="Y1949" s="1">
        <f t="shared" si="61"/>
        <v>0</v>
      </c>
    </row>
    <row r="1950" spans="24:25" x14ac:dyDescent="0.3">
      <c r="X1950" s="1">
        <f t="shared" si="60"/>
        <v>0</v>
      </c>
      <c r="Y1950" s="1">
        <f t="shared" si="61"/>
        <v>0</v>
      </c>
    </row>
    <row r="1951" spans="24:25" x14ac:dyDescent="0.3">
      <c r="X1951" s="1">
        <f t="shared" si="60"/>
        <v>0</v>
      </c>
      <c r="Y1951" s="1">
        <f t="shared" si="61"/>
        <v>0</v>
      </c>
    </row>
    <row r="1952" spans="24:25" x14ac:dyDescent="0.3">
      <c r="X1952" s="1">
        <f t="shared" si="60"/>
        <v>0</v>
      </c>
      <c r="Y1952" s="1">
        <f t="shared" si="61"/>
        <v>0</v>
      </c>
    </row>
    <row r="1953" spans="24:25" x14ac:dyDescent="0.3">
      <c r="X1953" s="1">
        <f t="shared" si="60"/>
        <v>0</v>
      </c>
      <c r="Y1953" s="1">
        <f t="shared" si="61"/>
        <v>0</v>
      </c>
    </row>
    <row r="1954" spans="24:25" x14ac:dyDescent="0.3">
      <c r="X1954" s="1">
        <f t="shared" si="60"/>
        <v>0</v>
      </c>
      <c r="Y1954" s="1">
        <f t="shared" si="61"/>
        <v>0</v>
      </c>
    </row>
    <row r="1955" spans="24:25" x14ac:dyDescent="0.3">
      <c r="X1955" s="1">
        <f t="shared" si="60"/>
        <v>0</v>
      </c>
      <c r="Y1955" s="1">
        <f t="shared" si="61"/>
        <v>0</v>
      </c>
    </row>
    <row r="1956" spans="24:25" x14ac:dyDescent="0.3">
      <c r="X1956" s="1">
        <f t="shared" si="60"/>
        <v>0</v>
      </c>
      <c r="Y1956" s="1">
        <f t="shared" si="61"/>
        <v>0</v>
      </c>
    </row>
    <row r="1957" spans="24:25" x14ac:dyDescent="0.3">
      <c r="X1957" s="1">
        <f t="shared" si="60"/>
        <v>0</v>
      </c>
      <c r="Y1957" s="1">
        <f t="shared" si="61"/>
        <v>0</v>
      </c>
    </row>
    <row r="1958" spans="24:25" x14ac:dyDescent="0.3">
      <c r="X1958" s="1">
        <f t="shared" si="60"/>
        <v>0</v>
      </c>
      <c r="Y1958" s="1">
        <f t="shared" si="61"/>
        <v>0</v>
      </c>
    </row>
    <row r="1959" spans="24:25" x14ac:dyDescent="0.3">
      <c r="X1959" s="1">
        <f t="shared" si="60"/>
        <v>0</v>
      </c>
      <c r="Y1959" s="1">
        <f t="shared" si="61"/>
        <v>0</v>
      </c>
    </row>
    <row r="1960" spans="24:25" x14ac:dyDescent="0.3">
      <c r="X1960" s="1">
        <f t="shared" si="60"/>
        <v>0</v>
      </c>
      <c r="Y1960" s="1">
        <f t="shared" si="61"/>
        <v>0</v>
      </c>
    </row>
    <row r="1961" spans="24:25" x14ac:dyDescent="0.3">
      <c r="X1961" s="1">
        <f t="shared" si="60"/>
        <v>0</v>
      </c>
      <c r="Y1961" s="1">
        <f t="shared" si="61"/>
        <v>0</v>
      </c>
    </row>
    <row r="1962" spans="24:25" x14ac:dyDescent="0.3">
      <c r="X1962" s="1">
        <f t="shared" si="60"/>
        <v>0</v>
      </c>
      <c r="Y1962" s="1">
        <f t="shared" si="61"/>
        <v>0</v>
      </c>
    </row>
    <row r="1963" spans="24:25" x14ac:dyDescent="0.3">
      <c r="X1963" s="1">
        <f t="shared" si="60"/>
        <v>0</v>
      </c>
      <c r="Y1963" s="1">
        <f t="shared" si="61"/>
        <v>0</v>
      </c>
    </row>
    <row r="1964" spans="24:25" x14ac:dyDescent="0.3">
      <c r="X1964" s="1">
        <f t="shared" si="60"/>
        <v>0</v>
      </c>
      <c r="Y1964" s="1">
        <f t="shared" si="61"/>
        <v>0</v>
      </c>
    </row>
    <row r="1965" spans="24:25" x14ac:dyDescent="0.3">
      <c r="X1965" s="1">
        <f t="shared" si="60"/>
        <v>0</v>
      </c>
      <c r="Y1965" s="1">
        <f t="shared" si="61"/>
        <v>0</v>
      </c>
    </row>
    <row r="1966" spans="24:25" x14ac:dyDescent="0.3">
      <c r="X1966" s="1">
        <f t="shared" si="60"/>
        <v>0</v>
      </c>
      <c r="Y1966" s="1">
        <f t="shared" si="61"/>
        <v>0</v>
      </c>
    </row>
    <row r="1967" spans="24:25" x14ac:dyDescent="0.3">
      <c r="X1967" s="1">
        <f t="shared" si="60"/>
        <v>0</v>
      </c>
      <c r="Y1967" s="1">
        <f t="shared" si="61"/>
        <v>0</v>
      </c>
    </row>
    <row r="1968" spans="24:25" x14ac:dyDescent="0.3">
      <c r="X1968" s="1">
        <f t="shared" si="60"/>
        <v>0</v>
      </c>
      <c r="Y1968" s="1">
        <f t="shared" si="61"/>
        <v>0</v>
      </c>
    </row>
    <row r="1969" spans="24:25" x14ac:dyDescent="0.3">
      <c r="X1969" s="1">
        <f t="shared" si="60"/>
        <v>0</v>
      </c>
      <c r="Y1969" s="1">
        <f t="shared" si="61"/>
        <v>0</v>
      </c>
    </row>
    <row r="1970" spans="24:25" x14ac:dyDescent="0.3">
      <c r="X1970" s="1">
        <f t="shared" si="60"/>
        <v>0</v>
      </c>
      <c r="Y1970" s="1">
        <f t="shared" si="61"/>
        <v>0</v>
      </c>
    </row>
    <row r="1971" spans="24:25" x14ac:dyDescent="0.3">
      <c r="X1971" s="1">
        <f t="shared" si="60"/>
        <v>0</v>
      </c>
      <c r="Y1971" s="1">
        <f t="shared" si="61"/>
        <v>0</v>
      </c>
    </row>
    <row r="1972" spans="24:25" x14ac:dyDescent="0.3">
      <c r="X1972" s="1">
        <f t="shared" si="60"/>
        <v>0</v>
      </c>
      <c r="Y1972" s="1">
        <f t="shared" si="61"/>
        <v>0</v>
      </c>
    </row>
    <row r="1973" spans="24:25" x14ac:dyDescent="0.3">
      <c r="X1973" s="1">
        <f t="shared" si="60"/>
        <v>0</v>
      </c>
      <c r="Y1973" s="1">
        <f t="shared" si="61"/>
        <v>0</v>
      </c>
    </row>
    <row r="1974" spans="24:25" x14ac:dyDescent="0.3">
      <c r="X1974" s="1">
        <f t="shared" si="60"/>
        <v>0</v>
      </c>
      <c r="Y1974" s="1">
        <f t="shared" si="61"/>
        <v>0</v>
      </c>
    </row>
    <row r="1975" spans="24:25" x14ac:dyDescent="0.3">
      <c r="X1975" s="1">
        <f t="shared" si="60"/>
        <v>0</v>
      </c>
      <c r="Y1975" s="1">
        <f t="shared" si="61"/>
        <v>0</v>
      </c>
    </row>
    <row r="1976" spans="24:25" x14ac:dyDescent="0.3">
      <c r="X1976" s="1">
        <f t="shared" si="60"/>
        <v>0</v>
      </c>
      <c r="Y1976" s="1">
        <f t="shared" si="61"/>
        <v>0</v>
      </c>
    </row>
    <row r="1977" spans="24:25" x14ac:dyDescent="0.3">
      <c r="X1977" s="1">
        <f t="shared" si="60"/>
        <v>0</v>
      </c>
      <c r="Y1977" s="1">
        <f t="shared" si="61"/>
        <v>0</v>
      </c>
    </row>
    <row r="1978" spans="24:25" x14ac:dyDescent="0.3">
      <c r="X1978" s="1">
        <f t="shared" si="60"/>
        <v>0</v>
      </c>
      <c r="Y1978" s="1">
        <f t="shared" si="61"/>
        <v>0</v>
      </c>
    </row>
    <row r="1979" spans="24:25" x14ac:dyDescent="0.3">
      <c r="X1979" s="1">
        <f t="shared" si="60"/>
        <v>0</v>
      </c>
      <c r="Y1979" s="1">
        <f t="shared" si="61"/>
        <v>0</v>
      </c>
    </row>
    <row r="1980" spans="24:25" x14ac:dyDescent="0.3">
      <c r="X1980" s="1">
        <f t="shared" si="60"/>
        <v>0</v>
      </c>
      <c r="Y1980" s="1">
        <f t="shared" si="61"/>
        <v>0</v>
      </c>
    </row>
    <row r="1981" spans="24:25" x14ac:dyDescent="0.3">
      <c r="X1981" s="1">
        <f t="shared" si="60"/>
        <v>0</v>
      </c>
      <c r="Y1981" s="1">
        <f t="shared" si="61"/>
        <v>0</v>
      </c>
    </row>
    <row r="1982" spans="24:25" x14ac:dyDescent="0.3">
      <c r="X1982" s="1">
        <f t="shared" si="60"/>
        <v>0</v>
      </c>
      <c r="Y1982" s="1">
        <f t="shared" si="61"/>
        <v>0</v>
      </c>
    </row>
    <row r="1983" spans="24:25" x14ac:dyDescent="0.3">
      <c r="X1983" s="1">
        <f t="shared" si="60"/>
        <v>0</v>
      </c>
      <c r="Y1983" s="1">
        <f t="shared" si="61"/>
        <v>0</v>
      </c>
    </row>
    <row r="1984" spans="24:25" x14ac:dyDescent="0.3">
      <c r="X1984" s="1">
        <f t="shared" si="60"/>
        <v>0</v>
      </c>
      <c r="Y1984" s="1">
        <f t="shared" si="61"/>
        <v>0</v>
      </c>
    </row>
    <row r="1985" spans="24:25" x14ac:dyDescent="0.3">
      <c r="X1985" s="1">
        <f t="shared" si="60"/>
        <v>0</v>
      </c>
      <c r="Y1985" s="1">
        <f t="shared" si="61"/>
        <v>0</v>
      </c>
    </row>
    <row r="1986" spans="24:25" x14ac:dyDescent="0.3">
      <c r="X1986" s="1">
        <f t="shared" si="60"/>
        <v>0</v>
      </c>
      <c r="Y1986" s="1">
        <f t="shared" si="61"/>
        <v>0</v>
      </c>
    </row>
    <row r="1987" spans="24:25" x14ac:dyDescent="0.3">
      <c r="X1987" s="1">
        <f t="shared" ref="X1987:X2050" si="62">IFERROR(MATCH(W1987,$B:$B,0),0)</f>
        <v>0</v>
      </c>
      <c r="Y1987" s="1">
        <f t="shared" ref="Y1987:Y2050" si="63">IF(X1988=0,COUNTA(A:A),X1988-1)</f>
        <v>0</v>
      </c>
    </row>
    <row r="1988" spans="24:25" x14ac:dyDescent="0.3">
      <c r="X1988" s="1">
        <f t="shared" si="62"/>
        <v>0</v>
      </c>
      <c r="Y1988" s="1">
        <f t="shared" si="63"/>
        <v>0</v>
      </c>
    </row>
    <row r="1989" spans="24:25" x14ac:dyDescent="0.3">
      <c r="X1989" s="1">
        <f t="shared" si="62"/>
        <v>0</v>
      </c>
      <c r="Y1989" s="1">
        <f t="shared" si="63"/>
        <v>0</v>
      </c>
    </row>
    <row r="1990" spans="24:25" x14ac:dyDescent="0.3">
      <c r="X1990" s="1">
        <f t="shared" si="62"/>
        <v>0</v>
      </c>
      <c r="Y1990" s="1">
        <f t="shared" si="63"/>
        <v>0</v>
      </c>
    </row>
    <row r="1991" spans="24:25" x14ac:dyDescent="0.3">
      <c r="X1991" s="1">
        <f t="shared" si="62"/>
        <v>0</v>
      </c>
      <c r="Y1991" s="1">
        <f t="shared" si="63"/>
        <v>0</v>
      </c>
    </row>
    <row r="1992" spans="24:25" x14ac:dyDescent="0.3">
      <c r="X1992" s="1">
        <f t="shared" si="62"/>
        <v>0</v>
      </c>
      <c r="Y1992" s="1">
        <f t="shared" si="63"/>
        <v>0</v>
      </c>
    </row>
    <row r="1993" spans="24:25" x14ac:dyDescent="0.3">
      <c r="X1993" s="1">
        <f t="shared" si="62"/>
        <v>0</v>
      </c>
      <c r="Y1993" s="1">
        <f t="shared" si="63"/>
        <v>0</v>
      </c>
    </row>
    <row r="1994" spans="24:25" x14ac:dyDescent="0.3">
      <c r="X1994" s="1">
        <f t="shared" si="62"/>
        <v>0</v>
      </c>
      <c r="Y1994" s="1">
        <f t="shared" si="63"/>
        <v>0</v>
      </c>
    </row>
    <row r="1995" spans="24:25" x14ac:dyDescent="0.3">
      <c r="X1995" s="1">
        <f t="shared" si="62"/>
        <v>0</v>
      </c>
      <c r="Y1995" s="1">
        <f t="shared" si="63"/>
        <v>0</v>
      </c>
    </row>
    <row r="1996" spans="24:25" x14ac:dyDescent="0.3">
      <c r="X1996" s="1">
        <f t="shared" si="62"/>
        <v>0</v>
      </c>
      <c r="Y1996" s="1">
        <f t="shared" si="63"/>
        <v>0</v>
      </c>
    </row>
    <row r="1997" spans="24:25" x14ac:dyDescent="0.3">
      <c r="X1997" s="1">
        <f t="shared" si="62"/>
        <v>0</v>
      </c>
      <c r="Y1997" s="1">
        <f t="shared" si="63"/>
        <v>0</v>
      </c>
    </row>
    <row r="1998" spans="24:25" x14ac:dyDescent="0.3">
      <c r="X1998" s="1">
        <f t="shared" si="62"/>
        <v>0</v>
      </c>
      <c r="Y1998" s="1">
        <f t="shared" si="63"/>
        <v>0</v>
      </c>
    </row>
    <row r="1999" spans="24:25" x14ac:dyDescent="0.3">
      <c r="X1999" s="1">
        <f t="shared" si="62"/>
        <v>0</v>
      </c>
      <c r="Y1999" s="1">
        <f t="shared" si="63"/>
        <v>0</v>
      </c>
    </row>
    <row r="2000" spans="24:25" x14ac:dyDescent="0.3">
      <c r="X2000" s="1">
        <f t="shared" si="62"/>
        <v>0</v>
      </c>
      <c r="Y2000" s="1">
        <f t="shared" si="63"/>
        <v>0</v>
      </c>
    </row>
    <row r="2001" spans="24:25" x14ac:dyDescent="0.3">
      <c r="X2001" s="1">
        <f t="shared" si="62"/>
        <v>0</v>
      </c>
      <c r="Y2001" s="1">
        <f t="shared" si="63"/>
        <v>0</v>
      </c>
    </row>
    <row r="2002" spans="24:25" x14ac:dyDescent="0.3">
      <c r="X2002" s="1">
        <f t="shared" si="62"/>
        <v>0</v>
      </c>
      <c r="Y2002" s="1">
        <f t="shared" si="63"/>
        <v>0</v>
      </c>
    </row>
    <row r="2003" spans="24:25" x14ac:dyDescent="0.3">
      <c r="X2003" s="1">
        <f t="shared" si="62"/>
        <v>0</v>
      </c>
      <c r="Y2003" s="1">
        <f t="shared" si="63"/>
        <v>0</v>
      </c>
    </row>
    <row r="2004" spans="24:25" x14ac:dyDescent="0.3">
      <c r="X2004" s="1">
        <f t="shared" si="62"/>
        <v>0</v>
      </c>
      <c r="Y2004" s="1">
        <f t="shared" si="63"/>
        <v>0</v>
      </c>
    </row>
    <row r="2005" spans="24:25" x14ac:dyDescent="0.3">
      <c r="X2005" s="1">
        <f t="shared" si="62"/>
        <v>0</v>
      </c>
      <c r="Y2005" s="1">
        <f t="shared" si="63"/>
        <v>0</v>
      </c>
    </row>
    <row r="2006" spans="24:25" x14ac:dyDescent="0.3">
      <c r="X2006" s="1">
        <f t="shared" si="62"/>
        <v>0</v>
      </c>
      <c r="Y2006" s="1">
        <f t="shared" si="63"/>
        <v>0</v>
      </c>
    </row>
    <row r="2007" spans="24:25" x14ac:dyDescent="0.3">
      <c r="X2007" s="1">
        <f t="shared" si="62"/>
        <v>0</v>
      </c>
      <c r="Y2007" s="1">
        <f t="shared" si="63"/>
        <v>0</v>
      </c>
    </row>
    <row r="2008" spans="24:25" x14ac:dyDescent="0.3">
      <c r="X2008" s="1">
        <f t="shared" si="62"/>
        <v>0</v>
      </c>
      <c r="Y2008" s="1">
        <f t="shared" si="63"/>
        <v>0</v>
      </c>
    </row>
    <row r="2009" spans="24:25" x14ac:dyDescent="0.3">
      <c r="X2009" s="1">
        <f t="shared" si="62"/>
        <v>0</v>
      </c>
      <c r="Y2009" s="1">
        <f t="shared" si="63"/>
        <v>0</v>
      </c>
    </row>
    <row r="2010" spans="24:25" x14ac:dyDescent="0.3">
      <c r="X2010" s="1">
        <f t="shared" si="62"/>
        <v>0</v>
      </c>
      <c r="Y2010" s="1">
        <f t="shared" si="63"/>
        <v>0</v>
      </c>
    </row>
    <row r="2011" spans="24:25" x14ac:dyDescent="0.3">
      <c r="X2011" s="1">
        <f t="shared" si="62"/>
        <v>0</v>
      </c>
      <c r="Y2011" s="1">
        <f t="shared" si="63"/>
        <v>0</v>
      </c>
    </row>
    <row r="2012" spans="24:25" x14ac:dyDescent="0.3">
      <c r="X2012" s="1">
        <f t="shared" si="62"/>
        <v>0</v>
      </c>
      <c r="Y2012" s="1">
        <f t="shared" si="63"/>
        <v>0</v>
      </c>
    </row>
    <row r="2013" spans="24:25" x14ac:dyDescent="0.3">
      <c r="X2013" s="1">
        <f t="shared" si="62"/>
        <v>0</v>
      </c>
      <c r="Y2013" s="1">
        <f t="shared" si="63"/>
        <v>0</v>
      </c>
    </row>
    <row r="2014" spans="24:25" x14ac:dyDescent="0.3">
      <c r="X2014" s="1">
        <f t="shared" si="62"/>
        <v>0</v>
      </c>
      <c r="Y2014" s="1">
        <f t="shared" si="63"/>
        <v>0</v>
      </c>
    </row>
    <row r="2015" spans="24:25" x14ac:dyDescent="0.3">
      <c r="X2015" s="1">
        <f t="shared" si="62"/>
        <v>0</v>
      </c>
      <c r="Y2015" s="1">
        <f t="shared" si="63"/>
        <v>0</v>
      </c>
    </row>
    <row r="2016" spans="24:25" x14ac:dyDescent="0.3">
      <c r="X2016" s="1">
        <f t="shared" si="62"/>
        <v>0</v>
      </c>
      <c r="Y2016" s="1">
        <f t="shared" si="63"/>
        <v>0</v>
      </c>
    </row>
    <row r="2017" spans="24:25" x14ac:dyDescent="0.3">
      <c r="X2017" s="1">
        <f t="shared" si="62"/>
        <v>0</v>
      </c>
      <c r="Y2017" s="1">
        <f t="shared" si="63"/>
        <v>0</v>
      </c>
    </row>
    <row r="2018" spans="24:25" x14ac:dyDescent="0.3">
      <c r="X2018" s="1">
        <f t="shared" si="62"/>
        <v>0</v>
      </c>
      <c r="Y2018" s="1">
        <f t="shared" si="63"/>
        <v>0</v>
      </c>
    </row>
    <row r="2019" spans="24:25" x14ac:dyDescent="0.3">
      <c r="X2019" s="1">
        <f t="shared" si="62"/>
        <v>0</v>
      </c>
      <c r="Y2019" s="1">
        <f t="shared" si="63"/>
        <v>0</v>
      </c>
    </row>
    <row r="2020" spans="24:25" x14ac:dyDescent="0.3">
      <c r="X2020" s="1">
        <f t="shared" si="62"/>
        <v>0</v>
      </c>
      <c r="Y2020" s="1">
        <f t="shared" si="63"/>
        <v>0</v>
      </c>
    </row>
    <row r="2021" spans="24:25" x14ac:dyDescent="0.3">
      <c r="X2021" s="1">
        <f t="shared" si="62"/>
        <v>0</v>
      </c>
      <c r="Y2021" s="1">
        <f t="shared" si="63"/>
        <v>0</v>
      </c>
    </row>
    <row r="2022" spans="24:25" x14ac:dyDescent="0.3">
      <c r="X2022" s="1">
        <f t="shared" si="62"/>
        <v>0</v>
      </c>
      <c r="Y2022" s="1">
        <f t="shared" si="63"/>
        <v>0</v>
      </c>
    </row>
    <row r="2023" spans="24:25" x14ac:dyDescent="0.3">
      <c r="X2023" s="1">
        <f t="shared" si="62"/>
        <v>0</v>
      </c>
      <c r="Y2023" s="1">
        <f t="shared" si="63"/>
        <v>0</v>
      </c>
    </row>
    <row r="2024" spans="24:25" x14ac:dyDescent="0.3">
      <c r="X2024" s="1">
        <f t="shared" si="62"/>
        <v>0</v>
      </c>
      <c r="Y2024" s="1">
        <f t="shared" si="63"/>
        <v>0</v>
      </c>
    </row>
    <row r="2025" spans="24:25" x14ac:dyDescent="0.3">
      <c r="X2025" s="1">
        <f t="shared" si="62"/>
        <v>0</v>
      </c>
      <c r="Y2025" s="1">
        <f t="shared" si="63"/>
        <v>0</v>
      </c>
    </row>
    <row r="2026" spans="24:25" x14ac:dyDescent="0.3">
      <c r="X2026" s="1">
        <f t="shared" si="62"/>
        <v>0</v>
      </c>
      <c r="Y2026" s="1">
        <f t="shared" si="63"/>
        <v>0</v>
      </c>
    </row>
    <row r="2027" spans="24:25" x14ac:dyDescent="0.3">
      <c r="X2027" s="1">
        <f t="shared" si="62"/>
        <v>0</v>
      </c>
      <c r="Y2027" s="1">
        <f t="shared" si="63"/>
        <v>0</v>
      </c>
    </row>
    <row r="2028" spans="24:25" x14ac:dyDescent="0.3">
      <c r="X2028" s="1">
        <f t="shared" si="62"/>
        <v>0</v>
      </c>
      <c r="Y2028" s="1">
        <f t="shared" si="63"/>
        <v>0</v>
      </c>
    </row>
    <row r="2029" spans="24:25" x14ac:dyDescent="0.3">
      <c r="X2029" s="1">
        <f t="shared" si="62"/>
        <v>0</v>
      </c>
      <c r="Y2029" s="1">
        <f t="shared" si="63"/>
        <v>0</v>
      </c>
    </row>
    <row r="2030" spans="24:25" x14ac:dyDescent="0.3">
      <c r="X2030" s="1">
        <f t="shared" si="62"/>
        <v>0</v>
      </c>
      <c r="Y2030" s="1">
        <f t="shared" si="63"/>
        <v>0</v>
      </c>
    </row>
    <row r="2031" spans="24:25" x14ac:dyDescent="0.3">
      <c r="X2031" s="1">
        <f t="shared" si="62"/>
        <v>0</v>
      </c>
      <c r="Y2031" s="1">
        <f t="shared" si="63"/>
        <v>0</v>
      </c>
    </row>
    <row r="2032" spans="24:25" x14ac:dyDescent="0.3">
      <c r="X2032" s="1">
        <f t="shared" si="62"/>
        <v>0</v>
      </c>
      <c r="Y2032" s="1">
        <f t="shared" si="63"/>
        <v>0</v>
      </c>
    </row>
    <row r="2033" spans="24:25" x14ac:dyDescent="0.3">
      <c r="X2033" s="1">
        <f t="shared" si="62"/>
        <v>0</v>
      </c>
      <c r="Y2033" s="1">
        <f t="shared" si="63"/>
        <v>0</v>
      </c>
    </row>
    <row r="2034" spans="24:25" x14ac:dyDescent="0.3">
      <c r="X2034" s="1">
        <f t="shared" si="62"/>
        <v>0</v>
      </c>
      <c r="Y2034" s="1">
        <f t="shared" si="63"/>
        <v>0</v>
      </c>
    </row>
    <row r="2035" spans="24:25" x14ac:dyDescent="0.3">
      <c r="X2035" s="1">
        <f t="shared" si="62"/>
        <v>0</v>
      </c>
      <c r="Y2035" s="1">
        <f t="shared" si="63"/>
        <v>0</v>
      </c>
    </row>
    <row r="2036" spans="24:25" x14ac:dyDescent="0.3">
      <c r="X2036" s="1">
        <f t="shared" si="62"/>
        <v>0</v>
      </c>
      <c r="Y2036" s="1">
        <f t="shared" si="63"/>
        <v>0</v>
      </c>
    </row>
    <row r="2037" spans="24:25" x14ac:dyDescent="0.3">
      <c r="X2037" s="1">
        <f t="shared" si="62"/>
        <v>0</v>
      </c>
      <c r="Y2037" s="1">
        <f t="shared" si="63"/>
        <v>0</v>
      </c>
    </row>
    <row r="2038" spans="24:25" x14ac:dyDescent="0.3">
      <c r="X2038" s="1">
        <f t="shared" si="62"/>
        <v>0</v>
      </c>
      <c r="Y2038" s="1">
        <f t="shared" si="63"/>
        <v>0</v>
      </c>
    </row>
    <row r="2039" spans="24:25" x14ac:dyDescent="0.3">
      <c r="X2039" s="1">
        <f t="shared" si="62"/>
        <v>0</v>
      </c>
      <c r="Y2039" s="1">
        <f t="shared" si="63"/>
        <v>0</v>
      </c>
    </row>
    <row r="2040" spans="24:25" x14ac:dyDescent="0.3">
      <c r="X2040" s="1">
        <f t="shared" si="62"/>
        <v>0</v>
      </c>
      <c r="Y2040" s="1">
        <f t="shared" si="63"/>
        <v>0</v>
      </c>
    </row>
    <row r="2041" spans="24:25" x14ac:dyDescent="0.3">
      <c r="X2041" s="1">
        <f t="shared" si="62"/>
        <v>0</v>
      </c>
      <c r="Y2041" s="1">
        <f t="shared" si="63"/>
        <v>0</v>
      </c>
    </row>
    <row r="2042" spans="24:25" x14ac:dyDescent="0.3">
      <c r="X2042" s="1">
        <f t="shared" si="62"/>
        <v>0</v>
      </c>
      <c r="Y2042" s="1">
        <f t="shared" si="63"/>
        <v>0</v>
      </c>
    </row>
    <row r="2043" spans="24:25" x14ac:dyDescent="0.3">
      <c r="X2043" s="1">
        <f t="shared" si="62"/>
        <v>0</v>
      </c>
      <c r="Y2043" s="1">
        <f t="shared" si="63"/>
        <v>0</v>
      </c>
    </row>
    <row r="2044" spans="24:25" x14ac:dyDescent="0.3">
      <c r="X2044" s="1">
        <f t="shared" si="62"/>
        <v>0</v>
      </c>
      <c r="Y2044" s="1">
        <f t="shared" si="63"/>
        <v>0</v>
      </c>
    </row>
    <row r="2045" spans="24:25" x14ac:dyDescent="0.3">
      <c r="X2045" s="1">
        <f t="shared" si="62"/>
        <v>0</v>
      </c>
      <c r="Y2045" s="1">
        <f t="shared" si="63"/>
        <v>0</v>
      </c>
    </row>
    <row r="2046" spans="24:25" x14ac:dyDescent="0.3">
      <c r="X2046" s="1">
        <f t="shared" si="62"/>
        <v>0</v>
      </c>
      <c r="Y2046" s="1">
        <f t="shared" si="63"/>
        <v>0</v>
      </c>
    </row>
    <row r="2047" spans="24:25" x14ac:dyDescent="0.3">
      <c r="X2047" s="1">
        <f t="shared" si="62"/>
        <v>0</v>
      </c>
      <c r="Y2047" s="1">
        <f t="shared" si="63"/>
        <v>0</v>
      </c>
    </row>
    <row r="2048" spans="24:25" x14ac:dyDescent="0.3">
      <c r="X2048" s="1">
        <f t="shared" si="62"/>
        <v>0</v>
      </c>
      <c r="Y2048" s="1">
        <f t="shared" si="63"/>
        <v>0</v>
      </c>
    </row>
    <row r="2049" spans="24:25" x14ac:dyDescent="0.3">
      <c r="X2049" s="1">
        <f t="shared" si="62"/>
        <v>0</v>
      </c>
      <c r="Y2049" s="1">
        <f t="shared" si="63"/>
        <v>0</v>
      </c>
    </row>
    <row r="2050" spans="24:25" x14ac:dyDescent="0.3">
      <c r="X2050" s="1">
        <f t="shared" si="62"/>
        <v>0</v>
      </c>
      <c r="Y2050" s="1">
        <f t="shared" si="63"/>
        <v>0</v>
      </c>
    </row>
    <row r="2051" spans="24:25" x14ac:dyDescent="0.3">
      <c r="X2051" s="1">
        <f t="shared" ref="X2051:X2114" si="64">IFERROR(MATCH(W2051,$B:$B,0),0)</f>
        <v>0</v>
      </c>
      <c r="Y2051" s="1">
        <f t="shared" ref="Y2051:Y2114" si="65">IF(X2052=0,COUNTA(A:A),X2052-1)</f>
        <v>0</v>
      </c>
    </row>
    <row r="2052" spans="24:25" x14ac:dyDescent="0.3">
      <c r="X2052" s="1">
        <f t="shared" si="64"/>
        <v>0</v>
      </c>
      <c r="Y2052" s="1">
        <f t="shared" si="65"/>
        <v>0</v>
      </c>
    </row>
    <row r="2053" spans="24:25" x14ac:dyDescent="0.3">
      <c r="X2053" s="1">
        <f t="shared" si="64"/>
        <v>0</v>
      </c>
      <c r="Y2053" s="1">
        <f t="shared" si="65"/>
        <v>0</v>
      </c>
    </row>
    <row r="2054" spans="24:25" x14ac:dyDescent="0.3">
      <c r="X2054" s="1">
        <f t="shared" si="64"/>
        <v>0</v>
      </c>
      <c r="Y2054" s="1">
        <f t="shared" si="65"/>
        <v>0</v>
      </c>
    </row>
    <row r="2055" spans="24:25" x14ac:dyDescent="0.3">
      <c r="X2055" s="1">
        <f t="shared" si="64"/>
        <v>0</v>
      </c>
      <c r="Y2055" s="1">
        <f t="shared" si="65"/>
        <v>0</v>
      </c>
    </row>
    <row r="2056" spans="24:25" x14ac:dyDescent="0.3">
      <c r="X2056" s="1">
        <f t="shared" si="64"/>
        <v>0</v>
      </c>
      <c r="Y2056" s="1">
        <f t="shared" si="65"/>
        <v>0</v>
      </c>
    </row>
    <row r="2057" spans="24:25" x14ac:dyDescent="0.3">
      <c r="X2057" s="1">
        <f t="shared" si="64"/>
        <v>0</v>
      </c>
      <c r="Y2057" s="1">
        <f t="shared" si="65"/>
        <v>0</v>
      </c>
    </row>
    <row r="2058" spans="24:25" x14ac:dyDescent="0.3">
      <c r="X2058" s="1">
        <f t="shared" si="64"/>
        <v>0</v>
      </c>
      <c r="Y2058" s="1">
        <f t="shared" si="65"/>
        <v>0</v>
      </c>
    </row>
    <row r="2059" spans="24:25" x14ac:dyDescent="0.3">
      <c r="X2059" s="1">
        <f t="shared" si="64"/>
        <v>0</v>
      </c>
      <c r="Y2059" s="1">
        <f t="shared" si="65"/>
        <v>0</v>
      </c>
    </row>
    <row r="2060" spans="24:25" x14ac:dyDescent="0.3">
      <c r="X2060" s="1">
        <f t="shared" si="64"/>
        <v>0</v>
      </c>
      <c r="Y2060" s="1">
        <f t="shared" si="65"/>
        <v>0</v>
      </c>
    </row>
    <row r="2061" spans="24:25" x14ac:dyDescent="0.3">
      <c r="X2061" s="1">
        <f t="shared" si="64"/>
        <v>0</v>
      </c>
      <c r="Y2061" s="1">
        <f t="shared" si="65"/>
        <v>0</v>
      </c>
    </row>
    <row r="2062" spans="24:25" x14ac:dyDescent="0.3">
      <c r="X2062" s="1">
        <f t="shared" si="64"/>
        <v>0</v>
      </c>
      <c r="Y2062" s="1">
        <f t="shared" si="65"/>
        <v>0</v>
      </c>
    </row>
    <row r="2063" spans="24:25" x14ac:dyDescent="0.3">
      <c r="X2063" s="1">
        <f t="shared" si="64"/>
        <v>0</v>
      </c>
      <c r="Y2063" s="1">
        <f t="shared" si="65"/>
        <v>0</v>
      </c>
    </row>
    <row r="2064" spans="24:25" x14ac:dyDescent="0.3">
      <c r="X2064" s="1">
        <f t="shared" si="64"/>
        <v>0</v>
      </c>
      <c r="Y2064" s="1">
        <f t="shared" si="65"/>
        <v>0</v>
      </c>
    </row>
    <row r="2065" spans="24:25" x14ac:dyDescent="0.3">
      <c r="X2065" s="1">
        <f t="shared" si="64"/>
        <v>0</v>
      </c>
      <c r="Y2065" s="1">
        <f t="shared" si="65"/>
        <v>0</v>
      </c>
    </row>
    <row r="2066" spans="24:25" x14ac:dyDescent="0.3">
      <c r="X2066" s="1">
        <f t="shared" si="64"/>
        <v>0</v>
      </c>
      <c r="Y2066" s="1">
        <f t="shared" si="65"/>
        <v>0</v>
      </c>
    </row>
    <row r="2067" spans="24:25" x14ac:dyDescent="0.3">
      <c r="X2067" s="1">
        <f t="shared" si="64"/>
        <v>0</v>
      </c>
      <c r="Y2067" s="1">
        <f t="shared" si="65"/>
        <v>0</v>
      </c>
    </row>
    <row r="2068" spans="24:25" x14ac:dyDescent="0.3">
      <c r="X2068" s="1">
        <f t="shared" si="64"/>
        <v>0</v>
      </c>
      <c r="Y2068" s="1">
        <f t="shared" si="65"/>
        <v>0</v>
      </c>
    </row>
    <row r="2069" spans="24:25" x14ac:dyDescent="0.3">
      <c r="X2069" s="1">
        <f t="shared" si="64"/>
        <v>0</v>
      </c>
      <c r="Y2069" s="1">
        <f t="shared" si="65"/>
        <v>0</v>
      </c>
    </row>
    <row r="2070" spans="24:25" x14ac:dyDescent="0.3">
      <c r="X2070" s="1">
        <f t="shared" si="64"/>
        <v>0</v>
      </c>
      <c r="Y2070" s="1">
        <f t="shared" si="65"/>
        <v>0</v>
      </c>
    </row>
    <row r="2071" spans="24:25" x14ac:dyDescent="0.3">
      <c r="X2071" s="1">
        <f t="shared" si="64"/>
        <v>0</v>
      </c>
      <c r="Y2071" s="1">
        <f t="shared" si="65"/>
        <v>0</v>
      </c>
    </row>
    <row r="2072" spans="24:25" x14ac:dyDescent="0.3">
      <c r="X2072" s="1">
        <f t="shared" si="64"/>
        <v>0</v>
      </c>
      <c r="Y2072" s="1">
        <f t="shared" si="65"/>
        <v>0</v>
      </c>
    </row>
    <row r="2073" spans="24:25" x14ac:dyDescent="0.3">
      <c r="X2073" s="1">
        <f t="shared" si="64"/>
        <v>0</v>
      </c>
      <c r="Y2073" s="1">
        <f t="shared" si="65"/>
        <v>0</v>
      </c>
    </row>
    <row r="2074" spans="24:25" x14ac:dyDescent="0.3">
      <c r="X2074" s="1">
        <f t="shared" si="64"/>
        <v>0</v>
      </c>
      <c r="Y2074" s="1">
        <f t="shared" si="65"/>
        <v>0</v>
      </c>
    </row>
    <row r="2075" spans="24:25" x14ac:dyDescent="0.3">
      <c r="X2075" s="1">
        <f t="shared" si="64"/>
        <v>0</v>
      </c>
      <c r="Y2075" s="1">
        <f t="shared" si="65"/>
        <v>0</v>
      </c>
    </row>
    <row r="2076" spans="24:25" x14ac:dyDescent="0.3">
      <c r="X2076" s="1">
        <f t="shared" si="64"/>
        <v>0</v>
      </c>
      <c r="Y2076" s="1">
        <f t="shared" si="65"/>
        <v>0</v>
      </c>
    </row>
    <row r="2077" spans="24:25" x14ac:dyDescent="0.3">
      <c r="X2077" s="1">
        <f t="shared" si="64"/>
        <v>0</v>
      </c>
      <c r="Y2077" s="1">
        <f t="shared" si="65"/>
        <v>0</v>
      </c>
    </row>
    <row r="2078" spans="24:25" x14ac:dyDescent="0.3">
      <c r="X2078" s="1">
        <f t="shared" si="64"/>
        <v>0</v>
      </c>
      <c r="Y2078" s="1">
        <f t="shared" si="65"/>
        <v>0</v>
      </c>
    </row>
    <row r="2079" spans="24:25" x14ac:dyDescent="0.3">
      <c r="X2079" s="1">
        <f t="shared" si="64"/>
        <v>0</v>
      </c>
      <c r="Y2079" s="1">
        <f t="shared" si="65"/>
        <v>0</v>
      </c>
    </row>
    <row r="2080" spans="24:25" x14ac:dyDescent="0.3">
      <c r="X2080" s="1">
        <f t="shared" si="64"/>
        <v>0</v>
      </c>
      <c r="Y2080" s="1">
        <f t="shared" si="65"/>
        <v>0</v>
      </c>
    </row>
    <row r="2081" spans="24:25" x14ac:dyDescent="0.3">
      <c r="X2081" s="1">
        <f t="shared" si="64"/>
        <v>0</v>
      </c>
      <c r="Y2081" s="1">
        <f t="shared" si="65"/>
        <v>0</v>
      </c>
    </row>
    <row r="2082" spans="24:25" x14ac:dyDescent="0.3">
      <c r="X2082" s="1">
        <f t="shared" si="64"/>
        <v>0</v>
      </c>
      <c r="Y2082" s="1">
        <f t="shared" si="65"/>
        <v>0</v>
      </c>
    </row>
    <row r="2083" spans="24:25" x14ac:dyDescent="0.3">
      <c r="X2083" s="1">
        <f t="shared" si="64"/>
        <v>0</v>
      </c>
      <c r="Y2083" s="1">
        <f t="shared" si="65"/>
        <v>0</v>
      </c>
    </row>
    <row r="2084" spans="24:25" x14ac:dyDescent="0.3">
      <c r="X2084" s="1">
        <f t="shared" si="64"/>
        <v>0</v>
      </c>
      <c r="Y2084" s="1">
        <f t="shared" si="65"/>
        <v>0</v>
      </c>
    </row>
    <row r="2085" spans="24:25" x14ac:dyDescent="0.3">
      <c r="X2085" s="1">
        <f t="shared" si="64"/>
        <v>0</v>
      </c>
      <c r="Y2085" s="1">
        <f t="shared" si="65"/>
        <v>0</v>
      </c>
    </row>
    <row r="2086" spans="24:25" x14ac:dyDescent="0.3">
      <c r="X2086" s="1">
        <f t="shared" si="64"/>
        <v>0</v>
      </c>
      <c r="Y2086" s="1">
        <f t="shared" si="65"/>
        <v>0</v>
      </c>
    </row>
    <row r="2087" spans="24:25" x14ac:dyDescent="0.3">
      <c r="X2087" s="1">
        <f t="shared" si="64"/>
        <v>0</v>
      </c>
      <c r="Y2087" s="1">
        <f t="shared" si="65"/>
        <v>0</v>
      </c>
    </row>
    <row r="2088" spans="24:25" x14ac:dyDescent="0.3">
      <c r="X2088" s="1">
        <f t="shared" si="64"/>
        <v>0</v>
      </c>
      <c r="Y2088" s="1">
        <f t="shared" si="65"/>
        <v>0</v>
      </c>
    </row>
    <row r="2089" spans="24:25" x14ac:dyDescent="0.3">
      <c r="X2089" s="1">
        <f t="shared" si="64"/>
        <v>0</v>
      </c>
      <c r="Y2089" s="1">
        <f t="shared" si="65"/>
        <v>0</v>
      </c>
    </row>
    <row r="2090" spans="24:25" x14ac:dyDescent="0.3">
      <c r="X2090" s="1">
        <f t="shared" si="64"/>
        <v>0</v>
      </c>
      <c r="Y2090" s="1">
        <f t="shared" si="65"/>
        <v>0</v>
      </c>
    </row>
    <row r="2091" spans="24:25" x14ac:dyDescent="0.3">
      <c r="X2091" s="1">
        <f t="shared" si="64"/>
        <v>0</v>
      </c>
      <c r="Y2091" s="1">
        <f t="shared" si="65"/>
        <v>0</v>
      </c>
    </row>
    <row r="2092" spans="24:25" x14ac:dyDescent="0.3">
      <c r="X2092" s="1">
        <f t="shared" si="64"/>
        <v>0</v>
      </c>
      <c r="Y2092" s="1">
        <f t="shared" si="65"/>
        <v>0</v>
      </c>
    </row>
    <row r="2093" spans="24:25" x14ac:dyDescent="0.3">
      <c r="X2093" s="1">
        <f t="shared" si="64"/>
        <v>0</v>
      </c>
      <c r="Y2093" s="1">
        <f t="shared" si="65"/>
        <v>0</v>
      </c>
    </row>
    <row r="2094" spans="24:25" x14ac:dyDescent="0.3">
      <c r="X2094" s="1">
        <f t="shared" si="64"/>
        <v>0</v>
      </c>
      <c r="Y2094" s="1">
        <f t="shared" si="65"/>
        <v>0</v>
      </c>
    </row>
    <row r="2095" spans="24:25" x14ac:dyDescent="0.3">
      <c r="X2095" s="1">
        <f t="shared" si="64"/>
        <v>0</v>
      </c>
      <c r="Y2095" s="1">
        <f t="shared" si="65"/>
        <v>0</v>
      </c>
    </row>
    <row r="2096" spans="24:25" x14ac:dyDescent="0.3">
      <c r="X2096" s="1">
        <f t="shared" si="64"/>
        <v>0</v>
      </c>
      <c r="Y2096" s="1">
        <f t="shared" si="65"/>
        <v>0</v>
      </c>
    </row>
    <row r="2097" spans="24:25" x14ac:dyDescent="0.3">
      <c r="X2097" s="1">
        <f t="shared" si="64"/>
        <v>0</v>
      </c>
      <c r="Y2097" s="1">
        <f t="shared" si="65"/>
        <v>0</v>
      </c>
    </row>
    <row r="2098" spans="24:25" x14ac:dyDescent="0.3">
      <c r="X2098" s="1">
        <f t="shared" si="64"/>
        <v>0</v>
      </c>
      <c r="Y2098" s="1">
        <f t="shared" si="65"/>
        <v>0</v>
      </c>
    </row>
    <row r="2099" spans="24:25" x14ac:dyDescent="0.3">
      <c r="X2099" s="1">
        <f t="shared" si="64"/>
        <v>0</v>
      </c>
      <c r="Y2099" s="1">
        <f t="shared" si="65"/>
        <v>0</v>
      </c>
    </row>
    <row r="2100" spans="24:25" x14ac:dyDescent="0.3">
      <c r="X2100" s="1">
        <f t="shared" si="64"/>
        <v>0</v>
      </c>
      <c r="Y2100" s="1">
        <f t="shared" si="65"/>
        <v>0</v>
      </c>
    </row>
    <row r="2101" spans="24:25" x14ac:dyDescent="0.3">
      <c r="X2101" s="1">
        <f t="shared" si="64"/>
        <v>0</v>
      </c>
      <c r="Y2101" s="1">
        <f t="shared" si="65"/>
        <v>0</v>
      </c>
    </row>
    <row r="2102" spans="24:25" x14ac:dyDescent="0.3">
      <c r="X2102" s="1">
        <f t="shared" si="64"/>
        <v>0</v>
      </c>
      <c r="Y2102" s="1">
        <f t="shared" si="65"/>
        <v>0</v>
      </c>
    </row>
    <row r="2103" spans="24:25" x14ac:dyDescent="0.3">
      <c r="X2103" s="1">
        <f t="shared" si="64"/>
        <v>0</v>
      </c>
      <c r="Y2103" s="1">
        <f t="shared" si="65"/>
        <v>0</v>
      </c>
    </row>
    <row r="2104" spans="24:25" x14ac:dyDescent="0.3">
      <c r="X2104" s="1">
        <f t="shared" si="64"/>
        <v>0</v>
      </c>
      <c r="Y2104" s="1">
        <f t="shared" si="65"/>
        <v>0</v>
      </c>
    </row>
    <row r="2105" spans="24:25" x14ac:dyDescent="0.3">
      <c r="X2105" s="1">
        <f t="shared" si="64"/>
        <v>0</v>
      </c>
      <c r="Y2105" s="1">
        <f t="shared" si="65"/>
        <v>0</v>
      </c>
    </row>
    <row r="2106" spans="24:25" x14ac:dyDescent="0.3">
      <c r="X2106" s="1">
        <f t="shared" si="64"/>
        <v>0</v>
      </c>
      <c r="Y2106" s="1">
        <f t="shared" si="65"/>
        <v>0</v>
      </c>
    </row>
    <row r="2107" spans="24:25" x14ac:dyDescent="0.3">
      <c r="X2107" s="1">
        <f t="shared" si="64"/>
        <v>0</v>
      </c>
      <c r="Y2107" s="1">
        <f t="shared" si="65"/>
        <v>0</v>
      </c>
    </row>
    <row r="2108" spans="24:25" x14ac:dyDescent="0.3">
      <c r="X2108" s="1">
        <f t="shared" si="64"/>
        <v>0</v>
      </c>
      <c r="Y2108" s="1">
        <f t="shared" si="65"/>
        <v>0</v>
      </c>
    </row>
    <row r="2109" spans="24:25" x14ac:dyDescent="0.3">
      <c r="X2109" s="1">
        <f t="shared" si="64"/>
        <v>0</v>
      </c>
      <c r="Y2109" s="1">
        <f t="shared" si="65"/>
        <v>0</v>
      </c>
    </row>
    <row r="2110" spans="24:25" x14ac:dyDescent="0.3">
      <c r="X2110" s="1">
        <f t="shared" si="64"/>
        <v>0</v>
      </c>
      <c r="Y2110" s="1">
        <f t="shared" si="65"/>
        <v>0</v>
      </c>
    </row>
    <row r="2111" spans="24:25" x14ac:dyDescent="0.3">
      <c r="X2111" s="1">
        <f t="shared" si="64"/>
        <v>0</v>
      </c>
      <c r="Y2111" s="1">
        <f t="shared" si="65"/>
        <v>0</v>
      </c>
    </row>
    <row r="2112" spans="24:25" x14ac:dyDescent="0.3">
      <c r="X2112" s="1">
        <f t="shared" si="64"/>
        <v>0</v>
      </c>
      <c r="Y2112" s="1">
        <f t="shared" si="65"/>
        <v>0</v>
      </c>
    </row>
    <row r="2113" spans="24:25" x14ac:dyDescent="0.3">
      <c r="X2113" s="1">
        <f t="shared" si="64"/>
        <v>0</v>
      </c>
      <c r="Y2113" s="1">
        <f t="shared" si="65"/>
        <v>0</v>
      </c>
    </row>
    <row r="2114" spans="24:25" x14ac:dyDescent="0.3">
      <c r="X2114" s="1">
        <f t="shared" si="64"/>
        <v>0</v>
      </c>
      <c r="Y2114" s="1">
        <f t="shared" si="65"/>
        <v>0</v>
      </c>
    </row>
    <row r="2115" spans="24:25" x14ac:dyDescent="0.3">
      <c r="X2115" s="1">
        <f t="shared" ref="X2115:X2178" si="66">IFERROR(MATCH(W2115,$B:$B,0),0)</f>
        <v>0</v>
      </c>
      <c r="Y2115" s="1">
        <f t="shared" ref="Y2115:Y2178" si="67">IF(X2116=0,COUNTA(A:A),X2116-1)</f>
        <v>0</v>
      </c>
    </row>
    <row r="2116" spans="24:25" x14ac:dyDescent="0.3">
      <c r="X2116" s="1">
        <f t="shared" si="66"/>
        <v>0</v>
      </c>
      <c r="Y2116" s="1">
        <f t="shared" si="67"/>
        <v>0</v>
      </c>
    </row>
    <row r="2117" spans="24:25" x14ac:dyDescent="0.3">
      <c r="X2117" s="1">
        <f t="shared" si="66"/>
        <v>0</v>
      </c>
      <c r="Y2117" s="1">
        <f t="shared" si="67"/>
        <v>0</v>
      </c>
    </row>
    <row r="2118" spans="24:25" x14ac:dyDescent="0.3">
      <c r="X2118" s="1">
        <f t="shared" si="66"/>
        <v>0</v>
      </c>
      <c r="Y2118" s="1">
        <f t="shared" si="67"/>
        <v>0</v>
      </c>
    </row>
    <row r="2119" spans="24:25" x14ac:dyDescent="0.3">
      <c r="X2119" s="1">
        <f t="shared" si="66"/>
        <v>0</v>
      </c>
      <c r="Y2119" s="1">
        <f t="shared" si="67"/>
        <v>0</v>
      </c>
    </row>
    <row r="2120" spans="24:25" x14ac:dyDescent="0.3">
      <c r="X2120" s="1">
        <f t="shared" si="66"/>
        <v>0</v>
      </c>
      <c r="Y2120" s="1">
        <f t="shared" si="67"/>
        <v>0</v>
      </c>
    </row>
    <row r="2121" spans="24:25" x14ac:dyDescent="0.3">
      <c r="X2121" s="1">
        <f t="shared" si="66"/>
        <v>0</v>
      </c>
      <c r="Y2121" s="1">
        <f t="shared" si="67"/>
        <v>0</v>
      </c>
    </row>
    <row r="2122" spans="24:25" x14ac:dyDescent="0.3">
      <c r="X2122" s="1">
        <f t="shared" si="66"/>
        <v>0</v>
      </c>
      <c r="Y2122" s="1">
        <f t="shared" si="67"/>
        <v>0</v>
      </c>
    </row>
    <row r="2123" spans="24:25" x14ac:dyDescent="0.3">
      <c r="X2123" s="1">
        <f t="shared" si="66"/>
        <v>0</v>
      </c>
      <c r="Y2123" s="1">
        <f t="shared" si="67"/>
        <v>0</v>
      </c>
    </row>
    <row r="2124" spans="24:25" x14ac:dyDescent="0.3">
      <c r="X2124" s="1">
        <f t="shared" si="66"/>
        <v>0</v>
      </c>
      <c r="Y2124" s="1">
        <f t="shared" si="67"/>
        <v>0</v>
      </c>
    </row>
    <row r="2125" spans="24:25" x14ac:dyDescent="0.3">
      <c r="X2125" s="1">
        <f t="shared" si="66"/>
        <v>0</v>
      </c>
      <c r="Y2125" s="1">
        <f t="shared" si="67"/>
        <v>0</v>
      </c>
    </row>
    <row r="2126" spans="24:25" x14ac:dyDescent="0.3">
      <c r="X2126" s="1">
        <f t="shared" si="66"/>
        <v>0</v>
      </c>
      <c r="Y2126" s="1">
        <f t="shared" si="67"/>
        <v>0</v>
      </c>
    </row>
    <row r="2127" spans="24:25" x14ac:dyDescent="0.3">
      <c r="X2127" s="1">
        <f t="shared" si="66"/>
        <v>0</v>
      </c>
      <c r="Y2127" s="1">
        <f t="shared" si="67"/>
        <v>0</v>
      </c>
    </row>
    <row r="2128" spans="24:25" x14ac:dyDescent="0.3">
      <c r="X2128" s="1">
        <f t="shared" si="66"/>
        <v>0</v>
      </c>
      <c r="Y2128" s="1">
        <f t="shared" si="67"/>
        <v>0</v>
      </c>
    </row>
    <row r="2129" spans="24:25" x14ac:dyDescent="0.3">
      <c r="X2129" s="1">
        <f t="shared" si="66"/>
        <v>0</v>
      </c>
      <c r="Y2129" s="1">
        <f t="shared" si="67"/>
        <v>0</v>
      </c>
    </row>
    <row r="2130" spans="24:25" x14ac:dyDescent="0.3">
      <c r="X2130" s="1">
        <f t="shared" si="66"/>
        <v>0</v>
      </c>
      <c r="Y2130" s="1">
        <f t="shared" si="67"/>
        <v>0</v>
      </c>
    </row>
    <row r="2131" spans="24:25" x14ac:dyDescent="0.3">
      <c r="X2131" s="1">
        <f t="shared" si="66"/>
        <v>0</v>
      </c>
      <c r="Y2131" s="1">
        <f t="shared" si="67"/>
        <v>0</v>
      </c>
    </row>
    <row r="2132" spans="24:25" x14ac:dyDescent="0.3">
      <c r="X2132" s="1">
        <f t="shared" si="66"/>
        <v>0</v>
      </c>
      <c r="Y2132" s="1">
        <f t="shared" si="67"/>
        <v>0</v>
      </c>
    </row>
    <row r="2133" spans="24:25" x14ac:dyDescent="0.3">
      <c r="X2133" s="1">
        <f t="shared" si="66"/>
        <v>0</v>
      </c>
      <c r="Y2133" s="1">
        <f t="shared" si="67"/>
        <v>0</v>
      </c>
    </row>
    <row r="2134" spans="24:25" x14ac:dyDescent="0.3">
      <c r="X2134" s="1">
        <f t="shared" si="66"/>
        <v>0</v>
      </c>
      <c r="Y2134" s="1">
        <f t="shared" si="67"/>
        <v>0</v>
      </c>
    </row>
    <row r="2135" spans="24:25" x14ac:dyDescent="0.3">
      <c r="X2135" s="1">
        <f t="shared" si="66"/>
        <v>0</v>
      </c>
      <c r="Y2135" s="1">
        <f t="shared" si="67"/>
        <v>0</v>
      </c>
    </row>
    <row r="2136" spans="24:25" x14ac:dyDescent="0.3">
      <c r="X2136" s="1">
        <f t="shared" si="66"/>
        <v>0</v>
      </c>
      <c r="Y2136" s="1">
        <f t="shared" si="67"/>
        <v>0</v>
      </c>
    </row>
    <row r="2137" spans="24:25" x14ac:dyDescent="0.3">
      <c r="X2137" s="1">
        <f t="shared" si="66"/>
        <v>0</v>
      </c>
      <c r="Y2137" s="1">
        <f t="shared" si="67"/>
        <v>0</v>
      </c>
    </row>
    <row r="2138" spans="24:25" x14ac:dyDescent="0.3">
      <c r="X2138" s="1">
        <f t="shared" si="66"/>
        <v>0</v>
      </c>
      <c r="Y2138" s="1">
        <f t="shared" si="67"/>
        <v>0</v>
      </c>
    </row>
    <row r="2139" spans="24:25" x14ac:dyDescent="0.3">
      <c r="X2139" s="1">
        <f t="shared" si="66"/>
        <v>0</v>
      </c>
      <c r="Y2139" s="1">
        <f t="shared" si="67"/>
        <v>0</v>
      </c>
    </row>
    <row r="2140" spans="24:25" x14ac:dyDescent="0.3">
      <c r="X2140" s="1">
        <f t="shared" si="66"/>
        <v>0</v>
      </c>
      <c r="Y2140" s="1">
        <f t="shared" si="67"/>
        <v>0</v>
      </c>
    </row>
    <row r="2141" spans="24:25" x14ac:dyDescent="0.3">
      <c r="X2141" s="1">
        <f t="shared" si="66"/>
        <v>0</v>
      </c>
      <c r="Y2141" s="1">
        <f t="shared" si="67"/>
        <v>0</v>
      </c>
    </row>
    <row r="2142" spans="24:25" x14ac:dyDescent="0.3">
      <c r="X2142" s="1">
        <f t="shared" si="66"/>
        <v>0</v>
      </c>
      <c r="Y2142" s="1">
        <f t="shared" si="67"/>
        <v>0</v>
      </c>
    </row>
    <row r="2143" spans="24:25" x14ac:dyDescent="0.3">
      <c r="X2143" s="1">
        <f t="shared" si="66"/>
        <v>0</v>
      </c>
      <c r="Y2143" s="1">
        <f t="shared" si="67"/>
        <v>0</v>
      </c>
    </row>
    <row r="2144" spans="24:25" x14ac:dyDescent="0.3">
      <c r="X2144" s="1">
        <f t="shared" si="66"/>
        <v>0</v>
      </c>
      <c r="Y2144" s="1">
        <f t="shared" si="67"/>
        <v>0</v>
      </c>
    </row>
    <row r="2145" spans="24:25" x14ac:dyDescent="0.3">
      <c r="X2145" s="1">
        <f t="shared" si="66"/>
        <v>0</v>
      </c>
      <c r="Y2145" s="1">
        <f t="shared" si="67"/>
        <v>0</v>
      </c>
    </row>
    <row r="2146" spans="24:25" x14ac:dyDescent="0.3">
      <c r="X2146" s="1">
        <f t="shared" si="66"/>
        <v>0</v>
      </c>
      <c r="Y2146" s="1">
        <f t="shared" si="67"/>
        <v>0</v>
      </c>
    </row>
    <row r="2147" spans="24:25" x14ac:dyDescent="0.3">
      <c r="X2147" s="1">
        <f t="shared" si="66"/>
        <v>0</v>
      </c>
      <c r="Y2147" s="1">
        <f t="shared" si="67"/>
        <v>0</v>
      </c>
    </row>
    <row r="2148" spans="24:25" x14ac:dyDescent="0.3">
      <c r="X2148" s="1">
        <f t="shared" si="66"/>
        <v>0</v>
      </c>
      <c r="Y2148" s="1">
        <f t="shared" si="67"/>
        <v>0</v>
      </c>
    </row>
    <row r="2149" spans="24:25" x14ac:dyDescent="0.3">
      <c r="X2149" s="1">
        <f t="shared" si="66"/>
        <v>0</v>
      </c>
      <c r="Y2149" s="1">
        <f t="shared" si="67"/>
        <v>0</v>
      </c>
    </row>
    <row r="2150" spans="24:25" x14ac:dyDescent="0.3">
      <c r="X2150" s="1">
        <f t="shared" si="66"/>
        <v>0</v>
      </c>
      <c r="Y2150" s="1">
        <f t="shared" si="67"/>
        <v>0</v>
      </c>
    </row>
    <row r="2151" spans="24:25" x14ac:dyDescent="0.3">
      <c r="X2151" s="1">
        <f t="shared" si="66"/>
        <v>0</v>
      </c>
      <c r="Y2151" s="1">
        <f t="shared" si="67"/>
        <v>0</v>
      </c>
    </row>
    <row r="2152" spans="24:25" x14ac:dyDescent="0.3">
      <c r="X2152" s="1">
        <f t="shared" si="66"/>
        <v>0</v>
      </c>
      <c r="Y2152" s="1">
        <f t="shared" si="67"/>
        <v>0</v>
      </c>
    </row>
    <row r="2153" spans="24:25" x14ac:dyDescent="0.3">
      <c r="X2153" s="1">
        <f t="shared" si="66"/>
        <v>0</v>
      </c>
      <c r="Y2153" s="1">
        <f t="shared" si="67"/>
        <v>0</v>
      </c>
    </row>
    <row r="2154" spans="24:25" x14ac:dyDescent="0.3">
      <c r="X2154" s="1">
        <f t="shared" si="66"/>
        <v>0</v>
      </c>
      <c r="Y2154" s="1">
        <f t="shared" si="67"/>
        <v>0</v>
      </c>
    </row>
    <row r="2155" spans="24:25" x14ac:dyDescent="0.3">
      <c r="X2155" s="1">
        <f t="shared" si="66"/>
        <v>0</v>
      </c>
      <c r="Y2155" s="1">
        <f t="shared" si="67"/>
        <v>0</v>
      </c>
    </row>
    <row r="2156" spans="24:25" x14ac:dyDescent="0.3">
      <c r="X2156" s="1">
        <f t="shared" si="66"/>
        <v>0</v>
      </c>
      <c r="Y2156" s="1">
        <f t="shared" si="67"/>
        <v>0</v>
      </c>
    </row>
    <row r="2157" spans="24:25" x14ac:dyDescent="0.3">
      <c r="X2157" s="1">
        <f t="shared" si="66"/>
        <v>0</v>
      </c>
      <c r="Y2157" s="1">
        <f t="shared" si="67"/>
        <v>0</v>
      </c>
    </row>
    <row r="2158" spans="24:25" x14ac:dyDescent="0.3">
      <c r="X2158" s="1">
        <f t="shared" si="66"/>
        <v>0</v>
      </c>
      <c r="Y2158" s="1">
        <f t="shared" si="67"/>
        <v>0</v>
      </c>
    </row>
    <row r="2159" spans="24:25" x14ac:dyDescent="0.3">
      <c r="X2159" s="1">
        <f t="shared" si="66"/>
        <v>0</v>
      </c>
      <c r="Y2159" s="1">
        <f t="shared" si="67"/>
        <v>0</v>
      </c>
    </row>
    <row r="2160" spans="24:25" x14ac:dyDescent="0.3">
      <c r="X2160" s="1">
        <f t="shared" si="66"/>
        <v>0</v>
      </c>
      <c r="Y2160" s="1">
        <f t="shared" si="67"/>
        <v>0</v>
      </c>
    </row>
    <row r="2161" spans="24:25" x14ac:dyDescent="0.3">
      <c r="X2161" s="1">
        <f t="shared" si="66"/>
        <v>0</v>
      </c>
      <c r="Y2161" s="1">
        <f t="shared" si="67"/>
        <v>0</v>
      </c>
    </row>
    <row r="2162" spans="24:25" x14ac:dyDescent="0.3">
      <c r="X2162" s="1">
        <f t="shared" si="66"/>
        <v>0</v>
      </c>
      <c r="Y2162" s="1">
        <f t="shared" si="67"/>
        <v>0</v>
      </c>
    </row>
    <row r="2163" spans="24:25" x14ac:dyDescent="0.3">
      <c r="X2163" s="1">
        <f t="shared" si="66"/>
        <v>0</v>
      </c>
      <c r="Y2163" s="1">
        <f t="shared" si="67"/>
        <v>0</v>
      </c>
    </row>
    <row r="2164" spans="24:25" x14ac:dyDescent="0.3">
      <c r="X2164" s="1">
        <f t="shared" si="66"/>
        <v>0</v>
      </c>
      <c r="Y2164" s="1">
        <f t="shared" si="67"/>
        <v>0</v>
      </c>
    </row>
    <row r="2165" spans="24:25" x14ac:dyDescent="0.3">
      <c r="X2165" s="1">
        <f t="shared" si="66"/>
        <v>0</v>
      </c>
      <c r="Y2165" s="1">
        <f t="shared" si="67"/>
        <v>0</v>
      </c>
    </row>
    <row r="2166" spans="24:25" x14ac:dyDescent="0.3">
      <c r="X2166" s="1">
        <f t="shared" si="66"/>
        <v>0</v>
      </c>
      <c r="Y2166" s="1">
        <f t="shared" si="67"/>
        <v>0</v>
      </c>
    </row>
    <row r="2167" spans="24:25" x14ac:dyDescent="0.3">
      <c r="X2167" s="1">
        <f t="shared" si="66"/>
        <v>0</v>
      </c>
      <c r="Y2167" s="1">
        <f t="shared" si="67"/>
        <v>0</v>
      </c>
    </row>
    <row r="2168" spans="24:25" x14ac:dyDescent="0.3">
      <c r="X2168" s="1">
        <f t="shared" si="66"/>
        <v>0</v>
      </c>
      <c r="Y2168" s="1">
        <f t="shared" si="67"/>
        <v>0</v>
      </c>
    </row>
    <row r="2169" spans="24:25" x14ac:dyDescent="0.3">
      <c r="X2169" s="1">
        <f t="shared" si="66"/>
        <v>0</v>
      </c>
      <c r="Y2169" s="1">
        <f t="shared" si="67"/>
        <v>0</v>
      </c>
    </row>
    <row r="2170" spans="24:25" x14ac:dyDescent="0.3">
      <c r="X2170" s="1">
        <f t="shared" si="66"/>
        <v>0</v>
      </c>
      <c r="Y2170" s="1">
        <f t="shared" si="67"/>
        <v>0</v>
      </c>
    </row>
    <row r="2171" spans="24:25" x14ac:dyDescent="0.3">
      <c r="X2171" s="1">
        <f t="shared" si="66"/>
        <v>0</v>
      </c>
      <c r="Y2171" s="1">
        <f t="shared" si="67"/>
        <v>0</v>
      </c>
    </row>
    <row r="2172" spans="24:25" x14ac:dyDescent="0.3">
      <c r="X2172" s="1">
        <f t="shared" si="66"/>
        <v>0</v>
      </c>
      <c r="Y2172" s="1">
        <f t="shared" si="67"/>
        <v>0</v>
      </c>
    </row>
    <row r="2173" spans="24:25" x14ac:dyDescent="0.3">
      <c r="X2173" s="1">
        <f t="shared" si="66"/>
        <v>0</v>
      </c>
      <c r="Y2173" s="1">
        <f t="shared" si="67"/>
        <v>0</v>
      </c>
    </row>
    <row r="2174" spans="24:25" x14ac:dyDescent="0.3">
      <c r="X2174" s="1">
        <f t="shared" si="66"/>
        <v>0</v>
      </c>
      <c r="Y2174" s="1">
        <f t="shared" si="67"/>
        <v>0</v>
      </c>
    </row>
    <row r="2175" spans="24:25" x14ac:dyDescent="0.3">
      <c r="X2175" s="1">
        <f t="shared" si="66"/>
        <v>0</v>
      </c>
      <c r="Y2175" s="1">
        <f t="shared" si="67"/>
        <v>0</v>
      </c>
    </row>
    <row r="2176" spans="24:25" x14ac:dyDescent="0.3">
      <c r="X2176" s="1">
        <f t="shared" si="66"/>
        <v>0</v>
      </c>
      <c r="Y2176" s="1">
        <f t="shared" si="67"/>
        <v>0</v>
      </c>
    </row>
    <row r="2177" spans="24:25" x14ac:dyDescent="0.3">
      <c r="X2177" s="1">
        <f t="shared" si="66"/>
        <v>0</v>
      </c>
      <c r="Y2177" s="1">
        <f t="shared" si="67"/>
        <v>0</v>
      </c>
    </row>
    <row r="2178" spans="24:25" x14ac:dyDescent="0.3">
      <c r="X2178" s="1">
        <f t="shared" si="66"/>
        <v>0</v>
      </c>
      <c r="Y2178" s="1">
        <f t="shared" si="67"/>
        <v>0</v>
      </c>
    </row>
    <row r="2179" spans="24:25" x14ac:dyDescent="0.3">
      <c r="X2179" s="1">
        <f t="shared" ref="X2179:X2242" si="68">IFERROR(MATCH(W2179,$B:$B,0),0)</f>
        <v>0</v>
      </c>
      <c r="Y2179" s="1">
        <f t="shared" ref="Y2179:Y2242" si="69">IF(X2180=0,COUNTA(A:A),X2180-1)</f>
        <v>0</v>
      </c>
    </row>
    <row r="2180" spans="24:25" x14ac:dyDescent="0.3">
      <c r="X2180" s="1">
        <f t="shared" si="68"/>
        <v>0</v>
      </c>
      <c r="Y2180" s="1">
        <f t="shared" si="69"/>
        <v>0</v>
      </c>
    </row>
    <row r="2181" spans="24:25" x14ac:dyDescent="0.3">
      <c r="X2181" s="1">
        <f t="shared" si="68"/>
        <v>0</v>
      </c>
      <c r="Y2181" s="1">
        <f t="shared" si="69"/>
        <v>0</v>
      </c>
    </row>
    <row r="2182" spans="24:25" x14ac:dyDescent="0.3">
      <c r="X2182" s="1">
        <f t="shared" si="68"/>
        <v>0</v>
      </c>
      <c r="Y2182" s="1">
        <f t="shared" si="69"/>
        <v>0</v>
      </c>
    </row>
    <row r="2183" spans="24:25" x14ac:dyDescent="0.3">
      <c r="X2183" s="1">
        <f t="shared" si="68"/>
        <v>0</v>
      </c>
      <c r="Y2183" s="1">
        <f t="shared" si="69"/>
        <v>0</v>
      </c>
    </row>
    <row r="2184" spans="24:25" x14ac:dyDescent="0.3">
      <c r="X2184" s="1">
        <f t="shared" si="68"/>
        <v>0</v>
      </c>
      <c r="Y2184" s="1">
        <f t="shared" si="69"/>
        <v>0</v>
      </c>
    </row>
    <row r="2185" spans="24:25" x14ac:dyDescent="0.3">
      <c r="X2185" s="1">
        <f t="shared" si="68"/>
        <v>0</v>
      </c>
      <c r="Y2185" s="1">
        <f t="shared" si="69"/>
        <v>0</v>
      </c>
    </row>
    <row r="2186" spans="24:25" x14ac:dyDescent="0.3">
      <c r="X2186" s="1">
        <f t="shared" si="68"/>
        <v>0</v>
      </c>
      <c r="Y2186" s="1">
        <f t="shared" si="69"/>
        <v>0</v>
      </c>
    </row>
    <row r="2187" spans="24:25" x14ac:dyDescent="0.3">
      <c r="X2187" s="1">
        <f t="shared" si="68"/>
        <v>0</v>
      </c>
      <c r="Y2187" s="1">
        <f t="shared" si="69"/>
        <v>0</v>
      </c>
    </row>
    <row r="2188" spans="24:25" x14ac:dyDescent="0.3">
      <c r="X2188" s="1">
        <f t="shared" si="68"/>
        <v>0</v>
      </c>
      <c r="Y2188" s="1">
        <f t="shared" si="69"/>
        <v>0</v>
      </c>
    </row>
    <row r="2189" spans="24:25" x14ac:dyDescent="0.3">
      <c r="X2189" s="1">
        <f t="shared" si="68"/>
        <v>0</v>
      </c>
      <c r="Y2189" s="1">
        <f t="shared" si="69"/>
        <v>0</v>
      </c>
    </row>
    <row r="2190" spans="24:25" x14ac:dyDescent="0.3">
      <c r="X2190" s="1">
        <f t="shared" si="68"/>
        <v>0</v>
      </c>
      <c r="Y2190" s="1">
        <f t="shared" si="69"/>
        <v>0</v>
      </c>
    </row>
    <row r="2191" spans="24:25" x14ac:dyDescent="0.3">
      <c r="X2191" s="1">
        <f t="shared" si="68"/>
        <v>0</v>
      </c>
      <c r="Y2191" s="1">
        <f t="shared" si="69"/>
        <v>0</v>
      </c>
    </row>
    <row r="2192" spans="24:25" x14ac:dyDescent="0.3">
      <c r="X2192" s="1">
        <f t="shared" si="68"/>
        <v>0</v>
      </c>
      <c r="Y2192" s="1">
        <f t="shared" si="69"/>
        <v>0</v>
      </c>
    </row>
    <row r="2193" spans="24:25" x14ac:dyDescent="0.3">
      <c r="X2193" s="1">
        <f t="shared" si="68"/>
        <v>0</v>
      </c>
      <c r="Y2193" s="1">
        <f t="shared" si="69"/>
        <v>0</v>
      </c>
    </row>
    <row r="2194" spans="24:25" x14ac:dyDescent="0.3">
      <c r="X2194" s="1">
        <f t="shared" si="68"/>
        <v>0</v>
      </c>
      <c r="Y2194" s="1">
        <f t="shared" si="69"/>
        <v>0</v>
      </c>
    </row>
    <row r="2195" spans="24:25" x14ac:dyDescent="0.3">
      <c r="X2195" s="1">
        <f t="shared" si="68"/>
        <v>0</v>
      </c>
      <c r="Y2195" s="1">
        <f t="shared" si="69"/>
        <v>0</v>
      </c>
    </row>
    <row r="2196" spans="24:25" x14ac:dyDescent="0.3">
      <c r="X2196" s="1">
        <f t="shared" si="68"/>
        <v>0</v>
      </c>
      <c r="Y2196" s="1">
        <f t="shared" si="69"/>
        <v>0</v>
      </c>
    </row>
    <row r="2197" spans="24:25" x14ac:dyDescent="0.3">
      <c r="X2197" s="1">
        <f t="shared" si="68"/>
        <v>0</v>
      </c>
      <c r="Y2197" s="1">
        <f t="shared" si="69"/>
        <v>0</v>
      </c>
    </row>
    <row r="2198" spans="24:25" x14ac:dyDescent="0.3">
      <c r="X2198" s="1">
        <f t="shared" si="68"/>
        <v>0</v>
      </c>
      <c r="Y2198" s="1">
        <f t="shared" si="69"/>
        <v>0</v>
      </c>
    </row>
    <row r="2199" spans="24:25" x14ac:dyDescent="0.3">
      <c r="X2199" s="1">
        <f t="shared" si="68"/>
        <v>0</v>
      </c>
      <c r="Y2199" s="1">
        <f t="shared" si="69"/>
        <v>0</v>
      </c>
    </row>
    <row r="2200" spans="24:25" x14ac:dyDescent="0.3">
      <c r="X2200" s="1">
        <f t="shared" si="68"/>
        <v>0</v>
      </c>
      <c r="Y2200" s="1">
        <f t="shared" si="69"/>
        <v>0</v>
      </c>
    </row>
    <row r="2201" spans="24:25" x14ac:dyDescent="0.3">
      <c r="X2201" s="1">
        <f t="shared" si="68"/>
        <v>0</v>
      </c>
      <c r="Y2201" s="1">
        <f t="shared" si="69"/>
        <v>0</v>
      </c>
    </row>
    <row r="2202" spans="24:25" x14ac:dyDescent="0.3">
      <c r="X2202" s="1">
        <f t="shared" si="68"/>
        <v>0</v>
      </c>
      <c r="Y2202" s="1">
        <f t="shared" si="69"/>
        <v>0</v>
      </c>
    </row>
    <row r="2203" spans="24:25" x14ac:dyDescent="0.3">
      <c r="X2203" s="1">
        <f t="shared" si="68"/>
        <v>0</v>
      </c>
      <c r="Y2203" s="1">
        <f t="shared" si="69"/>
        <v>0</v>
      </c>
    </row>
    <row r="2204" spans="24:25" x14ac:dyDescent="0.3">
      <c r="X2204" s="1">
        <f t="shared" si="68"/>
        <v>0</v>
      </c>
      <c r="Y2204" s="1">
        <f t="shared" si="69"/>
        <v>0</v>
      </c>
    </row>
    <row r="2205" spans="24:25" x14ac:dyDescent="0.3">
      <c r="X2205" s="1">
        <f t="shared" si="68"/>
        <v>0</v>
      </c>
      <c r="Y2205" s="1">
        <f t="shared" si="69"/>
        <v>0</v>
      </c>
    </row>
    <row r="2206" spans="24:25" x14ac:dyDescent="0.3">
      <c r="X2206" s="1">
        <f t="shared" si="68"/>
        <v>0</v>
      </c>
      <c r="Y2206" s="1">
        <f t="shared" si="69"/>
        <v>0</v>
      </c>
    </row>
    <row r="2207" spans="24:25" x14ac:dyDescent="0.3">
      <c r="X2207" s="1">
        <f t="shared" si="68"/>
        <v>0</v>
      </c>
      <c r="Y2207" s="1">
        <f t="shared" si="69"/>
        <v>0</v>
      </c>
    </row>
    <row r="2208" spans="24:25" x14ac:dyDescent="0.3">
      <c r="X2208" s="1">
        <f t="shared" si="68"/>
        <v>0</v>
      </c>
      <c r="Y2208" s="1">
        <f t="shared" si="69"/>
        <v>0</v>
      </c>
    </row>
    <row r="2209" spans="24:25" x14ac:dyDescent="0.3">
      <c r="X2209" s="1">
        <f t="shared" si="68"/>
        <v>0</v>
      </c>
      <c r="Y2209" s="1">
        <f t="shared" si="69"/>
        <v>0</v>
      </c>
    </row>
    <row r="2210" spans="24:25" x14ac:dyDescent="0.3">
      <c r="X2210" s="1">
        <f t="shared" si="68"/>
        <v>0</v>
      </c>
      <c r="Y2210" s="1">
        <f t="shared" si="69"/>
        <v>0</v>
      </c>
    </row>
    <row r="2211" spans="24:25" x14ac:dyDescent="0.3">
      <c r="X2211" s="1">
        <f t="shared" si="68"/>
        <v>0</v>
      </c>
      <c r="Y2211" s="1">
        <f t="shared" si="69"/>
        <v>0</v>
      </c>
    </row>
    <row r="2212" spans="24:25" x14ac:dyDescent="0.3">
      <c r="X2212" s="1">
        <f t="shared" si="68"/>
        <v>0</v>
      </c>
      <c r="Y2212" s="1">
        <f t="shared" si="69"/>
        <v>0</v>
      </c>
    </row>
    <row r="2213" spans="24:25" x14ac:dyDescent="0.3">
      <c r="X2213" s="1">
        <f t="shared" si="68"/>
        <v>0</v>
      </c>
      <c r="Y2213" s="1">
        <f t="shared" si="69"/>
        <v>0</v>
      </c>
    </row>
    <row r="2214" spans="24:25" x14ac:dyDescent="0.3">
      <c r="X2214" s="1">
        <f t="shared" si="68"/>
        <v>0</v>
      </c>
      <c r="Y2214" s="1">
        <f t="shared" si="69"/>
        <v>0</v>
      </c>
    </row>
    <row r="2215" spans="24:25" x14ac:dyDescent="0.3">
      <c r="X2215" s="1">
        <f t="shared" si="68"/>
        <v>0</v>
      </c>
      <c r="Y2215" s="1">
        <f t="shared" si="69"/>
        <v>0</v>
      </c>
    </row>
    <row r="2216" spans="24:25" x14ac:dyDescent="0.3">
      <c r="X2216" s="1">
        <f t="shared" si="68"/>
        <v>0</v>
      </c>
      <c r="Y2216" s="1">
        <f t="shared" si="69"/>
        <v>0</v>
      </c>
    </row>
    <row r="2217" spans="24:25" x14ac:dyDescent="0.3">
      <c r="X2217" s="1">
        <f t="shared" si="68"/>
        <v>0</v>
      </c>
      <c r="Y2217" s="1">
        <f t="shared" si="69"/>
        <v>0</v>
      </c>
    </row>
    <row r="2218" spans="24:25" x14ac:dyDescent="0.3">
      <c r="X2218" s="1">
        <f t="shared" si="68"/>
        <v>0</v>
      </c>
      <c r="Y2218" s="1">
        <f t="shared" si="69"/>
        <v>0</v>
      </c>
    </row>
    <row r="2219" spans="24:25" x14ac:dyDescent="0.3">
      <c r="X2219" s="1">
        <f t="shared" si="68"/>
        <v>0</v>
      </c>
      <c r="Y2219" s="1">
        <f t="shared" si="69"/>
        <v>0</v>
      </c>
    </row>
    <row r="2220" spans="24:25" x14ac:dyDescent="0.3">
      <c r="X2220" s="1">
        <f t="shared" si="68"/>
        <v>0</v>
      </c>
      <c r="Y2220" s="1">
        <f t="shared" si="69"/>
        <v>0</v>
      </c>
    </row>
    <row r="2221" spans="24:25" x14ac:dyDescent="0.3">
      <c r="X2221" s="1">
        <f t="shared" si="68"/>
        <v>0</v>
      </c>
      <c r="Y2221" s="1">
        <f t="shared" si="69"/>
        <v>0</v>
      </c>
    </row>
    <row r="2222" spans="24:25" x14ac:dyDescent="0.3">
      <c r="X2222" s="1">
        <f t="shared" si="68"/>
        <v>0</v>
      </c>
      <c r="Y2222" s="1">
        <f t="shared" si="69"/>
        <v>0</v>
      </c>
    </row>
    <row r="2223" spans="24:25" x14ac:dyDescent="0.3">
      <c r="X2223" s="1">
        <f t="shared" si="68"/>
        <v>0</v>
      </c>
      <c r="Y2223" s="1">
        <f t="shared" si="69"/>
        <v>0</v>
      </c>
    </row>
    <row r="2224" spans="24:25" x14ac:dyDescent="0.3">
      <c r="X2224" s="1">
        <f t="shared" si="68"/>
        <v>0</v>
      </c>
      <c r="Y2224" s="1">
        <f t="shared" si="69"/>
        <v>0</v>
      </c>
    </row>
    <row r="2225" spans="24:25" x14ac:dyDescent="0.3">
      <c r="X2225" s="1">
        <f t="shared" si="68"/>
        <v>0</v>
      </c>
      <c r="Y2225" s="1">
        <f t="shared" si="69"/>
        <v>0</v>
      </c>
    </row>
    <row r="2226" spans="24:25" x14ac:dyDescent="0.3">
      <c r="X2226" s="1">
        <f t="shared" si="68"/>
        <v>0</v>
      </c>
      <c r="Y2226" s="1">
        <f t="shared" si="69"/>
        <v>0</v>
      </c>
    </row>
    <row r="2227" spans="24:25" x14ac:dyDescent="0.3">
      <c r="X2227" s="1">
        <f t="shared" si="68"/>
        <v>0</v>
      </c>
      <c r="Y2227" s="1">
        <f t="shared" si="69"/>
        <v>0</v>
      </c>
    </row>
    <row r="2228" spans="24:25" x14ac:dyDescent="0.3">
      <c r="X2228" s="1">
        <f t="shared" si="68"/>
        <v>0</v>
      </c>
      <c r="Y2228" s="1">
        <f t="shared" si="69"/>
        <v>0</v>
      </c>
    </row>
    <row r="2229" spans="24:25" x14ac:dyDescent="0.3">
      <c r="X2229" s="1">
        <f t="shared" si="68"/>
        <v>0</v>
      </c>
      <c r="Y2229" s="1">
        <f t="shared" si="69"/>
        <v>0</v>
      </c>
    </row>
    <row r="2230" spans="24:25" x14ac:dyDescent="0.3">
      <c r="X2230" s="1">
        <f t="shared" si="68"/>
        <v>0</v>
      </c>
      <c r="Y2230" s="1">
        <f t="shared" si="69"/>
        <v>0</v>
      </c>
    </row>
    <row r="2231" spans="24:25" x14ac:dyDescent="0.3">
      <c r="X2231" s="1">
        <f t="shared" si="68"/>
        <v>0</v>
      </c>
      <c r="Y2231" s="1">
        <f t="shared" si="69"/>
        <v>0</v>
      </c>
    </row>
    <row r="2232" spans="24:25" x14ac:dyDescent="0.3">
      <c r="X2232" s="1">
        <f t="shared" si="68"/>
        <v>0</v>
      </c>
      <c r="Y2232" s="1">
        <f t="shared" si="69"/>
        <v>0</v>
      </c>
    </row>
    <row r="2233" spans="24:25" x14ac:dyDescent="0.3">
      <c r="X2233" s="1">
        <f t="shared" si="68"/>
        <v>0</v>
      </c>
      <c r="Y2233" s="1">
        <f t="shared" si="69"/>
        <v>0</v>
      </c>
    </row>
    <row r="2234" spans="24:25" x14ac:dyDescent="0.3">
      <c r="X2234" s="1">
        <f t="shared" si="68"/>
        <v>0</v>
      </c>
      <c r="Y2234" s="1">
        <f t="shared" si="69"/>
        <v>0</v>
      </c>
    </row>
    <row r="2235" spans="24:25" x14ac:dyDescent="0.3">
      <c r="X2235" s="1">
        <f t="shared" si="68"/>
        <v>0</v>
      </c>
      <c r="Y2235" s="1">
        <f t="shared" si="69"/>
        <v>0</v>
      </c>
    </row>
    <row r="2236" spans="24:25" x14ac:dyDescent="0.3">
      <c r="X2236" s="1">
        <f t="shared" si="68"/>
        <v>0</v>
      </c>
      <c r="Y2236" s="1">
        <f t="shared" si="69"/>
        <v>0</v>
      </c>
    </row>
    <row r="2237" spans="24:25" x14ac:dyDescent="0.3">
      <c r="X2237" s="1">
        <f t="shared" si="68"/>
        <v>0</v>
      </c>
      <c r="Y2237" s="1">
        <f t="shared" si="69"/>
        <v>0</v>
      </c>
    </row>
    <row r="2238" spans="24:25" x14ac:dyDescent="0.3">
      <c r="X2238" s="1">
        <f t="shared" si="68"/>
        <v>0</v>
      </c>
      <c r="Y2238" s="1">
        <f t="shared" si="69"/>
        <v>0</v>
      </c>
    </row>
    <row r="2239" spans="24:25" x14ac:dyDescent="0.3">
      <c r="X2239" s="1">
        <f t="shared" si="68"/>
        <v>0</v>
      </c>
      <c r="Y2239" s="1">
        <f t="shared" si="69"/>
        <v>0</v>
      </c>
    </row>
    <row r="2240" spans="24:25" x14ac:dyDescent="0.3">
      <c r="X2240" s="1">
        <f t="shared" si="68"/>
        <v>0</v>
      </c>
      <c r="Y2240" s="1">
        <f t="shared" si="69"/>
        <v>0</v>
      </c>
    </row>
    <row r="2241" spans="24:25" x14ac:dyDescent="0.3">
      <c r="X2241" s="1">
        <f t="shared" si="68"/>
        <v>0</v>
      </c>
      <c r="Y2241" s="1">
        <f t="shared" si="69"/>
        <v>0</v>
      </c>
    </row>
    <row r="2242" spans="24:25" x14ac:dyDescent="0.3">
      <c r="X2242" s="1">
        <f t="shared" si="68"/>
        <v>0</v>
      </c>
      <c r="Y2242" s="1">
        <f t="shared" si="69"/>
        <v>0</v>
      </c>
    </row>
    <row r="2243" spans="24:25" x14ac:dyDescent="0.3">
      <c r="X2243" s="1">
        <f t="shared" ref="X2243:X2306" si="70">IFERROR(MATCH(W2243,$B:$B,0),0)</f>
        <v>0</v>
      </c>
      <c r="Y2243" s="1">
        <f t="shared" ref="Y2243:Y2306" si="71">IF(X2244=0,COUNTA(A:A),X2244-1)</f>
        <v>0</v>
      </c>
    </row>
    <row r="2244" spans="24:25" x14ac:dyDescent="0.3">
      <c r="X2244" s="1">
        <f t="shared" si="70"/>
        <v>0</v>
      </c>
      <c r="Y2244" s="1">
        <f t="shared" si="71"/>
        <v>0</v>
      </c>
    </row>
    <row r="2245" spans="24:25" x14ac:dyDescent="0.3">
      <c r="X2245" s="1">
        <f t="shared" si="70"/>
        <v>0</v>
      </c>
      <c r="Y2245" s="1">
        <f t="shared" si="71"/>
        <v>0</v>
      </c>
    </row>
    <row r="2246" spans="24:25" x14ac:dyDescent="0.3">
      <c r="X2246" s="1">
        <f t="shared" si="70"/>
        <v>0</v>
      </c>
      <c r="Y2246" s="1">
        <f t="shared" si="71"/>
        <v>0</v>
      </c>
    </row>
    <row r="2247" spans="24:25" x14ac:dyDescent="0.3">
      <c r="X2247" s="1">
        <f t="shared" si="70"/>
        <v>0</v>
      </c>
      <c r="Y2247" s="1">
        <f t="shared" si="71"/>
        <v>0</v>
      </c>
    </row>
    <row r="2248" spans="24:25" x14ac:dyDescent="0.3">
      <c r="X2248" s="1">
        <f t="shared" si="70"/>
        <v>0</v>
      </c>
      <c r="Y2248" s="1">
        <f t="shared" si="71"/>
        <v>0</v>
      </c>
    </row>
    <row r="2249" spans="24:25" x14ac:dyDescent="0.3">
      <c r="X2249" s="1">
        <f t="shared" si="70"/>
        <v>0</v>
      </c>
      <c r="Y2249" s="1">
        <f t="shared" si="71"/>
        <v>0</v>
      </c>
    </row>
    <row r="2250" spans="24:25" x14ac:dyDescent="0.3">
      <c r="X2250" s="1">
        <f t="shared" si="70"/>
        <v>0</v>
      </c>
      <c r="Y2250" s="1">
        <f t="shared" si="71"/>
        <v>0</v>
      </c>
    </row>
    <row r="2251" spans="24:25" x14ac:dyDescent="0.3">
      <c r="X2251" s="1">
        <f t="shared" si="70"/>
        <v>0</v>
      </c>
      <c r="Y2251" s="1">
        <f t="shared" si="71"/>
        <v>0</v>
      </c>
    </row>
    <row r="2252" spans="24:25" x14ac:dyDescent="0.3">
      <c r="X2252" s="1">
        <f t="shared" si="70"/>
        <v>0</v>
      </c>
      <c r="Y2252" s="1">
        <f t="shared" si="71"/>
        <v>0</v>
      </c>
    </row>
    <row r="2253" spans="24:25" x14ac:dyDescent="0.3">
      <c r="X2253" s="1">
        <f t="shared" si="70"/>
        <v>0</v>
      </c>
      <c r="Y2253" s="1">
        <f t="shared" si="71"/>
        <v>0</v>
      </c>
    </row>
    <row r="2254" spans="24:25" x14ac:dyDescent="0.3">
      <c r="X2254" s="1">
        <f t="shared" si="70"/>
        <v>0</v>
      </c>
      <c r="Y2254" s="1">
        <f t="shared" si="71"/>
        <v>0</v>
      </c>
    </row>
    <row r="2255" spans="24:25" x14ac:dyDescent="0.3">
      <c r="X2255" s="1">
        <f t="shared" si="70"/>
        <v>0</v>
      </c>
      <c r="Y2255" s="1">
        <f t="shared" si="71"/>
        <v>0</v>
      </c>
    </row>
    <row r="2256" spans="24:25" x14ac:dyDescent="0.3">
      <c r="X2256" s="1">
        <f t="shared" si="70"/>
        <v>0</v>
      </c>
      <c r="Y2256" s="1">
        <f t="shared" si="71"/>
        <v>0</v>
      </c>
    </row>
    <row r="2257" spans="24:25" x14ac:dyDescent="0.3">
      <c r="X2257" s="1">
        <f t="shared" si="70"/>
        <v>0</v>
      </c>
      <c r="Y2257" s="1">
        <f t="shared" si="71"/>
        <v>0</v>
      </c>
    </row>
    <row r="2258" spans="24:25" x14ac:dyDescent="0.3">
      <c r="X2258" s="1">
        <f t="shared" si="70"/>
        <v>0</v>
      </c>
      <c r="Y2258" s="1">
        <f t="shared" si="71"/>
        <v>0</v>
      </c>
    </row>
    <row r="2259" spans="24:25" x14ac:dyDescent="0.3">
      <c r="X2259" s="1">
        <f t="shared" si="70"/>
        <v>0</v>
      </c>
      <c r="Y2259" s="1">
        <f t="shared" si="71"/>
        <v>0</v>
      </c>
    </row>
    <row r="2260" spans="24:25" x14ac:dyDescent="0.3">
      <c r="X2260" s="1">
        <f t="shared" si="70"/>
        <v>0</v>
      </c>
      <c r="Y2260" s="1">
        <f t="shared" si="71"/>
        <v>0</v>
      </c>
    </row>
    <row r="2261" spans="24:25" x14ac:dyDescent="0.3">
      <c r="X2261" s="1">
        <f t="shared" si="70"/>
        <v>0</v>
      </c>
      <c r="Y2261" s="1">
        <f t="shared" si="71"/>
        <v>0</v>
      </c>
    </row>
    <row r="2262" spans="24:25" x14ac:dyDescent="0.3">
      <c r="X2262" s="1">
        <f t="shared" si="70"/>
        <v>0</v>
      </c>
      <c r="Y2262" s="1">
        <f t="shared" si="71"/>
        <v>0</v>
      </c>
    </row>
    <row r="2263" spans="24:25" x14ac:dyDescent="0.3">
      <c r="X2263" s="1">
        <f t="shared" si="70"/>
        <v>0</v>
      </c>
      <c r="Y2263" s="1">
        <f t="shared" si="71"/>
        <v>0</v>
      </c>
    </row>
    <row r="2264" spans="24:25" x14ac:dyDescent="0.3">
      <c r="X2264" s="1">
        <f t="shared" si="70"/>
        <v>0</v>
      </c>
      <c r="Y2264" s="1">
        <f t="shared" si="71"/>
        <v>0</v>
      </c>
    </row>
    <row r="2265" spans="24:25" x14ac:dyDescent="0.3">
      <c r="X2265" s="1">
        <f t="shared" si="70"/>
        <v>0</v>
      </c>
      <c r="Y2265" s="1">
        <f t="shared" si="71"/>
        <v>0</v>
      </c>
    </row>
    <row r="2266" spans="24:25" x14ac:dyDescent="0.3">
      <c r="X2266" s="1">
        <f t="shared" si="70"/>
        <v>0</v>
      </c>
      <c r="Y2266" s="1">
        <f t="shared" si="71"/>
        <v>0</v>
      </c>
    </row>
    <row r="2267" spans="24:25" x14ac:dyDescent="0.3">
      <c r="X2267" s="1">
        <f t="shared" si="70"/>
        <v>0</v>
      </c>
      <c r="Y2267" s="1">
        <f t="shared" si="71"/>
        <v>0</v>
      </c>
    </row>
    <row r="2268" spans="24:25" x14ac:dyDescent="0.3">
      <c r="X2268" s="1">
        <f t="shared" si="70"/>
        <v>0</v>
      </c>
      <c r="Y2268" s="1">
        <f t="shared" si="71"/>
        <v>0</v>
      </c>
    </row>
    <row r="2269" spans="24:25" x14ac:dyDescent="0.3">
      <c r="X2269" s="1">
        <f t="shared" si="70"/>
        <v>0</v>
      </c>
      <c r="Y2269" s="1">
        <f t="shared" si="71"/>
        <v>0</v>
      </c>
    </row>
    <row r="2270" spans="24:25" x14ac:dyDescent="0.3">
      <c r="X2270" s="1">
        <f t="shared" si="70"/>
        <v>0</v>
      </c>
      <c r="Y2270" s="1">
        <f t="shared" si="71"/>
        <v>0</v>
      </c>
    </row>
    <row r="2271" spans="24:25" x14ac:dyDescent="0.3">
      <c r="X2271" s="1">
        <f t="shared" si="70"/>
        <v>0</v>
      </c>
      <c r="Y2271" s="1">
        <f t="shared" si="71"/>
        <v>0</v>
      </c>
    </row>
    <row r="2272" spans="24:25" x14ac:dyDescent="0.3">
      <c r="X2272" s="1">
        <f t="shared" si="70"/>
        <v>0</v>
      </c>
      <c r="Y2272" s="1">
        <f t="shared" si="71"/>
        <v>0</v>
      </c>
    </row>
    <row r="2273" spans="24:25" x14ac:dyDescent="0.3">
      <c r="X2273" s="1">
        <f t="shared" si="70"/>
        <v>0</v>
      </c>
      <c r="Y2273" s="1">
        <f t="shared" si="71"/>
        <v>0</v>
      </c>
    </row>
    <row r="2274" spans="24:25" x14ac:dyDescent="0.3">
      <c r="X2274" s="1">
        <f t="shared" si="70"/>
        <v>0</v>
      </c>
      <c r="Y2274" s="1">
        <f t="shared" si="71"/>
        <v>0</v>
      </c>
    </row>
    <row r="2275" spans="24:25" x14ac:dyDescent="0.3">
      <c r="X2275" s="1">
        <f t="shared" si="70"/>
        <v>0</v>
      </c>
      <c r="Y2275" s="1">
        <f t="shared" si="71"/>
        <v>0</v>
      </c>
    </row>
    <row r="2276" spans="24:25" x14ac:dyDescent="0.3">
      <c r="X2276" s="1">
        <f t="shared" si="70"/>
        <v>0</v>
      </c>
      <c r="Y2276" s="1">
        <f t="shared" si="71"/>
        <v>0</v>
      </c>
    </row>
    <row r="2277" spans="24:25" x14ac:dyDescent="0.3">
      <c r="X2277" s="1">
        <f t="shared" si="70"/>
        <v>0</v>
      </c>
      <c r="Y2277" s="1">
        <f t="shared" si="71"/>
        <v>0</v>
      </c>
    </row>
    <row r="2278" spans="24:25" x14ac:dyDescent="0.3">
      <c r="X2278" s="1">
        <f t="shared" si="70"/>
        <v>0</v>
      </c>
      <c r="Y2278" s="1">
        <f t="shared" si="71"/>
        <v>0</v>
      </c>
    </row>
    <row r="2279" spans="24:25" x14ac:dyDescent="0.3">
      <c r="X2279" s="1">
        <f t="shared" si="70"/>
        <v>0</v>
      </c>
      <c r="Y2279" s="1">
        <f t="shared" si="71"/>
        <v>0</v>
      </c>
    </row>
    <row r="2280" spans="24:25" x14ac:dyDescent="0.3">
      <c r="X2280" s="1">
        <f t="shared" si="70"/>
        <v>0</v>
      </c>
      <c r="Y2280" s="1">
        <f t="shared" si="71"/>
        <v>0</v>
      </c>
    </row>
    <row r="2281" spans="24:25" x14ac:dyDescent="0.3">
      <c r="X2281" s="1">
        <f t="shared" si="70"/>
        <v>0</v>
      </c>
      <c r="Y2281" s="1">
        <f t="shared" si="71"/>
        <v>0</v>
      </c>
    </row>
    <row r="2282" spans="24:25" x14ac:dyDescent="0.3">
      <c r="X2282" s="1">
        <f t="shared" si="70"/>
        <v>0</v>
      </c>
      <c r="Y2282" s="1">
        <f t="shared" si="71"/>
        <v>0</v>
      </c>
    </row>
    <row r="2283" spans="24:25" x14ac:dyDescent="0.3">
      <c r="X2283" s="1">
        <f t="shared" si="70"/>
        <v>0</v>
      </c>
      <c r="Y2283" s="1">
        <f t="shared" si="71"/>
        <v>0</v>
      </c>
    </row>
    <row r="2284" spans="24:25" x14ac:dyDescent="0.3">
      <c r="X2284" s="1">
        <f t="shared" si="70"/>
        <v>0</v>
      </c>
      <c r="Y2284" s="1">
        <f t="shared" si="71"/>
        <v>0</v>
      </c>
    </row>
    <row r="2285" spans="24:25" x14ac:dyDescent="0.3">
      <c r="X2285" s="1">
        <f t="shared" si="70"/>
        <v>0</v>
      </c>
      <c r="Y2285" s="1">
        <f t="shared" si="71"/>
        <v>0</v>
      </c>
    </row>
    <row r="2286" spans="24:25" x14ac:dyDescent="0.3">
      <c r="X2286" s="1">
        <f t="shared" si="70"/>
        <v>0</v>
      </c>
      <c r="Y2286" s="1">
        <f t="shared" si="71"/>
        <v>0</v>
      </c>
    </row>
    <row r="2287" spans="24:25" x14ac:dyDescent="0.3">
      <c r="X2287" s="1">
        <f t="shared" si="70"/>
        <v>0</v>
      </c>
      <c r="Y2287" s="1">
        <f t="shared" si="71"/>
        <v>0</v>
      </c>
    </row>
    <row r="2288" spans="24:25" x14ac:dyDescent="0.3">
      <c r="X2288" s="1">
        <f t="shared" si="70"/>
        <v>0</v>
      </c>
      <c r="Y2288" s="1">
        <f t="shared" si="71"/>
        <v>0</v>
      </c>
    </row>
    <row r="2289" spans="24:25" x14ac:dyDescent="0.3">
      <c r="X2289" s="1">
        <f t="shared" si="70"/>
        <v>0</v>
      </c>
      <c r="Y2289" s="1">
        <f t="shared" si="71"/>
        <v>0</v>
      </c>
    </row>
    <row r="2290" spans="24:25" x14ac:dyDescent="0.3">
      <c r="X2290" s="1">
        <f t="shared" si="70"/>
        <v>0</v>
      </c>
      <c r="Y2290" s="1">
        <f t="shared" si="71"/>
        <v>0</v>
      </c>
    </row>
    <row r="2291" spans="24:25" x14ac:dyDescent="0.3">
      <c r="X2291" s="1">
        <f t="shared" si="70"/>
        <v>0</v>
      </c>
      <c r="Y2291" s="1">
        <f t="shared" si="71"/>
        <v>0</v>
      </c>
    </row>
    <row r="2292" spans="24:25" x14ac:dyDescent="0.3">
      <c r="X2292" s="1">
        <f t="shared" si="70"/>
        <v>0</v>
      </c>
      <c r="Y2292" s="1">
        <f t="shared" si="71"/>
        <v>0</v>
      </c>
    </row>
    <row r="2293" spans="24:25" x14ac:dyDescent="0.3">
      <c r="X2293" s="1">
        <f t="shared" si="70"/>
        <v>0</v>
      </c>
      <c r="Y2293" s="1">
        <f t="shared" si="71"/>
        <v>0</v>
      </c>
    </row>
    <row r="2294" spans="24:25" x14ac:dyDescent="0.3">
      <c r="X2294" s="1">
        <f t="shared" si="70"/>
        <v>0</v>
      </c>
      <c r="Y2294" s="1">
        <f t="shared" si="71"/>
        <v>0</v>
      </c>
    </row>
    <row r="2295" spans="24:25" x14ac:dyDescent="0.3">
      <c r="X2295" s="1">
        <f t="shared" si="70"/>
        <v>0</v>
      </c>
      <c r="Y2295" s="1">
        <f t="shared" si="71"/>
        <v>0</v>
      </c>
    </row>
    <row r="2296" spans="24:25" x14ac:dyDescent="0.3">
      <c r="X2296" s="1">
        <f t="shared" si="70"/>
        <v>0</v>
      </c>
      <c r="Y2296" s="1">
        <f t="shared" si="71"/>
        <v>0</v>
      </c>
    </row>
    <row r="2297" spans="24:25" x14ac:dyDescent="0.3">
      <c r="X2297" s="1">
        <f t="shared" si="70"/>
        <v>0</v>
      </c>
      <c r="Y2297" s="1">
        <f t="shared" si="71"/>
        <v>0</v>
      </c>
    </row>
    <row r="2298" spans="24:25" x14ac:dyDescent="0.3">
      <c r="X2298" s="1">
        <f t="shared" si="70"/>
        <v>0</v>
      </c>
      <c r="Y2298" s="1">
        <f t="shared" si="71"/>
        <v>0</v>
      </c>
    </row>
    <row r="2299" spans="24:25" x14ac:dyDescent="0.3">
      <c r="X2299" s="1">
        <f t="shared" si="70"/>
        <v>0</v>
      </c>
      <c r="Y2299" s="1">
        <f t="shared" si="71"/>
        <v>0</v>
      </c>
    </row>
    <row r="2300" spans="24:25" x14ac:dyDescent="0.3">
      <c r="X2300" s="1">
        <f t="shared" si="70"/>
        <v>0</v>
      </c>
      <c r="Y2300" s="1">
        <f t="shared" si="71"/>
        <v>0</v>
      </c>
    </row>
    <row r="2301" spans="24:25" x14ac:dyDescent="0.3">
      <c r="X2301" s="1">
        <f t="shared" si="70"/>
        <v>0</v>
      </c>
      <c r="Y2301" s="1">
        <f t="shared" si="71"/>
        <v>0</v>
      </c>
    </row>
    <row r="2302" spans="24:25" x14ac:dyDescent="0.3">
      <c r="X2302" s="1">
        <f t="shared" si="70"/>
        <v>0</v>
      </c>
      <c r="Y2302" s="1">
        <f t="shared" si="71"/>
        <v>0</v>
      </c>
    </row>
    <row r="2303" spans="24:25" x14ac:dyDescent="0.3">
      <c r="X2303" s="1">
        <f t="shared" si="70"/>
        <v>0</v>
      </c>
      <c r="Y2303" s="1">
        <f t="shared" si="71"/>
        <v>0</v>
      </c>
    </row>
    <row r="2304" spans="24:25" x14ac:dyDescent="0.3">
      <c r="X2304" s="1">
        <f t="shared" si="70"/>
        <v>0</v>
      </c>
      <c r="Y2304" s="1">
        <f t="shared" si="71"/>
        <v>0</v>
      </c>
    </row>
    <row r="2305" spans="24:25" x14ac:dyDescent="0.3">
      <c r="X2305" s="1">
        <f t="shared" si="70"/>
        <v>0</v>
      </c>
      <c r="Y2305" s="1">
        <f t="shared" si="71"/>
        <v>0</v>
      </c>
    </row>
    <row r="2306" spans="24:25" x14ac:dyDescent="0.3">
      <c r="X2306" s="1">
        <f t="shared" si="70"/>
        <v>0</v>
      </c>
      <c r="Y2306" s="1">
        <f t="shared" si="71"/>
        <v>0</v>
      </c>
    </row>
    <row r="2307" spans="24:25" x14ac:dyDescent="0.3">
      <c r="X2307" s="1">
        <f t="shared" ref="X2307:X2370" si="72">IFERROR(MATCH(W2307,$B:$B,0),0)</f>
        <v>0</v>
      </c>
      <c r="Y2307" s="1">
        <f t="shared" ref="Y2307:Y2370" si="73">IF(X2308=0,COUNTA(A:A),X2308-1)</f>
        <v>0</v>
      </c>
    </row>
    <row r="2308" spans="24:25" x14ac:dyDescent="0.3">
      <c r="X2308" s="1">
        <f t="shared" si="72"/>
        <v>0</v>
      </c>
      <c r="Y2308" s="1">
        <f t="shared" si="73"/>
        <v>0</v>
      </c>
    </row>
    <row r="2309" spans="24:25" x14ac:dyDescent="0.3">
      <c r="X2309" s="1">
        <f t="shared" si="72"/>
        <v>0</v>
      </c>
      <c r="Y2309" s="1">
        <f t="shared" si="73"/>
        <v>0</v>
      </c>
    </row>
    <row r="2310" spans="24:25" x14ac:dyDescent="0.3">
      <c r="X2310" s="1">
        <f t="shared" si="72"/>
        <v>0</v>
      </c>
      <c r="Y2310" s="1">
        <f t="shared" si="73"/>
        <v>0</v>
      </c>
    </row>
    <row r="2311" spans="24:25" x14ac:dyDescent="0.3">
      <c r="X2311" s="1">
        <f t="shared" si="72"/>
        <v>0</v>
      </c>
      <c r="Y2311" s="1">
        <f t="shared" si="73"/>
        <v>0</v>
      </c>
    </row>
    <row r="2312" spans="24:25" x14ac:dyDescent="0.3">
      <c r="X2312" s="1">
        <f t="shared" si="72"/>
        <v>0</v>
      </c>
      <c r="Y2312" s="1">
        <f t="shared" si="73"/>
        <v>0</v>
      </c>
    </row>
    <row r="2313" spans="24:25" x14ac:dyDescent="0.3">
      <c r="X2313" s="1">
        <f t="shared" si="72"/>
        <v>0</v>
      </c>
      <c r="Y2313" s="1">
        <f t="shared" si="73"/>
        <v>0</v>
      </c>
    </row>
    <row r="2314" spans="24:25" x14ac:dyDescent="0.3">
      <c r="X2314" s="1">
        <f t="shared" si="72"/>
        <v>0</v>
      </c>
      <c r="Y2314" s="1">
        <f t="shared" si="73"/>
        <v>0</v>
      </c>
    </row>
    <row r="2315" spans="24:25" x14ac:dyDescent="0.3">
      <c r="X2315" s="1">
        <f t="shared" si="72"/>
        <v>0</v>
      </c>
      <c r="Y2315" s="1">
        <f t="shared" si="73"/>
        <v>0</v>
      </c>
    </row>
    <row r="2316" spans="24:25" x14ac:dyDescent="0.3">
      <c r="X2316" s="1">
        <f t="shared" si="72"/>
        <v>0</v>
      </c>
      <c r="Y2316" s="1">
        <f t="shared" si="73"/>
        <v>0</v>
      </c>
    </row>
    <row r="2317" spans="24:25" x14ac:dyDescent="0.3">
      <c r="X2317" s="1">
        <f t="shared" si="72"/>
        <v>0</v>
      </c>
      <c r="Y2317" s="1">
        <f t="shared" si="73"/>
        <v>0</v>
      </c>
    </row>
    <row r="2318" spans="24:25" x14ac:dyDescent="0.3">
      <c r="X2318" s="1">
        <f t="shared" si="72"/>
        <v>0</v>
      </c>
      <c r="Y2318" s="1">
        <f t="shared" si="73"/>
        <v>0</v>
      </c>
    </row>
    <row r="2319" spans="24:25" x14ac:dyDescent="0.3">
      <c r="X2319" s="1">
        <f t="shared" si="72"/>
        <v>0</v>
      </c>
      <c r="Y2319" s="1">
        <f t="shared" si="73"/>
        <v>0</v>
      </c>
    </row>
    <row r="2320" spans="24:25" x14ac:dyDescent="0.3">
      <c r="X2320" s="1">
        <f t="shared" si="72"/>
        <v>0</v>
      </c>
      <c r="Y2320" s="1">
        <f t="shared" si="73"/>
        <v>0</v>
      </c>
    </row>
    <row r="2321" spans="24:25" x14ac:dyDescent="0.3">
      <c r="X2321" s="1">
        <f t="shared" si="72"/>
        <v>0</v>
      </c>
      <c r="Y2321" s="1">
        <f t="shared" si="73"/>
        <v>0</v>
      </c>
    </row>
    <row r="2322" spans="24:25" x14ac:dyDescent="0.3">
      <c r="X2322" s="1">
        <f t="shared" si="72"/>
        <v>0</v>
      </c>
      <c r="Y2322" s="1">
        <f t="shared" si="73"/>
        <v>0</v>
      </c>
    </row>
    <row r="2323" spans="24:25" x14ac:dyDescent="0.3">
      <c r="X2323" s="1">
        <f t="shared" si="72"/>
        <v>0</v>
      </c>
      <c r="Y2323" s="1">
        <f t="shared" si="73"/>
        <v>0</v>
      </c>
    </row>
    <row r="2324" spans="24:25" x14ac:dyDescent="0.3">
      <c r="X2324" s="1">
        <f t="shared" si="72"/>
        <v>0</v>
      </c>
      <c r="Y2324" s="1">
        <f t="shared" si="73"/>
        <v>0</v>
      </c>
    </row>
    <row r="2325" spans="24:25" x14ac:dyDescent="0.3">
      <c r="X2325" s="1">
        <f t="shared" si="72"/>
        <v>0</v>
      </c>
      <c r="Y2325" s="1">
        <f t="shared" si="73"/>
        <v>0</v>
      </c>
    </row>
    <row r="2326" spans="24:25" x14ac:dyDescent="0.3">
      <c r="X2326" s="1">
        <f t="shared" si="72"/>
        <v>0</v>
      </c>
      <c r="Y2326" s="1">
        <f t="shared" si="73"/>
        <v>0</v>
      </c>
    </row>
    <row r="2327" spans="24:25" x14ac:dyDescent="0.3">
      <c r="X2327" s="1">
        <f t="shared" si="72"/>
        <v>0</v>
      </c>
      <c r="Y2327" s="1">
        <f t="shared" si="73"/>
        <v>0</v>
      </c>
    </row>
    <row r="2328" spans="24:25" x14ac:dyDescent="0.3">
      <c r="X2328" s="1">
        <f t="shared" si="72"/>
        <v>0</v>
      </c>
      <c r="Y2328" s="1">
        <f t="shared" si="73"/>
        <v>0</v>
      </c>
    </row>
    <row r="2329" spans="24:25" x14ac:dyDescent="0.3">
      <c r="X2329" s="1">
        <f t="shared" si="72"/>
        <v>0</v>
      </c>
      <c r="Y2329" s="1">
        <f t="shared" si="73"/>
        <v>0</v>
      </c>
    </row>
    <row r="2330" spans="24:25" x14ac:dyDescent="0.3">
      <c r="X2330" s="1">
        <f t="shared" si="72"/>
        <v>0</v>
      </c>
      <c r="Y2330" s="1">
        <f t="shared" si="73"/>
        <v>0</v>
      </c>
    </row>
    <row r="2331" spans="24:25" x14ac:dyDescent="0.3">
      <c r="X2331" s="1">
        <f t="shared" si="72"/>
        <v>0</v>
      </c>
      <c r="Y2331" s="1">
        <f t="shared" si="73"/>
        <v>0</v>
      </c>
    </row>
    <row r="2332" spans="24:25" x14ac:dyDescent="0.3">
      <c r="X2332" s="1">
        <f t="shared" si="72"/>
        <v>0</v>
      </c>
      <c r="Y2332" s="1">
        <f t="shared" si="73"/>
        <v>0</v>
      </c>
    </row>
    <row r="2333" spans="24:25" x14ac:dyDescent="0.3">
      <c r="X2333" s="1">
        <f t="shared" si="72"/>
        <v>0</v>
      </c>
      <c r="Y2333" s="1">
        <f t="shared" si="73"/>
        <v>0</v>
      </c>
    </row>
    <row r="2334" spans="24:25" x14ac:dyDescent="0.3">
      <c r="X2334" s="1">
        <f t="shared" si="72"/>
        <v>0</v>
      </c>
      <c r="Y2334" s="1">
        <f t="shared" si="73"/>
        <v>0</v>
      </c>
    </row>
    <row r="2335" spans="24:25" x14ac:dyDescent="0.3">
      <c r="X2335" s="1">
        <f t="shared" si="72"/>
        <v>0</v>
      </c>
      <c r="Y2335" s="1">
        <f t="shared" si="73"/>
        <v>0</v>
      </c>
    </row>
    <row r="2336" spans="24:25" x14ac:dyDescent="0.3">
      <c r="X2336" s="1">
        <f t="shared" si="72"/>
        <v>0</v>
      </c>
      <c r="Y2336" s="1">
        <f t="shared" si="73"/>
        <v>0</v>
      </c>
    </row>
    <row r="2337" spans="24:25" x14ac:dyDescent="0.3">
      <c r="X2337" s="1">
        <f t="shared" si="72"/>
        <v>0</v>
      </c>
      <c r="Y2337" s="1">
        <f t="shared" si="73"/>
        <v>0</v>
      </c>
    </row>
    <row r="2338" spans="24:25" x14ac:dyDescent="0.3">
      <c r="X2338" s="1">
        <f t="shared" si="72"/>
        <v>0</v>
      </c>
      <c r="Y2338" s="1">
        <f t="shared" si="73"/>
        <v>0</v>
      </c>
    </row>
    <row r="2339" spans="24:25" x14ac:dyDescent="0.3">
      <c r="X2339" s="1">
        <f t="shared" si="72"/>
        <v>0</v>
      </c>
      <c r="Y2339" s="1">
        <f t="shared" si="73"/>
        <v>0</v>
      </c>
    </row>
    <row r="2340" spans="24:25" x14ac:dyDescent="0.3">
      <c r="X2340" s="1">
        <f t="shared" si="72"/>
        <v>0</v>
      </c>
      <c r="Y2340" s="1">
        <f t="shared" si="73"/>
        <v>0</v>
      </c>
    </row>
    <row r="2341" spans="24:25" x14ac:dyDescent="0.3">
      <c r="X2341" s="1">
        <f t="shared" si="72"/>
        <v>0</v>
      </c>
      <c r="Y2341" s="1">
        <f t="shared" si="73"/>
        <v>0</v>
      </c>
    </row>
    <row r="2342" spans="24:25" x14ac:dyDescent="0.3">
      <c r="X2342" s="1">
        <f t="shared" si="72"/>
        <v>0</v>
      </c>
      <c r="Y2342" s="1">
        <f t="shared" si="73"/>
        <v>0</v>
      </c>
    </row>
    <row r="2343" spans="24:25" x14ac:dyDescent="0.3">
      <c r="X2343" s="1">
        <f t="shared" si="72"/>
        <v>0</v>
      </c>
      <c r="Y2343" s="1">
        <f t="shared" si="73"/>
        <v>0</v>
      </c>
    </row>
    <row r="2344" spans="24:25" x14ac:dyDescent="0.3">
      <c r="X2344" s="1">
        <f t="shared" si="72"/>
        <v>0</v>
      </c>
      <c r="Y2344" s="1">
        <f t="shared" si="73"/>
        <v>0</v>
      </c>
    </row>
    <row r="2345" spans="24:25" x14ac:dyDescent="0.3">
      <c r="X2345" s="1">
        <f t="shared" si="72"/>
        <v>0</v>
      </c>
      <c r="Y2345" s="1">
        <f t="shared" si="73"/>
        <v>0</v>
      </c>
    </row>
    <row r="2346" spans="24:25" x14ac:dyDescent="0.3">
      <c r="X2346" s="1">
        <f t="shared" si="72"/>
        <v>0</v>
      </c>
      <c r="Y2346" s="1">
        <f t="shared" si="73"/>
        <v>0</v>
      </c>
    </row>
    <row r="2347" spans="24:25" x14ac:dyDescent="0.3">
      <c r="X2347" s="1">
        <f t="shared" si="72"/>
        <v>0</v>
      </c>
      <c r="Y2347" s="1">
        <f t="shared" si="73"/>
        <v>0</v>
      </c>
    </row>
    <row r="2348" spans="24:25" x14ac:dyDescent="0.3">
      <c r="X2348" s="1">
        <f t="shared" si="72"/>
        <v>0</v>
      </c>
      <c r="Y2348" s="1">
        <f t="shared" si="73"/>
        <v>0</v>
      </c>
    </row>
    <row r="2349" spans="24:25" x14ac:dyDescent="0.3">
      <c r="X2349" s="1">
        <f t="shared" si="72"/>
        <v>0</v>
      </c>
      <c r="Y2349" s="1">
        <f t="shared" si="73"/>
        <v>0</v>
      </c>
    </row>
    <row r="2350" spans="24:25" x14ac:dyDescent="0.3">
      <c r="X2350" s="1">
        <f t="shared" si="72"/>
        <v>0</v>
      </c>
      <c r="Y2350" s="1">
        <f t="shared" si="73"/>
        <v>0</v>
      </c>
    </row>
    <row r="2351" spans="24:25" x14ac:dyDescent="0.3">
      <c r="X2351" s="1">
        <f t="shared" si="72"/>
        <v>0</v>
      </c>
      <c r="Y2351" s="1">
        <f t="shared" si="73"/>
        <v>0</v>
      </c>
    </row>
    <row r="2352" spans="24:25" x14ac:dyDescent="0.3">
      <c r="X2352" s="1">
        <f t="shared" si="72"/>
        <v>0</v>
      </c>
      <c r="Y2352" s="1">
        <f t="shared" si="73"/>
        <v>0</v>
      </c>
    </row>
    <row r="2353" spans="24:25" x14ac:dyDescent="0.3">
      <c r="X2353" s="1">
        <f t="shared" si="72"/>
        <v>0</v>
      </c>
      <c r="Y2353" s="1">
        <f t="shared" si="73"/>
        <v>0</v>
      </c>
    </row>
    <row r="2354" spans="24:25" x14ac:dyDescent="0.3">
      <c r="X2354" s="1">
        <f t="shared" si="72"/>
        <v>0</v>
      </c>
      <c r="Y2354" s="1">
        <f t="shared" si="73"/>
        <v>0</v>
      </c>
    </row>
    <row r="2355" spans="24:25" x14ac:dyDescent="0.3">
      <c r="X2355" s="1">
        <f t="shared" si="72"/>
        <v>0</v>
      </c>
      <c r="Y2355" s="1">
        <f t="shared" si="73"/>
        <v>0</v>
      </c>
    </row>
    <row r="2356" spans="24:25" x14ac:dyDescent="0.3">
      <c r="X2356" s="1">
        <f t="shared" si="72"/>
        <v>0</v>
      </c>
      <c r="Y2356" s="1">
        <f t="shared" si="73"/>
        <v>0</v>
      </c>
    </row>
    <row r="2357" spans="24:25" x14ac:dyDescent="0.3">
      <c r="X2357" s="1">
        <f t="shared" si="72"/>
        <v>0</v>
      </c>
      <c r="Y2357" s="1">
        <f t="shared" si="73"/>
        <v>0</v>
      </c>
    </row>
    <row r="2358" spans="24:25" x14ac:dyDescent="0.3">
      <c r="X2358" s="1">
        <f t="shared" si="72"/>
        <v>0</v>
      </c>
      <c r="Y2358" s="1">
        <f t="shared" si="73"/>
        <v>0</v>
      </c>
    </row>
    <row r="2359" spans="24:25" x14ac:dyDescent="0.3">
      <c r="X2359" s="1">
        <f t="shared" si="72"/>
        <v>0</v>
      </c>
      <c r="Y2359" s="1">
        <f t="shared" si="73"/>
        <v>0</v>
      </c>
    </row>
    <row r="2360" spans="24:25" x14ac:dyDescent="0.3">
      <c r="X2360" s="1">
        <f t="shared" si="72"/>
        <v>0</v>
      </c>
      <c r="Y2360" s="1">
        <f t="shared" si="73"/>
        <v>0</v>
      </c>
    </row>
    <row r="2361" spans="24:25" x14ac:dyDescent="0.3">
      <c r="X2361" s="1">
        <f t="shared" si="72"/>
        <v>0</v>
      </c>
      <c r="Y2361" s="1">
        <f t="shared" si="73"/>
        <v>0</v>
      </c>
    </row>
    <row r="2362" spans="24:25" x14ac:dyDescent="0.3">
      <c r="X2362" s="1">
        <f t="shared" si="72"/>
        <v>0</v>
      </c>
      <c r="Y2362" s="1">
        <f t="shared" si="73"/>
        <v>0</v>
      </c>
    </row>
    <row r="2363" spans="24:25" x14ac:dyDescent="0.3">
      <c r="X2363" s="1">
        <f t="shared" si="72"/>
        <v>0</v>
      </c>
      <c r="Y2363" s="1">
        <f t="shared" si="73"/>
        <v>0</v>
      </c>
    </row>
    <row r="2364" spans="24:25" x14ac:dyDescent="0.3">
      <c r="X2364" s="1">
        <f t="shared" si="72"/>
        <v>0</v>
      </c>
      <c r="Y2364" s="1">
        <f t="shared" si="73"/>
        <v>0</v>
      </c>
    </row>
    <row r="2365" spans="24:25" x14ac:dyDescent="0.3">
      <c r="X2365" s="1">
        <f t="shared" si="72"/>
        <v>0</v>
      </c>
      <c r="Y2365" s="1">
        <f t="shared" si="73"/>
        <v>0</v>
      </c>
    </row>
    <row r="2366" spans="24:25" x14ac:dyDescent="0.3">
      <c r="X2366" s="1">
        <f t="shared" si="72"/>
        <v>0</v>
      </c>
      <c r="Y2366" s="1">
        <f t="shared" si="73"/>
        <v>0</v>
      </c>
    </row>
    <row r="2367" spans="24:25" x14ac:dyDescent="0.3">
      <c r="X2367" s="1">
        <f t="shared" si="72"/>
        <v>0</v>
      </c>
      <c r="Y2367" s="1">
        <f t="shared" si="73"/>
        <v>0</v>
      </c>
    </row>
    <row r="2368" spans="24:25" x14ac:dyDescent="0.3">
      <c r="X2368" s="1">
        <f t="shared" si="72"/>
        <v>0</v>
      </c>
      <c r="Y2368" s="1">
        <f t="shared" si="73"/>
        <v>0</v>
      </c>
    </row>
    <row r="2369" spans="24:25" x14ac:dyDescent="0.3">
      <c r="X2369" s="1">
        <f t="shared" si="72"/>
        <v>0</v>
      </c>
      <c r="Y2369" s="1">
        <f t="shared" si="73"/>
        <v>0</v>
      </c>
    </row>
    <row r="2370" spans="24:25" x14ac:dyDescent="0.3">
      <c r="X2370" s="1">
        <f t="shared" si="72"/>
        <v>0</v>
      </c>
      <c r="Y2370" s="1">
        <f t="shared" si="73"/>
        <v>0</v>
      </c>
    </row>
    <row r="2371" spans="24:25" x14ac:dyDescent="0.3">
      <c r="X2371" s="1">
        <f t="shared" ref="X2371:X2434" si="74">IFERROR(MATCH(W2371,$B:$B,0),0)</f>
        <v>0</v>
      </c>
      <c r="Y2371" s="1">
        <f t="shared" ref="Y2371:Y2434" si="75">IF(X2372=0,COUNTA(A:A),X2372-1)</f>
        <v>0</v>
      </c>
    </row>
    <row r="2372" spans="24:25" x14ac:dyDescent="0.3">
      <c r="X2372" s="1">
        <f t="shared" si="74"/>
        <v>0</v>
      </c>
      <c r="Y2372" s="1">
        <f t="shared" si="75"/>
        <v>0</v>
      </c>
    </row>
    <row r="2373" spans="24:25" x14ac:dyDescent="0.3">
      <c r="X2373" s="1">
        <f t="shared" si="74"/>
        <v>0</v>
      </c>
      <c r="Y2373" s="1">
        <f t="shared" si="75"/>
        <v>0</v>
      </c>
    </row>
    <row r="2374" spans="24:25" x14ac:dyDescent="0.3">
      <c r="X2374" s="1">
        <f t="shared" si="74"/>
        <v>0</v>
      </c>
      <c r="Y2374" s="1">
        <f t="shared" si="75"/>
        <v>0</v>
      </c>
    </row>
    <row r="2375" spans="24:25" x14ac:dyDescent="0.3">
      <c r="X2375" s="1">
        <f t="shared" si="74"/>
        <v>0</v>
      </c>
      <c r="Y2375" s="1">
        <f t="shared" si="75"/>
        <v>0</v>
      </c>
    </row>
    <row r="2376" spans="24:25" x14ac:dyDescent="0.3">
      <c r="X2376" s="1">
        <f t="shared" si="74"/>
        <v>0</v>
      </c>
      <c r="Y2376" s="1">
        <f t="shared" si="75"/>
        <v>0</v>
      </c>
    </row>
    <row r="2377" spans="24:25" x14ac:dyDescent="0.3">
      <c r="X2377" s="1">
        <f t="shared" si="74"/>
        <v>0</v>
      </c>
      <c r="Y2377" s="1">
        <f t="shared" si="75"/>
        <v>0</v>
      </c>
    </row>
    <row r="2378" spans="24:25" x14ac:dyDescent="0.3">
      <c r="X2378" s="1">
        <f t="shared" si="74"/>
        <v>0</v>
      </c>
      <c r="Y2378" s="1">
        <f t="shared" si="75"/>
        <v>0</v>
      </c>
    </row>
    <row r="2379" spans="24:25" x14ac:dyDescent="0.3">
      <c r="X2379" s="1">
        <f t="shared" si="74"/>
        <v>0</v>
      </c>
      <c r="Y2379" s="1">
        <f t="shared" si="75"/>
        <v>0</v>
      </c>
    </row>
    <row r="2380" spans="24:25" x14ac:dyDescent="0.3">
      <c r="X2380" s="1">
        <f t="shared" si="74"/>
        <v>0</v>
      </c>
      <c r="Y2380" s="1">
        <f t="shared" si="75"/>
        <v>0</v>
      </c>
    </row>
    <row r="2381" spans="24:25" x14ac:dyDescent="0.3">
      <c r="X2381" s="1">
        <f t="shared" si="74"/>
        <v>0</v>
      </c>
      <c r="Y2381" s="1">
        <f t="shared" si="75"/>
        <v>0</v>
      </c>
    </row>
    <row r="2382" spans="24:25" x14ac:dyDescent="0.3">
      <c r="X2382" s="1">
        <f t="shared" si="74"/>
        <v>0</v>
      </c>
      <c r="Y2382" s="1">
        <f t="shared" si="75"/>
        <v>0</v>
      </c>
    </row>
    <row r="2383" spans="24:25" x14ac:dyDescent="0.3">
      <c r="X2383" s="1">
        <f t="shared" si="74"/>
        <v>0</v>
      </c>
      <c r="Y2383" s="1">
        <f t="shared" si="75"/>
        <v>0</v>
      </c>
    </row>
    <row r="2384" spans="24:25" x14ac:dyDescent="0.3">
      <c r="X2384" s="1">
        <f t="shared" si="74"/>
        <v>0</v>
      </c>
      <c r="Y2384" s="1">
        <f t="shared" si="75"/>
        <v>0</v>
      </c>
    </row>
    <row r="2385" spans="24:25" x14ac:dyDescent="0.3">
      <c r="X2385" s="1">
        <f t="shared" si="74"/>
        <v>0</v>
      </c>
      <c r="Y2385" s="1">
        <f t="shared" si="75"/>
        <v>0</v>
      </c>
    </row>
    <row r="2386" spans="24:25" x14ac:dyDescent="0.3">
      <c r="X2386" s="1">
        <f t="shared" si="74"/>
        <v>0</v>
      </c>
      <c r="Y2386" s="1">
        <f t="shared" si="75"/>
        <v>0</v>
      </c>
    </row>
    <row r="2387" spans="24:25" x14ac:dyDescent="0.3">
      <c r="X2387" s="1">
        <f t="shared" si="74"/>
        <v>0</v>
      </c>
      <c r="Y2387" s="1">
        <f t="shared" si="75"/>
        <v>0</v>
      </c>
    </row>
    <row r="2388" spans="24:25" x14ac:dyDescent="0.3">
      <c r="X2388" s="1">
        <f t="shared" si="74"/>
        <v>0</v>
      </c>
      <c r="Y2388" s="1">
        <f t="shared" si="75"/>
        <v>0</v>
      </c>
    </row>
    <row r="2389" spans="24:25" x14ac:dyDescent="0.3">
      <c r="X2389" s="1">
        <f t="shared" si="74"/>
        <v>0</v>
      </c>
      <c r="Y2389" s="1">
        <f t="shared" si="75"/>
        <v>0</v>
      </c>
    </row>
    <row r="2390" spans="24:25" x14ac:dyDescent="0.3">
      <c r="X2390" s="1">
        <f t="shared" si="74"/>
        <v>0</v>
      </c>
      <c r="Y2390" s="1">
        <f t="shared" si="75"/>
        <v>0</v>
      </c>
    </row>
    <row r="2391" spans="24:25" x14ac:dyDescent="0.3">
      <c r="X2391" s="1">
        <f t="shared" si="74"/>
        <v>0</v>
      </c>
      <c r="Y2391" s="1">
        <f t="shared" si="75"/>
        <v>0</v>
      </c>
    </row>
    <row r="2392" spans="24:25" x14ac:dyDescent="0.3">
      <c r="X2392" s="1">
        <f t="shared" si="74"/>
        <v>0</v>
      </c>
      <c r="Y2392" s="1">
        <f t="shared" si="75"/>
        <v>0</v>
      </c>
    </row>
    <row r="2393" spans="24:25" x14ac:dyDescent="0.3">
      <c r="X2393" s="1">
        <f t="shared" si="74"/>
        <v>0</v>
      </c>
      <c r="Y2393" s="1">
        <f t="shared" si="75"/>
        <v>0</v>
      </c>
    </row>
    <row r="2394" spans="24:25" x14ac:dyDescent="0.3">
      <c r="X2394" s="1">
        <f t="shared" si="74"/>
        <v>0</v>
      </c>
      <c r="Y2394" s="1">
        <f t="shared" si="75"/>
        <v>0</v>
      </c>
    </row>
    <row r="2395" spans="24:25" x14ac:dyDescent="0.3">
      <c r="X2395" s="1">
        <f t="shared" si="74"/>
        <v>0</v>
      </c>
      <c r="Y2395" s="1">
        <f t="shared" si="75"/>
        <v>0</v>
      </c>
    </row>
    <row r="2396" spans="24:25" x14ac:dyDescent="0.3">
      <c r="X2396" s="1">
        <f t="shared" si="74"/>
        <v>0</v>
      </c>
      <c r="Y2396" s="1">
        <f t="shared" si="75"/>
        <v>0</v>
      </c>
    </row>
    <row r="2397" spans="24:25" x14ac:dyDescent="0.3">
      <c r="X2397" s="1">
        <f t="shared" si="74"/>
        <v>0</v>
      </c>
      <c r="Y2397" s="1">
        <f t="shared" si="75"/>
        <v>0</v>
      </c>
    </row>
    <row r="2398" spans="24:25" x14ac:dyDescent="0.3">
      <c r="X2398" s="1">
        <f t="shared" si="74"/>
        <v>0</v>
      </c>
      <c r="Y2398" s="1">
        <f t="shared" si="75"/>
        <v>0</v>
      </c>
    </row>
    <row r="2399" spans="24:25" x14ac:dyDescent="0.3">
      <c r="X2399" s="1">
        <f t="shared" si="74"/>
        <v>0</v>
      </c>
      <c r="Y2399" s="1">
        <f t="shared" si="75"/>
        <v>0</v>
      </c>
    </row>
    <row r="2400" spans="24:25" x14ac:dyDescent="0.3">
      <c r="X2400" s="1">
        <f t="shared" si="74"/>
        <v>0</v>
      </c>
      <c r="Y2400" s="1">
        <f t="shared" si="75"/>
        <v>0</v>
      </c>
    </row>
    <row r="2401" spans="24:25" x14ac:dyDescent="0.3">
      <c r="X2401" s="1">
        <f t="shared" si="74"/>
        <v>0</v>
      </c>
      <c r="Y2401" s="1">
        <f t="shared" si="75"/>
        <v>0</v>
      </c>
    </row>
    <row r="2402" spans="24:25" x14ac:dyDescent="0.3">
      <c r="X2402" s="1">
        <f t="shared" si="74"/>
        <v>0</v>
      </c>
      <c r="Y2402" s="1">
        <f t="shared" si="75"/>
        <v>0</v>
      </c>
    </row>
    <row r="2403" spans="24:25" x14ac:dyDescent="0.3">
      <c r="X2403" s="1">
        <f t="shared" si="74"/>
        <v>0</v>
      </c>
      <c r="Y2403" s="1">
        <f t="shared" si="75"/>
        <v>0</v>
      </c>
    </row>
    <row r="2404" spans="24:25" x14ac:dyDescent="0.3">
      <c r="X2404" s="1">
        <f t="shared" si="74"/>
        <v>0</v>
      </c>
      <c r="Y2404" s="1">
        <f t="shared" si="75"/>
        <v>0</v>
      </c>
    </row>
    <row r="2405" spans="24:25" x14ac:dyDescent="0.3">
      <c r="X2405" s="1">
        <f t="shared" si="74"/>
        <v>0</v>
      </c>
      <c r="Y2405" s="1">
        <f t="shared" si="75"/>
        <v>0</v>
      </c>
    </row>
    <row r="2406" spans="24:25" x14ac:dyDescent="0.3">
      <c r="X2406" s="1">
        <f t="shared" si="74"/>
        <v>0</v>
      </c>
      <c r="Y2406" s="1">
        <f t="shared" si="75"/>
        <v>0</v>
      </c>
    </row>
    <row r="2407" spans="24:25" x14ac:dyDescent="0.3">
      <c r="X2407" s="1">
        <f t="shared" si="74"/>
        <v>0</v>
      </c>
      <c r="Y2407" s="1">
        <f t="shared" si="75"/>
        <v>0</v>
      </c>
    </row>
    <row r="2408" spans="24:25" x14ac:dyDescent="0.3">
      <c r="X2408" s="1">
        <f t="shared" si="74"/>
        <v>0</v>
      </c>
      <c r="Y2408" s="1">
        <f t="shared" si="75"/>
        <v>0</v>
      </c>
    </row>
    <row r="2409" spans="24:25" x14ac:dyDescent="0.3">
      <c r="X2409" s="1">
        <f t="shared" si="74"/>
        <v>0</v>
      </c>
      <c r="Y2409" s="1">
        <f t="shared" si="75"/>
        <v>0</v>
      </c>
    </row>
    <row r="2410" spans="24:25" x14ac:dyDescent="0.3">
      <c r="X2410" s="1">
        <f t="shared" si="74"/>
        <v>0</v>
      </c>
      <c r="Y2410" s="1">
        <f t="shared" si="75"/>
        <v>0</v>
      </c>
    </row>
    <row r="2411" spans="24:25" x14ac:dyDescent="0.3">
      <c r="X2411" s="1">
        <f t="shared" si="74"/>
        <v>0</v>
      </c>
      <c r="Y2411" s="1">
        <f t="shared" si="75"/>
        <v>0</v>
      </c>
    </row>
    <row r="2412" spans="24:25" x14ac:dyDescent="0.3">
      <c r="X2412" s="1">
        <f t="shared" si="74"/>
        <v>0</v>
      </c>
      <c r="Y2412" s="1">
        <f t="shared" si="75"/>
        <v>0</v>
      </c>
    </row>
    <row r="2413" spans="24:25" x14ac:dyDescent="0.3">
      <c r="X2413" s="1">
        <f t="shared" si="74"/>
        <v>0</v>
      </c>
      <c r="Y2413" s="1">
        <f t="shared" si="75"/>
        <v>0</v>
      </c>
    </row>
    <row r="2414" spans="24:25" x14ac:dyDescent="0.3">
      <c r="X2414" s="1">
        <f t="shared" si="74"/>
        <v>0</v>
      </c>
      <c r="Y2414" s="1">
        <f t="shared" si="75"/>
        <v>0</v>
      </c>
    </row>
    <row r="2415" spans="24:25" x14ac:dyDescent="0.3">
      <c r="X2415" s="1">
        <f t="shared" si="74"/>
        <v>0</v>
      </c>
      <c r="Y2415" s="1">
        <f t="shared" si="75"/>
        <v>0</v>
      </c>
    </row>
    <row r="2416" spans="24:25" x14ac:dyDescent="0.3">
      <c r="X2416" s="1">
        <f t="shared" si="74"/>
        <v>0</v>
      </c>
      <c r="Y2416" s="1">
        <f t="shared" si="75"/>
        <v>0</v>
      </c>
    </row>
    <row r="2417" spans="24:25" x14ac:dyDescent="0.3">
      <c r="X2417" s="1">
        <f t="shared" si="74"/>
        <v>0</v>
      </c>
      <c r="Y2417" s="1">
        <f t="shared" si="75"/>
        <v>0</v>
      </c>
    </row>
    <row r="2418" spans="24:25" x14ac:dyDescent="0.3">
      <c r="X2418" s="1">
        <f t="shared" si="74"/>
        <v>0</v>
      </c>
      <c r="Y2418" s="1">
        <f t="shared" si="75"/>
        <v>0</v>
      </c>
    </row>
    <row r="2419" spans="24:25" x14ac:dyDescent="0.3">
      <c r="X2419" s="1">
        <f t="shared" si="74"/>
        <v>0</v>
      </c>
      <c r="Y2419" s="1">
        <f t="shared" si="75"/>
        <v>0</v>
      </c>
    </row>
    <row r="2420" spans="24:25" x14ac:dyDescent="0.3">
      <c r="X2420" s="1">
        <f t="shared" si="74"/>
        <v>0</v>
      </c>
      <c r="Y2420" s="1">
        <f t="shared" si="75"/>
        <v>0</v>
      </c>
    </row>
    <row r="2421" spans="24:25" x14ac:dyDescent="0.3">
      <c r="X2421" s="1">
        <f t="shared" si="74"/>
        <v>0</v>
      </c>
      <c r="Y2421" s="1">
        <f t="shared" si="75"/>
        <v>0</v>
      </c>
    </row>
    <row r="2422" spans="24:25" x14ac:dyDescent="0.3">
      <c r="X2422" s="1">
        <f t="shared" si="74"/>
        <v>0</v>
      </c>
      <c r="Y2422" s="1">
        <f t="shared" si="75"/>
        <v>0</v>
      </c>
    </row>
    <row r="2423" spans="24:25" x14ac:dyDescent="0.3">
      <c r="X2423" s="1">
        <f t="shared" si="74"/>
        <v>0</v>
      </c>
      <c r="Y2423" s="1">
        <f t="shared" si="75"/>
        <v>0</v>
      </c>
    </row>
    <row r="2424" spans="24:25" x14ac:dyDescent="0.3">
      <c r="X2424" s="1">
        <f t="shared" si="74"/>
        <v>0</v>
      </c>
      <c r="Y2424" s="1">
        <f t="shared" si="75"/>
        <v>0</v>
      </c>
    </row>
    <row r="2425" spans="24:25" x14ac:dyDescent="0.3">
      <c r="X2425" s="1">
        <f t="shared" si="74"/>
        <v>0</v>
      </c>
      <c r="Y2425" s="1">
        <f t="shared" si="75"/>
        <v>0</v>
      </c>
    </row>
    <row r="2426" spans="24:25" x14ac:dyDescent="0.3">
      <c r="X2426" s="1">
        <f t="shared" si="74"/>
        <v>0</v>
      </c>
      <c r="Y2426" s="1">
        <f t="shared" si="75"/>
        <v>0</v>
      </c>
    </row>
    <row r="2427" spans="24:25" x14ac:dyDescent="0.3">
      <c r="X2427" s="1">
        <f t="shared" si="74"/>
        <v>0</v>
      </c>
      <c r="Y2427" s="1">
        <f t="shared" si="75"/>
        <v>0</v>
      </c>
    </row>
    <row r="2428" spans="24:25" x14ac:dyDescent="0.3">
      <c r="X2428" s="1">
        <f t="shared" si="74"/>
        <v>0</v>
      </c>
      <c r="Y2428" s="1">
        <f t="shared" si="75"/>
        <v>0</v>
      </c>
    </row>
    <row r="2429" spans="24:25" x14ac:dyDescent="0.3">
      <c r="X2429" s="1">
        <f t="shared" si="74"/>
        <v>0</v>
      </c>
      <c r="Y2429" s="1">
        <f t="shared" si="75"/>
        <v>0</v>
      </c>
    </row>
    <row r="2430" spans="24:25" x14ac:dyDescent="0.3">
      <c r="X2430" s="1">
        <f t="shared" si="74"/>
        <v>0</v>
      </c>
      <c r="Y2430" s="1">
        <f t="shared" si="75"/>
        <v>0</v>
      </c>
    </row>
    <row r="2431" spans="24:25" x14ac:dyDescent="0.3">
      <c r="X2431" s="1">
        <f t="shared" si="74"/>
        <v>0</v>
      </c>
      <c r="Y2431" s="1">
        <f t="shared" si="75"/>
        <v>0</v>
      </c>
    </row>
    <row r="2432" spans="24:25" x14ac:dyDescent="0.3">
      <c r="X2432" s="1">
        <f t="shared" si="74"/>
        <v>0</v>
      </c>
      <c r="Y2432" s="1">
        <f t="shared" si="75"/>
        <v>0</v>
      </c>
    </row>
    <row r="2433" spans="24:25" x14ac:dyDescent="0.3">
      <c r="X2433" s="1">
        <f t="shared" si="74"/>
        <v>0</v>
      </c>
      <c r="Y2433" s="1">
        <f t="shared" si="75"/>
        <v>0</v>
      </c>
    </row>
    <row r="2434" spans="24:25" x14ac:dyDescent="0.3">
      <c r="X2434" s="1">
        <f t="shared" si="74"/>
        <v>0</v>
      </c>
      <c r="Y2434" s="1">
        <f t="shared" si="75"/>
        <v>0</v>
      </c>
    </row>
    <row r="2435" spans="24:25" x14ac:dyDescent="0.3">
      <c r="X2435" s="1">
        <f t="shared" ref="X2435:X2498" si="76">IFERROR(MATCH(W2435,$B:$B,0),0)</f>
        <v>0</v>
      </c>
      <c r="Y2435" s="1">
        <f t="shared" ref="Y2435:Y2498" si="77">IF(X2436=0,COUNTA(A:A),X2436-1)</f>
        <v>0</v>
      </c>
    </row>
    <row r="2436" spans="24:25" x14ac:dyDescent="0.3">
      <c r="X2436" s="1">
        <f t="shared" si="76"/>
        <v>0</v>
      </c>
      <c r="Y2436" s="1">
        <f t="shared" si="77"/>
        <v>0</v>
      </c>
    </row>
    <row r="2437" spans="24:25" x14ac:dyDescent="0.3">
      <c r="X2437" s="1">
        <f t="shared" si="76"/>
        <v>0</v>
      </c>
      <c r="Y2437" s="1">
        <f t="shared" si="77"/>
        <v>0</v>
      </c>
    </row>
    <row r="2438" spans="24:25" x14ac:dyDescent="0.3">
      <c r="X2438" s="1">
        <f t="shared" si="76"/>
        <v>0</v>
      </c>
      <c r="Y2438" s="1">
        <f t="shared" si="77"/>
        <v>0</v>
      </c>
    </row>
    <row r="2439" spans="24:25" x14ac:dyDescent="0.3">
      <c r="X2439" s="1">
        <f t="shared" si="76"/>
        <v>0</v>
      </c>
      <c r="Y2439" s="1">
        <f t="shared" si="77"/>
        <v>0</v>
      </c>
    </row>
    <row r="2440" spans="24:25" x14ac:dyDescent="0.3">
      <c r="X2440" s="1">
        <f t="shared" si="76"/>
        <v>0</v>
      </c>
      <c r="Y2440" s="1">
        <f t="shared" si="77"/>
        <v>0</v>
      </c>
    </row>
    <row r="2441" spans="24:25" x14ac:dyDescent="0.3">
      <c r="X2441" s="1">
        <f t="shared" si="76"/>
        <v>0</v>
      </c>
      <c r="Y2441" s="1">
        <f t="shared" si="77"/>
        <v>0</v>
      </c>
    </row>
    <row r="2442" spans="24:25" x14ac:dyDescent="0.3">
      <c r="X2442" s="1">
        <f t="shared" si="76"/>
        <v>0</v>
      </c>
      <c r="Y2442" s="1">
        <f t="shared" si="77"/>
        <v>0</v>
      </c>
    </row>
    <row r="2443" spans="24:25" x14ac:dyDescent="0.3">
      <c r="X2443" s="1">
        <f t="shared" si="76"/>
        <v>0</v>
      </c>
      <c r="Y2443" s="1">
        <f t="shared" si="77"/>
        <v>0</v>
      </c>
    </row>
    <row r="2444" spans="24:25" x14ac:dyDescent="0.3">
      <c r="X2444" s="1">
        <f t="shared" si="76"/>
        <v>0</v>
      </c>
      <c r="Y2444" s="1">
        <f t="shared" si="77"/>
        <v>0</v>
      </c>
    </row>
    <row r="2445" spans="24:25" x14ac:dyDescent="0.3">
      <c r="X2445" s="1">
        <f t="shared" si="76"/>
        <v>0</v>
      </c>
      <c r="Y2445" s="1">
        <f t="shared" si="77"/>
        <v>0</v>
      </c>
    </row>
    <row r="2446" spans="24:25" x14ac:dyDescent="0.3">
      <c r="X2446" s="1">
        <f t="shared" si="76"/>
        <v>0</v>
      </c>
      <c r="Y2446" s="1">
        <f t="shared" si="77"/>
        <v>0</v>
      </c>
    </row>
    <row r="2447" spans="24:25" x14ac:dyDescent="0.3">
      <c r="X2447" s="1">
        <f t="shared" si="76"/>
        <v>0</v>
      </c>
      <c r="Y2447" s="1">
        <f t="shared" si="77"/>
        <v>0</v>
      </c>
    </row>
    <row r="2448" spans="24:25" x14ac:dyDescent="0.3">
      <c r="X2448" s="1">
        <f t="shared" si="76"/>
        <v>0</v>
      </c>
      <c r="Y2448" s="1">
        <f t="shared" si="77"/>
        <v>0</v>
      </c>
    </row>
    <row r="2449" spans="24:25" x14ac:dyDescent="0.3">
      <c r="X2449" s="1">
        <f t="shared" si="76"/>
        <v>0</v>
      </c>
      <c r="Y2449" s="1">
        <f t="shared" si="77"/>
        <v>0</v>
      </c>
    </row>
    <row r="2450" spans="24:25" x14ac:dyDescent="0.3">
      <c r="X2450" s="1">
        <f t="shared" si="76"/>
        <v>0</v>
      </c>
      <c r="Y2450" s="1">
        <f t="shared" si="77"/>
        <v>0</v>
      </c>
    </row>
    <row r="2451" spans="24:25" x14ac:dyDescent="0.3">
      <c r="X2451" s="1">
        <f t="shared" si="76"/>
        <v>0</v>
      </c>
      <c r="Y2451" s="1">
        <f t="shared" si="77"/>
        <v>0</v>
      </c>
    </row>
    <row r="2452" spans="24:25" x14ac:dyDescent="0.3">
      <c r="X2452" s="1">
        <f t="shared" si="76"/>
        <v>0</v>
      </c>
      <c r="Y2452" s="1">
        <f t="shared" si="77"/>
        <v>0</v>
      </c>
    </row>
    <row r="2453" spans="24:25" x14ac:dyDescent="0.3">
      <c r="X2453" s="1">
        <f t="shared" si="76"/>
        <v>0</v>
      </c>
      <c r="Y2453" s="1">
        <f t="shared" si="77"/>
        <v>0</v>
      </c>
    </row>
    <row r="2454" spans="24:25" x14ac:dyDescent="0.3">
      <c r="X2454" s="1">
        <f t="shared" si="76"/>
        <v>0</v>
      </c>
      <c r="Y2454" s="1">
        <f t="shared" si="77"/>
        <v>0</v>
      </c>
    </row>
    <row r="2455" spans="24:25" x14ac:dyDescent="0.3">
      <c r="X2455" s="1">
        <f t="shared" si="76"/>
        <v>0</v>
      </c>
      <c r="Y2455" s="1">
        <f t="shared" si="77"/>
        <v>0</v>
      </c>
    </row>
    <row r="2456" spans="24:25" x14ac:dyDescent="0.3">
      <c r="X2456" s="1">
        <f t="shared" si="76"/>
        <v>0</v>
      </c>
      <c r="Y2456" s="1">
        <f t="shared" si="77"/>
        <v>0</v>
      </c>
    </row>
    <row r="2457" spans="24:25" x14ac:dyDescent="0.3">
      <c r="X2457" s="1">
        <f t="shared" si="76"/>
        <v>0</v>
      </c>
      <c r="Y2457" s="1">
        <f t="shared" si="77"/>
        <v>0</v>
      </c>
    </row>
    <row r="2458" spans="24:25" x14ac:dyDescent="0.3">
      <c r="X2458" s="1">
        <f t="shared" si="76"/>
        <v>0</v>
      </c>
      <c r="Y2458" s="1">
        <f t="shared" si="77"/>
        <v>0</v>
      </c>
    </row>
    <row r="2459" spans="24:25" x14ac:dyDescent="0.3">
      <c r="X2459" s="1">
        <f t="shared" si="76"/>
        <v>0</v>
      </c>
      <c r="Y2459" s="1">
        <f t="shared" si="77"/>
        <v>0</v>
      </c>
    </row>
    <row r="2460" spans="24:25" x14ac:dyDescent="0.3">
      <c r="X2460" s="1">
        <f t="shared" si="76"/>
        <v>0</v>
      </c>
      <c r="Y2460" s="1">
        <f t="shared" si="77"/>
        <v>0</v>
      </c>
    </row>
    <row r="2461" spans="24:25" x14ac:dyDescent="0.3">
      <c r="X2461" s="1">
        <f t="shared" si="76"/>
        <v>0</v>
      </c>
      <c r="Y2461" s="1">
        <f t="shared" si="77"/>
        <v>0</v>
      </c>
    </row>
    <row r="2462" spans="24:25" x14ac:dyDescent="0.3">
      <c r="X2462" s="1">
        <f t="shared" si="76"/>
        <v>0</v>
      </c>
      <c r="Y2462" s="1">
        <f t="shared" si="77"/>
        <v>0</v>
      </c>
    </row>
    <row r="2463" spans="24:25" x14ac:dyDescent="0.3">
      <c r="X2463" s="1">
        <f t="shared" si="76"/>
        <v>0</v>
      </c>
      <c r="Y2463" s="1">
        <f t="shared" si="77"/>
        <v>0</v>
      </c>
    </row>
    <row r="2464" spans="24:25" x14ac:dyDescent="0.3">
      <c r="X2464" s="1">
        <f t="shared" si="76"/>
        <v>0</v>
      </c>
      <c r="Y2464" s="1">
        <f t="shared" si="77"/>
        <v>0</v>
      </c>
    </row>
    <row r="2465" spans="24:25" x14ac:dyDescent="0.3">
      <c r="X2465" s="1">
        <f t="shared" si="76"/>
        <v>0</v>
      </c>
      <c r="Y2465" s="1">
        <f t="shared" si="77"/>
        <v>0</v>
      </c>
    </row>
    <row r="2466" spans="24:25" x14ac:dyDescent="0.3">
      <c r="X2466" s="1">
        <f t="shared" si="76"/>
        <v>0</v>
      </c>
      <c r="Y2466" s="1">
        <f t="shared" si="77"/>
        <v>0</v>
      </c>
    </row>
    <row r="2467" spans="24:25" x14ac:dyDescent="0.3">
      <c r="X2467" s="1">
        <f t="shared" si="76"/>
        <v>0</v>
      </c>
      <c r="Y2467" s="1">
        <f t="shared" si="77"/>
        <v>0</v>
      </c>
    </row>
    <row r="2468" spans="24:25" x14ac:dyDescent="0.3">
      <c r="X2468" s="1">
        <f t="shared" si="76"/>
        <v>0</v>
      </c>
      <c r="Y2468" s="1">
        <f t="shared" si="77"/>
        <v>0</v>
      </c>
    </row>
    <row r="2469" spans="24:25" x14ac:dyDescent="0.3">
      <c r="X2469" s="1">
        <f t="shared" si="76"/>
        <v>0</v>
      </c>
      <c r="Y2469" s="1">
        <f t="shared" si="77"/>
        <v>0</v>
      </c>
    </row>
    <row r="2470" spans="24:25" x14ac:dyDescent="0.3">
      <c r="X2470" s="1">
        <f t="shared" si="76"/>
        <v>0</v>
      </c>
      <c r="Y2470" s="1">
        <f t="shared" si="77"/>
        <v>0</v>
      </c>
    </row>
    <row r="2471" spans="24:25" x14ac:dyDescent="0.3">
      <c r="X2471" s="1">
        <f t="shared" si="76"/>
        <v>0</v>
      </c>
      <c r="Y2471" s="1">
        <f t="shared" si="77"/>
        <v>0</v>
      </c>
    </row>
    <row r="2472" spans="24:25" x14ac:dyDescent="0.3">
      <c r="X2472" s="1">
        <f t="shared" si="76"/>
        <v>0</v>
      </c>
      <c r="Y2472" s="1">
        <f t="shared" si="77"/>
        <v>0</v>
      </c>
    </row>
    <row r="2473" spans="24:25" x14ac:dyDescent="0.3">
      <c r="X2473" s="1">
        <f t="shared" si="76"/>
        <v>0</v>
      </c>
      <c r="Y2473" s="1">
        <f t="shared" si="77"/>
        <v>0</v>
      </c>
    </row>
    <row r="2474" spans="24:25" x14ac:dyDescent="0.3">
      <c r="X2474" s="1">
        <f t="shared" si="76"/>
        <v>0</v>
      </c>
      <c r="Y2474" s="1">
        <f t="shared" si="77"/>
        <v>0</v>
      </c>
    </row>
    <row r="2475" spans="24:25" x14ac:dyDescent="0.3">
      <c r="X2475" s="1">
        <f t="shared" si="76"/>
        <v>0</v>
      </c>
      <c r="Y2475" s="1">
        <f t="shared" si="77"/>
        <v>0</v>
      </c>
    </row>
    <row r="2476" spans="24:25" x14ac:dyDescent="0.3">
      <c r="X2476" s="1">
        <f t="shared" si="76"/>
        <v>0</v>
      </c>
      <c r="Y2476" s="1">
        <f t="shared" si="77"/>
        <v>0</v>
      </c>
    </row>
    <row r="2477" spans="24:25" x14ac:dyDescent="0.3">
      <c r="X2477" s="1">
        <f t="shared" si="76"/>
        <v>0</v>
      </c>
      <c r="Y2477" s="1">
        <f t="shared" si="77"/>
        <v>0</v>
      </c>
    </row>
    <row r="2478" spans="24:25" x14ac:dyDescent="0.3">
      <c r="X2478" s="1">
        <f t="shared" si="76"/>
        <v>0</v>
      </c>
      <c r="Y2478" s="1">
        <f t="shared" si="77"/>
        <v>0</v>
      </c>
    </row>
    <row r="2479" spans="24:25" x14ac:dyDescent="0.3">
      <c r="X2479" s="1">
        <f t="shared" si="76"/>
        <v>0</v>
      </c>
      <c r="Y2479" s="1">
        <f t="shared" si="77"/>
        <v>0</v>
      </c>
    </row>
    <row r="2480" spans="24:25" x14ac:dyDescent="0.3">
      <c r="X2480" s="1">
        <f t="shared" si="76"/>
        <v>0</v>
      </c>
      <c r="Y2480" s="1">
        <f t="shared" si="77"/>
        <v>0</v>
      </c>
    </row>
    <row r="2481" spans="24:25" x14ac:dyDescent="0.3">
      <c r="X2481" s="1">
        <f t="shared" si="76"/>
        <v>0</v>
      </c>
      <c r="Y2481" s="1">
        <f t="shared" si="77"/>
        <v>0</v>
      </c>
    </row>
    <row r="2482" spans="24:25" x14ac:dyDescent="0.3">
      <c r="X2482" s="1">
        <f t="shared" si="76"/>
        <v>0</v>
      </c>
      <c r="Y2482" s="1">
        <f t="shared" si="77"/>
        <v>0</v>
      </c>
    </row>
    <row r="2483" spans="24:25" x14ac:dyDescent="0.3">
      <c r="X2483" s="1">
        <f t="shared" si="76"/>
        <v>0</v>
      </c>
      <c r="Y2483" s="1">
        <f t="shared" si="77"/>
        <v>0</v>
      </c>
    </row>
    <row r="2484" spans="24:25" x14ac:dyDescent="0.3">
      <c r="X2484" s="1">
        <f t="shared" si="76"/>
        <v>0</v>
      </c>
      <c r="Y2484" s="1">
        <f t="shared" si="77"/>
        <v>0</v>
      </c>
    </row>
    <row r="2485" spans="24:25" x14ac:dyDescent="0.3">
      <c r="X2485" s="1">
        <f t="shared" si="76"/>
        <v>0</v>
      </c>
      <c r="Y2485" s="1">
        <f t="shared" si="77"/>
        <v>0</v>
      </c>
    </row>
    <row r="2486" spans="24:25" x14ac:dyDescent="0.3">
      <c r="X2486" s="1">
        <f t="shared" si="76"/>
        <v>0</v>
      </c>
      <c r="Y2486" s="1">
        <f t="shared" si="77"/>
        <v>0</v>
      </c>
    </row>
    <row r="2487" spans="24:25" x14ac:dyDescent="0.3">
      <c r="X2487" s="1">
        <f t="shared" si="76"/>
        <v>0</v>
      </c>
      <c r="Y2487" s="1">
        <f t="shared" si="77"/>
        <v>0</v>
      </c>
    </row>
    <row r="2488" spans="24:25" x14ac:dyDescent="0.3">
      <c r="X2488" s="1">
        <f t="shared" si="76"/>
        <v>0</v>
      </c>
      <c r="Y2488" s="1">
        <f t="shared" si="77"/>
        <v>0</v>
      </c>
    </row>
    <row r="2489" spans="24:25" x14ac:dyDescent="0.3">
      <c r="X2489" s="1">
        <f t="shared" si="76"/>
        <v>0</v>
      </c>
      <c r="Y2489" s="1">
        <f t="shared" si="77"/>
        <v>0</v>
      </c>
    </row>
    <row r="2490" spans="24:25" x14ac:dyDescent="0.3">
      <c r="X2490" s="1">
        <f t="shared" si="76"/>
        <v>0</v>
      </c>
      <c r="Y2490" s="1">
        <f t="shared" si="77"/>
        <v>0</v>
      </c>
    </row>
    <row r="2491" spans="24:25" x14ac:dyDescent="0.3">
      <c r="X2491" s="1">
        <f t="shared" si="76"/>
        <v>0</v>
      </c>
      <c r="Y2491" s="1">
        <f t="shared" si="77"/>
        <v>0</v>
      </c>
    </row>
    <row r="2492" spans="24:25" x14ac:dyDescent="0.3">
      <c r="X2492" s="1">
        <f t="shared" si="76"/>
        <v>0</v>
      </c>
      <c r="Y2492" s="1">
        <f t="shared" si="77"/>
        <v>0</v>
      </c>
    </row>
    <row r="2493" spans="24:25" x14ac:dyDescent="0.3">
      <c r="X2493" s="1">
        <f t="shared" si="76"/>
        <v>0</v>
      </c>
      <c r="Y2493" s="1">
        <f t="shared" si="77"/>
        <v>0</v>
      </c>
    </row>
    <row r="2494" spans="24:25" x14ac:dyDescent="0.3">
      <c r="X2494" s="1">
        <f t="shared" si="76"/>
        <v>0</v>
      </c>
      <c r="Y2494" s="1">
        <f t="shared" si="77"/>
        <v>0</v>
      </c>
    </row>
    <row r="2495" spans="24:25" x14ac:dyDescent="0.3">
      <c r="X2495" s="1">
        <f t="shared" si="76"/>
        <v>0</v>
      </c>
      <c r="Y2495" s="1">
        <f t="shared" si="77"/>
        <v>0</v>
      </c>
    </row>
    <row r="2496" spans="24:25" x14ac:dyDescent="0.3">
      <c r="X2496" s="1">
        <f t="shared" si="76"/>
        <v>0</v>
      </c>
      <c r="Y2496" s="1">
        <f t="shared" si="77"/>
        <v>0</v>
      </c>
    </row>
    <row r="2497" spans="24:25" x14ac:dyDescent="0.3">
      <c r="X2497" s="1">
        <f t="shared" si="76"/>
        <v>0</v>
      </c>
      <c r="Y2497" s="1">
        <f t="shared" si="77"/>
        <v>0</v>
      </c>
    </row>
    <row r="2498" spans="24:25" x14ac:dyDescent="0.3">
      <c r="X2498" s="1">
        <f t="shared" si="76"/>
        <v>0</v>
      </c>
      <c r="Y2498" s="1">
        <f t="shared" si="77"/>
        <v>0</v>
      </c>
    </row>
    <row r="2499" spans="24:25" x14ac:dyDescent="0.3">
      <c r="X2499" s="1">
        <f t="shared" ref="X2499:X2562" si="78">IFERROR(MATCH(W2499,$B:$B,0),0)</f>
        <v>0</v>
      </c>
      <c r="Y2499" s="1">
        <f t="shared" ref="Y2499:Y2562" si="79">IF(X2500=0,COUNTA(A:A),X2500-1)</f>
        <v>0</v>
      </c>
    </row>
    <row r="2500" spans="24:25" x14ac:dyDescent="0.3">
      <c r="X2500" s="1">
        <f t="shared" si="78"/>
        <v>0</v>
      </c>
      <c r="Y2500" s="1">
        <f t="shared" si="79"/>
        <v>0</v>
      </c>
    </row>
    <row r="2501" spans="24:25" x14ac:dyDescent="0.3">
      <c r="X2501" s="1">
        <f t="shared" si="78"/>
        <v>0</v>
      </c>
      <c r="Y2501" s="1">
        <f t="shared" si="79"/>
        <v>0</v>
      </c>
    </row>
    <row r="2502" spans="24:25" x14ac:dyDescent="0.3">
      <c r="X2502" s="1">
        <f t="shared" si="78"/>
        <v>0</v>
      </c>
      <c r="Y2502" s="1">
        <f t="shared" si="79"/>
        <v>0</v>
      </c>
    </row>
    <row r="2503" spans="24:25" x14ac:dyDescent="0.3">
      <c r="X2503" s="1">
        <f t="shared" si="78"/>
        <v>0</v>
      </c>
      <c r="Y2503" s="1">
        <f t="shared" si="79"/>
        <v>0</v>
      </c>
    </row>
    <row r="2504" spans="24:25" x14ac:dyDescent="0.3">
      <c r="X2504" s="1">
        <f t="shared" si="78"/>
        <v>0</v>
      </c>
      <c r="Y2504" s="1">
        <f t="shared" si="79"/>
        <v>0</v>
      </c>
    </row>
    <row r="2505" spans="24:25" x14ac:dyDescent="0.3">
      <c r="X2505" s="1">
        <f t="shared" si="78"/>
        <v>0</v>
      </c>
      <c r="Y2505" s="1">
        <f t="shared" si="79"/>
        <v>0</v>
      </c>
    </row>
    <row r="2506" spans="24:25" x14ac:dyDescent="0.3">
      <c r="X2506" s="1">
        <f t="shared" si="78"/>
        <v>0</v>
      </c>
      <c r="Y2506" s="1">
        <f t="shared" si="79"/>
        <v>0</v>
      </c>
    </row>
    <row r="2507" spans="24:25" x14ac:dyDescent="0.3">
      <c r="X2507" s="1">
        <f t="shared" si="78"/>
        <v>0</v>
      </c>
      <c r="Y2507" s="1">
        <f t="shared" si="79"/>
        <v>0</v>
      </c>
    </row>
    <row r="2508" spans="24:25" x14ac:dyDescent="0.3">
      <c r="X2508" s="1">
        <f t="shared" si="78"/>
        <v>0</v>
      </c>
      <c r="Y2508" s="1">
        <f t="shared" si="79"/>
        <v>0</v>
      </c>
    </row>
    <row r="2509" spans="24:25" x14ac:dyDescent="0.3">
      <c r="X2509" s="1">
        <f t="shared" si="78"/>
        <v>0</v>
      </c>
      <c r="Y2509" s="1">
        <f t="shared" si="79"/>
        <v>0</v>
      </c>
    </row>
    <row r="2510" spans="24:25" x14ac:dyDescent="0.3">
      <c r="X2510" s="1">
        <f t="shared" si="78"/>
        <v>0</v>
      </c>
      <c r="Y2510" s="1">
        <f t="shared" si="79"/>
        <v>0</v>
      </c>
    </row>
    <row r="2511" spans="24:25" x14ac:dyDescent="0.3">
      <c r="X2511" s="1">
        <f t="shared" si="78"/>
        <v>0</v>
      </c>
      <c r="Y2511" s="1">
        <f t="shared" si="79"/>
        <v>0</v>
      </c>
    </row>
    <row r="2512" spans="24:25" x14ac:dyDescent="0.3">
      <c r="X2512" s="1">
        <f t="shared" si="78"/>
        <v>0</v>
      </c>
      <c r="Y2512" s="1">
        <f t="shared" si="79"/>
        <v>0</v>
      </c>
    </row>
    <row r="2513" spans="24:25" x14ac:dyDescent="0.3">
      <c r="X2513" s="1">
        <f t="shared" si="78"/>
        <v>0</v>
      </c>
      <c r="Y2513" s="1">
        <f t="shared" si="79"/>
        <v>0</v>
      </c>
    </row>
    <row r="2514" spans="24:25" x14ac:dyDescent="0.3">
      <c r="X2514" s="1">
        <f t="shared" si="78"/>
        <v>0</v>
      </c>
      <c r="Y2514" s="1">
        <f t="shared" si="79"/>
        <v>0</v>
      </c>
    </row>
    <row r="2515" spans="24:25" x14ac:dyDescent="0.3">
      <c r="X2515" s="1">
        <f t="shared" si="78"/>
        <v>0</v>
      </c>
      <c r="Y2515" s="1">
        <f t="shared" si="79"/>
        <v>0</v>
      </c>
    </row>
    <row r="2516" spans="24:25" x14ac:dyDescent="0.3">
      <c r="X2516" s="1">
        <f t="shared" si="78"/>
        <v>0</v>
      </c>
      <c r="Y2516" s="1">
        <f t="shared" si="79"/>
        <v>0</v>
      </c>
    </row>
    <row r="2517" spans="24:25" x14ac:dyDescent="0.3">
      <c r="X2517" s="1">
        <f t="shared" si="78"/>
        <v>0</v>
      </c>
      <c r="Y2517" s="1">
        <f t="shared" si="79"/>
        <v>0</v>
      </c>
    </row>
    <row r="2518" spans="24:25" x14ac:dyDescent="0.3">
      <c r="X2518" s="1">
        <f t="shared" si="78"/>
        <v>0</v>
      </c>
      <c r="Y2518" s="1">
        <f t="shared" si="79"/>
        <v>0</v>
      </c>
    </row>
    <row r="2519" spans="24:25" x14ac:dyDescent="0.3">
      <c r="X2519" s="1">
        <f t="shared" si="78"/>
        <v>0</v>
      </c>
      <c r="Y2519" s="1">
        <f t="shared" si="79"/>
        <v>0</v>
      </c>
    </row>
    <row r="2520" spans="24:25" x14ac:dyDescent="0.3">
      <c r="X2520" s="1">
        <f t="shared" si="78"/>
        <v>0</v>
      </c>
      <c r="Y2520" s="1">
        <f t="shared" si="79"/>
        <v>0</v>
      </c>
    </row>
    <row r="2521" spans="24:25" x14ac:dyDescent="0.3">
      <c r="X2521" s="1">
        <f t="shared" si="78"/>
        <v>0</v>
      </c>
      <c r="Y2521" s="1">
        <f t="shared" si="79"/>
        <v>0</v>
      </c>
    </row>
    <row r="2522" spans="24:25" x14ac:dyDescent="0.3">
      <c r="X2522" s="1">
        <f t="shared" si="78"/>
        <v>0</v>
      </c>
      <c r="Y2522" s="1">
        <f t="shared" si="79"/>
        <v>0</v>
      </c>
    </row>
    <row r="2523" spans="24:25" x14ac:dyDescent="0.3">
      <c r="X2523" s="1">
        <f t="shared" si="78"/>
        <v>0</v>
      </c>
      <c r="Y2523" s="1">
        <f t="shared" si="79"/>
        <v>0</v>
      </c>
    </row>
    <row r="2524" spans="24:25" x14ac:dyDescent="0.3">
      <c r="X2524" s="1">
        <f t="shared" si="78"/>
        <v>0</v>
      </c>
      <c r="Y2524" s="1">
        <f t="shared" si="79"/>
        <v>0</v>
      </c>
    </row>
    <row r="2525" spans="24:25" x14ac:dyDescent="0.3">
      <c r="X2525" s="1">
        <f t="shared" si="78"/>
        <v>0</v>
      </c>
      <c r="Y2525" s="1">
        <f t="shared" si="79"/>
        <v>0</v>
      </c>
    </row>
    <row r="2526" spans="24:25" x14ac:dyDescent="0.3">
      <c r="X2526" s="1">
        <f t="shared" si="78"/>
        <v>0</v>
      </c>
      <c r="Y2526" s="1">
        <f t="shared" si="79"/>
        <v>0</v>
      </c>
    </row>
    <row r="2527" spans="24:25" x14ac:dyDescent="0.3">
      <c r="X2527" s="1">
        <f t="shared" si="78"/>
        <v>0</v>
      </c>
      <c r="Y2527" s="1">
        <f t="shared" si="79"/>
        <v>0</v>
      </c>
    </row>
    <row r="2528" spans="24:25" x14ac:dyDescent="0.3">
      <c r="X2528" s="1">
        <f t="shared" si="78"/>
        <v>0</v>
      </c>
      <c r="Y2528" s="1">
        <f t="shared" si="79"/>
        <v>0</v>
      </c>
    </row>
    <row r="2529" spans="24:25" x14ac:dyDescent="0.3">
      <c r="X2529" s="1">
        <f t="shared" si="78"/>
        <v>0</v>
      </c>
      <c r="Y2529" s="1">
        <f t="shared" si="79"/>
        <v>0</v>
      </c>
    </row>
    <row r="2530" spans="24:25" x14ac:dyDescent="0.3">
      <c r="X2530" s="1">
        <f t="shared" si="78"/>
        <v>0</v>
      </c>
      <c r="Y2530" s="1">
        <f t="shared" si="79"/>
        <v>0</v>
      </c>
    </row>
    <row r="2531" spans="24:25" x14ac:dyDescent="0.3">
      <c r="X2531" s="1">
        <f t="shared" si="78"/>
        <v>0</v>
      </c>
      <c r="Y2531" s="1">
        <f t="shared" si="79"/>
        <v>0</v>
      </c>
    </row>
    <row r="2532" spans="24:25" x14ac:dyDescent="0.3">
      <c r="X2532" s="1">
        <f t="shared" si="78"/>
        <v>0</v>
      </c>
      <c r="Y2532" s="1">
        <f t="shared" si="79"/>
        <v>0</v>
      </c>
    </row>
    <row r="2533" spans="24:25" x14ac:dyDescent="0.3">
      <c r="X2533" s="1">
        <f t="shared" si="78"/>
        <v>0</v>
      </c>
      <c r="Y2533" s="1">
        <f t="shared" si="79"/>
        <v>0</v>
      </c>
    </row>
    <row r="2534" spans="24:25" x14ac:dyDescent="0.3">
      <c r="X2534" s="1">
        <f t="shared" si="78"/>
        <v>0</v>
      </c>
      <c r="Y2534" s="1">
        <f t="shared" si="79"/>
        <v>0</v>
      </c>
    </row>
    <row r="2535" spans="24:25" x14ac:dyDescent="0.3">
      <c r="X2535" s="1">
        <f t="shared" si="78"/>
        <v>0</v>
      </c>
      <c r="Y2535" s="1">
        <f t="shared" si="79"/>
        <v>0</v>
      </c>
    </row>
    <row r="2536" spans="24:25" x14ac:dyDescent="0.3">
      <c r="X2536" s="1">
        <f t="shared" si="78"/>
        <v>0</v>
      </c>
      <c r="Y2536" s="1">
        <f t="shared" si="79"/>
        <v>0</v>
      </c>
    </row>
    <row r="2537" spans="24:25" x14ac:dyDescent="0.3">
      <c r="X2537" s="1">
        <f t="shared" si="78"/>
        <v>0</v>
      </c>
      <c r="Y2537" s="1">
        <f t="shared" si="79"/>
        <v>0</v>
      </c>
    </row>
    <row r="2538" spans="24:25" x14ac:dyDescent="0.3">
      <c r="X2538" s="1">
        <f t="shared" si="78"/>
        <v>0</v>
      </c>
      <c r="Y2538" s="1">
        <f t="shared" si="79"/>
        <v>0</v>
      </c>
    </row>
    <row r="2539" spans="24:25" x14ac:dyDescent="0.3">
      <c r="X2539" s="1">
        <f t="shared" si="78"/>
        <v>0</v>
      </c>
      <c r="Y2539" s="1">
        <f t="shared" si="79"/>
        <v>0</v>
      </c>
    </row>
    <row r="2540" spans="24:25" x14ac:dyDescent="0.3">
      <c r="X2540" s="1">
        <f t="shared" si="78"/>
        <v>0</v>
      </c>
      <c r="Y2540" s="1">
        <f t="shared" si="79"/>
        <v>0</v>
      </c>
    </row>
    <row r="2541" spans="24:25" x14ac:dyDescent="0.3">
      <c r="X2541" s="1">
        <f t="shared" si="78"/>
        <v>0</v>
      </c>
      <c r="Y2541" s="1">
        <f t="shared" si="79"/>
        <v>0</v>
      </c>
    </row>
    <row r="2542" spans="24:25" x14ac:dyDescent="0.3">
      <c r="X2542" s="1">
        <f t="shared" si="78"/>
        <v>0</v>
      </c>
      <c r="Y2542" s="1">
        <f t="shared" si="79"/>
        <v>0</v>
      </c>
    </row>
    <row r="2543" spans="24:25" x14ac:dyDescent="0.3">
      <c r="X2543" s="1">
        <f t="shared" si="78"/>
        <v>0</v>
      </c>
      <c r="Y2543" s="1">
        <f t="shared" si="79"/>
        <v>0</v>
      </c>
    </row>
    <row r="2544" spans="24:25" x14ac:dyDescent="0.3">
      <c r="X2544" s="1">
        <f t="shared" si="78"/>
        <v>0</v>
      </c>
      <c r="Y2544" s="1">
        <f t="shared" si="79"/>
        <v>0</v>
      </c>
    </row>
    <row r="2545" spans="24:25" x14ac:dyDescent="0.3">
      <c r="X2545" s="1">
        <f t="shared" si="78"/>
        <v>0</v>
      </c>
      <c r="Y2545" s="1">
        <f t="shared" si="79"/>
        <v>0</v>
      </c>
    </row>
    <row r="2546" spans="24:25" x14ac:dyDescent="0.3">
      <c r="X2546" s="1">
        <f t="shared" si="78"/>
        <v>0</v>
      </c>
      <c r="Y2546" s="1">
        <f t="shared" si="79"/>
        <v>0</v>
      </c>
    </row>
    <row r="2547" spans="24:25" x14ac:dyDescent="0.3">
      <c r="X2547" s="1">
        <f t="shared" si="78"/>
        <v>0</v>
      </c>
      <c r="Y2547" s="1">
        <f t="shared" si="79"/>
        <v>0</v>
      </c>
    </row>
    <row r="2548" spans="24:25" x14ac:dyDescent="0.3">
      <c r="X2548" s="1">
        <f t="shared" si="78"/>
        <v>0</v>
      </c>
      <c r="Y2548" s="1">
        <f t="shared" si="79"/>
        <v>0</v>
      </c>
    </row>
    <row r="2549" spans="24:25" x14ac:dyDescent="0.3">
      <c r="X2549" s="1">
        <f t="shared" si="78"/>
        <v>0</v>
      </c>
      <c r="Y2549" s="1">
        <f t="shared" si="79"/>
        <v>0</v>
      </c>
    </row>
    <row r="2550" spans="24:25" x14ac:dyDescent="0.3">
      <c r="X2550" s="1">
        <f t="shared" si="78"/>
        <v>0</v>
      </c>
      <c r="Y2550" s="1">
        <f t="shared" si="79"/>
        <v>0</v>
      </c>
    </row>
    <row r="2551" spans="24:25" x14ac:dyDescent="0.3">
      <c r="X2551" s="1">
        <f t="shared" si="78"/>
        <v>0</v>
      </c>
      <c r="Y2551" s="1">
        <f t="shared" si="79"/>
        <v>0</v>
      </c>
    </row>
    <row r="2552" spans="24:25" x14ac:dyDescent="0.3">
      <c r="X2552" s="1">
        <f t="shared" si="78"/>
        <v>0</v>
      </c>
      <c r="Y2552" s="1">
        <f t="shared" si="79"/>
        <v>0</v>
      </c>
    </row>
    <row r="2553" spans="24:25" x14ac:dyDescent="0.3">
      <c r="X2553" s="1">
        <f t="shared" si="78"/>
        <v>0</v>
      </c>
      <c r="Y2553" s="1">
        <f t="shared" si="79"/>
        <v>0</v>
      </c>
    </row>
    <row r="2554" spans="24:25" x14ac:dyDescent="0.3">
      <c r="X2554" s="1">
        <f t="shared" si="78"/>
        <v>0</v>
      </c>
      <c r="Y2554" s="1">
        <f t="shared" si="79"/>
        <v>0</v>
      </c>
    </row>
    <row r="2555" spans="24:25" x14ac:dyDescent="0.3">
      <c r="X2555" s="1">
        <f t="shared" si="78"/>
        <v>0</v>
      </c>
      <c r="Y2555" s="1">
        <f t="shared" si="79"/>
        <v>0</v>
      </c>
    </row>
    <row r="2556" spans="24:25" x14ac:dyDescent="0.3">
      <c r="X2556" s="1">
        <f t="shared" si="78"/>
        <v>0</v>
      </c>
      <c r="Y2556" s="1">
        <f t="shared" si="79"/>
        <v>0</v>
      </c>
    </row>
    <row r="2557" spans="24:25" x14ac:dyDescent="0.3">
      <c r="X2557" s="1">
        <f t="shared" si="78"/>
        <v>0</v>
      </c>
      <c r="Y2557" s="1">
        <f t="shared" si="79"/>
        <v>0</v>
      </c>
    </row>
    <row r="2558" spans="24:25" x14ac:dyDescent="0.3">
      <c r="X2558" s="1">
        <f t="shared" si="78"/>
        <v>0</v>
      </c>
      <c r="Y2558" s="1">
        <f t="shared" si="79"/>
        <v>0</v>
      </c>
    </row>
    <row r="2559" spans="24:25" x14ac:dyDescent="0.3">
      <c r="X2559" s="1">
        <f t="shared" si="78"/>
        <v>0</v>
      </c>
      <c r="Y2559" s="1">
        <f t="shared" si="79"/>
        <v>0</v>
      </c>
    </row>
    <row r="2560" spans="24:25" x14ac:dyDescent="0.3">
      <c r="X2560" s="1">
        <f t="shared" si="78"/>
        <v>0</v>
      </c>
      <c r="Y2560" s="1">
        <f t="shared" si="79"/>
        <v>0</v>
      </c>
    </row>
    <row r="2561" spans="24:25" x14ac:dyDescent="0.3">
      <c r="X2561" s="1">
        <f t="shared" si="78"/>
        <v>0</v>
      </c>
      <c r="Y2561" s="1">
        <f t="shared" si="79"/>
        <v>0</v>
      </c>
    </row>
    <row r="2562" spans="24:25" x14ac:dyDescent="0.3">
      <c r="X2562" s="1">
        <f t="shared" si="78"/>
        <v>0</v>
      </c>
      <c r="Y2562" s="1">
        <f t="shared" si="79"/>
        <v>0</v>
      </c>
    </row>
    <row r="2563" spans="24:25" x14ac:dyDescent="0.3">
      <c r="X2563" s="1">
        <f t="shared" ref="X2563:X2626" si="80">IFERROR(MATCH(W2563,$B:$B,0),0)</f>
        <v>0</v>
      </c>
      <c r="Y2563" s="1">
        <f t="shared" ref="Y2563:Y2626" si="81">IF(X2564=0,COUNTA(A:A),X2564-1)</f>
        <v>0</v>
      </c>
    </row>
    <row r="2564" spans="24:25" x14ac:dyDescent="0.3">
      <c r="X2564" s="1">
        <f t="shared" si="80"/>
        <v>0</v>
      </c>
      <c r="Y2564" s="1">
        <f t="shared" si="81"/>
        <v>0</v>
      </c>
    </row>
    <row r="2565" spans="24:25" x14ac:dyDescent="0.3">
      <c r="X2565" s="1">
        <f t="shared" si="80"/>
        <v>0</v>
      </c>
      <c r="Y2565" s="1">
        <f t="shared" si="81"/>
        <v>0</v>
      </c>
    </row>
    <row r="2566" spans="24:25" x14ac:dyDescent="0.3">
      <c r="X2566" s="1">
        <f t="shared" si="80"/>
        <v>0</v>
      </c>
      <c r="Y2566" s="1">
        <f t="shared" si="81"/>
        <v>0</v>
      </c>
    </row>
    <row r="2567" spans="24:25" x14ac:dyDescent="0.3">
      <c r="X2567" s="1">
        <f t="shared" si="80"/>
        <v>0</v>
      </c>
      <c r="Y2567" s="1">
        <f t="shared" si="81"/>
        <v>0</v>
      </c>
    </row>
    <row r="2568" spans="24:25" x14ac:dyDescent="0.3">
      <c r="X2568" s="1">
        <f t="shared" si="80"/>
        <v>0</v>
      </c>
      <c r="Y2568" s="1">
        <f t="shared" si="81"/>
        <v>0</v>
      </c>
    </row>
    <row r="2569" spans="24:25" x14ac:dyDescent="0.3">
      <c r="X2569" s="1">
        <f t="shared" si="80"/>
        <v>0</v>
      </c>
      <c r="Y2569" s="1">
        <f t="shared" si="81"/>
        <v>0</v>
      </c>
    </row>
    <row r="2570" spans="24:25" x14ac:dyDescent="0.3">
      <c r="X2570" s="1">
        <f t="shared" si="80"/>
        <v>0</v>
      </c>
      <c r="Y2570" s="1">
        <f t="shared" si="81"/>
        <v>0</v>
      </c>
    </row>
    <row r="2571" spans="24:25" x14ac:dyDescent="0.3">
      <c r="X2571" s="1">
        <f t="shared" si="80"/>
        <v>0</v>
      </c>
      <c r="Y2571" s="1">
        <f t="shared" si="81"/>
        <v>0</v>
      </c>
    </row>
    <row r="2572" spans="24:25" x14ac:dyDescent="0.3">
      <c r="X2572" s="1">
        <f t="shared" si="80"/>
        <v>0</v>
      </c>
      <c r="Y2572" s="1">
        <f t="shared" si="81"/>
        <v>0</v>
      </c>
    </row>
    <row r="2573" spans="24:25" x14ac:dyDescent="0.3">
      <c r="X2573" s="1">
        <f t="shared" si="80"/>
        <v>0</v>
      </c>
      <c r="Y2573" s="1">
        <f t="shared" si="81"/>
        <v>0</v>
      </c>
    </row>
    <row r="2574" spans="24:25" x14ac:dyDescent="0.3">
      <c r="X2574" s="1">
        <f t="shared" si="80"/>
        <v>0</v>
      </c>
      <c r="Y2574" s="1">
        <f t="shared" si="81"/>
        <v>0</v>
      </c>
    </row>
    <row r="2575" spans="24:25" x14ac:dyDescent="0.3">
      <c r="X2575" s="1">
        <f t="shared" si="80"/>
        <v>0</v>
      </c>
      <c r="Y2575" s="1">
        <f t="shared" si="81"/>
        <v>0</v>
      </c>
    </row>
    <row r="2576" spans="24:25" x14ac:dyDescent="0.3">
      <c r="X2576" s="1">
        <f t="shared" si="80"/>
        <v>0</v>
      </c>
      <c r="Y2576" s="1">
        <f t="shared" si="81"/>
        <v>0</v>
      </c>
    </row>
    <row r="2577" spans="24:25" x14ac:dyDescent="0.3">
      <c r="X2577" s="1">
        <f t="shared" si="80"/>
        <v>0</v>
      </c>
      <c r="Y2577" s="1">
        <f t="shared" si="81"/>
        <v>0</v>
      </c>
    </row>
    <row r="2578" spans="24:25" x14ac:dyDescent="0.3">
      <c r="X2578" s="1">
        <f t="shared" si="80"/>
        <v>0</v>
      </c>
      <c r="Y2578" s="1">
        <f t="shared" si="81"/>
        <v>0</v>
      </c>
    </row>
    <row r="2579" spans="24:25" x14ac:dyDescent="0.3">
      <c r="X2579" s="1">
        <f t="shared" si="80"/>
        <v>0</v>
      </c>
      <c r="Y2579" s="1">
        <f t="shared" si="81"/>
        <v>0</v>
      </c>
    </row>
    <row r="2580" spans="24:25" x14ac:dyDescent="0.3">
      <c r="X2580" s="1">
        <f t="shared" si="80"/>
        <v>0</v>
      </c>
      <c r="Y2580" s="1">
        <f t="shared" si="81"/>
        <v>0</v>
      </c>
    </row>
    <row r="2581" spans="24:25" x14ac:dyDescent="0.3">
      <c r="X2581" s="1">
        <f t="shared" si="80"/>
        <v>0</v>
      </c>
      <c r="Y2581" s="1">
        <f t="shared" si="81"/>
        <v>0</v>
      </c>
    </row>
    <row r="2582" spans="24:25" x14ac:dyDescent="0.3">
      <c r="X2582" s="1">
        <f t="shared" si="80"/>
        <v>0</v>
      </c>
      <c r="Y2582" s="1">
        <f t="shared" si="81"/>
        <v>0</v>
      </c>
    </row>
    <row r="2583" spans="24:25" x14ac:dyDescent="0.3">
      <c r="X2583" s="1">
        <f t="shared" si="80"/>
        <v>0</v>
      </c>
      <c r="Y2583" s="1">
        <f t="shared" si="81"/>
        <v>0</v>
      </c>
    </row>
    <row r="2584" spans="24:25" x14ac:dyDescent="0.3">
      <c r="X2584" s="1">
        <f t="shared" si="80"/>
        <v>0</v>
      </c>
      <c r="Y2584" s="1">
        <f t="shared" si="81"/>
        <v>0</v>
      </c>
    </row>
    <row r="2585" spans="24:25" x14ac:dyDescent="0.3">
      <c r="X2585" s="1">
        <f t="shared" si="80"/>
        <v>0</v>
      </c>
      <c r="Y2585" s="1">
        <f t="shared" si="81"/>
        <v>0</v>
      </c>
    </row>
    <row r="2586" spans="24:25" x14ac:dyDescent="0.3">
      <c r="X2586" s="1">
        <f t="shared" si="80"/>
        <v>0</v>
      </c>
      <c r="Y2586" s="1">
        <f t="shared" si="81"/>
        <v>0</v>
      </c>
    </row>
    <row r="2587" spans="24:25" x14ac:dyDescent="0.3">
      <c r="X2587" s="1">
        <f t="shared" si="80"/>
        <v>0</v>
      </c>
      <c r="Y2587" s="1">
        <f t="shared" si="81"/>
        <v>0</v>
      </c>
    </row>
    <row r="2588" spans="24:25" x14ac:dyDescent="0.3">
      <c r="X2588" s="1">
        <f t="shared" si="80"/>
        <v>0</v>
      </c>
      <c r="Y2588" s="1">
        <f t="shared" si="81"/>
        <v>0</v>
      </c>
    </row>
    <row r="2589" spans="24:25" x14ac:dyDescent="0.3">
      <c r="X2589" s="1">
        <f t="shared" si="80"/>
        <v>0</v>
      </c>
      <c r="Y2589" s="1">
        <f t="shared" si="81"/>
        <v>0</v>
      </c>
    </row>
    <row r="2590" spans="24:25" x14ac:dyDescent="0.3">
      <c r="X2590" s="1">
        <f t="shared" si="80"/>
        <v>0</v>
      </c>
      <c r="Y2590" s="1">
        <f t="shared" si="81"/>
        <v>0</v>
      </c>
    </row>
    <row r="2591" spans="24:25" x14ac:dyDescent="0.3">
      <c r="X2591" s="1">
        <f t="shared" si="80"/>
        <v>0</v>
      </c>
      <c r="Y2591" s="1">
        <f t="shared" si="81"/>
        <v>0</v>
      </c>
    </row>
    <row r="2592" spans="24:25" x14ac:dyDescent="0.3">
      <c r="X2592" s="1">
        <f t="shared" si="80"/>
        <v>0</v>
      </c>
      <c r="Y2592" s="1">
        <f t="shared" si="81"/>
        <v>0</v>
      </c>
    </row>
    <row r="2593" spans="24:25" x14ac:dyDescent="0.3">
      <c r="X2593" s="1">
        <f t="shared" si="80"/>
        <v>0</v>
      </c>
      <c r="Y2593" s="1">
        <f t="shared" si="81"/>
        <v>0</v>
      </c>
    </row>
    <row r="2594" spans="24:25" x14ac:dyDescent="0.3">
      <c r="X2594" s="1">
        <f t="shared" si="80"/>
        <v>0</v>
      </c>
      <c r="Y2594" s="1">
        <f t="shared" si="81"/>
        <v>0</v>
      </c>
    </row>
    <row r="2595" spans="24:25" x14ac:dyDescent="0.3">
      <c r="X2595" s="1">
        <f t="shared" si="80"/>
        <v>0</v>
      </c>
      <c r="Y2595" s="1">
        <f t="shared" si="81"/>
        <v>0</v>
      </c>
    </row>
    <row r="2596" spans="24:25" x14ac:dyDescent="0.3">
      <c r="X2596" s="1">
        <f t="shared" si="80"/>
        <v>0</v>
      </c>
      <c r="Y2596" s="1">
        <f t="shared" si="81"/>
        <v>0</v>
      </c>
    </row>
    <row r="2597" spans="24:25" x14ac:dyDescent="0.3">
      <c r="X2597" s="1">
        <f t="shared" si="80"/>
        <v>0</v>
      </c>
      <c r="Y2597" s="1">
        <f t="shared" si="81"/>
        <v>0</v>
      </c>
    </row>
    <row r="2598" spans="24:25" x14ac:dyDescent="0.3">
      <c r="X2598" s="1">
        <f t="shared" si="80"/>
        <v>0</v>
      </c>
      <c r="Y2598" s="1">
        <f t="shared" si="81"/>
        <v>0</v>
      </c>
    </row>
    <row r="2599" spans="24:25" x14ac:dyDescent="0.3">
      <c r="X2599" s="1">
        <f t="shared" si="80"/>
        <v>0</v>
      </c>
      <c r="Y2599" s="1">
        <f t="shared" si="81"/>
        <v>0</v>
      </c>
    </row>
    <row r="2600" spans="24:25" x14ac:dyDescent="0.3">
      <c r="X2600" s="1">
        <f t="shared" si="80"/>
        <v>0</v>
      </c>
      <c r="Y2600" s="1">
        <f t="shared" si="81"/>
        <v>0</v>
      </c>
    </row>
    <row r="2601" spans="24:25" x14ac:dyDescent="0.3">
      <c r="X2601" s="1">
        <f t="shared" si="80"/>
        <v>0</v>
      </c>
      <c r="Y2601" s="1">
        <f t="shared" si="81"/>
        <v>0</v>
      </c>
    </row>
    <row r="2602" spans="24:25" x14ac:dyDescent="0.3">
      <c r="X2602" s="1">
        <f t="shared" si="80"/>
        <v>0</v>
      </c>
      <c r="Y2602" s="1">
        <f t="shared" si="81"/>
        <v>0</v>
      </c>
    </row>
    <row r="2603" spans="24:25" x14ac:dyDescent="0.3">
      <c r="X2603" s="1">
        <f t="shared" si="80"/>
        <v>0</v>
      </c>
      <c r="Y2603" s="1">
        <f t="shared" si="81"/>
        <v>0</v>
      </c>
    </row>
    <row r="2604" spans="24:25" x14ac:dyDescent="0.3">
      <c r="X2604" s="1">
        <f t="shared" si="80"/>
        <v>0</v>
      </c>
      <c r="Y2604" s="1">
        <f t="shared" si="81"/>
        <v>0</v>
      </c>
    </row>
    <row r="2605" spans="24:25" x14ac:dyDescent="0.3">
      <c r="X2605" s="1">
        <f t="shared" si="80"/>
        <v>0</v>
      </c>
      <c r="Y2605" s="1">
        <f t="shared" si="81"/>
        <v>0</v>
      </c>
    </row>
    <row r="2606" spans="24:25" x14ac:dyDescent="0.3">
      <c r="X2606" s="1">
        <f t="shared" si="80"/>
        <v>0</v>
      </c>
      <c r="Y2606" s="1">
        <f t="shared" si="81"/>
        <v>0</v>
      </c>
    </row>
    <row r="2607" spans="24:25" x14ac:dyDescent="0.3">
      <c r="X2607" s="1">
        <f t="shared" si="80"/>
        <v>0</v>
      </c>
      <c r="Y2607" s="1">
        <f t="shared" si="81"/>
        <v>0</v>
      </c>
    </row>
    <row r="2608" spans="24:25" x14ac:dyDescent="0.3">
      <c r="X2608" s="1">
        <f t="shared" si="80"/>
        <v>0</v>
      </c>
      <c r="Y2608" s="1">
        <f t="shared" si="81"/>
        <v>0</v>
      </c>
    </row>
    <row r="2609" spans="24:25" x14ac:dyDescent="0.3">
      <c r="X2609" s="1">
        <f t="shared" si="80"/>
        <v>0</v>
      </c>
      <c r="Y2609" s="1">
        <f t="shared" si="81"/>
        <v>0</v>
      </c>
    </row>
    <row r="2610" spans="24:25" x14ac:dyDescent="0.3">
      <c r="X2610" s="1">
        <f t="shared" si="80"/>
        <v>0</v>
      </c>
      <c r="Y2610" s="1">
        <f t="shared" si="81"/>
        <v>0</v>
      </c>
    </row>
    <row r="2611" spans="24:25" x14ac:dyDescent="0.3">
      <c r="X2611" s="1">
        <f t="shared" si="80"/>
        <v>0</v>
      </c>
      <c r="Y2611" s="1">
        <f t="shared" si="81"/>
        <v>0</v>
      </c>
    </row>
    <row r="2612" spans="24:25" x14ac:dyDescent="0.3">
      <c r="X2612" s="1">
        <f t="shared" si="80"/>
        <v>0</v>
      </c>
      <c r="Y2612" s="1">
        <f t="shared" si="81"/>
        <v>0</v>
      </c>
    </row>
    <row r="2613" spans="24:25" x14ac:dyDescent="0.3">
      <c r="X2613" s="1">
        <f t="shared" si="80"/>
        <v>0</v>
      </c>
      <c r="Y2613" s="1">
        <f t="shared" si="81"/>
        <v>0</v>
      </c>
    </row>
    <row r="2614" spans="24:25" x14ac:dyDescent="0.3">
      <c r="X2614" s="1">
        <f t="shared" si="80"/>
        <v>0</v>
      </c>
      <c r="Y2614" s="1">
        <f t="shared" si="81"/>
        <v>0</v>
      </c>
    </row>
    <row r="2615" spans="24:25" x14ac:dyDescent="0.3">
      <c r="X2615" s="1">
        <f t="shared" si="80"/>
        <v>0</v>
      </c>
      <c r="Y2615" s="1">
        <f t="shared" si="81"/>
        <v>0</v>
      </c>
    </row>
    <row r="2616" spans="24:25" x14ac:dyDescent="0.3">
      <c r="X2616" s="1">
        <f t="shared" si="80"/>
        <v>0</v>
      </c>
      <c r="Y2616" s="1">
        <f t="shared" si="81"/>
        <v>0</v>
      </c>
    </row>
    <row r="2617" spans="24:25" x14ac:dyDescent="0.3">
      <c r="X2617" s="1">
        <f t="shared" si="80"/>
        <v>0</v>
      </c>
      <c r="Y2617" s="1">
        <f t="shared" si="81"/>
        <v>0</v>
      </c>
    </row>
    <row r="2618" spans="24:25" x14ac:dyDescent="0.3">
      <c r="X2618" s="1">
        <f t="shared" si="80"/>
        <v>0</v>
      </c>
      <c r="Y2618" s="1">
        <f t="shared" si="81"/>
        <v>0</v>
      </c>
    </row>
    <row r="2619" spans="24:25" x14ac:dyDescent="0.3">
      <c r="X2619" s="1">
        <f t="shared" si="80"/>
        <v>0</v>
      </c>
      <c r="Y2619" s="1">
        <f t="shared" si="81"/>
        <v>0</v>
      </c>
    </row>
    <row r="2620" spans="24:25" x14ac:dyDescent="0.3">
      <c r="X2620" s="1">
        <f t="shared" si="80"/>
        <v>0</v>
      </c>
      <c r="Y2620" s="1">
        <f t="shared" si="81"/>
        <v>0</v>
      </c>
    </row>
    <row r="2621" spans="24:25" x14ac:dyDescent="0.3">
      <c r="X2621" s="1">
        <f t="shared" si="80"/>
        <v>0</v>
      </c>
      <c r="Y2621" s="1">
        <f t="shared" si="81"/>
        <v>0</v>
      </c>
    </row>
    <row r="2622" spans="24:25" x14ac:dyDescent="0.3">
      <c r="X2622" s="1">
        <f t="shared" si="80"/>
        <v>0</v>
      </c>
      <c r="Y2622" s="1">
        <f t="shared" si="81"/>
        <v>0</v>
      </c>
    </row>
    <row r="2623" spans="24:25" x14ac:dyDescent="0.3">
      <c r="X2623" s="1">
        <f t="shared" si="80"/>
        <v>0</v>
      </c>
      <c r="Y2623" s="1">
        <f t="shared" si="81"/>
        <v>0</v>
      </c>
    </row>
    <row r="2624" spans="24:25" x14ac:dyDescent="0.3">
      <c r="X2624" s="1">
        <f t="shared" si="80"/>
        <v>0</v>
      </c>
      <c r="Y2624" s="1">
        <f t="shared" si="81"/>
        <v>0</v>
      </c>
    </row>
    <row r="2625" spans="24:25" x14ac:dyDescent="0.3">
      <c r="X2625" s="1">
        <f t="shared" si="80"/>
        <v>0</v>
      </c>
      <c r="Y2625" s="1">
        <f t="shared" si="81"/>
        <v>0</v>
      </c>
    </row>
    <row r="2626" spans="24:25" x14ac:dyDescent="0.3">
      <c r="X2626" s="1">
        <f t="shared" si="80"/>
        <v>0</v>
      </c>
      <c r="Y2626" s="1">
        <f t="shared" si="81"/>
        <v>0</v>
      </c>
    </row>
    <row r="2627" spans="24:25" x14ac:dyDescent="0.3">
      <c r="X2627" s="1">
        <f t="shared" ref="X2627:X2690" si="82">IFERROR(MATCH(W2627,$B:$B,0),0)</f>
        <v>0</v>
      </c>
      <c r="Y2627" s="1">
        <f t="shared" ref="Y2627:Y2690" si="83">IF(X2628=0,COUNTA(A:A),X2628-1)</f>
        <v>0</v>
      </c>
    </row>
    <row r="2628" spans="24:25" x14ac:dyDescent="0.3">
      <c r="X2628" s="1">
        <f t="shared" si="82"/>
        <v>0</v>
      </c>
      <c r="Y2628" s="1">
        <f t="shared" si="83"/>
        <v>0</v>
      </c>
    </row>
    <row r="2629" spans="24:25" x14ac:dyDescent="0.3">
      <c r="X2629" s="1">
        <f t="shared" si="82"/>
        <v>0</v>
      </c>
      <c r="Y2629" s="1">
        <f t="shared" si="83"/>
        <v>0</v>
      </c>
    </row>
    <row r="2630" spans="24:25" x14ac:dyDescent="0.3">
      <c r="X2630" s="1">
        <f t="shared" si="82"/>
        <v>0</v>
      </c>
      <c r="Y2630" s="1">
        <f t="shared" si="83"/>
        <v>0</v>
      </c>
    </row>
    <row r="2631" spans="24:25" x14ac:dyDescent="0.3">
      <c r="X2631" s="1">
        <f t="shared" si="82"/>
        <v>0</v>
      </c>
      <c r="Y2631" s="1">
        <f t="shared" si="83"/>
        <v>0</v>
      </c>
    </row>
    <row r="2632" spans="24:25" x14ac:dyDescent="0.3">
      <c r="X2632" s="1">
        <f t="shared" si="82"/>
        <v>0</v>
      </c>
      <c r="Y2632" s="1">
        <f t="shared" si="83"/>
        <v>0</v>
      </c>
    </row>
    <row r="2633" spans="24:25" x14ac:dyDescent="0.3">
      <c r="X2633" s="1">
        <f t="shared" si="82"/>
        <v>0</v>
      </c>
      <c r="Y2633" s="1">
        <f t="shared" si="83"/>
        <v>0</v>
      </c>
    </row>
    <row r="2634" spans="24:25" x14ac:dyDescent="0.3">
      <c r="X2634" s="1">
        <f t="shared" si="82"/>
        <v>0</v>
      </c>
      <c r="Y2634" s="1">
        <f t="shared" si="83"/>
        <v>0</v>
      </c>
    </row>
    <row r="2635" spans="24:25" x14ac:dyDescent="0.3">
      <c r="X2635" s="1">
        <f t="shared" si="82"/>
        <v>0</v>
      </c>
      <c r="Y2635" s="1">
        <f t="shared" si="83"/>
        <v>0</v>
      </c>
    </row>
    <row r="2636" spans="24:25" x14ac:dyDescent="0.3">
      <c r="X2636" s="1">
        <f t="shared" si="82"/>
        <v>0</v>
      </c>
      <c r="Y2636" s="1">
        <f t="shared" si="83"/>
        <v>0</v>
      </c>
    </row>
    <row r="2637" spans="24:25" x14ac:dyDescent="0.3">
      <c r="X2637" s="1">
        <f t="shared" si="82"/>
        <v>0</v>
      </c>
      <c r="Y2637" s="1">
        <f t="shared" si="83"/>
        <v>0</v>
      </c>
    </row>
    <row r="2638" spans="24:25" x14ac:dyDescent="0.3">
      <c r="X2638" s="1">
        <f t="shared" si="82"/>
        <v>0</v>
      </c>
      <c r="Y2638" s="1">
        <f t="shared" si="83"/>
        <v>0</v>
      </c>
    </row>
    <row r="2639" spans="24:25" x14ac:dyDescent="0.3">
      <c r="X2639" s="1">
        <f t="shared" si="82"/>
        <v>0</v>
      </c>
      <c r="Y2639" s="1">
        <f t="shared" si="83"/>
        <v>0</v>
      </c>
    </row>
    <row r="2640" spans="24:25" x14ac:dyDescent="0.3">
      <c r="X2640" s="1">
        <f t="shared" si="82"/>
        <v>0</v>
      </c>
      <c r="Y2640" s="1">
        <f t="shared" si="83"/>
        <v>0</v>
      </c>
    </row>
    <row r="2641" spans="24:25" x14ac:dyDescent="0.3">
      <c r="X2641" s="1">
        <f t="shared" si="82"/>
        <v>0</v>
      </c>
      <c r="Y2641" s="1">
        <f t="shared" si="83"/>
        <v>0</v>
      </c>
    </row>
    <row r="2642" spans="24:25" x14ac:dyDescent="0.3">
      <c r="X2642" s="1">
        <f t="shared" si="82"/>
        <v>0</v>
      </c>
      <c r="Y2642" s="1">
        <f t="shared" si="83"/>
        <v>0</v>
      </c>
    </row>
    <row r="2643" spans="24:25" x14ac:dyDescent="0.3">
      <c r="X2643" s="1">
        <f t="shared" si="82"/>
        <v>0</v>
      </c>
      <c r="Y2643" s="1">
        <f t="shared" si="83"/>
        <v>0</v>
      </c>
    </row>
    <row r="2644" spans="24:25" x14ac:dyDescent="0.3">
      <c r="X2644" s="1">
        <f t="shared" si="82"/>
        <v>0</v>
      </c>
      <c r="Y2644" s="1">
        <f t="shared" si="83"/>
        <v>0</v>
      </c>
    </row>
    <row r="2645" spans="24:25" x14ac:dyDescent="0.3">
      <c r="X2645" s="1">
        <f t="shared" si="82"/>
        <v>0</v>
      </c>
      <c r="Y2645" s="1">
        <f t="shared" si="83"/>
        <v>0</v>
      </c>
    </row>
    <row r="2646" spans="24:25" x14ac:dyDescent="0.3">
      <c r="X2646" s="1">
        <f t="shared" si="82"/>
        <v>0</v>
      </c>
      <c r="Y2646" s="1">
        <f t="shared" si="83"/>
        <v>0</v>
      </c>
    </row>
    <row r="2647" spans="24:25" x14ac:dyDescent="0.3">
      <c r="X2647" s="1">
        <f t="shared" si="82"/>
        <v>0</v>
      </c>
      <c r="Y2647" s="1">
        <f t="shared" si="83"/>
        <v>0</v>
      </c>
    </row>
    <row r="2648" spans="24:25" x14ac:dyDescent="0.3">
      <c r="X2648" s="1">
        <f t="shared" si="82"/>
        <v>0</v>
      </c>
      <c r="Y2648" s="1">
        <f t="shared" si="83"/>
        <v>0</v>
      </c>
    </row>
    <row r="2649" spans="24:25" x14ac:dyDescent="0.3">
      <c r="X2649" s="1">
        <f t="shared" si="82"/>
        <v>0</v>
      </c>
      <c r="Y2649" s="1">
        <f t="shared" si="83"/>
        <v>0</v>
      </c>
    </row>
    <row r="2650" spans="24:25" x14ac:dyDescent="0.3">
      <c r="X2650" s="1">
        <f t="shared" si="82"/>
        <v>0</v>
      </c>
      <c r="Y2650" s="1">
        <f t="shared" si="83"/>
        <v>0</v>
      </c>
    </row>
    <row r="2651" spans="24:25" x14ac:dyDescent="0.3">
      <c r="X2651" s="1">
        <f t="shared" si="82"/>
        <v>0</v>
      </c>
      <c r="Y2651" s="1">
        <f t="shared" si="83"/>
        <v>0</v>
      </c>
    </row>
    <row r="2652" spans="24:25" x14ac:dyDescent="0.3">
      <c r="X2652" s="1">
        <f t="shared" si="82"/>
        <v>0</v>
      </c>
      <c r="Y2652" s="1">
        <f t="shared" si="83"/>
        <v>0</v>
      </c>
    </row>
    <row r="2653" spans="24:25" x14ac:dyDescent="0.3">
      <c r="X2653" s="1">
        <f t="shared" si="82"/>
        <v>0</v>
      </c>
      <c r="Y2653" s="1">
        <f t="shared" si="83"/>
        <v>0</v>
      </c>
    </row>
    <row r="2654" spans="24:25" x14ac:dyDescent="0.3">
      <c r="X2654" s="1">
        <f t="shared" si="82"/>
        <v>0</v>
      </c>
      <c r="Y2654" s="1">
        <f t="shared" si="83"/>
        <v>0</v>
      </c>
    </row>
    <row r="2655" spans="24:25" x14ac:dyDescent="0.3">
      <c r="X2655" s="1">
        <f t="shared" si="82"/>
        <v>0</v>
      </c>
      <c r="Y2655" s="1">
        <f t="shared" si="83"/>
        <v>0</v>
      </c>
    </row>
    <row r="2656" spans="24:25" x14ac:dyDescent="0.3">
      <c r="X2656" s="1">
        <f t="shared" si="82"/>
        <v>0</v>
      </c>
      <c r="Y2656" s="1">
        <f t="shared" si="83"/>
        <v>0</v>
      </c>
    </row>
    <row r="2657" spans="24:25" x14ac:dyDescent="0.3">
      <c r="X2657" s="1">
        <f t="shared" si="82"/>
        <v>0</v>
      </c>
      <c r="Y2657" s="1">
        <f t="shared" si="83"/>
        <v>0</v>
      </c>
    </row>
    <row r="2658" spans="24:25" x14ac:dyDescent="0.3">
      <c r="X2658" s="1">
        <f t="shared" si="82"/>
        <v>0</v>
      </c>
      <c r="Y2658" s="1">
        <f t="shared" si="83"/>
        <v>0</v>
      </c>
    </row>
    <row r="2659" spans="24:25" x14ac:dyDescent="0.3">
      <c r="X2659" s="1">
        <f t="shared" si="82"/>
        <v>0</v>
      </c>
      <c r="Y2659" s="1">
        <f t="shared" si="83"/>
        <v>0</v>
      </c>
    </row>
    <row r="2660" spans="24:25" x14ac:dyDescent="0.3">
      <c r="X2660" s="1">
        <f t="shared" si="82"/>
        <v>0</v>
      </c>
      <c r="Y2660" s="1">
        <f t="shared" si="83"/>
        <v>0</v>
      </c>
    </row>
    <row r="2661" spans="24:25" x14ac:dyDescent="0.3">
      <c r="X2661" s="1">
        <f t="shared" si="82"/>
        <v>0</v>
      </c>
      <c r="Y2661" s="1">
        <f t="shared" si="83"/>
        <v>0</v>
      </c>
    </row>
    <row r="2662" spans="24:25" x14ac:dyDescent="0.3">
      <c r="X2662" s="1">
        <f t="shared" si="82"/>
        <v>0</v>
      </c>
      <c r="Y2662" s="1">
        <f t="shared" si="83"/>
        <v>0</v>
      </c>
    </row>
    <row r="2663" spans="24:25" x14ac:dyDescent="0.3">
      <c r="X2663" s="1">
        <f t="shared" si="82"/>
        <v>0</v>
      </c>
      <c r="Y2663" s="1">
        <f t="shared" si="83"/>
        <v>0</v>
      </c>
    </row>
    <row r="2664" spans="24:25" x14ac:dyDescent="0.3">
      <c r="X2664" s="1">
        <f t="shared" si="82"/>
        <v>0</v>
      </c>
      <c r="Y2664" s="1">
        <f t="shared" si="83"/>
        <v>0</v>
      </c>
    </row>
    <row r="2665" spans="24:25" x14ac:dyDescent="0.3">
      <c r="X2665" s="1">
        <f t="shared" si="82"/>
        <v>0</v>
      </c>
      <c r="Y2665" s="1">
        <f t="shared" si="83"/>
        <v>0</v>
      </c>
    </row>
    <row r="2666" spans="24:25" x14ac:dyDescent="0.3">
      <c r="X2666" s="1">
        <f t="shared" si="82"/>
        <v>0</v>
      </c>
      <c r="Y2666" s="1">
        <f t="shared" si="83"/>
        <v>0</v>
      </c>
    </row>
    <row r="2667" spans="24:25" x14ac:dyDescent="0.3">
      <c r="X2667" s="1">
        <f t="shared" si="82"/>
        <v>0</v>
      </c>
      <c r="Y2667" s="1">
        <f t="shared" si="83"/>
        <v>0</v>
      </c>
    </row>
    <row r="2668" spans="24:25" x14ac:dyDescent="0.3">
      <c r="X2668" s="1">
        <f t="shared" si="82"/>
        <v>0</v>
      </c>
      <c r="Y2668" s="1">
        <f t="shared" si="83"/>
        <v>0</v>
      </c>
    </row>
    <row r="2669" spans="24:25" x14ac:dyDescent="0.3">
      <c r="X2669" s="1">
        <f t="shared" si="82"/>
        <v>0</v>
      </c>
      <c r="Y2669" s="1">
        <f t="shared" si="83"/>
        <v>0</v>
      </c>
    </row>
    <row r="2670" spans="24:25" x14ac:dyDescent="0.3">
      <c r="X2670" s="1">
        <f t="shared" si="82"/>
        <v>0</v>
      </c>
      <c r="Y2670" s="1">
        <f t="shared" si="83"/>
        <v>0</v>
      </c>
    </row>
    <row r="2671" spans="24:25" x14ac:dyDescent="0.3">
      <c r="X2671" s="1">
        <f t="shared" si="82"/>
        <v>0</v>
      </c>
      <c r="Y2671" s="1">
        <f t="shared" si="83"/>
        <v>0</v>
      </c>
    </row>
    <row r="2672" spans="24:25" x14ac:dyDescent="0.3">
      <c r="X2672" s="1">
        <f t="shared" si="82"/>
        <v>0</v>
      </c>
      <c r="Y2672" s="1">
        <f t="shared" si="83"/>
        <v>0</v>
      </c>
    </row>
    <row r="2673" spans="24:25" x14ac:dyDescent="0.3">
      <c r="X2673" s="1">
        <f t="shared" si="82"/>
        <v>0</v>
      </c>
      <c r="Y2673" s="1">
        <f t="shared" si="83"/>
        <v>0</v>
      </c>
    </row>
    <row r="2674" spans="24:25" x14ac:dyDescent="0.3">
      <c r="X2674" s="1">
        <f t="shared" si="82"/>
        <v>0</v>
      </c>
      <c r="Y2674" s="1">
        <f t="shared" si="83"/>
        <v>0</v>
      </c>
    </row>
    <row r="2675" spans="24:25" x14ac:dyDescent="0.3">
      <c r="X2675" s="1">
        <f t="shared" si="82"/>
        <v>0</v>
      </c>
      <c r="Y2675" s="1">
        <f t="shared" si="83"/>
        <v>0</v>
      </c>
    </row>
    <row r="2676" spans="24:25" x14ac:dyDescent="0.3">
      <c r="X2676" s="1">
        <f t="shared" si="82"/>
        <v>0</v>
      </c>
      <c r="Y2676" s="1">
        <f t="shared" si="83"/>
        <v>0</v>
      </c>
    </row>
    <row r="2677" spans="24:25" x14ac:dyDescent="0.3">
      <c r="X2677" s="1">
        <f t="shared" si="82"/>
        <v>0</v>
      </c>
      <c r="Y2677" s="1">
        <f t="shared" si="83"/>
        <v>0</v>
      </c>
    </row>
    <row r="2678" spans="24:25" x14ac:dyDescent="0.3">
      <c r="X2678" s="1">
        <f t="shared" si="82"/>
        <v>0</v>
      </c>
      <c r="Y2678" s="1">
        <f t="shared" si="83"/>
        <v>0</v>
      </c>
    </row>
    <row r="2679" spans="24:25" x14ac:dyDescent="0.3">
      <c r="X2679" s="1">
        <f t="shared" si="82"/>
        <v>0</v>
      </c>
      <c r="Y2679" s="1">
        <f t="shared" si="83"/>
        <v>0</v>
      </c>
    </row>
    <row r="2680" spans="24:25" x14ac:dyDescent="0.3">
      <c r="X2680" s="1">
        <f t="shared" si="82"/>
        <v>0</v>
      </c>
      <c r="Y2680" s="1">
        <f t="shared" si="83"/>
        <v>0</v>
      </c>
    </row>
    <row r="2681" spans="24:25" x14ac:dyDescent="0.3">
      <c r="X2681" s="1">
        <f t="shared" si="82"/>
        <v>0</v>
      </c>
      <c r="Y2681" s="1">
        <f t="shared" si="83"/>
        <v>0</v>
      </c>
    </row>
    <row r="2682" spans="24:25" x14ac:dyDescent="0.3">
      <c r="X2682" s="1">
        <f t="shared" si="82"/>
        <v>0</v>
      </c>
      <c r="Y2682" s="1">
        <f t="shared" si="83"/>
        <v>0</v>
      </c>
    </row>
    <row r="2683" spans="24:25" x14ac:dyDescent="0.3">
      <c r="X2683" s="1">
        <f t="shared" si="82"/>
        <v>0</v>
      </c>
      <c r="Y2683" s="1">
        <f t="shared" si="83"/>
        <v>0</v>
      </c>
    </row>
    <row r="2684" spans="24:25" x14ac:dyDescent="0.3">
      <c r="X2684" s="1">
        <f t="shared" si="82"/>
        <v>0</v>
      </c>
      <c r="Y2684" s="1">
        <f t="shared" si="83"/>
        <v>0</v>
      </c>
    </row>
    <row r="2685" spans="24:25" x14ac:dyDescent="0.3">
      <c r="X2685" s="1">
        <f t="shared" si="82"/>
        <v>0</v>
      </c>
      <c r="Y2685" s="1">
        <f t="shared" si="83"/>
        <v>0</v>
      </c>
    </row>
    <row r="2686" spans="24:25" x14ac:dyDescent="0.3">
      <c r="X2686" s="1">
        <f t="shared" si="82"/>
        <v>0</v>
      </c>
      <c r="Y2686" s="1">
        <f t="shared" si="83"/>
        <v>0</v>
      </c>
    </row>
    <row r="2687" spans="24:25" x14ac:dyDescent="0.3">
      <c r="X2687" s="1">
        <f t="shared" si="82"/>
        <v>0</v>
      </c>
      <c r="Y2687" s="1">
        <f t="shared" si="83"/>
        <v>0</v>
      </c>
    </row>
    <row r="2688" spans="24:25" x14ac:dyDescent="0.3">
      <c r="X2688" s="1">
        <f t="shared" si="82"/>
        <v>0</v>
      </c>
      <c r="Y2688" s="1">
        <f t="shared" si="83"/>
        <v>0</v>
      </c>
    </row>
    <row r="2689" spans="24:25" x14ac:dyDescent="0.3">
      <c r="X2689" s="1">
        <f t="shared" si="82"/>
        <v>0</v>
      </c>
      <c r="Y2689" s="1">
        <f t="shared" si="83"/>
        <v>0</v>
      </c>
    </row>
    <row r="2690" spans="24:25" x14ac:dyDescent="0.3">
      <c r="X2690" s="1">
        <f t="shared" si="82"/>
        <v>0</v>
      </c>
      <c r="Y2690" s="1">
        <f t="shared" si="83"/>
        <v>0</v>
      </c>
    </row>
    <row r="2691" spans="24:25" x14ac:dyDescent="0.3">
      <c r="X2691" s="1">
        <f t="shared" ref="X2691:X2754" si="84">IFERROR(MATCH(W2691,$B:$B,0),0)</f>
        <v>0</v>
      </c>
      <c r="Y2691" s="1">
        <f t="shared" ref="Y2691:Y2754" si="85">IF(X2692=0,COUNTA(A:A),X2692-1)</f>
        <v>0</v>
      </c>
    </row>
    <row r="2692" spans="24:25" x14ac:dyDescent="0.3">
      <c r="X2692" s="1">
        <f t="shared" si="84"/>
        <v>0</v>
      </c>
      <c r="Y2692" s="1">
        <f t="shared" si="85"/>
        <v>0</v>
      </c>
    </row>
    <row r="2693" spans="24:25" x14ac:dyDescent="0.3">
      <c r="X2693" s="1">
        <f t="shared" si="84"/>
        <v>0</v>
      </c>
      <c r="Y2693" s="1">
        <f t="shared" si="85"/>
        <v>0</v>
      </c>
    </row>
    <row r="2694" spans="24:25" x14ac:dyDescent="0.3">
      <c r="X2694" s="1">
        <f t="shared" si="84"/>
        <v>0</v>
      </c>
      <c r="Y2694" s="1">
        <f t="shared" si="85"/>
        <v>0</v>
      </c>
    </row>
    <row r="2695" spans="24:25" x14ac:dyDescent="0.3">
      <c r="X2695" s="1">
        <f t="shared" si="84"/>
        <v>0</v>
      </c>
      <c r="Y2695" s="1">
        <f t="shared" si="85"/>
        <v>0</v>
      </c>
    </row>
    <row r="2696" spans="24:25" x14ac:dyDescent="0.3">
      <c r="X2696" s="1">
        <f t="shared" si="84"/>
        <v>0</v>
      </c>
      <c r="Y2696" s="1">
        <f t="shared" si="85"/>
        <v>0</v>
      </c>
    </row>
    <row r="2697" spans="24:25" x14ac:dyDescent="0.3">
      <c r="X2697" s="1">
        <f t="shared" si="84"/>
        <v>0</v>
      </c>
      <c r="Y2697" s="1">
        <f t="shared" si="85"/>
        <v>0</v>
      </c>
    </row>
    <row r="2698" spans="24:25" x14ac:dyDescent="0.3">
      <c r="X2698" s="1">
        <f t="shared" si="84"/>
        <v>0</v>
      </c>
      <c r="Y2698" s="1">
        <f t="shared" si="85"/>
        <v>0</v>
      </c>
    </row>
    <row r="2699" spans="24:25" x14ac:dyDescent="0.3">
      <c r="X2699" s="1">
        <f t="shared" si="84"/>
        <v>0</v>
      </c>
      <c r="Y2699" s="1">
        <f t="shared" si="85"/>
        <v>0</v>
      </c>
    </row>
    <row r="2700" spans="24:25" x14ac:dyDescent="0.3">
      <c r="X2700" s="1">
        <f t="shared" si="84"/>
        <v>0</v>
      </c>
      <c r="Y2700" s="1">
        <f t="shared" si="85"/>
        <v>0</v>
      </c>
    </row>
    <row r="2701" spans="24:25" x14ac:dyDescent="0.3">
      <c r="X2701" s="1">
        <f t="shared" si="84"/>
        <v>0</v>
      </c>
      <c r="Y2701" s="1">
        <f t="shared" si="85"/>
        <v>0</v>
      </c>
    </row>
    <row r="2702" spans="24:25" x14ac:dyDescent="0.3">
      <c r="X2702" s="1">
        <f t="shared" si="84"/>
        <v>0</v>
      </c>
      <c r="Y2702" s="1">
        <f t="shared" si="85"/>
        <v>0</v>
      </c>
    </row>
    <row r="2703" spans="24:25" x14ac:dyDescent="0.3">
      <c r="X2703" s="1">
        <f t="shared" si="84"/>
        <v>0</v>
      </c>
      <c r="Y2703" s="1">
        <f t="shared" si="85"/>
        <v>0</v>
      </c>
    </row>
    <row r="2704" spans="24:25" x14ac:dyDescent="0.3">
      <c r="X2704" s="1">
        <f t="shared" si="84"/>
        <v>0</v>
      </c>
      <c r="Y2704" s="1">
        <f t="shared" si="85"/>
        <v>0</v>
      </c>
    </row>
    <row r="2705" spans="24:25" x14ac:dyDescent="0.3">
      <c r="X2705" s="1">
        <f t="shared" si="84"/>
        <v>0</v>
      </c>
      <c r="Y2705" s="1">
        <f t="shared" si="85"/>
        <v>0</v>
      </c>
    </row>
    <row r="2706" spans="24:25" x14ac:dyDescent="0.3">
      <c r="X2706" s="1">
        <f t="shared" si="84"/>
        <v>0</v>
      </c>
      <c r="Y2706" s="1">
        <f t="shared" si="85"/>
        <v>0</v>
      </c>
    </row>
    <row r="2707" spans="24:25" x14ac:dyDescent="0.3">
      <c r="X2707" s="1">
        <f t="shared" si="84"/>
        <v>0</v>
      </c>
      <c r="Y2707" s="1">
        <f t="shared" si="85"/>
        <v>0</v>
      </c>
    </row>
    <row r="2708" spans="24:25" x14ac:dyDescent="0.3">
      <c r="X2708" s="1">
        <f t="shared" si="84"/>
        <v>0</v>
      </c>
      <c r="Y2708" s="1">
        <f t="shared" si="85"/>
        <v>0</v>
      </c>
    </row>
    <row r="2709" spans="24:25" x14ac:dyDescent="0.3">
      <c r="X2709" s="1">
        <f t="shared" si="84"/>
        <v>0</v>
      </c>
      <c r="Y2709" s="1">
        <f t="shared" si="85"/>
        <v>0</v>
      </c>
    </row>
    <row r="2710" spans="24:25" x14ac:dyDescent="0.3">
      <c r="X2710" s="1">
        <f t="shared" si="84"/>
        <v>0</v>
      </c>
      <c r="Y2710" s="1">
        <f t="shared" si="85"/>
        <v>0</v>
      </c>
    </row>
    <row r="2711" spans="24:25" x14ac:dyDescent="0.3">
      <c r="X2711" s="1">
        <f t="shared" si="84"/>
        <v>0</v>
      </c>
      <c r="Y2711" s="1">
        <f t="shared" si="85"/>
        <v>0</v>
      </c>
    </row>
    <row r="2712" spans="24:25" x14ac:dyDescent="0.3">
      <c r="X2712" s="1">
        <f t="shared" si="84"/>
        <v>0</v>
      </c>
      <c r="Y2712" s="1">
        <f t="shared" si="85"/>
        <v>0</v>
      </c>
    </row>
    <row r="2713" spans="24:25" x14ac:dyDescent="0.3">
      <c r="X2713" s="1">
        <f t="shared" si="84"/>
        <v>0</v>
      </c>
      <c r="Y2713" s="1">
        <f t="shared" si="85"/>
        <v>0</v>
      </c>
    </row>
    <row r="2714" spans="24:25" x14ac:dyDescent="0.3">
      <c r="X2714" s="1">
        <f t="shared" si="84"/>
        <v>0</v>
      </c>
      <c r="Y2714" s="1">
        <f t="shared" si="85"/>
        <v>0</v>
      </c>
    </row>
    <row r="2715" spans="24:25" x14ac:dyDescent="0.3">
      <c r="X2715" s="1">
        <f t="shared" si="84"/>
        <v>0</v>
      </c>
      <c r="Y2715" s="1">
        <f t="shared" si="85"/>
        <v>0</v>
      </c>
    </row>
    <row r="2716" spans="24:25" x14ac:dyDescent="0.3">
      <c r="X2716" s="1">
        <f t="shared" si="84"/>
        <v>0</v>
      </c>
      <c r="Y2716" s="1">
        <f t="shared" si="85"/>
        <v>0</v>
      </c>
    </row>
    <row r="2717" spans="24:25" x14ac:dyDescent="0.3">
      <c r="X2717" s="1">
        <f t="shared" si="84"/>
        <v>0</v>
      </c>
      <c r="Y2717" s="1">
        <f t="shared" si="85"/>
        <v>0</v>
      </c>
    </row>
    <row r="2718" spans="24:25" x14ac:dyDescent="0.3">
      <c r="X2718" s="1">
        <f t="shared" si="84"/>
        <v>0</v>
      </c>
      <c r="Y2718" s="1">
        <f t="shared" si="85"/>
        <v>0</v>
      </c>
    </row>
    <row r="2719" spans="24:25" x14ac:dyDescent="0.3">
      <c r="X2719" s="1">
        <f t="shared" si="84"/>
        <v>0</v>
      </c>
      <c r="Y2719" s="1">
        <f t="shared" si="85"/>
        <v>0</v>
      </c>
    </row>
    <row r="2720" spans="24:25" x14ac:dyDescent="0.3">
      <c r="X2720" s="1">
        <f t="shared" si="84"/>
        <v>0</v>
      </c>
      <c r="Y2720" s="1">
        <f t="shared" si="85"/>
        <v>0</v>
      </c>
    </row>
    <row r="2721" spans="24:25" x14ac:dyDescent="0.3">
      <c r="X2721" s="1">
        <f t="shared" si="84"/>
        <v>0</v>
      </c>
      <c r="Y2721" s="1">
        <f t="shared" si="85"/>
        <v>0</v>
      </c>
    </row>
    <row r="2722" spans="24:25" x14ac:dyDescent="0.3">
      <c r="X2722" s="1">
        <f t="shared" si="84"/>
        <v>0</v>
      </c>
      <c r="Y2722" s="1">
        <f t="shared" si="85"/>
        <v>0</v>
      </c>
    </row>
    <row r="2723" spans="24:25" x14ac:dyDescent="0.3">
      <c r="X2723" s="1">
        <f t="shared" si="84"/>
        <v>0</v>
      </c>
      <c r="Y2723" s="1">
        <f t="shared" si="85"/>
        <v>0</v>
      </c>
    </row>
    <row r="2724" spans="24:25" x14ac:dyDescent="0.3">
      <c r="X2724" s="1">
        <f t="shared" si="84"/>
        <v>0</v>
      </c>
      <c r="Y2724" s="1">
        <f t="shared" si="85"/>
        <v>0</v>
      </c>
    </row>
    <row r="2725" spans="24:25" x14ac:dyDescent="0.3">
      <c r="X2725" s="1">
        <f t="shared" si="84"/>
        <v>0</v>
      </c>
      <c r="Y2725" s="1">
        <f t="shared" si="85"/>
        <v>0</v>
      </c>
    </row>
    <row r="2726" spans="24:25" x14ac:dyDescent="0.3">
      <c r="X2726" s="1">
        <f t="shared" si="84"/>
        <v>0</v>
      </c>
      <c r="Y2726" s="1">
        <f t="shared" si="85"/>
        <v>0</v>
      </c>
    </row>
    <row r="2727" spans="24:25" x14ac:dyDescent="0.3">
      <c r="X2727" s="1">
        <f t="shared" si="84"/>
        <v>0</v>
      </c>
      <c r="Y2727" s="1">
        <f t="shared" si="85"/>
        <v>0</v>
      </c>
    </row>
    <row r="2728" spans="24:25" x14ac:dyDescent="0.3">
      <c r="X2728" s="1">
        <f t="shared" si="84"/>
        <v>0</v>
      </c>
      <c r="Y2728" s="1">
        <f t="shared" si="85"/>
        <v>0</v>
      </c>
    </row>
    <row r="2729" spans="24:25" x14ac:dyDescent="0.3">
      <c r="X2729" s="1">
        <f t="shared" si="84"/>
        <v>0</v>
      </c>
      <c r="Y2729" s="1">
        <f t="shared" si="85"/>
        <v>0</v>
      </c>
    </row>
    <row r="2730" spans="24:25" x14ac:dyDescent="0.3">
      <c r="X2730" s="1">
        <f t="shared" si="84"/>
        <v>0</v>
      </c>
      <c r="Y2730" s="1">
        <f t="shared" si="85"/>
        <v>0</v>
      </c>
    </row>
    <row r="2731" spans="24:25" x14ac:dyDescent="0.3">
      <c r="X2731" s="1">
        <f t="shared" si="84"/>
        <v>0</v>
      </c>
      <c r="Y2731" s="1">
        <f t="shared" si="85"/>
        <v>0</v>
      </c>
    </row>
    <row r="2732" spans="24:25" x14ac:dyDescent="0.3">
      <c r="X2732" s="1">
        <f t="shared" si="84"/>
        <v>0</v>
      </c>
      <c r="Y2732" s="1">
        <f t="shared" si="85"/>
        <v>0</v>
      </c>
    </row>
    <row r="2733" spans="24:25" x14ac:dyDescent="0.3">
      <c r="X2733" s="1">
        <f t="shared" si="84"/>
        <v>0</v>
      </c>
      <c r="Y2733" s="1">
        <f t="shared" si="85"/>
        <v>0</v>
      </c>
    </row>
    <row r="2734" spans="24:25" x14ac:dyDescent="0.3">
      <c r="X2734" s="1">
        <f t="shared" si="84"/>
        <v>0</v>
      </c>
      <c r="Y2734" s="1">
        <f t="shared" si="85"/>
        <v>0</v>
      </c>
    </row>
    <row r="2735" spans="24:25" x14ac:dyDescent="0.3">
      <c r="X2735" s="1">
        <f t="shared" si="84"/>
        <v>0</v>
      </c>
      <c r="Y2735" s="1">
        <f t="shared" si="85"/>
        <v>0</v>
      </c>
    </row>
    <row r="2736" spans="24:25" x14ac:dyDescent="0.3">
      <c r="X2736" s="1">
        <f t="shared" si="84"/>
        <v>0</v>
      </c>
      <c r="Y2736" s="1">
        <f t="shared" si="85"/>
        <v>0</v>
      </c>
    </row>
    <row r="2737" spans="24:25" x14ac:dyDescent="0.3">
      <c r="X2737" s="1">
        <f t="shared" si="84"/>
        <v>0</v>
      </c>
      <c r="Y2737" s="1">
        <f t="shared" si="85"/>
        <v>0</v>
      </c>
    </row>
    <row r="2738" spans="24:25" x14ac:dyDescent="0.3">
      <c r="X2738" s="1">
        <f t="shared" si="84"/>
        <v>0</v>
      </c>
      <c r="Y2738" s="1">
        <f t="shared" si="85"/>
        <v>0</v>
      </c>
    </row>
    <row r="2739" spans="24:25" x14ac:dyDescent="0.3">
      <c r="X2739" s="1">
        <f t="shared" si="84"/>
        <v>0</v>
      </c>
      <c r="Y2739" s="1">
        <f t="shared" si="85"/>
        <v>0</v>
      </c>
    </row>
    <row r="2740" spans="24:25" x14ac:dyDescent="0.3">
      <c r="X2740" s="1">
        <f t="shared" si="84"/>
        <v>0</v>
      </c>
      <c r="Y2740" s="1">
        <f t="shared" si="85"/>
        <v>0</v>
      </c>
    </row>
    <row r="2741" spans="24:25" x14ac:dyDescent="0.3">
      <c r="X2741" s="1">
        <f t="shared" si="84"/>
        <v>0</v>
      </c>
      <c r="Y2741" s="1">
        <f t="shared" si="85"/>
        <v>0</v>
      </c>
    </row>
    <row r="2742" spans="24:25" x14ac:dyDescent="0.3">
      <c r="X2742" s="1">
        <f t="shared" si="84"/>
        <v>0</v>
      </c>
      <c r="Y2742" s="1">
        <f t="shared" si="85"/>
        <v>0</v>
      </c>
    </row>
    <row r="2743" spans="24:25" x14ac:dyDescent="0.3">
      <c r="X2743" s="1">
        <f t="shared" si="84"/>
        <v>0</v>
      </c>
      <c r="Y2743" s="1">
        <f t="shared" si="85"/>
        <v>0</v>
      </c>
    </row>
    <row r="2744" spans="24:25" x14ac:dyDescent="0.3">
      <c r="X2744" s="1">
        <f t="shared" si="84"/>
        <v>0</v>
      </c>
      <c r="Y2744" s="1">
        <f t="shared" si="85"/>
        <v>0</v>
      </c>
    </row>
    <row r="2745" spans="24:25" x14ac:dyDescent="0.3">
      <c r="X2745" s="1">
        <f t="shared" si="84"/>
        <v>0</v>
      </c>
      <c r="Y2745" s="1">
        <f t="shared" si="85"/>
        <v>0</v>
      </c>
    </row>
    <row r="2746" spans="24:25" x14ac:dyDescent="0.3">
      <c r="X2746" s="1">
        <f t="shared" si="84"/>
        <v>0</v>
      </c>
      <c r="Y2746" s="1">
        <f t="shared" si="85"/>
        <v>0</v>
      </c>
    </row>
    <row r="2747" spans="24:25" x14ac:dyDescent="0.3">
      <c r="X2747" s="1">
        <f t="shared" si="84"/>
        <v>0</v>
      </c>
      <c r="Y2747" s="1">
        <f t="shared" si="85"/>
        <v>0</v>
      </c>
    </row>
    <row r="2748" spans="24:25" x14ac:dyDescent="0.3">
      <c r="X2748" s="1">
        <f t="shared" si="84"/>
        <v>0</v>
      </c>
      <c r="Y2748" s="1">
        <f t="shared" si="85"/>
        <v>0</v>
      </c>
    </row>
    <row r="2749" spans="24:25" x14ac:dyDescent="0.3">
      <c r="X2749" s="1">
        <f t="shared" si="84"/>
        <v>0</v>
      </c>
      <c r="Y2749" s="1">
        <f t="shared" si="85"/>
        <v>0</v>
      </c>
    </row>
    <row r="2750" spans="24:25" x14ac:dyDescent="0.3">
      <c r="X2750" s="1">
        <f t="shared" si="84"/>
        <v>0</v>
      </c>
      <c r="Y2750" s="1">
        <f t="shared" si="85"/>
        <v>0</v>
      </c>
    </row>
    <row r="2751" spans="24:25" x14ac:dyDescent="0.3">
      <c r="X2751" s="1">
        <f t="shared" si="84"/>
        <v>0</v>
      </c>
      <c r="Y2751" s="1">
        <f t="shared" si="85"/>
        <v>0</v>
      </c>
    </row>
    <row r="2752" spans="24:25" x14ac:dyDescent="0.3">
      <c r="X2752" s="1">
        <f t="shared" si="84"/>
        <v>0</v>
      </c>
      <c r="Y2752" s="1">
        <f t="shared" si="85"/>
        <v>0</v>
      </c>
    </row>
    <row r="2753" spans="24:25" x14ac:dyDescent="0.3">
      <c r="X2753" s="1">
        <f t="shared" si="84"/>
        <v>0</v>
      </c>
      <c r="Y2753" s="1">
        <f t="shared" si="85"/>
        <v>0</v>
      </c>
    </row>
    <row r="2754" spans="24:25" x14ac:dyDescent="0.3">
      <c r="X2754" s="1">
        <f t="shared" si="84"/>
        <v>0</v>
      </c>
      <c r="Y2754" s="1">
        <f t="shared" si="85"/>
        <v>0</v>
      </c>
    </row>
    <row r="2755" spans="24:25" x14ac:dyDescent="0.3">
      <c r="X2755" s="1">
        <f t="shared" ref="X2755:X2818" si="86">IFERROR(MATCH(W2755,$B:$B,0),0)</f>
        <v>0</v>
      </c>
      <c r="Y2755" s="1">
        <f t="shared" ref="Y2755:Y2818" si="87">IF(X2756=0,COUNTA(A:A),X2756-1)</f>
        <v>0</v>
      </c>
    </row>
    <row r="2756" spans="24:25" x14ac:dyDescent="0.3">
      <c r="X2756" s="1">
        <f t="shared" si="86"/>
        <v>0</v>
      </c>
      <c r="Y2756" s="1">
        <f t="shared" si="87"/>
        <v>0</v>
      </c>
    </row>
    <row r="2757" spans="24:25" x14ac:dyDescent="0.3">
      <c r="X2757" s="1">
        <f t="shared" si="86"/>
        <v>0</v>
      </c>
      <c r="Y2757" s="1">
        <f t="shared" si="87"/>
        <v>0</v>
      </c>
    </row>
    <row r="2758" spans="24:25" x14ac:dyDescent="0.3">
      <c r="X2758" s="1">
        <f t="shared" si="86"/>
        <v>0</v>
      </c>
      <c r="Y2758" s="1">
        <f t="shared" si="87"/>
        <v>0</v>
      </c>
    </row>
    <row r="2759" spans="24:25" x14ac:dyDescent="0.3">
      <c r="X2759" s="1">
        <f t="shared" si="86"/>
        <v>0</v>
      </c>
      <c r="Y2759" s="1">
        <f t="shared" si="87"/>
        <v>0</v>
      </c>
    </row>
    <row r="2760" spans="24:25" x14ac:dyDescent="0.3">
      <c r="X2760" s="1">
        <f t="shared" si="86"/>
        <v>0</v>
      </c>
      <c r="Y2760" s="1">
        <f t="shared" si="87"/>
        <v>0</v>
      </c>
    </row>
    <row r="2761" spans="24:25" x14ac:dyDescent="0.3">
      <c r="X2761" s="1">
        <f t="shared" si="86"/>
        <v>0</v>
      </c>
      <c r="Y2761" s="1">
        <f t="shared" si="87"/>
        <v>0</v>
      </c>
    </row>
    <row r="2762" spans="24:25" x14ac:dyDescent="0.3">
      <c r="X2762" s="1">
        <f t="shared" si="86"/>
        <v>0</v>
      </c>
      <c r="Y2762" s="1">
        <f t="shared" si="87"/>
        <v>0</v>
      </c>
    </row>
    <row r="2763" spans="24:25" x14ac:dyDescent="0.3">
      <c r="X2763" s="1">
        <f t="shared" si="86"/>
        <v>0</v>
      </c>
      <c r="Y2763" s="1">
        <f t="shared" si="87"/>
        <v>0</v>
      </c>
    </row>
    <row r="2764" spans="24:25" x14ac:dyDescent="0.3">
      <c r="X2764" s="1">
        <f t="shared" si="86"/>
        <v>0</v>
      </c>
      <c r="Y2764" s="1">
        <f t="shared" si="87"/>
        <v>0</v>
      </c>
    </row>
    <row r="2765" spans="24:25" x14ac:dyDescent="0.3">
      <c r="X2765" s="1">
        <f t="shared" si="86"/>
        <v>0</v>
      </c>
      <c r="Y2765" s="1">
        <f t="shared" si="87"/>
        <v>0</v>
      </c>
    </row>
    <row r="2766" spans="24:25" x14ac:dyDescent="0.3">
      <c r="X2766" s="1">
        <f t="shared" si="86"/>
        <v>0</v>
      </c>
      <c r="Y2766" s="1">
        <f t="shared" si="87"/>
        <v>0</v>
      </c>
    </row>
    <row r="2767" spans="24:25" x14ac:dyDescent="0.3">
      <c r="X2767" s="1">
        <f t="shared" si="86"/>
        <v>0</v>
      </c>
      <c r="Y2767" s="1">
        <f t="shared" si="87"/>
        <v>0</v>
      </c>
    </row>
    <row r="2768" spans="24:25" x14ac:dyDescent="0.3">
      <c r="X2768" s="1">
        <f t="shared" si="86"/>
        <v>0</v>
      </c>
      <c r="Y2768" s="1">
        <f t="shared" si="87"/>
        <v>0</v>
      </c>
    </row>
    <row r="2769" spans="24:25" x14ac:dyDescent="0.3">
      <c r="X2769" s="1">
        <f t="shared" si="86"/>
        <v>0</v>
      </c>
      <c r="Y2769" s="1">
        <f t="shared" si="87"/>
        <v>0</v>
      </c>
    </row>
    <row r="2770" spans="24:25" x14ac:dyDescent="0.3">
      <c r="X2770" s="1">
        <f t="shared" si="86"/>
        <v>0</v>
      </c>
      <c r="Y2770" s="1">
        <f t="shared" si="87"/>
        <v>0</v>
      </c>
    </row>
    <row r="2771" spans="24:25" x14ac:dyDescent="0.3">
      <c r="X2771" s="1">
        <f t="shared" si="86"/>
        <v>0</v>
      </c>
      <c r="Y2771" s="1">
        <f t="shared" si="87"/>
        <v>0</v>
      </c>
    </row>
    <row r="2772" spans="24:25" x14ac:dyDescent="0.3">
      <c r="X2772" s="1">
        <f t="shared" si="86"/>
        <v>0</v>
      </c>
      <c r="Y2772" s="1">
        <f t="shared" si="87"/>
        <v>0</v>
      </c>
    </row>
    <row r="2773" spans="24:25" x14ac:dyDescent="0.3">
      <c r="X2773" s="1">
        <f t="shared" si="86"/>
        <v>0</v>
      </c>
      <c r="Y2773" s="1">
        <f t="shared" si="87"/>
        <v>0</v>
      </c>
    </row>
    <row r="2774" spans="24:25" x14ac:dyDescent="0.3">
      <c r="X2774" s="1">
        <f t="shared" si="86"/>
        <v>0</v>
      </c>
      <c r="Y2774" s="1">
        <f t="shared" si="87"/>
        <v>0</v>
      </c>
    </row>
    <row r="2775" spans="24:25" x14ac:dyDescent="0.3">
      <c r="X2775" s="1">
        <f t="shared" si="86"/>
        <v>0</v>
      </c>
      <c r="Y2775" s="1">
        <f t="shared" si="87"/>
        <v>0</v>
      </c>
    </row>
    <row r="2776" spans="24:25" x14ac:dyDescent="0.3">
      <c r="X2776" s="1">
        <f t="shared" si="86"/>
        <v>0</v>
      </c>
      <c r="Y2776" s="1">
        <f t="shared" si="87"/>
        <v>0</v>
      </c>
    </row>
    <row r="2777" spans="24:25" x14ac:dyDescent="0.3">
      <c r="X2777" s="1">
        <f t="shared" si="86"/>
        <v>0</v>
      </c>
      <c r="Y2777" s="1">
        <f t="shared" si="87"/>
        <v>0</v>
      </c>
    </row>
    <row r="2778" spans="24:25" x14ac:dyDescent="0.3">
      <c r="X2778" s="1">
        <f t="shared" si="86"/>
        <v>0</v>
      </c>
      <c r="Y2778" s="1">
        <f t="shared" si="87"/>
        <v>0</v>
      </c>
    </row>
    <row r="2779" spans="24:25" x14ac:dyDescent="0.3">
      <c r="X2779" s="1">
        <f t="shared" si="86"/>
        <v>0</v>
      </c>
      <c r="Y2779" s="1">
        <f t="shared" si="87"/>
        <v>0</v>
      </c>
    </row>
    <row r="2780" spans="24:25" x14ac:dyDescent="0.3">
      <c r="X2780" s="1">
        <f t="shared" si="86"/>
        <v>0</v>
      </c>
      <c r="Y2780" s="1">
        <f t="shared" si="87"/>
        <v>0</v>
      </c>
    </row>
    <row r="2781" spans="24:25" x14ac:dyDescent="0.3">
      <c r="X2781" s="1">
        <f t="shared" si="86"/>
        <v>0</v>
      </c>
      <c r="Y2781" s="1">
        <f t="shared" si="87"/>
        <v>0</v>
      </c>
    </row>
    <row r="2782" spans="24:25" x14ac:dyDescent="0.3">
      <c r="X2782" s="1">
        <f t="shared" si="86"/>
        <v>0</v>
      </c>
      <c r="Y2782" s="1">
        <f t="shared" si="87"/>
        <v>0</v>
      </c>
    </row>
    <row r="2783" spans="24:25" x14ac:dyDescent="0.3">
      <c r="X2783" s="1">
        <f t="shared" si="86"/>
        <v>0</v>
      </c>
      <c r="Y2783" s="1">
        <f t="shared" si="87"/>
        <v>0</v>
      </c>
    </row>
    <row r="2784" spans="24:25" x14ac:dyDescent="0.3">
      <c r="X2784" s="1">
        <f t="shared" si="86"/>
        <v>0</v>
      </c>
      <c r="Y2784" s="1">
        <f t="shared" si="87"/>
        <v>0</v>
      </c>
    </row>
    <row r="2785" spans="24:25" x14ac:dyDescent="0.3">
      <c r="X2785" s="1">
        <f t="shared" si="86"/>
        <v>0</v>
      </c>
      <c r="Y2785" s="1">
        <f t="shared" si="87"/>
        <v>0</v>
      </c>
    </row>
    <row r="2786" spans="24:25" x14ac:dyDescent="0.3">
      <c r="X2786" s="1">
        <f t="shared" si="86"/>
        <v>0</v>
      </c>
      <c r="Y2786" s="1">
        <f t="shared" si="87"/>
        <v>0</v>
      </c>
    </row>
    <row r="2787" spans="24:25" x14ac:dyDescent="0.3">
      <c r="X2787" s="1">
        <f t="shared" si="86"/>
        <v>0</v>
      </c>
      <c r="Y2787" s="1">
        <f t="shared" si="87"/>
        <v>0</v>
      </c>
    </row>
    <row r="2788" spans="24:25" x14ac:dyDescent="0.3">
      <c r="X2788" s="1">
        <f t="shared" si="86"/>
        <v>0</v>
      </c>
      <c r="Y2788" s="1">
        <f t="shared" si="87"/>
        <v>0</v>
      </c>
    </row>
    <row r="2789" spans="24:25" x14ac:dyDescent="0.3">
      <c r="X2789" s="1">
        <f t="shared" si="86"/>
        <v>0</v>
      </c>
      <c r="Y2789" s="1">
        <f t="shared" si="87"/>
        <v>0</v>
      </c>
    </row>
    <row r="2790" spans="24:25" x14ac:dyDescent="0.3">
      <c r="X2790" s="1">
        <f t="shared" si="86"/>
        <v>0</v>
      </c>
      <c r="Y2790" s="1">
        <f t="shared" si="87"/>
        <v>0</v>
      </c>
    </row>
    <row r="2791" spans="24:25" x14ac:dyDescent="0.3">
      <c r="X2791" s="1">
        <f t="shared" si="86"/>
        <v>0</v>
      </c>
      <c r="Y2791" s="1">
        <f t="shared" si="87"/>
        <v>0</v>
      </c>
    </row>
    <row r="2792" spans="24:25" x14ac:dyDescent="0.3">
      <c r="X2792" s="1">
        <f t="shared" si="86"/>
        <v>0</v>
      </c>
      <c r="Y2792" s="1">
        <f t="shared" si="87"/>
        <v>0</v>
      </c>
    </row>
    <row r="2793" spans="24:25" x14ac:dyDescent="0.3">
      <c r="X2793" s="1">
        <f t="shared" si="86"/>
        <v>0</v>
      </c>
      <c r="Y2793" s="1">
        <f t="shared" si="87"/>
        <v>0</v>
      </c>
    </row>
    <row r="2794" spans="24:25" x14ac:dyDescent="0.3">
      <c r="X2794" s="1">
        <f t="shared" si="86"/>
        <v>0</v>
      </c>
      <c r="Y2794" s="1">
        <f t="shared" si="87"/>
        <v>0</v>
      </c>
    </row>
    <row r="2795" spans="24:25" x14ac:dyDescent="0.3">
      <c r="X2795" s="1">
        <f t="shared" si="86"/>
        <v>0</v>
      </c>
      <c r="Y2795" s="1">
        <f t="shared" si="87"/>
        <v>0</v>
      </c>
    </row>
    <row r="2796" spans="24:25" x14ac:dyDescent="0.3">
      <c r="X2796" s="1">
        <f t="shared" si="86"/>
        <v>0</v>
      </c>
      <c r="Y2796" s="1">
        <f t="shared" si="87"/>
        <v>0</v>
      </c>
    </row>
    <row r="2797" spans="24:25" x14ac:dyDescent="0.3">
      <c r="X2797" s="1">
        <f t="shared" si="86"/>
        <v>0</v>
      </c>
      <c r="Y2797" s="1">
        <f t="shared" si="87"/>
        <v>0</v>
      </c>
    </row>
    <row r="2798" spans="24:25" x14ac:dyDescent="0.3">
      <c r="X2798" s="1">
        <f t="shared" si="86"/>
        <v>0</v>
      </c>
      <c r="Y2798" s="1">
        <f t="shared" si="87"/>
        <v>0</v>
      </c>
    </row>
    <row r="2799" spans="24:25" x14ac:dyDescent="0.3">
      <c r="X2799" s="1">
        <f t="shared" si="86"/>
        <v>0</v>
      </c>
      <c r="Y2799" s="1">
        <f t="shared" si="87"/>
        <v>0</v>
      </c>
    </row>
    <row r="2800" spans="24:25" x14ac:dyDescent="0.3">
      <c r="X2800" s="1">
        <f t="shared" si="86"/>
        <v>0</v>
      </c>
      <c r="Y2800" s="1">
        <f t="shared" si="87"/>
        <v>0</v>
      </c>
    </row>
    <row r="2801" spans="24:25" x14ac:dyDescent="0.3">
      <c r="X2801" s="1">
        <f t="shared" si="86"/>
        <v>0</v>
      </c>
      <c r="Y2801" s="1">
        <f t="shared" si="87"/>
        <v>0</v>
      </c>
    </row>
    <row r="2802" spans="24:25" x14ac:dyDescent="0.3">
      <c r="X2802" s="1">
        <f t="shared" si="86"/>
        <v>0</v>
      </c>
      <c r="Y2802" s="1">
        <f t="shared" si="87"/>
        <v>0</v>
      </c>
    </row>
    <row r="2803" spans="24:25" x14ac:dyDescent="0.3">
      <c r="X2803" s="1">
        <f t="shared" si="86"/>
        <v>0</v>
      </c>
      <c r="Y2803" s="1">
        <f t="shared" si="87"/>
        <v>0</v>
      </c>
    </row>
    <row r="2804" spans="24:25" x14ac:dyDescent="0.3">
      <c r="X2804" s="1">
        <f t="shared" si="86"/>
        <v>0</v>
      </c>
      <c r="Y2804" s="1">
        <f t="shared" si="87"/>
        <v>0</v>
      </c>
    </row>
    <row r="2805" spans="24:25" x14ac:dyDescent="0.3">
      <c r="X2805" s="1">
        <f t="shared" si="86"/>
        <v>0</v>
      </c>
      <c r="Y2805" s="1">
        <f t="shared" si="87"/>
        <v>0</v>
      </c>
    </row>
    <row r="2806" spans="24:25" x14ac:dyDescent="0.3">
      <c r="X2806" s="1">
        <f t="shared" si="86"/>
        <v>0</v>
      </c>
      <c r="Y2806" s="1">
        <f t="shared" si="87"/>
        <v>0</v>
      </c>
    </row>
    <row r="2807" spans="24:25" x14ac:dyDescent="0.3">
      <c r="X2807" s="1">
        <f t="shared" si="86"/>
        <v>0</v>
      </c>
      <c r="Y2807" s="1">
        <f t="shared" si="87"/>
        <v>0</v>
      </c>
    </row>
    <row r="2808" spans="24:25" x14ac:dyDescent="0.3">
      <c r="X2808" s="1">
        <f t="shared" si="86"/>
        <v>0</v>
      </c>
      <c r="Y2808" s="1">
        <f t="shared" si="87"/>
        <v>0</v>
      </c>
    </row>
    <row r="2809" spans="24:25" x14ac:dyDescent="0.3">
      <c r="X2809" s="1">
        <f t="shared" si="86"/>
        <v>0</v>
      </c>
      <c r="Y2809" s="1">
        <f t="shared" si="87"/>
        <v>0</v>
      </c>
    </row>
    <row r="2810" spans="24:25" x14ac:dyDescent="0.3">
      <c r="X2810" s="1">
        <f t="shared" si="86"/>
        <v>0</v>
      </c>
      <c r="Y2810" s="1">
        <f t="shared" si="87"/>
        <v>0</v>
      </c>
    </row>
    <row r="2811" spans="24:25" x14ac:dyDescent="0.3">
      <c r="X2811" s="1">
        <f t="shared" si="86"/>
        <v>0</v>
      </c>
      <c r="Y2811" s="1">
        <f t="shared" si="87"/>
        <v>0</v>
      </c>
    </row>
    <row r="2812" spans="24:25" x14ac:dyDescent="0.3">
      <c r="X2812" s="1">
        <f t="shared" si="86"/>
        <v>0</v>
      </c>
      <c r="Y2812" s="1">
        <f t="shared" si="87"/>
        <v>0</v>
      </c>
    </row>
    <row r="2813" spans="24:25" x14ac:dyDescent="0.3">
      <c r="X2813" s="1">
        <f t="shared" si="86"/>
        <v>0</v>
      </c>
      <c r="Y2813" s="1">
        <f t="shared" si="87"/>
        <v>0</v>
      </c>
    </row>
    <row r="2814" spans="24:25" x14ac:dyDescent="0.3">
      <c r="X2814" s="1">
        <f t="shared" si="86"/>
        <v>0</v>
      </c>
      <c r="Y2814" s="1">
        <f t="shared" si="87"/>
        <v>0</v>
      </c>
    </row>
    <row r="2815" spans="24:25" x14ac:dyDescent="0.3">
      <c r="X2815" s="1">
        <f t="shared" si="86"/>
        <v>0</v>
      </c>
      <c r="Y2815" s="1">
        <f t="shared" si="87"/>
        <v>0</v>
      </c>
    </row>
    <row r="2816" spans="24:25" x14ac:dyDescent="0.3">
      <c r="X2816" s="1">
        <f t="shared" si="86"/>
        <v>0</v>
      </c>
      <c r="Y2816" s="1">
        <f t="shared" si="87"/>
        <v>0</v>
      </c>
    </row>
    <row r="2817" spans="24:25" x14ac:dyDescent="0.3">
      <c r="X2817" s="1">
        <f t="shared" si="86"/>
        <v>0</v>
      </c>
      <c r="Y2817" s="1">
        <f t="shared" si="87"/>
        <v>0</v>
      </c>
    </row>
    <row r="2818" spans="24:25" x14ac:dyDescent="0.3">
      <c r="X2818" s="1">
        <f t="shared" si="86"/>
        <v>0</v>
      </c>
      <c r="Y2818" s="1">
        <f t="shared" si="87"/>
        <v>0</v>
      </c>
    </row>
    <row r="2819" spans="24:25" x14ac:dyDescent="0.3">
      <c r="X2819" s="1">
        <f t="shared" ref="X2819:X2882" si="88">IFERROR(MATCH(W2819,$B:$B,0),0)</f>
        <v>0</v>
      </c>
      <c r="Y2819" s="1">
        <f t="shared" ref="Y2819:Y2882" si="89">IF(X2820=0,COUNTA(A:A),X2820-1)</f>
        <v>0</v>
      </c>
    </row>
    <row r="2820" spans="24:25" x14ac:dyDescent="0.3">
      <c r="X2820" s="1">
        <f t="shared" si="88"/>
        <v>0</v>
      </c>
      <c r="Y2820" s="1">
        <f t="shared" si="89"/>
        <v>0</v>
      </c>
    </row>
    <row r="2821" spans="24:25" x14ac:dyDescent="0.3">
      <c r="X2821" s="1">
        <f t="shared" si="88"/>
        <v>0</v>
      </c>
      <c r="Y2821" s="1">
        <f t="shared" si="89"/>
        <v>0</v>
      </c>
    </row>
    <row r="2822" spans="24:25" x14ac:dyDescent="0.3">
      <c r="X2822" s="1">
        <f t="shared" si="88"/>
        <v>0</v>
      </c>
      <c r="Y2822" s="1">
        <f t="shared" si="89"/>
        <v>0</v>
      </c>
    </row>
    <row r="2823" spans="24:25" x14ac:dyDescent="0.3">
      <c r="X2823" s="1">
        <f t="shared" si="88"/>
        <v>0</v>
      </c>
      <c r="Y2823" s="1">
        <f t="shared" si="89"/>
        <v>0</v>
      </c>
    </row>
    <row r="2824" spans="24:25" x14ac:dyDescent="0.3">
      <c r="X2824" s="1">
        <f t="shared" si="88"/>
        <v>0</v>
      </c>
      <c r="Y2824" s="1">
        <f t="shared" si="89"/>
        <v>0</v>
      </c>
    </row>
    <row r="2825" spans="24:25" x14ac:dyDescent="0.3">
      <c r="X2825" s="1">
        <f t="shared" si="88"/>
        <v>0</v>
      </c>
      <c r="Y2825" s="1">
        <f t="shared" si="89"/>
        <v>0</v>
      </c>
    </row>
    <row r="2826" spans="24:25" x14ac:dyDescent="0.3">
      <c r="X2826" s="1">
        <f t="shared" si="88"/>
        <v>0</v>
      </c>
      <c r="Y2826" s="1">
        <f t="shared" si="89"/>
        <v>0</v>
      </c>
    </row>
    <row r="2827" spans="24:25" x14ac:dyDescent="0.3">
      <c r="X2827" s="1">
        <f t="shared" si="88"/>
        <v>0</v>
      </c>
      <c r="Y2827" s="1">
        <f t="shared" si="89"/>
        <v>0</v>
      </c>
    </row>
    <row r="2828" spans="24:25" x14ac:dyDescent="0.3">
      <c r="X2828" s="1">
        <f t="shared" si="88"/>
        <v>0</v>
      </c>
      <c r="Y2828" s="1">
        <f t="shared" si="89"/>
        <v>0</v>
      </c>
    </row>
    <row r="2829" spans="24:25" x14ac:dyDescent="0.3">
      <c r="X2829" s="1">
        <f t="shared" si="88"/>
        <v>0</v>
      </c>
      <c r="Y2829" s="1">
        <f t="shared" si="89"/>
        <v>0</v>
      </c>
    </row>
    <row r="2830" spans="24:25" x14ac:dyDescent="0.3">
      <c r="X2830" s="1">
        <f t="shared" si="88"/>
        <v>0</v>
      </c>
      <c r="Y2830" s="1">
        <f t="shared" si="89"/>
        <v>0</v>
      </c>
    </row>
    <row r="2831" spans="24:25" x14ac:dyDescent="0.3">
      <c r="X2831" s="1">
        <f t="shared" si="88"/>
        <v>0</v>
      </c>
      <c r="Y2831" s="1">
        <f t="shared" si="89"/>
        <v>0</v>
      </c>
    </row>
    <row r="2832" spans="24:25" x14ac:dyDescent="0.3">
      <c r="X2832" s="1">
        <f t="shared" si="88"/>
        <v>0</v>
      </c>
      <c r="Y2832" s="1">
        <f t="shared" si="89"/>
        <v>0</v>
      </c>
    </row>
    <row r="2833" spans="24:25" x14ac:dyDescent="0.3">
      <c r="X2833" s="1">
        <f t="shared" si="88"/>
        <v>0</v>
      </c>
      <c r="Y2833" s="1">
        <f t="shared" si="89"/>
        <v>0</v>
      </c>
    </row>
    <row r="2834" spans="24:25" x14ac:dyDescent="0.3">
      <c r="X2834" s="1">
        <f t="shared" si="88"/>
        <v>0</v>
      </c>
      <c r="Y2834" s="1">
        <f t="shared" si="89"/>
        <v>0</v>
      </c>
    </row>
    <row r="2835" spans="24:25" x14ac:dyDescent="0.3">
      <c r="X2835" s="1">
        <f t="shared" si="88"/>
        <v>0</v>
      </c>
      <c r="Y2835" s="1">
        <f t="shared" si="89"/>
        <v>0</v>
      </c>
    </row>
    <row r="2836" spans="24:25" x14ac:dyDescent="0.3">
      <c r="X2836" s="1">
        <f t="shared" si="88"/>
        <v>0</v>
      </c>
      <c r="Y2836" s="1">
        <f t="shared" si="89"/>
        <v>0</v>
      </c>
    </row>
    <row r="2837" spans="24:25" x14ac:dyDescent="0.3">
      <c r="X2837" s="1">
        <f t="shared" si="88"/>
        <v>0</v>
      </c>
      <c r="Y2837" s="1">
        <f t="shared" si="89"/>
        <v>0</v>
      </c>
    </row>
    <row r="2838" spans="24:25" x14ac:dyDescent="0.3">
      <c r="X2838" s="1">
        <f t="shared" si="88"/>
        <v>0</v>
      </c>
      <c r="Y2838" s="1">
        <f t="shared" si="89"/>
        <v>0</v>
      </c>
    </row>
    <row r="2839" spans="24:25" x14ac:dyDescent="0.3">
      <c r="X2839" s="1">
        <f t="shared" si="88"/>
        <v>0</v>
      </c>
      <c r="Y2839" s="1">
        <f t="shared" si="89"/>
        <v>0</v>
      </c>
    </row>
    <row r="2840" spans="24:25" x14ac:dyDescent="0.3">
      <c r="X2840" s="1">
        <f t="shared" si="88"/>
        <v>0</v>
      </c>
      <c r="Y2840" s="1">
        <f t="shared" si="89"/>
        <v>0</v>
      </c>
    </row>
    <row r="2841" spans="24:25" x14ac:dyDescent="0.3">
      <c r="X2841" s="1">
        <f t="shared" si="88"/>
        <v>0</v>
      </c>
      <c r="Y2841" s="1">
        <f t="shared" si="89"/>
        <v>0</v>
      </c>
    </row>
    <row r="2842" spans="24:25" x14ac:dyDescent="0.3">
      <c r="X2842" s="1">
        <f t="shared" si="88"/>
        <v>0</v>
      </c>
      <c r="Y2842" s="1">
        <f t="shared" si="89"/>
        <v>0</v>
      </c>
    </row>
    <row r="2843" spans="24:25" x14ac:dyDescent="0.3">
      <c r="X2843" s="1">
        <f t="shared" si="88"/>
        <v>0</v>
      </c>
      <c r="Y2843" s="1">
        <f t="shared" si="89"/>
        <v>0</v>
      </c>
    </row>
    <row r="2844" spans="24:25" x14ac:dyDescent="0.3">
      <c r="X2844" s="1">
        <f t="shared" si="88"/>
        <v>0</v>
      </c>
      <c r="Y2844" s="1">
        <f t="shared" si="89"/>
        <v>0</v>
      </c>
    </row>
    <row r="2845" spans="24:25" x14ac:dyDescent="0.3">
      <c r="X2845" s="1">
        <f t="shared" si="88"/>
        <v>0</v>
      </c>
      <c r="Y2845" s="1">
        <f t="shared" si="89"/>
        <v>0</v>
      </c>
    </row>
    <row r="2846" spans="24:25" x14ac:dyDescent="0.3">
      <c r="X2846" s="1">
        <f t="shared" si="88"/>
        <v>0</v>
      </c>
      <c r="Y2846" s="1">
        <f t="shared" si="89"/>
        <v>0</v>
      </c>
    </row>
    <row r="2847" spans="24:25" x14ac:dyDescent="0.3">
      <c r="X2847" s="1">
        <f t="shared" si="88"/>
        <v>0</v>
      </c>
      <c r="Y2847" s="1">
        <f t="shared" si="89"/>
        <v>0</v>
      </c>
    </row>
    <row r="2848" spans="24:25" x14ac:dyDescent="0.3">
      <c r="X2848" s="1">
        <f t="shared" si="88"/>
        <v>0</v>
      </c>
      <c r="Y2848" s="1">
        <f t="shared" si="89"/>
        <v>0</v>
      </c>
    </row>
    <row r="2849" spans="24:25" x14ac:dyDescent="0.3">
      <c r="X2849" s="1">
        <f t="shared" si="88"/>
        <v>0</v>
      </c>
      <c r="Y2849" s="1">
        <f t="shared" si="89"/>
        <v>0</v>
      </c>
    </row>
    <row r="2850" spans="24:25" x14ac:dyDescent="0.3">
      <c r="X2850" s="1">
        <f t="shared" si="88"/>
        <v>0</v>
      </c>
      <c r="Y2850" s="1">
        <f t="shared" si="89"/>
        <v>0</v>
      </c>
    </row>
    <row r="2851" spans="24:25" x14ac:dyDescent="0.3">
      <c r="X2851" s="1">
        <f t="shared" si="88"/>
        <v>0</v>
      </c>
      <c r="Y2851" s="1">
        <f t="shared" si="89"/>
        <v>0</v>
      </c>
    </row>
    <row r="2852" spans="24:25" x14ac:dyDescent="0.3">
      <c r="X2852" s="1">
        <f t="shared" si="88"/>
        <v>0</v>
      </c>
      <c r="Y2852" s="1">
        <f t="shared" si="89"/>
        <v>0</v>
      </c>
    </row>
    <row r="2853" spans="24:25" x14ac:dyDescent="0.3">
      <c r="X2853" s="1">
        <f t="shared" si="88"/>
        <v>0</v>
      </c>
      <c r="Y2853" s="1">
        <f t="shared" si="89"/>
        <v>0</v>
      </c>
    </row>
    <row r="2854" spans="24:25" x14ac:dyDescent="0.3">
      <c r="X2854" s="1">
        <f t="shared" si="88"/>
        <v>0</v>
      </c>
      <c r="Y2854" s="1">
        <f t="shared" si="89"/>
        <v>0</v>
      </c>
    </row>
    <row r="2855" spans="24:25" x14ac:dyDescent="0.3">
      <c r="X2855" s="1">
        <f t="shared" si="88"/>
        <v>0</v>
      </c>
      <c r="Y2855" s="1">
        <f t="shared" si="89"/>
        <v>0</v>
      </c>
    </row>
    <row r="2856" spans="24:25" x14ac:dyDescent="0.3">
      <c r="X2856" s="1">
        <f t="shared" si="88"/>
        <v>0</v>
      </c>
      <c r="Y2856" s="1">
        <f t="shared" si="89"/>
        <v>0</v>
      </c>
    </row>
    <row r="2857" spans="24:25" x14ac:dyDescent="0.3">
      <c r="X2857" s="1">
        <f t="shared" si="88"/>
        <v>0</v>
      </c>
      <c r="Y2857" s="1">
        <f t="shared" si="89"/>
        <v>0</v>
      </c>
    </row>
    <row r="2858" spans="24:25" x14ac:dyDescent="0.3">
      <c r="X2858" s="1">
        <f t="shared" si="88"/>
        <v>0</v>
      </c>
      <c r="Y2858" s="1">
        <f t="shared" si="89"/>
        <v>0</v>
      </c>
    </row>
    <row r="2859" spans="24:25" x14ac:dyDescent="0.3">
      <c r="X2859" s="1">
        <f t="shared" si="88"/>
        <v>0</v>
      </c>
      <c r="Y2859" s="1">
        <f t="shared" si="89"/>
        <v>0</v>
      </c>
    </row>
    <row r="2860" spans="24:25" x14ac:dyDescent="0.3">
      <c r="X2860" s="1">
        <f t="shared" si="88"/>
        <v>0</v>
      </c>
      <c r="Y2860" s="1">
        <f t="shared" si="89"/>
        <v>0</v>
      </c>
    </row>
    <row r="2861" spans="24:25" x14ac:dyDescent="0.3">
      <c r="X2861" s="1">
        <f t="shared" si="88"/>
        <v>0</v>
      </c>
      <c r="Y2861" s="1">
        <f t="shared" si="89"/>
        <v>0</v>
      </c>
    </row>
    <row r="2862" spans="24:25" x14ac:dyDescent="0.3">
      <c r="X2862" s="1">
        <f t="shared" si="88"/>
        <v>0</v>
      </c>
      <c r="Y2862" s="1">
        <f t="shared" si="89"/>
        <v>0</v>
      </c>
    </row>
    <row r="2863" spans="24:25" x14ac:dyDescent="0.3">
      <c r="X2863" s="1">
        <f t="shared" si="88"/>
        <v>0</v>
      </c>
      <c r="Y2863" s="1">
        <f t="shared" si="89"/>
        <v>0</v>
      </c>
    </row>
    <row r="2864" spans="24:25" x14ac:dyDescent="0.3">
      <c r="X2864" s="1">
        <f t="shared" si="88"/>
        <v>0</v>
      </c>
      <c r="Y2864" s="1">
        <f t="shared" si="89"/>
        <v>0</v>
      </c>
    </row>
    <row r="2865" spans="24:25" x14ac:dyDescent="0.3">
      <c r="X2865" s="1">
        <f t="shared" si="88"/>
        <v>0</v>
      </c>
      <c r="Y2865" s="1">
        <f t="shared" si="89"/>
        <v>0</v>
      </c>
    </row>
    <row r="2866" spans="24:25" x14ac:dyDescent="0.3">
      <c r="X2866" s="1">
        <f t="shared" si="88"/>
        <v>0</v>
      </c>
      <c r="Y2866" s="1">
        <f t="shared" si="89"/>
        <v>0</v>
      </c>
    </row>
    <row r="2867" spans="24:25" x14ac:dyDescent="0.3">
      <c r="X2867" s="1">
        <f t="shared" si="88"/>
        <v>0</v>
      </c>
      <c r="Y2867" s="1">
        <f t="shared" si="89"/>
        <v>0</v>
      </c>
    </row>
    <row r="2868" spans="24:25" x14ac:dyDescent="0.3">
      <c r="X2868" s="1">
        <f t="shared" si="88"/>
        <v>0</v>
      </c>
      <c r="Y2868" s="1">
        <f t="shared" si="89"/>
        <v>0</v>
      </c>
    </row>
    <row r="2869" spans="24:25" x14ac:dyDescent="0.3">
      <c r="X2869" s="1">
        <f t="shared" si="88"/>
        <v>0</v>
      </c>
      <c r="Y2869" s="1">
        <f t="shared" si="89"/>
        <v>0</v>
      </c>
    </row>
    <row r="2870" spans="24:25" x14ac:dyDescent="0.3">
      <c r="X2870" s="1">
        <f t="shared" si="88"/>
        <v>0</v>
      </c>
      <c r="Y2870" s="1">
        <f t="shared" si="89"/>
        <v>0</v>
      </c>
    </row>
    <row r="2871" spans="24:25" x14ac:dyDescent="0.3">
      <c r="X2871" s="1">
        <f t="shared" si="88"/>
        <v>0</v>
      </c>
      <c r="Y2871" s="1">
        <f t="shared" si="89"/>
        <v>0</v>
      </c>
    </row>
    <row r="2872" spans="24:25" x14ac:dyDescent="0.3">
      <c r="X2872" s="1">
        <f t="shared" si="88"/>
        <v>0</v>
      </c>
      <c r="Y2872" s="1">
        <f t="shared" si="89"/>
        <v>0</v>
      </c>
    </row>
    <row r="2873" spans="24:25" x14ac:dyDescent="0.3">
      <c r="X2873" s="1">
        <f t="shared" si="88"/>
        <v>0</v>
      </c>
      <c r="Y2873" s="1">
        <f t="shared" si="89"/>
        <v>0</v>
      </c>
    </row>
    <row r="2874" spans="24:25" x14ac:dyDescent="0.3">
      <c r="X2874" s="1">
        <f t="shared" si="88"/>
        <v>0</v>
      </c>
      <c r="Y2874" s="1">
        <f t="shared" si="89"/>
        <v>0</v>
      </c>
    </row>
    <row r="2875" spans="24:25" x14ac:dyDescent="0.3">
      <c r="X2875" s="1">
        <f t="shared" si="88"/>
        <v>0</v>
      </c>
      <c r="Y2875" s="1">
        <f t="shared" si="89"/>
        <v>0</v>
      </c>
    </row>
    <row r="2876" spans="24:25" x14ac:dyDescent="0.3">
      <c r="X2876" s="1">
        <f t="shared" si="88"/>
        <v>0</v>
      </c>
      <c r="Y2876" s="1">
        <f t="shared" si="89"/>
        <v>0</v>
      </c>
    </row>
    <row r="2877" spans="24:25" x14ac:dyDescent="0.3">
      <c r="X2877" s="1">
        <f t="shared" si="88"/>
        <v>0</v>
      </c>
      <c r="Y2877" s="1">
        <f t="shared" si="89"/>
        <v>0</v>
      </c>
    </row>
    <row r="2878" spans="24:25" x14ac:dyDescent="0.3">
      <c r="X2878" s="1">
        <f t="shared" si="88"/>
        <v>0</v>
      </c>
      <c r="Y2878" s="1">
        <f t="shared" si="89"/>
        <v>0</v>
      </c>
    </row>
    <row r="2879" spans="24:25" x14ac:dyDescent="0.3">
      <c r="X2879" s="1">
        <f t="shared" si="88"/>
        <v>0</v>
      </c>
      <c r="Y2879" s="1">
        <f t="shared" si="89"/>
        <v>0</v>
      </c>
    </row>
    <row r="2880" spans="24:25" x14ac:dyDescent="0.3">
      <c r="X2880" s="1">
        <f t="shared" si="88"/>
        <v>0</v>
      </c>
      <c r="Y2880" s="1">
        <f t="shared" si="89"/>
        <v>0</v>
      </c>
    </row>
    <row r="2881" spans="24:25" x14ac:dyDescent="0.3">
      <c r="X2881" s="1">
        <f t="shared" si="88"/>
        <v>0</v>
      </c>
      <c r="Y2881" s="1">
        <f t="shared" si="89"/>
        <v>0</v>
      </c>
    </row>
    <row r="2882" spans="24:25" x14ac:dyDescent="0.3">
      <c r="X2882" s="1">
        <f t="shared" si="88"/>
        <v>0</v>
      </c>
      <c r="Y2882" s="1">
        <f t="shared" si="89"/>
        <v>0</v>
      </c>
    </row>
    <row r="2883" spans="24:25" x14ac:dyDescent="0.3">
      <c r="X2883" s="1">
        <f t="shared" ref="X2883:X2946" si="90">IFERROR(MATCH(W2883,$B:$B,0),0)</f>
        <v>0</v>
      </c>
      <c r="Y2883" s="1">
        <f t="shared" ref="Y2883:Y2946" si="91">IF(X2884=0,COUNTA(A:A),X2884-1)</f>
        <v>0</v>
      </c>
    </row>
    <row r="2884" spans="24:25" x14ac:dyDescent="0.3">
      <c r="X2884" s="1">
        <f t="shared" si="90"/>
        <v>0</v>
      </c>
      <c r="Y2884" s="1">
        <f t="shared" si="91"/>
        <v>0</v>
      </c>
    </row>
    <row r="2885" spans="24:25" x14ac:dyDescent="0.3">
      <c r="X2885" s="1">
        <f t="shared" si="90"/>
        <v>0</v>
      </c>
      <c r="Y2885" s="1">
        <f t="shared" si="91"/>
        <v>0</v>
      </c>
    </row>
    <row r="2886" spans="24:25" x14ac:dyDescent="0.3">
      <c r="X2886" s="1">
        <f t="shared" si="90"/>
        <v>0</v>
      </c>
      <c r="Y2886" s="1">
        <f t="shared" si="91"/>
        <v>0</v>
      </c>
    </row>
    <row r="2887" spans="24:25" x14ac:dyDescent="0.3">
      <c r="X2887" s="1">
        <f t="shared" si="90"/>
        <v>0</v>
      </c>
      <c r="Y2887" s="1">
        <f t="shared" si="91"/>
        <v>0</v>
      </c>
    </row>
    <row r="2888" spans="24:25" x14ac:dyDescent="0.3">
      <c r="X2888" s="1">
        <f t="shared" si="90"/>
        <v>0</v>
      </c>
      <c r="Y2888" s="1">
        <f t="shared" si="91"/>
        <v>0</v>
      </c>
    </row>
    <row r="2889" spans="24:25" x14ac:dyDescent="0.3">
      <c r="X2889" s="1">
        <f t="shared" si="90"/>
        <v>0</v>
      </c>
      <c r="Y2889" s="1">
        <f t="shared" si="91"/>
        <v>0</v>
      </c>
    </row>
    <row r="2890" spans="24:25" x14ac:dyDescent="0.3">
      <c r="X2890" s="1">
        <f t="shared" si="90"/>
        <v>0</v>
      </c>
      <c r="Y2890" s="1">
        <f t="shared" si="91"/>
        <v>0</v>
      </c>
    </row>
    <row r="2891" spans="24:25" x14ac:dyDescent="0.3">
      <c r="X2891" s="1">
        <f t="shared" si="90"/>
        <v>0</v>
      </c>
      <c r="Y2891" s="1">
        <f t="shared" si="91"/>
        <v>0</v>
      </c>
    </row>
    <row r="2892" spans="24:25" x14ac:dyDescent="0.3">
      <c r="X2892" s="1">
        <f t="shared" si="90"/>
        <v>0</v>
      </c>
      <c r="Y2892" s="1">
        <f t="shared" si="91"/>
        <v>0</v>
      </c>
    </row>
    <row r="2893" spans="24:25" x14ac:dyDescent="0.3">
      <c r="X2893" s="1">
        <f t="shared" si="90"/>
        <v>0</v>
      </c>
      <c r="Y2893" s="1">
        <f t="shared" si="91"/>
        <v>0</v>
      </c>
    </row>
    <row r="2894" spans="24:25" x14ac:dyDescent="0.3">
      <c r="X2894" s="1">
        <f t="shared" si="90"/>
        <v>0</v>
      </c>
      <c r="Y2894" s="1">
        <f t="shared" si="91"/>
        <v>0</v>
      </c>
    </row>
    <row r="2895" spans="24:25" x14ac:dyDescent="0.3">
      <c r="X2895" s="1">
        <f t="shared" si="90"/>
        <v>0</v>
      </c>
      <c r="Y2895" s="1">
        <f t="shared" si="91"/>
        <v>0</v>
      </c>
    </row>
    <row r="2896" spans="24:25" x14ac:dyDescent="0.3">
      <c r="X2896" s="1">
        <f t="shared" si="90"/>
        <v>0</v>
      </c>
      <c r="Y2896" s="1">
        <f t="shared" si="91"/>
        <v>0</v>
      </c>
    </row>
    <row r="2897" spans="24:25" x14ac:dyDescent="0.3">
      <c r="X2897" s="1">
        <f t="shared" si="90"/>
        <v>0</v>
      </c>
      <c r="Y2897" s="1">
        <f t="shared" si="91"/>
        <v>0</v>
      </c>
    </row>
    <row r="2898" spans="24:25" x14ac:dyDescent="0.3">
      <c r="X2898" s="1">
        <f t="shared" si="90"/>
        <v>0</v>
      </c>
      <c r="Y2898" s="1">
        <f t="shared" si="91"/>
        <v>0</v>
      </c>
    </row>
    <row r="2899" spans="24:25" x14ac:dyDescent="0.3">
      <c r="X2899" s="1">
        <f t="shared" si="90"/>
        <v>0</v>
      </c>
      <c r="Y2899" s="1">
        <f t="shared" si="91"/>
        <v>0</v>
      </c>
    </row>
    <row r="2900" spans="24:25" x14ac:dyDescent="0.3">
      <c r="X2900" s="1">
        <f t="shared" si="90"/>
        <v>0</v>
      </c>
      <c r="Y2900" s="1">
        <f t="shared" si="91"/>
        <v>0</v>
      </c>
    </row>
    <row r="2901" spans="24:25" x14ac:dyDescent="0.3">
      <c r="X2901" s="1">
        <f t="shared" si="90"/>
        <v>0</v>
      </c>
      <c r="Y2901" s="1">
        <f t="shared" si="91"/>
        <v>0</v>
      </c>
    </row>
    <row r="2902" spans="24:25" x14ac:dyDescent="0.3">
      <c r="X2902" s="1">
        <f t="shared" si="90"/>
        <v>0</v>
      </c>
      <c r="Y2902" s="1">
        <f t="shared" si="91"/>
        <v>0</v>
      </c>
    </row>
    <row r="2903" spans="24:25" x14ac:dyDescent="0.3">
      <c r="X2903" s="1">
        <f t="shared" si="90"/>
        <v>0</v>
      </c>
      <c r="Y2903" s="1">
        <f t="shared" si="91"/>
        <v>0</v>
      </c>
    </row>
    <row r="2904" spans="24:25" x14ac:dyDescent="0.3">
      <c r="X2904" s="1">
        <f t="shared" si="90"/>
        <v>0</v>
      </c>
      <c r="Y2904" s="1">
        <f t="shared" si="91"/>
        <v>0</v>
      </c>
    </row>
    <row r="2905" spans="24:25" x14ac:dyDescent="0.3">
      <c r="X2905" s="1">
        <f t="shared" si="90"/>
        <v>0</v>
      </c>
      <c r="Y2905" s="1">
        <f t="shared" si="91"/>
        <v>0</v>
      </c>
    </row>
    <row r="2906" spans="24:25" x14ac:dyDescent="0.3">
      <c r="X2906" s="1">
        <f t="shared" si="90"/>
        <v>0</v>
      </c>
      <c r="Y2906" s="1">
        <f t="shared" si="91"/>
        <v>0</v>
      </c>
    </row>
    <row r="2907" spans="24:25" x14ac:dyDescent="0.3">
      <c r="X2907" s="1">
        <f t="shared" si="90"/>
        <v>0</v>
      </c>
      <c r="Y2907" s="1">
        <f t="shared" si="91"/>
        <v>0</v>
      </c>
    </row>
    <row r="2908" spans="24:25" x14ac:dyDescent="0.3">
      <c r="X2908" s="1">
        <f t="shared" si="90"/>
        <v>0</v>
      </c>
      <c r="Y2908" s="1">
        <f t="shared" si="91"/>
        <v>0</v>
      </c>
    </row>
    <row r="2909" spans="24:25" x14ac:dyDescent="0.3">
      <c r="X2909" s="1">
        <f t="shared" si="90"/>
        <v>0</v>
      </c>
      <c r="Y2909" s="1">
        <f t="shared" si="91"/>
        <v>0</v>
      </c>
    </row>
    <row r="2910" spans="24:25" x14ac:dyDescent="0.3">
      <c r="X2910" s="1">
        <f t="shared" si="90"/>
        <v>0</v>
      </c>
      <c r="Y2910" s="1">
        <f t="shared" si="91"/>
        <v>0</v>
      </c>
    </row>
    <row r="2911" spans="24:25" x14ac:dyDescent="0.3">
      <c r="X2911" s="1">
        <f t="shared" si="90"/>
        <v>0</v>
      </c>
      <c r="Y2911" s="1">
        <f t="shared" si="91"/>
        <v>0</v>
      </c>
    </row>
    <row r="2912" spans="24:25" x14ac:dyDescent="0.3">
      <c r="X2912" s="1">
        <f t="shared" si="90"/>
        <v>0</v>
      </c>
      <c r="Y2912" s="1">
        <f t="shared" si="91"/>
        <v>0</v>
      </c>
    </row>
    <row r="2913" spans="24:25" x14ac:dyDescent="0.3">
      <c r="X2913" s="1">
        <f t="shared" si="90"/>
        <v>0</v>
      </c>
      <c r="Y2913" s="1">
        <f t="shared" si="91"/>
        <v>0</v>
      </c>
    </row>
    <row r="2914" spans="24:25" x14ac:dyDescent="0.3">
      <c r="X2914" s="1">
        <f t="shared" si="90"/>
        <v>0</v>
      </c>
      <c r="Y2914" s="1">
        <f t="shared" si="91"/>
        <v>0</v>
      </c>
    </row>
    <row r="2915" spans="24:25" x14ac:dyDescent="0.3">
      <c r="X2915" s="1">
        <f t="shared" si="90"/>
        <v>0</v>
      </c>
      <c r="Y2915" s="1">
        <f t="shared" si="91"/>
        <v>0</v>
      </c>
    </row>
    <row r="2916" spans="24:25" x14ac:dyDescent="0.3">
      <c r="X2916" s="1">
        <f t="shared" si="90"/>
        <v>0</v>
      </c>
      <c r="Y2916" s="1">
        <f t="shared" si="91"/>
        <v>0</v>
      </c>
    </row>
    <row r="2917" spans="24:25" x14ac:dyDescent="0.3">
      <c r="X2917" s="1">
        <f t="shared" si="90"/>
        <v>0</v>
      </c>
      <c r="Y2917" s="1">
        <f t="shared" si="91"/>
        <v>0</v>
      </c>
    </row>
    <row r="2918" spans="24:25" x14ac:dyDescent="0.3">
      <c r="X2918" s="1">
        <f t="shared" si="90"/>
        <v>0</v>
      </c>
      <c r="Y2918" s="1">
        <f t="shared" si="91"/>
        <v>0</v>
      </c>
    </row>
    <row r="2919" spans="24:25" x14ac:dyDescent="0.3">
      <c r="X2919" s="1">
        <f t="shared" si="90"/>
        <v>0</v>
      </c>
      <c r="Y2919" s="1">
        <f t="shared" si="91"/>
        <v>0</v>
      </c>
    </row>
    <row r="2920" spans="24:25" x14ac:dyDescent="0.3">
      <c r="X2920" s="1">
        <f t="shared" si="90"/>
        <v>0</v>
      </c>
      <c r="Y2920" s="1">
        <f t="shared" si="91"/>
        <v>0</v>
      </c>
    </row>
    <row r="2921" spans="24:25" x14ac:dyDescent="0.3">
      <c r="X2921" s="1">
        <f t="shared" si="90"/>
        <v>0</v>
      </c>
      <c r="Y2921" s="1">
        <f t="shared" si="91"/>
        <v>0</v>
      </c>
    </row>
    <row r="2922" spans="24:25" x14ac:dyDescent="0.3">
      <c r="X2922" s="1">
        <f t="shared" si="90"/>
        <v>0</v>
      </c>
      <c r="Y2922" s="1">
        <f t="shared" si="91"/>
        <v>0</v>
      </c>
    </row>
    <row r="2923" spans="24:25" x14ac:dyDescent="0.3">
      <c r="X2923" s="1">
        <f t="shared" si="90"/>
        <v>0</v>
      </c>
      <c r="Y2923" s="1">
        <f t="shared" si="91"/>
        <v>0</v>
      </c>
    </row>
    <row r="2924" spans="24:25" x14ac:dyDescent="0.3">
      <c r="X2924" s="1">
        <f t="shared" si="90"/>
        <v>0</v>
      </c>
      <c r="Y2924" s="1">
        <f t="shared" si="91"/>
        <v>0</v>
      </c>
    </row>
    <row r="2925" spans="24:25" x14ac:dyDescent="0.3">
      <c r="X2925" s="1">
        <f t="shared" si="90"/>
        <v>0</v>
      </c>
      <c r="Y2925" s="1">
        <f t="shared" si="91"/>
        <v>0</v>
      </c>
    </row>
    <row r="2926" spans="24:25" x14ac:dyDescent="0.3">
      <c r="X2926" s="1">
        <f t="shared" si="90"/>
        <v>0</v>
      </c>
      <c r="Y2926" s="1">
        <f t="shared" si="91"/>
        <v>0</v>
      </c>
    </row>
    <row r="2927" spans="24:25" x14ac:dyDescent="0.3">
      <c r="X2927" s="1">
        <f t="shared" si="90"/>
        <v>0</v>
      </c>
      <c r="Y2927" s="1">
        <f t="shared" si="91"/>
        <v>0</v>
      </c>
    </row>
    <row r="2928" spans="24:25" x14ac:dyDescent="0.3">
      <c r="X2928" s="1">
        <f t="shared" si="90"/>
        <v>0</v>
      </c>
      <c r="Y2928" s="1">
        <f t="shared" si="91"/>
        <v>0</v>
      </c>
    </row>
    <row r="2929" spans="24:25" x14ac:dyDescent="0.3">
      <c r="X2929" s="1">
        <f t="shared" si="90"/>
        <v>0</v>
      </c>
      <c r="Y2929" s="1">
        <f t="shared" si="91"/>
        <v>0</v>
      </c>
    </row>
    <row r="2930" spans="24:25" x14ac:dyDescent="0.3">
      <c r="X2930" s="1">
        <f t="shared" si="90"/>
        <v>0</v>
      </c>
      <c r="Y2930" s="1">
        <f t="shared" si="91"/>
        <v>0</v>
      </c>
    </row>
    <row r="2931" spans="24:25" x14ac:dyDescent="0.3">
      <c r="X2931" s="1">
        <f t="shared" si="90"/>
        <v>0</v>
      </c>
      <c r="Y2931" s="1">
        <f t="shared" si="91"/>
        <v>0</v>
      </c>
    </row>
    <row r="2932" spans="24:25" x14ac:dyDescent="0.3">
      <c r="X2932" s="1">
        <f t="shared" si="90"/>
        <v>0</v>
      </c>
      <c r="Y2932" s="1">
        <f t="shared" si="91"/>
        <v>0</v>
      </c>
    </row>
    <row r="2933" spans="24:25" x14ac:dyDescent="0.3">
      <c r="X2933" s="1">
        <f t="shared" si="90"/>
        <v>0</v>
      </c>
      <c r="Y2933" s="1">
        <f t="shared" si="91"/>
        <v>0</v>
      </c>
    </row>
    <row r="2934" spans="24:25" x14ac:dyDescent="0.3">
      <c r="X2934" s="1">
        <f t="shared" si="90"/>
        <v>0</v>
      </c>
      <c r="Y2934" s="1">
        <f t="shared" si="91"/>
        <v>0</v>
      </c>
    </row>
    <row r="2935" spans="24:25" x14ac:dyDescent="0.3">
      <c r="X2935" s="1">
        <f t="shared" si="90"/>
        <v>0</v>
      </c>
      <c r="Y2935" s="1">
        <f t="shared" si="91"/>
        <v>0</v>
      </c>
    </row>
    <row r="2936" spans="24:25" x14ac:dyDescent="0.3">
      <c r="X2936" s="1">
        <f t="shared" si="90"/>
        <v>0</v>
      </c>
      <c r="Y2936" s="1">
        <f t="shared" si="91"/>
        <v>0</v>
      </c>
    </row>
    <row r="2937" spans="24:25" x14ac:dyDescent="0.3">
      <c r="X2937" s="1">
        <f t="shared" si="90"/>
        <v>0</v>
      </c>
      <c r="Y2937" s="1">
        <f t="shared" si="91"/>
        <v>0</v>
      </c>
    </row>
    <row r="2938" spans="24:25" x14ac:dyDescent="0.3">
      <c r="X2938" s="1">
        <f t="shared" si="90"/>
        <v>0</v>
      </c>
      <c r="Y2938" s="1">
        <f t="shared" si="91"/>
        <v>0</v>
      </c>
    </row>
    <row r="2939" spans="24:25" x14ac:dyDescent="0.3">
      <c r="X2939" s="1">
        <f t="shared" si="90"/>
        <v>0</v>
      </c>
      <c r="Y2939" s="1">
        <f t="shared" si="91"/>
        <v>0</v>
      </c>
    </row>
    <row r="2940" spans="24:25" x14ac:dyDescent="0.3">
      <c r="X2940" s="1">
        <f t="shared" si="90"/>
        <v>0</v>
      </c>
      <c r="Y2940" s="1">
        <f t="shared" si="91"/>
        <v>0</v>
      </c>
    </row>
    <row r="2941" spans="24:25" x14ac:dyDescent="0.3">
      <c r="X2941" s="1">
        <f t="shared" si="90"/>
        <v>0</v>
      </c>
      <c r="Y2941" s="1">
        <f t="shared" si="91"/>
        <v>0</v>
      </c>
    </row>
    <row r="2942" spans="24:25" x14ac:dyDescent="0.3">
      <c r="X2942" s="1">
        <f t="shared" si="90"/>
        <v>0</v>
      </c>
      <c r="Y2942" s="1">
        <f t="shared" si="91"/>
        <v>0</v>
      </c>
    </row>
    <row r="2943" spans="24:25" x14ac:dyDescent="0.3">
      <c r="X2943" s="1">
        <f t="shared" si="90"/>
        <v>0</v>
      </c>
      <c r="Y2943" s="1">
        <f t="shared" si="91"/>
        <v>0</v>
      </c>
    </row>
    <row r="2944" spans="24:25" x14ac:dyDescent="0.3">
      <c r="X2944" s="1">
        <f t="shared" si="90"/>
        <v>0</v>
      </c>
      <c r="Y2944" s="1">
        <f t="shared" si="91"/>
        <v>0</v>
      </c>
    </row>
    <row r="2945" spans="24:25" x14ac:dyDescent="0.3">
      <c r="X2945" s="1">
        <f t="shared" si="90"/>
        <v>0</v>
      </c>
      <c r="Y2945" s="1">
        <f t="shared" si="91"/>
        <v>0</v>
      </c>
    </row>
    <row r="2946" spans="24:25" x14ac:dyDescent="0.3">
      <c r="X2946" s="1">
        <f t="shared" si="90"/>
        <v>0</v>
      </c>
      <c r="Y2946" s="1">
        <f t="shared" si="91"/>
        <v>0</v>
      </c>
    </row>
    <row r="2947" spans="24:25" x14ac:dyDescent="0.3">
      <c r="X2947" s="1">
        <f t="shared" ref="X2947:X3010" si="92">IFERROR(MATCH(W2947,$B:$B,0),0)</f>
        <v>0</v>
      </c>
      <c r="Y2947" s="1">
        <f t="shared" ref="Y2947:Y3010" si="93">IF(X2948=0,COUNTA(A:A),X2948-1)</f>
        <v>0</v>
      </c>
    </row>
    <row r="2948" spans="24:25" x14ac:dyDescent="0.3">
      <c r="X2948" s="1">
        <f t="shared" si="92"/>
        <v>0</v>
      </c>
      <c r="Y2948" s="1">
        <f t="shared" si="93"/>
        <v>0</v>
      </c>
    </row>
    <row r="2949" spans="24:25" x14ac:dyDescent="0.3">
      <c r="X2949" s="1">
        <f t="shared" si="92"/>
        <v>0</v>
      </c>
      <c r="Y2949" s="1">
        <f t="shared" si="93"/>
        <v>0</v>
      </c>
    </row>
    <row r="2950" spans="24:25" x14ac:dyDescent="0.3">
      <c r="X2950" s="1">
        <f t="shared" si="92"/>
        <v>0</v>
      </c>
      <c r="Y2950" s="1">
        <f t="shared" si="93"/>
        <v>0</v>
      </c>
    </row>
    <row r="2951" spans="24:25" x14ac:dyDescent="0.3">
      <c r="X2951" s="1">
        <f t="shared" si="92"/>
        <v>0</v>
      </c>
      <c r="Y2951" s="1">
        <f t="shared" si="93"/>
        <v>0</v>
      </c>
    </row>
    <row r="2952" spans="24:25" x14ac:dyDescent="0.3">
      <c r="X2952" s="1">
        <f t="shared" si="92"/>
        <v>0</v>
      </c>
      <c r="Y2952" s="1">
        <f t="shared" si="93"/>
        <v>0</v>
      </c>
    </row>
    <row r="2953" spans="24:25" x14ac:dyDescent="0.3">
      <c r="X2953" s="1">
        <f t="shared" si="92"/>
        <v>0</v>
      </c>
      <c r="Y2953" s="1">
        <f t="shared" si="93"/>
        <v>0</v>
      </c>
    </row>
    <row r="2954" spans="24:25" x14ac:dyDescent="0.3">
      <c r="X2954" s="1">
        <f t="shared" si="92"/>
        <v>0</v>
      </c>
      <c r="Y2954" s="1">
        <f t="shared" si="93"/>
        <v>0</v>
      </c>
    </row>
    <row r="2955" spans="24:25" x14ac:dyDescent="0.3">
      <c r="X2955" s="1">
        <f t="shared" si="92"/>
        <v>0</v>
      </c>
      <c r="Y2955" s="1">
        <f t="shared" si="93"/>
        <v>0</v>
      </c>
    </row>
    <row r="2956" spans="24:25" x14ac:dyDescent="0.3">
      <c r="X2956" s="1">
        <f t="shared" si="92"/>
        <v>0</v>
      </c>
      <c r="Y2956" s="1">
        <f t="shared" si="93"/>
        <v>0</v>
      </c>
    </row>
    <row r="2957" spans="24:25" x14ac:dyDescent="0.3">
      <c r="X2957" s="1">
        <f t="shared" si="92"/>
        <v>0</v>
      </c>
      <c r="Y2957" s="1">
        <f t="shared" si="93"/>
        <v>0</v>
      </c>
    </row>
    <row r="2958" spans="24:25" x14ac:dyDescent="0.3">
      <c r="X2958" s="1">
        <f t="shared" si="92"/>
        <v>0</v>
      </c>
      <c r="Y2958" s="1">
        <f t="shared" si="93"/>
        <v>0</v>
      </c>
    </row>
    <row r="2959" spans="24:25" x14ac:dyDescent="0.3">
      <c r="X2959" s="1">
        <f t="shared" si="92"/>
        <v>0</v>
      </c>
      <c r="Y2959" s="1">
        <f t="shared" si="93"/>
        <v>0</v>
      </c>
    </row>
    <row r="2960" spans="24:25" x14ac:dyDescent="0.3">
      <c r="X2960" s="1">
        <f t="shared" si="92"/>
        <v>0</v>
      </c>
      <c r="Y2960" s="1">
        <f t="shared" si="93"/>
        <v>0</v>
      </c>
    </row>
    <row r="2961" spans="24:25" x14ac:dyDescent="0.3">
      <c r="X2961" s="1">
        <f t="shared" si="92"/>
        <v>0</v>
      </c>
      <c r="Y2961" s="1">
        <f t="shared" si="93"/>
        <v>0</v>
      </c>
    </row>
    <row r="2962" spans="24:25" x14ac:dyDescent="0.3">
      <c r="X2962" s="1">
        <f t="shared" si="92"/>
        <v>0</v>
      </c>
      <c r="Y2962" s="1">
        <f t="shared" si="93"/>
        <v>0</v>
      </c>
    </row>
    <row r="2963" spans="24:25" x14ac:dyDescent="0.3">
      <c r="X2963" s="1">
        <f t="shared" si="92"/>
        <v>0</v>
      </c>
      <c r="Y2963" s="1">
        <f t="shared" si="93"/>
        <v>0</v>
      </c>
    </row>
    <row r="2964" spans="24:25" x14ac:dyDescent="0.3">
      <c r="X2964" s="1">
        <f t="shared" si="92"/>
        <v>0</v>
      </c>
      <c r="Y2964" s="1">
        <f t="shared" si="93"/>
        <v>0</v>
      </c>
    </row>
    <row r="2965" spans="24:25" x14ac:dyDescent="0.3">
      <c r="X2965" s="1">
        <f t="shared" si="92"/>
        <v>0</v>
      </c>
      <c r="Y2965" s="1">
        <f t="shared" si="93"/>
        <v>0</v>
      </c>
    </row>
    <row r="2966" spans="24:25" x14ac:dyDescent="0.3">
      <c r="X2966" s="1">
        <f t="shared" si="92"/>
        <v>0</v>
      </c>
      <c r="Y2966" s="1">
        <f t="shared" si="93"/>
        <v>0</v>
      </c>
    </row>
    <row r="2967" spans="24:25" x14ac:dyDescent="0.3">
      <c r="X2967" s="1">
        <f t="shared" si="92"/>
        <v>0</v>
      </c>
      <c r="Y2967" s="1">
        <f t="shared" si="93"/>
        <v>0</v>
      </c>
    </row>
    <row r="2968" spans="24:25" x14ac:dyDescent="0.3">
      <c r="X2968" s="1">
        <f t="shared" si="92"/>
        <v>0</v>
      </c>
      <c r="Y2968" s="1">
        <f t="shared" si="93"/>
        <v>0</v>
      </c>
    </row>
    <row r="2969" spans="24:25" x14ac:dyDescent="0.3">
      <c r="X2969" s="1">
        <f t="shared" si="92"/>
        <v>0</v>
      </c>
      <c r="Y2969" s="1">
        <f t="shared" si="93"/>
        <v>0</v>
      </c>
    </row>
    <row r="2970" spans="24:25" x14ac:dyDescent="0.3">
      <c r="X2970" s="1">
        <f t="shared" si="92"/>
        <v>0</v>
      </c>
      <c r="Y2970" s="1">
        <f t="shared" si="93"/>
        <v>0</v>
      </c>
    </row>
    <row r="2971" spans="24:25" x14ac:dyDescent="0.3">
      <c r="X2971" s="1">
        <f t="shared" si="92"/>
        <v>0</v>
      </c>
      <c r="Y2971" s="1">
        <f t="shared" si="93"/>
        <v>0</v>
      </c>
    </row>
    <row r="2972" spans="24:25" x14ac:dyDescent="0.3">
      <c r="X2972" s="1">
        <f t="shared" si="92"/>
        <v>0</v>
      </c>
      <c r="Y2972" s="1">
        <f t="shared" si="93"/>
        <v>0</v>
      </c>
    </row>
    <row r="2973" spans="24:25" x14ac:dyDescent="0.3">
      <c r="X2973" s="1">
        <f t="shared" si="92"/>
        <v>0</v>
      </c>
      <c r="Y2973" s="1">
        <f t="shared" si="93"/>
        <v>0</v>
      </c>
    </row>
    <row r="2974" spans="24:25" x14ac:dyDescent="0.3">
      <c r="X2974" s="1">
        <f t="shared" si="92"/>
        <v>0</v>
      </c>
      <c r="Y2974" s="1">
        <f t="shared" si="93"/>
        <v>0</v>
      </c>
    </row>
    <row r="2975" spans="24:25" x14ac:dyDescent="0.3">
      <c r="X2975" s="1">
        <f t="shared" si="92"/>
        <v>0</v>
      </c>
      <c r="Y2975" s="1">
        <f t="shared" si="93"/>
        <v>0</v>
      </c>
    </row>
    <row r="2976" spans="24:25" x14ac:dyDescent="0.3">
      <c r="X2976" s="1">
        <f t="shared" si="92"/>
        <v>0</v>
      </c>
      <c r="Y2976" s="1">
        <f t="shared" si="93"/>
        <v>0</v>
      </c>
    </row>
    <row r="2977" spans="24:25" x14ac:dyDescent="0.3">
      <c r="X2977" s="1">
        <f t="shared" si="92"/>
        <v>0</v>
      </c>
      <c r="Y2977" s="1">
        <f t="shared" si="93"/>
        <v>0</v>
      </c>
    </row>
    <row r="2978" spans="24:25" x14ac:dyDescent="0.3">
      <c r="X2978" s="1">
        <f t="shared" si="92"/>
        <v>0</v>
      </c>
      <c r="Y2978" s="1">
        <f t="shared" si="93"/>
        <v>0</v>
      </c>
    </row>
    <row r="2979" spans="24:25" x14ac:dyDescent="0.3">
      <c r="X2979" s="1">
        <f t="shared" si="92"/>
        <v>0</v>
      </c>
      <c r="Y2979" s="1">
        <f t="shared" si="93"/>
        <v>0</v>
      </c>
    </row>
    <row r="2980" spans="24:25" x14ac:dyDescent="0.3">
      <c r="X2980" s="1">
        <f t="shared" si="92"/>
        <v>0</v>
      </c>
      <c r="Y2980" s="1">
        <f t="shared" si="93"/>
        <v>0</v>
      </c>
    </row>
    <row r="2981" spans="24:25" x14ac:dyDescent="0.3">
      <c r="X2981" s="1">
        <f t="shared" si="92"/>
        <v>0</v>
      </c>
      <c r="Y2981" s="1">
        <f t="shared" si="93"/>
        <v>0</v>
      </c>
    </row>
    <row r="2982" spans="24:25" x14ac:dyDescent="0.3">
      <c r="X2982" s="1">
        <f t="shared" si="92"/>
        <v>0</v>
      </c>
      <c r="Y2982" s="1">
        <f t="shared" si="93"/>
        <v>0</v>
      </c>
    </row>
    <row r="2983" spans="24:25" x14ac:dyDescent="0.3">
      <c r="X2983" s="1">
        <f t="shared" si="92"/>
        <v>0</v>
      </c>
      <c r="Y2983" s="1">
        <f t="shared" si="93"/>
        <v>0</v>
      </c>
    </row>
    <row r="2984" spans="24:25" x14ac:dyDescent="0.3">
      <c r="X2984" s="1">
        <f t="shared" si="92"/>
        <v>0</v>
      </c>
      <c r="Y2984" s="1">
        <f t="shared" si="93"/>
        <v>0</v>
      </c>
    </row>
    <row r="2985" spans="24:25" x14ac:dyDescent="0.3">
      <c r="X2985" s="1">
        <f t="shared" si="92"/>
        <v>0</v>
      </c>
      <c r="Y2985" s="1">
        <f t="shared" si="93"/>
        <v>0</v>
      </c>
    </row>
    <row r="2986" spans="24:25" x14ac:dyDescent="0.3">
      <c r="X2986" s="1">
        <f t="shared" si="92"/>
        <v>0</v>
      </c>
      <c r="Y2986" s="1">
        <f t="shared" si="93"/>
        <v>0</v>
      </c>
    </row>
    <row r="2987" spans="24:25" x14ac:dyDescent="0.3">
      <c r="X2987" s="1">
        <f t="shared" si="92"/>
        <v>0</v>
      </c>
      <c r="Y2987" s="1">
        <f t="shared" si="93"/>
        <v>0</v>
      </c>
    </row>
    <row r="2988" spans="24:25" x14ac:dyDescent="0.3">
      <c r="X2988" s="1">
        <f t="shared" si="92"/>
        <v>0</v>
      </c>
      <c r="Y2988" s="1">
        <f t="shared" si="93"/>
        <v>0</v>
      </c>
    </row>
    <row r="2989" spans="24:25" x14ac:dyDescent="0.3">
      <c r="X2989" s="1">
        <f t="shared" si="92"/>
        <v>0</v>
      </c>
      <c r="Y2989" s="1">
        <f t="shared" si="93"/>
        <v>0</v>
      </c>
    </row>
    <row r="2990" spans="24:25" x14ac:dyDescent="0.3">
      <c r="X2990" s="1">
        <f t="shared" si="92"/>
        <v>0</v>
      </c>
      <c r="Y2990" s="1">
        <f t="shared" si="93"/>
        <v>0</v>
      </c>
    </row>
    <row r="2991" spans="24:25" x14ac:dyDescent="0.3">
      <c r="X2991" s="1">
        <f t="shared" si="92"/>
        <v>0</v>
      </c>
      <c r="Y2991" s="1">
        <f t="shared" si="93"/>
        <v>0</v>
      </c>
    </row>
    <row r="2992" spans="24:25" x14ac:dyDescent="0.3">
      <c r="X2992" s="1">
        <f t="shared" si="92"/>
        <v>0</v>
      </c>
      <c r="Y2992" s="1">
        <f t="shared" si="93"/>
        <v>0</v>
      </c>
    </row>
    <row r="2993" spans="24:25" x14ac:dyDescent="0.3">
      <c r="X2993" s="1">
        <f t="shared" si="92"/>
        <v>0</v>
      </c>
      <c r="Y2993" s="1">
        <f t="shared" si="93"/>
        <v>0</v>
      </c>
    </row>
    <row r="2994" spans="24:25" x14ac:dyDescent="0.3">
      <c r="X2994" s="1">
        <f t="shared" si="92"/>
        <v>0</v>
      </c>
      <c r="Y2994" s="1">
        <f t="shared" si="93"/>
        <v>0</v>
      </c>
    </row>
    <row r="2995" spans="24:25" x14ac:dyDescent="0.3">
      <c r="X2995" s="1">
        <f t="shared" si="92"/>
        <v>0</v>
      </c>
      <c r="Y2995" s="1">
        <f t="shared" si="93"/>
        <v>0</v>
      </c>
    </row>
    <row r="2996" spans="24:25" x14ac:dyDescent="0.3">
      <c r="X2996" s="1">
        <f t="shared" si="92"/>
        <v>0</v>
      </c>
      <c r="Y2996" s="1">
        <f t="shared" si="93"/>
        <v>0</v>
      </c>
    </row>
    <row r="2997" spans="24:25" x14ac:dyDescent="0.3">
      <c r="X2997" s="1">
        <f t="shared" si="92"/>
        <v>0</v>
      </c>
      <c r="Y2997" s="1">
        <f t="shared" si="93"/>
        <v>0</v>
      </c>
    </row>
    <row r="2998" spans="24:25" x14ac:dyDescent="0.3">
      <c r="X2998" s="1">
        <f t="shared" si="92"/>
        <v>0</v>
      </c>
      <c r="Y2998" s="1">
        <f t="shared" si="93"/>
        <v>0</v>
      </c>
    </row>
    <row r="2999" spans="24:25" x14ac:dyDescent="0.3">
      <c r="X2999" s="1">
        <f t="shared" si="92"/>
        <v>0</v>
      </c>
      <c r="Y2999" s="1">
        <f t="shared" si="93"/>
        <v>0</v>
      </c>
    </row>
    <row r="3000" spans="24:25" x14ac:dyDescent="0.3">
      <c r="X3000" s="1">
        <f t="shared" si="92"/>
        <v>0</v>
      </c>
      <c r="Y3000" s="1">
        <f t="shared" si="93"/>
        <v>0</v>
      </c>
    </row>
    <row r="3001" spans="24:25" x14ac:dyDescent="0.3">
      <c r="X3001" s="1">
        <f t="shared" si="92"/>
        <v>0</v>
      </c>
      <c r="Y3001" s="1">
        <f t="shared" si="93"/>
        <v>0</v>
      </c>
    </row>
    <row r="3002" spans="24:25" x14ac:dyDescent="0.3">
      <c r="X3002" s="1">
        <f t="shared" si="92"/>
        <v>0</v>
      </c>
      <c r="Y3002" s="1">
        <f t="shared" si="93"/>
        <v>0</v>
      </c>
    </row>
    <row r="3003" spans="24:25" x14ac:dyDescent="0.3">
      <c r="X3003" s="1">
        <f t="shared" si="92"/>
        <v>0</v>
      </c>
      <c r="Y3003" s="1">
        <f t="shared" si="93"/>
        <v>0</v>
      </c>
    </row>
    <row r="3004" spans="24:25" x14ac:dyDescent="0.3">
      <c r="X3004" s="1">
        <f t="shared" si="92"/>
        <v>0</v>
      </c>
      <c r="Y3004" s="1">
        <f t="shared" si="93"/>
        <v>0</v>
      </c>
    </row>
    <row r="3005" spans="24:25" x14ac:dyDescent="0.3">
      <c r="X3005" s="1">
        <f t="shared" si="92"/>
        <v>0</v>
      </c>
      <c r="Y3005" s="1">
        <f t="shared" si="93"/>
        <v>0</v>
      </c>
    </row>
    <row r="3006" spans="24:25" x14ac:dyDescent="0.3">
      <c r="X3006" s="1">
        <f t="shared" si="92"/>
        <v>0</v>
      </c>
      <c r="Y3006" s="1">
        <f t="shared" si="93"/>
        <v>0</v>
      </c>
    </row>
    <row r="3007" spans="24:25" x14ac:dyDescent="0.3">
      <c r="X3007" s="1">
        <f t="shared" si="92"/>
        <v>0</v>
      </c>
      <c r="Y3007" s="1">
        <f t="shared" si="93"/>
        <v>0</v>
      </c>
    </row>
    <row r="3008" spans="24:25" x14ac:dyDescent="0.3">
      <c r="X3008" s="1">
        <f t="shared" si="92"/>
        <v>0</v>
      </c>
      <c r="Y3008" s="1">
        <f t="shared" si="93"/>
        <v>0</v>
      </c>
    </row>
    <row r="3009" spans="24:25" x14ac:dyDescent="0.3">
      <c r="X3009" s="1">
        <f t="shared" si="92"/>
        <v>0</v>
      </c>
      <c r="Y3009" s="1">
        <f t="shared" si="93"/>
        <v>0</v>
      </c>
    </row>
    <row r="3010" spans="24:25" x14ac:dyDescent="0.3">
      <c r="X3010" s="1">
        <f t="shared" si="92"/>
        <v>0</v>
      </c>
      <c r="Y3010" s="1">
        <f t="shared" si="93"/>
        <v>0</v>
      </c>
    </row>
    <row r="3011" spans="24:25" x14ac:dyDescent="0.3">
      <c r="X3011" s="1">
        <f t="shared" ref="X3011:X3074" si="94">IFERROR(MATCH(W3011,$B:$B,0),0)</f>
        <v>0</v>
      </c>
      <c r="Y3011" s="1">
        <f t="shared" ref="Y3011:Y3074" si="95">IF(X3012=0,COUNTA(A:A),X3012-1)</f>
        <v>0</v>
      </c>
    </row>
    <row r="3012" spans="24:25" x14ac:dyDescent="0.3">
      <c r="X3012" s="1">
        <f t="shared" si="94"/>
        <v>0</v>
      </c>
      <c r="Y3012" s="1">
        <f t="shared" si="95"/>
        <v>0</v>
      </c>
    </row>
    <row r="3013" spans="24:25" x14ac:dyDescent="0.3">
      <c r="X3013" s="1">
        <f t="shared" si="94"/>
        <v>0</v>
      </c>
      <c r="Y3013" s="1">
        <f t="shared" si="95"/>
        <v>0</v>
      </c>
    </row>
    <row r="3014" spans="24:25" x14ac:dyDescent="0.3">
      <c r="X3014" s="1">
        <f t="shared" si="94"/>
        <v>0</v>
      </c>
      <c r="Y3014" s="1">
        <f t="shared" si="95"/>
        <v>0</v>
      </c>
    </row>
    <row r="3015" spans="24:25" x14ac:dyDescent="0.3">
      <c r="X3015" s="1">
        <f t="shared" si="94"/>
        <v>0</v>
      </c>
      <c r="Y3015" s="1">
        <f t="shared" si="95"/>
        <v>0</v>
      </c>
    </row>
    <row r="3016" spans="24:25" x14ac:dyDescent="0.3">
      <c r="X3016" s="1">
        <f t="shared" si="94"/>
        <v>0</v>
      </c>
      <c r="Y3016" s="1">
        <f t="shared" si="95"/>
        <v>0</v>
      </c>
    </row>
    <row r="3017" spans="24:25" x14ac:dyDescent="0.3">
      <c r="X3017" s="1">
        <f t="shared" si="94"/>
        <v>0</v>
      </c>
      <c r="Y3017" s="1">
        <f t="shared" si="95"/>
        <v>0</v>
      </c>
    </row>
    <row r="3018" spans="24:25" x14ac:dyDescent="0.3">
      <c r="X3018" s="1">
        <f t="shared" si="94"/>
        <v>0</v>
      </c>
      <c r="Y3018" s="1">
        <f t="shared" si="95"/>
        <v>0</v>
      </c>
    </row>
    <row r="3019" spans="24:25" x14ac:dyDescent="0.3">
      <c r="X3019" s="1">
        <f t="shared" si="94"/>
        <v>0</v>
      </c>
      <c r="Y3019" s="1">
        <f t="shared" si="95"/>
        <v>0</v>
      </c>
    </row>
    <row r="3020" spans="24:25" x14ac:dyDescent="0.3">
      <c r="X3020" s="1">
        <f t="shared" si="94"/>
        <v>0</v>
      </c>
      <c r="Y3020" s="1">
        <f t="shared" si="95"/>
        <v>0</v>
      </c>
    </row>
    <row r="3021" spans="24:25" x14ac:dyDescent="0.3">
      <c r="X3021" s="1">
        <f t="shared" si="94"/>
        <v>0</v>
      </c>
      <c r="Y3021" s="1">
        <f t="shared" si="95"/>
        <v>0</v>
      </c>
    </row>
    <row r="3022" spans="24:25" x14ac:dyDescent="0.3">
      <c r="X3022" s="1">
        <f t="shared" si="94"/>
        <v>0</v>
      </c>
      <c r="Y3022" s="1">
        <f t="shared" si="95"/>
        <v>0</v>
      </c>
    </row>
    <row r="3023" spans="24:25" x14ac:dyDescent="0.3">
      <c r="X3023" s="1">
        <f t="shared" si="94"/>
        <v>0</v>
      </c>
      <c r="Y3023" s="1">
        <f t="shared" si="95"/>
        <v>0</v>
      </c>
    </row>
    <row r="3024" spans="24:25" x14ac:dyDescent="0.3">
      <c r="X3024" s="1">
        <f t="shared" si="94"/>
        <v>0</v>
      </c>
      <c r="Y3024" s="1">
        <f t="shared" si="95"/>
        <v>0</v>
      </c>
    </row>
    <row r="3025" spans="24:25" x14ac:dyDescent="0.3">
      <c r="X3025" s="1">
        <f t="shared" si="94"/>
        <v>0</v>
      </c>
      <c r="Y3025" s="1">
        <f t="shared" si="95"/>
        <v>0</v>
      </c>
    </row>
    <row r="3026" spans="24:25" x14ac:dyDescent="0.3">
      <c r="X3026" s="1">
        <f t="shared" si="94"/>
        <v>0</v>
      </c>
      <c r="Y3026" s="1">
        <f t="shared" si="95"/>
        <v>0</v>
      </c>
    </row>
    <row r="3027" spans="24:25" x14ac:dyDescent="0.3">
      <c r="X3027" s="1">
        <f t="shared" si="94"/>
        <v>0</v>
      </c>
      <c r="Y3027" s="1">
        <f t="shared" si="95"/>
        <v>0</v>
      </c>
    </row>
    <row r="3028" spans="24:25" x14ac:dyDescent="0.3">
      <c r="X3028" s="1">
        <f t="shared" si="94"/>
        <v>0</v>
      </c>
      <c r="Y3028" s="1">
        <f t="shared" si="95"/>
        <v>0</v>
      </c>
    </row>
    <row r="3029" spans="24:25" x14ac:dyDescent="0.3">
      <c r="X3029" s="1">
        <f t="shared" si="94"/>
        <v>0</v>
      </c>
      <c r="Y3029" s="1">
        <f t="shared" si="95"/>
        <v>0</v>
      </c>
    </row>
    <row r="3030" spans="24:25" x14ac:dyDescent="0.3">
      <c r="X3030" s="1">
        <f t="shared" si="94"/>
        <v>0</v>
      </c>
      <c r="Y3030" s="1">
        <f t="shared" si="95"/>
        <v>0</v>
      </c>
    </row>
    <row r="3031" spans="24:25" x14ac:dyDescent="0.3">
      <c r="X3031" s="1">
        <f t="shared" si="94"/>
        <v>0</v>
      </c>
      <c r="Y3031" s="1">
        <f t="shared" si="95"/>
        <v>0</v>
      </c>
    </row>
    <row r="3032" spans="24:25" x14ac:dyDescent="0.3">
      <c r="X3032" s="1">
        <f t="shared" si="94"/>
        <v>0</v>
      </c>
      <c r="Y3032" s="1">
        <f t="shared" si="95"/>
        <v>0</v>
      </c>
    </row>
    <row r="3033" spans="24:25" x14ac:dyDescent="0.3">
      <c r="X3033" s="1">
        <f t="shared" si="94"/>
        <v>0</v>
      </c>
      <c r="Y3033" s="1">
        <f t="shared" si="95"/>
        <v>0</v>
      </c>
    </row>
    <row r="3034" spans="24:25" x14ac:dyDescent="0.3">
      <c r="X3034" s="1">
        <f t="shared" si="94"/>
        <v>0</v>
      </c>
      <c r="Y3034" s="1">
        <f t="shared" si="95"/>
        <v>0</v>
      </c>
    </row>
    <row r="3035" spans="24:25" x14ac:dyDescent="0.3">
      <c r="X3035" s="1">
        <f t="shared" si="94"/>
        <v>0</v>
      </c>
      <c r="Y3035" s="1">
        <f t="shared" si="95"/>
        <v>0</v>
      </c>
    </row>
    <row r="3036" spans="24:25" x14ac:dyDescent="0.3">
      <c r="X3036" s="1">
        <f t="shared" si="94"/>
        <v>0</v>
      </c>
      <c r="Y3036" s="1">
        <f t="shared" si="95"/>
        <v>0</v>
      </c>
    </row>
    <row r="3037" spans="24:25" x14ac:dyDescent="0.3">
      <c r="X3037" s="1">
        <f t="shared" si="94"/>
        <v>0</v>
      </c>
      <c r="Y3037" s="1">
        <f t="shared" si="95"/>
        <v>0</v>
      </c>
    </row>
    <row r="3038" spans="24:25" x14ac:dyDescent="0.3">
      <c r="X3038" s="1">
        <f t="shared" si="94"/>
        <v>0</v>
      </c>
      <c r="Y3038" s="1">
        <f t="shared" si="95"/>
        <v>0</v>
      </c>
    </row>
    <row r="3039" spans="24:25" x14ac:dyDescent="0.3">
      <c r="X3039" s="1">
        <f t="shared" si="94"/>
        <v>0</v>
      </c>
      <c r="Y3039" s="1">
        <f t="shared" si="95"/>
        <v>0</v>
      </c>
    </row>
    <row r="3040" spans="24:25" x14ac:dyDescent="0.3">
      <c r="X3040" s="1">
        <f t="shared" si="94"/>
        <v>0</v>
      </c>
      <c r="Y3040" s="1">
        <f t="shared" si="95"/>
        <v>0</v>
      </c>
    </row>
    <row r="3041" spans="24:25" x14ac:dyDescent="0.3">
      <c r="X3041" s="1">
        <f t="shared" si="94"/>
        <v>0</v>
      </c>
      <c r="Y3041" s="1">
        <f t="shared" si="95"/>
        <v>0</v>
      </c>
    </row>
    <row r="3042" spans="24:25" x14ac:dyDescent="0.3">
      <c r="X3042" s="1">
        <f t="shared" si="94"/>
        <v>0</v>
      </c>
      <c r="Y3042" s="1">
        <f t="shared" si="95"/>
        <v>0</v>
      </c>
    </row>
    <row r="3043" spans="24:25" x14ac:dyDescent="0.3">
      <c r="X3043" s="1">
        <f t="shared" si="94"/>
        <v>0</v>
      </c>
      <c r="Y3043" s="1">
        <f t="shared" si="95"/>
        <v>0</v>
      </c>
    </row>
    <row r="3044" spans="24:25" x14ac:dyDescent="0.3">
      <c r="X3044" s="1">
        <f t="shared" si="94"/>
        <v>0</v>
      </c>
      <c r="Y3044" s="1">
        <f t="shared" si="95"/>
        <v>0</v>
      </c>
    </row>
    <row r="3045" spans="24:25" x14ac:dyDescent="0.3">
      <c r="X3045" s="1">
        <f t="shared" si="94"/>
        <v>0</v>
      </c>
      <c r="Y3045" s="1">
        <f t="shared" si="95"/>
        <v>0</v>
      </c>
    </row>
    <row r="3046" spans="24:25" x14ac:dyDescent="0.3">
      <c r="X3046" s="1">
        <f t="shared" si="94"/>
        <v>0</v>
      </c>
      <c r="Y3046" s="1">
        <f t="shared" si="95"/>
        <v>0</v>
      </c>
    </row>
    <row r="3047" spans="24:25" x14ac:dyDescent="0.3">
      <c r="X3047" s="1">
        <f t="shared" si="94"/>
        <v>0</v>
      </c>
      <c r="Y3047" s="1">
        <f t="shared" si="95"/>
        <v>0</v>
      </c>
    </row>
    <row r="3048" spans="24:25" x14ac:dyDescent="0.3">
      <c r="X3048" s="1">
        <f t="shared" si="94"/>
        <v>0</v>
      </c>
      <c r="Y3048" s="1">
        <f t="shared" si="95"/>
        <v>0</v>
      </c>
    </row>
    <row r="3049" spans="24:25" x14ac:dyDescent="0.3">
      <c r="X3049" s="1">
        <f t="shared" si="94"/>
        <v>0</v>
      </c>
      <c r="Y3049" s="1">
        <f t="shared" si="95"/>
        <v>0</v>
      </c>
    </row>
    <row r="3050" spans="24:25" x14ac:dyDescent="0.3">
      <c r="X3050" s="1">
        <f t="shared" si="94"/>
        <v>0</v>
      </c>
      <c r="Y3050" s="1">
        <f t="shared" si="95"/>
        <v>0</v>
      </c>
    </row>
    <row r="3051" spans="24:25" x14ac:dyDescent="0.3">
      <c r="X3051" s="1">
        <f t="shared" si="94"/>
        <v>0</v>
      </c>
      <c r="Y3051" s="1">
        <f t="shared" si="95"/>
        <v>0</v>
      </c>
    </row>
    <row r="3052" spans="24:25" x14ac:dyDescent="0.3">
      <c r="X3052" s="1">
        <f t="shared" si="94"/>
        <v>0</v>
      </c>
      <c r="Y3052" s="1">
        <f t="shared" si="95"/>
        <v>0</v>
      </c>
    </row>
    <row r="3053" spans="24:25" x14ac:dyDescent="0.3">
      <c r="X3053" s="1">
        <f t="shared" si="94"/>
        <v>0</v>
      </c>
      <c r="Y3053" s="1">
        <f t="shared" si="95"/>
        <v>0</v>
      </c>
    </row>
    <row r="3054" spans="24:25" x14ac:dyDescent="0.3">
      <c r="X3054" s="1">
        <f t="shared" si="94"/>
        <v>0</v>
      </c>
      <c r="Y3054" s="1">
        <f t="shared" si="95"/>
        <v>0</v>
      </c>
    </row>
    <row r="3055" spans="24:25" x14ac:dyDescent="0.3">
      <c r="X3055" s="1">
        <f t="shared" si="94"/>
        <v>0</v>
      </c>
      <c r="Y3055" s="1">
        <f t="shared" si="95"/>
        <v>0</v>
      </c>
    </row>
    <row r="3056" spans="24:25" x14ac:dyDescent="0.3">
      <c r="X3056" s="1">
        <f t="shared" si="94"/>
        <v>0</v>
      </c>
      <c r="Y3056" s="1">
        <f t="shared" si="95"/>
        <v>0</v>
      </c>
    </row>
    <row r="3057" spans="24:25" x14ac:dyDescent="0.3">
      <c r="X3057" s="1">
        <f t="shared" si="94"/>
        <v>0</v>
      </c>
      <c r="Y3057" s="1">
        <f t="shared" si="95"/>
        <v>0</v>
      </c>
    </row>
    <row r="3058" spans="24:25" x14ac:dyDescent="0.3">
      <c r="X3058" s="1">
        <f t="shared" si="94"/>
        <v>0</v>
      </c>
      <c r="Y3058" s="1">
        <f t="shared" si="95"/>
        <v>0</v>
      </c>
    </row>
    <row r="3059" spans="24:25" x14ac:dyDescent="0.3">
      <c r="X3059" s="1">
        <f t="shared" si="94"/>
        <v>0</v>
      </c>
      <c r="Y3059" s="1">
        <f t="shared" si="95"/>
        <v>0</v>
      </c>
    </row>
    <row r="3060" spans="24:25" x14ac:dyDescent="0.3">
      <c r="X3060" s="1">
        <f t="shared" si="94"/>
        <v>0</v>
      </c>
      <c r="Y3060" s="1">
        <f t="shared" si="95"/>
        <v>0</v>
      </c>
    </row>
    <row r="3061" spans="24:25" x14ac:dyDescent="0.3">
      <c r="X3061" s="1">
        <f t="shared" si="94"/>
        <v>0</v>
      </c>
      <c r="Y3061" s="1">
        <f t="shared" si="95"/>
        <v>0</v>
      </c>
    </row>
    <row r="3062" spans="24:25" x14ac:dyDescent="0.3">
      <c r="X3062" s="1">
        <f t="shared" si="94"/>
        <v>0</v>
      </c>
      <c r="Y3062" s="1">
        <f t="shared" si="95"/>
        <v>0</v>
      </c>
    </row>
    <row r="3063" spans="24:25" x14ac:dyDescent="0.3">
      <c r="X3063" s="1">
        <f t="shared" si="94"/>
        <v>0</v>
      </c>
      <c r="Y3063" s="1">
        <f t="shared" si="95"/>
        <v>0</v>
      </c>
    </row>
    <row r="3064" spans="24:25" x14ac:dyDescent="0.3">
      <c r="X3064" s="1">
        <f t="shared" si="94"/>
        <v>0</v>
      </c>
      <c r="Y3064" s="1">
        <f t="shared" si="95"/>
        <v>0</v>
      </c>
    </row>
    <row r="3065" spans="24:25" x14ac:dyDescent="0.3">
      <c r="X3065" s="1">
        <f t="shared" si="94"/>
        <v>0</v>
      </c>
      <c r="Y3065" s="1">
        <f t="shared" si="95"/>
        <v>0</v>
      </c>
    </row>
    <row r="3066" spans="24:25" x14ac:dyDescent="0.3">
      <c r="X3066" s="1">
        <f t="shared" si="94"/>
        <v>0</v>
      </c>
      <c r="Y3066" s="1">
        <f t="shared" si="95"/>
        <v>0</v>
      </c>
    </row>
    <row r="3067" spans="24:25" x14ac:dyDescent="0.3">
      <c r="X3067" s="1">
        <f t="shared" si="94"/>
        <v>0</v>
      </c>
      <c r="Y3067" s="1">
        <f t="shared" si="95"/>
        <v>0</v>
      </c>
    </row>
    <row r="3068" spans="24:25" x14ac:dyDescent="0.3">
      <c r="X3068" s="1">
        <f t="shared" si="94"/>
        <v>0</v>
      </c>
      <c r="Y3068" s="1">
        <f t="shared" si="95"/>
        <v>0</v>
      </c>
    </row>
    <row r="3069" spans="24:25" x14ac:dyDescent="0.3">
      <c r="X3069" s="1">
        <f t="shared" si="94"/>
        <v>0</v>
      </c>
      <c r="Y3069" s="1">
        <f t="shared" si="95"/>
        <v>0</v>
      </c>
    </row>
    <row r="3070" spans="24:25" x14ac:dyDescent="0.3">
      <c r="X3070" s="1">
        <f t="shared" si="94"/>
        <v>0</v>
      </c>
      <c r="Y3070" s="1">
        <f t="shared" si="95"/>
        <v>0</v>
      </c>
    </row>
    <row r="3071" spans="24:25" x14ac:dyDescent="0.3">
      <c r="X3071" s="1">
        <f t="shared" si="94"/>
        <v>0</v>
      </c>
      <c r="Y3071" s="1">
        <f t="shared" si="95"/>
        <v>0</v>
      </c>
    </row>
    <row r="3072" spans="24:25" x14ac:dyDescent="0.3">
      <c r="X3072" s="1">
        <f t="shared" si="94"/>
        <v>0</v>
      </c>
      <c r="Y3072" s="1">
        <f t="shared" si="95"/>
        <v>0</v>
      </c>
    </row>
    <row r="3073" spans="24:25" x14ac:dyDescent="0.3">
      <c r="X3073" s="1">
        <f t="shared" si="94"/>
        <v>0</v>
      </c>
      <c r="Y3073" s="1">
        <f t="shared" si="95"/>
        <v>0</v>
      </c>
    </row>
    <row r="3074" spans="24:25" x14ac:dyDescent="0.3">
      <c r="X3074" s="1">
        <f t="shared" si="94"/>
        <v>0</v>
      </c>
      <c r="Y3074" s="1">
        <f t="shared" si="95"/>
        <v>0</v>
      </c>
    </row>
    <row r="3075" spans="24:25" x14ac:dyDescent="0.3">
      <c r="X3075" s="1">
        <f t="shared" ref="X3075:X3138" si="96">IFERROR(MATCH(W3075,$B:$B,0),0)</f>
        <v>0</v>
      </c>
      <c r="Y3075" s="1">
        <f t="shared" ref="Y3075:Y3138" si="97">IF(X3076=0,COUNTA(A:A),X3076-1)</f>
        <v>0</v>
      </c>
    </row>
    <row r="3076" spans="24:25" x14ac:dyDescent="0.3">
      <c r="X3076" s="1">
        <f t="shared" si="96"/>
        <v>0</v>
      </c>
      <c r="Y3076" s="1">
        <f t="shared" si="97"/>
        <v>0</v>
      </c>
    </row>
    <row r="3077" spans="24:25" x14ac:dyDescent="0.3">
      <c r="X3077" s="1">
        <f t="shared" si="96"/>
        <v>0</v>
      </c>
      <c r="Y3077" s="1">
        <f t="shared" si="97"/>
        <v>0</v>
      </c>
    </row>
    <row r="3078" spans="24:25" x14ac:dyDescent="0.3">
      <c r="X3078" s="1">
        <f t="shared" si="96"/>
        <v>0</v>
      </c>
      <c r="Y3078" s="1">
        <f t="shared" si="97"/>
        <v>0</v>
      </c>
    </row>
    <row r="3079" spans="24:25" x14ac:dyDescent="0.3">
      <c r="X3079" s="1">
        <f t="shared" si="96"/>
        <v>0</v>
      </c>
      <c r="Y3079" s="1">
        <f t="shared" si="97"/>
        <v>0</v>
      </c>
    </row>
    <row r="3080" spans="24:25" x14ac:dyDescent="0.3">
      <c r="X3080" s="1">
        <f t="shared" si="96"/>
        <v>0</v>
      </c>
      <c r="Y3080" s="1">
        <f t="shared" si="97"/>
        <v>0</v>
      </c>
    </row>
    <row r="3081" spans="24:25" x14ac:dyDescent="0.3">
      <c r="X3081" s="1">
        <f t="shared" si="96"/>
        <v>0</v>
      </c>
      <c r="Y3081" s="1">
        <f t="shared" si="97"/>
        <v>0</v>
      </c>
    </row>
    <row r="3082" spans="24:25" x14ac:dyDescent="0.3">
      <c r="X3082" s="1">
        <f t="shared" si="96"/>
        <v>0</v>
      </c>
      <c r="Y3082" s="1">
        <f t="shared" si="97"/>
        <v>0</v>
      </c>
    </row>
    <row r="3083" spans="24:25" x14ac:dyDescent="0.3">
      <c r="X3083" s="1">
        <f t="shared" si="96"/>
        <v>0</v>
      </c>
      <c r="Y3083" s="1">
        <f t="shared" si="97"/>
        <v>0</v>
      </c>
    </row>
    <row r="3084" spans="24:25" x14ac:dyDescent="0.3">
      <c r="X3084" s="1">
        <f t="shared" si="96"/>
        <v>0</v>
      </c>
      <c r="Y3084" s="1">
        <f t="shared" si="97"/>
        <v>0</v>
      </c>
    </row>
    <row r="3085" spans="24:25" x14ac:dyDescent="0.3">
      <c r="X3085" s="1">
        <f t="shared" si="96"/>
        <v>0</v>
      </c>
      <c r="Y3085" s="1">
        <f t="shared" si="97"/>
        <v>0</v>
      </c>
    </row>
    <row r="3086" spans="24:25" x14ac:dyDescent="0.3">
      <c r="X3086" s="1">
        <f t="shared" si="96"/>
        <v>0</v>
      </c>
      <c r="Y3086" s="1">
        <f t="shared" si="97"/>
        <v>0</v>
      </c>
    </row>
    <row r="3087" spans="24:25" x14ac:dyDescent="0.3">
      <c r="X3087" s="1">
        <f t="shared" si="96"/>
        <v>0</v>
      </c>
      <c r="Y3087" s="1">
        <f t="shared" si="97"/>
        <v>0</v>
      </c>
    </row>
    <row r="3088" spans="24:25" x14ac:dyDescent="0.3">
      <c r="X3088" s="1">
        <f t="shared" si="96"/>
        <v>0</v>
      </c>
      <c r="Y3088" s="1">
        <f t="shared" si="97"/>
        <v>0</v>
      </c>
    </row>
    <row r="3089" spans="24:25" x14ac:dyDescent="0.3">
      <c r="X3089" s="1">
        <f t="shared" si="96"/>
        <v>0</v>
      </c>
      <c r="Y3089" s="1">
        <f t="shared" si="97"/>
        <v>0</v>
      </c>
    </row>
    <row r="3090" spans="24:25" x14ac:dyDescent="0.3">
      <c r="X3090" s="1">
        <f t="shared" si="96"/>
        <v>0</v>
      </c>
      <c r="Y3090" s="1">
        <f t="shared" si="97"/>
        <v>0</v>
      </c>
    </row>
    <row r="3091" spans="24:25" x14ac:dyDescent="0.3">
      <c r="X3091" s="1">
        <f t="shared" si="96"/>
        <v>0</v>
      </c>
      <c r="Y3091" s="1">
        <f t="shared" si="97"/>
        <v>0</v>
      </c>
    </row>
    <row r="3092" spans="24:25" x14ac:dyDescent="0.3">
      <c r="X3092" s="1">
        <f t="shared" si="96"/>
        <v>0</v>
      </c>
      <c r="Y3092" s="1">
        <f t="shared" si="97"/>
        <v>0</v>
      </c>
    </row>
    <row r="3093" spans="24:25" x14ac:dyDescent="0.3">
      <c r="X3093" s="1">
        <f t="shared" si="96"/>
        <v>0</v>
      </c>
      <c r="Y3093" s="1">
        <f t="shared" si="97"/>
        <v>0</v>
      </c>
    </row>
    <row r="3094" spans="24:25" x14ac:dyDescent="0.3">
      <c r="X3094" s="1">
        <f t="shared" si="96"/>
        <v>0</v>
      </c>
      <c r="Y3094" s="1">
        <f t="shared" si="97"/>
        <v>0</v>
      </c>
    </row>
    <row r="3095" spans="24:25" x14ac:dyDescent="0.3">
      <c r="X3095" s="1">
        <f t="shared" si="96"/>
        <v>0</v>
      </c>
      <c r="Y3095" s="1">
        <f t="shared" si="97"/>
        <v>0</v>
      </c>
    </row>
    <row r="3096" spans="24:25" x14ac:dyDescent="0.3">
      <c r="X3096" s="1">
        <f t="shared" si="96"/>
        <v>0</v>
      </c>
      <c r="Y3096" s="1">
        <f t="shared" si="97"/>
        <v>0</v>
      </c>
    </row>
    <row r="3097" spans="24:25" x14ac:dyDescent="0.3">
      <c r="X3097" s="1">
        <f t="shared" si="96"/>
        <v>0</v>
      </c>
      <c r="Y3097" s="1">
        <f t="shared" si="97"/>
        <v>0</v>
      </c>
    </row>
    <row r="3098" spans="24:25" x14ac:dyDescent="0.3">
      <c r="X3098" s="1">
        <f t="shared" si="96"/>
        <v>0</v>
      </c>
      <c r="Y3098" s="1">
        <f t="shared" si="97"/>
        <v>0</v>
      </c>
    </row>
    <row r="3099" spans="24:25" x14ac:dyDescent="0.3">
      <c r="X3099" s="1">
        <f t="shared" si="96"/>
        <v>0</v>
      </c>
      <c r="Y3099" s="1">
        <f t="shared" si="97"/>
        <v>0</v>
      </c>
    </row>
    <row r="3100" spans="24:25" x14ac:dyDescent="0.3">
      <c r="X3100" s="1">
        <f t="shared" si="96"/>
        <v>0</v>
      </c>
      <c r="Y3100" s="1">
        <f t="shared" si="97"/>
        <v>0</v>
      </c>
    </row>
    <row r="3101" spans="24:25" x14ac:dyDescent="0.3">
      <c r="X3101" s="1">
        <f t="shared" si="96"/>
        <v>0</v>
      </c>
      <c r="Y3101" s="1">
        <f t="shared" si="97"/>
        <v>0</v>
      </c>
    </row>
    <row r="3102" spans="24:25" x14ac:dyDescent="0.3">
      <c r="X3102" s="1">
        <f t="shared" si="96"/>
        <v>0</v>
      </c>
      <c r="Y3102" s="1">
        <f t="shared" si="97"/>
        <v>0</v>
      </c>
    </row>
    <row r="3103" spans="24:25" x14ac:dyDescent="0.3">
      <c r="X3103" s="1">
        <f t="shared" si="96"/>
        <v>0</v>
      </c>
      <c r="Y3103" s="1">
        <f t="shared" si="97"/>
        <v>0</v>
      </c>
    </row>
    <row r="3104" spans="24:25" x14ac:dyDescent="0.3">
      <c r="X3104" s="1">
        <f t="shared" si="96"/>
        <v>0</v>
      </c>
      <c r="Y3104" s="1">
        <f t="shared" si="97"/>
        <v>0</v>
      </c>
    </row>
    <row r="3105" spans="24:25" x14ac:dyDescent="0.3">
      <c r="X3105" s="1">
        <f t="shared" si="96"/>
        <v>0</v>
      </c>
      <c r="Y3105" s="1">
        <f t="shared" si="97"/>
        <v>0</v>
      </c>
    </row>
    <row r="3106" spans="24:25" x14ac:dyDescent="0.3">
      <c r="X3106" s="1">
        <f t="shared" si="96"/>
        <v>0</v>
      </c>
      <c r="Y3106" s="1">
        <f t="shared" si="97"/>
        <v>0</v>
      </c>
    </row>
    <row r="3107" spans="24:25" x14ac:dyDescent="0.3">
      <c r="X3107" s="1">
        <f t="shared" si="96"/>
        <v>0</v>
      </c>
      <c r="Y3107" s="1">
        <f t="shared" si="97"/>
        <v>0</v>
      </c>
    </row>
    <row r="3108" spans="24:25" x14ac:dyDescent="0.3">
      <c r="X3108" s="1">
        <f t="shared" si="96"/>
        <v>0</v>
      </c>
      <c r="Y3108" s="1">
        <f t="shared" si="97"/>
        <v>0</v>
      </c>
    </row>
    <row r="3109" spans="24:25" x14ac:dyDescent="0.3">
      <c r="X3109" s="1">
        <f t="shared" si="96"/>
        <v>0</v>
      </c>
      <c r="Y3109" s="1">
        <f t="shared" si="97"/>
        <v>0</v>
      </c>
    </row>
    <row r="3110" spans="24:25" x14ac:dyDescent="0.3">
      <c r="X3110" s="1">
        <f t="shared" si="96"/>
        <v>0</v>
      </c>
      <c r="Y3110" s="1">
        <f t="shared" si="97"/>
        <v>0</v>
      </c>
    </row>
    <row r="3111" spans="24:25" x14ac:dyDescent="0.3">
      <c r="X3111" s="1">
        <f t="shared" si="96"/>
        <v>0</v>
      </c>
      <c r="Y3111" s="1">
        <f t="shared" si="97"/>
        <v>0</v>
      </c>
    </row>
    <row r="3112" spans="24:25" x14ac:dyDescent="0.3">
      <c r="X3112" s="1">
        <f t="shared" si="96"/>
        <v>0</v>
      </c>
      <c r="Y3112" s="1">
        <f t="shared" si="97"/>
        <v>0</v>
      </c>
    </row>
    <row r="3113" spans="24:25" x14ac:dyDescent="0.3">
      <c r="X3113" s="1">
        <f t="shared" si="96"/>
        <v>0</v>
      </c>
      <c r="Y3113" s="1">
        <f t="shared" si="97"/>
        <v>0</v>
      </c>
    </row>
    <row r="3114" spans="24:25" x14ac:dyDescent="0.3">
      <c r="X3114" s="1">
        <f t="shared" si="96"/>
        <v>0</v>
      </c>
      <c r="Y3114" s="1">
        <f t="shared" si="97"/>
        <v>0</v>
      </c>
    </row>
    <row r="3115" spans="24:25" x14ac:dyDescent="0.3">
      <c r="X3115" s="1">
        <f t="shared" si="96"/>
        <v>0</v>
      </c>
      <c r="Y3115" s="1">
        <f t="shared" si="97"/>
        <v>0</v>
      </c>
    </row>
    <row r="3116" spans="24:25" x14ac:dyDescent="0.3">
      <c r="X3116" s="1">
        <f t="shared" si="96"/>
        <v>0</v>
      </c>
      <c r="Y3116" s="1">
        <f t="shared" si="97"/>
        <v>0</v>
      </c>
    </row>
    <row r="3117" spans="24:25" x14ac:dyDescent="0.3">
      <c r="X3117" s="1">
        <f t="shared" si="96"/>
        <v>0</v>
      </c>
      <c r="Y3117" s="1">
        <f t="shared" si="97"/>
        <v>0</v>
      </c>
    </row>
    <row r="3118" spans="24:25" x14ac:dyDescent="0.3">
      <c r="X3118" s="1">
        <f t="shared" si="96"/>
        <v>0</v>
      </c>
      <c r="Y3118" s="1">
        <f t="shared" si="97"/>
        <v>0</v>
      </c>
    </row>
    <row r="3119" spans="24:25" x14ac:dyDescent="0.3">
      <c r="X3119" s="1">
        <f t="shared" si="96"/>
        <v>0</v>
      </c>
      <c r="Y3119" s="1">
        <f t="shared" si="97"/>
        <v>0</v>
      </c>
    </row>
    <row r="3120" spans="24:25" x14ac:dyDescent="0.3">
      <c r="X3120" s="1">
        <f t="shared" si="96"/>
        <v>0</v>
      </c>
      <c r="Y3120" s="1">
        <f t="shared" si="97"/>
        <v>0</v>
      </c>
    </row>
    <row r="3121" spans="24:25" x14ac:dyDescent="0.3">
      <c r="X3121" s="1">
        <f t="shared" si="96"/>
        <v>0</v>
      </c>
      <c r="Y3121" s="1">
        <f t="shared" si="97"/>
        <v>0</v>
      </c>
    </row>
    <row r="3122" spans="24:25" x14ac:dyDescent="0.3">
      <c r="X3122" s="1">
        <f t="shared" si="96"/>
        <v>0</v>
      </c>
      <c r="Y3122" s="1">
        <f t="shared" si="97"/>
        <v>0</v>
      </c>
    </row>
    <row r="3123" spans="24:25" x14ac:dyDescent="0.3">
      <c r="X3123" s="1">
        <f t="shared" si="96"/>
        <v>0</v>
      </c>
      <c r="Y3123" s="1">
        <f t="shared" si="97"/>
        <v>0</v>
      </c>
    </row>
    <row r="3124" spans="24:25" x14ac:dyDescent="0.3">
      <c r="X3124" s="1">
        <f t="shared" si="96"/>
        <v>0</v>
      </c>
      <c r="Y3124" s="1">
        <f t="shared" si="97"/>
        <v>0</v>
      </c>
    </row>
    <row r="3125" spans="24:25" x14ac:dyDescent="0.3">
      <c r="X3125" s="1">
        <f t="shared" si="96"/>
        <v>0</v>
      </c>
      <c r="Y3125" s="1">
        <f t="shared" si="97"/>
        <v>0</v>
      </c>
    </row>
    <row r="3126" spans="24:25" x14ac:dyDescent="0.3">
      <c r="X3126" s="1">
        <f t="shared" si="96"/>
        <v>0</v>
      </c>
      <c r="Y3126" s="1">
        <f t="shared" si="97"/>
        <v>0</v>
      </c>
    </row>
    <row r="3127" spans="24:25" x14ac:dyDescent="0.3">
      <c r="X3127" s="1">
        <f t="shared" si="96"/>
        <v>0</v>
      </c>
      <c r="Y3127" s="1">
        <f t="shared" si="97"/>
        <v>0</v>
      </c>
    </row>
    <row r="3128" spans="24:25" x14ac:dyDescent="0.3">
      <c r="X3128" s="1">
        <f t="shared" si="96"/>
        <v>0</v>
      </c>
      <c r="Y3128" s="1">
        <f t="shared" si="97"/>
        <v>0</v>
      </c>
    </row>
    <row r="3129" spans="24:25" x14ac:dyDescent="0.3">
      <c r="X3129" s="1">
        <f t="shared" si="96"/>
        <v>0</v>
      </c>
      <c r="Y3129" s="1">
        <f t="shared" si="97"/>
        <v>0</v>
      </c>
    </row>
    <row r="3130" spans="24:25" x14ac:dyDescent="0.3">
      <c r="X3130" s="1">
        <f t="shared" si="96"/>
        <v>0</v>
      </c>
      <c r="Y3130" s="1">
        <f t="shared" si="97"/>
        <v>0</v>
      </c>
    </row>
    <row r="3131" spans="24:25" x14ac:dyDescent="0.3">
      <c r="X3131" s="1">
        <f t="shared" si="96"/>
        <v>0</v>
      </c>
      <c r="Y3131" s="1">
        <f t="shared" si="97"/>
        <v>0</v>
      </c>
    </row>
    <row r="3132" spans="24:25" x14ac:dyDescent="0.3">
      <c r="X3132" s="1">
        <f t="shared" si="96"/>
        <v>0</v>
      </c>
      <c r="Y3132" s="1">
        <f t="shared" si="97"/>
        <v>0</v>
      </c>
    </row>
    <row r="3133" spans="24:25" x14ac:dyDescent="0.3">
      <c r="X3133" s="1">
        <f t="shared" si="96"/>
        <v>0</v>
      </c>
      <c r="Y3133" s="1">
        <f t="shared" si="97"/>
        <v>0</v>
      </c>
    </row>
    <row r="3134" spans="24:25" x14ac:dyDescent="0.3">
      <c r="X3134" s="1">
        <f t="shared" si="96"/>
        <v>0</v>
      </c>
      <c r="Y3134" s="1">
        <f t="shared" si="97"/>
        <v>0</v>
      </c>
    </row>
    <row r="3135" spans="24:25" x14ac:dyDescent="0.3">
      <c r="X3135" s="1">
        <f t="shared" si="96"/>
        <v>0</v>
      </c>
      <c r="Y3135" s="1">
        <f t="shared" si="97"/>
        <v>0</v>
      </c>
    </row>
    <row r="3136" spans="24:25" x14ac:dyDescent="0.3">
      <c r="X3136" s="1">
        <f t="shared" si="96"/>
        <v>0</v>
      </c>
      <c r="Y3136" s="1">
        <f t="shared" si="97"/>
        <v>0</v>
      </c>
    </row>
    <row r="3137" spans="24:25" x14ac:dyDescent="0.3">
      <c r="X3137" s="1">
        <f t="shared" si="96"/>
        <v>0</v>
      </c>
      <c r="Y3137" s="1">
        <f t="shared" si="97"/>
        <v>0</v>
      </c>
    </row>
    <row r="3138" spans="24:25" x14ac:dyDescent="0.3">
      <c r="X3138" s="1">
        <f t="shared" si="96"/>
        <v>0</v>
      </c>
      <c r="Y3138" s="1">
        <f t="shared" si="97"/>
        <v>0</v>
      </c>
    </row>
    <row r="3139" spans="24:25" x14ac:dyDescent="0.3">
      <c r="X3139" s="1">
        <f t="shared" ref="X3139:X3202" si="98">IFERROR(MATCH(W3139,$B:$B,0),0)</f>
        <v>0</v>
      </c>
      <c r="Y3139" s="1">
        <f t="shared" ref="Y3139:Y3202" si="99">IF(X3140=0,COUNTA(A:A),X3140-1)</f>
        <v>0</v>
      </c>
    </row>
    <row r="3140" spans="24:25" x14ac:dyDescent="0.3">
      <c r="X3140" s="1">
        <f t="shared" si="98"/>
        <v>0</v>
      </c>
      <c r="Y3140" s="1">
        <f t="shared" si="99"/>
        <v>0</v>
      </c>
    </row>
    <row r="3141" spans="24:25" x14ac:dyDescent="0.3">
      <c r="X3141" s="1">
        <f t="shared" si="98"/>
        <v>0</v>
      </c>
      <c r="Y3141" s="1">
        <f t="shared" si="99"/>
        <v>0</v>
      </c>
    </row>
    <row r="3142" spans="24:25" x14ac:dyDescent="0.3">
      <c r="X3142" s="1">
        <f t="shared" si="98"/>
        <v>0</v>
      </c>
      <c r="Y3142" s="1">
        <f t="shared" si="99"/>
        <v>0</v>
      </c>
    </row>
    <row r="3143" spans="24:25" x14ac:dyDescent="0.3">
      <c r="X3143" s="1">
        <f t="shared" si="98"/>
        <v>0</v>
      </c>
      <c r="Y3143" s="1">
        <f t="shared" si="99"/>
        <v>0</v>
      </c>
    </row>
    <row r="3144" spans="24:25" x14ac:dyDescent="0.3">
      <c r="X3144" s="1">
        <f t="shared" si="98"/>
        <v>0</v>
      </c>
      <c r="Y3144" s="1">
        <f t="shared" si="99"/>
        <v>0</v>
      </c>
    </row>
    <row r="3145" spans="24:25" x14ac:dyDescent="0.3">
      <c r="X3145" s="1">
        <f t="shared" si="98"/>
        <v>0</v>
      </c>
      <c r="Y3145" s="1">
        <f t="shared" si="99"/>
        <v>0</v>
      </c>
    </row>
    <row r="3146" spans="24:25" x14ac:dyDescent="0.3">
      <c r="X3146" s="1">
        <f t="shared" si="98"/>
        <v>0</v>
      </c>
      <c r="Y3146" s="1">
        <f t="shared" si="99"/>
        <v>0</v>
      </c>
    </row>
    <row r="3147" spans="24:25" x14ac:dyDescent="0.3">
      <c r="X3147" s="1">
        <f t="shared" si="98"/>
        <v>0</v>
      </c>
      <c r="Y3147" s="1">
        <f t="shared" si="99"/>
        <v>0</v>
      </c>
    </row>
    <row r="3148" spans="24:25" x14ac:dyDescent="0.3">
      <c r="X3148" s="1">
        <f t="shared" si="98"/>
        <v>0</v>
      </c>
      <c r="Y3148" s="1">
        <f t="shared" si="99"/>
        <v>0</v>
      </c>
    </row>
    <row r="3149" spans="24:25" x14ac:dyDescent="0.3">
      <c r="X3149" s="1">
        <f t="shared" si="98"/>
        <v>0</v>
      </c>
      <c r="Y3149" s="1">
        <f t="shared" si="99"/>
        <v>0</v>
      </c>
    </row>
    <row r="3150" spans="24:25" x14ac:dyDescent="0.3">
      <c r="X3150" s="1">
        <f t="shared" si="98"/>
        <v>0</v>
      </c>
      <c r="Y3150" s="1">
        <f t="shared" si="99"/>
        <v>0</v>
      </c>
    </row>
    <row r="3151" spans="24:25" x14ac:dyDescent="0.3">
      <c r="X3151" s="1">
        <f t="shared" si="98"/>
        <v>0</v>
      </c>
      <c r="Y3151" s="1">
        <f t="shared" si="99"/>
        <v>0</v>
      </c>
    </row>
    <row r="3152" spans="24:25" x14ac:dyDescent="0.3">
      <c r="X3152" s="1">
        <f t="shared" si="98"/>
        <v>0</v>
      </c>
      <c r="Y3152" s="1">
        <f t="shared" si="99"/>
        <v>0</v>
      </c>
    </row>
    <row r="3153" spans="24:25" x14ac:dyDescent="0.3">
      <c r="X3153" s="1">
        <f t="shared" si="98"/>
        <v>0</v>
      </c>
      <c r="Y3153" s="1">
        <f t="shared" si="99"/>
        <v>0</v>
      </c>
    </row>
    <row r="3154" spans="24:25" x14ac:dyDescent="0.3">
      <c r="X3154" s="1">
        <f t="shared" si="98"/>
        <v>0</v>
      </c>
      <c r="Y3154" s="1">
        <f t="shared" si="99"/>
        <v>0</v>
      </c>
    </row>
    <row r="3155" spans="24:25" x14ac:dyDescent="0.3">
      <c r="X3155" s="1">
        <f t="shared" si="98"/>
        <v>0</v>
      </c>
      <c r="Y3155" s="1">
        <f t="shared" si="99"/>
        <v>0</v>
      </c>
    </row>
    <row r="3156" spans="24:25" x14ac:dyDescent="0.3">
      <c r="X3156" s="1">
        <f t="shared" si="98"/>
        <v>0</v>
      </c>
      <c r="Y3156" s="1">
        <f t="shared" si="99"/>
        <v>0</v>
      </c>
    </row>
    <row r="3157" spans="24:25" x14ac:dyDescent="0.3">
      <c r="X3157" s="1">
        <f t="shared" si="98"/>
        <v>0</v>
      </c>
      <c r="Y3157" s="1">
        <f t="shared" si="99"/>
        <v>0</v>
      </c>
    </row>
    <row r="3158" spans="24:25" x14ac:dyDescent="0.3">
      <c r="X3158" s="1">
        <f t="shared" si="98"/>
        <v>0</v>
      </c>
      <c r="Y3158" s="1">
        <f t="shared" si="99"/>
        <v>0</v>
      </c>
    </row>
    <row r="3159" spans="24:25" x14ac:dyDescent="0.3">
      <c r="X3159" s="1">
        <f t="shared" si="98"/>
        <v>0</v>
      </c>
      <c r="Y3159" s="1">
        <f t="shared" si="99"/>
        <v>0</v>
      </c>
    </row>
    <row r="3160" spans="24:25" x14ac:dyDescent="0.3">
      <c r="X3160" s="1">
        <f t="shared" si="98"/>
        <v>0</v>
      </c>
      <c r="Y3160" s="1">
        <f t="shared" si="99"/>
        <v>0</v>
      </c>
    </row>
    <row r="3161" spans="24:25" x14ac:dyDescent="0.3">
      <c r="X3161" s="1">
        <f t="shared" si="98"/>
        <v>0</v>
      </c>
      <c r="Y3161" s="1">
        <f t="shared" si="99"/>
        <v>0</v>
      </c>
    </row>
    <row r="3162" spans="24:25" x14ac:dyDescent="0.3">
      <c r="X3162" s="1">
        <f t="shared" si="98"/>
        <v>0</v>
      </c>
      <c r="Y3162" s="1">
        <f t="shared" si="99"/>
        <v>0</v>
      </c>
    </row>
    <row r="3163" spans="24:25" x14ac:dyDescent="0.3">
      <c r="X3163" s="1">
        <f t="shared" si="98"/>
        <v>0</v>
      </c>
      <c r="Y3163" s="1">
        <f t="shared" si="99"/>
        <v>0</v>
      </c>
    </row>
    <row r="3164" spans="24:25" x14ac:dyDescent="0.3">
      <c r="X3164" s="1">
        <f t="shared" si="98"/>
        <v>0</v>
      </c>
      <c r="Y3164" s="1">
        <f t="shared" si="99"/>
        <v>0</v>
      </c>
    </row>
    <row r="3165" spans="24:25" x14ac:dyDescent="0.3">
      <c r="X3165" s="1">
        <f t="shared" si="98"/>
        <v>0</v>
      </c>
      <c r="Y3165" s="1">
        <f t="shared" si="99"/>
        <v>0</v>
      </c>
    </row>
    <row r="3166" spans="24:25" x14ac:dyDescent="0.3">
      <c r="X3166" s="1">
        <f t="shared" si="98"/>
        <v>0</v>
      </c>
      <c r="Y3166" s="1">
        <f t="shared" si="99"/>
        <v>0</v>
      </c>
    </row>
    <row r="3167" spans="24:25" x14ac:dyDescent="0.3">
      <c r="X3167" s="1">
        <f t="shared" si="98"/>
        <v>0</v>
      </c>
      <c r="Y3167" s="1">
        <f t="shared" si="99"/>
        <v>0</v>
      </c>
    </row>
    <row r="3168" spans="24:25" x14ac:dyDescent="0.3">
      <c r="X3168" s="1">
        <f t="shared" si="98"/>
        <v>0</v>
      </c>
      <c r="Y3168" s="1">
        <f t="shared" si="99"/>
        <v>0</v>
      </c>
    </row>
    <row r="3169" spans="24:25" x14ac:dyDescent="0.3">
      <c r="X3169" s="1">
        <f t="shared" si="98"/>
        <v>0</v>
      </c>
      <c r="Y3169" s="1">
        <f t="shared" si="99"/>
        <v>0</v>
      </c>
    </row>
    <row r="3170" spans="24:25" x14ac:dyDescent="0.3">
      <c r="X3170" s="1">
        <f t="shared" si="98"/>
        <v>0</v>
      </c>
      <c r="Y3170" s="1">
        <f t="shared" si="99"/>
        <v>0</v>
      </c>
    </row>
    <row r="3171" spans="24:25" x14ac:dyDescent="0.3">
      <c r="X3171" s="1">
        <f t="shared" si="98"/>
        <v>0</v>
      </c>
      <c r="Y3171" s="1">
        <f t="shared" si="99"/>
        <v>0</v>
      </c>
    </row>
    <row r="3172" spans="24:25" x14ac:dyDescent="0.3">
      <c r="X3172" s="1">
        <f t="shared" si="98"/>
        <v>0</v>
      </c>
      <c r="Y3172" s="1">
        <f t="shared" si="99"/>
        <v>0</v>
      </c>
    </row>
    <row r="3173" spans="24:25" x14ac:dyDescent="0.3">
      <c r="X3173" s="1">
        <f t="shared" si="98"/>
        <v>0</v>
      </c>
      <c r="Y3173" s="1">
        <f t="shared" si="99"/>
        <v>0</v>
      </c>
    </row>
    <row r="3174" spans="24:25" x14ac:dyDescent="0.3">
      <c r="X3174" s="1">
        <f t="shared" si="98"/>
        <v>0</v>
      </c>
      <c r="Y3174" s="1">
        <f t="shared" si="99"/>
        <v>0</v>
      </c>
    </row>
    <row r="3175" spans="24:25" x14ac:dyDescent="0.3">
      <c r="X3175" s="1">
        <f t="shared" si="98"/>
        <v>0</v>
      </c>
      <c r="Y3175" s="1">
        <f t="shared" si="99"/>
        <v>0</v>
      </c>
    </row>
    <row r="3176" spans="24:25" x14ac:dyDescent="0.3">
      <c r="X3176" s="1">
        <f t="shared" si="98"/>
        <v>0</v>
      </c>
      <c r="Y3176" s="1">
        <f t="shared" si="99"/>
        <v>0</v>
      </c>
    </row>
    <row r="3177" spans="24:25" x14ac:dyDescent="0.3">
      <c r="X3177" s="1">
        <f t="shared" si="98"/>
        <v>0</v>
      </c>
      <c r="Y3177" s="1">
        <f t="shared" si="99"/>
        <v>0</v>
      </c>
    </row>
    <row r="3178" spans="24:25" x14ac:dyDescent="0.3">
      <c r="X3178" s="1">
        <f t="shared" si="98"/>
        <v>0</v>
      </c>
      <c r="Y3178" s="1">
        <f t="shared" si="99"/>
        <v>0</v>
      </c>
    </row>
    <row r="3179" spans="24:25" x14ac:dyDescent="0.3">
      <c r="X3179" s="1">
        <f t="shared" si="98"/>
        <v>0</v>
      </c>
      <c r="Y3179" s="1">
        <f t="shared" si="99"/>
        <v>0</v>
      </c>
    </row>
    <row r="3180" spans="24:25" x14ac:dyDescent="0.3">
      <c r="X3180" s="1">
        <f t="shared" si="98"/>
        <v>0</v>
      </c>
      <c r="Y3180" s="1">
        <f t="shared" si="99"/>
        <v>0</v>
      </c>
    </row>
    <row r="3181" spans="24:25" x14ac:dyDescent="0.3">
      <c r="X3181" s="1">
        <f t="shared" si="98"/>
        <v>0</v>
      </c>
      <c r="Y3181" s="1">
        <f t="shared" si="99"/>
        <v>0</v>
      </c>
    </row>
    <row r="3182" spans="24:25" x14ac:dyDescent="0.3">
      <c r="X3182" s="1">
        <f t="shared" si="98"/>
        <v>0</v>
      </c>
      <c r="Y3182" s="1">
        <f t="shared" si="99"/>
        <v>0</v>
      </c>
    </row>
    <row r="3183" spans="24:25" x14ac:dyDescent="0.3">
      <c r="X3183" s="1">
        <f t="shared" si="98"/>
        <v>0</v>
      </c>
      <c r="Y3183" s="1">
        <f t="shared" si="99"/>
        <v>0</v>
      </c>
    </row>
    <row r="3184" spans="24:25" x14ac:dyDescent="0.3">
      <c r="X3184" s="1">
        <f t="shared" si="98"/>
        <v>0</v>
      </c>
      <c r="Y3184" s="1">
        <f t="shared" si="99"/>
        <v>0</v>
      </c>
    </row>
    <row r="3185" spans="24:25" x14ac:dyDescent="0.3">
      <c r="X3185" s="1">
        <f t="shared" si="98"/>
        <v>0</v>
      </c>
      <c r="Y3185" s="1">
        <f t="shared" si="99"/>
        <v>0</v>
      </c>
    </row>
    <row r="3186" spans="24:25" x14ac:dyDescent="0.3">
      <c r="X3186" s="1">
        <f t="shared" si="98"/>
        <v>0</v>
      </c>
      <c r="Y3186" s="1">
        <f t="shared" si="99"/>
        <v>0</v>
      </c>
    </row>
    <row r="3187" spans="24:25" x14ac:dyDescent="0.3">
      <c r="X3187" s="1">
        <f t="shared" si="98"/>
        <v>0</v>
      </c>
      <c r="Y3187" s="1">
        <f t="shared" si="99"/>
        <v>0</v>
      </c>
    </row>
    <row r="3188" spans="24:25" x14ac:dyDescent="0.3">
      <c r="X3188" s="1">
        <f t="shared" si="98"/>
        <v>0</v>
      </c>
      <c r="Y3188" s="1">
        <f t="shared" si="99"/>
        <v>0</v>
      </c>
    </row>
    <row r="3189" spans="24:25" x14ac:dyDescent="0.3">
      <c r="X3189" s="1">
        <f t="shared" si="98"/>
        <v>0</v>
      </c>
      <c r="Y3189" s="1">
        <f t="shared" si="99"/>
        <v>0</v>
      </c>
    </row>
    <row r="3190" spans="24:25" x14ac:dyDescent="0.3">
      <c r="X3190" s="1">
        <f t="shared" si="98"/>
        <v>0</v>
      </c>
      <c r="Y3190" s="1">
        <f t="shared" si="99"/>
        <v>0</v>
      </c>
    </row>
    <row r="3191" spans="24:25" x14ac:dyDescent="0.3">
      <c r="X3191" s="1">
        <f t="shared" si="98"/>
        <v>0</v>
      </c>
      <c r="Y3191" s="1">
        <f t="shared" si="99"/>
        <v>0</v>
      </c>
    </row>
    <row r="3192" spans="24:25" x14ac:dyDescent="0.3">
      <c r="X3192" s="1">
        <f t="shared" si="98"/>
        <v>0</v>
      </c>
      <c r="Y3192" s="1">
        <f t="shared" si="99"/>
        <v>0</v>
      </c>
    </row>
    <row r="3193" spans="24:25" x14ac:dyDescent="0.3">
      <c r="X3193" s="1">
        <f t="shared" si="98"/>
        <v>0</v>
      </c>
      <c r="Y3193" s="1">
        <f t="shared" si="99"/>
        <v>0</v>
      </c>
    </row>
    <row r="3194" spans="24:25" x14ac:dyDescent="0.3">
      <c r="X3194" s="1">
        <f t="shared" si="98"/>
        <v>0</v>
      </c>
      <c r="Y3194" s="1">
        <f t="shared" si="99"/>
        <v>0</v>
      </c>
    </row>
    <row r="3195" spans="24:25" x14ac:dyDescent="0.3">
      <c r="X3195" s="1">
        <f t="shared" si="98"/>
        <v>0</v>
      </c>
      <c r="Y3195" s="1">
        <f t="shared" si="99"/>
        <v>0</v>
      </c>
    </row>
    <row r="3196" spans="24:25" x14ac:dyDescent="0.3">
      <c r="X3196" s="1">
        <f t="shared" si="98"/>
        <v>0</v>
      </c>
      <c r="Y3196" s="1">
        <f t="shared" si="99"/>
        <v>0</v>
      </c>
    </row>
    <row r="3197" spans="24:25" x14ac:dyDescent="0.3">
      <c r="X3197" s="1">
        <f t="shared" si="98"/>
        <v>0</v>
      </c>
      <c r="Y3197" s="1">
        <f t="shared" si="99"/>
        <v>0</v>
      </c>
    </row>
    <row r="3198" spans="24:25" x14ac:dyDescent="0.3">
      <c r="X3198" s="1">
        <f t="shared" si="98"/>
        <v>0</v>
      </c>
      <c r="Y3198" s="1">
        <f t="shared" si="99"/>
        <v>0</v>
      </c>
    </row>
    <row r="3199" spans="24:25" x14ac:dyDescent="0.3">
      <c r="X3199" s="1">
        <f t="shared" si="98"/>
        <v>0</v>
      </c>
      <c r="Y3199" s="1">
        <f t="shared" si="99"/>
        <v>0</v>
      </c>
    </row>
    <row r="3200" spans="24:25" x14ac:dyDescent="0.3">
      <c r="X3200" s="1">
        <f t="shared" si="98"/>
        <v>0</v>
      </c>
      <c r="Y3200" s="1">
        <f t="shared" si="99"/>
        <v>0</v>
      </c>
    </row>
    <row r="3201" spans="24:25" x14ac:dyDescent="0.3">
      <c r="X3201" s="1">
        <f t="shared" si="98"/>
        <v>0</v>
      </c>
      <c r="Y3201" s="1">
        <f t="shared" si="99"/>
        <v>0</v>
      </c>
    </row>
    <row r="3202" spans="24:25" x14ac:dyDescent="0.3">
      <c r="X3202" s="1">
        <f t="shared" si="98"/>
        <v>0</v>
      </c>
      <c r="Y3202" s="1">
        <f t="shared" si="99"/>
        <v>0</v>
      </c>
    </row>
    <row r="3203" spans="24:25" x14ac:dyDescent="0.3">
      <c r="X3203" s="1">
        <f t="shared" ref="X3203:X3266" si="100">IFERROR(MATCH(W3203,$B:$B,0),0)</f>
        <v>0</v>
      </c>
      <c r="Y3203" s="1">
        <f t="shared" ref="Y3203:Y3266" si="101">IF(X3204=0,COUNTA(A:A),X3204-1)</f>
        <v>0</v>
      </c>
    </row>
    <row r="3204" spans="24:25" x14ac:dyDescent="0.3">
      <c r="X3204" s="1">
        <f t="shared" si="100"/>
        <v>0</v>
      </c>
      <c r="Y3204" s="1">
        <f t="shared" si="101"/>
        <v>0</v>
      </c>
    </row>
    <row r="3205" spans="24:25" x14ac:dyDescent="0.3">
      <c r="X3205" s="1">
        <f t="shared" si="100"/>
        <v>0</v>
      </c>
      <c r="Y3205" s="1">
        <f t="shared" si="101"/>
        <v>0</v>
      </c>
    </row>
    <row r="3206" spans="24:25" x14ac:dyDescent="0.3">
      <c r="X3206" s="1">
        <f t="shared" si="100"/>
        <v>0</v>
      </c>
      <c r="Y3206" s="1">
        <f t="shared" si="101"/>
        <v>0</v>
      </c>
    </row>
    <row r="3207" spans="24:25" x14ac:dyDescent="0.3">
      <c r="X3207" s="1">
        <f t="shared" si="100"/>
        <v>0</v>
      </c>
      <c r="Y3207" s="1">
        <f t="shared" si="101"/>
        <v>0</v>
      </c>
    </row>
    <row r="3208" spans="24:25" x14ac:dyDescent="0.3">
      <c r="X3208" s="1">
        <f t="shared" si="100"/>
        <v>0</v>
      </c>
      <c r="Y3208" s="1">
        <f t="shared" si="101"/>
        <v>0</v>
      </c>
    </row>
    <row r="3209" spans="24:25" x14ac:dyDescent="0.3">
      <c r="X3209" s="1">
        <f t="shared" si="100"/>
        <v>0</v>
      </c>
      <c r="Y3209" s="1">
        <f t="shared" si="101"/>
        <v>0</v>
      </c>
    </row>
    <row r="3210" spans="24:25" x14ac:dyDescent="0.3">
      <c r="X3210" s="1">
        <f t="shared" si="100"/>
        <v>0</v>
      </c>
      <c r="Y3210" s="1">
        <f t="shared" si="101"/>
        <v>0</v>
      </c>
    </row>
    <row r="3211" spans="24:25" x14ac:dyDescent="0.3">
      <c r="X3211" s="1">
        <f t="shared" si="100"/>
        <v>0</v>
      </c>
      <c r="Y3211" s="1">
        <f t="shared" si="101"/>
        <v>0</v>
      </c>
    </row>
    <row r="3212" spans="24:25" x14ac:dyDescent="0.3">
      <c r="X3212" s="1">
        <f t="shared" si="100"/>
        <v>0</v>
      </c>
      <c r="Y3212" s="1">
        <f t="shared" si="101"/>
        <v>0</v>
      </c>
    </row>
    <row r="3213" spans="24:25" x14ac:dyDescent="0.3">
      <c r="X3213" s="1">
        <f t="shared" si="100"/>
        <v>0</v>
      </c>
      <c r="Y3213" s="1">
        <f t="shared" si="101"/>
        <v>0</v>
      </c>
    </row>
    <row r="3214" spans="24:25" x14ac:dyDescent="0.3">
      <c r="X3214" s="1">
        <f t="shared" si="100"/>
        <v>0</v>
      </c>
      <c r="Y3214" s="1">
        <f t="shared" si="101"/>
        <v>0</v>
      </c>
    </row>
    <row r="3215" spans="24:25" x14ac:dyDescent="0.3">
      <c r="X3215" s="1">
        <f t="shared" si="100"/>
        <v>0</v>
      </c>
      <c r="Y3215" s="1">
        <f t="shared" si="101"/>
        <v>0</v>
      </c>
    </row>
    <row r="3216" spans="24:25" x14ac:dyDescent="0.3">
      <c r="X3216" s="1">
        <f t="shared" si="100"/>
        <v>0</v>
      </c>
      <c r="Y3216" s="1">
        <f t="shared" si="101"/>
        <v>0</v>
      </c>
    </row>
    <row r="3217" spans="24:25" x14ac:dyDescent="0.3">
      <c r="X3217" s="1">
        <f t="shared" si="100"/>
        <v>0</v>
      </c>
      <c r="Y3217" s="1">
        <f t="shared" si="101"/>
        <v>0</v>
      </c>
    </row>
    <row r="3218" spans="24:25" x14ac:dyDescent="0.3">
      <c r="X3218" s="1">
        <f t="shared" si="100"/>
        <v>0</v>
      </c>
      <c r="Y3218" s="1">
        <f t="shared" si="101"/>
        <v>0</v>
      </c>
    </row>
    <row r="3219" spans="24:25" x14ac:dyDescent="0.3">
      <c r="X3219" s="1">
        <f t="shared" si="100"/>
        <v>0</v>
      </c>
      <c r="Y3219" s="1">
        <f t="shared" si="101"/>
        <v>0</v>
      </c>
    </row>
    <row r="3220" spans="24:25" x14ac:dyDescent="0.3">
      <c r="X3220" s="1">
        <f t="shared" si="100"/>
        <v>0</v>
      </c>
      <c r="Y3220" s="1">
        <f t="shared" si="101"/>
        <v>0</v>
      </c>
    </row>
    <row r="3221" spans="24:25" x14ac:dyDescent="0.3">
      <c r="X3221" s="1">
        <f t="shared" si="100"/>
        <v>0</v>
      </c>
      <c r="Y3221" s="1">
        <f t="shared" si="101"/>
        <v>0</v>
      </c>
    </row>
    <row r="3222" spans="24:25" x14ac:dyDescent="0.3">
      <c r="X3222" s="1">
        <f t="shared" si="100"/>
        <v>0</v>
      </c>
      <c r="Y3222" s="1">
        <f t="shared" si="101"/>
        <v>0</v>
      </c>
    </row>
    <row r="3223" spans="24:25" x14ac:dyDescent="0.3">
      <c r="X3223" s="1">
        <f t="shared" si="100"/>
        <v>0</v>
      </c>
      <c r="Y3223" s="1">
        <f t="shared" si="101"/>
        <v>0</v>
      </c>
    </row>
    <row r="3224" spans="24:25" x14ac:dyDescent="0.3">
      <c r="X3224" s="1">
        <f t="shared" si="100"/>
        <v>0</v>
      </c>
      <c r="Y3224" s="1">
        <f t="shared" si="101"/>
        <v>0</v>
      </c>
    </row>
    <row r="3225" spans="24:25" x14ac:dyDescent="0.3">
      <c r="X3225" s="1">
        <f t="shared" si="100"/>
        <v>0</v>
      </c>
      <c r="Y3225" s="1">
        <f t="shared" si="101"/>
        <v>0</v>
      </c>
    </row>
    <row r="3226" spans="24:25" x14ac:dyDescent="0.3">
      <c r="X3226" s="1">
        <f t="shared" si="100"/>
        <v>0</v>
      </c>
      <c r="Y3226" s="1">
        <f t="shared" si="101"/>
        <v>0</v>
      </c>
    </row>
    <row r="3227" spans="24:25" x14ac:dyDescent="0.3">
      <c r="X3227" s="1">
        <f t="shared" si="100"/>
        <v>0</v>
      </c>
      <c r="Y3227" s="1">
        <f t="shared" si="101"/>
        <v>0</v>
      </c>
    </row>
    <row r="3228" spans="24:25" x14ac:dyDescent="0.3">
      <c r="X3228" s="1">
        <f t="shared" si="100"/>
        <v>0</v>
      </c>
      <c r="Y3228" s="1">
        <f t="shared" si="101"/>
        <v>0</v>
      </c>
    </row>
    <row r="3229" spans="24:25" x14ac:dyDescent="0.3">
      <c r="X3229" s="1">
        <f t="shared" si="100"/>
        <v>0</v>
      </c>
      <c r="Y3229" s="1">
        <f t="shared" si="101"/>
        <v>0</v>
      </c>
    </row>
    <row r="3230" spans="24:25" x14ac:dyDescent="0.3">
      <c r="X3230" s="1">
        <f t="shared" si="100"/>
        <v>0</v>
      </c>
      <c r="Y3230" s="1">
        <f t="shared" si="101"/>
        <v>0</v>
      </c>
    </row>
    <row r="3231" spans="24:25" x14ac:dyDescent="0.3">
      <c r="X3231" s="1">
        <f t="shared" si="100"/>
        <v>0</v>
      </c>
      <c r="Y3231" s="1">
        <f t="shared" si="101"/>
        <v>0</v>
      </c>
    </row>
    <row r="3232" spans="24:25" x14ac:dyDescent="0.3">
      <c r="X3232" s="1">
        <f t="shared" si="100"/>
        <v>0</v>
      </c>
      <c r="Y3232" s="1">
        <f t="shared" si="101"/>
        <v>0</v>
      </c>
    </row>
    <row r="3233" spans="24:25" x14ac:dyDescent="0.3">
      <c r="X3233" s="1">
        <f t="shared" si="100"/>
        <v>0</v>
      </c>
      <c r="Y3233" s="1">
        <f t="shared" si="101"/>
        <v>0</v>
      </c>
    </row>
    <row r="3234" spans="24:25" x14ac:dyDescent="0.3">
      <c r="X3234" s="1">
        <f t="shared" si="100"/>
        <v>0</v>
      </c>
      <c r="Y3234" s="1">
        <f t="shared" si="101"/>
        <v>0</v>
      </c>
    </row>
    <row r="3235" spans="24:25" x14ac:dyDescent="0.3">
      <c r="X3235" s="1">
        <f t="shared" si="100"/>
        <v>0</v>
      </c>
      <c r="Y3235" s="1">
        <f t="shared" si="101"/>
        <v>0</v>
      </c>
    </row>
    <row r="3236" spans="24:25" x14ac:dyDescent="0.3">
      <c r="X3236" s="1">
        <f t="shared" si="100"/>
        <v>0</v>
      </c>
      <c r="Y3236" s="1">
        <f t="shared" si="101"/>
        <v>0</v>
      </c>
    </row>
    <row r="3237" spans="24:25" x14ac:dyDescent="0.3">
      <c r="X3237" s="1">
        <f t="shared" si="100"/>
        <v>0</v>
      </c>
      <c r="Y3237" s="1">
        <f t="shared" si="101"/>
        <v>0</v>
      </c>
    </row>
    <row r="3238" spans="24:25" x14ac:dyDescent="0.3">
      <c r="X3238" s="1">
        <f t="shared" si="100"/>
        <v>0</v>
      </c>
      <c r="Y3238" s="1">
        <f t="shared" si="101"/>
        <v>0</v>
      </c>
    </row>
    <row r="3239" spans="24:25" x14ac:dyDescent="0.3">
      <c r="X3239" s="1">
        <f t="shared" si="100"/>
        <v>0</v>
      </c>
      <c r="Y3239" s="1">
        <f t="shared" si="101"/>
        <v>0</v>
      </c>
    </row>
    <row r="3240" spans="24:25" x14ac:dyDescent="0.3">
      <c r="X3240" s="1">
        <f t="shared" si="100"/>
        <v>0</v>
      </c>
      <c r="Y3240" s="1">
        <f t="shared" si="101"/>
        <v>0</v>
      </c>
    </row>
    <row r="3241" spans="24:25" x14ac:dyDescent="0.3">
      <c r="X3241" s="1">
        <f t="shared" si="100"/>
        <v>0</v>
      </c>
      <c r="Y3241" s="1">
        <f t="shared" si="101"/>
        <v>0</v>
      </c>
    </row>
    <row r="3242" spans="24:25" x14ac:dyDescent="0.3">
      <c r="X3242" s="1">
        <f t="shared" si="100"/>
        <v>0</v>
      </c>
      <c r="Y3242" s="1">
        <f t="shared" si="101"/>
        <v>0</v>
      </c>
    </row>
    <row r="3243" spans="24:25" x14ac:dyDescent="0.3">
      <c r="X3243" s="1">
        <f t="shared" si="100"/>
        <v>0</v>
      </c>
      <c r="Y3243" s="1">
        <f t="shared" si="101"/>
        <v>0</v>
      </c>
    </row>
    <row r="3244" spans="24:25" x14ac:dyDescent="0.3">
      <c r="X3244" s="1">
        <f t="shared" si="100"/>
        <v>0</v>
      </c>
      <c r="Y3244" s="1">
        <f t="shared" si="101"/>
        <v>0</v>
      </c>
    </row>
    <row r="3245" spans="24:25" x14ac:dyDescent="0.3">
      <c r="X3245" s="1">
        <f t="shared" si="100"/>
        <v>0</v>
      </c>
      <c r="Y3245" s="1">
        <f t="shared" si="101"/>
        <v>0</v>
      </c>
    </row>
    <row r="3246" spans="24:25" x14ac:dyDescent="0.3">
      <c r="X3246" s="1">
        <f t="shared" si="100"/>
        <v>0</v>
      </c>
      <c r="Y3246" s="1">
        <f t="shared" si="101"/>
        <v>0</v>
      </c>
    </row>
    <row r="3247" spans="24:25" x14ac:dyDescent="0.3">
      <c r="X3247" s="1">
        <f t="shared" si="100"/>
        <v>0</v>
      </c>
      <c r="Y3247" s="1">
        <f t="shared" si="101"/>
        <v>0</v>
      </c>
    </row>
    <row r="3248" spans="24:25" x14ac:dyDescent="0.3">
      <c r="X3248" s="1">
        <f t="shared" si="100"/>
        <v>0</v>
      </c>
      <c r="Y3248" s="1">
        <f t="shared" si="101"/>
        <v>0</v>
      </c>
    </row>
    <row r="3249" spans="24:25" x14ac:dyDescent="0.3">
      <c r="X3249" s="1">
        <f t="shared" si="100"/>
        <v>0</v>
      </c>
      <c r="Y3249" s="1">
        <f t="shared" si="101"/>
        <v>0</v>
      </c>
    </row>
    <row r="3250" spans="24:25" x14ac:dyDescent="0.3">
      <c r="X3250" s="1">
        <f t="shared" si="100"/>
        <v>0</v>
      </c>
      <c r="Y3250" s="1">
        <f t="shared" si="101"/>
        <v>0</v>
      </c>
    </row>
    <row r="3251" spans="24:25" x14ac:dyDescent="0.3">
      <c r="X3251" s="1">
        <f t="shared" si="100"/>
        <v>0</v>
      </c>
      <c r="Y3251" s="1">
        <f t="shared" si="101"/>
        <v>0</v>
      </c>
    </row>
    <row r="3252" spans="24:25" x14ac:dyDescent="0.3">
      <c r="X3252" s="1">
        <f t="shared" si="100"/>
        <v>0</v>
      </c>
      <c r="Y3252" s="1">
        <f t="shared" si="101"/>
        <v>0</v>
      </c>
    </row>
    <row r="3253" spans="24:25" x14ac:dyDescent="0.3">
      <c r="X3253" s="1">
        <f t="shared" si="100"/>
        <v>0</v>
      </c>
      <c r="Y3253" s="1">
        <f t="shared" si="101"/>
        <v>0</v>
      </c>
    </row>
    <row r="3254" spans="24:25" x14ac:dyDescent="0.3">
      <c r="X3254" s="1">
        <f t="shared" si="100"/>
        <v>0</v>
      </c>
      <c r="Y3254" s="1">
        <f t="shared" si="101"/>
        <v>0</v>
      </c>
    </row>
    <row r="3255" spans="24:25" x14ac:dyDescent="0.3">
      <c r="X3255" s="1">
        <f t="shared" si="100"/>
        <v>0</v>
      </c>
      <c r="Y3255" s="1">
        <f t="shared" si="101"/>
        <v>0</v>
      </c>
    </row>
    <row r="3256" spans="24:25" x14ac:dyDescent="0.3">
      <c r="X3256" s="1">
        <f t="shared" si="100"/>
        <v>0</v>
      </c>
      <c r="Y3256" s="1">
        <f t="shared" si="101"/>
        <v>0</v>
      </c>
    </row>
    <row r="3257" spans="24:25" x14ac:dyDescent="0.3">
      <c r="X3257" s="1">
        <f t="shared" si="100"/>
        <v>0</v>
      </c>
      <c r="Y3257" s="1">
        <f t="shared" si="101"/>
        <v>0</v>
      </c>
    </row>
    <row r="3258" spans="24:25" x14ac:dyDescent="0.3">
      <c r="X3258" s="1">
        <f t="shared" si="100"/>
        <v>0</v>
      </c>
      <c r="Y3258" s="1">
        <f t="shared" si="101"/>
        <v>0</v>
      </c>
    </row>
    <row r="3259" spans="24:25" x14ac:dyDescent="0.3">
      <c r="X3259" s="1">
        <f t="shared" si="100"/>
        <v>0</v>
      </c>
      <c r="Y3259" s="1">
        <f t="shared" si="101"/>
        <v>0</v>
      </c>
    </row>
    <row r="3260" spans="24:25" x14ac:dyDescent="0.3">
      <c r="X3260" s="1">
        <f t="shared" si="100"/>
        <v>0</v>
      </c>
      <c r="Y3260" s="1">
        <f t="shared" si="101"/>
        <v>0</v>
      </c>
    </row>
    <row r="3261" spans="24:25" x14ac:dyDescent="0.3">
      <c r="X3261" s="1">
        <f t="shared" si="100"/>
        <v>0</v>
      </c>
      <c r="Y3261" s="1">
        <f t="shared" si="101"/>
        <v>0</v>
      </c>
    </row>
    <row r="3262" spans="24:25" x14ac:dyDescent="0.3">
      <c r="X3262" s="1">
        <f t="shared" si="100"/>
        <v>0</v>
      </c>
      <c r="Y3262" s="1">
        <f t="shared" si="101"/>
        <v>0</v>
      </c>
    </row>
    <row r="3263" spans="24:25" x14ac:dyDescent="0.3">
      <c r="X3263" s="1">
        <f t="shared" si="100"/>
        <v>0</v>
      </c>
      <c r="Y3263" s="1">
        <f t="shared" si="101"/>
        <v>0</v>
      </c>
    </row>
    <row r="3264" spans="24:25" x14ac:dyDescent="0.3">
      <c r="X3264" s="1">
        <f t="shared" si="100"/>
        <v>0</v>
      </c>
      <c r="Y3264" s="1">
        <f t="shared" si="101"/>
        <v>0</v>
      </c>
    </row>
    <row r="3265" spans="24:25" x14ac:dyDescent="0.3">
      <c r="X3265" s="1">
        <f t="shared" si="100"/>
        <v>0</v>
      </c>
      <c r="Y3265" s="1">
        <f t="shared" si="101"/>
        <v>0</v>
      </c>
    </row>
    <row r="3266" spans="24:25" x14ac:dyDescent="0.3">
      <c r="X3266" s="1">
        <f t="shared" si="100"/>
        <v>0</v>
      </c>
      <c r="Y3266" s="1">
        <f t="shared" si="101"/>
        <v>0</v>
      </c>
    </row>
    <row r="3267" spans="24:25" x14ac:dyDescent="0.3">
      <c r="X3267" s="1">
        <f t="shared" ref="X3267:X3330" si="102">IFERROR(MATCH(W3267,$B:$B,0),0)</f>
        <v>0</v>
      </c>
      <c r="Y3267" s="1">
        <f t="shared" ref="Y3267:Y3330" si="103">IF(X3268=0,COUNTA(A:A),X3268-1)</f>
        <v>0</v>
      </c>
    </row>
    <row r="3268" spans="24:25" x14ac:dyDescent="0.3">
      <c r="X3268" s="1">
        <f t="shared" si="102"/>
        <v>0</v>
      </c>
      <c r="Y3268" s="1">
        <f t="shared" si="103"/>
        <v>0</v>
      </c>
    </row>
    <row r="3269" spans="24:25" x14ac:dyDescent="0.3">
      <c r="X3269" s="1">
        <f t="shared" si="102"/>
        <v>0</v>
      </c>
      <c r="Y3269" s="1">
        <f t="shared" si="103"/>
        <v>0</v>
      </c>
    </row>
    <row r="3270" spans="24:25" x14ac:dyDescent="0.3">
      <c r="X3270" s="1">
        <f t="shared" si="102"/>
        <v>0</v>
      </c>
      <c r="Y3270" s="1">
        <f t="shared" si="103"/>
        <v>0</v>
      </c>
    </row>
    <row r="3271" spans="24:25" x14ac:dyDescent="0.3">
      <c r="X3271" s="1">
        <f t="shared" si="102"/>
        <v>0</v>
      </c>
      <c r="Y3271" s="1">
        <f t="shared" si="103"/>
        <v>0</v>
      </c>
    </row>
    <row r="3272" spans="24:25" x14ac:dyDescent="0.3">
      <c r="X3272" s="1">
        <f t="shared" si="102"/>
        <v>0</v>
      </c>
      <c r="Y3272" s="1">
        <f t="shared" si="103"/>
        <v>0</v>
      </c>
    </row>
    <row r="3273" spans="24:25" x14ac:dyDescent="0.3">
      <c r="X3273" s="1">
        <f t="shared" si="102"/>
        <v>0</v>
      </c>
      <c r="Y3273" s="1">
        <f t="shared" si="103"/>
        <v>0</v>
      </c>
    </row>
    <row r="3274" spans="24:25" x14ac:dyDescent="0.3">
      <c r="X3274" s="1">
        <f t="shared" si="102"/>
        <v>0</v>
      </c>
      <c r="Y3274" s="1">
        <f t="shared" si="103"/>
        <v>0</v>
      </c>
    </row>
    <row r="3275" spans="24:25" x14ac:dyDescent="0.3">
      <c r="X3275" s="1">
        <f t="shared" si="102"/>
        <v>0</v>
      </c>
      <c r="Y3275" s="1">
        <f t="shared" si="103"/>
        <v>0</v>
      </c>
    </row>
    <row r="3276" spans="24:25" x14ac:dyDescent="0.3">
      <c r="X3276" s="1">
        <f t="shared" si="102"/>
        <v>0</v>
      </c>
      <c r="Y3276" s="1">
        <f t="shared" si="103"/>
        <v>0</v>
      </c>
    </row>
    <row r="3277" spans="24:25" x14ac:dyDescent="0.3">
      <c r="X3277" s="1">
        <f t="shared" si="102"/>
        <v>0</v>
      </c>
      <c r="Y3277" s="1">
        <f t="shared" si="103"/>
        <v>0</v>
      </c>
    </row>
    <row r="3278" spans="24:25" x14ac:dyDescent="0.3">
      <c r="X3278" s="1">
        <f t="shared" si="102"/>
        <v>0</v>
      </c>
      <c r="Y3278" s="1">
        <f t="shared" si="103"/>
        <v>0</v>
      </c>
    </row>
    <row r="3279" spans="24:25" x14ac:dyDescent="0.3">
      <c r="X3279" s="1">
        <f t="shared" si="102"/>
        <v>0</v>
      </c>
      <c r="Y3279" s="1">
        <f t="shared" si="103"/>
        <v>0</v>
      </c>
    </row>
    <row r="3280" spans="24:25" x14ac:dyDescent="0.3">
      <c r="X3280" s="1">
        <f t="shared" si="102"/>
        <v>0</v>
      </c>
      <c r="Y3280" s="1">
        <f t="shared" si="103"/>
        <v>0</v>
      </c>
    </row>
    <row r="3281" spans="24:25" x14ac:dyDescent="0.3">
      <c r="X3281" s="1">
        <f t="shared" si="102"/>
        <v>0</v>
      </c>
      <c r="Y3281" s="1">
        <f t="shared" si="103"/>
        <v>0</v>
      </c>
    </row>
    <row r="3282" spans="24:25" x14ac:dyDescent="0.3">
      <c r="X3282" s="1">
        <f t="shared" si="102"/>
        <v>0</v>
      </c>
      <c r="Y3282" s="1">
        <f t="shared" si="103"/>
        <v>0</v>
      </c>
    </row>
    <row r="3283" spans="24:25" x14ac:dyDescent="0.3">
      <c r="X3283" s="1">
        <f t="shared" si="102"/>
        <v>0</v>
      </c>
      <c r="Y3283" s="1">
        <f t="shared" si="103"/>
        <v>0</v>
      </c>
    </row>
    <row r="3284" spans="24:25" x14ac:dyDescent="0.3">
      <c r="X3284" s="1">
        <f t="shared" si="102"/>
        <v>0</v>
      </c>
      <c r="Y3284" s="1">
        <f t="shared" si="103"/>
        <v>0</v>
      </c>
    </row>
    <row r="3285" spans="24:25" x14ac:dyDescent="0.3">
      <c r="X3285" s="1">
        <f t="shared" si="102"/>
        <v>0</v>
      </c>
      <c r="Y3285" s="1">
        <f t="shared" si="103"/>
        <v>0</v>
      </c>
    </row>
    <row r="3286" spans="24:25" x14ac:dyDescent="0.3">
      <c r="X3286" s="1">
        <f t="shared" si="102"/>
        <v>0</v>
      </c>
      <c r="Y3286" s="1">
        <f t="shared" si="103"/>
        <v>0</v>
      </c>
    </row>
    <row r="3287" spans="24:25" x14ac:dyDescent="0.3">
      <c r="X3287" s="1">
        <f t="shared" si="102"/>
        <v>0</v>
      </c>
      <c r="Y3287" s="1">
        <f t="shared" si="103"/>
        <v>0</v>
      </c>
    </row>
    <row r="3288" spans="24:25" x14ac:dyDescent="0.3">
      <c r="X3288" s="1">
        <f t="shared" si="102"/>
        <v>0</v>
      </c>
      <c r="Y3288" s="1">
        <f t="shared" si="103"/>
        <v>0</v>
      </c>
    </row>
    <row r="3289" spans="24:25" x14ac:dyDescent="0.3">
      <c r="X3289" s="1">
        <f t="shared" si="102"/>
        <v>0</v>
      </c>
      <c r="Y3289" s="1">
        <f t="shared" si="103"/>
        <v>0</v>
      </c>
    </row>
    <row r="3290" spans="24:25" x14ac:dyDescent="0.3">
      <c r="X3290" s="1">
        <f t="shared" si="102"/>
        <v>0</v>
      </c>
      <c r="Y3290" s="1">
        <f t="shared" si="103"/>
        <v>0</v>
      </c>
    </row>
    <row r="3291" spans="24:25" x14ac:dyDescent="0.3">
      <c r="X3291" s="1">
        <f t="shared" si="102"/>
        <v>0</v>
      </c>
      <c r="Y3291" s="1">
        <f t="shared" si="103"/>
        <v>0</v>
      </c>
    </row>
    <row r="3292" spans="24:25" x14ac:dyDescent="0.3">
      <c r="X3292" s="1">
        <f t="shared" si="102"/>
        <v>0</v>
      </c>
      <c r="Y3292" s="1">
        <f t="shared" si="103"/>
        <v>0</v>
      </c>
    </row>
    <row r="3293" spans="24:25" x14ac:dyDescent="0.3">
      <c r="X3293" s="1">
        <f t="shared" si="102"/>
        <v>0</v>
      </c>
      <c r="Y3293" s="1">
        <f t="shared" si="103"/>
        <v>0</v>
      </c>
    </row>
    <row r="3294" spans="24:25" x14ac:dyDescent="0.3">
      <c r="X3294" s="1">
        <f t="shared" si="102"/>
        <v>0</v>
      </c>
      <c r="Y3294" s="1">
        <f t="shared" si="103"/>
        <v>0</v>
      </c>
    </row>
    <row r="3295" spans="24:25" x14ac:dyDescent="0.3">
      <c r="X3295" s="1">
        <f t="shared" si="102"/>
        <v>0</v>
      </c>
      <c r="Y3295" s="1">
        <f t="shared" si="103"/>
        <v>0</v>
      </c>
    </row>
    <row r="3296" spans="24:25" x14ac:dyDescent="0.3">
      <c r="X3296" s="1">
        <f t="shared" si="102"/>
        <v>0</v>
      </c>
      <c r="Y3296" s="1">
        <f t="shared" si="103"/>
        <v>0</v>
      </c>
    </row>
    <row r="3297" spans="24:25" x14ac:dyDescent="0.3">
      <c r="X3297" s="1">
        <f t="shared" si="102"/>
        <v>0</v>
      </c>
      <c r="Y3297" s="1">
        <f t="shared" si="103"/>
        <v>0</v>
      </c>
    </row>
    <row r="3298" spans="24:25" x14ac:dyDescent="0.3">
      <c r="X3298" s="1">
        <f t="shared" si="102"/>
        <v>0</v>
      </c>
      <c r="Y3298" s="1">
        <f t="shared" si="103"/>
        <v>0</v>
      </c>
    </row>
    <row r="3299" spans="24:25" x14ac:dyDescent="0.3">
      <c r="X3299" s="1">
        <f t="shared" si="102"/>
        <v>0</v>
      </c>
      <c r="Y3299" s="1">
        <f t="shared" si="103"/>
        <v>0</v>
      </c>
    </row>
    <row r="3300" spans="24:25" x14ac:dyDescent="0.3">
      <c r="X3300" s="1">
        <f t="shared" si="102"/>
        <v>0</v>
      </c>
      <c r="Y3300" s="1">
        <f t="shared" si="103"/>
        <v>0</v>
      </c>
    </row>
    <row r="3301" spans="24:25" x14ac:dyDescent="0.3">
      <c r="X3301" s="1">
        <f t="shared" si="102"/>
        <v>0</v>
      </c>
      <c r="Y3301" s="1">
        <f t="shared" si="103"/>
        <v>0</v>
      </c>
    </row>
    <row r="3302" spans="24:25" x14ac:dyDescent="0.3">
      <c r="X3302" s="1">
        <f t="shared" si="102"/>
        <v>0</v>
      </c>
      <c r="Y3302" s="1">
        <f t="shared" si="103"/>
        <v>0</v>
      </c>
    </row>
    <row r="3303" spans="24:25" x14ac:dyDescent="0.3">
      <c r="X3303" s="1">
        <f t="shared" si="102"/>
        <v>0</v>
      </c>
      <c r="Y3303" s="1">
        <f t="shared" si="103"/>
        <v>0</v>
      </c>
    </row>
    <row r="3304" spans="24:25" x14ac:dyDescent="0.3">
      <c r="X3304" s="1">
        <f t="shared" si="102"/>
        <v>0</v>
      </c>
      <c r="Y3304" s="1">
        <f t="shared" si="103"/>
        <v>0</v>
      </c>
    </row>
    <row r="3305" spans="24:25" x14ac:dyDescent="0.3">
      <c r="X3305" s="1">
        <f t="shared" si="102"/>
        <v>0</v>
      </c>
      <c r="Y3305" s="1">
        <f t="shared" si="103"/>
        <v>0</v>
      </c>
    </row>
    <row r="3306" spans="24:25" x14ac:dyDescent="0.3">
      <c r="X3306" s="1">
        <f t="shared" si="102"/>
        <v>0</v>
      </c>
      <c r="Y3306" s="1">
        <f t="shared" si="103"/>
        <v>0</v>
      </c>
    </row>
    <row r="3307" spans="24:25" x14ac:dyDescent="0.3">
      <c r="X3307" s="1">
        <f t="shared" si="102"/>
        <v>0</v>
      </c>
      <c r="Y3307" s="1">
        <f t="shared" si="103"/>
        <v>0</v>
      </c>
    </row>
    <row r="3308" spans="24:25" x14ac:dyDescent="0.3">
      <c r="X3308" s="1">
        <f t="shared" si="102"/>
        <v>0</v>
      </c>
      <c r="Y3308" s="1">
        <f t="shared" si="103"/>
        <v>0</v>
      </c>
    </row>
    <row r="3309" spans="24:25" x14ac:dyDescent="0.3">
      <c r="X3309" s="1">
        <f t="shared" si="102"/>
        <v>0</v>
      </c>
      <c r="Y3309" s="1">
        <f t="shared" si="103"/>
        <v>0</v>
      </c>
    </row>
    <row r="3310" spans="24:25" x14ac:dyDescent="0.3">
      <c r="X3310" s="1">
        <f t="shared" si="102"/>
        <v>0</v>
      </c>
      <c r="Y3310" s="1">
        <f t="shared" si="103"/>
        <v>0</v>
      </c>
    </row>
    <row r="3311" spans="24:25" x14ac:dyDescent="0.3">
      <c r="X3311" s="1">
        <f t="shared" si="102"/>
        <v>0</v>
      </c>
      <c r="Y3311" s="1">
        <f t="shared" si="103"/>
        <v>0</v>
      </c>
    </row>
    <row r="3312" spans="24:25" x14ac:dyDescent="0.3">
      <c r="X3312" s="1">
        <f t="shared" si="102"/>
        <v>0</v>
      </c>
      <c r="Y3312" s="1">
        <f t="shared" si="103"/>
        <v>0</v>
      </c>
    </row>
    <row r="3313" spans="24:25" x14ac:dyDescent="0.3">
      <c r="X3313" s="1">
        <f t="shared" si="102"/>
        <v>0</v>
      </c>
      <c r="Y3313" s="1">
        <f t="shared" si="103"/>
        <v>0</v>
      </c>
    </row>
    <row r="3314" spans="24:25" x14ac:dyDescent="0.3">
      <c r="X3314" s="1">
        <f t="shared" si="102"/>
        <v>0</v>
      </c>
      <c r="Y3314" s="1">
        <f t="shared" si="103"/>
        <v>0</v>
      </c>
    </row>
    <row r="3315" spans="24:25" x14ac:dyDescent="0.3">
      <c r="X3315" s="1">
        <f t="shared" si="102"/>
        <v>0</v>
      </c>
      <c r="Y3315" s="1">
        <f t="shared" si="103"/>
        <v>0</v>
      </c>
    </row>
    <row r="3316" spans="24:25" x14ac:dyDescent="0.3">
      <c r="X3316" s="1">
        <f t="shared" si="102"/>
        <v>0</v>
      </c>
      <c r="Y3316" s="1">
        <f t="shared" si="103"/>
        <v>0</v>
      </c>
    </row>
    <row r="3317" spans="24:25" x14ac:dyDescent="0.3">
      <c r="X3317" s="1">
        <f t="shared" si="102"/>
        <v>0</v>
      </c>
      <c r="Y3317" s="1">
        <f t="shared" si="103"/>
        <v>0</v>
      </c>
    </row>
    <row r="3318" spans="24:25" x14ac:dyDescent="0.3">
      <c r="X3318" s="1">
        <f t="shared" si="102"/>
        <v>0</v>
      </c>
      <c r="Y3318" s="1">
        <f t="shared" si="103"/>
        <v>0</v>
      </c>
    </row>
    <row r="3319" spans="24:25" x14ac:dyDescent="0.3">
      <c r="X3319" s="1">
        <f t="shared" si="102"/>
        <v>0</v>
      </c>
      <c r="Y3319" s="1">
        <f t="shared" si="103"/>
        <v>0</v>
      </c>
    </row>
    <row r="3320" spans="24:25" x14ac:dyDescent="0.3">
      <c r="X3320" s="1">
        <f t="shared" si="102"/>
        <v>0</v>
      </c>
      <c r="Y3320" s="1">
        <f t="shared" si="103"/>
        <v>0</v>
      </c>
    </row>
    <row r="3321" spans="24:25" x14ac:dyDescent="0.3">
      <c r="X3321" s="1">
        <f t="shared" si="102"/>
        <v>0</v>
      </c>
      <c r="Y3321" s="1">
        <f t="shared" si="103"/>
        <v>0</v>
      </c>
    </row>
    <row r="3322" spans="24:25" x14ac:dyDescent="0.3">
      <c r="X3322" s="1">
        <f t="shared" si="102"/>
        <v>0</v>
      </c>
      <c r="Y3322" s="1">
        <f t="shared" si="103"/>
        <v>0</v>
      </c>
    </row>
    <row r="3323" spans="24:25" x14ac:dyDescent="0.3">
      <c r="X3323" s="1">
        <f t="shared" si="102"/>
        <v>0</v>
      </c>
      <c r="Y3323" s="1">
        <f t="shared" si="103"/>
        <v>0</v>
      </c>
    </row>
    <row r="3324" spans="24:25" x14ac:dyDescent="0.3">
      <c r="X3324" s="1">
        <f t="shared" si="102"/>
        <v>0</v>
      </c>
      <c r="Y3324" s="1">
        <f t="shared" si="103"/>
        <v>0</v>
      </c>
    </row>
    <row r="3325" spans="24:25" x14ac:dyDescent="0.3">
      <c r="X3325" s="1">
        <f t="shared" si="102"/>
        <v>0</v>
      </c>
      <c r="Y3325" s="1">
        <f t="shared" si="103"/>
        <v>0</v>
      </c>
    </row>
    <row r="3326" spans="24:25" x14ac:dyDescent="0.3">
      <c r="X3326" s="1">
        <f t="shared" si="102"/>
        <v>0</v>
      </c>
      <c r="Y3326" s="1">
        <f t="shared" si="103"/>
        <v>0</v>
      </c>
    </row>
    <row r="3327" spans="24:25" x14ac:dyDescent="0.3">
      <c r="X3327" s="1">
        <f t="shared" si="102"/>
        <v>0</v>
      </c>
      <c r="Y3327" s="1">
        <f t="shared" si="103"/>
        <v>0</v>
      </c>
    </row>
    <row r="3328" spans="24:25" x14ac:dyDescent="0.3">
      <c r="X3328" s="1">
        <f t="shared" si="102"/>
        <v>0</v>
      </c>
      <c r="Y3328" s="1">
        <f t="shared" si="103"/>
        <v>0</v>
      </c>
    </row>
    <row r="3329" spans="24:25" x14ac:dyDescent="0.3">
      <c r="X3329" s="1">
        <f t="shared" si="102"/>
        <v>0</v>
      </c>
      <c r="Y3329" s="1">
        <f t="shared" si="103"/>
        <v>0</v>
      </c>
    </row>
    <row r="3330" spans="24:25" x14ac:dyDescent="0.3">
      <c r="X3330" s="1">
        <f t="shared" si="102"/>
        <v>0</v>
      </c>
      <c r="Y3330" s="1">
        <f t="shared" si="103"/>
        <v>0</v>
      </c>
    </row>
    <row r="3331" spans="24:25" x14ac:dyDescent="0.3">
      <c r="X3331" s="1">
        <f t="shared" ref="X3331:X3394" si="104">IFERROR(MATCH(W3331,$B:$B,0),0)</f>
        <v>0</v>
      </c>
      <c r="Y3331" s="1">
        <f t="shared" ref="Y3331:Y3394" si="105">IF(X3332=0,COUNTA(A:A),X3332-1)</f>
        <v>0</v>
      </c>
    </row>
    <row r="3332" spans="24:25" x14ac:dyDescent="0.3">
      <c r="X3332" s="1">
        <f t="shared" si="104"/>
        <v>0</v>
      </c>
      <c r="Y3332" s="1">
        <f t="shared" si="105"/>
        <v>0</v>
      </c>
    </row>
    <row r="3333" spans="24:25" x14ac:dyDescent="0.3">
      <c r="X3333" s="1">
        <f t="shared" si="104"/>
        <v>0</v>
      </c>
      <c r="Y3333" s="1">
        <f t="shared" si="105"/>
        <v>0</v>
      </c>
    </row>
    <row r="3334" spans="24:25" x14ac:dyDescent="0.3">
      <c r="X3334" s="1">
        <f t="shared" si="104"/>
        <v>0</v>
      </c>
      <c r="Y3334" s="1">
        <f t="shared" si="105"/>
        <v>0</v>
      </c>
    </row>
    <row r="3335" spans="24:25" x14ac:dyDescent="0.3">
      <c r="X3335" s="1">
        <f t="shared" si="104"/>
        <v>0</v>
      </c>
      <c r="Y3335" s="1">
        <f t="shared" si="105"/>
        <v>0</v>
      </c>
    </row>
    <row r="3336" spans="24:25" x14ac:dyDescent="0.3">
      <c r="X3336" s="1">
        <f t="shared" si="104"/>
        <v>0</v>
      </c>
      <c r="Y3336" s="1">
        <f t="shared" si="105"/>
        <v>0</v>
      </c>
    </row>
    <row r="3337" spans="24:25" x14ac:dyDescent="0.3">
      <c r="X3337" s="1">
        <f t="shared" si="104"/>
        <v>0</v>
      </c>
      <c r="Y3337" s="1">
        <f t="shared" si="105"/>
        <v>0</v>
      </c>
    </row>
    <row r="3338" spans="24:25" x14ac:dyDescent="0.3">
      <c r="X3338" s="1">
        <f t="shared" si="104"/>
        <v>0</v>
      </c>
      <c r="Y3338" s="1">
        <f t="shared" si="105"/>
        <v>0</v>
      </c>
    </row>
    <row r="3339" spans="24:25" x14ac:dyDescent="0.3">
      <c r="X3339" s="1">
        <f t="shared" si="104"/>
        <v>0</v>
      </c>
      <c r="Y3339" s="1">
        <f t="shared" si="105"/>
        <v>0</v>
      </c>
    </row>
    <row r="3340" spans="24:25" x14ac:dyDescent="0.3">
      <c r="X3340" s="1">
        <f t="shared" si="104"/>
        <v>0</v>
      </c>
      <c r="Y3340" s="1">
        <f t="shared" si="105"/>
        <v>0</v>
      </c>
    </row>
    <row r="3341" spans="24:25" x14ac:dyDescent="0.3">
      <c r="X3341" s="1">
        <f t="shared" si="104"/>
        <v>0</v>
      </c>
      <c r="Y3341" s="1">
        <f t="shared" si="105"/>
        <v>0</v>
      </c>
    </row>
    <row r="3342" spans="24:25" x14ac:dyDescent="0.3">
      <c r="X3342" s="1">
        <f t="shared" si="104"/>
        <v>0</v>
      </c>
      <c r="Y3342" s="1">
        <f t="shared" si="105"/>
        <v>0</v>
      </c>
    </row>
    <row r="3343" spans="24:25" x14ac:dyDescent="0.3">
      <c r="X3343" s="1">
        <f t="shared" si="104"/>
        <v>0</v>
      </c>
      <c r="Y3343" s="1">
        <f t="shared" si="105"/>
        <v>0</v>
      </c>
    </row>
    <row r="3344" spans="24:25" x14ac:dyDescent="0.3">
      <c r="X3344" s="1">
        <f t="shared" si="104"/>
        <v>0</v>
      </c>
      <c r="Y3344" s="1">
        <f t="shared" si="105"/>
        <v>0</v>
      </c>
    </row>
    <row r="3345" spans="24:25" x14ac:dyDescent="0.3">
      <c r="X3345" s="1">
        <f t="shared" si="104"/>
        <v>0</v>
      </c>
      <c r="Y3345" s="1">
        <f t="shared" si="105"/>
        <v>0</v>
      </c>
    </row>
    <row r="3346" spans="24:25" x14ac:dyDescent="0.3">
      <c r="X3346" s="1">
        <f t="shared" si="104"/>
        <v>0</v>
      </c>
      <c r="Y3346" s="1">
        <f t="shared" si="105"/>
        <v>0</v>
      </c>
    </row>
    <row r="3347" spans="24:25" x14ac:dyDescent="0.3">
      <c r="X3347" s="1">
        <f t="shared" si="104"/>
        <v>0</v>
      </c>
      <c r="Y3347" s="1">
        <f t="shared" si="105"/>
        <v>0</v>
      </c>
    </row>
    <row r="3348" spans="24:25" x14ac:dyDescent="0.3">
      <c r="X3348" s="1">
        <f t="shared" si="104"/>
        <v>0</v>
      </c>
      <c r="Y3348" s="1">
        <f t="shared" si="105"/>
        <v>0</v>
      </c>
    </row>
    <row r="3349" spans="24:25" x14ac:dyDescent="0.3">
      <c r="X3349" s="1">
        <f t="shared" si="104"/>
        <v>0</v>
      </c>
      <c r="Y3349" s="1">
        <f t="shared" si="105"/>
        <v>0</v>
      </c>
    </row>
    <row r="3350" spans="24:25" x14ac:dyDescent="0.3">
      <c r="X3350" s="1">
        <f t="shared" si="104"/>
        <v>0</v>
      </c>
      <c r="Y3350" s="1">
        <f t="shared" si="105"/>
        <v>0</v>
      </c>
    </row>
    <row r="3351" spans="24:25" x14ac:dyDescent="0.3">
      <c r="X3351" s="1">
        <f t="shared" si="104"/>
        <v>0</v>
      </c>
      <c r="Y3351" s="1">
        <f t="shared" si="105"/>
        <v>0</v>
      </c>
    </row>
    <row r="3352" spans="24:25" x14ac:dyDescent="0.3">
      <c r="X3352" s="1">
        <f t="shared" si="104"/>
        <v>0</v>
      </c>
      <c r="Y3352" s="1">
        <f t="shared" si="105"/>
        <v>0</v>
      </c>
    </row>
    <row r="3353" spans="24:25" x14ac:dyDescent="0.3">
      <c r="X3353" s="1">
        <f t="shared" si="104"/>
        <v>0</v>
      </c>
      <c r="Y3353" s="1">
        <f t="shared" si="105"/>
        <v>0</v>
      </c>
    </row>
    <row r="3354" spans="24:25" x14ac:dyDescent="0.3">
      <c r="X3354" s="1">
        <f t="shared" si="104"/>
        <v>0</v>
      </c>
      <c r="Y3354" s="1">
        <f t="shared" si="105"/>
        <v>0</v>
      </c>
    </row>
    <row r="3355" spans="24:25" x14ac:dyDescent="0.3">
      <c r="X3355" s="1">
        <f t="shared" si="104"/>
        <v>0</v>
      </c>
      <c r="Y3355" s="1">
        <f t="shared" si="105"/>
        <v>0</v>
      </c>
    </row>
    <row r="3356" spans="24:25" x14ac:dyDescent="0.3">
      <c r="X3356" s="1">
        <f t="shared" si="104"/>
        <v>0</v>
      </c>
      <c r="Y3356" s="1">
        <f t="shared" si="105"/>
        <v>0</v>
      </c>
    </row>
    <row r="3357" spans="24:25" x14ac:dyDescent="0.3">
      <c r="X3357" s="1">
        <f t="shared" si="104"/>
        <v>0</v>
      </c>
      <c r="Y3357" s="1">
        <f t="shared" si="105"/>
        <v>0</v>
      </c>
    </row>
    <row r="3358" spans="24:25" x14ac:dyDescent="0.3">
      <c r="X3358" s="1">
        <f t="shared" si="104"/>
        <v>0</v>
      </c>
      <c r="Y3358" s="1">
        <f t="shared" si="105"/>
        <v>0</v>
      </c>
    </row>
    <row r="3359" spans="24:25" x14ac:dyDescent="0.3">
      <c r="X3359" s="1">
        <f t="shared" si="104"/>
        <v>0</v>
      </c>
      <c r="Y3359" s="1">
        <f t="shared" si="105"/>
        <v>0</v>
      </c>
    </row>
    <row r="3360" spans="24:25" x14ac:dyDescent="0.3">
      <c r="X3360" s="1">
        <f t="shared" si="104"/>
        <v>0</v>
      </c>
      <c r="Y3360" s="1">
        <f t="shared" si="105"/>
        <v>0</v>
      </c>
    </row>
    <row r="3361" spans="24:25" x14ac:dyDescent="0.3">
      <c r="X3361" s="1">
        <f t="shared" si="104"/>
        <v>0</v>
      </c>
      <c r="Y3361" s="1">
        <f t="shared" si="105"/>
        <v>0</v>
      </c>
    </row>
    <row r="3362" spans="24:25" x14ac:dyDescent="0.3">
      <c r="X3362" s="1">
        <f t="shared" si="104"/>
        <v>0</v>
      </c>
      <c r="Y3362" s="1">
        <f t="shared" si="105"/>
        <v>0</v>
      </c>
    </row>
    <row r="3363" spans="24:25" x14ac:dyDescent="0.3">
      <c r="X3363" s="1">
        <f t="shared" si="104"/>
        <v>0</v>
      </c>
      <c r="Y3363" s="1">
        <f t="shared" si="105"/>
        <v>0</v>
      </c>
    </row>
    <row r="3364" spans="24:25" x14ac:dyDescent="0.3">
      <c r="X3364" s="1">
        <f t="shared" si="104"/>
        <v>0</v>
      </c>
      <c r="Y3364" s="1">
        <f t="shared" si="105"/>
        <v>0</v>
      </c>
    </row>
    <row r="3365" spans="24:25" x14ac:dyDescent="0.3">
      <c r="X3365" s="1">
        <f t="shared" si="104"/>
        <v>0</v>
      </c>
      <c r="Y3365" s="1">
        <f t="shared" si="105"/>
        <v>0</v>
      </c>
    </row>
    <row r="3366" spans="24:25" x14ac:dyDescent="0.3">
      <c r="X3366" s="1">
        <f t="shared" si="104"/>
        <v>0</v>
      </c>
      <c r="Y3366" s="1">
        <f t="shared" si="105"/>
        <v>0</v>
      </c>
    </row>
    <row r="3367" spans="24:25" x14ac:dyDescent="0.3">
      <c r="X3367" s="1">
        <f t="shared" si="104"/>
        <v>0</v>
      </c>
      <c r="Y3367" s="1">
        <f t="shared" si="105"/>
        <v>0</v>
      </c>
    </row>
    <row r="3368" spans="24:25" x14ac:dyDescent="0.3">
      <c r="X3368" s="1">
        <f t="shared" si="104"/>
        <v>0</v>
      </c>
      <c r="Y3368" s="1">
        <f t="shared" si="105"/>
        <v>0</v>
      </c>
    </row>
    <row r="3369" spans="24:25" x14ac:dyDescent="0.3">
      <c r="X3369" s="1">
        <f t="shared" si="104"/>
        <v>0</v>
      </c>
      <c r="Y3369" s="1">
        <f t="shared" si="105"/>
        <v>0</v>
      </c>
    </row>
    <row r="3370" spans="24:25" x14ac:dyDescent="0.3">
      <c r="X3370" s="1">
        <f t="shared" si="104"/>
        <v>0</v>
      </c>
      <c r="Y3370" s="1">
        <f t="shared" si="105"/>
        <v>0</v>
      </c>
    </row>
    <row r="3371" spans="24:25" x14ac:dyDescent="0.3">
      <c r="X3371" s="1">
        <f t="shared" si="104"/>
        <v>0</v>
      </c>
      <c r="Y3371" s="1">
        <f t="shared" si="105"/>
        <v>0</v>
      </c>
    </row>
    <row r="3372" spans="24:25" x14ac:dyDescent="0.3">
      <c r="X3372" s="1">
        <f t="shared" si="104"/>
        <v>0</v>
      </c>
      <c r="Y3372" s="1">
        <f t="shared" si="105"/>
        <v>0</v>
      </c>
    </row>
    <row r="3373" spans="24:25" x14ac:dyDescent="0.3">
      <c r="X3373" s="1">
        <f t="shared" si="104"/>
        <v>0</v>
      </c>
      <c r="Y3373" s="1">
        <f t="shared" si="105"/>
        <v>0</v>
      </c>
    </row>
    <row r="3374" spans="24:25" x14ac:dyDescent="0.3">
      <c r="X3374" s="1">
        <f t="shared" si="104"/>
        <v>0</v>
      </c>
      <c r="Y3374" s="1">
        <f t="shared" si="105"/>
        <v>0</v>
      </c>
    </row>
    <row r="3375" spans="24:25" x14ac:dyDescent="0.3">
      <c r="X3375" s="1">
        <f t="shared" si="104"/>
        <v>0</v>
      </c>
      <c r="Y3375" s="1">
        <f t="shared" si="105"/>
        <v>0</v>
      </c>
    </row>
    <row r="3376" spans="24:25" x14ac:dyDescent="0.3">
      <c r="X3376" s="1">
        <f t="shared" si="104"/>
        <v>0</v>
      </c>
      <c r="Y3376" s="1">
        <f t="shared" si="105"/>
        <v>0</v>
      </c>
    </row>
    <row r="3377" spans="24:25" x14ac:dyDescent="0.3">
      <c r="X3377" s="1">
        <f t="shared" si="104"/>
        <v>0</v>
      </c>
      <c r="Y3377" s="1">
        <f t="shared" si="105"/>
        <v>0</v>
      </c>
    </row>
    <row r="3378" spans="24:25" x14ac:dyDescent="0.3">
      <c r="X3378" s="1">
        <f t="shared" si="104"/>
        <v>0</v>
      </c>
      <c r="Y3378" s="1">
        <f t="shared" si="105"/>
        <v>0</v>
      </c>
    </row>
    <row r="3379" spans="24:25" x14ac:dyDescent="0.3">
      <c r="X3379" s="1">
        <f t="shared" si="104"/>
        <v>0</v>
      </c>
      <c r="Y3379" s="1">
        <f t="shared" si="105"/>
        <v>0</v>
      </c>
    </row>
    <row r="3380" spans="24:25" x14ac:dyDescent="0.3">
      <c r="X3380" s="1">
        <f t="shared" si="104"/>
        <v>0</v>
      </c>
      <c r="Y3380" s="1">
        <f t="shared" si="105"/>
        <v>0</v>
      </c>
    </row>
    <row r="3381" spans="24:25" x14ac:dyDescent="0.3">
      <c r="X3381" s="1">
        <f t="shared" si="104"/>
        <v>0</v>
      </c>
      <c r="Y3381" s="1">
        <f t="shared" si="105"/>
        <v>0</v>
      </c>
    </row>
    <row r="3382" spans="24:25" x14ac:dyDescent="0.3">
      <c r="X3382" s="1">
        <f t="shared" si="104"/>
        <v>0</v>
      </c>
      <c r="Y3382" s="1">
        <f t="shared" si="105"/>
        <v>0</v>
      </c>
    </row>
    <row r="3383" spans="24:25" x14ac:dyDescent="0.3">
      <c r="X3383" s="1">
        <f t="shared" si="104"/>
        <v>0</v>
      </c>
      <c r="Y3383" s="1">
        <f t="shared" si="105"/>
        <v>0</v>
      </c>
    </row>
    <row r="3384" spans="24:25" x14ac:dyDescent="0.3">
      <c r="X3384" s="1">
        <f t="shared" si="104"/>
        <v>0</v>
      </c>
      <c r="Y3384" s="1">
        <f t="shared" si="105"/>
        <v>0</v>
      </c>
    </row>
    <row r="3385" spans="24:25" x14ac:dyDescent="0.3">
      <c r="X3385" s="1">
        <f t="shared" si="104"/>
        <v>0</v>
      </c>
      <c r="Y3385" s="1">
        <f t="shared" si="105"/>
        <v>0</v>
      </c>
    </row>
    <row r="3386" spans="24:25" x14ac:dyDescent="0.3">
      <c r="X3386" s="1">
        <f t="shared" si="104"/>
        <v>0</v>
      </c>
      <c r="Y3386" s="1">
        <f t="shared" si="105"/>
        <v>0</v>
      </c>
    </row>
    <row r="3387" spans="24:25" x14ac:dyDescent="0.3">
      <c r="X3387" s="1">
        <f t="shared" si="104"/>
        <v>0</v>
      </c>
      <c r="Y3387" s="1">
        <f t="shared" si="105"/>
        <v>0</v>
      </c>
    </row>
    <row r="3388" spans="24:25" x14ac:dyDescent="0.3">
      <c r="X3388" s="1">
        <f t="shared" si="104"/>
        <v>0</v>
      </c>
      <c r="Y3388" s="1">
        <f t="shared" si="105"/>
        <v>0</v>
      </c>
    </row>
    <row r="3389" spans="24:25" x14ac:dyDescent="0.3">
      <c r="X3389" s="1">
        <f t="shared" si="104"/>
        <v>0</v>
      </c>
      <c r="Y3389" s="1">
        <f t="shared" si="105"/>
        <v>0</v>
      </c>
    </row>
    <row r="3390" spans="24:25" x14ac:dyDescent="0.3">
      <c r="X3390" s="1">
        <f t="shared" si="104"/>
        <v>0</v>
      </c>
      <c r="Y3390" s="1">
        <f t="shared" si="105"/>
        <v>0</v>
      </c>
    </row>
    <row r="3391" spans="24:25" x14ac:dyDescent="0.3">
      <c r="X3391" s="1">
        <f t="shared" si="104"/>
        <v>0</v>
      </c>
      <c r="Y3391" s="1">
        <f t="shared" si="105"/>
        <v>0</v>
      </c>
    </row>
    <row r="3392" spans="24:25" x14ac:dyDescent="0.3">
      <c r="X3392" s="1">
        <f t="shared" si="104"/>
        <v>0</v>
      </c>
      <c r="Y3392" s="1">
        <f t="shared" si="105"/>
        <v>0</v>
      </c>
    </row>
    <row r="3393" spans="24:25" x14ac:dyDescent="0.3">
      <c r="X3393" s="1">
        <f t="shared" si="104"/>
        <v>0</v>
      </c>
      <c r="Y3393" s="1">
        <f t="shared" si="105"/>
        <v>0</v>
      </c>
    </row>
    <row r="3394" spans="24:25" x14ac:dyDescent="0.3">
      <c r="X3394" s="1">
        <f t="shared" si="104"/>
        <v>0</v>
      </c>
      <c r="Y3394" s="1">
        <f t="shared" si="105"/>
        <v>0</v>
      </c>
    </row>
    <row r="3395" spans="24:25" x14ac:dyDescent="0.3">
      <c r="X3395" s="1">
        <f t="shared" ref="X3395:X3458" si="106">IFERROR(MATCH(W3395,$B:$B,0),0)</f>
        <v>0</v>
      </c>
      <c r="Y3395" s="1">
        <f t="shared" ref="Y3395:Y3458" si="107">IF(X3396=0,COUNTA(A:A),X3396-1)</f>
        <v>0</v>
      </c>
    </row>
    <row r="3396" spans="24:25" x14ac:dyDescent="0.3">
      <c r="X3396" s="1">
        <f t="shared" si="106"/>
        <v>0</v>
      </c>
      <c r="Y3396" s="1">
        <f t="shared" si="107"/>
        <v>0</v>
      </c>
    </row>
    <row r="3397" spans="24:25" x14ac:dyDescent="0.3">
      <c r="X3397" s="1">
        <f t="shared" si="106"/>
        <v>0</v>
      </c>
      <c r="Y3397" s="1">
        <f t="shared" si="107"/>
        <v>0</v>
      </c>
    </row>
    <row r="3398" spans="24:25" x14ac:dyDescent="0.3">
      <c r="X3398" s="1">
        <f t="shared" si="106"/>
        <v>0</v>
      </c>
      <c r="Y3398" s="1">
        <f t="shared" si="107"/>
        <v>0</v>
      </c>
    </row>
    <row r="3399" spans="24:25" x14ac:dyDescent="0.3">
      <c r="X3399" s="1">
        <f t="shared" si="106"/>
        <v>0</v>
      </c>
      <c r="Y3399" s="1">
        <f t="shared" si="107"/>
        <v>0</v>
      </c>
    </row>
    <row r="3400" spans="24:25" x14ac:dyDescent="0.3">
      <c r="X3400" s="1">
        <f t="shared" si="106"/>
        <v>0</v>
      </c>
      <c r="Y3400" s="1">
        <f t="shared" si="107"/>
        <v>0</v>
      </c>
    </row>
    <row r="3401" spans="24:25" x14ac:dyDescent="0.3">
      <c r="X3401" s="1">
        <f t="shared" si="106"/>
        <v>0</v>
      </c>
      <c r="Y3401" s="1">
        <f t="shared" si="107"/>
        <v>0</v>
      </c>
    </row>
    <row r="3402" spans="24:25" x14ac:dyDescent="0.3">
      <c r="X3402" s="1">
        <f t="shared" si="106"/>
        <v>0</v>
      </c>
      <c r="Y3402" s="1">
        <f t="shared" si="107"/>
        <v>0</v>
      </c>
    </row>
    <row r="3403" spans="24:25" x14ac:dyDescent="0.3">
      <c r="X3403" s="1">
        <f t="shared" si="106"/>
        <v>0</v>
      </c>
      <c r="Y3403" s="1">
        <f t="shared" si="107"/>
        <v>0</v>
      </c>
    </row>
    <row r="3404" spans="24:25" x14ac:dyDescent="0.3">
      <c r="X3404" s="1">
        <f t="shared" si="106"/>
        <v>0</v>
      </c>
      <c r="Y3404" s="1">
        <f t="shared" si="107"/>
        <v>0</v>
      </c>
    </row>
    <row r="3405" spans="24:25" x14ac:dyDescent="0.3">
      <c r="X3405" s="1">
        <f t="shared" si="106"/>
        <v>0</v>
      </c>
      <c r="Y3405" s="1">
        <f t="shared" si="107"/>
        <v>0</v>
      </c>
    </row>
    <row r="3406" spans="24:25" x14ac:dyDescent="0.3">
      <c r="X3406" s="1">
        <f t="shared" si="106"/>
        <v>0</v>
      </c>
      <c r="Y3406" s="1">
        <f t="shared" si="107"/>
        <v>0</v>
      </c>
    </row>
    <row r="3407" spans="24:25" x14ac:dyDescent="0.3">
      <c r="X3407" s="1">
        <f t="shared" si="106"/>
        <v>0</v>
      </c>
      <c r="Y3407" s="1">
        <f t="shared" si="107"/>
        <v>0</v>
      </c>
    </row>
    <row r="3408" spans="24:25" x14ac:dyDescent="0.3">
      <c r="X3408" s="1">
        <f t="shared" si="106"/>
        <v>0</v>
      </c>
      <c r="Y3408" s="1">
        <f t="shared" si="107"/>
        <v>0</v>
      </c>
    </row>
    <row r="3409" spans="24:25" x14ac:dyDescent="0.3">
      <c r="X3409" s="1">
        <f t="shared" si="106"/>
        <v>0</v>
      </c>
      <c r="Y3409" s="1">
        <f t="shared" si="107"/>
        <v>0</v>
      </c>
    </row>
    <row r="3410" spans="24:25" x14ac:dyDescent="0.3">
      <c r="X3410" s="1">
        <f t="shared" si="106"/>
        <v>0</v>
      </c>
      <c r="Y3410" s="1">
        <f t="shared" si="107"/>
        <v>0</v>
      </c>
    </row>
    <row r="3411" spans="24:25" x14ac:dyDescent="0.3">
      <c r="X3411" s="1">
        <f t="shared" si="106"/>
        <v>0</v>
      </c>
      <c r="Y3411" s="1">
        <f t="shared" si="107"/>
        <v>0</v>
      </c>
    </row>
    <row r="3412" spans="24:25" x14ac:dyDescent="0.3">
      <c r="X3412" s="1">
        <f t="shared" si="106"/>
        <v>0</v>
      </c>
      <c r="Y3412" s="1">
        <f t="shared" si="107"/>
        <v>0</v>
      </c>
    </row>
    <row r="3413" spans="24:25" x14ac:dyDescent="0.3">
      <c r="X3413" s="1">
        <f t="shared" si="106"/>
        <v>0</v>
      </c>
      <c r="Y3413" s="1">
        <f t="shared" si="107"/>
        <v>0</v>
      </c>
    </row>
    <row r="3414" spans="24:25" x14ac:dyDescent="0.3">
      <c r="X3414" s="1">
        <f t="shared" si="106"/>
        <v>0</v>
      </c>
      <c r="Y3414" s="1">
        <f t="shared" si="107"/>
        <v>0</v>
      </c>
    </row>
    <row r="3415" spans="24:25" x14ac:dyDescent="0.3">
      <c r="X3415" s="1">
        <f t="shared" si="106"/>
        <v>0</v>
      </c>
      <c r="Y3415" s="1">
        <f t="shared" si="107"/>
        <v>0</v>
      </c>
    </row>
    <row r="3416" spans="24:25" x14ac:dyDescent="0.3">
      <c r="X3416" s="1">
        <f t="shared" si="106"/>
        <v>0</v>
      </c>
      <c r="Y3416" s="1">
        <f t="shared" si="107"/>
        <v>0</v>
      </c>
    </row>
    <row r="3417" spans="24:25" x14ac:dyDescent="0.3">
      <c r="X3417" s="1">
        <f t="shared" si="106"/>
        <v>0</v>
      </c>
      <c r="Y3417" s="1">
        <f t="shared" si="107"/>
        <v>0</v>
      </c>
    </row>
    <row r="3418" spans="24:25" x14ac:dyDescent="0.3">
      <c r="X3418" s="1">
        <f t="shared" si="106"/>
        <v>0</v>
      </c>
      <c r="Y3418" s="1">
        <f t="shared" si="107"/>
        <v>0</v>
      </c>
    </row>
    <row r="3419" spans="24:25" x14ac:dyDescent="0.3">
      <c r="X3419" s="1">
        <f t="shared" si="106"/>
        <v>0</v>
      </c>
      <c r="Y3419" s="1">
        <f t="shared" si="107"/>
        <v>0</v>
      </c>
    </row>
    <row r="3420" spans="24:25" x14ac:dyDescent="0.3">
      <c r="X3420" s="1">
        <f t="shared" si="106"/>
        <v>0</v>
      </c>
      <c r="Y3420" s="1">
        <f t="shared" si="107"/>
        <v>0</v>
      </c>
    </row>
    <row r="3421" spans="24:25" x14ac:dyDescent="0.3">
      <c r="X3421" s="1">
        <f t="shared" si="106"/>
        <v>0</v>
      </c>
      <c r="Y3421" s="1">
        <f t="shared" si="107"/>
        <v>0</v>
      </c>
    </row>
    <row r="3422" spans="24:25" x14ac:dyDescent="0.3">
      <c r="X3422" s="1">
        <f t="shared" si="106"/>
        <v>0</v>
      </c>
      <c r="Y3422" s="1">
        <f t="shared" si="107"/>
        <v>0</v>
      </c>
    </row>
    <row r="3423" spans="24:25" x14ac:dyDescent="0.3">
      <c r="X3423" s="1">
        <f t="shared" si="106"/>
        <v>0</v>
      </c>
      <c r="Y3423" s="1">
        <f t="shared" si="107"/>
        <v>0</v>
      </c>
    </row>
    <row r="3424" spans="24:25" x14ac:dyDescent="0.3">
      <c r="X3424" s="1">
        <f t="shared" si="106"/>
        <v>0</v>
      </c>
      <c r="Y3424" s="1">
        <f t="shared" si="107"/>
        <v>0</v>
      </c>
    </row>
    <row r="3425" spans="24:25" x14ac:dyDescent="0.3">
      <c r="X3425" s="1">
        <f t="shared" si="106"/>
        <v>0</v>
      </c>
      <c r="Y3425" s="1">
        <f t="shared" si="107"/>
        <v>0</v>
      </c>
    </row>
    <row r="3426" spans="24:25" x14ac:dyDescent="0.3">
      <c r="X3426" s="1">
        <f t="shared" si="106"/>
        <v>0</v>
      </c>
      <c r="Y3426" s="1">
        <f t="shared" si="107"/>
        <v>0</v>
      </c>
    </row>
    <row r="3427" spans="24:25" x14ac:dyDescent="0.3">
      <c r="X3427" s="1">
        <f t="shared" si="106"/>
        <v>0</v>
      </c>
      <c r="Y3427" s="1">
        <f t="shared" si="107"/>
        <v>0</v>
      </c>
    </row>
    <row r="3428" spans="24:25" x14ac:dyDescent="0.3">
      <c r="X3428" s="1">
        <f t="shared" si="106"/>
        <v>0</v>
      </c>
      <c r="Y3428" s="1">
        <f t="shared" si="107"/>
        <v>0</v>
      </c>
    </row>
    <row r="3429" spans="24:25" x14ac:dyDescent="0.3">
      <c r="X3429" s="1">
        <f t="shared" si="106"/>
        <v>0</v>
      </c>
      <c r="Y3429" s="1">
        <f t="shared" si="107"/>
        <v>0</v>
      </c>
    </row>
    <row r="3430" spans="24:25" x14ac:dyDescent="0.3">
      <c r="X3430" s="1">
        <f t="shared" si="106"/>
        <v>0</v>
      </c>
      <c r="Y3430" s="1">
        <f t="shared" si="107"/>
        <v>0</v>
      </c>
    </row>
    <row r="3431" spans="24:25" x14ac:dyDescent="0.3">
      <c r="X3431" s="1">
        <f t="shared" si="106"/>
        <v>0</v>
      </c>
      <c r="Y3431" s="1">
        <f t="shared" si="107"/>
        <v>0</v>
      </c>
    </row>
    <row r="3432" spans="24:25" x14ac:dyDescent="0.3">
      <c r="X3432" s="1">
        <f t="shared" si="106"/>
        <v>0</v>
      </c>
      <c r="Y3432" s="1">
        <f t="shared" si="107"/>
        <v>0</v>
      </c>
    </row>
    <row r="3433" spans="24:25" x14ac:dyDescent="0.3">
      <c r="X3433" s="1">
        <f t="shared" si="106"/>
        <v>0</v>
      </c>
      <c r="Y3433" s="1">
        <f t="shared" si="107"/>
        <v>0</v>
      </c>
    </row>
    <row r="3434" spans="24:25" x14ac:dyDescent="0.3">
      <c r="X3434" s="1">
        <f t="shared" si="106"/>
        <v>0</v>
      </c>
      <c r="Y3434" s="1">
        <f t="shared" si="107"/>
        <v>0</v>
      </c>
    </row>
    <row r="3435" spans="24:25" x14ac:dyDescent="0.3">
      <c r="X3435" s="1">
        <f t="shared" si="106"/>
        <v>0</v>
      </c>
      <c r="Y3435" s="1">
        <f t="shared" si="107"/>
        <v>0</v>
      </c>
    </row>
    <row r="3436" spans="24:25" x14ac:dyDescent="0.3">
      <c r="X3436" s="1">
        <f t="shared" si="106"/>
        <v>0</v>
      </c>
      <c r="Y3436" s="1">
        <f t="shared" si="107"/>
        <v>0</v>
      </c>
    </row>
    <row r="3437" spans="24:25" x14ac:dyDescent="0.3">
      <c r="X3437" s="1">
        <f t="shared" si="106"/>
        <v>0</v>
      </c>
      <c r="Y3437" s="1">
        <f t="shared" si="107"/>
        <v>0</v>
      </c>
    </row>
    <row r="3438" spans="24:25" x14ac:dyDescent="0.3">
      <c r="X3438" s="1">
        <f t="shared" si="106"/>
        <v>0</v>
      </c>
      <c r="Y3438" s="1">
        <f t="shared" si="107"/>
        <v>0</v>
      </c>
    </row>
    <row r="3439" spans="24:25" x14ac:dyDescent="0.3">
      <c r="X3439" s="1">
        <f t="shared" si="106"/>
        <v>0</v>
      </c>
      <c r="Y3439" s="1">
        <f t="shared" si="107"/>
        <v>0</v>
      </c>
    </row>
    <row r="3440" spans="24:25" x14ac:dyDescent="0.3">
      <c r="X3440" s="1">
        <f t="shared" si="106"/>
        <v>0</v>
      </c>
      <c r="Y3440" s="1">
        <f t="shared" si="107"/>
        <v>0</v>
      </c>
    </row>
    <row r="3441" spans="24:25" x14ac:dyDescent="0.3">
      <c r="X3441" s="1">
        <f t="shared" si="106"/>
        <v>0</v>
      </c>
      <c r="Y3441" s="1">
        <f t="shared" si="107"/>
        <v>0</v>
      </c>
    </row>
    <row r="3442" spans="24:25" x14ac:dyDescent="0.3">
      <c r="X3442" s="1">
        <f t="shared" si="106"/>
        <v>0</v>
      </c>
      <c r="Y3442" s="1">
        <f t="shared" si="107"/>
        <v>0</v>
      </c>
    </row>
    <row r="3443" spans="24:25" x14ac:dyDescent="0.3">
      <c r="X3443" s="1">
        <f t="shared" si="106"/>
        <v>0</v>
      </c>
      <c r="Y3443" s="1">
        <f t="shared" si="107"/>
        <v>0</v>
      </c>
    </row>
    <row r="3444" spans="24:25" x14ac:dyDescent="0.3">
      <c r="X3444" s="1">
        <f t="shared" si="106"/>
        <v>0</v>
      </c>
      <c r="Y3444" s="1">
        <f t="shared" si="107"/>
        <v>0</v>
      </c>
    </row>
    <row r="3445" spans="24:25" x14ac:dyDescent="0.3">
      <c r="X3445" s="1">
        <f t="shared" si="106"/>
        <v>0</v>
      </c>
      <c r="Y3445" s="1">
        <f t="shared" si="107"/>
        <v>0</v>
      </c>
    </row>
    <row r="3446" spans="24:25" x14ac:dyDescent="0.3">
      <c r="X3446" s="1">
        <f t="shared" si="106"/>
        <v>0</v>
      </c>
      <c r="Y3446" s="1">
        <f t="shared" si="107"/>
        <v>0</v>
      </c>
    </row>
    <row r="3447" spans="24:25" x14ac:dyDescent="0.3">
      <c r="X3447" s="1">
        <f t="shared" si="106"/>
        <v>0</v>
      </c>
      <c r="Y3447" s="1">
        <f t="shared" si="107"/>
        <v>0</v>
      </c>
    </row>
    <row r="3448" spans="24:25" x14ac:dyDescent="0.3">
      <c r="X3448" s="1">
        <f t="shared" si="106"/>
        <v>0</v>
      </c>
      <c r="Y3448" s="1">
        <f t="shared" si="107"/>
        <v>0</v>
      </c>
    </row>
    <row r="3449" spans="24:25" x14ac:dyDescent="0.3">
      <c r="X3449" s="1">
        <f t="shared" si="106"/>
        <v>0</v>
      </c>
      <c r="Y3449" s="1">
        <f t="shared" si="107"/>
        <v>0</v>
      </c>
    </row>
    <row r="3450" spans="24:25" x14ac:dyDescent="0.3">
      <c r="X3450" s="1">
        <f t="shared" si="106"/>
        <v>0</v>
      </c>
      <c r="Y3450" s="1">
        <f t="shared" si="107"/>
        <v>0</v>
      </c>
    </row>
    <row r="3451" spans="24:25" x14ac:dyDescent="0.3">
      <c r="X3451" s="1">
        <f t="shared" si="106"/>
        <v>0</v>
      </c>
      <c r="Y3451" s="1">
        <f t="shared" si="107"/>
        <v>0</v>
      </c>
    </row>
    <row r="3452" spans="24:25" x14ac:dyDescent="0.3">
      <c r="X3452" s="1">
        <f t="shared" si="106"/>
        <v>0</v>
      </c>
      <c r="Y3452" s="1">
        <f t="shared" si="107"/>
        <v>0</v>
      </c>
    </row>
    <row r="3453" spans="24:25" x14ac:dyDescent="0.3">
      <c r="X3453" s="1">
        <f t="shared" si="106"/>
        <v>0</v>
      </c>
      <c r="Y3453" s="1">
        <f t="shared" si="107"/>
        <v>0</v>
      </c>
    </row>
    <row r="3454" spans="24:25" x14ac:dyDescent="0.3">
      <c r="X3454" s="1">
        <f t="shared" si="106"/>
        <v>0</v>
      </c>
      <c r="Y3454" s="1">
        <f t="shared" si="107"/>
        <v>0</v>
      </c>
    </row>
    <row r="3455" spans="24:25" x14ac:dyDescent="0.3">
      <c r="X3455" s="1">
        <f t="shared" si="106"/>
        <v>0</v>
      </c>
      <c r="Y3455" s="1">
        <f t="shared" si="107"/>
        <v>0</v>
      </c>
    </row>
    <row r="3456" spans="24:25" x14ac:dyDescent="0.3">
      <c r="X3456" s="1">
        <f t="shared" si="106"/>
        <v>0</v>
      </c>
      <c r="Y3456" s="1">
        <f t="shared" si="107"/>
        <v>0</v>
      </c>
    </row>
    <row r="3457" spans="24:25" x14ac:dyDescent="0.3">
      <c r="X3457" s="1">
        <f t="shared" si="106"/>
        <v>0</v>
      </c>
      <c r="Y3457" s="1">
        <f t="shared" si="107"/>
        <v>0</v>
      </c>
    </row>
    <row r="3458" spans="24:25" x14ac:dyDescent="0.3">
      <c r="X3458" s="1">
        <f t="shared" si="106"/>
        <v>0</v>
      </c>
      <c r="Y3458" s="1">
        <f t="shared" si="107"/>
        <v>0</v>
      </c>
    </row>
    <row r="3459" spans="24:25" x14ac:dyDescent="0.3">
      <c r="X3459" s="1">
        <f t="shared" ref="X3459:X3522" si="108">IFERROR(MATCH(W3459,$B:$B,0),0)</f>
        <v>0</v>
      </c>
      <c r="Y3459" s="1">
        <f t="shared" ref="Y3459:Y3522" si="109">IF(X3460=0,COUNTA(A:A),X3460-1)</f>
        <v>0</v>
      </c>
    </row>
    <row r="3460" spans="24:25" x14ac:dyDescent="0.3">
      <c r="X3460" s="1">
        <f t="shared" si="108"/>
        <v>0</v>
      </c>
      <c r="Y3460" s="1">
        <f t="shared" si="109"/>
        <v>0</v>
      </c>
    </row>
    <row r="3461" spans="24:25" x14ac:dyDescent="0.3">
      <c r="X3461" s="1">
        <f t="shared" si="108"/>
        <v>0</v>
      </c>
      <c r="Y3461" s="1">
        <f t="shared" si="109"/>
        <v>0</v>
      </c>
    </row>
    <row r="3462" spans="24:25" x14ac:dyDescent="0.3">
      <c r="X3462" s="1">
        <f t="shared" si="108"/>
        <v>0</v>
      </c>
      <c r="Y3462" s="1">
        <f t="shared" si="109"/>
        <v>0</v>
      </c>
    </row>
    <row r="3463" spans="24:25" x14ac:dyDescent="0.3">
      <c r="X3463" s="1">
        <f t="shared" si="108"/>
        <v>0</v>
      </c>
      <c r="Y3463" s="1">
        <f t="shared" si="109"/>
        <v>0</v>
      </c>
    </row>
    <row r="3464" spans="24:25" x14ac:dyDescent="0.3">
      <c r="X3464" s="1">
        <f t="shared" si="108"/>
        <v>0</v>
      </c>
      <c r="Y3464" s="1">
        <f t="shared" si="109"/>
        <v>0</v>
      </c>
    </row>
    <row r="3465" spans="24:25" x14ac:dyDescent="0.3">
      <c r="X3465" s="1">
        <f t="shared" si="108"/>
        <v>0</v>
      </c>
      <c r="Y3465" s="1">
        <f t="shared" si="109"/>
        <v>0</v>
      </c>
    </row>
    <row r="3466" spans="24:25" x14ac:dyDescent="0.3">
      <c r="X3466" s="1">
        <f t="shared" si="108"/>
        <v>0</v>
      </c>
      <c r="Y3466" s="1">
        <f t="shared" si="109"/>
        <v>0</v>
      </c>
    </row>
    <row r="3467" spans="24:25" x14ac:dyDescent="0.3">
      <c r="X3467" s="1">
        <f t="shared" si="108"/>
        <v>0</v>
      </c>
      <c r="Y3467" s="1">
        <f t="shared" si="109"/>
        <v>0</v>
      </c>
    </row>
    <row r="3468" spans="24:25" x14ac:dyDescent="0.3">
      <c r="X3468" s="1">
        <f t="shared" si="108"/>
        <v>0</v>
      </c>
      <c r="Y3468" s="1">
        <f t="shared" si="109"/>
        <v>0</v>
      </c>
    </row>
    <row r="3469" spans="24:25" x14ac:dyDescent="0.3">
      <c r="X3469" s="1">
        <f t="shared" si="108"/>
        <v>0</v>
      </c>
      <c r="Y3469" s="1">
        <f t="shared" si="109"/>
        <v>0</v>
      </c>
    </row>
    <row r="3470" spans="24:25" x14ac:dyDescent="0.3">
      <c r="X3470" s="1">
        <f t="shared" si="108"/>
        <v>0</v>
      </c>
      <c r="Y3470" s="1">
        <f t="shared" si="109"/>
        <v>0</v>
      </c>
    </row>
    <row r="3471" spans="24:25" x14ac:dyDescent="0.3">
      <c r="X3471" s="1">
        <f t="shared" si="108"/>
        <v>0</v>
      </c>
      <c r="Y3471" s="1">
        <f t="shared" si="109"/>
        <v>0</v>
      </c>
    </row>
    <row r="3472" spans="24:25" x14ac:dyDescent="0.3">
      <c r="X3472" s="1">
        <f t="shared" si="108"/>
        <v>0</v>
      </c>
      <c r="Y3472" s="1">
        <f t="shared" si="109"/>
        <v>0</v>
      </c>
    </row>
    <row r="3473" spans="24:25" x14ac:dyDescent="0.3">
      <c r="X3473" s="1">
        <f t="shared" si="108"/>
        <v>0</v>
      </c>
      <c r="Y3473" s="1">
        <f t="shared" si="109"/>
        <v>0</v>
      </c>
    </row>
    <row r="3474" spans="24:25" x14ac:dyDescent="0.3">
      <c r="X3474" s="1">
        <f t="shared" si="108"/>
        <v>0</v>
      </c>
      <c r="Y3474" s="1">
        <f t="shared" si="109"/>
        <v>0</v>
      </c>
    </row>
    <row r="3475" spans="24:25" x14ac:dyDescent="0.3">
      <c r="X3475" s="1">
        <f t="shared" si="108"/>
        <v>0</v>
      </c>
      <c r="Y3475" s="1">
        <f t="shared" si="109"/>
        <v>0</v>
      </c>
    </row>
    <row r="3476" spans="24:25" x14ac:dyDescent="0.3">
      <c r="X3476" s="1">
        <f t="shared" si="108"/>
        <v>0</v>
      </c>
      <c r="Y3476" s="1">
        <f t="shared" si="109"/>
        <v>0</v>
      </c>
    </row>
    <row r="3477" spans="24:25" x14ac:dyDescent="0.3">
      <c r="X3477" s="1">
        <f t="shared" si="108"/>
        <v>0</v>
      </c>
      <c r="Y3477" s="1">
        <f t="shared" si="109"/>
        <v>0</v>
      </c>
    </row>
    <row r="3478" spans="24:25" x14ac:dyDescent="0.3">
      <c r="X3478" s="1">
        <f t="shared" si="108"/>
        <v>0</v>
      </c>
      <c r="Y3478" s="1">
        <f t="shared" si="109"/>
        <v>0</v>
      </c>
    </row>
    <row r="3479" spans="24:25" x14ac:dyDescent="0.3">
      <c r="X3479" s="1">
        <f t="shared" si="108"/>
        <v>0</v>
      </c>
      <c r="Y3479" s="1">
        <f t="shared" si="109"/>
        <v>0</v>
      </c>
    </row>
    <row r="3480" spans="24:25" x14ac:dyDescent="0.3">
      <c r="X3480" s="1">
        <f t="shared" si="108"/>
        <v>0</v>
      </c>
      <c r="Y3480" s="1">
        <f t="shared" si="109"/>
        <v>0</v>
      </c>
    </row>
    <row r="3481" spans="24:25" x14ac:dyDescent="0.3">
      <c r="X3481" s="1">
        <f t="shared" si="108"/>
        <v>0</v>
      </c>
      <c r="Y3481" s="1">
        <f t="shared" si="109"/>
        <v>0</v>
      </c>
    </row>
    <row r="3482" spans="24:25" x14ac:dyDescent="0.3">
      <c r="X3482" s="1">
        <f t="shared" si="108"/>
        <v>0</v>
      </c>
      <c r="Y3482" s="1">
        <f t="shared" si="109"/>
        <v>0</v>
      </c>
    </row>
    <row r="3483" spans="24:25" x14ac:dyDescent="0.3">
      <c r="X3483" s="1">
        <f t="shared" si="108"/>
        <v>0</v>
      </c>
      <c r="Y3483" s="1">
        <f t="shared" si="109"/>
        <v>0</v>
      </c>
    </row>
    <row r="3484" spans="24:25" x14ac:dyDescent="0.3">
      <c r="X3484" s="1">
        <f t="shared" si="108"/>
        <v>0</v>
      </c>
      <c r="Y3484" s="1">
        <f t="shared" si="109"/>
        <v>0</v>
      </c>
    </row>
    <row r="3485" spans="24:25" x14ac:dyDescent="0.3">
      <c r="X3485" s="1">
        <f t="shared" si="108"/>
        <v>0</v>
      </c>
      <c r="Y3485" s="1">
        <f t="shared" si="109"/>
        <v>0</v>
      </c>
    </row>
    <row r="3486" spans="24:25" x14ac:dyDescent="0.3">
      <c r="X3486" s="1">
        <f t="shared" si="108"/>
        <v>0</v>
      </c>
      <c r="Y3486" s="1">
        <f t="shared" si="109"/>
        <v>0</v>
      </c>
    </row>
    <row r="3487" spans="24:25" x14ac:dyDescent="0.3">
      <c r="X3487" s="1">
        <f t="shared" si="108"/>
        <v>0</v>
      </c>
      <c r="Y3487" s="1">
        <f t="shared" si="109"/>
        <v>0</v>
      </c>
    </row>
    <row r="3488" spans="24:25" x14ac:dyDescent="0.3">
      <c r="X3488" s="1">
        <f t="shared" si="108"/>
        <v>0</v>
      </c>
      <c r="Y3488" s="1">
        <f t="shared" si="109"/>
        <v>0</v>
      </c>
    </row>
    <row r="3489" spans="24:25" x14ac:dyDescent="0.3">
      <c r="X3489" s="1">
        <f t="shared" si="108"/>
        <v>0</v>
      </c>
      <c r="Y3489" s="1">
        <f t="shared" si="109"/>
        <v>0</v>
      </c>
    </row>
    <row r="3490" spans="24:25" x14ac:dyDescent="0.3">
      <c r="X3490" s="1">
        <f t="shared" si="108"/>
        <v>0</v>
      </c>
      <c r="Y3490" s="1">
        <f t="shared" si="109"/>
        <v>0</v>
      </c>
    </row>
    <row r="3491" spans="24:25" x14ac:dyDescent="0.3">
      <c r="X3491" s="1">
        <f t="shared" si="108"/>
        <v>0</v>
      </c>
      <c r="Y3491" s="1">
        <f t="shared" si="109"/>
        <v>0</v>
      </c>
    </row>
    <row r="3492" spans="24:25" x14ac:dyDescent="0.3">
      <c r="X3492" s="1">
        <f t="shared" si="108"/>
        <v>0</v>
      </c>
      <c r="Y3492" s="1">
        <f t="shared" si="109"/>
        <v>0</v>
      </c>
    </row>
    <row r="3493" spans="24:25" x14ac:dyDescent="0.3">
      <c r="X3493" s="1">
        <f t="shared" si="108"/>
        <v>0</v>
      </c>
      <c r="Y3493" s="1">
        <f t="shared" si="109"/>
        <v>0</v>
      </c>
    </row>
    <row r="3494" spans="24:25" x14ac:dyDescent="0.3">
      <c r="X3494" s="1">
        <f t="shared" si="108"/>
        <v>0</v>
      </c>
      <c r="Y3494" s="1">
        <f t="shared" si="109"/>
        <v>0</v>
      </c>
    </row>
    <row r="3495" spans="24:25" x14ac:dyDescent="0.3">
      <c r="X3495" s="1">
        <f t="shared" si="108"/>
        <v>0</v>
      </c>
      <c r="Y3495" s="1">
        <f t="shared" si="109"/>
        <v>0</v>
      </c>
    </row>
    <row r="3496" spans="24:25" x14ac:dyDescent="0.3">
      <c r="X3496" s="1">
        <f t="shared" si="108"/>
        <v>0</v>
      </c>
      <c r="Y3496" s="1">
        <f t="shared" si="109"/>
        <v>0</v>
      </c>
    </row>
    <row r="3497" spans="24:25" x14ac:dyDescent="0.3">
      <c r="X3497" s="1">
        <f t="shared" si="108"/>
        <v>0</v>
      </c>
      <c r="Y3497" s="1">
        <f t="shared" si="109"/>
        <v>0</v>
      </c>
    </row>
    <row r="3498" spans="24:25" x14ac:dyDescent="0.3">
      <c r="X3498" s="1">
        <f t="shared" si="108"/>
        <v>0</v>
      </c>
      <c r="Y3498" s="1">
        <f t="shared" si="109"/>
        <v>0</v>
      </c>
    </row>
    <row r="3499" spans="24:25" x14ac:dyDescent="0.3">
      <c r="X3499" s="1">
        <f t="shared" si="108"/>
        <v>0</v>
      </c>
      <c r="Y3499" s="1">
        <f t="shared" si="109"/>
        <v>0</v>
      </c>
    </row>
    <row r="3500" spans="24:25" x14ac:dyDescent="0.3">
      <c r="X3500" s="1">
        <f t="shared" si="108"/>
        <v>0</v>
      </c>
      <c r="Y3500" s="1">
        <f t="shared" si="109"/>
        <v>0</v>
      </c>
    </row>
    <row r="3501" spans="24:25" x14ac:dyDescent="0.3">
      <c r="X3501" s="1">
        <f t="shared" si="108"/>
        <v>0</v>
      </c>
      <c r="Y3501" s="1">
        <f t="shared" si="109"/>
        <v>0</v>
      </c>
    </row>
    <row r="3502" spans="24:25" x14ac:dyDescent="0.3">
      <c r="X3502" s="1">
        <f t="shared" si="108"/>
        <v>0</v>
      </c>
      <c r="Y3502" s="1">
        <f t="shared" si="109"/>
        <v>0</v>
      </c>
    </row>
    <row r="3503" spans="24:25" x14ac:dyDescent="0.3">
      <c r="X3503" s="1">
        <f t="shared" si="108"/>
        <v>0</v>
      </c>
      <c r="Y3503" s="1">
        <f t="shared" si="109"/>
        <v>0</v>
      </c>
    </row>
    <row r="3504" spans="24:25" x14ac:dyDescent="0.3">
      <c r="X3504" s="1">
        <f t="shared" si="108"/>
        <v>0</v>
      </c>
      <c r="Y3504" s="1">
        <f t="shared" si="109"/>
        <v>0</v>
      </c>
    </row>
    <row r="3505" spans="24:25" x14ac:dyDescent="0.3">
      <c r="X3505" s="1">
        <f t="shared" si="108"/>
        <v>0</v>
      </c>
      <c r="Y3505" s="1">
        <f t="shared" si="109"/>
        <v>0</v>
      </c>
    </row>
    <row r="3506" spans="24:25" x14ac:dyDescent="0.3">
      <c r="X3506" s="1">
        <f t="shared" si="108"/>
        <v>0</v>
      </c>
      <c r="Y3506" s="1">
        <f t="shared" si="109"/>
        <v>0</v>
      </c>
    </row>
    <row r="3507" spans="24:25" x14ac:dyDescent="0.3">
      <c r="X3507" s="1">
        <f t="shared" si="108"/>
        <v>0</v>
      </c>
      <c r="Y3507" s="1">
        <f t="shared" si="109"/>
        <v>0</v>
      </c>
    </row>
    <row r="3508" spans="24:25" x14ac:dyDescent="0.3">
      <c r="X3508" s="1">
        <f t="shared" si="108"/>
        <v>0</v>
      </c>
      <c r="Y3508" s="1">
        <f t="shared" si="109"/>
        <v>0</v>
      </c>
    </row>
    <row r="3509" spans="24:25" x14ac:dyDescent="0.3">
      <c r="X3509" s="1">
        <f t="shared" si="108"/>
        <v>0</v>
      </c>
      <c r="Y3509" s="1">
        <f t="shared" si="109"/>
        <v>0</v>
      </c>
    </row>
    <row r="3510" spans="24:25" x14ac:dyDescent="0.3">
      <c r="X3510" s="1">
        <f t="shared" si="108"/>
        <v>0</v>
      </c>
      <c r="Y3510" s="1">
        <f t="shared" si="109"/>
        <v>0</v>
      </c>
    </row>
    <row r="3511" spans="24:25" x14ac:dyDescent="0.3">
      <c r="X3511" s="1">
        <f t="shared" si="108"/>
        <v>0</v>
      </c>
      <c r="Y3511" s="1">
        <f t="shared" si="109"/>
        <v>0</v>
      </c>
    </row>
    <row r="3512" spans="24:25" x14ac:dyDescent="0.3">
      <c r="X3512" s="1">
        <f t="shared" si="108"/>
        <v>0</v>
      </c>
      <c r="Y3512" s="1">
        <f t="shared" si="109"/>
        <v>0</v>
      </c>
    </row>
    <row r="3513" spans="24:25" x14ac:dyDescent="0.3">
      <c r="X3513" s="1">
        <f t="shared" si="108"/>
        <v>0</v>
      </c>
      <c r="Y3513" s="1">
        <f t="shared" si="109"/>
        <v>0</v>
      </c>
    </row>
    <row r="3514" spans="24:25" x14ac:dyDescent="0.3">
      <c r="X3514" s="1">
        <f t="shared" si="108"/>
        <v>0</v>
      </c>
      <c r="Y3514" s="1">
        <f t="shared" si="109"/>
        <v>0</v>
      </c>
    </row>
    <row r="3515" spans="24:25" x14ac:dyDescent="0.3">
      <c r="X3515" s="1">
        <f t="shared" si="108"/>
        <v>0</v>
      </c>
      <c r="Y3515" s="1">
        <f t="shared" si="109"/>
        <v>0</v>
      </c>
    </row>
    <row r="3516" spans="24:25" x14ac:dyDescent="0.3">
      <c r="X3516" s="1">
        <f t="shared" si="108"/>
        <v>0</v>
      </c>
      <c r="Y3516" s="1">
        <f t="shared" si="109"/>
        <v>0</v>
      </c>
    </row>
    <row r="3517" spans="24:25" x14ac:dyDescent="0.3">
      <c r="X3517" s="1">
        <f t="shared" si="108"/>
        <v>0</v>
      </c>
      <c r="Y3517" s="1">
        <f t="shared" si="109"/>
        <v>0</v>
      </c>
    </row>
    <row r="3518" spans="24:25" x14ac:dyDescent="0.3">
      <c r="X3518" s="1">
        <f t="shared" si="108"/>
        <v>0</v>
      </c>
      <c r="Y3518" s="1">
        <f t="shared" si="109"/>
        <v>0</v>
      </c>
    </row>
    <row r="3519" spans="24:25" x14ac:dyDescent="0.3">
      <c r="X3519" s="1">
        <f t="shared" si="108"/>
        <v>0</v>
      </c>
      <c r="Y3519" s="1">
        <f t="shared" si="109"/>
        <v>0</v>
      </c>
    </row>
    <row r="3520" spans="24:25" x14ac:dyDescent="0.3">
      <c r="X3520" s="1">
        <f t="shared" si="108"/>
        <v>0</v>
      </c>
      <c r="Y3520" s="1">
        <f t="shared" si="109"/>
        <v>0</v>
      </c>
    </row>
    <row r="3521" spans="24:25" x14ac:dyDescent="0.3">
      <c r="X3521" s="1">
        <f t="shared" si="108"/>
        <v>0</v>
      </c>
      <c r="Y3521" s="1">
        <f t="shared" si="109"/>
        <v>0</v>
      </c>
    </row>
    <row r="3522" spans="24:25" x14ac:dyDescent="0.3">
      <c r="X3522" s="1">
        <f t="shared" si="108"/>
        <v>0</v>
      </c>
      <c r="Y3522" s="1">
        <f t="shared" si="109"/>
        <v>0</v>
      </c>
    </row>
    <row r="3523" spans="24:25" x14ac:dyDescent="0.3">
      <c r="X3523" s="1">
        <f t="shared" ref="X3523:X3586" si="110">IFERROR(MATCH(W3523,$B:$B,0),0)</f>
        <v>0</v>
      </c>
      <c r="Y3523" s="1">
        <f t="shared" ref="Y3523:Y3586" si="111">IF(X3524=0,COUNTA(A:A),X3524-1)</f>
        <v>0</v>
      </c>
    </row>
    <row r="3524" spans="24:25" x14ac:dyDescent="0.3">
      <c r="X3524" s="1">
        <f t="shared" si="110"/>
        <v>0</v>
      </c>
      <c r="Y3524" s="1">
        <f t="shared" si="111"/>
        <v>0</v>
      </c>
    </row>
    <row r="3525" spans="24:25" x14ac:dyDescent="0.3">
      <c r="X3525" s="1">
        <f t="shared" si="110"/>
        <v>0</v>
      </c>
      <c r="Y3525" s="1">
        <f t="shared" si="111"/>
        <v>0</v>
      </c>
    </row>
    <row r="3526" spans="24:25" x14ac:dyDescent="0.3">
      <c r="X3526" s="1">
        <f t="shared" si="110"/>
        <v>0</v>
      </c>
      <c r="Y3526" s="1">
        <f t="shared" si="111"/>
        <v>0</v>
      </c>
    </row>
    <row r="3527" spans="24:25" x14ac:dyDescent="0.3">
      <c r="X3527" s="1">
        <f t="shared" si="110"/>
        <v>0</v>
      </c>
      <c r="Y3527" s="1">
        <f t="shared" si="111"/>
        <v>0</v>
      </c>
    </row>
    <row r="3528" spans="24:25" x14ac:dyDescent="0.3">
      <c r="X3528" s="1">
        <f t="shared" si="110"/>
        <v>0</v>
      </c>
      <c r="Y3528" s="1">
        <f t="shared" si="111"/>
        <v>0</v>
      </c>
    </row>
    <row r="3529" spans="24:25" x14ac:dyDescent="0.3">
      <c r="X3529" s="1">
        <f t="shared" si="110"/>
        <v>0</v>
      </c>
      <c r="Y3529" s="1">
        <f t="shared" si="111"/>
        <v>0</v>
      </c>
    </row>
    <row r="3530" spans="24:25" x14ac:dyDescent="0.3">
      <c r="X3530" s="1">
        <f t="shared" si="110"/>
        <v>0</v>
      </c>
      <c r="Y3530" s="1">
        <f t="shared" si="111"/>
        <v>0</v>
      </c>
    </row>
    <row r="3531" spans="24:25" x14ac:dyDescent="0.3">
      <c r="X3531" s="1">
        <f t="shared" si="110"/>
        <v>0</v>
      </c>
      <c r="Y3531" s="1">
        <f t="shared" si="111"/>
        <v>0</v>
      </c>
    </row>
    <row r="3532" spans="24:25" x14ac:dyDescent="0.3">
      <c r="X3532" s="1">
        <f t="shared" si="110"/>
        <v>0</v>
      </c>
      <c r="Y3532" s="1">
        <f t="shared" si="111"/>
        <v>0</v>
      </c>
    </row>
    <row r="3533" spans="24:25" x14ac:dyDescent="0.3">
      <c r="X3533" s="1">
        <f t="shared" si="110"/>
        <v>0</v>
      </c>
      <c r="Y3533" s="1">
        <f t="shared" si="111"/>
        <v>0</v>
      </c>
    </row>
    <row r="3534" spans="24:25" x14ac:dyDescent="0.3">
      <c r="X3534" s="1">
        <f t="shared" si="110"/>
        <v>0</v>
      </c>
      <c r="Y3534" s="1">
        <f t="shared" si="111"/>
        <v>0</v>
      </c>
    </row>
    <row r="3535" spans="24:25" x14ac:dyDescent="0.3">
      <c r="X3535" s="1">
        <f t="shared" si="110"/>
        <v>0</v>
      </c>
      <c r="Y3535" s="1">
        <f t="shared" si="111"/>
        <v>0</v>
      </c>
    </row>
    <row r="3536" spans="24:25" x14ac:dyDescent="0.3">
      <c r="X3536" s="1">
        <f t="shared" si="110"/>
        <v>0</v>
      </c>
      <c r="Y3536" s="1">
        <f t="shared" si="111"/>
        <v>0</v>
      </c>
    </row>
    <row r="3537" spans="24:25" x14ac:dyDescent="0.3">
      <c r="X3537" s="1">
        <f t="shared" si="110"/>
        <v>0</v>
      </c>
      <c r="Y3537" s="1">
        <f t="shared" si="111"/>
        <v>0</v>
      </c>
    </row>
    <row r="3538" spans="24:25" x14ac:dyDescent="0.3">
      <c r="X3538" s="1">
        <f t="shared" si="110"/>
        <v>0</v>
      </c>
      <c r="Y3538" s="1">
        <f t="shared" si="111"/>
        <v>0</v>
      </c>
    </row>
    <row r="3539" spans="24:25" x14ac:dyDescent="0.3">
      <c r="X3539" s="1">
        <f t="shared" si="110"/>
        <v>0</v>
      </c>
      <c r="Y3539" s="1">
        <f t="shared" si="111"/>
        <v>0</v>
      </c>
    </row>
    <row r="3540" spans="24:25" x14ac:dyDescent="0.3">
      <c r="X3540" s="1">
        <f t="shared" si="110"/>
        <v>0</v>
      </c>
      <c r="Y3540" s="1">
        <f t="shared" si="111"/>
        <v>0</v>
      </c>
    </row>
    <row r="3541" spans="24:25" x14ac:dyDescent="0.3">
      <c r="X3541" s="1">
        <f t="shared" si="110"/>
        <v>0</v>
      </c>
      <c r="Y3541" s="1">
        <f t="shared" si="111"/>
        <v>0</v>
      </c>
    </row>
    <row r="3542" spans="24:25" x14ac:dyDescent="0.3">
      <c r="X3542" s="1">
        <f t="shared" si="110"/>
        <v>0</v>
      </c>
      <c r="Y3542" s="1">
        <f t="shared" si="111"/>
        <v>0</v>
      </c>
    </row>
    <row r="3543" spans="24:25" x14ac:dyDescent="0.3">
      <c r="X3543" s="1">
        <f t="shared" si="110"/>
        <v>0</v>
      </c>
      <c r="Y3543" s="1">
        <f t="shared" si="111"/>
        <v>0</v>
      </c>
    </row>
    <row r="3544" spans="24:25" x14ac:dyDescent="0.3">
      <c r="X3544" s="1">
        <f t="shared" si="110"/>
        <v>0</v>
      </c>
      <c r="Y3544" s="1">
        <f t="shared" si="111"/>
        <v>0</v>
      </c>
    </row>
    <row r="3545" spans="24:25" x14ac:dyDescent="0.3">
      <c r="X3545" s="1">
        <f t="shared" si="110"/>
        <v>0</v>
      </c>
      <c r="Y3545" s="1">
        <f t="shared" si="111"/>
        <v>0</v>
      </c>
    </row>
    <row r="3546" spans="24:25" x14ac:dyDescent="0.3">
      <c r="X3546" s="1">
        <f t="shared" si="110"/>
        <v>0</v>
      </c>
      <c r="Y3546" s="1">
        <f t="shared" si="111"/>
        <v>0</v>
      </c>
    </row>
    <row r="3547" spans="24:25" x14ac:dyDescent="0.3">
      <c r="X3547" s="1">
        <f t="shared" si="110"/>
        <v>0</v>
      </c>
      <c r="Y3547" s="1">
        <f t="shared" si="111"/>
        <v>0</v>
      </c>
    </row>
    <row r="3548" spans="24:25" x14ac:dyDescent="0.3">
      <c r="X3548" s="1">
        <f t="shared" si="110"/>
        <v>0</v>
      </c>
      <c r="Y3548" s="1">
        <f t="shared" si="111"/>
        <v>0</v>
      </c>
    </row>
    <row r="3549" spans="24:25" x14ac:dyDescent="0.3">
      <c r="X3549" s="1">
        <f t="shared" si="110"/>
        <v>0</v>
      </c>
      <c r="Y3549" s="1">
        <f t="shared" si="111"/>
        <v>0</v>
      </c>
    </row>
    <row r="3550" spans="24:25" x14ac:dyDescent="0.3">
      <c r="X3550" s="1">
        <f t="shared" si="110"/>
        <v>0</v>
      </c>
      <c r="Y3550" s="1">
        <f t="shared" si="111"/>
        <v>0</v>
      </c>
    </row>
    <row r="3551" spans="24:25" x14ac:dyDescent="0.3">
      <c r="X3551" s="1">
        <f t="shared" si="110"/>
        <v>0</v>
      </c>
      <c r="Y3551" s="1">
        <f t="shared" si="111"/>
        <v>0</v>
      </c>
    </row>
    <row r="3552" spans="24:25" x14ac:dyDescent="0.3">
      <c r="X3552" s="1">
        <f t="shared" si="110"/>
        <v>0</v>
      </c>
      <c r="Y3552" s="1">
        <f t="shared" si="111"/>
        <v>0</v>
      </c>
    </row>
    <row r="3553" spans="24:25" x14ac:dyDescent="0.3">
      <c r="X3553" s="1">
        <f t="shared" si="110"/>
        <v>0</v>
      </c>
      <c r="Y3553" s="1">
        <f t="shared" si="111"/>
        <v>0</v>
      </c>
    </row>
    <row r="3554" spans="24:25" x14ac:dyDescent="0.3">
      <c r="X3554" s="1">
        <f t="shared" si="110"/>
        <v>0</v>
      </c>
      <c r="Y3554" s="1">
        <f t="shared" si="111"/>
        <v>0</v>
      </c>
    </row>
    <row r="3555" spans="24:25" x14ac:dyDescent="0.3">
      <c r="X3555" s="1">
        <f t="shared" si="110"/>
        <v>0</v>
      </c>
      <c r="Y3555" s="1">
        <f t="shared" si="111"/>
        <v>0</v>
      </c>
    </row>
    <row r="3556" spans="24:25" x14ac:dyDescent="0.3">
      <c r="X3556" s="1">
        <f t="shared" si="110"/>
        <v>0</v>
      </c>
      <c r="Y3556" s="1">
        <f t="shared" si="111"/>
        <v>0</v>
      </c>
    </row>
    <row r="3557" spans="24:25" x14ac:dyDescent="0.3">
      <c r="X3557" s="1">
        <f t="shared" si="110"/>
        <v>0</v>
      </c>
      <c r="Y3557" s="1">
        <f t="shared" si="111"/>
        <v>0</v>
      </c>
    </row>
    <row r="3558" spans="24:25" x14ac:dyDescent="0.3">
      <c r="X3558" s="1">
        <f t="shared" si="110"/>
        <v>0</v>
      </c>
      <c r="Y3558" s="1">
        <f t="shared" si="111"/>
        <v>0</v>
      </c>
    </row>
    <row r="3559" spans="24:25" x14ac:dyDescent="0.3">
      <c r="X3559" s="1">
        <f t="shared" si="110"/>
        <v>0</v>
      </c>
      <c r="Y3559" s="1">
        <f t="shared" si="111"/>
        <v>0</v>
      </c>
    </row>
    <row r="3560" spans="24:25" x14ac:dyDescent="0.3">
      <c r="X3560" s="1">
        <f t="shared" si="110"/>
        <v>0</v>
      </c>
      <c r="Y3560" s="1">
        <f t="shared" si="111"/>
        <v>0</v>
      </c>
    </row>
    <row r="3561" spans="24:25" x14ac:dyDescent="0.3">
      <c r="X3561" s="1">
        <f t="shared" si="110"/>
        <v>0</v>
      </c>
      <c r="Y3561" s="1">
        <f t="shared" si="111"/>
        <v>0</v>
      </c>
    </row>
    <row r="3562" spans="24:25" x14ac:dyDescent="0.3">
      <c r="X3562" s="1">
        <f t="shared" si="110"/>
        <v>0</v>
      </c>
      <c r="Y3562" s="1">
        <f t="shared" si="111"/>
        <v>0</v>
      </c>
    </row>
    <row r="3563" spans="24:25" x14ac:dyDescent="0.3">
      <c r="X3563" s="1">
        <f t="shared" si="110"/>
        <v>0</v>
      </c>
      <c r="Y3563" s="1">
        <f t="shared" si="111"/>
        <v>0</v>
      </c>
    </row>
    <row r="3564" spans="24:25" x14ac:dyDescent="0.3">
      <c r="X3564" s="1">
        <f t="shared" si="110"/>
        <v>0</v>
      </c>
      <c r="Y3564" s="1">
        <f t="shared" si="111"/>
        <v>0</v>
      </c>
    </row>
    <row r="3565" spans="24:25" x14ac:dyDescent="0.3">
      <c r="X3565" s="1">
        <f t="shared" si="110"/>
        <v>0</v>
      </c>
      <c r="Y3565" s="1">
        <f t="shared" si="111"/>
        <v>0</v>
      </c>
    </row>
    <row r="3566" spans="24:25" x14ac:dyDescent="0.3">
      <c r="X3566" s="1">
        <f t="shared" si="110"/>
        <v>0</v>
      </c>
      <c r="Y3566" s="1">
        <f t="shared" si="111"/>
        <v>0</v>
      </c>
    </row>
    <row r="3567" spans="24:25" x14ac:dyDescent="0.3">
      <c r="X3567" s="1">
        <f t="shared" si="110"/>
        <v>0</v>
      </c>
      <c r="Y3567" s="1">
        <f t="shared" si="111"/>
        <v>0</v>
      </c>
    </row>
    <row r="3568" spans="24:25" x14ac:dyDescent="0.3">
      <c r="X3568" s="1">
        <f t="shared" si="110"/>
        <v>0</v>
      </c>
      <c r="Y3568" s="1">
        <f t="shared" si="111"/>
        <v>0</v>
      </c>
    </row>
    <row r="3569" spans="24:25" x14ac:dyDescent="0.3">
      <c r="X3569" s="1">
        <f t="shared" si="110"/>
        <v>0</v>
      </c>
      <c r="Y3569" s="1">
        <f t="shared" si="111"/>
        <v>0</v>
      </c>
    </row>
    <row r="3570" spans="24:25" x14ac:dyDescent="0.3">
      <c r="X3570" s="1">
        <f t="shared" si="110"/>
        <v>0</v>
      </c>
      <c r="Y3570" s="1">
        <f t="shared" si="111"/>
        <v>0</v>
      </c>
    </row>
    <row r="3571" spans="24:25" x14ac:dyDescent="0.3">
      <c r="X3571" s="1">
        <f t="shared" si="110"/>
        <v>0</v>
      </c>
      <c r="Y3571" s="1">
        <f t="shared" si="111"/>
        <v>0</v>
      </c>
    </row>
    <row r="3572" spans="24:25" x14ac:dyDescent="0.3">
      <c r="X3572" s="1">
        <f t="shared" si="110"/>
        <v>0</v>
      </c>
      <c r="Y3572" s="1">
        <f t="shared" si="111"/>
        <v>0</v>
      </c>
    </row>
    <row r="3573" spans="24:25" x14ac:dyDescent="0.3">
      <c r="X3573" s="1">
        <f t="shared" si="110"/>
        <v>0</v>
      </c>
      <c r="Y3573" s="1">
        <f t="shared" si="111"/>
        <v>0</v>
      </c>
    </row>
    <row r="3574" spans="24:25" x14ac:dyDescent="0.3">
      <c r="X3574" s="1">
        <f t="shared" si="110"/>
        <v>0</v>
      </c>
      <c r="Y3574" s="1">
        <f t="shared" si="111"/>
        <v>0</v>
      </c>
    </row>
    <row r="3575" spans="24:25" x14ac:dyDescent="0.3">
      <c r="X3575" s="1">
        <f t="shared" si="110"/>
        <v>0</v>
      </c>
      <c r="Y3575" s="1">
        <f t="shared" si="111"/>
        <v>0</v>
      </c>
    </row>
    <row r="3576" spans="24:25" x14ac:dyDescent="0.3">
      <c r="X3576" s="1">
        <f t="shared" si="110"/>
        <v>0</v>
      </c>
      <c r="Y3576" s="1">
        <f t="shared" si="111"/>
        <v>0</v>
      </c>
    </row>
    <row r="3577" spans="24:25" x14ac:dyDescent="0.3">
      <c r="X3577" s="1">
        <f t="shared" si="110"/>
        <v>0</v>
      </c>
      <c r="Y3577" s="1">
        <f t="shared" si="111"/>
        <v>0</v>
      </c>
    </row>
    <row r="3578" spans="24:25" x14ac:dyDescent="0.3">
      <c r="X3578" s="1">
        <f t="shared" si="110"/>
        <v>0</v>
      </c>
      <c r="Y3578" s="1">
        <f t="shared" si="111"/>
        <v>0</v>
      </c>
    </row>
    <row r="3579" spans="24:25" x14ac:dyDescent="0.3">
      <c r="X3579" s="1">
        <f t="shared" si="110"/>
        <v>0</v>
      </c>
      <c r="Y3579" s="1">
        <f t="shared" si="111"/>
        <v>0</v>
      </c>
    </row>
    <row r="3580" spans="24:25" x14ac:dyDescent="0.3">
      <c r="X3580" s="1">
        <f t="shared" si="110"/>
        <v>0</v>
      </c>
      <c r="Y3580" s="1">
        <f t="shared" si="111"/>
        <v>0</v>
      </c>
    </row>
    <row r="3581" spans="24:25" x14ac:dyDescent="0.3">
      <c r="X3581" s="1">
        <f t="shared" si="110"/>
        <v>0</v>
      </c>
      <c r="Y3581" s="1">
        <f t="shared" si="111"/>
        <v>0</v>
      </c>
    </row>
    <row r="3582" spans="24:25" x14ac:dyDescent="0.3">
      <c r="X3582" s="1">
        <f t="shared" si="110"/>
        <v>0</v>
      </c>
      <c r="Y3582" s="1">
        <f t="shared" si="111"/>
        <v>0</v>
      </c>
    </row>
    <row r="3583" spans="24:25" x14ac:dyDescent="0.3">
      <c r="X3583" s="1">
        <f t="shared" si="110"/>
        <v>0</v>
      </c>
      <c r="Y3583" s="1">
        <f t="shared" si="111"/>
        <v>0</v>
      </c>
    </row>
    <row r="3584" spans="24:25" x14ac:dyDescent="0.3">
      <c r="X3584" s="1">
        <f t="shared" si="110"/>
        <v>0</v>
      </c>
      <c r="Y3584" s="1">
        <f t="shared" si="111"/>
        <v>0</v>
      </c>
    </row>
    <row r="3585" spans="24:25" x14ac:dyDescent="0.3">
      <c r="X3585" s="1">
        <f t="shared" si="110"/>
        <v>0</v>
      </c>
      <c r="Y3585" s="1">
        <f t="shared" si="111"/>
        <v>0</v>
      </c>
    </row>
    <row r="3586" spans="24:25" x14ac:dyDescent="0.3">
      <c r="X3586" s="1">
        <f t="shared" si="110"/>
        <v>0</v>
      </c>
      <c r="Y3586" s="1">
        <f t="shared" si="111"/>
        <v>0</v>
      </c>
    </row>
    <row r="3587" spans="24:25" x14ac:dyDescent="0.3">
      <c r="X3587" s="1">
        <f t="shared" ref="X3587:X3650" si="112">IFERROR(MATCH(W3587,$B:$B,0),0)</f>
        <v>0</v>
      </c>
      <c r="Y3587" s="1">
        <f t="shared" ref="Y3587:Y3650" si="113">IF(X3588=0,COUNTA(A:A),X3588-1)</f>
        <v>0</v>
      </c>
    </row>
    <row r="3588" spans="24:25" x14ac:dyDescent="0.3">
      <c r="X3588" s="1">
        <f t="shared" si="112"/>
        <v>0</v>
      </c>
      <c r="Y3588" s="1">
        <f t="shared" si="113"/>
        <v>0</v>
      </c>
    </row>
    <row r="3589" spans="24:25" x14ac:dyDescent="0.3">
      <c r="X3589" s="1">
        <f t="shared" si="112"/>
        <v>0</v>
      </c>
      <c r="Y3589" s="1">
        <f t="shared" si="113"/>
        <v>0</v>
      </c>
    </row>
    <row r="3590" spans="24:25" x14ac:dyDescent="0.3">
      <c r="X3590" s="1">
        <f t="shared" si="112"/>
        <v>0</v>
      </c>
      <c r="Y3590" s="1">
        <f t="shared" si="113"/>
        <v>0</v>
      </c>
    </row>
    <row r="3591" spans="24:25" x14ac:dyDescent="0.3">
      <c r="X3591" s="1">
        <f t="shared" si="112"/>
        <v>0</v>
      </c>
      <c r="Y3591" s="1">
        <f t="shared" si="113"/>
        <v>0</v>
      </c>
    </row>
    <row r="3592" spans="24:25" x14ac:dyDescent="0.3">
      <c r="X3592" s="1">
        <f t="shared" si="112"/>
        <v>0</v>
      </c>
      <c r="Y3592" s="1">
        <f t="shared" si="113"/>
        <v>0</v>
      </c>
    </row>
    <row r="3593" spans="24:25" x14ac:dyDescent="0.3">
      <c r="X3593" s="1">
        <f t="shared" si="112"/>
        <v>0</v>
      </c>
      <c r="Y3593" s="1">
        <f t="shared" si="113"/>
        <v>0</v>
      </c>
    </row>
    <row r="3594" spans="24:25" x14ac:dyDescent="0.3">
      <c r="X3594" s="1">
        <f t="shared" si="112"/>
        <v>0</v>
      </c>
      <c r="Y3594" s="1">
        <f t="shared" si="113"/>
        <v>0</v>
      </c>
    </row>
    <row r="3595" spans="24:25" x14ac:dyDescent="0.3">
      <c r="X3595" s="1">
        <f t="shared" si="112"/>
        <v>0</v>
      </c>
      <c r="Y3595" s="1">
        <f t="shared" si="113"/>
        <v>0</v>
      </c>
    </row>
    <row r="3596" spans="24:25" x14ac:dyDescent="0.3">
      <c r="X3596" s="1">
        <f t="shared" si="112"/>
        <v>0</v>
      </c>
      <c r="Y3596" s="1">
        <f t="shared" si="113"/>
        <v>0</v>
      </c>
    </row>
    <row r="3597" spans="24:25" x14ac:dyDescent="0.3">
      <c r="X3597" s="1">
        <f t="shared" si="112"/>
        <v>0</v>
      </c>
      <c r="Y3597" s="1">
        <f t="shared" si="113"/>
        <v>0</v>
      </c>
    </row>
    <row r="3598" spans="24:25" x14ac:dyDescent="0.3">
      <c r="X3598" s="1">
        <f t="shared" si="112"/>
        <v>0</v>
      </c>
      <c r="Y3598" s="1">
        <f t="shared" si="113"/>
        <v>0</v>
      </c>
    </row>
    <row r="3599" spans="24:25" x14ac:dyDescent="0.3">
      <c r="X3599" s="1">
        <f t="shared" si="112"/>
        <v>0</v>
      </c>
      <c r="Y3599" s="1">
        <f t="shared" si="113"/>
        <v>0</v>
      </c>
    </row>
    <row r="3600" spans="24:25" x14ac:dyDescent="0.3">
      <c r="X3600" s="1">
        <f t="shared" si="112"/>
        <v>0</v>
      </c>
      <c r="Y3600" s="1">
        <f t="shared" si="113"/>
        <v>0</v>
      </c>
    </row>
    <row r="3601" spans="24:25" x14ac:dyDescent="0.3">
      <c r="X3601" s="1">
        <f t="shared" si="112"/>
        <v>0</v>
      </c>
      <c r="Y3601" s="1">
        <f t="shared" si="113"/>
        <v>0</v>
      </c>
    </row>
    <row r="3602" spans="24:25" x14ac:dyDescent="0.3">
      <c r="X3602" s="1">
        <f t="shared" si="112"/>
        <v>0</v>
      </c>
      <c r="Y3602" s="1">
        <f t="shared" si="113"/>
        <v>0</v>
      </c>
    </row>
    <row r="3603" spans="24:25" x14ac:dyDescent="0.3">
      <c r="X3603" s="1">
        <f t="shared" si="112"/>
        <v>0</v>
      </c>
      <c r="Y3603" s="1">
        <f t="shared" si="113"/>
        <v>0</v>
      </c>
    </row>
    <row r="3604" spans="24:25" x14ac:dyDescent="0.3">
      <c r="X3604" s="1">
        <f t="shared" si="112"/>
        <v>0</v>
      </c>
      <c r="Y3604" s="1">
        <f t="shared" si="113"/>
        <v>0</v>
      </c>
    </row>
    <row r="3605" spans="24:25" x14ac:dyDescent="0.3">
      <c r="X3605" s="1">
        <f t="shared" si="112"/>
        <v>0</v>
      </c>
      <c r="Y3605" s="1">
        <f t="shared" si="113"/>
        <v>0</v>
      </c>
    </row>
    <row r="3606" spans="24:25" x14ac:dyDescent="0.3">
      <c r="X3606" s="1">
        <f t="shared" si="112"/>
        <v>0</v>
      </c>
      <c r="Y3606" s="1">
        <f t="shared" si="113"/>
        <v>0</v>
      </c>
    </row>
    <row r="3607" spans="24:25" x14ac:dyDescent="0.3">
      <c r="X3607" s="1">
        <f t="shared" si="112"/>
        <v>0</v>
      </c>
      <c r="Y3607" s="1">
        <f t="shared" si="113"/>
        <v>0</v>
      </c>
    </row>
    <row r="3608" spans="24:25" x14ac:dyDescent="0.3">
      <c r="X3608" s="1">
        <f t="shared" si="112"/>
        <v>0</v>
      </c>
      <c r="Y3608" s="1">
        <f t="shared" si="113"/>
        <v>0</v>
      </c>
    </row>
    <row r="3609" spans="24:25" x14ac:dyDescent="0.3">
      <c r="X3609" s="1">
        <f t="shared" si="112"/>
        <v>0</v>
      </c>
      <c r="Y3609" s="1">
        <f t="shared" si="113"/>
        <v>0</v>
      </c>
    </row>
    <row r="3610" spans="24:25" x14ac:dyDescent="0.3">
      <c r="X3610" s="1">
        <f t="shared" si="112"/>
        <v>0</v>
      </c>
      <c r="Y3610" s="1">
        <f t="shared" si="113"/>
        <v>0</v>
      </c>
    </row>
    <row r="3611" spans="24:25" x14ac:dyDescent="0.3">
      <c r="X3611" s="1">
        <f t="shared" si="112"/>
        <v>0</v>
      </c>
      <c r="Y3611" s="1">
        <f t="shared" si="113"/>
        <v>0</v>
      </c>
    </row>
    <row r="3612" spans="24:25" x14ac:dyDescent="0.3">
      <c r="X3612" s="1">
        <f t="shared" si="112"/>
        <v>0</v>
      </c>
      <c r="Y3612" s="1">
        <f t="shared" si="113"/>
        <v>0</v>
      </c>
    </row>
    <row r="3613" spans="24:25" x14ac:dyDescent="0.3">
      <c r="X3613" s="1">
        <f t="shared" si="112"/>
        <v>0</v>
      </c>
      <c r="Y3613" s="1">
        <f t="shared" si="113"/>
        <v>0</v>
      </c>
    </row>
    <row r="3614" spans="24:25" x14ac:dyDescent="0.3">
      <c r="X3614" s="1">
        <f t="shared" si="112"/>
        <v>0</v>
      </c>
      <c r="Y3614" s="1">
        <f t="shared" si="113"/>
        <v>0</v>
      </c>
    </row>
    <row r="3615" spans="24:25" x14ac:dyDescent="0.3">
      <c r="X3615" s="1">
        <f t="shared" si="112"/>
        <v>0</v>
      </c>
      <c r="Y3615" s="1">
        <f t="shared" si="113"/>
        <v>0</v>
      </c>
    </row>
    <row r="3616" spans="24:25" x14ac:dyDescent="0.3">
      <c r="X3616" s="1">
        <f t="shared" si="112"/>
        <v>0</v>
      </c>
      <c r="Y3616" s="1">
        <f t="shared" si="113"/>
        <v>0</v>
      </c>
    </row>
    <row r="3617" spans="24:25" x14ac:dyDescent="0.3">
      <c r="X3617" s="1">
        <f t="shared" si="112"/>
        <v>0</v>
      </c>
      <c r="Y3617" s="1">
        <f t="shared" si="113"/>
        <v>0</v>
      </c>
    </row>
    <row r="3618" spans="24:25" x14ac:dyDescent="0.3">
      <c r="X3618" s="1">
        <f t="shared" si="112"/>
        <v>0</v>
      </c>
      <c r="Y3618" s="1">
        <f t="shared" si="113"/>
        <v>0</v>
      </c>
    </row>
    <row r="3619" spans="24:25" x14ac:dyDescent="0.3">
      <c r="X3619" s="1">
        <f t="shared" si="112"/>
        <v>0</v>
      </c>
      <c r="Y3619" s="1">
        <f t="shared" si="113"/>
        <v>0</v>
      </c>
    </row>
    <row r="3620" spans="24:25" x14ac:dyDescent="0.3">
      <c r="X3620" s="1">
        <f t="shared" si="112"/>
        <v>0</v>
      </c>
      <c r="Y3620" s="1">
        <f t="shared" si="113"/>
        <v>0</v>
      </c>
    </row>
    <row r="3621" spans="24:25" x14ac:dyDescent="0.3">
      <c r="X3621" s="1">
        <f t="shared" si="112"/>
        <v>0</v>
      </c>
      <c r="Y3621" s="1">
        <f t="shared" si="113"/>
        <v>0</v>
      </c>
    </row>
    <row r="3622" spans="24:25" x14ac:dyDescent="0.3">
      <c r="X3622" s="1">
        <f t="shared" si="112"/>
        <v>0</v>
      </c>
      <c r="Y3622" s="1">
        <f t="shared" si="113"/>
        <v>0</v>
      </c>
    </row>
    <row r="3623" spans="24:25" x14ac:dyDescent="0.3">
      <c r="X3623" s="1">
        <f t="shared" si="112"/>
        <v>0</v>
      </c>
      <c r="Y3623" s="1">
        <f t="shared" si="113"/>
        <v>0</v>
      </c>
    </row>
    <row r="3624" spans="24:25" x14ac:dyDescent="0.3">
      <c r="X3624" s="1">
        <f t="shared" si="112"/>
        <v>0</v>
      </c>
      <c r="Y3624" s="1">
        <f t="shared" si="113"/>
        <v>0</v>
      </c>
    </row>
    <row r="3625" spans="24:25" x14ac:dyDescent="0.3">
      <c r="X3625" s="1">
        <f t="shared" si="112"/>
        <v>0</v>
      </c>
      <c r="Y3625" s="1">
        <f t="shared" si="113"/>
        <v>0</v>
      </c>
    </row>
    <row r="3626" spans="24:25" x14ac:dyDescent="0.3">
      <c r="X3626" s="1">
        <f t="shared" si="112"/>
        <v>0</v>
      </c>
      <c r="Y3626" s="1">
        <f t="shared" si="113"/>
        <v>0</v>
      </c>
    </row>
    <row r="3627" spans="24:25" x14ac:dyDescent="0.3">
      <c r="X3627" s="1">
        <f t="shared" si="112"/>
        <v>0</v>
      </c>
      <c r="Y3627" s="1">
        <f t="shared" si="113"/>
        <v>0</v>
      </c>
    </row>
    <row r="3628" spans="24:25" x14ac:dyDescent="0.3">
      <c r="X3628" s="1">
        <f t="shared" si="112"/>
        <v>0</v>
      </c>
      <c r="Y3628" s="1">
        <f t="shared" si="113"/>
        <v>0</v>
      </c>
    </row>
    <row r="3629" spans="24:25" x14ac:dyDescent="0.3">
      <c r="X3629" s="1">
        <f t="shared" si="112"/>
        <v>0</v>
      </c>
      <c r="Y3629" s="1">
        <f t="shared" si="113"/>
        <v>0</v>
      </c>
    </row>
    <row r="3630" spans="24:25" x14ac:dyDescent="0.3">
      <c r="X3630" s="1">
        <f t="shared" si="112"/>
        <v>0</v>
      </c>
      <c r="Y3630" s="1">
        <f t="shared" si="113"/>
        <v>0</v>
      </c>
    </row>
    <row r="3631" spans="24:25" x14ac:dyDescent="0.3">
      <c r="X3631" s="1">
        <f t="shared" si="112"/>
        <v>0</v>
      </c>
      <c r="Y3631" s="1">
        <f t="shared" si="113"/>
        <v>0</v>
      </c>
    </row>
    <row r="3632" spans="24:25" x14ac:dyDescent="0.3">
      <c r="X3632" s="1">
        <f t="shared" si="112"/>
        <v>0</v>
      </c>
      <c r="Y3632" s="1">
        <f t="shared" si="113"/>
        <v>0</v>
      </c>
    </row>
    <row r="3633" spans="24:25" x14ac:dyDescent="0.3">
      <c r="X3633" s="1">
        <f t="shared" si="112"/>
        <v>0</v>
      </c>
      <c r="Y3633" s="1">
        <f t="shared" si="113"/>
        <v>0</v>
      </c>
    </row>
    <row r="3634" spans="24:25" x14ac:dyDescent="0.3">
      <c r="X3634" s="1">
        <f t="shared" si="112"/>
        <v>0</v>
      </c>
      <c r="Y3634" s="1">
        <f t="shared" si="113"/>
        <v>0</v>
      </c>
    </row>
    <row r="3635" spans="24:25" x14ac:dyDescent="0.3">
      <c r="X3635" s="1">
        <f t="shared" si="112"/>
        <v>0</v>
      </c>
      <c r="Y3635" s="1">
        <f t="shared" si="113"/>
        <v>0</v>
      </c>
    </row>
    <row r="3636" spans="24:25" x14ac:dyDescent="0.3">
      <c r="X3636" s="1">
        <f t="shared" si="112"/>
        <v>0</v>
      </c>
      <c r="Y3636" s="1">
        <f t="shared" si="113"/>
        <v>0</v>
      </c>
    </row>
    <row r="3637" spans="24:25" x14ac:dyDescent="0.3">
      <c r="X3637" s="1">
        <f t="shared" si="112"/>
        <v>0</v>
      </c>
      <c r="Y3637" s="1">
        <f t="shared" si="113"/>
        <v>0</v>
      </c>
    </row>
    <row r="3638" spans="24:25" x14ac:dyDescent="0.3">
      <c r="X3638" s="1">
        <f t="shared" si="112"/>
        <v>0</v>
      </c>
      <c r="Y3638" s="1">
        <f t="shared" si="113"/>
        <v>0</v>
      </c>
    </row>
    <row r="3639" spans="24:25" x14ac:dyDescent="0.3">
      <c r="X3639" s="1">
        <f t="shared" si="112"/>
        <v>0</v>
      </c>
      <c r="Y3639" s="1">
        <f t="shared" si="113"/>
        <v>0</v>
      </c>
    </row>
    <row r="3640" spans="24:25" x14ac:dyDescent="0.3">
      <c r="X3640" s="1">
        <f t="shared" si="112"/>
        <v>0</v>
      </c>
      <c r="Y3640" s="1">
        <f t="shared" si="113"/>
        <v>0</v>
      </c>
    </row>
    <row r="3641" spans="24:25" x14ac:dyDescent="0.3">
      <c r="X3641" s="1">
        <f t="shared" si="112"/>
        <v>0</v>
      </c>
      <c r="Y3641" s="1">
        <f t="shared" si="113"/>
        <v>0</v>
      </c>
    </row>
    <row r="3642" spans="24:25" x14ac:dyDescent="0.3">
      <c r="X3642" s="1">
        <f t="shared" si="112"/>
        <v>0</v>
      </c>
      <c r="Y3642" s="1">
        <f t="shared" si="113"/>
        <v>0</v>
      </c>
    </row>
    <row r="3643" spans="24:25" x14ac:dyDescent="0.3">
      <c r="X3643" s="1">
        <f t="shared" si="112"/>
        <v>0</v>
      </c>
      <c r="Y3643" s="1">
        <f t="shared" si="113"/>
        <v>0</v>
      </c>
    </row>
    <row r="3644" spans="24:25" x14ac:dyDescent="0.3">
      <c r="X3644" s="1">
        <f t="shared" si="112"/>
        <v>0</v>
      </c>
      <c r="Y3644" s="1">
        <f t="shared" si="113"/>
        <v>0</v>
      </c>
    </row>
    <row r="3645" spans="24:25" x14ac:dyDescent="0.3">
      <c r="X3645" s="1">
        <f t="shared" si="112"/>
        <v>0</v>
      </c>
      <c r="Y3645" s="1">
        <f t="shared" si="113"/>
        <v>0</v>
      </c>
    </row>
    <row r="3646" spans="24:25" x14ac:dyDescent="0.3">
      <c r="X3646" s="1">
        <f t="shared" si="112"/>
        <v>0</v>
      </c>
      <c r="Y3646" s="1">
        <f t="shared" si="113"/>
        <v>0</v>
      </c>
    </row>
    <row r="3647" spans="24:25" x14ac:dyDescent="0.3">
      <c r="X3647" s="1">
        <f t="shared" si="112"/>
        <v>0</v>
      </c>
      <c r="Y3647" s="1">
        <f t="shared" si="113"/>
        <v>0</v>
      </c>
    </row>
    <row r="3648" spans="24:25" x14ac:dyDescent="0.3">
      <c r="X3648" s="1">
        <f t="shared" si="112"/>
        <v>0</v>
      </c>
      <c r="Y3648" s="1">
        <f t="shared" si="113"/>
        <v>0</v>
      </c>
    </row>
    <row r="3649" spans="24:25" x14ac:dyDescent="0.3">
      <c r="X3649" s="1">
        <f t="shared" si="112"/>
        <v>0</v>
      </c>
      <c r="Y3649" s="1">
        <f t="shared" si="113"/>
        <v>0</v>
      </c>
    </row>
    <row r="3650" spans="24:25" x14ac:dyDescent="0.3">
      <c r="X3650" s="1">
        <f t="shared" si="112"/>
        <v>0</v>
      </c>
      <c r="Y3650" s="1">
        <f t="shared" si="113"/>
        <v>0</v>
      </c>
    </row>
    <row r="3651" spans="24:25" x14ac:dyDescent="0.3">
      <c r="X3651" s="1">
        <f t="shared" ref="X3651:X3714" si="114">IFERROR(MATCH(W3651,$B:$B,0),0)</f>
        <v>0</v>
      </c>
      <c r="Y3651" s="1">
        <f t="shared" ref="Y3651:Y3714" si="115">IF(X3652=0,COUNTA(A:A),X3652-1)</f>
        <v>0</v>
      </c>
    </row>
    <row r="3652" spans="24:25" x14ac:dyDescent="0.3">
      <c r="X3652" s="1">
        <f t="shared" si="114"/>
        <v>0</v>
      </c>
      <c r="Y3652" s="1">
        <f t="shared" si="115"/>
        <v>0</v>
      </c>
    </row>
    <row r="3653" spans="24:25" x14ac:dyDescent="0.3">
      <c r="X3653" s="1">
        <f t="shared" si="114"/>
        <v>0</v>
      </c>
      <c r="Y3653" s="1">
        <f t="shared" si="115"/>
        <v>0</v>
      </c>
    </row>
    <row r="3654" spans="24:25" x14ac:dyDescent="0.3">
      <c r="X3654" s="1">
        <f t="shared" si="114"/>
        <v>0</v>
      </c>
      <c r="Y3654" s="1">
        <f t="shared" si="115"/>
        <v>0</v>
      </c>
    </row>
    <row r="3655" spans="24:25" x14ac:dyDescent="0.3">
      <c r="X3655" s="1">
        <f t="shared" si="114"/>
        <v>0</v>
      </c>
      <c r="Y3655" s="1">
        <f t="shared" si="115"/>
        <v>0</v>
      </c>
    </row>
    <row r="3656" spans="24:25" x14ac:dyDescent="0.3">
      <c r="X3656" s="1">
        <f t="shared" si="114"/>
        <v>0</v>
      </c>
      <c r="Y3656" s="1">
        <f t="shared" si="115"/>
        <v>0</v>
      </c>
    </row>
    <row r="3657" spans="24:25" x14ac:dyDescent="0.3">
      <c r="X3657" s="1">
        <f t="shared" si="114"/>
        <v>0</v>
      </c>
      <c r="Y3657" s="1">
        <f t="shared" si="115"/>
        <v>0</v>
      </c>
    </row>
    <row r="3658" spans="24:25" x14ac:dyDescent="0.3">
      <c r="X3658" s="1">
        <f t="shared" si="114"/>
        <v>0</v>
      </c>
      <c r="Y3658" s="1">
        <f t="shared" si="115"/>
        <v>0</v>
      </c>
    </row>
    <row r="3659" spans="24:25" x14ac:dyDescent="0.3">
      <c r="X3659" s="1">
        <f t="shared" si="114"/>
        <v>0</v>
      </c>
      <c r="Y3659" s="1">
        <f t="shared" si="115"/>
        <v>0</v>
      </c>
    </row>
    <row r="3660" spans="24:25" x14ac:dyDescent="0.3">
      <c r="X3660" s="1">
        <f t="shared" si="114"/>
        <v>0</v>
      </c>
      <c r="Y3660" s="1">
        <f t="shared" si="115"/>
        <v>0</v>
      </c>
    </row>
    <row r="3661" spans="24:25" x14ac:dyDescent="0.3">
      <c r="X3661" s="1">
        <f t="shared" si="114"/>
        <v>0</v>
      </c>
      <c r="Y3661" s="1">
        <f t="shared" si="115"/>
        <v>0</v>
      </c>
    </row>
    <row r="3662" spans="24:25" x14ac:dyDescent="0.3">
      <c r="X3662" s="1">
        <f t="shared" si="114"/>
        <v>0</v>
      </c>
      <c r="Y3662" s="1">
        <f t="shared" si="115"/>
        <v>0</v>
      </c>
    </row>
    <row r="3663" spans="24:25" x14ac:dyDescent="0.3">
      <c r="X3663" s="1">
        <f t="shared" si="114"/>
        <v>0</v>
      </c>
      <c r="Y3663" s="1">
        <f t="shared" si="115"/>
        <v>0</v>
      </c>
    </row>
    <row r="3664" spans="24:25" x14ac:dyDescent="0.3">
      <c r="X3664" s="1">
        <f t="shared" si="114"/>
        <v>0</v>
      </c>
      <c r="Y3664" s="1">
        <f t="shared" si="115"/>
        <v>0</v>
      </c>
    </row>
    <row r="3665" spans="24:25" x14ac:dyDescent="0.3">
      <c r="X3665" s="1">
        <f t="shared" si="114"/>
        <v>0</v>
      </c>
      <c r="Y3665" s="1">
        <f t="shared" si="115"/>
        <v>0</v>
      </c>
    </row>
    <row r="3666" spans="24:25" x14ac:dyDescent="0.3">
      <c r="X3666" s="1">
        <f t="shared" si="114"/>
        <v>0</v>
      </c>
      <c r="Y3666" s="1">
        <f t="shared" si="115"/>
        <v>0</v>
      </c>
    </row>
    <row r="3667" spans="24:25" x14ac:dyDescent="0.3">
      <c r="X3667" s="1">
        <f t="shared" si="114"/>
        <v>0</v>
      </c>
      <c r="Y3667" s="1">
        <f t="shared" si="115"/>
        <v>0</v>
      </c>
    </row>
    <row r="3668" spans="24:25" x14ac:dyDescent="0.3">
      <c r="X3668" s="1">
        <f t="shared" si="114"/>
        <v>0</v>
      </c>
      <c r="Y3668" s="1">
        <f t="shared" si="115"/>
        <v>0</v>
      </c>
    </row>
    <row r="3669" spans="24:25" x14ac:dyDescent="0.3">
      <c r="X3669" s="1">
        <f t="shared" si="114"/>
        <v>0</v>
      </c>
      <c r="Y3669" s="1">
        <f t="shared" si="115"/>
        <v>0</v>
      </c>
    </row>
    <row r="3670" spans="24:25" x14ac:dyDescent="0.3">
      <c r="X3670" s="1">
        <f t="shared" si="114"/>
        <v>0</v>
      </c>
      <c r="Y3670" s="1">
        <f t="shared" si="115"/>
        <v>0</v>
      </c>
    </row>
    <row r="3671" spans="24:25" x14ac:dyDescent="0.3">
      <c r="X3671" s="1">
        <f t="shared" si="114"/>
        <v>0</v>
      </c>
      <c r="Y3671" s="1">
        <f t="shared" si="115"/>
        <v>0</v>
      </c>
    </row>
    <row r="3672" spans="24:25" x14ac:dyDescent="0.3">
      <c r="X3672" s="1">
        <f t="shared" si="114"/>
        <v>0</v>
      </c>
      <c r="Y3672" s="1">
        <f t="shared" si="115"/>
        <v>0</v>
      </c>
    </row>
    <row r="3673" spans="24:25" x14ac:dyDescent="0.3">
      <c r="X3673" s="1">
        <f t="shared" si="114"/>
        <v>0</v>
      </c>
      <c r="Y3673" s="1">
        <f t="shared" si="115"/>
        <v>0</v>
      </c>
    </row>
    <row r="3674" spans="24:25" x14ac:dyDescent="0.3">
      <c r="X3674" s="1">
        <f t="shared" si="114"/>
        <v>0</v>
      </c>
      <c r="Y3674" s="1">
        <f t="shared" si="115"/>
        <v>0</v>
      </c>
    </row>
    <row r="3675" spans="24:25" x14ac:dyDescent="0.3">
      <c r="X3675" s="1">
        <f t="shared" si="114"/>
        <v>0</v>
      </c>
      <c r="Y3675" s="1">
        <f t="shared" si="115"/>
        <v>0</v>
      </c>
    </row>
    <row r="3676" spans="24:25" x14ac:dyDescent="0.3">
      <c r="X3676" s="1">
        <f t="shared" si="114"/>
        <v>0</v>
      </c>
      <c r="Y3676" s="1">
        <f t="shared" si="115"/>
        <v>0</v>
      </c>
    </row>
    <row r="3677" spans="24:25" x14ac:dyDescent="0.3">
      <c r="X3677" s="1">
        <f t="shared" si="114"/>
        <v>0</v>
      </c>
      <c r="Y3677" s="1">
        <f t="shared" si="115"/>
        <v>0</v>
      </c>
    </row>
    <row r="3678" spans="24:25" x14ac:dyDescent="0.3">
      <c r="X3678" s="1">
        <f t="shared" si="114"/>
        <v>0</v>
      </c>
      <c r="Y3678" s="1">
        <f t="shared" si="115"/>
        <v>0</v>
      </c>
    </row>
    <row r="3679" spans="24:25" x14ac:dyDescent="0.3">
      <c r="X3679" s="1">
        <f t="shared" si="114"/>
        <v>0</v>
      </c>
      <c r="Y3679" s="1">
        <f t="shared" si="115"/>
        <v>0</v>
      </c>
    </row>
    <row r="3680" spans="24:25" x14ac:dyDescent="0.3">
      <c r="X3680" s="1">
        <f t="shared" si="114"/>
        <v>0</v>
      </c>
      <c r="Y3680" s="1">
        <f t="shared" si="115"/>
        <v>0</v>
      </c>
    </row>
    <row r="3681" spans="24:25" x14ac:dyDescent="0.3">
      <c r="X3681" s="1">
        <f t="shared" si="114"/>
        <v>0</v>
      </c>
      <c r="Y3681" s="1">
        <f t="shared" si="115"/>
        <v>0</v>
      </c>
    </row>
    <row r="3682" spans="24:25" x14ac:dyDescent="0.3">
      <c r="X3682" s="1">
        <f t="shared" si="114"/>
        <v>0</v>
      </c>
      <c r="Y3682" s="1">
        <f t="shared" si="115"/>
        <v>0</v>
      </c>
    </row>
    <row r="3683" spans="24:25" x14ac:dyDescent="0.3">
      <c r="X3683" s="1">
        <f t="shared" si="114"/>
        <v>0</v>
      </c>
      <c r="Y3683" s="1">
        <f t="shared" si="115"/>
        <v>0</v>
      </c>
    </row>
    <row r="3684" spans="24:25" x14ac:dyDescent="0.3">
      <c r="X3684" s="1">
        <f t="shared" si="114"/>
        <v>0</v>
      </c>
      <c r="Y3684" s="1">
        <f t="shared" si="115"/>
        <v>0</v>
      </c>
    </row>
    <row r="3685" spans="24:25" x14ac:dyDescent="0.3">
      <c r="X3685" s="1">
        <f t="shared" si="114"/>
        <v>0</v>
      </c>
      <c r="Y3685" s="1">
        <f t="shared" si="115"/>
        <v>0</v>
      </c>
    </row>
    <row r="3686" spans="24:25" x14ac:dyDescent="0.3">
      <c r="X3686" s="1">
        <f t="shared" si="114"/>
        <v>0</v>
      </c>
      <c r="Y3686" s="1">
        <f t="shared" si="115"/>
        <v>0</v>
      </c>
    </row>
    <row r="3687" spans="24:25" x14ac:dyDescent="0.3">
      <c r="X3687" s="1">
        <f t="shared" si="114"/>
        <v>0</v>
      </c>
      <c r="Y3687" s="1">
        <f t="shared" si="115"/>
        <v>0</v>
      </c>
    </row>
    <row r="3688" spans="24:25" x14ac:dyDescent="0.3">
      <c r="X3688" s="1">
        <f t="shared" si="114"/>
        <v>0</v>
      </c>
      <c r="Y3688" s="1">
        <f t="shared" si="115"/>
        <v>0</v>
      </c>
    </row>
    <row r="3689" spans="24:25" x14ac:dyDescent="0.3">
      <c r="X3689" s="1">
        <f t="shared" si="114"/>
        <v>0</v>
      </c>
      <c r="Y3689" s="1">
        <f t="shared" si="115"/>
        <v>0</v>
      </c>
    </row>
    <row r="3690" spans="24:25" x14ac:dyDescent="0.3">
      <c r="X3690" s="1">
        <f t="shared" si="114"/>
        <v>0</v>
      </c>
      <c r="Y3690" s="1">
        <f t="shared" si="115"/>
        <v>0</v>
      </c>
    </row>
    <row r="3691" spans="24:25" x14ac:dyDescent="0.3">
      <c r="X3691" s="1">
        <f t="shared" si="114"/>
        <v>0</v>
      </c>
      <c r="Y3691" s="1">
        <f t="shared" si="115"/>
        <v>0</v>
      </c>
    </row>
    <row r="3692" spans="24:25" x14ac:dyDescent="0.3">
      <c r="X3692" s="1">
        <f t="shared" si="114"/>
        <v>0</v>
      </c>
      <c r="Y3692" s="1">
        <f t="shared" si="115"/>
        <v>0</v>
      </c>
    </row>
    <row r="3693" spans="24:25" x14ac:dyDescent="0.3">
      <c r="X3693" s="1">
        <f t="shared" si="114"/>
        <v>0</v>
      </c>
      <c r="Y3693" s="1">
        <f t="shared" si="115"/>
        <v>0</v>
      </c>
    </row>
    <row r="3694" spans="24:25" x14ac:dyDescent="0.3">
      <c r="X3694" s="1">
        <f t="shared" si="114"/>
        <v>0</v>
      </c>
      <c r="Y3694" s="1">
        <f t="shared" si="115"/>
        <v>0</v>
      </c>
    </row>
    <row r="3695" spans="24:25" x14ac:dyDescent="0.3">
      <c r="X3695" s="1">
        <f t="shared" si="114"/>
        <v>0</v>
      </c>
      <c r="Y3695" s="1">
        <f t="shared" si="115"/>
        <v>0</v>
      </c>
    </row>
    <row r="3696" spans="24:25" x14ac:dyDescent="0.3">
      <c r="X3696" s="1">
        <f t="shared" si="114"/>
        <v>0</v>
      </c>
      <c r="Y3696" s="1">
        <f t="shared" si="115"/>
        <v>0</v>
      </c>
    </row>
    <row r="3697" spans="24:25" x14ac:dyDescent="0.3">
      <c r="X3697" s="1">
        <f t="shared" si="114"/>
        <v>0</v>
      </c>
      <c r="Y3697" s="1">
        <f t="shared" si="115"/>
        <v>0</v>
      </c>
    </row>
    <row r="3698" spans="24:25" x14ac:dyDescent="0.3">
      <c r="X3698" s="1">
        <f t="shared" si="114"/>
        <v>0</v>
      </c>
      <c r="Y3698" s="1">
        <f t="shared" si="115"/>
        <v>0</v>
      </c>
    </row>
    <row r="3699" spans="24:25" x14ac:dyDescent="0.3">
      <c r="X3699" s="1">
        <f t="shared" si="114"/>
        <v>0</v>
      </c>
      <c r="Y3699" s="1">
        <f t="shared" si="115"/>
        <v>0</v>
      </c>
    </row>
    <row r="3700" spans="24:25" x14ac:dyDescent="0.3">
      <c r="X3700" s="1">
        <f t="shared" si="114"/>
        <v>0</v>
      </c>
      <c r="Y3700" s="1">
        <f t="shared" si="115"/>
        <v>0</v>
      </c>
    </row>
    <row r="3701" spans="24:25" x14ac:dyDescent="0.3">
      <c r="X3701" s="1">
        <f t="shared" si="114"/>
        <v>0</v>
      </c>
      <c r="Y3701" s="1">
        <f t="shared" si="115"/>
        <v>0</v>
      </c>
    </row>
    <row r="3702" spans="24:25" x14ac:dyDescent="0.3">
      <c r="X3702" s="1">
        <f t="shared" si="114"/>
        <v>0</v>
      </c>
      <c r="Y3702" s="1">
        <f t="shared" si="115"/>
        <v>0</v>
      </c>
    </row>
    <row r="3703" spans="24:25" x14ac:dyDescent="0.3">
      <c r="X3703" s="1">
        <f t="shared" si="114"/>
        <v>0</v>
      </c>
      <c r="Y3703" s="1">
        <f t="shared" si="115"/>
        <v>0</v>
      </c>
    </row>
    <row r="3704" spans="24:25" x14ac:dyDescent="0.3">
      <c r="X3704" s="1">
        <f t="shared" si="114"/>
        <v>0</v>
      </c>
      <c r="Y3704" s="1">
        <f t="shared" si="115"/>
        <v>0</v>
      </c>
    </row>
    <row r="3705" spans="24:25" x14ac:dyDescent="0.3">
      <c r="X3705" s="1">
        <f t="shared" si="114"/>
        <v>0</v>
      </c>
      <c r="Y3705" s="1">
        <f t="shared" si="115"/>
        <v>0</v>
      </c>
    </row>
    <row r="3706" spans="24:25" x14ac:dyDescent="0.3">
      <c r="X3706" s="1">
        <f t="shared" si="114"/>
        <v>0</v>
      </c>
      <c r="Y3706" s="1">
        <f t="shared" si="115"/>
        <v>0</v>
      </c>
    </row>
    <row r="3707" spans="24:25" x14ac:dyDescent="0.3">
      <c r="X3707" s="1">
        <f t="shared" si="114"/>
        <v>0</v>
      </c>
      <c r="Y3707" s="1">
        <f t="shared" si="115"/>
        <v>0</v>
      </c>
    </row>
    <row r="3708" spans="24:25" x14ac:dyDescent="0.3">
      <c r="X3708" s="1">
        <f t="shared" si="114"/>
        <v>0</v>
      </c>
      <c r="Y3708" s="1">
        <f t="shared" si="115"/>
        <v>0</v>
      </c>
    </row>
    <row r="3709" spans="24:25" x14ac:dyDescent="0.3">
      <c r="X3709" s="1">
        <f t="shared" si="114"/>
        <v>0</v>
      </c>
      <c r="Y3709" s="1">
        <f t="shared" si="115"/>
        <v>0</v>
      </c>
    </row>
    <row r="3710" spans="24:25" x14ac:dyDescent="0.3">
      <c r="X3710" s="1">
        <f t="shared" si="114"/>
        <v>0</v>
      </c>
      <c r="Y3710" s="1">
        <f t="shared" si="115"/>
        <v>0</v>
      </c>
    </row>
    <row r="3711" spans="24:25" x14ac:dyDescent="0.3">
      <c r="X3711" s="1">
        <f t="shared" si="114"/>
        <v>0</v>
      </c>
      <c r="Y3711" s="1">
        <f t="shared" si="115"/>
        <v>0</v>
      </c>
    </row>
    <row r="3712" spans="24:25" x14ac:dyDescent="0.3">
      <c r="X3712" s="1">
        <f t="shared" si="114"/>
        <v>0</v>
      </c>
      <c r="Y3712" s="1">
        <f t="shared" si="115"/>
        <v>0</v>
      </c>
    </row>
    <row r="3713" spans="24:25" x14ac:dyDescent="0.3">
      <c r="X3713" s="1">
        <f t="shared" si="114"/>
        <v>0</v>
      </c>
      <c r="Y3713" s="1">
        <f t="shared" si="115"/>
        <v>0</v>
      </c>
    </row>
    <row r="3714" spans="24:25" x14ac:dyDescent="0.3">
      <c r="X3714" s="1">
        <f t="shared" si="114"/>
        <v>0</v>
      </c>
      <c r="Y3714" s="1">
        <f t="shared" si="115"/>
        <v>0</v>
      </c>
    </row>
    <row r="3715" spans="24:25" x14ac:dyDescent="0.3">
      <c r="X3715" s="1">
        <f t="shared" ref="X3715:X3778" si="116">IFERROR(MATCH(W3715,$B:$B,0),0)</f>
        <v>0</v>
      </c>
      <c r="Y3715" s="1">
        <f t="shared" ref="Y3715:Y3778" si="117">IF(X3716=0,COUNTA(A:A),X3716-1)</f>
        <v>0</v>
      </c>
    </row>
    <row r="3716" spans="24:25" x14ac:dyDescent="0.3">
      <c r="X3716" s="1">
        <f t="shared" si="116"/>
        <v>0</v>
      </c>
      <c r="Y3716" s="1">
        <f t="shared" si="117"/>
        <v>0</v>
      </c>
    </row>
    <row r="3717" spans="24:25" x14ac:dyDescent="0.3">
      <c r="X3717" s="1">
        <f t="shared" si="116"/>
        <v>0</v>
      </c>
      <c r="Y3717" s="1">
        <f t="shared" si="117"/>
        <v>0</v>
      </c>
    </row>
    <row r="3718" spans="24:25" x14ac:dyDescent="0.3">
      <c r="X3718" s="1">
        <f t="shared" si="116"/>
        <v>0</v>
      </c>
      <c r="Y3718" s="1">
        <f t="shared" si="117"/>
        <v>0</v>
      </c>
    </row>
    <row r="3719" spans="24:25" x14ac:dyDescent="0.3">
      <c r="X3719" s="1">
        <f t="shared" si="116"/>
        <v>0</v>
      </c>
      <c r="Y3719" s="1">
        <f t="shared" si="117"/>
        <v>0</v>
      </c>
    </row>
    <row r="3720" spans="24:25" x14ac:dyDescent="0.3">
      <c r="X3720" s="1">
        <f t="shared" si="116"/>
        <v>0</v>
      </c>
      <c r="Y3720" s="1">
        <f t="shared" si="117"/>
        <v>0</v>
      </c>
    </row>
    <row r="3721" spans="24:25" x14ac:dyDescent="0.3">
      <c r="X3721" s="1">
        <f t="shared" si="116"/>
        <v>0</v>
      </c>
      <c r="Y3721" s="1">
        <f t="shared" si="117"/>
        <v>0</v>
      </c>
    </row>
    <row r="3722" spans="24:25" x14ac:dyDescent="0.3">
      <c r="X3722" s="1">
        <f t="shared" si="116"/>
        <v>0</v>
      </c>
      <c r="Y3722" s="1">
        <f t="shared" si="117"/>
        <v>0</v>
      </c>
    </row>
    <row r="3723" spans="24:25" x14ac:dyDescent="0.3">
      <c r="X3723" s="1">
        <f t="shared" si="116"/>
        <v>0</v>
      </c>
      <c r="Y3723" s="1">
        <f t="shared" si="117"/>
        <v>0</v>
      </c>
    </row>
    <row r="3724" spans="24:25" x14ac:dyDescent="0.3">
      <c r="X3724" s="1">
        <f t="shared" si="116"/>
        <v>0</v>
      </c>
      <c r="Y3724" s="1">
        <f t="shared" si="117"/>
        <v>0</v>
      </c>
    </row>
    <row r="3725" spans="24:25" x14ac:dyDescent="0.3">
      <c r="X3725" s="1">
        <f t="shared" si="116"/>
        <v>0</v>
      </c>
      <c r="Y3725" s="1">
        <f t="shared" si="117"/>
        <v>0</v>
      </c>
    </row>
    <row r="3726" spans="24:25" x14ac:dyDescent="0.3">
      <c r="X3726" s="1">
        <f t="shared" si="116"/>
        <v>0</v>
      </c>
      <c r="Y3726" s="1">
        <f t="shared" si="117"/>
        <v>0</v>
      </c>
    </row>
    <row r="3727" spans="24:25" x14ac:dyDescent="0.3">
      <c r="X3727" s="1">
        <f t="shared" si="116"/>
        <v>0</v>
      </c>
      <c r="Y3727" s="1">
        <f t="shared" si="117"/>
        <v>0</v>
      </c>
    </row>
    <row r="3728" spans="24:25" x14ac:dyDescent="0.3">
      <c r="X3728" s="1">
        <f t="shared" si="116"/>
        <v>0</v>
      </c>
      <c r="Y3728" s="1">
        <f t="shared" si="117"/>
        <v>0</v>
      </c>
    </row>
    <row r="3729" spans="24:25" x14ac:dyDescent="0.3">
      <c r="X3729" s="1">
        <f t="shared" si="116"/>
        <v>0</v>
      </c>
      <c r="Y3729" s="1">
        <f t="shared" si="117"/>
        <v>0</v>
      </c>
    </row>
    <row r="3730" spans="24:25" x14ac:dyDescent="0.3">
      <c r="X3730" s="1">
        <f t="shared" si="116"/>
        <v>0</v>
      </c>
      <c r="Y3730" s="1">
        <f t="shared" si="117"/>
        <v>0</v>
      </c>
    </row>
    <row r="3731" spans="24:25" x14ac:dyDescent="0.3">
      <c r="X3731" s="1">
        <f t="shared" si="116"/>
        <v>0</v>
      </c>
      <c r="Y3731" s="1">
        <f t="shared" si="117"/>
        <v>0</v>
      </c>
    </row>
    <row r="3732" spans="24:25" x14ac:dyDescent="0.3">
      <c r="X3732" s="1">
        <f t="shared" si="116"/>
        <v>0</v>
      </c>
      <c r="Y3732" s="1">
        <f t="shared" si="117"/>
        <v>0</v>
      </c>
    </row>
    <row r="3733" spans="24:25" x14ac:dyDescent="0.3">
      <c r="X3733" s="1">
        <f t="shared" si="116"/>
        <v>0</v>
      </c>
      <c r="Y3733" s="1">
        <f t="shared" si="117"/>
        <v>0</v>
      </c>
    </row>
    <row r="3734" spans="24:25" x14ac:dyDescent="0.3">
      <c r="X3734" s="1">
        <f t="shared" si="116"/>
        <v>0</v>
      </c>
      <c r="Y3734" s="1">
        <f t="shared" si="117"/>
        <v>0</v>
      </c>
    </row>
    <row r="3735" spans="24:25" x14ac:dyDescent="0.3">
      <c r="X3735" s="1">
        <f t="shared" si="116"/>
        <v>0</v>
      </c>
      <c r="Y3735" s="1">
        <f t="shared" si="117"/>
        <v>0</v>
      </c>
    </row>
    <row r="3736" spans="24:25" x14ac:dyDescent="0.3">
      <c r="X3736" s="1">
        <f t="shared" si="116"/>
        <v>0</v>
      </c>
      <c r="Y3736" s="1">
        <f t="shared" si="117"/>
        <v>0</v>
      </c>
    </row>
    <row r="3737" spans="24:25" x14ac:dyDescent="0.3">
      <c r="X3737" s="1">
        <f t="shared" si="116"/>
        <v>0</v>
      </c>
      <c r="Y3737" s="1">
        <f t="shared" si="117"/>
        <v>0</v>
      </c>
    </row>
    <row r="3738" spans="24:25" x14ac:dyDescent="0.3">
      <c r="X3738" s="1">
        <f t="shared" si="116"/>
        <v>0</v>
      </c>
      <c r="Y3738" s="1">
        <f t="shared" si="117"/>
        <v>0</v>
      </c>
    </row>
    <row r="3739" spans="24:25" x14ac:dyDescent="0.3">
      <c r="X3739" s="1">
        <f t="shared" si="116"/>
        <v>0</v>
      </c>
      <c r="Y3739" s="1">
        <f t="shared" si="117"/>
        <v>0</v>
      </c>
    </row>
    <row r="3740" spans="24:25" x14ac:dyDescent="0.3">
      <c r="X3740" s="1">
        <f t="shared" si="116"/>
        <v>0</v>
      </c>
      <c r="Y3740" s="1">
        <f t="shared" si="117"/>
        <v>0</v>
      </c>
    </row>
    <row r="3741" spans="24:25" x14ac:dyDescent="0.3">
      <c r="X3741" s="1">
        <f t="shared" si="116"/>
        <v>0</v>
      </c>
      <c r="Y3741" s="1">
        <f t="shared" si="117"/>
        <v>0</v>
      </c>
    </row>
    <row r="3742" spans="24:25" x14ac:dyDescent="0.3">
      <c r="X3742" s="1">
        <f t="shared" si="116"/>
        <v>0</v>
      </c>
      <c r="Y3742" s="1">
        <f t="shared" si="117"/>
        <v>0</v>
      </c>
    </row>
    <row r="3743" spans="24:25" x14ac:dyDescent="0.3">
      <c r="X3743" s="1">
        <f t="shared" si="116"/>
        <v>0</v>
      </c>
      <c r="Y3743" s="1">
        <f t="shared" si="117"/>
        <v>0</v>
      </c>
    </row>
    <row r="3744" spans="24:25" x14ac:dyDescent="0.3">
      <c r="X3744" s="1">
        <f t="shared" si="116"/>
        <v>0</v>
      </c>
      <c r="Y3744" s="1">
        <f t="shared" si="117"/>
        <v>0</v>
      </c>
    </row>
    <row r="3745" spans="24:25" x14ac:dyDescent="0.3">
      <c r="X3745" s="1">
        <f t="shared" si="116"/>
        <v>0</v>
      </c>
      <c r="Y3745" s="1">
        <f t="shared" si="117"/>
        <v>0</v>
      </c>
    </row>
    <row r="3746" spans="24:25" x14ac:dyDescent="0.3">
      <c r="X3746" s="1">
        <f t="shared" si="116"/>
        <v>0</v>
      </c>
      <c r="Y3746" s="1">
        <f t="shared" si="117"/>
        <v>0</v>
      </c>
    </row>
    <row r="3747" spans="24:25" x14ac:dyDescent="0.3">
      <c r="X3747" s="1">
        <f t="shared" si="116"/>
        <v>0</v>
      </c>
      <c r="Y3747" s="1">
        <f t="shared" si="117"/>
        <v>0</v>
      </c>
    </row>
    <row r="3748" spans="24:25" x14ac:dyDescent="0.3">
      <c r="X3748" s="1">
        <f t="shared" si="116"/>
        <v>0</v>
      </c>
      <c r="Y3748" s="1">
        <f t="shared" si="117"/>
        <v>0</v>
      </c>
    </row>
    <row r="3749" spans="24:25" x14ac:dyDescent="0.3">
      <c r="X3749" s="1">
        <f t="shared" si="116"/>
        <v>0</v>
      </c>
      <c r="Y3749" s="1">
        <f t="shared" si="117"/>
        <v>0</v>
      </c>
    </row>
    <row r="3750" spans="24:25" x14ac:dyDescent="0.3">
      <c r="X3750" s="1">
        <f t="shared" si="116"/>
        <v>0</v>
      </c>
      <c r="Y3750" s="1">
        <f t="shared" si="117"/>
        <v>0</v>
      </c>
    </row>
    <row r="3751" spans="24:25" x14ac:dyDescent="0.3">
      <c r="X3751" s="1">
        <f t="shared" si="116"/>
        <v>0</v>
      </c>
      <c r="Y3751" s="1">
        <f t="shared" si="117"/>
        <v>0</v>
      </c>
    </row>
    <row r="3752" spans="24:25" x14ac:dyDescent="0.3">
      <c r="X3752" s="1">
        <f t="shared" si="116"/>
        <v>0</v>
      </c>
      <c r="Y3752" s="1">
        <f t="shared" si="117"/>
        <v>0</v>
      </c>
    </row>
    <row r="3753" spans="24:25" x14ac:dyDescent="0.3">
      <c r="X3753" s="1">
        <f t="shared" si="116"/>
        <v>0</v>
      </c>
      <c r="Y3753" s="1">
        <f t="shared" si="117"/>
        <v>0</v>
      </c>
    </row>
    <row r="3754" spans="24:25" x14ac:dyDescent="0.3">
      <c r="X3754" s="1">
        <f t="shared" si="116"/>
        <v>0</v>
      </c>
      <c r="Y3754" s="1">
        <f t="shared" si="117"/>
        <v>0</v>
      </c>
    </row>
    <row r="3755" spans="24:25" x14ac:dyDescent="0.3">
      <c r="X3755" s="1">
        <f t="shared" si="116"/>
        <v>0</v>
      </c>
      <c r="Y3755" s="1">
        <f t="shared" si="117"/>
        <v>0</v>
      </c>
    </row>
    <row r="3756" spans="24:25" x14ac:dyDescent="0.3">
      <c r="X3756" s="1">
        <f t="shared" si="116"/>
        <v>0</v>
      </c>
      <c r="Y3756" s="1">
        <f t="shared" si="117"/>
        <v>0</v>
      </c>
    </row>
    <row r="3757" spans="24:25" x14ac:dyDescent="0.3">
      <c r="X3757" s="1">
        <f t="shared" si="116"/>
        <v>0</v>
      </c>
      <c r="Y3757" s="1">
        <f t="shared" si="117"/>
        <v>0</v>
      </c>
    </row>
    <row r="3758" spans="24:25" x14ac:dyDescent="0.3">
      <c r="X3758" s="1">
        <f t="shared" si="116"/>
        <v>0</v>
      </c>
      <c r="Y3758" s="1">
        <f t="shared" si="117"/>
        <v>0</v>
      </c>
    </row>
    <row r="3759" spans="24:25" x14ac:dyDescent="0.3">
      <c r="X3759" s="1">
        <f t="shared" si="116"/>
        <v>0</v>
      </c>
      <c r="Y3759" s="1">
        <f t="shared" si="117"/>
        <v>0</v>
      </c>
    </row>
    <row r="3760" spans="24:25" x14ac:dyDescent="0.3">
      <c r="X3760" s="1">
        <f t="shared" si="116"/>
        <v>0</v>
      </c>
      <c r="Y3760" s="1">
        <f t="shared" si="117"/>
        <v>0</v>
      </c>
    </row>
    <row r="3761" spans="24:25" x14ac:dyDescent="0.3">
      <c r="X3761" s="1">
        <f t="shared" si="116"/>
        <v>0</v>
      </c>
      <c r="Y3761" s="1">
        <f t="shared" si="117"/>
        <v>0</v>
      </c>
    </row>
    <row r="3762" spans="24:25" x14ac:dyDescent="0.3">
      <c r="X3762" s="1">
        <f t="shared" si="116"/>
        <v>0</v>
      </c>
      <c r="Y3762" s="1">
        <f t="shared" si="117"/>
        <v>0</v>
      </c>
    </row>
    <row r="3763" spans="24:25" x14ac:dyDescent="0.3">
      <c r="X3763" s="1">
        <f t="shared" si="116"/>
        <v>0</v>
      </c>
      <c r="Y3763" s="1">
        <f t="shared" si="117"/>
        <v>0</v>
      </c>
    </row>
    <row r="3764" spans="24:25" x14ac:dyDescent="0.3">
      <c r="X3764" s="1">
        <f t="shared" si="116"/>
        <v>0</v>
      </c>
      <c r="Y3764" s="1">
        <f t="shared" si="117"/>
        <v>0</v>
      </c>
    </row>
    <row r="3765" spans="24:25" x14ac:dyDescent="0.3">
      <c r="X3765" s="1">
        <f t="shared" si="116"/>
        <v>0</v>
      </c>
      <c r="Y3765" s="1">
        <f t="shared" si="117"/>
        <v>0</v>
      </c>
    </row>
    <row r="3766" spans="24:25" x14ac:dyDescent="0.3">
      <c r="X3766" s="1">
        <f t="shared" si="116"/>
        <v>0</v>
      </c>
      <c r="Y3766" s="1">
        <f t="shared" si="117"/>
        <v>0</v>
      </c>
    </row>
    <row r="3767" spans="24:25" x14ac:dyDescent="0.3">
      <c r="X3767" s="1">
        <f t="shared" si="116"/>
        <v>0</v>
      </c>
      <c r="Y3767" s="1">
        <f t="shared" si="117"/>
        <v>0</v>
      </c>
    </row>
    <row r="3768" spans="24:25" x14ac:dyDescent="0.3">
      <c r="X3768" s="1">
        <f t="shared" si="116"/>
        <v>0</v>
      </c>
      <c r="Y3768" s="1">
        <f t="shared" si="117"/>
        <v>0</v>
      </c>
    </row>
    <row r="3769" spans="24:25" x14ac:dyDescent="0.3">
      <c r="X3769" s="1">
        <f t="shared" si="116"/>
        <v>0</v>
      </c>
      <c r="Y3769" s="1">
        <f t="shared" si="117"/>
        <v>0</v>
      </c>
    </row>
    <row r="3770" spans="24:25" x14ac:dyDescent="0.3">
      <c r="X3770" s="1">
        <f t="shared" si="116"/>
        <v>0</v>
      </c>
      <c r="Y3770" s="1">
        <f t="shared" si="117"/>
        <v>0</v>
      </c>
    </row>
    <row r="3771" spans="24:25" x14ac:dyDescent="0.3">
      <c r="X3771" s="1">
        <f t="shared" si="116"/>
        <v>0</v>
      </c>
      <c r="Y3771" s="1">
        <f t="shared" si="117"/>
        <v>0</v>
      </c>
    </row>
    <row r="3772" spans="24:25" x14ac:dyDescent="0.3">
      <c r="X3772" s="1">
        <f t="shared" si="116"/>
        <v>0</v>
      </c>
      <c r="Y3772" s="1">
        <f t="shared" si="117"/>
        <v>0</v>
      </c>
    </row>
    <row r="3773" spans="24:25" x14ac:dyDescent="0.3">
      <c r="X3773" s="1">
        <f t="shared" si="116"/>
        <v>0</v>
      </c>
      <c r="Y3773" s="1">
        <f t="shared" si="117"/>
        <v>0</v>
      </c>
    </row>
    <row r="3774" spans="24:25" x14ac:dyDescent="0.3">
      <c r="X3774" s="1">
        <f t="shared" si="116"/>
        <v>0</v>
      </c>
      <c r="Y3774" s="1">
        <f t="shared" si="117"/>
        <v>0</v>
      </c>
    </row>
    <row r="3775" spans="24:25" x14ac:dyDescent="0.3">
      <c r="X3775" s="1">
        <f t="shared" si="116"/>
        <v>0</v>
      </c>
      <c r="Y3775" s="1">
        <f t="shared" si="117"/>
        <v>0</v>
      </c>
    </row>
    <row r="3776" spans="24:25" x14ac:dyDescent="0.3">
      <c r="X3776" s="1">
        <f t="shared" si="116"/>
        <v>0</v>
      </c>
      <c r="Y3776" s="1">
        <f t="shared" si="117"/>
        <v>0</v>
      </c>
    </row>
    <row r="3777" spans="24:25" x14ac:dyDescent="0.3">
      <c r="X3777" s="1">
        <f t="shared" si="116"/>
        <v>0</v>
      </c>
      <c r="Y3777" s="1">
        <f t="shared" si="117"/>
        <v>0</v>
      </c>
    </row>
    <row r="3778" spans="24:25" x14ac:dyDescent="0.3">
      <c r="X3778" s="1">
        <f t="shared" si="116"/>
        <v>0</v>
      </c>
      <c r="Y3778" s="1">
        <f t="shared" si="117"/>
        <v>0</v>
      </c>
    </row>
    <row r="3779" spans="24:25" x14ac:dyDescent="0.3">
      <c r="X3779" s="1">
        <f t="shared" ref="X3779:X3842" si="118">IFERROR(MATCH(W3779,$B:$B,0),0)</f>
        <v>0</v>
      </c>
      <c r="Y3779" s="1">
        <f t="shared" ref="Y3779:Y3842" si="119">IF(X3780=0,COUNTA(A:A),X3780-1)</f>
        <v>0</v>
      </c>
    </row>
    <row r="3780" spans="24:25" x14ac:dyDescent="0.3">
      <c r="X3780" s="1">
        <f t="shared" si="118"/>
        <v>0</v>
      </c>
      <c r="Y3780" s="1">
        <f t="shared" si="119"/>
        <v>0</v>
      </c>
    </row>
    <row r="3781" spans="24:25" x14ac:dyDescent="0.3">
      <c r="X3781" s="1">
        <f t="shared" si="118"/>
        <v>0</v>
      </c>
      <c r="Y3781" s="1">
        <f t="shared" si="119"/>
        <v>0</v>
      </c>
    </row>
    <row r="3782" spans="24:25" x14ac:dyDescent="0.3">
      <c r="X3782" s="1">
        <f t="shared" si="118"/>
        <v>0</v>
      </c>
      <c r="Y3782" s="1">
        <f t="shared" si="119"/>
        <v>0</v>
      </c>
    </row>
    <row r="3783" spans="24:25" x14ac:dyDescent="0.3">
      <c r="X3783" s="1">
        <f t="shared" si="118"/>
        <v>0</v>
      </c>
      <c r="Y3783" s="1">
        <f t="shared" si="119"/>
        <v>0</v>
      </c>
    </row>
    <row r="3784" spans="24:25" x14ac:dyDescent="0.3">
      <c r="X3784" s="1">
        <f t="shared" si="118"/>
        <v>0</v>
      </c>
      <c r="Y3784" s="1">
        <f t="shared" si="119"/>
        <v>0</v>
      </c>
    </row>
    <row r="3785" spans="24:25" x14ac:dyDescent="0.3">
      <c r="X3785" s="1">
        <f t="shared" si="118"/>
        <v>0</v>
      </c>
      <c r="Y3785" s="1">
        <f t="shared" si="119"/>
        <v>0</v>
      </c>
    </row>
    <row r="3786" spans="24:25" x14ac:dyDescent="0.3">
      <c r="X3786" s="1">
        <f t="shared" si="118"/>
        <v>0</v>
      </c>
      <c r="Y3786" s="1">
        <f t="shared" si="119"/>
        <v>0</v>
      </c>
    </row>
    <row r="3787" spans="24:25" x14ac:dyDescent="0.3">
      <c r="X3787" s="1">
        <f t="shared" si="118"/>
        <v>0</v>
      </c>
      <c r="Y3787" s="1">
        <f t="shared" si="119"/>
        <v>0</v>
      </c>
    </row>
    <row r="3788" spans="24:25" x14ac:dyDescent="0.3">
      <c r="X3788" s="1">
        <f t="shared" si="118"/>
        <v>0</v>
      </c>
      <c r="Y3788" s="1">
        <f t="shared" si="119"/>
        <v>0</v>
      </c>
    </row>
    <row r="3789" spans="24:25" x14ac:dyDescent="0.3">
      <c r="X3789" s="1">
        <f t="shared" si="118"/>
        <v>0</v>
      </c>
      <c r="Y3789" s="1">
        <f t="shared" si="119"/>
        <v>0</v>
      </c>
    </row>
    <row r="3790" spans="24:25" x14ac:dyDescent="0.3">
      <c r="X3790" s="1">
        <f t="shared" si="118"/>
        <v>0</v>
      </c>
      <c r="Y3790" s="1">
        <f t="shared" si="119"/>
        <v>0</v>
      </c>
    </row>
    <row r="3791" spans="24:25" x14ac:dyDescent="0.3">
      <c r="X3791" s="1">
        <f t="shared" si="118"/>
        <v>0</v>
      </c>
      <c r="Y3791" s="1">
        <f t="shared" si="119"/>
        <v>0</v>
      </c>
    </row>
    <row r="3792" spans="24:25" x14ac:dyDescent="0.3">
      <c r="X3792" s="1">
        <f t="shared" si="118"/>
        <v>0</v>
      </c>
      <c r="Y3792" s="1">
        <f t="shared" si="119"/>
        <v>0</v>
      </c>
    </row>
    <row r="3793" spans="24:25" x14ac:dyDescent="0.3">
      <c r="X3793" s="1">
        <f t="shared" si="118"/>
        <v>0</v>
      </c>
      <c r="Y3793" s="1">
        <f t="shared" si="119"/>
        <v>0</v>
      </c>
    </row>
    <row r="3794" spans="24:25" x14ac:dyDescent="0.3">
      <c r="X3794" s="1">
        <f t="shared" si="118"/>
        <v>0</v>
      </c>
      <c r="Y3794" s="1">
        <f t="shared" si="119"/>
        <v>0</v>
      </c>
    </row>
    <row r="3795" spans="24:25" x14ac:dyDescent="0.3">
      <c r="X3795" s="1">
        <f t="shared" si="118"/>
        <v>0</v>
      </c>
      <c r="Y3795" s="1">
        <f t="shared" si="119"/>
        <v>0</v>
      </c>
    </row>
    <row r="3796" spans="24:25" x14ac:dyDescent="0.3">
      <c r="X3796" s="1">
        <f t="shared" si="118"/>
        <v>0</v>
      </c>
      <c r="Y3796" s="1">
        <f t="shared" si="119"/>
        <v>0</v>
      </c>
    </row>
    <row r="3797" spans="24:25" x14ac:dyDescent="0.3">
      <c r="X3797" s="1">
        <f t="shared" si="118"/>
        <v>0</v>
      </c>
      <c r="Y3797" s="1">
        <f t="shared" si="119"/>
        <v>0</v>
      </c>
    </row>
    <row r="3798" spans="24:25" x14ac:dyDescent="0.3">
      <c r="X3798" s="1">
        <f t="shared" si="118"/>
        <v>0</v>
      </c>
      <c r="Y3798" s="1">
        <f t="shared" si="119"/>
        <v>0</v>
      </c>
    </row>
    <row r="3799" spans="24:25" x14ac:dyDescent="0.3">
      <c r="X3799" s="1">
        <f t="shared" si="118"/>
        <v>0</v>
      </c>
      <c r="Y3799" s="1">
        <f t="shared" si="119"/>
        <v>0</v>
      </c>
    </row>
    <row r="3800" spans="24:25" x14ac:dyDescent="0.3">
      <c r="X3800" s="1">
        <f t="shared" si="118"/>
        <v>0</v>
      </c>
      <c r="Y3800" s="1">
        <f t="shared" si="119"/>
        <v>0</v>
      </c>
    </row>
    <row r="3801" spans="24:25" x14ac:dyDescent="0.3">
      <c r="X3801" s="1">
        <f t="shared" si="118"/>
        <v>0</v>
      </c>
      <c r="Y3801" s="1">
        <f t="shared" si="119"/>
        <v>0</v>
      </c>
    </row>
    <row r="3802" spans="24:25" x14ac:dyDescent="0.3">
      <c r="X3802" s="1">
        <f t="shared" si="118"/>
        <v>0</v>
      </c>
      <c r="Y3802" s="1">
        <f t="shared" si="119"/>
        <v>0</v>
      </c>
    </row>
    <row r="3803" spans="24:25" x14ac:dyDescent="0.3">
      <c r="X3803" s="1">
        <f t="shared" si="118"/>
        <v>0</v>
      </c>
      <c r="Y3803" s="1">
        <f t="shared" si="119"/>
        <v>0</v>
      </c>
    </row>
    <row r="3804" spans="24:25" x14ac:dyDescent="0.3">
      <c r="X3804" s="1">
        <f t="shared" si="118"/>
        <v>0</v>
      </c>
      <c r="Y3804" s="1">
        <f t="shared" si="119"/>
        <v>0</v>
      </c>
    </row>
    <row r="3805" spans="24:25" x14ac:dyDescent="0.3">
      <c r="X3805" s="1">
        <f t="shared" si="118"/>
        <v>0</v>
      </c>
      <c r="Y3805" s="1">
        <f t="shared" si="119"/>
        <v>0</v>
      </c>
    </row>
    <row r="3806" spans="24:25" x14ac:dyDescent="0.3">
      <c r="X3806" s="1">
        <f t="shared" si="118"/>
        <v>0</v>
      </c>
      <c r="Y3806" s="1">
        <f t="shared" si="119"/>
        <v>0</v>
      </c>
    </row>
    <row r="3807" spans="24:25" x14ac:dyDescent="0.3">
      <c r="X3807" s="1">
        <f t="shared" si="118"/>
        <v>0</v>
      </c>
      <c r="Y3807" s="1">
        <f t="shared" si="119"/>
        <v>0</v>
      </c>
    </row>
    <row r="3808" spans="24:25" x14ac:dyDescent="0.3">
      <c r="X3808" s="1">
        <f t="shared" si="118"/>
        <v>0</v>
      </c>
      <c r="Y3808" s="1">
        <f t="shared" si="119"/>
        <v>0</v>
      </c>
    </row>
    <row r="3809" spans="24:25" x14ac:dyDescent="0.3">
      <c r="X3809" s="1">
        <f t="shared" si="118"/>
        <v>0</v>
      </c>
      <c r="Y3809" s="1">
        <f t="shared" si="119"/>
        <v>0</v>
      </c>
    </row>
    <row r="3810" spans="24:25" x14ac:dyDescent="0.3">
      <c r="X3810" s="1">
        <f t="shared" si="118"/>
        <v>0</v>
      </c>
      <c r="Y3810" s="1">
        <f t="shared" si="119"/>
        <v>0</v>
      </c>
    </row>
    <row r="3811" spans="24:25" x14ac:dyDescent="0.3">
      <c r="X3811" s="1">
        <f t="shared" si="118"/>
        <v>0</v>
      </c>
      <c r="Y3811" s="1">
        <f t="shared" si="119"/>
        <v>0</v>
      </c>
    </row>
    <row r="3812" spans="24:25" x14ac:dyDescent="0.3">
      <c r="X3812" s="1">
        <f t="shared" si="118"/>
        <v>0</v>
      </c>
      <c r="Y3812" s="1">
        <f t="shared" si="119"/>
        <v>0</v>
      </c>
    </row>
    <row r="3813" spans="24:25" x14ac:dyDescent="0.3">
      <c r="X3813" s="1">
        <f t="shared" si="118"/>
        <v>0</v>
      </c>
      <c r="Y3813" s="1">
        <f t="shared" si="119"/>
        <v>0</v>
      </c>
    </row>
    <row r="3814" spans="24:25" x14ac:dyDescent="0.3">
      <c r="X3814" s="1">
        <f t="shared" si="118"/>
        <v>0</v>
      </c>
      <c r="Y3814" s="1">
        <f t="shared" si="119"/>
        <v>0</v>
      </c>
    </row>
    <row r="3815" spans="24:25" x14ac:dyDescent="0.3">
      <c r="X3815" s="1">
        <f t="shared" si="118"/>
        <v>0</v>
      </c>
      <c r="Y3815" s="1">
        <f t="shared" si="119"/>
        <v>0</v>
      </c>
    </row>
    <row r="3816" spans="24:25" x14ac:dyDescent="0.3">
      <c r="X3816" s="1">
        <f t="shared" si="118"/>
        <v>0</v>
      </c>
      <c r="Y3816" s="1">
        <f t="shared" si="119"/>
        <v>0</v>
      </c>
    </row>
    <row r="3817" spans="24:25" x14ac:dyDescent="0.3">
      <c r="X3817" s="1">
        <f t="shared" si="118"/>
        <v>0</v>
      </c>
      <c r="Y3817" s="1">
        <f t="shared" si="119"/>
        <v>0</v>
      </c>
    </row>
    <row r="3818" spans="24:25" x14ac:dyDescent="0.3">
      <c r="X3818" s="1">
        <f t="shared" si="118"/>
        <v>0</v>
      </c>
      <c r="Y3818" s="1">
        <f t="shared" si="119"/>
        <v>0</v>
      </c>
    </row>
    <row r="3819" spans="24:25" x14ac:dyDescent="0.3">
      <c r="X3819" s="1">
        <f t="shared" si="118"/>
        <v>0</v>
      </c>
      <c r="Y3819" s="1">
        <f t="shared" si="119"/>
        <v>0</v>
      </c>
    </row>
    <row r="3820" spans="24:25" x14ac:dyDescent="0.3">
      <c r="X3820" s="1">
        <f t="shared" si="118"/>
        <v>0</v>
      </c>
      <c r="Y3820" s="1">
        <f t="shared" si="119"/>
        <v>0</v>
      </c>
    </row>
    <row r="3821" spans="24:25" x14ac:dyDescent="0.3">
      <c r="X3821" s="1">
        <f t="shared" si="118"/>
        <v>0</v>
      </c>
      <c r="Y3821" s="1">
        <f t="shared" si="119"/>
        <v>0</v>
      </c>
    </row>
    <row r="3822" spans="24:25" x14ac:dyDescent="0.3">
      <c r="X3822" s="1">
        <f t="shared" si="118"/>
        <v>0</v>
      </c>
      <c r="Y3822" s="1">
        <f t="shared" si="119"/>
        <v>0</v>
      </c>
    </row>
    <row r="3823" spans="24:25" x14ac:dyDescent="0.3">
      <c r="X3823" s="1">
        <f t="shared" si="118"/>
        <v>0</v>
      </c>
      <c r="Y3823" s="1">
        <f t="shared" si="119"/>
        <v>0</v>
      </c>
    </row>
    <row r="3824" spans="24:25" x14ac:dyDescent="0.3">
      <c r="X3824" s="1">
        <f t="shared" si="118"/>
        <v>0</v>
      </c>
      <c r="Y3824" s="1">
        <f t="shared" si="119"/>
        <v>0</v>
      </c>
    </row>
    <row r="3825" spans="24:25" x14ac:dyDescent="0.3">
      <c r="X3825" s="1">
        <f t="shared" si="118"/>
        <v>0</v>
      </c>
      <c r="Y3825" s="1">
        <f t="shared" si="119"/>
        <v>0</v>
      </c>
    </row>
    <row r="3826" spans="24:25" x14ac:dyDescent="0.3">
      <c r="X3826" s="1">
        <f t="shared" si="118"/>
        <v>0</v>
      </c>
      <c r="Y3826" s="1">
        <f t="shared" si="119"/>
        <v>0</v>
      </c>
    </row>
    <row r="3827" spans="24:25" x14ac:dyDescent="0.3">
      <c r="X3827" s="1">
        <f t="shared" si="118"/>
        <v>0</v>
      </c>
      <c r="Y3827" s="1">
        <f t="shared" si="119"/>
        <v>0</v>
      </c>
    </row>
    <row r="3828" spans="24:25" x14ac:dyDescent="0.3">
      <c r="X3828" s="1">
        <f t="shared" si="118"/>
        <v>0</v>
      </c>
      <c r="Y3828" s="1">
        <f t="shared" si="119"/>
        <v>0</v>
      </c>
    </row>
    <row r="3829" spans="24:25" x14ac:dyDescent="0.3">
      <c r="X3829" s="1">
        <f t="shared" si="118"/>
        <v>0</v>
      </c>
      <c r="Y3829" s="1">
        <f t="shared" si="119"/>
        <v>0</v>
      </c>
    </row>
    <row r="3830" spans="24:25" x14ac:dyDescent="0.3">
      <c r="X3830" s="1">
        <f t="shared" si="118"/>
        <v>0</v>
      </c>
      <c r="Y3830" s="1">
        <f t="shared" si="119"/>
        <v>0</v>
      </c>
    </row>
    <row r="3831" spans="24:25" x14ac:dyDescent="0.3">
      <c r="X3831" s="1">
        <f t="shared" si="118"/>
        <v>0</v>
      </c>
      <c r="Y3831" s="1">
        <f t="shared" si="119"/>
        <v>0</v>
      </c>
    </row>
    <row r="3832" spans="24:25" x14ac:dyDescent="0.3">
      <c r="X3832" s="1">
        <f t="shared" si="118"/>
        <v>0</v>
      </c>
      <c r="Y3832" s="1">
        <f t="shared" si="119"/>
        <v>0</v>
      </c>
    </row>
    <row r="3833" spans="24:25" x14ac:dyDescent="0.3">
      <c r="X3833" s="1">
        <f t="shared" si="118"/>
        <v>0</v>
      </c>
      <c r="Y3833" s="1">
        <f t="shared" si="119"/>
        <v>0</v>
      </c>
    </row>
    <row r="3834" spans="24:25" x14ac:dyDescent="0.3">
      <c r="X3834" s="1">
        <f t="shared" si="118"/>
        <v>0</v>
      </c>
      <c r="Y3834" s="1">
        <f t="shared" si="119"/>
        <v>0</v>
      </c>
    </row>
    <row r="3835" spans="24:25" x14ac:dyDescent="0.3">
      <c r="X3835" s="1">
        <f t="shared" si="118"/>
        <v>0</v>
      </c>
      <c r="Y3835" s="1">
        <f t="shared" si="119"/>
        <v>0</v>
      </c>
    </row>
    <row r="3836" spans="24:25" x14ac:dyDescent="0.3">
      <c r="X3836" s="1">
        <f t="shared" si="118"/>
        <v>0</v>
      </c>
      <c r="Y3836" s="1">
        <f t="shared" si="119"/>
        <v>0</v>
      </c>
    </row>
    <row r="3837" spans="24:25" x14ac:dyDescent="0.3">
      <c r="X3837" s="1">
        <f t="shared" si="118"/>
        <v>0</v>
      </c>
      <c r="Y3837" s="1">
        <f t="shared" si="119"/>
        <v>0</v>
      </c>
    </row>
    <row r="3838" spans="24:25" x14ac:dyDescent="0.3">
      <c r="X3838" s="1">
        <f t="shared" si="118"/>
        <v>0</v>
      </c>
      <c r="Y3838" s="1">
        <f t="shared" si="119"/>
        <v>0</v>
      </c>
    </row>
    <row r="3839" spans="24:25" x14ac:dyDescent="0.3">
      <c r="X3839" s="1">
        <f t="shared" si="118"/>
        <v>0</v>
      </c>
      <c r="Y3839" s="1">
        <f t="shared" si="119"/>
        <v>0</v>
      </c>
    </row>
    <row r="3840" spans="24:25" x14ac:dyDescent="0.3">
      <c r="X3840" s="1">
        <f t="shared" si="118"/>
        <v>0</v>
      </c>
      <c r="Y3840" s="1">
        <f t="shared" si="119"/>
        <v>0</v>
      </c>
    </row>
    <row r="3841" spans="24:25" x14ac:dyDescent="0.3">
      <c r="X3841" s="1">
        <f t="shared" si="118"/>
        <v>0</v>
      </c>
      <c r="Y3841" s="1">
        <f t="shared" si="119"/>
        <v>0</v>
      </c>
    </row>
    <row r="3842" spans="24:25" x14ac:dyDescent="0.3">
      <c r="X3842" s="1">
        <f t="shared" si="118"/>
        <v>0</v>
      </c>
      <c r="Y3842" s="1">
        <f t="shared" si="119"/>
        <v>0</v>
      </c>
    </row>
    <row r="3843" spans="24:25" x14ac:dyDescent="0.3">
      <c r="X3843" s="1">
        <f t="shared" ref="X3843:X3906" si="120">IFERROR(MATCH(W3843,$B:$B,0),0)</f>
        <v>0</v>
      </c>
      <c r="Y3843" s="1">
        <f t="shared" ref="Y3843:Y3906" si="121">IF(X3844=0,COUNTA(A:A),X3844-1)</f>
        <v>0</v>
      </c>
    </row>
    <row r="3844" spans="24:25" x14ac:dyDescent="0.3">
      <c r="X3844" s="1">
        <f t="shared" si="120"/>
        <v>0</v>
      </c>
      <c r="Y3844" s="1">
        <f t="shared" si="121"/>
        <v>0</v>
      </c>
    </row>
    <row r="3845" spans="24:25" x14ac:dyDescent="0.3">
      <c r="X3845" s="1">
        <f t="shared" si="120"/>
        <v>0</v>
      </c>
      <c r="Y3845" s="1">
        <f t="shared" si="121"/>
        <v>0</v>
      </c>
    </row>
    <row r="3846" spans="24:25" x14ac:dyDescent="0.3">
      <c r="X3846" s="1">
        <f t="shared" si="120"/>
        <v>0</v>
      </c>
      <c r="Y3846" s="1">
        <f t="shared" si="121"/>
        <v>0</v>
      </c>
    </row>
    <row r="3847" spans="24:25" x14ac:dyDescent="0.3">
      <c r="X3847" s="1">
        <f t="shared" si="120"/>
        <v>0</v>
      </c>
      <c r="Y3847" s="1">
        <f t="shared" si="121"/>
        <v>0</v>
      </c>
    </row>
    <row r="3848" spans="24:25" x14ac:dyDescent="0.3">
      <c r="X3848" s="1">
        <f t="shared" si="120"/>
        <v>0</v>
      </c>
      <c r="Y3848" s="1">
        <f t="shared" si="121"/>
        <v>0</v>
      </c>
    </row>
    <row r="3849" spans="24:25" x14ac:dyDescent="0.3">
      <c r="X3849" s="1">
        <f t="shared" si="120"/>
        <v>0</v>
      </c>
      <c r="Y3849" s="1">
        <f t="shared" si="121"/>
        <v>0</v>
      </c>
    </row>
    <row r="3850" spans="24:25" x14ac:dyDescent="0.3">
      <c r="X3850" s="1">
        <f t="shared" si="120"/>
        <v>0</v>
      </c>
      <c r="Y3850" s="1">
        <f t="shared" si="121"/>
        <v>0</v>
      </c>
    </row>
    <row r="3851" spans="24:25" x14ac:dyDescent="0.3">
      <c r="X3851" s="1">
        <f t="shared" si="120"/>
        <v>0</v>
      </c>
      <c r="Y3851" s="1">
        <f t="shared" si="121"/>
        <v>0</v>
      </c>
    </row>
    <row r="3852" spans="24:25" x14ac:dyDescent="0.3">
      <c r="X3852" s="1">
        <f t="shared" si="120"/>
        <v>0</v>
      </c>
      <c r="Y3852" s="1">
        <f t="shared" si="121"/>
        <v>0</v>
      </c>
    </row>
    <row r="3853" spans="24:25" x14ac:dyDescent="0.3">
      <c r="X3853" s="1">
        <f t="shared" si="120"/>
        <v>0</v>
      </c>
      <c r="Y3853" s="1">
        <f t="shared" si="121"/>
        <v>0</v>
      </c>
    </row>
    <row r="3854" spans="24:25" x14ac:dyDescent="0.3">
      <c r="X3854" s="1">
        <f t="shared" si="120"/>
        <v>0</v>
      </c>
      <c r="Y3854" s="1">
        <f t="shared" si="121"/>
        <v>0</v>
      </c>
    </row>
    <row r="3855" spans="24:25" x14ac:dyDescent="0.3">
      <c r="X3855" s="1">
        <f t="shared" si="120"/>
        <v>0</v>
      </c>
      <c r="Y3855" s="1">
        <f t="shared" si="121"/>
        <v>0</v>
      </c>
    </row>
    <row r="3856" spans="24:25" x14ac:dyDescent="0.3">
      <c r="X3856" s="1">
        <f t="shared" si="120"/>
        <v>0</v>
      </c>
      <c r="Y3856" s="1">
        <f t="shared" si="121"/>
        <v>0</v>
      </c>
    </row>
    <row r="3857" spans="24:25" x14ac:dyDescent="0.3">
      <c r="X3857" s="1">
        <f t="shared" si="120"/>
        <v>0</v>
      </c>
      <c r="Y3857" s="1">
        <f t="shared" si="121"/>
        <v>0</v>
      </c>
    </row>
    <row r="3858" spans="24:25" x14ac:dyDescent="0.3">
      <c r="X3858" s="1">
        <f t="shared" si="120"/>
        <v>0</v>
      </c>
      <c r="Y3858" s="1">
        <f t="shared" si="121"/>
        <v>0</v>
      </c>
    </row>
    <row r="3859" spans="24:25" x14ac:dyDescent="0.3">
      <c r="X3859" s="1">
        <f t="shared" si="120"/>
        <v>0</v>
      </c>
      <c r="Y3859" s="1">
        <f t="shared" si="121"/>
        <v>0</v>
      </c>
    </row>
    <row r="3860" spans="24:25" x14ac:dyDescent="0.3">
      <c r="X3860" s="1">
        <f t="shared" si="120"/>
        <v>0</v>
      </c>
      <c r="Y3860" s="1">
        <f t="shared" si="121"/>
        <v>0</v>
      </c>
    </row>
    <row r="3861" spans="24:25" x14ac:dyDescent="0.3">
      <c r="X3861" s="1">
        <f t="shared" si="120"/>
        <v>0</v>
      </c>
      <c r="Y3861" s="1">
        <f t="shared" si="121"/>
        <v>0</v>
      </c>
    </row>
    <row r="3862" spans="24:25" x14ac:dyDescent="0.3">
      <c r="X3862" s="1">
        <f t="shared" si="120"/>
        <v>0</v>
      </c>
      <c r="Y3862" s="1">
        <f t="shared" si="121"/>
        <v>0</v>
      </c>
    </row>
    <row r="3863" spans="24:25" x14ac:dyDescent="0.3">
      <c r="X3863" s="1">
        <f t="shared" si="120"/>
        <v>0</v>
      </c>
      <c r="Y3863" s="1">
        <f t="shared" si="121"/>
        <v>0</v>
      </c>
    </row>
    <row r="3864" spans="24:25" x14ac:dyDescent="0.3">
      <c r="X3864" s="1">
        <f t="shared" si="120"/>
        <v>0</v>
      </c>
      <c r="Y3864" s="1">
        <f t="shared" si="121"/>
        <v>0</v>
      </c>
    </row>
    <row r="3865" spans="24:25" x14ac:dyDescent="0.3">
      <c r="X3865" s="1">
        <f t="shared" si="120"/>
        <v>0</v>
      </c>
      <c r="Y3865" s="1">
        <f t="shared" si="121"/>
        <v>0</v>
      </c>
    </row>
    <row r="3866" spans="24:25" x14ac:dyDescent="0.3">
      <c r="X3866" s="1">
        <f t="shared" si="120"/>
        <v>0</v>
      </c>
      <c r="Y3866" s="1">
        <f t="shared" si="121"/>
        <v>0</v>
      </c>
    </row>
    <row r="3867" spans="24:25" x14ac:dyDescent="0.3">
      <c r="X3867" s="1">
        <f t="shared" si="120"/>
        <v>0</v>
      </c>
      <c r="Y3867" s="1">
        <f t="shared" si="121"/>
        <v>0</v>
      </c>
    </row>
    <row r="3868" spans="24:25" x14ac:dyDescent="0.3">
      <c r="X3868" s="1">
        <f t="shared" si="120"/>
        <v>0</v>
      </c>
      <c r="Y3868" s="1">
        <f t="shared" si="121"/>
        <v>0</v>
      </c>
    </row>
    <row r="3869" spans="24:25" x14ac:dyDescent="0.3">
      <c r="X3869" s="1">
        <f t="shared" si="120"/>
        <v>0</v>
      </c>
      <c r="Y3869" s="1">
        <f t="shared" si="121"/>
        <v>0</v>
      </c>
    </row>
    <row r="3870" spans="24:25" x14ac:dyDescent="0.3">
      <c r="X3870" s="1">
        <f t="shared" si="120"/>
        <v>0</v>
      </c>
      <c r="Y3870" s="1">
        <f t="shared" si="121"/>
        <v>0</v>
      </c>
    </row>
    <row r="3871" spans="24:25" x14ac:dyDescent="0.3">
      <c r="X3871" s="1">
        <f t="shared" si="120"/>
        <v>0</v>
      </c>
      <c r="Y3871" s="1">
        <f t="shared" si="121"/>
        <v>0</v>
      </c>
    </row>
    <row r="3872" spans="24:25" x14ac:dyDescent="0.3">
      <c r="X3872" s="1">
        <f t="shared" si="120"/>
        <v>0</v>
      </c>
      <c r="Y3872" s="1">
        <f t="shared" si="121"/>
        <v>0</v>
      </c>
    </row>
    <row r="3873" spans="24:25" x14ac:dyDescent="0.3">
      <c r="X3873" s="1">
        <f t="shared" si="120"/>
        <v>0</v>
      </c>
      <c r="Y3873" s="1">
        <f t="shared" si="121"/>
        <v>0</v>
      </c>
    </row>
    <row r="3874" spans="24:25" x14ac:dyDescent="0.3">
      <c r="X3874" s="1">
        <f t="shared" si="120"/>
        <v>0</v>
      </c>
      <c r="Y3874" s="1">
        <f t="shared" si="121"/>
        <v>0</v>
      </c>
    </row>
    <row r="3875" spans="24:25" x14ac:dyDescent="0.3">
      <c r="X3875" s="1">
        <f t="shared" si="120"/>
        <v>0</v>
      </c>
      <c r="Y3875" s="1">
        <f t="shared" si="121"/>
        <v>0</v>
      </c>
    </row>
    <row r="3876" spans="24:25" x14ac:dyDescent="0.3">
      <c r="X3876" s="1">
        <f t="shared" si="120"/>
        <v>0</v>
      </c>
      <c r="Y3876" s="1">
        <f t="shared" si="121"/>
        <v>0</v>
      </c>
    </row>
    <row r="3877" spans="24:25" x14ac:dyDescent="0.3">
      <c r="X3877" s="1">
        <f t="shared" si="120"/>
        <v>0</v>
      </c>
      <c r="Y3877" s="1">
        <f t="shared" si="121"/>
        <v>0</v>
      </c>
    </row>
    <row r="3878" spans="24:25" x14ac:dyDescent="0.3">
      <c r="X3878" s="1">
        <f t="shared" si="120"/>
        <v>0</v>
      </c>
      <c r="Y3878" s="1">
        <f t="shared" si="121"/>
        <v>0</v>
      </c>
    </row>
    <row r="3879" spans="24:25" x14ac:dyDescent="0.3">
      <c r="X3879" s="1">
        <f t="shared" si="120"/>
        <v>0</v>
      </c>
      <c r="Y3879" s="1">
        <f t="shared" si="121"/>
        <v>0</v>
      </c>
    </row>
    <row r="3880" spans="24:25" x14ac:dyDescent="0.3">
      <c r="X3880" s="1">
        <f t="shared" si="120"/>
        <v>0</v>
      </c>
      <c r="Y3880" s="1">
        <f t="shared" si="121"/>
        <v>0</v>
      </c>
    </row>
    <row r="3881" spans="24:25" x14ac:dyDescent="0.3">
      <c r="X3881" s="1">
        <f t="shared" si="120"/>
        <v>0</v>
      </c>
      <c r="Y3881" s="1">
        <f t="shared" si="121"/>
        <v>0</v>
      </c>
    </row>
    <row r="3882" spans="24:25" x14ac:dyDescent="0.3">
      <c r="X3882" s="1">
        <f t="shared" si="120"/>
        <v>0</v>
      </c>
      <c r="Y3882" s="1">
        <f t="shared" si="121"/>
        <v>0</v>
      </c>
    </row>
    <row r="3883" spans="24:25" x14ac:dyDescent="0.3">
      <c r="X3883" s="1">
        <f t="shared" si="120"/>
        <v>0</v>
      </c>
      <c r="Y3883" s="1">
        <f t="shared" si="121"/>
        <v>0</v>
      </c>
    </row>
    <row r="3884" spans="24:25" x14ac:dyDescent="0.3">
      <c r="X3884" s="1">
        <f t="shared" si="120"/>
        <v>0</v>
      </c>
      <c r="Y3884" s="1">
        <f t="shared" si="121"/>
        <v>0</v>
      </c>
    </row>
    <row r="3885" spans="24:25" x14ac:dyDescent="0.3">
      <c r="X3885" s="1">
        <f t="shared" si="120"/>
        <v>0</v>
      </c>
      <c r="Y3885" s="1">
        <f t="shared" si="121"/>
        <v>0</v>
      </c>
    </row>
    <row r="3886" spans="24:25" x14ac:dyDescent="0.3">
      <c r="X3886" s="1">
        <f t="shared" si="120"/>
        <v>0</v>
      </c>
      <c r="Y3886" s="1">
        <f t="shared" si="121"/>
        <v>0</v>
      </c>
    </row>
    <row r="3887" spans="24:25" x14ac:dyDescent="0.3">
      <c r="X3887" s="1">
        <f t="shared" si="120"/>
        <v>0</v>
      </c>
      <c r="Y3887" s="1">
        <f t="shared" si="121"/>
        <v>0</v>
      </c>
    </row>
    <row r="3888" spans="24:25" x14ac:dyDescent="0.3">
      <c r="X3888" s="1">
        <f t="shared" si="120"/>
        <v>0</v>
      </c>
      <c r="Y3888" s="1">
        <f t="shared" si="121"/>
        <v>0</v>
      </c>
    </row>
    <row r="3889" spans="24:25" x14ac:dyDescent="0.3">
      <c r="X3889" s="1">
        <f t="shared" si="120"/>
        <v>0</v>
      </c>
      <c r="Y3889" s="1">
        <f t="shared" si="121"/>
        <v>0</v>
      </c>
    </row>
    <row r="3890" spans="24:25" x14ac:dyDescent="0.3">
      <c r="X3890" s="1">
        <f t="shared" si="120"/>
        <v>0</v>
      </c>
      <c r="Y3890" s="1">
        <f t="shared" si="121"/>
        <v>0</v>
      </c>
    </row>
    <row r="3891" spans="24:25" x14ac:dyDescent="0.3">
      <c r="X3891" s="1">
        <f t="shared" si="120"/>
        <v>0</v>
      </c>
      <c r="Y3891" s="1">
        <f t="shared" si="121"/>
        <v>0</v>
      </c>
    </row>
    <row r="3892" spans="24:25" x14ac:dyDescent="0.3">
      <c r="X3892" s="1">
        <f t="shared" si="120"/>
        <v>0</v>
      </c>
      <c r="Y3892" s="1">
        <f t="shared" si="121"/>
        <v>0</v>
      </c>
    </row>
    <row r="3893" spans="24:25" x14ac:dyDescent="0.3">
      <c r="X3893" s="1">
        <f t="shared" si="120"/>
        <v>0</v>
      </c>
      <c r="Y3893" s="1">
        <f t="shared" si="121"/>
        <v>0</v>
      </c>
    </row>
    <row r="3894" spans="24:25" x14ac:dyDescent="0.3">
      <c r="X3894" s="1">
        <f t="shared" si="120"/>
        <v>0</v>
      </c>
      <c r="Y3894" s="1">
        <f t="shared" si="121"/>
        <v>0</v>
      </c>
    </row>
    <row r="3895" spans="24:25" x14ac:dyDescent="0.3">
      <c r="X3895" s="1">
        <f t="shared" si="120"/>
        <v>0</v>
      </c>
      <c r="Y3895" s="1">
        <f t="shared" si="121"/>
        <v>0</v>
      </c>
    </row>
    <row r="3896" spans="24:25" x14ac:dyDescent="0.3">
      <c r="X3896" s="1">
        <f t="shared" si="120"/>
        <v>0</v>
      </c>
      <c r="Y3896" s="1">
        <f t="shared" si="121"/>
        <v>0</v>
      </c>
    </row>
    <row r="3897" spans="24:25" x14ac:dyDescent="0.3">
      <c r="X3897" s="1">
        <f t="shared" si="120"/>
        <v>0</v>
      </c>
      <c r="Y3897" s="1">
        <f t="shared" si="121"/>
        <v>0</v>
      </c>
    </row>
    <row r="3898" spans="24:25" x14ac:dyDescent="0.3">
      <c r="X3898" s="1">
        <f t="shared" si="120"/>
        <v>0</v>
      </c>
      <c r="Y3898" s="1">
        <f t="shared" si="121"/>
        <v>0</v>
      </c>
    </row>
    <row r="3899" spans="24:25" x14ac:dyDescent="0.3">
      <c r="X3899" s="1">
        <f t="shared" si="120"/>
        <v>0</v>
      </c>
      <c r="Y3899" s="1">
        <f t="shared" si="121"/>
        <v>0</v>
      </c>
    </row>
    <row r="3900" spans="24:25" x14ac:dyDescent="0.3">
      <c r="X3900" s="1">
        <f t="shared" si="120"/>
        <v>0</v>
      </c>
      <c r="Y3900" s="1">
        <f t="shared" si="121"/>
        <v>0</v>
      </c>
    </row>
    <row r="3901" spans="24:25" x14ac:dyDescent="0.3">
      <c r="X3901" s="1">
        <f t="shared" si="120"/>
        <v>0</v>
      </c>
      <c r="Y3901" s="1">
        <f t="shared" si="121"/>
        <v>0</v>
      </c>
    </row>
    <row r="3902" spans="24:25" x14ac:dyDescent="0.3">
      <c r="X3902" s="1">
        <f t="shared" si="120"/>
        <v>0</v>
      </c>
      <c r="Y3902" s="1">
        <f t="shared" si="121"/>
        <v>0</v>
      </c>
    </row>
    <row r="3903" spans="24:25" x14ac:dyDescent="0.3">
      <c r="X3903" s="1">
        <f t="shared" si="120"/>
        <v>0</v>
      </c>
      <c r="Y3903" s="1">
        <f t="shared" si="121"/>
        <v>0</v>
      </c>
    </row>
    <row r="3904" spans="24:25" x14ac:dyDescent="0.3">
      <c r="X3904" s="1">
        <f t="shared" si="120"/>
        <v>0</v>
      </c>
      <c r="Y3904" s="1">
        <f t="shared" si="121"/>
        <v>0</v>
      </c>
    </row>
    <row r="3905" spans="24:25" x14ac:dyDescent="0.3">
      <c r="X3905" s="1">
        <f t="shared" si="120"/>
        <v>0</v>
      </c>
      <c r="Y3905" s="1">
        <f t="shared" si="121"/>
        <v>0</v>
      </c>
    </row>
    <row r="3906" spans="24:25" x14ac:dyDescent="0.3">
      <c r="X3906" s="1">
        <f t="shared" si="120"/>
        <v>0</v>
      </c>
      <c r="Y3906" s="1">
        <f t="shared" si="121"/>
        <v>0</v>
      </c>
    </row>
    <row r="3907" spans="24:25" x14ac:dyDescent="0.3">
      <c r="X3907" s="1">
        <f t="shared" ref="X3907:X3970" si="122">IFERROR(MATCH(W3907,$B:$B,0),0)</f>
        <v>0</v>
      </c>
      <c r="Y3907" s="1">
        <f t="shared" ref="Y3907:Y3970" si="123">IF(X3908=0,COUNTA(A:A),X3908-1)</f>
        <v>0</v>
      </c>
    </row>
    <row r="3908" spans="24:25" x14ac:dyDescent="0.3">
      <c r="X3908" s="1">
        <f t="shared" si="122"/>
        <v>0</v>
      </c>
      <c r="Y3908" s="1">
        <f t="shared" si="123"/>
        <v>0</v>
      </c>
    </row>
    <row r="3909" spans="24:25" x14ac:dyDescent="0.3">
      <c r="X3909" s="1">
        <f t="shared" si="122"/>
        <v>0</v>
      </c>
      <c r="Y3909" s="1">
        <f t="shared" si="123"/>
        <v>0</v>
      </c>
    </row>
    <row r="3910" spans="24:25" x14ac:dyDescent="0.3">
      <c r="X3910" s="1">
        <f t="shared" si="122"/>
        <v>0</v>
      </c>
      <c r="Y3910" s="1">
        <f t="shared" si="123"/>
        <v>0</v>
      </c>
    </row>
    <row r="3911" spans="24:25" x14ac:dyDescent="0.3">
      <c r="X3911" s="1">
        <f t="shared" si="122"/>
        <v>0</v>
      </c>
      <c r="Y3911" s="1">
        <f t="shared" si="123"/>
        <v>0</v>
      </c>
    </row>
    <row r="3912" spans="24:25" x14ac:dyDescent="0.3">
      <c r="X3912" s="1">
        <f t="shared" si="122"/>
        <v>0</v>
      </c>
      <c r="Y3912" s="1">
        <f t="shared" si="123"/>
        <v>0</v>
      </c>
    </row>
    <row r="3913" spans="24:25" x14ac:dyDescent="0.3">
      <c r="X3913" s="1">
        <f t="shared" si="122"/>
        <v>0</v>
      </c>
      <c r="Y3913" s="1">
        <f t="shared" si="123"/>
        <v>0</v>
      </c>
    </row>
    <row r="3914" spans="24:25" x14ac:dyDescent="0.3">
      <c r="X3914" s="1">
        <f t="shared" si="122"/>
        <v>0</v>
      </c>
      <c r="Y3914" s="1">
        <f t="shared" si="123"/>
        <v>0</v>
      </c>
    </row>
    <row r="3915" spans="24:25" x14ac:dyDescent="0.3">
      <c r="X3915" s="1">
        <f t="shared" si="122"/>
        <v>0</v>
      </c>
      <c r="Y3915" s="1">
        <f t="shared" si="123"/>
        <v>0</v>
      </c>
    </row>
    <row r="3916" spans="24:25" x14ac:dyDescent="0.3">
      <c r="X3916" s="1">
        <f t="shared" si="122"/>
        <v>0</v>
      </c>
      <c r="Y3916" s="1">
        <f t="shared" si="123"/>
        <v>0</v>
      </c>
    </row>
    <row r="3917" spans="24:25" x14ac:dyDescent="0.3">
      <c r="X3917" s="1">
        <f t="shared" si="122"/>
        <v>0</v>
      </c>
      <c r="Y3917" s="1">
        <f t="shared" si="123"/>
        <v>0</v>
      </c>
    </row>
    <row r="3918" spans="24:25" x14ac:dyDescent="0.3">
      <c r="X3918" s="1">
        <f t="shared" si="122"/>
        <v>0</v>
      </c>
      <c r="Y3918" s="1">
        <f t="shared" si="123"/>
        <v>0</v>
      </c>
    </row>
    <row r="3919" spans="24:25" x14ac:dyDescent="0.3">
      <c r="X3919" s="1">
        <f t="shared" si="122"/>
        <v>0</v>
      </c>
      <c r="Y3919" s="1">
        <f t="shared" si="123"/>
        <v>0</v>
      </c>
    </row>
    <row r="3920" spans="24:25" x14ac:dyDescent="0.3">
      <c r="X3920" s="1">
        <f t="shared" si="122"/>
        <v>0</v>
      </c>
      <c r="Y3920" s="1">
        <f t="shared" si="123"/>
        <v>0</v>
      </c>
    </row>
    <row r="3921" spans="24:25" x14ac:dyDescent="0.3">
      <c r="X3921" s="1">
        <f t="shared" si="122"/>
        <v>0</v>
      </c>
      <c r="Y3921" s="1">
        <f t="shared" si="123"/>
        <v>0</v>
      </c>
    </row>
    <row r="3922" spans="24:25" x14ac:dyDescent="0.3">
      <c r="X3922" s="1">
        <f t="shared" si="122"/>
        <v>0</v>
      </c>
      <c r="Y3922" s="1">
        <f t="shared" si="123"/>
        <v>0</v>
      </c>
    </row>
    <row r="3923" spans="24:25" x14ac:dyDescent="0.3">
      <c r="X3923" s="1">
        <f t="shared" si="122"/>
        <v>0</v>
      </c>
      <c r="Y3923" s="1">
        <f t="shared" si="123"/>
        <v>0</v>
      </c>
    </row>
    <row r="3924" spans="24:25" x14ac:dyDescent="0.3">
      <c r="X3924" s="1">
        <f t="shared" si="122"/>
        <v>0</v>
      </c>
      <c r="Y3924" s="1">
        <f t="shared" si="123"/>
        <v>0</v>
      </c>
    </row>
    <row r="3925" spans="24:25" x14ac:dyDescent="0.3">
      <c r="X3925" s="1">
        <f t="shared" si="122"/>
        <v>0</v>
      </c>
      <c r="Y3925" s="1">
        <f t="shared" si="123"/>
        <v>0</v>
      </c>
    </row>
    <row r="3926" spans="24:25" x14ac:dyDescent="0.3">
      <c r="X3926" s="1">
        <f t="shared" si="122"/>
        <v>0</v>
      </c>
      <c r="Y3926" s="1">
        <f t="shared" si="123"/>
        <v>0</v>
      </c>
    </row>
    <row r="3927" spans="24:25" x14ac:dyDescent="0.3">
      <c r="X3927" s="1">
        <f t="shared" si="122"/>
        <v>0</v>
      </c>
      <c r="Y3927" s="1">
        <f t="shared" si="123"/>
        <v>0</v>
      </c>
    </row>
    <row r="3928" spans="24:25" x14ac:dyDescent="0.3">
      <c r="X3928" s="1">
        <f t="shared" si="122"/>
        <v>0</v>
      </c>
      <c r="Y3928" s="1">
        <f t="shared" si="123"/>
        <v>0</v>
      </c>
    </row>
    <row r="3929" spans="24:25" x14ac:dyDescent="0.3">
      <c r="X3929" s="1">
        <f t="shared" si="122"/>
        <v>0</v>
      </c>
      <c r="Y3929" s="1">
        <f t="shared" si="123"/>
        <v>0</v>
      </c>
    </row>
    <row r="3930" spans="24:25" x14ac:dyDescent="0.3">
      <c r="X3930" s="1">
        <f t="shared" si="122"/>
        <v>0</v>
      </c>
      <c r="Y3930" s="1">
        <f t="shared" si="123"/>
        <v>0</v>
      </c>
    </row>
    <row r="3931" spans="24:25" x14ac:dyDescent="0.3">
      <c r="X3931" s="1">
        <f t="shared" si="122"/>
        <v>0</v>
      </c>
      <c r="Y3931" s="1">
        <f t="shared" si="123"/>
        <v>0</v>
      </c>
    </row>
    <row r="3932" spans="24:25" x14ac:dyDescent="0.3">
      <c r="X3932" s="1">
        <f t="shared" si="122"/>
        <v>0</v>
      </c>
      <c r="Y3932" s="1">
        <f t="shared" si="123"/>
        <v>0</v>
      </c>
    </row>
    <row r="3933" spans="24:25" x14ac:dyDescent="0.3">
      <c r="X3933" s="1">
        <f t="shared" si="122"/>
        <v>0</v>
      </c>
      <c r="Y3933" s="1">
        <f t="shared" si="123"/>
        <v>0</v>
      </c>
    </row>
    <row r="3934" spans="24:25" x14ac:dyDescent="0.3">
      <c r="X3934" s="1">
        <f t="shared" si="122"/>
        <v>0</v>
      </c>
      <c r="Y3934" s="1">
        <f t="shared" si="123"/>
        <v>0</v>
      </c>
    </row>
    <row r="3935" spans="24:25" x14ac:dyDescent="0.3">
      <c r="X3935" s="1">
        <f t="shared" si="122"/>
        <v>0</v>
      </c>
      <c r="Y3935" s="1">
        <f t="shared" si="123"/>
        <v>0</v>
      </c>
    </row>
    <row r="3936" spans="24:25" x14ac:dyDescent="0.3">
      <c r="X3936" s="1">
        <f t="shared" si="122"/>
        <v>0</v>
      </c>
      <c r="Y3936" s="1">
        <f t="shared" si="123"/>
        <v>0</v>
      </c>
    </row>
    <row r="3937" spans="24:25" x14ac:dyDescent="0.3">
      <c r="X3937" s="1">
        <f t="shared" si="122"/>
        <v>0</v>
      </c>
      <c r="Y3937" s="1">
        <f t="shared" si="123"/>
        <v>0</v>
      </c>
    </row>
    <row r="3938" spans="24:25" x14ac:dyDescent="0.3">
      <c r="X3938" s="1">
        <f t="shared" si="122"/>
        <v>0</v>
      </c>
      <c r="Y3938" s="1">
        <f t="shared" si="123"/>
        <v>0</v>
      </c>
    </row>
    <row r="3939" spans="24:25" x14ac:dyDescent="0.3">
      <c r="X3939" s="1">
        <f t="shared" si="122"/>
        <v>0</v>
      </c>
      <c r="Y3939" s="1">
        <f t="shared" si="123"/>
        <v>0</v>
      </c>
    </row>
    <row r="3940" spans="24:25" x14ac:dyDescent="0.3">
      <c r="X3940" s="1">
        <f t="shared" si="122"/>
        <v>0</v>
      </c>
      <c r="Y3940" s="1">
        <f t="shared" si="123"/>
        <v>0</v>
      </c>
    </row>
    <row r="3941" spans="24:25" x14ac:dyDescent="0.3">
      <c r="X3941" s="1">
        <f t="shared" si="122"/>
        <v>0</v>
      </c>
      <c r="Y3941" s="1">
        <f t="shared" si="123"/>
        <v>0</v>
      </c>
    </row>
    <row r="3942" spans="24:25" x14ac:dyDescent="0.3">
      <c r="X3942" s="1">
        <f t="shared" si="122"/>
        <v>0</v>
      </c>
      <c r="Y3942" s="1">
        <f t="shared" si="123"/>
        <v>0</v>
      </c>
    </row>
    <row r="3943" spans="24:25" x14ac:dyDescent="0.3">
      <c r="X3943" s="1">
        <f t="shared" si="122"/>
        <v>0</v>
      </c>
      <c r="Y3943" s="1">
        <f t="shared" si="123"/>
        <v>0</v>
      </c>
    </row>
    <row r="3944" spans="24:25" x14ac:dyDescent="0.3">
      <c r="X3944" s="1">
        <f t="shared" si="122"/>
        <v>0</v>
      </c>
      <c r="Y3944" s="1">
        <f t="shared" si="123"/>
        <v>0</v>
      </c>
    </row>
    <row r="3945" spans="24:25" x14ac:dyDescent="0.3">
      <c r="X3945" s="1">
        <f t="shared" si="122"/>
        <v>0</v>
      </c>
      <c r="Y3945" s="1">
        <f t="shared" si="123"/>
        <v>0</v>
      </c>
    </row>
    <row r="3946" spans="24:25" x14ac:dyDescent="0.3">
      <c r="X3946" s="1">
        <f t="shared" si="122"/>
        <v>0</v>
      </c>
      <c r="Y3946" s="1">
        <f t="shared" si="123"/>
        <v>0</v>
      </c>
    </row>
    <row r="3947" spans="24:25" x14ac:dyDescent="0.3">
      <c r="X3947" s="1">
        <f t="shared" si="122"/>
        <v>0</v>
      </c>
      <c r="Y3947" s="1">
        <f t="shared" si="123"/>
        <v>0</v>
      </c>
    </row>
    <row r="3948" spans="24:25" x14ac:dyDescent="0.3">
      <c r="X3948" s="1">
        <f t="shared" si="122"/>
        <v>0</v>
      </c>
      <c r="Y3948" s="1">
        <f t="shared" si="123"/>
        <v>0</v>
      </c>
    </row>
    <row r="3949" spans="24:25" x14ac:dyDescent="0.3">
      <c r="X3949" s="1">
        <f t="shared" si="122"/>
        <v>0</v>
      </c>
      <c r="Y3949" s="1">
        <f t="shared" si="123"/>
        <v>0</v>
      </c>
    </row>
    <row r="3950" spans="24:25" x14ac:dyDescent="0.3">
      <c r="X3950" s="1">
        <f t="shared" si="122"/>
        <v>0</v>
      </c>
      <c r="Y3950" s="1">
        <f t="shared" si="123"/>
        <v>0</v>
      </c>
    </row>
    <row r="3951" spans="24:25" x14ac:dyDescent="0.3">
      <c r="X3951" s="1">
        <f t="shared" si="122"/>
        <v>0</v>
      </c>
      <c r="Y3951" s="1">
        <f t="shared" si="123"/>
        <v>0</v>
      </c>
    </row>
    <row r="3952" spans="24:25" x14ac:dyDescent="0.3">
      <c r="X3952" s="1">
        <f t="shared" si="122"/>
        <v>0</v>
      </c>
      <c r="Y3952" s="1">
        <f t="shared" si="123"/>
        <v>0</v>
      </c>
    </row>
    <row r="3953" spans="24:25" x14ac:dyDescent="0.3">
      <c r="X3953" s="1">
        <f t="shared" si="122"/>
        <v>0</v>
      </c>
      <c r="Y3953" s="1">
        <f t="shared" si="123"/>
        <v>0</v>
      </c>
    </row>
    <row r="3954" spans="24:25" x14ac:dyDescent="0.3">
      <c r="X3954" s="1">
        <f t="shared" si="122"/>
        <v>0</v>
      </c>
      <c r="Y3954" s="1">
        <f t="shared" si="123"/>
        <v>0</v>
      </c>
    </row>
    <row r="3955" spans="24:25" x14ac:dyDescent="0.3">
      <c r="X3955" s="1">
        <f t="shared" si="122"/>
        <v>0</v>
      </c>
      <c r="Y3955" s="1">
        <f t="shared" si="123"/>
        <v>0</v>
      </c>
    </row>
    <row r="3956" spans="24:25" x14ac:dyDescent="0.3">
      <c r="X3956" s="1">
        <f t="shared" si="122"/>
        <v>0</v>
      </c>
      <c r="Y3956" s="1">
        <f t="shared" si="123"/>
        <v>0</v>
      </c>
    </row>
    <row r="3957" spans="24:25" x14ac:dyDescent="0.3">
      <c r="X3957" s="1">
        <f t="shared" si="122"/>
        <v>0</v>
      </c>
      <c r="Y3957" s="1">
        <f t="shared" si="123"/>
        <v>0</v>
      </c>
    </row>
    <row r="3958" spans="24:25" x14ac:dyDescent="0.3">
      <c r="X3958" s="1">
        <f t="shared" si="122"/>
        <v>0</v>
      </c>
      <c r="Y3958" s="1">
        <f t="shared" si="123"/>
        <v>0</v>
      </c>
    </row>
    <row r="3959" spans="24:25" x14ac:dyDescent="0.3">
      <c r="X3959" s="1">
        <f t="shared" si="122"/>
        <v>0</v>
      </c>
      <c r="Y3959" s="1">
        <f t="shared" si="123"/>
        <v>0</v>
      </c>
    </row>
    <row r="3960" spans="24:25" x14ac:dyDescent="0.3">
      <c r="X3960" s="1">
        <f t="shared" si="122"/>
        <v>0</v>
      </c>
      <c r="Y3960" s="1">
        <f t="shared" si="123"/>
        <v>0</v>
      </c>
    </row>
    <row r="3961" spans="24:25" x14ac:dyDescent="0.3">
      <c r="X3961" s="1">
        <f t="shared" si="122"/>
        <v>0</v>
      </c>
      <c r="Y3961" s="1">
        <f t="shared" si="123"/>
        <v>0</v>
      </c>
    </row>
    <row r="3962" spans="24:25" x14ac:dyDescent="0.3">
      <c r="X3962" s="1">
        <f t="shared" si="122"/>
        <v>0</v>
      </c>
      <c r="Y3962" s="1">
        <f t="shared" si="123"/>
        <v>0</v>
      </c>
    </row>
    <row r="3963" spans="24:25" x14ac:dyDescent="0.3">
      <c r="X3963" s="1">
        <f t="shared" si="122"/>
        <v>0</v>
      </c>
      <c r="Y3963" s="1">
        <f t="shared" si="123"/>
        <v>0</v>
      </c>
    </row>
    <row r="3964" spans="24:25" x14ac:dyDescent="0.3">
      <c r="X3964" s="1">
        <f t="shared" si="122"/>
        <v>0</v>
      </c>
      <c r="Y3964" s="1">
        <f t="shared" si="123"/>
        <v>0</v>
      </c>
    </row>
    <row r="3965" spans="24:25" x14ac:dyDescent="0.3">
      <c r="X3965" s="1">
        <f t="shared" si="122"/>
        <v>0</v>
      </c>
      <c r="Y3965" s="1">
        <f t="shared" si="123"/>
        <v>0</v>
      </c>
    </row>
    <row r="3966" spans="24:25" x14ac:dyDescent="0.3">
      <c r="X3966" s="1">
        <f t="shared" si="122"/>
        <v>0</v>
      </c>
      <c r="Y3966" s="1">
        <f t="shared" si="123"/>
        <v>0</v>
      </c>
    </row>
    <row r="3967" spans="24:25" x14ac:dyDescent="0.3">
      <c r="X3967" s="1">
        <f t="shared" si="122"/>
        <v>0</v>
      </c>
      <c r="Y3967" s="1">
        <f t="shared" si="123"/>
        <v>0</v>
      </c>
    </row>
    <row r="3968" spans="24:25" x14ac:dyDescent="0.3">
      <c r="X3968" s="1">
        <f t="shared" si="122"/>
        <v>0</v>
      </c>
      <c r="Y3968" s="1">
        <f t="shared" si="123"/>
        <v>0</v>
      </c>
    </row>
    <row r="3969" spans="24:25" x14ac:dyDescent="0.3">
      <c r="X3969" s="1">
        <f t="shared" si="122"/>
        <v>0</v>
      </c>
      <c r="Y3969" s="1">
        <f t="shared" si="123"/>
        <v>0</v>
      </c>
    </row>
    <row r="3970" spans="24:25" x14ac:dyDescent="0.3">
      <c r="X3970" s="1">
        <f t="shared" si="122"/>
        <v>0</v>
      </c>
      <c r="Y3970" s="1">
        <f t="shared" si="123"/>
        <v>0</v>
      </c>
    </row>
    <row r="3971" spans="24:25" x14ac:dyDescent="0.3">
      <c r="X3971" s="1">
        <f t="shared" ref="X3971:X4034" si="124">IFERROR(MATCH(W3971,$B:$B,0),0)</f>
        <v>0</v>
      </c>
      <c r="Y3971" s="1">
        <f t="shared" ref="Y3971:Y4034" si="125">IF(X3972=0,COUNTA(A:A),X3972-1)</f>
        <v>0</v>
      </c>
    </row>
    <row r="3972" spans="24:25" x14ac:dyDescent="0.3">
      <c r="X3972" s="1">
        <f t="shared" si="124"/>
        <v>0</v>
      </c>
      <c r="Y3972" s="1">
        <f t="shared" si="125"/>
        <v>0</v>
      </c>
    </row>
    <row r="3973" spans="24:25" x14ac:dyDescent="0.3">
      <c r="X3973" s="1">
        <f t="shared" si="124"/>
        <v>0</v>
      </c>
      <c r="Y3973" s="1">
        <f t="shared" si="125"/>
        <v>0</v>
      </c>
    </row>
    <row r="3974" spans="24:25" x14ac:dyDescent="0.3">
      <c r="X3974" s="1">
        <f t="shared" si="124"/>
        <v>0</v>
      </c>
      <c r="Y3974" s="1">
        <f t="shared" si="125"/>
        <v>0</v>
      </c>
    </row>
    <row r="3975" spans="24:25" x14ac:dyDescent="0.3">
      <c r="X3975" s="1">
        <f t="shared" si="124"/>
        <v>0</v>
      </c>
      <c r="Y3975" s="1">
        <f t="shared" si="125"/>
        <v>0</v>
      </c>
    </row>
    <row r="3976" spans="24:25" x14ac:dyDescent="0.3">
      <c r="X3976" s="1">
        <f t="shared" si="124"/>
        <v>0</v>
      </c>
      <c r="Y3976" s="1">
        <f t="shared" si="125"/>
        <v>0</v>
      </c>
    </row>
    <row r="3977" spans="24:25" x14ac:dyDescent="0.3">
      <c r="X3977" s="1">
        <f t="shared" si="124"/>
        <v>0</v>
      </c>
      <c r="Y3977" s="1">
        <f t="shared" si="125"/>
        <v>0</v>
      </c>
    </row>
    <row r="3978" spans="24:25" x14ac:dyDescent="0.3">
      <c r="X3978" s="1">
        <f t="shared" si="124"/>
        <v>0</v>
      </c>
      <c r="Y3978" s="1">
        <f t="shared" si="125"/>
        <v>0</v>
      </c>
    </row>
    <row r="3979" spans="24:25" x14ac:dyDescent="0.3">
      <c r="X3979" s="1">
        <f t="shared" si="124"/>
        <v>0</v>
      </c>
      <c r="Y3979" s="1">
        <f t="shared" si="125"/>
        <v>0</v>
      </c>
    </row>
    <row r="3980" spans="24:25" x14ac:dyDescent="0.3">
      <c r="X3980" s="1">
        <f t="shared" si="124"/>
        <v>0</v>
      </c>
      <c r="Y3980" s="1">
        <f t="shared" si="125"/>
        <v>0</v>
      </c>
    </row>
    <row r="3981" spans="24:25" x14ac:dyDescent="0.3">
      <c r="X3981" s="1">
        <f t="shared" si="124"/>
        <v>0</v>
      </c>
      <c r="Y3981" s="1">
        <f t="shared" si="125"/>
        <v>0</v>
      </c>
    </row>
    <row r="3982" spans="24:25" x14ac:dyDescent="0.3">
      <c r="X3982" s="1">
        <f t="shared" si="124"/>
        <v>0</v>
      </c>
      <c r="Y3982" s="1">
        <f t="shared" si="125"/>
        <v>0</v>
      </c>
    </row>
    <row r="3983" spans="24:25" x14ac:dyDescent="0.3">
      <c r="X3983" s="1">
        <f t="shared" si="124"/>
        <v>0</v>
      </c>
      <c r="Y3983" s="1">
        <f t="shared" si="125"/>
        <v>0</v>
      </c>
    </row>
    <row r="3984" spans="24:25" x14ac:dyDescent="0.3">
      <c r="X3984" s="1">
        <f t="shared" si="124"/>
        <v>0</v>
      </c>
      <c r="Y3984" s="1">
        <f t="shared" si="125"/>
        <v>0</v>
      </c>
    </row>
    <row r="3985" spans="24:25" x14ac:dyDescent="0.3">
      <c r="X3985" s="1">
        <f t="shared" si="124"/>
        <v>0</v>
      </c>
      <c r="Y3985" s="1">
        <f t="shared" si="125"/>
        <v>0</v>
      </c>
    </row>
    <row r="3986" spans="24:25" x14ac:dyDescent="0.3">
      <c r="X3986" s="1">
        <f t="shared" si="124"/>
        <v>0</v>
      </c>
      <c r="Y3986" s="1">
        <f t="shared" si="125"/>
        <v>0</v>
      </c>
    </row>
    <row r="3987" spans="24:25" x14ac:dyDescent="0.3">
      <c r="X3987" s="1">
        <f t="shared" si="124"/>
        <v>0</v>
      </c>
      <c r="Y3987" s="1">
        <f t="shared" si="125"/>
        <v>0</v>
      </c>
    </row>
    <row r="3988" spans="24:25" x14ac:dyDescent="0.3">
      <c r="X3988" s="1">
        <f t="shared" si="124"/>
        <v>0</v>
      </c>
      <c r="Y3988" s="1">
        <f t="shared" si="125"/>
        <v>0</v>
      </c>
    </row>
    <row r="3989" spans="24:25" x14ac:dyDescent="0.3">
      <c r="X3989" s="1">
        <f t="shared" si="124"/>
        <v>0</v>
      </c>
      <c r="Y3989" s="1">
        <f t="shared" si="125"/>
        <v>0</v>
      </c>
    </row>
    <row r="3990" spans="24:25" x14ac:dyDescent="0.3">
      <c r="X3990" s="1">
        <f t="shared" si="124"/>
        <v>0</v>
      </c>
      <c r="Y3990" s="1">
        <f t="shared" si="125"/>
        <v>0</v>
      </c>
    </row>
    <row r="3991" spans="24:25" x14ac:dyDescent="0.3">
      <c r="X3991" s="1">
        <f t="shared" si="124"/>
        <v>0</v>
      </c>
      <c r="Y3991" s="1">
        <f t="shared" si="125"/>
        <v>0</v>
      </c>
    </row>
    <row r="3992" spans="24:25" x14ac:dyDescent="0.3">
      <c r="X3992" s="1">
        <f t="shared" si="124"/>
        <v>0</v>
      </c>
      <c r="Y3992" s="1">
        <f t="shared" si="125"/>
        <v>0</v>
      </c>
    </row>
    <row r="3993" spans="24:25" x14ac:dyDescent="0.3">
      <c r="X3993" s="1">
        <f t="shared" si="124"/>
        <v>0</v>
      </c>
      <c r="Y3993" s="1">
        <f t="shared" si="125"/>
        <v>0</v>
      </c>
    </row>
    <row r="3994" spans="24:25" x14ac:dyDescent="0.3">
      <c r="X3994" s="1">
        <f t="shared" si="124"/>
        <v>0</v>
      </c>
      <c r="Y3994" s="1">
        <f t="shared" si="125"/>
        <v>0</v>
      </c>
    </row>
    <row r="3995" spans="24:25" x14ac:dyDescent="0.3">
      <c r="X3995" s="1">
        <f t="shared" si="124"/>
        <v>0</v>
      </c>
      <c r="Y3995" s="1">
        <f t="shared" si="125"/>
        <v>0</v>
      </c>
    </row>
    <row r="3996" spans="24:25" x14ac:dyDescent="0.3">
      <c r="X3996" s="1">
        <f t="shared" si="124"/>
        <v>0</v>
      </c>
      <c r="Y3996" s="1">
        <f t="shared" si="125"/>
        <v>0</v>
      </c>
    </row>
    <row r="3997" spans="24:25" x14ac:dyDescent="0.3">
      <c r="X3997" s="1">
        <f t="shared" si="124"/>
        <v>0</v>
      </c>
      <c r="Y3997" s="1">
        <f t="shared" si="125"/>
        <v>0</v>
      </c>
    </row>
    <row r="3998" spans="24:25" x14ac:dyDescent="0.3">
      <c r="X3998" s="1">
        <f t="shared" si="124"/>
        <v>0</v>
      </c>
      <c r="Y3998" s="1">
        <f t="shared" si="125"/>
        <v>0</v>
      </c>
    </row>
    <row r="3999" spans="24:25" x14ac:dyDescent="0.3">
      <c r="X3999" s="1">
        <f t="shared" si="124"/>
        <v>0</v>
      </c>
      <c r="Y3999" s="1">
        <f t="shared" si="125"/>
        <v>0</v>
      </c>
    </row>
    <row r="4000" spans="24:25" x14ac:dyDescent="0.3">
      <c r="X4000" s="1">
        <f t="shared" si="124"/>
        <v>0</v>
      </c>
      <c r="Y4000" s="1">
        <f t="shared" si="125"/>
        <v>0</v>
      </c>
    </row>
    <row r="4001" spans="24:25" x14ac:dyDescent="0.3">
      <c r="X4001" s="1">
        <f t="shared" si="124"/>
        <v>0</v>
      </c>
      <c r="Y4001" s="1">
        <f t="shared" si="125"/>
        <v>0</v>
      </c>
    </row>
    <row r="4002" spans="24:25" x14ac:dyDescent="0.3">
      <c r="X4002" s="1">
        <f t="shared" si="124"/>
        <v>0</v>
      </c>
      <c r="Y4002" s="1">
        <f t="shared" si="125"/>
        <v>0</v>
      </c>
    </row>
    <row r="4003" spans="24:25" x14ac:dyDescent="0.3">
      <c r="X4003" s="1">
        <f t="shared" si="124"/>
        <v>0</v>
      </c>
      <c r="Y4003" s="1">
        <f t="shared" si="125"/>
        <v>0</v>
      </c>
    </row>
    <row r="4004" spans="24:25" x14ac:dyDescent="0.3">
      <c r="X4004" s="1">
        <f t="shared" si="124"/>
        <v>0</v>
      </c>
      <c r="Y4004" s="1">
        <f t="shared" si="125"/>
        <v>0</v>
      </c>
    </row>
    <row r="4005" spans="24:25" x14ac:dyDescent="0.3">
      <c r="X4005" s="1">
        <f t="shared" si="124"/>
        <v>0</v>
      </c>
      <c r="Y4005" s="1">
        <f t="shared" si="125"/>
        <v>0</v>
      </c>
    </row>
    <row r="4006" spans="24:25" x14ac:dyDescent="0.3">
      <c r="X4006" s="1">
        <f t="shared" si="124"/>
        <v>0</v>
      </c>
      <c r="Y4006" s="1">
        <f t="shared" si="125"/>
        <v>0</v>
      </c>
    </row>
    <row r="4007" spans="24:25" x14ac:dyDescent="0.3">
      <c r="X4007" s="1">
        <f t="shared" si="124"/>
        <v>0</v>
      </c>
      <c r="Y4007" s="1">
        <f t="shared" si="125"/>
        <v>0</v>
      </c>
    </row>
    <row r="4008" spans="24:25" x14ac:dyDescent="0.3">
      <c r="X4008" s="1">
        <f t="shared" si="124"/>
        <v>0</v>
      </c>
      <c r="Y4008" s="1">
        <f t="shared" si="125"/>
        <v>0</v>
      </c>
    </row>
    <row r="4009" spans="24:25" x14ac:dyDescent="0.3">
      <c r="X4009" s="1">
        <f t="shared" si="124"/>
        <v>0</v>
      </c>
      <c r="Y4009" s="1">
        <f t="shared" si="125"/>
        <v>0</v>
      </c>
    </row>
    <row r="4010" spans="24:25" x14ac:dyDescent="0.3">
      <c r="X4010" s="1">
        <f t="shared" si="124"/>
        <v>0</v>
      </c>
      <c r="Y4010" s="1">
        <f t="shared" si="125"/>
        <v>0</v>
      </c>
    </row>
    <row r="4011" spans="24:25" x14ac:dyDescent="0.3">
      <c r="X4011" s="1">
        <f t="shared" si="124"/>
        <v>0</v>
      </c>
      <c r="Y4011" s="1">
        <f t="shared" si="125"/>
        <v>0</v>
      </c>
    </row>
    <row r="4012" spans="24:25" x14ac:dyDescent="0.3">
      <c r="X4012" s="1">
        <f t="shared" si="124"/>
        <v>0</v>
      </c>
      <c r="Y4012" s="1">
        <f t="shared" si="125"/>
        <v>0</v>
      </c>
    </row>
    <row r="4013" spans="24:25" x14ac:dyDescent="0.3">
      <c r="X4013" s="1">
        <f t="shared" si="124"/>
        <v>0</v>
      </c>
      <c r="Y4013" s="1">
        <f t="shared" si="125"/>
        <v>0</v>
      </c>
    </row>
    <row r="4014" spans="24:25" x14ac:dyDescent="0.3">
      <c r="X4014" s="1">
        <f t="shared" si="124"/>
        <v>0</v>
      </c>
      <c r="Y4014" s="1">
        <f t="shared" si="125"/>
        <v>0</v>
      </c>
    </row>
    <row r="4015" spans="24:25" x14ac:dyDescent="0.3">
      <c r="X4015" s="1">
        <f t="shared" si="124"/>
        <v>0</v>
      </c>
      <c r="Y4015" s="1">
        <f t="shared" si="125"/>
        <v>0</v>
      </c>
    </row>
    <row r="4016" spans="24:25" x14ac:dyDescent="0.3">
      <c r="X4016" s="1">
        <f t="shared" si="124"/>
        <v>0</v>
      </c>
      <c r="Y4016" s="1">
        <f t="shared" si="125"/>
        <v>0</v>
      </c>
    </row>
    <row r="4017" spans="24:25" x14ac:dyDescent="0.3">
      <c r="X4017" s="1">
        <f t="shared" si="124"/>
        <v>0</v>
      </c>
      <c r="Y4017" s="1">
        <f t="shared" si="125"/>
        <v>0</v>
      </c>
    </row>
    <row r="4018" spans="24:25" x14ac:dyDescent="0.3">
      <c r="X4018" s="1">
        <f t="shared" si="124"/>
        <v>0</v>
      </c>
      <c r="Y4018" s="1">
        <f t="shared" si="125"/>
        <v>0</v>
      </c>
    </row>
    <row r="4019" spans="24:25" x14ac:dyDescent="0.3">
      <c r="X4019" s="1">
        <f t="shared" si="124"/>
        <v>0</v>
      </c>
      <c r="Y4019" s="1">
        <f t="shared" si="125"/>
        <v>0</v>
      </c>
    </row>
    <row r="4020" spans="24:25" x14ac:dyDescent="0.3">
      <c r="X4020" s="1">
        <f t="shared" si="124"/>
        <v>0</v>
      </c>
      <c r="Y4020" s="1">
        <f t="shared" si="125"/>
        <v>0</v>
      </c>
    </row>
    <row r="4021" spans="24:25" x14ac:dyDescent="0.3">
      <c r="X4021" s="1">
        <f t="shared" si="124"/>
        <v>0</v>
      </c>
      <c r="Y4021" s="1">
        <f t="shared" si="125"/>
        <v>0</v>
      </c>
    </row>
    <row r="4022" spans="24:25" x14ac:dyDescent="0.3">
      <c r="X4022" s="1">
        <f t="shared" si="124"/>
        <v>0</v>
      </c>
      <c r="Y4022" s="1">
        <f t="shared" si="125"/>
        <v>0</v>
      </c>
    </row>
    <row r="4023" spans="24:25" x14ac:dyDescent="0.3">
      <c r="X4023" s="1">
        <f t="shared" si="124"/>
        <v>0</v>
      </c>
      <c r="Y4023" s="1">
        <f t="shared" si="125"/>
        <v>0</v>
      </c>
    </row>
    <row r="4024" spans="24:25" x14ac:dyDescent="0.3">
      <c r="X4024" s="1">
        <f t="shared" si="124"/>
        <v>0</v>
      </c>
      <c r="Y4024" s="1">
        <f t="shared" si="125"/>
        <v>0</v>
      </c>
    </row>
    <row r="4025" spans="24:25" x14ac:dyDescent="0.3">
      <c r="X4025" s="1">
        <f t="shared" si="124"/>
        <v>0</v>
      </c>
      <c r="Y4025" s="1">
        <f t="shared" si="125"/>
        <v>0</v>
      </c>
    </row>
    <row r="4026" spans="24:25" x14ac:dyDescent="0.3">
      <c r="X4026" s="1">
        <f t="shared" si="124"/>
        <v>0</v>
      </c>
      <c r="Y4026" s="1">
        <f t="shared" si="125"/>
        <v>0</v>
      </c>
    </row>
    <row r="4027" spans="24:25" x14ac:dyDescent="0.3">
      <c r="X4027" s="1">
        <f t="shared" si="124"/>
        <v>0</v>
      </c>
      <c r="Y4027" s="1">
        <f t="shared" si="125"/>
        <v>0</v>
      </c>
    </row>
    <row r="4028" spans="24:25" x14ac:dyDescent="0.3">
      <c r="X4028" s="1">
        <f t="shared" si="124"/>
        <v>0</v>
      </c>
      <c r="Y4028" s="1">
        <f t="shared" si="125"/>
        <v>0</v>
      </c>
    </row>
    <row r="4029" spans="24:25" x14ac:dyDescent="0.3">
      <c r="X4029" s="1">
        <f t="shared" si="124"/>
        <v>0</v>
      </c>
      <c r="Y4029" s="1">
        <f t="shared" si="125"/>
        <v>0</v>
      </c>
    </row>
    <row r="4030" spans="24:25" x14ac:dyDescent="0.3">
      <c r="X4030" s="1">
        <f t="shared" si="124"/>
        <v>0</v>
      </c>
      <c r="Y4030" s="1">
        <f t="shared" si="125"/>
        <v>0</v>
      </c>
    </row>
    <row r="4031" spans="24:25" x14ac:dyDescent="0.3">
      <c r="X4031" s="1">
        <f t="shared" si="124"/>
        <v>0</v>
      </c>
      <c r="Y4031" s="1">
        <f t="shared" si="125"/>
        <v>0</v>
      </c>
    </row>
    <row r="4032" spans="24:25" x14ac:dyDescent="0.3">
      <c r="X4032" s="1">
        <f t="shared" si="124"/>
        <v>0</v>
      </c>
      <c r="Y4032" s="1">
        <f t="shared" si="125"/>
        <v>0</v>
      </c>
    </row>
    <row r="4033" spans="24:25" x14ac:dyDescent="0.3">
      <c r="X4033" s="1">
        <f t="shared" si="124"/>
        <v>0</v>
      </c>
      <c r="Y4033" s="1">
        <f t="shared" si="125"/>
        <v>0</v>
      </c>
    </row>
    <row r="4034" spans="24:25" x14ac:dyDescent="0.3">
      <c r="X4034" s="1">
        <f t="shared" si="124"/>
        <v>0</v>
      </c>
      <c r="Y4034" s="1">
        <f t="shared" si="125"/>
        <v>0</v>
      </c>
    </row>
    <row r="4035" spans="24:25" x14ac:dyDescent="0.3">
      <c r="X4035" s="1">
        <f t="shared" ref="X4035:X4098" si="126">IFERROR(MATCH(W4035,$B:$B,0),0)</f>
        <v>0</v>
      </c>
      <c r="Y4035" s="1">
        <f t="shared" ref="Y4035:Y4098" si="127">IF(X4036=0,COUNTA(A:A),X4036-1)</f>
        <v>0</v>
      </c>
    </row>
    <row r="4036" spans="24:25" x14ac:dyDescent="0.3">
      <c r="X4036" s="1">
        <f t="shared" si="126"/>
        <v>0</v>
      </c>
      <c r="Y4036" s="1">
        <f t="shared" si="127"/>
        <v>0</v>
      </c>
    </row>
    <row r="4037" spans="24:25" x14ac:dyDescent="0.3">
      <c r="X4037" s="1">
        <f t="shared" si="126"/>
        <v>0</v>
      </c>
      <c r="Y4037" s="1">
        <f t="shared" si="127"/>
        <v>0</v>
      </c>
    </row>
    <row r="4038" spans="24:25" x14ac:dyDescent="0.3">
      <c r="X4038" s="1">
        <f t="shared" si="126"/>
        <v>0</v>
      </c>
      <c r="Y4038" s="1">
        <f t="shared" si="127"/>
        <v>0</v>
      </c>
    </row>
    <row r="4039" spans="24:25" x14ac:dyDescent="0.3">
      <c r="X4039" s="1">
        <f t="shared" si="126"/>
        <v>0</v>
      </c>
      <c r="Y4039" s="1">
        <f t="shared" si="127"/>
        <v>0</v>
      </c>
    </row>
    <row r="4040" spans="24:25" x14ac:dyDescent="0.3">
      <c r="X4040" s="1">
        <f t="shared" si="126"/>
        <v>0</v>
      </c>
      <c r="Y4040" s="1">
        <f t="shared" si="127"/>
        <v>0</v>
      </c>
    </row>
    <row r="4041" spans="24:25" x14ac:dyDescent="0.3">
      <c r="X4041" s="1">
        <f t="shared" si="126"/>
        <v>0</v>
      </c>
      <c r="Y4041" s="1">
        <f t="shared" si="127"/>
        <v>0</v>
      </c>
    </row>
    <row r="4042" spans="24:25" x14ac:dyDescent="0.3">
      <c r="X4042" s="1">
        <f t="shared" si="126"/>
        <v>0</v>
      </c>
      <c r="Y4042" s="1">
        <f t="shared" si="127"/>
        <v>0</v>
      </c>
    </row>
    <row r="4043" spans="24:25" x14ac:dyDescent="0.3">
      <c r="X4043" s="1">
        <f t="shared" si="126"/>
        <v>0</v>
      </c>
      <c r="Y4043" s="1">
        <f t="shared" si="127"/>
        <v>0</v>
      </c>
    </row>
    <row r="4044" spans="24:25" x14ac:dyDescent="0.3">
      <c r="X4044" s="1">
        <f t="shared" si="126"/>
        <v>0</v>
      </c>
      <c r="Y4044" s="1">
        <f t="shared" si="127"/>
        <v>0</v>
      </c>
    </row>
    <row r="4045" spans="24:25" x14ac:dyDescent="0.3">
      <c r="X4045" s="1">
        <f t="shared" si="126"/>
        <v>0</v>
      </c>
      <c r="Y4045" s="1">
        <f t="shared" si="127"/>
        <v>0</v>
      </c>
    </row>
    <row r="4046" spans="24:25" x14ac:dyDescent="0.3">
      <c r="X4046" s="1">
        <f t="shared" si="126"/>
        <v>0</v>
      </c>
      <c r="Y4046" s="1">
        <f t="shared" si="127"/>
        <v>0</v>
      </c>
    </row>
    <row r="4047" spans="24:25" x14ac:dyDescent="0.3">
      <c r="X4047" s="1">
        <f t="shared" si="126"/>
        <v>0</v>
      </c>
      <c r="Y4047" s="1">
        <f t="shared" si="127"/>
        <v>0</v>
      </c>
    </row>
    <row r="4048" spans="24:25" x14ac:dyDescent="0.3">
      <c r="X4048" s="1">
        <f t="shared" si="126"/>
        <v>0</v>
      </c>
      <c r="Y4048" s="1">
        <f t="shared" si="127"/>
        <v>0</v>
      </c>
    </row>
    <row r="4049" spans="24:25" x14ac:dyDescent="0.3">
      <c r="X4049" s="1">
        <f t="shared" si="126"/>
        <v>0</v>
      </c>
      <c r="Y4049" s="1">
        <f t="shared" si="127"/>
        <v>0</v>
      </c>
    </row>
    <row r="4050" spans="24:25" x14ac:dyDescent="0.3">
      <c r="X4050" s="1">
        <f t="shared" si="126"/>
        <v>0</v>
      </c>
      <c r="Y4050" s="1">
        <f t="shared" si="127"/>
        <v>0</v>
      </c>
    </row>
    <row r="4051" spans="24:25" x14ac:dyDescent="0.3">
      <c r="X4051" s="1">
        <f t="shared" si="126"/>
        <v>0</v>
      </c>
      <c r="Y4051" s="1">
        <f t="shared" si="127"/>
        <v>0</v>
      </c>
    </row>
    <row r="4052" spans="24:25" x14ac:dyDescent="0.3">
      <c r="X4052" s="1">
        <f t="shared" si="126"/>
        <v>0</v>
      </c>
      <c r="Y4052" s="1">
        <f t="shared" si="127"/>
        <v>0</v>
      </c>
    </row>
    <row r="4053" spans="24:25" x14ac:dyDescent="0.3">
      <c r="X4053" s="1">
        <f t="shared" si="126"/>
        <v>0</v>
      </c>
      <c r="Y4053" s="1">
        <f t="shared" si="127"/>
        <v>0</v>
      </c>
    </row>
    <row r="4054" spans="24:25" x14ac:dyDescent="0.3">
      <c r="X4054" s="1">
        <f t="shared" si="126"/>
        <v>0</v>
      </c>
      <c r="Y4054" s="1">
        <f t="shared" si="127"/>
        <v>0</v>
      </c>
    </row>
    <row r="4055" spans="24:25" x14ac:dyDescent="0.3">
      <c r="X4055" s="1">
        <f t="shared" si="126"/>
        <v>0</v>
      </c>
      <c r="Y4055" s="1">
        <f t="shared" si="127"/>
        <v>0</v>
      </c>
    </row>
    <row r="4056" spans="24:25" x14ac:dyDescent="0.3">
      <c r="X4056" s="1">
        <f t="shared" si="126"/>
        <v>0</v>
      </c>
      <c r="Y4056" s="1">
        <f t="shared" si="127"/>
        <v>0</v>
      </c>
    </row>
    <row r="4057" spans="24:25" x14ac:dyDescent="0.3">
      <c r="X4057" s="1">
        <f t="shared" si="126"/>
        <v>0</v>
      </c>
      <c r="Y4057" s="1">
        <f t="shared" si="127"/>
        <v>0</v>
      </c>
    </row>
    <row r="4058" spans="24:25" x14ac:dyDescent="0.3">
      <c r="X4058" s="1">
        <f t="shared" si="126"/>
        <v>0</v>
      </c>
      <c r="Y4058" s="1">
        <f t="shared" si="127"/>
        <v>0</v>
      </c>
    </row>
    <row r="4059" spans="24:25" x14ac:dyDescent="0.3">
      <c r="X4059" s="1">
        <f t="shared" si="126"/>
        <v>0</v>
      </c>
      <c r="Y4059" s="1">
        <f t="shared" si="127"/>
        <v>0</v>
      </c>
    </row>
    <row r="4060" spans="24:25" x14ac:dyDescent="0.3">
      <c r="X4060" s="1">
        <f t="shared" si="126"/>
        <v>0</v>
      </c>
      <c r="Y4060" s="1">
        <f t="shared" si="127"/>
        <v>0</v>
      </c>
    </row>
    <row r="4061" spans="24:25" x14ac:dyDescent="0.3">
      <c r="X4061" s="1">
        <f t="shared" si="126"/>
        <v>0</v>
      </c>
      <c r="Y4061" s="1">
        <f t="shared" si="127"/>
        <v>0</v>
      </c>
    </row>
    <row r="4062" spans="24:25" x14ac:dyDescent="0.3">
      <c r="X4062" s="1">
        <f t="shared" si="126"/>
        <v>0</v>
      </c>
      <c r="Y4062" s="1">
        <f t="shared" si="127"/>
        <v>0</v>
      </c>
    </row>
    <row r="4063" spans="24:25" x14ac:dyDescent="0.3">
      <c r="X4063" s="1">
        <f t="shared" si="126"/>
        <v>0</v>
      </c>
      <c r="Y4063" s="1">
        <f t="shared" si="127"/>
        <v>0</v>
      </c>
    </row>
    <row r="4064" spans="24:25" x14ac:dyDescent="0.3">
      <c r="X4064" s="1">
        <f t="shared" si="126"/>
        <v>0</v>
      </c>
      <c r="Y4064" s="1">
        <f t="shared" si="127"/>
        <v>0</v>
      </c>
    </row>
    <row r="4065" spans="24:25" x14ac:dyDescent="0.3">
      <c r="X4065" s="1">
        <f t="shared" si="126"/>
        <v>0</v>
      </c>
      <c r="Y4065" s="1">
        <f t="shared" si="127"/>
        <v>0</v>
      </c>
    </row>
    <row r="4066" spans="24:25" x14ac:dyDescent="0.3">
      <c r="X4066" s="1">
        <f t="shared" si="126"/>
        <v>0</v>
      </c>
      <c r="Y4066" s="1">
        <f t="shared" si="127"/>
        <v>0</v>
      </c>
    </row>
    <row r="4067" spans="24:25" x14ac:dyDescent="0.3">
      <c r="X4067" s="1">
        <f t="shared" si="126"/>
        <v>0</v>
      </c>
      <c r="Y4067" s="1">
        <f t="shared" si="127"/>
        <v>0</v>
      </c>
    </row>
    <row r="4068" spans="24:25" x14ac:dyDescent="0.3">
      <c r="X4068" s="1">
        <f t="shared" si="126"/>
        <v>0</v>
      </c>
      <c r="Y4068" s="1">
        <f t="shared" si="127"/>
        <v>0</v>
      </c>
    </row>
    <row r="4069" spans="24:25" x14ac:dyDescent="0.3">
      <c r="X4069" s="1">
        <f t="shared" si="126"/>
        <v>0</v>
      </c>
      <c r="Y4069" s="1">
        <f t="shared" si="127"/>
        <v>0</v>
      </c>
    </row>
    <row r="4070" spans="24:25" x14ac:dyDescent="0.3">
      <c r="X4070" s="1">
        <f t="shared" si="126"/>
        <v>0</v>
      </c>
      <c r="Y4070" s="1">
        <f t="shared" si="127"/>
        <v>0</v>
      </c>
    </row>
    <row r="4071" spans="24:25" x14ac:dyDescent="0.3">
      <c r="X4071" s="1">
        <f t="shared" si="126"/>
        <v>0</v>
      </c>
      <c r="Y4071" s="1">
        <f t="shared" si="127"/>
        <v>0</v>
      </c>
    </row>
    <row r="4072" spans="24:25" x14ac:dyDescent="0.3">
      <c r="X4072" s="1">
        <f t="shared" si="126"/>
        <v>0</v>
      </c>
      <c r="Y4072" s="1">
        <f t="shared" si="127"/>
        <v>0</v>
      </c>
    </row>
    <row r="4073" spans="24:25" x14ac:dyDescent="0.3">
      <c r="X4073" s="1">
        <f t="shared" si="126"/>
        <v>0</v>
      </c>
      <c r="Y4073" s="1">
        <f t="shared" si="127"/>
        <v>0</v>
      </c>
    </row>
    <row r="4074" spans="24:25" x14ac:dyDescent="0.3">
      <c r="X4074" s="1">
        <f t="shared" si="126"/>
        <v>0</v>
      </c>
      <c r="Y4074" s="1">
        <f t="shared" si="127"/>
        <v>0</v>
      </c>
    </row>
    <row r="4075" spans="24:25" x14ac:dyDescent="0.3">
      <c r="X4075" s="1">
        <f t="shared" si="126"/>
        <v>0</v>
      </c>
      <c r="Y4075" s="1">
        <f t="shared" si="127"/>
        <v>0</v>
      </c>
    </row>
    <row r="4076" spans="24:25" x14ac:dyDescent="0.3">
      <c r="X4076" s="1">
        <f t="shared" si="126"/>
        <v>0</v>
      </c>
      <c r="Y4076" s="1">
        <f t="shared" si="127"/>
        <v>0</v>
      </c>
    </row>
    <row r="4077" spans="24:25" x14ac:dyDescent="0.3">
      <c r="X4077" s="1">
        <f t="shared" si="126"/>
        <v>0</v>
      </c>
      <c r="Y4077" s="1">
        <f t="shared" si="127"/>
        <v>0</v>
      </c>
    </row>
    <row r="4078" spans="24:25" x14ac:dyDescent="0.3">
      <c r="X4078" s="1">
        <f t="shared" si="126"/>
        <v>0</v>
      </c>
      <c r="Y4078" s="1">
        <f t="shared" si="127"/>
        <v>0</v>
      </c>
    </row>
    <row r="4079" spans="24:25" x14ac:dyDescent="0.3">
      <c r="X4079" s="1">
        <f t="shared" si="126"/>
        <v>0</v>
      </c>
      <c r="Y4079" s="1">
        <f t="shared" si="127"/>
        <v>0</v>
      </c>
    </row>
    <row r="4080" spans="24:25" x14ac:dyDescent="0.3">
      <c r="X4080" s="1">
        <f t="shared" si="126"/>
        <v>0</v>
      </c>
      <c r="Y4080" s="1">
        <f t="shared" si="127"/>
        <v>0</v>
      </c>
    </row>
    <row r="4081" spans="24:25" x14ac:dyDescent="0.3">
      <c r="X4081" s="1">
        <f t="shared" si="126"/>
        <v>0</v>
      </c>
      <c r="Y4081" s="1">
        <f t="shared" si="127"/>
        <v>0</v>
      </c>
    </row>
    <row r="4082" spans="24:25" x14ac:dyDescent="0.3">
      <c r="X4082" s="1">
        <f t="shared" si="126"/>
        <v>0</v>
      </c>
      <c r="Y4082" s="1">
        <f t="shared" si="127"/>
        <v>0</v>
      </c>
    </row>
    <row r="4083" spans="24:25" x14ac:dyDescent="0.3">
      <c r="X4083" s="1">
        <f t="shared" si="126"/>
        <v>0</v>
      </c>
      <c r="Y4083" s="1">
        <f t="shared" si="127"/>
        <v>0</v>
      </c>
    </row>
    <row r="4084" spans="24:25" x14ac:dyDescent="0.3">
      <c r="X4084" s="1">
        <f t="shared" si="126"/>
        <v>0</v>
      </c>
      <c r="Y4084" s="1">
        <f t="shared" si="127"/>
        <v>0</v>
      </c>
    </row>
    <row r="4085" spans="24:25" x14ac:dyDescent="0.3">
      <c r="X4085" s="1">
        <f t="shared" si="126"/>
        <v>0</v>
      </c>
      <c r="Y4085" s="1">
        <f t="shared" si="127"/>
        <v>0</v>
      </c>
    </row>
    <row r="4086" spans="24:25" x14ac:dyDescent="0.3">
      <c r="X4086" s="1">
        <f t="shared" si="126"/>
        <v>0</v>
      </c>
      <c r="Y4086" s="1">
        <f t="shared" si="127"/>
        <v>0</v>
      </c>
    </row>
    <row r="4087" spans="24:25" x14ac:dyDescent="0.3">
      <c r="X4087" s="1">
        <f t="shared" si="126"/>
        <v>0</v>
      </c>
      <c r="Y4087" s="1">
        <f t="shared" si="127"/>
        <v>0</v>
      </c>
    </row>
    <row r="4088" spans="24:25" x14ac:dyDescent="0.3">
      <c r="X4088" s="1">
        <f t="shared" si="126"/>
        <v>0</v>
      </c>
      <c r="Y4088" s="1">
        <f t="shared" si="127"/>
        <v>0</v>
      </c>
    </row>
    <row r="4089" spans="24:25" x14ac:dyDescent="0.3">
      <c r="X4089" s="1">
        <f t="shared" si="126"/>
        <v>0</v>
      </c>
      <c r="Y4089" s="1">
        <f t="shared" si="127"/>
        <v>0</v>
      </c>
    </row>
    <row r="4090" spans="24:25" x14ac:dyDescent="0.3">
      <c r="X4090" s="1">
        <f t="shared" si="126"/>
        <v>0</v>
      </c>
      <c r="Y4090" s="1">
        <f t="shared" si="127"/>
        <v>0</v>
      </c>
    </row>
    <row r="4091" spans="24:25" x14ac:dyDescent="0.3">
      <c r="X4091" s="1">
        <f t="shared" si="126"/>
        <v>0</v>
      </c>
      <c r="Y4091" s="1">
        <f t="shared" si="127"/>
        <v>0</v>
      </c>
    </row>
    <row r="4092" spans="24:25" x14ac:dyDescent="0.3">
      <c r="X4092" s="1">
        <f t="shared" si="126"/>
        <v>0</v>
      </c>
      <c r="Y4092" s="1">
        <f t="shared" si="127"/>
        <v>0</v>
      </c>
    </row>
    <row r="4093" spans="24:25" x14ac:dyDescent="0.3">
      <c r="X4093" s="1">
        <f t="shared" si="126"/>
        <v>0</v>
      </c>
      <c r="Y4093" s="1">
        <f t="shared" si="127"/>
        <v>0</v>
      </c>
    </row>
    <row r="4094" spans="24:25" x14ac:dyDescent="0.3">
      <c r="X4094" s="1">
        <f t="shared" si="126"/>
        <v>0</v>
      </c>
      <c r="Y4094" s="1">
        <f t="shared" si="127"/>
        <v>0</v>
      </c>
    </row>
    <row r="4095" spans="24:25" x14ac:dyDescent="0.3">
      <c r="X4095" s="1">
        <f t="shared" si="126"/>
        <v>0</v>
      </c>
      <c r="Y4095" s="1">
        <f t="shared" si="127"/>
        <v>0</v>
      </c>
    </row>
    <row r="4096" spans="24:25" x14ac:dyDescent="0.3">
      <c r="X4096" s="1">
        <f t="shared" si="126"/>
        <v>0</v>
      </c>
      <c r="Y4096" s="1">
        <f t="shared" si="127"/>
        <v>0</v>
      </c>
    </row>
    <row r="4097" spans="24:25" x14ac:dyDescent="0.3">
      <c r="X4097" s="1">
        <f t="shared" si="126"/>
        <v>0</v>
      </c>
      <c r="Y4097" s="1">
        <f t="shared" si="127"/>
        <v>0</v>
      </c>
    </row>
    <row r="4098" spans="24:25" x14ac:dyDescent="0.3">
      <c r="X4098" s="1">
        <f t="shared" si="126"/>
        <v>0</v>
      </c>
      <c r="Y4098" s="1">
        <f t="shared" si="127"/>
        <v>0</v>
      </c>
    </row>
    <row r="4099" spans="24:25" x14ac:dyDescent="0.3">
      <c r="X4099" s="1">
        <f t="shared" ref="X4099:X4162" si="128">IFERROR(MATCH(W4099,$B:$B,0),0)</f>
        <v>0</v>
      </c>
      <c r="Y4099" s="1">
        <f t="shared" ref="Y4099:Y4162" si="129">IF(X4100=0,COUNTA(A:A),X4100-1)</f>
        <v>0</v>
      </c>
    </row>
    <row r="4100" spans="24:25" x14ac:dyDescent="0.3">
      <c r="X4100" s="1">
        <f t="shared" si="128"/>
        <v>0</v>
      </c>
      <c r="Y4100" s="1">
        <f t="shared" si="129"/>
        <v>0</v>
      </c>
    </row>
    <row r="4101" spans="24:25" x14ac:dyDescent="0.3">
      <c r="X4101" s="1">
        <f t="shared" si="128"/>
        <v>0</v>
      </c>
      <c r="Y4101" s="1">
        <f t="shared" si="129"/>
        <v>0</v>
      </c>
    </row>
    <row r="4102" spans="24:25" x14ac:dyDescent="0.3">
      <c r="X4102" s="1">
        <f t="shared" si="128"/>
        <v>0</v>
      </c>
      <c r="Y4102" s="1">
        <f t="shared" si="129"/>
        <v>0</v>
      </c>
    </row>
    <row r="4103" spans="24:25" x14ac:dyDescent="0.3">
      <c r="X4103" s="1">
        <f t="shared" si="128"/>
        <v>0</v>
      </c>
      <c r="Y4103" s="1">
        <f t="shared" si="129"/>
        <v>0</v>
      </c>
    </row>
    <row r="4104" spans="24:25" x14ac:dyDescent="0.3">
      <c r="X4104" s="1">
        <f t="shared" si="128"/>
        <v>0</v>
      </c>
      <c r="Y4104" s="1">
        <f t="shared" si="129"/>
        <v>0</v>
      </c>
    </row>
    <row r="4105" spans="24:25" x14ac:dyDescent="0.3">
      <c r="X4105" s="1">
        <f t="shared" si="128"/>
        <v>0</v>
      </c>
      <c r="Y4105" s="1">
        <f t="shared" si="129"/>
        <v>0</v>
      </c>
    </row>
    <row r="4106" spans="24:25" x14ac:dyDescent="0.3">
      <c r="X4106" s="1">
        <f t="shared" si="128"/>
        <v>0</v>
      </c>
      <c r="Y4106" s="1">
        <f t="shared" si="129"/>
        <v>0</v>
      </c>
    </row>
    <row r="4107" spans="24:25" x14ac:dyDescent="0.3">
      <c r="X4107" s="1">
        <f t="shared" si="128"/>
        <v>0</v>
      </c>
      <c r="Y4107" s="1">
        <f t="shared" si="129"/>
        <v>0</v>
      </c>
    </row>
    <row r="4108" spans="24:25" x14ac:dyDescent="0.3">
      <c r="X4108" s="1">
        <f t="shared" si="128"/>
        <v>0</v>
      </c>
      <c r="Y4108" s="1">
        <f t="shared" si="129"/>
        <v>0</v>
      </c>
    </row>
    <row r="4109" spans="24:25" x14ac:dyDescent="0.3">
      <c r="X4109" s="1">
        <f t="shared" si="128"/>
        <v>0</v>
      </c>
      <c r="Y4109" s="1">
        <f t="shared" si="129"/>
        <v>0</v>
      </c>
    </row>
    <row r="4110" spans="24:25" x14ac:dyDescent="0.3">
      <c r="X4110" s="1">
        <f t="shared" si="128"/>
        <v>0</v>
      </c>
      <c r="Y4110" s="1">
        <f t="shared" si="129"/>
        <v>0</v>
      </c>
    </row>
    <row r="4111" spans="24:25" x14ac:dyDescent="0.3">
      <c r="X4111" s="1">
        <f t="shared" si="128"/>
        <v>0</v>
      </c>
      <c r="Y4111" s="1">
        <f t="shared" si="129"/>
        <v>0</v>
      </c>
    </row>
    <row r="4112" spans="24:25" x14ac:dyDescent="0.3">
      <c r="X4112" s="1">
        <f t="shared" si="128"/>
        <v>0</v>
      </c>
      <c r="Y4112" s="1">
        <f t="shared" si="129"/>
        <v>0</v>
      </c>
    </row>
    <row r="4113" spans="24:25" x14ac:dyDescent="0.3">
      <c r="X4113" s="1">
        <f t="shared" si="128"/>
        <v>0</v>
      </c>
      <c r="Y4113" s="1">
        <f t="shared" si="129"/>
        <v>0</v>
      </c>
    </row>
    <row r="4114" spans="24:25" x14ac:dyDescent="0.3">
      <c r="X4114" s="1">
        <f t="shared" si="128"/>
        <v>0</v>
      </c>
      <c r="Y4114" s="1">
        <f t="shared" si="129"/>
        <v>0</v>
      </c>
    </row>
    <row r="4115" spans="24:25" x14ac:dyDescent="0.3">
      <c r="X4115" s="1">
        <f t="shared" si="128"/>
        <v>0</v>
      </c>
      <c r="Y4115" s="1">
        <f t="shared" si="129"/>
        <v>0</v>
      </c>
    </row>
    <row r="4116" spans="24:25" x14ac:dyDescent="0.3">
      <c r="X4116" s="1">
        <f t="shared" si="128"/>
        <v>0</v>
      </c>
      <c r="Y4116" s="1">
        <f t="shared" si="129"/>
        <v>0</v>
      </c>
    </row>
    <row r="4117" spans="24:25" x14ac:dyDescent="0.3">
      <c r="X4117" s="1">
        <f t="shared" si="128"/>
        <v>0</v>
      </c>
      <c r="Y4117" s="1">
        <f t="shared" si="129"/>
        <v>0</v>
      </c>
    </row>
    <row r="4118" spans="24:25" x14ac:dyDescent="0.3">
      <c r="X4118" s="1">
        <f t="shared" si="128"/>
        <v>0</v>
      </c>
      <c r="Y4118" s="1">
        <f t="shared" si="129"/>
        <v>0</v>
      </c>
    </row>
    <row r="4119" spans="24:25" x14ac:dyDescent="0.3">
      <c r="X4119" s="1">
        <f t="shared" si="128"/>
        <v>0</v>
      </c>
      <c r="Y4119" s="1">
        <f t="shared" si="129"/>
        <v>0</v>
      </c>
    </row>
    <row r="4120" spans="24:25" x14ac:dyDescent="0.3">
      <c r="X4120" s="1">
        <f t="shared" si="128"/>
        <v>0</v>
      </c>
      <c r="Y4120" s="1">
        <f t="shared" si="129"/>
        <v>0</v>
      </c>
    </row>
    <row r="4121" spans="24:25" x14ac:dyDescent="0.3">
      <c r="X4121" s="1">
        <f t="shared" si="128"/>
        <v>0</v>
      </c>
      <c r="Y4121" s="1">
        <f t="shared" si="129"/>
        <v>0</v>
      </c>
    </row>
    <row r="4122" spans="24:25" x14ac:dyDescent="0.3">
      <c r="X4122" s="1">
        <f t="shared" si="128"/>
        <v>0</v>
      </c>
      <c r="Y4122" s="1">
        <f t="shared" si="129"/>
        <v>0</v>
      </c>
    </row>
    <row r="4123" spans="24:25" x14ac:dyDescent="0.3">
      <c r="X4123" s="1">
        <f t="shared" si="128"/>
        <v>0</v>
      </c>
      <c r="Y4123" s="1">
        <f t="shared" si="129"/>
        <v>0</v>
      </c>
    </row>
    <row r="4124" spans="24:25" x14ac:dyDescent="0.3">
      <c r="X4124" s="1">
        <f t="shared" si="128"/>
        <v>0</v>
      </c>
      <c r="Y4124" s="1">
        <f t="shared" si="129"/>
        <v>0</v>
      </c>
    </row>
    <row r="4125" spans="24:25" x14ac:dyDescent="0.3">
      <c r="X4125" s="1">
        <f t="shared" si="128"/>
        <v>0</v>
      </c>
      <c r="Y4125" s="1">
        <f t="shared" si="129"/>
        <v>0</v>
      </c>
    </row>
    <row r="4126" spans="24:25" x14ac:dyDescent="0.3">
      <c r="X4126" s="1">
        <f t="shared" si="128"/>
        <v>0</v>
      </c>
      <c r="Y4126" s="1">
        <f t="shared" si="129"/>
        <v>0</v>
      </c>
    </row>
    <row r="4127" spans="24:25" x14ac:dyDescent="0.3">
      <c r="X4127" s="1">
        <f t="shared" si="128"/>
        <v>0</v>
      </c>
      <c r="Y4127" s="1">
        <f t="shared" si="129"/>
        <v>0</v>
      </c>
    </row>
    <row r="4128" spans="24:25" x14ac:dyDescent="0.3">
      <c r="X4128" s="1">
        <f t="shared" si="128"/>
        <v>0</v>
      </c>
      <c r="Y4128" s="1">
        <f t="shared" si="129"/>
        <v>0</v>
      </c>
    </row>
    <row r="4129" spans="24:25" x14ac:dyDescent="0.3">
      <c r="X4129" s="1">
        <f t="shared" si="128"/>
        <v>0</v>
      </c>
      <c r="Y4129" s="1">
        <f t="shared" si="129"/>
        <v>0</v>
      </c>
    </row>
    <row r="4130" spans="24:25" x14ac:dyDescent="0.3">
      <c r="X4130" s="1">
        <f t="shared" si="128"/>
        <v>0</v>
      </c>
      <c r="Y4130" s="1">
        <f t="shared" si="129"/>
        <v>0</v>
      </c>
    </row>
    <row r="4131" spans="24:25" x14ac:dyDescent="0.3">
      <c r="X4131" s="1">
        <f t="shared" si="128"/>
        <v>0</v>
      </c>
      <c r="Y4131" s="1">
        <f t="shared" si="129"/>
        <v>0</v>
      </c>
    </row>
    <row r="4132" spans="24:25" x14ac:dyDescent="0.3">
      <c r="X4132" s="1">
        <f t="shared" si="128"/>
        <v>0</v>
      </c>
      <c r="Y4132" s="1">
        <f t="shared" si="129"/>
        <v>0</v>
      </c>
    </row>
    <row r="4133" spans="24:25" x14ac:dyDescent="0.3">
      <c r="X4133" s="1">
        <f t="shared" si="128"/>
        <v>0</v>
      </c>
      <c r="Y4133" s="1">
        <f t="shared" si="129"/>
        <v>0</v>
      </c>
    </row>
    <row r="4134" spans="24:25" x14ac:dyDescent="0.3">
      <c r="X4134" s="1">
        <f t="shared" si="128"/>
        <v>0</v>
      </c>
      <c r="Y4134" s="1">
        <f t="shared" si="129"/>
        <v>0</v>
      </c>
    </row>
    <row r="4135" spans="24:25" x14ac:dyDescent="0.3">
      <c r="X4135" s="1">
        <f t="shared" si="128"/>
        <v>0</v>
      </c>
      <c r="Y4135" s="1">
        <f t="shared" si="129"/>
        <v>0</v>
      </c>
    </row>
    <row r="4136" spans="24:25" x14ac:dyDescent="0.3">
      <c r="X4136" s="1">
        <f t="shared" si="128"/>
        <v>0</v>
      </c>
      <c r="Y4136" s="1">
        <f t="shared" si="129"/>
        <v>0</v>
      </c>
    </row>
    <row r="4137" spans="24:25" x14ac:dyDescent="0.3">
      <c r="X4137" s="1">
        <f t="shared" si="128"/>
        <v>0</v>
      </c>
      <c r="Y4137" s="1">
        <f t="shared" si="129"/>
        <v>0</v>
      </c>
    </row>
    <row r="4138" spans="24:25" x14ac:dyDescent="0.3">
      <c r="X4138" s="1">
        <f t="shared" si="128"/>
        <v>0</v>
      </c>
      <c r="Y4138" s="1">
        <f t="shared" si="129"/>
        <v>0</v>
      </c>
    </row>
    <row r="4139" spans="24:25" x14ac:dyDescent="0.3">
      <c r="X4139" s="1">
        <f t="shared" si="128"/>
        <v>0</v>
      </c>
      <c r="Y4139" s="1">
        <f t="shared" si="129"/>
        <v>0</v>
      </c>
    </row>
    <row r="4140" spans="24:25" x14ac:dyDescent="0.3">
      <c r="X4140" s="1">
        <f t="shared" si="128"/>
        <v>0</v>
      </c>
      <c r="Y4140" s="1">
        <f t="shared" si="129"/>
        <v>0</v>
      </c>
    </row>
    <row r="4141" spans="24:25" x14ac:dyDescent="0.3">
      <c r="X4141" s="1">
        <f t="shared" si="128"/>
        <v>0</v>
      </c>
      <c r="Y4141" s="1">
        <f t="shared" si="129"/>
        <v>0</v>
      </c>
    </row>
    <row r="4142" spans="24:25" x14ac:dyDescent="0.3">
      <c r="X4142" s="1">
        <f t="shared" si="128"/>
        <v>0</v>
      </c>
      <c r="Y4142" s="1">
        <f t="shared" si="129"/>
        <v>0</v>
      </c>
    </row>
    <row r="4143" spans="24:25" x14ac:dyDescent="0.3">
      <c r="X4143" s="1">
        <f t="shared" si="128"/>
        <v>0</v>
      </c>
      <c r="Y4143" s="1">
        <f t="shared" si="129"/>
        <v>0</v>
      </c>
    </row>
    <row r="4144" spans="24:25" x14ac:dyDescent="0.3">
      <c r="X4144" s="1">
        <f t="shared" si="128"/>
        <v>0</v>
      </c>
      <c r="Y4144" s="1">
        <f t="shared" si="129"/>
        <v>0</v>
      </c>
    </row>
    <row r="4145" spans="24:25" x14ac:dyDescent="0.3">
      <c r="X4145" s="1">
        <f t="shared" si="128"/>
        <v>0</v>
      </c>
      <c r="Y4145" s="1">
        <f t="shared" si="129"/>
        <v>0</v>
      </c>
    </row>
    <row r="4146" spans="24:25" x14ac:dyDescent="0.3">
      <c r="X4146" s="1">
        <f t="shared" si="128"/>
        <v>0</v>
      </c>
      <c r="Y4146" s="1">
        <f t="shared" si="129"/>
        <v>0</v>
      </c>
    </row>
    <row r="4147" spans="24:25" x14ac:dyDescent="0.3">
      <c r="X4147" s="1">
        <f t="shared" si="128"/>
        <v>0</v>
      </c>
      <c r="Y4147" s="1">
        <f t="shared" si="129"/>
        <v>0</v>
      </c>
    </row>
    <row r="4148" spans="24:25" x14ac:dyDescent="0.3">
      <c r="X4148" s="1">
        <f t="shared" si="128"/>
        <v>0</v>
      </c>
      <c r="Y4148" s="1">
        <f t="shared" si="129"/>
        <v>0</v>
      </c>
    </row>
    <row r="4149" spans="24:25" x14ac:dyDescent="0.3">
      <c r="X4149" s="1">
        <f t="shared" si="128"/>
        <v>0</v>
      </c>
      <c r="Y4149" s="1">
        <f t="shared" si="129"/>
        <v>0</v>
      </c>
    </row>
    <row r="4150" spans="24:25" x14ac:dyDescent="0.3">
      <c r="X4150" s="1">
        <f t="shared" si="128"/>
        <v>0</v>
      </c>
      <c r="Y4150" s="1">
        <f t="shared" si="129"/>
        <v>0</v>
      </c>
    </row>
    <row r="4151" spans="24:25" x14ac:dyDescent="0.3">
      <c r="X4151" s="1">
        <f t="shared" si="128"/>
        <v>0</v>
      </c>
      <c r="Y4151" s="1">
        <f t="shared" si="129"/>
        <v>0</v>
      </c>
    </row>
    <row r="4152" spans="24:25" x14ac:dyDescent="0.3">
      <c r="X4152" s="1">
        <f t="shared" si="128"/>
        <v>0</v>
      </c>
      <c r="Y4152" s="1">
        <f t="shared" si="129"/>
        <v>0</v>
      </c>
    </row>
    <row r="4153" spans="24:25" x14ac:dyDescent="0.3">
      <c r="X4153" s="1">
        <f t="shared" si="128"/>
        <v>0</v>
      </c>
      <c r="Y4153" s="1">
        <f t="shared" si="129"/>
        <v>0</v>
      </c>
    </row>
    <row r="4154" spans="24:25" x14ac:dyDescent="0.3">
      <c r="X4154" s="1">
        <f t="shared" si="128"/>
        <v>0</v>
      </c>
      <c r="Y4154" s="1">
        <f t="shared" si="129"/>
        <v>0</v>
      </c>
    </row>
    <row r="4155" spans="24:25" x14ac:dyDescent="0.3">
      <c r="X4155" s="1">
        <f t="shared" si="128"/>
        <v>0</v>
      </c>
      <c r="Y4155" s="1">
        <f t="shared" si="129"/>
        <v>0</v>
      </c>
    </row>
    <row r="4156" spans="24:25" x14ac:dyDescent="0.3">
      <c r="X4156" s="1">
        <f t="shared" si="128"/>
        <v>0</v>
      </c>
      <c r="Y4156" s="1">
        <f t="shared" si="129"/>
        <v>0</v>
      </c>
    </row>
    <row r="4157" spans="24:25" x14ac:dyDescent="0.3">
      <c r="X4157" s="1">
        <f t="shared" si="128"/>
        <v>0</v>
      </c>
      <c r="Y4157" s="1">
        <f t="shared" si="129"/>
        <v>0</v>
      </c>
    </row>
    <row r="4158" spans="24:25" x14ac:dyDescent="0.3">
      <c r="X4158" s="1">
        <f t="shared" si="128"/>
        <v>0</v>
      </c>
      <c r="Y4158" s="1">
        <f t="shared" si="129"/>
        <v>0</v>
      </c>
    </row>
    <row r="4159" spans="24:25" x14ac:dyDescent="0.3">
      <c r="X4159" s="1">
        <f t="shared" si="128"/>
        <v>0</v>
      </c>
      <c r="Y4159" s="1">
        <f t="shared" si="129"/>
        <v>0</v>
      </c>
    </row>
    <row r="4160" spans="24:25" x14ac:dyDescent="0.3">
      <c r="X4160" s="1">
        <f t="shared" si="128"/>
        <v>0</v>
      </c>
      <c r="Y4160" s="1">
        <f t="shared" si="129"/>
        <v>0</v>
      </c>
    </row>
    <row r="4161" spans="24:25" x14ac:dyDescent="0.3">
      <c r="X4161" s="1">
        <f t="shared" si="128"/>
        <v>0</v>
      </c>
      <c r="Y4161" s="1">
        <f t="shared" si="129"/>
        <v>0</v>
      </c>
    </row>
    <row r="4162" spans="24:25" x14ac:dyDescent="0.3">
      <c r="X4162" s="1">
        <f t="shared" si="128"/>
        <v>0</v>
      </c>
      <c r="Y4162" s="1">
        <f t="shared" si="129"/>
        <v>0</v>
      </c>
    </row>
    <row r="4163" spans="24:25" x14ac:dyDescent="0.3">
      <c r="X4163" s="1">
        <f t="shared" ref="X4163:X4226" si="130">IFERROR(MATCH(W4163,$B:$B,0),0)</f>
        <v>0</v>
      </c>
      <c r="Y4163" s="1">
        <f t="shared" ref="Y4163:Y4226" si="131">IF(X4164=0,COUNTA(A:A),X4164-1)</f>
        <v>0</v>
      </c>
    </row>
    <row r="4164" spans="24:25" x14ac:dyDescent="0.3">
      <c r="X4164" s="1">
        <f t="shared" si="130"/>
        <v>0</v>
      </c>
      <c r="Y4164" s="1">
        <f t="shared" si="131"/>
        <v>0</v>
      </c>
    </row>
    <row r="4165" spans="24:25" x14ac:dyDescent="0.3">
      <c r="X4165" s="1">
        <f t="shared" si="130"/>
        <v>0</v>
      </c>
      <c r="Y4165" s="1">
        <f t="shared" si="131"/>
        <v>0</v>
      </c>
    </row>
    <row r="4166" spans="24:25" x14ac:dyDescent="0.3">
      <c r="X4166" s="1">
        <f t="shared" si="130"/>
        <v>0</v>
      </c>
      <c r="Y4166" s="1">
        <f t="shared" si="131"/>
        <v>0</v>
      </c>
    </row>
    <row r="4167" spans="24:25" x14ac:dyDescent="0.3">
      <c r="X4167" s="1">
        <f t="shared" si="130"/>
        <v>0</v>
      </c>
      <c r="Y4167" s="1">
        <f t="shared" si="131"/>
        <v>0</v>
      </c>
    </row>
    <row r="4168" spans="24:25" x14ac:dyDescent="0.3">
      <c r="X4168" s="1">
        <f t="shared" si="130"/>
        <v>0</v>
      </c>
      <c r="Y4168" s="1">
        <f t="shared" si="131"/>
        <v>0</v>
      </c>
    </row>
    <row r="4169" spans="24:25" x14ac:dyDescent="0.3">
      <c r="X4169" s="1">
        <f t="shared" si="130"/>
        <v>0</v>
      </c>
      <c r="Y4169" s="1">
        <f t="shared" si="131"/>
        <v>0</v>
      </c>
    </row>
    <row r="4170" spans="24:25" x14ac:dyDescent="0.3">
      <c r="X4170" s="1">
        <f t="shared" si="130"/>
        <v>0</v>
      </c>
      <c r="Y4170" s="1">
        <f t="shared" si="131"/>
        <v>0</v>
      </c>
    </row>
    <row r="4171" spans="24:25" x14ac:dyDescent="0.3">
      <c r="X4171" s="1">
        <f t="shared" si="130"/>
        <v>0</v>
      </c>
      <c r="Y4171" s="1">
        <f t="shared" si="131"/>
        <v>0</v>
      </c>
    </row>
    <row r="4172" spans="24:25" x14ac:dyDescent="0.3">
      <c r="X4172" s="1">
        <f t="shared" si="130"/>
        <v>0</v>
      </c>
      <c r="Y4172" s="1">
        <f t="shared" si="131"/>
        <v>0</v>
      </c>
    </row>
    <row r="4173" spans="24:25" x14ac:dyDescent="0.3">
      <c r="X4173" s="1">
        <f t="shared" si="130"/>
        <v>0</v>
      </c>
      <c r="Y4173" s="1">
        <f t="shared" si="131"/>
        <v>0</v>
      </c>
    </row>
    <row r="4174" spans="24:25" x14ac:dyDescent="0.3">
      <c r="X4174" s="1">
        <f t="shared" si="130"/>
        <v>0</v>
      </c>
      <c r="Y4174" s="1">
        <f t="shared" si="131"/>
        <v>0</v>
      </c>
    </row>
    <row r="4175" spans="24:25" x14ac:dyDescent="0.3">
      <c r="X4175" s="1">
        <f t="shared" si="130"/>
        <v>0</v>
      </c>
      <c r="Y4175" s="1">
        <f t="shared" si="131"/>
        <v>0</v>
      </c>
    </row>
    <row r="4176" spans="24:25" x14ac:dyDescent="0.3">
      <c r="X4176" s="1">
        <f t="shared" si="130"/>
        <v>0</v>
      </c>
      <c r="Y4176" s="1">
        <f t="shared" si="131"/>
        <v>0</v>
      </c>
    </row>
    <row r="4177" spans="24:25" x14ac:dyDescent="0.3">
      <c r="X4177" s="1">
        <f t="shared" si="130"/>
        <v>0</v>
      </c>
      <c r="Y4177" s="1">
        <f t="shared" si="131"/>
        <v>0</v>
      </c>
    </row>
    <row r="4178" spans="24:25" x14ac:dyDescent="0.3">
      <c r="X4178" s="1">
        <f t="shared" si="130"/>
        <v>0</v>
      </c>
      <c r="Y4178" s="1">
        <f t="shared" si="131"/>
        <v>0</v>
      </c>
    </row>
    <row r="4179" spans="24:25" x14ac:dyDescent="0.3">
      <c r="X4179" s="1">
        <f t="shared" si="130"/>
        <v>0</v>
      </c>
      <c r="Y4179" s="1">
        <f t="shared" si="131"/>
        <v>0</v>
      </c>
    </row>
    <row r="4180" spans="24:25" x14ac:dyDescent="0.3">
      <c r="X4180" s="1">
        <f t="shared" si="130"/>
        <v>0</v>
      </c>
      <c r="Y4180" s="1">
        <f t="shared" si="131"/>
        <v>0</v>
      </c>
    </row>
    <row r="4181" spans="24:25" x14ac:dyDescent="0.3">
      <c r="X4181" s="1">
        <f t="shared" si="130"/>
        <v>0</v>
      </c>
      <c r="Y4181" s="1">
        <f t="shared" si="131"/>
        <v>0</v>
      </c>
    </row>
    <row r="4182" spans="24:25" x14ac:dyDescent="0.3">
      <c r="X4182" s="1">
        <f t="shared" si="130"/>
        <v>0</v>
      </c>
      <c r="Y4182" s="1">
        <f t="shared" si="131"/>
        <v>0</v>
      </c>
    </row>
    <row r="4183" spans="24:25" x14ac:dyDescent="0.3">
      <c r="X4183" s="1">
        <f t="shared" si="130"/>
        <v>0</v>
      </c>
      <c r="Y4183" s="1">
        <f t="shared" si="131"/>
        <v>0</v>
      </c>
    </row>
    <row r="4184" spans="24:25" x14ac:dyDescent="0.3">
      <c r="X4184" s="1">
        <f t="shared" si="130"/>
        <v>0</v>
      </c>
      <c r="Y4184" s="1">
        <f t="shared" si="131"/>
        <v>0</v>
      </c>
    </row>
    <row r="4185" spans="24:25" x14ac:dyDescent="0.3">
      <c r="X4185" s="1">
        <f t="shared" si="130"/>
        <v>0</v>
      </c>
      <c r="Y4185" s="1">
        <f t="shared" si="131"/>
        <v>0</v>
      </c>
    </row>
    <row r="4186" spans="24:25" x14ac:dyDescent="0.3">
      <c r="X4186" s="1">
        <f t="shared" si="130"/>
        <v>0</v>
      </c>
      <c r="Y4186" s="1">
        <f t="shared" si="131"/>
        <v>0</v>
      </c>
    </row>
    <row r="4187" spans="24:25" x14ac:dyDescent="0.3">
      <c r="X4187" s="1">
        <f t="shared" si="130"/>
        <v>0</v>
      </c>
      <c r="Y4187" s="1">
        <f t="shared" si="131"/>
        <v>0</v>
      </c>
    </row>
    <row r="4188" spans="24:25" x14ac:dyDescent="0.3">
      <c r="X4188" s="1">
        <f t="shared" si="130"/>
        <v>0</v>
      </c>
      <c r="Y4188" s="1">
        <f t="shared" si="131"/>
        <v>0</v>
      </c>
    </row>
    <row r="4189" spans="24:25" x14ac:dyDescent="0.3">
      <c r="X4189" s="1">
        <f t="shared" si="130"/>
        <v>0</v>
      </c>
      <c r="Y4189" s="1">
        <f t="shared" si="131"/>
        <v>0</v>
      </c>
    </row>
    <row r="4190" spans="24:25" x14ac:dyDescent="0.3">
      <c r="X4190" s="1">
        <f t="shared" si="130"/>
        <v>0</v>
      </c>
      <c r="Y4190" s="1">
        <f t="shared" si="131"/>
        <v>0</v>
      </c>
    </row>
    <row r="4191" spans="24:25" x14ac:dyDescent="0.3">
      <c r="X4191" s="1">
        <f t="shared" si="130"/>
        <v>0</v>
      </c>
      <c r="Y4191" s="1">
        <f t="shared" si="131"/>
        <v>0</v>
      </c>
    </row>
    <row r="4192" spans="24:25" x14ac:dyDescent="0.3">
      <c r="X4192" s="1">
        <f t="shared" si="130"/>
        <v>0</v>
      </c>
      <c r="Y4192" s="1">
        <f t="shared" si="131"/>
        <v>0</v>
      </c>
    </row>
    <row r="4193" spans="24:25" x14ac:dyDescent="0.3">
      <c r="X4193" s="1">
        <f t="shared" si="130"/>
        <v>0</v>
      </c>
      <c r="Y4193" s="1">
        <f t="shared" si="131"/>
        <v>0</v>
      </c>
    </row>
    <row r="4194" spans="24:25" x14ac:dyDescent="0.3">
      <c r="X4194" s="1">
        <f t="shared" si="130"/>
        <v>0</v>
      </c>
      <c r="Y4194" s="1">
        <f t="shared" si="131"/>
        <v>0</v>
      </c>
    </row>
    <row r="4195" spans="24:25" x14ac:dyDescent="0.3">
      <c r="X4195" s="1">
        <f t="shared" si="130"/>
        <v>0</v>
      </c>
      <c r="Y4195" s="1">
        <f t="shared" si="131"/>
        <v>0</v>
      </c>
    </row>
    <row r="4196" spans="24:25" x14ac:dyDescent="0.3">
      <c r="X4196" s="1">
        <f t="shared" si="130"/>
        <v>0</v>
      </c>
      <c r="Y4196" s="1">
        <f t="shared" si="131"/>
        <v>0</v>
      </c>
    </row>
    <row r="4197" spans="24:25" x14ac:dyDescent="0.3">
      <c r="X4197" s="1">
        <f t="shared" si="130"/>
        <v>0</v>
      </c>
      <c r="Y4197" s="1">
        <f t="shared" si="131"/>
        <v>0</v>
      </c>
    </row>
    <row r="4198" spans="24:25" x14ac:dyDescent="0.3">
      <c r="X4198" s="1">
        <f t="shared" si="130"/>
        <v>0</v>
      </c>
      <c r="Y4198" s="1">
        <f t="shared" si="131"/>
        <v>0</v>
      </c>
    </row>
    <row r="4199" spans="24:25" x14ac:dyDescent="0.3">
      <c r="X4199" s="1">
        <f t="shared" si="130"/>
        <v>0</v>
      </c>
      <c r="Y4199" s="1">
        <f t="shared" si="131"/>
        <v>0</v>
      </c>
    </row>
    <row r="4200" spans="24:25" x14ac:dyDescent="0.3">
      <c r="X4200" s="1">
        <f t="shared" si="130"/>
        <v>0</v>
      </c>
      <c r="Y4200" s="1">
        <f t="shared" si="131"/>
        <v>0</v>
      </c>
    </row>
    <row r="4201" spans="24:25" x14ac:dyDescent="0.3">
      <c r="X4201" s="1">
        <f t="shared" si="130"/>
        <v>0</v>
      </c>
      <c r="Y4201" s="1">
        <f t="shared" si="131"/>
        <v>0</v>
      </c>
    </row>
    <row r="4202" spans="24:25" x14ac:dyDescent="0.3">
      <c r="X4202" s="1">
        <f t="shared" si="130"/>
        <v>0</v>
      </c>
      <c r="Y4202" s="1">
        <f t="shared" si="131"/>
        <v>0</v>
      </c>
    </row>
    <row r="4203" spans="24:25" x14ac:dyDescent="0.3">
      <c r="X4203" s="1">
        <f t="shared" si="130"/>
        <v>0</v>
      </c>
      <c r="Y4203" s="1">
        <f t="shared" si="131"/>
        <v>0</v>
      </c>
    </row>
    <row r="4204" spans="24:25" x14ac:dyDescent="0.3">
      <c r="X4204" s="1">
        <f t="shared" si="130"/>
        <v>0</v>
      </c>
      <c r="Y4204" s="1">
        <f t="shared" si="131"/>
        <v>0</v>
      </c>
    </row>
    <row r="4205" spans="24:25" x14ac:dyDescent="0.3">
      <c r="X4205" s="1">
        <f t="shared" si="130"/>
        <v>0</v>
      </c>
      <c r="Y4205" s="1">
        <f t="shared" si="131"/>
        <v>0</v>
      </c>
    </row>
    <row r="4206" spans="24:25" x14ac:dyDescent="0.3">
      <c r="X4206" s="1">
        <f t="shared" si="130"/>
        <v>0</v>
      </c>
      <c r="Y4206" s="1">
        <f t="shared" si="131"/>
        <v>0</v>
      </c>
    </row>
    <row r="4207" spans="24:25" x14ac:dyDescent="0.3">
      <c r="X4207" s="1">
        <f t="shared" si="130"/>
        <v>0</v>
      </c>
      <c r="Y4207" s="1">
        <f t="shared" si="131"/>
        <v>0</v>
      </c>
    </row>
    <row r="4208" spans="24:25" x14ac:dyDescent="0.3">
      <c r="X4208" s="1">
        <f t="shared" si="130"/>
        <v>0</v>
      </c>
      <c r="Y4208" s="1">
        <f t="shared" si="131"/>
        <v>0</v>
      </c>
    </row>
    <row r="4209" spans="24:25" x14ac:dyDescent="0.3">
      <c r="X4209" s="1">
        <f t="shared" si="130"/>
        <v>0</v>
      </c>
      <c r="Y4209" s="1">
        <f t="shared" si="131"/>
        <v>0</v>
      </c>
    </row>
    <row r="4210" spans="24:25" x14ac:dyDescent="0.3">
      <c r="X4210" s="1">
        <f t="shared" si="130"/>
        <v>0</v>
      </c>
      <c r="Y4210" s="1">
        <f t="shared" si="131"/>
        <v>0</v>
      </c>
    </row>
    <row r="4211" spans="24:25" x14ac:dyDescent="0.3">
      <c r="X4211" s="1">
        <f t="shared" si="130"/>
        <v>0</v>
      </c>
      <c r="Y4211" s="1">
        <f t="shared" si="131"/>
        <v>0</v>
      </c>
    </row>
    <row r="4212" spans="24:25" x14ac:dyDescent="0.3">
      <c r="X4212" s="1">
        <f t="shared" si="130"/>
        <v>0</v>
      </c>
      <c r="Y4212" s="1">
        <f t="shared" si="131"/>
        <v>0</v>
      </c>
    </row>
    <row r="4213" spans="24:25" x14ac:dyDescent="0.3">
      <c r="X4213" s="1">
        <f t="shared" si="130"/>
        <v>0</v>
      </c>
      <c r="Y4213" s="1">
        <f t="shared" si="131"/>
        <v>0</v>
      </c>
    </row>
    <row r="4214" spans="24:25" x14ac:dyDescent="0.3">
      <c r="X4214" s="1">
        <f t="shared" si="130"/>
        <v>0</v>
      </c>
      <c r="Y4214" s="1">
        <f t="shared" si="131"/>
        <v>0</v>
      </c>
    </row>
    <row r="4215" spans="24:25" x14ac:dyDescent="0.3">
      <c r="X4215" s="1">
        <f t="shared" si="130"/>
        <v>0</v>
      </c>
      <c r="Y4215" s="1">
        <f t="shared" si="131"/>
        <v>0</v>
      </c>
    </row>
    <row r="4216" spans="24:25" x14ac:dyDescent="0.3">
      <c r="X4216" s="1">
        <f t="shared" si="130"/>
        <v>0</v>
      </c>
      <c r="Y4216" s="1">
        <f t="shared" si="131"/>
        <v>0</v>
      </c>
    </row>
    <row r="4217" spans="24:25" x14ac:dyDescent="0.3">
      <c r="X4217" s="1">
        <f t="shared" si="130"/>
        <v>0</v>
      </c>
      <c r="Y4217" s="1">
        <f t="shared" si="131"/>
        <v>0</v>
      </c>
    </row>
    <row r="4218" spans="24:25" x14ac:dyDescent="0.3">
      <c r="X4218" s="1">
        <f t="shared" si="130"/>
        <v>0</v>
      </c>
      <c r="Y4218" s="1">
        <f t="shared" si="131"/>
        <v>0</v>
      </c>
    </row>
    <row r="4219" spans="24:25" x14ac:dyDescent="0.3">
      <c r="X4219" s="1">
        <f t="shared" si="130"/>
        <v>0</v>
      </c>
      <c r="Y4219" s="1">
        <f t="shared" si="131"/>
        <v>0</v>
      </c>
    </row>
    <row r="4220" spans="24:25" x14ac:dyDescent="0.3">
      <c r="X4220" s="1">
        <f t="shared" si="130"/>
        <v>0</v>
      </c>
      <c r="Y4220" s="1">
        <f t="shared" si="131"/>
        <v>0</v>
      </c>
    </row>
    <row r="4221" spans="24:25" x14ac:dyDescent="0.3">
      <c r="X4221" s="1">
        <f t="shared" si="130"/>
        <v>0</v>
      </c>
      <c r="Y4221" s="1">
        <f t="shared" si="131"/>
        <v>0</v>
      </c>
    </row>
    <row r="4222" spans="24:25" x14ac:dyDescent="0.3">
      <c r="X4222" s="1">
        <f t="shared" si="130"/>
        <v>0</v>
      </c>
      <c r="Y4222" s="1">
        <f t="shared" si="131"/>
        <v>0</v>
      </c>
    </row>
    <row r="4223" spans="24:25" x14ac:dyDescent="0.3">
      <c r="X4223" s="1">
        <f t="shared" si="130"/>
        <v>0</v>
      </c>
      <c r="Y4223" s="1">
        <f t="shared" si="131"/>
        <v>0</v>
      </c>
    </row>
    <row r="4224" spans="24:25" x14ac:dyDescent="0.3">
      <c r="X4224" s="1">
        <f t="shared" si="130"/>
        <v>0</v>
      </c>
      <c r="Y4224" s="1">
        <f t="shared" si="131"/>
        <v>0</v>
      </c>
    </row>
    <row r="4225" spans="24:25" x14ac:dyDescent="0.3">
      <c r="X4225" s="1">
        <f t="shared" si="130"/>
        <v>0</v>
      </c>
      <c r="Y4225" s="1">
        <f t="shared" si="131"/>
        <v>0</v>
      </c>
    </row>
    <row r="4226" spans="24:25" x14ac:dyDescent="0.3">
      <c r="X4226" s="1">
        <f t="shared" si="130"/>
        <v>0</v>
      </c>
      <c r="Y4226" s="1">
        <f t="shared" si="131"/>
        <v>0</v>
      </c>
    </row>
    <row r="4227" spans="24:25" x14ac:dyDescent="0.3">
      <c r="X4227" s="1">
        <f t="shared" ref="X4227:X4290" si="132">IFERROR(MATCH(W4227,$B:$B,0),0)</f>
        <v>0</v>
      </c>
      <c r="Y4227" s="1">
        <f t="shared" ref="Y4227:Y4290" si="133">IF(X4228=0,COUNTA(A:A),X4228-1)</f>
        <v>0</v>
      </c>
    </row>
    <row r="4228" spans="24:25" x14ac:dyDescent="0.3">
      <c r="X4228" s="1">
        <f t="shared" si="132"/>
        <v>0</v>
      </c>
      <c r="Y4228" s="1">
        <f t="shared" si="133"/>
        <v>0</v>
      </c>
    </row>
    <row r="4229" spans="24:25" x14ac:dyDescent="0.3">
      <c r="X4229" s="1">
        <f t="shared" si="132"/>
        <v>0</v>
      </c>
      <c r="Y4229" s="1">
        <f t="shared" si="133"/>
        <v>0</v>
      </c>
    </row>
    <row r="4230" spans="24:25" x14ac:dyDescent="0.3">
      <c r="X4230" s="1">
        <f t="shared" si="132"/>
        <v>0</v>
      </c>
      <c r="Y4230" s="1">
        <f t="shared" si="133"/>
        <v>0</v>
      </c>
    </row>
    <row r="4231" spans="24:25" x14ac:dyDescent="0.3">
      <c r="X4231" s="1">
        <f t="shared" si="132"/>
        <v>0</v>
      </c>
      <c r="Y4231" s="1">
        <f t="shared" si="133"/>
        <v>0</v>
      </c>
    </row>
    <row r="4232" spans="24:25" x14ac:dyDescent="0.3">
      <c r="X4232" s="1">
        <f t="shared" si="132"/>
        <v>0</v>
      </c>
      <c r="Y4232" s="1">
        <f t="shared" si="133"/>
        <v>0</v>
      </c>
    </row>
    <row r="4233" spans="24:25" x14ac:dyDescent="0.3">
      <c r="X4233" s="1">
        <f t="shared" si="132"/>
        <v>0</v>
      </c>
      <c r="Y4233" s="1">
        <f t="shared" si="133"/>
        <v>0</v>
      </c>
    </row>
    <row r="4234" spans="24:25" x14ac:dyDescent="0.3">
      <c r="X4234" s="1">
        <f t="shared" si="132"/>
        <v>0</v>
      </c>
      <c r="Y4234" s="1">
        <f t="shared" si="133"/>
        <v>0</v>
      </c>
    </row>
    <row r="4235" spans="24:25" x14ac:dyDescent="0.3">
      <c r="X4235" s="1">
        <f t="shared" si="132"/>
        <v>0</v>
      </c>
      <c r="Y4235" s="1">
        <f t="shared" si="133"/>
        <v>0</v>
      </c>
    </row>
    <row r="4236" spans="24:25" x14ac:dyDescent="0.3">
      <c r="X4236" s="1">
        <f t="shared" si="132"/>
        <v>0</v>
      </c>
      <c r="Y4236" s="1">
        <f t="shared" si="133"/>
        <v>0</v>
      </c>
    </row>
    <row r="4237" spans="24:25" x14ac:dyDescent="0.3">
      <c r="X4237" s="1">
        <f t="shared" si="132"/>
        <v>0</v>
      </c>
      <c r="Y4237" s="1">
        <f t="shared" si="133"/>
        <v>0</v>
      </c>
    </row>
    <row r="4238" spans="24:25" x14ac:dyDescent="0.3">
      <c r="X4238" s="1">
        <f t="shared" si="132"/>
        <v>0</v>
      </c>
      <c r="Y4238" s="1">
        <f t="shared" si="133"/>
        <v>0</v>
      </c>
    </row>
    <row r="4239" spans="24:25" x14ac:dyDescent="0.3">
      <c r="X4239" s="1">
        <f t="shared" si="132"/>
        <v>0</v>
      </c>
      <c r="Y4239" s="1">
        <f t="shared" si="133"/>
        <v>0</v>
      </c>
    </row>
    <row r="4240" spans="24:25" x14ac:dyDescent="0.3">
      <c r="X4240" s="1">
        <f t="shared" si="132"/>
        <v>0</v>
      </c>
      <c r="Y4240" s="1">
        <f t="shared" si="133"/>
        <v>0</v>
      </c>
    </row>
    <row r="4241" spans="24:25" x14ac:dyDescent="0.3">
      <c r="X4241" s="1">
        <f t="shared" si="132"/>
        <v>0</v>
      </c>
      <c r="Y4241" s="1">
        <f t="shared" si="133"/>
        <v>0</v>
      </c>
    </row>
    <row r="4242" spans="24:25" x14ac:dyDescent="0.3">
      <c r="X4242" s="1">
        <f t="shared" si="132"/>
        <v>0</v>
      </c>
      <c r="Y4242" s="1">
        <f t="shared" si="133"/>
        <v>0</v>
      </c>
    </row>
    <row r="4243" spans="24:25" x14ac:dyDescent="0.3">
      <c r="X4243" s="1">
        <f t="shared" si="132"/>
        <v>0</v>
      </c>
      <c r="Y4243" s="1">
        <f t="shared" si="133"/>
        <v>0</v>
      </c>
    </row>
    <row r="4244" spans="24:25" x14ac:dyDescent="0.3">
      <c r="X4244" s="1">
        <f t="shared" si="132"/>
        <v>0</v>
      </c>
      <c r="Y4244" s="1">
        <f t="shared" si="133"/>
        <v>0</v>
      </c>
    </row>
    <row r="4245" spans="24:25" x14ac:dyDescent="0.3">
      <c r="X4245" s="1">
        <f t="shared" si="132"/>
        <v>0</v>
      </c>
      <c r="Y4245" s="1">
        <f t="shared" si="133"/>
        <v>0</v>
      </c>
    </row>
    <row r="4246" spans="24:25" x14ac:dyDescent="0.3">
      <c r="X4246" s="1">
        <f t="shared" si="132"/>
        <v>0</v>
      </c>
      <c r="Y4246" s="1">
        <f t="shared" si="133"/>
        <v>0</v>
      </c>
    </row>
    <row r="4247" spans="24:25" x14ac:dyDescent="0.3">
      <c r="X4247" s="1">
        <f t="shared" si="132"/>
        <v>0</v>
      </c>
      <c r="Y4247" s="1">
        <f t="shared" si="133"/>
        <v>0</v>
      </c>
    </row>
    <row r="4248" spans="24:25" x14ac:dyDescent="0.3">
      <c r="X4248" s="1">
        <f t="shared" si="132"/>
        <v>0</v>
      </c>
      <c r="Y4248" s="1">
        <f t="shared" si="133"/>
        <v>0</v>
      </c>
    </row>
    <row r="4249" spans="24:25" x14ac:dyDescent="0.3">
      <c r="X4249" s="1">
        <f t="shared" si="132"/>
        <v>0</v>
      </c>
      <c r="Y4249" s="1">
        <f t="shared" si="133"/>
        <v>0</v>
      </c>
    </row>
    <row r="4250" spans="24:25" x14ac:dyDescent="0.3">
      <c r="X4250" s="1">
        <f t="shared" si="132"/>
        <v>0</v>
      </c>
      <c r="Y4250" s="1">
        <f t="shared" si="133"/>
        <v>0</v>
      </c>
    </row>
    <row r="4251" spans="24:25" x14ac:dyDescent="0.3">
      <c r="X4251" s="1">
        <f t="shared" si="132"/>
        <v>0</v>
      </c>
      <c r="Y4251" s="1">
        <f t="shared" si="133"/>
        <v>0</v>
      </c>
    </row>
    <row r="4252" spans="24:25" x14ac:dyDescent="0.3">
      <c r="X4252" s="1">
        <f t="shared" si="132"/>
        <v>0</v>
      </c>
      <c r="Y4252" s="1">
        <f t="shared" si="133"/>
        <v>0</v>
      </c>
    </row>
    <row r="4253" spans="24:25" x14ac:dyDescent="0.3">
      <c r="X4253" s="1">
        <f t="shared" si="132"/>
        <v>0</v>
      </c>
      <c r="Y4253" s="1">
        <f t="shared" si="133"/>
        <v>0</v>
      </c>
    </row>
    <row r="4254" spans="24:25" x14ac:dyDescent="0.3">
      <c r="X4254" s="1">
        <f t="shared" si="132"/>
        <v>0</v>
      </c>
      <c r="Y4254" s="1">
        <f t="shared" si="133"/>
        <v>0</v>
      </c>
    </row>
    <row r="4255" spans="24:25" x14ac:dyDescent="0.3">
      <c r="X4255" s="1">
        <f t="shared" si="132"/>
        <v>0</v>
      </c>
      <c r="Y4255" s="1">
        <f t="shared" si="133"/>
        <v>0</v>
      </c>
    </row>
    <row r="4256" spans="24:25" x14ac:dyDescent="0.3">
      <c r="X4256" s="1">
        <f t="shared" si="132"/>
        <v>0</v>
      </c>
      <c r="Y4256" s="1">
        <f t="shared" si="133"/>
        <v>0</v>
      </c>
    </row>
    <row r="4257" spans="24:25" x14ac:dyDescent="0.3">
      <c r="X4257" s="1">
        <f t="shared" si="132"/>
        <v>0</v>
      </c>
      <c r="Y4257" s="1">
        <f t="shared" si="133"/>
        <v>0</v>
      </c>
    </row>
    <row r="4258" spans="24:25" x14ac:dyDescent="0.3">
      <c r="X4258" s="1">
        <f t="shared" si="132"/>
        <v>0</v>
      </c>
      <c r="Y4258" s="1">
        <f t="shared" si="133"/>
        <v>0</v>
      </c>
    </row>
    <row r="4259" spans="24:25" x14ac:dyDescent="0.3">
      <c r="X4259" s="1">
        <f t="shared" si="132"/>
        <v>0</v>
      </c>
      <c r="Y4259" s="1">
        <f t="shared" si="133"/>
        <v>0</v>
      </c>
    </row>
    <row r="4260" spans="24:25" x14ac:dyDescent="0.3">
      <c r="X4260" s="1">
        <f t="shared" si="132"/>
        <v>0</v>
      </c>
      <c r="Y4260" s="1">
        <f t="shared" si="133"/>
        <v>0</v>
      </c>
    </row>
    <row r="4261" spans="24:25" x14ac:dyDescent="0.3">
      <c r="X4261" s="1">
        <f t="shared" si="132"/>
        <v>0</v>
      </c>
      <c r="Y4261" s="1">
        <f t="shared" si="133"/>
        <v>0</v>
      </c>
    </row>
    <row r="4262" spans="24:25" x14ac:dyDescent="0.3">
      <c r="X4262" s="1">
        <f t="shared" si="132"/>
        <v>0</v>
      </c>
      <c r="Y4262" s="1">
        <f t="shared" si="133"/>
        <v>0</v>
      </c>
    </row>
    <row r="4263" spans="24:25" x14ac:dyDescent="0.3">
      <c r="X4263" s="1">
        <f t="shared" si="132"/>
        <v>0</v>
      </c>
      <c r="Y4263" s="1">
        <f t="shared" si="133"/>
        <v>0</v>
      </c>
    </row>
    <row r="4264" spans="24:25" x14ac:dyDescent="0.3">
      <c r="X4264" s="1">
        <f t="shared" si="132"/>
        <v>0</v>
      </c>
      <c r="Y4264" s="1">
        <f t="shared" si="133"/>
        <v>0</v>
      </c>
    </row>
    <row r="4265" spans="24:25" x14ac:dyDescent="0.3">
      <c r="X4265" s="1">
        <f t="shared" si="132"/>
        <v>0</v>
      </c>
      <c r="Y4265" s="1">
        <f t="shared" si="133"/>
        <v>0</v>
      </c>
    </row>
    <row r="4266" spans="24:25" x14ac:dyDescent="0.3">
      <c r="X4266" s="1">
        <f t="shared" si="132"/>
        <v>0</v>
      </c>
      <c r="Y4266" s="1">
        <f t="shared" si="133"/>
        <v>0</v>
      </c>
    </row>
    <row r="4267" spans="24:25" x14ac:dyDescent="0.3">
      <c r="X4267" s="1">
        <f t="shared" si="132"/>
        <v>0</v>
      </c>
      <c r="Y4267" s="1">
        <f t="shared" si="133"/>
        <v>0</v>
      </c>
    </row>
    <row r="4268" spans="24:25" x14ac:dyDescent="0.3">
      <c r="X4268" s="1">
        <f t="shared" si="132"/>
        <v>0</v>
      </c>
      <c r="Y4268" s="1">
        <f t="shared" si="133"/>
        <v>0</v>
      </c>
    </row>
    <row r="4269" spans="24:25" x14ac:dyDescent="0.3">
      <c r="X4269" s="1">
        <f t="shared" si="132"/>
        <v>0</v>
      </c>
      <c r="Y4269" s="1">
        <f t="shared" si="133"/>
        <v>0</v>
      </c>
    </row>
    <row r="4270" spans="24:25" x14ac:dyDescent="0.3">
      <c r="X4270" s="1">
        <f t="shared" si="132"/>
        <v>0</v>
      </c>
      <c r="Y4270" s="1">
        <f t="shared" si="133"/>
        <v>0</v>
      </c>
    </row>
    <row r="4271" spans="24:25" x14ac:dyDescent="0.3">
      <c r="X4271" s="1">
        <f t="shared" si="132"/>
        <v>0</v>
      </c>
      <c r="Y4271" s="1">
        <f t="shared" si="133"/>
        <v>0</v>
      </c>
    </row>
    <row r="4272" spans="24:25" x14ac:dyDescent="0.3">
      <c r="X4272" s="1">
        <f t="shared" si="132"/>
        <v>0</v>
      </c>
      <c r="Y4272" s="1">
        <f t="shared" si="133"/>
        <v>0</v>
      </c>
    </row>
    <row r="4273" spans="24:25" x14ac:dyDescent="0.3">
      <c r="X4273" s="1">
        <f t="shared" si="132"/>
        <v>0</v>
      </c>
      <c r="Y4273" s="1">
        <f t="shared" si="133"/>
        <v>0</v>
      </c>
    </row>
    <row r="4274" spans="24:25" x14ac:dyDescent="0.3">
      <c r="X4274" s="1">
        <f t="shared" si="132"/>
        <v>0</v>
      </c>
      <c r="Y4274" s="1">
        <f t="shared" si="133"/>
        <v>0</v>
      </c>
    </row>
    <row r="4275" spans="24:25" x14ac:dyDescent="0.3">
      <c r="X4275" s="1">
        <f t="shared" si="132"/>
        <v>0</v>
      </c>
      <c r="Y4275" s="1">
        <f t="shared" si="133"/>
        <v>0</v>
      </c>
    </row>
    <row r="4276" spans="24:25" x14ac:dyDescent="0.3">
      <c r="X4276" s="1">
        <f t="shared" si="132"/>
        <v>0</v>
      </c>
      <c r="Y4276" s="1">
        <f t="shared" si="133"/>
        <v>0</v>
      </c>
    </row>
    <row r="4277" spans="24:25" x14ac:dyDescent="0.3">
      <c r="X4277" s="1">
        <f t="shared" si="132"/>
        <v>0</v>
      </c>
      <c r="Y4277" s="1">
        <f t="shared" si="133"/>
        <v>0</v>
      </c>
    </row>
    <row r="4278" spans="24:25" x14ac:dyDescent="0.3">
      <c r="X4278" s="1">
        <f t="shared" si="132"/>
        <v>0</v>
      </c>
      <c r="Y4278" s="1">
        <f t="shared" si="133"/>
        <v>0</v>
      </c>
    </row>
    <row r="4279" spans="24:25" x14ac:dyDescent="0.3">
      <c r="X4279" s="1">
        <f t="shared" si="132"/>
        <v>0</v>
      </c>
      <c r="Y4279" s="1">
        <f t="shared" si="133"/>
        <v>0</v>
      </c>
    </row>
    <row r="4280" spans="24:25" x14ac:dyDescent="0.3">
      <c r="X4280" s="1">
        <f t="shared" si="132"/>
        <v>0</v>
      </c>
      <c r="Y4280" s="1">
        <f t="shared" si="133"/>
        <v>0</v>
      </c>
    </row>
    <row r="4281" spans="24:25" x14ac:dyDescent="0.3">
      <c r="X4281" s="1">
        <f t="shared" si="132"/>
        <v>0</v>
      </c>
      <c r="Y4281" s="1">
        <f t="shared" si="133"/>
        <v>0</v>
      </c>
    </row>
    <row r="4282" spans="24:25" x14ac:dyDescent="0.3">
      <c r="X4282" s="1">
        <f t="shared" si="132"/>
        <v>0</v>
      </c>
      <c r="Y4282" s="1">
        <f t="shared" si="133"/>
        <v>0</v>
      </c>
    </row>
    <row r="4283" spans="24:25" x14ac:dyDescent="0.3">
      <c r="X4283" s="1">
        <f t="shared" si="132"/>
        <v>0</v>
      </c>
      <c r="Y4283" s="1">
        <f t="shared" si="133"/>
        <v>0</v>
      </c>
    </row>
    <row r="4284" spans="24:25" x14ac:dyDescent="0.3">
      <c r="X4284" s="1">
        <f t="shared" si="132"/>
        <v>0</v>
      </c>
      <c r="Y4284" s="1">
        <f t="shared" si="133"/>
        <v>0</v>
      </c>
    </row>
    <row r="4285" spans="24:25" x14ac:dyDescent="0.3">
      <c r="X4285" s="1">
        <f t="shared" si="132"/>
        <v>0</v>
      </c>
      <c r="Y4285" s="1">
        <f t="shared" si="133"/>
        <v>0</v>
      </c>
    </row>
    <row r="4286" spans="24:25" x14ac:dyDescent="0.3">
      <c r="X4286" s="1">
        <f t="shared" si="132"/>
        <v>0</v>
      </c>
      <c r="Y4286" s="1">
        <f t="shared" si="133"/>
        <v>0</v>
      </c>
    </row>
    <row r="4287" spans="24:25" x14ac:dyDescent="0.3">
      <c r="X4287" s="1">
        <f t="shared" si="132"/>
        <v>0</v>
      </c>
      <c r="Y4287" s="1">
        <f t="shared" si="133"/>
        <v>0</v>
      </c>
    </row>
    <row r="4288" spans="24:25" x14ac:dyDescent="0.3">
      <c r="X4288" s="1">
        <f t="shared" si="132"/>
        <v>0</v>
      </c>
      <c r="Y4288" s="1">
        <f t="shared" si="133"/>
        <v>0</v>
      </c>
    </row>
    <row r="4289" spans="24:25" x14ac:dyDescent="0.3">
      <c r="X4289" s="1">
        <f t="shared" si="132"/>
        <v>0</v>
      </c>
      <c r="Y4289" s="1">
        <f t="shared" si="133"/>
        <v>0</v>
      </c>
    </row>
    <row r="4290" spans="24:25" x14ac:dyDescent="0.3">
      <c r="X4290" s="1">
        <f t="shared" si="132"/>
        <v>0</v>
      </c>
      <c r="Y4290" s="1">
        <f t="shared" si="133"/>
        <v>0</v>
      </c>
    </row>
    <row r="4291" spans="24:25" x14ac:dyDescent="0.3">
      <c r="X4291" s="1">
        <f t="shared" ref="X4291:X4354" si="134">IFERROR(MATCH(W4291,$B:$B,0),0)</f>
        <v>0</v>
      </c>
      <c r="Y4291" s="1">
        <f t="shared" ref="Y4291:Y4354" si="135">IF(X4292=0,COUNTA(A:A),X4292-1)</f>
        <v>0</v>
      </c>
    </row>
    <row r="4292" spans="24:25" x14ac:dyDescent="0.3">
      <c r="X4292" s="1">
        <f t="shared" si="134"/>
        <v>0</v>
      </c>
      <c r="Y4292" s="1">
        <f t="shared" si="135"/>
        <v>0</v>
      </c>
    </row>
    <row r="4293" spans="24:25" x14ac:dyDescent="0.3">
      <c r="X4293" s="1">
        <f t="shared" si="134"/>
        <v>0</v>
      </c>
      <c r="Y4293" s="1">
        <f t="shared" si="135"/>
        <v>0</v>
      </c>
    </row>
    <row r="4294" spans="24:25" x14ac:dyDescent="0.3">
      <c r="X4294" s="1">
        <f t="shared" si="134"/>
        <v>0</v>
      </c>
      <c r="Y4294" s="1">
        <f t="shared" si="135"/>
        <v>0</v>
      </c>
    </row>
    <row r="4295" spans="24:25" x14ac:dyDescent="0.3">
      <c r="X4295" s="1">
        <f t="shared" si="134"/>
        <v>0</v>
      </c>
      <c r="Y4295" s="1">
        <f t="shared" si="135"/>
        <v>0</v>
      </c>
    </row>
    <row r="4296" spans="24:25" x14ac:dyDescent="0.3">
      <c r="X4296" s="1">
        <f t="shared" si="134"/>
        <v>0</v>
      </c>
      <c r="Y4296" s="1">
        <f t="shared" si="135"/>
        <v>0</v>
      </c>
    </row>
    <row r="4297" spans="24:25" x14ac:dyDescent="0.3">
      <c r="X4297" s="1">
        <f t="shared" si="134"/>
        <v>0</v>
      </c>
      <c r="Y4297" s="1">
        <f t="shared" si="135"/>
        <v>0</v>
      </c>
    </row>
    <row r="4298" spans="24:25" x14ac:dyDescent="0.3">
      <c r="X4298" s="1">
        <f t="shared" si="134"/>
        <v>0</v>
      </c>
      <c r="Y4298" s="1">
        <f t="shared" si="135"/>
        <v>0</v>
      </c>
    </row>
    <row r="4299" spans="24:25" x14ac:dyDescent="0.3">
      <c r="X4299" s="1">
        <f t="shared" si="134"/>
        <v>0</v>
      </c>
      <c r="Y4299" s="1">
        <f t="shared" si="135"/>
        <v>0</v>
      </c>
    </row>
    <row r="4300" spans="24:25" x14ac:dyDescent="0.3">
      <c r="X4300" s="1">
        <f t="shared" si="134"/>
        <v>0</v>
      </c>
      <c r="Y4300" s="1">
        <f t="shared" si="135"/>
        <v>0</v>
      </c>
    </row>
    <row r="4301" spans="24:25" x14ac:dyDescent="0.3">
      <c r="X4301" s="1">
        <f t="shared" si="134"/>
        <v>0</v>
      </c>
      <c r="Y4301" s="1">
        <f t="shared" si="135"/>
        <v>0</v>
      </c>
    </row>
    <row r="4302" spans="24:25" x14ac:dyDescent="0.3">
      <c r="X4302" s="1">
        <f t="shared" si="134"/>
        <v>0</v>
      </c>
      <c r="Y4302" s="1">
        <f t="shared" si="135"/>
        <v>0</v>
      </c>
    </row>
    <row r="4303" spans="24:25" x14ac:dyDescent="0.3">
      <c r="X4303" s="1">
        <f t="shared" si="134"/>
        <v>0</v>
      </c>
      <c r="Y4303" s="1">
        <f t="shared" si="135"/>
        <v>0</v>
      </c>
    </row>
    <row r="4304" spans="24:25" x14ac:dyDescent="0.3">
      <c r="X4304" s="1">
        <f t="shared" si="134"/>
        <v>0</v>
      </c>
      <c r="Y4304" s="1">
        <f t="shared" si="135"/>
        <v>0</v>
      </c>
    </row>
    <row r="4305" spans="24:25" x14ac:dyDescent="0.3">
      <c r="X4305" s="1">
        <f t="shared" si="134"/>
        <v>0</v>
      </c>
      <c r="Y4305" s="1">
        <f t="shared" si="135"/>
        <v>0</v>
      </c>
    </row>
    <row r="4306" spans="24:25" x14ac:dyDescent="0.3">
      <c r="X4306" s="1">
        <f t="shared" si="134"/>
        <v>0</v>
      </c>
      <c r="Y4306" s="1">
        <f t="shared" si="135"/>
        <v>0</v>
      </c>
    </row>
    <row r="4307" spans="24:25" x14ac:dyDescent="0.3">
      <c r="X4307" s="1">
        <f t="shared" si="134"/>
        <v>0</v>
      </c>
      <c r="Y4307" s="1">
        <f t="shared" si="135"/>
        <v>0</v>
      </c>
    </row>
    <row r="4308" spans="24:25" x14ac:dyDescent="0.3">
      <c r="X4308" s="1">
        <f t="shared" si="134"/>
        <v>0</v>
      </c>
      <c r="Y4308" s="1">
        <f t="shared" si="135"/>
        <v>0</v>
      </c>
    </row>
    <row r="4309" spans="24:25" x14ac:dyDescent="0.3">
      <c r="X4309" s="1">
        <f t="shared" si="134"/>
        <v>0</v>
      </c>
      <c r="Y4309" s="1">
        <f t="shared" si="135"/>
        <v>0</v>
      </c>
    </row>
    <row r="4310" spans="24:25" x14ac:dyDescent="0.3">
      <c r="X4310" s="1">
        <f t="shared" si="134"/>
        <v>0</v>
      </c>
      <c r="Y4310" s="1">
        <f t="shared" si="135"/>
        <v>0</v>
      </c>
    </row>
    <row r="4311" spans="24:25" x14ac:dyDescent="0.3">
      <c r="X4311" s="1">
        <f t="shared" si="134"/>
        <v>0</v>
      </c>
      <c r="Y4311" s="1">
        <f t="shared" si="135"/>
        <v>0</v>
      </c>
    </row>
    <row r="4312" spans="24:25" x14ac:dyDescent="0.3">
      <c r="X4312" s="1">
        <f t="shared" si="134"/>
        <v>0</v>
      </c>
      <c r="Y4312" s="1">
        <f t="shared" si="135"/>
        <v>0</v>
      </c>
    </row>
    <row r="4313" spans="24:25" x14ac:dyDescent="0.3">
      <c r="X4313" s="1">
        <f t="shared" si="134"/>
        <v>0</v>
      </c>
      <c r="Y4313" s="1">
        <f t="shared" si="135"/>
        <v>0</v>
      </c>
    </row>
    <row r="4314" spans="24:25" x14ac:dyDescent="0.3">
      <c r="X4314" s="1">
        <f t="shared" si="134"/>
        <v>0</v>
      </c>
      <c r="Y4314" s="1">
        <f t="shared" si="135"/>
        <v>0</v>
      </c>
    </row>
    <row r="4315" spans="24:25" x14ac:dyDescent="0.3">
      <c r="X4315" s="1">
        <f t="shared" si="134"/>
        <v>0</v>
      </c>
      <c r="Y4315" s="1">
        <f t="shared" si="135"/>
        <v>0</v>
      </c>
    </row>
    <row r="4316" spans="24:25" x14ac:dyDescent="0.3">
      <c r="X4316" s="1">
        <f t="shared" si="134"/>
        <v>0</v>
      </c>
      <c r="Y4316" s="1">
        <f t="shared" si="135"/>
        <v>0</v>
      </c>
    </row>
    <row r="4317" spans="24:25" x14ac:dyDescent="0.3">
      <c r="X4317" s="1">
        <f t="shared" si="134"/>
        <v>0</v>
      </c>
      <c r="Y4317" s="1">
        <f t="shared" si="135"/>
        <v>0</v>
      </c>
    </row>
    <row r="4318" spans="24:25" x14ac:dyDescent="0.3">
      <c r="X4318" s="1">
        <f t="shared" si="134"/>
        <v>0</v>
      </c>
      <c r="Y4318" s="1">
        <f t="shared" si="135"/>
        <v>0</v>
      </c>
    </row>
    <row r="4319" spans="24:25" x14ac:dyDescent="0.3">
      <c r="X4319" s="1">
        <f t="shared" si="134"/>
        <v>0</v>
      </c>
      <c r="Y4319" s="1">
        <f t="shared" si="135"/>
        <v>0</v>
      </c>
    </row>
    <row r="4320" spans="24:25" x14ac:dyDescent="0.3">
      <c r="X4320" s="1">
        <f t="shared" si="134"/>
        <v>0</v>
      </c>
      <c r="Y4320" s="1">
        <f t="shared" si="135"/>
        <v>0</v>
      </c>
    </row>
    <row r="4321" spans="24:25" x14ac:dyDescent="0.3">
      <c r="X4321" s="1">
        <f t="shared" si="134"/>
        <v>0</v>
      </c>
      <c r="Y4321" s="1">
        <f t="shared" si="135"/>
        <v>0</v>
      </c>
    </row>
    <row r="4322" spans="24:25" x14ac:dyDescent="0.3">
      <c r="X4322" s="1">
        <f t="shared" si="134"/>
        <v>0</v>
      </c>
      <c r="Y4322" s="1">
        <f t="shared" si="135"/>
        <v>0</v>
      </c>
    </row>
    <row r="4323" spans="24:25" x14ac:dyDescent="0.3">
      <c r="X4323" s="1">
        <f t="shared" si="134"/>
        <v>0</v>
      </c>
      <c r="Y4323" s="1">
        <f t="shared" si="135"/>
        <v>0</v>
      </c>
    </row>
    <row r="4324" spans="24:25" x14ac:dyDescent="0.3">
      <c r="X4324" s="1">
        <f t="shared" si="134"/>
        <v>0</v>
      </c>
      <c r="Y4324" s="1">
        <f t="shared" si="135"/>
        <v>0</v>
      </c>
    </row>
    <row r="4325" spans="24:25" x14ac:dyDescent="0.3">
      <c r="X4325" s="1">
        <f t="shared" si="134"/>
        <v>0</v>
      </c>
      <c r="Y4325" s="1">
        <f t="shared" si="135"/>
        <v>0</v>
      </c>
    </row>
    <row r="4326" spans="24:25" x14ac:dyDescent="0.3">
      <c r="X4326" s="1">
        <f t="shared" si="134"/>
        <v>0</v>
      </c>
      <c r="Y4326" s="1">
        <f t="shared" si="135"/>
        <v>0</v>
      </c>
    </row>
    <row r="4327" spans="24:25" x14ac:dyDescent="0.3">
      <c r="X4327" s="1">
        <f t="shared" si="134"/>
        <v>0</v>
      </c>
      <c r="Y4327" s="1">
        <f t="shared" si="135"/>
        <v>0</v>
      </c>
    </row>
    <row r="4328" spans="24:25" x14ac:dyDescent="0.3">
      <c r="X4328" s="1">
        <f t="shared" si="134"/>
        <v>0</v>
      </c>
      <c r="Y4328" s="1">
        <f t="shared" si="135"/>
        <v>0</v>
      </c>
    </row>
    <row r="4329" spans="24:25" x14ac:dyDescent="0.3">
      <c r="X4329" s="1">
        <f t="shared" si="134"/>
        <v>0</v>
      </c>
      <c r="Y4329" s="1">
        <f t="shared" si="135"/>
        <v>0</v>
      </c>
    </row>
    <row r="4330" spans="24:25" x14ac:dyDescent="0.3">
      <c r="X4330" s="1">
        <f t="shared" si="134"/>
        <v>0</v>
      </c>
      <c r="Y4330" s="1">
        <f t="shared" si="135"/>
        <v>0</v>
      </c>
    </row>
    <row r="4331" spans="24:25" x14ac:dyDescent="0.3">
      <c r="X4331" s="1">
        <f t="shared" si="134"/>
        <v>0</v>
      </c>
      <c r="Y4331" s="1">
        <f t="shared" si="135"/>
        <v>0</v>
      </c>
    </row>
    <row r="4332" spans="24:25" x14ac:dyDescent="0.3">
      <c r="X4332" s="1">
        <f t="shared" si="134"/>
        <v>0</v>
      </c>
      <c r="Y4332" s="1">
        <f t="shared" si="135"/>
        <v>0</v>
      </c>
    </row>
    <row r="4333" spans="24:25" x14ac:dyDescent="0.3">
      <c r="X4333" s="1">
        <f t="shared" si="134"/>
        <v>0</v>
      </c>
      <c r="Y4333" s="1">
        <f t="shared" si="135"/>
        <v>0</v>
      </c>
    </row>
    <row r="4334" spans="24:25" x14ac:dyDescent="0.3">
      <c r="X4334" s="1">
        <f t="shared" si="134"/>
        <v>0</v>
      </c>
      <c r="Y4334" s="1">
        <f t="shared" si="135"/>
        <v>0</v>
      </c>
    </row>
    <row r="4335" spans="24:25" x14ac:dyDescent="0.3">
      <c r="X4335" s="1">
        <f t="shared" si="134"/>
        <v>0</v>
      </c>
      <c r="Y4335" s="1">
        <f t="shared" si="135"/>
        <v>0</v>
      </c>
    </row>
    <row r="4336" spans="24:25" x14ac:dyDescent="0.3">
      <c r="X4336" s="1">
        <f t="shared" si="134"/>
        <v>0</v>
      </c>
      <c r="Y4336" s="1">
        <f t="shared" si="135"/>
        <v>0</v>
      </c>
    </row>
    <row r="4337" spans="24:25" x14ac:dyDescent="0.3">
      <c r="X4337" s="1">
        <f t="shared" si="134"/>
        <v>0</v>
      </c>
      <c r="Y4337" s="1">
        <f t="shared" si="135"/>
        <v>0</v>
      </c>
    </row>
    <row r="4338" spans="24:25" x14ac:dyDescent="0.3">
      <c r="X4338" s="1">
        <f t="shared" si="134"/>
        <v>0</v>
      </c>
      <c r="Y4338" s="1">
        <f t="shared" si="135"/>
        <v>0</v>
      </c>
    </row>
    <row r="4339" spans="24:25" x14ac:dyDescent="0.3">
      <c r="X4339" s="1">
        <f t="shared" si="134"/>
        <v>0</v>
      </c>
      <c r="Y4339" s="1">
        <f t="shared" si="135"/>
        <v>0</v>
      </c>
    </row>
    <row r="4340" spans="24:25" x14ac:dyDescent="0.3">
      <c r="X4340" s="1">
        <f t="shared" si="134"/>
        <v>0</v>
      </c>
      <c r="Y4340" s="1">
        <f t="shared" si="135"/>
        <v>0</v>
      </c>
    </row>
    <row r="4341" spans="24:25" x14ac:dyDescent="0.3">
      <c r="X4341" s="1">
        <f t="shared" si="134"/>
        <v>0</v>
      </c>
      <c r="Y4341" s="1">
        <f t="shared" si="135"/>
        <v>0</v>
      </c>
    </row>
    <row r="4342" spans="24:25" x14ac:dyDescent="0.3">
      <c r="X4342" s="1">
        <f t="shared" si="134"/>
        <v>0</v>
      </c>
      <c r="Y4342" s="1">
        <f t="shared" si="135"/>
        <v>0</v>
      </c>
    </row>
    <row r="4343" spans="24:25" x14ac:dyDescent="0.3">
      <c r="X4343" s="1">
        <f t="shared" si="134"/>
        <v>0</v>
      </c>
      <c r="Y4343" s="1">
        <f t="shared" si="135"/>
        <v>0</v>
      </c>
    </row>
    <row r="4344" spans="24:25" x14ac:dyDescent="0.3">
      <c r="X4344" s="1">
        <f t="shared" si="134"/>
        <v>0</v>
      </c>
      <c r="Y4344" s="1">
        <f t="shared" si="135"/>
        <v>0</v>
      </c>
    </row>
    <row r="4345" spans="24:25" x14ac:dyDescent="0.3">
      <c r="X4345" s="1">
        <f t="shared" si="134"/>
        <v>0</v>
      </c>
      <c r="Y4345" s="1">
        <f t="shared" si="135"/>
        <v>0</v>
      </c>
    </row>
    <row r="4346" spans="24:25" x14ac:dyDescent="0.3">
      <c r="X4346" s="1">
        <f t="shared" si="134"/>
        <v>0</v>
      </c>
      <c r="Y4346" s="1">
        <f t="shared" si="135"/>
        <v>0</v>
      </c>
    </row>
    <row r="4347" spans="24:25" x14ac:dyDescent="0.3">
      <c r="X4347" s="1">
        <f t="shared" si="134"/>
        <v>0</v>
      </c>
      <c r="Y4347" s="1">
        <f t="shared" si="135"/>
        <v>0</v>
      </c>
    </row>
    <row r="4348" spans="24:25" x14ac:dyDescent="0.3">
      <c r="X4348" s="1">
        <f t="shared" si="134"/>
        <v>0</v>
      </c>
      <c r="Y4348" s="1">
        <f t="shared" si="135"/>
        <v>0</v>
      </c>
    </row>
    <row r="4349" spans="24:25" x14ac:dyDescent="0.3">
      <c r="X4349" s="1">
        <f t="shared" si="134"/>
        <v>0</v>
      </c>
      <c r="Y4349" s="1">
        <f t="shared" si="135"/>
        <v>0</v>
      </c>
    </row>
    <row r="4350" spans="24:25" x14ac:dyDescent="0.3">
      <c r="X4350" s="1">
        <f t="shared" si="134"/>
        <v>0</v>
      </c>
      <c r="Y4350" s="1">
        <f t="shared" si="135"/>
        <v>0</v>
      </c>
    </row>
    <row r="4351" spans="24:25" x14ac:dyDescent="0.3">
      <c r="X4351" s="1">
        <f t="shared" si="134"/>
        <v>0</v>
      </c>
      <c r="Y4351" s="1">
        <f t="shared" si="135"/>
        <v>0</v>
      </c>
    </row>
    <row r="4352" spans="24:25" x14ac:dyDescent="0.3">
      <c r="X4352" s="1">
        <f t="shared" si="134"/>
        <v>0</v>
      </c>
      <c r="Y4352" s="1">
        <f t="shared" si="135"/>
        <v>0</v>
      </c>
    </row>
    <row r="4353" spans="24:25" x14ac:dyDescent="0.3">
      <c r="X4353" s="1">
        <f t="shared" si="134"/>
        <v>0</v>
      </c>
      <c r="Y4353" s="1">
        <f t="shared" si="135"/>
        <v>0</v>
      </c>
    </row>
    <row r="4354" spans="24:25" x14ac:dyDescent="0.3">
      <c r="X4354" s="1">
        <f t="shared" si="134"/>
        <v>0</v>
      </c>
      <c r="Y4354" s="1">
        <f t="shared" si="135"/>
        <v>0</v>
      </c>
    </row>
    <row r="4355" spans="24:25" x14ac:dyDescent="0.3">
      <c r="X4355" s="1">
        <f t="shared" ref="X4355:X4418" si="136">IFERROR(MATCH(W4355,$B:$B,0),0)</f>
        <v>0</v>
      </c>
      <c r="Y4355" s="1">
        <f t="shared" ref="Y4355:Y4418" si="137">IF(X4356=0,COUNTA(A:A),X4356-1)</f>
        <v>0</v>
      </c>
    </row>
    <row r="4356" spans="24:25" x14ac:dyDescent="0.3">
      <c r="X4356" s="1">
        <f t="shared" si="136"/>
        <v>0</v>
      </c>
      <c r="Y4356" s="1">
        <f t="shared" si="137"/>
        <v>0</v>
      </c>
    </row>
    <row r="4357" spans="24:25" x14ac:dyDescent="0.3">
      <c r="X4357" s="1">
        <f t="shared" si="136"/>
        <v>0</v>
      </c>
      <c r="Y4357" s="1">
        <f t="shared" si="137"/>
        <v>0</v>
      </c>
    </row>
    <row r="4358" spans="24:25" x14ac:dyDescent="0.3">
      <c r="X4358" s="1">
        <f t="shared" si="136"/>
        <v>0</v>
      </c>
      <c r="Y4358" s="1">
        <f t="shared" si="137"/>
        <v>0</v>
      </c>
    </row>
    <row r="4359" spans="24:25" x14ac:dyDescent="0.3">
      <c r="X4359" s="1">
        <f t="shared" si="136"/>
        <v>0</v>
      </c>
      <c r="Y4359" s="1">
        <f t="shared" si="137"/>
        <v>0</v>
      </c>
    </row>
    <row r="4360" spans="24:25" x14ac:dyDescent="0.3">
      <c r="X4360" s="1">
        <f t="shared" si="136"/>
        <v>0</v>
      </c>
      <c r="Y4360" s="1">
        <f t="shared" si="137"/>
        <v>0</v>
      </c>
    </row>
    <row r="4361" spans="24:25" x14ac:dyDescent="0.3">
      <c r="X4361" s="1">
        <f t="shared" si="136"/>
        <v>0</v>
      </c>
      <c r="Y4361" s="1">
        <f t="shared" si="137"/>
        <v>0</v>
      </c>
    </row>
    <row r="4362" spans="24:25" x14ac:dyDescent="0.3">
      <c r="X4362" s="1">
        <f t="shared" si="136"/>
        <v>0</v>
      </c>
      <c r="Y4362" s="1">
        <f t="shared" si="137"/>
        <v>0</v>
      </c>
    </row>
    <row r="4363" spans="24:25" x14ac:dyDescent="0.3">
      <c r="X4363" s="1">
        <f t="shared" si="136"/>
        <v>0</v>
      </c>
      <c r="Y4363" s="1">
        <f t="shared" si="137"/>
        <v>0</v>
      </c>
    </row>
    <row r="4364" spans="24:25" x14ac:dyDescent="0.3">
      <c r="X4364" s="1">
        <f t="shared" si="136"/>
        <v>0</v>
      </c>
      <c r="Y4364" s="1">
        <f t="shared" si="137"/>
        <v>0</v>
      </c>
    </row>
    <row r="4365" spans="24:25" x14ac:dyDescent="0.3">
      <c r="X4365" s="1">
        <f t="shared" si="136"/>
        <v>0</v>
      </c>
      <c r="Y4365" s="1">
        <f t="shared" si="137"/>
        <v>0</v>
      </c>
    </row>
    <row r="4366" spans="24:25" x14ac:dyDescent="0.3">
      <c r="X4366" s="1">
        <f t="shared" si="136"/>
        <v>0</v>
      </c>
      <c r="Y4366" s="1">
        <f t="shared" si="137"/>
        <v>0</v>
      </c>
    </row>
    <row r="4367" spans="24:25" x14ac:dyDescent="0.3">
      <c r="X4367" s="1">
        <f t="shared" si="136"/>
        <v>0</v>
      </c>
      <c r="Y4367" s="1">
        <f t="shared" si="137"/>
        <v>0</v>
      </c>
    </row>
    <row r="4368" spans="24:25" x14ac:dyDescent="0.3">
      <c r="X4368" s="1">
        <f t="shared" si="136"/>
        <v>0</v>
      </c>
      <c r="Y4368" s="1">
        <f t="shared" si="137"/>
        <v>0</v>
      </c>
    </row>
    <row r="4369" spans="24:25" x14ac:dyDescent="0.3">
      <c r="X4369" s="1">
        <f t="shared" si="136"/>
        <v>0</v>
      </c>
      <c r="Y4369" s="1">
        <f t="shared" si="137"/>
        <v>0</v>
      </c>
    </row>
    <row r="4370" spans="24:25" x14ac:dyDescent="0.3">
      <c r="X4370" s="1">
        <f t="shared" si="136"/>
        <v>0</v>
      </c>
      <c r="Y4370" s="1">
        <f t="shared" si="137"/>
        <v>0</v>
      </c>
    </row>
    <row r="4371" spans="24:25" x14ac:dyDescent="0.3">
      <c r="X4371" s="1">
        <f t="shared" si="136"/>
        <v>0</v>
      </c>
      <c r="Y4371" s="1">
        <f t="shared" si="137"/>
        <v>0</v>
      </c>
    </row>
    <row r="4372" spans="24:25" x14ac:dyDescent="0.3">
      <c r="X4372" s="1">
        <f t="shared" si="136"/>
        <v>0</v>
      </c>
      <c r="Y4372" s="1">
        <f t="shared" si="137"/>
        <v>0</v>
      </c>
    </row>
    <row r="4373" spans="24:25" x14ac:dyDescent="0.3">
      <c r="X4373" s="1">
        <f t="shared" si="136"/>
        <v>0</v>
      </c>
      <c r="Y4373" s="1">
        <f t="shared" si="137"/>
        <v>0</v>
      </c>
    </row>
    <row r="4374" spans="24:25" x14ac:dyDescent="0.3">
      <c r="X4374" s="1">
        <f t="shared" si="136"/>
        <v>0</v>
      </c>
      <c r="Y4374" s="1">
        <f t="shared" si="137"/>
        <v>0</v>
      </c>
    </row>
    <row r="4375" spans="24:25" x14ac:dyDescent="0.3">
      <c r="X4375" s="1">
        <f t="shared" si="136"/>
        <v>0</v>
      </c>
      <c r="Y4375" s="1">
        <f t="shared" si="137"/>
        <v>0</v>
      </c>
    </row>
    <row r="4376" spans="24:25" x14ac:dyDescent="0.3">
      <c r="X4376" s="1">
        <f t="shared" si="136"/>
        <v>0</v>
      </c>
      <c r="Y4376" s="1">
        <f t="shared" si="137"/>
        <v>0</v>
      </c>
    </row>
    <row r="4377" spans="24:25" x14ac:dyDescent="0.3">
      <c r="X4377" s="1">
        <f t="shared" si="136"/>
        <v>0</v>
      </c>
      <c r="Y4377" s="1">
        <f t="shared" si="137"/>
        <v>0</v>
      </c>
    </row>
    <row r="4378" spans="24:25" x14ac:dyDescent="0.3">
      <c r="X4378" s="1">
        <f t="shared" si="136"/>
        <v>0</v>
      </c>
      <c r="Y4378" s="1">
        <f t="shared" si="137"/>
        <v>0</v>
      </c>
    </row>
    <row r="4379" spans="24:25" x14ac:dyDescent="0.3">
      <c r="X4379" s="1">
        <f t="shared" si="136"/>
        <v>0</v>
      </c>
      <c r="Y4379" s="1">
        <f t="shared" si="137"/>
        <v>0</v>
      </c>
    </row>
    <row r="4380" spans="24:25" x14ac:dyDescent="0.3">
      <c r="X4380" s="1">
        <f t="shared" si="136"/>
        <v>0</v>
      </c>
      <c r="Y4380" s="1">
        <f t="shared" si="137"/>
        <v>0</v>
      </c>
    </row>
    <row r="4381" spans="24:25" x14ac:dyDescent="0.3">
      <c r="X4381" s="1">
        <f t="shared" si="136"/>
        <v>0</v>
      </c>
      <c r="Y4381" s="1">
        <f t="shared" si="137"/>
        <v>0</v>
      </c>
    </row>
    <row r="4382" spans="24:25" x14ac:dyDescent="0.3">
      <c r="X4382" s="1">
        <f t="shared" si="136"/>
        <v>0</v>
      </c>
      <c r="Y4382" s="1">
        <f t="shared" si="137"/>
        <v>0</v>
      </c>
    </row>
    <row r="4383" spans="24:25" x14ac:dyDescent="0.3">
      <c r="X4383" s="1">
        <f t="shared" si="136"/>
        <v>0</v>
      </c>
      <c r="Y4383" s="1">
        <f t="shared" si="137"/>
        <v>0</v>
      </c>
    </row>
    <row r="4384" spans="24:25" x14ac:dyDescent="0.3">
      <c r="X4384" s="1">
        <f t="shared" si="136"/>
        <v>0</v>
      </c>
      <c r="Y4384" s="1">
        <f t="shared" si="137"/>
        <v>0</v>
      </c>
    </row>
    <row r="4385" spans="24:25" x14ac:dyDescent="0.3">
      <c r="X4385" s="1">
        <f t="shared" si="136"/>
        <v>0</v>
      </c>
      <c r="Y4385" s="1">
        <f t="shared" si="137"/>
        <v>0</v>
      </c>
    </row>
    <row r="4386" spans="24:25" x14ac:dyDescent="0.3">
      <c r="X4386" s="1">
        <f t="shared" si="136"/>
        <v>0</v>
      </c>
      <c r="Y4386" s="1">
        <f t="shared" si="137"/>
        <v>0</v>
      </c>
    </row>
    <row r="4387" spans="24:25" x14ac:dyDescent="0.3">
      <c r="X4387" s="1">
        <f t="shared" si="136"/>
        <v>0</v>
      </c>
      <c r="Y4387" s="1">
        <f t="shared" si="137"/>
        <v>0</v>
      </c>
    </row>
    <row r="4388" spans="24:25" x14ac:dyDescent="0.3">
      <c r="X4388" s="1">
        <f t="shared" si="136"/>
        <v>0</v>
      </c>
      <c r="Y4388" s="1">
        <f t="shared" si="137"/>
        <v>0</v>
      </c>
    </row>
    <row r="4389" spans="24:25" x14ac:dyDescent="0.3">
      <c r="X4389" s="1">
        <f t="shared" si="136"/>
        <v>0</v>
      </c>
      <c r="Y4389" s="1">
        <f t="shared" si="137"/>
        <v>0</v>
      </c>
    </row>
    <row r="4390" spans="24:25" x14ac:dyDescent="0.3">
      <c r="X4390" s="1">
        <f t="shared" si="136"/>
        <v>0</v>
      </c>
      <c r="Y4390" s="1">
        <f t="shared" si="137"/>
        <v>0</v>
      </c>
    </row>
    <row r="4391" spans="24:25" x14ac:dyDescent="0.3">
      <c r="X4391" s="1">
        <f t="shared" si="136"/>
        <v>0</v>
      </c>
      <c r="Y4391" s="1">
        <f t="shared" si="137"/>
        <v>0</v>
      </c>
    </row>
    <row r="4392" spans="24:25" x14ac:dyDescent="0.3">
      <c r="X4392" s="1">
        <f t="shared" si="136"/>
        <v>0</v>
      </c>
      <c r="Y4392" s="1">
        <f t="shared" si="137"/>
        <v>0</v>
      </c>
    </row>
    <row r="4393" spans="24:25" x14ac:dyDescent="0.3">
      <c r="X4393" s="1">
        <f t="shared" si="136"/>
        <v>0</v>
      </c>
      <c r="Y4393" s="1">
        <f t="shared" si="137"/>
        <v>0</v>
      </c>
    </row>
    <row r="4394" spans="24:25" x14ac:dyDescent="0.3">
      <c r="X4394" s="1">
        <f t="shared" si="136"/>
        <v>0</v>
      </c>
      <c r="Y4394" s="1">
        <f t="shared" si="137"/>
        <v>0</v>
      </c>
    </row>
    <row r="4395" spans="24:25" x14ac:dyDescent="0.3">
      <c r="X4395" s="1">
        <f t="shared" si="136"/>
        <v>0</v>
      </c>
      <c r="Y4395" s="1">
        <f t="shared" si="137"/>
        <v>0</v>
      </c>
    </row>
    <row r="4396" spans="24:25" x14ac:dyDescent="0.3">
      <c r="X4396" s="1">
        <f t="shared" si="136"/>
        <v>0</v>
      </c>
      <c r="Y4396" s="1">
        <f t="shared" si="137"/>
        <v>0</v>
      </c>
    </row>
    <row r="4397" spans="24:25" x14ac:dyDescent="0.3">
      <c r="X4397" s="1">
        <f t="shared" si="136"/>
        <v>0</v>
      </c>
      <c r="Y4397" s="1">
        <f t="shared" si="137"/>
        <v>0</v>
      </c>
    </row>
    <row r="4398" spans="24:25" x14ac:dyDescent="0.3">
      <c r="X4398" s="1">
        <f t="shared" si="136"/>
        <v>0</v>
      </c>
      <c r="Y4398" s="1">
        <f t="shared" si="137"/>
        <v>0</v>
      </c>
    </row>
    <row r="4399" spans="24:25" x14ac:dyDescent="0.3">
      <c r="X4399" s="1">
        <f t="shared" si="136"/>
        <v>0</v>
      </c>
      <c r="Y4399" s="1">
        <f t="shared" si="137"/>
        <v>0</v>
      </c>
    </row>
    <row r="4400" spans="24:25" x14ac:dyDescent="0.3">
      <c r="X4400" s="1">
        <f t="shared" si="136"/>
        <v>0</v>
      </c>
      <c r="Y4400" s="1">
        <f t="shared" si="137"/>
        <v>0</v>
      </c>
    </row>
    <row r="4401" spans="24:25" x14ac:dyDescent="0.3">
      <c r="X4401" s="1">
        <f t="shared" si="136"/>
        <v>0</v>
      </c>
      <c r="Y4401" s="1">
        <f t="shared" si="137"/>
        <v>0</v>
      </c>
    </row>
    <row r="4402" spans="24:25" x14ac:dyDescent="0.3">
      <c r="X4402" s="1">
        <f t="shared" si="136"/>
        <v>0</v>
      </c>
      <c r="Y4402" s="1">
        <f t="shared" si="137"/>
        <v>0</v>
      </c>
    </row>
    <row r="4403" spans="24:25" x14ac:dyDescent="0.3">
      <c r="X4403" s="1">
        <f t="shared" si="136"/>
        <v>0</v>
      </c>
      <c r="Y4403" s="1">
        <f t="shared" si="137"/>
        <v>0</v>
      </c>
    </row>
    <row r="4404" spans="24:25" x14ac:dyDescent="0.3">
      <c r="X4404" s="1">
        <f t="shared" si="136"/>
        <v>0</v>
      </c>
      <c r="Y4404" s="1">
        <f t="shared" si="137"/>
        <v>0</v>
      </c>
    </row>
    <row r="4405" spans="24:25" x14ac:dyDescent="0.3">
      <c r="X4405" s="1">
        <f t="shared" si="136"/>
        <v>0</v>
      </c>
      <c r="Y4405" s="1">
        <f t="shared" si="137"/>
        <v>0</v>
      </c>
    </row>
    <row r="4406" spans="24:25" x14ac:dyDescent="0.3">
      <c r="X4406" s="1">
        <f t="shared" si="136"/>
        <v>0</v>
      </c>
      <c r="Y4406" s="1">
        <f t="shared" si="137"/>
        <v>0</v>
      </c>
    </row>
    <row r="4407" spans="24:25" x14ac:dyDescent="0.3">
      <c r="X4407" s="1">
        <f t="shared" si="136"/>
        <v>0</v>
      </c>
      <c r="Y4407" s="1">
        <f t="shared" si="137"/>
        <v>0</v>
      </c>
    </row>
    <row r="4408" spans="24:25" x14ac:dyDescent="0.3">
      <c r="X4408" s="1">
        <f t="shared" si="136"/>
        <v>0</v>
      </c>
      <c r="Y4408" s="1">
        <f t="shared" si="137"/>
        <v>0</v>
      </c>
    </row>
    <row r="4409" spans="24:25" x14ac:dyDescent="0.3">
      <c r="X4409" s="1">
        <f t="shared" si="136"/>
        <v>0</v>
      </c>
      <c r="Y4409" s="1">
        <f t="shared" si="137"/>
        <v>0</v>
      </c>
    </row>
    <row r="4410" spans="24:25" x14ac:dyDescent="0.3">
      <c r="X4410" s="1">
        <f t="shared" si="136"/>
        <v>0</v>
      </c>
      <c r="Y4410" s="1">
        <f t="shared" si="137"/>
        <v>0</v>
      </c>
    </row>
    <row r="4411" spans="24:25" x14ac:dyDescent="0.3">
      <c r="X4411" s="1">
        <f t="shared" si="136"/>
        <v>0</v>
      </c>
      <c r="Y4411" s="1">
        <f t="shared" si="137"/>
        <v>0</v>
      </c>
    </row>
    <row r="4412" spans="24:25" x14ac:dyDescent="0.3">
      <c r="X4412" s="1">
        <f t="shared" si="136"/>
        <v>0</v>
      </c>
      <c r="Y4412" s="1">
        <f t="shared" si="137"/>
        <v>0</v>
      </c>
    </row>
    <row r="4413" spans="24:25" x14ac:dyDescent="0.3">
      <c r="X4413" s="1">
        <f t="shared" si="136"/>
        <v>0</v>
      </c>
      <c r="Y4413" s="1">
        <f t="shared" si="137"/>
        <v>0</v>
      </c>
    </row>
    <row r="4414" spans="24:25" x14ac:dyDescent="0.3">
      <c r="X4414" s="1">
        <f t="shared" si="136"/>
        <v>0</v>
      </c>
      <c r="Y4414" s="1">
        <f t="shared" si="137"/>
        <v>0</v>
      </c>
    </row>
    <row r="4415" spans="24:25" x14ac:dyDescent="0.3">
      <c r="X4415" s="1">
        <f t="shared" si="136"/>
        <v>0</v>
      </c>
      <c r="Y4415" s="1">
        <f t="shared" si="137"/>
        <v>0</v>
      </c>
    </row>
    <row r="4416" spans="24:25" x14ac:dyDescent="0.3">
      <c r="X4416" s="1">
        <f t="shared" si="136"/>
        <v>0</v>
      </c>
      <c r="Y4416" s="1">
        <f t="shared" si="137"/>
        <v>0</v>
      </c>
    </row>
    <row r="4417" spans="24:25" x14ac:dyDescent="0.3">
      <c r="X4417" s="1">
        <f t="shared" si="136"/>
        <v>0</v>
      </c>
      <c r="Y4417" s="1">
        <f t="shared" si="137"/>
        <v>0</v>
      </c>
    </row>
    <row r="4418" spans="24:25" x14ac:dyDescent="0.3">
      <c r="X4418" s="1">
        <f t="shared" si="136"/>
        <v>0</v>
      </c>
      <c r="Y4418" s="1">
        <f t="shared" si="137"/>
        <v>0</v>
      </c>
    </row>
    <row r="4419" spans="24:25" x14ac:dyDescent="0.3">
      <c r="X4419" s="1">
        <f t="shared" ref="X4419:X4482" si="138">IFERROR(MATCH(W4419,$B:$B,0),0)</f>
        <v>0</v>
      </c>
      <c r="Y4419" s="1">
        <f t="shared" ref="Y4419:Y4482" si="139">IF(X4420=0,COUNTA(A:A),X4420-1)</f>
        <v>0</v>
      </c>
    </row>
    <row r="4420" spans="24:25" x14ac:dyDescent="0.3">
      <c r="X4420" s="1">
        <f t="shared" si="138"/>
        <v>0</v>
      </c>
      <c r="Y4420" s="1">
        <f t="shared" si="139"/>
        <v>0</v>
      </c>
    </row>
    <row r="4421" spans="24:25" x14ac:dyDescent="0.3">
      <c r="X4421" s="1">
        <f t="shared" si="138"/>
        <v>0</v>
      </c>
      <c r="Y4421" s="1">
        <f t="shared" si="139"/>
        <v>0</v>
      </c>
    </row>
    <row r="4422" spans="24:25" x14ac:dyDescent="0.3">
      <c r="X4422" s="1">
        <f t="shared" si="138"/>
        <v>0</v>
      </c>
      <c r="Y4422" s="1">
        <f t="shared" si="139"/>
        <v>0</v>
      </c>
    </row>
    <row r="4423" spans="24:25" x14ac:dyDescent="0.3">
      <c r="X4423" s="1">
        <f t="shared" si="138"/>
        <v>0</v>
      </c>
      <c r="Y4423" s="1">
        <f t="shared" si="139"/>
        <v>0</v>
      </c>
    </row>
    <row r="4424" spans="24:25" x14ac:dyDescent="0.3">
      <c r="X4424" s="1">
        <f t="shared" si="138"/>
        <v>0</v>
      </c>
      <c r="Y4424" s="1">
        <f t="shared" si="139"/>
        <v>0</v>
      </c>
    </row>
    <row r="4425" spans="24:25" x14ac:dyDescent="0.3">
      <c r="X4425" s="1">
        <f t="shared" si="138"/>
        <v>0</v>
      </c>
      <c r="Y4425" s="1">
        <f t="shared" si="139"/>
        <v>0</v>
      </c>
    </row>
    <row r="4426" spans="24:25" x14ac:dyDescent="0.3">
      <c r="X4426" s="1">
        <f t="shared" si="138"/>
        <v>0</v>
      </c>
      <c r="Y4426" s="1">
        <f t="shared" si="139"/>
        <v>0</v>
      </c>
    </row>
    <row r="4427" spans="24:25" x14ac:dyDescent="0.3">
      <c r="X4427" s="1">
        <f t="shared" si="138"/>
        <v>0</v>
      </c>
      <c r="Y4427" s="1">
        <f t="shared" si="139"/>
        <v>0</v>
      </c>
    </row>
    <row r="4428" spans="24:25" x14ac:dyDescent="0.3">
      <c r="X4428" s="1">
        <f t="shared" si="138"/>
        <v>0</v>
      </c>
      <c r="Y4428" s="1">
        <f t="shared" si="139"/>
        <v>0</v>
      </c>
    </row>
    <row r="4429" spans="24:25" x14ac:dyDescent="0.3">
      <c r="X4429" s="1">
        <f t="shared" si="138"/>
        <v>0</v>
      </c>
      <c r="Y4429" s="1">
        <f t="shared" si="139"/>
        <v>0</v>
      </c>
    </row>
    <row r="4430" spans="24:25" x14ac:dyDescent="0.3">
      <c r="X4430" s="1">
        <f t="shared" si="138"/>
        <v>0</v>
      </c>
      <c r="Y4430" s="1">
        <f t="shared" si="139"/>
        <v>0</v>
      </c>
    </row>
    <row r="4431" spans="24:25" x14ac:dyDescent="0.3">
      <c r="X4431" s="1">
        <f t="shared" si="138"/>
        <v>0</v>
      </c>
      <c r="Y4431" s="1">
        <f t="shared" si="139"/>
        <v>0</v>
      </c>
    </row>
    <row r="4432" spans="24:25" x14ac:dyDescent="0.3">
      <c r="X4432" s="1">
        <f t="shared" si="138"/>
        <v>0</v>
      </c>
      <c r="Y4432" s="1">
        <f t="shared" si="139"/>
        <v>0</v>
      </c>
    </row>
    <row r="4433" spans="24:25" x14ac:dyDescent="0.3">
      <c r="X4433" s="1">
        <f t="shared" si="138"/>
        <v>0</v>
      </c>
      <c r="Y4433" s="1">
        <f t="shared" si="139"/>
        <v>0</v>
      </c>
    </row>
    <row r="4434" spans="24:25" x14ac:dyDescent="0.3">
      <c r="X4434" s="1">
        <f t="shared" si="138"/>
        <v>0</v>
      </c>
      <c r="Y4434" s="1">
        <f t="shared" si="139"/>
        <v>0</v>
      </c>
    </row>
    <row r="4435" spans="24:25" x14ac:dyDescent="0.3">
      <c r="X4435" s="1">
        <f t="shared" si="138"/>
        <v>0</v>
      </c>
      <c r="Y4435" s="1">
        <f t="shared" si="139"/>
        <v>0</v>
      </c>
    </row>
    <row r="4436" spans="24:25" x14ac:dyDescent="0.3">
      <c r="X4436" s="1">
        <f t="shared" si="138"/>
        <v>0</v>
      </c>
      <c r="Y4436" s="1">
        <f t="shared" si="139"/>
        <v>0</v>
      </c>
    </row>
    <row r="4437" spans="24:25" x14ac:dyDescent="0.3">
      <c r="X4437" s="1">
        <f t="shared" si="138"/>
        <v>0</v>
      </c>
      <c r="Y4437" s="1">
        <f t="shared" si="139"/>
        <v>0</v>
      </c>
    </row>
    <row r="4438" spans="24:25" x14ac:dyDescent="0.3">
      <c r="X4438" s="1">
        <f t="shared" si="138"/>
        <v>0</v>
      </c>
      <c r="Y4438" s="1">
        <f t="shared" si="139"/>
        <v>0</v>
      </c>
    </row>
    <row r="4439" spans="24:25" x14ac:dyDescent="0.3">
      <c r="X4439" s="1">
        <f t="shared" si="138"/>
        <v>0</v>
      </c>
      <c r="Y4439" s="1">
        <f t="shared" si="139"/>
        <v>0</v>
      </c>
    </row>
    <row r="4440" spans="24:25" x14ac:dyDescent="0.3">
      <c r="X4440" s="1">
        <f t="shared" si="138"/>
        <v>0</v>
      </c>
      <c r="Y4440" s="1">
        <f t="shared" si="139"/>
        <v>0</v>
      </c>
    </row>
    <row r="4441" spans="24:25" x14ac:dyDescent="0.3">
      <c r="X4441" s="1">
        <f t="shared" si="138"/>
        <v>0</v>
      </c>
      <c r="Y4441" s="1">
        <f t="shared" si="139"/>
        <v>0</v>
      </c>
    </row>
    <row r="4442" spans="24:25" x14ac:dyDescent="0.3">
      <c r="X4442" s="1">
        <f t="shared" si="138"/>
        <v>0</v>
      </c>
      <c r="Y4442" s="1">
        <f t="shared" si="139"/>
        <v>0</v>
      </c>
    </row>
    <row r="4443" spans="24:25" x14ac:dyDescent="0.3">
      <c r="X4443" s="1">
        <f t="shared" si="138"/>
        <v>0</v>
      </c>
      <c r="Y4443" s="1">
        <f t="shared" si="139"/>
        <v>0</v>
      </c>
    </row>
    <row r="4444" spans="24:25" x14ac:dyDescent="0.3">
      <c r="X4444" s="1">
        <f t="shared" si="138"/>
        <v>0</v>
      </c>
      <c r="Y4444" s="1">
        <f t="shared" si="139"/>
        <v>0</v>
      </c>
    </row>
    <row r="4445" spans="24:25" x14ac:dyDescent="0.3">
      <c r="X4445" s="1">
        <f t="shared" si="138"/>
        <v>0</v>
      </c>
      <c r="Y4445" s="1">
        <f t="shared" si="139"/>
        <v>0</v>
      </c>
    </row>
    <row r="4446" spans="24:25" x14ac:dyDescent="0.3">
      <c r="X4446" s="1">
        <f t="shared" si="138"/>
        <v>0</v>
      </c>
      <c r="Y4446" s="1">
        <f t="shared" si="139"/>
        <v>0</v>
      </c>
    </row>
    <row r="4447" spans="24:25" x14ac:dyDescent="0.3">
      <c r="X4447" s="1">
        <f t="shared" si="138"/>
        <v>0</v>
      </c>
      <c r="Y4447" s="1">
        <f t="shared" si="139"/>
        <v>0</v>
      </c>
    </row>
    <row r="4448" spans="24:25" x14ac:dyDescent="0.3">
      <c r="X4448" s="1">
        <f t="shared" si="138"/>
        <v>0</v>
      </c>
      <c r="Y4448" s="1">
        <f t="shared" si="139"/>
        <v>0</v>
      </c>
    </row>
    <row r="4449" spans="24:25" x14ac:dyDescent="0.3">
      <c r="X4449" s="1">
        <f t="shared" si="138"/>
        <v>0</v>
      </c>
      <c r="Y4449" s="1">
        <f t="shared" si="139"/>
        <v>0</v>
      </c>
    </row>
    <row r="4450" spans="24:25" x14ac:dyDescent="0.3">
      <c r="X4450" s="1">
        <f t="shared" si="138"/>
        <v>0</v>
      </c>
      <c r="Y4450" s="1">
        <f t="shared" si="139"/>
        <v>0</v>
      </c>
    </row>
    <row r="4451" spans="24:25" x14ac:dyDescent="0.3">
      <c r="X4451" s="1">
        <f t="shared" si="138"/>
        <v>0</v>
      </c>
      <c r="Y4451" s="1">
        <f t="shared" si="139"/>
        <v>0</v>
      </c>
    </row>
    <row r="4452" spans="24:25" x14ac:dyDescent="0.3">
      <c r="X4452" s="1">
        <f t="shared" si="138"/>
        <v>0</v>
      </c>
      <c r="Y4452" s="1">
        <f t="shared" si="139"/>
        <v>0</v>
      </c>
    </row>
    <row r="4453" spans="24:25" x14ac:dyDescent="0.3">
      <c r="X4453" s="1">
        <f t="shared" si="138"/>
        <v>0</v>
      </c>
      <c r="Y4453" s="1">
        <f t="shared" si="139"/>
        <v>0</v>
      </c>
    </row>
    <row r="4454" spans="24:25" x14ac:dyDescent="0.3">
      <c r="X4454" s="1">
        <f t="shared" si="138"/>
        <v>0</v>
      </c>
      <c r="Y4454" s="1">
        <f t="shared" si="139"/>
        <v>0</v>
      </c>
    </row>
    <row r="4455" spans="24:25" x14ac:dyDescent="0.3">
      <c r="X4455" s="1">
        <f t="shared" si="138"/>
        <v>0</v>
      </c>
      <c r="Y4455" s="1">
        <f t="shared" si="139"/>
        <v>0</v>
      </c>
    </row>
    <row r="4456" spans="24:25" x14ac:dyDescent="0.3">
      <c r="X4456" s="1">
        <f t="shared" si="138"/>
        <v>0</v>
      </c>
      <c r="Y4456" s="1">
        <f t="shared" si="139"/>
        <v>0</v>
      </c>
    </row>
    <row r="4457" spans="24:25" x14ac:dyDescent="0.3">
      <c r="X4457" s="1">
        <f t="shared" si="138"/>
        <v>0</v>
      </c>
      <c r="Y4457" s="1">
        <f t="shared" si="139"/>
        <v>0</v>
      </c>
    </row>
    <row r="4458" spans="24:25" x14ac:dyDescent="0.3">
      <c r="X4458" s="1">
        <f t="shared" si="138"/>
        <v>0</v>
      </c>
      <c r="Y4458" s="1">
        <f t="shared" si="139"/>
        <v>0</v>
      </c>
    </row>
    <row r="4459" spans="24:25" x14ac:dyDescent="0.3">
      <c r="X4459" s="1">
        <f t="shared" si="138"/>
        <v>0</v>
      </c>
      <c r="Y4459" s="1">
        <f t="shared" si="139"/>
        <v>0</v>
      </c>
    </row>
    <row r="4460" spans="24:25" x14ac:dyDescent="0.3">
      <c r="X4460" s="1">
        <f t="shared" si="138"/>
        <v>0</v>
      </c>
      <c r="Y4460" s="1">
        <f t="shared" si="139"/>
        <v>0</v>
      </c>
    </row>
    <row r="4461" spans="24:25" x14ac:dyDescent="0.3">
      <c r="X4461" s="1">
        <f t="shared" si="138"/>
        <v>0</v>
      </c>
      <c r="Y4461" s="1">
        <f t="shared" si="139"/>
        <v>0</v>
      </c>
    </row>
    <row r="4462" spans="24:25" x14ac:dyDescent="0.3">
      <c r="X4462" s="1">
        <f t="shared" si="138"/>
        <v>0</v>
      </c>
      <c r="Y4462" s="1">
        <f t="shared" si="139"/>
        <v>0</v>
      </c>
    </row>
    <row r="4463" spans="24:25" x14ac:dyDescent="0.3">
      <c r="X4463" s="1">
        <f t="shared" si="138"/>
        <v>0</v>
      </c>
      <c r="Y4463" s="1">
        <f t="shared" si="139"/>
        <v>0</v>
      </c>
    </row>
    <row r="4464" spans="24:25" x14ac:dyDescent="0.3">
      <c r="X4464" s="1">
        <f t="shared" si="138"/>
        <v>0</v>
      </c>
      <c r="Y4464" s="1">
        <f t="shared" si="139"/>
        <v>0</v>
      </c>
    </row>
    <row r="4465" spans="24:25" x14ac:dyDescent="0.3">
      <c r="X4465" s="1">
        <f t="shared" si="138"/>
        <v>0</v>
      </c>
      <c r="Y4465" s="1">
        <f t="shared" si="139"/>
        <v>0</v>
      </c>
    </row>
    <row r="4466" spans="24:25" x14ac:dyDescent="0.3">
      <c r="X4466" s="1">
        <f t="shared" si="138"/>
        <v>0</v>
      </c>
      <c r="Y4466" s="1">
        <f t="shared" si="139"/>
        <v>0</v>
      </c>
    </row>
    <row r="4467" spans="24:25" x14ac:dyDescent="0.3">
      <c r="X4467" s="1">
        <f t="shared" si="138"/>
        <v>0</v>
      </c>
      <c r="Y4467" s="1">
        <f t="shared" si="139"/>
        <v>0</v>
      </c>
    </row>
    <row r="4468" spans="24:25" x14ac:dyDescent="0.3">
      <c r="X4468" s="1">
        <f t="shared" si="138"/>
        <v>0</v>
      </c>
      <c r="Y4468" s="1">
        <f t="shared" si="139"/>
        <v>0</v>
      </c>
    </row>
    <row r="4469" spans="24:25" x14ac:dyDescent="0.3">
      <c r="X4469" s="1">
        <f t="shared" si="138"/>
        <v>0</v>
      </c>
      <c r="Y4469" s="1">
        <f t="shared" si="139"/>
        <v>0</v>
      </c>
    </row>
    <row r="4470" spans="24:25" x14ac:dyDescent="0.3">
      <c r="X4470" s="1">
        <f t="shared" si="138"/>
        <v>0</v>
      </c>
      <c r="Y4470" s="1">
        <f t="shared" si="139"/>
        <v>0</v>
      </c>
    </row>
    <row r="4471" spans="24:25" x14ac:dyDescent="0.3">
      <c r="X4471" s="1">
        <f t="shared" si="138"/>
        <v>0</v>
      </c>
      <c r="Y4471" s="1">
        <f t="shared" si="139"/>
        <v>0</v>
      </c>
    </row>
    <row r="4472" spans="24:25" x14ac:dyDescent="0.3">
      <c r="X4472" s="1">
        <f t="shared" si="138"/>
        <v>0</v>
      </c>
      <c r="Y4472" s="1">
        <f t="shared" si="139"/>
        <v>0</v>
      </c>
    </row>
    <row r="4473" spans="24:25" x14ac:dyDescent="0.3">
      <c r="X4473" s="1">
        <f t="shared" si="138"/>
        <v>0</v>
      </c>
      <c r="Y4473" s="1">
        <f t="shared" si="139"/>
        <v>0</v>
      </c>
    </row>
    <row r="4474" spans="24:25" x14ac:dyDescent="0.3">
      <c r="X4474" s="1">
        <f t="shared" si="138"/>
        <v>0</v>
      </c>
      <c r="Y4474" s="1">
        <f t="shared" si="139"/>
        <v>0</v>
      </c>
    </row>
    <row r="4475" spans="24:25" x14ac:dyDescent="0.3">
      <c r="X4475" s="1">
        <f t="shared" si="138"/>
        <v>0</v>
      </c>
      <c r="Y4475" s="1">
        <f t="shared" si="139"/>
        <v>0</v>
      </c>
    </row>
    <row r="4476" spans="24:25" x14ac:dyDescent="0.3">
      <c r="X4476" s="1">
        <f t="shared" si="138"/>
        <v>0</v>
      </c>
      <c r="Y4476" s="1">
        <f t="shared" si="139"/>
        <v>0</v>
      </c>
    </row>
    <row r="4477" spans="24:25" x14ac:dyDescent="0.3">
      <c r="X4477" s="1">
        <f t="shared" si="138"/>
        <v>0</v>
      </c>
      <c r="Y4477" s="1">
        <f t="shared" si="139"/>
        <v>0</v>
      </c>
    </row>
    <row r="4478" spans="24:25" x14ac:dyDescent="0.3">
      <c r="X4478" s="1">
        <f t="shared" si="138"/>
        <v>0</v>
      </c>
      <c r="Y4478" s="1">
        <f t="shared" si="139"/>
        <v>0</v>
      </c>
    </row>
    <row r="4479" spans="24:25" x14ac:dyDescent="0.3">
      <c r="X4479" s="1">
        <f t="shared" si="138"/>
        <v>0</v>
      </c>
      <c r="Y4479" s="1">
        <f t="shared" si="139"/>
        <v>0</v>
      </c>
    </row>
    <row r="4480" spans="24:25" x14ac:dyDescent="0.3">
      <c r="X4480" s="1">
        <f t="shared" si="138"/>
        <v>0</v>
      </c>
      <c r="Y4480" s="1">
        <f t="shared" si="139"/>
        <v>0</v>
      </c>
    </row>
    <row r="4481" spans="24:25" x14ac:dyDescent="0.3">
      <c r="X4481" s="1">
        <f t="shared" si="138"/>
        <v>0</v>
      </c>
      <c r="Y4481" s="1">
        <f t="shared" si="139"/>
        <v>0</v>
      </c>
    </row>
    <row r="4482" spans="24:25" x14ac:dyDescent="0.3">
      <c r="X4482" s="1">
        <f t="shared" si="138"/>
        <v>0</v>
      </c>
      <c r="Y4482" s="1">
        <f t="shared" si="139"/>
        <v>0</v>
      </c>
    </row>
    <row r="4483" spans="24:25" x14ac:dyDescent="0.3">
      <c r="X4483" s="1">
        <f t="shared" ref="X4483:X4546" si="140">IFERROR(MATCH(W4483,$B:$B,0),0)</f>
        <v>0</v>
      </c>
      <c r="Y4483" s="1">
        <f t="shared" ref="Y4483:Y4546" si="141">IF(X4484=0,COUNTA(A:A),X4484-1)</f>
        <v>0</v>
      </c>
    </row>
    <row r="4484" spans="24:25" x14ac:dyDescent="0.3">
      <c r="X4484" s="1">
        <f t="shared" si="140"/>
        <v>0</v>
      </c>
      <c r="Y4484" s="1">
        <f t="shared" si="141"/>
        <v>0</v>
      </c>
    </row>
    <row r="4485" spans="24:25" x14ac:dyDescent="0.3">
      <c r="X4485" s="1">
        <f t="shared" si="140"/>
        <v>0</v>
      </c>
      <c r="Y4485" s="1">
        <f t="shared" si="141"/>
        <v>0</v>
      </c>
    </row>
    <row r="4486" spans="24:25" x14ac:dyDescent="0.3">
      <c r="X4486" s="1">
        <f t="shared" si="140"/>
        <v>0</v>
      </c>
      <c r="Y4486" s="1">
        <f t="shared" si="141"/>
        <v>0</v>
      </c>
    </row>
    <row r="4487" spans="24:25" x14ac:dyDescent="0.3">
      <c r="X4487" s="1">
        <f t="shared" si="140"/>
        <v>0</v>
      </c>
      <c r="Y4487" s="1">
        <f t="shared" si="141"/>
        <v>0</v>
      </c>
    </row>
    <row r="4488" spans="24:25" x14ac:dyDescent="0.3">
      <c r="X4488" s="1">
        <f t="shared" si="140"/>
        <v>0</v>
      </c>
      <c r="Y4488" s="1">
        <f t="shared" si="141"/>
        <v>0</v>
      </c>
    </row>
    <row r="4489" spans="24:25" x14ac:dyDescent="0.3">
      <c r="X4489" s="1">
        <f t="shared" si="140"/>
        <v>0</v>
      </c>
      <c r="Y4489" s="1">
        <f t="shared" si="141"/>
        <v>0</v>
      </c>
    </row>
    <row r="4490" spans="24:25" x14ac:dyDescent="0.3">
      <c r="X4490" s="1">
        <f t="shared" si="140"/>
        <v>0</v>
      </c>
      <c r="Y4490" s="1">
        <f t="shared" si="141"/>
        <v>0</v>
      </c>
    </row>
    <row r="4491" spans="24:25" x14ac:dyDescent="0.3">
      <c r="X4491" s="1">
        <f t="shared" si="140"/>
        <v>0</v>
      </c>
      <c r="Y4491" s="1">
        <f t="shared" si="141"/>
        <v>0</v>
      </c>
    </row>
    <row r="4492" spans="24:25" x14ac:dyDescent="0.3">
      <c r="X4492" s="1">
        <f t="shared" si="140"/>
        <v>0</v>
      </c>
      <c r="Y4492" s="1">
        <f t="shared" si="141"/>
        <v>0</v>
      </c>
    </row>
    <row r="4493" spans="24:25" x14ac:dyDescent="0.3">
      <c r="X4493" s="1">
        <f t="shared" si="140"/>
        <v>0</v>
      </c>
      <c r="Y4493" s="1">
        <f t="shared" si="141"/>
        <v>0</v>
      </c>
    </row>
    <row r="4494" spans="24:25" x14ac:dyDescent="0.3">
      <c r="X4494" s="1">
        <f t="shared" si="140"/>
        <v>0</v>
      </c>
      <c r="Y4494" s="1">
        <f t="shared" si="141"/>
        <v>0</v>
      </c>
    </row>
    <row r="4495" spans="24:25" x14ac:dyDescent="0.3">
      <c r="X4495" s="1">
        <f t="shared" si="140"/>
        <v>0</v>
      </c>
      <c r="Y4495" s="1">
        <f t="shared" si="141"/>
        <v>0</v>
      </c>
    </row>
    <row r="4496" spans="24:25" x14ac:dyDescent="0.3">
      <c r="X4496" s="1">
        <f t="shared" si="140"/>
        <v>0</v>
      </c>
      <c r="Y4496" s="1">
        <f t="shared" si="141"/>
        <v>0</v>
      </c>
    </row>
    <row r="4497" spans="24:25" x14ac:dyDescent="0.3">
      <c r="X4497" s="1">
        <f t="shared" si="140"/>
        <v>0</v>
      </c>
      <c r="Y4497" s="1">
        <f t="shared" si="141"/>
        <v>0</v>
      </c>
    </row>
    <row r="4498" spans="24:25" x14ac:dyDescent="0.3">
      <c r="X4498" s="1">
        <f t="shared" si="140"/>
        <v>0</v>
      </c>
      <c r="Y4498" s="1">
        <f t="shared" si="141"/>
        <v>0</v>
      </c>
    </row>
    <row r="4499" spans="24:25" x14ac:dyDescent="0.3">
      <c r="X4499" s="1">
        <f t="shared" si="140"/>
        <v>0</v>
      </c>
      <c r="Y4499" s="1">
        <f t="shared" si="141"/>
        <v>0</v>
      </c>
    </row>
    <row r="4500" spans="24:25" x14ac:dyDescent="0.3">
      <c r="X4500" s="1">
        <f t="shared" si="140"/>
        <v>0</v>
      </c>
      <c r="Y4500" s="1">
        <f t="shared" si="141"/>
        <v>0</v>
      </c>
    </row>
    <row r="4501" spans="24:25" x14ac:dyDescent="0.3">
      <c r="X4501" s="1">
        <f t="shared" si="140"/>
        <v>0</v>
      </c>
      <c r="Y4501" s="1">
        <f t="shared" si="141"/>
        <v>0</v>
      </c>
    </row>
    <row r="4502" spans="24:25" x14ac:dyDescent="0.3">
      <c r="X4502" s="1">
        <f t="shared" si="140"/>
        <v>0</v>
      </c>
      <c r="Y4502" s="1">
        <f t="shared" si="141"/>
        <v>0</v>
      </c>
    </row>
    <row r="4503" spans="24:25" x14ac:dyDescent="0.3">
      <c r="X4503" s="1">
        <f t="shared" si="140"/>
        <v>0</v>
      </c>
      <c r="Y4503" s="1">
        <f t="shared" si="141"/>
        <v>0</v>
      </c>
    </row>
    <row r="4504" spans="24:25" x14ac:dyDescent="0.3">
      <c r="X4504" s="1">
        <f t="shared" si="140"/>
        <v>0</v>
      </c>
      <c r="Y4504" s="1">
        <f t="shared" si="141"/>
        <v>0</v>
      </c>
    </row>
    <row r="4505" spans="24:25" x14ac:dyDescent="0.3">
      <c r="X4505" s="1">
        <f t="shared" si="140"/>
        <v>0</v>
      </c>
      <c r="Y4505" s="1">
        <f t="shared" si="141"/>
        <v>0</v>
      </c>
    </row>
    <row r="4506" spans="24:25" x14ac:dyDescent="0.3">
      <c r="X4506" s="1">
        <f t="shared" si="140"/>
        <v>0</v>
      </c>
      <c r="Y4506" s="1">
        <f t="shared" si="141"/>
        <v>0</v>
      </c>
    </row>
    <row r="4507" spans="24:25" x14ac:dyDescent="0.3">
      <c r="X4507" s="1">
        <f t="shared" si="140"/>
        <v>0</v>
      </c>
      <c r="Y4507" s="1">
        <f t="shared" si="141"/>
        <v>0</v>
      </c>
    </row>
    <row r="4508" spans="24:25" x14ac:dyDescent="0.3">
      <c r="X4508" s="1">
        <f t="shared" si="140"/>
        <v>0</v>
      </c>
      <c r="Y4508" s="1">
        <f t="shared" si="141"/>
        <v>0</v>
      </c>
    </row>
    <row r="4509" spans="24:25" x14ac:dyDescent="0.3">
      <c r="X4509" s="1">
        <f t="shared" si="140"/>
        <v>0</v>
      </c>
      <c r="Y4509" s="1">
        <f t="shared" si="141"/>
        <v>0</v>
      </c>
    </row>
    <row r="4510" spans="24:25" x14ac:dyDescent="0.3">
      <c r="X4510" s="1">
        <f t="shared" si="140"/>
        <v>0</v>
      </c>
      <c r="Y4510" s="1">
        <f t="shared" si="141"/>
        <v>0</v>
      </c>
    </row>
    <row r="4511" spans="24:25" x14ac:dyDescent="0.3">
      <c r="X4511" s="1">
        <f t="shared" si="140"/>
        <v>0</v>
      </c>
      <c r="Y4511" s="1">
        <f t="shared" si="141"/>
        <v>0</v>
      </c>
    </row>
    <row r="4512" spans="24:25" x14ac:dyDescent="0.3">
      <c r="X4512" s="1">
        <f t="shared" si="140"/>
        <v>0</v>
      </c>
      <c r="Y4512" s="1">
        <f t="shared" si="141"/>
        <v>0</v>
      </c>
    </row>
    <row r="4513" spans="24:25" x14ac:dyDescent="0.3">
      <c r="X4513" s="1">
        <f t="shared" si="140"/>
        <v>0</v>
      </c>
      <c r="Y4513" s="1">
        <f t="shared" si="141"/>
        <v>0</v>
      </c>
    </row>
    <row r="4514" spans="24:25" x14ac:dyDescent="0.3">
      <c r="X4514" s="1">
        <f t="shared" si="140"/>
        <v>0</v>
      </c>
      <c r="Y4514" s="1">
        <f t="shared" si="141"/>
        <v>0</v>
      </c>
    </row>
    <row r="4515" spans="24:25" x14ac:dyDescent="0.3">
      <c r="X4515" s="1">
        <f t="shared" si="140"/>
        <v>0</v>
      </c>
      <c r="Y4515" s="1">
        <f t="shared" si="141"/>
        <v>0</v>
      </c>
    </row>
    <row r="4516" spans="24:25" x14ac:dyDescent="0.3">
      <c r="X4516" s="1">
        <f t="shared" si="140"/>
        <v>0</v>
      </c>
      <c r="Y4516" s="1">
        <f t="shared" si="141"/>
        <v>0</v>
      </c>
    </row>
    <row r="4517" spans="24:25" x14ac:dyDescent="0.3">
      <c r="X4517" s="1">
        <f t="shared" si="140"/>
        <v>0</v>
      </c>
      <c r="Y4517" s="1">
        <f t="shared" si="141"/>
        <v>0</v>
      </c>
    </row>
    <row r="4518" spans="24:25" x14ac:dyDescent="0.3">
      <c r="X4518" s="1">
        <f t="shared" si="140"/>
        <v>0</v>
      </c>
      <c r="Y4518" s="1">
        <f t="shared" si="141"/>
        <v>0</v>
      </c>
    </row>
    <row r="4519" spans="24:25" x14ac:dyDescent="0.3">
      <c r="X4519" s="1">
        <f t="shared" si="140"/>
        <v>0</v>
      </c>
      <c r="Y4519" s="1">
        <f t="shared" si="141"/>
        <v>0</v>
      </c>
    </row>
    <row r="4520" spans="24:25" x14ac:dyDescent="0.3">
      <c r="X4520" s="1">
        <f t="shared" si="140"/>
        <v>0</v>
      </c>
      <c r="Y4520" s="1">
        <f t="shared" si="141"/>
        <v>0</v>
      </c>
    </row>
    <row r="4521" spans="24:25" x14ac:dyDescent="0.3">
      <c r="X4521" s="1">
        <f t="shared" si="140"/>
        <v>0</v>
      </c>
      <c r="Y4521" s="1">
        <f t="shared" si="141"/>
        <v>0</v>
      </c>
    </row>
    <row r="4522" spans="24:25" x14ac:dyDescent="0.3">
      <c r="X4522" s="1">
        <f t="shared" si="140"/>
        <v>0</v>
      </c>
      <c r="Y4522" s="1">
        <f t="shared" si="141"/>
        <v>0</v>
      </c>
    </row>
    <row r="4523" spans="24:25" x14ac:dyDescent="0.3">
      <c r="X4523" s="1">
        <f t="shared" si="140"/>
        <v>0</v>
      </c>
      <c r="Y4523" s="1">
        <f t="shared" si="141"/>
        <v>0</v>
      </c>
    </row>
    <row r="4524" spans="24:25" x14ac:dyDescent="0.3">
      <c r="X4524" s="1">
        <f t="shared" si="140"/>
        <v>0</v>
      </c>
      <c r="Y4524" s="1">
        <f t="shared" si="141"/>
        <v>0</v>
      </c>
    </row>
    <row r="4525" spans="24:25" x14ac:dyDescent="0.3">
      <c r="X4525" s="1">
        <f t="shared" si="140"/>
        <v>0</v>
      </c>
      <c r="Y4525" s="1">
        <f t="shared" si="141"/>
        <v>0</v>
      </c>
    </row>
    <row r="4526" spans="24:25" x14ac:dyDescent="0.3">
      <c r="X4526" s="1">
        <f t="shared" si="140"/>
        <v>0</v>
      </c>
      <c r="Y4526" s="1">
        <f t="shared" si="141"/>
        <v>0</v>
      </c>
    </row>
    <row r="4527" spans="24:25" x14ac:dyDescent="0.3">
      <c r="X4527" s="1">
        <f t="shared" si="140"/>
        <v>0</v>
      </c>
      <c r="Y4527" s="1">
        <f t="shared" si="141"/>
        <v>0</v>
      </c>
    </row>
    <row r="4528" spans="24:25" x14ac:dyDescent="0.3">
      <c r="X4528" s="1">
        <f t="shared" si="140"/>
        <v>0</v>
      </c>
      <c r="Y4528" s="1">
        <f t="shared" si="141"/>
        <v>0</v>
      </c>
    </row>
    <row r="4529" spans="24:25" x14ac:dyDescent="0.3">
      <c r="X4529" s="1">
        <f t="shared" si="140"/>
        <v>0</v>
      </c>
      <c r="Y4529" s="1">
        <f t="shared" si="141"/>
        <v>0</v>
      </c>
    </row>
    <row r="4530" spans="24:25" x14ac:dyDescent="0.3">
      <c r="X4530" s="1">
        <f t="shared" si="140"/>
        <v>0</v>
      </c>
      <c r="Y4530" s="1">
        <f t="shared" si="141"/>
        <v>0</v>
      </c>
    </row>
    <row r="4531" spans="24:25" x14ac:dyDescent="0.3">
      <c r="X4531" s="1">
        <f t="shared" si="140"/>
        <v>0</v>
      </c>
      <c r="Y4531" s="1">
        <f t="shared" si="141"/>
        <v>0</v>
      </c>
    </row>
    <row r="4532" spans="24:25" x14ac:dyDescent="0.3">
      <c r="X4532" s="1">
        <f t="shared" si="140"/>
        <v>0</v>
      </c>
      <c r="Y4532" s="1">
        <f t="shared" si="141"/>
        <v>0</v>
      </c>
    </row>
    <row r="4533" spans="24:25" x14ac:dyDescent="0.3">
      <c r="X4533" s="1">
        <f t="shared" si="140"/>
        <v>0</v>
      </c>
      <c r="Y4533" s="1">
        <f t="shared" si="141"/>
        <v>0</v>
      </c>
    </row>
    <row r="4534" spans="24:25" x14ac:dyDescent="0.3">
      <c r="X4534" s="1">
        <f t="shared" si="140"/>
        <v>0</v>
      </c>
      <c r="Y4534" s="1">
        <f t="shared" si="141"/>
        <v>0</v>
      </c>
    </row>
    <row r="4535" spans="24:25" x14ac:dyDescent="0.3">
      <c r="X4535" s="1">
        <f t="shared" si="140"/>
        <v>0</v>
      </c>
      <c r="Y4535" s="1">
        <f t="shared" si="141"/>
        <v>0</v>
      </c>
    </row>
    <row r="4536" spans="24:25" x14ac:dyDescent="0.3">
      <c r="X4536" s="1">
        <f t="shared" si="140"/>
        <v>0</v>
      </c>
      <c r="Y4536" s="1">
        <f t="shared" si="141"/>
        <v>0</v>
      </c>
    </row>
    <row r="4537" spans="24:25" x14ac:dyDescent="0.3">
      <c r="X4537" s="1">
        <f t="shared" si="140"/>
        <v>0</v>
      </c>
      <c r="Y4537" s="1">
        <f t="shared" si="141"/>
        <v>0</v>
      </c>
    </row>
    <row r="4538" spans="24:25" x14ac:dyDescent="0.3">
      <c r="X4538" s="1">
        <f t="shared" si="140"/>
        <v>0</v>
      </c>
      <c r="Y4538" s="1">
        <f t="shared" si="141"/>
        <v>0</v>
      </c>
    </row>
    <row r="4539" spans="24:25" x14ac:dyDescent="0.3">
      <c r="X4539" s="1">
        <f t="shared" si="140"/>
        <v>0</v>
      </c>
      <c r="Y4539" s="1">
        <f t="shared" si="141"/>
        <v>0</v>
      </c>
    </row>
    <row r="4540" spans="24:25" x14ac:dyDescent="0.3">
      <c r="X4540" s="1">
        <f t="shared" si="140"/>
        <v>0</v>
      </c>
      <c r="Y4540" s="1">
        <f t="shared" si="141"/>
        <v>0</v>
      </c>
    </row>
    <row r="4541" spans="24:25" x14ac:dyDescent="0.3">
      <c r="X4541" s="1">
        <f t="shared" si="140"/>
        <v>0</v>
      </c>
      <c r="Y4541" s="1">
        <f t="shared" si="141"/>
        <v>0</v>
      </c>
    </row>
    <row r="4542" spans="24:25" x14ac:dyDescent="0.3">
      <c r="X4542" s="1">
        <f t="shared" si="140"/>
        <v>0</v>
      </c>
      <c r="Y4542" s="1">
        <f t="shared" si="141"/>
        <v>0</v>
      </c>
    </row>
    <row r="4543" spans="24:25" x14ac:dyDescent="0.3">
      <c r="X4543" s="1">
        <f t="shared" si="140"/>
        <v>0</v>
      </c>
      <c r="Y4543" s="1">
        <f t="shared" si="141"/>
        <v>0</v>
      </c>
    </row>
    <row r="4544" spans="24:25" x14ac:dyDescent="0.3">
      <c r="X4544" s="1">
        <f t="shared" si="140"/>
        <v>0</v>
      </c>
      <c r="Y4544" s="1">
        <f t="shared" si="141"/>
        <v>0</v>
      </c>
    </row>
    <row r="4545" spans="24:25" x14ac:dyDescent="0.3">
      <c r="X4545" s="1">
        <f t="shared" si="140"/>
        <v>0</v>
      </c>
      <c r="Y4545" s="1">
        <f t="shared" si="141"/>
        <v>0</v>
      </c>
    </row>
    <row r="4546" spans="24:25" x14ac:dyDescent="0.3">
      <c r="X4546" s="1">
        <f t="shared" si="140"/>
        <v>0</v>
      </c>
      <c r="Y4546" s="1">
        <f t="shared" si="141"/>
        <v>0</v>
      </c>
    </row>
    <row r="4547" spans="24:25" x14ac:dyDescent="0.3">
      <c r="X4547" s="1">
        <f t="shared" ref="X4547:X4610" si="142">IFERROR(MATCH(W4547,$B:$B,0),0)</f>
        <v>0</v>
      </c>
      <c r="Y4547" s="1">
        <f t="shared" ref="Y4547:Y4610" si="143">IF(X4548=0,COUNTA(A:A),X4548-1)</f>
        <v>0</v>
      </c>
    </row>
    <row r="4548" spans="24:25" x14ac:dyDescent="0.3">
      <c r="X4548" s="1">
        <f t="shared" si="142"/>
        <v>0</v>
      </c>
      <c r="Y4548" s="1">
        <f t="shared" si="143"/>
        <v>0</v>
      </c>
    </row>
    <row r="4549" spans="24:25" x14ac:dyDescent="0.3">
      <c r="X4549" s="1">
        <f t="shared" si="142"/>
        <v>0</v>
      </c>
      <c r="Y4549" s="1">
        <f t="shared" si="143"/>
        <v>0</v>
      </c>
    </row>
    <row r="4550" spans="24:25" x14ac:dyDescent="0.3">
      <c r="X4550" s="1">
        <f t="shared" si="142"/>
        <v>0</v>
      </c>
      <c r="Y4550" s="1">
        <f t="shared" si="143"/>
        <v>0</v>
      </c>
    </row>
    <row r="4551" spans="24:25" x14ac:dyDescent="0.3">
      <c r="X4551" s="1">
        <f t="shared" si="142"/>
        <v>0</v>
      </c>
      <c r="Y4551" s="1">
        <f t="shared" si="143"/>
        <v>0</v>
      </c>
    </row>
    <row r="4552" spans="24:25" x14ac:dyDescent="0.3">
      <c r="X4552" s="1">
        <f t="shared" si="142"/>
        <v>0</v>
      </c>
      <c r="Y4552" s="1">
        <f t="shared" si="143"/>
        <v>0</v>
      </c>
    </row>
    <row r="4553" spans="24:25" x14ac:dyDescent="0.3">
      <c r="X4553" s="1">
        <f t="shared" si="142"/>
        <v>0</v>
      </c>
      <c r="Y4553" s="1">
        <f t="shared" si="143"/>
        <v>0</v>
      </c>
    </row>
    <row r="4554" spans="24:25" x14ac:dyDescent="0.3">
      <c r="X4554" s="1">
        <f t="shared" si="142"/>
        <v>0</v>
      </c>
      <c r="Y4554" s="1">
        <f t="shared" si="143"/>
        <v>0</v>
      </c>
    </row>
    <row r="4555" spans="24:25" x14ac:dyDescent="0.3">
      <c r="X4555" s="1">
        <f t="shared" si="142"/>
        <v>0</v>
      </c>
      <c r="Y4555" s="1">
        <f t="shared" si="143"/>
        <v>0</v>
      </c>
    </row>
    <row r="4556" spans="24:25" x14ac:dyDescent="0.3">
      <c r="X4556" s="1">
        <f t="shared" si="142"/>
        <v>0</v>
      </c>
      <c r="Y4556" s="1">
        <f t="shared" si="143"/>
        <v>0</v>
      </c>
    </row>
    <row r="4557" spans="24:25" x14ac:dyDescent="0.3">
      <c r="X4557" s="1">
        <f t="shared" si="142"/>
        <v>0</v>
      </c>
      <c r="Y4557" s="1">
        <f t="shared" si="143"/>
        <v>0</v>
      </c>
    </row>
    <row r="4558" spans="24:25" x14ac:dyDescent="0.3">
      <c r="X4558" s="1">
        <f t="shared" si="142"/>
        <v>0</v>
      </c>
      <c r="Y4558" s="1">
        <f t="shared" si="143"/>
        <v>0</v>
      </c>
    </row>
    <row r="4559" spans="24:25" x14ac:dyDescent="0.3">
      <c r="X4559" s="1">
        <f t="shared" si="142"/>
        <v>0</v>
      </c>
      <c r="Y4559" s="1">
        <f t="shared" si="143"/>
        <v>0</v>
      </c>
    </row>
    <row r="4560" spans="24:25" x14ac:dyDescent="0.3">
      <c r="X4560" s="1">
        <f t="shared" si="142"/>
        <v>0</v>
      </c>
      <c r="Y4560" s="1">
        <f t="shared" si="143"/>
        <v>0</v>
      </c>
    </row>
    <row r="4561" spans="24:25" x14ac:dyDescent="0.3">
      <c r="X4561" s="1">
        <f t="shared" si="142"/>
        <v>0</v>
      </c>
      <c r="Y4561" s="1">
        <f t="shared" si="143"/>
        <v>0</v>
      </c>
    </row>
    <row r="4562" spans="24:25" x14ac:dyDescent="0.3">
      <c r="X4562" s="1">
        <f t="shared" si="142"/>
        <v>0</v>
      </c>
      <c r="Y4562" s="1">
        <f t="shared" si="143"/>
        <v>0</v>
      </c>
    </row>
    <row r="4563" spans="24:25" x14ac:dyDescent="0.3">
      <c r="X4563" s="1">
        <f t="shared" si="142"/>
        <v>0</v>
      </c>
      <c r="Y4563" s="1">
        <f t="shared" si="143"/>
        <v>0</v>
      </c>
    </row>
    <row r="4564" spans="24:25" x14ac:dyDescent="0.3">
      <c r="X4564" s="1">
        <f t="shared" si="142"/>
        <v>0</v>
      </c>
      <c r="Y4564" s="1">
        <f t="shared" si="143"/>
        <v>0</v>
      </c>
    </row>
    <row r="4565" spans="24:25" x14ac:dyDescent="0.3">
      <c r="X4565" s="1">
        <f t="shared" si="142"/>
        <v>0</v>
      </c>
      <c r="Y4565" s="1">
        <f t="shared" si="143"/>
        <v>0</v>
      </c>
    </row>
    <row r="4566" spans="24:25" x14ac:dyDescent="0.3">
      <c r="X4566" s="1">
        <f t="shared" si="142"/>
        <v>0</v>
      </c>
      <c r="Y4566" s="1">
        <f t="shared" si="143"/>
        <v>0</v>
      </c>
    </row>
    <row r="4567" spans="24:25" x14ac:dyDescent="0.3">
      <c r="X4567" s="1">
        <f t="shared" si="142"/>
        <v>0</v>
      </c>
      <c r="Y4567" s="1">
        <f t="shared" si="143"/>
        <v>0</v>
      </c>
    </row>
    <row r="4568" spans="24:25" x14ac:dyDescent="0.3">
      <c r="X4568" s="1">
        <f t="shared" si="142"/>
        <v>0</v>
      </c>
      <c r="Y4568" s="1">
        <f t="shared" si="143"/>
        <v>0</v>
      </c>
    </row>
    <row r="4569" spans="24:25" x14ac:dyDescent="0.3">
      <c r="X4569" s="1">
        <f t="shared" si="142"/>
        <v>0</v>
      </c>
      <c r="Y4569" s="1">
        <f t="shared" si="143"/>
        <v>0</v>
      </c>
    </row>
    <row r="4570" spans="24:25" x14ac:dyDescent="0.3">
      <c r="X4570" s="1">
        <f t="shared" si="142"/>
        <v>0</v>
      </c>
      <c r="Y4570" s="1">
        <f t="shared" si="143"/>
        <v>0</v>
      </c>
    </row>
    <row r="4571" spans="24:25" x14ac:dyDescent="0.3">
      <c r="X4571" s="1">
        <f t="shared" si="142"/>
        <v>0</v>
      </c>
      <c r="Y4571" s="1">
        <f t="shared" si="143"/>
        <v>0</v>
      </c>
    </row>
    <row r="4572" spans="24:25" x14ac:dyDescent="0.3">
      <c r="X4572" s="1">
        <f t="shared" si="142"/>
        <v>0</v>
      </c>
      <c r="Y4572" s="1">
        <f t="shared" si="143"/>
        <v>0</v>
      </c>
    </row>
    <row r="4573" spans="24:25" x14ac:dyDescent="0.3">
      <c r="X4573" s="1">
        <f t="shared" si="142"/>
        <v>0</v>
      </c>
      <c r="Y4573" s="1">
        <f t="shared" si="143"/>
        <v>0</v>
      </c>
    </row>
    <row r="4574" spans="24:25" x14ac:dyDescent="0.3">
      <c r="X4574" s="1">
        <f t="shared" si="142"/>
        <v>0</v>
      </c>
      <c r="Y4574" s="1">
        <f t="shared" si="143"/>
        <v>0</v>
      </c>
    </row>
    <row r="4575" spans="24:25" x14ac:dyDescent="0.3">
      <c r="X4575" s="1">
        <f t="shared" si="142"/>
        <v>0</v>
      </c>
      <c r="Y4575" s="1">
        <f t="shared" si="143"/>
        <v>0</v>
      </c>
    </row>
    <row r="4576" spans="24:25" x14ac:dyDescent="0.3">
      <c r="X4576" s="1">
        <f t="shared" si="142"/>
        <v>0</v>
      </c>
      <c r="Y4576" s="1">
        <f t="shared" si="143"/>
        <v>0</v>
      </c>
    </row>
    <row r="4577" spans="24:25" x14ac:dyDescent="0.3">
      <c r="X4577" s="1">
        <f t="shared" si="142"/>
        <v>0</v>
      </c>
      <c r="Y4577" s="1">
        <f t="shared" si="143"/>
        <v>0</v>
      </c>
    </row>
    <row r="4578" spans="24:25" x14ac:dyDescent="0.3">
      <c r="X4578" s="1">
        <f t="shared" si="142"/>
        <v>0</v>
      </c>
      <c r="Y4578" s="1">
        <f t="shared" si="143"/>
        <v>0</v>
      </c>
    </row>
    <row r="4579" spans="24:25" x14ac:dyDescent="0.3">
      <c r="X4579" s="1">
        <f t="shared" si="142"/>
        <v>0</v>
      </c>
      <c r="Y4579" s="1">
        <f t="shared" si="143"/>
        <v>0</v>
      </c>
    </row>
    <row r="4580" spans="24:25" x14ac:dyDescent="0.3">
      <c r="X4580" s="1">
        <f t="shared" si="142"/>
        <v>0</v>
      </c>
      <c r="Y4580" s="1">
        <f t="shared" si="143"/>
        <v>0</v>
      </c>
    </row>
    <row r="4581" spans="24:25" x14ac:dyDescent="0.3">
      <c r="X4581" s="1">
        <f t="shared" si="142"/>
        <v>0</v>
      </c>
      <c r="Y4581" s="1">
        <f t="shared" si="143"/>
        <v>0</v>
      </c>
    </row>
    <row r="4582" spans="24:25" x14ac:dyDescent="0.3">
      <c r="X4582" s="1">
        <f t="shared" si="142"/>
        <v>0</v>
      </c>
      <c r="Y4582" s="1">
        <f t="shared" si="143"/>
        <v>0</v>
      </c>
    </row>
    <row r="4583" spans="24:25" x14ac:dyDescent="0.3">
      <c r="X4583" s="1">
        <f t="shared" si="142"/>
        <v>0</v>
      </c>
      <c r="Y4583" s="1">
        <f t="shared" si="143"/>
        <v>0</v>
      </c>
    </row>
    <row r="4584" spans="24:25" x14ac:dyDescent="0.3">
      <c r="X4584" s="1">
        <f t="shared" si="142"/>
        <v>0</v>
      </c>
      <c r="Y4584" s="1">
        <f t="shared" si="143"/>
        <v>0</v>
      </c>
    </row>
    <row r="4585" spans="24:25" x14ac:dyDescent="0.3">
      <c r="X4585" s="1">
        <f t="shared" si="142"/>
        <v>0</v>
      </c>
      <c r="Y4585" s="1">
        <f t="shared" si="143"/>
        <v>0</v>
      </c>
    </row>
    <row r="4586" spans="24:25" x14ac:dyDescent="0.3">
      <c r="X4586" s="1">
        <f t="shared" si="142"/>
        <v>0</v>
      </c>
      <c r="Y4586" s="1">
        <f t="shared" si="143"/>
        <v>0</v>
      </c>
    </row>
    <row r="4587" spans="24:25" x14ac:dyDescent="0.3">
      <c r="X4587" s="1">
        <f t="shared" si="142"/>
        <v>0</v>
      </c>
      <c r="Y4587" s="1">
        <f t="shared" si="143"/>
        <v>0</v>
      </c>
    </row>
    <row r="4588" spans="24:25" x14ac:dyDescent="0.3">
      <c r="X4588" s="1">
        <f t="shared" si="142"/>
        <v>0</v>
      </c>
      <c r="Y4588" s="1">
        <f t="shared" si="143"/>
        <v>0</v>
      </c>
    </row>
    <row r="4589" spans="24:25" x14ac:dyDescent="0.3">
      <c r="X4589" s="1">
        <f t="shared" si="142"/>
        <v>0</v>
      </c>
      <c r="Y4589" s="1">
        <f t="shared" si="143"/>
        <v>0</v>
      </c>
    </row>
    <row r="4590" spans="24:25" x14ac:dyDescent="0.3">
      <c r="X4590" s="1">
        <f t="shared" si="142"/>
        <v>0</v>
      </c>
      <c r="Y4590" s="1">
        <f t="shared" si="143"/>
        <v>0</v>
      </c>
    </row>
    <row r="4591" spans="24:25" x14ac:dyDescent="0.3">
      <c r="X4591" s="1">
        <f t="shared" si="142"/>
        <v>0</v>
      </c>
      <c r="Y4591" s="1">
        <f t="shared" si="143"/>
        <v>0</v>
      </c>
    </row>
    <row r="4592" spans="24:25" x14ac:dyDescent="0.3">
      <c r="X4592" s="1">
        <f t="shared" si="142"/>
        <v>0</v>
      </c>
      <c r="Y4592" s="1">
        <f t="shared" si="143"/>
        <v>0</v>
      </c>
    </row>
    <row r="4593" spans="24:25" x14ac:dyDescent="0.3">
      <c r="X4593" s="1">
        <f t="shared" si="142"/>
        <v>0</v>
      </c>
      <c r="Y4593" s="1">
        <f t="shared" si="143"/>
        <v>0</v>
      </c>
    </row>
    <row r="4594" spans="24:25" x14ac:dyDescent="0.3">
      <c r="X4594" s="1">
        <f t="shared" si="142"/>
        <v>0</v>
      </c>
      <c r="Y4594" s="1">
        <f t="shared" si="143"/>
        <v>0</v>
      </c>
    </row>
    <row r="4595" spans="24:25" x14ac:dyDescent="0.3">
      <c r="X4595" s="1">
        <f t="shared" si="142"/>
        <v>0</v>
      </c>
      <c r="Y4595" s="1">
        <f t="shared" si="143"/>
        <v>0</v>
      </c>
    </row>
    <row r="4596" spans="24:25" x14ac:dyDescent="0.3">
      <c r="X4596" s="1">
        <f t="shared" si="142"/>
        <v>0</v>
      </c>
      <c r="Y4596" s="1">
        <f t="shared" si="143"/>
        <v>0</v>
      </c>
    </row>
    <row r="4597" spans="24:25" x14ac:dyDescent="0.3">
      <c r="X4597" s="1">
        <f t="shared" si="142"/>
        <v>0</v>
      </c>
      <c r="Y4597" s="1">
        <f t="shared" si="143"/>
        <v>0</v>
      </c>
    </row>
    <row r="4598" spans="24:25" x14ac:dyDescent="0.3">
      <c r="X4598" s="1">
        <f t="shared" si="142"/>
        <v>0</v>
      </c>
      <c r="Y4598" s="1">
        <f t="shared" si="143"/>
        <v>0</v>
      </c>
    </row>
    <row r="4599" spans="24:25" x14ac:dyDescent="0.3">
      <c r="X4599" s="1">
        <f t="shared" si="142"/>
        <v>0</v>
      </c>
      <c r="Y4599" s="1">
        <f t="shared" si="143"/>
        <v>0</v>
      </c>
    </row>
    <row r="4600" spans="24:25" x14ac:dyDescent="0.3">
      <c r="X4600" s="1">
        <f t="shared" si="142"/>
        <v>0</v>
      </c>
      <c r="Y4600" s="1">
        <f t="shared" si="143"/>
        <v>0</v>
      </c>
    </row>
    <row r="4601" spans="24:25" x14ac:dyDescent="0.3">
      <c r="X4601" s="1">
        <f t="shared" si="142"/>
        <v>0</v>
      </c>
      <c r="Y4601" s="1">
        <f t="shared" si="143"/>
        <v>0</v>
      </c>
    </row>
    <row r="4602" spans="24:25" x14ac:dyDescent="0.3">
      <c r="X4602" s="1">
        <f t="shared" si="142"/>
        <v>0</v>
      </c>
      <c r="Y4602" s="1">
        <f t="shared" si="143"/>
        <v>0</v>
      </c>
    </row>
    <row r="4603" spans="24:25" x14ac:dyDescent="0.3">
      <c r="X4603" s="1">
        <f t="shared" si="142"/>
        <v>0</v>
      </c>
      <c r="Y4603" s="1">
        <f t="shared" si="143"/>
        <v>0</v>
      </c>
    </row>
    <row r="4604" spans="24:25" x14ac:dyDescent="0.3">
      <c r="X4604" s="1">
        <f t="shared" si="142"/>
        <v>0</v>
      </c>
      <c r="Y4604" s="1">
        <f t="shared" si="143"/>
        <v>0</v>
      </c>
    </row>
    <row r="4605" spans="24:25" x14ac:dyDescent="0.3">
      <c r="X4605" s="1">
        <f t="shared" si="142"/>
        <v>0</v>
      </c>
      <c r="Y4605" s="1">
        <f t="shared" si="143"/>
        <v>0</v>
      </c>
    </row>
    <row r="4606" spans="24:25" x14ac:dyDescent="0.3">
      <c r="X4606" s="1">
        <f t="shared" si="142"/>
        <v>0</v>
      </c>
      <c r="Y4606" s="1">
        <f t="shared" si="143"/>
        <v>0</v>
      </c>
    </row>
    <row r="4607" spans="24:25" x14ac:dyDescent="0.3">
      <c r="X4607" s="1">
        <f t="shared" si="142"/>
        <v>0</v>
      </c>
      <c r="Y4607" s="1">
        <f t="shared" si="143"/>
        <v>0</v>
      </c>
    </row>
    <row r="4608" spans="24:25" x14ac:dyDescent="0.3">
      <c r="X4608" s="1">
        <f t="shared" si="142"/>
        <v>0</v>
      </c>
      <c r="Y4608" s="1">
        <f t="shared" si="143"/>
        <v>0</v>
      </c>
    </row>
    <row r="4609" spans="24:25" x14ac:dyDescent="0.3">
      <c r="X4609" s="1">
        <f t="shared" si="142"/>
        <v>0</v>
      </c>
      <c r="Y4609" s="1">
        <f t="shared" si="143"/>
        <v>0</v>
      </c>
    </row>
    <row r="4610" spans="24:25" x14ac:dyDescent="0.3">
      <c r="X4610" s="1">
        <f t="shared" si="142"/>
        <v>0</v>
      </c>
      <c r="Y4610" s="1">
        <f t="shared" si="143"/>
        <v>0</v>
      </c>
    </row>
    <row r="4611" spans="24:25" x14ac:dyDescent="0.3">
      <c r="X4611" s="1">
        <f t="shared" ref="X4611:X4674" si="144">IFERROR(MATCH(W4611,$B:$B,0),0)</f>
        <v>0</v>
      </c>
      <c r="Y4611" s="1">
        <f t="shared" ref="Y4611:Y4674" si="145">IF(X4612=0,COUNTA(A:A),X4612-1)</f>
        <v>0</v>
      </c>
    </row>
    <row r="4612" spans="24:25" x14ac:dyDescent="0.3">
      <c r="X4612" s="1">
        <f t="shared" si="144"/>
        <v>0</v>
      </c>
      <c r="Y4612" s="1">
        <f t="shared" si="145"/>
        <v>0</v>
      </c>
    </row>
    <row r="4613" spans="24:25" x14ac:dyDescent="0.3">
      <c r="X4613" s="1">
        <f t="shared" si="144"/>
        <v>0</v>
      </c>
      <c r="Y4613" s="1">
        <f t="shared" si="145"/>
        <v>0</v>
      </c>
    </row>
    <row r="4614" spans="24:25" x14ac:dyDescent="0.3">
      <c r="X4614" s="1">
        <f t="shared" si="144"/>
        <v>0</v>
      </c>
      <c r="Y4614" s="1">
        <f t="shared" si="145"/>
        <v>0</v>
      </c>
    </row>
    <row r="4615" spans="24:25" x14ac:dyDescent="0.3">
      <c r="X4615" s="1">
        <f t="shared" si="144"/>
        <v>0</v>
      </c>
      <c r="Y4615" s="1">
        <f t="shared" si="145"/>
        <v>0</v>
      </c>
    </row>
    <row r="4616" spans="24:25" x14ac:dyDescent="0.3">
      <c r="X4616" s="1">
        <f t="shared" si="144"/>
        <v>0</v>
      </c>
      <c r="Y4616" s="1">
        <f t="shared" si="145"/>
        <v>0</v>
      </c>
    </row>
    <row r="4617" spans="24:25" x14ac:dyDescent="0.3">
      <c r="X4617" s="1">
        <f t="shared" si="144"/>
        <v>0</v>
      </c>
      <c r="Y4617" s="1">
        <f t="shared" si="145"/>
        <v>0</v>
      </c>
    </row>
    <row r="4618" spans="24:25" x14ac:dyDescent="0.3">
      <c r="X4618" s="1">
        <f t="shared" si="144"/>
        <v>0</v>
      </c>
      <c r="Y4618" s="1">
        <f t="shared" si="145"/>
        <v>0</v>
      </c>
    </row>
    <row r="4619" spans="24:25" x14ac:dyDescent="0.3">
      <c r="X4619" s="1">
        <f t="shared" si="144"/>
        <v>0</v>
      </c>
      <c r="Y4619" s="1">
        <f t="shared" si="145"/>
        <v>0</v>
      </c>
    </row>
    <row r="4620" spans="24:25" x14ac:dyDescent="0.3">
      <c r="X4620" s="1">
        <f t="shared" si="144"/>
        <v>0</v>
      </c>
      <c r="Y4620" s="1">
        <f t="shared" si="145"/>
        <v>0</v>
      </c>
    </row>
    <row r="4621" spans="24:25" x14ac:dyDescent="0.3">
      <c r="X4621" s="1">
        <f t="shared" si="144"/>
        <v>0</v>
      </c>
      <c r="Y4621" s="1">
        <f t="shared" si="145"/>
        <v>0</v>
      </c>
    </row>
    <row r="4622" spans="24:25" x14ac:dyDescent="0.3">
      <c r="X4622" s="1">
        <f t="shared" si="144"/>
        <v>0</v>
      </c>
      <c r="Y4622" s="1">
        <f t="shared" si="145"/>
        <v>0</v>
      </c>
    </row>
    <row r="4623" spans="24:25" x14ac:dyDescent="0.3">
      <c r="X4623" s="1">
        <f t="shared" si="144"/>
        <v>0</v>
      </c>
      <c r="Y4623" s="1">
        <f t="shared" si="145"/>
        <v>0</v>
      </c>
    </row>
    <row r="4624" spans="24:25" x14ac:dyDescent="0.3">
      <c r="X4624" s="1">
        <f t="shared" si="144"/>
        <v>0</v>
      </c>
      <c r="Y4624" s="1">
        <f t="shared" si="145"/>
        <v>0</v>
      </c>
    </row>
    <row r="4625" spans="24:25" x14ac:dyDescent="0.3">
      <c r="X4625" s="1">
        <f t="shared" si="144"/>
        <v>0</v>
      </c>
      <c r="Y4625" s="1">
        <f t="shared" si="145"/>
        <v>0</v>
      </c>
    </row>
    <row r="4626" spans="24:25" x14ac:dyDescent="0.3">
      <c r="X4626" s="1">
        <f t="shared" si="144"/>
        <v>0</v>
      </c>
      <c r="Y4626" s="1">
        <f t="shared" si="145"/>
        <v>0</v>
      </c>
    </row>
    <row r="4627" spans="24:25" x14ac:dyDescent="0.3">
      <c r="X4627" s="1">
        <f t="shared" si="144"/>
        <v>0</v>
      </c>
      <c r="Y4627" s="1">
        <f t="shared" si="145"/>
        <v>0</v>
      </c>
    </row>
    <row r="4628" spans="24:25" x14ac:dyDescent="0.3">
      <c r="X4628" s="1">
        <f t="shared" si="144"/>
        <v>0</v>
      </c>
      <c r="Y4628" s="1">
        <f t="shared" si="145"/>
        <v>0</v>
      </c>
    </row>
    <row r="4629" spans="24:25" x14ac:dyDescent="0.3">
      <c r="X4629" s="1">
        <f t="shared" si="144"/>
        <v>0</v>
      </c>
      <c r="Y4629" s="1">
        <f t="shared" si="145"/>
        <v>0</v>
      </c>
    </row>
    <row r="4630" spans="24:25" x14ac:dyDescent="0.3">
      <c r="X4630" s="1">
        <f t="shared" si="144"/>
        <v>0</v>
      </c>
      <c r="Y4630" s="1">
        <f t="shared" si="145"/>
        <v>0</v>
      </c>
    </row>
    <row r="4631" spans="24:25" x14ac:dyDescent="0.3">
      <c r="X4631" s="1">
        <f t="shared" si="144"/>
        <v>0</v>
      </c>
      <c r="Y4631" s="1">
        <f t="shared" si="145"/>
        <v>0</v>
      </c>
    </row>
    <row r="4632" spans="24:25" x14ac:dyDescent="0.3">
      <c r="X4632" s="1">
        <f t="shared" si="144"/>
        <v>0</v>
      </c>
      <c r="Y4632" s="1">
        <f t="shared" si="145"/>
        <v>0</v>
      </c>
    </row>
    <row r="4633" spans="24:25" x14ac:dyDescent="0.3">
      <c r="X4633" s="1">
        <f t="shared" si="144"/>
        <v>0</v>
      </c>
      <c r="Y4633" s="1">
        <f t="shared" si="145"/>
        <v>0</v>
      </c>
    </row>
    <row r="4634" spans="24:25" x14ac:dyDescent="0.3">
      <c r="X4634" s="1">
        <f t="shared" si="144"/>
        <v>0</v>
      </c>
      <c r="Y4634" s="1">
        <f t="shared" si="145"/>
        <v>0</v>
      </c>
    </row>
    <row r="4635" spans="24:25" x14ac:dyDescent="0.3">
      <c r="X4635" s="1">
        <f t="shared" si="144"/>
        <v>0</v>
      </c>
      <c r="Y4635" s="1">
        <f t="shared" si="145"/>
        <v>0</v>
      </c>
    </row>
    <row r="4636" spans="24:25" x14ac:dyDescent="0.3">
      <c r="X4636" s="1">
        <f t="shared" si="144"/>
        <v>0</v>
      </c>
      <c r="Y4636" s="1">
        <f t="shared" si="145"/>
        <v>0</v>
      </c>
    </row>
    <row r="4637" spans="24:25" x14ac:dyDescent="0.3">
      <c r="X4637" s="1">
        <f t="shared" si="144"/>
        <v>0</v>
      </c>
      <c r="Y4637" s="1">
        <f t="shared" si="145"/>
        <v>0</v>
      </c>
    </row>
    <row r="4638" spans="24:25" x14ac:dyDescent="0.3">
      <c r="X4638" s="1">
        <f t="shared" si="144"/>
        <v>0</v>
      </c>
      <c r="Y4638" s="1">
        <f t="shared" si="145"/>
        <v>0</v>
      </c>
    </row>
    <row r="4639" spans="24:25" x14ac:dyDescent="0.3">
      <c r="X4639" s="1">
        <f t="shared" si="144"/>
        <v>0</v>
      </c>
      <c r="Y4639" s="1">
        <f t="shared" si="145"/>
        <v>0</v>
      </c>
    </row>
    <row r="4640" spans="24:25" x14ac:dyDescent="0.3">
      <c r="X4640" s="1">
        <f t="shared" si="144"/>
        <v>0</v>
      </c>
      <c r="Y4640" s="1">
        <f t="shared" si="145"/>
        <v>0</v>
      </c>
    </row>
    <row r="4641" spans="24:25" x14ac:dyDescent="0.3">
      <c r="X4641" s="1">
        <f t="shared" si="144"/>
        <v>0</v>
      </c>
      <c r="Y4641" s="1">
        <f t="shared" si="145"/>
        <v>0</v>
      </c>
    </row>
    <row r="4642" spans="24:25" x14ac:dyDescent="0.3">
      <c r="X4642" s="1">
        <f t="shared" si="144"/>
        <v>0</v>
      </c>
      <c r="Y4642" s="1">
        <f t="shared" si="145"/>
        <v>0</v>
      </c>
    </row>
    <row r="4643" spans="24:25" x14ac:dyDescent="0.3">
      <c r="X4643" s="1">
        <f t="shared" si="144"/>
        <v>0</v>
      </c>
      <c r="Y4643" s="1">
        <f t="shared" si="145"/>
        <v>0</v>
      </c>
    </row>
    <row r="4644" spans="24:25" x14ac:dyDescent="0.3">
      <c r="X4644" s="1">
        <f t="shared" si="144"/>
        <v>0</v>
      </c>
      <c r="Y4644" s="1">
        <f t="shared" si="145"/>
        <v>0</v>
      </c>
    </row>
    <row r="4645" spans="24:25" x14ac:dyDescent="0.3">
      <c r="X4645" s="1">
        <f t="shared" si="144"/>
        <v>0</v>
      </c>
      <c r="Y4645" s="1">
        <f t="shared" si="145"/>
        <v>0</v>
      </c>
    </row>
    <row r="4646" spans="24:25" x14ac:dyDescent="0.3">
      <c r="X4646" s="1">
        <f t="shared" si="144"/>
        <v>0</v>
      </c>
      <c r="Y4646" s="1">
        <f t="shared" si="145"/>
        <v>0</v>
      </c>
    </row>
    <row r="4647" spans="24:25" x14ac:dyDescent="0.3">
      <c r="X4647" s="1">
        <f t="shared" si="144"/>
        <v>0</v>
      </c>
      <c r="Y4647" s="1">
        <f t="shared" si="145"/>
        <v>0</v>
      </c>
    </row>
    <row r="4648" spans="24:25" x14ac:dyDescent="0.3">
      <c r="X4648" s="1">
        <f t="shared" si="144"/>
        <v>0</v>
      </c>
      <c r="Y4648" s="1">
        <f t="shared" si="145"/>
        <v>0</v>
      </c>
    </row>
    <row r="4649" spans="24:25" x14ac:dyDescent="0.3">
      <c r="X4649" s="1">
        <f t="shared" si="144"/>
        <v>0</v>
      </c>
      <c r="Y4649" s="1">
        <f t="shared" si="145"/>
        <v>0</v>
      </c>
    </row>
    <row r="4650" spans="24:25" x14ac:dyDescent="0.3">
      <c r="X4650" s="1">
        <f t="shared" si="144"/>
        <v>0</v>
      </c>
      <c r="Y4650" s="1">
        <f t="shared" si="145"/>
        <v>0</v>
      </c>
    </row>
    <row r="4651" spans="24:25" x14ac:dyDescent="0.3">
      <c r="X4651" s="1">
        <f t="shared" si="144"/>
        <v>0</v>
      </c>
      <c r="Y4651" s="1">
        <f t="shared" si="145"/>
        <v>0</v>
      </c>
    </row>
    <row r="4652" spans="24:25" x14ac:dyDescent="0.3">
      <c r="X4652" s="1">
        <f t="shared" si="144"/>
        <v>0</v>
      </c>
      <c r="Y4652" s="1">
        <f t="shared" si="145"/>
        <v>0</v>
      </c>
    </row>
    <row r="4653" spans="24:25" x14ac:dyDescent="0.3">
      <c r="X4653" s="1">
        <f t="shared" si="144"/>
        <v>0</v>
      </c>
      <c r="Y4653" s="1">
        <f t="shared" si="145"/>
        <v>0</v>
      </c>
    </row>
    <row r="4654" spans="24:25" x14ac:dyDescent="0.3">
      <c r="X4654" s="1">
        <f t="shared" si="144"/>
        <v>0</v>
      </c>
      <c r="Y4654" s="1">
        <f t="shared" si="145"/>
        <v>0</v>
      </c>
    </row>
    <row r="4655" spans="24:25" x14ac:dyDescent="0.3">
      <c r="X4655" s="1">
        <f t="shared" si="144"/>
        <v>0</v>
      </c>
      <c r="Y4655" s="1">
        <f t="shared" si="145"/>
        <v>0</v>
      </c>
    </row>
    <row r="4656" spans="24:25" x14ac:dyDescent="0.3">
      <c r="X4656" s="1">
        <f t="shared" si="144"/>
        <v>0</v>
      </c>
      <c r="Y4656" s="1">
        <f t="shared" si="145"/>
        <v>0</v>
      </c>
    </row>
    <row r="4657" spans="24:25" x14ac:dyDescent="0.3">
      <c r="X4657" s="1">
        <f t="shared" si="144"/>
        <v>0</v>
      </c>
      <c r="Y4657" s="1">
        <f t="shared" si="145"/>
        <v>0</v>
      </c>
    </row>
    <row r="4658" spans="24:25" x14ac:dyDescent="0.3">
      <c r="X4658" s="1">
        <f t="shared" si="144"/>
        <v>0</v>
      </c>
      <c r="Y4658" s="1">
        <f t="shared" si="145"/>
        <v>0</v>
      </c>
    </row>
    <row r="4659" spans="24:25" x14ac:dyDescent="0.3">
      <c r="X4659" s="1">
        <f t="shared" si="144"/>
        <v>0</v>
      </c>
      <c r="Y4659" s="1">
        <f t="shared" si="145"/>
        <v>0</v>
      </c>
    </row>
    <row r="4660" spans="24:25" x14ac:dyDescent="0.3">
      <c r="X4660" s="1">
        <f t="shared" si="144"/>
        <v>0</v>
      </c>
      <c r="Y4660" s="1">
        <f t="shared" si="145"/>
        <v>0</v>
      </c>
    </row>
    <row r="4661" spans="24:25" x14ac:dyDescent="0.3">
      <c r="X4661" s="1">
        <f t="shared" si="144"/>
        <v>0</v>
      </c>
      <c r="Y4661" s="1">
        <f t="shared" si="145"/>
        <v>0</v>
      </c>
    </row>
    <row r="4662" spans="24:25" x14ac:dyDescent="0.3">
      <c r="X4662" s="1">
        <f t="shared" si="144"/>
        <v>0</v>
      </c>
      <c r="Y4662" s="1">
        <f t="shared" si="145"/>
        <v>0</v>
      </c>
    </row>
    <row r="4663" spans="24:25" x14ac:dyDescent="0.3">
      <c r="X4663" s="1">
        <f t="shared" si="144"/>
        <v>0</v>
      </c>
      <c r="Y4663" s="1">
        <f t="shared" si="145"/>
        <v>0</v>
      </c>
    </row>
    <row r="4664" spans="24:25" x14ac:dyDescent="0.3">
      <c r="X4664" s="1">
        <f t="shared" si="144"/>
        <v>0</v>
      </c>
      <c r="Y4664" s="1">
        <f t="shared" si="145"/>
        <v>0</v>
      </c>
    </row>
    <row r="4665" spans="24:25" x14ac:dyDescent="0.3">
      <c r="X4665" s="1">
        <f t="shared" si="144"/>
        <v>0</v>
      </c>
      <c r="Y4665" s="1">
        <f t="shared" si="145"/>
        <v>0</v>
      </c>
    </row>
    <row r="4666" spans="24:25" x14ac:dyDescent="0.3">
      <c r="X4666" s="1">
        <f t="shared" si="144"/>
        <v>0</v>
      </c>
      <c r="Y4666" s="1">
        <f t="shared" si="145"/>
        <v>0</v>
      </c>
    </row>
    <row r="4667" spans="24:25" x14ac:dyDescent="0.3">
      <c r="X4667" s="1">
        <f t="shared" si="144"/>
        <v>0</v>
      </c>
      <c r="Y4667" s="1">
        <f t="shared" si="145"/>
        <v>0</v>
      </c>
    </row>
    <row r="4668" spans="24:25" x14ac:dyDescent="0.3">
      <c r="X4668" s="1">
        <f t="shared" si="144"/>
        <v>0</v>
      </c>
      <c r="Y4668" s="1">
        <f t="shared" si="145"/>
        <v>0</v>
      </c>
    </row>
    <row r="4669" spans="24:25" x14ac:dyDescent="0.3">
      <c r="X4669" s="1">
        <f t="shared" si="144"/>
        <v>0</v>
      </c>
      <c r="Y4669" s="1">
        <f t="shared" si="145"/>
        <v>0</v>
      </c>
    </row>
    <row r="4670" spans="24:25" x14ac:dyDescent="0.3">
      <c r="X4670" s="1">
        <f t="shared" si="144"/>
        <v>0</v>
      </c>
      <c r="Y4670" s="1">
        <f t="shared" si="145"/>
        <v>0</v>
      </c>
    </row>
    <row r="4671" spans="24:25" x14ac:dyDescent="0.3">
      <c r="X4671" s="1">
        <f t="shared" si="144"/>
        <v>0</v>
      </c>
      <c r="Y4671" s="1">
        <f t="shared" si="145"/>
        <v>0</v>
      </c>
    </row>
    <row r="4672" spans="24:25" x14ac:dyDescent="0.3">
      <c r="X4672" s="1">
        <f t="shared" si="144"/>
        <v>0</v>
      </c>
      <c r="Y4672" s="1">
        <f t="shared" si="145"/>
        <v>0</v>
      </c>
    </row>
    <row r="4673" spans="24:25" x14ac:dyDescent="0.3">
      <c r="X4673" s="1">
        <f t="shared" si="144"/>
        <v>0</v>
      </c>
      <c r="Y4673" s="1">
        <f t="shared" si="145"/>
        <v>0</v>
      </c>
    </row>
    <row r="4674" spans="24:25" x14ac:dyDescent="0.3">
      <c r="X4674" s="1">
        <f t="shared" si="144"/>
        <v>0</v>
      </c>
      <c r="Y4674" s="1">
        <f t="shared" si="145"/>
        <v>0</v>
      </c>
    </row>
    <row r="4675" spans="24:25" x14ac:dyDescent="0.3">
      <c r="X4675" s="1">
        <f t="shared" ref="X4675:X4738" si="146">IFERROR(MATCH(W4675,$B:$B,0),0)</f>
        <v>0</v>
      </c>
      <c r="Y4675" s="1">
        <f t="shared" ref="Y4675:Y4738" si="147">IF(X4676=0,COUNTA(A:A),X4676-1)</f>
        <v>0</v>
      </c>
    </row>
    <row r="4676" spans="24:25" x14ac:dyDescent="0.3">
      <c r="X4676" s="1">
        <f t="shared" si="146"/>
        <v>0</v>
      </c>
      <c r="Y4676" s="1">
        <f t="shared" si="147"/>
        <v>0</v>
      </c>
    </row>
    <row r="4677" spans="24:25" x14ac:dyDescent="0.3">
      <c r="X4677" s="1">
        <f t="shared" si="146"/>
        <v>0</v>
      </c>
      <c r="Y4677" s="1">
        <f t="shared" si="147"/>
        <v>0</v>
      </c>
    </row>
    <row r="4678" spans="24:25" x14ac:dyDescent="0.3">
      <c r="X4678" s="1">
        <f t="shared" si="146"/>
        <v>0</v>
      </c>
      <c r="Y4678" s="1">
        <f t="shared" si="147"/>
        <v>0</v>
      </c>
    </row>
    <row r="4679" spans="24:25" x14ac:dyDescent="0.3">
      <c r="X4679" s="1">
        <f t="shared" si="146"/>
        <v>0</v>
      </c>
      <c r="Y4679" s="1">
        <f t="shared" si="147"/>
        <v>0</v>
      </c>
    </row>
    <row r="4680" spans="24:25" x14ac:dyDescent="0.3">
      <c r="X4680" s="1">
        <f t="shared" si="146"/>
        <v>0</v>
      </c>
      <c r="Y4680" s="1">
        <f t="shared" si="147"/>
        <v>0</v>
      </c>
    </row>
    <row r="4681" spans="24:25" x14ac:dyDescent="0.3">
      <c r="X4681" s="1">
        <f t="shared" si="146"/>
        <v>0</v>
      </c>
      <c r="Y4681" s="1">
        <f t="shared" si="147"/>
        <v>0</v>
      </c>
    </row>
    <row r="4682" spans="24:25" x14ac:dyDescent="0.3">
      <c r="X4682" s="1">
        <f t="shared" si="146"/>
        <v>0</v>
      </c>
      <c r="Y4682" s="1">
        <f t="shared" si="147"/>
        <v>0</v>
      </c>
    </row>
    <row r="4683" spans="24:25" x14ac:dyDescent="0.3">
      <c r="X4683" s="1">
        <f t="shared" si="146"/>
        <v>0</v>
      </c>
      <c r="Y4683" s="1">
        <f t="shared" si="147"/>
        <v>0</v>
      </c>
    </row>
    <row r="4684" spans="24:25" x14ac:dyDescent="0.3">
      <c r="X4684" s="1">
        <f t="shared" si="146"/>
        <v>0</v>
      </c>
      <c r="Y4684" s="1">
        <f t="shared" si="147"/>
        <v>0</v>
      </c>
    </row>
    <row r="4685" spans="24:25" x14ac:dyDescent="0.3">
      <c r="X4685" s="1">
        <f t="shared" si="146"/>
        <v>0</v>
      </c>
      <c r="Y4685" s="1">
        <f t="shared" si="147"/>
        <v>0</v>
      </c>
    </row>
    <row r="4686" spans="24:25" x14ac:dyDescent="0.3">
      <c r="X4686" s="1">
        <f t="shared" si="146"/>
        <v>0</v>
      </c>
      <c r="Y4686" s="1">
        <f t="shared" si="147"/>
        <v>0</v>
      </c>
    </row>
    <row r="4687" spans="24:25" x14ac:dyDescent="0.3">
      <c r="X4687" s="1">
        <f t="shared" si="146"/>
        <v>0</v>
      </c>
      <c r="Y4687" s="1">
        <f t="shared" si="147"/>
        <v>0</v>
      </c>
    </row>
    <row r="4688" spans="24:25" x14ac:dyDescent="0.3">
      <c r="X4688" s="1">
        <f t="shared" si="146"/>
        <v>0</v>
      </c>
      <c r="Y4688" s="1">
        <f t="shared" si="147"/>
        <v>0</v>
      </c>
    </row>
    <row r="4689" spans="24:25" x14ac:dyDescent="0.3">
      <c r="X4689" s="1">
        <f t="shared" si="146"/>
        <v>0</v>
      </c>
      <c r="Y4689" s="1">
        <f t="shared" si="147"/>
        <v>0</v>
      </c>
    </row>
    <row r="4690" spans="24:25" x14ac:dyDescent="0.3">
      <c r="X4690" s="1">
        <f t="shared" si="146"/>
        <v>0</v>
      </c>
      <c r="Y4690" s="1">
        <f t="shared" si="147"/>
        <v>0</v>
      </c>
    </row>
    <row r="4691" spans="24:25" x14ac:dyDescent="0.3">
      <c r="X4691" s="1">
        <f t="shared" si="146"/>
        <v>0</v>
      </c>
      <c r="Y4691" s="1">
        <f t="shared" si="147"/>
        <v>0</v>
      </c>
    </row>
    <row r="4692" spans="24:25" x14ac:dyDescent="0.3">
      <c r="X4692" s="1">
        <f t="shared" si="146"/>
        <v>0</v>
      </c>
      <c r="Y4692" s="1">
        <f t="shared" si="147"/>
        <v>0</v>
      </c>
    </row>
    <row r="4693" spans="24:25" x14ac:dyDescent="0.3">
      <c r="X4693" s="1">
        <f t="shared" si="146"/>
        <v>0</v>
      </c>
      <c r="Y4693" s="1">
        <f t="shared" si="147"/>
        <v>0</v>
      </c>
    </row>
    <row r="4694" spans="24:25" x14ac:dyDescent="0.3">
      <c r="X4694" s="1">
        <f t="shared" si="146"/>
        <v>0</v>
      </c>
      <c r="Y4694" s="1">
        <f t="shared" si="147"/>
        <v>0</v>
      </c>
    </row>
    <row r="4695" spans="24:25" x14ac:dyDescent="0.3">
      <c r="X4695" s="1">
        <f t="shared" si="146"/>
        <v>0</v>
      </c>
      <c r="Y4695" s="1">
        <f t="shared" si="147"/>
        <v>0</v>
      </c>
    </row>
    <row r="4696" spans="24:25" x14ac:dyDescent="0.3">
      <c r="X4696" s="1">
        <f t="shared" si="146"/>
        <v>0</v>
      </c>
      <c r="Y4696" s="1">
        <f t="shared" si="147"/>
        <v>0</v>
      </c>
    </row>
    <row r="4697" spans="24:25" x14ac:dyDescent="0.3">
      <c r="X4697" s="1">
        <f t="shared" si="146"/>
        <v>0</v>
      </c>
      <c r="Y4697" s="1">
        <f t="shared" si="147"/>
        <v>0</v>
      </c>
    </row>
    <row r="4698" spans="24:25" x14ac:dyDescent="0.3">
      <c r="X4698" s="1">
        <f t="shared" si="146"/>
        <v>0</v>
      </c>
      <c r="Y4698" s="1">
        <f t="shared" si="147"/>
        <v>0</v>
      </c>
    </row>
    <row r="4699" spans="24:25" x14ac:dyDescent="0.3">
      <c r="X4699" s="1">
        <f t="shared" si="146"/>
        <v>0</v>
      </c>
      <c r="Y4699" s="1">
        <f t="shared" si="147"/>
        <v>0</v>
      </c>
    </row>
    <row r="4700" spans="24:25" x14ac:dyDescent="0.3">
      <c r="X4700" s="1">
        <f t="shared" si="146"/>
        <v>0</v>
      </c>
      <c r="Y4700" s="1">
        <f t="shared" si="147"/>
        <v>0</v>
      </c>
    </row>
    <row r="4701" spans="24:25" x14ac:dyDescent="0.3">
      <c r="X4701" s="1">
        <f t="shared" si="146"/>
        <v>0</v>
      </c>
      <c r="Y4701" s="1">
        <f t="shared" si="147"/>
        <v>0</v>
      </c>
    </row>
    <row r="4702" spans="24:25" x14ac:dyDescent="0.3">
      <c r="X4702" s="1">
        <f t="shared" si="146"/>
        <v>0</v>
      </c>
      <c r="Y4702" s="1">
        <f t="shared" si="147"/>
        <v>0</v>
      </c>
    </row>
    <row r="4703" spans="24:25" x14ac:dyDescent="0.3">
      <c r="X4703" s="1">
        <f t="shared" si="146"/>
        <v>0</v>
      </c>
      <c r="Y4703" s="1">
        <f t="shared" si="147"/>
        <v>0</v>
      </c>
    </row>
    <row r="4704" spans="24:25" x14ac:dyDescent="0.3">
      <c r="X4704" s="1">
        <f t="shared" si="146"/>
        <v>0</v>
      </c>
      <c r="Y4704" s="1">
        <f t="shared" si="147"/>
        <v>0</v>
      </c>
    </row>
    <row r="4705" spans="24:25" x14ac:dyDescent="0.3">
      <c r="X4705" s="1">
        <f t="shared" si="146"/>
        <v>0</v>
      </c>
      <c r="Y4705" s="1">
        <f t="shared" si="147"/>
        <v>0</v>
      </c>
    </row>
    <row r="4706" spans="24:25" x14ac:dyDescent="0.3">
      <c r="X4706" s="1">
        <f t="shared" si="146"/>
        <v>0</v>
      </c>
      <c r="Y4706" s="1">
        <f t="shared" si="147"/>
        <v>0</v>
      </c>
    </row>
    <row r="4707" spans="24:25" x14ac:dyDescent="0.3">
      <c r="X4707" s="1">
        <f t="shared" si="146"/>
        <v>0</v>
      </c>
      <c r="Y4707" s="1">
        <f t="shared" si="147"/>
        <v>0</v>
      </c>
    </row>
    <row r="4708" spans="24:25" x14ac:dyDescent="0.3">
      <c r="X4708" s="1">
        <f t="shared" si="146"/>
        <v>0</v>
      </c>
      <c r="Y4708" s="1">
        <f t="shared" si="147"/>
        <v>0</v>
      </c>
    </row>
    <row r="4709" spans="24:25" x14ac:dyDescent="0.3">
      <c r="X4709" s="1">
        <f t="shared" si="146"/>
        <v>0</v>
      </c>
      <c r="Y4709" s="1">
        <f t="shared" si="147"/>
        <v>0</v>
      </c>
    </row>
    <row r="4710" spans="24:25" x14ac:dyDescent="0.3">
      <c r="X4710" s="1">
        <f t="shared" si="146"/>
        <v>0</v>
      </c>
      <c r="Y4710" s="1">
        <f t="shared" si="147"/>
        <v>0</v>
      </c>
    </row>
    <row r="4711" spans="24:25" x14ac:dyDescent="0.3">
      <c r="X4711" s="1">
        <f t="shared" si="146"/>
        <v>0</v>
      </c>
      <c r="Y4711" s="1">
        <f t="shared" si="147"/>
        <v>0</v>
      </c>
    </row>
    <row r="4712" spans="24:25" x14ac:dyDescent="0.3">
      <c r="X4712" s="1">
        <f t="shared" si="146"/>
        <v>0</v>
      </c>
      <c r="Y4712" s="1">
        <f t="shared" si="147"/>
        <v>0</v>
      </c>
    </row>
    <row r="4713" spans="24:25" x14ac:dyDescent="0.3">
      <c r="X4713" s="1">
        <f t="shared" si="146"/>
        <v>0</v>
      </c>
      <c r="Y4713" s="1">
        <f t="shared" si="147"/>
        <v>0</v>
      </c>
    </row>
    <row r="4714" spans="24:25" x14ac:dyDescent="0.3">
      <c r="X4714" s="1">
        <f t="shared" si="146"/>
        <v>0</v>
      </c>
      <c r="Y4714" s="1">
        <f t="shared" si="147"/>
        <v>0</v>
      </c>
    </row>
    <row r="4715" spans="24:25" x14ac:dyDescent="0.3">
      <c r="X4715" s="1">
        <f t="shared" si="146"/>
        <v>0</v>
      </c>
      <c r="Y4715" s="1">
        <f t="shared" si="147"/>
        <v>0</v>
      </c>
    </row>
    <row r="4716" spans="24:25" x14ac:dyDescent="0.3">
      <c r="X4716" s="1">
        <f t="shared" si="146"/>
        <v>0</v>
      </c>
      <c r="Y4716" s="1">
        <f t="shared" si="147"/>
        <v>0</v>
      </c>
    </row>
    <row r="4717" spans="24:25" x14ac:dyDescent="0.3">
      <c r="X4717" s="1">
        <f t="shared" si="146"/>
        <v>0</v>
      </c>
      <c r="Y4717" s="1">
        <f t="shared" si="147"/>
        <v>0</v>
      </c>
    </row>
    <row r="4718" spans="24:25" x14ac:dyDescent="0.3">
      <c r="X4718" s="1">
        <f t="shared" si="146"/>
        <v>0</v>
      </c>
      <c r="Y4718" s="1">
        <f t="shared" si="147"/>
        <v>0</v>
      </c>
    </row>
    <row r="4719" spans="24:25" x14ac:dyDescent="0.3">
      <c r="X4719" s="1">
        <f t="shared" si="146"/>
        <v>0</v>
      </c>
      <c r="Y4719" s="1">
        <f t="shared" si="147"/>
        <v>0</v>
      </c>
    </row>
    <row r="4720" spans="24:25" x14ac:dyDescent="0.3">
      <c r="X4720" s="1">
        <f t="shared" si="146"/>
        <v>0</v>
      </c>
      <c r="Y4720" s="1">
        <f t="shared" si="147"/>
        <v>0</v>
      </c>
    </row>
    <row r="4721" spans="24:25" x14ac:dyDescent="0.3">
      <c r="X4721" s="1">
        <f t="shared" si="146"/>
        <v>0</v>
      </c>
      <c r="Y4721" s="1">
        <f t="shared" si="147"/>
        <v>0</v>
      </c>
    </row>
    <row r="4722" spans="24:25" x14ac:dyDescent="0.3">
      <c r="X4722" s="1">
        <f t="shared" si="146"/>
        <v>0</v>
      </c>
      <c r="Y4722" s="1">
        <f t="shared" si="147"/>
        <v>0</v>
      </c>
    </row>
    <row r="4723" spans="24:25" x14ac:dyDescent="0.3">
      <c r="X4723" s="1">
        <f t="shared" si="146"/>
        <v>0</v>
      </c>
      <c r="Y4723" s="1">
        <f t="shared" si="147"/>
        <v>0</v>
      </c>
    </row>
    <row r="4724" spans="24:25" x14ac:dyDescent="0.3">
      <c r="X4724" s="1">
        <f t="shared" si="146"/>
        <v>0</v>
      </c>
      <c r="Y4724" s="1">
        <f t="shared" si="147"/>
        <v>0</v>
      </c>
    </row>
    <row r="4725" spans="24:25" x14ac:dyDescent="0.3">
      <c r="X4725" s="1">
        <f t="shared" si="146"/>
        <v>0</v>
      </c>
      <c r="Y4725" s="1">
        <f t="shared" si="147"/>
        <v>0</v>
      </c>
    </row>
    <row r="4726" spans="24:25" x14ac:dyDescent="0.3">
      <c r="X4726" s="1">
        <f t="shared" si="146"/>
        <v>0</v>
      </c>
      <c r="Y4726" s="1">
        <f t="shared" si="147"/>
        <v>0</v>
      </c>
    </row>
    <row r="4727" spans="24:25" x14ac:dyDescent="0.3">
      <c r="X4727" s="1">
        <f t="shared" si="146"/>
        <v>0</v>
      </c>
      <c r="Y4727" s="1">
        <f t="shared" si="147"/>
        <v>0</v>
      </c>
    </row>
    <row r="4728" spans="24:25" x14ac:dyDescent="0.3">
      <c r="X4728" s="1">
        <f t="shared" si="146"/>
        <v>0</v>
      </c>
      <c r="Y4728" s="1">
        <f t="shared" si="147"/>
        <v>0</v>
      </c>
    </row>
    <row r="4729" spans="24:25" x14ac:dyDescent="0.3">
      <c r="X4729" s="1">
        <f t="shared" si="146"/>
        <v>0</v>
      </c>
      <c r="Y4729" s="1">
        <f t="shared" si="147"/>
        <v>0</v>
      </c>
    </row>
    <row r="4730" spans="24:25" x14ac:dyDescent="0.3">
      <c r="X4730" s="1">
        <f t="shared" si="146"/>
        <v>0</v>
      </c>
      <c r="Y4730" s="1">
        <f t="shared" si="147"/>
        <v>0</v>
      </c>
    </row>
    <row r="4731" spans="24:25" x14ac:dyDescent="0.3">
      <c r="X4731" s="1">
        <f t="shared" si="146"/>
        <v>0</v>
      </c>
      <c r="Y4731" s="1">
        <f t="shared" si="147"/>
        <v>0</v>
      </c>
    </row>
    <row r="4732" spans="24:25" x14ac:dyDescent="0.3">
      <c r="X4732" s="1">
        <f t="shared" si="146"/>
        <v>0</v>
      </c>
      <c r="Y4732" s="1">
        <f t="shared" si="147"/>
        <v>0</v>
      </c>
    </row>
    <row r="4733" spans="24:25" x14ac:dyDescent="0.3">
      <c r="X4733" s="1">
        <f t="shared" si="146"/>
        <v>0</v>
      </c>
      <c r="Y4733" s="1">
        <f t="shared" si="147"/>
        <v>0</v>
      </c>
    </row>
    <row r="4734" spans="24:25" x14ac:dyDescent="0.3">
      <c r="X4734" s="1">
        <f t="shared" si="146"/>
        <v>0</v>
      </c>
      <c r="Y4734" s="1">
        <f t="shared" si="147"/>
        <v>0</v>
      </c>
    </row>
    <row r="4735" spans="24:25" x14ac:dyDescent="0.3">
      <c r="X4735" s="1">
        <f t="shared" si="146"/>
        <v>0</v>
      </c>
      <c r="Y4735" s="1">
        <f t="shared" si="147"/>
        <v>0</v>
      </c>
    </row>
    <row r="4736" spans="24:25" x14ac:dyDescent="0.3">
      <c r="X4736" s="1">
        <f t="shared" si="146"/>
        <v>0</v>
      </c>
      <c r="Y4736" s="1">
        <f t="shared" si="147"/>
        <v>0</v>
      </c>
    </row>
    <row r="4737" spans="24:25" x14ac:dyDescent="0.3">
      <c r="X4737" s="1">
        <f t="shared" si="146"/>
        <v>0</v>
      </c>
      <c r="Y4737" s="1">
        <f t="shared" si="147"/>
        <v>0</v>
      </c>
    </row>
    <row r="4738" spans="24:25" x14ac:dyDescent="0.3">
      <c r="X4738" s="1">
        <f t="shared" si="146"/>
        <v>0</v>
      </c>
      <c r="Y4738" s="1">
        <f t="shared" si="147"/>
        <v>0</v>
      </c>
    </row>
    <row r="4739" spans="24:25" x14ac:dyDescent="0.3">
      <c r="X4739" s="1">
        <f t="shared" ref="X4739:X4802" si="148">IFERROR(MATCH(W4739,$B:$B,0),0)</f>
        <v>0</v>
      </c>
      <c r="Y4739" s="1">
        <f t="shared" ref="Y4739:Y4802" si="149">IF(X4740=0,COUNTA(A:A),X4740-1)</f>
        <v>0</v>
      </c>
    </row>
    <row r="4740" spans="24:25" x14ac:dyDescent="0.3">
      <c r="X4740" s="1">
        <f t="shared" si="148"/>
        <v>0</v>
      </c>
      <c r="Y4740" s="1">
        <f t="shared" si="149"/>
        <v>0</v>
      </c>
    </row>
    <row r="4741" spans="24:25" x14ac:dyDescent="0.3">
      <c r="X4741" s="1">
        <f t="shared" si="148"/>
        <v>0</v>
      </c>
      <c r="Y4741" s="1">
        <f t="shared" si="149"/>
        <v>0</v>
      </c>
    </row>
    <row r="4742" spans="24:25" x14ac:dyDescent="0.3">
      <c r="X4742" s="1">
        <f t="shared" si="148"/>
        <v>0</v>
      </c>
      <c r="Y4742" s="1">
        <f t="shared" si="149"/>
        <v>0</v>
      </c>
    </row>
    <row r="4743" spans="24:25" x14ac:dyDescent="0.3">
      <c r="X4743" s="1">
        <f t="shared" si="148"/>
        <v>0</v>
      </c>
      <c r="Y4743" s="1">
        <f t="shared" si="149"/>
        <v>0</v>
      </c>
    </row>
    <row r="4744" spans="24:25" x14ac:dyDescent="0.3">
      <c r="X4744" s="1">
        <f t="shared" si="148"/>
        <v>0</v>
      </c>
      <c r="Y4744" s="1">
        <f t="shared" si="149"/>
        <v>0</v>
      </c>
    </row>
    <row r="4745" spans="24:25" x14ac:dyDescent="0.3">
      <c r="X4745" s="1">
        <f t="shared" si="148"/>
        <v>0</v>
      </c>
      <c r="Y4745" s="1">
        <f t="shared" si="149"/>
        <v>0</v>
      </c>
    </row>
    <row r="4746" spans="24:25" x14ac:dyDescent="0.3">
      <c r="X4746" s="1">
        <f t="shared" si="148"/>
        <v>0</v>
      </c>
      <c r="Y4746" s="1">
        <f t="shared" si="149"/>
        <v>0</v>
      </c>
    </row>
    <row r="4747" spans="24:25" x14ac:dyDescent="0.3">
      <c r="X4747" s="1">
        <f t="shared" si="148"/>
        <v>0</v>
      </c>
      <c r="Y4747" s="1">
        <f t="shared" si="149"/>
        <v>0</v>
      </c>
    </row>
    <row r="4748" spans="24:25" x14ac:dyDescent="0.3">
      <c r="X4748" s="1">
        <f t="shared" si="148"/>
        <v>0</v>
      </c>
      <c r="Y4748" s="1">
        <f t="shared" si="149"/>
        <v>0</v>
      </c>
    </row>
    <row r="4749" spans="24:25" x14ac:dyDescent="0.3">
      <c r="X4749" s="1">
        <f t="shared" si="148"/>
        <v>0</v>
      </c>
      <c r="Y4749" s="1">
        <f t="shared" si="149"/>
        <v>0</v>
      </c>
    </row>
    <row r="4750" spans="24:25" x14ac:dyDescent="0.3">
      <c r="X4750" s="1">
        <f t="shared" si="148"/>
        <v>0</v>
      </c>
      <c r="Y4750" s="1">
        <f t="shared" si="149"/>
        <v>0</v>
      </c>
    </row>
    <row r="4751" spans="24:25" x14ac:dyDescent="0.3">
      <c r="X4751" s="1">
        <f t="shared" si="148"/>
        <v>0</v>
      </c>
      <c r="Y4751" s="1">
        <f t="shared" si="149"/>
        <v>0</v>
      </c>
    </row>
    <row r="4752" spans="24:25" x14ac:dyDescent="0.3">
      <c r="X4752" s="1">
        <f t="shared" si="148"/>
        <v>0</v>
      </c>
      <c r="Y4752" s="1">
        <f t="shared" si="149"/>
        <v>0</v>
      </c>
    </row>
    <row r="4753" spans="24:25" x14ac:dyDescent="0.3">
      <c r="X4753" s="1">
        <f t="shared" si="148"/>
        <v>0</v>
      </c>
      <c r="Y4753" s="1">
        <f t="shared" si="149"/>
        <v>0</v>
      </c>
    </row>
    <row r="4754" spans="24:25" x14ac:dyDescent="0.3">
      <c r="X4754" s="1">
        <f t="shared" si="148"/>
        <v>0</v>
      </c>
      <c r="Y4754" s="1">
        <f t="shared" si="149"/>
        <v>0</v>
      </c>
    </row>
    <row r="4755" spans="24:25" x14ac:dyDescent="0.3">
      <c r="X4755" s="1">
        <f t="shared" si="148"/>
        <v>0</v>
      </c>
      <c r="Y4755" s="1">
        <f t="shared" si="149"/>
        <v>0</v>
      </c>
    </row>
    <row r="4756" spans="24:25" x14ac:dyDescent="0.3">
      <c r="X4756" s="1">
        <f t="shared" si="148"/>
        <v>0</v>
      </c>
      <c r="Y4756" s="1">
        <f t="shared" si="149"/>
        <v>0</v>
      </c>
    </row>
    <row r="4757" spans="24:25" x14ac:dyDescent="0.3">
      <c r="X4757" s="1">
        <f t="shared" si="148"/>
        <v>0</v>
      </c>
      <c r="Y4757" s="1">
        <f t="shared" si="149"/>
        <v>0</v>
      </c>
    </row>
    <row r="4758" spans="24:25" x14ac:dyDescent="0.3">
      <c r="X4758" s="1">
        <f t="shared" si="148"/>
        <v>0</v>
      </c>
      <c r="Y4758" s="1">
        <f t="shared" si="149"/>
        <v>0</v>
      </c>
    </row>
    <row r="4759" spans="24:25" x14ac:dyDescent="0.3">
      <c r="X4759" s="1">
        <f t="shared" si="148"/>
        <v>0</v>
      </c>
      <c r="Y4759" s="1">
        <f t="shared" si="149"/>
        <v>0</v>
      </c>
    </row>
    <row r="4760" spans="24:25" x14ac:dyDescent="0.3">
      <c r="X4760" s="1">
        <f t="shared" si="148"/>
        <v>0</v>
      </c>
      <c r="Y4760" s="1">
        <f t="shared" si="149"/>
        <v>0</v>
      </c>
    </row>
    <row r="4761" spans="24:25" x14ac:dyDescent="0.3">
      <c r="X4761" s="1">
        <f t="shared" si="148"/>
        <v>0</v>
      </c>
      <c r="Y4761" s="1">
        <f t="shared" si="149"/>
        <v>0</v>
      </c>
    </row>
    <row r="4762" spans="24:25" x14ac:dyDescent="0.3">
      <c r="X4762" s="1">
        <f t="shared" si="148"/>
        <v>0</v>
      </c>
      <c r="Y4762" s="1">
        <f t="shared" si="149"/>
        <v>0</v>
      </c>
    </row>
    <row r="4763" spans="24:25" x14ac:dyDescent="0.3">
      <c r="X4763" s="1">
        <f t="shared" si="148"/>
        <v>0</v>
      </c>
      <c r="Y4763" s="1">
        <f t="shared" si="149"/>
        <v>0</v>
      </c>
    </row>
    <row r="4764" spans="24:25" x14ac:dyDescent="0.3">
      <c r="X4764" s="1">
        <f t="shared" si="148"/>
        <v>0</v>
      </c>
      <c r="Y4764" s="1">
        <f t="shared" si="149"/>
        <v>0</v>
      </c>
    </row>
    <row r="4765" spans="24:25" x14ac:dyDescent="0.3">
      <c r="X4765" s="1">
        <f t="shared" si="148"/>
        <v>0</v>
      </c>
      <c r="Y4765" s="1">
        <f t="shared" si="149"/>
        <v>0</v>
      </c>
    </row>
    <row r="4766" spans="24:25" x14ac:dyDescent="0.3">
      <c r="X4766" s="1">
        <f t="shared" si="148"/>
        <v>0</v>
      </c>
      <c r="Y4766" s="1">
        <f t="shared" si="149"/>
        <v>0</v>
      </c>
    </row>
    <row r="4767" spans="24:25" x14ac:dyDescent="0.3">
      <c r="X4767" s="1">
        <f t="shared" si="148"/>
        <v>0</v>
      </c>
      <c r="Y4767" s="1">
        <f t="shared" si="149"/>
        <v>0</v>
      </c>
    </row>
    <row r="4768" spans="24:25" x14ac:dyDescent="0.3">
      <c r="X4768" s="1">
        <f t="shared" si="148"/>
        <v>0</v>
      </c>
      <c r="Y4768" s="1">
        <f t="shared" si="149"/>
        <v>0</v>
      </c>
    </row>
    <row r="4769" spans="24:25" x14ac:dyDescent="0.3">
      <c r="X4769" s="1">
        <f t="shared" si="148"/>
        <v>0</v>
      </c>
      <c r="Y4769" s="1">
        <f t="shared" si="149"/>
        <v>0</v>
      </c>
    </row>
    <row r="4770" spans="24:25" x14ac:dyDescent="0.3">
      <c r="X4770" s="1">
        <f t="shared" si="148"/>
        <v>0</v>
      </c>
      <c r="Y4770" s="1">
        <f t="shared" si="149"/>
        <v>0</v>
      </c>
    </row>
    <row r="4771" spans="24:25" x14ac:dyDescent="0.3">
      <c r="X4771" s="1">
        <f t="shared" si="148"/>
        <v>0</v>
      </c>
      <c r="Y4771" s="1">
        <f t="shared" si="149"/>
        <v>0</v>
      </c>
    </row>
    <row r="4772" spans="24:25" x14ac:dyDescent="0.3">
      <c r="X4772" s="1">
        <f t="shared" si="148"/>
        <v>0</v>
      </c>
      <c r="Y4772" s="1">
        <f t="shared" si="149"/>
        <v>0</v>
      </c>
    </row>
    <row r="4773" spans="24:25" x14ac:dyDescent="0.3">
      <c r="X4773" s="1">
        <f t="shared" si="148"/>
        <v>0</v>
      </c>
      <c r="Y4773" s="1">
        <f t="shared" si="149"/>
        <v>0</v>
      </c>
    </row>
    <row r="4774" spans="24:25" x14ac:dyDescent="0.3">
      <c r="X4774" s="1">
        <f t="shared" si="148"/>
        <v>0</v>
      </c>
      <c r="Y4774" s="1">
        <f t="shared" si="149"/>
        <v>0</v>
      </c>
    </row>
    <row r="4775" spans="24:25" x14ac:dyDescent="0.3">
      <c r="X4775" s="1">
        <f t="shared" si="148"/>
        <v>0</v>
      </c>
      <c r="Y4775" s="1">
        <f t="shared" si="149"/>
        <v>0</v>
      </c>
    </row>
    <row r="4776" spans="24:25" x14ac:dyDescent="0.3">
      <c r="X4776" s="1">
        <f t="shared" si="148"/>
        <v>0</v>
      </c>
      <c r="Y4776" s="1">
        <f t="shared" si="149"/>
        <v>0</v>
      </c>
    </row>
    <row r="4777" spans="24:25" x14ac:dyDescent="0.3">
      <c r="X4777" s="1">
        <f t="shared" si="148"/>
        <v>0</v>
      </c>
      <c r="Y4777" s="1">
        <f t="shared" si="149"/>
        <v>0</v>
      </c>
    </row>
    <row r="4778" spans="24:25" x14ac:dyDescent="0.3">
      <c r="X4778" s="1">
        <f t="shared" si="148"/>
        <v>0</v>
      </c>
      <c r="Y4778" s="1">
        <f t="shared" si="149"/>
        <v>0</v>
      </c>
    </row>
    <row r="4779" spans="24:25" x14ac:dyDescent="0.3">
      <c r="X4779" s="1">
        <f t="shared" si="148"/>
        <v>0</v>
      </c>
      <c r="Y4779" s="1">
        <f t="shared" si="149"/>
        <v>0</v>
      </c>
    </row>
    <row r="4780" spans="24:25" x14ac:dyDescent="0.3">
      <c r="X4780" s="1">
        <f t="shared" si="148"/>
        <v>0</v>
      </c>
      <c r="Y4780" s="1">
        <f t="shared" si="149"/>
        <v>0</v>
      </c>
    </row>
    <row r="4781" spans="24:25" x14ac:dyDescent="0.3">
      <c r="X4781" s="1">
        <f t="shared" si="148"/>
        <v>0</v>
      </c>
      <c r="Y4781" s="1">
        <f t="shared" si="149"/>
        <v>0</v>
      </c>
    </row>
    <row r="4782" spans="24:25" x14ac:dyDescent="0.3">
      <c r="X4782" s="1">
        <f t="shared" si="148"/>
        <v>0</v>
      </c>
      <c r="Y4782" s="1">
        <f t="shared" si="149"/>
        <v>0</v>
      </c>
    </row>
    <row r="4783" spans="24:25" x14ac:dyDescent="0.3">
      <c r="X4783" s="1">
        <f t="shared" si="148"/>
        <v>0</v>
      </c>
      <c r="Y4783" s="1">
        <f t="shared" si="149"/>
        <v>0</v>
      </c>
    </row>
    <row r="4784" spans="24:25" x14ac:dyDescent="0.3">
      <c r="X4784" s="1">
        <f t="shared" si="148"/>
        <v>0</v>
      </c>
      <c r="Y4784" s="1">
        <f t="shared" si="149"/>
        <v>0</v>
      </c>
    </row>
    <row r="4785" spans="24:25" x14ac:dyDescent="0.3">
      <c r="X4785" s="1">
        <f t="shared" si="148"/>
        <v>0</v>
      </c>
      <c r="Y4785" s="1">
        <f t="shared" si="149"/>
        <v>0</v>
      </c>
    </row>
    <row r="4786" spans="24:25" x14ac:dyDescent="0.3">
      <c r="X4786" s="1">
        <f t="shared" si="148"/>
        <v>0</v>
      </c>
      <c r="Y4786" s="1">
        <f t="shared" si="149"/>
        <v>0</v>
      </c>
    </row>
    <row r="4787" spans="24:25" x14ac:dyDescent="0.3">
      <c r="X4787" s="1">
        <f t="shared" si="148"/>
        <v>0</v>
      </c>
      <c r="Y4787" s="1">
        <f t="shared" si="149"/>
        <v>0</v>
      </c>
    </row>
    <row r="4788" spans="24:25" x14ac:dyDescent="0.3">
      <c r="X4788" s="1">
        <f t="shared" si="148"/>
        <v>0</v>
      </c>
      <c r="Y4788" s="1">
        <f t="shared" si="149"/>
        <v>0</v>
      </c>
    </row>
    <row r="4789" spans="24:25" x14ac:dyDescent="0.3">
      <c r="X4789" s="1">
        <f t="shared" si="148"/>
        <v>0</v>
      </c>
      <c r="Y4789" s="1">
        <f t="shared" si="149"/>
        <v>0</v>
      </c>
    </row>
    <row r="4790" spans="24:25" x14ac:dyDescent="0.3">
      <c r="X4790" s="1">
        <f t="shared" si="148"/>
        <v>0</v>
      </c>
      <c r="Y4790" s="1">
        <f t="shared" si="149"/>
        <v>0</v>
      </c>
    </row>
    <row r="4791" spans="24:25" x14ac:dyDescent="0.3">
      <c r="X4791" s="1">
        <f t="shared" si="148"/>
        <v>0</v>
      </c>
      <c r="Y4791" s="1">
        <f t="shared" si="149"/>
        <v>0</v>
      </c>
    </row>
    <row r="4792" spans="24:25" x14ac:dyDescent="0.3">
      <c r="X4792" s="1">
        <f t="shared" si="148"/>
        <v>0</v>
      </c>
      <c r="Y4792" s="1">
        <f t="shared" si="149"/>
        <v>0</v>
      </c>
    </row>
    <row r="4793" spans="24:25" x14ac:dyDescent="0.3">
      <c r="X4793" s="1">
        <f t="shared" si="148"/>
        <v>0</v>
      </c>
      <c r="Y4793" s="1">
        <f t="shared" si="149"/>
        <v>0</v>
      </c>
    </row>
    <row r="4794" spans="24:25" x14ac:dyDescent="0.3">
      <c r="X4794" s="1">
        <f t="shared" si="148"/>
        <v>0</v>
      </c>
      <c r="Y4794" s="1">
        <f t="shared" si="149"/>
        <v>0</v>
      </c>
    </row>
    <row r="4795" spans="24:25" x14ac:dyDescent="0.3">
      <c r="X4795" s="1">
        <f t="shared" si="148"/>
        <v>0</v>
      </c>
      <c r="Y4795" s="1">
        <f t="shared" si="149"/>
        <v>0</v>
      </c>
    </row>
    <row r="4796" spans="24:25" x14ac:dyDescent="0.3">
      <c r="X4796" s="1">
        <f t="shared" si="148"/>
        <v>0</v>
      </c>
      <c r="Y4796" s="1">
        <f t="shared" si="149"/>
        <v>0</v>
      </c>
    </row>
    <row r="4797" spans="24:25" x14ac:dyDescent="0.3">
      <c r="X4797" s="1">
        <f t="shared" si="148"/>
        <v>0</v>
      </c>
      <c r="Y4797" s="1">
        <f t="shared" si="149"/>
        <v>0</v>
      </c>
    </row>
    <row r="4798" spans="24:25" x14ac:dyDescent="0.3">
      <c r="X4798" s="1">
        <f t="shared" si="148"/>
        <v>0</v>
      </c>
      <c r="Y4798" s="1">
        <f t="shared" si="149"/>
        <v>0</v>
      </c>
    </row>
    <row r="4799" spans="24:25" x14ac:dyDescent="0.3">
      <c r="X4799" s="1">
        <f t="shared" si="148"/>
        <v>0</v>
      </c>
      <c r="Y4799" s="1">
        <f t="shared" si="149"/>
        <v>0</v>
      </c>
    </row>
    <row r="4800" spans="24:25" x14ac:dyDescent="0.3">
      <c r="X4800" s="1">
        <f t="shared" si="148"/>
        <v>0</v>
      </c>
      <c r="Y4800" s="1">
        <f t="shared" si="149"/>
        <v>0</v>
      </c>
    </row>
    <row r="4801" spans="24:25" x14ac:dyDescent="0.3">
      <c r="X4801" s="1">
        <f t="shared" si="148"/>
        <v>0</v>
      </c>
      <c r="Y4801" s="1">
        <f t="shared" si="149"/>
        <v>0</v>
      </c>
    </row>
    <row r="4802" spans="24:25" x14ac:dyDescent="0.3">
      <c r="X4802" s="1">
        <f t="shared" si="148"/>
        <v>0</v>
      </c>
      <c r="Y4802" s="1">
        <f t="shared" si="149"/>
        <v>0</v>
      </c>
    </row>
    <row r="4803" spans="24:25" x14ac:dyDescent="0.3">
      <c r="X4803" s="1">
        <f t="shared" ref="X4803:X4866" si="150">IFERROR(MATCH(W4803,$B:$B,0),0)</f>
        <v>0</v>
      </c>
      <c r="Y4803" s="1">
        <f t="shared" ref="Y4803:Y4866" si="151">IF(X4804=0,COUNTA(A:A),X4804-1)</f>
        <v>0</v>
      </c>
    </row>
    <row r="4804" spans="24:25" x14ac:dyDescent="0.3">
      <c r="X4804" s="1">
        <f t="shared" si="150"/>
        <v>0</v>
      </c>
      <c r="Y4804" s="1">
        <f t="shared" si="151"/>
        <v>0</v>
      </c>
    </row>
    <row r="4805" spans="24:25" x14ac:dyDescent="0.3">
      <c r="X4805" s="1">
        <f t="shared" si="150"/>
        <v>0</v>
      </c>
      <c r="Y4805" s="1">
        <f t="shared" si="151"/>
        <v>0</v>
      </c>
    </row>
    <row r="4806" spans="24:25" x14ac:dyDescent="0.3">
      <c r="X4806" s="1">
        <f t="shared" si="150"/>
        <v>0</v>
      </c>
      <c r="Y4806" s="1">
        <f t="shared" si="151"/>
        <v>0</v>
      </c>
    </row>
    <row r="4807" spans="24:25" x14ac:dyDescent="0.3">
      <c r="X4807" s="1">
        <f t="shared" si="150"/>
        <v>0</v>
      </c>
      <c r="Y4807" s="1">
        <f t="shared" si="151"/>
        <v>0</v>
      </c>
    </row>
    <row r="4808" spans="24:25" x14ac:dyDescent="0.3">
      <c r="X4808" s="1">
        <f t="shared" si="150"/>
        <v>0</v>
      </c>
      <c r="Y4808" s="1">
        <f t="shared" si="151"/>
        <v>0</v>
      </c>
    </row>
    <row r="4809" spans="24:25" x14ac:dyDescent="0.3">
      <c r="X4809" s="1">
        <f t="shared" si="150"/>
        <v>0</v>
      </c>
      <c r="Y4809" s="1">
        <f t="shared" si="151"/>
        <v>0</v>
      </c>
    </row>
    <row r="4810" spans="24:25" x14ac:dyDescent="0.3">
      <c r="X4810" s="1">
        <f t="shared" si="150"/>
        <v>0</v>
      </c>
      <c r="Y4810" s="1">
        <f t="shared" si="151"/>
        <v>0</v>
      </c>
    </row>
    <row r="4811" spans="24:25" x14ac:dyDescent="0.3">
      <c r="X4811" s="1">
        <f t="shared" si="150"/>
        <v>0</v>
      </c>
      <c r="Y4811" s="1">
        <f t="shared" si="151"/>
        <v>0</v>
      </c>
    </row>
    <row r="4812" spans="24:25" x14ac:dyDescent="0.3">
      <c r="X4812" s="1">
        <f t="shared" si="150"/>
        <v>0</v>
      </c>
      <c r="Y4812" s="1">
        <f t="shared" si="151"/>
        <v>0</v>
      </c>
    </row>
    <row r="4813" spans="24:25" x14ac:dyDescent="0.3">
      <c r="X4813" s="1">
        <f t="shared" si="150"/>
        <v>0</v>
      </c>
      <c r="Y4813" s="1">
        <f t="shared" si="151"/>
        <v>0</v>
      </c>
    </row>
    <row r="4814" spans="24:25" x14ac:dyDescent="0.3">
      <c r="X4814" s="1">
        <f t="shared" si="150"/>
        <v>0</v>
      </c>
      <c r="Y4814" s="1">
        <f t="shared" si="151"/>
        <v>0</v>
      </c>
    </row>
    <row r="4815" spans="24:25" x14ac:dyDescent="0.3">
      <c r="X4815" s="1">
        <f t="shared" si="150"/>
        <v>0</v>
      </c>
      <c r="Y4815" s="1">
        <f t="shared" si="151"/>
        <v>0</v>
      </c>
    </row>
    <row r="4816" spans="24:25" x14ac:dyDescent="0.3">
      <c r="X4816" s="1">
        <f t="shared" si="150"/>
        <v>0</v>
      </c>
      <c r="Y4816" s="1">
        <f t="shared" si="151"/>
        <v>0</v>
      </c>
    </row>
    <row r="4817" spans="24:25" x14ac:dyDescent="0.3">
      <c r="X4817" s="1">
        <f t="shared" si="150"/>
        <v>0</v>
      </c>
      <c r="Y4817" s="1">
        <f t="shared" si="151"/>
        <v>0</v>
      </c>
    </row>
    <row r="4818" spans="24:25" x14ac:dyDescent="0.3">
      <c r="X4818" s="1">
        <f t="shared" si="150"/>
        <v>0</v>
      </c>
      <c r="Y4818" s="1">
        <f t="shared" si="151"/>
        <v>0</v>
      </c>
    </row>
    <row r="4819" spans="24:25" x14ac:dyDescent="0.3">
      <c r="X4819" s="1">
        <f t="shared" si="150"/>
        <v>0</v>
      </c>
      <c r="Y4819" s="1">
        <f t="shared" si="151"/>
        <v>0</v>
      </c>
    </row>
    <row r="4820" spans="24:25" x14ac:dyDescent="0.3">
      <c r="X4820" s="1">
        <f t="shared" si="150"/>
        <v>0</v>
      </c>
      <c r="Y4820" s="1">
        <f t="shared" si="151"/>
        <v>0</v>
      </c>
    </row>
    <row r="4821" spans="24:25" x14ac:dyDescent="0.3">
      <c r="X4821" s="1">
        <f t="shared" si="150"/>
        <v>0</v>
      </c>
      <c r="Y4821" s="1">
        <f t="shared" si="151"/>
        <v>0</v>
      </c>
    </row>
    <row r="4822" spans="24:25" x14ac:dyDescent="0.3">
      <c r="X4822" s="1">
        <f t="shared" si="150"/>
        <v>0</v>
      </c>
      <c r="Y4822" s="1">
        <f t="shared" si="151"/>
        <v>0</v>
      </c>
    </row>
    <row r="4823" spans="24:25" x14ac:dyDescent="0.3">
      <c r="X4823" s="1">
        <f t="shared" si="150"/>
        <v>0</v>
      </c>
      <c r="Y4823" s="1">
        <f t="shared" si="151"/>
        <v>0</v>
      </c>
    </row>
    <row r="4824" spans="24:25" x14ac:dyDescent="0.3">
      <c r="X4824" s="1">
        <f t="shared" si="150"/>
        <v>0</v>
      </c>
      <c r="Y4824" s="1">
        <f t="shared" si="151"/>
        <v>0</v>
      </c>
    </row>
    <row r="4825" spans="24:25" x14ac:dyDescent="0.3">
      <c r="X4825" s="1">
        <f t="shared" si="150"/>
        <v>0</v>
      </c>
      <c r="Y4825" s="1">
        <f t="shared" si="151"/>
        <v>0</v>
      </c>
    </row>
    <row r="4826" spans="24:25" x14ac:dyDescent="0.3">
      <c r="X4826" s="1">
        <f t="shared" si="150"/>
        <v>0</v>
      </c>
      <c r="Y4826" s="1">
        <f t="shared" si="151"/>
        <v>0</v>
      </c>
    </row>
    <row r="4827" spans="24:25" x14ac:dyDescent="0.3">
      <c r="X4827" s="1">
        <f t="shared" si="150"/>
        <v>0</v>
      </c>
      <c r="Y4827" s="1">
        <f t="shared" si="151"/>
        <v>0</v>
      </c>
    </row>
    <row r="4828" spans="24:25" x14ac:dyDescent="0.3">
      <c r="X4828" s="1">
        <f t="shared" si="150"/>
        <v>0</v>
      </c>
      <c r="Y4828" s="1">
        <f t="shared" si="151"/>
        <v>0</v>
      </c>
    </row>
    <row r="4829" spans="24:25" x14ac:dyDescent="0.3">
      <c r="X4829" s="1">
        <f t="shared" si="150"/>
        <v>0</v>
      </c>
      <c r="Y4829" s="1">
        <f t="shared" si="151"/>
        <v>0</v>
      </c>
    </row>
    <row r="4830" spans="24:25" x14ac:dyDescent="0.3">
      <c r="X4830" s="1">
        <f t="shared" si="150"/>
        <v>0</v>
      </c>
      <c r="Y4830" s="1">
        <f t="shared" si="151"/>
        <v>0</v>
      </c>
    </row>
    <row r="4831" spans="24:25" x14ac:dyDescent="0.3">
      <c r="X4831" s="1">
        <f t="shared" si="150"/>
        <v>0</v>
      </c>
      <c r="Y4831" s="1">
        <f t="shared" si="151"/>
        <v>0</v>
      </c>
    </row>
    <row r="4832" spans="24:25" x14ac:dyDescent="0.3">
      <c r="X4832" s="1">
        <f t="shared" si="150"/>
        <v>0</v>
      </c>
      <c r="Y4832" s="1">
        <f t="shared" si="151"/>
        <v>0</v>
      </c>
    </row>
    <row r="4833" spans="24:25" x14ac:dyDescent="0.3">
      <c r="X4833" s="1">
        <f t="shared" si="150"/>
        <v>0</v>
      </c>
      <c r="Y4833" s="1">
        <f t="shared" si="151"/>
        <v>0</v>
      </c>
    </row>
    <row r="4834" spans="24:25" x14ac:dyDescent="0.3">
      <c r="X4834" s="1">
        <f t="shared" si="150"/>
        <v>0</v>
      </c>
      <c r="Y4834" s="1">
        <f t="shared" si="151"/>
        <v>0</v>
      </c>
    </row>
    <row r="4835" spans="24:25" x14ac:dyDescent="0.3">
      <c r="X4835" s="1">
        <f t="shared" si="150"/>
        <v>0</v>
      </c>
      <c r="Y4835" s="1">
        <f t="shared" si="151"/>
        <v>0</v>
      </c>
    </row>
    <row r="4836" spans="24:25" x14ac:dyDescent="0.3">
      <c r="X4836" s="1">
        <f t="shared" si="150"/>
        <v>0</v>
      </c>
      <c r="Y4836" s="1">
        <f t="shared" si="151"/>
        <v>0</v>
      </c>
    </row>
    <row r="4837" spans="24:25" x14ac:dyDescent="0.3">
      <c r="X4837" s="1">
        <f t="shared" si="150"/>
        <v>0</v>
      </c>
      <c r="Y4837" s="1">
        <f t="shared" si="151"/>
        <v>0</v>
      </c>
    </row>
    <row r="4838" spans="24:25" x14ac:dyDescent="0.3">
      <c r="X4838" s="1">
        <f t="shared" si="150"/>
        <v>0</v>
      </c>
      <c r="Y4838" s="1">
        <f t="shared" si="151"/>
        <v>0</v>
      </c>
    </row>
    <row r="4839" spans="24:25" x14ac:dyDescent="0.3">
      <c r="X4839" s="1">
        <f t="shared" si="150"/>
        <v>0</v>
      </c>
      <c r="Y4839" s="1">
        <f t="shared" si="151"/>
        <v>0</v>
      </c>
    </row>
    <row r="4840" spans="24:25" x14ac:dyDescent="0.3">
      <c r="X4840" s="1">
        <f t="shared" si="150"/>
        <v>0</v>
      </c>
      <c r="Y4840" s="1">
        <f t="shared" si="151"/>
        <v>0</v>
      </c>
    </row>
    <row r="4841" spans="24:25" x14ac:dyDescent="0.3">
      <c r="X4841" s="1">
        <f t="shared" si="150"/>
        <v>0</v>
      </c>
      <c r="Y4841" s="1">
        <f t="shared" si="151"/>
        <v>0</v>
      </c>
    </row>
    <row r="4842" spans="24:25" x14ac:dyDescent="0.3">
      <c r="X4842" s="1">
        <f t="shared" si="150"/>
        <v>0</v>
      </c>
      <c r="Y4842" s="1">
        <f t="shared" si="151"/>
        <v>0</v>
      </c>
    </row>
    <row r="4843" spans="24:25" x14ac:dyDescent="0.3">
      <c r="X4843" s="1">
        <f t="shared" si="150"/>
        <v>0</v>
      </c>
      <c r="Y4843" s="1">
        <f t="shared" si="151"/>
        <v>0</v>
      </c>
    </row>
    <row r="4844" spans="24:25" x14ac:dyDescent="0.3">
      <c r="X4844" s="1">
        <f t="shared" si="150"/>
        <v>0</v>
      </c>
      <c r="Y4844" s="1">
        <f t="shared" si="151"/>
        <v>0</v>
      </c>
    </row>
    <row r="4845" spans="24:25" x14ac:dyDescent="0.3">
      <c r="X4845" s="1">
        <f t="shared" si="150"/>
        <v>0</v>
      </c>
      <c r="Y4845" s="1">
        <f t="shared" si="151"/>
        <v>0</v>
      </c>
    </row>
    <row r="4846" spans="24:25" x14ac:dyDescent="0.3">
      <c r="X4846" s="1">
        <f t="shared" si="150"/>
        <v>0</v>
      </c>
      <c r="Y4846" s="1">
        <f t="shared" si="151"/>
        <v>0</v>
      </c>
    </row>
    <row r="4847" spans="24:25" x14ac:dyDescent="0.3">
      <c r="X4847" s="1">
        <f t="shared" si="150"/>
        <v>0</v>
      </c>
      <c r="Y4847" s="1">
        <f t="shared" si="151"/>
        <v>0</v>
      </c>
    </row>
    <row r="4848" spans="24:25" x14ac:dyDescent="0.3">
      <c r="X4848" s="1">
        <f t="shared" si="150"/>
        <v>0</v>
      </c>
      <c r="Y4848" s="1">
        <f t="shared" si="151"/>
        <v>0</v>
      </c>
    </row>
    <row r="4849" spans="24:25" x14ac:dyDescent="0.3">
      <c r="X4849" s="1">
        <f t="shared" si="150"/>
        <v>0</v>
      </c>
      <c r="Y4849" s="1">
        <f t="shared" si="151"/>
        <v>0</v>
      </c>
    </row>
    <row r="4850" spans="24:25" x14ac:dyDescent="0.3">
      <c r="X4850" s="1">
        <f t="shared" si="150"/>
        <v>0</v>
      </c>
      <c r="Y4850" s="1">
        <f t="shared" si="151"/>
        <v>0</v>
      </c>
    </row>
    <row r="4851" spans="24:25" x14ac:dyDescent="0.3">
      <c r="X4851" s="1">
        <f t="shared" si="150"/>
        <v>0</v>
      </c>
      <c r="Y4851" s="1">
        <f t="shared" si="151"/>
        <v>0</v>
      </c>
    </row>
    <row r="4852" spans="24:25" x14ac:dyDescent="0.3">
      <c r="X4852" s="1">
        <f t="shared" si="150"/>
        <v>0</v>
      </c>
      <c r="Y4852" s="1">
        <f t="shared" si="151"/>
        <v>0</v>
      </c>
    </row>
    <row r="4853" spans="24:25" x14ac:dyDescent="0.3">
      <c r="X4853" s="1">
        <f t="shared" si="150"/>
        <v>0</v>
      </c>
      <c r="Y4853" s="1">
        <f t="shared" si="151"/>
        <v>0</v>
      </c>
    </row>
    <row r="4854" spans="24:25" x14ac:dyDescent="0.3">
      <c r="X4854" s="1">
        <f t="shared" si="150"/>
        <v>0</v>
      </c>
      <c r="Y4854" s="1">
        <f t="shared" si="151"/>
        <v>0</v>
      </c>
    </row>
    <row r="4855" spans="24:25" x14ac:dyDescent="0.3">
      <c r="X4855" s="1">
        <f t="shared" si="150"/>
        <v>0</v>
      </c>
      <c r="Y4855" s="1">
        <f t="shared" si="151"/>
        <v>0</v>
      </c>
    </row>
    <row r="4856" spans="24:25" x14ac:dyDescent="0.3">
      <c r="X4856" s="1">
        <f t="shared" si="150"/>
        <v>0</v>
      </c>
      <c r="Y4856" s="1">
        <f t="shared" si="151"/>
        <v>0</v>
      </c>
    </row>
    <row r="4857" spans="24:25" x14ac:dyDescent="0.3">
      <c r="X4857" s="1">
        <f t="shared" si="150"/>
        <v>0</v>
      </c>
      <c r="Y4857" s="1">
        <f t="shared" si="151"/>
        <v>0</v>
      </c>
    </row>
    <row r="4858" spans="24:25" x14ac:dyDescent="0.3">
      <c r="X4858" s="1">
        <f t="shared" si="150"/>
        <v>0</v>
      </c>
      <c r="Y4858" s="1">
        <f t="shared" si="151"/>
        <v>0</v>
      </c>
    </row>
    <row r="4859" spans="24:25" x14ac:dyDescent="0.3">
      <c r="X4859" s="1">
        <f t="shared" si="150"/>
        <v>0</v>
      </c>
      <c r="Y4859" s="1">
        <f t="shared" si="151"/>
        <v>0</v>
      </c>
    </row>
    <row r="4860" spans="24:25" x14ac:dyDescent="0.3">
      <c r="X4860" s="1">
        <f t="shared" si="150"/>
        <v>0</v>
      </c>
      <c r="Y4860" s="1">
        <f t="shared" si="151"/>
        <v>0</v>
      </c>
    </row>
    <row r="4861" spans="24:25" x14ac:dyDescent="0.3">
      <c r="X4861" s="1">
        <f t="shared" si="150"/>
        <v>0</v>
      </c>
      <c r="Y4861" s="1">
        <f t="shared" si="151"/>
        <v>0</v>
      </c>
    </row>
    <row r="4862" spans="24:25" x14ac:dyDescent="0.3">
      <c r="X4862" s="1">
        <f t="shared" si="150"/>
        <v>0</v>
      </c>
      <c r="Y4862" s="1">
        <f t="shared" si="151"/>
        <v>0</v>
      </c>
    </row>
    <row r="4863" spans="24:25" x14ac:dyDescent="0.3">
      <c r="X4863" s="1">
        <f t="shared" si="150"/>
        <v>0</v>
      </c>
      <c r="Y4863" s="1">
        <f t="shared" si="151"/>
        <v>0</v>
      </c>
    </row>
    <row r="4864" spans="24:25" x14ac:dyDescent="0.3">
      <c r="X4864" s="1">
        <f t="shared" si="150"/>
        <v>0</v>
      </c>
      <c r="Y4864" s="1">
        <f t="shared" si="151"/>
        <v>0</v>
      </c>
    </row>
    <row r="4865" spans="24:25" x14ac:dyDescent="0.3">
      <c r="X4865" s="1">
        <f t="shared" si="150"/>
        <v>0</v>
      </c>
      <c r="Y4865" s="1">
        <f t="shared" si="151"/>
        <v>0</v>
      </c>
    </row>
    <row r="4866" spans="24:25" x14ac:dyDescent="0.3">
      <c r="X4866" s="1">
        <f t="shared" si="150"/>
        <v>0</v>
      </c>
      <c r="Y4866" s="1">
        <f t="shared" si="151"/>
        <v>0</v>
      </c>
    </row>
    <row r="4867" spans="24:25" x14ac:dyDescent="0.3">
      <c r="X4867" s="1">
        <f t="shared" ref="X4867:X4930" si="152">IFERROR(MATCH(W4867,$B:$B,0),0)</f>
        <v>0</v>
      </c>
      <c r="Y4867" s="1">
        <f t="shared" ref="Y4867:Y4930" si="153">IF(X4868=0,COUNTA(A:A),X4868-1)</f>
        <v>0</v>
      </c>
    </row>
    <row r="4868" spans="24:25" x14ac:dyDescent="0.3">
      <c r="X4868" s="1">
        <f t="shared" si="152"/>
        <v>0</v>
      </c>
      <c r="Y4868" s="1">
        <f t="shared" si="153"/>
        <v>0</v>
      </c>
    </row>
    <row r="4869" spans="24:25" x14ac:dyDescent="0.3">
      <c r="X4869" s="1">
        <f t="shared" si="152"/>
        <v>0</v>
      </c>
      <c r="Y4869" s="1">
        <f t="shared" si="153"/>
        <v>0</v>
      </c>
    </row>
    <row r="4870" spans="24:25" x14ac:dyDescent="0.3">
      <c r="X4870" s="1">
        <f t="shared" si="152"/>
        <v>0</v>
      </c>
      <c r="Y4870" s="1">
        <f t="shared" si="153"/>
        <v>0</v>
      </c>
    </row>
    <row r="4871" spans="24:25" x14ac:dyDescent="0.3">
      <c r="X4871" s="1">
        <f t="shared" si="152"/>
        <v>0</v>
      </c>
      <c r="Y4871" s="1">
        <f t="shared" si="153"/>
        <v>0</v>
      </c>
    </row>
    <row r="4872" spans="24:25" x14ac:dyDescent="0.3">
      <c r="X4872" s="1">
        <f t="shared" si="152"/>
        <v>0</v>
      </c>
      <c r="Y4872" s="1">
        <f t="shared" si="153"/>
        <v>0</v>
      </c>
    </row>
    <row r="4873" spans="24:25" x14ac:dyDescent="0.3">
      <c r="X4873" s="1">
        <f t="shared" si="152"/>
        <v>0</v>
      </c>
      <c r="Y4873" s="1">
        <f t="shared" si="153"/>
        <v>0</v>
      </c>
    </row>
    <row r="4874" spans="24:25" x14ac:dyDescent="0.3">
      <c r="X4874" s="1">
        <f t="shared" si="152"/>
        <v>0</v>
      </c>
      <c r="Y4874" s="1">
        <f t="shared" si="153"/>
        <v>0</v>
      </c>
    </row>
    <row r="4875" spans="24:25" x14ac:dyDescent="0.3">
      <c r="X4875" s="1">
        <f t="shared" si="152"/>
        <v>0</v>
      </c>
      <c r="Y4875" s="1">
        <f t="shared" si="153"/>
        <v>0</v>
      </c>
    </row>
    <row r="4876" spans="24:25" x14ac:dyDescent="0.3">
      <c r="X4876" s="1">
        <f t="shared" si="152"/>
        <v>0</v>
      </c>
      <c r="Y4876" s="1">
        <f t="shared" si="153"/>
        <v>0</v>
      </c>
    </row>
    <row r="4877" spans="24:25" x14ac:dyDescent="0.3">
      <c r="X4877" s="1">
        <f t="shared" si="152"/>
        <v>0</v>
      </c>
      <c r="Y4877" s="1">
        <f t="shared" si="153"/>
        <v>0</v>
      </c>
    </row>
    <row r="4878" spans="24:25" x14ac:dyDescent="0.3">
      <c r="X4878" s="1">
        <f t="shared" si="152"/>
        <v>0</v>
      </c>
      <c r="Y4878" s="1">
        <f t="shared" si="153"/>
        <v>0</v>
      </c>
    </row>
    <row r="4879" spans="24:25" x14ac:dyDescent="0.3">
      <c r="X4879" s="1">
        <f t="shared" si="152"/>
        <v>0</v>
      </c>
      <c r="Y4879" s="1">
        <f t="shared" si="153"/>
        <v>0</v>
      </c>
    </row>
    <row r="4880" spans="24:25" x14ac:dyDescent="0.3">
      <c r="X4880" s="1">
        <f t="shared" si="152"/>
        <v>0</v>
      </c>
      <c r="Y4880" s="1">
        <f t="shared" si="153"/>
        <v>0</v>
      </c>
    </row>
    <row r="4881" spans="24:25" x14ac:dyDescent="0.3">
      <c r="X4881" s="1">
        <f t="shared" si="152"/>
        <v>0</v>
      </c>
      <c r="Y4881" s="1">
        <f t="shared" si="153"/>
        <v>0</v>
      </c>
    </row>
    <row r="4882" spans="24:25" x14ac:dyDescent="0.3">
      <c r="X4882" s="1">
        <f t="shared" si="152"/>
        <v>0</v>
      </c>
      <c r="Y4882" s="1">
        <f t="shared" si="153"/>
        <v>0</v>
      </c>
    </row>
    <row r="4883" spans="24:25" x14ac:dyDescent="0.3">
      <c r="X4883" s="1">
        <f t="shared" si="152"/>
        <v>0</v>
      </c>
      <c r="Y4883" s="1">
        <f t="shared" si="153"/>
        <v>0</v>
      </c>
    </row>
    <row r="4884" spans="24:25" x14ac:dyDescent="0.3">
      <c r="X4884" s="1">
        <f t="shared" si="152"/>
        <v>0</v>
      </c>
      <c r="Y4884" s="1">
        <f t="shared" si="153"/>
        <v>0</v>
      </c>
    </row>
    <row r="4885" spans="24:25" x14ac:dyDescent="0.3">
      <c r="X4885" s="1">
        <f t="shared" si="152"/>
        <v>0</v>
      </c>
      <c r="Y4885" s="1">
        <f t="shared" si="153"/>
        <v>0</v>
      </c>
    </row>
    <row r="4886" spans="24:25" x14ac:dyDescent="0.3">
      <c r="X4886" s="1">
        <f t="shared" si="152"/>
        <v>0</v>
      </c>
      <c r="Y4886" s="1">
        <f t="shared" si="153"/>
        <v>0</v>
      </c>
    </row>
    <row r="4887" spans="24:25" x14ac:dyDescent="0.3">
      <c r="X4887" s="1">
        <f t="shared" si="152"/>
        <v>0</v>
      </c>
      <c r="Y4887" s="1">
        <f t="shared" si="153"/>
        <v>0</v>
      </c>
    </row>
    <row r="4888" spans="24:25" x14ac:dyDescent="0.3">
      <c r="X4888" s="1">
        <f t="shared" si="152"/>
        <v>0</v>
      </c>
      <c r="Y4888" s="1">
        <f t="shared" si="153"/>
        <v>0</v>
      </c>
    </row>
    <row r="4889" spans="24:25" x14ac:dyDescent="0.3">
      <c r="X4889" s="1">
        <f t="shared" si="152"/>
        <v>0</v>
      </c>
      <c r="Y4889" s="1">
        <f t="shared" si="153"/>
        <v>0</v>
      </c>
    </row>
    <row r="4890" spans="24:25" x14ac:dyDescent="0.3">
      <c r="X4890" s="1">
        <f t="shared" si="152"/>
        <v>0</v>
      </c>
      <c r="Y4890" s="1">
        <f t="shared" si="153"/>
        <v>0</v>
      </c>
    </row>
    <row r="4891" spans="24:25" x14ac:dyDescent="0.3">
      <c r="X4891" s="1">
        <f t="shared" si="152"/>
        <v>0</v>
      </c>
      <c r="Y4891" s="1">
        <f t="shared" si="153"/>
        <v>0</v>
      </c>
    </row>
    <row r="4892" spans="24:25" x14ac:dyDescent="0.3">
      <c r="X4892" s="1">
        <f t="shared" si="152"/>
        <v>0</v>
      </c>
      <c r="Y4892" s="1">
        <f t="shared" si="153"/>
        <v>0</v>
      </c>
    </row>
    <row r="4893" spans="24:25" x14ac:dyDescent="0.3">
      <c r="X4893" s="1">
        <f t="shared" si="152"/>
        <v>0</v>
      </c>
      <c r="Y4893" s="1">
        <f t="shared" si="153"/>
        <v>0</v>
      </c>
    </row>
    <row r="4894" spans="24:25" x14ac:dyDescent="0.3">
      <c r="X4894" s="1">
        <f t="shared" si="152"/>
        <v>0</v>
      </c>
      <c r="Y4894" s="1">
        <f t="shared" si="153"/>
        <v>0</v>
      </c>
    </row>
    <row r="4895" spans="24:25" x14ac:dyDescent="0.3">
      <c r="X4895" s="1">
        <f t="shared" si="152"/>
        <v>0</v>
      </c>
      <c r="Y4895" s="1">
        <f t="shared" si="153"/>
        <v>0</v>
      </c>
    </row>
    <row r="4896" spans="24:25" x14ac:dyDescent="0.3">
      <c r="X4896" s="1">
        <f t="shared" si="152"/>
        <v>0</v>
      </c>
      <c r="Y4896" s="1">
        <f t="shared" si="153"/>
        <v>0</v>
      </c>
    </row>
    <row r="4897" spans="24:25" x14ac:dyDescent="0.3">
      <c r="X4897" s="1">
        <f t="shared" si="152"/>
        <v>0</v>
      </c>
      <c r="Y4897" s="1">
        <f t="shared" si="153"/>
        <v>0</v>
      </c>
    </row>
    <row r="4898" spans="24:25" x14ac:dyDescent="0.3">
      <c r="X4898" s="1">
        <f t="shared" si="152"/>
        <v>0</v>
      </c>
      <c r="Y4898" s="1">
        <f t="shared" si="153"/>
        <v>0</v>
      </c>
    </row>
    <row r="4899" spans="24:25" x14ac:dyDescent="0.3">
      <c r="X4899" s="1">
        <f t="shared" si="152"/>
        <v>0</v>
      </c>
      <c r="Y4899" s="1">
        <f t="shared" si="153"/>
        <v>0</v>
      </c>
    </row>
    <row r="4900" spans="24:25" x14ac:dyDescent="0.3">
      <c r="X4900" s="1">
        <f t="shared" si="152"/>
        <v>0</v>
      </c>
      <c r="Y4900" s="1">
        <f t="shared" si="153"/>
        <v>0</v>
      </c>
    </row>
    <row r="4901" spans="24:25" x14ac:dyDescent="0.3">
      <c r="X4901" s="1">
        <f t="shared" si="152"/>
        <v>0</v>
      </c>
      <c r="Y4901" s="1">
        <f t="shared" si="153"/>
        <v>0</v>
      </c>
    </row>
    <row r="4902" spans="24:25" x14ac:dyDescent="0.3">
      <c r="X4902" s="1">
        <f t="shared" si="152"/>
        <v>0</v>
      </c>
      <c r="Y4902" s="1">
        <f t="shared" si="153"/>
        <v>0</v>
      </c>
    </row>
    <row r="4903" spans="24:25" x14ac:dyDescent="0.3">
      <c r="X4903" s="1">
        <f t="shared" si="152"/>
        <v>0</v>
      </c>
      <c r="Y4903" s="1">
        <f t="shared" si="153"/>
        <v>0</v>
      </c>
    </row>
    <row r="4904" spans="24:25" x14ac:dyDescent="0.3">
      <c r="X4904" s="1">
        <f t="shared" si="152"/>
        <v>0</v>
      </c>
      <c r="Y4904" s="1">
        <f t="shared" si="153"/>
        <v>0</v>
      </c>
    </row>
    <row r="4905" spans="24:25" x14ac:dyDescent="0.3">
      <c r="X4905" s="1">
        <f t="shared" si="152"/>
        <v>0</v>
      </c>
      <c r="Y4905" s="1">
        <f t="shared" si="153"/>
        <v>0</v>
      </c>
    </row>
    <row r="4906" spans="24:25" x14ac:dyDescent="0.3">
      <c r="X4906" s="1">
        <f t="shared" si="152"/>
        <v>0</v>
      </c>
      <c r="Y4906" s="1">
        <f t="shared" si="153"/>
        <v>0</v>
      </c>
    </row>
    <row r="4907" spans="24:25" x14ac:dyDescent="0.3">
      <c r="X4907" s="1">
        <f t="shared" si="152"/>
        <v>0</v>
      </c>
      <c r="Y4907" s="1">
        <f t="shared" si="153"/>
        <v>0</v>
      </c>
    </row>
    <row r="4908" spans="24:25" x14ac:dyDescent="0.3">
      <c r="X4908" s="1">
        <f t="shared" si="152"/>
        <v>0</v>
      </c>
      <c r="Y4908" s="1">
        <f t="shared" si="153"/>
        <v>0</v>
      </c>
    </row>
    <row r="4909" spans="24:25" x14ac:dyDescent="0.3">
      <c r="X4909" s="1">
        <f t="shared" si="152"/>
        <v>0</v>
      </c>
      <c r="Y4909" s="1">
        <f t="shared" si="153"/>
        <v>0</v>
      </c>
    </row>
    <row r="4910" spans="24:25" x14ac:dyDescent="0.3">
      <c r="X4910" s="1">
        <f t="shared" si="152"/>
        <v>0</v>
      </c>
      <c r="Y4910" s="1">
        <f t="shared" si="153"/>
        <v>0</v>
      </c>
    </row>
    <row r="4911" spans="24:25" x14ac:dyDescent="0.3">
      <c r="X4911" s="1">
        <f t="shared" si="152"/>
        <v>0</v>
      </c>
      <c r="Y4911" s="1">
        <f t="shared" si="153"/>
        <v>0</v>
      </c>
    </row>
    <row r="4912" spans="24:25" x14ac:dyDescent="0.3">
      <c r="X4912" s="1">
        <f t="shared" si="152"/>
        <v>0</v>
      </c>
      <c r="Y4912" s="1">
        <f t="shared" si="153"/>
        <v>0</v>
      </c>
    </row>
    <row r="4913" spans="24:25" x14ac:dyDescent="0.3">
      <c r="X4913" s="1">
        <f t="shared" si="152"/>
        <v>0</v>
      </c>
      <c r="Y4913" s="1">
        <f t="shared" si="153"/>
        <v>0</v>
      </c>
    </row>
    <row r="4914" spans="24:25" x14ac:dyDescent="0.3">
      <c r="X4914" s="1">
        <f t="shared" si="152"/>
        <v>0</v>
      </c>
      <c r="Y4914" s="1">
        <f t="shared" si="153"/>
        <v>0</v>
      </c>
    </row>
    <row r="4915" spans="24:25" x14ac:dyDescent="0.3">
      <c r="X4915" s="1">
        <f t="shared" si="152"/>
        <v>0</v>
      </c>
      <c r="Y4915" s="1">
        <f t="shared" si="153"/>
        <v>0</v>
      </c>
    </row>
    <row r="4916" spans="24:25" x14ac:dyDescent="0.3">
      <c r="X4916" s="1">
        <f t="shared" si="152"/>
        <v>0</v>
      </c>
      <c r="Y4916" s="1">
        <f t="shared" si="153"/>
        <v>0</v>
      </c>
    </row>
    <row r="4917" spans="24:25" x14ac:dyDescent="0.3">
      <c r="X4917" s="1">
        <f t="shared" si="152"/>
        <v>0</v>
      </c>
      <c r="Y4917" s="1">
        <f t="shared" si="153"/>
        <v>0</v>
      </c>
    </row>
    <row r="4918" spans="24:25" x14ac:dyDescent="0.3">
      <c r="X4918" s="1">
        <f t="shared" si="152"/>
        <v>0</v>
      </c>
      <c r="Y4918" s="1">
        <f t="shared" si="153"/>
        <v>0</v>
      </c>
    </row>
    <row r="4919" spans="24:25" x14ac:dyDescent="0.3">
      <c r="X4919" s="1">
        <f t="shared" si="152"/>
        <v>0</v>
      </c>
      <c r="Y4919" s="1">
        <f t="shared" si="153"/>
        <v>0</v>
      </c>
    </row>
    <row r="4920" spans="24:25" x14ac:dyDescent="0.3">
      <c r="X4920" s="1">
        <f t="shared" si="152"/>
        <v>0</v>
      </c>
      <c r="Y4920" s="1">
        <f t="shared" si="153"/>
        <v>0</v>
      </c>
    </row>
    <row r="4921" spans="24:25" x14ac:dyDescent="0.3">
      <c r="X4921" s="1">
        <f t="shared" si="152"/>
        <v>0</v>
      </c>
      <c r="Y4921" s="1">
        <f t="shared" si="153"/>
        <v>0</v>
      </c>
    </row>
    <row r="4922" spans="24:25" x14ac:dyDescent="0.3">
      <c r="X4922" s="1">
        <f t="shared" si="152"/>
        <v>0</v>
      </c>
      <c r="Y4922" s="1">
        <f t="shared" si="153"/>
        <v>0</v>
      </c>
    </row>
    <row r="4923" spans="24:25" x14ac:dyDescent="0.3">
      <c r="X4923" s="1">
        <f t="shared" si="152"/>
        <v>0</v>
      </c>
      <c r="Y4923" s="1">
        <f t="shared" si="153"/>
        <v>0</v>
      </c>
    </row>
    <row r="4924" spans="24:25" x14ac:dyDescent="0.3">
      <c r="X4924" s="1">
        <f t="shared" si="152"/>
        <v>0</v>
      </c>
      <c r="Y4924" s="1">
        <f t="shared" si="153"/>
        <v>0</v>
      </c>
    </row>
    <row r="4925" spans="24:25" x14ac:dyDescent="0.3">
      <c r="X4925" s="1">
        <f t="shared" si="152"/>
        <v>0</v>
      </c>
      <c r="Y4925" s="1">
        <f t="shared" si="153"/>
        <v>0</v>
      </c>
    </row>
    <row r="4926" spans="24:25" x14ac:dyDescent="0.3">
      <c r="X4926" s="1">
        <f t="shared" si="152"/>
        <v>0</v>
      </c>
      <c r="Y4926" s="1">
        <f t="shared" si="153"/>
        <v>0</v>
      </c>
    </row>
    <row r="4927" spans="24:25" x14ac:dyDescent="0.3">
      <c r="X4927" s="1">
        <f t="shared" si="152"/>
        <v>0</v>
      </c>
      <c r="Y4927" s="1">
        <f t="shared" si="153"/>
        <v>0</v>
      </c>
    </row>
    <row r="4928" spans="24:25" x14ac:dyDescent="0.3">
      <c r="X4928" s="1">
        <f t="shared" si="152"/>
        <v>0</v>
      </c>
      <c r="Y4928" s="1">
        <f t="shared" si="153"/>
        <v>0</v>
      </c>
    </row>
    <row r="4929" spans="24:25" x14ac:dyDescent="0.3">
      <c r="X4929" s="1">
        <f t="shared" si="152"/>
        <v>0</v>
      </c>
      <c r="Y4929" s="1">
        <f t="shared" si="153"/>
        <v>0</v>
      </c>
    </row>
    <row r="4930" spans="24:25" x14ac:dyDescent="0.3">
      <c r="X4930" s="1">
        <f t="shared" si="152"/>
        <v>0</v>
      </c>
      <c r="Y4930" s="1">
        <f t="shared" si="153"/>
        <v>0</v>
      </c>
    </row>
    <row r="4931" spans="24:25" x14ac:dyDescent="0.3">
      <c r="X4931" s="1">
        <f t="shared" ref="X4931:X4994" si="154">IFERROR(MATCH(W4931,$B:$B,0),0)</f>
        <v>0</v>
      </c>
      <c r="Y4931" s="1">
        <f t="shared" ref="Y4931:Y4994" si="155">IF(X4932=0,COUNTA(A:A),X4932-1)</f>
        <v>0</v>
      </c>
    </row>
    <row r="4932" spans="24:25" x14ac:dyDescent="0.3">
      <c r="X4932" s="1">
        <f t="shared" si="154"/>
        <v>0</v>
      </c>
      <c r="Y4932" s="1">
        <f t="shared" si="155"/>
        <v>0</v>
      </c>
    </row>
    <row r="4933" spans="24:25" x14ac:dyDescent="0.3">
      <c r="X4933" s="1">
        <f t="shared" si="154"/>
        <v>0</v>
      </c>
      <c r="Y4933" s="1">
        <f t="shared" si="155"/>
        <v>0</v>
      </c>
    </row>
    <row r="4934" spans="24:25" x14ac:dyDescent="0.3">
      <c r="X4934" s="1">
        <f t="shared" si="154"/>
        <v>0</v>
      </c>
      <c r="Y4934" s="1">
        <f t="shared" si="155"/>
        <v>0</v>
      </c>
    </row>
    <row r="4935" spans="24:25" x14ac:dyDescent="0.3">
      <c r="X4935" s="1">
        <f t="shared" si="154"/>
        <v>0</v>
      </c>
      <c r="Y4935" s="1">
        <f t="shared" si="155"/>
        <v>0</v>
      </c>
    </row>
    <row r="4936" spans="24:25" x14ac:dyDescent="0.3">
      <c r="X4936" s="1">
        <f t="shared" si="154"/>
        <v>0</v>
      </c>
      <c r="Y4936" s="1">
        <f t="shared" si="155"/>
        <v>0</v>
      </c>
    </row>
    <row r="4937" spans="24:25" x14ac:dyDescent="0.3">
      <c r="X4937" s="1">
        <f t="shared" si="154"/>
        <v>0</v>
      </c>
      <c r="Y4937" s="1">
        <f t="shared" si="155"/>
        <v>0</v>
      </c>
    </row>
    <row r="4938" spans="24:25" x14ac:dyDescent="0.3">
      <c r="X4938" s="1">
        <f t="shared" si="154"/>
        <v>0</v>
      </c>
      <c r="Y4938" s="1">
        <f t="shared" si="155"/>
        <v>0</v>
      </c>
    </row>
    <row r="4939" spans="24:25" x14ac:dyDescent="0.3">
      <c r="X4939" s="1">
        <f t="shared" si="154"/>
        <v>0</v>
      </c>
      <c r="Y4939" s="1">
        <f t="shared" si="155"/>
        <v>0</v>
      </c>
    </row>
    <row r="4940" spans="24:25" x14ac:dyDescent="0.3">
      <c r="X4940" s="1">
        <f t="shared" si="154"/>
        <v>0</v>
      </c>
      <c r="Y4940" s="1">
        <f t="shared" si="155"/>
        <v>0</v>
      </c>
    </row>
    <row r="4941" spans="24:25" x14ac:dyDescent="0.3">
      <c r="X4941" s="1">
        <f t="shared" si="154"/>
        <v>0</v>
      </c>
      <c r="Y4941" s="1">
        <f t="shared" si="155"/>
        <v>0</v>
      </c>
    </row>
    <row r="4942" spans="24:25" x14ac:dyDescent="0.3">
      <c r="X4942" s="1">
        <f t="shared" si="154"/>
        <v>0</v>
      </c>
      <c r="Y4942" s="1">
        <f t="shared" si="155"/>
        <v>0</v>
      </c>
    </row>
    <row r="4943" spans="24:25" x14ac:dyDescent="0.3">
      <c r="X4943" s="1">
        <f t="shared" si="154"/>
        <v>0</v>
      </c>
      <c r="Y4943" s="1">
        <f t="shared" si="155"/>
        <v>0</v>
      </c>
    </row>
    <row r="4944" spans="24:25" x14ac:dyDescent="0.3">
      <c r="X4944" s="1">
        <f t="shared" si="154"/>
        <v>0</v>
      </c>
      <c r="Y4944" s="1">
        <f t="shared" si="155"/>
        <v>0</v>
      </c>
    </row>
    <row r="4945" spans="24:25" x14ac:dyDescent="0.3">
      <c r="X4945" s="1">
        <f t="shared" si="154"/>
        <v>0</v>
      </c>
      <c r="Y4945" s="1">
        <f t="shared" si="155"/>
        <v>0</v>
      </c>
    </row>
    <row r="4946" spans="24:25" x14ac:dyDescent="0.3">
      <c r="X4946" s="1">
        <f t="shared" si="154"/>
        <v>0</v>
      </c>
      <c r="Y4946" s="1">
        <f t="shared" si="155"/>
        <v>0</v>
      </c>
    </row>
    <row r="4947" spans="24:25" x14ac:dyDescent="0.3">
      <c r="X4947" s="1">
        <f t="shared" si="154"/>
        <v>0</v>
      </c>
      <c r="Y4947" s="1">
        <f t="shared" si="155"/>
        <v>0</v>
      </c>
    </row>
    <row r="4948" spans="24:25" x14ac:dyDescent="0.3">
      <c r="X4948" s="1">
        <f t="shared" si="154"/>
        <v>0</v>
      </c>
      <c r="Y4948" s="1">
        <f t="shared" si="155"/>
        <v>0</v>
      </c>
    </row>
    <row r="4949" spans="24:25" x14ac:dyDescent="0.3">
      <c r="X4949" s="1">
        <f t="shared" si="154"/>
        <v>0</v>
      </c>
      <c r="Y4949" s="1">
        <f t="shared" si="155"/>
        <v>0</v>
      </c>
    </row>
    <row r="4950" spans="24:25" x14ac:dyDescent="0.3">
      <c r="X4950" s="1">
        <f t="shared" si="154"/>
        <v>0</v>
      </c>
      <c r="Y4950" s="1">
        <f t="shared" si="155"/>
        <v>0</v>
      </c>
    </row>
    <row r="4951" spans="24:25" x14ac:dyDescent="0.3">
      <c r="X4951" s="1">
        <f t="shared" si="154"/>
        <v>0</v>
      </c>
      <c r="Y4951" s="1">
        <f t="shared" si="155"/>
        <v>0</v>
      </c>
    </row>
    <row r="4952" spans="24:25" x14ac:dyDescent="0.3">
      <c r="X4952" s="1">
        <f t="shared" si="154"/>
        <v>0</v>
      </c>
      <c r="Y4952" s="1">
        <f t="shared" si="155"/>
        <v>0</v>
      </c>
    </row>
    <row r="4953" spans="24:25" x14ac:dyDescent="0.3">
      <c r="X4953" s="1">
        <f t="shared" si="154"/>
        <v>0</v>
      </c>
      <c r="Y4953" s="1">
        <f t="shared" si="155"/>
        <v>0</v>
      </c>
    </row>
    <row r="4954" spans="24:25" x14ac:dyDescent="0.3">
      <c r="X4954" s="1">
        <f t="shared" si="154"/>
        <v>0</v>
      </c>
      <c r="Y4954" s="1">
        <f t="shared" si="155"/>
        <v>0</v>
      </c>
    </row>
    <row r="4955" spans="24:25" x14ac:dyDescent="0.3">
      <c r="X4955" s="1">
        <f t="shared" si="154"/>
        <v>0</v>
      </c>
      <c r="Y4955" s="1">
        <f t="shared" si="155"/>
        <v>0</v>
      </c>
    </row>
    <row r="4956" spans="24:25" x14ac:dyDescent="0.3">
      <c r="X4956" s="1">
        <f t="shared" si="154"/>
        <v>0</v>
      </c>
      <c r="Y4956" s="1">
        <f t="shared" si="155"/>
        <v>0</v>
      </c>
    </row>
    <row r="4957" spans="24:25" x14ac:dyDescent="0.3">
      <c r="X4957" s="1">
        <f t="shared" si="154"/>
        <v>0</v>
      </c>
      <c r="Y4957" s="1">
        <f t="shared" si="155"/>
        <v>0</v>
      </c>
    </row>
    <row r="4958" spans="24:25" x14ac:dyDescent="0.3">
      <c r="X4958" s="1">
        <f t="shared" si="154"/>
        <v>0</v>
      </c>
      <c r="Y4958" s="1">
        <f t="shared" si="155"/>
        <v>0</v>
      </c>
    </row>
    <row r="4959" spans="24:25" x14ac:dyDescent="0.3">
      <c r="X4959" s="1">
        <f t="shared" si="154"/>
        <v>0</v>
      </c>
      <c r="Y4959" s="1">
        <f t="shared" si="155"/>
        <v>0</v>
      </c>
    </row>
    <row r="4960" spans="24:25" x14ac:dyDescent="0.3">
      <c r="X4960" s="1">
        <f t="shared" si="154"/>
        <v>0</v>
      </c>
      <c r="Y4960" s="1">
        <f t="shared" si="155"/>
        <v>0</v>
      </c>
    </row>
    <row r="4961" spans="24:25" x14ac:dyDescent="0.3">
      <c r="X4961" s="1">
        <f t="shared" si="154"/>
        <v>0</v>
      </c>
      <c r="Y4961" s="1">
        <f t="shared" si="155"/>
        <v>0</v>
      </c>
    </row>
    <row r="4962" spans="24:25" x14ac:dyDescent="0.3">
      <c r="X4962" s="1">
        <f t="shared" si="154"/>
        <v>0</v>
      </c>
      <c r="Y4962" s="1">
        <f t="shared" si="155"/>
        <v>0</v>
      </c>
    </row>
    <row r="4963" spans="24:25" x14ac:dyDescent="0.3">
      <c r="X4963" s="1">
        <f t="shared" si="154"/>
        <v>0</v>
      </c>
      <c r="Y4963" s="1">
        <f t="shared" si="155"/>
        <v>0</v>
      </c>
    </row>
    <row r="4964" spans="24:25" x14ac:dyDescent="0.3">
      <c r="X4964" s="1">
        <f t="shared" si="154"/>
        <v>0</v>
      </c>
      <c r="Y4964" s="1">
        <f t="shared" si="155"/>
        <v>0</v>
      </c>
    </row>
    <row r="4965" spans="24:25" x14ac:dyDescent="0.3">
      <c r="X4965" s="1">
        <f t="shared" si="154"/>
        <v>0</v>
      </c>
      <c r="Y4965" s="1">
        <f t="shared" si="155"/>
        <v>0</v>
      </c>
    </row>
    <row r="4966" spans="24:25" x14ac:dyDescent="0.3">
      <c r="X4966" s="1">
        <f t="shared" si="154"/>
        <v>0</v>
      </c>
      <c r="Y4966" s="1">
        <f t="shared" si="155"/>
        <v>0</v>
      </c>
    </row>
    <row r="4967" spans="24:25" x14ac:dyDescent="0.3">
      <c r="X4967" s="1">
        <f t="shared" si="154"/>
        <v>0</v>
      </c>
      <c r="Y4967" s="1">
        <f t="shared" si="155"/>
        <v>0</v>
      </c>
    </row>
    <row r="4968" spans="24:25" x14ac:dyDescent="0.3">
      <c r="X4968" s="1">
        <f t="shared" si="154"/>
        <v>0</v>
      </c>
      <c r="Y4968" s="1">
        <f t="shared" si="155"/>
        <v>0</v>
      </c>
    </row>
    <row r="4969" spans="24:25" x14ac:dyDescent="0.3">
      <c r="X4969" s="1">
        <f t="shared" si="154"/>
        <v>0</v>
      </c>
      <c r="Y4969" s="1">
        <f t="shared" si="155"/>
        <v>0</v>
      </c>
    </row>
    <row r="4970" spans="24:25" x14ac:dyDescent="0.3">
      <c r="X4970" s="1">
        <f t="shared" si="154"/>
        <v>0</v>
      </c>
      <c r="Y4970" s="1">
        <f t="shared" si="155"/>
        <v>0</v>
      </c>
    </row>
    <row r="4971" spans="24:25" x14ac:dyDescent="0.3">
      <c r="X4971" s="1">
        <f t="shared" si="154"/>
        <v>0</v>
      </c>
      <c r="Y4971" s="1">
        <f t="shared" si="155"/>
        <v>0</v>
      </c>
    </row>
    <row r="4972" spans="24:25" x14ac:dyDescent="0.3">
      <c r="X4972" s="1">
        <f t="shared" si="154"/>
        <v>0</v>
      </c>
      <c r="Y4972" s="1">
        <f t="shared" si="155"/>
        <v>0</v>
      </c>
    </row>
    <row r="4973" spans="24:25" x14ac:dyDescent="0.3">
      <c r="X4973" s="1">
        <f t="shared" si="154"/>
        <v>0</v>
      </c>
      <c r="Y4973" s="1">
        <f t="shared" si="155"/>
        <v>0</v>
      </c>
    </row>
    <row r="4974" spans="24:25" x14ac:dyDescent="0.3">
      <c r="X4974" s="1">
        <f t="shared" si="154"/>
        <v>0</v>
      </c>
      <c r="Y4974" s="1">
        <f t="shared" si="155"/>
        <v>0</v>
      </c>
    </row>
    <row r="4975" spans="24:25" x14ac:dyDescent="0.3">
      <c r="X4975" s="1">
        <f t="shared" si="154"/>
        <v>0</v>
      </c>
      <c r="Y4975" s="1">
        <f t="shared" si="155"/>
        <v>0</v>
      </c>
    </row>
    <row r="4976" spans="24:25" x14ac:dyDescent="0.3">
      <c r="X4976" s="1">
        <f t="shared" si="154"/>
        <v>0</v>
      </c>
      <c r="Y4976" s="1">
        <f t="shared" si="155"/>
        <v>0</v>
      </c>
    </row>
    <row r="4977" spans="24:25" x14ac:dyDescent="0.3">
      <c r="X4977" s="1">
        <f t="shared" si="154"/>
        <v>0</v>
      </c>
      <c r="Y4977" s="1">
        <f t="shared" si="155"/>
        <v>0</v>
      </c>
    </row>
    <row r="4978" spans="24:25" x14ac:dyDescent="0.3">
      <c r="X4978" s="1">
        <f t="shared" si="154"/>
        <v>0</v>
      </c>
      <c r="Y4978" s="1">
        <f t="shared" si="155"/>
        <v>0</v>
      </c>
    </row>
    <row r="4979" spans="24:25" x14ac:dyDescent="0.3">
      <c r="X4979" s="1">
        <f t="shared" si="154"/>
        <v>0</v>
      </c>
      <c r="Y4979" s="1">
        <f t="shared" si="155"/>
        <v>0</v>
      </c>
    </row>
    <row r="4980" spans="24:25" x14ac:dyDescent="0.3">
      <c r="X4980" s="1">
        <f t="shared" si="154"/>
        <v>0</v>
      </c>
      <c r="Y4980" s="1">
        <f t="shared" si="155"/>
        <v>0</v>
      </c>
    </row>
    <row r="4981" spans="24:25" x14ac:dyDescent="0.3">
      <c r="X4981" s="1">
        <f t="shared" si="154"/>
        <v>0</v>
      </c>
      <c r="Y4981" s="1">
        <f t="shared" si="155"/>
        <v>0</v>
      </c>
    </row>
    <row r="4982" spans="24:25" x14ac:dyDescent="0.3">
      <c r="X4982" s="1">
        <f t="shared" si="154"/>
        <v>0</v>
      </c>
      <c r="Y4982" s="1">
        <f t="shared" si="155"/>
        <v>0</v>
      </c>
    </row>
    <row r="4983" spans="24:25" x14ac:dyDescent="0.3">
      <c r="X4983" s="1">
        <f t="shared" si="154"/>
        <v>0</v>
      </c>
      <c r="Y4983" s="1">
        <f t="shared" si="155"/>
        <v>0</v>
      </c>
    </row>
    <row r="4984" spans="24:25" x14ac:dyDescent="0.3">
      <c r="X4984" s="1">
        <f t="shared" si="154"/>
        <v>0</v>
      </c>
      <c r="Y4984" s="1">
        <f t="shared" si="155"/>
        <v>0</v>
      </c>
    </row>
    <row r="4985" spans="24:25" x14ac:dyDescent="0.3">
      <c r="X4985" s="1">
        <f t="shared" si="154"/>
        <v>0</v>
      </c>
      <c r="Y4985" s="1">
        <f t="shared" si="155"/>
        <v>0</v>
      </c>
    </row>
    <row r="4986" spans="24:25" x14ac:dyDescent="0.3">
      <c r="X4986" s="1">
        <f t="shared" si="154"/>
        <v>0</v>
      </c>
      <c r="Y4986" s="1">
        <f t="shared" si="155"/>
        <v>0</v>
      </c>
    </row>
    <row r="4987" spans="24:25" x14ac:dyDescent="0.3">
      <c r="X4987" s="1">
        <f t="shared" si="154"/>
        <v>0</v>
      </c>
      <c r="Y4987" s="1">
        <f t="shared" si="155"/>
        <v>0</v>
      </c>
    </row>
    <row r="4988" spans="24:25" x14ac:dyDescent="0.3">
      <c r="X4988" s="1">
        <f t="shared" si="154"/>
        <v>0</v>
      </c>
      <c r="Y4988" s="1">
        <f t="shared" si="155"/>
        <v>0</v>
      </c>
    </row>
    <row r="4989" spans="24:25" x14ac:dyDescent="0.3">
      <c r="X4989" s="1">
        <f t="shared" si="154"/>
        <v>0</v>
      </c>
      <c r="Y4989" s="1">
        <f t="shared" si="155"/>
        <v>0</v>
      </c>
    </row>
    <row r="4990" spans="24:25" x14ac:dyDescent="0.3">
      <c r="X4990" s="1">
        <f t="shared" si="154"/>
        <v>0</v>
      </c>
      <c r="Y4990" s="1">
        <f t="shared" si="155"/>
        <v>0</v>
      </c>
    </row>
    <row r="4991" spans="24:25" x14ac:dyDescent="0.3">
      <c r="X4991" s="1">
        <f t="shared" si="154"/>
        <v>0</v>
      </c>
      <c r="Y4991" s="1">
        <f t="shared" si="155"/>
        <v>0</v>
      </c>
    </row>
    <row r="4992" spans="24:25" x14ac:dyDescent="0.3">
      <c r="X4992" s="1">
        <f t="shared" si="154"/>
        <v>0</v>
      </c>
      <c r="Y4992" s="1">
        <f t="shared" si="155"/>
        <v>0</v>
      </c>
    </row>
    <row r="4993" spans="24:25" x14ac:dyDescent="0.3">
      <c r="X4993" s="1">
        <f t="shared" si="154"/>
        <v>0</v>
      </c>
      <c r="Y4993" s="1">
        <f t="shared" si="155"/>
        <v>0</v>
      </c>
    </row>
    <row r="4994" spans="24:25" x14ac:dyDescent="0.3">
      <c r="X4994" s="1">
        <f t="shared" si="154"/>
        <v>0</v>
      </c>
      <c r="Y4994" s="1">
        <f t="shared" si="155"/>
        <v>0</v>
      </c>
    </row>
    <row r="4995" spans="24:25" x14ac:dyDescent="0.3">
      <c r="X4995" s="1">
        <f t="shared" ref="X4995:X5058" si="156">IFERROR(MATCH(W4995,$B:$B,0),0)</f>
        <v>0</v>
      </c>
      <c r="Y4995" s="1">
        <f t="shared" ref="Y4995:Y5058" si="157">IF(X4996=0,COUNTA(A:A),X4996-1)</f>
        <v>0</v>
      </c>
    </row>
    <row r="4996" spans="24:25" x14ac:dyDescent="0.3">
      <c r="X4996" s="1">
        <f t="shared" si="156"/>
        <v>0</v>
      </c>
      <c r="Y4996" s="1">
        <f t="shared" si="157"/>
        <v>0</v>
      </c>
    </row>
    <row r="4997" spans="24:25" x14ac:dyDescent="0.3">
      <c r="X4997" s="1">
        <f t="shared" si="156"/>
        <v>0</v>
      </c>
      <c r="Y4997" s="1">
        <f t="shared" si="157"/>
        <v>0</v>
      </c>
    </row>
    <row r="4998" spans="24:25" x14ac:dyDescent="0.3">
      <c r="X4998" s="1">
        <f t="shared" si="156"/>
        <v>0</v>
      </c>
      <c r="Y4998" s="1">
        <f t="shared" si="157"/>
        <v>0</v>
      </c>
    </row>
    <row r="4999" spans="24:25" x14ac:dyDescent="0.3">
      <c r="X4999" s="1">
        <f t="shared" si="156"/>
        <v>0</v>
      </c>
      <c r="Y4999" s="1">
        <f t="shared" si="157"/>
        <v>0</v>
      </c>
    </row>
    <row r="5000" spans="24:25" x14ac:dyDescent="0.3">
      <c r="X5000" s="1">
        <f t="shared" si="156"/>
        <v>0</v>
      </c>
      <c r="Y5000" s="1">
        <f t="shared" si="157"/>
        <v>0</v>
      </c>
    </row>
    <row r="5001" spans="24:25" x14ac:dyDescent="0.3">
      <c r="X5001" s="1">
        <f t="shared" si="156"/>
        <v>0</v>
      </c>
      <c r="Y5001" s="1">
        <f t="shared" si="157"/>
        <v>0</v>
      </c>
    </row>
    <row r="5002" spans="24:25" x14ac:dyDescent="0.3">
      <c r="X5002" s="1">
        <f t="shared" si="156"/>
        <v>0</v>
      </c>
      <c r="Y5002" s="1">
        <f t="shared" si="157"/>
        <v>0</v>
      </c>
    </row>
    <row r="5003" spans="24:25" x14ac:dyDescent="0.3">
      <c r="X5003" s="1">
        <f t="shared" si="156"/>
        <v>0</v>
      </c>
      <c r="Y5003" s="1">
        <f t="shared" si="157"/>
        <v>0</v>
      </c>
    </row>
    <row r="5004" spans="24:25" x14ac:dyDescent="0.3">
      <c r="X5004" s="1">
        <f t="shared" si="156"/>
        <v>0</v>
      </c>
      <c r="Y5004" s="1">
        <f t="shared" si="157"/>
        <v>0</v>
      </c>
    </row>
    <row r="5005" spans="24:25" x14ac:dyDescent="0.3">
      <c r="X5005" s="1">
        <f t="shared" si="156"/>
        <v>0</v>
      </c>
      <c r="Y5005" s="1">
        <f t="shared" si="157"/>
        <v>0</v>
      </c>
    </row>
    <row r="5006" spans="24:25" x14ac:dyDescent="0.3">
      <c r="X5006" s="1">
        <f t="shared" si="156"/>
        <v>0</v>
      </c>
      <c r="Y5006" s="1">
        <f t="shared" si="157"/>
        <v>0</v>
      </c>
    </row>
    <row r="5007" spans="24:25" x14ac:dyDescent="0.3">
      <c r="X5007" s="1">
        <f t="shared" si="156"/>
        <v>0</v>
      </c>
      <c r="Y5007" s="1">
        <f t="shared" si="157"/>
        <v>0</v>
      </c>
    </row>
    <row r="5008" spans="24:25" x14ac:dyDescent="0.3">
      <c r="X5008" s="1">
        <f t="shared" si="156"/>
        <v>0</v>
      </c>
      <c r="Y5008" s="1">
        <f t="shared" si="157"/>
        <v>0</v>
      </c>
    </row>
    <row r="5009" spans="24:25" x14ac:dyDescent="0.3">
      <c r="X5009" s="1">
        <f t="shared" si="156"/>
        <v>0</v>
      </c>
      <c r="Y5009" s="1">
        <f t="shared" si="157"/>
        <v>0</v>
      </c>
    </row>
    <row r="5010" spans="24:25" x14ac:dyDescent="0.3">
      <c r="X5010" s="1">
        <f t="shared" si="156"/>
        <v>0</v>
      </c>
      <c r="Y5010" s="1">
        <f t="shared" si="157"/>
        <v>0</v>
      </c>
    </row>
    <row r="5011" spans="24:25" x14ac:dyDescent="0.3">
      <c r="X5011" s="1">
        <f t="shared" si="156"/>
        <v>0</v>
      </c>
      <c r="Y5011" s="1">
        <f t="shared" si="157"/>
        <v>0</v>
      </c>
    </row>
    <row r="5012" spans="24:25" x14ac:dyDescent="0.3">
      <c r="X5012" s="1">
        <f t="shared" si="156"/>
        <v>0</v>
      </c>
      <c r="Y5012" s="1">
        <f t="shared" si="157"/>
        <v>0</v>
      </c>
    </row>
    <row r="5013" spans="24:25" x14ac:dyDescent="0.3">
      <c r="X5013" s="1">
        <f t="shared" si="156"/>
        <v>0</v>
      </c>
      <c r="Y5013" s="1">
        <f t="shared" si="157"/>
        <v>0</v>
      </c>
    </row>
    <row r="5014" spans="24:25" x14ac:dyDescent="0.3">
      <c r="X5014" s="1">
        <f t="shared" si="156"/>
        <v>0</v>
      </c>
      <c r="Y5014" s="1">
        <f t="shared" si="157"/>
        <v>0</v>
      </c>
    </row>
    <row r="5015" spans="24:25" x14ac:dyDescent="0.3">
      <c r="X5015" s="1">
        <f t="shared" si="156"/>
        <v>0</v>
      </c>
      <c r="Y5015" s="1">
        <f t="shared" si="157"/>
        <v>0</v>
      </c>
    </row>
    <row r="5016" spans="24:25" x14ac:dyDescent="0.3">
      <c r="X5016" s="1">
        <f t="shared" si="156"/>
        <v>0</v>
      </c>
      <c r="Y5016" s="1">
        <f t="shared" si="157"/>
        <v>0</v>
      </c>
    </row>
    <row r="5017" spans="24:25" x14ac:dyDescent="0.3">
      <c r="X5017" s="1">
        <f t="shared" si="156"/>
        <v>0</v>
      </c>
      <c r="Y5017" s="1">
        <f t="shared" si="157"/>
        <v>0</v>
      </c>
    </row>
    <row r="5018" spans="24:25" x14ac:dyDescent="0.3">
      <c r="X5018" s="1">
        <f t="shared" si="156"/>
        <v>0</v>
      </c>
      <c r="Y5018" s="1">
        <f t="shared" si="157"/>
        <v>0</v>
      </c>
    </row>
    <row r="5019" spans="24:25" x14ac:dyDescent="0.3">
      <c r="X5019" s="1">
        <f t="shared" si="156"/>
        <v>0</v>
      </c>
      <c r="Y5019" s="1">
        <f t="shared" si="157"/>
        <v>0</v>
      </c>
    </row>
    <row r="5020" spans="24:25" x14ac:dyDescent="0.3">
      <c r="X5020" s="1">
        <f t="shared" si="156"/>
        <v>0</v>
      </c>
      <c r="Y5020" s="1">
        <f t="shared" si="157"/>
        <v>0</v>
      </c>
    </row>
    <row r="5021" spans="24:25" x14ac:dyDescent="0.3">
      <c r="X5021" s="1">
        <f t="shared" si="156"/>
        <v>0</v>
      </c>
      <c r="Y5021" s="1">
        <f t="shared" si="157"/>
        <v>0</v>
      </c>
    </row>
    <row r="5022" spans="24:25" x14ac:dyDescent="0.3">
      <c r="X5022" s="1">
        <f t="shared" si="156"/>
        <v>0</v>
      </c>
      <c r="Y5022" s="1">
        <f t="shared" si="157"/>
        <v>0</v>
      </c>
    </row>
    <row r="5023" spans="24:25" x14ac:dyDescent="0.3">
      <c r="X5023" s="1">
        <f t="shared" si="156"/>
        <v>0</v>
      </c>
      <c r="Y5023" s="1">
        <f t="shared" si="157"/>
        <v>0</v>
      </c>
    </row>
    <row r="5024" spans="24:25" x14ac:dyDescent="0.3">
      <c r="X5024" s="1">
        <f t="shared" si="156"/>
        <v>0</v>
      </c>
      <c r="Y5024" s="1">
        <f t="shared" si="157"/>
        <v>0</v>
      </c>
    </row>
    <row r="5025" spans="24:25" x14ac:dyDescent="0.3">
      <c r="X5025" s="1">
        <f t="shared" si="156"/>
        <v>0</v>
      </c>
      <c r="Y5025" s="1">
        <f t="shared" si="157"/>
        <v>0</v>
      </c>
    </row>
    <row r="5026" spans="24:25" x14ac:dyDescent="0.3">
      <c r="X5026" s="1">
        <f t="shared" si="156"/>
        <v>0</v>
      </c>
      <c r="Y5026" s="1">
        <f t="shared" si="157"/>
        <v>0</v>
      </c>
    </row>
    <row r="5027" spans="24:25" x14ac:dyDescent="0.3">
      <c r="X5027" s="1">
        <f t="shared" si="156"/>
        <v>0</v>
      </c>
      <c r="Y5027" s="1">
        <f t="shared" si="157"/>
        <v>0</v>
      </c>
    </row>
    <row r="5028" spans="24:25" x14ac:dyDescent="0.3">
      <c r="X5028" s="1">
        <f t="shared" si="156"/>
        <v>0</v>
      </c>
      <c r="Y5028" s="1">
        <f t="shared" si="157"/>
        <v>0</v>
      </c>
    </row>
    <row r="5029" spans="24:25" x14ac:dyDescent="0.3">
      <c r="X5029" s="1">
        <f t="shared" si="156"/>
        <v>0</v>
      </c>
      <c r="Y5029" s="1">
        <f t="shared" si="157"/>
        <v>0</v>
      </c>
    </row>
    <row r="5030" spans="24:25" x14ac:dyDescent="0.3">
      <c r="X5030" s="1">
        <f t="shared" si="156"/>
        <v>0</v>
      </c>
      <c r="Y5030" s="1">
        <f t="shared" si="157"/>
        <v>0</v>
      </c>
    </row>
    <row r="5031" spans="24:25" x14ac:dyDescent="0.3">
      <c r="X5031" s="1">
        <f t="shared" si="156"/>
        <v>0</v>
      </c>
      <c r="Y5031" s="1">
        <f t="shared" si="157"/>
        <v>0</v>
      </c>
    </row>
    <row r="5032" spans="24:25" x14ac:dyDescent="0.3">
      <c r="X5032" s="1">
        <f t="shared" si="156"/>
        <v>0</v>
      </c>
      <c r="Y5032" s="1">
        <f t="shared" si="157"/>
        <v>0</v>
      </c>
    </row>
    <row r="5033" spans="24:25" x14ac:dyDescent="0.3">
      <c r="X5033" s="1">
        <f t="shared" si="156"/>
        <v>0</v>
      </c>
      <c r="Y5033" s="1">
        <f t="shared" si="157"/>
        <v>0</v>
      </c>
    </row>
    <row r="5034" spans="24:25" x14ac:dyDescent="0.3">
      <c r="X5034" s="1">
        <f t="shared" si="156"/>
        <v>0</v>
      </c>
      <c r="Y5034" s="1">
        <f t="shared" si="157"/>
        <v>0</v>
      </c>
    </row>
    <row r="5035" spans="24:25" x14ac:dyDescent="0.3">
      <c r="X5035" s="1">
        <f t="shared" si="156"/>
        <v>0</v>
      </c>
      <c r="Y5035" s="1">
        <f t="shared" si="157"/>
        <v>0</v>
      </c>
    </row>
    <row r="5036" spans="24:25" x14ac:dyDescent="0.3">
      <c r="X5036" s="1">
        <f t="shared" si="156"/>
        <v>0</v>
      </c>
      <c r="Y5036" s="1">
        <f t="shared" si="157"/>
        <v>0</v>
      </c>
    </row>
    <row r="5037" spans="24:25" x14ac:dyDescent="0.3">
      <c r="X5037" s="1">
        <f t="shared" si="156"/>
        <v>0</v>
      </c>
      <c r="Y5037" s="1">
        <f t="shared" si="157"/>
        <v>0</v>
      </c>
    </row>
    <row r="5038" spans="24:25" x14ac:dyDescent="0.3">
      <c r="X5038" s="1">
        <f t="shared" si="156"/>
        <v>0</v>
      </c>
      <c r="Y5038" s="1">
        <f t="shared" si="157"/>
        <v>0</v>
      </c>
    </row>
    <row r="5039" spans="24:25" x14ac:dyDescent="0.3">
      <c r="X5039" s="1">
        <f t="shared" si="156"/>
        <v>0</v>
      </c>
      <c r="Y5039" s="1">
        <f t="shared" si="157"/>
        <v>0</v>
      </c>
    </row>
    <row r="5040" spans="24:25" x14ac:dyDescent="0.3">
      <c r="X5040" s="1">
        <f t="shared" si="156"/>
        <v>0</v>
      </c>
      <c r="Y5040" s="1">
        <f t="shared" si="157"/>
        <v>0</v>
      </c>
    </row>
    <row r="5041" spans="24:25" x14ac:dyDescent="0.3">
      <c r="X5041" s="1">
        <f t="shared" si="156"/>
        <v>0</v>
      </c>
      <c r="Y5041" s="1">
        <f t="shared" si="157"/>
        <v>0</v>
      </c>
    </row>
    <row r="5042" spans="24:25" x14ac:dyDescent="0.3">
      <c r="X5042" s="1">
        <f t="shared" si="156"/>
        <v>0</v>
      </c>
      <c r="Y5042" s="1">
        <f t="shared" si="157"/>
        <v>0</v>
      </c>
    </row>
    <row r="5043" spans="24:25" x14ac:dyDescent="0.3">
      <c r="X5043" s="1">
        <f t="shared" si="156"/>
        <v>0</v>
      </c>
      <c r="Y5043" s="1">
        <f t="shared" si="157"/>
        <v>0</v>
      </c>
    </row>
    <row r="5044" spans="24:25" x14ac:dyDescent="0.3">
      <c r="X5044" s="1">
        <f t="shared" si="156"/>
        <v>0</v>
      </c>
      <c r="Y5044" s="1">
        <f t="shared" si="157"/>
        <v>0</v>
      </c>
    </row>
    <row r="5045" spans="24:25" x14ac:dyDescent="0.3">
      <c r="X5045" s="1">
        <f t="shared" si="156"/>
        <v>0</v>
      </c>
      <c r="Y5045" s="1">
        <f t="shared" si="157"/>
        <v>0</v>
      </c>
    </row>
    <row r="5046" spans="24:25" x14ac:dyDescent="0.3">
      <c r="X5046" s="1">
        <f t="shared" si="156"/>
        <v>0</v>
      </c>
      <c r="Y5046" s="1">
        <f t="shared" si="157"/>
        <v>0</v>
      </c>
    </row>
    <row r="5047" spans="24:25" x14ac:dyDescent="0.3">
      <c r="X5047" s="1">
        <f t="shared" si="156"/>
        <v>0</v>
      </c>
      <c r="Y5047" s="1">
        <f t="shared" si="157"/>
        <v>0</v>
      </c>
    </row>
    <row r="5048" spans="24:25" x14ac:dyDescent="0.3">
      <c r="X5048" s="1">
        <f t="shared" si="156"/>
        <v>0</v>
      </c>
      <c r="Y5048" s="1">
        <f t="shared" si="157"/>
        <v>0</v>
      </c>
    </row>
    <row r="5049" spans="24:25" x14ac:dyDescent="0.3">
      <c r="X5049" s="1">
        <f t="shared" si="156"/>
        <v>0</v>
      </c>
      <c r="Y5049" s="1">
        <f t="shared" si="157"/>
        <v>0</v>
      </c>
    </row>
    <row r="5050" spans="24:25" x14ac:dyDescent="0.3">
      <c r="X5050" s="1">
        <f t="shared" si="156"/>
        <v>0</v>
      </c>
      <c r="Y5050" s="1">
        <f t="shared" si="157"/>
        <v>0</v>
      </c>
    </row>
    <row r="5051" spans="24:25" x14ac:dyDescent="0.3">
      <c r="X5051" s="1">
        <f t="shared" si="156"/>
        <v>0</v>
      </c>
      <c r="Y5051" s="1">
        <f t="shared" si="157"/>
        <v>0</v>
      </c>
    </row>
    <row r="5052" spans="24:25" x14ac:dyDescent="0.3">
      <c r="X5052" s="1">
        <f t="shared" si="156"/>
        <v>0</v>
      </c>
      <c r="Y5052" s="1">
        <f t="shared" si="157"/>
        <v>0</v>
      </c>
    </row>
    <row r="5053" spans="24:25" x14ac:dyDescent="0.3">
      <c r="X5053" s="1">
        <f t="shared" si="156"/>
        <v>0</v>
      </c>
      <c r="Y5053" s="1">
        <f t="shared" si="157"/>
        <v>0</v>
      </c>
    </row>
    <row r="5054" spans="24:25" x14ac:dyDescent="0.3">
      <c r="X5054" s="1">
        <f t="shared" si="156"/>
        <v>0</v>
      </c>
      <c r="Y5054" s="1">
        <f t="shared" si="157"/>
        <v>0</v>
      </c>
    </row>
    <row r="5055" spans="24:25" x14ac:dyDescent="0.3">
      <c r="X5055" s="1">
        <f t="shared" si="156"/>
        <v>0</v>
      </c>
      <c r="Y5055" s="1">
        <f t="shared" si="157"/>
        <v>0</v>
      </c>
    </row>
    <row r="5056" spans="24:25" x14ac:dyDescent="0.3">
      <c r="X5056" s="1">
        <f t="shared" si="156"/>
        <v>0</v>
      </c>
      <c r="Y5056" s="1">
        <f t="shared" si="157"/>
        <v>0</v>
      </c>
    </row>
    <row r="5057" spans="24:25" x14ac:dyDescent="0.3">
      <c r="X5057" s="1">
        <f t="shared" si="156"/>
        <v>0</v>
      </c>
      <c r="Y5057" s="1">
        <f t="shared" si="157"/>
        <v>0</v>
      </c>
    </row>
    <row r="5058" spans="24:25" x14ac:dyDescent="0.3">
      <c r="X5058" s="1">
        <f t="shared" si="156"/>
        <v>0</v>
      </c>
      <c r="Y5058" s="1">
        <f t="shared" si="157"/>
        <v>0</v>
      </c>
    </row>
    <row r="5059" spans="24:25" x14ac:dyDescent="0.3">
      <c r="X5059" s="1">
        <f t="shared" ref="X5059:X5122" si="158">IFERROR(MATCH(W5059,$B:$B,0),0)</f>
        <v>0</v>
      </c>
      <c r="Y5059" s="1">
        <f t="shared" ref="Y5059:Y5122" si="159">IF(X5060=0,COUNTA(A:A),X5060-1)</f>
        <v>0</v>
      </c>
    </row>
    <row r="5060" spans="24:25" x14ac:dyDescent="0.3">
      <c r="X5060" s="1">
        <f t="shared" si="158"/>
        <v>0</v>
      </c>
      <c r="Y5060" s="1">
        <f t="shared" si="159"/>
        <v>0</v>
      </c>
    </row>
    <row r="5061" spans="24:25" x14ac:dyDescent="0.3">
      <c r="X5061" s="1">
        <f t="shared" si="158"/>
        <v>0</v>
      </c>
      <c r="Y5061" s="1">
        <f t="shared" si="159"/>
        <v>0</v>
      </c>
    </row>
    <row r="5062" spans="24:25" x14ac:dyDescent="0.3">
      <c r="X5062" s="1">
        <f t="shared" si="158"/>
        <v>0</v>
      </c>
      <c r="Y5062" s="1">
        <f t="shared" si="159"/>
        <v>0</v>
      </c>
    </row>
    <row r="5063" spans="24:25" x14ac:dyDescent="0.3">
      <c r="X5063" s="1">
        <f t="shared" si="158"/>
        <v>0</v>
      </c>
      <c r="Y5063" s="1">
        <f t="shared" si="159"/>
        <v>0</v>
      </c>
    </row>
    <row r="5064" spans="24:25" x14ac:dyDescent="0.3">
      <c r="X5064" s="1">
        <f t="shared" si="158"/>
        <v>0</v>
      </c>
      <c r="Y5064" s="1">
        <f t="shared" si="159"/>
        <v>0</v>
      </c>
    </row>
    <row r="5065" spans="24:25" x14ac:dyDescent="0.3">
      <c r="X5065" s="1">
        <f t="shared" si="158"/>
        <v>0</v>
      </c>
      <c r="Y5065" s="1">
        <f t="shared" si="159"/>
        <v>0</v>
      </c>
    </row>
    <row r="5066" spans="24:25" x14ac:dyDescent="0.3">
      <c r="X5066" s="1">
        <f t="shared" si="158"/>
        <v>0</v>
      </c>
      <c r="Y5066" s="1">
        <f t="shared" si="159"/>
        <v>0</v>
      </c>
    </row>
    <row r="5067" spans="24:25" x14ac:dyDescent="0.3">
      <c r="X5067" s="1">
        <f t="shared" si="158"/>
        <v>0</v>
      </c>
      <c r="Y5067" s="1">
        <f t="shared" si="159"/>
        <v>0</v>
      </c>
    </row>
    <row r="5068" spans="24:25" x14ac:dyDescent="0.3">
      <c r="X5068" s="1">
        <f t="shared" si="158"/>
        <v>0</v>
      </c>
      <c r="Y5068" s="1">
        <f t="shared" si="159"/>
        <v>0</v>
      </c>
    </row>
    <row r="5069" spans="24:25" x14ac:dyDescent="0.3">
      <c r="X5069" s="1">
        <f t="shared" si="158"/>
        <v>0</v>
      </c>
      <c r="Y5069" s="1">
        <f t="shared" si="159"/>
        <v>0</v>
      </c>
    </row>
    <row r="5070" spans="24:25" x14ac:dyDescent="0.3">
      <c r="X5070" s="1">
        <f t="shared" si="158"/>
        <v>0</v>
      </c>
      <c r="Y5070" s="1">
        <f t="shared" si="159"/>
        <v>0</v>
      </c>
    </row>
    <row r="5071" spans="24:25" x14ac:dyDescent="0.3">
      <c r="X5071" s="1">
        <f t="shared" si="158"/>
        <v>0</v>
      </c>
      <c r="Y5071" s="1">
        <f t="shared" si="159"/>
        <v>0</v>
      </c>
    </row>
    <row r="5072" spans="24:25" x14ac:dyDescent="0.3">
      <c r="X5072" s="1">
        <f t="shared" si="158"/>
        <v>0</v>
      </c>
      <c r="Y5072" s="1">
        <f t="shared" si="159"/>
        <v>0</v>
      </c>
    </row>
    <row r="5073" spans="24:25" x14ac:dyDescent="0.3">
      <c r="X5073" s="1">
        <f t="shared" si="158"/>
        <v>0</v>
      </c>
      <c r="Y5073" s="1">
        <f t="shared" si="159"/>
        <v>0</v>
      </c>
    </row>
    <row r="5074" spans="24:25" x14ac:dyDescent="0.3">
      <c r="X5074" s="1">
        <f t="shared" si="158"/>
        <v>0</v>
      </c>
      <c r="Y5074" s="1">
        <f t="shared" si="159"/>
        <v>0</v>
      </c>
    </row>
    <row r="5075" spans="24:25" x14ac:dyDescent="0.3">
      <c r="X5075" s="1">
        <f t="shared" si="158"/>
        <v>0</v>
      </c>
      <c r="Y5075" s="1">
        <f t="shared" si="159"/>
        <v>0</v>
      </c>
    </row>
    <row r="5076" spans="24:25" x14ac:dyDescent="0.3">
      <c r="X5076" s="1">
        <f t="shared" si="158"/>
        <v>0</v>
      </c>
      <c r="Y5076" s="1">
        <f t="shared" si="159"/>
        <v>0</v>
      </c>
    </row>
    <row r="5077" spans="24:25" x14ac:dyDescent="0.3">
      <c r="X5077" s="1">
        <f t="shared" si="158"/>
        <v>0</v>
      </c>
      <c r="Y5077" s="1">
        <f t="shared" si="159"/>
        <v>0</v>
      </c>
    </row>
    <row r="5078" spans="24:25" x14ac:dyDescent="0.3">
      <c r="X5078" s="1">
        <f t="shared" si="158"/>
        <v>0</v>
      </c>
      <c r="Y5078" s="1">
        <f t="shared" si="159"/>
        <v>0</v>
      </c>
    </row>
    <row r="5079" spans="24:25" x14ac:dyDescent="0.3">
      <c r="X5079" s="1">
        <f t="shared" si="158"/>
        <v>0</v>
      </c>
      <c r="Y5079" s="1">
        <f t="shared" si="159"/>
        <v>0</v>
      </c>
    </row>
    <row r="5080" spans="24:25" x14ac:dyDescent="0.3">
      <c r="X5080" s="1">
        <f t="shared" si="158"/>
        <v>0</v>
      </c>
      <c r="Y5080" s="1">
        <f t="shared" si="159"/>
        <v>0</v>
      </c>
    </row>
    <row r="5081" spans="24:25" x14ac:dyDescent="0.3">
      <c r="X5081" s="1">
        <f t="shared" si="158"/>
        <v>0</v>
      </c>
      <c r="Y5081" s="1">
        <f t="shared" si="159"/>
        <v>0</v>
      </c>
    </row>
    <row r="5082" spans="24:25" x14ac:dyDescent="0.3">
      <c r="X5082" s="1">
        <f t="shared" si="158"/>
        <v>0</v>
      </c>
      <c r="Y5082" s="1">
        <f t="shared" si="159"/>
        <v>0</v>
      </c>
    </row>
    <row r="5083" spans="24:25" x14ac:dyDescent="0.3">
      <c r="X5083" s="1">
        <f t="shared" si="158"/>
        <v>0</v>
      </c>
      <c r="Y5083" s="1">
        <f t="shared" si="159"/>
        <v>0</v>
      </c>
    </row>
    <row r="5084" spans="24:25" x14ac:dyDescent="0.3">
      <c r="X5084" s="1">
        <f t="shared" si="158"/>
        <v>0</v>
      </c>
      <c r="Y5084" s="1">
        <f t="shared" si="159"/>
        <v>0</v>
      </c>
    </row>
    <row r="5085" spans="24:25" x14ac:dyDescent="0.3">
      <c r="X5085" s="1">
        <f t="shared" si="158"/>
        <v>0</v>
      </c>
      <c r="Y5085" s="1">
        <f t="shared" si="159"/>
        <v>0</v>
      </c>
    </row>
    <row r="5086" spans="24:25" x14ac:dyDescent="0.3">
      <c r="X5086" s="1">
        <f t="shared" si="158"/>
        <v>0</v>
      </c>
      <c r="Y5086" s="1">
        <f t="shared" si="159"/>
        <v>0</v>
      </c>
    </row>
    <row r="5087" spans="24:25" x14ac:dyDescent="0.3">
      <c r="X5087" s="1">
        <f t="shared" si="158"/>
        <v>0</v>
      </c>
      <c r="Y5087" s="1">
        <f t="shared" si="159"/>
        <v>0</v>
      </c>
    </row>
    <row r="5088" spans="24:25" x14ac:dyDescent="0.3">
      <c r="X5088" s="1">
        <f t="shared" si="158"/>
        <v>0</v>
      </c>
      <c r="Y5088" s="1">
        <f t="shared" si="159"/>
        <v>0</v>
      </c>
    </row>
    <row r="5089" spans="24:25" x14ac:dyDescent="0.3">
      <c r="X5089" s="1">
        <f t="shared" si="158"/>
        <v>0</v>
      </c>
      <c r="Y5089" s="1">
        <f t="shared" si="159"/>
        <v>0</v>
      </c>
    </row>
    <row r="5090" spans="24:25" x14ac:dyDescent="0.3">
      <c r="X5090" s="1">
        <f t="shared" si="158"/>
        <v>0</v>
      </c>
      <c r="Y5090" s="1">
        <f t="shared" si="159"/>
        <v>0</v>
      </c>
    </row>
    <row r="5091" spans="24:25" x14ac:dyDescent="0.3">
      <c r="X5091" s="1">
        <f t="shared" si="158"/>
        <v>0</v>
      </c>
      <c r="Y5091" s="1">
        <f t="shared" si="159"/>
        <v>0</v>
      </c>
    </row>
    <row r="5092" spans="24:25" x14ac:dyDescent="0.3">
      <c r="X5092" s="1">
        <f t="shared" si="158"/>
        <v>0</v>
      </c>
      <c r="Y5092" s="1">
        <f t="shared" si="159"/>
        <v>0</v>
      </c>
    </row>
    <row r="5093" spans="24:25" x14ac:dyDescent="0.3">
      <c r="X5093" s="1">
        <f t="shared" si="158"/>
        <v>0</v>
      </c>
      <c r="Y5093" s="1">
        <f t="shared" si="159"/>
        <v>0</v>
      </c>
    </row>
    <row r="5094" spans="24:25" x14ac:dyDescent="0.3">
      <c r="X5094" s="1">
        <f t="shared" si="158"/>
        <v>0</v>
      </c>
      <c r="Y5094" s="1">
        <f t="shared" si="159"/>
        <v>0</v>
      </c>
    </row>
    <row r="5095" spans="24:25" x14ac:dyDescent="0.3">
      <c r="X5095" s="1">
        <f t="shared" si="158"/>
        <v>0</v>
      </c>
      <c r="Y5095" s="1">
        <f t="shared" si="159"/>
        <v>0</v>
      </c>
    </row>
    <row r="5096" spans="24:25" x14ac:dyDescent="0.3">
      <c r="X5096" s="1">
        <f t="shared" si="158"/>
        <v>0</v>
      </c>
      <c r="Y5096" s="1">
        <f t="shared" si="159"/>
        <v>0</v>
      </c>
    </row>
    <row r="5097" spans="24:25" x14ac:dyDescent="0.3">
      <c r="X5097" s="1">
        <f t="shared" si="158"/>
        <v>0</v>
      </c>
      <c r="Y5097" s="1">
        <f t="shared" si="159"/>
        <v>0</v>
      </c>
    </row>
    <row r="5098" spans="24:25" x14ac:dyDescent="0.3">
      <c r="X5098" s="1">
        <f t="shared" si="158"/>
        <v>0</v>
      </c>
      <c r="Y5098" s="1">
        <f t="shared" si="159"/>
        <v>0</v>
      </c>
    </row>
    <row r="5099" spans="24:25" x14ac:dyDescent="0.3">
      <c r="X5099" s="1">
        <f t="shared" si="158"/>
        <v>0</v>
      </c>
      <c r="Y5099" s="1">
        <f t="shared" si="159"/>
        <v>0</v>
      </c>
    </row>
    <row r="5100" spans="24:25" x14ac:dyDescent="0.3">
      <c r="X5100" s="1">
        <f t="shared" si="158"/>
        <v>0</v>
      </c>
      <c r="Y5100" s="1">
        <f t="shared" si="159"/>
        <v>0</v>
      </c>
    </row>
    <row r="5101" spans="24:25" x14ac:dyDescent="0.3">
      <c r="X5101" s="1">
        <f t="shared" si="158"/>
        <v>0</v>
      </c>
      <c r="Y5101" s="1">
        <f t="shared" si="159"/>
        <v>0</v>
      </c>
    </row>
    <row r="5102" spans="24:25" x14ac:dyDescent="0.3">
      <c r="X5102" s="1">
        <f t="shared" si="158"/>
        <v>0</v>
      </c>
      <c r="Y5102" s="1">
        <f t="shared" si="159"/>
        <v>0</v>
      </c>
    </row>
    <row r="5103" spans="24:25" x14ac:dyDescent="0.3">
      <c r="X5103" s="1">
        <f t="shared" si="158"/>
        <v>0</v>
      </c>
      <c r="Y5103" s="1">
        <f t="shared" si="159"/>
        <v>0</v>
      </c>
    </row>
    <row r="5104" spans="24:25" x14ac:dyDescent="0.3">
      <c r="X5104" s="1">
        <f t="shared" si="158"/>
        <v>0</v>
      </c>
      <c r="Y5104" s="1">
        <f t="shared" si="159"/>
        <v>0</v>
      </c>
    </row>
    <row r="5105" spans="24:25" x14ac:dyDescent="0.3">
      <c r="X5105" s="1">
        <f t="shared" si="158"/>
        <v>0</v>
      </c>
      <c r="Y5105" s="1">
        <f t="shared" si="159"/>
        <v>0</v>
      </c>
    </row>
    <row r="5106" spans="24:25" x14ac:dyDescent="0.3">
      <c r="X5106" s="1">
        <f t="shared" si="158"/>
        <v>0</v>
      </c>
      <c r="Y5106" s="1">
        <f t="shared" si="159"/>
        <v>0</v>
      </c>
    </row>
    <row r="5107" spans="24:25" x14ac:dyDescent="0.3">
      <c r="X5107" s="1">
        <f t="shared" si="158"/>
        <v>0</v>
      </c>
      <c r="Y5107" s="1">
        <f t="shared" si="159"/>
        <v>0</v>
      </c>
    </row>
    <row r="5108" spans="24:25" x14ac:dyDescent="0.3">
      <c r="X5108" s="1">
        <f t="shared" si="158"/>
        <v>0</v>
      </c>
      <c r="Y5108" s="1">
        <f t="shared" si="159"/>
        <v>0</v>
      </c>
    </row>
    <row r="5109" spans="24:25" x14ac:dyDescent="0.3">
      <c r="X5109" s="1">
        <f t="shared" si="158"/>
        <v>0</v>
      </c>
      <c r="Y5109" s="1">
        <f t="shared" si="159"/>
        <v>0</v>
      </c>
    </row>
    <row r="5110" spans="24:25" x14ac:dyDescent="0.3">
      <c r="X5110" s="1">
        <f t="shared" si="158"/>
        <v>0</v>
      </c>
      <c r="Y5110" s="1">
        <f t="shared" si="159"/>
        <v>0</v>
      </c>
    </row>
    <row r="5111" spans="24:25" x14ac:dyDescent="0.3">
      <c r="X5111" s="1">
        <f t="shared" si="158"/>
        <v>0</v>
      </c>
      <c r="Y5111" s="1">
        <f t="shared" si="159"/>
        <v>0</v>
      </c>
    </row>
    <row r="5112" spans="24:25" x14ac:dyDescent="0.3">
      <c r="X5112" s="1">
        <f t="shared" si="158"/>
        <v>0</v>
      </c>
      <c r="Y5112" s="1">
        <f t="shared" si="159"/>
        <v>0</v>
      </c>
    </row>
    <row r="5113" spans="24:25" x14ac:dyDescent="0.3">
      <c r="X5113" s="1">
        <f t="shared" si="158"/>
        <v>0</v>
      </c>
      <c r="Y5113" s="1">
        <f t="shared" si="159"/>
        <v>0</v>
      </c>
    </row>
    <row r="5114" spans="24:25" x14ac:dyDescent="0.3">
      <c r="X5114" s="1">
        <f t="shared" si="158"/>
        <v>0</v>
      </c>
      <c r="Y5114" s="1">
        <f t="shared" si="159"/>
        <v>0</v>
      </c>
    </row>
    <row r="5115" spans="24:25" x14ac:dyDescent="0.3">
      <c r="X5115" s="1">
        <f t="shared" si="158"/>
        <v>0</v>
      </c>
      <c r="Y5115" s="1">
        <f t="shared" si="159"/>
        <v>0</v>
      </c>
    </row>
    <row r="5116" spans="24:25" x14ac:dyDescent="0.3">
      <c r="X5116" s="1">
        <f t="shared" si="158"/>
        <v>0</v>
      </c>
      <c r="Y5116" s="1">
        <f t="shared" si="159"/>
        <v>0</v>
      </c>
    </row>
    <row r="5117" spans="24:25" x14ac:dyDescent="0.3">
      <c r="X5117" s="1">
        <f t="shared" si="158"/>
        <v>0</v>
      </c>
      <c r="Y5117" s="1">
        <f t="shared" si="159"/>
        <v>0</v>
      </c>
    </row>
    <row r="5118" spans="24:25" x14ac:dyDescent="0.3">
      <c r="X5118" s="1">
        <f t="shared" si="158"/>
        <v>0</v>
      </c>
      <c r="Y5118" s="1">
        <f t="shared" si="159"/>
        <v>0</v>
      </c>
    </row>
    <row r="5119" spans="24:25" x14ac:dyDescent="0.3">
      <c r="X5119" s="1">
        <f t="shared" si="158"/>
        <v>0</v>
      </c>
      <c r="Y5119" s="1">
        <f t="shared" si="159"/>
        <v>0</v>
      </c>
    </row>
    <row r="5120" spans="24:25" x14ac:dyDescent="0.3">
      <c r="X5120" s="1">
        <f t="shared" si="158"/>
        <v>0</v>
      </c>
      <c r="Y5120" s="1">
        <f t="shared" si="159"/>
        <v>0</v>
      </c>
    </row>
    <row r="5121" spans="24:25" x14ac:dyDescent="0.3">
      <c r="X5121" s="1">
        <f t="shared" si="158"/>
        <v>0</v>
      </c>
      <c r="Y5121" s="1">
        <f t="shared" si="159"/>
        <v>0</v>
      </c>
    </row>
    <row r="5122" spans="24:25" x14ac:dyDescent="0.3">
      <c r="X5122" s="1">
        <f t="shared" si="158"/>
        <v>0</v>
      </c>
      <c r="Y5122" s="1">
        <f t="shared" si="159"/>
        <v>0</v>
      </c>
    </row>
    <row r="5123" spans="24:25" x14ac:dyDescent="0.3">
      <c r="X5123" s="1">
        <f t="shared" ref="X5123:X5186" si="160">IFERROR(MATCH(W5123,$B:$B,0),0)</f>
        <v>0</v>
      </c>
      <c r="Y5123" s="1">
        <f t="shared" ref="Y5123:Y5186" si="161">IF(X5124=0,COUNTA(A:A),X5124-1)</f>
        <v>0</v>
      </c>
    </row>
    <row r="5124" spans="24:25" x14ac:dyDescent="0.3">
      <c r="X5124" s="1">
        <f t="shared" si="160"/>
        <v>0</v>
      </c>
      <c r="Y5124" s="1">
        <f t="shared" si="161"/>
        <v>0</v>
      </c>
    </row>
    <row r="5125" spans="24:25" x14ac:dyDescent="0.3">
      <c r="X5125" s="1">
        <f t="shared" si="160"/>
        <v>0</v>
      </c>
      <c r="Y5125" s="1">
        <f t="shared" si="161"/>
        <v>0</v>
      </c>
    </row>
    <row r="5126" spans="24:25" x14ac:dyDescent="0.3">
      <c r="X5126" s="1">
        <f t="shared" si="160"/>
        <v>0</v>
      </c>
      <c r="Y5126" s="1">
        <f t="shared" si="161"/>
        <v>0</v>
      </c>
    </row>
    <row r="5127" spans="24:25" x14ac:dyDescent="0.3">
      <c r="X5127" s="1">
        <f t="shared" si="160"/>
        <v>0</v>
      </c>
      <c r="Y5127" s="1">
        <f t="shared" si="161"/>
        <v>0</v>
      </c>
    </row>
    <row r="5128" spans="24:25" x14ac:dyDescent="0.3">
      <c r="X5128" s="1">
        <f t="shared" si="160"/>
        <v>0</v>
      </c>
      <c r="Y5128" s="1">
        <f t="shared" si="161"/>
        <v>0</v>
      </c>
    </row>
    <row r="5129" spans="24:25" x14ac:dyDescent="0.3">
      <c r="X5129" s="1">
        <f t="shared" si="160"/>
        <v>0</v>
      </c>
      <c r="Y5129" s="1">
        <f t="shared" si="161"/>
        <v>0</v>
      </c>
    </row>
    <row r="5130" spans="24:25" x14ac:dyDescent="0.3">
      <c r="X5130" s="1">
        <f t="shared" si="160"/>
        <v>0</v>
      </c>
      <c r="Y5130" s="1">
        <f t="shared" si="161"/>
        <v>0</v>
      </c>
    </row>
    <row r="5131" spans="24:25" x14ac:dyDescent="0.3">
      <c r="X5131" s="1">
        <f t="shared" si="160"/>
        <v>0</v>
      </c>
      <c r="Y5131" s="1">
        <f t="shared" si="161"/>
        <v>0</v>
      </c>
    </row>
    <row r="5132" spans="24:25" x14ac:dyDescent="0.3">
      <c r="X5132" s="1">
        <f t="shared" si="160"/>
        <v>0</v>
      </c>
      <c r="Y5132" s="1">
        <f t="shared" si="161"/>
        <v>0</v>
      </c>
    </row>
    <row r="5133" spans="24:25" x14ac:dyDescent="0.3">
      <c r="X5133" s="1">
        <f t="shared" si="160"/>
        <v>0</v>
      </c>
      <c r="Y5133" s="1">
        <f t="shared" si="161"/>
        <v>0</v>
      </c>
    </row>
    <row r="5134" spans="24:25" x14ac:dyDescent="0.3">
      <c r="X5134" s="1">
        <f t="shared" si="160"/>
        <v>0</v>
      </c>
      <c r="Y5134" s="1">
        <f t="shared" si="161"/>
        <v>0</v>
      </c>
    </row>
    <row r="5135" spans="24:25" x14ac:dyDescent="0.3">
      <c r="X5135" s="1">
        <f t="shared" si="160"/>
        <v>0</v>
      </c>
      <c r="Y5135" s="1">
        <f t="shared" si="161"/>
        <v>0</v>
      </c>
    </row>
    <row r="5136" spans="24:25" x14ac:dyDescent="0.3">
      <c r="X5136" s="1">
        <f t="shared" si="160"/>
        <v>0</v>
      </c>
      <c r="Y5136" s="1">
        <f t="shared" si="161"/>
        <v>0</v>
      </c>
    </row>
    <row r="5137" spans="24:25" x14ac:dyDescent="0.3">
      <c r="X5137" s="1">
        <f t="shared" si="160"/>
        <v>0</v>
      </c>
      <c r="Y5137" s="1">
        <f t="shared" si="161"/>
        <v>0</v>
      </c>
    </row>
    <row r="5138" spans="24:25" x14ac:dyDescent="0.3">
      <c r="X5138" s="1">
        <f t="shared" si="160"/>
        <v>0</v>
      </c>
      <c r="Y5138" s="1">
        <f t="shared" si="161"/>
        <v>0</v>
      </c>
    </row>
    <row r="5139" spans="24:25" x14ac:dyDescent="0.3">
      <c r="X5139" s="1">
        <f t="shared" si="160"/>
        <v>0</v>
      </c>
      <c r="Y5139" s="1">
        <f t="shared" si="161"/>
        <v>0</v>
      </c>
    </row>
    <row r="5140" spans="24:25" x14ac:dyDescent="0.3">
      <c r="X5140" s="1">
        <f t="shared" si="160"/>
        <v>0</v>
      </c>
      <c r="Y5140" s="1">
        <f t="shared" si="161"/>
        <v>0</v>
      </c>
    </row>
    <row r="5141" spans="24:25" x14ac:dyDescent="0.3">
      <c r="X5141" s="1">
        <f t="shared" si="160"/>
        <v>0</v>
      </c>
      <c r="Y5141" s="1">
        <f t="shared" si="161"/>
        <v>0</v>
      </c>
    </row>
    <row r="5142" spans="24:25" x14ac:dyDescent="0.3">
      <c r="X5142" s="1">
        <f t="shared" si="160"/>
        <v>0</v>
      </c>
      <c r="Y5142" s="1">
        <f t="shared" si="161"/>
        <v>0</v>
      </c>
    </row>
    <row r="5143" spans="24:25" x14ac:dyDescent="0.3">
      <c r="X5143" s="1">
        <f t="shared" si="160"/>
        <v>0</v>
      </c>
      <c r="Y5143" s="1">
        <f t="shared" si="161"/>
        <v>0</v>
      </c>
    </row>
    <row r="5144" spans="24:25" x14ac:dyDescent="0.3">
      <c r="X5144" s="1">
        <f t="shared" si="160"/>
        <v>0</v>
      </c>
      <c r="Y5144" s="1">
        <f t="shared" si="161"/>
        <v>0</v>
      </c>
    </row>
    <row r="5145" spans="24:25" x14ac:dyDescent="0.3">
      <c r="X5145" s="1">
        <f t="shared" si="160"/>
        <v>0</v>
      </c>
      <c r="Y5145" s="1">
        <f t="shared" si="161"/>
        <v>0</v>
      </c>
    </row>
    <row r="5146" spans="24:25" x14ac:dyDescent="0.3">
      <c r="X5146" s="1">
        <f t="shared" si="160"/>
        <v>0</v>
      </c>
      <c r="Y5146" s="1">
        <f t="shared" si="161"/>
        <v>0</v>
      </c>
    </row>
    <row r="5147" spans="24:25" x14ac:dyDescent="0.3">
      <c r="X5147" s="1">
        <f t="shared" si="160"/>
        <v>0</v>
      </c>
      <c r="Y5147" s="1">
        <f t="shared" si="161"/>
        <v>0</v>
      </c>
    </row>
    <row r="5148" spans="24:25" x14ac:dyDescent="0.3">
      <c r="X5148" s="1">
        <f t="shared" si="160"/>
        <v>0</v>
      </c>
      <c r="Y5148" s="1">
        <f t="shared" si="161"/>
        <v>0</v>
      </c>
    </row>
    <row r="5149" spans="24:25" x14ac:dyDescent="0.3">
      <c r="X5149" s="1">
        <f t="shared" si="160"/>
        <v>0</v>
      </c>
      <c r="Y5149" s="1">
        <f t="shared" si="161"/>
        <v>0</v>
      </c>
    </row>
    <row r="5150" spans="24:25" x14ac:dyDescent="0.3">
      <c r="X5150" s="1">
        <f t="shared" si="160"/>
        <v>0</v>
      </c>
      <c r="Y5150" s="1">
        <f t="shared" si="161"/>
        <v>0</v>
      </c>
    </row>
    <row r="5151" spans="24:25" x14ac:dyDescent="0.3">
      <c r="X5151" s="1">
        <f t="shared" si="160"/>
        <v>0</v>
      </c>
      <c r="Y5151" s="1">
        <f t="shared" si="161"/>
        <v>0</v>
      </c>
    </row>
    <row r="5152" spans="24:25" x14ac:dyDescent="0.3">
      <c r="X5152" s="1">
        <f t="shared" si="160"/>
        <v>0</v>
      </c>
      <c r="Y5152" s="1">
        <f t="shared" si="161"/>
        <v>0</v>
      </c>
    </row>
    <row r="5153" spans="24:25" x14ac:dyDescent="0.3">
      <c r="X5153" s="1">
        <f t="shared" si="160"/>
        <v>0</v>
      </c>
      <c r="Y5153" s="1">
        <f t="shared" si="161"/>
        <v>0</v>
      </c>
    </row>
    <row r="5154" spans="24:25" x14ac:dyDescent="0.3">
      <c r="X5154" s="1">
        <f t="shared" si="160"/>
        <v>0</v>
      </c>
      <c r="Y5154" s="1">
        <f t="shared" si="161"/>
        <v>0</v>
      </c>
    </row>
    <row r="5155" spans="24:25" x14ac:dyDescent="0.3">
      <c r="X5155" s="1">
        <f t="shared" si="160"/>
        <v>0</v>
      </c>
      <c r="Y5155" s="1">
        <f t="shared" si="161"/>
        <v>0</v>
      </c>
    </row>
    <row r="5156" spans="24:25" x14ac:dyDescent="0.3">
      <c r="X5156" s="1">
        <f t="shared" si="160"/>
        <v>0</v>
      </c>
      <c r="Y5156" s="1">
        <f t="shared" si="161"/>
        <v>0</v>
      </c>
    </row>
    <row r="5157" spans="24:25" x14ac:dyDescent="0.3">
      <c r="X5157" s="1">
        <f t="shared" si="160"/>
        <v>0</v>
      </c>
      <c r="Y5157" s="1">
        <f t="shared" si="161"/>
        <v>0</v>
      </c>
    </row>
    <row r="5158" spans="24:25" x14ac:dyDescent="0.3">
      <c r="X5158" s="1">
        <f t="shared" si="160"/>
        <v>0</v>
      </c>
      <c r="Y5158" s="1">
        <f t="shared" si="161"/>
        <v>0</v>
      </c>
    </row>
    <row r="5159" spans="24:25" x14ac:dyDescent="0.3">
      <c r="X5159" s="1">
        <f t="shared" si="160"/>
        <v>0</v>
      </c>
      <c r="Y5159" s="1">
        <f t="shared" si="161"/>
        <v>0</v>
      </c>
    </row>
    <row r="5160" spans="24:25" x14ac:dyDescent="0.3">
      <c r="X5160" s="1">
        <f t="shared" si="160"/>
        <v>0</v>
      </c>
      <c r="Y5160" s="1">
        <f t="shared" si="161"/>
        <v>0</v>
      </c>
    </row>
    <row r="5161" spans="24:25" x14ac:dyDescent="0.3">
      <c r="X5161" s="1">
        <f t="shared" si="160"/>
        <v>0</v>
      </c>
      <c r="Y5161" s="1">
        <f t="shared" si="161"/>
        <v>0</v>
      </c>
    </row>
    <row r="5162" spans="24:25" x14ac:dyDescent="0.3">
      <c r="X5162" s="1">
        <f t="shared" si="160"/>
        <v>0</v>
      </c>
      <c r="Y5162" s="1">
        <f t="shared" si="161"/>
        <v>0</v>
      </c>
    </row>
    <row r="5163" spans="24:25" x14ac:dyDescent="0.3">
      <c r="X5163" s="1">
        <f t="shared" si="160"/>
        <v>0</v>
      </c>
      <c r="Y5163" s="1">
        <f t="shared" si="161"/>
        <v>0</v>
      </c>
    </row>
    <row r="5164" spans="24:25" x14ac:dyDescent="0.3">
      <c r="X5164" s="1">
        <f t="shared" si="160"/>
        <v>0</v>
      </c>
      <c r="Y5164" s="1">
        <f t="shared" si="161"/>
        <v>0</v>
      </c>
    </row>
    <row r="5165" spans="24:25" x14ac:dyDescent="0.3">
      <c r="X5165" s="1">
        <f t="shared" si="160"/>
        <v>0</v>
      </c>
      <c r="Y5165" s="1">
        <f t="shared" si="161"/>
        <v>0</v>
      </c>
    </row>
    <row r="5166" spans="24:25" x14ac:dyDescent="0.3">
      <c r="X5166" s="1">
        <f t="shared" si="160"/>
        <v>0</v>
      </c>
      <c r="Y5166" s="1">
        <f t="shared" si="161"/>
        <v>0</v>
      </c>
    </row>
    <row r="5167" spans="24:25" x14ac:dyDescent="0.3">
      <c r="X5167" s="1">
        <f t="shared" si="160"/>
        <v>0</v>
      </c>
      <c r="Y5167" s="1">
        <f t="shared" si="161"/>
        <v>0</v>
      </c>
    </row>
    <row r="5168" spans="24:25" x14ac:dyDescent="0.3">
      <c r="X5168" s="1">
        <f t="shared" si="160"/>
        <v>0</v>
      </c>
      <c r="Y5168" s="1">
        <f t="shared" si="161"/>
        <v>0</v>
      </c>
    </row>
    <row r="5169" spans="24:25" x14ac:dyDescent="0.3">
      <c r="X5169" s="1">
        <f t="shared" si="160"/>
        <v>0</v>
      </c>
      <c r="Y5169" s="1">
        <f t="shared" si="161"/>
        <v>0</v>
      </c>
    </row>
    <row r="5170" spans="24:25" x14ac:dyDescent="0.3">
      <c r="X5170" s="1">
        <f t="shared" si="160"/>
        <v>0</v>
      </c>
      <c r="Y5170" s="1">
        <f t="shared" si="161"/>
        <v>0</v>
      </c>
    </row>
    <row r="5171" spans="24:25" x14ac:dyDescent="0.3">
      <c r="X5171" s="1">
        <f t="shared" si="160"/>
        <v>0</v>
      </c>
      <c r="Y5171" s="1">
        <f t="shared" si="161"/>
        <v>0</v>
      </c>
    </row>
    <row r="5172" spans="24:25" x14ac:dyDescent="0.3">
      <c r="X5172" s="1">
        <f t="shared" si="160"/>
        <v>0</v>
      </c>
      <c r="Y5172" s="1">
        <f t="shared" si="161"/>
        <v>0</v>
      </c>
    </row>
    <row r="5173" spans="24:25" x14ac:dyDescent="0.3">
      <c r="X5173" s="1">
        <f t="shared" si="160"/>
        <v>0</v>
      </c>
      <c r="Y5173" s="1">
        <f t="shared" si="161"/>
        <v>0</v>
      </c>
    </row>
    <row r="5174" spans="24:25" x14ac:dyDescent="0.3">
      <c r="X5174" s="1">
        <f t="shared" si="160"/>
        <v>0</v>
      </c>
      <c r="Y5174" s="1">
        <f t="shared" si="161"/>
        <v>0</v>
      </c>
    </row>
    <row r="5175" spans="24:25" x14ac:dyDescent="0.3">
      <c r="X5175" s="1">
        <f t="shared" si="160"/>
        <v>0</v>
      </c>
      <c r="Y5175" s="1">
        <f t="shared" si="161"/>
        <v>0</v>
      </c>
    </row>
    <row r="5176" spans="24:25" x14ac:dyDescent="0.3">
      <c r="X5176" s="1">
        <f t="shared" si="160"/>
        <v>0</v>
      </c>
      <c r="Y5176" s="1">
        <f t="shared" si="161"/>
        <v>0</v>
      </c>
    </row>
    <row r="5177" spans="24:25" x14ac:dyDescent="0.3">
      <c r="X5177" s="1">
        <f t="shared" si="160"/>
        <v>0</v>
      </c>
      <c r="Y5177" s="1">
        <f t="shared" si="161"/>
        <v>0</v>
      </c>
    </row>
    <row r="5178" spans="24:25" x14ac:dyDescent="0.3">
      <c r="X5178" s="1">
        <f t="shared" si="160"/>
        <v>0</v>
      </c>
      <c r="Y5178" s="1">
        <f t="shared" si="161"/>
        <v>0</v>
      </c>
    </row>
    <row r="5179" spans="24:25" x14ac:dyDescent="0.3">
      <c r="X5179" s="1">
        <f t="shared" si="160"/>
        <v>0</v>
      </c>
      <c r="Y5179" s="1">
        <f t="shared" si="161"/>
        <v>0</v>
      </c>
    </row>
    <row r="5180" spans="24:25" x14ac:dyDescent="0.3">
      <c r="X5180" s="1">
        <f t="shared" si="160"/>
        <v>0</v>
      </c>
      <c r="Y5180" s="1">
        <f t="shared" si="161"/>
        <v>0</v>
      </c>
    </row>
    <row r="5181" spans="24:25" x14ac:dyDescent="0.3">
      <c r="X5181" s="1">
        <f t="shared" si="160"/>
        <v>0</v>
      </c>
      <c r="Y5181" s="1">
        <f t="shared" si="161"/>
        <v>0</v>
      </c>
    </row>
    <row r="5182" spans="24:25" x14ac:dyDescent="0.3">
      <c r="X5182" s="1">
        <f t="shared" si="160"/>
        <v>0</v>
      </c>
      <c r="Y5182" s="1">
        <f t="shared" si="161"/>
        <v>0</v>
      </c>
    </row>
    <row r="5183" spans="24:25" x14ac:dyDescent="0.3">
      <c r="X5183" s="1">
        <f t="shared" si="160"/>
        <v>0</v>
      </c>
      <c r="Y5183" s="1">
        <f t="shared" si="161"/>
        <v>0</v>
      </c>
    </row>
    <row r="5184" spans="24:25" x14ac:dyDescent="0.3">
      <c r="X5184" s="1">
        <f t="shared" si="160"/>
        <v>0</v>
      </c>
      <c r="Y5184" s="1">
        <f t="shared" si="161"/>
        <v>0</v>
      </c>
    </row>
    <row r="5185" spans="24:25" x14ac:dyDescent="0.3">
      <c r="X5185" s="1">
        <f t="shared" si="160"/>
        <v>0</v>
      </c>
      <c r="Y5185" s="1">
        <f t="shared" si="161"/>
        <v>0</v>
      </c>
    </row>
    <row r="5186" spans="24:25" x14ac:dyDescent="0.3">
      <c r="X5186" s="1">
        <f t="shared" si="160"/>
        <v>0</v>
      </c>
      <c r="Y5186" s="1">
        <f t="shared" si="161"/>
        <v>0</v>
      </c>
    </row>
    <row r="5187" spans="24:25" x14ac:dyDescent="0.3">
      <c r="X5187" s="1">
        <f t="shared" ref="X5187:X5250" si="162">IFERROR(MATCH(W5187,$B:$B,0),0)</f>
        <v>0</v>
      </c>
      <c r="Y5187" s="1">
        <f t="shared" ref="Y5187:Y5250" si="163">IF(X5188=0,COUNTA(A:A),X5188-1)</f>
        <v>0</v>
      </c>
    </row>
    <row r="5188" spans="24:25" x14ac:dyDescent="0.3">
      <c r="X5188" s="1">
        <f t="shared" si="162"/>
        <v>0</v>
      </c>
      <c r="Y5188" s="1">
        <f t="shared" si="163"/>
        <v>0</v>
      </c>
    </row>
    <row r="5189" spans="24:25" x14ac:dyDescent="0.3">
      <c r="X5189" s="1">
        <f t="shared" si="162"/>
        <v>0</v>
      </c>
      <c r="Y5189" s="1">
        <f t="shared" si="163"/>
        <v>0</v>
      </c>
    </row>
    <row r="5190" spans="24:25" x14ac:dyDescent="0.3">
      <c r="X5190" s="1">
        <f t="shared" si="162"/>
        <v>0</v>
      </c>
      <c r="Y5190" s="1">
        <f t="shared" si="163"/>
        <v>0</v>
      </c>
    </row>
    <row r="5191" spans="24:25" x14ac:dyDescent="0.3">
      <c r="X5191" s="1">
        <f t="shared" si="162"/>
        <v>0</v>
      </c>
      <c r="Y5191" s="1">
        <f t="shared" si="163"/>
        <v>0</v>
      </c>
    </row>
    <row r="5192" spans="24:25" x14ac:dyDescent="0.3">
      <c r="X5192" s="1">
        <f t="shared" si="162"/>
        <v>0</v>
      </c>
      <c r="Y5192" s="1">
        <f t="shared" si="163"/>
        <v>0</v>
      </c>
    </row>
    <row r="5193" spans="24:25" x14ac:dyDescent="0.3">
      <c r="X5193" s="1">
        <f t="shared" si="162"/>
        <v>0</v>
      </c>
      <c r="Y5193" s="1">
        <f t="shared" si="163"/>
        <v>0</v>
      </c>
    </row>
    <row r="5194" spans="24:25" x14ac:dyDescent="0.3">
      <c r="X5194" s="1">
        <f t="shared" si="162"/>
        <v>0</v>
      </c>
      <c r="Y5194" s="1">
        <f t="shared" si="163"/>
        <v>0</v>
      </c>
    </row>
    <row r="5195" spans="24:25" x14ac:dyDescent="0.3">
      <c r="X5195" s="1">
        <f t="shared" si="162"/>
        <v>0</v>
      </c>
      <c r="Y5195" s="1">
        <f t="shared" si="163"/>
        <v>0</v>
      </c>
    </row>
    <row r="5196" spans="24:25" x14ac:dyDescent="0.3">
      <c r="X5196" s="1">
        <f t="shared" si="162"/>
        <v>0</v>
      </c>
      <c r="Y5196" s="1">
        <f t="shared" si="163"/>
        <v>0</v>
      </c>
    </row>
    <row r="5197" spans="24:25" x14ac:dyDescent="0.3">
      <c r="X5197" s="1">
        <f t="shared" si="162"/>
        <v>0</v>
      </c>
      <c r="Y5197" s="1">
        <f t="shared" si="163"/>
        <v>0</v>
      </c>
    </row>
    <row r="5198" spans="24:25" x14ac:dyDescent="0.3">
      <c r="X5198" s="1">
        <f t="shared" si="162"/>
        <v>0</v>
      </c>
      <c r="Y5198" s="1">
        <f t="shared" si="163"/>
        <v>0</v>
      </c>
    </row>
    <row r="5199" spans="24:25" x14ac:dyDescent="0.3">
      <c r="X5199" s="1">
        <f t="shared" si="162"/>
        <v>0</v>
      </c>
      <c r="Y5199" s="1">
        <f t="shared" si="163"/>
        <v>0</v>
      </c>
    </row>
    <row r="5200" spans="24:25" x14ac:dyDescent="0.3">
      <c r="X5200" s="1">
        <f t="shared" si="162"/>
        <v>0</v>
      </c>
      <c r="Y5200" s="1">
        <f t="shared" si="163"/>
        <v>0</v>
      </c>
    </row>
    <row r="5201" spans="24:25" x14ac:dyDescent="0.3">
      <c r="X5201" s="1">
        <f t="shared" si="162"/>
        <v>0</v>
      </c>
      <c r="Y5201" s="1">
        <f t="shared" si="163"/>
        <v>0</v>
      </c>
    </row>
    <row r="5202" spans="24:25" x14ac:dyDescent="0.3">
      <c r="X5202" s="1">
        <f t="shared" si="162"/>
        <v>0</v>
      </c>
      <c r="Y5202" s="1">
        <f t="shared" si="163"/>
        <v>0</v>
      </c>
    </row>
    <row r="5203" spans="24:25" x14ac:dyDescent="0.3">
      <c r="X5203" s="1">
        <f t="shared" si="162"/>
        <v>0</v>
      </c>
      <c r="Y5203" s="1">
        <f t="shared" si="163"/>
        <v>0</v>
      </c>
    </row>
    <row r="5204" spans="24:25" x14ac:dyDescent="0.3">
      <c r="X5204" s="1">
        <f t="shared" si="162"/>
        <v>0</v>
      </c>
      <c r="Y5204" s="1">
        <f t="shared" si="163"/>
        <v>0</v>
      </c>
    </row>
    <row r="5205" spans="24:25" x14ac:dyDescent="0.3">
      <c r="X5205" s="1">
        <f t="shared" si="162"/>
        <v>0</v>
      </c>
      <c r="Y5205" s="1">
        <f t="shared" si="163"/>
        <v>0</v>
      </c>
    </row>
    <row r="5206" spans="24:25" x14ac:dyDescent="0.3">
      <c r="X5206" s="1">
        <f t="shared" si="162"/>
        <v>0</v>
      </c>
      <c r="Y5206" s="1">
        <f t="shared" si="163"/>
        <v>0</v>
      </c>
    </row>
    <row r="5207" spans="24:25" x14ac:dyDescent="0.3">
      <c r="X5207" s="1">
        <f t="shared" si="162"/>
        <v>0</v>
      </c>
      <c r="Y5207" s="1">
        <f t="shared" si="163"/>
        <v>0</v>
      </c>
    </row>
    <row r="5208" spans="24:25" x14ac:dyDescent="0.3">
      <c r="X5208" s="1">
        <f t="shared" si="162"/>
        <v>0</v>
      </c>
      <c r="Y5208" s="1">
        <f t="shared" si="163"/>
        <v>0</v>
      </c>
    </row>
    <row r="5209" spans="24:25" x14ac:dyDescent="0.3">
      <c r="X5209" s="1">
        <f t="shared" si="162"/>
        <v>0</v>
      </c>
      <c r="Y5209" s="1">
        <f t="shared" si="163"/>
        <v>0</v>
      </c>
    </row>
    <row r="5210" spans="24:25" x14ac:dyDescent="0.3">
      <c r="X5210" s="1">
        <f t="shared" si="162"/>
        <v>0</v>
      </c>
      <c r="Y5210" s="1">
        <f t="shared" si="163"/>
        <v>0</v>
      </c>
    </row>
    <row r="5211" spans="24:25" x14ac:dyDescent="0.3">
      <c r="X5211" s="1">
        <f t="shared" si="162"/>
        <v>0</v>
      </c>
      <c r="Y5211" s="1">
        <f t="shared" si="163"/>
        <v>0</v>
      </c>
    </row>
    <row r="5212" spans="24:25" x14ac:dyDescent="0.3">
      <c r="X5212" s="1">
        <f t="shared" si="162"/>
        <v>0</v>
      </c>
      <c r="Y5212" s="1">
        <f t="shared" si="163"/>
        <v>0</v>
      </c>
    </row>
    <row r="5213" spans="24:25" x14ac:dyDescent="0.3">
      <c r="X5213" s="1">
        <f t="shared" si="162"/>
        <v>0</v>
      </c>
      <c r="Y5213" s="1">
        <f t="shared" si="163"/>
        <v>0</v>
      </c>
    </row>
    <row r="5214" spans="24:25" x14ac:dyDescent="0.3">
      <c r="X5214" s="1">
        <f t="shared" si="162"/>
        <v>0</v>
      </c>
      <c r="Y5214" s="1">
        <f t="shared" si="163"/>
        <v>0</v>
      </c>
    </row>
    <row r="5215" spans="24:25" x14ac:dyDescent="0.3">
      <c r="X5215" s="1">
        <f t="shared" si="162"/>
        <v>0</v>
      </c>
      <c r="Y5215" s="1">
        <f t="shared" si="163"/>
        <v>0</v>
      </c>
    </row>
    <row r="5216" spans="24:25" x14ac:dyDescent="0.3">
      <c r="X5216" s="1">
        <f t="shared" si="162"/>
        <v>0</v>
      </c>
      <c r="Y5216" s="1">
        <f t="shared" si="163"/>
        <v>0</v>
      </c>
    </row>
    <row r="5217" spans="24:25" x14ac:dyDescent="0.3">
      <c r="X5217" s="1">
        <f t="shared" si="162"/>
        <v>0</v>
      </c>
      <c r="Y5217" s="1">
        <f t="shared" si="163"/>
        <v>0</v>
      </c>
    </row>
    <row r="5218" spans="24:25" x14ac:dyDescent="0.3">
      <c r="X5218" s="1">
        <f t="shared" si="162"/>
        <v>0</v>
      </c>
      <c r="Y5218" s="1">
        <f t="shared" si="163"/>
        <v>0</v>
      </c>
    </row>
    <row r="5219" spans="24:25" x14ac:dyDescent="0.3">
      <c r="X5219" s="1">
        <f t="shared" si="162"/>
        <v>0</v>
      </c>
      <c r="Y5219" s="1">
        <f t="shared" si="163"/>
        <v>0</v>
      </c>
    </row>
    <row r="5220" spans="24:25" x14ac:dyDescent="0.3">
      <c r="X5220" s="1">
        <f t="shared" si="162"/>
        <v>0</v>
      </c>
      <c r="Y5220" s="1">
        <f t="shared" si="163"/>
        <v>0</v>
      </c>
    </row>
    <row r="5221" spans="24:25" x14ac:dyDescent="0.3">
      <c r="X5221" s="1">
        <f t="shared" si="162"/>
        <v>0</v>
      </c>
      <c r="Y5221" s="1">
        <f t="shared" si="163"/>
        <v>0</v>
      </c>
    </row>
    <row r="5222" spans="24:25" x14ac:dyDescent="0.3">
      <c r="X5222" s="1">
        <f t="shared" si="162"/>
        <v>0</v>
      </c>
      <c r="Y5222" s="1">
        <f t="shared" si="163"/>
        <v>0</v>
      </c>
    </row>
    <row r="5223" spans="24:25" x14ac:dyDescent="0.3">
      <c r="X5223" s="1">
        <f t="shared" si="162"/>
        <v>0</v>
      </c>
      <c r="Y5223" s="1">
        <f t="shared" si="163"/>
        <v>0</v>
      </c>
    </row>
    <row r="5224" spans="24:25" x14ac:dyDescent="0.3">
      <c r="X5224" s="1">
        <f t="shared" si="162"/>
        <v>0</v>
      </c>
      <c r="Y5224" s="1">
        <f t="shared" si="163"/>
        <v>0</v>
      </c>
    </row>
    <row r="5225" spans="24:25" x14ac:dyDescent="0.3">
      <c r="X5225" s="1">
        <f t="shared" si="162"/>
        <v>0</v>
      </c>
      <c r="Y5225" s="1">
        <f t="shared" si="163"/>
        <v>0</v>
      </c>
    </row>
    <row r="5226" spans="24:25" x14ac:dyDescent="0.3">
      <c r="X5226" s="1">
        <f t="shared" si="162"/>
        <v>0</v>
      </c>
      <c r="Y5226" s="1">
        <f t="shared" si="163"/>
        <v>0</v>
      </c>
    </row>
    <row r="5227" spans="24:25" x14ac:dyDescent="0.3">
      <c r="X5227" s="1">
        <f t="shared" si="162"/>
        <v>0</v>
      </c>
      <c r="Y5227" s="1">
        <f t="shared" si="163"/>
        <v>0</v>
      </c>
    </row>
    <row r="5228" spans="24:25" x14ac:dyDescent="0.3">
      <c r="X5228" s="1">
        <f t="shared" si="162"/>
        <v>0</v>
      </c>
      <c r="Y5228" s="1">
        <f t="shared" si="163"/>
        <v>0</v>
      </c>
    </row>
    <row r="5229" spans="24:25" x14ac:dyDescent="0.3">
      <c r="X5229" s="1">
        <f t="shared" si="162"/>
        <v>0</v>
      </c>
      <c r="Y5229" s="1">
        <f t="shared" si="163"/>
        <v>0</v>
      </c>
    </row>
    <row r="5230" spans="24:25" x14ac:dyDescent="0.3">
      <c r="X5230" s="1">
        <f t="shared" si="162"/>
        <v>0</v>
      </c>
      <c r="Y5230" s="1">
        <f t="shared" si="163"/>
        <v>0</v>
      </c>
    </row>
    <row r="5231" spans="24:25" x14ac:dyDescent="0.3">
      <c r="X5231" s="1">
        <f t="shared" si="162"/>
        <v>0</v>
      </c>
      <c r="Y5231" s="1">
        <f t="shared" si="163"/>
        <v>0</v>
      </c>
    </row>
    <row r="5232" spans="24:25" x14ac:dyDescent="0.3">
      <c r="X5232" s="1">
        <f t="shared" si="162"/>
        <v>0</v>
      </c>
      <c r="Y5232" s="1">
        <f t="shared" si="163"/>
        <v>0</v>
      </c>
    </row>
    <row r="5233" spans="24:25" x14ac:dyDescent="0.3">
      <c r="X5233" s="1">
        <f t="shared" si="162"/>
        <v>0</v>
      </c>
      <c r="Y5233" s="1">
        <f t="shared" si="163"/>
        <v>0</v>
      </c>
    </row>
    <row r="5234" spans="24:25" x14ac:dyDescent="0.3">
      <c r="X5234" s="1">
        <f t="shared" si="162"/>
        <v>0</v>
      </c>
      <c r="Y5234" s="1">
        <f t="shared" si="163"/>
        <v>0</v>
      </c>
    </row>
    <row r="5235" spans="24:25" x14ac:dyDescent="0.3">
      <c r="X5235" s="1">
        <f t="shared" si="162"/>
        <v>0</v>
      </c>
      <c r="Y5235" s="1">
        <f t="shared" si="163"/>
        <v>0</v>
      </c>
    </row>
    <row r="5236" spans="24:25" x14ac:dyDescent="0.3">
      <c r="X5236" s="1">
        <f t="shared" si="162"/>
        <v>0</v>
      </c>
      <c r="Y5236" s="1">
        <f t="shared" si="163"/>
        <v>0</v>
      </c>
    </row>
    <row r="5237" spans="24:25" x14ac:dyDescent="0.3">
      <c r="X5237" s="1">
        <f t="shared" si="162"/>
        <v>0</v>
      </c>
      <c r="Y5237" s="1">
        <f t="shared" si="163"/>
        <v>0</v>
      </c>
    </row>
    <row r="5238" spans="24:25" x14ac:dyDescent="0.3">
      <c r="X5238" s="1">
        <f t="shared" si="162"/>
        <v>0</v>
      </c>
      <c r="Y5238" s="1">
        <f t="shared" si="163"/>
        <v>0</v>
      </c>
    </row>
    <row r="5239" spans="24:25" x14ac:dyDescent="0.3">
      <c r="X5239" s="1">
        <f t="shared" si="162"/>
        <v>0</v>
      </c>
      <c r="Y5239" s="1">
        <f t="shared" si="163"/>
        <v>0</v>
      </c>
    </row>
    <row r="5240" spans="24:25" x14ac:dyDescent="0.3">
      <c r="X5240" s="1">
        <f t="shared" si="162"/>
        <v>0</v>
      </c>
      <c r="Y5240" s="1">
        <f t="shared" si="163"/>
        <v>0</v>
      </c>
    </row>
    <row r="5241" spans="24:25" x14ac:dyDescent="0.3">
      <c r="X5241" s="1">
        <f t="shared" si="162"/>
        <v>0</v>
      </c>
      <c r="Y5241" s="1">
        <f t="shared" si="163"/>
        <v>0</v>
      </c>
    </row>
    <row r="5242" spans="24:25" x14ac:dyDescent="0.3">
      <c r="X5242" s="1">
        <f t="shared" si="162"/>
        <v>0</v>
      </c>
      <c r="Y5242" s="1">
        <f t="shared" si="163"/>
        <v>0</v>
      </c>
    </row>
    <row r="5243" spans="24:25" x14ac:dyDescent="0.3">
      <c r="X5243" s="1">
        <f t="shared" si="162"/>
        <v>0</v>
      </c>
      <c r="Y5243" s="1">
        <f t="shared" si="163"/>
        <v>0</v>
      </c>
    </row>
    <row r="5244" spans="24:25" x14ac:dyDescent="0.3">
      <c r="X5244" s="1">
        <f t="shared" si="162"/>
        <v>0</v>
      </c>
      <c r="Y5244" s="1">
        <f t="shared" si="163"/>
        <v>0</v>
      </c>
    </row>
    <row r="5245" spans="24:25" x14ac:dyDescent="0.3">
      <c r="X5245" s="1">
        <f t="shared" si="162"/>
        <v>0</v>
      </c>
      <c r="Y5245" s="1">
        <f t="shared" si="163"/>
        <v>0</v>
      </c>
    </row>
    <row r="5246" spans="24:25" x14ac:dyDescent="0.3">
      <c r="X5246" s="1">
        <f t="shared" si="162"/>
        <v>0</v>
      </c>
      <c r="Y5246" s="1">
        <f t="shared" si="163"/>
        <v>0</v>
      </c>
    </row>
    <row r="5247" spans="24:25" x14ac:dyDescent="0.3">
      <c r="X5247" s="1">
        <f t="shared" si="162"/>
        <v>0</v>
      </c>
      <c r="Y5247" s="1">
        <f t="shared" si="163"/>
        <v>0</v>
      </c>
    </row>
    <row r="5248" spans="24:25" x14ac:dyDescent="0.3">
      <c r="X5248" s="1">
        <f t="shared" si="162"/>
        <v>0</v>
      </c>
      <c r="Y5248" s="1">
        <f t="shared" si="163"/>
        <v>0</v>
      </c>
    </row>
    <row r="5249" spans="24:25" x14ac:dyDescent="0.3">
      <c r="X5249" s="1">
        <f t="shared" si="162"/>
        <v>0</v>
      </c>
      <c r="Y5249" s="1">
        <f t="shared" si="163"/>
        <v>0</v>
      </c>
    </row>
    <row r="5250" spans="24:25" x14ac:dyDescent="0.3">
      <c r="X5250" s="1">
        <f t="shared" si="162"/>
        <v>0</v>
      </c>
      <c r="Y5250" s="1">
        <f t="shared" si="163"/>
        <v>0</v>
      </c>
    </row>
    <row r="5251" spans="24:25" x14ac:dyDescent="0.3">
      <c r="X5251" s="1">
        <f t="shared" ref="X5251:X5314" si="164">IFERROR(MATCH(W5251,$B:$B,0),0)</f>
        <v>0</v>
      </c>
      <c r="Y5251" s="1">
        <f t="shared" ref="Y5251:Y5314" si="165">IF(X5252=0,COUNTA(A:A),X5252-1)</f>
        <v>0</v>
      </c>
    </row>
    <row r="5252" spans="24:25" x14ac:dyDescent="0.3">
      <c r="X5252" s="1">
        <f t="shared" si="164"/>
        <v>0</v>
      </c>
      <c r="Y5252" s="1">
        <f t="shared" si="165"/>
        <v>0</v>
      </c>
    </row>
    <row r="5253" spans="24:25" x14ac:dyDescent="0.3">
      <c r="X5253" s="1">
        <f t="shared" si="164"/>
        <v>0</v>
      </c>
      <c r="Y5253" s="1">
        <f t="shared" si="165"/>
        <v>0</v>
      </c>
    </row>
    <row r="5254" spans="24:25" x14ac:dyDescent="0.3">
      <c r="X5254" s="1">
        <f t="shared" si="164"/>
        <v>0</v>
      </c>
      <c r="Y5254" s="1">
        <f t="shared" si="165"/>
        <v>0</v>
      </c>
    </row>
    <row r="5255" spans="24:25" x14ac:dyDescent="0.3">
      <c r="X5255" s="1">
        <f t="shared" si="164"/>
        <v>0</v>
      </c>
      <c r="Y5255" s="1">
        <f t="shared" si="165"/>
        <v>0</v>
      </c>
    </row>
    <row r="5256" spans="24:25" x14ac:dyDescent="0.3">
      <c r="X5256" s="1">
        <f t="shared" si="164"/>
        <v>0</v>
      </c>
      <c r="Y5256" s="1">
        <f t="shared" si="165"/>
        <v>0</v>
      </c>
    </row>
    <row r="5257" spans="24:25" x14ac:dyDescent="0.3">
      <c r="X5257" s="1">
        <f t="shared" si="164"/>
        <v>0</v>
      </c>
      <c r="Y5257" s="1">
        <f t="shared" si="165"/>
        <v>0</v>
      </c>
    </row>
    <row r="5258" spans="24:25" x14ac:dyDescent="0.3">
      <c r="X5258" s="1">
        <f t="shared" si="164"/>
        <v>0</v>
      </c>
      <c r="Y5258" s="1">
        <f t="shared" si="165"/>
        <v>0</v>
      </c>
    </row>
    <row r="5259" spans="24:25" x14ac:dyDescent="0.3">
      <c r="X5259" s="1">
        <f t="shared" si="164"/>
        <v>0</v>
      </c>
      <c r="Y5259" s="1">
        <f t="shared" si="165"/>
        <v>0</v>
      </c>
    </row>
    <row r="5260" spans="24:25" x14ac:dyDescent="0.3">
      <c r="X5260" s="1">
        <f t="shared" si="164"/>
        <v>0</v>
      </c>
      <c r="Y5260" s="1">
        <f t="shared" si="165"/>
        <v>0</v>
      </c>
    </row>
    <row r="5261" spans="24:25" x14ac:dyDescent="0.3">
      <c r="X5261" s="1">
        <f t="shared" si="164"/>
        <v>0</v>
      </c>
      <c r="Y5261" s="1">
        <f t="shared" si="165"/>
        <v>0</v>
      </c>
    </row>
    <row r="5262" spans="24:25" x14ac:dyDescent="0.3">
      <c r="X5262" s="1">
        <f t="shared" si="164"/>
        <v>0</v>
      </c>
      <c r="Y5262" s="1">
        <f t="shared" si="165"/>
        <v>0</v>
      </c>
    </row>
    <row r="5263" spans="24:25" x14ac:dyDescent="0.3">
      <c r="X5263" s="1">
        <f t="shared" si="164"/>
        <v>0</v>
      </c>
      <c r="Y5263" s="1">
        <f t="shared" si="165"/>
        <v>0</v>
      </c>
    </row>
    <row r="5264" spans="24:25" x14ac:dyDescent="0.3">
      <c r="X5264" s="1">
        <f t="shared" si="164"/>
        <v>0</v>
      </c>
      <c r="Y5264" s="1">
        <f t="shared" si="165"/>
        <v>0</v>
      </c>
    </row>
    <row r="5265" spans="24:25" x14ac:dyDescent="0.3">
      <c r="X5265" s="1">
        <f t="shared" si="164"/>
        <v>0</v>
      </c>
      <c r="Y5265" s="1">
        <f t="shared" si="165"/>
        <v>0</v>
      </c>
    </row>
    <row r="5266" spans="24:25" x14ac:dyDescent="0.3">
      <c r="X5266" s="1">
        <f t="shared" si="164"/>
        <v>0</v>
      </c>
      <c r="Y5266" s="1">
        <f t="shared" si="165"/>
        <v>0</v>
      </c>
    </row>
    <row r="5267" spans="24:25" x14ac:dyDescent="0.3">
      <c r="X5267" s="1">
        <f t="shared" si="164"/>
        <v>0</v>
      </c>
      <c r="Y5267" s="1">
        <f t="shared" si="165"/>
        <v>0</v>
      </c>
    </row>
    <row r="5268" spans="24:25" x14ac:dyDescent="0.3">
      <c r="X5268" s="1">
        <f t="shared" si="164"/>
        <v>0</v>
      </c>
      <c r="Y5268" s="1">
        <f t="shared" si="165"/>
        <v>0</v>
      </c>
    </row>
    <row r="5269" spans="24:25" x14ac:dyDescent="0.3">
      <c r="X5269" s="1">
        <f t="shared" si="164"/>
        <v>0</v>
      </c>
      <c r="Y5269" s="1">
        <f t="shared" si="165"/>
        <v>0</v>
      </c>
    </row>
    <row r="5270" spans="24:25" x14ac:dyDescent="0.3">
      <c r="X5270" s="1">
        <f t="shared" si="164"/>
        <v>0</v>
      </c>
      <c r="Y5270" s="1">
        <f t="shared" si="165"/>
        <v>0</v>
      </c>
    </row>
    <row r="5271" spans="24:25" x14ac:dyDescent="0.3">
      <c r="X5271" s="1">
        <f t="shared" si="164"/>
        <v>0</v>
      </c>
      <c r="Y5271" s="1">
        <f t="shared" si="165"/>
        <v>0</v>
      </c>
    </row>
    <row r="5272" spans="24:25" x14ac:dyDescent="0.3">
      <c r="X5272" s="1">
        <f t="shared" si="164"/>
        <v>0</v>
      </c>
      <c r="Y5272" s="1">
        <f t="shared" si="165"/>
        <v>0</v>
      </c>
    </row>
    <row r="5273" spans="24:25" x14ac:dyDescent="0.3">
      <c r="X5273" s="1">
        <f t="shared" si="164"/>
        <v>0</v>
      </c>
      <c r="Y5273" s="1">
        <f t="shared" si="165"/>
        <v>0</v>
      </c>
    </row>
    <row r="5274" spans="24:25" x14ac:dyDescent="0.3">
      <c r="X5274" s="1">
        <f t="shared" si="164"/>
        <v>0</v>
      </c>
      <c r="Y5274" s="1">
        <f t="shared" si="165"/>
        <v>0</v>
      </c>
    </row>
    <row r="5275" spans="24:25" x14ac:dyDescent="0.3">
      <c r="X5275" s="1">
        <f t="shared" si="164"/>
        <v>0</v>
      </c>
      <c r="Y5275" s="1">
        <f t="shared" si="165"/>
        <v>0</v>
      </c>
    </row>
    <row r="5276" spans="24:25" x14ac:dyDescent="0.3">
      <c r="X5276" s="1">
        <f t="shared" si="164"/>
        <v>0</v>
      </c>
      <c r="Y5276" s="1">
        <f t="shared" si="165"/>
        <v>0</v>
      </c>
    </row>
    <row r="5277" spans="24:25" x14ac:dyDescent="0.3">
      <c r="X5277" s="1">
        <f t="shared" si="164"/>
        <v>0</v>
      </c>
      <c r="Y5277" s="1">
        <f t="shared" si="165"/>
        <v>0</v>
      </c>
    </row>
    <row r="5278" spans="24:25" x14ac:dyDescent="0.3">
      <c r="X5278" s="1">
        <f t="shared" si="164"/>
        <v>0</v>
      </c>
      <c r="Y5278" s="1">
        <f t="shared" si="165"/>
        <v>0</v>
      </c>
    </row>
    <row r="5279" spans="24:25" x14ac:dyDescent="0.3">
      <c r="X5279" s="1">
        <f t="shared" si="164"/>
        <v>0</v>
      </c>
      <c r="Y5279" s="1">
        <f t="shared" si="165"/>
        <v>0</v>
      </c>
    </row>
    <row r="5280" spans="24:25" x14ac:dyDescent="0.3">
      <c r="X5280" s="1">
        <f t="shared" si="164"/>
        <v>0</v>
      </c>
      <c r="Y5280" s="1">
        <f t="shared" si="165"/>
        <v>0</v>
      </c>
    </row>
    <row r="5281" spans="24:25" x14ac:dyDescent="0.3">
      <c r="X5281" s="1">
        <f t="shared" si="164"/>
        <v>0</v>
      </c>
      <c r="Y5281" s="1">
        <f t="shared" si="165"/>
        <v>0</v>
      </c>
    </row>
    <row r="5282" spans="24:25" x14ac:dyDescent="0.3">
      <c r="X5282" s="1">
        <f t="shared" si="164"/>
        <v>0</v>
      </c>
      <c r="Y5282" s="1">
        <f t="shared" si="165"/>
        <v>0</v>
      </c>
    </row>
    <row r="5283" spans="24:25" x14ac:dyDescent="0.3">
      <c r="X5283" s="1">
        <f t="shared" si="164"/>
        <v>0</v>
      </c>
      <c r="Y5283" s="1">
        <f t="shared" si="165"/>
        <v>0</v>
      </c>
    </row>
    <row r="5284" spans="24:25" x14ac:dyDescent="0.3">
      <c r="X5284" s="1">
        <f t="shared" si="164"/>
        <v>0</v>
      </c>
      <c r="Y5284" s="1">
        <f t="shared" si="165"/>
        <v>0</v>
      </c>
    </row>
    <row r="5285" spans="24:25" x14ac:dyDescent="0.3">
      <c r="X5285" s="1">
        <f t="shared" si="164"/>
        <v>0</v>
      </c>
      <c r="Y5285" s="1">
        <f t="shared" si="165"/>
        <v>0</v>
      </c>
    </row>
    <row r="5286" spans="24:25" x14ac:dyDescent="0.3">
      <c r="X5286" s="1">
        <f t="shared" si="164"/>
        <v>0</v>
      </c>
      <c r="Y5286" s="1">
        <f t="shared" si="165"/>
        <v>0</v>
      </c>
    </row>
    <row r="5287" spans="24:25" x14ac:dyDescent="0.3">
      <c r="X5287" s="1">
        <f t="shared" si="164"/>
        <v>0</v>
      </c>
      <c r="Y5287" s="1">
        <f t="shared" si="165"/>
        <v>0</v>
      </c>
    </row>
    <row r="5288" spans="24:25" x14ac:dyDescent="0.3">
      <c r="X5288" s="1">
        <f t="shared" si="164"/>
        <v>0</v>
      </c>
      <c r="Y5288" s="1">
        <f t="shared" si="165"/>
        <v>0</v>
      </c>
    </row>
    <row r="5289" spans="24:25" x14ac:dyDescent="0.3">
      <c r="X5289" s="1">
        <f t="shared" si="164"/>
        <v>0</v>
      </c>
      <c r="Y5289" s="1">
        <f t="shared" si="165"/>
        <v>0</v>
      </c>
    </row>
    <row r="5290" spans="24:25" x14ac:dyDescent="0.3">
      <c r="X5290" s="1">
        <f t="shared" si="164"/>
        <v>0</v>
      </c>
      <c r="Y5290" s="1">
        <f t="shared" si="165"/>
        <v>0</v>
      </c>
    </row>
    <row r="5291" spans="24:25" x14ac:dyDescent="0.3">
      <c r="X5291" s="1">
        <f t="shared" si="164"/>
        <v>0</v>
      </c>
      <c r="Y5291" s="1">
        <f t="shared" si="165"/>
        <v>0</v>
      </c>
    </row>
    <row r="5292" spans="24:25" x14ac:dyDescent="0.3">
      <c r="X5292" s="1">
        <f t="shared" si="164"/>
        <v>0</v>
      </c>
      <c r="Y5292" s="1">
        <f t="shared" si="165"/>
        <v>0</v>
      </c>
    </row>
    <row r="5293" spans="24:25" x14ac:dyDescent="0.3">
      <c r="X5293" s="1">
        <f t="shared" si="164"/>
        <v>0</v>
      </c>
      <c r="Y5293" s="1">
        <f t="shared" si="165"/>
        <v>0</v>
      </c>
    </row>
    <row r="5294" spans="24:25" x14ac:dyDescent="0.3">
      <c r="X5294" s="1">
        <f t="shared" si="164"/>
        <v>0</v>
      </c>
      <c r="Y5294" s="1">
        <f t="shared" si="165"/>
        <v>0</v>
      </c>
    </row>
    <row r="5295" spans="24:25" x14ac:dyDescent="0.3">
      <c r="X5295" s="1">
        <f t="shared" si="164"/>
        <v>0</v>
      </c>
      <c r="Y5295" s="1">
        <f t="shared" si="165"/>
        <v>0</v>
      </c>
    </row>
    <row r="5296" spans="24:25" x14ac:dyDescent="0.3">
      <c r="X5296" s="1">
        <f t="shared" si="164"/>
        <v>0</v>
      </c>
      <c r="Y5296" s="1">
        <f t="shared" si="165"/>
        <v>0</v>
      </c>
    </row>
    <row r="5297" spans="24:25" x14ac:dyDescent="0.3">
      <c r="X5297" s="1">
        <f t="shared" si="164"/>
        <v>0</v>
      </c>
      <c r="Y5297" s="1">
        <f t="shared" si="165"/>
        <v>0</v>
      </c>
    </row>
    <row r="5298" spans="24:25" x14ac:dyDescent="0.3">
      <c r="X5298" s="1">
        <f t="shared" si="164"/>
        <v>0</v>
      </c>
      <c r="Y5298" s="1">
        <f t="shared" si="165"/>
        <v>0</v>
      </c>
    </row>
    <row r="5299" spans="24:25" x14ac:dyDescent="0.3">
      <c r="X5299" s="1">
        <f t="shared" si="164"/>
        <v>0</v>
      </c>
      <c r="Y5299" s="1">
        <f t="shared" si="165"/>
        <v>0</v>
      </c>
    </row>
    <row r="5300" spans="24:25" x14ac:dyDescent="0.3">
      <c r="X5300" s="1">
        <f t="shared" si="164"/>
        <v>0</v>
      </c>
      <c r="Y5300" s="1">
        <f t="shared" si="165"/>
        <v>0</v>
      </c>
    </row>
    <row r="5301" spans="24:25" x14ac:dyDescent="0.3">
      <c r="X5301" s="1">
        <f t="shared" si="164"/>
        <v>0</v>
      </c>
      <c r="Y5301" s="1">
        <f t="shared" si="165"/>
        <v>0</v>
      </c>
    </row>
    <row r="5302" spans="24:25" x14ac:dyDescent="0.3">
      <c r="X5302" s="1">
        <f t="shared" si="164"/>
        <v>0</v>
      </c>
      <c r="Y5302" s="1">
        <f t="shared" si="165"/>
        <v>0</v>
      </c>
    </row>
    <row r="5303" spans="24:25" x14ac:dyDescent="0.3">
      <c r="X5303" s="1">
        <f t="shared" si="164"/>
        <v>0</v>
      </c>
      <c r="Y5303" s="1">
        <f t="shared" si="165"/>
        <v>0</v>
      </c>
    </row>
    <row r="5304" spans="24:25" x14ac:dyDescent="0.3">
      <c r="X5304" s="1">
        <f t="shared" si="164"/>
        <v>0</v>
      </c>
      <c r="Y5304" s="1">
        <f t="shared" si="165"/>
        <v>0</v>
      </c>
    </row>
    <row r="5305" spans="24:25" x14ac:dyDescent="0.3">
      <c r="X5305" s="1">
        <f t="shared" si="164"/>
        <v>0</v>
      </c>
      <c r="Y5305" s="1">
        <f t="shared" si="165"/>
        <v>0</v>
      </c>
    </row>
    <row r="5306" spans="24:25" x14ac:dyDescent="0.3">
      <c r="X5306" s="1">
        <f t="shared" si="164"/>
        <v>0</v>
      </c>
      <c r="Y5306" s="1">
        <f t="shared" si="165"/>
        <v>0</v>
      </c>
    </row>
    <row r="5307" spans="24:25" x14ac:dyDescent="0.3">
      <c r="X5307" s="1">
        <f t="shared" si="164"/>
        <v>0</v>
      </c>
      <c r="Y5307" s="1">
        <f t="shared" si="165"/>
        <v>0</v>
      </c>
    </row>
    <row r="5308" spans="24:25" x14ac:dyDescent="0.3">
      <c r="X5308" s="1">
        <f t="shared" si="164"/>
        <v>0</v>
      </c>
      <c r="Y5308" s="1">
        <f t="shared" si="165"/>
        <v>0</v>
      </c>
    </row>
    <row r="5309" spans="24:25" x14ac:dyDescent="0.3">
      <c r="X5309" s="1">
        <f t="shared" si="164"/>
        <v>0</v>
      </c>
      <c r="Y5309" s="1">
        <f t="shared" si="165"/>
        <v>0</v>
      </c>
    </row>
    <row r="5310" spans="24:25" x14ac:dyDescent="0.3">
      <c r="X5310" s="1">
        <f t="shared" si="164"/>
        <v>0</v>
      </c>
      <c r="Y5310" s="1">
        <f t="shared" si="165"/>
        <v>0</v>
      </c>
    </row>
    <row r="5311" spans="24:25" x14ac:dyDescent="0.3">
      <c r="X5311" s="1">
        <f t="shared" si="164"/>
        <v>0</v>
      </c>
      <c r="Y5311" s="1">
        <f t="shared" si="165"/>
        <v>0</v>
      </c>
    </row>
    <row r="5312" spans="24:25" x14ac:dyDescent="0.3">
      <c r="X5312" s="1">
        <f t="shared" si="164"/>
        <v>0</v>
      </c>
      <c r="Y5312" s="1">
        <f t="shared" si="165"/>
        <v>0</v>
      </c>
    </row>
    <row r="5313" spans="24:25" x14ac:dyDescent="0.3">
      <c r="X5313" s="1">
        <f t="shared" si="164"/>
        <v>0</v>
      </c>
      <c r="Y5313" s="1">
        <f t="shared" si="165"/>
        <v>0</v>
      </c>
    </row>
    <row r="5314" spans="24:25" x14ac:dyDescent="0.3">
      <c r="X5314" s="1">
        <f t="shared" si="164"/>
        <v>0</v>
      </c>
      <c r="Y5314" s="1">
        <f t="shared" si="165"/>
        <v>0</v>
      </c>
    </row>
    <row r="5315" spans="24:25" x14ac:dyDescent="0.3">
      <c r="X5315" s="1">
        <f t="shared" ref="X5315:X5378" si="166">IFERROR(MATCH(W5315,$B:$B,0),0)</f>
        <v>0</v>
      </c>
      <c r="Y5315" s="1">
        <f t="shared" ref="Y5315:Y5378" si="167">IF(X5316=0,COUNTA(A:A),X5316-1)</f>
        <v>0</v>
      </c>
    </row>
    <row r="5316" spans="24:25" x14ac:dyDescent="0.3">
      <c r="X5316" s="1">
        <f t="shared" si="166"/>
        <v>0</v>
      </c>
      <c r="Y5316" s="1">
        <f t="shared" si="167"/>
        <v>0</v>
      </c>
    </row>
    <row r="5317" spans="24:25" x14ac:dyDescent="0.3">
      <c r="X5317" s="1">
        <f t="shared" si="166"/>
        <v>0</v>
      </c>
      <c r="Y5317" s="1">
        <f t="shared" si="167"/>
        <v>0</v>
      </c>
    </row>
    <row r="5318" spans="24:25" x14ac:dyDescent="0.3">
      <c r="X5318" s="1">
        <f t="shared" si="166"/>
        <v>0</v>
      </c>
      <c r="Y5318" s="1">
        <f t="shared" si="167"/>
        <v>0</v>
      </c>
    </row>
    <row r="5319" spans="24:25" x14ac:dyDescent="0.3">
      <c r="X5319" s="1">
        <f t="shared" si="166"/>
        <v>0</v>
      </c>
      <c r="Y5319" s="1">
        <f t="shared" si="167"/>
        <v>0</v>
      </c>
    </row>
    <row r="5320" spans="24:25" x14ac:dyDescent="0.3">
      <c r="X5320" s="1">
        <f t="shared" si="166"/>
        <v>0</v>
      </c>
      <c r="Y5320" s="1">
        <f t="shared" si="167"/>
        <v>0</v>
      </c>
    </row>
    <row r="5321" spans="24:25" x14ac:dyDescent="0.3">
      <c r="X5321" s="1">
        <f t="shared" si="166"/>
        <v>0</v>
      </c>
      <c r="Y5321" s="1">
        <f t="shared" si="167"/>
        <v>0</v>
      </c>
    </row>
    <row r="5322" spans="24:25" x14ac:dyDescent="0.3">
      <c r="X5322" s="1">
        <f t="shared" si="166"/>
        <v>0</v>
      </c>
      <c r="Y5322" s="1">
        <f t="shared" si="167"/>
        <v>0</v>
      </c>
    </row>
    <row r="5323" spans="24:25" x14ac:dyDescent="0.3">
      <c r="X5323" s="1">
        <f t="shared" si="166"/>
        <v>0</v>
      </c>
      <c r="Y5323" s="1">
        <f t="shared" si="167"/>
        <v>0</v>
      </c>
    </row>
    <row r="5324" spans="24:25" x14ac:dyDescent="0.3">
      <c r="X5324" s="1">
        <f t="shared" si="166"/>
        <v>0</v>
      </c>
      <c r="Y5324" s="1">
        <f t="shared" si="167"/>
        <v>0</v>
      </c>
    </row>
    <row r="5325" spans="24:25" x14ac:dyDescent="0.3">
      <c r="X5325" s="1">
        <f t="shared" si="166"/>
        <v>0</v>
      </c>
      <c r="Y5325" s="1">
        <f t="shared" si="167"/>
        <v>0</v>
      </c>
    </row>
    <row r="5326" spans="24:25" x14ac:dyDescent="0.3">
      <c r="X5326" s="1">
        <f t="shared" si="166"/>
        <v>0</v>
      </c>
      <c r="Y5326" s="1">
        <f t="shared" si="167"/>
        <v>0</v>
      </c>
    </row>
    <row r="5327" spans="24:25" x14ac:dyDescent="0.3">
      <c r="X5327" s="1">
        <f t="shared" si="166"/>
        <v>0</v>
      </c>
      <c r="Y5327" s="1">
        <f t="shared" si="167"/>
        <v>0</v>
      </c>
    </row>
    <row r="5328" spans="24:25" x14ac:dyDescent="0.3">
      <c r="X5328" s="1">
        <f t="shared" si="166"/>
        <v>0</v>
      </c>
      <c r="Y5328" s="1">
        <f t="shared" si="167"/>
        <v>0</v>
      </c>
    </row>
    <row r="5329" spans="24:25" x14ac:dyDescent="0.3">
      <c r="X5329" s="1">
        <f t="shared" si="166"/>
        <v>0</v>
      </c>
      <c r="Y5329" s="1">
        <f t="shared" si="167"/>
        <v>0</v>
      </c>
    </row>
    <row r="5330" spans="24:25" x14ac:dyDescent="0.3">
      <c r="X5330" s="1">
        <f t="shared" si="166"/>
        <v>0</v>
      </c>
      <c r="Y5330" s="1">
        <f t="shared" si="167"/>
        <v>0</v>
      </c>
    </row>
    <row r="5331" spans="24:25" x14ac:dyDescent="0.3">
      <c r="X5331" s="1">
        <f t="shared" si="166"/>
        <v>0</v>
      </c>
      <c r="Y5331" s="1">
        <f t="shared" si="167"/>
        <v>0</v>
      </c>
    </row>
    <row r="5332" spans="24:25" x14ac:dyDescent="0.3">
      <c r="X5332" s="1">
        <f t="shared" si="166"/>
        <v>0</v>
      </c>
      <c r="Y5332" s="1">
        <f t="shared" si="167"/>
        <v>0</v>
      </c>
    </row>
    <row r="5333" spans="24:25" x14ac:dyDescent="0.3">
      <c r="X5333" s="1">
        <f t="shared" si="166"/>
        <v>0</v>
      </c>
      <c r="Y5333" s="1">
        <f t="shared" si="167"/>
        <v>0</v>
      </c>
    </row>
    <row r="5334" spans="24:25" x14ac:dyDescent="0.3">
      <c r="X5334" s="1">
        <f t="shared" si="166"/>
        <v>0</v>
      </c>
      <c r="Y5334" s="1">
        <f t="shared" si="167"/>
        <v>0</v>
      </c>
    </row>
    <row r="5335" spans="24:25" x14ac:dyDescent="0.3">
      <c r="X5335" s="1">
        <f t="shared" si="166"/>
        <v>0</v>
      </c>
      <c r="Y5335" s="1">
        <f t="shared" si="167"/>
        <v>0</v>
      </c>
    </row>
    <row r="5336" spans="24:25" x14ac:dyDescent="0.3">
      <c r="X5336" s="1">
        <f t="shared" si="166"/>
        <v>0</v>
      </c>
      <c r="Y5336" s="1">
        <f t="shared" si="167"/>
        <v>0</v>
      </c>
    </row>
    <row r="5337" spans="24:25" x14ac:dyDescent="0.3">
      <c r="X5337" s="1">
        <f t="shared" si="166"/>
        <v>0</v>
      </c>
      <c r="Y5337" s="1">
        <f t="shared" si="167"/>
        <v>0</v>
      </c>
    </row>
    <row r="5338" spans="24:25" x14ac:dyDescent="0.3">
      <c r="X5338" s="1">
        <f t="shared" si="166"/>
        <v>0</v>
      </c>
      <c r="Y5338" s="1">
        <f t="shared" si="167"/>
        <v>0</v>
      </c>
    </row>
    <row r="5339" spans="24:25" x14ac:dyDescent="0.3">
      <c r="X5339" s="1">
        <f t="shared" si="166"/>
        <v>0</v>
      </c>
      <c r="Y5339" s="1">
        <f t="shared" si="167"/>
        <v>0</v>
      </c>
    </row>
    <row r="5340" spans="24:25" x14ac:dyDescent="0.3">
      <c r="X5340" s="1">
        <f t="shared" si="166"/>
        <v>0</v>
      </c>
      <c r="Y5340" s="1">
        <f t="shared" si="167"/>
        <v>0</v>
      </c>
    </row>
    <row r="5341" spans="24:25" x14ac:dyDescent="0.3">
      <c r="X5341" s="1">
        <f t="shared" si="166"/>
        <v>0</v>
      </c>
      <c r="Y5341" s="1">
        <f t="shared" si="167"/>
        <v>0</v>
      </c>
    </row>
    <row r="5342" spans="24:25" x14ac:dyDescent="0.3">
      <c r="X5342" s="1">
        <f t="shared" si="166"/>
        <v>0</v>
      </c>
      <c r="Y5342" s="1">
        <f t="shared" si="167"/>
        <v>0</v>
      </c>
    </row>
    <row r="5343" spans="24:25" x14ac:dyDescent="0.3">
      <c r="X5343" s="1">
        <f t="shared" si="166"/>
        <v>0</v>
      </c>
      <c r="Y5343" s="1">
        <f t="shared" si="167"/>
        <v>0</v>
      </c>
    </row>
    <row r="5344" spans="24:25" x14ac:dyDescent="0.3">
      <c r="X5344" s="1">
        <f t="shared" si="166"/>
        <v>0</v>
      </c>
      <c r="Y5344" s="1">
        <f t="shared" si="167"/>
        <v>0</v>
      </c>
    </row>
    <row r="5345" spans="24:25" x14ac:dyDescent="0.3">
      <c r="X5345" s="1">
        <f t="shared" si="166"/>
        <v>0</v>
      </c>
      <c r="Y5345" s="1">
        <f t="shared" si="167"/>
        <v>0</v>
      </c>
    </row>
    <row r="5346" spans="24:25" x14ac:dyDescent="0.3">
      <c r="X5346" s="1">
        <f t="shared" si="166"/>
        <v>0</v>
      </c>
      <c r="Y5346" s="1">
        <f t="shared" si="167"/>
        <v>0</v>
      </c>
    </row>
    <row r="5347" spans="24:25" x14ac:dyDescent="0.3">
      <c r="X5347" s="1">
        <f t="shared" si="166"/>
        <v>0</v>
      </c>
      <c r="Y5347" s="1">
        <f t="shared" si="167"/>
        <v>0</v>
      </c>
    </row>
    <row r="5348" spans="24:25" x14ac:dyDescent="0.3">
      <c r="X5348" s="1">
        <f t="shared" si="166"/>
        <v>0</v>
      </c>
      <c r="Y5348" s="1">
        <f t="shared" si="167"/>
        <v>0</v>
      </c>
    </row>
    <row r="5349" spans="24:25" x14ac:dyDescent="0.3">
      <c r="X5349" s="1">
        <f t="shared" si="166"/>
        <v>0</v>
      </c>
      <c r="Y5349" s="1">
        <f t="shared" si="167"/>
        <v>0</v>
      </c>
    </row>
    <row r="5350" spans="24:25" x14ac:dyDescent="0.3">
      <c r="X5350" s="1">
        <f t="shared" si="166"/>
        <v>0</v>
      </c>
      <c r="Y5350" s="1">
        <f t="shared" si="167"/>
        <v>0</v>
      </c>
    </row>
    <row r="5351" spans="24:25" x14ac:dyDescent="0.3">
      <c r="X5351" s="1">
        <f t="shared" si="166"/>
        <v>0</v>
      </c>
      <c r="Y5351" s="1">
        <f t="shared" si="167"/>
        <v>0</v>
      </c>
    </row>
    <row r="5352" spans="24:25" x14ac:dyDescent="0.3">
      <c r="X5352" s="1">
        <f t="shared" si="166"/>
        <v>0</v>
      </c>
      <c r="Y5352" s="1">
        <f t="shared" si="167"/>
        <v>0</v>
      </c>
    </row>
    <row r="5353" spans="24:25" x14ac:dyDescent="0.3">
      <c r="X5353" s="1">
        <f t="shared" si="166"/>
        <v>0</v>
      </c>
      <c r="Y5353" s="1">
        <f t="shared" si="167"/>
        <v>0</v>
      </c>
    </row>
    <row r="5354" spans="24:25" x14ac:dyDescent="0.3">
      <c r="X5354" s="1">
        <f t="shared" si="166"/>
        <v>0</v>
      </c>
      <c r="Y5354" s="1">
        <f t="shared" si="167"/>
        <v>0</v>
      </c>
    </row>
    <row r="5355" spans="24:25" x14ac:dyDescent="0.3">
      <c r="X5355" s="1">
        <f t="shared" si="166"/>
        <v>0</v>
      </c>
      <c r="Y5355" s="1">
        <f t="shared" si="167"/>
        <v>0</v>
      </c>
    </row>
    <row r="5356" spans="24:25" x14ac:dyDescent="0.3">
      <c r="X5356" s="1">
        <f t="shared" si="166"/>
        <v>0</v>
      </c>
      <c r="Y5356" s="1">
        <f t="shared" si="167"/>
        <v>0</v>
      </c>
    </row>
    <row r="5357" spans="24:25" x14ac:dyDescent="0.3">
      <c r="X5357" s="1">
        <f t="shared" si="166"/>
        <v>0</v>
      </c>
      <c r="Y5357" s="1">
        <f t="shared" si="167"/>
        <v>0</v>
      </c>
    </row>
    <row r="5358" spans="24:25" x14ac:dyDescent="0.3">
      <c r="X5358" s="1">
        <f t="shared" si="166"/>
        <v>0</v>
      </c>
      <c r="Y5358" s="1">
        <f t="shared" si="167"/>
        <v>0</v>
      </c>
    </row>
    <row r="5359" spans="24:25" x14ac:dyDescent="0.3">
      <c r="X5359" s="1">
        <f t="shared" si="166"/>
        <v>0</v>
      </c>
      <c r="Y5359" s="1">
        <f t="shared" si="167"/>
        <v>0</v>
      </c>
    </row>
    <row r="5360" spans="24:25" x14ac:dyDescent="0.3">
      <c r="X5360" s="1">
        <f t="shared" si="166"/>
        <v>0</v>
      </c>
      <c r="Y5360" s="1">
        <f t="shared" si="167"/>
        <v>0</v>
      </c>
    </row>
    <row r="5361" spans="24:25" x14ac:dyDescent="0.3">
      <c r="X5361" s="1">
        <f t="shared" si="166"/>
        <v>0</v>
      </c>
      <c r="Y5361" s="1">
        <f t="shared" si="167"/>
        <v>0</v>
      </c>
    </row>
    <row r="5362" spans="24:25" x14ac:dyDescent="0.3">
      <c r="X5362" s="1">
        <f t="shared" si="166"/>
        <v>0</v>
      </c>
      <c r="Y5362" s="1">
        <f t="shared" si="167"/>
        <v>0</v>
      </c>
    </row>
    <row r="5363" spans="24:25" x14ac:dyDescent="0.3">
      <c r="X5363" s="1">
        <f t="shared" si="166"/>
        <v>0</v>
      </c>
      <c r="Y5363" s="1">
        <f t="shared" si="167"/>
        <v>0</v>
      </c>
    </row>
    <row r="5364" spans="24:25" x14ac:dyDescent="0.3">
      <c r="X5364" s="1">
        <f t="shared" si="166"/>
        <v>0</v>
      </c>
      <c r="Y5364" s="1">
        <f t="shared" si="167"/>
        <v>0</v>
      </c>
    </row>
    <row r="5365" spans="24:25" x14ac:dyDescent="0.3">
      <c r="X5365" s="1">
        <f t="shared" si="166"/>
        <v>0</v>
      </c>
      <c r="Y5365" s="1">
        <f t="shared" si="167"/>
        <v>0</v>
      </c>
    </row>
    <row r="5366" spans="24:25" x14ac:dyDescent="0.3">
      <c r="X5366" s="1">
        <f t="shared" si="166"/>
        <v>0</v>
      </c>
      <c r="Y5366" s="1">
        <f t="shared" si="167"/>
        <v>0</v>
      </c>
    </row>
    <row r="5367" spans="24:25" x14ac:dyDescent="0.3">
      <c r="X5367" s="1">
        <f t="shared" si="166"/>
        <v>0</v>
      </c>
      <c r="Y5367" s="1">
        <f t="shared" si="167"/>
        <v>0</v>
      </c>
    </row>
    <row r="5368" spans="24:25" x14ac:dyDescent="0.3">
      <c r="X5368" s="1">
        <f t="shared" si="166"/>
        <v>0</v>
      </c>
      <c r="Y5368" s="1">
        <f t="shared" si="167"/>
        <v>0</v>
      </c>
    </row>
    <row r="5369" spans="24:25" x14ac:dyDescent="0.3">
      <c r="X5369" s="1">
        <f t="shared" si="166"/>
        <v>0</v>
      </c>
      <c r="Y5369" s="1">
        <f t="shared" si="167"/>
        <v>0</v>
      </c>
    </row>
    <row r="5370" spans="24:25" x14ac:dyDescent="0.3">
      <c r="X5370" s="1">
        <f t="shared" si="166"/>
        <v>0</v>
      </c>
      <c r="Y5370" s="1">
        <f t="shared" si="167"/>
        <v>0</v>
      </c>
    </row>
    <row r="5371" spans="24:25" x14ac:dyDescent="0.3">
      <c r="X5371" s="1">
        <f t="shared" si="166"/>
        <v>0</v>
      </c>
      <c r="Y5371" s="1">
        <f t="shared" si="167"/>
        <v>0</v>
      </c>
    </row>
    <row r="5372" spans="24:25" x14ac:dyDescent="0.3">
      <c r="X5372" s="1">
        <f t="shared" si="166"/>
        <v>0</v>
      </c>
      <c r="Y5372" s="1">
        <f t="shared" si="167"/>
        <v>0</v>
      </c>
    </row>
    <row r="5373" spans="24:25" x14ac:dyDescent="0.3">
      <c r="X5373" s="1">
        <f t="shared" si="166"/>
        <v>0</v>
      </c>
      <c r="Y5373" s="1">
        <f t="shared" si="167"/>
        <v>0</v>
      </c>
    </row>
    <row r="5374" spans="24:25" x14ac:dyDescent="0.3">
      <c r="X5374" s="1">
        <f t="shared" si="166"/>
        <v>0</v>
      </c>
      <c r="Y5374" s="1">
        <f t="shared" si="167"/>
        <v>0</v>
      </c>
    </row>
    <row r="5375" spans="24:25" x14ac:dyDescent="0.3">
      <c r="X5375" s="1">
        <f t="shared" si="166"/>
        <v>0</v>
      </c>
      <c r="Y5375" s="1">
        <f t="shared" si="167"/>
        <v>0</v>
      </c>
    </row>
    <row r="5376" spans="24:25" x14ac:dyDescent="0.3">
      <c r="X5376" s="1">
        <f t="shared" si="166"/>
        <v>0</v>
      </c>
      <c r="Y5376" s="1">
        <f t="shared" si="167"/>
        <v>0</v>
      </c>
    </row>
    <row r="5377" spans="24:25" x14ac:dyDescent="0.3">
      <c r="X5377" s="1">
        <f t="shared" si="166"/>
        <v>0</v>
      </c>
      <c r="Y5377" s="1">
        <f t="shared" si="167"/>
        <v>0</v>
      </c>
    </row>
    <row r="5378" spans="24:25" x14ac:dyDescent="0.3">
      <c r="X5378" s="1">
        <f t="shared" si="166"/>
        <v>0</v>
      </c>
      <c r="Y5378" s="1">
        <f t="shared" si="167"/>
        <v>0</v>
      </c>
    </row>
    <row r="5379" spans="24:25" x14ac:dyDescent="0.3">
      <c r="X5379" s="1">
        <f t="shared" ref="X5379:X5442" si="168">IFERROR(MATCH(W5379,$B:$B,0),0)</f>
        <v>0</v>
      </c>
      <c r="Y5379" s="1">
        <f t="shared" ref="Y5379:Y5442" si="169">IF(X5380=0,COUNTA(A:A),X5380-1)</f>
        <v>0</v>
      </c>
    </row>
    <row r="5380" spans="24:25" x14ac:dyDescent="0.3">
      <c r="X5380" s="1">
        <f t="shared" si="168"/>
        <v>0</v>
      </c>
      <c r="Y5380" s="1">
        <f t="shared" si="169"/>
        <v>0</v>
      </c>
    </row>
    <row r="5381" spans="24:25" x14ac:dyDescent="0.3">
      <c r="X5381" s="1">
        <f t="shared" si="168"/>
        <v>0</v>
      </c>
      <c r="Y5381" s="1">
        <f t="shared" si="169"/>
        <v>0</v>
      </c>
    </row>
    <row r="5382" spans="24:25" x14ac:dyDescent="0.3">
      <c r="X5382" s="1">
        <f t="shared" si="168"/>
        <v>0</v>
      </c>
      <c r="Y5382" s="1">
        <f t="shared" si="169"/>
        <v>0</v>
      </c>
    </row>
    <row r="5383" spans="24:25" x14ac:dyDescent="0.3">
      <c r="X5383" s="1">
        <f t="shared" si="168"/>
        <v>0</v>
      </c>
      <c r="Y5383" s="1">
        <f t="shared" si="169"/>
        <v>0</v>
      </c>
    </row>
    <row r="5384" spans="24:25" x14ac:dyDescent="0.3">
      <c r="X5384" s="1">
        <f t="shared" si="168"/>
        <v>0</v>
      </c>
      <c r="Y5384" s="1">
        <f t="shared" si="169"/>
        <v>0</v>
      </c>
    </row>
    <row r="5385" spans="24:25" x14ac:dyDescent="0.3">
      <c r="X5385" s="1">
        <f t="shared" si="168"/>
        <v>0</v>
      </c>
      <c r="Y5385" s="1">
        <f t="shared" si="169"/>
        <v>0</v>
      </c>
    </row>
    <row r="5386" spans="24:25" x14ac:dyDescent="0.3">
      <c r="X5386" s="1">
        <f t="shared" si="168"/>
        <v>0</v>
      </c>
      <c r="Y5386" s="1">
        <f t="shared" si="169"/>
        <v>0</v>
      </c>
    </row>
    <row r="5387" spans="24:25" x14ac:dyDescent="0.3">
      <c r="X5387" s="1">
        <f t="shared" si="168"/>
        <v>0</v>
      </c>
      <c r="Y5387" s="1">
        <f t="shared" si="169"/>
        <v>0</v>
      </c>
    </row>
    <row r="5388" spans="24:25" x14ac:dyDescent="0.3">
      <c r="X5388" s="1">
        <f t="shared" si="168"/>
        <v>0</v>
      </c>
      <c r="Y5388" s="1">
        <f t="shared" si="169"/>
        <v>0</v>
      </c>
    </row>
    <row r="5389" spans="24:25" x14ac:dyDescent="0.3">
      <c r="X5389" s="1">
        <f t="shared" si="168"/>
        <v>0</v>
      </c>
      <c r="Y5389" s="1">
        <f t="shared" si="169"/>
        <v>0</v>
      </c>
    </row>
    <row r="5390" spans="24:25" x14ac:dyDescent="0.3">
      <c r="X5390" s="1">
        <f t="shared" si="168"/>
        <v>0</v>
      </c>
      <c r="Y5390" s="1">
        <f t="shared" si="169"/>
        <v>0</v>
      </c>
    </row>
    <row r="5391" spans="24:25" x14ac:dyDescent="0.3">
      <c r="X5391" s="1">
        <f t="shared" si="168"/>
        <v>0</v>
      </c>
      <c r="Y5391" s="1">
        <f t="shared" si="169"/>
        <v>0</v>
      </c>
    </row>
    <row r="5392" spans="24:25" x14ac:dyDescent="0.3">
      <c r="X5392" s="1">
        <f t="shared" si="168"/>
        <v>0</v>
      </c>
      <c r="Y5392" s="1">
        <f t="shared" si="169"/>
        <v>0</v>
      </c>
    </row>
    <row r="5393" spans="24:25" x14ac:dyDescent="0.3">
      <c r="X5393" s="1">
        <f t="shared" si="168"/>
        <v>0</v>
      </c>
      <c r="Y5393" s="1">
        <f t="shared" si="169"/>
        <v>0</v>
      </c>
    </row>
    <row r="5394" spans="24:25" x14ac:dyDescent="0.3">
      <c r="X5394" s="1">
        <f t="shared" si="168"/>
        <v>0</v>
      </c>
      <c r="Y5394" s="1">
        <f t="shared" si="169"/>
        <v>0</v>
      </c>
    </row>
    <row r="5395" spans="24:25" x14ac:dyDescent="0.3">
      <c r="X5395" s="1">
        <f t="shared" si="168"/>
        <v>0</v>
      </c>
      <c r="Y5395" s="1">
        <f t="shared" si="169"/>
        <v>0</v>
      </c>
    </row>
    <row r="5396" spans="24:25" x14ac:dyDescent="0.3">
      <c r="X5396" s="1">
        <f t="shared" si="168"/>
        <v>0</v>
      </c>
      <c r="Y5396" s="1">
        <f t="shared" si="169"/>
        <v>0</v>
      </c>
    </row>
    <row r="5397" spans="24:25" x14ac:dyDescent="0.3">
      <c r="X5397" s="1">
        <f t="shared" si="168"/>
        <v>0</v>
      </c>
      <c r="Y5397" s="1">
        <f t="shared" si="169"/>
        <v>0</v>
      </c>
    </row>
    <row r="5398" spans="24:25" x14ac:dyDescent="0.3">
      <c r="X5398" s="1">
        <f t="shared" si="168"/>
        <v>0</v>
      </c>
      <c r="Y5398" s="1">
        <f t="shared" si="169"/>
        <v>0</v>
      </c>
    </row>
    <row r="5399" spans="24:25" x14ac:dyDescent="0.3">
      <c r="X5399" s="1">
        <f t="shared" si="168"/>
        <v>0</v>
      </c>
      <c r="Y5399" s="1">
        <f t="shared" si="169"/>
        <v>0</v>
      </c>
    </row>
    <row r="5400" spans="24:25" x14ac:dyDescent="0.3">
      <c r="X5400" s="1">
        <f t="shared" si="168"/>
        <v>0</v>
      </c>
      <c r="Y5400" s="1">
        <f t="shared" si="169"/>
        <v>0</v>
      </c>
    </row>
    <row r="5401" spans="24:25" x14ac:dyDescent="0.3">
      <c r="X5401" s="1">
        <f t="shared" si="168"/>
        <v>0</v>
      </c>
      <c r="Y5401" s="1">
        <f t="shared" si="169"/>
        <v>0</v>
      </c>
    </row>
    <row r="5402" spans="24:25" x14ac:dyDescent="0.3">
      <c r="X5402" s="1">
        <f t="shared" si="168"/>
        <v>0</v>
      </c>
      <c r="Y5402" s="1">
        <f t="shared" si="169"/>
        <v>0</v>
      </c>
    </row>
    <row r="5403" spans="24:25" x14ac:dyDescent="0.3">
      <c r="X5403" s="1">
        <f t="shared" si="168"/>
        <v>0</v>
      </c>
      <c r="Y5403" s="1">
        <f t="shared" si="169"/>
        <v>0</v>
      </c>
    </row>
    <row r="5404" spans="24:25" x14ac:dyDescent="0.3">
      <c r="X5404" s="1">
        <f t="shared" si="168"/>
        <v>0</v>
      </c>
      <c r="Y5404" s="1">
        <f t="shared" si="169"/>
        <v>0</v>
      </c>
    </row>
    <row r="5405" spans="24:25" x14ac:dyDescent="0.3">
      <c r="X5405" s="1">
        <f t="shared" si="168"/>
        <v>0</v>
      </c>
      <c r="Y5405" s="1">
        <f t="shared" si="169"/>
        <v>0</v>
      </c>
    </row>
    <row r="5406" spans="24:25" x14ac:dyDescent="0.3">
      <c r="X5406" s="1">
        <f t="shared" si="168"/>
        <v>0</v>
      </c>
      <c r="Y5406" s="1">
        <f t="shared" si="169"/>
        <v>0</v>
      </c>
    </row>
    <row r="5407" spans="24:25" x14ac:dyDescent="0.3">
      <c r="X5407" s="1">
        <f t="shared" si="168"/>
        <v>0</v>
      </c>
      <c r="Y5407" s="1">
        <f t="shared" si="169"/>
        <v>0</v>
      </c>
    </row>
    <row r="5408" spans="24:25" x14ac:dyDescent="0.3">
      <c r="X5408" s="1">
        <f t="shared" si="168"/>
        <v>0</v>
      </c>
      <c r="Y5408" s="1">
        <f t="shared" si="169"/>
        <v>0</v>
      </c>
    </row>
    <row r="5409" spans="24:25" x14ac:dyDescent="0.3">
      <c r="X5409" s="1">
        <f t="shared" si="168"/>
        <v>0</v>
      </c>
      <c r="Y5409" s="1">
        <f t="shared" si="169"/>
        <v>0</v>
      </c>
    </row>
    <row r="5410" spans="24:25" x14ac:dyDescent="0.3">
      <c r="X5410" s="1">
        <f t="shared" si="168"/>
        <v>0</v>
      </c>
      <c r="Y5410" s="1">
        <f t="shared" si="169"/>
        <v>0</v>
      </c>
    </row>
    <row r="5411" spans="24:25" x14ac:dyDescent="0.3">
      <c r="X5411" s="1">
        <f t="shared" si="168"/>
        <v>0</v>
      </c>
      <c r="Y5411" s="1">
        <f t="shared" si="169"/>
        <v>0</v>
      </c>
    </row>
    <row r="5412" spans="24:25" x14ac:dyDescent="0.3">
      <c r="X5412" s="1">
        <f t="shared" si="168"/>
        <v>0</v>
      </c>
      <c r="Y5412" s="1">
        <f t="shared" si="169"/>
        <v>0</v>
      </c>
    </row>
    <row r="5413" spans="24:25" x14ac:dyDescent="0.3">
      <c r="X5413" s="1">
        <f t="shared" si="168"/>
        <v>0</v>
      </c>
      <c r="Y5413" s="1">
        <f t="shared" si="169"/>
        <v>0</v>
      </c>
    </row>
    <row r="5414" spans="24:25" x14ac:dyDescent="0.3">
      <c r="X5414" s="1">
        <f t="shared" si="168"/>
        <v>0</v>
      </c>
      <c r="Y5414" s="1">
        <f t="shared" si="169"/>
        <v>0</v>
      </c>
    </row>
    <row r="5415" spans="24:25" x14ac:dyDescent="0.3">
      <c r="X5415" s="1">
        <f t="shared" si="168"/>
        <v>0</v>
      </c>
      <c r="Y5415" s="1">
        <f t="shared" si="169"/>
        <v>0</v>
      </c>
    </row>
    <row r="5416" spans="24:25" x14ac:dyDescent="0.3">
      <c r="X5416" s="1">
        <f t="shared" si="168"/>
        <v>0</v>
      </c>
      <c r="Y5416" s="1">
        <f t="shared" si="169"/>
        <v>0</v>
      </c>
    </row>
    <row r="5417" spans="24:25" x14ac:dyDescent="0.3">
      <c r="X5417" s="1">
        <f t="shared" si="168"/>
        <v>0</v>
      </c>
      <c r="Y5417" s="1">
        <f t="shared" si="169"/>
        <v>0</v>
      </c>
    </row>
    <row r="5418" spans="24:25" x14ac:dyDescent="0.3">
      <c r="X5418" s="1">
        <f t="shared" si="168"/>
        <v>0</v>
      </c>
      <c r="Y5418" s="1">
        <f t="shared" si="169"/>
        <v>0</v>
      </c>
    </row>
    <row r="5419" spans="24:25" x14ac:dyDescent="0.3">
      <c r="X5419" s="1">
        <f t="shared" si="168"/>
        <v>0</v>
      </c>
      <c r="Y5419" s="1">
        <f t="shared" si="169"/>
        <v>0</v>
      </c>
    </row>
    <row r="5420" spans="24:25" x14ac:dyDescent="0.3">
      <c r="X5420" s="1">
        <f t="shared" si="168"/>
        <v>0</v>
      </c>
      <c r="Y5420" s="1">
        <f t="shared" si="169"/>
        <v>0</v>
      </c>
    </row>
    <row r="5421" spans="24:25" x14ac:dyDescent="0.3">
      <c r="X5421" s="1">
        <f t="shared" si="168"/>
        <v>0</v>
      </c>
      <c r="Y5421" s="1">
        <f t="shared" si="169"/>
        <v>0</v>
      </c>
    </row>
    <row r="5422" spans="24:25" x14ac:dyDescent="0.3">
      <c r="X5422" s="1">
        <f t="shared" si="168"/>
        <v>0</v>
      </c>
      <c r="Y5422" s="1">
        <f t="shared" si="169"/>
        <v>0</v>
      </c>
    </row>
    <row r="5423" spans="24:25" x14ac:dyDescent="0.3">
      <c r="X5423" s="1">
        <f t="shared" si="168"/>
        <v>0</v>
      </c>
      <c r="Y5423" s="1">
        <f t="shared" si="169"/>
        <v>0</v>
      </c>
    </row>
    <row r="5424" spans="24:25" x14ac:dyDescent="0.3">
      <c r="X5424" s="1">
        <f t="shared" si="168"/>
        <v>0</v>
      </c>
      <c r="Y5424" s="1">
        <f t="shared" si="169"/>
        <v>0</v>
      </c>
    </row>
    <row r="5425" spans="24:25" x14ac:dyDescent="0.3">
      <c r="X5425" s="1">
        <f t="shared" si="168"/>
        <v>0</v>
      </c>
      <c r="Y5425" s="1">
        <f t="shared" si="169"/>
        <v>0</v>
      </c>
    </row>
    <row r="5426" spans="24:25" x14ac:dyDescent="0.3">
      <c r="X5426" s="1">
        <f t="shared" si="168"/>
        <v>0</v>
      </c>
      <c r="Y5426" s="1">
        <f t="shared" si="169"/>
        <v>0</v>
      </c>
    </row>
    <row r="5427" spans="24:25" x14ac:dyDescent="0.3">
      <c r="X5427" s="1">
        <f t="shared" si="168"/>
        <v>0</v>
      </c>
      <c r="Y5427" s="1">
        <f t="shared" si="169"/>
        <v>0</v>
      </c>
    </row>
    <row r="5428" spans="24:25" x14ac:dyDescent="0.3">
      <c r="X5428" s="1">
        <f t="shared" si="168"/>
        <v>0</v>
      </c>
      <c r="Y5428" s="1">
        <f t="shared" si="169"/>
        <v>0</v>
      </c>
    </row>
    <row r="5429" spans="24:25" x14ac:dyDescent="0.3">
      <c r="X5429" s="1">
        <f t="shared" si="168"/>
        <v>0</v>
      </c>
      <c r="Y5429" s="1">
        <f t="shared" si="169"/>
        <v>0</v>
      </c>
    </row>
    <row r="5430" spans="24:25" x14ac:dyDescent="0.3">
      <c r="X5430" s="1">
        <f t="shared" si="168"/>
        <v>0</v>
      </c>
      <c r="Y5430" s="1">
        <f t="shared" si="169"/>
        <v>0</v>
      </c>
    </row>
    <row r="5431" spans="24:25" x14ac:dyDescent="0.3">
      <c r="X5431" s="1">
        <f t="shared" si="168"/>
        <v>0</v>
      </c>
      <c r="Y5431" s="1">
        <f t="shared" si="169"/>
        <v>0</v>
      </c>
    </row>
    <row r="5432" spans="24:25" x14ac:dyDescent="0.3">
      <c r="X5432" s="1">
        <f t="shared" si="168"/>
        <v>0</v>
      </c>
      <c r="Y5432" s="1">
        <f t="shared" si="169"/>
        <v>0</v>
      </c>
    </row>
    <row r="5433" spans="24:25" x14ac:dyDescent="0.3">
      <c r="X5433" s="1">
        <f t="shared" si="168"/>
        <v>0</v>
      </c>
      <c r="Y5433" s="1">
        <f t="shared" si="169"/>
        <v>0</v>
      </c>
    </row>
    <row r="5434" spans="24:25" x14ac:dyDescent="0.3">
      <c r="X5434" s="1">
        <f t="shared" si="168"/>
        <v>0</v>
      </c>
      <c r="Y5434" s="1">
        <f t="shared" si="169"/>
        <v>0</v>
      </c>
    </row>
    <row r="5435" spans="24:25" x14ac:dyDescent="0.3">
      <c r="X5435" s="1">
        <f t="shared" si="168"/>
        <v>0</v>
      </c>
      <c r="Y5435" s="1">
        <f t="shared" si="169"/>
        <v>0</v>
      </c>
    </row>
    <row r="5436" spans="24:25" x14ac:dyDescent="0.3">
      <c r="X5436" s="1">
        <f t="shared" si="168"/>
        <v>0</v>
      </c>
      <c r="Y5436" s="1">
        <f t="shared" si="169"/>
        <v>0</v>
      </c>
    </row>
    <row r="5437" spans="24:25" x14ac:dyDescent="0.3">
      <c r="X5437" s="1">
        <f t="shared" si="168"/>
        <v>0</v>
      </c>
      <c r="Y5437" s="1">
        <f t="shared" si="169"/>
        <v>0</v>
      </c>
    </row>
    <row r="5438" spans="24:25" x14ac:dyDescent="0.3">
      <c r="X5438" s="1">
        <f t="shared" si="168"/>
        <v>0</v>
      </c>
      <c r="Y5438" s="1">
        <f t="shared" si="169"/>
        <v>0</v>
      </c>
    </row>
    <row r="5439" spans="24:25" x14ac:dyDescent="0.3">
      <c r="X5439" s="1">
        <f t="shared" si="168"/>
        <v>0</v>
      </c>
      <c r="Y5439" s="1">
        <f t="shared" si="169"/>
        <v>0</v>
      </c>
    </row>
    <row r="5440" spans="24:25" x14ac:dyDescent="0.3">
      <c r="X5440" s="1">
        <f t="shared" si="168"/>
        <v>0</v>
      </c>
      <c r="Y5440" s="1">
        <f t="shared" si="169"/>
        <v>0</v>
      </c>
    </row>
    <row r="5441" spans="24:25" x14ac:dyDescent="0.3">
      <c r="X5441" s="1">
        <f t="shared" si="168"/>
        <v>0</v>
      </c>
      <c r="Y5441" s="1">
        <f t="shared" si="169"/>
        <v>0</v>
      </c>
    </row>
    <row r="5442" spans="24:25" x14ac:dyDescent="0.3">
      <c r="X5442" s="1">
        <f t="shared" si="168"/>
        <v>0</v>
      </c>
      <c r="Y5442" s="1">
        <f t="shared" si="169"/>
        <v>0</v>
      </c>
    </row>
    <row r="5443" spans="24:25" x14ac:dyDescent="0.3">
      <c r="X5443" s="1">
        <f t="shared" ref="X5443:X5506" si="170">IFERROR(MATCH(W5443,$B:$B,0),0)</f>
        <v>0</v>
      </c>
      <c r="Y5443" s="1">
        <f t="shared" ref="Y5443:Y5506" si="171">IF(X5444=0,COUNTA(A:A),X5444-1)</f>
        <v>0</v>
      </c>
    </row>
    <row r="5444" spans="24:25" x14ac:dyDescent="0.3">
      <c r="X5444" s="1">
        <f t="shared" si="170"/>
        <v>0</v>
      </c>
      <c r="Y5444" s="1">
        <f t="shared" si="171"/>
        <v>0</v>
      </c>
    </row>
    <row r="5445" spans="24:25" x14ac:dyDescent="0.3">
      <c r="X5445" s="1">
        <f t="shared" si="170"/>
        <v>0</v>
      </c>
      <c r="Y5445" s="1">
        <f t="shared" si="171"/>
        <v>0</v>
      </c>
    </row>
    <row r="5446" spans="24:25" x14ac:dyDescent="0.3">
      <c r="X5446" s="1">
        <f t="shared" si="170"/>
        <v>0</v>
      </c>
      <c r="Y5446" s="1">
        <f t="shared" si="171"/>
        <v>0</v>
      </c>
    </row>
    <row r="5447" spans="24:25" x14ac:dyDescent="0.3">
      <c r="X5447" s="1">
        <f t="shared" si="170"/>
        <v>0</v>
      </c>
      <c r="Y5447" s="1">
        <f t="shared" si="171"/>
        <v>0</v>
      </c>
    </row>
    <row r="5448" spans="24:25" x14ac:dyDescent="0.3">
      <c r="X5448" s="1">
        <f t="shared" si="170"/>
        <v>0</v>
      </c>
      <c r="Y5448" s="1">
        <f t="shared" si="171"/>
        <v>0</v>
      </c>
    </row>
    <row r="5449" spans="24:25" x14ac:dyDescent="0.3">
      <c r="X5449" s="1">
        <f t="shared" si="170"/>
        <v>0</v>
      </c>
      <c r="Y5449" s="1">
        <f t="shared" si="171"/>
        <v>0</v>
      </c>
    </row>
    <row r="5450" spans="24:25" x14ac:dyDescent="0.3">
      <c r="X5450" s="1">
        <f t="shared" si="170"/>
        <v>0</v>
      </c>
      <c r="Y5450" s="1">
        <f t="shared" si="171"/>
        <v>0</v>
      </c>
    </row>
    <row r="5451" spans="24:25" x14ac:dyDescent="0.3">
      <c r="X5451" s="1">
        <f t="shared" si="170"/>
        <v>0</v>
      </c>
      <c r="Y5451" s="1">
        <f t="shared" si="171"/>
        <v>0</v>
      </c>
    </row>
    <row r="5452" spans="24:25" x14ac:dyDescent="0.3">
      <c r="X5452" s="1">
        <f t="shared" si="170"/>
        <v>0</v>
      </c>
      <c r="Y5452" s="1">
        <f t="shared" si="171"/>
        <v>0</v>
      </c>
    </row>
    <row r="5453" spans="24:25" x14ac:dyDescent="0.3">
      <c r="X5453" s="1">
        <f t="shared" si="170"/>
        <v>0</v>
      </c>
      <c r="Y5453" s="1">
        <f t="shared" si="171"/>
        <v>0</v>
      </c>
    </row>
    <row r="5454" spans="24:25" x14ac:dyDescent="0.3">
      <c r="X5454" s="1">
        <f t="shared" si="170"/>
        <v>0</v>
      </c>
      <c r="Y5454" s="1">
        <f t="shared" si="171"/>
        <v>0</v>
      </c>
    </row>
    <row r="5455" spans="24:25" x14ac:dyDescent="0.3">
      <c r="X5455" s="1">
        <f t="shared" si="170"/>
        <v>0</v>
      </c>
      <c r="Y5455" s="1">
        <f t="shared" si="171"/>
        <v>0</v>
      </c>
    </row>
    <row r="5456" spans="24:25" x14ac:dyDescent="0.3">
      <c r="X5456" s="1">
        <f t="shared" si="170"/>
        <v>0</v>
      </c>
      <c r="Y5456" s="1">
        <f t="shared" si="171"/>
        <v>0</v>
      </c>
    </row>
    <row r="5457" spans="24:25" x14ac:dyDescent="0.3">
      <c r="X5457" s="1">
        <f t="shared" si="170"/>
        <v>0</v>
      </c>
      <c r="Y5457" s="1">
        <f t="shared" si="171"/>
        <v>0</v>
      </c>
    </row>
    <row r="5458" spans="24:25" x14ac:dyDescent="0.3">
      <c r="X5458" s="1">
        <f t="shared" si="170"/>
        <v>0</v>
      </c>
      <c r="Y5458" s="1">
        <f t="shared" si="171"/>
        <v>0</v>
      </c>
    </row>
    <row r="5459" spans="24:25" x14ac:dyDescent="0.3">
      <c r="X5459" s="1">
        <f t="shared" si="170"/>
        <v>0</v>
      </c>
      <c r="Y5459" s="1">
        <f t="shared" si="171"/>
        <v>0</v>
      </c>
    </row>
    <row r="5460" spans="24:25" x14ac:dyDescent="0.3">
      <c r="X5460" s="1">
        <f t="shared" si="170"/>
        <v>0</v>
      </c>
      <c r="Y5460" s="1">
        <f t="shared" si="171"/>
        <v>0</v>
      </c>
    </row>
    <row r="5461" spans="24:25" x14ac:dyDescent="0.3">
      <c r="X5461" s="1">
        <f t="shared" si="170"/>
        <v>0</v>
      </c>
      <c r="Y5461" s="1">
        <f t="shared" si="171"/>
        <v>0</v>
      </c>
    </row>
    <row r="5462" spans="24:25" x14ac:dyDescent="0.3">
      <c r="X5462" s="1">
        <f t="shared" si="170"/>
        <v>0</v>
      </c>
      <c r="Y5462" s="1">
        <f t="shared" si="171"/>
        <v>0</v>
      </c>
    </row>
    <row r="5463" spans="24:25" x14ac:dyDescent="0.3">
      <c r="X5463" s="1">
        <f t="shared" si="170"/>
        <v>0</v>
      </c>
      <c r="Y5463" s="1">
        <f t="shared" si="171"/>
        <v>0</v>
      </c>
    </row>
    <row r="5464" spans="24:25" x14ac:dyDescent="0.3">
      <c r="X5464" s="1">
        <f t="shared" si="170"/>
        <v>0</v>
      </c>
      <c r="Y5464" s="1">
        <f t="shared" si="171"/>
        <v>0</v>
      </c>
    </row>
    <row r="5465" spans="24:25" x14ac:dyDescent="0.3">
      <c r="X5465" s="1">
        <f t="shared" si="170"/>
        <v>0</v>
      </c>
      <c r="Y5465" s="1">
        <f t="shared" si="171"/>
        <v>0</v>
      </c>
    </row>
    <row r="5466" spans="24:25" x14ac:dyDescent="0.3">
      <c r="X5466" s="1">
        <f t="shared" si="170"/>
        <v>0</v>
      </c>
      <c r="Y5466" s="1">
        <f t="shared" si="171"/>
        <v>0</v>
      </c>
    </row>
    <row r="5467" spans="24:25" x14ac:dyDescent="0.3">
      <c r="X5467" s="1">
        <f t="shared" si="170"/>
        <v>0</v>
      </c>
      <c r="Y5467" s="1">
        <f t="shared" si="171"/>
        <v>0</v>
      </c>
    </row>
    <row r="5468" spans="24:25" x14ac:dyDescent="0.3">
      <c r="X5468" s="1">
        <f t="shared" si="170"/>
        <v>0</v>
      </c>
      <c r="Y5468" s="1">
        <f t="shared" si="171"/>
        <v>0</v>
      </c>
    </row>
    <row r="5469" spans="24:25" x14ac:dyDescent="0.3">
      <c r="X5469" s="1">
        <f t="shared" si="170"/>
        <v>0</v>
      </c>
      <c r="Y5469" s="1">
        <f t="shared" si="171"/>
        <v>0</v>
      </c>
    </row>
    <row r="5470" spans="24:25" x14ac:dyDescent="0.3">
      <c r="X5470" s="1">
        <f t="shared" si="170"/>
        <v>0</v>
      </c>
      <c r="Y5470" s="1">
        <f t="shared" si="171"/>
        <v>0</v>
      </c>
    </row>
    <row r="5471" spans="24:25" x14ac:dyDescent="0.3">
      <c r="X5471" s="1">
        <f t="shared" si="170"/>
        <v>0</v>
      </c>
      <c r="Y5471" s="1">
        <f t="shared" si="171"/>
        <v>0</v>
      </c>
    </row>
    <row r="5472" spans="24:25" x14ac:dyDescent="0.3">
      <c r="X5472" s="1">
        <f t="shared" si="170"/>
        <v>0</v>
      </c>
      <c r="Y5472" s="1">
        <f t="shared" si="171"/>
        <v>0</v>
      </c>
    </row>
    <row r="5473" spans="24:25" x14ac:dyDescent="0.3">
      <c r="X5473" s="1">
        <f t="shared" si="170"/>
        <v>0</v>
      </c>
      <c r="Y5473" s="1">
        <f t="shared" si="171"/>
        <v>0</v>
      </c>
    </row>
    <row r="5474" spans="24:25" x14ac:dyDescent="0.3">
      <c r="X5474" s="1">
        <f t="shared" si="170"/>
        <v>0</v>
      </c>
      <c r="Y5474" s="1">
        <f t="shared" si="171"/>
        <v>0</v>
      </c>
    </row>
    <row r="5475" spans="24:25" x14ac:dyDescent="0.3">
      <c r="X5475" s="1">
        <f t="shared" si="170"/>
        <v>0</v>
      </c>
      <c r="Y5475" s="1">
        <f t="shared" si="171"/>
        <v>0</v>
      </c>
    </row>
    <row r="5476" spans="24:25" x14ac:dyDescent="0.3">
      <c r="X5476" s="1">
        <f t="shared" si="170"/>
        <v>0</v>
      </c>
      <c r="Y5476" s="1">
        <f t="shared" si="171"/>
        <v>0</v>
      </c>
    </row>
    <row r="5477" spans="24:25" x14ac:dyDescent="0.3">
      <c r="X5477" s="1">
        <f t="shared" si="170"/>
        <v>0</v>
      </c>
      <c r="Y5477" s="1">
        <f t="shared" si="171"/>
        <v>0</v>
      </c>
    </row>
    <row r="5478" spans="24:25" x14ac:dyDescent="0.3">
      <c r="X5478" s="1">
        <f t="shared" si="170"/>
        <v>0</v>
      </c>
      <c r="Y5478" s="1">
        <f t="shared" si="171"/>
        <v>0</v>
      </c>
    </row>
    <row r="5479" spans="24:25" x14ac:dyDescent="0.3">
      <c r="X5479" s="1">
        <f t="shared" si="170"/>
        <v>0</v>
      </c>
      <c r="Y5479" s="1">
        <f t="shared" si="171"/>
        <v>0</v>
      </c>
    </row>
    <row r="5480" spans="24:25" x14ac:dyDescent="0.3">
      <c r="X5480" s="1">
        <f t="shared" si="170"/>
        <v>0</v>
      </c>
      <c r="Y5480" s="1">
        <f t="shared" si="171"/>
        <v>0</v>
      </c>
    </row>
    <row r="5481" spans="24:25" x14ac:dyDescent="0.3">
      <c r="X5481" s="1">
        <f t="shared" si="170"/>
        <v>0</v>
      </c>
      <c r="Y5481" s="1">
        <f t="shared" si="171"/>
        <v>0</v>
      </c>
    </row>
    <row r="5482" spans="24:25" x14ac:dyDescent="0.3">
      <c r="X5482" s="1">
        <f t="shared" si="170"/>
        <v>0</v>
      </c>
      <c r="Y5482" s="1">
        <f t="shared" si="171"/>
        <v>0</v>
      </c>
    </row>
    <row r="5483" spans="24:25" x14ac:dyDescent="0.3">
      <c r="X5483" s="1">
        <f t="shared" si="170"/>
        <v>0</v>
      </c>
      <c r="Y5483" s="1">
        <f t="shared" si="171"/>
        <v>0</v>
      </c>
    </row>
    <row r="5484" spans="24:25" x14ac:dyDescent="0.3">
      <c r="X5484" s="1">
        <f t="shared" si="170"/>
        <v>0</v>
      </c>
      <c r="Y5484" s="1">
        <f t="shared" si="171"/>
        <v>0</v>
      </c>
    </row>
    <row r="5485" spans="24:25" x14ac:dyDescent="0.3">
      <c r="X5485" s="1">
        <f t="shared" si="170"/>
        <v>0</v>
      </c>
      <c r="Y5485" s="1">
        <f t="shared" si="171"/>
        <v>0</v>
      </c>
    </row>
    <row r="5486" spans="24:25" x14ac:dyDescent="0.3">
      <c r="X5486" s="1">
        <f t="shared" si="170"/>
        <v>0</v>
      </c>
      <c r="Y5486" s="1">
        <f t="shared" si="171"/>
        <v>0</v>
      </c>
    </row>
    <row r="5487" spans="24:25" x14ac:dyDescent="0.3">
      <c r="X5487" s="1">
        <f t="shared" si="170"/>
        <v>0</v>
      </c>
      <c r="Y5487" s="1">
        <f t="shared" si="171"/>
        <v>0</v>
      </c>
    </row>
    <row r="5488" spans="24:25" x14ac:dyDescent="0.3">
      <c r="X5488" s="1">
        <f t="shared" si="170"/>
        <v>0</v>
      </c>
      <c r="Y5488" s="1">
        <f t="shared" si="171"/>
        <v>0</v>
      </c>
    </row>
    <row r="5489" spans="24:25" x14ac:dyDescent="0.3">
      <c r="X5489" s="1">
        <f t="shared" si="170"/>
        <v>0</v>
      </c>
      <c r="Y5489" s="1">
        <f t="shared" si="171"/>
        <v>0</v>
      </c>
    </row>
    <row r="5490" spans="24:25" x14ac:dyDescent="0.3">
      <c r="X5490" s="1">
        <f t="shared" si="170"/>
        <v>0</v>
      </c>
      <c r="Y5490" s="1">
        <f t="shared" si="171"/>
        <v>0</v>
      </c>
    </row>
    <row r="5491" spans="24:25" x14ac:dyDescent="0.3">
      <c r="X5491" s="1">
        <f t="shared" si="170"/>
        <v>0</v>
      </c>
      <c r="Y5491" s="1">
        <f t="shared" si="171"/>
        <v>0</v>
      </c>
    </row>
    <row r="5492" spans="24:25" x14ac:dyDescent="0.3">
      <c r="X5492" s="1">
        <f t="shared" si="170"/>
        <v>0</v>
      </c>
      <c r="Y5492" s="1">
        <f t="shared" si="171"/>
        <v>0</v>
      </c>
    </row>
    <row r="5493" spans="24:25" x14ac:dyDescent="0.3">
      <c r="X5493" s="1">
        <f t="shared" si="170"/>
        <v>0</v>
      </c>
      <c r="Y5493" s="1">
        <f t="shared" si="171"/>
        <v>0</v>
      </c>
    </row>
    <row r="5494" spans="24:25" x14ac:dyDescent="0.3">
      <c r="X5494" s="1">
        <f t="shared" si="170"/>
        <v>0</v>
      </c>
      <c r="Y5494" s="1">
        <f t="shared" si="171"/>
        <v>0</v>
      </c>
    </row>
    <row r="5495" spans="24:25" x14ac:dyDescent="0.3">
      <c r="X5495" s="1">
        <f t="shared" si="170"/>
        <v>0</v>
      </c>
      <c r="Y5495" s="1">
        <f t="shared" si="171"/>
        <v>0</v>
      </c>
    </row>
    <row r="5496" spans="24:25" x14ac:dyDescent="0.3">
      <c r="X5496" s="1">
        <f t="shared" si="170"/>
        <v>0</v>
      </c>
      <c r="Y5496" s="1">
        <f t="shared" si="171"/>
        <v>0</v>
      </c>
    </row>
    <row r="5497" spans="24:25" x14ac:dyDescent="0.3">
      <c r="X5497" s="1">
        <f t="shared" si="170"/>
        <v>0</v>
      </c>
      <c r="Y5497" s="1">
        <f t="shared" si="171"/>
        <v>0</v>
      </c>
    </row>
    <row r="5498" spans="24:25" x14ac:dyDescent="0.3">
      <c r="X5498" s="1">
        <f t="shared" si="170"/>
        <v>0</v>
      </c>
      <c r="Y5498" s="1">
        <f t="shared" si="171"/>
        <v>0</v>
      </c>
    </row>
    <row r="5499" spans="24:25" x14ac:dyDescent="0.3">
      <c r="X5499" s="1">
        <f t="shared" si="170"/>
        <v>0</v>
      </c>
      <c r="Y5499" s="1">
        <f t="shared" si="171"/>
        <v>0</v>
      </c>
    </row>
    <row r="5500" spans="24:25" x14ac:dyDescent="0.3">
      <c r="X5500" s="1">
        <f t="shared" si="170"/>
        <v>0</v>
      </c>
      <c r="Y5500" s="1">
        <f t="shared" si="171"/>
        <v>0</v>
      </c>
    </row>
    <row r="5501" spans="24:25" x14ac:dyDescent="0.3">
      <c r="X5501" s="1">
        <f t="shared" si="170"/>
        <v>0</v>
      </c>
      <c r="Y5501" s="1">
        <f t="shared" si="171"/>
        <v>0</v>
      </c>
    </row>
    <row r="5502" spans="24:25" x14ac:dyDescent="0.3">
      <c r="X5502" s="1">
        <f t="shared" si="170"/>
        <v>0</v>
      </c>
      <c r="Y5502" s="1">
        <f t="shared" si="171"/>
        <v>0</v>
      </c>
    </row>
    <row r="5503" spans="24:25" x14ac:dyDescent="0.3">
      <c r="X5503" s="1">
        <f t="shared" si="170"/>
        <v>0</v>
      </c>
      <c r="Y5503" s="1">
        <f t="shared" si="171"/>
        <v>0</v>
      </c>
    </row>
    <row r="5504" spans="24:25" x14ac:dyDescent="0.3">
      <c r="X5504" s="1">
        <f t="shared" si="170"/>
        <v>0</v>
      </c>
      <c r="Y5504" s="1">
        <f t="shared" si="171"/>
        <v>0</v>
      </c>
    </row>
    <row r="5505" spans="24:25" x14ac:dyDescent="0.3">
      <c r="X5505" s="1">
        <f t="shared" si="170"/>
        <v>0</v>
      </c>
      <c r="Y5505" s="1">
        <f t="shared" si="171"/>
        <v>0</v>
      </c>
    </row>
    <row r="5506" spans="24:25" x14ac:dyDescent="0.3">
      <c r="X5506" s="1">
        <f t="shared" si="170"/>
        <v>0</v>
      </c>
      <c r="Y5506" s="1">
        <f t="shared" si="171"/>
        <v>0</v>
      </c>
    </row>
    <row r="5507" spans="24:25" x14ac:dyDescent="0.3">
      <c r="X5507" s="1">
        <f t="shared" ref="X5507:X5570" si="172">IFERROR(MATCH(W5507,$B:$B,0),0)</f>
        <v>0</v>
      </c>
      <c r="Y5507" s="1">
        <f t="shared" ref="Y5507:Y5570" si="173">IF(X5508=0,COUNTA(A:A),X5508-1)</f>
        <v>0</v>
      </c>
    </row>
    <row r="5508" spans="24:25" x14ac:dyDescent="0.3">
      <c r="X5508" s="1">
        <f t="shared" si="172"/>
        <v>0</v>
      </c>
      <c r="Y5508" s="1">
        <f t="shared" si="173"/>
        <v>0</v>
      </c>
    </row>
    <row r="5509" spans="24:25" x14ac:dyDescent="0.3">
      <c r="X5509" s="1">
        <f t="shared" si="172"/>
        <v>0</v>
      </c>
      <c r="Y5509" s="1">
        <f t="shared" si="173"/>
        <v>0</v>
      </c>
    </row>
    <row r="5510" spans="24:25" x14ac:dyDescent="0.3">
      <c r="X5510" s="1">
        <f t="shared" si="172"/>
        <v>0</v>
      </c>
      <c r="Y5510" s="1">
        <f t="shared" si="173"/>
        <v>0</v>
      </c>
    </row>
    <row r="5511" spans="24:25" x14ac:dyDescent="0.3">
      <c r="X5511" s="1">
        <f t="shared" si="172"/>
        <v>0</v>
      </c>
      <c r="Y5511" s="1">
        <f t="shared" si="173"/>
        <v>0</v>
      </c>
    </row>
    <row r="5512" spans="24:25" x14ac:dyDescent="0.3">
      <c r="X5512" s="1">
        <f t="shared" si="172"/>
        <v>0</v>
      </c>
      <c r="Y5512" s="1">
        <f t="shared" si="173"/>
        <v>0</v>
      </c>
    </row>
    <row r="5513" spans="24:25" x14ac:dyDescent="0.3">
      <c r="X5513" s="1">
        <f t="shared" si="172"/>
        <v>0</v>
      </c>
      <c r="Y5513" s="1">
        <f t="shared" si="173"/>
        <v>0</v>
      </c>
    </row>
    <row r="5514" spans="24:25" x14ac:dyDescent="0.3">
      <c r="X5514" s="1">
        <f t="shared" si="172"/>
        <v>0</v>
      </c>
      <c r="Y5514" s="1">
        <f t="shared" si="173"/>
        <v>0</v>
      </c>
    </row>
    <row r="5515" spans="24:25" x14ac:dyDescent="0.3">
      <c r="X5515" s="1">
        <f t="shared" si="172"/>
        <v>0</v>
      </c>
      <c r="Y5515" s="1">
        <f t="shared" si="173"/>
        <v>0</v>
      </c>
    </row>
    <row r="5516" spans="24:25" x14ac:dyDescent="0.3">
      <c r="X5516" s="1">
        <f t="shared" si="172"/>
        <v>0</v>
      </c>
      <c r="Y5516" s="1">
        <f t="shared" si="173"/>
        <v>0</v>
      </c>
    </row>
    <row r="5517" spans="24:25" x14ac:dyDescent="0.3">
      <c r="X5517" s="1">
        <f t="shared" si="172"/>
        <v>0</v>
      </c>
      <c r="Y5517" s="1">
        <f t="shared" si="173"/>
        <v>0</v>
      </c>
    </row>
    <row r="5518" spans="24:25" x14ac:dyDescent="0.3">
      <c r="X5518" s="1">
        <f t="shared" si="172"/>
        <v>0</v>
      </c>
      <c r="Y5518" s="1">
        <f t="shared" si="173"/>
        <v>0</v>
      </c>
    </row>
    <row r="5519" spans="24:25" x14ac:dyDescent="0.3">
      <c r="X5519" s="1">
        <f t="shared" si="172"/>
        <v>0</v>
      </c>
      <c r="Y5519" s="1">
        <f t="shared" si="173"/>
        <v>0</v>
      </c>
    </row>
    <row r="5520" spans="24:25" x14ac:dyDescent="0.3">
      <c r="X5520" s="1">
        <f t="shared" si="172"/>
        <v>0</v>
      </c>
      <c r="Y5520" s="1">
        <f t="shared" si="173"/>
        <v>0</v>
      </c>
    </row>
    <row r="5521" spans="24:25" x14ac:dyDescent="0.3">
      <c r="X5521" s="1">
        <f t="shared" si="172"/>
        <v>0</v>
      </c>
      <c r="Y5521" s="1">
        <f t="shared" si="173"/>
        <v>0</v>
      </c>
    </row>
    <row r="5522" spans="24:25" x14ac:dyDescent="0.3">
      <c r="X5522" s="1">
        <f t="shared" si="172"/>
        <v>0</v>
      </c>
      <c r="Y5522" s="1">
        <f t="shared" si="173"/>
        <v>0</v>
      </c>
    </row>
    <row r="5523" spans="24:25" x14ac:dyDescent="0.3">
      <c r="X5523" s="1">
        <f t="shared" si="172"/>
        <v>0</v>
      </c>
      <c r="Y5523" s="1">
        <f t="shared" si="173"/>
        <v>0</v>
      </c>
    </row>
    <row r="5524" spans="24:25" x14ac:dyDescent="0.3">
      <c r="X5524" s="1">
        <f t="shared" si="172"/>
        <v>0</v>
      </c>
      <c r="Y5524" s="1">
        <f t="shared" si="173"/>
        <v>0</v>
      </c>
    </row>
    <row r="5525" spans="24:25" x14ac:dyDescent="0.3">
      <c r="X5525" s="1">
        <f t="shared" si="172"/>
        <v>0</v>
      </c>
      <c r="Y5525" s="1">
        <f t="shared" si="173"/>
        <v>0</v>
      </c>
    </row>
    <row r="5526" spans="24:25" x14ac:dyDescent="0.3">
      <c r="X5526" s="1">
        <f t="shared" si="172"/>
        <v>0</v>
      </c>
      <c r="Y5526" s="1">
        <f t="shared" si="173"/>
        <v>0</v>
      </c>
    </row>
    <row r="5527" spans="24:25" x14ac:dyDescent="0.3">
      <c r="X5527" s="1">
        <f t="shared" si="172"/>
        <v>0</v>
      </c>
      <c r="Y5527" s="1">
        <f t="shared" si="173"/>
        <v>0</v>
      </c>
    </row>
    <row r="5528" spans="24:25" x14ac:dyDescent="0.3">
      <c r="X5528" s="1">
        <f t="shared" si="172"/>
        <v>0</v>
      </c>
      <c r="Y5528" s="1">
        <f t="shared" si="173"/>
        <v>0</v>
      </c>
    </row>
    <row r="5529" spans="24:25" x14ac:dyDescent="0.3">
      <c r="X5529" s="1">
        <f t="shared" si="172"/>
        <v>0</v>
      </c>
      <c r="Y5529" s="1">
        <f t="shared" si="173"/>
        <v>0</v>
      </c>
    </row>
    <row r="5530" spans="24:25" x14ac:dyDescent="0.3">
      <c r="X5530" s="1">
        <f t="shared" si="172"/>
        <v>0</v>
      </c>
      <c r="Y5530" s="1">
        <f t="shared" si="173"/>
        <v>0</v>
      </c>
    </row>
    <row r="5531" spans="24:25" x14ac:dyDescent="0.3">
      <c r="X5531" s="1">
        <f t="shared" si="172"/>
        <v>0</v>
      </c>
      <c r="Y5531" s="1">
        <f t="shared" si="173"/>
        <v>0</v>
      </c>
    </row>
    <row r="5532" spans="24:25" x14ac:dyDescent="0.3">
      <c r="X5532" s="1">
        <f t="shared" si="172"/>
        <v>0</v>
      </c>
      <c r="Y5532" s="1">
        <f t="shared" si="173"/>
        <v>0</v>
      </c>
    </row>
    <row r="5533" spans="24:25" x14ac:dyDescent="0.3">
      <c r="X5533" s="1">
        <f t="shared" si="172"/>
        <v>0</v>
      </c>
      <c r="Y5533" s="1">
        <f t="shared" si="173"/>
        <v>0</v>
      </c>
    </row>
    <row r="5534" spans="24:25" x14ac:dyDescent="0.3">
      <c r="X5534" s="1">
        <f t="shared" si="172"/>
        <v>0</v>
      </c>
      <c r="Y5534" s="1">
        <f t="shared" si="173"/>
        <v>0</v>
      </c>
    </row>
    <row r="5535" spans="24:25" x14ac:dyDescent="0.3">
      <c r="X5535" s="1">
        <f t="shared" si="172"/>
        <v>0</v>
      </c>
      <c r="Y5535" s="1">
        <f t="shared" si="173"/>
        <v>0</v>
      </c>
    </row>
    <row r="5536" spans="24:25" x14ac:dyDescent="0.3">
      <c r="X5536" s="1">
        <f t="shared" si="172"/>
        <v>0</v>
      </c>
      <c r="Y5536" s="1">
        <f t="shared" si="173"/>
        <v>0</v>
      </c>
    </row>
    <row r="5537" spans="24:25" x14ac:dyDescent="0.3">
      <c r="X5537" s="1">
        <f t="shared" si="172"/>
        <v>0</v>
      </c>
      <c r="Y5537" s="1">
        <f t="shared" si="173"/>
        <v>0</v>
      </c>
    </row>
    <row r="5538" spans="24:25" x14ac:dyDescent="0.3">
      <c r="X5538" s="1">
        <f t="shared" si="172"/>
        <v>0</v>
      </c>
      <c r="Y5538" s="1">
        <f t="shared" si="173"/>
        <v>0</v>
      </c>
    </row>
    <row r="5539" spans="24:25" x14ac:dyDescent="0.3">
      <c r="X5539" s="1">
        <f t="shared" si="172"/>
        <v>0</v>
      </c>
      <c r="Y5539" s="1">
        <f t="shared" si="173"/>
        <v>0</v>
      </c>
    </row>
    <row r="5540" spans="24:25" x14ac:dyDescent="0.3">
      <c r="X5540" s="1">
        <f t="shared" si="172"/>
        <v>0</v>
      </c>
      <c r="Y5540" s="1">
        <f t="shared" si="173"/>
        <v>0</v>
      </c>
    </row>
    <row r="5541" spans="24:25" x14ac:dyDescent="0.3">
      <c r="X5541" s="1">
        <f t="shared" si="172"/>
        <v>0</v>
      </c>
      <c r="Y5541" s="1">
        <f t="shared" si="173"/>
        <v>0</v>
      </c>
    </row>
    <row r="5542" spans="24:25" x14ac:dyDescent="0.3">
      <c r="X5542" s="1">
        <f t="shared" si="172"/>
        <v>0</v>
      </c>
      <c r="Y5542" s="1">
        <f t="shared" si="173"/>
        <v>0</v>
      </c>
    </row>
    <row r="5543" spans="24:25" x14ac:dyDescent="0.3">
      <c r="X5543" s="1">
        <f t="shared" si="172"/>
        <v>0</v>
      </c>
      <c r="Y5543" s="1">
        <f t="shared" si="173"/>
        <v>0</v>
      </c>
    </row>
    <row r="5544" spans="24:25" x14ac:dyDescent="0.3">
      <c r="X5544" s="1">
        <f t="shared" si="172"/>
        <v>0</v>
      </c>
      <c r="Y5544" s="1">
        <f t="shared" si="173"/>
        <v>0</v>
      </c>
    </row>
    <row r="5545" spans="24:25" x14ac:dyDescent="0.3">
      <c r="X5545" s="1">
        <f t="shared" si="172"/>
        <v>0</v>
      </c>
      <c r="Y5545" s="1">
        <f t="shared" si="173"/>
        <v>0</v>
      </c>
    </row>
    <row r="5546" spans="24:25" x14ac:dyDescent="0.3">
      <c r="X5546" s="1">
        <f t="shared" si="172"/>
        <v>0</v>
      </c>
      <c r="Y5546" s="1">
        <f t="shared" si="173"/>
        <v>0</v>
      </c>
    </row>
    <row r="5547" spans="24:25" x14ac:dyDescent="0.3">
      <c r="X5547" s="1">
        <f t="shared" si="172"/>
        <v>0</v>
      </c>
      <c r="Y5547" s="1">
        <f t="shared" si="173"/>
        <v>0</v>
      </c>
    </row>
    <row r="5548" spans="24:25" x14ac:dyDescent="0.3">
      <c r="X5548" s="1">
        <f t="shared" si="172"/>
        <v>0</v>
      </c>
      <c r="Y5548" s="1">
        <f t="shared" si="173"/>
        <v>0</v>
      </c>
    </row>
    <row r="5549" spans="24:25" x14ac:dyDescent="0.3">
      <c r="X5549" s="1">
        <f t="shared" si="172"/>
        <v>0</v>
      </c>
      <c r="Y5549" s="1">
        <f t="shared" si="173"/>
        <v>0</v>
      </c>
    </row>
    <row r="5550" spans="24:25" x14ac:dyDescent="0.3">
      <c r="X5550" s="1">
        <f t="shared" si="172"/>
        <v>0</v>
      </c>
      <c r="Y5550" s="1">
        <f t="shared" si="173"/>
        <v>0</v>
      </c>
    </row>
    <row r="5551" spans="24:25" x14ac:dyDescent="0.3">
      <c r="X5551" s="1">
        <f t="shared" si="172"/>
        <v>0</v>
      </c>
      <c r="Y5551" s="1">
        <f t="shared" si="173"/>
        <v>0</v>
      </c>
    </row>
    <row r="5552" spans="24:25" x14ac:dyDescent="0.3">
      <c r="X5552" s="1">
        <f t="shared" si="172"/>
        <v>0</v>
      </c>
      <c r="Y5552" s="1">
        <f t="shared" si="173"/>
        <v>0</v>
      </c>
    </row>
    <row r="5553" spans="24:25" x14ac:dyDescent="0.3">
      <c r="X5553" s="1">
        <f t="shared" si="172"/>
        <v>0</v>
      </c>
      <c r="Y5553" s="1">
        <f t="shared" si="173"/>
        <v>0</v>
      </c>
    </row>
    <row r="5554" spans="24:25" x14ac:dyDescent="0.3">
      <c r="X5554" s="1">
        <f t="shared" si="172"/>
        <v>0</v>
      </c>
      <c r="Y5554" s="1">
        <f t="shared" si="173"/>
        <v>0</v>
      </c>
    </row>
    <row r="5555" spans="24:25" x14ac:dyDescent="0.3">
      <c r="X5555" s="1">
        <f t="shared" si="172"/>
        <v>0</v>
      </c>
      <c r="Y5555" s="1">
        <f t="shared" si="173"/>
        <v>0</v>
      </c>
    </row>
    <row r="5556" spans="24:25" x14ac:dyDescent="0.3">
      <c r="X5556" s="1">
        <f t="shared" si="172"/>
        <v>0</v>
      </c>
      <c r="Y5556" s="1">
        <f t="shared" si="173"/>
        <v>0</v>
      </c>
    </row>
    <row r="5557" spans="24:25" x14ac:dyDescent="0.3">
      <c r="X5557" s="1">
        <f t="shared" si="172"/>
        <v>0</v>
      </c>
      <c r="Y5557" s="1">
        <f t="shared" si="173"/>
        <v>0</v>
      </c>
    </row>
    <row r="5558" spans="24:25" x14ac:dyDescent="0.3">
      <c r="X5558" s="1">
        <f t="shared" si="172"/>
        <v>0</v>
      </c>
      <c r="Y5558" s="1">
        <f t="shared" si="173"/>
        <v>0</v>
      </c>
    </row>
    <row r="5559" spans="24:25" x14ac:dyDescent="0.3">
      <c r="X5559" s="1">
        <f t="shared" si="172"/>
        <v>0</v>
      </c>
      <c r="Y5559" s="1">
        <f t="shared" si="173"/>
        <v>0</v>
      </c>
    </row>
    <row r="5560" spans="24:25" x14ac:dyDescent="0.3">
      <c r="X5560" s="1">
        <f t="shared" si="172"/>
        <v>0</v>
      </c>
      <c r="Y5560" s="1">
        <f t="shared" si="173"/>
        <v>0</v>
      </c>
    </row>
    <row r="5561" spans="24:25" x14ac:dyDescent="0.3">
      <c r="X5561" s="1">
        <f t="shared" si="172"/>
        <v>0</v>
      </c>
      <c r="Y5561" s="1">
        <f t="shared" si="173"/>
        <v>0</v>
      </c>
    </row>
    <row r="5562" spans="24:25" x14ac:dyDescent="0.3">
      <c r="X5562" s="1">
        <f t="shared" si="172"/>
        <v>0</v>
      </c>
      <c r="Y5562" s="1">
        <f t="shared" si="173"/>
        <v>0</v>
      </c>
    </row>
    <row r="5563" spans="24:25" x14ac:dyDescent="0.3">
      <c r="X5563" s="1">
        <f t="shared" si="172"/>
        <v>0</v>
      </c>
      <c r="Y5563" s="1">
        <f t="shared" si="173"/>
        <v>0</v>
      </c>
    </row>
    <row r="5564" spans="24:25" x14ac:dyDescent="0.3">
      <c r="X5564" s="1">
        <f t="shared" si="172"/>
        <v>0</v>
      </c>
      <c r="Y5564" s="1">
        <f t="shared" si="173"/>
        <v>0</v>
      </c>
    </row>
    <row r="5565" spans="24:25" x14ac:dyDescent="0.3">
      <c r="X5565" s="1">
        <f t="shared" si="172"/>
        <v>0</v>
      </c>
      <c r="Y5565" s="1">
        <f t="shared" si="173"/>
        <v>0</v>
      </c>
    </row>
    <row r="5566" spans="24:25" x14ac:dyDescent="0.3">
      <c r="X5566" s="1">
        <f t="shared" si="172"/>
        <v>0</v>
      </c>
      <c r="Y5566" s="1">
        <f t="shared" si="173"/>
        <v>0</v>
      </c>
    </row>
    <row r="5567" spans="24:25" x14ac:dyDescent="0.3">
      <c r="X5567" s="1">
        <f t="shared" si="172"/>
        <v>0</v>
      </c>
      <c r="Y5567" s="1">
        <f t="shared" si="173"/>
        <v>0</v>
      </c>
    </row>
    <row r="5568" spans="24:25" x14ac:dyDescent="0.3">
      <c r="X5568" s="1">
        <f t="shared" si="172"/>
        <v>0</v>
      </c>
      <c r="Y5568" s="1">
        <f t="shared" si="173"/>
        <v>0</v>
      </c>
    </row>
    <row r="5569" spans="24:25" x14ac:dyDescent="0.3">
      <c r="X5569" s="1">
        <f t="shared" si="172"/>
        <v>0</v>
      </c>
      <c r="Y5569" s="1">
        <f t="shared" si="173"/>
        <v>0</v>
      </c>
    </row>
    <row r="5570" spans="24:25" x14ac:dyDescent="0.3">
      <c r="X5570" s="1">
        <f t="shared" si="172"/>
        <v>0</v>
      </c>
      <c r="Y5570" s="1">
        <f t="shared" si="173"/>
        <v>0</v>
      </c>
    </row>
    <row r="5571" spans="24:25" x14ac:dyDescent="0.3">
      <c r="X5571" s="1">
        <f t="shared" ref="X5571:X5634" si="174">IFERROR(MATCH(W5571,$B:$B,0),0)</f>
        <v>0</v>
      </c>
      <c r="Y5571" s="1">
        <f t="shared" ref="Y5571:Y5634" si="175">IF(X5572=0,COUNTA(A:A),X5572-1)</f>
        <v>0</v>
      </c>
    </row>
    <row r="5572" spans="24:25" x14ac:dyDescent="0.3">
      <c r="X5572" s="1">
        <f t="shared" si="174"/>
        <v>0</v>
      </c>
      <c r="Y5572" s="1">
        <f t="shared" si="175"/>
        <v>0</v>
      </c>
    </row>
    <row r="5573" spans="24:25" x14ac:dyDescent="0.3">
      <c r="X5573" s="1">
        <f t="shared" si="174"/>
        <v>0</v>
      </c>
      <c r="Y5573" s="1">
        <f t="shared" si="175"/>
        <v>0</v>
      </c>
    </row>
    <row r="5574" spans="24:25" x14ac:dyDescent="0.3">
      <c r="X5574" s="1">
        <f t="shared" si="174"/>
        <v>0</v>
      </c>
      <c r="Y5574" s="1">
        <f t="shared" si="175"/>
        <v>0</v>
      </c>
    </row>
    <row r="5575" spans="24:25" x14ac:dyDescent="0.3">
      <c r="X5575" s="1">
        <f t="shared" si="174"/>
        <v>0</v>
      </c>
      <c r="Y5575" s="1">
        <f t="shared" si="175"/>
        <v>0</v>
      </c>
    </row>
    <row r="5576" spans="24:25" x14ac:dyDescent="0.3">
      <c r="X5576" s="1">
        <f t="shared" si="174"/>
        <v>0</v>
      </c>
      <c r="Y5576" s="1">
        <f t="shared" si="175"/>
        <v>0</v>
      </c>
    </row>
    <row r="5577" spans="24:25" x14ac:dyDescent="0.3">
      <c r="X5577" s="1">
        <f t="shared" si="174"/>
        <v>0</v>
      </c>
      <c r="Y5577" s="1">
        <f t="shared" si="175"/>
        <v>0</v>
      </c>
    </row>
    <row r="5578" spans="24:25" x14ac:dyDescent="0.3">
      <c r="X5578" s="1">
        <f t="shared" si="174"/>
        <v>0</v>
      </c>
      <c r="Y5578" s="1">
        <f t="shared" si="175"/>
        <v>0</v>
      </c>
    </row>
    <row r="5579" spans="24:25" x14ac:dyDescent="0.3">
      <c r="X5579" s="1">
        <f t="shared" si="174"/>
        <v>0</v>
      </c>
      <c r="Y5579" s="1">
        <f t="shared" si="175"/>
        <v>0</v>
      </c>
    </row>
    <row r="5580" spans="24:25" x14ac:dyDescent="0.3">
      <c r="X5580" s="1">
        <f t="shared" si="174"/>
        <v>0</v>
      </c>
      <c r="Y5580" s="1">
        <f t="shared" si="175"/>
        <v>0</v>
      </c>
    </row>
    <row r="5581" spans="24:25" x14ac:dyDescent="0.3">
      <c r="X5581" s="1">
        <f t="shared" si="174"/>
        <v>0</v>
      </c>
      <c r="Y5581" s="1">
        <f t="shared" si="175"/>
        <v>0</v>
      </c>
    </row>
    <row r="5582" spans="24:25" x14ac:dyDescent="0.3">
      <c r="X5582" s="1">
        <f t="shared" si="174"/>
        <v>0</v>
      </c>
      <c r="Y5582" s="1">
        <f t="shared" si="175"/>
        <v>0</v>
      </c>
    </row>
    <row r="5583" spans="24:25" x14ac:dyDescent="0.3">
      <c r="X5583" s="1">
        <f t="shared" si="174"/>
        <v>0</v>
      </c>
      <c r="Y5583" s="1">
        <f t="shared" si="175"/>
        <v>0</v>
      </c>
    </row>
    <row r="5584" spans="24:25" x14ac:dyDescent="0.3">
      <c r="X5584" s="1">
        <f t="shared" si="174"/>
        <v>0</v>
      </c>
      <c r="Y5584" s="1">
        <f t="shared" si="175"/>
        <v>0</v>
      </c>
    </row>
    <row r="5585" spans="24:25" x14ac:dyDescent="0.3">
      <c r="X5585" s="1">
        <f t="shared" si="174"/>
        <v>0</v>
      </c>
      <c r="Y5585" s="1">
        <f t="shared" si="175"/>
        <v>0</v>
      </c>
    </row>
    <row r="5586" spans="24:25" x14ac:dyDescent="0.3">
      <c r="X5586" s="1">
        <f t="shared" si="174"/>
        <v>0</v>
      </c>
      <c r="Y5586" s="1">
        <f t="shared" si="175"/>
        <v>0</v>
      </c>
    </row>
    <row r="5587" spans="24:25" x14ac:dyDescent="0.3">
      <c r="X5587" s="1">
        <f t="shared" si="174"/>
        <v>0</v>
      </c>
      <c r="Y5587" s="1">
        <f t="shared" si="175"/>
        <v>0</v>
      </c>
    </row>
    <row r="5588" spans="24:25" x14ac:dyDescent="0.3">
      <c r="X5588" s="1">
        <f t="shared" si="174"/>
        <v>0</v>
      </c>
      <c r="Y5588" s="1">
        <f t="shared" si="175"/>
        <v>0</v>
      </c>
    </row>
    <row r="5589" spans="24:25" x14ac:dyDescent="0.3">
      <c r="X5589" s="1">
        <f t="shared" si="174"/>
        <v>0</v>
      </c>
      <c r="Y5589" s="1">
        <f t="shared" si="175"/>
        <v>0</v>
      </c>
    </row>
    <row r="5590" spans="24:25" x14ac:dyDescent="0.3">
      <c r="X5590" s="1">
        <f t="shared" si="174"/>
        <v>0</v>
      </c>
      <c r="Y5590" s="1">
        <f t="shared" si="175"/>
        <v>0</v>
      </c>
    </row>
    <row r="5591" spans="24:25" x14ac:dyDescent="0.3">
      <c r="X5591" s="1">
        <f t="shared" si="174"/>
        <v>0</v>
      </c>
      <c r="Y5591" s="1">
        <f t="shared" si="175"/>
        <v>0</v>
      </c>
    </row>
    <row r="5592" spans="24:25" x14ac:dyDescent="0.3">
      <c r="X5592" s="1">
        <f t="shared" si="174"/>
        <v>0</v>
      </c>
      <c r="Y5592" s="1">
        <f t="shared" si="175"/>
        <v>0</v>
      </c>
    </row>
    <row r="5593" spans="24:25" x14ac:dyDescent="0.3">
      <c r="X5593" s="1">
        <f t="shared" si="174"/>
        <v>0</v>
      </c>
      <c r="Y5593" s="1">
        <f t="shared" si="175"/>
        <v>0</v>
      </c>
    </row>
    <row r="5594" spans="24:25" x14ac:dyDescent="0.3">
      <c r="X5594" s="1">
        <f t="shared" si="174"/>
        <v>0</v>
      </c>
      <c r="Y5594" s="1">
        <f t="shared" si="175"/>
        <v>0</v>
      </c>
    </row>
    <row r="5595" spans="24:25" x14ac:dyDescent="0.3">
      <c r="X5595" s="1">
        <f t="shared" si="174"/>
        <v>0</v>
      </c>
      <c r="Y5595" s="1">
        <f t="shared" si="175"/>
        <v>0</v>
      </c>
    </row>
    <row r="5596" spans="24:25" x14ac:dyDescent="0.3">
      <c r="X5596" s="1">
        <f t="shared" si="174"/>
        <v>0</v>
      </c>
      <c r="Y5596" s="1">
        <f t="shared" si="175"/>
        <v>0</v>
      </c>
    </row>
    <row r="5597" spans="24:25" x14ac:dyDescent="0.3">
      <c r="X5597" s="1">
        <f t="shared" si="174"/>
        <v>0</v>
      </c>
      <c r="Y5597" s="1">
        <f t="shared" si="175"/>
        <v>0</v>
      </c>
    </row>
    <row r="5598" spans="24:25" x14ac:dyDescent="0.3">
      <c r="X5598" s="1">
        <f t="shared" si="174"/>
        <v>0</v>
      </c>
      <c r="Y5598" s="1">
        <f t="shared" si="175"/>
        <v>0</v>
      </c>
    </row>
    <row r="5599" spans="24:25" x14ac:dyDescent="0.3">
      <c r="X5599" s="1">
        <f t="shared" si="174"/>
        <v>0</v>
      </c>
      <c r="Y5599" s="1">
        <f t="shared" si="175"/>
        <v>0</v>
      </c>
    </row>
    <row r="5600" spans="24:25" x14ac:dyDescent="0.3">
      <c r="X5600" s="1">
        <f t="shared" si="174"/>
        <v>0</v>
      </c>
      <c r="Y5600" s="1">
        <f t="shared" si="175"/>
        <v>0</v>
      </c>
    </row>
    <row r="5601" spans="24:25" x14ac:dyDescent="0.3">
      <c r="X5601" s="1">
        <f t="shared" si="174"/>
        <v>0</v>
      </c>
      <c r="Y5601" s="1">
        <f t="shared" si="175"/>
        <v>0</v>
      </c>
    </row>
    <row r="5602" spans="24:25" x14ac:dyDescent="0.3">
      <c r="X5602" s="1">
        <f t="shared" si="174"/>
        <v>0</v>
      </c>
      <c r="Y5602" s="1">
        <f t="shared" si="175"/>
        <v>0</v>
      </c>
    </row>
    <row r="5603" spans="24:25" x14ac:dyDescent="0.3">
      <c r="X5603" s="1">
        <f t="shared" si="174"/>
        <v>0</v>
      </c>
      <c r="Y5603" s="1">
        <f t="shared" si="175"/>
        <v>0</v>
      </c>
    </row>
    <row r="5604" spans="24:25" x14ac:dyDescent="0.3">
      <c r="X5604" s="1">
        <f t="shared" si="174"/>
        <v>0</v>
      </c>
      <c r="Y5604" s="1">
        <f t="shared" si="175"/>
        <v>0</v>
      </c>
    </row>
    <row r="5605" spans="24:25" x14ac:dyDescent="0.3">
      <c r="X5605" s="1">
        <f t="shared" si="174"/>
        <v>0</v>
      </c>
      <c r="Y5605" s="1">
        <f t="shared" si="175"/>
        <v>0</v>
      </c>
    </row>
    <row r="5606" spans="24:25" x14ac:dyDescent="0.3">
      <c r="X5606" s="1">
        <f t="shared" si="174"/>
        <v>0</v>
      </c>
      <c r="Y5606" s="1">
        <f t="shared" si="175"/>
        <v>0</v>
      </c>
    </row>
    <row r="5607" spans="24:25" x14ac:dyDescent="0.3">
      <c r="X5607" s="1">
        <f t="shared" si="174"/>
        <v>0</v>
      </c>
      <c r="Y5607" s="1">
        <f t="shared" si="175"/>
        <v>0</v>
      </c>
    </row>
    <row r="5608" spans="24:25" x14ac:dyDescent="0.3">
      <c r="X5608" s="1">
        <f t="shared" si="174"/>
        <v>0</v>
      </c>
      <c r="Y5608" s="1">
        <f t="shared" si="175"/>
        <v>0</v>
      </c>
    </row>
    <row r="5609" spans="24:25" x14ac:dyDescent="0.3">
      <c r="X5609" s="1">
        <f t="shared" si="174"/>
        <v>0</v>
      </c>
      <c r="Y5609" s="1">
        <f t="shared" si="175"/>
        <v>0</v>
      </c>
    </row>
    <row r="5610" spans="24:25" x14ac:dyDescent="0.3">
      <c r="X5610" s="1">
        <f t="shared" si="174"/>
        <v>0</v>
      </c>
      <c r="Y5610" s="1">
        <f t="shared" si="175"/>
        <v>0</v>
      </c>
    </row>
    <row r="5611" spans="24:25" x14ac:dyDescent="0.3">
      <c r="X5611" s="1">
        <f t="shared" si="174"/>
        <v>0</v>
      </c>
      <c r="Y5611" s="1">
        <f t="shared" si="175"/>
        <v>0</v>
      </c>
    </row>
    <row r="5612" spans="24:25" x14ac:dyDescent="0.3">
      <c r="X5612" s="1">
        <f t="shared" si="174"/>
        <v>0</v>
      </c>
      <c r="Y5612" s="1">
        <f t="shared" si="175"/>
        <v>0</v>
      </c>
    </row>
    <row r="5613" spans="24:25" x14ac:dyDescent="0.3">
      <c r="X5613" s="1">
        <f t="shared" si="174"/>
        <v>0</v>
      </c>
      <c r="Y5613" s="1">
        <f t="shared" si="175"/>
        <v>0</v>
      </c>
    </row>
    <row r="5614" spans="24:25" x14ac:dyDescent="0.3">
      <c r="X5614" s="1">
        <f t="shared" si="174"/>
        <v>0</v>
      </c>
      <c r="Y5614" s="1">
        <f t="shared" si="175"/>
        <v>0</v>
      </c>
    </row>
    <row r="5615" spans="24:25" x14ac:dyDescent="0.3">
      <c r="X5615" s="1">
        <f t="shared" si="174"/>
        <v>0</v>
      </c>
      <c r="Y5615" s="1">
        <f t="shared" si="175"/>
        <v>0</v>
      </c>
    </row>
    <row r="5616" spans="24:25" x14ac:dyDescent="0.3">
      <c r="X5616" s="1">
        <f t="shared" si="174"/>
        <v>0</v>
      </c>
      <c r="Y5616" s="1">
        <f t="shared" si="175"/>
        <v>0</v>
      </c>
    </row>
    <row r="5617" spans="24:25" x14ac:dyDescent="0.3">
      <c r="X5617" s="1">
        <f t="shared" si="174"/>
        <v>0</v>
      </c>
      <c r="Y5617" s="1">
        <f t="shared" si="175"/>
        <v>0</v>
      </c>
    </row>
    <row r="5618" spans="24:25" x14ac:dyDescent="0.3">
      <c r="X5618" s="1">
        <f t="shared" si="174"/>
        <v>0</v>
      </c>
      <c r="Y5618" s="1">
        <f t="shared" si="175"/>
        <v>0</v>
      </c>
    </row>
    <row r="5619" spans="24:25" x14ac:dyDescent="0.3">
      <c r="X5619" s="1">
        <f t="shared" si="174"/>
        <v>0</v>
      </c>
      <c r="Y5619" s="1">
        <f t="shared" si="175"/>
        <v>0</v>
      </c>
    </row>
    <row r="5620" spans="24:25" x14ac:dyDescent="0.3">
      <c r="X5620" s="1">
        <f t="shared" si="174"/>
        <v>0</v>
      </c>
      <c r="Y5620" s="1">
        <f t="shared" si="175"/>
        <v>0</v>
      </c>
    </row>
    <row r="5621" spans="24:25" x14ac:dyDescent="0.3">
      <c r="X5621" s="1">
        <f t="shared" si="174"/>
        <v>0</v>
      </c>
      <c r="Y5621" s="1">
        <f t="shared" si="175"/>
        <v>0</v>
      </c>
    </row>
    <row r="5622" spans="24:25" x14ac:dyDescent="0.3">
      <c r="X5622" s="1">
        <f t="shared" si="174"/>
        <v>0</v>
      </c>
      <c r="Y5622" s="1">
        <f t="shared" si="175"/>
        <v>0</v>
      </c>
    </row>
    <row r="5623" spans="24:25" x14ac:dyDescent="0.3">
      <c r="X5623" s="1">
        <f t="shared" si="174"/>
        <v>0</v>
      </c>
      <c r="Y5623" s="1">
        <f t="shared" si="175"/>
        <v>0</v>
      </c>
    </row>
    <row r="5624" spans="24:25" x14ac:dyDescent="0.3">
      <c r="X5624" s="1">
        <f t="shared" si="174"/>
        <v>0</v>
      </c>
      <c r="Y5624" s="1">
        <f t="shared" si="175"/>
        <v>0</v>
      </c>
    </row>
    <row r="5625" spans="24:25" x14ac:dyDescent="0.3">
      <c r="X5625" s="1">
        <f t="shared" si="174"/>
        <v>0</v>
      </c>
      <c r="Y5625" s="1">
        <f t="shared" si="175"/>
        <v>0</v>
      </c>
    </row>
    <row r="5626" spans="24:25" x14ac:dyDescent="0.3">
      <c r="X5626" s="1">
        <f t="shared" si="174"/>
        <v>0</v>
      </c>
      <c r="Y5626" s="1">
        <f t="shared" si="175"/>
        <v>0</v>
      </c>
    </row>
    <row r="5627" spans="24:25" x14ac:dyDescent="0.3">
      <c r="X5627" s="1">
        <f t="shared" si="174"/>
        <v>0</v>
      </c>
      <c r="Y5627" s="1">
        <f t="shared" si="175"/>
        <v>0</v>
      </c>
    </row>
    <row r="5628" spans="24:25" x14ac:dyDescent="0.3">
      <c r="X5628" s="1">
        <f t="shared" si="174"/>
        <v>0</v>
      </c>
      <c r="Y5628" s="1">
        <f t="shared" si="175"/>
        <v>0</v>
      </c>
    </row>
    <row r="5629" spans="24:25" x14ac:dyDescent="0.3">
      <c r="X5629" s="1">
        <f t="shared" si="174"/>
        <v>0</v>
      </c>
      <c r="Y5629" s="1">
        <f t="shared" si="175"/>
        <v>0</v>
      </c>
    </row>
    <row r="5630" spans="24:25" x14ac:dyDescent="0.3">
      <c r="X5630" s="1">
        <f t="shared" si="174"/>
        <v>0</v>
      </c>
      <c r="Y5630" s="1">
        <f t="shared" si="175"/>
        <v>0</v>
      </c>
    </row>
    <row r="5631" spans="24:25" x14ac:dyDescent="0.3">
      <c r="X5631" s="1">
        <f t="shared" si="174"/>
        <v>0</v>
      </c>
      <c r="Y5631" s="1">
        <f t="shared" si="175"/>
        <v>0</v>
      </c>
    </row>
    <row r="5632" spans="24:25" x14ac:dyDescent="0.3">
      <c r="X5632" s="1">
        <f t="shared" si="174"/>
        <v>0</v>
      </c>
      <c r="Y5632" s="1">
        <f t="shared" si="175"/>
        <v>0</v>
      </c>
    </row>
    <row r="5633" spans="24:25" x14ac:dyDescent="0.3">
      <c r="X5633" s="1">
        <f t="shared" si="174"/>
        <v>0</v>
      </c>
      <c r="Y5633" s="1">
        <f t="shared" si="175"/>
        <v>0</v>
      </c>
    </row>
    <row r="5634" spans="24:25" x14ac:dyDescent="0.3">
      <c r="X5634" s="1">
        <f t="shared" si="174"/>
        <v>0</v>
      </c>
      <c r="Y5634" s="1">
        <f t="shared" si="175"/>
        <v>0</v>
      </c>
    </row>
    <row r="5635" spans="24:25" x14ac:dyDescent="0.3">
      <c r="X5635" s="1">
        <f t="shared" ref="X5635:X5698" si="176">IFERROR(MATCH(W5635,$B:$B,0),0)</f>
        <v>0</v>
      </c>
      <c r="Y5635" s="1">
        <f t="shared" ref="Y5635:Y5698" si="177">IF(X5636=0,COUNTA(A:A),X5636-1)</f>
        <v>0</v>
      </c>
    </row>
    <row r="5636" spans="24:25" x14ac:dyDescent="0.3">
      <c r="X5636" s="1">
        <f t="shared" si="176"/>
        <v>0</v>
      </c>
      <c r="Y5636" s="1">
        <f t="shared" si="177"/>
        <v>0</v>
      </c>
    </row>
    <row r="5637" spans="24:25" x14ac:dyDescent="0.3">
      <c r="X5637" s="1">
        <f t="shared" si="176"/>
        <v>0</v>
      </c>
      <c r="Y5637" s="1">
        <f t="shared" si="177"/>
        <v>0</v>
      </c>
    </row>
    <row r="5638" spans="24:25" x14ac:dyDescent="0.3">
      <c r="X5638" s="1">
        <f t="shared" si="176"/>
        <v>0</v>
      </c>
      <c r="Y5638" s="1">
        <f t="shared" si="177"/>
        <v>0</v>
      </c>
    </row>
    <row r="5639" spans="24:25" x14ac:dyDescent="0.3">
      <c r="X5639" s="1">
        <f t="shared" si="176"/>
        <v>0</v>
      </c>
      <c r="Y5639" s="1">
        <f t="shared" si="177"/>
        <v>0</v>
      </c>
    </row>
    <row r="5640" spans="24:25" x14ac:dyDescent="0.3">
      <c r="X5640" s="1">
        <f t="shared" si="176"/>
        <v>0</v>
      </c>
      <c r="Y5640" s="1">
        <f t="shared" si="177"/>
        <v>0</v>
      </c>
    </row>
    <row r="5641" spans="24:25" x14ac:dyDescent="0.3">
      <c r="X5641" s="1">
        <f t="shared" si="176"/>
        <v>0</v>
      </c>
      <c r="Y5641" s="1">
        <f t="shared" si="177"/>
        <v>0</v>
      </c>
    </row>
    <row r="5642" spans="24:25" x14ac:dyDescent="0.3">
      <c r="X5642" s="1">
        <f t="shared" si="176"/>
        <v>0</v>
      </c>
      <c r="Y5642" s="1">
        <f t="shared" si="177"/>
        <v>0</v>
      </c>
    </row>
    <row r="5643" spans="24:25" x14ac:dyDescent="0.3">
      <c r="X5643" s="1">
        <f t="shared" si="176"/>
        <v>0</v>
      </c>
      <c r="Y5643" s="1">
        <f t="shared" si="177"/>
        <v>0</v>
      </c>
    </row>
    <row r="5644" spans="24:25" x14ac:dyDescent="0.3">
      <c r="X5644" s="1">
        <f t="shared" si="176"/>
        <v>0</v>
      </c>
      <c r="Y5644" s="1">
        <f t="shared" si="177"/>
        <v>0</v>
      </c>
    </row>
    <row r="5645" spans="24:25" x14ac:dyDescent="0.3">
      <c r="X5645" s="1">
        <f t="shared" si="176"/>
        <v>0</v>
      </c>
      <c r="Y5645" s="1">
        <f t="shared" si="177"/>
        <v>0</v>
      </c>
    </row>
    <row r="5646" spans="24:25" x14ac:dyDescent="0.3">
      <c r="X5646" s="1">
        <f t="shared" si="176"/>
        <v>0</v>
      </c>
      <c r="Y5646" s="1">
        <f t="shared" si="177"/>
        <v>0</v>
      </c>
    </row>
    <row r="5647" spans="24:25" x14ac:dyDescent="0.3">
      <c r="X5647" s="1">
        <f t="shared" si="176"/>
        <v>0</v>
      </c>
      <c r="Y5647" s="1">
        <f t="shared" si="177"/>
        <v>0</v>
      </c>
    </row>
    <row r="5648" spans="24:25" x14ac:dyDescent="0.3">
      <c r="X5648" s="1">
        <f t="shared" si="176"/>
        <v>0</v>
      </c>
      <c r="Y5648" s="1">
        <f t="shared" si="177"/>
        <v>0</v>
      </c>
    </row>
    <row r="5649" spans="24:25" x14ac:dyDescent="0.3">
      <c r="X5649" s="1">
        <f t="shared" si="176"/>
        <v>0</v>
      </c>
      <c r="Y5649" s="1">
        <f t="shared" si="177"/>
        <v>0</v>
      </c>
    </row>
    <row r="5650" spans="24:25" x14ac:dyDescent="0.3">
      <c r="X5650" s="1">
        <f t="shared" si="176"/>
        <v>0</v>
      </c>
      <c r="Y5650" s="1">
        <f t="shared" si="177"/>
        <v>0</v>
      </c>
    </row>
    <row r="5651" spans="24:25" x14ac:dyDescent="0.3">
      <c r="X5651" s="1">
        <f t="shared" si="176"/>
        <v>0</v>
      </c>
      <c r="Y5651" s="1">
        <f t="shared" si="177"/>
        <v>0</v>
      </c>
    </row>
    <row r="5652" spans="24:25" x14ac:dyDescent="0.3">
      <c r="X5652" s="1">
        <f t="shared" si="176"/>
        <v>0</v>
      </c>
      <c r="Y5652" s="1">
        <f t="shared" si="177"/>
        <v>0</v>
      </c>
    </row>
    <row r="5653" spans="24:25" x14ac:dyDescent="0.3">
      <c r="X5653" s="1">
        <f t="shared" si="176"/>
        <v>0</v>
      </c>
      <c r="Y5653" s="1">
        <f t="shared" si="177"/>
        <v>0</v>
      </c>
    </row>
    <row r="5654" spans="24:25" x14ac:dyDescent="0.3">
      <c r="X5654" s="1">
        <f t="shared" si="176"/>
        <v>0</v>
      </c>
      <c r="Y5654" s="1">
        <f t="shared" si="177"/>
        <v>0</v>
      </c>
    </row>
    <row r="5655" spans="24:25" x14ac:dyDescent="0.3">
      <c r="X5655" s="1">
        <f t="shared" si="176"/>
        <v>0</v>
      </c>
      <c r="Y5655" s="1">
        <f t="shared" si="177"/>
        <v>0</v>
      </c>
    </row>
    <row r="5656" spans="24:25" x14ac:dyDescent="0.3">
      <c r="X5656" s="1">
        <f t="shared" si="176"/>
        <v>0</v>
      </c>
      <c r="Y5656" s="1">
        <f t="shared" si="177"/>
        <v>0</v>
      </c>
    </row>
    <row r="5657" spans="24:25" x14ac:dyDescent="0.3">
      <c r="X5657" s="1">
        <f t="shared" si="176"/>
        <v>0</v>
      </c>
      <c r="Y5657" s="1">
        <f t="shared" si="177"/>
        <v>0</v>
      </c>
    </row>
    <row r="5658" spans="24:25" x14ac:dyDescent="0.3">
      <c r="X5658" s="1">
        <f t="shared" si="176"/>
        <v>0</v>
      </c>
      <c r="Y5658" s="1">
        <f t="shared" si="177"/>
        <v>0</v>
      </c>
    </row>
    <row r="5659" spans="24:25" x14ac:dyDescent="0.3">
      <c r="X5659" s="1">
        <f t="shared" si="176"/>
        <v>0</v>
      </c>
      <c r="Y5659" s="1">
        <f t="shared" si="177"/>
        <v>0</v>
      </c>
    </row>
    <row r="5660" spans="24:25" x14ac:dyDescent="0.3">
      <c r="X5660" s="1">
        <f t="shared" si="176"/>
        <v>0</v>
      </c>
      <c r="Y5660" s="1">
        <f t="shared" si="177"/>
        <v>0</v>
      </c>
    </row>
    <row r="5661" spans="24:25" x14ac:dyDescent="0.3">
      <c r="X5661" s="1">
        <f t="shared" si="176"/>
        <v>0</v>
      </c>
      <c r="Y5661" s="1">
        <f t="shared" si="177"/>
        <v>0</v>
      </c>
    </row>
    <row r="5662" spans="24:25" x14ac:dyDescent="0.3">
      <c r="X5662" s="1">
        <f t="shared" si="176"/>
        <v>0</v>
      </c>
      <c r="Y5662" s="1">
        <f t="shared" si="177"/>
        <v>0</v>
      </c>
    </row>
    <row r="5663" spans="24:25" x14ac:dyDescent="0.3">
      <c r="X5663" s="1">
        <f t="shared" si="176"/>
        <v>0</v>
      </c>
      <c r="Y5663" s="1">
        <f t="shared" si="177"/>
        <v>0</v>
      </c>
    </row>
    <row r="5664" spans="24:25" x14ac:dyDescent="0.3">
      <c r="X5664" s="1">
        <f t="shared" si="176"/>
        <v>0</v>
      </c>
      <c r="Y5664" s="1">
        <f t="shared" si="177"/>
        <v>0</v>
      </c>
    </row>
    <row r="5665" spans="24:25" x14ac:dyDescent="0.3">
      <c r="X5665" s="1">
        <f t="shared" si="176"/>
        <v>0</v>
      </c>
      <c r="Y5665" s="1">
        <f t="shared" si="177"/>
        <v>0</v>
      </c>
    </row>
    <row r="5666" spans="24:25" x14ac:dyDescent="0.3">
      <c r="X5666" s="1">
        <f t="shared" si="176"/>
        <v>0</v>
      </c>
      <c r="Y5666" s="1">
        <f t="shared" si="177"/>
        <v>0</v>
      </c>
    </row>
    <row r="5667" spans="24:25" x14ac:dyDescent="0.3">
      <c r="X5667" s="1">
        <f t="shared" si="176"/>
        <v>0</v>
      </c>
      <c r="Y5667" s="1">
        <f t="shared" si="177"/>
        <v>0</v>
      </c>
    </row>
    <row r="5668" spans="24:25" x14ac:dyDescent="0.3">
      <c r="X5668" s="1">
        <f t="shared" si="176"/>
        <v>0</v>
      </c>
      <c r="Y5668" s="1">
        <f t="shared" si="177"/>
        <v>0</v>
      </c>
    </row>
    <row r="5669" spans="24:25" x14ac:dyDescent="0.3">
      <c r="X5669" s="1">
        <f t="shared" si="176"/>
        <v>0</v>
      </c>
      <c r="Y5669" s="1">
        <f t="shared" si="177"/>
        <v>0</v>
      </c>
    </row>
    <row r="5670" spans="24:25" x14ac:dyDescent="0.3">
      <c r="X5670" s="1">
        <f t="shared" si="176"/>
        <v>0</v>
      </c>
      <c r="Y5670" s="1">
        <f t="shared" si="177"/>
        <v>0</v>
      </c>
    </row>
    <row r="5671" spans="24:25" x14ac:dyDescent="0.3">
      <c r="X5671" s="1">
        <f t="shared" si="176"/>
        <v>0</v>
      </c>
      <c r="Y5671" s="1">
        <f t="shared" si="177"/>
        <v>0</v>
      </c>
    </row>
    <row r="5672" spans="24:25" x14ac:dyDescent="0.3">
      <c r="X5672" s="1">
        <f t="shared" si="176"/>
        <v>0</v>
      </c>
      <c r="Y5672" s="1">
        <f t="shared" si="177"/>
        <v>0</v>
      </c>
    </row>
    <row r="5673" spans="24:25" x14ac:dyDescent="0.3">
      <c r="X5673" s="1">
        <f t="shared" si="176"/>
        <v>0</v>
      </c>
      <c r="Y5673" s="1">
        <f t="shared" si="177"/>
        <v>0</v>
      </c>
    </row>
    <row r="5674" spans="24:25" x14ac:dyDescent="0.3">
      <c r="X5674" s="1">
        <f t="shared" si="176"/>
        <v>0</v>
      </c>
      <c r="Y5674" s="1">
        <f t="shared" si="177"/>
        <v>0</v>
      </c>
    </row>
    <row r="5675" spans="24:25" x14ac:dyDescent="0.3">
      <c r="X5675" s="1">
        <f t="shared" si="176"/>
        <v>0</v>
      </c>
      <c r="Y5675" s="1">
        <f t="shared" si="177"/>
        <v>0</v>
      </c>
    </row>
    <row r="5676" spans="24:25" x14ac:dyDescent="0.3">
      <c r="X5676" s="1">
        <f t="shared" si="176"/>
        <v>0</v>
      </c>
      <c r="Y5676" s="1">
        <f t="shared" si="177"/>
        <v>0</v>
      </c>
    </row>
    <row r="5677" spans="24:25" x14ac:dyDescent="0.3">
      <c r="X5677" s="1">
        <f t="shared" si="176"/>
        <v>0</v>
      </c>
      <c r="Y5677" s="1">
        <f t="shared" si="177"/>
        <v>0</v>
      </c>
    </row>
    <row r="5678" spans="24:25" x14ac:dyDescent="0.3">
      <c r="X5678" s="1">
        <f t="shared" si="176"/>
        <v>0</v>
      </c>
      <c r="Y5678" s="1">
        <f t="shared" si="177"/>
        <v>0</v>
      </c>
    </row>
    <row r="5679" spans="24:25" x14ac:dyDescent="0.3">
      <c r="X5679" s="1">
        <f t="shared" si="176"/>
        <v>0</v>
      </c>
      <c r="Y5679" s="1">
        <f t="shared" si="177"/>
        <v>0</v>
      </c>
    </row>
    <row r="5680" spans="24:25" x14ac:dyDescent="0.3">
      <c r="X5680" s="1">
        <f t="shared" si="176"/>
        <v>0</v>
      </c>
      <c r="Y5680" s="1">
        <f t="shared" si="177"/>
        <v>0</v>
      </c>
    </row>
    <row r="5681" spans="24:25" x14ac:dyDescent="0.3">
      <c r="X5681" s="1">
        <f t="shared" si="176"/>
        <v>0</v>
      </c>
      <c r="Y5681" s="1">
        <f t="shared" si="177"/>
        <v>0</v>
      </c>
    </row>
    <row r="5682" spans="24:25" x14ac:dyDescent="0.3">
      <c r="X5682" s="1">
        <f t="shared" si="176"/>
        <v>0</v>
      </c>
      <c r="Y5682" s="1">
        <f t="shared" si="177"/>
        <v>0</v>
      </c>
    </row>
    <row r="5683" spans="24:25" x14ac:dyDescent="0.3">
      <c r="X5683" s="1">
        <f t="shared" si="176"/>
        <v>0</v>
      </c>
      <c r="Y5683" s="1">
        <f t="shared" si="177"/>
        <v>0</v>
      </c>
    </row>
    <row r="5684" spans="24:25" x14ac:dyDescent="0.3">
      <c r="X5684" s="1">
        <f t="shared" si="176"/>
        <v>0</v>
      </c>
      <c r="Y5684" s="1">
        <f t="shared" si="177"/>
        <v>0</v>
      </c>
    </row>
    <row r="5685" spans="24:25" x14ac:dyDescent="0.3">
      <c r="X5685" s="1">
        <f t="shared" si="176"/>
        <v>0</v>
      </c>
      <c r="Y5685" s="1">
        <f t="shared" si="177"/>
        <v>0</v>
      </c>
    </row>
    <row r="5686" spans="24:25" x14ac:dyDescent="0.3">
      <c r="X5686" s="1">
        <f t="shared" si="176"/>
        <v>0</v>
      </c>
      <c r="Y5686" s="1">
        <f t="shared" si="177"/>
        <v>0</v>
      </c>
    </row>
    <row r="5687" spans="24:25" x14ac:dyDescent="0.3">
      <c r="X5687" s="1">
        <f t="shared" si="176"/>
        <v>0</v>
      </c>
      <c r="Y5687" s="1">
        <f t="shared" si="177"/>
        <v>0</v>
      </c>
    </row>
    <row r="5688" spans="24:25" x14ac:dyDescent="0.3">
      <c r="X5688" s="1">
        <f t="shared" si="176"/>
        <v>0</v>
      </c>
      <c r="Y5688" s="1">
        <f t="shared" si="177"/>
        <v>0</v>
      </c>
    </row>
    <row r="5689" spans="24:25" x14ac:dyDescent="0.3">
      <c r="X5689" s="1">
        <f t="shared" si="176"/>
        <v>0</v>
      </c>
      <c r="Y5689" s="1">
        <f t="shared" si="177"/>
        <v>0</v>
      </c>
    </row>
    <row r="5690" spans="24:25" x14ac:dyDescent="0.3">
      <c r="X5690" s="1">
        <f t="shared" si="176"/>
        <v>0</v>
      </c>
      <c r="Y5690" s="1">
        <f t="shared" si="177"/>
        <v>0</v>
      </c>
    </row>
    <row r="5691" spans="24:25" x14ac:dyDescent="0.3">
      <c r="X5691" s="1">
        <f t="shared" si="176"/>
        <v>0</v>
      </c>
      <c r="Y5691" s="1">
        <f t="shared" si="177"/>
        <v>0</v>
      </c>
    </row>
    <row r="5692" spans="24:25" x14ac:dyDescent="0.3">
      <c r="X5692" s="1">
        <f t="shared" si="176"/>
        <v>0</v>
      </c>
      <c r="Y5692" s="1">
        <f t="shared" si="177"/>
        <v>0</v>
      </c>
    </row>
    <row r="5693" spans="24:25" x14ac:dyDescent="0.3">
      <c r="X5693" s="1">
        <f t="shared" si="176"/>
        <v>0</v>
      </c>
      <c r="Y5693" s="1">
        <f t="shared" si="177"/>
        <v>0</v>
      </c>
    </row>
    <row r="5694" spans="24:25" x14ac:dyDescent="0.3">
      <c r="X5694" s="1">
        <f t="shared" si="176"/>
        <v>0</v>
      </c>
      <c r="Y5694" s="1">
        <f t="shared" si="177"/>
        <v>0</v>
      </c>
    </row>
    <row r="5695" spans="24:25" x14ac:dyDescent="0.3">
      <c r="X5695" s="1">
        <f t="shared" si="176"/>
        <v>0</v>
      </c>
      <c r="Y5695" s="1">
        <f t="shared" si="177"/>
        <v>0</v>
      </c>
    </row>
    <row r="5696" spans="24:25" x14ac:dyDescent="0.3">
      <c r="X5696" s="1">
        <f t="shared" si="176"/>
        <v>0</v>
      </c>
      <c r="Y5696" s="1">
        <f t="shared" si="177"/>
        <v>0</v>
      </c>
    </row>
    <row r="5697" spans="24:25" x14ac:dyDescent="0.3">
      <c r="X5697" s="1">
        <f t="shared" si="176"/>
        <v>0</v>
      </c>
      <c r="Y5697" s="1">
        <f t="shared" si="177"/>
        <v>0</v>
      </c>
    </row>
    <row r="5698" spans="24:25" x14ac:dyDescent="0.3">
      <c r="X5698" s="1">
        <f t="shared" si="176"/>
        <v>0</v>
      </c>
      <c r="Y5698" s="1">
        <f t="shared" si="177"/>
        <v>0</v>
      </c>
    </row>
    <row r="5699" spans="24:25" x14ac:dyDescent="0.3">
      <c r="X5699" s="1">
        <f t="shared" ref="X5699:X5762" si="178">IFERROR(MATCH(W5699,$B:$B,0),0)</f>
        <v>0</v>
      </c>
      <c r="Y5699" s="1">
        <f t="shared" ref="Y5699:Y5762" si="179">IF(X5700=0,COUNTA(A:A),X5700-1)</f>
        <v>0</v>
      </c>
    </row>
    <row r="5700" spans="24:25" x14ac:dyDescent="0.3">
      <c r="X5700" s="1">
        <f t="shared" si="178"/>
        <v>0</v>
      </c>
      <c r="Y5700" s="1">
        <f t="shared" si="179"/>
        <v>0</v>
      </c>
    </row>
    <row r="5701" spans="24:25" x14ac:dyDescent="0.3">
      <c r="X5701" s="1">
        <f t="shared" si="178"/>
        <v>0</v>
      </c>
      <c r="Y5701" s="1">
        <f t="shared" si="179"/>
        <v>0</v>
      </c>
    </row>
    <row r="5702" spans="24:25" x14ac:dyDescent="0.3">
      <c r="X5702" s="1">
        <f t="shared" si="178"/>
        <v>0</v>
      </c>
      <c r="Y5702" s="1">
        <f t="shared" si="179"/>
        <v>0</v>
      </c>
    </row>
    <row r="5703" spans="24:25" x14ac:dyDescent="0.3">
      <c r="X5703" s="1">
        <f t="shared" si="178"/>
        <v>0</v>
      </c>
      <c r="Y5703" s="1">
        <f t="shared" si="179"/>
        <v>0</v>
      </c>
    </row>
    <row r="5704" spans="24:25" x14ac:dyDescent="0.3">
      <c r="X5704" s="1">
        <f t="shared" si="178"/>
        <v>0</v>
      </c>
      <c r="Y5704" s="1">
        <f t="shared" si="179"/>
        <v>0</v>
      </c>
    </row>
    <row r="5705" spans="24:25" x14ac:dyDescent="0.3">
      <c r="X5705" s="1">
        <f t="shared" si="178"/>
        <v>0</v>
      </c>
      <c r="Y5705" s="1">
        <f t="shared" si="179"/>
        <v>0</v>
      </c>
    </row>
    <row r="5706" spans="24:25" x14ac:dyDescent="0.3">
      <c r="X5706" s="1">
        <f t="shared" si="178"/>
        <v>0</v>
      </c>
      <c r="Y5706" s="1">
        <f t="shared" si="179"/>
        <v>0</v>
      </c>
    </row>
    <row r="5707" spans="24:25" x14ac:dyDescent="0.3">
      <c r="X5707" s="1">
        <f t="shared" si="178"/>
        <v>0</v>
      </c>
      <c r="Y5707" s="1">
        <f t="shared" si="179"/>
        <v>0</v>
      </c>
    </row>
    <row r="5708" spans="24:25" x14ac:dyDescent="0.3">
      <c r="X5708" s="1">
        <f t="shared" si="178"/>
        <v>0</v>
      </c>
      <c r="Y5708" s="1">
        <f t="shared" si="179"/>
        <v>0</v>
      </c>
    </row>
    <row r="5709" spans="24:25" x14ac:dyDescent="0.3">
      <c r="X5709" s="1">
        <f t="shared" si="178"/>
        <v>0</v>
      </c>
      <c r="Y5709" s="1">
        <f t="shared" si="179"/>
        <v>0</v>
      </c>
    </row>
    <row r="5710" spans="24:25" x14ac:dyDescent="0.3">
      <c r="X5710" s="1">
        <f t="shared" si="178"/>
        <v>0</v>
      </c>
      <c r="Y5710" s="1">
        <f t="shared" si="179"/>
        <v>0</v>
      </c>
    </row>
    <row r="5711" spans="24:25" x14ac:dyDescent="0.3">
      <c r="X5711" s="1">
        <f t="shared" si="178"/>
        <v>0</v>
      </c>
      <c r="Y5711" s="1">
        <f t="shared" si="179"/>
        <v>0</v>
      </c>
    </row>
    <row r="5712" spans="24:25" x14ac:dyDescent="0.3">
      <c r="X5712" s="1">
        <f t="shared" si="178"/>
        <v>0</v>
      </c>
      <c r="Y5712" s="1">
        <f t="shared" si="179"/>
        <v>0</v>
      </c>
    </row>
    <row r="5713" spans="24:25" x14ac:dyDescent="0.3">
      <c r="X5713" s="1">
        <f t="shared" si="178"/>
        <v>0</v>
      </c>
      <c r="Y5713" s="1">
        <f t="shared" si="179"/>
        <v>0</v>
      </c>
    </row>
    <row r="5714" spans="24:25" x14ac:dyDescent="0.3">
      <c r="X5714" s="1">
        <f t="shared" si="178"/>
        <v>0</v>
      </c>
      <c r="Y5714" s="1">
        <f t="shared" si="179"/>
        <v>0</v>
      </c>
    </row>
    <row r="5715" spans="24:25" x14ac:dyDescent="0.3">
      <c r="X5715" s="1">
        <f t="shared" si="178"/>
        <v>0</v>
      </c>
      <c r="Y5715" s="1">
        <f t="shared" si="179"/>
        <v>0</v>
      </c>
    </row>
    <row r="5716" spans="24:25" x14ac:dyDescent="0.3">
      <c r="X5716" s="1">
        <f t="shared" si="178"/>
        <v>0</v>
      </c>
      <c r="Y5716" s="1">
        <f t="shared" si="179"/>
        <v>0</v>
      </c>
    </row>
    <row r="5717" spans="24:25" x14ac:dyDescent="0.3">
      <c r="X5717" s="1">
        <f t="shared" si="178"/>
        <v>0</v>
      </c>
      <c r="Y5717" s="1">
        <f t="shared" si="179"/>
        <v>0</v>
      </c>
    </row>
    <row r="5718" spans="24:25" x14ac:dyDescent="0.3">
      <c r="X5718" s="1">
        <f t="shared" si="178"/>
        <v>0</v>
      </c>
      <c r="Y5718" s="1">
        <f t="shared" si="179"/>
        <v>0</v>
      </c>
    </row>
    <row r="5719" spans="24:25" x14ac:dyDescent="0.3">
      <c r="X5719" s="1">
        <f t="shared" si="178"/>
        <v>0</v>
      </c>
      <c r="Y5719" s="1">
        <f t="shared" si="179"/>
        <v>0</v>
      </c>
    </row>
    <row r="5720" spans="24:25" x14ac:dyDescent="0.3">
      <c r="X5720" s="1">
        <f t="shared" si="178"/>
        <v>0</v>
      </c>
      <c r="Y5720" s="1">
        <f t="shared" si="179"/>
        <v>0</v>
      </c>
    </row>
    <row r="5721" spans="24:25" x14ac:dyDescent="0.3">
      <c r="X5721" s="1">
        <f t="shared" si="178"/>
        <v>0</v>
      </c>
      <c r="Y5721" s="1">
        <f t="shared" si="179"/>
        <v>0</v>
      </c>
    </row>
    <row r="5722" spans="24:25" x14ac:dyDescent="0.3">
      <c r="X5722" s="1">
        <f t="shared" si="178"/>
        <v>0</v>
      </c>
      <c r="Y5722" s="1">
        <f t="shared" si="179"/>
        <v>0</v>
      </c>
    </row>
    <row r="5723" spans="24:25" x14ac:dyDescent="0.3">
      <c r="X5723" s="1">
        <f t="shared" si="178"/>
        <v>0</v>
      </c>
      <c r="Y5723" s="1">
        <f t="shared" si="179"/>
        <v>0</v>
      </c>
    </row>
    <row r="5724" spans="24:25" x14ac:dyDescent="0.3">
      <c r="X5724" s="1">
        <f t="shared" si="178"/>
        <v>0</v>
      </c>
      <c r="Y5724" s="1">
        <f t="shared" si="179"/>
        <v>0</v>
      </c>
    </row>
    <row r="5725" spans="24:25" x14ac:dyDescent="0.3">
      <c r="X5725" s="1">
        <f t="shared" si="178"/>
        <v>0</v>
      </c>
      <c r="Y5725" s="1">
        <f t="shared" si="179"/>
        <v>0</v>
      </c>
    </row>
    <row r="5726" spans="24:25" x14ac:dyDescent="0.3">
      <c r="X5726" s="1">
        <f t="shared" si="178"/>
        <v>0</v>
      </c>
      <c r="Y5726" s="1">
        <f t="shared" si="179"/>
        <v>0</v>
      </c>
    </row>
    <row r="5727" spans="24:25" x14ac:dyDescent="0.3">
      <c r="X5727" s="1">
        <f t="shared" si="178"/>
        <v>0</v>
      </c>
      <c r="Y5727" s="1">
        <f t="shared" si="179"/>
        <v>0</v>
      </c>
    </row>
    <row r="5728" spans="24:25" x14ac:dyDescent="0.3">
      <c r="X5728" s="1">
        <f t="shared" si="178"/>
        <v>0</v>
      </c>
      <c r="Y5728" s="1">
        <f t="shared" si="179"/>
        <v>0</v>
      </c>
    </row>
    <row r="5729" spans="24:25" x14ac:dyDescent="0.3">
      <c r="X5729" s="1">
        <f t="shared" si="178"/>
        <v>0</v>
      </c>
      <c r="Y5729" s="1">
        <f t="shared" si="179"/>
        <v>0</v>
      </c>
    </row>
    <row r="5730" spans="24:25" x14ac:dyDescent="0.3">
      <c r="X5730" s="1">
        <f t="shared" si="178"/>
        <v>0</v>
      </c>
      <c r="Y5730" s="1">
        <f t="shared" si="179"/>
        <v>0</v>
      </c>
    </row>
    <row r="5731" spans="24:25" x14ac:dyDescent="0.3">
      <c r="X5731" s="1">
        <f t="shared" si="178"/>
        <v>0</v>
      </c>
      <c r="Y5731" s="1">
        <f t="shared" si="179"/>
        <v>0</v>
      </c>
    </row>
    <row r="5732" spans="24:25" x14ac:dyDescent="0.3">
      <c r="X5732" s="1">
        <f t="shared" si="178"/>
        <v>0</v>
      </c>
      <c r="Y5732" s="1">
        <f t="shared" si="179"/>
        <v>0</v>
      </c>
    </row>
    <row r="5733" spans="24:25" x14ac:dyDescent="0.3">
      <c r="X5733" s="1">
        <f t="shared" si="178"/>
        <v>0</v>
      </c>
      <c r="Y5733" s="1">
        <f t="shared" si="179"/>
        <v>0</v>
      </c>
    </row>
    <row r="5734" spans="24:25" x14ac:dyDescent="0.3">
      <c r="X5734" s="1">
        <f t="shared" si="178"/>
        <v>0</v>
      </c>
      <c r="Y5734" s="1">
        <f t="shared" si="179"/>
        <v>0</v>
      </c>
    </row>
    <row r="5735" spans="24:25" x14ac:dyDescent="0.3">
      <c r="X5735" s="1">
        <f t="shared" si="178"/>
        <v>0</v>
      </c>
      <c r="Y5735" s="1">
        <f t="shared" si="179"/>
        <v>0</v>
      </c>
    </row>
    <row r="5736" spans="24:25" x14ac:dyDescent="0.3">
      <c r="X5736" s="1">
        <f t="shared" si="178"/>
        <v>0</v>
      </c>
      <c r="Y5736" s="1">
        <f t="shared" si="179"/>
        <v>0</v>
      </c>
    </row>
    <row r="5737" spans="24:25" x14ac:dyDescent="0.3">
      <c r="X5737" s="1">
        <f t="shared" si="178"/>
        <v>0</v>
      </c>
      <c r="Y5737" s="1">
        <f t="shared" si="179"/>
        <v>0</v>
      </c>
    </row>
    <row r="5738" spans="24:25" x14ac:dyDescent="0.3">
      <c r="X5738" s="1">
        <f t="shared" si="178"/>
        <v>0</v>
      </c>
      <c r="Y5738" s="1">
        <f t="shared" si="179"/>
        <v>0</v>
      </c>
    </row>
    <row r="5739" spans="24:25" x14ac:dyDescent="0.3">
      <c r="X5739" s="1">
        <f t="shared" si="178"/>
        <v>0</v>
      </c>
      <c r="Y5739" s="1">
        <f t="shared" si="179"/>
        <v>0</v>
      </c>
    </row>
    <row r="5740" spans="24:25" x14ac:dyDescent="0.3">
      <c r="X5740" s="1">
        <f t="shared" si="178"/>
        <v>0</v>
      </c>
      <c r="Y5740" s="1">
        <f t="shared" si="179"/>
        <v>0</v>
      </c>
    </row>
    <row r="5741" spans="24:25" x14ac:dyDescent="0.3">
      <c r="X5741" s="1">
        <f t="shared" si="178"/>
        <v>0</v>
      </c>
      <c r="Y5741" s="1">
        <f t="shared" si="179"/>
        <v>0</v>
      </c>
    </row>
    <row r="5742" spans="24:25" x14ac:dyDescent="0.3">
      <c r="X5742" s="1">
        <f t="shared" si="178"/>
        <v>0</v>
      </c>
      <c r="Y5742" s="1">
        <f t="shared" si="179"/>
        <v>0</v>
      </c>
    </row>
    <row r="5743" spans="24:25" x14ac:dyDescent="0.3">
      <c r="X5743" s="1">
        <f t="shared" si="178"/>
        <v>0</v>
      </c>
      <c r="Y5743" s="1">
        <f t="shared" si="179"/>
        <v>0</v>
      </c>
    </row>
    <row r="5744" spans="24:25" x14ac:dyDescent="0.3">
      <c r="X5744" s="1">
        <f t="shared" si="178"/>
        <v>0</v>
      </c>
      <c r="Y5744" s="1">
        <f t="shared" si="179"/>
        <v>0</v>
      </c>
    </row>
    <row r="5745" spans="24:25" x14ac:dyDescent="0.3">
      <c r="X5745" s="1">
        <f t="shared" si="178"/>
        <v>0</v>
      </c>
      <c r="Y5745" s="1">
        <f t="shared" si="179"/>
        <v>0</v>
      </c>
    </row>
    <row r="5746" spans="24:25" x14ac:dyDescent="0.3">
      <c r="X5746" s="1">
        <f t="shared" si="178"/>
        <v>0</v>
      </c>
      <c r="Y5746" s="1">
        <f t="shared" si="179"/>
        <v>0</v>
      </c>
    </row>
    <row r="5747" spans="24:25" x14ac:dyDescent="0.3">
      <c r="X5747" s="1">
        <f t="shared" si="178"/>
        <v>0</v>
      </c>
      <c r="Y5747" s="1">
        <f t="shared" si="179"/>
        <v>0</v>
      </c>
    </row>
    <row r="5748" spans="24:25" x14ac:dyDescent="0.3">
      <c r="X5748" s="1">
        <f t="shared" si="178"/>
        <v>0</v>
      </c>
      <c r="Y5748" s="1">
        <f t="shared" si="179"/>
        <v>0</v>
      </c>
    </row>
    <row r="5749" spans="24:25" x14ac:dyDescent="0.3">
      <c r="X5749" s="1">
        <f t="shared" si="178"/>
        <v>0</v>
      </c>
      <c r="Y5749" s="1">
        <f t="shared" si="179"/>
        <v>0</v>
      </c>
    </row>
    <row r="5750" spans="24:25" x14ac:dyDescent="0.3">
      <c r="X5750" s="1">
        <f t="shared" si="178"/>
        <v>0</v>
      </c>
      <c r="Y5750" s="1">
        <f t="shared" si="179"/>
        <v>0</v>
      </c>
    </row>
    <row r="5751" spans="24:25" x14ac:dyDescent="0.3">
      <c r="X5751" s="1">
        <f t="shared" si="178"/>
        <v>0</v>
      </c>
      <c r="Y5751" s="1">
        <f t="shared" si="179"/>
        <v>0</v>
      </c>
    </row>
    <row r="5752" spans="24:25" x14ac:dyDescent="0.3">
      <c r="X5752" s="1">
        <f t="shared" si="178"/>
        <v>0</v>
      </c>
      <c r="Y5752" s="1">
        <f t="shared" si="179"/>
        <v>0</v>
      </c>
    </row>
    <row r="5753" spans="24:25" x14ac:dyDescent="0.3">
      <c r="X5753" s="1">
        <f t="shared" si="178"/>
        <v>0</v>
      </c>
      <c r="Y5753" s="1">
        <f t="shared" si="179"/>
        <v>0</v>
      </c>
    </row>
    <row r="5754" spans="24:25" x14ac:dyDescent="0.3">
      <c r="X5754" s="1">
        <f t="shared" si="178"/>
        <v>0</v>
      </c>
      <c r="Y5754" s="1">
        <f t="shared" si="179"/>
        <v>0</v>
      </c>
    </row>
    <row r="5755" spans="24:25" x14ac:dyDescent="0.3">
      <c r="X5755" s="1">
        <f t="shared" si="178"/>
        <v>0</v>
      </c>
      <c r="Y5755" s="1">
        <f t="shared" si="179"/>
        <v>0</v>
      </c>
    </row>
    <row r="5756" spans="24:25" x14ac:dyDescent="0.3">
      <c r="X5756" s="1">
        <f t="shared" si="178"/>
        <v>0</v>
      </c>
      <c r="Y5756" s="1">
        <f t="shared" si="179"/>
        <v>0</v>
      </c>
    </row>
    <row r="5757" spans="24:25" x14ac:dyDescent="0.3">
      <c r="X5757" s="1">
        <f t="shared" si="178"/>
        <v>0</v>
      </c>
      <c r="Y5757" s="1">
        <f t="shared" si="179"/>
        <v>0</v>
      </c>
    </row>
    <row r="5758" spans="24:25" x14ac:dyDescent="0.3">
      <c r="X5758" s="1">
        <f t="shared" si="178"/>
        <v>0</v>
      </c>
      <c r="Y5758" s="1">
        <f t="shared" si="179"/>
        <v>0</v>
      </c>
    </row>
    <row r="5759" spans="24:25" x14ac:dyDescent="0.3">
      <c r="X5759" s="1">
        <f t="shared" si="178"/>
        <v>0</v>
      </c>
      <c r="Y5759" s="1">
        <f t="shared" si="179"/>
        <v>0</v>
      </c>
    </row>
    <row r="5760" spans="24:25" x14ac:dyDescent="0.3">
      <c r="X5760" s="1">
        <f t="shared" si="178"/>
        <v>0</v>
      </c>
      <c r="Y5760" s="1">
        <f t="shared" si="179"/>
        <v>0</v>
      </c>
    </row>
    <row r="5761" spans="24:25" x14ac:dyDescent="0.3">
      <c r="X5761" s="1">
        <f t="shared" si="178"/>
        <v>0</v>
      </c>
      <c r="Y5761" s="1">
        <f t="shared" si="179"/>
        <v>0</v>
      </c>
    </row>
    <row r="5762" spans="24:25" x14ac:dyDescent="0.3">
      <c r="X5762" s="1">
        <f t="shared" si="178"/>
        <v>0</v>
      </c>
      <c r="Y5762" s="1">
        <f t="shared" si="179"/>
        <v>0</v>
      </c>
    </row>
    <row r="5763" spans="24:25" x14ac:dyDescent="0.3">
      <c r="X5763" s="1">
        <f t="shared" ref="X5763:X5826" si="180">IFERROR(MATCH(W5763,$B:$B,0),0)</f>
        <v>0</v>
      </c>
      <c r="Y5763" s="1">
        <f t="shared" ref="Y5763:Y5826" si="181">IF(X5764=0,COUNTA(A:A),X5764-1)</f>
        <v>0</v>
      </c>
    </row>
    <row r="5764" spans="24:25" x14ac:dyDescent="0.3">
      <c r="X5764" s="1">
        <f t="shared" si="180"/>
        <v>0</v>
      </c>
      <c r="Y5764" s="1">
        <f t="shared" si="181"/>
        <v>0</v>
      </c>
    </row>
    <row r="5765" spans="24:25" x14ac:dyDescent="0.3">
      <c r="X5765" s="1">
        <f t="shared" si="180"/>
        <v>0</v>
      </c>
      <c r="Y5765" s="1">
        <f t="shared" si="181"/>
        <v>0</v>
      </c>
    </row>
    <row r="5766" spans="24:25" x14ac:dyDescent="0.3">
      <c r="X5766" s="1">
        <f t="shared" si="180"/>
        <v>0</v>
      </c>
      <c r="Y5766" s="1">
        <f t="shared" si="181"/>
        <v>0</v>
      </c>
    </row>
    <row r="5767" spans="24:25" x14ac:dyDescent="0.3">
      <c r="X5767" s="1">
        <f t="shared" si="180"/>
        <v>0</v>
      </c>
      <c r="Y5767" s="1">
        <f t="shared" si="181"/>
        <v>0</v>
      </c>
    </row>
    <row r="5768" spans="24:25" x14ac:dyDescent="0.3">
      <c r="X5768" s="1">
        <f t="shared" si="180"/>
        <v>0</v>
      </c>
      <c r="Y5768" s="1">
        <f t="shared" si="181"/>
        <v>0</v>
      </c>
    </row>
    <row r="5769" spans="24:25" x14ac:dyDescent="0.3">
      <c r="X5769" s="1">
        <f t="shared" si="180"/>
        <v>0</v>
      </c>
      <c r="Y5769" s="1">
        <f t="shared" si="181"/>
        <v>0</v>
      </c>
    </row>
    <row r="5770" spans="24:25" x14ac:dyDescent="0.3">
      <c r="X5770" s="1">
        <f t="shared" si="180"/>
        <v>0</v>
      </c>
      <c r="Y5770" s="1">
        <f t="shared" si="181"/>
        <v>0</v>
      </c>
    </row>
    <row r="5771" spans="24:25" x14ac:dyDescent="0.3">
      <c r="X5771" s="1">
        <f t="shared" si="180"/>
        <v>0</v>
      </c>
      <c r="Y5771" s="1">
        <f t="shared" si="181"/>
        <v>0</v>
      </c>
    </row>
    <row r="5772" spans="24:25" x14ac:dyDescent="0.3">
      <c r="X5772" s="1">
        <f t="shared" si="180"/>
        <v>0</v>
      </c>
      <c r="Y5772" s="1">
        <f t="shared" si="181"/>
        <v>0</v>
      </c>
    </row>
    <row r="5773" spans="24:25" x14ac:dyDescent="0.3">
      <c r="X5773" s="1">
        <f t="shared" si="180"/>
        <v>0</v>
      </c>
      <c r="Y5773" s="1">
        <f t="shared" si="181"/>
        <v>0</v>
      </c>
    </row>
    <row r="5774" spans="24:25" x14ac:dyDescent="0.3">
      <c r="X5774" s="1">
        <f t="shared" si="180"/>
        <v>0</v>
      </c>
      <c r="Y5774" s="1">
        <f t="shared" si="181"/>
        <v>0</v>
      </c>
    </row>
    <row r="5775" spans="24:25" x14ac:dyDescent="0.3">
      <c r="X5775" s="1">
        <f t="shared" si="180"/>
        <v>0</v>
      </c>
      <c r="Y5775" s="1">
        <f t="shared" si="181"/>
        <v>0</v>
      </c>
    </row>
    <row r="5776" spans="24:25" x14ac:dyDescent="0.3">
      <c r="X5776" s="1">
        <f t="shared" si="180"/>
        <v>0</v>
      </c>
      <c r="Y5776" s="1">
        <f t="shared" si="181"/>
        <v>0</v>
      </c>
    </row>
    <row r="5777" spans="24:25" x14ac:dyDescent="0.3">
      <c r="X5777" s="1">
        <f t="shared" si="180"/>
        <v>0</v>
      </c>
      <c r="Y5777" s="1">
        <f t="shared" si="181"/>
        <v>0</v>
      </c>
    </row>
    <row r="5778" spans="24:25" x14ac:dyDescent="0.3">
      <c r="X5778" s="1">
        <f t="shared" si="180"/>
        <v>0</v>
      </c>
      <c r="Y5778" s="1">
        <f t="shared" si="181"/>
        <v>0</v>
      </c>
    </row>
    <row r="5779" spans="24:25" x14ac:dyDescent="0.3">
      <c r="X5779" s="1">
        <f t="shared" si="180"/>
        <v>0</v>
      </c>
      <c r="Y5779" s="1">
        <f t="shared" si="181"/>
        <v>0</v>
      </c>
    </row>
    <row r="5780" spans="24:25" x14ac:dyDescent="0.3">
      <c r="X5780" s="1">
        <f t="shared" si="180"/>
        <v>0</v>
      </c>
      <c r="Y5780" s="1">
        <f t="shared" si="181"/>
        <v>0</v>
      </c>
    </row>
    <row r="5781" spans="24:25" x14ac:dyDescent="0.3">
      <c r="X5781" s="1">
        <f t="shared" si="180"/>
        <v>0</v>
      </c>
      <c r="Y5781" s="1">
        <f t="shared" si="181"/>
        <v>0</v>
      </c>
    </row>
    <row r="5782" spans="24:25" x14ac:dyDescent="0.3">
      <c r="X5782" s="1">
        <f t="shared" si="180"/>
        <v>0</v>
      </c>
      <c r="Y5782" s="1">
        <f t="shared" si="181"/>
        <v>0</v>
      </c>
    </row>
    <row r="5783" spans="24:25" x14ac:dyDescent="0.3">
      <c r="X5783" s="1">
        <f t="shared" si="180"/>
        <v>0</v>
      </c>
      <c r="Y5783" s="1">
        <f t="shared" si="181"/>
        <v>0</v>
      </c>
    </row>
    <row r="5784" spans="24:25" x14ac:dyDescent="0.3">
      <c r="X5784" s="1">
        <f t="shared" si="180"/>
        <v>0</v>
      </c>
      <c r="Y5784" s="1">
        <f t="shared" si="181"/>
        <v>0</v>
      </c>
    </row>
    <row r="5785" spans="24:25" x14ac:dyDescent="0.3">
      <c r="X5785" s="1">
        <f t="shared" si="180"/>
        <v>0</v>
      </c>
      <c r="Y5785" s="1">
        <f t="shared" si="181"/>
        <v>0</v>
      </c>
    </row>
    <row r="5786" spans="24:25" x14ac:dyDescent="0.3">
      <c r="X5786" s="1">
        <f t="shared" si="180"/>
        <v>0</v>
      </c>
      <c r="Y5786" s="1">
        <f t="shared" si="181"/>
        <v>0</v>
      </c>
    </row>
    <row r="5787" spans="24:25" x14ac:dyDescent="0.3">
      <c r="X5787" s="1">
        <f t="shared" si="180"/>
        <v>0</v>
      </c>
      <c r="Y5787" s="1">
        <f t="shared" si="181"/>
        <v>0</v>
      </c>
    </row>
    <row r="5788" spans="24:25" x14ac:dyDescent="0.3">
      <c r="X5788" s="1">
        <f t="shared" si="180"/>
        <v>0</v>
      </c>
      <c r="Y5788" s="1">
        <f t="shared" si="181"/>
        <v>0</v>
      </c>
    </row>
    <row r="5789" spans="24:25" x14ac:dyDescent="0.3">
      <c r="X5789" s="1">
        <f t="shared" si="180"/>
        <v>0</v>
      </c>
      <c r="Y5789" s="1">
        <f t="shared" si="181"/>
        <v>0</v>
      </c>
    </row>
    <row r="5790" spans="24:25" x14ac:dyDescent="0.3">
      <c r="X5790" s="1">
        <f t="shared" si="180"/>
        <v>0</v>
      </c>
      <c r="Y5790" s="1">
        <f t="shared" si="181"/>
        <v>0</v>
      </c>
    </row>
    <row r="5791" spans="24:25" x14ac:dyDescent="0.3">
      <c r="X5791" s="1">
        <f t="shared" si="180"/>
        <v>0</v>
      </c>
      <c r="Y5791" s="1">
        <f t="shared" si="181"/>
        <v>0</v>
      </c>
    </row>
    <row r="5792" spans="24:25" x14ac:dyDescent="0.3">
      <c r="X5792" s="1">
        <f t="shared" si="180"/>
        <v>0</v>
      </c>
      <c r="Y5792" s="1">
        <f t="shared" si="181"/>
        <v>0</v>
      </c>
    </row>
    <row r="5793" spans="24:25" x14ac:dyDescent="0.3">
      <c r="X5793" s="1">
        <f t="shared" si="180"/>
        <v>0</v>
      </c>
      <c r="Y5793" s="1">
        <f t="shared" si="181"/>
        <v>0</v>
      </c>
    </row>
    <row r="5794" spans="24:25" x14ac:dyDescent="0.3">
      <c r="X5794" s="1">
        <f t="shared" si="180"/>
        <v>0</v>
      </c>
      <c r="Y5794" s="1">
        <f t="shared" si="181"/>
        <v>0</v>
      </c>
    </row>
    <row r="5795" spans="24:25" x14ac:dyDescent="0.3">
      <c r="X5795" s="1">
        <f t="shared" si="180"/>
        <v>0</v>
      </c>
      <c r="Y5795" s="1">
        <f t="shared" si="181"/>
        <v>0</v>
      </c>
    </row>
    <row r="5796" spans="24:25" x14ac:dyDescent="0.3">
      <c r="X5796" s="1">
        <f t="shared" si="180"/>
        <v>0</v>
      </c>
      <c r="Y5796" s="1">
        <f t="shared" si="181"/>
        <v>0</v>
      </c>
    </row>
    <row r="5797" spans="24:25" x14ac:dyDescent="0.3">
      <c r="X5797" s="1">
        <f t="shared" si="180"/>
        <v>0</v>
      </c>
      <c r="Y5797" s="1">
        <f t="shared" si="181"/>
        <v>0</v>
      </c>
    </row>
    <row r="5798" spans="24:25" x14ac:dyDescent="0.3">
      <c r="X5798" s="1">
        <f t="shared" si="180"/>
        <v>0</v>
      </c>
      <c r="Y5798" s="1">
        <f t="shared" si="181"/>
        <v>0</v>
      </c>
    </row>
    <row r="5799" spans="24:25" x14ac:dyDescent="0.3">
      <c r="X5799" s="1">
        <f t="shared" si="180"/>
        <v>0</v>
      </c>
      <c r="Y5799" s="1">
        <f t="shared" si="181"/>
        <v>0</v>
      </c>
    </row>
    <row r="5800" spans="24:25" x14ac:dyDescent="0.3">
      <c r="X5800" s="1">
        <f t="shared" si="180"/>
        <v>0</v>
      </c>
      <c r="Y5800" s="1">
        <f t="shared" si="181"/>
        <v>0</v>
      </c>
    </row>
    <row r="5801" spans="24:25" x14ac:dyDescent="0.3">
      <c r="X5801" s="1">
        <f t="shared" si="180"/>
        <v>0</v>
      </c>
      <c r="Y5801" s="1">
        <f t="shared" si="181"/>
        <v>0</v>
      </c>
    </row>
    <row r="5802" spans="24:25" x14ac:dyDescent="0.3">
      <c r="X5802" s="1">
        <f t="shared" si="180"/>
        <v>0</v>
      </c>
      <c r="Y5802" s="1">
        <f t="shared" si="181"/>
        <v>0</v>
      </c>
    </row>
    <row r="5803" spans="24:25" x14ac:dyDescent="0.3">
      <c r="X5803" s="1">
        <f t="shared" si="180"/>
        <v>0</v>
      </c>
      <c r="Y5803" s="1">
        <f t="shared" si="181"/>
        <v>0</v>
      </c>
    </row>
    <row r="5804" spans="24:25" x14ac:dyDescent="0.3">
      <c r="X5804" s="1">
        <f t="shared" si="180"/>
        <v>0</v>
      </c>
      <c r="Y5804" s="1">
        <f t="shared" si="181"/>
        <v>0</v>
      </c>
    </row>
    <row r="5805" spans="24:25" x14ac:dyDescent="0.3">
      <c r="X5805" s="1">
        <f t="shared" si="180"/>
        <v>0</v>
      </c>
      <c r="Y5805" s="1">
        <f t="shared" si="181"/>
        <v>0</v>
      </c>
    </row>
    <row r="5806" spans="24:25" x14ac:dyDescent="0.3">
      <c r="X5806" s="1">
        <f t="shared" si="180"/>
        <v>0</v>
      </c>
      <c r="Y5806" s="1">
        <f t="shared" si="181"/>
        <v>0</v>
      </c>
    </row>
    <row r="5807" spans="24:25" x14ac:dyDescent="0.3">
      <c r="X5807" s="1">
        <f t="shared" si="180"/>
        <v>0</v>
      </c>
      <c r="Y5807" s="1">
        <f t="shared" si="181"/>
        <v>0</v>
      </c>
    </row>
    <row r="5808" spans="24:25" x14ac:dyDescent="0.3">
      <c r="X5808" s="1">
        <f t="shared" si="180"/>
        <v>0</v>
      </c>
      <c r="Y5808" s="1">
        <f t="shared" si="181"/>
        <v>0</v>
      </c>
    </row>
    <row r="5809" spans="24:25" x14ac:dyDescent="0.3">
      <c r="X5809" s="1">
        <f t="shared" si="180"/>
        <v>0</v>
      </c>
      <c r="Y5809" s="1">
        <f t="shared" si="181"/>
        <v>0</v>
      </c>
    </row>
    <row r="5810" spans="24:25" x14ac:dyDescent="0.3">
      <c r="X5810" s="1">
        <f t="shared" si="180"/>
        <v>0</v>
      </c>
      <c r="Y5810" s="1">
        <f t="shared" si="181"/>
        <v>0</v>
      </c>
    </row>
    <row r="5811" spans="24:25" x14ac:dyDescent="0.3">
      <c r="X5811" s="1">
        <f t="shared" si="180"/>
        <v>0</v>
      </c>
      <c r="Y5811" s="1">
        <f t="shared" si="181"/>
        <v>0</v>
      </c>
    </row>
    <row r="5812" spans="24:25" x14ac:dyDescent="0.3">
      <c r="X5812" s="1">
        <f t="shared" si="180"/>
        <v>0</v>
      </c>
      <c r="Y5812" s="1">
        <f t="shared" si="181"/>
        <v>0</v>
      </c>
    </row>
    <row r="5813" spans="24:25" x14ac:dyDescent="0.3">
      <c r="X5813" s="1">
        <f t="shared" si="180"/>
        <v>0</v>
      </c>
      <c r="Y5813" s="1">
        <f t="shared" si="181"/>
        <v>0</v>
      </c>
    </row>
    <row r="5814" spans="24:25" x14ac:dyDescent="0.3">
      <c r="X5814" s="1">
        <f t="shared" si="180"/>
        <v>0</v>
      </c>
      <c r="Y5814" s="1">
        <f t="shared" si="181"/>
        <v>0</v>
      </c>
    </row>
    <row r="5815" spans="24:25" x14ac:dyDescent="0.3">
      <c r="X5815" s="1">
        <f t="shared" si="180"/>
        <v>0</v>
      </c>
      <c r="Y5815" s="1">
        <f t="shared" si="181"/>
        <v>0</v>
      </c>
    </row>
    <row r="5816" spans="24:25" x14ac:dyDescent="0.3">
      <c r="X5816" s="1">
        <f t="shared" si="180"/>
        <v>0</v>
      </c>
      <c r="Y5816" s="1">
        <f t="shared" si="181"/>
        <v>0</v>
      </c>
    </row>
    <row r="5817" spans="24:25" x14ac:dyDescent="0.3">
      <c r="X5817" s="1">
        <f t="shared" si="180"/>
        <v>0</v>
      </c>
      <c r="Y5817" s="1">
        <f t="shared" si="181"/>
        <v>0</v>
      </c>
    </row>
    <row r="5818" spans="24:25" x14ac:dyDescent="0.3">
      <c r="X5818" s="1">
        <f t="shared" si="180"/>
        <v>0</v>
      </c>
      <c r="Y5818" s="1">
        <f t="shared" si="181"/>
        <v>0</v>
      </c>
    </row>
    <row r="5819" spans="24:25" x14ac:dyDescent="0.3">
      <c r="X5819" s="1">
        <f t="shared" si="180"/>
        <v>0</v>
      </c>
      <c r="Y5819" s="1">
        <f t="shared" si="181"/>
        <v>0</v>
      </c>
    </row>
    <row r="5820" spans="24:25" x14ac:dyDescent="0.3">
      <c r="X5820" s="1">
        <f t="shared" si="180"/>
        <v>0</v>
      </c>
      <c r="Y5820" s="1">
        <f t="shared" si="181"/>
        <v>0</v>
      </c>
    </row>
    <row r="5821" spans="24:25" x14ac:dyDescent="0.3">
      <c r="X5821" s="1">
        <f t="shared" si="180"/>
        <v>0</v>
      </c>
      <c r="Y5821" s="1">
        <f t="shared" si="181"/>
        <v>0</v>
      </c>
    </row>
    <row r="5822" spans="24:25" x14ac:dyDescent="0.3">
      <c r="X5822" s="1">
        <f t="shared" si="180"/>
        <v>0</v>
      </c>
      <c r="Y5822" s="1">
        <f t="shared" si="181"/>
        <v>0</v>
      </c>
    </row>
    <row r="5823" spans="24:25" x14ac:dyDescent="0.3">
      <c r="X5823" s="1">
        <f t="shared" si="180"/>
        <v>0</v>
      </c>
      <c r="Y5823" s="1">
        <f t="shared" si="181"/>
        <v>0</v>
      </c>
    </row>
    <row r="5824" spans="24:25" x14ac:dyDescent="0.3">
      <c r="X5824" s="1">
        <f t="shared" si="180"/>
        <v>0</v>
      </c>
      <c r="Y5824" s="1">
        <f t="shared" si="181"/>
        <v>0</v>
      </c>
    </row>
    <row r="5825" spans="24:25" x14ac:dyDescent="0.3">
      <c r="X5825" s="1">
        <f t="shared" si="180"/>
        <v>0</v>
      </c>
      <c r="Y5825" s="1">
        <f t="shared" si="181"/>
        <v>0</v>
      </c>
    </row>
    <row r="5826" spans="24:25" x14ac:dyDescent="0.3">
      <c r="X5826" s="1">
        <f t="shared" si="180"/>
        <v>0</v>
      </c>
      <c r="Y5826" s="1">
        <f t="shared" si="181"/>
        <v>0</v>
      </c>
    </row>
    <row r="5827" spans="24:25" x14ac:dyDescent="0.3">
      <c r="X5827" s="1">
        <f t="shared" ref="X5827:X5890" si="182">IFERROR(MATCH(W5827,$B:$B,0),0)</f>
        <v>0</v>
      </c>
      <c r="Y5827" s="1">
        <f t="shared" ref="Y5827:Y5890" si="183">IF(X5828=0,COUNTA(A:A),X5828-1)</f>
        <v>0</v>
      </c>
    </row>
    <row r="5828" spans="24:25" x14ac:dyDescent="0.3">
      <c r="X5828" s="1">
        <f t="shared" si="182"/>
        <v>0</v>
      </c>
      <c r="Y5828" s="1">
        <f t="shared" si="183"/>
        <v>0</v>
      </c>
    </row>
    <row r="5829" spans="24:25" x14ac:dyDescent="0.3">
      <c r="X5829" s="1">
        <f t="shared" si="182"/>
        <v>0</v>
      </c>
      <c r="Y5829" s="1">
        <f t="shared" si="183"/>
        <v>0</v>
      </c>
    </row>
    <row r="5830" spans="24:25" x14ac:dyDescent="0.3">
      <c r="X5830" s="1">
        <f t="shared" si="182"/>
        <v>0</v>
      </c>
      <c r="Y5830" s="1">
        <f t="shared" si="183"/>
        <v>0</v>
      </c>
    </row>
    <row r="5831" spans="24:25" x14ac:dyDescent="0.3">
      <c r="X5831" s="1">
        <f t="shared" si="182"/>
        <v>0</v>
      </c>
      <c r="Y5831" s="1">
        <f t="shared" si="183"/>
        <v>0</v>
      </c>
    </row>
    <row r="5832" spans="24:25" x14ac:dyDescent="0.3">
      <c r="X5832" s="1">
        <f t="shared" si="182"/>
        <v>0</v>
      </c>
      <c r="Y5832" s="1">
        <f t="shared" si="183"/>
        <v>0</v>
      </c>
    </row>
    <row r="5833" spans="24:25" x14ac:dyDescent="0.3">
      <c r="X5833" s="1">
        <f t="shared" si="182"/>
        <v>0</v>
      </c>
      <c r="Y5833" s="1">
        <f t="shared" si="183"/>
        <v>0</v>
      </c>
    </row>
    <row r="5834" spans="24:25" x14ac:dyDescent="0.3">
      <c r="X5834" s="1">
        <f t="shared" si="182"/>
        <v>0</v>
      </c>
      <c r="Y5834" s="1">
        <f t="shared" si="183"/>
        <v>0</v>
      </c>
    </row>
    <row r="5835" spans="24:25" x14ac:dyDescent="0.3">
      <c r="X5835" s="1">
        <f t="shared" si="182"/>
        <v>0</v>
      </c>
      <c r="Y5835" s="1">
        <f t="shared" si="183"/>
        <v>0</v>
      </c>
    </row>
    <row r="5836" spans="24:25" x14ac:dyDescent="0.3">
      <c r="X5836" s="1">
        <f t="shared" si="182"/>
        <v>0</v>
      </c>
      <c r="Y5836" s="1">
        <f t="shared" si="183"/>
        <v>0</v>
      </c>
    </row>
    <row r="5837" spans="24:25" x14ac:dyDescent="0.3">
      <c r="X5837" s="1">
        <f t="shared" si="182"/>
        <v>0</v>
      </c>
      <c r="Y5837" s="1">
        <f t="shared" si="183"/>
        <v>0</v>
      </c>
    </row>
    <row r="5838" spans="24:25" x14ac:dyDescent="0.3">
      <c r="X5838" s="1">
        <f t="shared" si="182"/>
        <v>0</v>
      </c>
      <c r="Y5838" s="1">
        <f t="shared" si="183"/>
        <v>0</v>
      </c>
    </row>
    <row r="5839" spans="24:25" x14ac:dyDescent="0.3">
      <c r="X5839" s="1">
        <f t="shared" si="182"/>
        <v>0</v>
      </c>
      <c r="Y5839" s="1">
        <f t="shared" si="183"/>
        <v>0</v>
      </c>
    </row>
    <row r="5840" spans="24:25" x14ac:dyDescent="0.3">
      <c r="X5840" s="1">
        <f t="shared" si="182"/>
        <v>0</v>
      </c>
      <c r="Y5840" s="1">
        <f t="shared" si="183"/>
        <v>0</v>
      </c>
    </row>
    <row r="5841" spans="24:25" x14ac:dyDescent="0.3">
      <c r="X5841" s="1">
        <f t="shared" si="182"/>
        <v>0</v>
      </c>
      <c r="Y5841" s="1">
        <f t="shared" si="183"/>
        <v>0</v>
      </c>
    </row>
    <row r="5842" spans="24:25" x14ac:dyDescent="0.3">
      <c r="X5842" s="1">
        <f t="shared" si="182"/>
        <v>0</v>
      </c>
      <c r="Y5842" s="1">
        <f t="shared" si="183"/>
        <v>0</v>
      </c>
    </row>
    <row r="5843" spans="24:25" x14ac:dyDescent="0.3">
      <c r="X5843" s="1">
        <f t="shared" si="182"/>
        <v>0</v>
      </c>
      <c r="Y5843" s="1">
        <f t="shared" si="183"/>
        <v>0</v>
      </c>
    </row>
    <row r="5844" spans="24:25" x14ac:dyDescent="0.3">
      <c r="X5844" s="1">
        <f t="shared" si="182"/>
        <v>0</v>
      </c>
      <c r="Y5844" s="1">
        <f t="shared" si="183"/>
        <v>0</v>
      </c>
    </row>
    <row r="5845" spans="24:25" x14ac:dyDescent="0.3">
      <c r="X5845" s="1">
        <f t="shared" si="182"/>
        <v>0</v>
      </c>
      <c r="Y5845" s="1">
        <f t="shared" si="183"/>
        <v>0</v>
      </c>
    </row>
    <row r="5846" spans="24:25" x14ac:dyDescent="0.3">
      <c r="X5846" s="1">
        <f t="shared" si="182"/>
        <v>0</v>
      </c>
      <c r="Y5846" s="1">
        <f t="shared" si="183"/>
        <v>0</v>
      </c>
    </row>
    <row r="5847" spans="24:25" x14ac:dyDescent="0.3">
      <c r="X5847" s="1">
        <f t="shared" si="182"/>
        <v>0</v>
      </c>
      <c r="Y5847" s="1">
        <f t="shared" si="183"/>
        <v>0</v>
      </c>
    </row>
    <row r="5848" spans="24:25" x14ac:dyDescent="0.3">
      <c r="X5848" s="1">
        <f t="shared" si="182"/>
        <v>0</v>
      </c>
      <c r="Y5848" s="1">
        <f t="shared" si="183"/>
        <v>0</v>
      </c>
    </row>
    <row r="5849" spans="24:25" x14ac:dyDescent="0.3">
      <c r="X5849" s="1">
        <f t="shared" si="182"/>
        <v>0</v>
      </c>
      <c r="Y5849" s="1">
        <f t="shared" si="183"/>
        <v>0</v>
      </c>
    </row>
    <row r="5850" spans="24:25" x14ac:dyDescent="0.3">
      <c r="X5850" s="1">
        <f t="shared" si="182"/>
        <v>0</v>
      </c>
      <c r="Y5850" s="1">
        <f t="shared" si="183"/>
        <v>0</v>
      </c>
    </row>
    <row r="5851" spans="24:25" x14ac:dyDescent="0.3">
      <c r="X5851" s="1">
        <f t="shared" si="182"/>
        <v>0</v>
      </c>
      <c r="Y5851" s="1">
        <f t="shared" si="183"/>
        <v>0</v>
      </c>
    </row>
    <row r="5852" spans="24:25" x14ac:dyDescent="0.3">
      <c r="X5852" s="1">
        <f t="shared" si="182"/>
        <v>0</v>
      </c>
      <c r="Y5852" s="1">
        <f t="shared" si="183"/>
        <v>0</v>
      </c>
    </row>
    <row r="5853" spans="24:25" x14ac:dyDescent="0.3">
      <c r="X5853" s="1">
        <f t="shared" si="182"/>
        <v>0</v>
      </c>
      <c r="Y5853" s="1">
        <f t="shared" si="183"/>
        <v>0</v>
      </c>
    </row>
    <row r="5854" spans="24:25" x14ac:dyDescent="0.3">
      <c r="X5854" s="1">
        <f t="shared" si="182"/>
        <v>0</v>
      </c>
      <c r="Y5854" s="1">
        <f t="shared" si="183"/>
        <v>0</v>
      </c>
    </row>
    <row r="5855" spans="24:25" x14ac:dyDescent="0.3">
      <c r="X5855" s="1">
        <f t="shared" si="182"/>
        <v>0</v>
      </c>
      <c r="Y5855" s="1">
        <f t="shared" si="183"/>
        <v>0</v>
      </c>
    </row>
    <row r="5856" spans="24:25" x14ac:dyDescent="0.3">
      <c r="X5856" s="1">
        <f t="shared" si="182"/>
        <v>0</v>
      </c>
      <c r="Y5856" s="1">
        <f t="shared" si="183"/>
        <v>0</v>
      </c>
    </row>
    <row r="5857" spans="24:25" x14ac:dyDescent="0.3">
      <c r="X5857" s="1">
        <f t="shared" si="182"/>
        <v>0</v>
      </c>
      <c r="Y5857" s="1">
        <f t="shared" si="183"/>
        <v>0</v>
      </c>
    </row>
    <row r="5858" spans="24:25" x14ac:dyDescent="0.3">
      <c r="X5858" s="1">
        <f t="shared" si="182"/>
        <v>0</v>
      </c>
      <c r="Y5858" s="1">
        <f t="shared" si="183"/>
        <v>0</v>
      </c>
    </row>
    <row r="5859" spans="24:25" x14ac:dyDescent="0.3">
      <c r="X5859" s="1">
        <f t="shared" si="182"/>
        <v>0</v>
      </c>
      <c r="Y5859" s="1">
        <f t="shared" si="183"/>
        <v>0</v>
      </c>
    </row>
    <row r="5860" spans="24:25" x14ac:dyDescent="0.3">
      <c r="X5860" s="1">
        <f t="shared" si="182"/>
        <v>0</v>
      </c>
      <c r="Y5860" s="1">
        <f t="shared" si="183"/>
        <v>0</v>
      </c>
    </row>
    <row r="5861" spans="24:25" x14ac:dyDescent="0.3">
      <c r="X5861" s="1">
        <f t="shared" si="182"/>
        <v>0</v>
      </c>
      <c r="Y5861" s="1">
        <f t="shared" si="183"/>
        <v>0</v>
      </c>
    </row>
    <row r="5862" spans="24:25" x14ac:dyDescent="0.3">
      <c r="X5862" s="1">
        <f t="shared" si="182"/>
        <v>0</v>
      </c>
      <c r="Y5862" s="1">
        <f t="shared" si="183"/>
        <v>0</v>
      </c>
    </row>
    <row r="5863" spans="24:25" x14ac:dyDescent="0.3">
      <c r="X5863" s="1">
        <f t="shared" si="182"/>
        <v>0</v>
      </c>
      <c r="Y5863" s="1">
        <f t="shared" si="183"/>
        <v>0</v>
      </c>
    </row>
    <row r="5864" spans="24:25" x14ac:dyDescent="0.3">
      <c r="X5864" s="1">
        <f t="shared" si="182"/>
        <v>0</v>
      </c>
      <c r="Y5864" s="1">
        <f t="shared" si="183"/>
        <v>0</v>
      </c>
    </row>
    <row r="5865" spans="24:25" x14ac:dyDescent="0.3">
      <c r="X5865" s="1">
        <f t="shared" si="182"/>
        <v>0</v>
      </c>
      <c r="Y5865" s="1">
        <f t="shared" si="183"/>
        <v>0</v>
      </c>
    </row>
    <row r="5866" spans="24:25" x14ac:dyDescent="0.3">
      <c r="X5866" s="1">
        <f t="shared" si="182"/>
        <v>0</v>
      </c>
      <c r="Y5866" s="1">
        <f t="shared" si="183"/>
        <v>0</v>
      </c>
    </row>
    <row r="5867" spans="24:25" x14ac:dyDescent="0.3">
      <c r="X5867" s="1">
        <f t="shared" si="182"/>
        <v>0</v>
      </c>
      <c r="Y5867" s="1">
        <f t="shared" si="183"/>
        <v>0</v>
      </c>
    </row>
    <row r="5868" spans="24:25" x14ac:dyDescent="0.3">
      <c r="X5868" s="1">
        <f t="shared" si="182"/>
        <v>0</v>
      </c>
      <c r="Y5868" s="1">
        <f t="shared" si="183"/>
        <v>0</v>
      </c>
    </row>
    <row r="5869" spans="24:25" x14ac:dyDescent="0.3">
      <c r="X5869" s="1">
        <f t="shared" si="182"/>
        <v>0</v>
      </c>
      <c r="Y5869" s="1">
        <f t="shared" si="183"/>
        <v>0</v>
      </c>
    </row>
    <row r="5870" spans="24:25" x14ac:dyDescent="0.3">
      <c r="X5870" s="1">
        <f t="shared" si="182"/>
        <v>0</v>
      </c>
      <c r="Y5870" s="1">
        <f t="shared" si="183"/>
        <v>0</v>
      </c>
    </row>
    <row r="5871" spans="24:25" x14ac:dyDescent="0.3">
      <c r="X5871" s="1">
        <f t="shared" si="182"/>
        <v>0</v>
      </c>
      <c r="Y5871" s="1">
        <f t="shared" si="183"/>
        <v>0</v>
      </c>
    </row>
    <row r="5872" spans="24:25" x14ac:dyDescent="0.3">
      <c r="X5872" s="1">
        <f t="shared" si="182"/>
        <v>0</v>
      </c>
      <c r="Y5872" s="1">
        <f t="shared" si="183"/>
        <v>0</v>
      </c>
    </row>
    <row r="5873" spans="24:25" x14ac:dyDescent="0.3">
      <c r="X5873" s="1">
        <f t="shared" si="182"/>
        <v>0</v>
      </c>
      <c r="Y5873" s="1">
        <f t="shared" si="183"/>
        <v>0</v>
      </c>
    </row>
    <row r="5874" spans="24:25" x14ac:dyDescent="0.3">
      <c r="X5874" s="1">
        <f t="shared" si="182"/>
        <v>0</v>
      </c>
      <c r="Y5874" s="1">
        <f t="shared" si="183"/>
        <v>0</v>
      </c>
    </row>
    <row r="5875" spans="24:25" x14ac:dyDescent="0.3">
      <c r="X5875" s="1">
        <f t="shared" si="182"/>
        <v>0</v>
      </c>
      <c r="Y5875" s="1">
        <f t="shared" si="183"/>
        <v>0</v>
      </c>
    </row>
    <row r="5876" spans="24:25" x14ac:dyDescent="0.3">
      <c r="X5876" s="1">
        <f t="shared" si="182"/>
        <v>0</v>
      </c>
      <c r="Y5876" s="1">
        <f t="shared" si="183"/>
        <v>0</v>
      </c>
    </row>
    <row r="5877" spans="24:25" x14ac:dyDescent="0.3">
      <c r="X5877" s="1">
        <f t="shared" si="182"/>
        <v>0</v>
      </c>
      <c r="Y5877" s="1">
        <f t="shared" si="183"/>
        <v>0</v>
      </c>
    </row>
    <row r="5878" spans="24:25" x14ac:dyDescent="0.3">
      <c r="X5878" s="1">
        <f t="shared" si="182"/>
        <v>0</v>
      </c>
      <c r="Y5878" s="1">
        <f t="shared" si="183"/>
        <v>0</v>
      </c>
    </row>
    <row r="5879" spans="24:25" x14ac:dyDescent="0.3">
      <c r="X5879" s="1">
        <f t="shared" si="182"/>
        <v>0</v>
      </c>
      <c r="Y5879" s="1">
        <f t="shared" si="183"/>
        <v>0</v>
      </c>
    </row>
    <row r="5880" spans="24:25" x14ac:dyDescent="0.3">
      <c r="X5880" s="1">
        <f t="shared" si="182"/>
        <v>0</v>
      </c>
      <c r="Y5880" s="1">
        <f t="shared" si="183"/>
        <v>0</v>
      </c>
    </row>
    <row r="5881" spans="24:25" x14ac:dyDescent="0.3">
      <c r="X5881" s="1">
        <f t="shared" si="182"/>
        <v>0</v>
      </c>
      <c r="Y5881" s="1">
        <f t="shared" si="183"/>
        <v>0</v>
      </c>
    </row>
    <row r="5882" spans="24:25" x14ac:dyDescent="0.3">
      <c r="X5882" s="1">
        <f t="shared" si="182"/>
        <v>0</v>
      </c>
      <c r="Y5882" s="1">
        <f t="shared" si="183"/>
        <v>0</v>
      </c>
    </row>
    <row r="5883" spans="24:25" x14ac:dyDescent="0.3">
      <c r="X5883" s="1">
        <f t="shared" si="182"/>
        <v>0</v>
      </c>
      <c r="Y5883" s="1">
        <f t="shared" si="183"/>
        <v>0</v>
      </c>
    </row>
    <row r="5884" spans="24:25" x14ac:dyDescent="0.3">
      <c r="X5884" s="1">
        <f t="shared" si="182"/>
        <v>0</v>
      </c>
      <c r="Y5884" s="1">
        <f t="shared" si="183"/>
        <v>0</v>
      </c>
    </row>
    <row r="5885" spans="24:25" x14ac:dyDescent="0.3">
      <c r="X5885" s="1">
        <f t="shared" si="182"/>
        <v>0</v>
      </c>
      <c r="Y5885" s="1">
        <f t="shared" si="183"/>
        <v>0</v>
      </c>
    </row>
    <row r="5886" spans="24:25" x14ac:dyDescent="0.3">
      <c r="X5886" s="1">
        <f t="shared" si="182"/>
        <v>0</v>
      </c>
      <c r="Y5886" s="1">
        <f t="shared" si="183"/>
        <v>0</v>
      </c>
    </row>
    <row r="5887" spans="24:25" x14ac:dyDescent="0.3">
      <c r="X5887" s="1">
        <f t="shared" si="182"/>
        <v>0</v>
      </c>
      <c r="Y5887" s="1">
        <f t="shared" si="183"/>
        <v>0</v>
      </c>
    </row>
    <row r="5888" spans="24:25" x14ac:dyDescent="0.3">
      <c r="X5888" s="1">
        <f t="shared" si="182"/>
        <v>0</v>
      </c>
      <c r="Y5888" s="1">
        <f t="shared" si="183"/>
        <v>0</v>
      </c>
    </row>
    <row r="5889" spans="24:25" x14ac:dyDescent="0.3">
      <c r="X5889" s="1">
        <f t="shared" si="182"/>
        <v>0</v>
      </c>
      <c r="Y5889" s="1">
        <f t="shared" si="183"/>
        <v>0</v>
      </c>
    </row>
    <row r="5890" spans="24:25" x14ac:dyDescent="0.3">
      <c r="X5890" s="1">
        <f t="shared" si="182"/>
        <v>0</v>
      </c>
      <c r="Y5890" s="1">
        <f t="shared" si="183"/>
        <v>0</v>
      </c>
    </row>
    <row r="5891" spans="24:25" x14ac:dyDescent="0.3">
      <c r="X5891" s="1">
        <f t="shared" ref="X5891:X5954" si="184">IFERROR(MATCH(W5891,$B:$B,0),0)</f>
        <v>0</v>
      </c>
      <c r="Y5891" s="1">
        <f t="shared" ref="Y5891:Y5954" si="185">IF(X5892=0,COUNTA(A:A),X5892-1)</f>
        <v>0</v>
      </c>
    </row>
    <row r="5892" spans="24:25" x14ac:dyDescent="0.3">
      <c r="X5892" s="1">
        <f t="shared" si="184"/>
        <v>0</v>
      </c>
      <c r="Y5892" s="1">
        <f t="shared" si="185"/>
        <v>0</v>
      </c>
    </row>
    <row r="5893" spans="24:25" x14ac:dyDescent="0.3">
      <c r="X5893" s="1">
        <f t="shared" si="184"/>
        <v>0</v>
      </c>
      <c r="Y5893" s="1">
        <f t="shared" si="185"/>
        <v>0</v>
      </c>
    </row>
    <row r="5894" spans="24:25" x14ac:dyDescent="0.3">
      <c r="X5894" s="1">
        <f t="shared" si="184"/>
        <v>0</v>
      </c>
      <c r="Y5894" s="1">
        <f t="shared" si="185"/>
        <v>0</v>
      </c>
    </row>
    <row r="5895" spans="24:25" x14ac:dyDescent="0.3">
      <c r="X5895" s="1">
        <f t="shared" si="184"/>
        <v>0</v>
      </c>
      <c r="Y5895" s="1">
        <f t="shared" si="185"/>
        <v>0</v>
      </c>
    </row>
    <row r="5896" spans="24:25" x14ac:dyDescent="0.3">
      <c r="X5896" s="1">
        <f t="shared" si="184"/>
        <v>0</v>
      </c>
      <c r="Y5896" s="1">
        <f t="shared" si="185"/>
        <v>0</v>
      </c>
    </row>
    <row r="5897" spans="24:25" x14ac:dyDescent="0.3">
      <c r="X5897" s="1">
        <f t="shared" si="184"/>
        <v>0</v>
      </c>
      <c r="Y5897" s="1">
        <f t="shared" si="185"/>
        <v>0</v>
      </c>
    </row>
    <row r="5898" spans="24:25" x14ac:dyDescent="0.3">
      <c r="X5898" s="1">
        <f t="shared" si="184"/>
        <v>0</v>
      </c>
      <c r="Y5898" s="1">
        <f t="shared" si="185"/>
        <v>0</v>
      </c>
    </row>
    <row r="5899" spans="24:25" x14ac:dyDescent="0.3">
      <c r="X5899" s="1">
        <f t="shared" si="184"/>
        <v>0</v>
      </c>
      <c r="Y5899" s="1">
        <f t="shared" si="185"/>
        <v>0</v>
      </c>
    </row>
    <row r="5900" spans="24:25" x14ac:dyDescent="0.3">
      <c r="X5900" s="1">
        <f t="shared" si="184"/>
        <v>0</v>
      </c>
      <c r="Y5900" s="1">
        <f t="shared" si="185"/>
        <v>0</v>
      </c>
    </row>
    <row r="5901" spans="24:25" x14ac:dyDescent="0.3">
      <c r="X5901" s="1">
        <f t="shared" si="184"/>
        <v>0</v>
      </c>
      <c r="Y5901" s="1">
        <f t="shared" si="185"/>
        <v>0</v>
      </c>
    </row>
    <row r="5902" spans="24:25" x14ac:dyDescent="0.3">
      <c r="X5902" s="1">
        <f t="shared" si="184"/>
        <v>0</v>
      </c>
      <c r="Y5902" s="1">
        <f t="shared" si="185"/>
        <v>0</v>
      </c>
    </row>
    <row r="5903" spans="24:25" x14ac:dyDescent="0.3">
      <c r="X5903" s="1">
        <f t="shared" si="184"/>
        <v>0</v>
      </c>
      <c r="Y5903" s="1">
        <f t="shared" si="185"/>
        <v>0</v>
      </c>
    </row>
    <row r="5904" spans="24:25" x14ac:dyDescent="0.3">
      <c r="X5904" s="1">
        <f t="shared" si="184"/>
        <v>0</v>
      </c>
      <c r="Y5904" s="1">
        <f t="shared" si="185"/>
        <v>0</v>
      </c>
    </row>
    <row r="5905" spans="24:25" x14ac:dyDescent="0.3">
      <c r="X5905" s="1">
        <f t="shared" si="184"/>
        <v>0</v>
      </c>
      <c r="Y5905" s="1">
        <f t="shared" si="185"/>
        <v>0</v>
      </c>
    </row>
    <row r="5906" spans="24:25" x14ac:dyDescent="0.3">
      <c r="X5906" s="1">
        <f t="shared" si="184"/>
        <v>0</v>
      </c>
      <c r="Y5906" s="1">
        <f t="shared" si="185"/>
        <v>0</v>
      </c>
    </row>
    <row r="5907" spans="24:25" x14ac:dyDescent="0.3">
      <c r="X5907" s="1">
        <f t="shared" si="184"/>
        <v>0</v>
      </c>
      <c r="Y5907" s="1">
        <f t="shared" si="185"/>
        <v>0</v>
      </c>
    </row>
    <row r="5908" spans="24:25" x14ac:dyDescent="0.3">
      <c r="X5908" s="1">
        <f t="shared" si="184"/>
        <v>0</v>
      </c>
      <c r="Y5908" s="1">
        <f t="shared" si="185"/>
        <v>0</v>
      </c>
    </row>
    <row r="5909" spans="24:25" x14ac:dyDescent="0.3">
      <c r="X5909" s="1">
        <f t="shared" si="184"/>
        <v>0</v>
      </c>
      <c r="Y5909" s="1">
        <f t="shared" si="185"/>
        <v>0</v>
      </c>
    </row>
    <row r="5910" spans="24:25" x14ac:dyDescent="0.3">
      <c r="X5910" s="1">
        <f t="shared" si="184"/>
        <v>0</v>
      </c>
      <c r="Y5910" s="1">
        <f t="shared" si="185"/>
        <v>0</v>
      </c>
    </row>
    <row r="5911" spans="24:25" x14ac:dyDescent="0.3">
      <c r="X5911" s="1">
        <f t="shared" si="184"/>
        <v>0</v>
      </c>
      <c r="Y5911" s="1">
        <f t="shared" si="185"/>
        <v>0</v>
      </c>
    </row>
    <row r="5912" spans="24:25" x14ac:dyDescent="0.3">
      <c r="X5912" s="1">
        <f t="shared" si="184"/>
        <v>0</v>
      </c>
      <c r="Y5912" s="1">
        <f t="shared" si="185"/>
        <v>0</v>
      </c>
    </row>
    <row r="5913" spans="24:25" x14ac:dyDescent="0.3">
      <c r="X5913" s="1">
        <f t="shared" si="184"/>
        <v>0</v>
      </c>
      <c r="Y5913" s="1">
        <f t="shared" si="185"/>
        <v>0</v>
      </c>
    </row>
    <row r="5914" spans="24:25" x14ac:dyDescent="0.3">
      <c r="X5914" s="1">
        <f t="shared" si="184"/>
        <v>0</v>
      </c>
      <c r="Y5914" s="1">
        <f t="shared" si="185"/>
        <v>0</v>
      </c>
    </row>
    <row r="5915" spans="24:25" x14ac:dyDescent="0.3">
      <c r="X5915" s="1">
        <f t="shared" si="184"/>
        <v>0</v>
      </c>
      <c r="Y5915" s="1">
        <f t="shared" si="185"/>
        <v>0</v>
      </c>
    </row>
    <row r="5916" spans="24:25" x14ac:dyDescent="0.3">
      <c r="X5916" s="1">
        <f t="shared" si="184"/>
        <v>0</v>
      </c>
      <c r="Y5916" s="1">
        <f t="shared" si="185"/>
        <v>0</v>
      </c>
    </row>
    <row r="5917" spans="24:25" x14ac:dyDescent="0.3">
      <c r="X5917" s="1">
        <f t="shared" si="184"/>
        <v>0</v>
      </c>
      <c r="Y5917" s="1">
        <f t="shared" si="185"/>
        <v>0</v>
      </c>
    </row>
    <row r="5918" spans="24:25" x14ac:dyDescent="0.3">
      <c r="X5918" s="1">
        <f t="shared" si="184"/>
        <v>0</v>
      </c>
      <c r="Y5918" s="1">
        <f t="shared" si="185"/>
        <v>0</v>
      </c>
    </row>
    <row r="5919" spans="24:25" x14ac:dyDescent="0.3">
      <c r="X5919" s="1">
        <f t="shared" si="184"/>
        <v>0</v>
      </c>
      <c r="Y5919" s="1">
        <f t="shared" si="185"/>
        <v>0</v>
      </c>
    </row>
    <row r="5920" spans="24:25" x14ac:dyDescent="0.3">
      <c r="X5920" s="1">
        <f t="shared" si="184"/>
        <v>0</v>
      </c>
      <c r="Y5920" s="1">
        <f t="shared" si="185"/>
        <v>0</v>
      </c>
    </row>
    <row r="5921" spans="24:25" x14ac:dyDescent="0.3">
      <c r="X5921" s="1">
        <f t="shared" si="184"/>
        <v>0</v>
      </c>
      <c r="Y5921" s="1">
        <f t="shared" si="185"/>
        <v>0</v>
      </c>
    </row>
    <row r="5922" spans="24:25" x14ac:dyDescent="0.3">
      <c r="X5922" s="1">
        <f t="shared" si="184"/>
        <v>0</v>
      </c>
      <c r="Y5922" s="1">
        <f t="shared" si="185"/>
        <v>0</v>
      </c>
    </row>
    <row r="5923" spans="24:25" x14ac:dyDescent="0.3">
      <c r="X5923" s="1">
        <f t="shared" si="184"/>
        <v>0</v>
      </c>
      <c r="Y5923" s="1">
        <f t="shared" si="185"/>
        <v>0</v>
      </c>
    </row>
    <row r="5924" spans="24:25" x14ac:dyDescent="0.3">
      <c r="X5924" s="1">
        <f t="shared" si="184"/>
        <v>0</v>
      </c>
      <c r="Y5924" s="1">
        <f t="shared" si="185"/>
        <v>0</v>
      </c>
    </row>
    <row r="5925" spans="24:25" x14ac:dyDescent="0.3">
      <c r="X5925" s="1">
        <f t="shared" si="184"/>
        <v>0</v>
      </c>
      <c r="Y5925" s="1">
        <f t="shared" si="185"/>
        <v>0</v>
      </c>
    </row>
    <row r="5926" spans="24:25" x14ac:dyDescent="0.3">
      <c r="X5926" s="1">
        <f t="shared" si="184"/>
        <v>0</v>
      </c>
      <c r="Y5926" s="1">
        <f t="shared" si="185"/>
        <v>0</v>
      </c>
    </row>
    <row r="5927" spans="24:25" x14ac:dyDescent="0.3">
      <c r="X5927" s="1">
        <f t="shared" si="184"/>
        <v>0</v>
      </c>
      <c r="Y5927" s="1">
        <f t="shared" si="185"/>
        <v>0</v>
      </c>
    </row>
    <row r="5928" spans="24:25" x14ac:dyDescent="0.3">
      <c r="X5928" s="1">
        <f t="shared" si="184"/>
        <v>0</v>
      </c>
      <c r="Y5928" s="1">
        <f t="shared" si="185"/>
        <v>0</v>
      </c>
    </row>
    <row r="5929" spans="24:25" x14ac:dyDescent="0.3">
      <c r="X5929" s="1">
        <f t="shared" si="184"/>
        <v>0</v>
      </c>
      <c r="Y5929" s="1">
        <f t="shared" si="185"/>
        <v>0</v>
      </c>
    </row>
    <row r="5930" spans="24:25" x14ac:dyDescent="0.3">
      <c r="X5930" s="1">
        <f t="shared" si="184"/>
        <v>0</v>
      </c>
      <c r="Y5930" s="1">
        <f t="shared" si="185"/>
        <v>0</v>
      </c>
    </row>
    <row r="5931" spans="24:25" x14ac:dyDescent="0.3">
      <c r="X5931" s="1">
        <f t="shared" si="184"/>
        <v>0</v>
      </c>
      <c r="Y5931" s="1">
        <f t="shared" si="185"/>
        <v>0</v>
      </c>
    </row>
    <row r="5932" spans="24:25" x14ac:dyDescent="0.3">
      <c r="X5932" s="1">
        <f t="shared" si="184"/>
        <v>0</v>
      </c>
      <c r="Y5932" s="1">
        <f t="shared" si="185"/>
        <v>0</v>
      </c>
    </row>
    <row r="5933" spans="24:25" x14ac:dyDescent="0.3">
      <c r="X5933" s="1">
        <f t="shared" si="184"/>
        <v>0</v>
      </c>
      <c r="Y5933" s="1">
        <f t="shared" si="185"/>
        <v>0</v>
      </c>
    </row>
    <row r="5934" spans="24:25" x14ac:dyDescent="0.3">
      <c r="X5934" s="1">
        <f t="shared" si="184"/>
        <v>0</v>
      </c>
      <c r="Y5934" s="1">
        <f t="shared" si="185"/>
        <v>0</v>
      </c>
    </row>
    <row r="5935" spans="24:25" x14ac:dyDescent="0.3">
      <c r="X5935" s="1">
        <f t="shared" si="184"/>
        <v>0</v>
      </c>
      <c r="Y5935" s="1">
        <f t="shared" si="185"/>
        <v>0</v>
      </c>
    </row>
    <row r="5936" spans="24:25" x14ac:dyDescent="0.3">
      <c r="X5936" s="1">
        <f t="shared" si="184"/>
        <v>0</v>
      </c>
      <c r="Y5936" s="1">
        <f t="shared" si="185"/>
        <v>0</v>
      </c>
    </row>
    <row r="5937" spans="24:25" x14ac:dyDescent="0.3">
      <c r="X5937" s="1">
        <f t="shared" si="184"/>
        <v>0</v>
      </c>
      <c r="Y5937" s="1">
        <f t="shared" si="185"/>
        <v>0</v>
      </c>
    </row>
    <row r="5938" spans="24:25" x14ac:dyDescent="0.3">
      <c r="X5938" s="1">
        <f t="shared" si="184"/>
        <v>0</v>
      </c>
      <c r="Y5938" s="1">
        <f t="shared" si="185"/>
        <v>0</v>
      </c>
    </row>
    <row r="5939" spans="24:25" x14ac:dyDescent="0.3">
      <c r="X5939" s="1">
        <f t="shared" si="184"/>
        <v>0</v>
      </c>
      <c r="Y5939" s="1">
        <f t="shared" si="185"/>
        <v>0</v>
      </c>
    </row>
    <row r="5940" spans="24:25" x14ac:dyDescent="0.3">
      <c r="X5940" s="1">
        <f t="shared" si="184"/>
        <v>0</v>
      </c>
      <c r="Y5940" s="1">
        <f t="shared" si="185"/>
        <v>0</v>
      </c>
    </row>
    <row r="5941" spans="24:25" x14ac:dyDescent="0.3">
      <c r="X5941" s="1">
        <f t="shared" si="184"/>
        <v>0</v>
      </c>
      <c r="Y5941" s="1">
        <f t="shared" si="185"/>
        <v>0</v>
      </c>
    </row>
    <row r="5942" spans="24:25" x14ac:dyDescent="0.3">
      <c r="X5942" s="1">
        <f t="shared" si="184"/>
        <v>0</v>
      </c>
      <c r="Y5942" s="1">
        <f t="shared" si="185"/>
        <v>0</v>
      </c>
    </row>
    <row r="5943" spans="24:25" x14ac:dyDescent="0.3">
      <c r="X5943" s="1">
        <f t="shared" si="184"/>
        <v>0</v>
      </c>
      <c r="Y5943" s="1">
        <f t="shared" si="185"/>
        <v>0</v>
      </c>
    </row>
    <row r="5944" spans="24:25" x14ac:dyDescent="0.3">
      <c r="X5944" s="1">
        <f t="shared" si="184"/>
        <v>0</v>
      </c>
      <c r="Y5944" s="1">
        <f t="shared" si="185"/>
        <v>0</v>
      </c>
    </row>
    <row r="5945" spans="24:25" x14ac:dyDescent="0.3">
      <c r="X5945" s="1">
        <f t="shared" si="184"/>
        <v>0</v>
      </c>
      <c r="Y5945" s="1">
        <f t="shared" si="185"/>
        <v>0</v>
      </c>
    </row>
    <row r="5946" spans="24:25" x14ac:dyDescent="0.3">
      <c r="X5946" s="1">
        <f t="shared" si="184"/>
        <v>0</v>
      </c>
      <c r="Y5946" s="1">
        <f t="shared" si="185"/>
        <v>0</v>
      </c>
    </row>
    <row r="5947" spans="24:25" x14ac:dyDescent="0.3">
      <c r="X5947" s="1">
        <f t="shared" si="184"/>
        <v>0</v>
      </c>
      <c r="Y5947" s="1">
        <f t="shared" si="185"/>
        <v>0</v>
      </c>
    </row>
    <row r="5948" spans="24:25" x14ac:dyDescent="0.3">
      <c r="X5948" s="1">
        <f t="shared" si="184"/>
        <v>0</v>
      </c>
      <c r="Y5948" s="1">
        <f t="shared" si="185"/>
        <v>0</v>
      </c>
    </row>
    <row r="5949" spans="24:25" x14ac:dyDescent="0.3">
      <c r="X5949" s="1">
        <f t="shared" si="184"/>
        <v>0</v>
      </c>
      <c r="Y5949" s="1">
        <f t="shared" si="185"/>
        <v>0</v>
      </c>
    </row>
    <row r="5950" spans="24:25" x14ac:dyDescent="0.3">
      <c r="X5950" s="1">
        <f t="shared" si="184"/>
        <v>0</v>
      </c>
      <c r="Y5950" s="1">
        <f t="shared" si="185"/>
        <v>0</v>
      </c>
    </row>
    <row r="5951" spans="24:25" x14ac:dyDescent="0.3">
      <c r="X5951" s="1">
        <f t="shared" si="184"/>
        <v>0</v>
      </c>
      <c r="Y5951" s="1">
        <f t="shared" si="185"/>
        <v>0</v>
      </c>
    </row>
    <row r="5952" spans="24:25" x14ac:dyDescent="0.3">
      <c r="X5952" s="1">
        <f t="shared" si="184"/>
        <v>0</v>
      </c>
      <c r="Y5952" s="1">
        <f t="shared" si="185"/>
        <v>0</v>
      </c>
    </row>
    <row r="5953" spans="24:25" x14ac:dyDescent="0.3">
      <c r="X5953" s="1">
        <f t="shared" si="184"/>
        <v>0</v>
      </c>
      <c r="Y5953" s="1">
        <f t="shared" si="185"/>
        <v>0</v>
      </c>
    </row>
    <row r="5954" spans="24:25" x14ac:dyDescent="0.3">
      <c r="X5954" s="1">
        <f t="shared" si="184"/>
        <v>0</v>
      </c>
      <c r="Y5954" s="1">
        <f t="shared" si="185"/>
        <v>0</v>
      </c>
    </row>
    <row r="5955" spans="24:25" x14ac:dyDescent="0.3">
      <c r="X5955" s="1">
        <f t="shared" ref="X5955:X6018" si="186">IFERROR(MATCH(W5955,$B:$B,0),0)</f>
        <v>0</v>
      </c>
      <c r="Y5955" s="1">
        <f t="shared" ref="Y5955:Y6018" si="187">IF(X5956=0,COUNTA(A:A),X5956-1)</f>
        <v>0</v>
      </c>
    </row>
    <row r="5956" spans="24:25" x14ac:dyDescent="0.3">
      <c r="X5956" s="1">
        <f t="shared" si="186"/>
        <v>0</v>
      </c>
      <c r="Y5956" s="1">
        <f t="shared" si="187"/>
        <v>0</v>
      </c>
    </row>
    <row r="5957" spans="24:25" x14ac:dyDescent="0.3">
      <c r="X5957" s="1">
        <f t="shared" si="186"/>
        <v>0</v>
      </c>
      <c r="Y5957" s="1">
        <f t="shared" si="187"/>
        <v>0</v>
      </c>
    </row>
    <row r="5958" spans="24:25" x14ac:dyDescent="0.3">
      <c r="X5958" s="1">
        <f t="shared" si="186"/>
        <v>0</v>
      </c>
      <c r="Y5958" s="1">
        <f t="shared" si="187"/>
        <v>0</v>
      </c>
    </row>
    <row r="5959" spans="24:25" x14ac:dyDescent="0.3">
      <c r="X5959" s="1">
        <f t="shared" si="186"/>
        <v>0</v>
      </c>
      <c r="Y5959" s="1">
        <f t="shared" si="187"/>
        <v>0</v>
      </c>
    </row>
    <row r="5960" spans="24:25" x14ac:dyDescent="0.3">
      <c r="X5960" s="1">
        <f t="shared" si="186"/>
        <v>0</v>
      </c>
      <c r="Y5960" s="1">
        <f t="shared" si="187"/>
        <v>0</v>
      </c>
    </row>
    <row r="5961" spans="24:25" x14ac:dyDescent="0.3">
      <c r="X5961" s="1">
        <f t="shared" si="186"/>
        <v>0</v>
      </c>
      <c r="Y5961" s="1">
        <f t="shared" si="187"/>
        <v>0</v>
      </c>
    </row>
    <row r="5962" spans="24:25" x14ac:dyDescent="0.3">
      <c r="X5962" s="1">
        <f t="shared" si="186"/>
        <v>0</v>
      </c>
      <c r="Y5962" s="1">
        <f t="shared" si="187"/>
        <v>0</v>
      </c>
    </row>
    <row r="5963" spans="24:25" x14ac:dyDescent="0.3">
      <c r="X5963" s="1">
        <f t="shared" si="186"/>
        <v>0</v>
      </c>
      <c r="Y5963" s="1">
        <f t="shared" si="187"/>
        <v>0</v>
      </c>
    </row>
    <row r="5964" spans="24:25" x14ac:dyDescent="0.3">
      <c r="X5964" s="1">
        <f t="shared" si="186"/>
        <v>0</v>
      </c>
      <c r="Y5964" s="1">
        <f t="shared" si="187"/>
        <v>0</v>
      </c>
    </row>
    <row r="5965" spans="24:25" x14ac:dyDescent="0.3">
      <c r="X5965" s="1">
        <f t="shared" si="186"/>
        <v>0</v>
      </c>
      <c r="Y5965" s="1">
        <f t="shared" si="187"/>
        <v>0</v>
      </c>
    </row>
    <row r="5966" spans="24:25" x14ac:dyDescent="0.3">
      <c r="X5966" s="1">
        <f t="shared" si="186"/>
        <v>0</v>
      </c>
      <c r="Y5966" s="1">
        <f t="shared" si="187"/>
        <v>0</v>
      </c>
    </row>
    <row r="5967" spans="24:25" x14ac:dyDescent="0.3">
      <c r="X5967" s="1">
        <f t="shared" si="186"/>
        <v>0</v>
      </c>
      <c r="Y5967" s="1">
        <f t="shared" si="187"/>
        <v>0</v>
      </c>
    </row>
    <row r="5968" spans="24:25" x14ac:dyDescent="0.3">
      <c r="X5968" s="1">
        <f t="shared" si="186"/>
        <v>0</v>
      </c>
      <c r="Y5968" s="1">
        <f t="shared" si="187"/>
        <v>0</v>
      </c>
    </row>
    <row r="5969" spans="24:25" x14ac:dyDescent="0.3">
      <c r="X5969" s="1">
        <f t="shared" si="186"/>
        <v>0</v>
      </c>
      <c r="Y5969" s="1">
        <f t="shared" si="187"/>
        <v>0</v>
      </c>
    </row>
    <row r="5970" spans="24:25" x14ac:dyDescent="0.3">
      <c r="X5970" s="1">
        <f t="shared" si="186"/>
        <v>0</v>
      </c>
      <c r="Y5970" s="1">
        <f t="shared" si="187"/>
        <v>0</v>
      </c>
    </row>
    <row r="5971" spans="24:25" x14ac:dyDescent="0.3">
      <c r="X5971" s="1">
        <f t="shared" si="186"/>
        <v>0</v>
      </c>
      <c r="Y5971" s="1">
        <f t="shared" si="187"/>
        <v>0</v>
      </c>
    </row>
    <row r="5972" spans="24:25" x14ac:dyDescent="0.3">
      <c r="X5972" s="1">
        <f t="shared" si="186"/>
        <v>0</v>
      </c>
      <c r="Y5972" s="1">
        <f t="shared" si="187"/>
        <v>0</v>
      </c>
    </row>
    <row r="5973" spans="24:25" x14ac:dyDescent="0.3">
      <c r="X5973" s="1">
        <f t="shared" si="186"/>
        <v>0</v>
      </c>
      <c r="Y5973" s="1">
        <f t="shared" si="187"/>
        <v>0</v>
      </c>
    </row>
    <row r="5974" spans="24:25" x14ac:dyDescent="0.3">
      <c r="X5974" s="1">
        <f t="shared" si="186"/>
        <v>0</v>
      </c>
      <c r="Y5974" s="1">
        <f t="shared" si="187"/>
        <v>0</v>
      </c>
    </row>
    <row r="5975" spans="24:25" x14ac:dyDescent="0.3">
      <c r="X5975" s="1">
        <f t="shared" si="186"/>
        <v>0</v>
      </c>
      <c r="Y5975" s="1">
        <f t="shared" si="187"/>
        <v>0</v>
      </c>
    </row>
    <row r="5976" spans="24:25" x14ac:dyDescent="0.3">
      <c r="X5976" s="1">
        <f t="shared" si="186"/>
        <v>0</v>
      </c>
      <c r="Y5976" s="1">
        <f t="shared" si="187"/>
        <v>0</v>
      </c>
    </row>
    <row r="5977" spans="24:25" x14ac:dyDescent="0.3">
      <c r="X5977" s="1">
        <f t="shared" si="186"/>
        <v>0</v>
      </c>
      <c r="Y5977" s="1">
        <f t="shared" si="187"/>
        <v>0</v>
      </c>
    </row>
    <row r="5978" spans="24:25" x14ac:dyDescent="0.3">
      <c r="X5978" s="1">
        <f t="shared" si="186"/>
        <v>0</v>
      </c>
      <c r="Y5978" s="1">
        <f t="shared" si="187"/>
        <v>0</v>
      </c>
    </row>
    <row r="5979" spans="24:25" x14ac:dyDescent="0.3">
      <c r="X5979" s="1">
        <f t="shared" si="186"/>
        <v>0</v>
      </c>
      <c r="Y5979" s="1">
        <f t="shared" si="187"/>
        <v>0</v>
      </c>
    </row>
    <row r="5980" spans="24:25" x14ac:dyDescent="0.3">
      <c r="X5980" s="1">
        <f t="shared" si="186"/>
        <v>0</v>
      </c>
      <c r="Y5980" s="1">
        <f t="shared" si="187"/>
        <v>0</v>
      </c>
    </row>
    <row r="5981" spans="24:25" x14ac:dyDescent="0.3">
      <c r="X5981" s="1">
        <f t="shared" si="186"/>
        <v>0</v>
      </c>
      <c r="Y5981" s="1">
        <f t="shared" si="187"/>
        <v>0</v>
      </c>
    </row>
    <row r="5982" spans="24:25" x14ac:dyDescent="0.3">
      <c r="X5982" s="1">
        <f t="shared" si="186"/>
        <v>0</v>
      </c>
      <c r="Y5982" s="1">
        <f t="shared" si="187"/>
        <v>0</v>
      </c>
    </row>
    <row r="5983" spans="24:25" x14ac:dyDescent="0.3">
      <c r="X5983" s="1">
        <f t="shared" si="186"/>
        <v>0</v>
      </c>
      <c r="Y5983" s="1">
        <f t="shared" si="187"/>
        <v>0</v>
      </c>
    </row>
    <row r="5984" spans="24:25" x14ac:dyDescent="0.3">
      <c r="X5984" s="1">
        <f t="shared" si="186"/>
        <v>0</v>
      </c>
      <c r="Y5984" s="1">
        <f t="shared" si="187"/>
        <v>0</v>
      </c>
    </row>
    <row r="5985" spans="24:25" x14ac:dyDescent="0.3">
      <c r="X5985" s="1">
        <f t="shared" si="186"/>
        <v>0</v>
      </c>
      <c r="Y5985" s="1">
        <f t="shared" si="187"/>
        <v>0</v>
      </c>
    </row>
    <row r="5986" spans="24:25" x14ac:dyDescent="0.3">
      <c r="X5986" s="1">
        <f t="shared" si="186"/>
        <v>0</v>
      </c>
      <c r="Y5986" s="1">
        <f t="shared" si="187"/>
        <v>0</v>
      </c>
    </row>
    <row r="5987" spans="24:25" x14ac:dyDescent="0.3">
      <c r="X5987" s="1">
        <f t="shared" si="186"/>
        <v>0</v>
      </c>
      <c r="Y5987" s="1">
        <f t="shared" si="187"/>
        <v>0</v>
      </c>
    </row>
    <row r="5988" spans="24:25" x14ac:dyDescent="0.3">
      <c r="X5988" s="1">
        <f t="shared" si="186"/>
        <v>0</v>
      </c>
      <c r="Y5988" s="1">
        <f t="shared" si="187"/>
        <v>0</v>
      </c>
    </row>
    <row r="5989" spans="24:25" x14ac:dyDescent="0.3">
      <c r="X5989" s="1">
        <f t="shared" si="186"/>
        <v>0</v>
      </c>
      <c r="Y5989" s="1">
        <f t="shared" si="187"/>
        <v>0</v>
      </c>
    </row>
    <row r="5990" spans="24:25" x14ac:dyDescent="0.3">
      <c r="X5990" s="1">
        <f t="shared" si="186"/>
        <v>0</v>
      </c>
      <c r="Y5990" s="1">
        <f t="shared" si="187"/>
        <v>0</v>
      </c>
    </row>
    <row r="5991" spans="24:25" x14ac:dyDescent="0.3">
      <c r="X5991" s="1">
        <f t="shared" si="186"/>
        <v>0</v>
      </c>
      <c r="Y5991" s="1">
        <f t="shared" si="187"/>
        <v>0</v>
      </c>
    </row>
    <row r="5992" spans="24:25" x14ac:dyDescent="0.3">
      <c r="X5992" s="1">
        <f t="shared" si="186"/>
        <v>0</v>
      </c>
      <c r="Y5992" s="1">
        <f t="shared" si="187"/>
        <v>0</v>
      </c>
    </row>
    <row r="5993" spans="24:25" x14ac:dyDescent="0.3">
      <c r="X5993" s="1">
        <f t="shared" si="186"/>
        <v>0</v>
      </c>
      <c r="Y5993" s="1">
        <f t="shared" si="187"/>
        <v>0</v>
      </c>
    </row>
    <row r="5994" spans="24:25" x14ac:dyDescent="0.3">
      <c r="X5994" s="1">
        <f t="shared" si="186"/>
        <v>0</v>
      </c>
      <c r="Y5994" s="1">
        <f t="shared" si="187"/>
        <v>0</v>
      </c>
    </row>
    <row r="5995" spans="24:25" x14ac:dyDescent="0.3">
      <c r="X5995" s="1">
        <f t="shared" si="186"/>
        <v>0</v>
      </c>
      <c r="Y5995" s="1">
        <f t="shared" si="187"/>
        <v>0</v>
      </c>
    </row>
    <row r="5996" spans="24:25" x14ac:dyDescent="0.3">
      <c r="X5996" s="1">
        <f t="shared" si="186"/>
        <v>0</v>
      </c>
      <c r="Y5996" s="1">
        <f t="shared" si="187"/>
        <v>0</v>
      </c>
    </row>
    <row r="5997" spans="24:25" x14ac:dyDescent="0.3">
      <c r="X5997" s="1">
        <f t="shared" si="186"/>
        <v>0</v>
      </c>
      <c r="Y5997" s="1">
        <f t="shared" si="187"/>
        <v>0</v>
      </c>
    </row>
    <row r="5998" spans="24:25" x14ac:dyDescent="0.3">
      <c r="X5998" s="1">
        <f t="shared" si="186"/>
        <v>0</v>
      </c>
      <c r="Y5998" s="1">
        <f t="shared" si="187"/>
        <v>0</v>
      </c>
    </row>
    <row r="5999" spans="24:25" x14ac:dyDescent="0.3">
      <c r="X5999" s="1">
        <f t="shared" si="186"/>
        <v>0</v>
      </c>
      <c r="Y5999" s="1">
        <f t="shared" si="187"/>
        <v>0</v>
      </c>
    </row>
    <row r="6000" spans="24:25" x14ac:dyDescent="0.3">
      <c r="X6000" s="1">
        <f t="shared" si="186"/>
        <v>0</v>
      </c>
      <c r="Y6000" s="1">
        <f t="shared" si="187"/>
        <v>0</v>
      </c>
    </row>
    <row r="6001" spans="24:25" x14ac:dyDescent="0.3">
      <c r="X6001" s="1">
        <f t="shared" si="186"/>
        <v>0</v>
      </c>
      <c r="Y6001" s="1">
        <f t="shared" si="187"/>
        <v>0</v>
      </c>
    </row>
    <row r="6002" spans="24:25" x14ac:dyDescent="0.3">
      <c r="X6002" s="1">
        <f t="shared" si="186"/>
        <v>0</v>
      </c>
      <c r="Y6002" s="1">
        <f t="shared" si="187"/>
        <v>0</v>
      </c>
    </row>
    <row r="6003" spans="24:25" x14ac:dyDescent="0.3">
      <c r="X6003" s="1">
        <f t="shared" si="186"/>
        <v>0</v>
      </c>
      <c r="Y6003" s="1">
        <f t="shared" si="187"/>
        <v>0</v>
      </c>
    </row>
    <row r="6004" spans="24:25" x14ac:dyDescent="0.3">
      <c r="X6004" s="1">
        <f t="shared" si="186"/>
        <v>0</v>
      </c>
      <c r="Y6004" s="1">
        <f t="shared" si="187"/>
        <v>0</v>
      </c>
    </row>
    <row r="6005" spans="24:25" x14ac:dyDescent="0.3">
      <c r="X6005" s="1">
        <f t="shared" si="186"/>
        <v>0</v>
      </c>
      <c r="Y6005" s="1">
        <f t="shared" si="187"/>
        <v>0</v>
      </c>
    </row>
    <row r="6006" spans="24:25" x14ac:dyDescent="0.3">
      <c r="X6006" s="1">
        <f t="shared" si="186"/>
        <v>0</v>
      </c>
      <c r="Y6006" s="1">
        <f t="shared" si="187"/>
        <v>0</v>
      </c>
    </row>
    <row r="6007" spans="24:25" x14ac:dyDescent="0.3">
      <c r="X6007" s="1">
        <f t="shared" si="186"/>
        <v>0</v>
      </c>
      <c r="Y6007" s="1">
        <f t="shared" si="187"/>
        <v>0</v>
      </c>
    </row>
    <row r="6008" spans="24:25" x14ac:dyDescent="0.3">
      <c r="X6008" s="1">
        <f t="shared" si="186"/>
        <v>0</v>
      </c>
      <c r="Y6008" s="1">
        <f t="shared" si="187"/>
        <v>0</v>
      </c>
    </row>
    <row r="6009" spans="24:25" x14ac:dyDescent="0.3">
      <c r="X6009" s="1">
        <f t="shared" si="186"/>
        <v>0</v>
      </c>
      <c r="Y6009" s="1">
        <f t="shared" si="187"/>
        <v>0</v>
      </c>
    </row>
    <row r="6010" spans="24:25" x14ac:dyDescent="0.3">
      <c r="X6010" s="1">
        <f t="shared" si="186"/>
        <v>0</v>
      </c>
      <c r="Y6010" s="1">
        <f t="shared" si="187"/>
        <v>0</v>
      </c>
    </row>
    <row r="6011" spans="24:25" x14ac:dyDescent="0.3">
      <c r="X6011" s="1">
        <f t="shared" si="186"/>
        <v>0</v>
      </c>
      <c r="Y6011" s="1">
        <f t="shared" si="187"/>
        <v>0</v>
      </c>
    </row>
    <row r="6012" spans="24:25" x14ac:dyDescent="0.3">
      <c r="X6012" s="1">
        <f t="shared" si="186"/>
        <v>0</v>
      </c>
      <c r="Y6012" s="1">
        <f t="shared" si="187"/>
        <v>0</v>
      </c>
    </row>
    <row r="6013" spans="24:25" x14ac:dyDescent="0.3">
      <c r="X6013" s="1">
        <f t="shared" si="186"/>
        <v>0</v>
      </c>
      <c r="Y6013" s="1">
        <f t="shared" si="187"/>
        <v>0</v>
      </c>
    </row>
    <row r="6014" spans="24:25" x14ac:dyDescent="0.3">
      <c r="X6014" s="1">
        <f t="shared" si="186"/>
        <v>0</v>
      </c>
      <c r="Y6014" s="1">
        <f t="shared" si="187"/>
        <v>0</v>
      </c>
    </row>
    <row r="6015" spans="24:25" x14ac:dyDescent="0.3">
      <c r="X6015" s="1">
        <f t="shared" si="186"/>
        <v>0</v>
      </c>
      <c r="Y6015" s="1">
        <f t="shared" si="187"/>
        <v>0</v>
      </c>
    </row>
    <row r="6016" spans="24:25" x14ac:dyDescent="0.3">
      <c r="X6016" s="1">
        <f t="shared" si="186"/>
        <v>0</v>
      </c>
      <c r="Y6016" s="1">
        <f t="shared" si="187"/>
        <v>0</v>
      </c>
    </row>
    <row r="6017" spans="24:25" x14ac:dyDescent="0.3">
      <c r="X6017" s="1">
        <f t="shared" si="186"/>
        <v>0</v>
      </c>
      <c r="Y6017" s="1">
        <f t="shared" si="187"/>
        <v>0</v>
      </c>
    </row>
    <row r="6018" spans="24:25" x14ac:dyDescent="0.3">
      <c r="X6018" s="1">
        <f t="shared" si="186"/>
        <v>0</v>
      </c>
      <c r="Y6018" s="1">
        <f t="shared" si="187"/>
        <v>0</v>
      </c>
    </row>
    <row r="6019" spans="24:25" x14ac:dyDescent="0.3">
      <c r="X6019" s="1">
        <f t="shared" ref="X6019:X6082" si="188">IFERROR(MATCH(W6019,$B:$B,0),0)</f>
        <v>0</v>
      </c>
      <c r="Y6019" s="1">
        <f t="shared" ref="Y6019:Y6082" si="189">IF(X6020=0,COUNTA(A:A),X6020-1)</f>
        <v>0</v>
      </c>
    </row>
    <row r="6020" spans="24:25" x14ac:dyDescent="0.3">
      <c r="X6020" s="1">
        <f t="shared" si="188"/>
        <v>0</v>
      </c>
      <c r="Y6020" s="1">
        <f t="shared" si="189"/>
        <v>0</v>
      </c>
    </row>
    <row r="6021" spans="24:25" x14ac:dyDescent="0.3">
      <c r="X6021" s="1">
        <f t="shared" si="188"/>
        <v>0</v>
      </c>
      <c r="Y6021" s="1">
        <f t="shared" si="189"/>
        <v>0</v>
      </c>
    </row>
    <row r="6022" spans="24:25" x14ac:dyDescent="0.3">
      <c r="X6022" s="1">
        <f t="shared" si="188"/>
        <v>0</v>
      </c>
      <c r="Y6022" s="1">
        <f t="shared" si="189"/>
        <v>0</v>
      </c>
    </row>
    <row r="6023" spans="24:25" x14ac:dyDescent="0.3">
      <c r="X6023" s="1">
        <f t="shared" si="188"/>
        <v>0</v>
      </c>
      <c r="Y6023" s="1">
        <f t="shared" si="189"/>
        <v>0</v>
      </c>
    </row>
    <row r="6024" spans="24:25" x14ac:dyDescent="0.3">
      <c r="X6024" s="1">
        <f t="shared" si="188"/>
        <v>0</v>
      </c>
      <c r="Y6024" s="1">
        <f t="shared" si="189"/>
        <v>0</v>
      </c>
    </row>
    <row r="6025" spans="24:25" x14ac:dyDescent="0.3">
      <c r="X6025" s="1">
        <f t="shared" si="188"/>
        <v>0</v>
      </c>
      <c r="Y6025" s="1">
        <f t="shared" si="189"/>
        <v>0</v>
      </c>
    </row>
    <row r="6026" spans="24:25" x14ac:dyDescent="0.3">
      <c r="X6026" s="1">
        <f t="shared" si="188"/>
        <v>0</v>
      </c>
      <c r="Y6026" s="1">
        <f t="shared" si="189"/>
        <v>0</v>
      </c>
    </row>
    <row r="6027" spans="24:25" x14ac:dyDescent="0.3">
      <c r="X6027" s="1">
        <f t="shared" si="188"/>
        <v>0</v>
      </c>
      <c r="Y6027" s="1">
        <f t="shared" si="189"/>
        <v>0</v>
      </c>
    </row>
    <row r="6028" spans="24:25" x14ac:dyDescent="0.3">
      <c r="X6028" s="1">
        <f t="shared" si="188"/>
        <v>0</v>
      </c>
      <c r="Y6028" s="1">
        <f t="shared" si="189"/>
        <v>0</v>
      </c>
    </row>
    <row r="6029" spans="24:25" x14ac:dyDescent="0.3">
      <c r="X6029" s="1">
        <f t="shared" si="188"/>
        <v>0</v>
      </c>
      <c r="Y6029" s="1">
        <f t="shared" si="189"/>
        <v>0</v>
      </c>
    </row>
    <row r="6030" spans="24:25" x14ac:dyDescent="0.3">
      <c r="X6030" s="1">
        <f t="shared" si="188"/>
        <v>0</v>
      </c>
      <c r="Y6030" s="1">
        <f t="shared" si="189"/>
        <v>0</v>
      </c>
    </row>
    <row r="6031" spans="24:25" x14ac:dyDescent="0.3">
      <c r="X6031" s="1">
        <f t="shared" si="188"/>
        <v>0</v>
      </c>
      <c r="Y6031" s="1">
        <f t="shared" si="189"/>
        <v>0</v>
      </c>
    </row>
    <row r="6032" spans="24:25" x14ac:dyDescent="0.3">
      <c r="X6032" s="1">
        <f t="shared" si="188"/>
        <v>0</v>
      </c>
      <c r="Y6032" s="1">
        <f t="shared" si="189"/>
        <v>0</v>
      </c>
    </row>
    <row r="6033" spans="24:25" x14ac:dyDescent="0.3">
      <c r="X6033" s="1">
        <f t="shared" si="188"/>
        <v>0</v>
      </c>
      <c r="Y6033" s="1">
        <f t="shared" si="189"/>
        <v>0</v>
      </c>
    </row>
    <row r="6034" spans="24:25" x14ac:dyDescent="0.3">
      <c r="X6034" s="1">
        <f t="shared" si="188"/>
        <v>0</v>
      </c>
      <c r="Y6034" s="1">
        <f t="shared" si="189"/>
        <v>0</v>
      </c>
    </row>
    <row r="6035" spans="24:25" x14ac:dyDescent="0.3">
      <c r="X6035" s="1">
        <f t="shared" si="188"/>
        <v>0</v>
      </c>
      <c r="Y6035" s="1">
        <f t="shared" si="189"/>
        <v>0</v>
      </c>
    </row>
    <row r="6036" spans="24:25" x14ac:dyDescent="0.3">
      <c r="X6036" s="1">
        <f t="shared" si="188"/>
        <v>0</v>
      </c>
      <c r="Y6036" s="1">
        <f t="shared" si="189"/>
        <v>0</v>
      </c>
    </row>
    <row r="6037" spans="24:25" x14ac:dyDescent="0.3">
      <c r="X6037" s="1">
        <f t="shared" si="188"/>
        <v>0</v>
      </c>
      <c r="Y6037" s="1">
        <f t="shared" si="189"/>
        <v>0</v>
      </c>
    </row>
    <row r="6038" spans="24:25" x14ac:dyDescent="0.3">
      <c r="X6038" s="1">
        <f t="shared" si="188"/>
        <v>0</v>
      </c>
      <c r="Y6038" s="1">
        <f t="shared" si="189"/>
        <v>0</v>
      </c>
    </row>
    <row r="6039" spans="24:25" x14ac:dyDescent="0.3">
      <c r="X6039" s="1">
        <f t="shared" si="188"/>
        <v>0</v>
      </c>
      <c r="Y6039" s="1">
        <f t="shared" si="189"/>
        <v>0</v>
      </c>
    </row>
    <row r="6040" spans="24:25" x14ac:dyDescent="0.3">
      <c r="X6040" s="1">
        <f t="shared" si="188"/>
        <v>0</v>
      </c>
      <c r="Y6040" s="1">
        <f t="shared" si="189"/>
        <v>0</v>
      </c>
    </row>
    <row r="6041" spans="24:25" x14ac:dyDescent="0.3">
      <c r="X6041" s="1">
        <f t="shared" si="188"/>
        <v>0</v>
      </c>
      <c r="Y6041" s="1">
        <f t="shared" si="189"/>
        <v>0</v>
      </c>
    </row>
    <row r="6042" spans="24:25" x14ac:dyDescent="0.3">
      <c r="X6042" s="1">
        <f t="shared" si="188"/>
        <v>0</v>
      </c>
      <c r="Y6042" s="1">
        <f t="shared" si="189"/>
        <v>0</v>
      </c>
    </row>
    <row r="6043" spans="24:25" x14ac:dyDescent="0.3">
      <c r="X6043" s="1">
        <f t="shared" si="188"/>
        <v>0</v>
      </c>
      <c r="Y6043" s="1">
        <f t="shared" si="189"/>
        <v>0</v>
      </c>
    </row>
    <row r="6044" spans="24:25" x14ac:dyDescent="0.3">
      <c r="X6044" s="1">
        <f t="shared" si="188"/>
        <v>0</v>
      </c>
      <c r="Y6044" s="1">
        <f t="shared" si="189"/>
        <v>0</v>
      </c>
    </row>
    <row r="6045" spans="24:25" x14ac:dyDescent="0.3">
      <c r="X6045" s="1">
        <f t="shared" si="188"/>
        <v>0</v>
      </c>
      <c r="Y6045" s="1">
        <f t="shared" si="189"/>
        <v>0</v>
      </c>
    </row>
    <row r="6046" spans="24:25" x14ac:dyDescent="0.3">
      <c r="X6046" s="1">
        <f t="shared" si="188"/>
        <v>0</v>
      </c>
      <c r="Y6046" s="1">
        <f t="shared" si="189"/>
        <v>0</v>
      </c>
    </row>
    <row r="6047" spans="24:25" x14ac:dyDescent="0.3">
      <c r="X6047" s="1">
        <f t="shared" si="188"/>
        <v>0</v>
      </c>
      <c r="Y6047" s="1">
        <f t="shared" si="189"/>
        <v>0</v>
      </c>
    </row>
    <row r="6048" spans="24:25" x14ac:dyDescent="0.3">
      <c r="X6048" s="1">
        <f t="shared" si="188"/>
        <v>0</v>
      </c>
      <c r="Y6048" s="1">
        <f t="shared" si="189"/>
        <v>0</v>
      </c>
    </row>
    <row r="6049" spans="24:25" x14ac:dyDescent="0.3">
      <c r="X6049" s="1">
        <f t="shared" si="188"/>
        <v>0</v>
      </c>
      <c r="Y6049" s="1">
        <f t="shared" si="189"/>
        <v>0</v>
      </c>
    </row>
    <row r="6050" spans="24:25" x14ac:dyDescent="0.3">
      <c r="X6050" s="1">
        <f t="shared" si="188"/>
        <v>0</v>
      </c>
      <c r="Y6050" s="1">
        <f t="shared" si="189"/>
        <v>0</v>
      </c>
    </row>
    <row r="6051" spans="24:25" x14ac:dyDescent="0.3">
      <c r="X6051" s="1">
        <f t="shared" si="188"/>
        <v>0</v>
      </c>
      <c r="Y6051" s="1">
        <f t="shared" si="189"/>
        <v>0</v>
      </c>
    </row>
    <row r="6052" spans="24:25" x14ac:dyDescent="0.3">
      <c r="X6052" s="1">
        <f t="shared" si="188"/>
        <v>0</v>
      </c>
      <c r="Y6052" s="1">
        <f t="shared" si="189"/>
        <v>0</v>
      </c>
    </row>
    <row r="6053" spans="24:25" x14ac:dyDescent="0.3">
      <c r="X6053" s="1">
        <f t="shared" si="188"/>
        <v>0</v>
      </c>
      <c r="Y6053" s="1">
        <f t="shared" si="189"/>
        <v>0</v>
      </c>
    </row>
    <row r="6054" spans="24:25" x14ac:dyDescent="0.3">
      <c r="X6054" s="1">
        <f t="shared" si="188"/>
        <v>0</v>
      </c>
      <c r="Y6054" s="1">
        <f t="shared" si="189"/>
        <v>0</v>
      </c>
    </row>
    <row r="6055" spans="24:25" x14ac:dyDescent="0.3">
      <c r="X6055" s="1">
        <f t="shared" si="188"/>
        <v>0</v>
      </c>
      <c r="Y6055" s="1">
        <f t="shared" si="189"/>
        <v>0</v>
      </c>
    </row>
    <row r="6056" spans="24:25" x14ac:dyDescent="0.3">
      <c r="X6056" s="1">
        <f t="shared" si="188"/>
        <v>0</v>
      </c>
      <c r="Y6056" s="1">
        <f t="shared" si="189"/>
        <v>0</v>
      </c>
    </row>
    <row r="6057" spans="24:25" x14ac:dyDescent="0.3">
      <c r="X6057" s="1">
        <f t="shared" si="188"/>
        <v>0</v>
      </c>
      <c r="Y6057" s="1">
        <f t="shared" si="189"/>
        <v>0</v>
      </c>
    </row>
    <row r="6058" spans="24:25" x14ac:dyDescent="0.3">
      <c r="X6058" s="1">
        <f t="shared" si="188"/>
        <v>0</v>
      </c>
      <c r="Y6058" s="1">
        <f t="shared" si="189"/>
        <v>0</v>
      </c>
    </row>
    <row r="6059" spans="24:25" x14ac:dyDescent="0.3">
      <c r="X6059" s="1">
        <f t="shared" si="188"/>
        <v>0</v>
      </c>
      <c r="Y6059" s="1">
        <f t="shared" si="189"/>
        <v>0</v>
      </c>
    </row>
    <row r="6060" spans="24:25" x14ac:dyDescent="0.3">
      <c r="X6060" s="1">
        <f t="shared" si="188"/>
        <v>0</v>
      </c>
      <c r="Y6060" s="1">
        <f t="shared" si="189"/>
        <v>0</v>
      </c>
    </row>
    <row r="6061" spans="24:25" x14ac:dyDescent="0.3">
      <c r="X6061" s="1">
        <f t="shared" si="188"/>
        <v>0</v>
      </c>
      <c r="Y6061" s="1">
        <f t="shared" si="189"/>
        <v>0</v>
      </c>
    </row>
    <row r="6062" spans="24:25" x14ac:dyDescent="0.3">
      <c r="X6062" s="1">
        <f t="shared" si="188"/>
        <v>0</v>
      </c>
      <c r="Y6062" s="1">
        <f t="shared" si="189"/>
        <v>0</v>
      </c>
    </row>
    <row r="6063" spans="24:25" x14ac:dyDescent="0.3">
      <c r="X6063" s="1">
        <f t="shared" si="188"/>
        <v>0</v>
      </c>
      <c r="Y6063" s="1">
        <f t="shared" si="189"/>
        <v>0</v>
      </c>
    </row>
    <row r="6064" spans="24:25" x14ac:dyDescent="0.3">
      <c r="X6064" s="1">
        <f t="shared" si="188"/>
        <v>0</v>
      </c>
      <c r="Y6064" s="1">
        <f t="shared" si="189"/>
        <v>0</v>
      </c>
    </row>
    <row r="6065" spans="24:25" x14ac:dyDescent="0.3">
      <c r="X6065" s="1">
        <f t="shared" si="188"/>
        <v>0</v>
      </c>
      <c r="Y6065" s="1">
        <f t="shared" si="189"/>
        <v>0</v>
      </c>
    </row>
    <row r="6066" spans="24:25" x14ac:dyDescent="0.3">
      <c r="X6066" s="1">
        <f t="shared" si="188"/>
        <v>0</v>
      </c>
      <c r="Y6066" s="1">
        <f t="shared" si="189"/>
        <v>0</v>
      </c>
    </row>
    <row r="6067" spans="24:25" x14ac:dyDescent="0.3">
      <c r="X6067" s="1">
        <f t="shared" si="188"/>
        <v>0</v>
      </c>
      <c r="Y6067" s="1">
        <f t="shared" si="189"/>
        <v>0</v>
      </c>
    </row>
    <row r="6068" spans="24:25" x14ac:dyDescent="0.3">
      <c r="X6068" s="1">
        <f t="shared" si="188"/>
        <v>0</v>
      </c>
      <c r="Y6068" s="1">
        <f t="shared" si="189"/>
        <v>0</v>
      </c>
    </row>
    <row r="6069" spans="24:25" x14ac:dyDescent="0.3">
      <c r="X6069" s="1">
        <f t="shared" si="188"/>
        <v>0</v>
      </c>
      <c r="Y6069" s="1">
        <f t="shared" si="189"/>
        <v>0</v>
      </c>
    </row>
    <row r="6070" spans="24:25" x14ac:dyDescent="0.3">
      <c r="X6070" s="1">
        <f t="shared" si="188"/>
        <v>0</v>
      </c>
      <c r="Y6070" s="1">
        <f t="shared" si="189"/>
        <v>0</v>
      </c>
    </row>
    <row r="6071" spans="24:25" x14ac:dyDescent="0.3">
      <c r="X6071" s="1">
        <f t="shared" si="188"/>
        <v>0</v>
      </c>
      <c r="Y6071" s="1">
        <f t="shared" si="189"/>
        <v>0</v>
      </c>
    </row>
    <row r="6072" spans="24:25" x14ac:dyDescent="0.3">
      <c r="X6072" s="1">
        <f t="shared" si="188"/>
        <v>0</v>
      </c>
      <c r="Y6072" s="1">
        <f t="shared" si="189"/>
        <v>0</v>
      </c>
    </row>
    <row r="6073" spans="24:25" x14ac:dyDescent="0.3">
      <c r="X6073" s="1">
        <f t="shared" si="188"/>
        <v>0</v>
      </c>
      <c r="Y6073" s="1">
        <f t="shared" si="189"/>
        <v>0</v>
      </c>
    </row>
    <row r="6074" spans="24:25" x14ac:dyDescent="0.3">
      <c r="X6074" s="1">
        <f t="shared" si="188"/>
        <v>0</v>
      </c>
      <c r="Y6074" s="1">
        <f t="shared" si="189"/>
        <v>0</v>
      </c>
    </row>
    <row r="6075" spans="24:25" x14ac:dyDescent="0.3">
      <c r="X6075" s="1">
        <f t="shared" si="188"/>
        <v>0</v>
      </c>
      <c r="Y6075" s="1">
        <f t="shared" si="189"/>
        <v>0</v>
      </c>
    </row>
    <row r="6076" spans="24:25" x14ac:dyDescent="0.3">
      <c r="X6076" s="1">
        <f t="shared" si="188"/>
        <v>0</v>
      </c>
      <c r="Y6076" s="1">
        <f t="shared" si="189"/>
        <v>0</v>
      </c>
    </row>
    <row r="6077" spans="24:25" x14ac:dyDescent="0.3">
      <c r="X6077" s="1">
        <f t="shared" si="188"/>
        <v>0</v>
      </c>
      <c r="Y6077" s="1">
        <f t="shared" si="189"/>
        <v>0</v>
      </c>
    </row>
    <row r="6078" spans="24:25" x14ac:dyDescent="0.3">
      <c r="X6078" s="1">
        <f t="shared" si="188"/>
        <v>0</v>
      </c>
      <c r="Y6078" s="1">
        <f t="shared" si="189"/>
        <v>0</v>
      </c>
    </row>
    <row r="6079" spans="24:25" x14ac:dyDescent="0.3">
      <c r="X6079" s="1">
        <f t="shared" si="188"/>
        <v>0</v>
      </c>
      <c r="Y6079" s="1">
        <f t="shared" si="189"/>
        <v>0</v>
      </c>
    </row>
    <row r="6080" spans="24:25" x14ac:dyDescent="0.3">
      <c r="X6080" s="1">
        <f t="shared" si="188"/>
        <v>0</v>
      </c>
      <c r="Y6080" s="1">
        <f t="shared" si="189"/>
        <v>0</v>
      </c>
    </row>
    <row r="6081" spans="24:25" x14ac:dyDescent="0.3">
      <c r="X6081" s="1">
        <f t="shared" si="188"/>
        <v>0</v>
      </c>
      <c r="Y6081" s="1">
        <f t="shared" si="189"/>
        <v>0</v>
      </c>
    </row>
    <row r="6082" spans="24:25" x14ac:dyDescent="0.3">
      <c r="X6082" s="1">
        <f t="shared" si="188"/>
        <v>0</v>
      </c>
      <c r="Y6082" s="1">
        <f t="shared" si="189"/>
        <v>0</v>
      </c>
    </row>
    <row r="6083" spans="24:25" x14ac:dyDescent="0.3">
      <c r="X6083" s="1">
        <f t="shared" ref="X6083:X6146" si="190">IFERROR(MATCH(W6083,$B:$B,0),0)</f>
        <v>0</v>
      </c>
      <c r="Y6083" s="1">
        <f t="shared" ref="Y6083:Y6146" si="191">IF(X6084=0,COUNTA(A:A),X6084-1)</f>
        <v>0</v>
      </c>
    </row>
    <row r="6084" spans="24:25" x14ac:dyDescent="0.3">
      <c r="X6084" s="1">
        <f t="shared" si="190"/>
        <v>0</v>
      </c>
      <c r="Y6084" s="1">
        <f t="shared" si="191"/>
        <v>0</v>
      </c>
    </row>
    <row r="6085" spans="24:25" x14ac:dyDescent="0.3">
      <c r="X6085" s="1">
        <f t="shared" si="190"/>
        <v>0</v>
      </c>
      <c r="Y6085" s="1">
        <f t="shared" si="191"/>
        <v>0</v>
      </c>
    </row>
    <row r="6086" spans="24:25" x14ac:dyDescent="0.3">
      <c r="X6086" s="1">
        <f t="shared" si="190"/>
        <v>0</v>
      </c>
      <c r="Y6086" s="1">
        <f t="shared" si="191"/>
        <v>0</v>
      </c>
    </row>
    <row r="6087" spans="24:25" x14ac:dyDescent="0.3">
      <c r="X6087" s="1">
        <f t="shared" si="190"/>
        <v>0</v>
      </c>
      <c r="Y6087" s="1">
        <f t="shared" si="191"/>
        <v>0</v>
      </c>
    </row>
    <row r="6088" spans="24:25" x14ac:dyDescent="0.3">
      <c r="X6088" s="1">
        <f t="shared" si="190"/>
        <v>0</v>
      </c>
      <c r="Y6088" s="1">
        <f t="shared" si="191"/>
        <v>0</v>
      </c>
    </row>
    <row r="6089" spans="24:25" x14ac:dyDescent="0.3">
      <c r="X6089" s="1">
        <f t="shared" si="190"/>
        <v>0</v>
      </c>
      <c r="Y6089" s="1">
        <f t="shared" si="191"/>
        <v>0</v>
      </c>
    </row>
    <row r="6090" spans="24:25" x14ac:dyDescent="0.3">
      <c r="X6090" s="1">
        <f t="shared" si="190"/>
        <v>0</v>
      </c>
      <c r="Y6090" s="1">
        <f t="shared" si="191"/>
        <v>0</v>
      </c>
    </row>
    <row r="6091" spans="24:25" x14ac:dyDescent="0.3">
      <c r="X6091" s="1">
        <f t="shared" si="190"/>
        <v>0</v>
      </c>
      <c r="Y6091" s="1">
        <f t="shared" si="191"/>
        <v>0</v>
      </c>
    </row>
    <row r="6092" spans="24:25" x14ac:dyDescent="0.3">
      <c r="X6092" s="1">
        <f t="shared" si="190"/>
        <v>0</v>
      </c>
      <c r="Y6092" s="1">
        <f t="shared" si="191"/>
        <v>0</v>
      </c>
    </row>
    <row r="6093" spans="24:25" x14ac:dyDescent="0.3">
      <c r="X6093" s="1">
        <f t="shared" si="190"/>
        <v>0</v>
      </c>
      <c r="Y6093" s="1">
        <f t="shared" si="191"/>
        <v>0</v>
      </c>
    </row>
    <row r="6094" spans="24:25" x14ac:dyDescent="0.3">
      <c r="X6094" s="1">
        <f t="shared" si="190"/>
        <v>0</v>
      </c>
      <c r="Y6094" s="1">
        <f t="shared" si="191"/>
        <v>0</v>
      </c>
    </row>
    <row r="6095" spans="24:25" x14ac:dyDescent="0.3">
      <c r="X6095" s="1">
        <f t="shared" si="190"/>
        <v>0</v>
      </c>
      <c r="Y6095" s="1">
        <f t="shared" si="191"/>
        <v>0</v>
      </c>
    </row>
    <row r="6096" spans="24:25" x14ac:dyDescent="0.3">
      <c r="X6096" s="1">
        <f t="shared" si="190"/>
        <v>0</v>
      </c>
      <c r="Y6096" s="1">
        <f t="shared" si="191"/>
        <v>0</v>
      </c>
    </row>
    <row r="6097" spans="24:25" x14ac:dyDescent="0.3">
      <c r="X6097" s="1">
        <f t="shared" si="190"/>
        <v>0</v>
      </c>
      <c r="Y6097" s="1">
        <f t="shared" si="191"/>
        <v>0</v>
      </c>
    </row>
    <row r="6098" spans="24:25" x14ac:dyDescent="0.3">
      <c r="X6098" s="1">
        <f t="shared" si="190"/>
        <v>0</v>
      </c>
      <c r="Y6098" s="1">
        <f t="shared" si="191"/>
        <v>0</v>
      </c>
    </row>
    <row r="6099" spans="24:25" x14ac:dyDescent="0.3">
      <c r="X6099" s="1">
        <f t="shared" si="190"/>
        <v>0</v>
      </c>
      <c r="Y6099" s="1">
        <f t="shared" si="191"/>
        <v>0</v>
      </c>
    </row>
    <row r="6100" spans="24:25" x14ac:dyDescent="0.3">
      <c r="X6100" s="1">
        <f t="shared" si="190"/>
        <v>0</v>
      </c>
      <c r="Y6100" s="1">
        <f t="shared" si="191"/>
        <v>0</v>
      </c>
    </row>
    <row r="6101" spans="24:25" x14ac:dyDescent="0.3">
      <c r="X6101" s="1">
        <f t="shared" si="190"/>
        <v>0</v>
      </c>
      <c r="Y6101" s="1">
        <f t="shared" si="191"/>
        <v>0</v>
      </c>
    </row>
    <row r="6102" spans="24:25" x14ac:dyDescent="0.3">
      <c r="X6102" s="1">
        <f t="shared" si="190"/>
        <v>0</v>
      </c>
      <c r="Y6102" s="1">
        <f t="shared" si="191"/>
        <v>0</v>
      </c>
    </row>
    <row r="6103" spans="24:25" x14ac:dyDescent="0.3">
      <c r="X6103" s="1">
        <f t="shared" si="190"/>
        <v>0</v>
      </c>
      <c r="Y6103" s="1">
        <f t="shared" si="191"/>
        <v>0</v>
      </c>
    </row>
    <row r="6104" spans="24:25" x14ac:dyDescent="0.3">
      <c r="X6104" s="1">
        <f t="shared" si="190"/>
        <v>0</v>
      </c>
      <c r="Y6104" s="1">
        <f t="shared" si="191"/>
        <v>0</v>
      </c>
    </row>
    <row r="6105" spans="24:25" x14ac:dyDescent="0.3">
      <c r="X6105" s="1">
        <f t="shared" si="190"/>
        <v>0</v>
      </c>
      <c r="Y6105" s="1">
        <f t="shared" si="191"/>
        <v>0</v>
      </c>
    </row>
    <row r="6106" spans="24:25" x14ac:dyDescent="0.3">
      <c r="X6106" s="1">
        <f t="shared" si="190"/>
        <v>0</v>
      </c>
      <c r="Y6106" s="1">
        <f t="shared" si="191"/>
        <v>0</v>
      </c>
    </row>
    <row r="6107" spans="24:25" x14ac:dyDescent="0.3">
      <c r="X6107" s="1">
        <f t="shared" si="190"/>
        <v>0</v>
      </c>
      <c r="Y6107" s="1">
        <f t="shared" si="191"/>
        <v>0</v>
      </c>
    </row>
    <row r="6108" spans="24:25" x14ac:dyDescent="0.3">
      <c r="X6108" s="1">
        <f t="shared" si="190"/>
        <v>0</v>
      </c>
      <c r="Y6108" s="1">
        <f t="shared" si="191"/>
        <v>0</v>
      </c>
    </row>
    <row r="6109" spans="24:25" x14ac:dyDescent="0.3">
      <c r="X6109" s="1">
        <f t="shared" si="190"/>
        <v>0</v>
      </c>
      <c r="Y6109" s="1">
        <f t="shared" si="191"/>
        <v>0</v>
      </c>
    </row>
    <row r="6110" spans="24:25" x14ac:dyDescent="0.3">
      <c r="X6110" s="1">
        <f t="shared" si="190"/>
        <v>0</v>
      </c>
      <c r="Y6110" s="1">
        <f t="shared" si="191"/>
        <v>0</v>
      </c>
    </row>
    <row r="6111" spans="24:25" x14ac:dyDescent="0.3">
      <c r="X6111" s="1">
        <f t="shared" si="190"/>
        <v>0</v>
      </c>
      <c r="Y6111" s="1">
        <f t="shared" si="191"/>
        <v>0</v>
      </c>
    </row>
    <row r="6112" spans="24:25" x14ac:dyDescent="0.3">
      <c r="X6112" s="1">
        <f t="shared" si="190"/>
        <v>0</v>
      </c>
      <c r="Y6112" s="1">
        <f t="shared" si="191"/>
        <v>0</v>
      </c>
    </row>
    <row r="6113" spans="24:25" x14ac:dyDescent="0.3">
      <c r="X6113" s="1">
        <f t="shared" si="190"/>
        <v>0</v>
      </c>
      <c r="Y6113" s="1">
        <f t="shared" si="191"/>
        <v>0</v>
      </c>
    </row>
    <row r="6114" spans="24:25" x14ac:dyDescent="0.3">
      <c r="X6114" s="1">
        <f t="shared" si="190"/>
        <v>0</v>
      </c>
      <c r="Y6114" s="1">
        <f t="shared" si="191"/>
        <v>0</v>
      </c>
    </row>
    <row r="6115" spans="24:25" x14ac:dyDescent="0.3">
      <c r="X6115" s="1">
        <f t="shared" si="190"/>
        <v>0</v>
      </c>
      <c r="Y6115" s="1">
        <f t="shared" si="191"/>
        <v>0</v>
      </c>
    </row>
    <row r="6116" spans="24:25" x14ac:dyDescent="0.3">
      <c r="X6116" s="1">
        <f t="shared" si="190"/>
        <v>0</v>
      </c>
      <c r="Y6116" s="1">
        <f t="shared" si="191"/>
        <v>0</v>
      </c>
    </row>
    <row r="6117" spans="24:25" x14ac:dyDescent="0.3">
      <c r="X6117" s="1">
        <f t="shared" si="190"/>
        <v>0</v>
      </c>
      <c r="Y6117" s="1">
        <f t="shared" si="191"/>
        <v>0</v>
      </c>
    </row>
    <row r="6118" spans="24:25" x14ac:dyDescent="0.3">
      <c r="X6118" s="1">
        <f t="shared" si="190"/>
        <v>0</v>
      </c>
      <c r="Y6118" s="1">
        <f t="shared" si="191"/>
        <v>0</v>
      </c>
    </row>
    <row r="6119" spans="24:25" x14ac:dyDescent="0.3">
      <c r="X6119" s="1">
        <f t="shared" si="190"/>
        <v>0</v>
      </c>
      <c r="Y6119" s="1">
        <f t="shared" si="191"/>
        <v>0</v>
      </c>
    </row>
    <row r="6120" spans="24:25" x14ac:dyDescent="0.3">
      <c r="X6120" s="1">
        <f t="shared" si="190"/>
        <v>0</v>
      </c>
      <c r="Y6120" s="1">
        <f t="shared" si="191"/>
        <v>0</v>
      </c>
    </row>
    <row r="6121" spans="24:25" x14ac:dyDescent="0.3">
      <c r="X6121" s="1">
        <f t="shared" si="190"/>
        <v>0</v>
      </c>
      <c r="Y6121" s="1">
        <f t="shared" si="191"/>
        <v>0</v>
      </c>
    </row>
    <row r="6122" spans="24:25" x14ac:dyDescent="0.3">
      <c r="X6122" s="1">
        <f t="shared" si="190"/>
        <v>0</v>
      </c>
      <c r="Y6122" s="1">
        <f t="shared" si="191"/>
        <v>0</v>
      </c>
    </row>
    <row r="6123" spans="24:25" x14ac:dyDescent="0.3">
      <c r="X6123" s="1">
        <f t="shared" si="190"/>
        <v>0</v>
      </c>
      <c r="Y6123" s="1">
        <f t="shared" si="191"/>
        <v>0</v>
      </c>
    </row>
    <row r="6124" spans="24:25" x14ac:dyDescent="0.3">
      <c r="X6124" s="1">
        <f t="shared" si="190"/>
        <v>0</v>
      </c>
      <c r="Y6124" s="1">
        <f t="shared" si="191"/>
        <v>0</v>
      </c>
    </row>
    <row r="6125" spans="24:25" x14ac:dyDescent="0.3">
      <c r="X6125" s="1">
        <f t="shared" si="190"/>
        <v>0</v>
      </c>
      <c r="Y6125" s="1">
        <f t="shared" si="191"/>
        <v>0</v>
      </c>
    </row>
    <row r="6126" spans="24:25" x14ac:dyDescent="0.3">
      <c r="X6126" s="1">
        <f t="shared" si="190"/>
        <v>0</v>
      </c>
      <c r="Y6126" s="1">
        <f t="shared" si="191"/>
        <v>0</v>
      </c>
    </row>
    <row r="6127" spans="24:25" x14ac:dyDescent="0.3">
      <c r="X6127" s="1">
        <f t="shared" si="190"/>
        <v>0</v>
      </c>
      <c r="Y6127" s="1">
        <f t="shared" si="191"/>
        <v>0</v>
      </c>
    </row>
    <row r="6128" spans="24:25" x14ac:dyDescent="0.3">
      <c r="X6128" s="1">
        <f t="shared" si="190"/>
        <v>0</v>
      </c>
      <c r="Y6128" s="1">
        <f t="shared" si="191"/>
        <v>0</v>
      </c>
    </row>
    <row r="6129" spans="24:25" x14ac:dyDescent="0.3">
      <c r="X6129" s="1">
        <f t="shared" si="190"/>
        <v>0</v>
      </c>
      <c r="Y6129" s="1">
        <f t="shared" si="191"/>
        <v>0</v>
      </c>
    </row>
    <row r="6130" spans="24:25" x14ac:dyDescent="0.3">
      <c r="X6130" s="1">
        <f t="shared" si="190"/>
        <v>0</v>
      </c>
      <c r="Y6130" s="1">
        <f t="shared" si="191"/>
        <v>0</v>
      </c>
    </row>
    <row r="6131" spans="24:25" x14ac:dyDescent="0.3">
      <c r="X6131" s="1">
        <f t="shared" si="190"/>
        <v>0</v>
      </c>
      <c r="Y6131" s="1">
        <f t="shared" si="191"/>
        <v>0</v>
      </c>
    </row>
    <row r="6132" spans="24:25" x14ac:dyDescent="0.3">
      <c r="X6132" s="1">
        <f t="shared" si="190"/>
        <v>0</v>
      </c>
      <c r="Y6132" s="1">
        <f t="shared" si="191"/>
        <v>0</v>
      </c>
    </row>
    <row r="6133" spans="24:25" x14ac:dyDescent="0.3">
      <c r="X6133" s="1">
        <f t="shared" si="190"/>
        <v>0</v>
      </c>
      <c r="Y6133" s="1">
        <f t="shared" si="191"/>
        <v>0</v>
      </c>
    </row>
    <row r="6134" spans="24:25" x14ac:dyDescent="0.3">
      <c r="X6134" s="1">
        <f t="shared" si="190"/>
        <v>0</v>
      </c>
      <c r="Y6134" s="1">
        <f t="shared" si="191"/>
        <v>0</v>
      </c>
    </row>
    <row r="6135" spans="24:25" x14ac:dyDescent="0.3">
      <c r="X6135" s="1">
        <f t="shared" si="190"/>
        <v>0</v>
      </c>
      <c r="Y6135" s="1">
        <f t="shared" si="191"/>
        <v>0</v>
      </c>
    </row>
    <row r="6136" spans="24:25" x14ac:dyDescent="0.3">
      <c r="X6136" s="1">
        <f t="shared" si="190"/>
        <v>0</v>
      </c>
      <c r="Y6136" s="1">
        <f t="shared" si="191"/>
        <v>0</v>
      </c>
    </row>
    <row r="6137" spans="24:25" x14ac:dyDescent="0.3">
      <c r="X6137" s="1">
        <f t="shared" si="190"/>
        <v>0</v>
      </c>
      <c r="Y6137" s="1">
        <f t="shared" si="191"/>
        <v>0</v>
      </c>
    </row>
    <row r="6138" spans="24:25" x14ac:dyDescent="0.3">
      <c r="X6138" s="1">
        <f t="shared" si="190"/>
        <v>0</v>
      </c>
      <c r="Y6138" s="1">
        <f t="shared" si="191"/>
        <v>0</v>
      </c>
    </row>
    <row r="6139" spans="24:25" x14ac:dyDescent="0.3">
      <c r="X6139" s="1">
        <f t="shared" si="190"/>
        <v>0</v>
      </c>
      <c r="Y6139" s="1">
        <f t="shared" si="191"/>
        <v>0</v>
      </c>
    </row>
    <row r="6140" spans="24:25" x14ac:dyDescent="0.3">
      <c r="X6140" s="1">
        <f t="shared" si="190"/>
        <v>0</v>
      </c>
      <c r="Y6140" s="1">
        <f t="shared" si="191"/>
        <v>0</v>
      </c>
    </row>
    <row r="6141" spans="24:25" x14ac:dyDescent="0.3">
      <c r="X6141" s="1">
        <f t="shared" si="190"/>
        <v>0</v>
      </c>
      <c r="Y6141" s="1">
        <f t="shared" si="191"/>
        <v>0</v>
      </c>
    </row>
    <row r="6142" spans="24:25" x14ac:dyDescent="0.3">
      <c r="X6142" s="1">
        <f t="shared" si="190"/>
        <v>0</v>
      </c>
      <c r="Y6142" s="1">
        <f t="shared" si="191"/>
        <v>0</v>
      </c>
    </row>
    <row r="6143" spans="24:25" x14ac:dyDescent="0.3">
      <c r="X6143" s="1">
        <f t="shared" si="190"/>
        <v>0</v>
      </c>
      <c r="Y6143" s="1">
        <f t="shared" si="191"/>
        <v>0</v>
      </c>
    </row>
    <row r="6144" spans="24:25" x14ac:dyDescent="0.3">
      <c r="X6144" s="1">
        <f t="shared" si="190"/>
        <v>0</v>
      </c>
      <c r="Y6144" s="1">
        <f t="shared" si="191"/>
        <v>0</v>
      </c>
    </row>
    <row r="6145" spans="24:25" x14ac:dyDescent="0.3">
      <c r="X6145" s="1">
        <f t="shared" si="190"/>
        <v>0</v>
      </c>
      <c r="Y6145" s="1">
        <f t="shared" si="191"/>
        <v>0</v>
      </c>
    </row>
    <row r="6146" spans="24:25" x14ac:dyDescent="0.3">
      <c r="X6146" s="1">
        <f t="shared" si="190"/>
        <v>0</v>
      </c>
      <c r="Y6146" s="1">
        <f t="shared" si="191"/>
        <v>0</v>
      </c>
    </row>
    <row r="6147" spans="24:25" x14ac:dyDescent="0.3">
      <c r="X6147" s="1">
        <f t="shared" ref="X6147:X6210" si="192">IFERROR(MATCH(W6147,$B:$B,0),0)</f>
        <v>0</v>
      </c>
      <c r="Y6147" s="1">
        <f t="shared" ref="Y6147:Y6210" si="193">IF(X6148=0,COUNTA(A:A),X6148-1)</f>
        <v>0</v>
      </c>
    </row>
    <row r="6148" spans="24:25" x14ac:dyDescent="0.3">
      <c r="X6148" s="1">
        <f t="shared" si="192"/>
        <v>0</v>
      </c>
      <c r="Y6148" s="1">
        <f t="shared" si="193"/>
        <v>0</v>
      </c>
    </row>
    <row r="6149" spans="24:25" x14ac:dyDescent="0.3">
      <c r="X6149" s="1">
        <f t="shared" si="192"/>
        <v>0</v>
      </c>
      <c r="Y6149" s="1">
        <f t="shared" si="193"/>
        <v>0</v>
      </c>
    </row>
    <row r="6150" spans="24:25" x14ac:dyDescent="0.3">
      <c r="X6150" s="1">
        <f t="shared" si="192"/>
        <v>0</v>
      </c>
      <c r="Y6150" s="1">
        <f t="shared" si="193"/>
        <v>0</v>
      </c>
    </row>
    <row r="6151" spans="24:25" x14ac:dyDescent="0.3">
      <c r="X6151" s="1">
        <f t="shared" si="192"/>
        <v>0</v>
      </c>
      <c r="Y6151" s="1">
        <f t="shared" si="193"/>
        <v>0</v>
      </c>
    </row>
    <row r="6152" spans="24:25" x14ac:dyDescent="0.3">
      <c r="X6152" s="1">
        <f t="shared" si="192"/>
        <v>0</v>
      </c>
      <c r="Y6152" s="1">
        <f t="shared" si="193"/>
        <v>0</v>
      </c>
    </row>
    <row r="6153" spans="24:25" x14ac:dyDescent="0.3">
      <c r="X6153" s="1">
        <f t="shared" si="192"/>
        <v>0</v>
      </c>
      <c r="Y6153" s="1">
        <f t="shared" si="193"/>
        <v>0</v>
      </c>
    </row>
    <row r="6154" spans="24:25" x14ac:dyDescent="0.3">
      <c r="X6154" s="1">
        <f t="shared" si="192"/>
        <v>0</v>
      </c>
      <c r="Y6154" s="1">
        <f t="shared" si="193"/>
        <v>0</v>
      </c>
    </row>
    <row r="6155" spans="24:25" x14ac:dyDescent="0.3">
      <c r="X6155" s="1">
        <f t="shared" si="192"/>
        <v>0</v>
      </c>
      <c r="Y6155" s="1">
        <f t="shared" si="193"/>
        <v>0</v>
      </c>
    </row>
    <row r="6156" spans="24:25" x14ac:dyDescent="0.3">
      <c r="X6156" s="1">
        <f t="shared" si="192"/>
        <v>0</v>
      </c>
      <c r="Y6156" s="1">
        <f t="shared" si="193"/>
        <v>0</v>
      </c>
    </row>
    <row r="6157" spans="24:25" x14ac:dyDescent="0.3">
      <c r="X6157" s="1">
        <f t="shared" si="192"/>
        <v>0</v>
      </c>
      <c r="Y6157" s="1">
        <f t="shared" si="193"/>
        <v>0</v>
      </c>
    </row>
    <row r="6158" spans="24:25" x14ac:dyDescent="0.3">
      <c r="X6158" s="1">
        <f t="shared" si="192"/>
        <v>0</v>
      </c>
      <c r="Y6158" s="1">
        <f t="shared" si="193"/>
        <v>0</v>
      </c>
    </row>
    <row r="6159" spans="24:25" x14ac:dyDescent="0.3">
      <c r="X6159" s="1">
        <f t="shared" si="192"/>
        <v>0</v>
      </c>
      <c r="Y6159" s="1">
        <f t="shared" si="193"/>
        <v>0</v>
      </c>
    </row>
    <row r="6160" spans="24:25" x14ac:dyDescent="0.3">
      <c r="X6160" s="1">
        <f t="shared" si="192"/>
        <v>0</v>
      </c>
      <c r="Y6160" s="1">
        <f t="shared" si="193"/>
        <v>0</v>
      </c>
    </row>
    <row r="6161" spans="24:25" x14ac:dyDescent="0.3">
      <c r="X6161" s="1">
        <f t="shared" si="192"/>
        <v>0</v>
      </c>
      <c r="Y6161" s="1">
        <f t="shared" si="193"/>
        <v>0</v>
      </c>
    </row>
    <row r="6162" spans="24:25" x14ac:dyDescent="0.3">
      <c r="X6162" s="1">
        <f t="shared" si="192"/>
        <v>0</v>
      </c>
      <c r="Y6162" s="1">
        <f t="shared" si="193"/>
        <v>0</v>
      </c>
    </row>
    <row r="6163" spans="24:25" x14ac:dyDescent="0.3">
      <c r="X6163" s="1">
        <f t="shared" si="192"/>
        <v>0</v>
      </c>
      <c r="Y6163" s="1">
        <f t="shared" si="193"/>
        <v>0</v>
      </c>
    </row>
    <row r="6164" spans="24:25" x14ac:dyDescent="0.3">
      <c r="X6164" s="1">
        <f t="shared" si="192"/>
        <v>0</v>
      </c>
      <c r="Y6164" s="1">
        <f t="shared" si="193"/>
        <v>0</v>
      </c>
    </row>
    <row r="6165" spans="24:25" x14ac:dyDescent="0.3">
      <c r="X6165" s="1">
        <f t="shared" si="192"/>
        <v>0</v>
      </c>
      <c r="Y6165" s="1">
        <f t="shared" si="193"/>
        <v>0</v>
      </c>
    </row>
    <row r="6166" spans="24:25" x14ac:dyDescent="0.3">
      <c r="X6166" s="1">
        <f t="shared" si="192"/>
        <v>0</v>
      </c>
      <c r="Y6166" s="1">
        <f t="shared" si="193"/>
        <v>0</v>
      </c>
    </row>
    <row r="6167" spans="24:25" x14ac:dyDescent="0.3">
      <c r="X6167" s="1">
        <f t="shared" si="192"/>
        <v>0</v>
      </c>
      <c r="Y6167" s="1">
        <f t="shared" si="193"/>
        <v>0</v>
      </c>
    </row>
    <row r="6168" spans="24:25" x14ac:dyDescent="0.3">
      <c r="X6168" s="1">
        <f t="shared" si="192"/>
        <v>0</v>
      </c>
      <c r="Y6168" s="1">
        <f t="shared" si="193"/>
        <v>0</v>
      </c>
    </row>
    <row r="6169" spans="24:25" x14ac:dyDescent="0.3">
      <c r="X6169" s="1">
        <f t="shared" si="192"/>
        <v>0</v>
      </c>
      <c r="Y6169" s="1">
        <f t="shared" si="193"/>
        <v>0</v>
      </c>
    </row>
    <row r="6170" spans="24:25" x14ac:dyDescent="0.3">
      <c r="X6170" s="1">
        <f t="shared" si="192"/>
        <v>0</v>
      </c>
      <c r="Y6170" s="1">
        <f t="shared" si="193"/>
        <v>0</v>
      </c>
    </row>
    <row r="6171" spans="24:25" x14ac:dyDescent="0.3">
      <c r="X6171" s="1">
        <f t="shared" si="192"/>
        <v>0</v>
      </c>
      <c r="Y6171" s="1">
        <f t="shared" si="193"/>
        <v>0</v>
      </c>
    </row>
    <row r="6172" spans="24:25" x14ac:dyDescent="0.3">
      <c r="X6172" s="1">
        <f t="shared" si="192"/>
        <v>0</v>
      </c>
      <c r="Y6172" s="1">
        <f t="shared" si="193"/>
        <v>0</v>
      </c>
    </row>
    <row r="6173" spans="24:25" x14ac:dyDescent="0.3">
      <c r="X6173" s="1">
        <f t="shared" si="192"/>
        <v>0</v>
      </c>
      <c r="Y6173" s="1">
        <f t="shared" si="193"/>
        <v>0</v>
      </c>
    </row>
    <row r="6174" spans="24:25" x14ac:dyDescent="0.3">
      <c r="X6174" s="1">
        <f t="shared" si="192"/>
        <v>0</v>
      </c>
      <c r="Y6174" s="1">
        <f t="shared" si="193"/>
        <v>0</v>
      </c>
    </row>
    <row r="6175" spans="24:25" x14ac:dyDescent="0.3">
      <c r="X6175" s="1">
        <f t="shared" si="192"/>
        <v>0</v>
      </c>
      <c r="Y6175" s="1">
        <f t="shared" si="193"/>
        <v>0</v>
      </c>
    </row>
    <row r="6176" spans="24:25" x14ac:dyDescent="0.3">
      <c r="X6176" s="1">
        <f t="shared" si="192"/>
        <v>0</v>
      </c>
      <c r="Y6176" s="1">
        <f t="shared" si="193"/>
        <v>0</v>
      </c>
    </row>
    <row r="6177" spans="24:25" x14ac:dyDescent="0.3">
      <c r="X6177" s="1">
        <f t="shared" si="192"/>
        <v>0</v>
      </c>
      <c r="Y6177" s="1">
        <f t="shared" si="193"/>
        <v>0</v>
      </c>
    </row>
    <row r="6178" spans="24:25" x14ac:dyDescent="0.3">
      <c r="X6178" s="1">
        <f t="shared" si="192"/>
        <v>0</v>
      </c>
      <c r="Y6178" s="1">
        <f t="shared" si="193"/>
        <v>0</v>
      </c>
    </row>
    <row r="6179" spans="24:25" x14ac:dyDescent="0.3">
      <c r="X6179" s="1">
        <f t="shared" si="192"/>
        <v>0</v>
      </c>
      <c r="Y6179" s="1">
        <f t="shared" si="193"/>
        <v>0</v>
      </c>
    </row>
    <row r="6180" spans="24:25" x14ac:dyDescent="0.3">
      <c r="X6180" s="1">
        <f t="shared" si="192"/>
        <v>0</v>
      </c>
      <c r="Y6180" s="1">
        <f t="shared" si="193"/>
        <v>0</v>
      </c>
    </row>
    <row r="6181" spans="24:25" x14ac:dyDescent="0.3">
      <c r="X6181" s="1">
        <f t="shared" si="192"/>
        <v>0</v>
      </c>
      <c r="Y6181" s="1">
        <f t="shared" si="193"/>
        <v>0</v>
      </c>
    </row>
    <row r="6182" spans="24:25" x14ac:dyDescent="0.3">
      <c r="X6182" s="1">
        <f t="shared" si="192"/>
        <v>0</v>
      </c>
      <c r="Y6182" s="1">
        <f t="shared" si="193"/>
        <v>0</v>
      </c>
    </row>
    <row r="6183" spans="24:25" x14ac:dyDescent="0.3">
      <c r="X6183" s="1">
        <f t="shared" si="192"/>
        <v>0</v>
      </c>
      <c r="Y6183" s="1">
        <f t="shared" si="193"/>
        <v>0</v>
      </c>
    </row>
    <row r="6184" spans="24:25" x14ac:dyDescent="0.3">
      <c r="X6184" s="1">
        <f t="shared" si="192"/>
        <v>0</v>
      </c>
      <c r="Y6184" s="1">
        <f t="shared" si="193"/>
        <v>0</v>
      </c>
    </row>
    <row r="6185" spans="24:25" x14ac:dyDescent="0.3">
      <c r="X6185" s="1">
        <f t="shared" si="192"/>
        <v>0</v>
      </c>
      <c r="Y6185" s="1">
        <f t="shared" si="193"/>
        <v>0</v>
      </c>
    </row>
    <row r="6186" spans="24:25" x14ac:dyDescent="0.3">
      <c r="X6186" s="1">
        <f t="shared" si="192"/>
        <v>0</v>
      </c>
      <c r="Y6186" s="1">
        <f t="shared" si="193"/>
        <v>0</v>
      </c>
    </row>
    <row r="6187" spans="24:25" x14ac:dyDescent="0.3">
      <c r="X6187" s="1">
        <f t="shared" si="192"/>
        <v>0</v>
      </c>
      <c r="Y6187" s="1">
        <f t="shared" si="193"/>
        <v>0</v>
      </c>
    </row>
    <row r="6188" spans="24:25" x14ac:dyDescent="0.3">
      <c r="X6188" s="1">
        <f t="shared" si="192"/>
        <v>0</v>
      </c>
      <c r="Y6188" s="1">
        <f t="shared" si="193"/>
        <v>0</v>
      </c>
    </row>
    <row r="6189" spans="24:25" x14ac:dyDescent="0.3">
      <c r="X6189" s="1">
        <f t="shared" si="192"/>
        <v>0</v>
      </c>
      <c r="Y6189" s="1">
        <f t="shared" si="193"/>
        <v>0</v>
      </c>
    </row>
    <row r="6190" spans="24:25" x14ac:dyDescent="0.3">
      <c r="X6190" s="1">
        <f t="shared" si="192"/>
        <v>0</v>
      </c>
      <c r="Y6190" s="1">
        <f t="shared" si="193"/>
        <v>0</v>
      </c>
    </row>
    <row r="6191" spans="24:25" x14ac:dyDescent="0.3">
      <c r="X6191" s="1">
        <f t="shared" si="192"/>
        <v>0</v>
      </c>
      <c r="Y6191" s="1">
        <f t="shared" si="193"/>
        <v>0</v>
      </c>
    </row>
    <row r="6192" spans="24:25" x14ac:dyDescent="0.3">
      <c r="X6192" s="1">
        <f t="shared" si="192"/>
        <v>0</v>
      </c>
      <c r="Y6192" s="1">
        <f t="shared" si="193"/>
        <v>0</v>
      </c>
    </row>
    <row r="6193" spans="24:25" x14ac:dyDescent="0.3">
      <c r="X6193" s="1">
        <f t="shared" si="192"/>
        <v>0</v>
      </c>
      <c r="Y6193" s="1">
        <f t="shared" si="193"/>
        <v>0</v>
      </c>
    </row>
    <row r="6194" spans="24:25" x14ac:dyDescent="0.3">
      <c r="X6194" s="1">
        <f t="shared" si="192"/>
        <v>0</v>
      </c>
      <c r="Y6194" s="1">
        <f t="shared" si="193"/>
        <v>0</v>
      </c>
    </row>
    <row r="6195" spans="24:25" x14ac:dyDescent="0.3">
      <c r="X6195" s="1">
        <f t="shared" si="192"/>
        <v>0</v>
      </c>
      <c r="Y6195" s="1">
        <f t="shared" si="193"/>
        <v>0</v>
      </c>
    </row>
    <row r="6196" spans="24:25" x14ac:dyDescent="0.3">
      <c r="X6196" s="1">
        <f t="shared" si="192"/>
        <v>0</v>
      </c>
      <c r="Y6196" s="1">
        <f t="shared" si="193"/>
        <v>0</v>
      </c>
    </row>
    <row r="6197" spans="24:25" x14ac:dyDescent="0.3">
      <c r="X6197" s="1">
        <f t="shared" si="192"/>
        <v>0</v>
      </c>
      <c r="Y6197" s="1">
        <f t="shared" si="193"/>
        <v>0</v>
      </c>
    </row>
    <row r="6198" spans="24:25" x14ac:dyDescent="0.3">
      <c r="X6198" s="1">
        <f t="shared" si="192"/>
        <v>0</v>
      </c>
      <c r="Y6198" s="1">
        <f t="shared" si="193"/>
        <v>0</v>
      </c>
    </row>
    <row r="6199" spans="24:25" x14ac:dyDescent="0.3">
      <c r="X6199" s="1">
        <f t="shared" si="192"/>
        <v>0</v>
      </c>
      <c r="Y6199" s="1">
        <f t="shared" si="193"/>
        <v>0</v>
      </c>
    </row>
    <row r="6200" spans="24:25" x14ac:dyDescent="0.3">
      <c r="X6200" s="1">
        <f t="shared" si="192"/>
        <v>0</v>
      </c>
      <c r="Y6200" s="1">
        <f t="shared" si="193"/>
        <v>0</v>
      </c>
    </row>
    <row r="6201" spans="24:25" x14ac:dyDescent="0.3">
      <c r="X6201" s="1">
        <f t="shared" si="192"/>
        <v>0</v>
      </c>
      <c r="Y6201" s="1">
        <f t="shared" si="193"/>
        <v>0</v>
      </c>
    </row>
    <row r="6202" spans="24:25" x14ac:dyDescent="0.3">
      <c r="X6202" s="1">
        <f t="shared" si="192"/>
        <v>0</v>
      </c>
      <c r="Y6202" s="1">
        <f t="shared" si="193"/>
        <v>0</v>
      </c>
    </row>
    <row r="6203" spans="24:25" x14ac:dyDescent="0.3">
      <c r="X6203" s="1">
        <f t="shared" si="192"/>
        <v>0</v>
      </c>
      <c r="Y6203" s="1">
        <f t="shared" si="193"/>
        <v>0</v>
      </c>
    </row>
    <row r="6204" spans="24:25" x14ac:dyDescent="0.3">
      <c r="X6204" s="1">
        <f t="shared" si="192"/>
        <v>0</v>
      </c>
      <c r="Y6204" s="1">
        <f t="shared" si="193"/>
        <v>0</v>
      </c>
    </row>
    <row r="6205" spans="24:25" x14ac:dyDescent="0.3">
      <c r="X6205" s="1">
        <f t="shared" si="192"/>
        <v>0</v>
      </c>
      <c r="Y6205" s="1">
        <f t="shared" si="193"/>
        <v>0</v>
      </c>
    </row>
    <row r="6206" spans="24:25" x14ac:dyDescent="0.3">
      <c r="X6206" s="1">
        <f t="shared" si="192"/>
        <v>0</v>
      </c>
      <c r="Y6206" s="1">
        <f t="shared" si="193"/>
        <v>0</v>
      </c>
    </row>
    <row r="6207" spans="24:25" x14ac:dyDescent="0.3">
      <c r="X6207" s="1">
        <f t="shared" si="192"/>
        <v>0</v>
      </c>
      <c r="Y6207" s="1">
        <f t="shared" si="193"/>
        <v>0</v>
      </c>
    </row>
    <row r="6208" spans="24:25" x14ac:dyDescent="0.3">
      <c r="X6208" s="1">
        <f t="shared" si="192"/>
        <v>0</v>
      </c>
      <c r="Y6208" s="1">
        <f t="shared" si="193"/>
        <v>0</v>
      </c>
    </row>
    <row r="6209" spans="24:25" x14ac:dyDescent="0.3">
      <c r="X6209" s="1">
        <f t="shared" si="192"/>
        <v>0</v>
      </c>
      <c r="Y6209" s="1">
        <f t="shared" si="193"/>
        <v>0</v>
      </c>
    </row>
    <row r="6210" spans="24:25" x14ac:dyDescent="0.3">
      <c r="X6210" s="1">
        <f t="shared" si="192"/>
        <v>0</v>
      </c>
      <c r="Y6210" s="1">
        <f t="shared" si="193"/>
        <v>0</v>
      </c>
    </row>
    <row r="6211" spans="24:25" x14ac:dyDescent="0.3">
      <c r="X6211" s="1">
        <f t="shared" ref="X6211:X6274" si="194">IFERROR(MATCH(W6211,$B:$B,0),0)</f>
        <v>0</v>
      </c>
      <c r="Y6211" s="1">
        <f t="shared" ref="Y6211:Y6274" si="195">IF(X6212=0,COUNTA(A:A),X6212-1)</f>
        <v>0</v>
      </c>
    </row>
    <row r="6212" spans="24:25" x14ac:dyDescent="0.3">
      <c r="X6212" s="1">
        <f t="shared" si="194"/>
        <v>0</v>
      </c>
      <c r="Y6212" s="1">
        <f t="shared" si="195"/>
        <v>0</v>
      </c>
    </row>
    <row r="6213" spans="24:25" x14ac:dyDescent="0.3">
      <c r="X6213" s="1">
        <f t="shared" si="194"/>
        <v>0</v>
      </c>
      <c r="Y6213" s="1">
        <f t="shared" si="195"/>
        <v>0</v>
      </c>
    </row>
    <row r="6214" spans="24:25" x14ac:dyDescent="0.3">
      <c r="X6214" s="1">
        <f t="shared" si="194"/>
        <v>0</v>
      </c>
      <c r="Y6214" s="1">
        <f t="shared" si="195"/>
        <v>0</v>
      </c>
    </row>
    <row r="6215" spans="24:25" x14ac:dyDescent="0.3">
      <c r="X6215" s="1">
        <f t="shared" si="194"/>
        <v>0</v>
      </c>
      <c r="Y6215" s="1">
        <f t="shared" si="195"/>
        <v>0</v>
      </c>
    </row>
    <row r="6216" spans="24:25" x14ac:dyDescent="0.3">
      <c r="X6216" s="1">
        <f t="shared" si="194"/>
        <v>0</v>
      </c>
      <c r="Y6216" s="1">
        <f t="shared" si="195"/>
        <v>0</v>
      </c>
    </row>
    <row r="6217" spans="24:25" x14ac:dyDescent="0.3">
      <c r="X6217" s="1">
        <f t="shared" si="194"/>
        <v>0</v>
      </c>
      <c r="Y6217" s="1">
        <f t="shared" si="195"/>
        <v>0</v>
      </c>
    </row>
    <row r="6218" spans="24:25" x14ac:dyDescent="0.3">
      <c r="X6218" s="1">
        <f t="shared" si="194"/>
        <v>0</v>
      </c>
      <c r="Y6218" s="1">
        <f t="shared" si="195"/>
        <v>0</v>
      </c>
    </row>
    <row r="6219" spans="24:25" x14ac:dyDescent="0.3">
      <c r="X6219" s="1">
        <f t="shared" si="194"/>
        <v>0</v>
      </c>
      <c r="Y6219" s="1">
        <f t="shared" si="195"/>
        <v>0</v>
      </c>
    </row>
    <row r="6220" spans="24:25" x14ac:dyDescent="0.3">
      <c r="X6220" s="1">
        <f t="shared" si="194"/>
        <v>0</v>
      </c>
      <c r="Y6220" s="1">
        <f t="shared" si="195"/>
        <v>0</v>
      </c>
    </row>
    <row r="6221" spans="24:25" x14ac:dyDescent="0.3">
      <c r="X6221" s="1">
        <f t="shared" si="194"/>
        <v>0</v>
      </c>
      <c r="Y6221" s="1">
        <f t="shared" si="195"/>
        <v>0</v>
      </c>
    </row>
    <row r="6222" spans="24:25" x14ac:dyDescent="0.3">
      <c r="X6222" s="1">
        <f t="shared" si="194"/>
        <v>0</v>
      </c>
      <c r="Y6222" s="1">
        <f t="shared" si="195"/>
        <v>0</v>
      </c>
    </row>
    <row r="6223" spans="24:25" x14ac:dyDescent="0.3">
      <c r="X6223" s="1">
        <f t="shared" si="194"/>
        <v>0</v>
      </c>
      <c r="Y6223" s="1">
        <f t="shared" si="195"/>
        <v>0</v>
      </c>
    </row>
    <row r="6224" spans="24:25" x14ac:dyDescent="0.3">
      <c r="X6224" s="1">
        <f t="shared" si="194"/>
        <v>0</v>
      </c>
      <c r="Y6224" s="1">
        <f t="shared" si="195"/>
        <v>0</v>
      </c>
    </row>
    <row r="6225" spans="24:25" x14ac:dyDescent="0.3">
      <c r="X6225" s="1">
        <f t="shared" si="194"/>
        <v>0</v>
      </c>
      <c r="Y6225" s="1">
        <f t="shared" si="195"/>
        <v>0</v>
      </c>
    </row>
    <row r="6226" spans="24:25" x14ac:dyDescent="0.3">
      <c r="X6226" s="1">
        <f t="shared" si="194"/>
        <v>0</v>
      </c>
      <c r="Y6226" s="1">
        <f t="shared" si="195"/>
        <v>0</v>
      </c>
    </row>
    <row r="6227" spans="24:25" x14ac:dyDescent="0.3">
      <c r="X6227" s="1">
        <f t="shared" si="194"/>
        <v>0</v>
      </c>
      <c r="Y6227" s="1">
        <f t="shared" si="195"/>
        <v>0</v>
      </c>
    </row>
    <row r="6228" spans="24:25" x14ac:dyDescent="0.3">
      <c r="X6228" s="1">
        <f t="shared" si="194"/>
        <v>0</v>
      </c>
      <c r="Y6228" s="1">
        <f t="shared" si="195"/>
        <v>0</v>
      </c>
    </row>
    <row r="6229" spans="24:25" x14ac:dyDescent="0.3">
      <c r="X6229" s="1">
        <f t="shared" si="194"/>
        <v>0</v>
      </c>
      <c r="Y6229" s="1">
        <f t="shared" si="195"/>
        <v>0</v>
      </c>
    </row>
    <row r="6230" spans="24:25" x14ac:dyDescent="0.3">
      <c r="X6230" s="1">
        <f t="shared" si="194"/>
        <v>0</v>
      </c>
      <c r="Y6230" s="1">
        <f t="shared" si="195"/>
        <v>0</v>
      </c>
    </row>
    <row r="6231" spans="24:25" x14ac:dyDescent="0.3">
      <c r="X6231" s="1">
        <f t="shared" si="194"/>
        <v>0</v>
      </c>
      <c r="Y6231" s="1">
        <f t="shared" si="195"/>
        <v>0</v>
      </c>
    </row>
    <row r="6232" spans="24:25" x14ac:dyDescent="0.3">
      <c r="X6232" s="1">
        <f t="shared" si="194"/>
        <v>0</v>
      </c>
      <c r="Y6232" s="1">
        <f t="shared" si="195"/>
        <v>0</v>
      </c>
    </row>
    <row r="6233" spans="24:25" x14ac:dyDescent="0.3">
      <c r="X6233" s="1">
        <f t="shared" si="194"/>
        <v>0</v>
      </c>
      <c r="Y6233" s="1">
        <f t="shared" si="195"/>
        <v>0</v>
      </c>
    </row>
    <row r="6234" spans="24:25" x14ac:dyDescent="0.3">
      <c r="X6234" s="1">
        <f t="shared" si="194"/>
        <v>0</v>
      </c>
      <c r="Y6234" s="1">
        <f t="shared" si="195"/>
        <v>0</v>
      </c>
    </row>
    <row r="6235" spans="24:25" x14ac:dyDescent="0.3">
      <c r="X6235" s="1">
        <f t="shared" si="194"/>
        <v>0</v>
      </c>
      <c r="Y6235" s="1">
        <f t="shared" si="195"/>
        <v>0</v>
      </c>
    </row>
    <row r="6236" spans="24:25" x14ac:dyDescent="0.3">
      <c r="X6236" s="1">
        <f t="shared" si="194"/>
        <v>0</v>
      </c>
      <c r="Y6236" s="1">
        <f t="shared" si="195"/>
        <v>0</v>
      </c>
    </row>
    <row r="6237" spans="24:25" x14ac:dyDescent="0.3">
      <c r="X6237" s="1">
        <f t="shared" si="194"/>
        <v>0</v>
      </c>
      <c r="Y6237" s="1">
        <f t="shared" si="195"/>
        <v>0</v>
      </c>
    </row>
    <row r="6238" spans="24:25" x14ac:dyDescent="0.3">
      <c r="X6238" s="1">
        <f t="shared" si="194"/>
        <v>0</v>
      </c>
      <c r="Y6238" s="1">
        <f t="shared" si="195"/>
        <v>0</v>
      </c>
    </row>
    <row r="6239" spans="24:25" x14ac:dyDescent="0.3">
      <c r="X6239" s="1">
        <f t="shared" si="194"/>
        <v>0</v>
      </c>
      <c r="Y6239" s="1">
        <f t="shared" si="195"/>
        <v>0</v>
      </c>
    </row>
    <row r="6240" spans="24:25" x14ac:dyDescent="0.3">
      <c r="X6240" s="1">
        <f t="shared" si="194"/>
        <v>0</v>
      </c>
      <c r="Y6240" s="1">
        <f t="shared" si="195"/>
        <v>0</v>
      </c>
    </row>
    <row r="6241" spans="24:25" x14ac:dyDescent="0.3">
      <c r="X6241" s="1">
        <f t="shared" si="194"/>
        <v>0</v>
      </c>
      <c r="Y6241" s="1">
        <f t="shared" si="195"/>
        <v>0</v>
      </c>
    </row>
    <row r="6242" spans="24:25" x14ac:dyDescent="0.3">
      <c r="X6242" s="1">
        <f t="shared" si="194"/>
        <v>0</v>
      </c>
      <c r="Y6242" s="1">
        <f t="shared" si="195"/>
        <v>0</v>
      </c>
    </row>
    <row r="6243" spans="24:25" x14ac:dyDescent="0.3">
      <c r="X6243" s="1">
        <f t="shared" si="194"/>
        <v>0</v>
      </c>
      <c r="Y6243" s="1">
        <f t="shared" si="195"/>
        <v>0</v>
      </c>
    </row>
    <row r="6244" spans="24:25" x14ac:dyDescent="0.3">
      <c r="X6244" s="1">
        <f t="shared" si="194"/>
        <v>0</v>
      </c>
      <c r="Y6244" s="1">
        <f t="shared" si="195"/>
        <v>0</v>
      </c>
    </row>
    <row r="6245" spans="24:25" x14ac:dyDescent="0.3">
      <c r="X6245" s="1">
        <f t="shared" si="194"/>
        <v>0</v>
      </c>
      <c r="Y6245" s="1">
        <f t="shared" si="195"/>
        <v>0</v>
      </c>
    </row>
    <row r="6246" spans="24:25" x14ac:dyDescent="0.3">
      <c r="X6246" s="1">
        <f t="shared" si="194"/>
        <v>0</v>
      </c>
      <c r="Y6246" s="1">
        <f t="shared" si="195"/>
        <v>0</v>
      </c>
    </row>
    <row r="6247" spans="24:25" x14ac:dyDescent="0.3">
      <c r="X6247" s="1">
        <f t="shared" si="194"/>
        <v>0</v>
      </c>
      <c r="Y6247" s="1">
        <f t="shared" si="195"/>
        <v>0</v>
      </c>
    </row>
    <row r="6248" spans="24:25" x14ac:dyDescent="0.3">
      <c r="X6248" s="1">
        <f t="shared" si="194"/>
        <v>0</v>
      </c>
      <c r="Y6248" s="1">
        <f t="shared" si="195"/>
        <v>0</v>
      </c>
    </row>
    <row r="6249" spans="24:25" x14ac:dyDescent="0.3">
      <c r="X6249" s="1">
        <f t="shared" si="194"/>
        <v>0</v>
      </c>
      <c r="Y6249" s="1">
        <f t="shared" si="195"/>
        <v>0</v>
      </c>
    </row>
    <row r="6250" spans="24:25" x14ac:dyDescent="0.3">
      <c r="X6250" s="1">
        <f t="shared" si="194"/>
        <v>0</v>
      </c>
      <c r="Y6250" s="1">
        <f t="shared" si="195"/>
        <v>0</v>
      </c>
    </row>
    <row r="6251" spans="24:25" x14ac:dyDescent="0.3">
      <c r="X6251" s="1">
        <f t="shared" si="194"/>
        <v>0</v>
      </c>
      <c r="Y6251" s="1">
        <f t="shared" si="195"/>
        <v>0</v>
      </c>
    </row>
    <row r="6252" spans="24:25" x14ac:dyDescent="0.3">
      <c r="X6252" s="1">
        <f t="shared" si="194"/>
        <v>0</v>
      </c>
      <c r="Y6252" s="1">
        <f t="shared" si="195"/>
        <v>0</v>
      </c>
    </row>
    <row r="6253" spans="24:25" x14ac:dyDescent="0.3">
      <c r="X6253" s="1">
        <f t="shared" si="194"/>
        <v>0</v>
      </c>
      <c r="Y6253" s="1">
        <f t="shared" si="195"/>
        <v>0</v>
      </c>
    </row>
    <row r="6254" spans="24:25" x14ac:dyDescent="0.3">
      <c r="X6254" s="1">
        <f t="shared" si="194"/>
        <v>0</v>
      </c>
      <c r="Y6254" s="1">
        <f t="shared" si="195"/>
        <v>0</v>
      </c>
    </row>
    <row r="6255" spans="24:25" x14ac:dyDescent="0.3">
      <c r="X6255" s="1">
        <f t="shared" si="194"/>
        <v>0</v>
      </c>
      <c r="Y6255" s="1">
        <f t="shared" si="195"/>
        <v>0</v>
      </c>
    </row>
    <row r="6256" spans="24:25" x14ac:dyDescent="0.3">
      <c r="X6256" s="1">
        <f t="shared" si="194"/>
        <v>0</v>
      </c>
      <c r="Y6256" s="1">
        <f t="shared" si="195"/>
        <v>0</v>
      </c>
    </row>
    <row r="6257" spans="24:25" x14ac:dyDescent="0.3">
      <c r="X6257" s="1">
        <f t="shared" si="194"/>
        <v>0</v>
      </c>
      <c r="Y6257" s="1">
        <f t="shared" si="195"/>
        <v>0</v>
      </c>
    </row>
    <row r="6258" spans="24:25" x14ac:dyDescent="0.3">
      <c r="X6258" s="1">
        <f t="shared" si="194"/>
        <v>0</v>
      </c>
      <c r="Y6258" s="1">
        <f t="shared" si="195"/>
        <v>0</v>
      </c>
    </row>
    <row r="6259" spans="24:25" x14ac:dyDescent="0.3">
      <c r="X6259" s="1">
        <f t="shared" si="194"/>
        <v>0</v>
      </c>
      <c r="Y6259" s="1">
        <f t="shared" si="195"/>
        <v>0</v>
      </c>
    </row>
    <row r="6260" spans="24:25" x14ac:dyDescent="0.3">
      <c r="X6260" s="1">
        <f t="shared" si="194"/>
        <v>0</v>
      </c>
      <c r="Y6260" s="1">
        <f t="shared" si="195"/>
        <v>0</v>
      </c>
    </row>
    <row r="6261" spans="24:25" x14ac:dyDescent="0.3">
      <c r="X6261" s="1">
        <f t="shared" si="194"/>
        <v>0</v>
      </c>
      <c r="Y6261" s="1">
        <f t="shared" si="195"/>
        <v>0</v>
      </c>
    </row>
    <row r="6262" spans="24:25" x14ac:dyDescent="0.3">
      <c r="X6262" s="1">
        <f t="shared" si="194"/>
        <v>0</v>
      </c>
      <c r="Y6262" s="1">
        <f t="shared" si="195"/>
        <v>0</v>
      </c>
    </row>
    <row r="6263" spans="24:25" x14ac:dyDescent="0.3">
      <c r="X6263" s="1">
        <f t="shared" si="194"/>
        <v>0</v>
      </c>
      <c r="Y6263" s="1">
        <f t="shared" si="195"/>
        <v>0</v>
      </c>
    </row>
    <row r="6264" spans="24:25" x14ac:dyDescent="0.3">
      <c r="X6264" s="1">
        <f t="shared" si="194"/>
        <v>0</v>
      </c>
      <c r="Y6264" s="1">
        <f t="shared" si="195"/>
        <v>0</v>
      </c>
    </row>
    <row r="6265" spans="24:25" x14ac:dyDescent="0.3">
      <c r="X6265" s="1">
        <f t="shared" si="194"/>
        <v>0</v>
      </c>
      <c r="Y6265" s="1">
        <f t="shared" si="195"/>
        <v>0</v>
      </c>
    </row>
    <row r="6266" spans="24:25" x14ac:dyDescent="0.3">
      <c r="X6266" s="1">
        <f t="shared" si="194"/>
        <v>0</v>
      </c>
      <c r="Y6266" s="1">
        <f t="shared" si="195"/>
        <v>0</v>
      </c>
    </row>
    <row r="6267" spans="24:25" x14ac:dyDescent="0.3">
      <c r="X6267" s="1">
        <f t="shared" si="194"/>
        <v>0</v>
      </c>
      <c r="Y6267" s="1">
        <f t="shared" si="195"/>
        <v>0</v>
      </c>
    </row>
    <row r="6268" spans="24:25" x14ac:dyDescent="0.3">
      <c r="X6268" s="1">
        <f t="shared" si="194"/>
        <v>0</v>
      </c>
      <c r="Y6268" s="1">
        <f t="shared" si="195"/>
        <v>0</v>
      </c>
    </row>
    <row r="6269" spans="24:25" x14ac:dyDescent="0.3">
      <c r="X6269" s="1">
        <f t="shared" si="194"/>
        <v>0</v>
      </c>
      <c r="Y6269" s="1">
        <f t="shared" si="195"/>
        <v>0</v>
      </c>
    </row>
    <row r="6270" spans="24:25" x14ac:dyDescent="0.3">
      <c r="X6270" s="1">
        <f t="shared" si="194"/>
        <v>0</v>
      </c>
      <c r="Y6270" s="1">
        <f t="shared" si="195"/>
        <v>0</v>
      </c>
    </row>
    <row r="6271" spans="24:25" x14ac:dyDescent="0.3">
      <c r="X6271" s="1">
        <f t="shared" si="194"/>
        <v>0</v>
      </c>
      <c r="Y6271" s="1">
        <f t="shared" si="195"/>
        <v>0</v>
      </c>
    </row>
    <row r="6272" spans="24:25" x14ac:dyDescent="0.3">
      <c r="X6272" s="1">
        <f t="shared" si="194"/>
        <v>0</v>
      </c>
      <c r="Y6272" s="1">
        <f t="shared" si="195"/>
        <v>0</v>
      </c>
    </row>
    <row r="6273" spans="24:25" x14ac:dyDescent="0.3">
      <c r="X6273" s="1">
        <f t="shared" si="194"/>
        <v>0</v>
      </c>
      <c r="Y6273" s="1">
        <f t="shared" si="195"/>
        <v>0</v>
      </c>
    </row>
    <row r="6274" spans="24:25" x14ac:dyDescent="0.3">
      <c r="X6274" s="1">
        <f t="shared" si="194"/>
        <v>0</v>
      </c>
      <c r="Y6274" s="1">
        <f t="shared" si="195"/>
        <v>0</v>
      </c>
    </row>
    <row r="6275" spans="24:25" x14ac:dyDescent="0.3">
      <c r="X6275" s="1">
        <f t="shared" ref="X6275:X6338" si="196">IFERROR(MATCH(W6275,$B:$B,0),0)</f>
        <v>0</v>
      </c>
      <c r="Y6275" s="1">
        <f t="shared" ref="Y6275:Y6338" si="197">IF(X6276=0,COUNTA(A:A),X6276-1)</f>
        <v>0</v>
      </c>
    </row>
    <row r="6276" spans="24:25" x14ac:dyDescent="0.3">
      <c r="X6276" s="1">
        <f t="shared" si="196"/>
        <v>0</v>
      </c>
      <c r="Y6276" s="1">
        <f t="shared" si="197"/>
        <v>0</v>
      </c>
    </row>
    <row r="6277" spans="24:25" x14ac:dyDescent="0.3">
      <c r="X6277" s="1">
        <f t="shared" si="196"/>
        <v>0</v>
      </c>
      <c r="Y6277" s="1">
        <f t="shared" si="197"/>
        <v>0</v>
      </c>
    </row>
    <row r="6278" spans="24:25" x14ac:dyDescent="0.3">
      <c r="X6278" s="1">
        <f t="shared" si="196"/>
        <v>0</v>
      </c>
      <c r="Y6278" s="1">
        <f t="shared" si="197"/>
        <v>0</v>
      </c>
    </row>
    <row r="6279" spans="24:25" x14ac:dyDescent="0.3">
      <c r="X6279" s="1">
        <f t="shared" si="196"/>
        <v>0</v>
      </c>
      <c r="Y6279" s="1">
        <f t="shared" si="197"/>
        <v>0</v>
      </c>
    </row>
    <row r="6280" spans="24:25" x14ac:dyDescent="0.3">
      <c r="X6280" s="1">
        <f t="shared" si="196"/>
        <v>0</v>
      </c>
      <c r="Y6280" s="1">
        <f t="shared" si="197"/>
        <v>0</v>
      </c>
    </row>
    <row r="6281" spans="24:25" x14ac:dyDescent="0.3">
      <c r="X6281" s="1">
        <f t="shared" si="196"/>
        <v>0</v>
      </c>
      <c r="Y6281" s="1">
        <f t="shared" si="197"/>
        <v>0</v>
      </c>
    </row>
    <row r="6282" spans="24:25" x14ac:dyDescent="0.3">
      <c r="X6282" s="1">
        <f t="shared" si="196"/>
        <v>0</v>
      </c>
      <c r="Y6282" s="1">
        <f t="shared" si="197"/>
        <v>0</v>
      </c>
    </row>
    <row r="6283" spans="24:25" x14ac:dyDescent="0.3">
      <c r="X6283" s="1">
        <f t="shared" si="196"/>
        <v>0</v>
      </c>
      <c r="Y6283" s="1">
        <f t="shared" si="197"/>
        <v>0</v>
      </c>
    </row>
    <row r="6284" spans="24:25" x14ac:dyDescent="0.3">
      <c r="X6284" s="1">
        <f t="shared" si="196"/>
        <v>0</v>
      </c>
      <c r="Y6284" s="1">
        <f t="shared" si="197"/>
        <v>0</v>
      </c>
    </row>
    <row r="6285" spans="24:25" x14ac:dyDescent="0.3">
      <c r="X6285" s="1">
        <f t="shared" si="196"/>
        <v>0</v>
      </c>
      <c r="Y6285" s="1">
        <f t="shared" si="197"/>
        <v>0</v>
      </c>
    </row>
    <row r="6286" spans="24:25" x14ac:dyDescent="0.3">
      <c r="X6286" s="1">
        <f t="shared" si="196"/>
        <v>0</v>
      </c>
      <c r="Y6286" s="1">
        <f t="shared" si="197"/>
        <v>0</v>
      </c>
    </row>
    <row r="6287" spans="24:25" x14ac:dyDescent="0.3">
      <c r="X6287" s="1">
        <f t="shared" si="196"/>
        <v>0</v>
      </c>
      <c r="Y6287" s="1">
        <f t="shared" si="197"/>
        <v>0</v>
      </c>
    </row>
    <row r="6288" spans="24:25" x14ac:dyDescent="0.3">
      <c r="X6288" s="1">
        <f t="shared" si="196"/>
        <v>0</v>
      </c>
      <c r="Y6288" s="1">
        <f t="shared" si="197"/>
        <v>0</v>
      </c>
    </row>
    <row r="6289" spans="24:25" x14ac:dyDescent="0.3">
      <c r="X6289" s="1">
        <f t="shared" si="196"/>
        <v>0</v>
      </c>
      <c r="Y6289" s="1">
        <f t="shared" si="197"/>
        <v>0</v>
      </c>
    </row>
    <row r="6290" spans="24:25" x14ac:dyDescent="0.3">
      <c r="X6290" s="1">
        <f t="shared" si="196"/>
        <v>0</v>
      </c>
      <c r="Y6290" s="1">
        <f t="shared" si="197"/>
        <v>0</v>
      </c>
    </row>
    <row r="6291" spans="24:25" x14ac:dyDescent="0.3">
      <c r="X6291" s="1">
        <f t="shared" si="196"/>
        <v>0</v>
      </c>
      <c r="Y6291" s="1">
        <f t="shared" si="197"/>
        <v>0</v>
      </c>
    </row>
    <row r="6292" spans="24:25" x14ac:dyDescent="0.3">
      <c r="X6292" s="1">
        <f t="shared" si="196"/>
        <v>0</v>
      </c>
      <c r="Y6292" s="1">
        <f t="shared" si="197"/>
        <v>0</v>
      </c>
    </row>
    <row r="6293" spans="24:25" x14ac:dyDescent="0.3">
      <c r="X6293" s="1">
        <f t="shared" si="196"/>
        <v>0</v>
      </c>
      <c r="Y6293" s="1">
        <f t="shared" si="197"/>
        <v>0</v>
      </c>
    </row>
    <row r="6294" spans="24:25" x14ac:dyDescent="0.3">
      <c r="X6294" s="1">
        <f t="shared" si="196"/>
        <v>0</v>
      </c>
      <c r="Y6294" s="1">
        <f t="shared" si="197"/>
        <v>0</v>
      </c>
    </row>
    <row r="6295" spans="24:25" x14ac:dyDescent="0.3">
      <c r="X6295" s="1">
        <f t="shared" si="196"/>
        <v>0</v>
      </c>
      <c r="Y6295" s="1">
        <f t="shared" si="197"/>
        <v>0</v>
      </c>
    </row>
    <row r="6296" spans="24:25" x14ac:dyDescent="0.3">
      <c r="X6296" s="1">
        <f t="shared" si="196"/>
        <v>0</v>
      </c>
      <c r="Y6296" s="1">
        <f t="shared" si="197"/>
        <v>0</v>
      </c>
    </row>
    <row r="6297" spans="24:25" x14ac:dyDescent="0.3">
      <c r="X6297" s="1">
        <f t="shared" si="196"/>
        <v>0</v>
      </c>
      <c r="Y6297" s="1">
        <f t="shared" si="197"/>
        <v>0</v>
      </c>
    </row>
    <row r="6298" spans="24:25" x14ac:dyDescent="0.3">
      <c r="X6298" s="1">
        <f t="shared" si="196"/>
        <v>0</v>
      </c>
      <c r="Y6298" s="1">
        <f t="shared" si="197"/>
        <v>0</v>
      </c>
    </row>
    <row r="6299" spans="24:25" x14ac:dyDescent="0.3">
      <c r="X6299" s="1">
        <f t="shared" si="196"/>
        <v>0</v>
      </c>
      <c r="Y6299" s="1">
        <f t="shared" si="197"/>
        <v>0</v>
      </c>
    </row>
    <row r="6300" spans="24:25" x14ac:dyDescent="0.3">
      <c r="X6300" s="1">
        <f t="shared" si="196"/>
        <v>0</v>
      </c>
      <c r="Y6300" s="1">
        <f t="shared" si="197"/>
        <v>0</v>
      </c>
    </row>
    <row r="6301" spans="24:25" x14ac:dyDescent="0.3">
      <c r="X6301" s="1">
        <f t="shared" si="196"/>
        <v>0</v>
      </c>
      <c r="Y6301" s="1">
        <f t="shared" si="197"/>
        <v>0</v>
      </c>
    </row>
    <row r="6302" spans="24:25" x14ac:dyDescent="0.3">
      <c r="X6302" s="1">
        <f t="shared" si="196"/>
        <v>0</v>
      </c>
      <c r="Y6302" s="1">
        <f t="shared" si="197"/>
        <v>0</v>
      </c>
    </row>
    <row r="6303" spans="24:25" x14ac:dyDescent="0.3">
      <c r="X6303" s="1">
        <f t="shared" si="196"/>
        <v>0</v>
      </c>
      <c r="Y6303" s="1">
        <f t="shared" si="197"/>
        <v>0</v>
      </c>
    </row>
    <row r="6304" spans="24:25" x14ac:dyDescent="0.3">
      <c r="X6304" s="1">
        <f t="shared" si="196"/>
        <v>0</v>
      </c>
      <c r="Y6304" s="1">
        <f t="shared" si="197"/>
        <v>0</v>
      </c>
    </row>
    <row r="6305" spans="24:25" x14ac:dyDescent="0.3">
      <c r="X6305" s="1">
        <f t="shared" si="196"/>
        <v>0</v>
      </c>
      <c r="Y6305" s="1">
        <f t="shared" si="197"/>
        <v>0</v>
      </c>
    </row>
    <row r="6306" spans="24:25" x14ac:dyDescent="0.3">
      <c r="X6306" s="1">
        <f t="shared" si="196"/>
        <v>0</v>
      </c>
      <c r="Y6306" s="1">
        <f t="shared" si="197"/>
        <v>0</v>
      </c>
    </row>
    <row r="6307" spans="24:25" x14ac:dyDescent="0.3">
      <c r="X6307" s="1">
        <f t="shared" si="196"/>
        <v>0</v>
      </c>
      <c r="Y6307" s="1">
        <f t="shared" si="197"/>
        <v>0</v>
      </c>
    </row>
    <row r="6308" spans="24:25" x14ac:dyDescent="0.3">
      <c r="X6308" s="1">
        <f t="shared" si="196"/>
        <v>0</v>
      </c>
      <c r="Y6308" s="1">
        <f t="shared" si="197"/>
        <v>0</v>
      </c>
    </row>
    <row r="6309" spans="24:25" x14ac:dyDescent="0.3">
      <c r="X6309" s="1">
        <f t="shared" si="196"/>
        <v>0</v>
      </c>
      <c r="Y6309" s="1">
        <f t="shared" si="197"/>
        <v>0</v>
      </c>
    </row>
    <row r="6310" spans="24:25" x14ac:dyDescent="0.3">
      <c r="X6310" s="1">
        <f t="shared" si="196"/>
        <v>0</v>
      </c>
      <c r="Y6310" s="1">
        <f t="shared" si="197"/>
        <v>0</v>
      </c>
    </row>
    <row r="6311" spans="24:25" x14ac:dyDescent="0.3">
      <c r="X6311" s="1">
        <f t="shared" si="196"/>
        <v>0</v>
      </c>
      <c r="Y6311" s="1">
        <f t="shared" si="197"/>
        <v>0</v>
      </c>
    </row>
    <row r="6312" spans="24:25" x14ac:dyDescent="0.3">
      <c r="X6312" s="1">
        <f t="shared" si="196"/>
        <v>0</v>
      </c>
      <c r="Y6312" s="1">
        <f t="shared" si="197"/>
        <v>0</v>
      </c>
    </row>
    <row r="6313" spans="24:25" x14ac:dyDescent="0.3">
      <c r="X6313" s="1">
        <f t="shared" si="196"/>
        <v>0</v>
      </c>
      <c r="Y6313" s="1">
        <f t="shared" si="197"/>
        <v>0</v>
      </c>
    </row>
    <row r="6314" spans="24:25" x14ac:dyDescent="0.3">
      <c r="X6314" s="1">
        <f t="shared" si="196"/>
        <v>0</v>
      </c>
      <c r="Y6314" s="1">
        <f t="shared" si="197"/>
        <v>0</v>
      </c>
    </row>
    <row r="6315" spans="24:25" x14ac:dyDescent="0.3">
      <c r="X6315" s="1">
        <f t="shared" si="196"/>
        <v>0</v>
      </c>
      <c r="Y6315" s="1">
        <f t="shared" si="197"/>
        <v>0</v>
      </c>
    </row>
    <row r="6316" spans="24:25" x14ac:dyDescent="0.3">
      <c r="X6316" s="1">
        <f t="shared" si="196"/>
        <v>0</v>
      </c>
      <c r="Y6316" s="1">
        <f t="shared" si="197"/>
        <v>0</v>
      </c>
    </row>
    <row r="6317" spans="24:25" x14ac:dyDescent="0.3">
      <c r="X6317" s="1">
        <f t="shared" si="196"/>
        <v>0</v>
      </c>
      <c r="Y6317" s="1">
        <f t="shared" si="197"/>
        <v>0</v>
      </c>
    </row>
    <row r="6318" spans="24:25" x14ac:dyDescent="0.3">
      <c r="X6318" s="1">
        <f t="shared" si="196"/>
        <v>0</v>
      </c>
      <c r="Y6318" s="1">
        <f t="shared" si="197"/>
        <v>0</v>
      </c>
    </row>
    <row r="6319" spans="24:25" x14ac:dyDescent="0.3">
      <c r="X6319" s="1">
        <f t="shared" si="196"/>
        <v>0</v>
      </c>
      <c r="Y6319" s="1">
        <f t="shared" si="197"/>
        <v>0</v>
      </c>
    </row>
    <row r="6320" spans="24:25" x14ac:dyDescent="0.3">
      <c r="X6320" s="1">
        <f t="shared" si="196"/>
        <v>0</v>
      </c>
      <c r="Y6320" s="1">
        <f t="shared" si="197"/>
        <v>0</v>
      </c>
    </row>
    <row r="6321" spans="24:25" x14ac:dyDescent="0.3">
      <c r="X6321" s="1">
        <f t="shared" si="196"/>
        <v>0</v>
      </c>
      <c r="Y6321" s="1">
        <f t="shared" si="197"/>
        <v>0</v>
      </c>
    </row>
    <row r="6322" spans="24:25" x14ac:dyDescent="0.3">
      <c r="X6322" s="1">
        <f t="shared" si="196"/>
        <v>0</v>
      </c>
      <c r="Y6322" s="1">
        <f t="shared" si="197"/>
        <v>0</v>
      </c>
    </row>
    <row r="6323" spans="24:25" x14ac:dyDescent="0.3">
      <c r="X6323" s="1">
        <f t="shared" si="196"/>
        <v>0</v>
      </c>
      <c r="Y6323" s="1">
        <f t="shared" si="197"/>
        <v>0</v>
      </c>
    </row>
    <row r="6324" spans="24:25" x14ac:dyDescent="0.3">
      <c r="X6324" s="1">
        <f t="shared" si="196"/>
        <v>0</v>
      </c>
      <c r="Y6324" s="1">
        <f t="shared" si="197"/>
        <v>0</v>
      </c>
    </row>
    <row r="6325" spans="24:25" x14ac:dyDescent="0.3">
      <c r="X6325" s="1">
        <f t="shared" si="196"/>
        <v>0</v>
      </c>
      <c r="Y6325" s="1">
        <f t="shared" si="197"/>
        <v>0</v>
      </c>
    </row>
    <row r="6326" spans="24:25" x14ac:dyDescent="0.3">
      <c r="X6326" s="1">
        <f t="shared" si="196"/>
        <v>0</v>
      </c>
      <c r="Y6326" s="1">
        <f t="shared" si="197"/>
        <v>0</v>
      </c>
    </row>
    <row r="6327" spans="24:25" x14ac:dyDescent="0.3">
      <c r="X6327" s="1">
        <f t="shared" si="196"/>
        <v>0</v>
      </c>
      <c r="Y6327" s="1">
        <f t="shared" si="197"/>
        <v>0</v>
      </c>
    </row>
    <row r="6328" spans="24:25" x14ac:dyDescent="0.3">
      <c r="X6328" s="1">
        <f t="shared" si="196"/>
        <v>0</v>
      </c>
      <c r="Y6328" s="1">
        <f t="shared" si="197"/>
        <v>0</v>
      </c>
    </row>
    <row r="6329" spans="24:25" x14ac:dyDescent="0.3">
      <c r="X6329" s="1">
        <f t="shared" si="196"/>
        <v>0</v>
      </c>
      <c r="Y6329" s="1">
        <f t="shared" si="197"/>
        <v>0</v>
      </c>
    </row>
    <row r="6330" spans="24:25" x14ac:dyDescent="0.3">
      <c r="X6330" s="1">
        <f t="shared" si="196"/>
        <v>0</v>
      </c>
      <c r="Y6330" s="1">
        <f t="shared" si="197"/>
        <v>0</v>
      </c>
    </row>
    <row r="6331" spans="24:25" x14ac:dyDescent="0.3">
      <c r="X6331" s="1">
        <f t="shared" si="196"/>
        <v>0</v>
      </c>
      <c r="Y6331" s="1">
        <f t="shared" si="197"/>
        <v>0</v>
      </c>
    </row>
    <row r="6332" spans="24:25" x14ac:dyDescent="0.3">
      <c r="X6332" s="1">
        <f t="shared" si="196"/>
        <v>0</v>
      </c>
      <c r="Y6332" s="1">
        <f t="shared" si="197"/>
        <v>0</v>
      </c>
    </row>
    <row r="6333" spans="24:25" x14ac:dyDescent="0.3">
      <c r="X6333" s="1">
        <f t="shared" si="196"/>
        <v>0</v>
      </c>
      <c r="Y6333" s="1">
        <f t="shared" si="197"/>
        <v>0</v>
      </c>
    </row>
    <row r="6334" spans="24:25" x14ac:dyDescent="0.3">
      <c r="X6334" s="1">
        <f t="shared" si="196"/>
        <v>0</v>
      </c>
      <c r="Y6334" s="1">
        <f t="shared" si="197"/>
        <v>0</v>
      </c>
    </row>
    <row r="6335" spans="24:25" x14ac:dyDescent="0.3">
      <c r="X6335" s="1">
        <f t="shared" si="196"/>
        <v>0</v>
      </c>
      <c r="Y6335" s="1">
        <f t="shared" si="197"/>
        <v>0</v>
      </c>
    </row>
    <row r="6336" spans="24:25" x14ac:dyDescent="0.3">
      <c r="X6336" s="1">
        <f t="shared" si="196"/>
        <v>0</v>
      </c>
      <c r="Y6336" s="1">
        <f t="shared" si="197"/>
        <v>0</v>
      </c>
    </row>
    <row r="6337" spans="24:25" x14ac:dyDescent="0.3">
      <c r="X6337" s="1">
        <f t="shared" si="196"/>
        <v>0</v>
      </c>
      <c r="Y6337" s="1">
        <f t="shared" si="197"/>
        <v>0</v>
      </c>
    </row>
    <row r="6338" spans="24:25" x14ac:dyDescent="0.3">
      <c r="X6338" s="1">
        <f t="shared" si="196"/>
        <v>0</v>
      </c>
      <c r="Y6338" s="1">
        <f t="shared" si="197"/>
        <v>0</v>
      </c>
    </row>
    <row r="6339" spans="24:25" x14ac:dyDescent="0.3">
      <c r="X6339" s="1">
        <f t="shared" ref="X6339:X6402" si="198">IFERROR(MATCH(W6339,$B:$B,0),0)</f>
        <v>0</v>
      </c>
      <c r="Y6339" s="1">
        <f t="shared" ref="Y6339:Y6402" si="199">IF(X6340=0,COUNTA(A:A),X6340-1)</f>
        <v>0</v>
      </c>
    </row>
    <row r="6340" spans="24:25" x14ac:dyDescent="0.3">
      <c r="X6340" s="1">
        <f t="shared" si="198"/>
        <v>0</v>
      </c>
      <c r="Y6340" s="1">
        <f t="shared" si="199"/>
        <v>0</v>
      </c>
    </row>
    <row r="6341" spans="24:25" x14ac:dyDescent="0.3">
      <c r="X6341" s="1">
        <f t="shared" si="198"/>
        <v>0</v>
      </c>
      <c r="Y6341" s="1">
        <f t="shared" si="199"/>
        <v>0</v>
      </c>
    </row>
    <row r="6342" spans="24:25" x14ac:dyDescent="0.3">
      <c r="X6342" s="1">
        <f t="shared" si="198"/>
        <v>0</v>
      </c>
      <c r="Y6342" s="1">
        <f t="shared" si="199"/>
        <v>0</v>
      </c>
    </row>
    <row r="6343" spans="24:25" x14ac:dyDescent="0.3">
      <c r="X6343" s="1">
        <f t="shared" si="198"/>
        <v>0</v>
      </c>
      <c r="Y6343" s="1">
        <f t="shared" si="199"/>
        <v>0</v>
      </c>
    </row>
    <row r="6344" spans="24:25" x14ac:dyDescent="0.3">
      <c r="X6344" s="1">
        <f t="shared" si="198"/>
        <v>0</v>
      </c>
      <c r="Y6344" s="1">
        <f t="shared" si="199"/>
        <v>0</v>
      </c>
    </row>
    <row r="6345" spans="24:25" x14ac:dyDescent="0.3">
      <c r="X6345" s="1">
        <f t="shared" si="198"/>
        <v>0</v>
      </c>
      <c r="Y6345" s="1">
        <f t="shared" si="199"/>
        <v>0</v>
      </c>
    </row>
    <row r="6346" spans="24:25" x14ac:dyDescent="0.3">
      <c r="X6346" s="1">
        <f t="shared" si="198"/>
        <v>0</v>
      </c>
      <c r="Y6346" s="1">
        <f t="shared" si="199"/>
        <v>0</v>
      </c>
    </row>
    <row r="6347" spans="24:25" x14ac:dyDescent="0.3">
      <c r="X6347" s="1">
        <f t="shared" si="198"/>
        <v>0</v>
      </c>
      <c r="Y6347" s="1">
        <f t="shared" si="199"/>
        <v>0</v>
      </c>
    </row>
    <row r="6348" spans="24:25" x14ac:dyDescent="0.3">
      <c r="X6348" s="1">
        <f t="shared" si="198"/>
        <v>0</v>
      </c>
      <c r="Y6348" s="1">
        <f t="shared" si="199"/>
        <v>0</v>
      </c>
    </row>
    <row r="6349" spans="24:25" x14ac:dyDescent="0.3">
      <c r="X6349" s="1">
        <f t="shared" si="198"/>
        <v>0</v>
      </c>
      <c r="Y6349" s="1">
        <f t="shared" si="199"/>
        <v>0</v>
      </c>
    </row>
    <row r="6350" spans="24:25" x14ac:dyDescent="0.3">
      <c r="X6350" s="1">
        <f t="shared" si="198"/>
        <v>0</v>
      </c>
      <c r="Y6350" s="1">
        <f t="shared" si="199"/>
        <v>0</v>
      </c>
    </row>
    <row r="6351" spans="24:25" x14ac:dyDescent="0.3">
      <c r="X6351" s="1">
        <f t="shared" si="198"/>
        <v>0</v>
      </c>
      <c r="Y6351" s="1">
        <f t="shared" si="199"/>
        <v>0</v>
      </c>
    </row>
    <row r="6352" spans="24:25" x14ac:dyDescent="0.3">
      <c r="X6352" s="1">
        <f t="shared" si="198"/>
        <v>0</v>
      </c>
      <c r="Y6352" s="1">
        <f t="shared" si="199"/>
        <v>0</v>
      </c>
    </row>
    <row r="6353" spans="24:25" x14ac:dyDescent="0.3">
      <c r="X6353" s="1">
        <f t="shared" si="198"/>
        <v>0</v>
      </c>
      <c r="Y6353" s="1">
        <f t="shared" si="199"/>
        <v>0</v>
      </c>
    </row>
    <row r="6354" spans="24:25" x14ac:dyDescent="0.3">
      <c r="X6354" s="1">
        <f t="shared" si="198"/>
        <v>0</v>
      </c>
      <c r="Y6354" s="1">
        <f t="shared" si="199"/>
        <v>0</v>
      </c>
    </row>
    <row r="6355" spans="24:25" x14ac:dyDescent="0.3">
      <c r="X6355" s="1">
        <f t="shared" si="198"/>
        <v>0</v>
      </c>
      <c r="Y6355" s="1">
        <f t="shared" si="199"/>
        <v>0</v>
      </c>
    </row>
    <row r="6356" spans="24:25" x14ac:dyDescent="0.3">
      <c r="X6356" s="1">
        <f t="shared" si="198"/>
        <v>0</v>
      </c>
      <c r="Y6356" s="1">
        <f t="shared" si="199"/>
        <v>0</v>
      </c>
    </row>
    <row r="6357" spans="24:25" x14ac:dyDescent="0.3">
      <c r="X6357" s="1">
        <f t="shared" si="198"/>
        <v>0</v>
      </c>
      <c r="Y6357" s="1">
        <f t="shared" si="199"/>
        <v>0</v>
      </c>
    </row>
    <row r="6358" spans="24:25" x14ac:dyDescent="0.3">
      <c r="X6358" s="1">
        <f t="shared" si="198"/>
        <v>0</v>
      </c>
      <c r="Y6358" s="1">
        <f t="shared" si="199"/>
        <v>0</v>
      </c>
    </row>
    <row r="6359" spans="24:25" x14ac:dyDescent="0.3">
      <c r="X6359" s="1">
        <f t="shared" si="198"/>
        <v>0</v>
      </c>
      <c r="Y6359" s="1">
        <f t="shared" si="199"/>
        <v>0</v>
      </c>
    </row>
    <row r="6360" spans="24:25" x14ac:dyDescent="0.3">
      <c r="X6360" s="1">
        <f t="shared" si="198"/>
        <v>0</v>
      </c>
      <c r="Y6360" s="1">
        <f t="shared" si="199"/>
        <v>0</v>
      </c>
    </row>
    <row r="6361" spans="24:25" x14ac:dyDescent="0.3">
      <c r="X6361" s="1">
        <f t="shared" si="198"/>
        <v>0</v>
      </c>
      <c r="Y6361" s="1">
        <f t="shared" si="199"/>
        <v>0</v>
      </c>
    </row>
    <row r="6362" spans="24:25" x14ac:dyDescent="0.3">
      <c r="X6362" s="1">
        <f t="shared" si="198"/>
        <v>0</v>
      </c>
      <c r="Y6362" s="1">
        <f t="shared" si="199"/>
        <v>0</v>
      </c>
    </row>
    <row r="6363" spans="24:25" x14ac:dyDescent="0.3">
      <c r="X6363" s="1">
        <f t="shared" si="198"/>
        <v>0</v>
      </c>
      <c r="Y6363" s="1">
        <f t="shared" si="199"/>
        <v>0</v>
      </c>
    </row>
    <row r="6364" spans="24:25" x14ac:dyDescent="0.3">
      <c r="X6364" s="1">
        <f t="shared" si="198"/>
        <v>0</v>
      </c>
      <c r="Y6364" s="1">
        <f t="shared" si="199"/>
        <v>0</v>
      </c>
    </row>
    <row r="6365" spans="24:25" x14ac:dyDescent="0.3">
      <c r="X6365" s="1">
        <f t="shared" si="198"/>
        <v>0</v>
      </c>
      <c r="Y6365" s="1">
        <f t="shared" si="199"/>
        <v>0</v>
      </c>
    </row>
    <row r="6366" spans="24:25" x14ac:dyDescent="0.3">
      <c r="X6366" s="1">
        <f t="shared" si="198"/>
        <v>0</v>
      </c>
      <c r="Y6366" s="1">
        <f t="shared" si="199"/>
        <v>0</v>
      </c>
    </row>
    <row r="6367" spans="24:25" x14ac:dyDescent="0.3">
      <c r="X6367" s="1">
        <f t="shared" si="198"/>
        <v>0</v>
      </c>
      <c r="Y6367" s="1">
        <f t="shared" si="199"/>
        <v>0</v>
      </c>
    </row>
    <row r="6368" spans="24:25" x14ac:dyDescent="0.3">
      <c r="X6368" s="1">
        <f t="shared" si="198"/>
        <v>0</v>
      </c>
      <c r="Y6368" s="1">
        <f t="shared" si="199"/>
        <v>0</v>
      </c>
    </row>
    <row r="6369" spans="24:25" x14ac:dyDescent="0.3">
      <c r="X6369" s="1">
        <f t="shared" si="198"/>
        <v>0</v>
      </c>
      <c r="Y6369" s="1">
        <f t="shared" si="199"/>
        <v>0</v>
      </c>
    </row>
    <row r="6370" spans="24:25" x14ac:dyDescent="0.3">
      <c r="X6370" s="1">
        <f t="shared" si="198"/>
        <v>0</v>
      </c>
      <c r="Y6370" s="1">
        <f t="shared" si="199"/>
        <v>0</v>
      </c>
    </row>
    <row r="6371" spans="24:25" x14ac:dyDescent="0.3">
      <c r="X6371" s="1">
        <f t="shared" si="198"/>
        <v>0</v>
      </c>
      <c r="Y6371" s="1">
        <f t="shared" si="199"/>
        <v>0</v>
      </c>
    </row>
    <row r="6372" spans="24:25" x14ac:dyDescent="0.3">
      <c r="X6372" s="1">
        <f t="shared" si="198"/>
        <v>0</v>
      </c>
      <c r="Y6372" s="1">
        <f t="shared" si="199"/>
        <v>0</v>
      </c>
    </row>
    <row r="6373" spans="24:25" x14ac:dyDescent="0.3">
      <c r="X6373" s="1">
        <f t="shared" si="198"/>
        <v>0</v>
      </c>
      <c r="Y6373" s="1">
        <f t="shared" si="199"/>
        <v>0</v>
      </c>
    </row>
    <row r="6374" spans="24:25" x14ac:dyDescent="0.3">
      <c r="X6374" s="1">
        <f t="shared" si="198"/>
        <v>0</v>
      </c>
      <c r="Y6374" s="1">
        <f t="shared" si="199"/>
        <v>0</v>
      </c>
    </row>
    <row r="6375" spans="24:25" x14ac:dyDescent="0.3">
      <c r="X6375" s="1">
        <f t="shared" si="198"/>
        <v>0</v>
      </c>
      <c r="Y6375" s="1">
        <f t="shared" si="199"/>
        <v>0</v>
      </c>
    </row>
    <row r="6376" spans="24:25" x14ac:dyDescent="0.3">
      <c r="X6376" s="1">
        <f t="shared" si="198"/>
        <v>0</v>
      </c>
      <c r="Y6376" s="1">
        <f t="shared" si="199"/>
        <v>0</v>
      </c>
    </row>
    <row r="6377" spans="24:25" x14ac:dyDescent="0.3">
      <c r="X6377" s="1">
        <f t="shared" si="198"/>
        <v>0</v>
      </c>
      <c r="Y6377" s="1">
        <f t="shared" si="199"/>
        <v>0</v>
      </c>
    </row>
    <row r="6378" spans="24:25" x14ac:dyDescent="0.3">
      <c r="X6378" s="1">
        <f t="shared" si="198"/>
        <v>0</v>
      </c>
      <c r="Y6378" s="1">
        <f t="shared" si="199"/>
        <v>0</v>
      </c>
    </row>
    <row r="6379" spans="24:25" x14ac:dyDescent="0.3">
      <c r="X6379" s="1">
        <f t="shared" si="198"/>
        <v>0</v>
      </c>
      <c r="Y6379" s="1">
        <f t="shared" si="199"/>
        <v>0</v>
      </c>
    </row>
    <row r="6380" spans="24:25" x14ac:dyDescent="0.3">
      <c r="X6380" s="1">
        <f t="shared" si="198"/>
        <v>0</v>
      </c>
      <c r="Y6380" s="1">
        <f t="shared" si="199"/>
        <v>0</v>
      </c>
    </row>
    <row r="6381" spans="24:25" x14ac:dyDescent="0.3">
      <c r="X6381" s="1">
        <f t="shared" si="198"/>
        <v>0</v>
      </c>
      <c r="Y6381" s="1">
        <f t="shared" si="199"/>
        <v>0</v>
      </c>
    </row>
    <row r="6382" spans="24:25" x14ac:dyDescent="0.3">
      <c r="X6382" s="1">
        <f t="shared" si="198"/>
        <v>0</v>
      </c>
      <c r="Y6382" s="1">
        <f t="shared" si="199"/>
        <v>0</v>
      </c>
    </row>
    <row r="6383" spans="24:25" x14ac:dyDescent="0.3">
      <c r="X6383" s="1">
        <f t="shared" si="198"/>
        <v>0</v>
      </c>
      <c r="Y6383" s="1">
        <f t="shared" si="199"/>
        <v>0</v>
      </c>
    </row>
    <row r="6384" spans="24:25" x14ac:dyDescent="0.3">
      <c r="X6384" s="1">
        <f t="shared" si="198"/>
        <v>0</v>
      </c>
      <c r="Y6384" s="1">
        <f t="shared" si="199"/>
        <v>0</v>
      </c>
    </row>
    <row r="6385" spans="24:25" x14ac:dyDescent="0.3">
      <c r="X6385" s="1">
        <f t="shared" si="198"/>
        <v>0</v>
      </c>
      <c r="Y6385" s="1">
        <f t="shared" si="199"/>
        <v>0</v>
      </c>
    </row>
    <row r="6386" spans="24:25" x14ac:dyDescent="0.3">
      <c r="X6386" s="1">
        <f t="shared" si="198"/>
        <v>0</v>
      </c>
      <c r="Y6386" s="1">
        <f t="shared" si="199"/>
        <v>0</v>
      </c>
    </row>
    <row r="6387" spans="24:25" x14ac:dyDescent="0.3">
      <c r="X6387" s="1">
        <f t="shared" si="198"/>
        <v>0</v>
      </c>
      <c r="Y6387" s="1">
        <f t="shared" si="199"/>
        <v>0</v>
      </c>
    </row>
    <row r="6388" spans="24:25" x14ac:dyDescent="0.3">
      <c r="X6388" s="1">
        <f t="shared" si="198"/>
        <v>0</v>
      </c>
      <c r="Y6388" s="1">
        <f t="shared" si="199"/>
        <v>0</v>
      </c>
    </row>
    <row r="6389" spans="24:25" x14ac:dyDescent="0.3">
      <c r="X6389" s="1">
        <f t="shared" si="198"/>
        <v>0</v>
      </c>
      <c r="Y6389" s="1">
        <f t="shared" si="199"/>
        <v>0</v>
      </c>
    </row>
    <row r="6390" spans="24:25" x14ac:dyDescent="0.3">
      <c r="X6390" s="1">
        <f t="shared" si="198"/>
        <v>0</v>
      </c>
      <c r="Y6390" s="1">
        <f t="shared" si="199"/>
        <v>0</v>
      </c>
    </row>
    <row r="6391" spans="24:25" x14ac:dyDescent="0.3">
      <c r="X6391" s="1">
        <f t="shared" si="198"/>
        <v>0</v>
      </c>
      <c r="Y6391" s="1">
        <f t="shared" si="199"/>
        <v>0</v>
      </c>
    </row>
    <row r="6392" spans="24:25" x14ac:dyDescent="0.3">
      <c r="X6392" s="1">
        <f t="shared" si="198"/>
        <v>0</v>
      </c>
      <c r="Y6392" s="1">
        <f t="shared" si="199"/>
        <v>0</v>
      </c>
    </row>
    <row r="6393" spans="24:25" x14ac:dyDescent="0.3">
      <c r="X6393" s="1">
        <f t="shared" si="198"/>
        <v>0</v>
      </c>
      <c r="Y6393" s="1">
        <f t="shared" si="199"/>
        <v>0</v>
      </c>
    </row>
    <row r="6394" spans="24:25" x14ac:dyDescent="0.3">
      <c r="X6394" s="1">
        <f t="shared" si="198"/>
        <v>0</v>
      </c>
      <c r="Y6394" s="1">
        <f t="shared" si="199"/>
        <v>0</v>
      </c>
    </row>
    <row r="6395" spans="24:25" x14ac:dyDescent="0.3">
      <c r="X6395" s="1">
        <f t="shared" si="198"/>
        <v>0</v>
      </c>
      <c r="Y6395" s="1">
        <f t="shared" si="199"/>
        <v>0</v>
      </c>
    </row>
    <row r="6396" spans="24:25" x14ac:dyDescent="0.3">
      <c r="X6396" s="1">
        <f t="shared" si="198"/>
        <v>0</v>
      </c>
      <c r="Y6396" s="1">
        <f t="shared" si="199"/>
        <v>0</v>
      </c>
    </row>
    <row r="6397" spans="24:25" x14ac:dyDescent="0.3">
      <c r="X6397" s="1">
        <f t="shared" si="198"/>
        <v>0</v>
      </c>
      <c r="Y6397" s="1">
        <f t="shared" si="199"/>
        <v>0</v>
      </c>
    </row>
    <row r="6398" spans="24:25" x14ac:dyDescent="0.3">
      <c r="X6398" s="1">
        <f t="shared" si="198"/>
        <v>0</v>
      </c>
      <c r="Y6398" s="1">
        <f t="shared" si="199"/>
        <v>0</v>
      </c>
    </row>
    <row r="6399" spans="24:25" x14ac:dyDescent="0.3">
      <c r="X6399" s="1">
        <f t="shared" si="198"/>
        <v>0</v>
      </c>
      <c r="Y6399" s="1">
        <f t="shared" si="199"/>
        <v>0</v>
      </c>
    </row>
    <row r="6400" spans="24:25" x14ac:dyDescent="0.3">
      <c r="X6400" s="1">
        <f t="shared" si="198"/>
        <v>0</v>
      </c>
      <c r="Y6400" s="1">
        <f t="shared" si="199"/>
        <v>0</v>
      </c>
    </row>
    <row r="6401" spans="24:25" x14ac:dyDescent="0.3">
      <c r="X6401" s="1">
        <f t="shared" si="198"/>
        <v>0</v>
      </c>
      <c r="Y6401" s="1">
        <f t="shared" si="199"/>
        <v>0</v>
      </c>
    </row>
    <row r="6402" spans="24:25" x14ac:dyDescent="0.3">
      <c r="X6402" s="1">
        <f t="shared" si="198"/>
        <v>0</v>
      </c>
      <c r="Y6402" s="1">
        <f t="shared" si="199"/>
        <v>0</v>
      </c>
    </row>
    <row r="6403" spans="24:25" x14ac:dyDescent="0.3">
      <c r="X6403" s="1">
        <f t="shared" ref="X6403:X6466" si="200">IFERROR(MATCH(W6403,$B:$B,0),0)</f>
        <v>0</v>
      </c>
      <c r="Y6403" s="1">
        <f t="shared" ref="Y6403:Y6466" si="201">IF(X6404=0,COUNTA(A:A),X6404-1)</f>
        <v>0</v>
      </c>
    </row>
    <row r="6404" spans="24:25" x14ac:dyDescent="0.3">
      <c r="X6404" s="1">
        <f t="shared" si="200"/>
        <v>0</v>
      </c>
      <c r="Y6404" s="1">
        <f t="shared" si="201"/>
        <v>0</v>
      </c>
    </row>
    <row r="6405" spans="24:25" x14ac:dyDescent="0.3">
      <c r="X6405" s="1">
        <f t="shared" si="200"/>
        <v>0</v>
      </c>
      <c r="Y6405" s="1">
        <f t="shared" si="201"/>
        <v>0</v>
      </c>
    </row>
    <row r="6406" spans="24:25" x14ac:dyDescent="0.3">
      <c r="X6406" s="1">
        <f t="shared" si="200"/>
        <v>0</v>
      </c>
      <c r="Y6406" s="1">
        <f t="shared" si="201"/>
        <v>0</v>
      </c>
    </row>
    <row r="6407" spans="24:25" x14ac:dyDescent="0.3">
      <c r="X6407" s="1">
        <f t="shared" si="200"/>
        <v>0</v>
      </c>
      <c r="Y6407" s="1">
        <f t="shared" si="201"/>
        <v>0</v>
      </c>
    </row>
    <row r="6408" spans="24:25" x14ac:dyDescent="0.3">
      <c r="X6408" s="1">
        <f t="shared" si="200"/>
        <v>0</v>
      </c>
      <c r="Y6408" s="1">
        <f t="shared" si="201"/>
        <v>0</v>
      </c>
    </row>
    <row r="6409" spans="24:25" x14ac:dyDescent="0.3">
      <c r="X6409" s="1">
        <f t="shared" si="200"/>
        <v>0</v>
      </c>
      <c r="Y6409" s="1">
        <f t="shared" si="201"/>
        <v>0</v>
      </c>
    </row>
    <row r="6410" spans="24:25" x14ac:dyDescent="0.3">
      <c r="X6410" s="1">
        <f t="shared" si="200"/>
        <v>0</v>
      </c>
      <c r="Y6410" s="1">
        <f t="shared" si="201"/>
        <v>0</v>
      </c>
    </row>
    <row r="6411" spans="24:25" x14ac:dyDescent="0.3">
      <c r="X6411" s="1">
        <f t="shared" si="200"/>
        <v>0</v>
      </c>
      <c r="Y6411" s="1">
        <f t="shared" si="201"/>
        <v>0</v>
      </c>
    </row>
    <row r="6412" spans="24:25" x14ac:dyDescent="0.3">
      <c r="X6412" s="1">
        <f t="shared" si="200"/>
        <v>0</v>
      </c>
      <c r="Y6412" s="1">
        <f t="shared" si="201"/>
        <v>0</v>
      </c>
    </row>
    <row r="6413" spans="24:25" x14ac:dyDescent="0.3">
      <c r="X6413" s="1">
        <f t="shared" si="200"/>
        <v>0</v>
      </c>
      <c r="Y6413" s="1">
        <f t="shared" si="201"/>
        <v>0</v>
      </c>
    </row>
    <row r="6414" spans="24:25" x14ac:dyDescent="0.3">
      <c r="X6414" s="1">
        <f t="shared" si="200"/>
        <v>0</v>
      </c>
      <c r="Y6414" s="1">
        <f t="shared" si="201"/>
        <v>0</v>
      </c>
    </row>
    <row r="6415" spans="24:25" x14ac:dyDescent="0.3">
      <c r="X6415" s="1">
        <f t="shared" si="200"/>
        <v>0</v>
      </c>
      <c r="Y6415" s="1">
        <f t="shared" si="201"/>
        <v>0</v>
      </c>
    </row>
    <row r="6416" spans="24:25" x14ac:dyDescent="0.3">
      <c r="X6416" s="1">
        <f t="shared" si="200"/>
        <v>0</v>
      </c>
      <c r="Y6416" s="1">
        <f t="shared" si="201"/>
        <v>0</v>
      </c>
    </row>
    <row r="6417" spans="24:25" x14ac:dyDescent="0.3">
      <c r="X6417" s="1">
        <f t="shared" si="200"/>
        <v>0</v>
      </c>
      <c r="Y6417" s="1">
        <f t="shared" si="201"/>
        <v>0</v>
      </c>
    </row>
    <row r="6418" spans="24:25" x14ac:dyDescent="0.3">
      <c r="X6418" s="1">
        <f t="shared" si="200"/>
        <v>0</v>
      </c>
      <c r="Y6418" s="1">
        <f t="shared" si="201"/>
        <v>0</v>
      </c>
    </row>
    <row r="6419" spans="24:25" x14ac:dyDescent="0.3">
      <c r="X6419" s="1">
        <f t="shared" si="200"/>
        <v>0</v>
      </c>
      <c r="Y6419" s="1">
        <f t="shared" si="201"/>
        <v>0</v>
      </c>
    </row>
    <row r="6420" spans="24:25" x14ac:dyDescent="0.3">
      <c r="X6420" s="1">
        <f t="shared" si="200"/>
        <v>0</v>
      </c>
      <c r="Y6420" s="1">
        <f t="shared" si="201"/>
        <v>0</v>
      </c>
    </row>
    <row r="6421" spans="24:25" x14ac:dyDescent="0.3">
      <c r="X6421" s="1">
        <f t="shared" si="200"/>
        <v>0</v>
      </c>
      <c r="Y6421" s="1">
        <f t="shared" si="201"/>
        <v>0</v>
      </c>
    </row>
    <row r="6422" spans="24:25" x14ac:dyDescent="0.3">
      <c r="X6422" s="1">
        <f t="shared" si="200"/>
        <v>0</v>
      </c>
      <c r="Y6422" s="1">
        <f t="shared" si="201"/>
        <v>0</v>
      </c>
    </row>
    <row r="6423" spans="24:25" x14ac:dyDescent="0.3">
      <c r="X6423" s="1">
        <f t="shared" si="200"/>
        <v>0</v>
      </c>
      <c r="Y6423" s="1">
        <f t="shared" si="201"/>
        <v>0</v>
      </c>
    </row>
    <row r="6424" spans="24:25" x14ac:dyDescent="0.3">
      <c r="X6424" s="1">
        <f t="shared" si="200"/>
        <v>0</v>
      </c>
      <c r="Y6424" s="1">
        <f t="shared" si="201"/>
        <v>0</v>
      </c>
    </row>
    <row r="6425" spans="24:25" x14ac:dyDescent="0.3">
      <c r="X6425" s="1">
        <f t="shared" si="200"/>
        <v>0</v>
      </c>
      <c r="Y6425" s="1">
        <f t="shared" si="201"/>
        <v>0</v>
      </c>
    </row>
    <row r="6426" spans="24:25" x14ac:dyDescent="0.3">
      <c r="X6426" s="1">
        <f t="shared" si="200"/>
        <v>0</v>
      </c>
      <c r="Y6426" s="1">
        <f t="shared" si="201"/>
        <v>0</v>
      </c>
    </row>
    <row r="6427" spans="24:25" x14ac:dyDescent="0.3">
      <c r="X6427" s="1">
        <f t="shared" si="200"/>
        <v>0</v>
      </c>
      <c r="Y6427" s="1">
        <f t="shared" si="201"/>
        <v>0</v>
      </c>
    </row>
    <row r="6428" spans="24:25" x14ac:dyDescent="0.3">
      <c r="X6428" s="1">
        <f t="shared" si="200"/>
        <v>0</v>
      </c>
      <c r="Y6428" s="1">
        <f t="shared" si="201"/>
        <v>0</v>
      </c>
    </row>
    <row r="6429" spans="24:25" x14ac:dyDescent="0.3">
      <c r="X6429" s="1">
        <f t="shared" si="200"/>
        <v>0</v>
      </c>
      <c r="Y6429" s="1">
        <f t="shared" si="201"/>
        <v>0</v>
      </c>
    </row>
    <row r="6430" spans="24:25" x14ac:dyDescent="0.3">
      <c r="X6430" s="1">
        <f t="shared" si="200"/>
        <v>0</v>
      </c>
      <c r="Y6430" s="1">
        <f t="shared" si="201"/>
        <v>0</v>
      </c>
    </row>
    <row r="6431" spans="24:25" x14ac:dyDescent="0.3">
      <c r="X6431" s="1">
        <f t="shared" si="200"/>
        <v>0</v>
      </c>
      <c r="Y6431" s="1">
        <f t="shared" si="201"/>
        <v>0</v>
      </c>
    </row>
    <row r="6432" spans="24:25" x14ac:dyDescent="0.3">
      <c r="X6432" s="1">
        <f t="shared" si="200"/>
        <v>0</v>
      </c>
      <c r="Y6432" s="1">
        <f t="shared" si="201"/>
        <v>0</v>
      </c>
    </row>
    <row r="6433" spans="24:25" x14ac:dyDescent="0.3">
      <c r="X6433" s="1">
        <f t="shared" si="200"/>
        <v>0</v>
      </c>
      <c r="Y6433" s="1">
        <f t="shared" si="201"/>
        <v>0</v>
      </c>
    </row>
    <row r="6434" spans="24:25" x14ac:dyDescent="0.3">
      <c r="X6434" s="1">
        <f t="shared" si="200"/>
        <v>0</v>
      </c>
      <c r="Y6434" s="1">
        <f t="shared" si="201"/>
        <v>0</v>
      </c>
    </row>
    <row r="6435" spans="24:25" x14ac:dyDescent="0.3">
      <c r="X6435" s="1">
        <f t="shared" si="200"/>
        <v>0</v>
      </c>
      <c r="Y6435" s="1">
        <f t="shared" si="201"/>
        <v>0</v>
      </c>
    </row>
    <row r="6436" spans="24:25" x14ac:dyDescent="0.3">
      <c r="X6436" s="1">
        <f t="shared" si="200"/>
        <v>0</v>
      </c>
      <c r="Y6436" s="1">
        <f t="shared" si="201"/>
        <v>0</v>
      </c>
    </row>
    <row r="6437" spans="24:25" x14ac:dyDescent="0.3">
      <c r="X6437" s="1">
        <f t="shared" si="200"/>
        <v>0</v>
      </c>
      <c r="Y6437" s="1">
        <f t="shared" si="201"/>
        <v>0</v>
      </c>
    </row>
    <row r="6438" spans="24:25" x14ac:dyDescent="0.3">
      <c r="X6438" s="1">
        <f t="shared" si="200"/>
        <v>0</v>
      </c>
      <c r="Y6438" s="1">
        <f t="shared" si="201"/>
        <v>0</v>
      </c>
    </row>
    <row r="6439" spans="24:25" x14ac:dyDescent="0.3">
      <c r="X6439" s="1">
        <f t="shared" si="200"/>
        <v>0</v>
      </c>
      <c r="Y6439" s="1">
        <f t="shared" si="201"/>
        <v>0</v>
      </c>
    </row>
    <row r="6440" spans="24:25" x14ac:dyDescent="0.3">
      <c r="X6440" s="1">
        <f t="shared" si="200"/>
        <v>0</v>
      </c>
      <c r="Y6440" s="1">
        <f t="shared" si="201"/>
        <v>0</v>
      </c>
    </row>
    <row r="6441" spans="24:25" x14ac:dyDescent="0.3">
      <c r="X6441" s="1">
        <f t="shared" si="200"/>
        <v>0</v>
      </c>
      <c r="Y6441" s="1">
        <f t="shared" si="201"/>
        <v>0</v>
      </c>
    </row>
    <row r="6442" spans="24:25" x14ac:dyDescent="0.3">
      <c r="X6442" s="1">
        <f t="shared" si="200"/>
        <v>0</v>
      </c>
      <c r="Y6442" s="1">
        <f t="shared" si="201"/>
        <v>0</v>
      </c>
    </row>
    <row r="6443" spans="24:25" x14ac:dyDescent="0.3">
      <c r="X6443" s="1">
        <f t="shared" si="200"/>
        <v>0</v>
      </c>
      <c r="Y6443" s="1">
        <f t="shared" si="201"/>
        <v>0</v>
      </c>
    </row>
    <row r="6444" spans="24:25" x14ac:dyDescent="0.3">
      <c r="X6444" s="1">
        <f t="shared" si="200"/>
        <v>0</v>
      </c>
      <c r="Y6444" s="1">
        <f t="shared" si="201"/>
        <v>0</v>
      </c>
    </row>
    <row r="6445" spans="24:25" x14ac:dyDescent="0.3">
      <c r="X6445" s="1">
        <f t="shared" si="200"/>
        <v>0</v>
      </c>
      <c r="Y6445" s="1">
        <f t="shared" si="201"/>
        <v>0</v>
      </c>
    </row>
    <row r="6446" spans="24:25" x14ac:dyDescent="0.3">
      <c r="X6446" s="1">
        <f t="shared" si="200"/>
        <v>0</v>
      </c>
      <c r="Y6446" s="1">
        <f t="shared" si="201"/>
        <v>0</v>
      </c>
    </row>
    <row r="6447" spans="24:25" x14ac:dyDescent="0.3">
      <c r="X6447" s="1">
        <f t="shared" si="200"/>
        <v>0</v>
      </c>
      <c r="Y6447" s="1">
        <f t="shared" si="201"/>
        <v>0</v>
      </c>
    </row>
    <row r="6448" spans="24:25" x14ac:dyDescent="0.3">
      <c r="X6448" s="1">
        <f t="shared" si="200"/>
        <v>0</v>
      </c>
      <c r="Y6448" s="1">
        <f t="shared" si="201"/>
        <v>0</v>
      </c>
    </row>
    <row r="6449" spans="24:25" x14ac:dyDescent="0.3">
      <c r="X6449" s="1">
        <f t="shared" si="200"/>
        <v>0</v>
      </c>
      <c r="Y6449" s="1">
        <f t="shared" si="201"/>
        <v>0</v>
      </c>
    </row>
    <row r="6450" spans="24:25" x14ac:dyDescent="0.3">
      <c r="X6450" s="1">
        <f t="shared" si="200"/>
        <v>0</v>
      </c>
      <c r="Y6450" s="1">
        <f t="shared" si="201"/>
        <v>0</v>
      </c>
    </row>
    <row r="6451" spans="24:25" x14ac:dyDescent="0.3">
      <c r="X6451" s="1">
        <f t="shared" si="200"/>
        <v>0</v>
      </c>
      <c r="Y6451" s="1">
        <f t="shared" si="201"/>
        <v>0</v>
      </c>
    </row>
    <row r="6452" spans="24:25" x14ac:dyDescent="0.3">
      <c r="X6452" s="1">
        <f t="shared" si="200"/>
        <v>0</v>
      </c>
      <c r="Y6452" s="1">
        <f t="shared" si="201"/>
        <v>0</v>
      </c>
    </row>
    <row r="6453" spans="24:25" x14ac:dyDescent="0.3">
      <c r="X6453" s="1">
        <f t="shared" si="200"/>
        <v>0</v>
      </c>
      <c r="Y6453" s="1">
        <f t="shared" si="201"/>
        <v>0</v>
      </c>
    </row>
    <row r="6454" spans="24:25" x14ac:dyDescent="0.3">
      <c r="X6454" s="1">
        <f t="shared" si="200"/>
        <v>0</v>
      </c>
      <c r="Y6454" s="1">
        <f t="shared" si="201"/>
        <v>0</v>
      </c>
    </row>
    <row r="6455" spans="24:25" x14ac:dyDescent="0.3">
      <c r="X6455" s="1">
        <f t="shared" si="200"/>
        <v>0</v>
      </c>
      <c r="Y6455" s="1">
        <f t="shared" si="201"/>
        <v>0</v>
      </c>
    </row>
    <row r="6456" spans="24:25" x14ac:dyDescent="0.3">
      <c r="X6456" s="1">
        <f t="shared" si="200"/>
        <v>0</v>
      </c>
      <c r="Y6456" s="1">
        <f t="shared" si="201"/>
        <v>0</v>
      </c>
    </row>
    <row r="6457" spans="24:25" x14ac:dyDescent="0.3">
      <c r="X6457" s="1">
        <f t="shared" si="200"/>
        <v>0</v>
      </c>
      <c r="Y6457" s="1">
        <f t="shared" si="201"/>
        <v>0</v>
      </c>
    </row>
    <row r="6458" spans="24:25" x14ac:dyDescent="0.3">
      <c r="X6458" s="1">
        <f t="shared" si="200"/>
        <v>0</v>
      </c>
      <c r="Y6458" s="1">
        <f t="shared" si="201"/>
        <v>0</v>
      </c>
    </row>
    <row r="6459" spans="24:25" x14ac:dyDescent="0.3">
      <c r="X6459" s="1">
        <f t="shared" si="200"/>
        <v>0</v>
      </c>
      <c r="Y6459" s="1">
        <f t="shared" si="201"/>
        <v>0</v>
      </c>
    </row>
    <row r="6460" spans="24:25" x14ac:dyDescent="0.3">
      <c r="X6460" s="1">
        <f t="shared" si="200"/>
        <v>0</v>
      </c>
      <c r="Y6460" s="1">
        <f t="shared" si="201"/>
        <v>0</v>
      </c>
    </row>
    <row r="6461" spans="24:25" x14ac:dyDescent="0.3">
      <c r="X6461" s="1">
        <f t="shared" si="200"/>
        <v>0</v>
      </c>
      <c r="Y6461" s="1">
        <f t="shared" si="201"/>
        <v>0</v>
      </c>
    </row>
    <row r="6462" spans="24:25" x14ac:dyDescent="0.3">
      <c r="X6462" s="1">
        <f t="shared" si="200"/>
        <v>0</v>
      </c>
      <c r="Y6462" s="1">
        <f t="shared" si="201"/>
        <v>0</v>
      </c>
    </row>
    <row r="6463" spans="24:25" x14ac:dyDescent="0.3">
      <c r="X6463" s="1">
        <f t="shared" si="200"/>
        <v>0</v>
      </c>
      <c r="Y6463" s="1">
        <f t="shared" si="201"/>
        <v>0</v>
      </c>
    </row>
    <row r="6464" spans="24:25" x14ac:dyDescent="0.3">
      <c r="X6464" s="1">
        <f t="shared" si="200"/>
        <v>0</v>
      </c>
      <c r="Y6464" s="1">
        <f t="shared" si="201"/>
        <v>0</v>
      </c>
    </row>
    <row r="6465" spans="24:25" x14ac:dyDescent="0.3">
      <c r="X6465" s="1">
        <f t="shared" si="200"/>
        <v>0</v>
      </c>
      <c r="Y6465" s="1">
        <f t="shared" si="201"/>
        <v>0</v>
      </c>
    </row>
    <row r="6466" spans="24:25" x14ac:dyDescent="0.3">
      <c r="X6466" s="1">
        <f t="shared" si="200"/>
        <v>0</v>
      </c>
      <c r="Y6466" s="1">
        <f t="shared" si="201"/>
        <v>0</v>
      </c>
    </row>
    <row r="6467" spans="24:25" x14ac:dyDescent="0.3">
      <c r="X6467" s="1">
        <f t="shared" ref="X6467:X6530" si="202">IFERROR(MATCH(W6467,$B:$B,0),0)</f>
        <v>0</v>
      </c>
      <c r="Y6467" s="1">
        <f t="shared" ref="Y6467:Y6530" si="203">IF(X6468=0,COUNTA(A:A),X6468-1)</f>
        <v>0</v>
      </c>
    </row>
    <row r="6468" spans="24:25" x14ac:dyDescent="0.3">
      <c r="X6468" s="1">
        <f t="shared" si="202"/>
        <v>0</v>
      </c>
      <c r="Y6468" s="1">
        <f t="shared" si="203"/>
        <v>0</v>
      </c>
    </row>
    <row r="6469" spans="24:25" x14ac:dyDescent="0.3">
      <c r="X6469" s="1">
        <f t="shared" si="202"/>
        <v>0</v>
      </c>
      <c r="Y6469" s="1">
        <f t="shared" si="203"/>
        <v>0</v>
      </c>
    </row>
    <row r="6470" spans="24:25" x14ac:dyDescent="0.3">
      <c r="X6470" s="1">
        <f t="shared" si="202"/>
        <v>0</v>
      </c>
      <c r="Y6470" s="1">
        <f t="shared" si="203"/>
        <v>0</v>
      </c>
    </row>
    <row r="6471" spans="24:25" x14ac:dyDescent="0.3">
      <c r="X6471" s="1">
        <f t="shared" si="202"/>
        <v>0</v>
      </c>
      <c r="Y6471" s="1">
        <f t="shared" si="203"/>
        <v>0</v>
      </c>
    </row>
    <row r="6472" spans="24:25" x14ac:dyDescent="0.3">
      <c r="X6472" s="1">
        <f t="shared" si="202"/>
        <v>0</v>
      </c>
      <c r="Y6472" s="1">
        <f t="shared" si="203"/>
        <v>0</v>
      </c>
    </row>
    <row r="6473" spans="24:25" x14ac:dyDescent="0.3">
      <c r="X6473" s="1">
        <f t="shared" si="202"/>
        <v>0</v>
      </c>
      <c r="Y6473" s="1">
        <f t="shared" si="203"/>
        <v>0</v>
      </c>
    </row>
    <row r="6474" spans="24:25" x14ac:dyDescent="0.3">
      <c r="X6474" s="1">
        <f t="shared" si="202"/>
        <v>0</v>
      </c>
      <c r="Y6474" s="1">
        <f t="shared" si="203"/>
        <v>0</v>
      </c>
    </row>
    <row r="6475" spans="24:25" x14ac:dyDescent="0.3">
      <c r="X6475" s="1">
        <f t="shared" si="202"/>
        <v>0</v>
      </c>
      <c r="Y6475" s="1">
        <f t="shared" si="203"/>
        <v>0</v>
      </c>
    </row>
    <row r="6476" spans="24:25" x14ac:dyDescent="0.3">
      <c r="X6476" s="1">
        <f t="shared" si="202"/>
        <v>0</v>
      </c>
      <c r="Y6476" s="1">
        <f t="shared" si="203"/>
        <v>0</v>
      </c>
    </row>
    <row r="6477" spans="24:25" x14ac:dyDescent="0.3">
      <c r="X6477" s="1">
        <f t="shared" si="202"/>
        <v>0</v>
      </c>
      <c r="Y6477" s="1">
        <f t="shared" si="203"/>
        <v>0</v>
      </c>
    </row>
    <row r="6478" spans="24:25" x14ac:dyDescent="0.3">
      <c r="X6478" s="1">
        <f t="shared" si="202"/>
        <v>0</v>
      </c>
      <c r="Y6478" s="1">
        <f t="shared" si="203"/>
        <v>0</v>
      </c>
    </row>
    <row r="6479" spans="24:25" x14ac:dyDescent="0.3">
      <c r="X6479" s="1">
        <f t="shared" si="202"/>
        <v>0</v>
      </c>
      <c r="Y6479" s="1">
        <f t="shared" si="203"/>
        <v>0</v>
      </c>
    </row>
    <row r="6480" spans="24:25" x14ac:dyDescent="0.3">
      <c r="X6480" s="1">
        <f t="shared" si="202"/>
        <v>0</v>
      </c>
      <c r="Y6480" s="1">
        <f t="shared" si="203"/>
        <v>0</v>
      </c>
    </row>
    <row r="6481" spans="24:25" x14ac:dyDescent="0.3">
      <c r="X6481" s="1">
        <f t="shared" si="202"/>
        <v>0</v>
      </c>
      <c r="Y6481" s="1">
        <f t="shared" si="203"/>
        <v>0</v>
      </c>
    </row>
    <row r="6482" spans="24:25" x14ac:dyDescent="0.3">
      <c r="X6482" s="1">
        <f t="shared" si="202"/>
        <v>0</v>
      </c>
      <c r="Y6482" s="1">
        <f t="shared" si="203"/>
        <v>0</v>
      </c>
    </row>
    <row r="6483" spans="24:25" x14ac:dyDescent="0.3">
      <c r="X6483" s="1">
        <f t="shared" si="202"/>
        <v>0</v>
      </c>
      <c r="Y6483" s="1">
        <f t="shared" si="203"/>
        <v>0</v>
      </c>
    </row>
    <row r="6484" spans="24:25" x14ac:dyDescent="0.3">
      <c r="X6484" s="1">
        <f t="shared" si="202"/>
        <v>0</v>
      </c>
      <c r="Y6484" s="1">
        <f t="shared" si="203"/>
        <v>0</v>
      </c>
    </row>
    <row r="6485" spans="24:25" x14ac:dyDescent="0.3">
      <c r="X6485" s="1">
        <f t="shared" si="202"/>
        <v>0</v>
      </c>
      <c r="Y6485" s="1">
        <f t="shared" si="203"/>
        <v>0</v>
      </c>
    </row>
    <row r="6486" spans="24:25" x14ac:dyDescent="0.3">
      <c r="X6486" s="1">
        <f t="shared" si="202"/>
        <v>0</v>
      </c>
      <c r="Y6486" s="1">
        <f t="shared" si="203"/>
        <v>0</v>
      </c>
    </row>
    <row r="6487" spans="24:25" x14ac:dyDescent="0.3">
      <c r="X6487" s="1">
        <f t="shared" si="202"/>
        <v>0</v>
      </c>
      <c r="Y6487" s="1">
        <f t="shared" si="203"/>
        <v>0</v>
      </c>
    </row>
    <row r="6488" spans="24:25" x14ac:dyDescent="0.3">
      <c r="X6488" s="1">
        <f t="shared" si="202"/>
        <v>0</v>
      </c>
      <c r="Y6488" s="1">
        <f t="shared" si="203"/>
        <v>0</v>
      </c>
    </row>
    <row r="6489" spans="24:25" x14ac:dyDescent="0.3">
      <c r="X6489" s="1">
        <f t="shared" si="202"/>
        <v>0</v>
      </c>
      <c r="Y6489" s="1">
        <f t="shared" si="203"/>
        <v>0</v>
      </c>
    </row>
    <row r="6490" spans="24:25" x14ac:dyDescent="0.3">
      <c r="X6490" s="1">
        <f t="shared" si="202"/>
        <v>0</v>
      </c>
      <c r="Y6490" s="1">
        <f t="shared" si="203"/>
        <v>0</v>
      </c>
    </row>
    <row r="6491" spans="24:25" x14ac:dyDescent="0.3">
      <c r="X6491" s="1">
        <f t="shared" si="202"/>
        <v>0</v>
      </c>
      <c r="Y6491" s="1">
        <f t="shared" si="203"/>
        <v>0</v>
      </c>
    </row>
    <row r="6492" spans="24:25" x14ac:dyDescent="0.3">
      <c r="X6492" s="1">
        <f t="shared" si="202"/>
        <v>0</v>
      </c>
      <c r="Y6492" s="1">
        <f t="shared" si="203"/>
        <v>0</v>
      </c>
    </row>
    <row r="6493" spans="24:25" x14ac:dyDescent="0.3">
      <c r="X6493" s="1">
        <f t="shared" si="202"/>
        <v>0</v>
      </c>
      <c r="Y6493" s="1">
        <f t="shared" si="203"/>
        <v>0</v>
      </c>
    </row>
    <row r="6494" spans="24:25" x14ac:dyDescent="0.3">
      <c r="X6494" s="1">
        <f t="shared" si="202"/>
        <v>0</v>
      </c>
      <c r="Y6494" s="1">
        <f t="shared" si="203"/>
        <v>0</v>
      </c>
    </row>
    <row r="6495" spans="24:25" x14ac:dyDescent="0.3">
      <c r="X6495" s="1">
        <f t="shared" si="202"/>
        <v>0</v>
      </c>
      <c r="Y6495" s="1">
        <f t="shared" si="203"/>
        <v>0</v>
      </c>
    </row>
    <row r="6496" spans="24:25" x14ac:dyDescent="0.3">
      <c r="X6496" s="1">
        <f t="shared" si="202"/>
        <v>0</v>
      </c>
      <c r="Y6496" s="1">
        <f t="shared" si="203"/>
        <v>0</v>
      </c>
    </row>
    <row r="6497" spans="24:25" x14ac:dyDescent="0.3">
      <c r="X6497" s="1">
        <f t="shared" si="202"/>
        <v>0</v>
      </c>
      <c r="Y6497" s="1">
        <f t="shared" si="203"/>
        <v>0</v>
      </c>
    </row>
    <row r="6498" spans="24:25" x14ac:dyDescent="0.3">
      <c r="X6498" s="1">
        <f t="shared" si="202"/>
        <v>0</v>
      </c>
      <c r="Y6498" s="1">
        <f t="shared" si="203"/>
        <v>0</v>
      </c>
    </row>
    <row r="6499" spans="24:25" x14ac:dyDescent="0.3">
      <c r="X6499" s="1">
        <f t="shared" si="202"/>
        <v>0</v>
      </c>
      <c r="Y6499" s="1">
        <f t="shared" si="203"/>
        <v>0</v>
      </c>
    </row>
    <row r="6500" spans="24:25" x14ac:dyDescent="0.3">
      <c r="X6500" s="1">
        <f t="shared" si="202"/>
        <v>0</v>
      </c>
      <c r="Y6500" s="1">
        <f t="shared" si="203"/>
        <v>0</v>
      </c>
    </row>
    <row r="6501" spans="24:25" x14ac:dyDescent="0.3">
      <c r="X6501" s="1">
        <f t="shared" si="202"/>
        <v>0</v>
      </c>
      <c r="Y6501" s="1">
        <f t="shared" si="203"/>
        <v>0</v>
      </c>
    </row>
    <row r="6502" spans="24:25" x14ac:dyDescent="0.3">
      <c r="X6502" s="1">
        <f t="shared" si="202"/>
        <v>0</v>
      </c>
      <c r="Y6502" s="1">
        <f t="shared" si="203"/>
        <v>0</v>
      </c>
    </row>
    <row r="6503" spans="24:25" x14ac:dyDescent="0.3">
      <c r="X6503" s="1">
        <f t="shared" si="202"/>
        <v>0</v>
      </c>
      <c r="Y6503" s="1">
        <f t="shared" si="203"/>
        <v>0</v>
      </c>
    </row>
    <row r="6504" spans="24:25" x14ac:dyDescent="0.3">
      <c r="X6504" s="1">
        <f t="shared" si="202"/>
        <v>0</v>
      </c>
      <c r="Y6504" s="1">
        <f t="shared" si="203"/>
        <v>0</v>
      </c>
    </row>
    <row r="6505" spans="24:25" x14ac:dyDescent="0.3">
      <c r="X6505" s="1">
        <f t="shared" si="202"/>
        <v>0</v>
      </c>
      <c r="Y6505" s="1">
        <f t="shared" si="203"/>
        <v>0</v>
      </c>
    </row>
    <row r="6506" spans="24:25" x14ac:dyDescent="0.3">
      <c r="X6506" s="1">
        <f t="shared" si="202"/>
        <v>0</v>
      </c>
      <c r="Y6506" s="1">
        <f t="shared" si="203"/>
        <v>0</v>
      </c>
    </row>
    <row r="6507" spans="24:25" x14ac:dyDescent="0.3">
      <c r="X6507" s="1">
        <f t="shared" si="202"/>
        <v>0</v>
      </c>
      <c r="Y6507" s="1">
        <f t="shared" si="203"/>
        <v>0</v>
      </c>
    </row>
    <row r="6508" spans="24:25" x14ac:dyDescent="0.3">
      <c r="X6508" s="1">
        <f t="shared" si="202"/>
        <v>0</v>
      </c>
      <c r="Y6508" s="1">
        <f t="shared" si="203"/>
        <v>0</v>
      </c>
    </row>
    <row r="6509" spans="24:25" x14ac:dyDescent="0.3">
      <c r="X6509" s="1">
        <f t="shared" si="202"/>
        <v>0</v>
      </c>
      <c r="Y6509" s="1">
        <f t="shared" si="203"/>
        <v>0</v>
      </c>
    </row>
    <row r="6510" spans="24:25" x14ac:dyDescent="0.3">
      <c r="X6510" s="1">
        <f t="shared" si="202"/>
        <v>0</v>
      </c>
      <c r="Y6510" s="1">
        <f t="shared" si="203"/>
        <v>0</v>
      </c>
    </row>
    <row r="6511" spans="24:25" x14ac:dyDescent="0.3">
      <c r="X6511" s="1">
        <f t="shared" si="202"/>
        <v>0</v>
      </c>
      <c r="Y6511" s="1">
        <f t="shared" si="203"/>
        <v>0</v>
      </c>
    </row>
    <row r="6512" spans="24:25" x14ac:dyDescent="0.3">
      <c r="X6512" s="1">
        <f t="shared" si="202"/>
        <v>0</v>
      </c>
      <c r="Y6512" s="1">
        <f t="shared" si="203"/>
        <v>0</v>
      </c>
    </row>
    <row r="6513" spans="24:25" x14ac:dyDescent="0.3">
      <c r="X6513" s="1">
        <f t="shared" si="202"/>
        <v>0</v>
      </c>
      <c r="Y6513" s="1">
        <f t="shared" si="203"/>
        <v>0</v>
      </c>
    </row>
    <row r="6514" spans="24:25" x14ac:dyDescent="0.3">
      <c r="X6514" s="1">
        <f t="shared" si="202"/>
        <v>0</v>
      </c>
      <c r="Y6514" s="1">
        <f t="shared" si="203"/>
        <v>0</v>
      </c>
    </row>
    <row r="6515" spans="24:25" x14ac:dyDescent="0.3">
      <c r="X6515" s="1">
        <f t="shared" si="202"/>
        <v>0</v>
      </c>
      <c r="Y6515" s="1">
        <f t="shared" si="203"/>
        <v>0</v>
      </c>
    </row>
    <row r="6516" spans="24:25" x14ac:dyDescent="0.3">
      <c r="X6516" s="1">
        <f t="shared" si="202"/>
        <v>0</v>
      </c>
      <c r="Y6516" s="1">
        <f t="shared" si="203"/>
        <v>0</v>
      </c>
    </row>
    <row r="6517" spans="24:25" x14ac:dyDescent="0.3">
      <c r="X6517" s="1">
        <f t="shared" si="202"/>
        <v>0</v>
      </c>
      <c r="Y6517" s="1">
        <f t="shared" si="203"/>
        <v>0</v>
      </c>
    </row>
    <row r="6518" spans="24:25" x14ac:dyDescent="0.3">
      <c r="X6518" s="1">
        <f t="shared" si="202"/>
        <v>0</v>
      </c>
      <c r="Y6518" s="1">
        <f t="shared" si="203"/>
        <v>0</v>
      </c>
    </row>
    <row r="6519" spans="24:25" x14ac:dyDescent="0.3">
      <c r="X6519" s="1">
        <f t="shared" si="202"/>
        <v>0</v>
      </c>
      <c r="Y6519" s="1">
        <f t="shared" si="203"/>
        <v>0</v>
      </c>
    </row>
    <row r="6520" spans="24:25" x14ac:dyDescent="0.3">
      <c r="X6520" s="1">
        <f t="shared" si="202"/>
        <v>0</v>
      </c>
      <c r="Y6520" s="1">
        <f t="shared" si="203"/>
        <v>0</v>
      </c>
    </row>
    <row r="6521" spans="24:25" x14ac:dyDescent="0.3">
      <c r="X6521" s="1">
        <f t="shared" si="202"/>
        <v>0</v>
      </c>
      <c r="Y6521" s="1">
        <f t="shared" si="203"/>
        <v>0</v>
      </c>
    </row>
    <row r="6522" spans="24:25" x14ac:dyDescent="0.3">
      <c r="X6522" s="1">
        <f t="shared" si="202"/>
        <v>0</v>
      </c>
      <c r="Y6522" s="1">
        <f t="shared" si="203"/>
        <v>0</v>
      </c>
    </row>
    <row r="6523" spans="24:25" x14ac:dyDescent="0.3">
      <c r="X6523" s="1">
        <f t="shared" si="202"/>
        <v>0</v>
      </c>
      <c r="Y6523" s="1">
        <f t="shared" si="203"/>
        <v>0</v>
      </c>
    </row>
    <row r="6524" spans="24:25" x14ac:dyDescent="0.3">
      <c r="X6524" s="1">
        <f t="shared" si="202"/>
        <v>0</v>
      </c>
      <c r="Y6524" s="1">
        <f t="shared" si="203"/>
        <v>0</v>
      </c>
    </row>
    <row r="6525" spans="24:25" x14ac:dyDescent="0.3">
      <c r="X6525" s="1">
        <f t="shared" si="202"/>
        <v>0</v>
      </c>
      <c r="Y6525" s="1">
        <f t="shared" si="203"/>
        <v>0</v>
      </c>
    </row>
    <row r="6526" spans="24:25" x14ac:dyDescent="0.3">
      <c r="X6526" s="1">
        <f t="shared" si="202"/>
        <v>0</v>
      </c>
      <c r="Y6526" s="1">
        <f t="shared" si="203"/>
        <v>0</v>
      </c>
    </row>
    <row r="6527" spans="24:25" x14ac:dyDescent="0.3">
      <c r="X6527" s="1">
        <f t="shared" si="202"/>
        <v>0</v>
      </c>
      <c r="Y6527" s="1">
        <f t="shared" si="203"/>
        <v>0</v>
      </c>
    </row>
    <row r="6528" spans="24:25" x14ac:dyDescent="0.3">
      <c r="X6528" s="1">
        <f t="shared" si="202"/>
        <v>0</v>
      </c>
      <c r="Y6528" s="1">
        <f t="shared" si="203"/>
        <v>0</v>
      </c>
    </row>
    <row r="6529" spans="24:25" x14ac:dyDescent="0.3">
      <c r="X6529" s="1">
        <f t="shared" si="202"/>
        <v>0</v>
      </c>
      <c r="Y6529" s="1">
        <f t="shared" si="203"/>
        <v>0</v>
      </c>
    </row>
    <row r="6530" spans="24:25" x14ac:dyDescent="0.3">
      <c r="X6530" s="1">
        <f t="shared" si="202"/>
        <v>0</v>
      </c>
      <c r="Y6530" s="1">
        <f t="shared" si="203"/>
        <v>0</v>
      </c>
    </row>
    <row r="6531" spans="24:25" x14ac:dyDescent="0.3">
      <c r="X6531" s="1">
        <f t="shared" ref="X6531:X6594" si="204">IFERROR(MATCH(W6531,$B:$B,0),0)</f>
        <v>0</v>
      </c>
      <c r="Y6531" s="1">
        <f t="shared" ref="Y6531:Y6594" si="205">IF(X6532=0,COUNTA(A:A),X6532-1)</f>
        <v>0</v>
      </c>
    </row>
    <row r="6532" spans="24:25" x14ac:dyDescent="0.3">
      <c r="X6532" s="1">
        <f t="shared" si="204"/>
        <v>0</v>
      </c>
      <c r="Y6532" s="1">
        <f t="shared" si="205"/>
        <v>0</v>
      </c>
    </row>
    <row r="6533" spans="24:25" x14ac:dyDescent="0.3">
      <c r="X6533" s="1">
        <f t="shared" si="204"/>
        <v>0</v>
      </c>
      <c r="Y6533" s="1">
        <f t="shared" si="205"/>
        <v>0</v>
      </c>
    </row>
    <row r="6534" spans="24:25" x14ac:dyDescent="0.3">
      <c r="X6534" s="1">
        <f t="shared" si="204"/>
        <v>0</v>
      </c>
      <c r="Y6534" s="1">
        <f t="shared" si="205"/>
        <v>0</v>
      </c>
    </row>
    <row r="6535" spans="24:25" x14ac:dyDescent="0.3">
      <c r="X6535" s="1">
        <f t="shared" si="204"/>
        <v>0</v>
      </c>
      <c r="Y6535" s="1">
        <f t="shared" si="205"/>
        <v>0</v>
      </c>
    </row>
    <row r="6536" spans="24:25" x14ac:dyDescent="0.3">
      <c r="X6536" s="1">
        <f t="shared" si="204"/>
        <v>0</v>
      </c>
      <c r="Y6536" s="1">
        <f t="shared" si="205"/>
        <v>0</v>
      </c>
    </row>
    <row r="6537" spans="24:25" x14ac:dyDescent="0.3">
      <c r="X6537" s="1">
        <f t="shared" si="204"/>
        <v>0</v>
      </c>
      <c r="Y6537" s="1">
        <f t="shared" si="205"/>
        <v>0</v>
      </c>
    </row>
    <row r="6538" spans="24:25" x14ac:dyDescent="0.3">
      <c r="X6538" s="1">
        <f t="shared" si="204"/>
        <v>0</v>
      </c>
      <c r="Y6538" s="1">
        <f t="shared" si="205"/>
        <v>0</v>
      </c>
    </row>
    <row r="6539" spans="24:25" x14ac:dyDescent="0.3">
      <c r="X6539" s="1">
        <f t="shared" si="204"/>
        <v>0</v>
      </c>
      <c r="Y6539" s="1">
        <f t="shared" si="205"/>
        <v>0</v>
      </c>
    </row>
    <row r="6540" spans="24:25" x14ac:dyDescent="0.3">
      <c r="X6540" s="1">
        <f t="shared" si="204"/>
        <v>0</v>
      </c>
      <c r="Y6540" s="1">
        <f t="shared" si="205"/>
        <v>0</v>
      </c>
    </row>
    <row r="6541" spans="24:25" x14ac:dyDescent="0.3">
      <c r="X6541" s="1">
        <f t="shared" si="204"/>
        <v>0</v>
      </c>
      <c r="Y6541" s="1">
        <f t="shared" si="205"/>
        <v>0</v>
      </c>
    </row>
    <row r="6542" spans="24:25" x14ac:dyDescent="0.3">
      <c r="X6542" s="1">
        <f t="shared" si="204"/>
        <v>0</v>
      </c>
      <c r="Y6542" s="1">
        <f t="shared" si="205"/>
        <v>0</v>
      </c>
    </row>
    <row r="6543" spans="24:25" x14ac:dyDescent="0.3">
      <c r="X6543" s="1">
        <f t="shared" si="204"/>
        <v>0</v>
      </c>
      <c r="Y6543" s="1">
        <f t="shared" si="205"/>
        <v>0</v>
      </c>
    </row>
    <row r="6544" spans="24:25" x14ac:dyDescent="0.3">
      <c r="X6544" s="1">
        <f t="shared" si="204"/>
        <v>0</v>
      </c>
      <c r="Y6544" s="1">
        <f t="shared" si="205"/>
        <v>0</v>
      </c>
    </row>
    <row r="6545" spans="24:25" x14ac:dyDescent="0.3">
      <c r="X6545" s="1">
        <f t="shared" si="204"/>
        <v>0</v>
      </c>
      <c r="Y6545" s="1">
        <f t="shared" si="205"/>
        <v>0</v>
      </c>
    </row>
    <row r="6546" spans="24:25" x14ac:dyDescent="0.3">
      <c r="X6546" s="1">
        <f t="shared" si="204"/>
        <v>0</v>
      </c>
      <c r="Y6546" s="1">
        <f t="shared" si="205"/>
        <v>0</v>
      </c>
    </row>
    <row r="6547" spans="24:25" x14ac:dyDescent="0.3">
      <c r="X6547" s="1">
        <f t="shared" si="204"/>
        <v>0</v>
      </c>
      <c r="Y6547" s="1">
        <f t="shared" si="205"/>
        <v>0</v>
      </c>
    </row>
    <row r="6548" spans="24:25" x14ac:dyDescent="0.3">
      <c r="X6548" s="1">
        <f t="shared" si="204"/>
        <v>0</v>
      </c>
      <c r="Y6548" s="1">
        <f t="shared" si="205"/>
        <v>0</v>
      </c>
    </row>
    <row r="6549" spans="24:25" x14ac:dyDescent="0.3">
      <c r="X6549" s="1">
        <f t="shared" si="204"/>
        <v>0</v>
      </c>
      <c r="Y6549" s="1">
        <f t="shared" si="205"/>
        <v>0</v>
      </c>
    </row>
    <row r="6550" spans="24:25" x14ac:dyDescent="0.3">
      <c r="X6550" s="1">
        <f t="shared" si="204"/>
        <v>0</v>
      </c>
      <c r="Y6550" s="1">
        <f t="shared" si="205"/>
        <v>0</v>
      </c>
    </row>
    <row r="6551" spans="24:25" x14ac:dyDescent="0.3">
      <c r="X6551" s="1">
        <f t="shared" si="204"/>
        <v>0</v>
      </c>
      <c r="Y6551" s="1">
        <f t="shared" si="205"/>
        <v>0</v>
      </c>
    </row>
    <row r="6552" spans="24:25" x14ac:dyDescent="0.3">
      <c r="X6552" s="1">
        <f t="shared" si="204"/>
        <v>0</v>
      </c>
      <c r="Y6552" s="1">
        <f t="shared" si="205"/>
        <v>0</v>
      </c>
    </row>
    <row r="6553" spans="24:25" x14ac:dyDescent="0.3">
      <c r="X6553" s="1">
        <f t="shared" si="204"/>
        <v>0</v>
      </c>
      <c r="Y6553" s="1">
        <f t="shared" si="205"/>
        <v>0</v>
      </c>
    </row>
    <row r="6554" spans="24:25" x14ac:dyDescent="0.3">
      <c r="X6554" s="1">
        <f t="shared" si="204"/>
        <v>0</v>
      </c>
      <c r="Y6554" s="1">
        <f t="shared" si="205"/>
        <v>0</v>
      </c>
    </row>
    <row r="6555" spans="24:25" x14ac:dyDescent="0.3">
      <c r="X6555" s="1">
        <f t="shared" si="204"/>
        <v>0</v>
      </c>
      <c r="Y6555" s="1">
        <f t="shared" si="205"/>
        <v>0</v>
      </c>
    </row>
    <row r="6556" spans="24:25" x14ac:dyDescent="0.3">
      <c r="X6556" s="1">
        <f t="shared" si="204"/>
        <v>0</v>
      </c>
      <c r="Y6556" s="1">
        <f t="shared" si="205"/>
        <v>0</v>
      </c>
    </row>
    <row r="6557" spans="24:25" x14ac:dyDescent="0.3">
      <c r="X6557" s="1">
        <f t="shared" si="204"/>
        <v>0</v>
      </c>
      <c r="Y6557" s="1">
        <f t="shared" si="205"/>
        <v>0</v>
      </c>
    </row>
    <row r="6558" spans="24:25" x14ac:dyDescent="0.3">
      <c r="X6558" s="1">
        <f t="shared" si="204"/>
        <v>0</v>
      </c>
      <c r="Y6558" s="1">
        <f t="shared" si="205"/>
        <v>0</v>
      </c>
    </row>
    <row r="6559" spans="24:25" x14ac:dyDescent="0.3">
      <c r="X6559" s="1">
        <f t="shared" si="204"/>
        <v>0</v>
      </c>
      <c r="Y6559" s="1">
        <f t="shared" si="205"/>
        <v>0</v>
      </c>
    </row>
    <row r="6560" spans="24:25" x14ac:dyDescent="0.3">
      <c r="X6560" s="1">
        <f t="shared" si="204"/>
        <v>0</v>
      </c>
      <c r="Y6560" s="1">
        <f t="shared" si="205"/>
        <v>0</v>
      </c>
    </row>
    <row r="6561" spans="24:25" x14ac:dyDescent="0.3">
      <c r="X6561" s="1">
        <f t="shared" si="204"/>
        <v>0</v>
      </c>
      <c r="Y6561" s="1">
        <f t="shared" si="205"/>
        <v>0</v>
      </c>
    </row>
    <row r="6562" spans="24:25" x14ac:dyDescent="0.3">
      <c r="X6562" s="1">
        <f t="shared" si="204"/>
        <v>0</v>
      </c>
      <c r="Y6562" s="1">
        <f t="shared" si="205"/>
        <v>0</v>
      </c>
    </row>
    <row r="6563" spans="24:25" x14ac:dyDescent="0.3">
      <c r="X6563" s="1">
        <f t="shared" si="204"/>
        <v>0</v>
      </c>
      <c r="Y6563" s="1">
        <f t="shared" si="205"/>
        <v>0</v>
      </c>
    </row>
    <row r="6564" spans="24:25" x14ac:dyDescent="0.3">
      <c r="X6564" s="1">
        <f t="shared" si="204"/>
        <v>0</v>
      </c>
      <c r="Y6564" s="1">
        <f t="shared" si="205"/>
        <v>0</v>
      </c>
    </row>
    <row r="6565" spans="24:25" x14ac:dyDescent="0.3">
      <c r="X6565" s="1">
        <f t="shared" si="204"/>
        <v>0</v>
      </c>
      <c r="Y6565" s="1">
        <f t="shared" si="205"/>
        <v>0</v>
      </c>
    </row>
    <row r="6566" spans="24:25" x14ac:dyDescent="0.3">
      <c r="X6566" s="1">
        <f t="shared" si="204"/>
        <v>0</v>
      </c>
      <c r="Y6566" s="1">
        <f t="shared" si="205"/>
        <v>0</v>
      </c>
    </row>
    <row r="6567" spans="24:25" x14ac:dyDescent="0.3">
      <c r="X6567" s="1">
        <f t="shared" si="204"/>
        <v>0</v>
      </c>
      <c r="Y6567" s="1">
        <f t="shared" si="205"/>
        <v>0</v>
      </c>
    </row>
    <row r="6568" spans="24:25" x14ac:dyDescent="0.3">
      <c r="X6568" s="1">
        <f t="shared" si="204"/>
        <v>0</v>
      </c>
      <c r="Y6568" s="1">
        <f t="shared" si="205"/>
        <v>0</v>
      </c>
    </row>
    <row r="6569" spans="24:25" x14ac:dyDescent="0.3">
      <c r="X6569" s="1">
        <f t="shared" si="204"/>
        <v>0</v>
      </c>
      <c r="Y6569" s="1">
        <f t="shared" si="205"/>
        <v>0</v>
      </c>
    </row>
    <row r="6570" spans="24:25" x14ac:dyDescent="0.3">
      <c r="X6570" s="1">
        <f t="shared" si="204"/>
        <v>0</v>
      </c>
      <c r="Y6570" s="1">
        <f t="shared" si="205"/>
        <v>0</v>
      </c>
    </row>
    <row r="6571" spans="24:25" x14ac:dyDescent="0.3">
      <c r="X6571" s="1">
        <f t="shared" si="204"/>
        <v>0</v>
      </c>
      <c r="Y6571" s="1">
        <f t="shared" si="205"/>
        <v>0</v>
      </c>
    </row>
    <row r="6572" spans="24:25" x14ac:dyDescent="0.3">
      <c r="X6572" s="1">
        <f t="shared" si="204"/>
        <v>0</v>
      </c>
      <c r="Y6572" s="1">
        <f t="shared" si="205"/>
        <v>0</v>
      </c>
    </row>
    <row r="6573" spans="24:25" x14ac:dyDescent="0.3">
      <c r="X6573" s="1">
        <f t="shared" si="204"/>
        <v>0</v>
      </c>
      <c r="Y6573" s="1">
        <f t="shared" si="205"/>
        <v>0</v>
      </c>
    </row>
    <row r="6574" spans="24:25" x14ac:dyDescent="0.3">
      <c r="X6574" s="1">
        <f t="shared" si="204"/>
        <v>0</v>
      </c>
      <c r="Y6574" s="1">
        <f t="shared" si="205"/>
        <v>0</v>
      </c>
    </row>
    <row r="6575" spans="24:25" x14ac:dyDescent="0.3">
      <c r="X6575" s="1">
        <f t="shared" si="204"/>
        <v>0</v>
      </c>
      <c r="Y6575" s="1">
        <f t="shared" si="205"/>
        <v>0</v>
      </c>
    </row>
    <row r="6576" spans="24:25" x14ac:dyDescent="0.3">
      <c r="X6576" s="1">
        <f t="shared" si="204"/>
        <v>0</v>
      </c>
      <c r="Y6576" s="1">
        <f t="shared" si="205"/>
        <v>0</v>
      </c>
    </row>
    <row r="6577" spans="24:25" x14ac:dyDescent="0.3">
      <c r="X6577" s="1">
        <f t="shared" si="204"/>
        <v>0</v>
      </c>
      <c r="Y6577" s="1">
        <f t="shared" si="205"/>
        <v>0</v>
      </c>
    </row>
    <row r="6578" spans="24:25" x14ac:dyDescent="0.3">
      <c r="X6578" s="1">
        <f t="shared" si="204"/>
        <v>0</v>
      </c>
      <c r="Y6578" s="1">
        <f t="shared" si="205"/>
        <v>0</v>
      </c>
    </row>
    <row r="6579" spans="24:25" x14ac:dyDescent="0.3">
      <c r="X6579" s="1">
        <f t="shared" si="204"/>
        <v>0</v>
      </c>
      <c r="Y6579" s="1">
        <f t="shared" si="205"/>
        <v>0</v>
      </c>
    </row>
    <row r="6580" spans="24:25" x14ac:dyDescent="0.3">
      <c r="X6580" s="1">
        <f t="shared" si="204"/>
        <v>0</v>
      </c>
      <c r="Y6580" s="1">
        <f t="shared" si="205"/>
        <v>0</v>
      </c>
    </row>
    <row r="6581" spans="24:25" x14ac:dyDescent="0.3">
      <c r="X6581" s="1">
        <f t="shared" si="204"/>
        <v>0</v>
      </c>
      <c r="Y6581" s="1">
        <f t="shared" si="205"/>
        <v>0</v>
      </c>
    </row>
    <row r="6582" spans="24:25" x14ac:dyDescent="0.3">
      <c r="X6582" s="1">
        <f t="shared" si="204"/>
        <v>0</v>
      </c>
      <c r="Y6582" s="1">
        <f t="shared" si="205"/>
        <v>0</v>
      </c>
    </row>
    <row r="6583" spans="24:25" x14ac:dyDescent="0.3">
      <c r="X6583" s="1">
        <f t="shared" si="204"/>
        <v>0</v>
      </c>
      <c r="Y6583" s="1">
        <f t="shared" si="205"/>
        <v>0</v>
      </c>
    </row>
    <row r="6584" spans="24:25" x14ac:dyDescent="0.3">
      <c r="X6584" s="1">
        <f t="shared" si="204"/>
        <v>0</v>
      </c>
      <c r="Y6584" s="1">
        <f t="shared" si="205"/>
        <v>0</v>
      </c>
    </row>
    <row r="6585" spans="24:25" x14ac:dyDescent="0.3">
      <c r="X6585" s="1">
        <f t="shared" si="204"/>
        <v>0</v>
      </c>
      <c r="Y6585" s="1">
        <f t="shared" si="205"/>
        <v>0</v>
      </c>
    </row>
    <row r="6586" spans="24:25" x14ac:dyDescent="0.3">
      <c r="X6586" s="1">
        <f t="shared" si="204"/>
        <v>0</v>
      </c>
      <c r="Y6586" s="1">
        <f t="shared" si="205"/>
        <v>0</v>
      </c>
    </row>
    <row r="6587" spans="24:25" x14ac:dyDescent="0.3">
      <c r="X6587" s="1">
        <f t="shared" si="204"/>
        <v>0</v>
      </c>
      <c r="Y6587" s="1">
        <f t="shared" si="205"/>
        <v>0</v>
      </c>
    </row>
    <row r="6588" spans="24:25" x14ac:dyDescent="0.3">
      <c r="X6588" s="1">
        <f t="shared" si="204"/>
        <v>0</v>
      </c>
      <c r="Y6588" s="1">
        <f t="shared" si="205"/>
        <v>0</v>
      </c>
    </row>
    <row r="6589" spans="24:25" x14ac:dyDescent="0.3">
      <c r="X6589" s="1">
        <f t="shared" si="204"/>
        <v>0</v>
      </c>
      <c r="Y6589" s="1">
        <f t="shared" si="205"/>
        <v>0</v>
      </c>
    </row>
    <row r="6590" spans="24:25" x14ac:dyDescent="0.3">
      <c r="X6590" s="1">
        <f t="shared" si="204"/>
        <v>0</v>
      </c>
      <c r="Y6590" s="1">
        <f t="shared" si="205"/>
        <v>0</v>
      </c>
    </row>
    <row r="6591" spans="24:25" x14ac:dyDescent="0.3">
      <c r="X6591" s="1">
        <f t="shared" si="204"/>
        <v>0</v>
      </c>
      <c r="Y6591" s="1">
        <f t="shared" si="205"/>
        <v>0</v>
      </c>
    </row>
    <row r="6592" spans="24:25" x14ac:dyDescent="0.3">
      <c r="X6592" s="1">
        <f t="shared" si="204"/>
        <v>0</v>
      </c>
      <c r="Y6592" s="1">
        <f t="shared" si="205"/>
        <v>0</v>
      </c>
    </row>
    <row r="6593" spans="24:25" x14ac:dyDescent="0.3">
      <c r="X6593" s="1">
        <f t="shared" si="204"/>
        <v>0</v>
      </c>
      <c r="Y6593" s="1">
        <f t="shared" si="205"/>
        <v>0</v>
      </c>
    </row>
    <row r="6594" spans="24:25" x14ac:dyDescent="0.3">
      <c r="X6594" s="1">
        <f t="shared" si="204"/>
        <v>0</v>
      </c>
      <c r="Y6594" s="1">
        <f t="shared" si="205"/>
        <v>0</v>
      </c>
    </row>
    <row r="6595" spans="24:25" x14ac:dyDescent="0.3">
      <c r="X6595" s="1">
        <f t="shared" ref="X6595:X6658" si="206">IFERROR(MATCH(W6595,$B:$B,0),0)</f>
        <v>0</v>
      </c>
      <c r="Y6595" s="1">
        <f t="shared" ref="Y6595:Y6658" si="207">IF(X6596=0,COUNTA(A:A),X6596-1)</f>
        <v>0</v>
      </c>
    </row>
    <row r="6596" spans="24:25" x14ac:dyDescent="0.3">
      <c r="X6596" s="1">
        <f t="shared" si="206"/>
        <v>0</v>
      </c>
      <c r="Y6596" s="1">
        <f t="shared" si="207"/>
        <v>0</v>
      </c>
    </row>
    <row r="6597" spans="24:25" x14ac:dyDescent="0.3">
      <c r="X6597" s="1">
        <f t="shared" si="206"/>
        <v>0</v>
      </c>
      <c r="Y6597" s="1">
        <f t="shared" si="207"/>
        <v>0</v>
      </c>
    </row>
    <row r="6598" spans="24:25" x14ac:dyDescent="0.3">
      <c r="X6598" s="1">
        <f t="shared" si="206"/>
        <v>0</v>
      </c>
      <c r="Y6598" s="1">
        <f t="shared" si="207"/>
        <v>0</v>
      </c>
    </row>
    <row r="6599" spans="24:25" x14ac:dyDescent="0.3">
      <c r="X6599" s="1">
        <f t="shared" si="206"/>
        <v>0</v>
      </c>
      <c r="Y6599" s="1">
        <f t="shared" si="207"/>
        <v>0</v>
      </c>
    </row>
    <row r="6600" spans="24:25" x14ac:dyDescent="0.3">
      <c r="X6600" s="1">
        <f t="shared" si="206"/>
        <v>0</v>
      </c>
      <c r="Y6600" s="1">
        <f t="shared" si="207"/>
        <v>0</v>
      </c>
    </row>
    <row r="6601" spans="24:25" x14ac:dyDescent="0.3">
      <c r="X6601" s="1">
        <f t="shared" si="206"/>
        <v>0</v>
      </c>
      <c r="Y6601" s="1">
        <f t="shared" si="207"/>
        <v>0</v>
      </c>
    </row>
    <row r="6602" spans="24:25" x14ac:dyDescent="0.3">
      <c r="X6602" s="1">
        <f t="shared" si="206"/>
        <v>0</v>
      </c>
      <c r="Y6602" s="1">
        <f t="shared" si="207"/>
        <v>0</v>
      </c>
    </row>
    <row r="6603" spans="24:25" x14ac:dyDescent="0.3">
      <c r="X6603" s="1">
        <f t="shared" si="206"/>
        <v>0</v>
      </c>
      <c r="Y6603" s="1">
        <f t="shared" si="207"/>
        <v>0</v>
      </c>
    </row>
    <row r="6604" spans="24:25" x14ac:dyDescent="0.3">
      <c r="X6604" s="1">
        <f t="shared" si="206"/>
        <v>0</v>
      </c>
      <c r="Y6604" s="1">
        <f t="shared" si="207"/>
        <v>0</v>
      </c>
    </row>
    <row r="6605" spans="24:25" x14ac:dyDescent="0.3">
      <c r="X6605" s="1">
        <f t="shared" si="206"/>
        <v>0</v>
      </c>
      <c r="Y6605" s="1">
        <f t="shared" si="207"/>
        <v>0</v>
      </c>
    </row>
    <row r="6606" spans="24:25" x14ac:dyDescent="0.3">
      <c r="X6606" s="1">
        <f t="shared" si="206"/>
        <v>0</v>
      </c>
      <c r="Y6606" s="1">
        <f t="shared" si="207"/>
        <v>0</v>
      </c>
    </row>
    <row r="6607" spans="24:25" x14ac:dyDescent="0.3">
      <c r="X6607" s="1">
        <f t="shared" si="206"/>
        <v>0</v>
      </c>
      <c r="Y6607" s="1">
        <f t="shared" si="207"/>
        <v>0</v>
      </c>
    </row>
    <row r="6608" spans="24:25" x14ac:dyDescent="0.3">
      <c r="X6608" s="1">
        <f t="shared" si="206"/>
        <v>0</v>
      </c>
      <c r="Y6608" s="1">
        <f t="shared" si="207"/>
        <v>0</v>
      </c>
    </row>
    <row r="6609" spans="24:25" x14ac:dyDescent="0.3">
      <c r="X6609" s="1">
        <f t="shared" si="206"/>
        <v>0</v>
      </c>
      <c r="Y6609" s="1">
        <f t="shared" si="207"/>
        <v>0</v>
      </c>
    </row>
    <row r="6610" spans="24:25" x14ac:dyDescent="0.3">
      <c r="X6610" s="1">
        <f t="shared" si="206"/>
        <v>0</v>
      </c>
      <c r="Y6610" s="1">
        <f t="shared" si="207"/>
        <v>0</v>
      </c>
    </row>
    <row r="6611" spans="24:25" x14ac:dyDescent="0.3">
      <c r="X6611" s="1">
        <f t="shared" si="206"/>
        <v>0</v>
      </c>
      <c r="Y6611" s="1">
        <f t="shared" si="207"/>
        <v>0</v>
      </c>
    </row>
    <row r="6612" spans="24:25" x14ac:dyDescent="0.3">
      <c r="X6612" s="1">
        <f t="shared" si="206"/>
        <v>0</v>
      </c>
      <c r="Y6612" s="1">
        <f t="shared" si="207"/>
        <v>0</v>
      </c>
    </row>
    <row r="6613" spans="24:25" x14ac:dyDescent="0.3">
      <c r="X6613" s="1">
        <f t="shared" si="206"/>
        <v>0</v>
      </c>
      <c r="Y6613" s="1">
        <f t="shared" si="207"/>
        <v>0</v>
      </c>
    </row>
    <row r="6614" spans="24:25" x14ac:dyDescent="0.3">
      <c r="X6614" s="1">
        <f t="shared" si="206"/>
        <v>0</v>
      </c>
      <c r="Y6614" s="1">
        <f t="shared" si="207"/>
        <v>0</v>
      </c>
    </row>
    <row r="6615" spans="24:25" x14ac:dyDescent="0.3">
      <c r="X6615" s="1">
        <f t="shared" si="206"/>
        <v>0</v>
      </c>
      <c r="Y6615" s="1">
        <f t="shared" si="207"/>
        <v>0</v>
      </c>
    </row>
    <row r="6616" spans="24:25" x14ac:dyDescent="0.3">
      <c r="X6616" s="1">
        <f t="shared" si="206"/>
        <v>0</v>
      </c>
      <c r="Y6616" s="1">
        <f t="shared" si="207"/>
        <v>0</v>
      </c>
    </row>
    <row r="6617" spans="24:25" x14ac:dyDescent="0.3">
      <c r="X6617" s="1">
        <f t="shared" si="206"/>
        <v>0</v>
      </c>
      <c r="Y6617" s="1">
        <f t="shared" si="207"/>
        <v>0</v>
      </c>
    </row>
    <row r="6618" spans="24:25" x14ac:dyDescent="0.3">
      <c r="X6618" s="1">
        <f t="shared" si="206"/>
        <v>0</v>
      </c>
      <c r="Y6618" s="1">
        <f t="shared" si="207"/>
        <v>0</v>
      </c>
    </row>
    <row r="6619" spans="24:25" x14ac:dyDescent="0.3">
      <c r="X6619" s="1">
        <f t="shared" si="206"/>
        <v>0</v>
      </c>
      <c r="Y6619" s="1">
        <f t="shared" si="207"/>
        <v>0</v>
      </c>
    </row>
    <row r="6620" spans="24:25" x14ac:dyDescent="0.3">
      <c r="X6620" s="1">
        <f t="shared" si="206"/>
        <v>0</v>
      </c>
      <c r="Y6620" s="1">
        <f t="shared" si="207"/>
        <v>0</v>
      </c>
    </row>
    <row r="6621" spans="24:25" x14ac:dyDescent="0.3">
      <c r="X6621" s="1">
        <f t="shared" si="206"/>
        <v>0</v>
      </c>
      <c r="Y6621" s="1">
        <f t="shared" si="207"/>
        <v>0</v>
      </c>
    </row>
    <row r="6622" spans="24:25" x14ac:dyDescent="0.3">
      <c r="X6622" s="1">
        <f t="shared" si="206"/>
        <v>0</v>
      </c>
      <c r="Y6622" s="1">
        <f t="shared" si="207"/>
        <v>0</v>
      </c>
    </row>
    <row r="6623" spans="24:25" x14ac:dyDescent="0.3">
      <c r="X6623" s="1">
        <f t="shared" si="206"/>
        <v>0</v>
      </c>
      <c r="Y6623" s="1">
        <f t="shared" si="207"/>
        <v>0</v>
      </c>
    </row>
    <row r="6624" spans="24:25" x14ac:dyDescent="0.3">
      <c r="X6624" s="1">
        <f t="shared" si="206"/>
        <v>0</v>
      </c>
      <c r="Y6624" s="1">
        <f t="shared" si="207"/>
        <v>0</v>
      </c>
    </row>
    <row r="6625" spans="24:25" x14ac:dyDescent="0.3">
      <c r="X6625" s="1">
        <f t="shared" si="206"/>
        <v>0</v>
      </c>
      <c r="Y6625" s="1">
        <f t="shared" si="207"/>
        <v>0</v>
      </c>
    </row>
    <row r="6626" spans="24:25" x14ac:dyDescent="0.3">
      <c r="X6626" s="1">
        <f t="shared" si="206"/>
        <v>0</v>
      </c>
      <c r="Y6626" s="1">
        <f t="shared" si="207"/>
        <v>0</v>
      </c>
    </row>
    <row r="6627" spans="24:25" x14ac:dyDescent="0.3">
      <c r="X6627" s="1">
        <f t="shared" si="206"/>
        <v>0</v>
      </c>
      <c r="Y6627" s="1">
        <f t="shared" si="207"/>
        <v>0</v>
      </c>
    </row>
    <row r="6628" spans="24:25" x14ac:dyDescent="0.3">
      <c r="X6628" s="1">
        <f t="shared" si="206"/>
        <v>0</v>
      </c>
      <c r="Y6628" s="1">
        <f t="shared" si="207"/>
        <v>0</v>
      </c>
    </row>
    <row r="6629" spans="24:25" x14ac:dyDescent="0.3">
      <c r="X6629" s="1">
        <f t="shared" si="206"/>
        <v>0</v>
      </c>
      <c r="Y6629" s="1">
        <f t="shared" si="207"/>
        <v>0</v>
      </c>
    </row>
    <row r="6630" spans="24:25" x14ac:dyDescent="0.3">
      <c r="X6630" s="1">
        <f t="shared" si="206"/>
        <v>0</v>
      </c>
      <c r="Y6630" s="1">
        <f t="shared" si="207"/>
        <v>0</v>
      </c>
    </row>
    <row r="6631" spans="24:25" x14ac:dyDescent="0.3">
      <c r="X6631" s="1">
        <f t="shared" si="206"/>
        <v>0</v>
      </c>
      <c r="Y6631" s="1">
        <f t="shared" si="207"/>
        <v>0</v>
      </c>
    </row>
    <row r="6632" spans="24:25" x14ac:dyDescent="0.3">
      <c r="X6632" s="1">
        <f t="shared" si="206"/>
        <v>0</v>
      </c>
      <c r="Y6632" s="1">
        <f t="shared" si="207"/>
        <v>0</v>
      </c>
    </row>
    <row r="6633" spans="24:25" x14ac:dyDescent="0.3">
      <c r="X6633" s="1">
        <f t="shared" si="206"/>
        <v>0</v>
      </c>
      <c r="Y6633" s="1">
        <f t="shared" si="207"/>
        <v>0</v>
      </c>
    </row>
    <row r="6634" spans="24:25" x14ac:dyDescent="0.3">
      <c r="X6634" s="1">
        <f t="shared" si="206"/>
        <v>0</v>
      </c>
      <c r="Y6634" s="1">
        <f t="shared" si="207"/>
        <v>0</v>
      </c>
    </row>
    <row r="6635" spans="24:25" x14ac:dyDescent="0.3">
      <c r="X6635" s="1">
        <f t="shared" si="206"/>
        <v>0</v>
      </c>
      <c r="Y6635" s="1">
        <f t="shared" si="207"/>
        <v>0</v>
      </c>
    </row>
    <row r="6636" spans="24:25" x14ac:dyDescent="0.3">
      <c r="X6636" s="1">
        <f t="shared" si="206"/>
        <v>0</v>
      </c>
      <c r="Y6636" s="1">
        <f t="shared" si="207"/>
        <v>0</v>
      </c>
    </row>
    <row r="6637" spans="24:25" x14ac:dyDescent="0.3">
      <c r="X6637" s="1">
        <f t="shared" si="206"/>
        <v>0</v>
      </c>
      <c r="Y6637" s="1">
        <f t="shared" si="207"/>
        <v>0</v>
      </c>
    </row>
    <row r="6638" spans="24:25" x14ac:dyDescent="0.3">
      <c r="X6638" s="1">
        <f t="shared" si="206"/>
        <v>0</v>
      </c>
      <c r="Y6638" s="1">
        <f t="shared" si="207"/>
        <v>0</v>
      </c>
    </row>
    <row r="6639" spans="24:25" x14ac:dyDescent="0.3">
      <c r="X6639" s="1">
        <f t="shared" si="206"/>
        <v>0</v>
      </c>
      <c r="Y6639" s="1">
        <f t="shared" si="207"/>
        <v>0</v>
      </c>
    </row>
    <row r="6640" spans="24:25" x14ac:dyDescent="0.3">
      <c r="X6640" s="1">
        <f t="shared" si="206"/>
        <v>0</v>
      </c>
      <c r="Y6640" s="1">
        <f t="shared" si="207"/>
        <v>0</v>
      </c>
    </row>
    <row r="6641" spans="24:25" x14ac:dyDescent="0.3">
      <c r="X6641" s="1">
        <f t="shared" si="206"/>
        <v>0</v>
      </c>
      <c r="Y6641" s="1">
        <f t="shared" si="207"/>
        <v>0</v>
      </c>
    </row>
    <row r="6642" spans="24:25" x14ac:dyDescent="0.3">
      <c r="X6642" s="1">
        <f t="shared" si="206"/>
        <v>0</v>
      </c>
      <c r="Y6642" s="1">
        <f t="shared" si="207"/>
        <v>0</v>
      </c>
    </row>
    <row r="6643" spans="24:25" x14ac:dyDescent="0.3">
      <c r="X6643" s="1">
        <f t="shared" si="206"/>
        <v>0</v>
      </c>
      <c r="Y6643" s="1">
        <f t="shared" si="207"/>
        <v>0</v>
      </c>
    </row>
    <row r="6644" spans="24:25" x14ac:dyDescent="0.3">
      <c r="X6644" s="1">
        <f t="shared" si="206"/>
        <v>0</v>
      </c>
      <c r="Y6644" s="1">
        <f t="shared" si="207"/>
        <v>0</v>
      </c>
    </row>
    <row r="6645" spans="24:25" x14ac:dyDescent="0.3">
      <c r="X6645" s="1">
        <f t="shared" si="206"/>
        <v>0</v>
      </c>
      <c r="Y6645" s="1">
        <f t="shared" si="207"/>
        <v>0</v>
      </c>
    </row>
    <row r="6646" spans="24:25" x14ac:dyDescent="0.3">
      <c r="X6646" s="1">
        <f t="shared" si="206"/>
        <v>0</v>
      </c>
      <c r="Y6646" s="1">
        <f t="shared" si="207"/>
        <v>0</v>
      </c>
    </row>
    <row r="6647" spans="24:25" x14ac:dyDescent="0.3">
      <c r="X6647" s="1">
        <f t="shared" si="206"/>
        <v>0</v>
      </c>
      <c r="Y6647" s="1">
        <f t="shared" si="207"/>
        <v>0</v>
      </c>
    </row>
    <row r="6648" spans="24:25" x14ac:dyDescent="0.3">
      <c r="X6648" s="1">
        <f t="shared" si="206"/>
        <v>0</v>
      </c>
      <c r="Y6648" s="1">
        <f t="shared" si="207"/>
        <v>0</v>
      </c>
    </row>
    <row r="6649" spans="24:25" x14ac:dyDescent="0.3">
      <c r="X6649" s="1">
        <f t="shared" si="206"/>
        <v>0</v>
      </c>
      <c r="Y6649" s="1">
        <f t="shared" si="207"/>
        <v>0</v>
      </c>
    </row>
    <row r="6650" spans="24:25" x14ac:dyDescent="0.3">
      <c r="X6650" s="1">
        <f t="shared" si="206"/>
        <v>0</v>
      </c>
      <c r="Y6650" s="1">
        <f t="shared" si="207"/>
        <v>0</v>
      </c>
    </row>
    <row r="6651" spans="24:25" x14ac:dyDescent="0.3">
      <c r="X6651" s="1">
        <f t="shared" si="206"/>
        <v>0</v>
      </c>
      <c r="Y6651" s="1">
        <f t="shared" si="207"/>
        <v>0</v>
      </c>
    </row>
    <row r="6652" spans="24:25" x14ac:dyDescent="0.3">
      <c r="X6652" s="1">
        <f t="shared" si="206"/>
        <v>0</v>
      </c>
      <c r="Y6652" s="1">
        <f t="shared" si="207"/>
        <v>0</v>
      </c>
    </row>
    <row r="6653" spans="24:25" x14ac:dyDescent="0.3">
      <c r="X6653" s="1">
        <f t="shared" si="206"/>
        <v>0</v>
      </c>
      <c r="Y6653" s="1">
        <f t="shared" si="207"/>
        <v>0</v>
      </c>
    </row>
    <row r="6654" spans="24:25" x14ac:dyDescent="0.3">
      <c r="X6654" s="1">
        <f t="shared" si="206"/>
        <v>0</v>
      </c>
      <c r="Y6654" s="1">
        <f t="shared" si="207"/>
        <v>0</v>
      </c>
    </row>
    <row r="6655" spans="24:25" x14ac:dyDescent="0.3">
      <c r="X6655" s="1">
        <f t="shared" si="206"/>
        <v>0</v>
      </c>
      <c r="Y6655" s="1">
        <f t="shared" si="207"/>
        <v>0</v>
      </c>
    </row>
    <row r="6656" spans="24:25" x14ac:dyDescent="0.3">
      <c r="X6656" s="1">
        <f t="shared" si="206"/>
        <v>0</v>
      </c>
      <c r="Y6656" s="1">
        <f t="shared" si="207"/>
        <v>0</v>
      </c>
    </row>
    <row r="6657" spans="24:25" x14ac:dyDescent="0.3">
      <c r="X6657" s="1">
        <f t="shared" si="206"/>
        <v>0</v>
      </c>
      <c r="Y6657" s="1">
        <f t="shared" si="207"/>
        <v>0</v>
      </c>
    </row>
    <row r="6658" spans="24:25" x14ac:dyDescent="0.3">
      <c r="X6658" s="1">
        <f t="shared" si="206"/>
        <v>0</v>
      </c>
      <c r="Y6658" s="1">
        <f t="shared" si="207"/>
        <v>0</v>
      </c>
    </row>
    <row r="6659" spans="24:25" x14ac:dyDescent="0.3">
      <c r="X6659" s="1">
        <f t="shared" ref="X6659:X6722" si="208">IFERROR(MATCH(W6659,$B:$B,0),0)</f>
        <v>0</v>
      </c>
      <c r="Y6659" s="1">
        <f t="shared" ref="Y6659:Y6722" si="209">IF(X6660=0,COUNTA(A:A),X6660-1)</f>
        <v>0</v>
      </c>
    </row>
    <row r="6660" spans="24:25" x14ac:dyDescent="0.3">
      <c r="X6660" s="1">
        <f t="shared" si="208"/>
        <v>0</v>
      </c>
      <c r="Y6660" s="1">
        <f t="shared" si="209"/>
        <v>0</v>
      </c>
    </row>
    <row r="6661" spans="24:25" x14ac:dyDescent="0.3">
      <c r="X6661" s="1">
        <f t="shared" si="208"/>
        <v>0</v>
      </c>
      <c r="Y6661" s="1">
        <f t="shared" si="209"/>
        <v>0</v>
      </c>
    </row>
    <row r="6662" spans="24:25" x14ac:dyDescent="0.3">
      <c r="X6662" s="1">
        <f t="shared" si="208"/>
        <v>0</v>
      </c>
      <c r="Y6662" s="1">
        <f t="shared" si="209"/>
        <v>0</v>
      </c>
    </row>
    <row r="6663" spans="24:25" x14ac:dyDescent="0.3">
      <c r="X6663" s="1">
        <f t="shared" si="208"/>
        <v>0</v>
      </c>
      <c r="Y6663" s="1">
        <f t="shared" si="209"/>
        <v>0</v>
      </c>
    </row>
    <row r="6664" spans="24:25" x14ac:dyDescent="0.3">
      <c r="X6664" s="1">
        <f t="shared" si="208"/>
        <v>0</v>
      </c>
      <c r="Y6664" s="1">
        <f t="shared" si="209"/>
        <v>0</v>
      </c>
    </row>
    <row r="6665" spans="24:25" x14ac:dyDescent="0.3">
      <c r="X6665" s="1">
        <f t="shared" si="208"/>
        <v>0</v>
      </c>
      <c r="Y6665" s="1">
        <f t="shared" si="209"/>
        <v>0</v>
      </c>
    </row>
    <row r="6666" spans="24:25" x14ac:dyDescent="0.3">
      <c r="X6666" s="1">
        <f t="shared" si="208"/>
        <v>0</v>
      </c>
      <c r="Y6666" s="1">
        <f t="shared" si="209"/>
        <v>0</v>
      </c>
    </row>
    <row r="6667" spans="24:25" x14ac:dyDescent="0.3">
      <c r="X6667" s="1">
        <f t="shared" si="208"/>
        <v>0</v>
      </c>
      <c r="Y6667" s="1">
        <f t="shared" si="209"/>
        <v>0</v>
      </c>
    </row>
    <row r="6668" spans="24:25" x14ac:dyDescent="0.3">
      <c r="X6668" s="1">
        <f t="shared" si="208"/>
        <v>0</v>
      </c>
      <c r="Y6668" s="1">
        <f t="shared" si="209"/>
        <v>0</v>
      </c>
    </row>
    <row r="6669" spans="24:25" x14ac:dyDescent="0.3">
      <c r="X6669" s="1">
        <f t="shared" si="208"/>
        <v>0</v>
      </c>
      <c r="Y6669" s="1">
        <f t="shared" si="209"/>
        <v>0</v>
      </c>
    </row>
    <row r="6670" spans="24:25" x14ac:dyDescent="0.3">
      <c r="X6670" s="1">
        <f t="shared" si="208"/>
        <v>0</v>
      </c>
      <c r="Y6670" s="1">
        <f t="shared" si="209"/>
        <v>0</v>
      </c>
    </row>
    <row r="6671" spans="24:25" x14ac:dyDescent="0.3">
      <c r="X6671" s="1">
        <f t="shared" si="208"/>
        <v>0</v>
      </c>
      <c r="Y6671" s="1">
        <f t="shared" si="209"/>
        <v>0</v>
      </c>
    </row>
    <row r="6672" spans="24:25" x14ac:dyDescent="0.3">
      <c r="X6672" s="1">
        <f t="shared" si="208"/>
        <v>0</v>
      </c>
      <c r="Y6672" s="1">
        <f t="shared" si="209"/>
        <v>0</v>
      </c>
    </row>
    <row r="6673" spans="24:25" x14ac:dyDescent="0.3">
      <c r="X6673" s="1">
        <f t="shared" si="208"/>
        <v>0</v>
      </c>
      <c r="Y6673" s="1">
        <f t="shared" si="209"/>
        <v>0</v>
      </c>
    </row>
    <row r="6674" spans="24:25" x14ac:dyDescent="0.3">
      <c r="X6674" s="1">
        <f t="shared" si="208"/>
        <v>0</v>
      </c>
      <c r="Y6674" s="1">
        <f t="shared" si="209"/>
        <v>0</v>
      </c>
    </row>
    <row r="6675" spans="24:25" x14ac:dyDescent="0.3">
      <c r="X6675" s="1">
        <f t="shared" si="208"/>
        <v>0</v>
      </c>
      <c r="Y6675" s="1">
        <f t="shared" si="209"/>
        <v>0</v>
      </c>
    </row>
    <row r="6676" spans="24:25" x14ac:dyDescent="0.3">
      <c r="X6676" s="1">
        <f t="shared" si="208"/>
        <v>0</v>
      </c>
      <c r="Y6676" s="1">
        <f t="shared" si="209"/>
        <v>0</v>
      </c>
    </row>
    <row r="6677" spans="24:25" x14ac:dyDescent="0.3">
      <c r="X6677" s="1">
        <f t="shared" si="208"/>
        <v>0</v>
      </c>
      <c r="Y6677" s="1">
        <f t="shared" si="209"/>
        <v>0</v>
      </c>
    </row>
    <row r="6678" spans="24:25" x14ac:dyDescent="0.3">
      <c r="X6678" s="1">
        <f t="shared" si="208"/>
        <v>0</v>
      </c>
      <c r="Y6678" s="1">
        <f t="shared" si="209"/>
        <v>0</v>
      </c>
    </row>
    <row r="6679" spans="24:25" x14ac:dyDescent="0.3">
      <c r="X6679" s="1">
        <f t="shared" si="208"/>
        <v>0</v>
      </c>
      <c r="Y6679" s="1">
        <f t="shared" si="209"/>
        <v>0</v>
      </c>
    </row>
    <row r="6680" spans="24:25" x14ac:dyDescent="0.3">
      <c r="X6680" s="1">
        <f t="shared" si="208"/>
        <v>0</v>
      </c>
      <c r="Y6680" s="1">
        <f t="shared" si="209"/>
        <v>0</v>
      </c>
    </row>
    <row r="6681" spans="24:25" x14ac:dyDescent="0.3">
      <c r="X6681" s="1">
        <f t="shared" si="208"/>
        <v>0</v>
      </c>
      <c r="Y6681" s="1">
        <f t="shared" si="209"/>
        <v>0</v>
      </c>
    </row>
    <row r="6682" spans="24:25" x14ac:dyDescent="0.3">
      <c r="X6682" s="1">
        <f t="shared" si="208"/>
        <v>0</v>
      </c>
      <c r="Y6682" s="1">
        <f t="shared" si="209"/>
        <v>0</v>
      </c>
    </row>
    <row r="6683" spans="24:25" x14ac:dyDescent="0.3">
      <c r="X6683" s="1">
        <f t="shared" si="208"/>
        <v>0</v>
      </c>
      <c r="Y6683" s="1">
        <f t="shared" si="209"/>
        <v>0</v>
      </c>
    </row>
    <row r="6684" spans="24:25" x14ac:dyDescent="0.3">
      <c r="X6684" s="1">
        <f t="shared" si="208"/>
        <v>0</v>
      </c>
      <c r="Y6684" s="1">
        <f t="shared" si="209"/>
        <v>0</v>
      </c>
    </row>
    <row r="6685" spans="24:25" x14ac:dyDescent="0.3">
      <c r="X6685" s="1">
        <f t="shared" si="208"/>
        <v>0</v>
      </c>
      <c r="Y6685" s="1">
        <f t="shared" si="209"/>
        <v>0</v>
      </c>
    </row>
    <row r="6686" spans="24:25" x14ac:dyDescent="0.3">
      <c r="X6686" s="1">
        <f t="shared" si="208"/>
        <v>0</v>
      </c>
      <c r="Y6686" s="1">
        <f t="shared" si="209"/>
        <v>0</v>
      </c>
    </row>
    <row r="6687" spans="24:25" x14ac:dyDescent="0.3">
      <c r="X6687" s="1">
        <f t="shared" si="208"/>
        <v>0</v>
      </c>
      <c r="Y6687" s="1">
        <f t="shared" si="209"/>
        <v>0</v>
      </c>
    </row>
    <row r="6688" spans="24:25" x14ac:dyDescent="0.3">
      <c r="X6688" s="1">
        <f t="shared" si="208"/>
        <v>0</v>
      </c>
      <c r="Y6688" s="1">
        <f t="shared" si="209"/>
        <v>0</v>
      </c>
    </row>
    <row r="6689" spans="24:25" x14ac:dyDescent="0.3">
      <c r="X6689" s="1">
        <f t="shared" si="208"/>
        <v>0</v>
      </c>
      <c r="Y6689" s="1">
        <f t="shared" si="209"/>
        <v>0</v>
      </c>
    </row>
    <row r="6690" spans="24:25" x14ac:dyDescent="0.3">
      <c r="X6690" s="1">
        <f t="shared" si="208"/>
        <v>0</v>
      </c>
      <c r="Y6690" s="1">
        <f t="shared" si="209"/>
        <v>0</v>
      </c>
    </row>
    <row r="6691" spans="24:25" x14ac:dyDescent="0.3">
      <c r="X6691" s="1">
        <f t="shared" si="208"/>
        <v>0</v>
      </c>
      <c r="Y6691" s="1">
        <f t="shared" si="209"/>
        <v>0</v>
      </c>
    </row>
    <row r="6692" spans="24:25" x14ac:dyDescent="0.3">
      <c r="X6692" s="1">
        <f t="shared" si="208"/>
        <v>0</v>
      </c>
      <c r="Y6692" s="1">
        <f t="shared" si="209"/>
        <v>0</v>
      </c>
    </row>
    <row r="6693" spans="24:25" x14ac:dyDescent="0.3">
      <c r="X6693" s="1">
        <f t="shared" si="208"/>
        <v>0</v>
      </c>
      <c r="Y6693" s="1">
        <f t="shared" si="209"/>
        <v>0</v>
      </c>
    </row>
    <row r="6694" spans="24:25" x14ac:dyDescent="0.3">
      <c r="X6694" s="1">
        <f t="shared" si="208"/>
        <v>0</v>
      </c>
      <c r="Y6694" s="1">
        <f t="shared" si="209"/>
        <v>0</v>
      </c>
    </row>
    <row r="6695" spans="24:25" x14ac:dyDescent="0.3">
      <c r="X6695" s="1">
        <f t="shared" si="208"/>
        <v>0</v>
      </c>
      <c r="Y6695" s="1">
        <f t="shared" si="209"/>
        <v>0</v>
      </c>
    </row>
    <row r="6696" spans="24:25" x14ac:dyDescent="0.3">
      <c r="X6696" s="1">
        <f t="shared" si="208"/>
        <v>0</v>
      </c>
      <c r="Y6696" s="1">
        <f t="shared" si="209"/>
        <v>0</v>
      </c>
    </row>
    <row r="6697" spans="24:25" x14ac:dyDescent="0.3">
      <c r="X6697" s="1">
        <f t="shared" si="208"/>
        <v>0</v>
      </c>
      <c r="Y6697" s="1">
        <f t="shared" si="209"/>
        <v>0</v>
      </c>
    </row>
    <row r="6698" spans="24:25" x14ac:dyDescent="0.3">
      <c r="X6698" s="1">
        <f t="shared" si="208"/>
        <v>0</v>
      </c>
      <c r="Y6698" s="1">
        <f t="shared" si="209"/>
        <v>0</v>
      </c>
    </row>
    <row r="6699" spans="24:25" x14ac:dyDescent="0.3">
      <c r="X6699" s="1">
        <f t="shared" si="208"/>
        <v>0</v>
      </c>
      <c r="Y6699" s="1">
        <f t="shared" si="209"/>
        <v>0</v>
      </c>
    </row>
    <row r="6700" spans="24:25" x14ac:dyDescent="0.3">
      <c r="X6700" s="1">
        <f t="shared" si="208"/>
        <v>0</v>
      </c>
      <c r="Y6700" s="1">
        <f t="shared" si="209"/>
        <v>0</v>
      </c>
    </row>
    <row r="6701" spans="24:25" x14ac:dyDescent="0.3">
      <c r="X6701" s="1">
        <f t="shared" si="208"/>
        <v>0</v>
      </c>
      <c r="Y6701" s="1">
        <f t="shared" si="209"/>
        <v>0</v>
      </c>
    </row>
    <row r="6702" spans="24:25" x14ac:dyDescent="0.3">
      <c r="X6702" s="1">
        <f t="shared" si="208"/>
        <v>0</v>
      </c>
      <c r="Y6702" s="1">
        <f t="shared" si="209"/>
        <v>0</v>
      </c>
    </row>
    <row r="6703" spans="24:25" x14ac:dyDescent="0.3">
      <c r="X6703" s="1">
        <f t="shared" si="208"/>
        <v>0</v>
      </c>
      <c r="Y6703" s="1">
        <f t="shared" si="209"/>
        <v>0</v>
      </c>
    </row>
    <row r="6704" spans="24:25" x14ac:dyDescent="0.3">
      <c r="X6704" s="1">
        <f t="shared" si="208"/>
        <v>0</v>
      </c>
      <c r="Y6704" s="1">
        <f t="shared" si="209"/>
        <v>0</v>
      </c>
    </row>
    <row r="6705" spans="24:25" x14ac:dyDescent="0.3">
      <c r="X6705" s="1">
        <f t="shared" si="208"/>
        <v>0</v>
      </c>
      <c r="Y6705" s="1">
        <f t="shared" si="209"/>
        <v>0</v>
      </c>
    </row>
    <row r="6706" spans="24:25" x14ac:dyDescent="0.3">
      <c r="X6706" s="1">
        <f t="shared" si="208"/>
        <v>0</v>
      </c>
      <c r="Y6706" s="1">
        <f t="shared" si="209"/>
        <v>0</v>
      </c>
    </row>
    <row r="6707" spans="24:25" x14ac:dyDescent="0.3">
      <c r="X6707" s="1">
        <f t="shared" si="208"/>
        <v>0</v>
      </c>
      <c r="Y6707" s="1">
        <f t="shared" si="209"/>
        <v>0</v>
      </c>
    </row>
    <row r="6708" spans="24:25" x14ac:dyDescent="0.3">
      <c r="X6708" s="1">
        <f t="shared" si="208"/>
        <v>0</v>
      </c>
      <c r="Y6708" s="1">
        <f t="shared" si="209"/>
        <v>0</v>
      </c>
    </row>
    <row r="6709" spans="24:25" x14ac:dyDescent="0.3">
      <c r="X6709" s="1">
        <f t="shared" si="208"/>
        <v>0</v>
      </c>
      <c r="Y6709" s="1">
        <f t="shared" si="209"/>
        <v>0</v>
      </c>
    </row>
    <row r="6710" spans="24:25" x14ac:dyDescent="0.3">
      <c r="X6710" s="1">
        <f t="shared" si="208"/>
        <v>0</v>
      </c>
      <c r="Y6710" s="1">
        <f t="shared" si="209"/>
        <v>0</v>
      </c>
    </row>
    <row r="6711" spans="24:25" x14ac:dyDescent="0.3">
      <c r="X6711" s="1">
        <f t="shared" si="208"/>
        <v>0</v>
      </c>
      <c r="Y6711" s="1">
        <f t="shared" si="209"/>
        <v>0</v>
      </c>
    </row>
    <row r="6712" spans="24:25" x14ac:dyDescent="0.3">
      <c r="X6712" s="1">
        <f t="shared" si="208"/>
        <v>0</v>
      </c>
      <c r="Y6712" s="1">
        <f t="shared" si="209"/>
        <v>0</v>
      </c>
    </row>
    <row r="6713" spans="24:25" x14ac:dyDescent="0.3">
      <c r="X6713" s="1">
        <f t="shared" si="208"/>
        <v>0</v>
      </c>
      <c r="Y6713" s="1">
        <f t="shared" si="209"/>
        <v>0</v>
      </c>
    </row>
    <row r="6714" spans="24:25" x14ac:dyDescent="0.3">
      <c r="X6714" s="1">
        <f t="shared" si="208"/>
        <v>0</v>
      </c>
      <c r="Y6714" s="1">
        <f t="shared" si="209"/>
        <v>0</v>
      </c>
    </row>
    <row r="6715" spans="24:25" x14ac:dyDescent="0.3">
      <c r="X6715" s="1">
        <f t="shared" si="208"/>
        <v>0</v>
      </c>
      <c r="Y6715" s="1">
        <f t="shared" si="209"/>
        <v>0</v>
      </c>
    </row>
    <row r="6716" spans="24:25" x14ac:dyDescent="0.3">
      <c r="X6716" s="1">
        <f t="shared" si="208"/>
        <v>0</v>
      </c>
      <c r="Y6716" s="1">
        <f t="shared" si="209"/>
        <v>0</v>
      </c>
    </row>
    <row r="6717" spans="24:25" x14ac:dyDescent="0.3">
      <c r="X6717" s="1">
        <f t="shared" si="208"/>
        <v>0</v>
      </c>
      <c r="Y6717" s="1">
        <f t="shared" si="209"/>
        <v>0</v>
      </c>
    </row>
    <row r="6718" spans="24:25" x14ac:dyDescent="0.3">
      <c r="X6718" s="1">
        <f t="shared" si="208"/>
        <v>0</v>
      </c>
      <c r="Y6718" s="1">
        <f t="shared" si="209"/>
        <v>0</v>
      </c>
    </row>
    <row r="6719" spans="24:25" x14ac:dyDescent="0.3">
      <c r="X6719" s="1">
        <f t="shared" si="208"/>
        <v>0</v>
      </c>
      <c r="Y6719" s="1">
        <f t="shared" si="209"/>
        <v>0</v>
      </c>
    </row>
    <row r="6720" spans="24:25" x14ac:dyDescent="0.3">
      <c r="X6720" s="1">
        <f t="shared" si="208"/>
        <v>0</v>
      </c>
      <c r="Y6720" s="1">
        <f t="shared" si="209"/>
        <v>0</v>
      </c>
    </row>
    <row r="6721" spans="24:25" x14ac:dyDescent="0.3">
      <c r="X6721" s="1">
        <f t="shared" si="208"/>
        <v>0</v>
      </c>
      <c r="Y6721" s="1">
        <f t="shared" si="209"/>
        <v>0</v>
      </c>
    </row>
    <row r="6722" spans="24:25" x14ac:dyDescent="0.3">
      <c r="X6722" s="1">
        <f t="shared" si="208"/>
        <v>0</v>
      </c>
      <c r="Y6722" s="1">
        <f t="shared" si="209"/>
        <v>0</v>
      </c>
    </row>
    <row r="6723" spans="24:25" x14ac:dyDescent="0.3">
      <c r="X6723" s="1">
        <f t="shared" ref="X6723:X6786" si="210">IFERROR(MATCH(W6723,$B:$B,0),0)</f>
        <v>0</v>
      </c>
      <c r="Y6723" s="1">
        <f t="shared" ref="Y6723:Y6786" si="211">IF(X6724=0,COUNTA(A:A),X6724-1)</f>
        <v>0</v>
      </c>
    </row>
    <row r="6724" spans="24:25" x14ac:dyDescent="0.3">
      <c r="X6724" s="1">
        <f t="shared" si="210"/>
        <v>0</v>
      </c>
      <c r="Y6724" s="1">
        <f t="shared" si="211"/>
        <v>0</v>
      </c>
    </row>
    <row r="6725" spans="24:25" x14ac:dyDescent="0.3">
      <c r="X6725" s="1">
        <f t="shared" si="210"/>
        <v>0</v>
      </c>
      <c r="Y6725" s="1">
        <f t="shared" si="211"/>
        <v>0</v>
      </c>
    </row>
    <row r="6726" spans="24:25" x14ac:dyDescent="0.3">
      <c r="X6726" s="1">
        <f t="shared" si="210"/>
        <v>0</v>
      </c>
      <c r="Y6726" s="1">
        <f t="shared" si="211"/>
        <v>0</v>
      </c>
    </row>
    <row r="6727" spans="24:25" x14ac:dyDescent="0.3">
      <c r="X6727" s="1">
        <f t="shared" si="210"/>
        <v>0</v>
      </c>
      <c r="Y6727" s="1">
        <f t="shared" si="211"/>
        <v>0</v>
      </c>
    </row>
    <row r="6728" spans="24:25" x14ac:dyDescent="0.3">
      <c r="X6728" s="1">
        <f t="shared" si="210"/>
        <v>0</v>
      </c>
      <c r="Y6728" s="1">
        <f t="shared" si="211"/>
        <v>0</v>
      </c>
    </row>
    <row r="6729" spans="24:25" x14ac:dyDescent="0.3">
      <c r="X6729" s="1">
        <f t="shared" si="210"/>
        <v>0</v>
      </c>
      <c r="Y6729" s="1">
        <f t="shared" si="211"/>
        <v>0</v>
      </c>
    </row>
    <row r="6730" spans="24:25" x14ac:dyDescent="0.3">
      <c r="X6730" s="1">
        <f t="shared" si="210"/>
        <v>0</v>
      </c>
      <c r="Y6730" s="1">
        <f t="shared" si="211"/>
        <v>0</v>
      </c>
    </row>
    <row r="6731" spans="24:25" x14ac:dyDescent="0.3">
      <c r="X6731" s="1">
        <f t="shared" si="210"/>
        <v>0</v>
      </c>
      <c r="Y6731" s="1">
        <f t="shared" si="211"/>
        <v>0</v>
      </c>
    </row>
    <row r="6732" spans="24:25" x14ac:dyDescent="0.3">
      <c r="X6732" s="1">
        <f t="shared" si="210"/>
        <v>0</v>
      </c>
      <c r="Y6732" s="1">
        <f t="shared" si="211"/>
        <v>0</v>
      </c>
    </row>
    <row r="6733" spans="24:25" x14ac:dyDescent="0.3">
      <c r="X6733" s="1">
        <f t="shared" si="210"/>
        <v>0</v>
      </c>
      <c r="Y6733" s="1">
        <f t="shared" si="211"/>
        <v>0</v>
      </c>
    </row>
    <row r="6734" spans="24:25" x14ac:dyDescent="0.3">
      <c r="X6734" s="1">
        <f t="shared" si="210"/>
        <v>0</v>
      </c>
      <c r="Y6734" s="1">
        <f t="shared" si="211"/>
        <v>0</v>
      </c>
    </row>
    <row r="6735" spans="24:25" x14ac:dyDescent="0.3">
      <c r="X6735" s="1">
        <f t="shared" si="210"/>
        <v>0</v>
      </c>
      <c r="Y6735" s="1">
        <f t="shared" si="211"/>
        <v>0</v>
      </c>
    </row>
    <row r="6736" spans="24:25" x14ac:dyDescent="0.3">
      <c r="X6736" s="1">
        <f t="shared" si="210"/>
        <v>0</v>
      </c>
      <c r="Y6736" s="1">
        <f t="shared" si="211"/>
        <v>0</v>
      </c>
    </row>
    <row r="6737" spans="24:25" x14ac:dyDescent="0.3">
      <c r="X6737" s="1">
        <f t="shared" si="210"/>
        <v>0</v>
      </c>
      <c r="Y6737" s="1">
        <f t="shared" si="211"/>
        <v>0</v>
      </c>
    </row>
    <row r="6738" spans="24:25" x14ac:dyDescent="0.3">
      <c r="X6738" s="1">
        <f t="shared" si="210"/>
        <v>0</v>
      </c>
      <c r="Y6738" s="1">
        <f t="shared" si="211"/>
        <v>0</v>
      </c>
    </row>
    <row r="6739" spans="24:25" x14ac:dyDescent="0.3">
      <c r="X6739" s="1">
        <f t="shared" si="210"/>
        <v>0</v>
      </c>
      <c r="Y6739" s="1">
        <f t="shared" si="211"/>
        <v>0</v>
      </c>
    </row>
    <row r="6740" spans="24:25" x14ac:dyDescent="0.3">
      <c r="X6740" s="1">
        <f t="shared" si="210"/>
        <v>0</v>
      </c>
      <c r="Y6740" s="1">
        <f t="shared" si="211"/>
        <v>0</v>
      </c>
    </row>
    <row r="6741" spans="24:25" x14ac:dyDescent="0.3">
      <c r="X6741" s="1">
        <f t="shared" si="210"/>
        <v>0</v>
      </c>
      <c r="Y6741" s="1">
        <f t="shared" si="211"/>
        <v>0</v>
      </c>
    </row>
    <row r="6742" spans="24:25" x14ac:dyDescent="0.3">
      <c r="X6742" s="1">
        <f t="shared" si="210"/>
        <v>0</v>
      </c>
      <c r="Y6742" s="1">
        <f t="shared" si="211"/>
        <v>0</v>
      </c>
    </row>
    <row r="6743" spans="24:25" x14ac:dyDescent="0.3">
      <c r="X6743" s="1">
        <f t="shared" si="210"/>
        <v>0</v>
      </c>
      <c r="Y6743" s="1">
        <f t="shared" si="211"/>
        <v>0</v>
      </c>
    </row>
    <row r="6744" spans="24:25" x14ac:dyDescent="0.3">
      <c r="X6744" s="1">
        <f t="shared" si="210"/>
        <v>0</v>
      </c>
      <c r="Y6744" s="1">
        <f t="shared" si="211"/>
        <v>0</v>
      </c>
    </row>
    <row r="6745" spans="24:25" x14ac:dyDescent="0.3">
      <c r="X6745" s="1">
        <f t="shared" si="210"/>
        <v>0</v>
      </c>
      <c r="Y6745" s="1">
        <f t="shared" si="211"/>
        <v>0</v>
      </c>
    </row>
    <row r="6746" spans="24:25" x14ac:dyDescent="0.3">
      <c r="X6746" s="1">
        <f t="shared" si="210"/>
        <v>0</v>
      </c>
      <c r="Y6746" s="1">
        <f t="shared" si="211"/>
        <v>0</v>
      </c>
    </row>
    <row r="6747" spans="24:25" x14ac:dyDescent="0.3">
      <c r="X6747" s="1">
        <f t="shared" si="210"/>
        <v>0</v>
      </c>
      <c r="Y6747" s="1">
        <f t="shared" si="211"/>
        <v>0</v>
      </c>
    </row>
    <row r="6748" spans="24:25" x14ac:dyDescent="0.3">
      <c r="X6748" s="1">
        <f t="shared" si="210"/>
        <v>0</v>
      </c>
      <c r="Y6748" s="1">
        <f t="shared" si="211"/>
        <v>0</v>
      </c>
    </row>
    <row r="6749" spans="24:25" x14ac:dyDescent="0.3">
      <c r="X6749" s="1">
        <f t="shared" si="210"/>
        <v>0</v>
      </c>
      <c r="Y6749" s="1">
        <f t="shared" si="211"/>
        <v>0</v>
      </c>
    </row>
    <row r="6750" spans="24:25" x14ac:dyDescent="0.3">
      <c r="X6750" s="1">
        <f t="shared" si="210"/>
        <v>0</v>
      </c>
      <c r="Y6750" s="1">
        <f t="shared" si="211"/>
        <v>0</v>
      </c>
    </row>
    <row r="6751" spans="24:25" x14ac:dyDescent="0.3">
      <c r="X6751" s="1">
        <f t="shared" si="210"/>
        <v>0</v>
      </c>
      <c r="Y6751" s="1">
        <f t="shared" si="211"/>
        <v>0</v>
      </c>
    </row>
    <row r="6752" spans="24:25" x14ac:dyDescent="0.3">
      <c r="X6752" s="1">
        <f t="shared" si="210"/>
        <v>0</v>
      </c>
      <c r="Y6752" s="1">
        <f t="shared" si="211"/>
        <v>0</v>
      </c>
    </row>
    <row r="6753" spans="24:25" x14ac:dyDescent="0.3">
      <c r="X6753" s="1">
        <f t="shared" si="210"/>
        <v>0</v>
      </c>
      <c r="Y6753" s="1">
        <f t="shared" si="211"/>
        <v>0</v>
      </c>
    </row>
    <row r="6754" spans="24:25" x14ac:dyDescent="0.3">
      <c r="X6754" s="1">
        <f t="shared" si="210"/>
        <v>0</v>
      </c>
      <c r="Y6754" s="1">
        <f t="shared" si="211"/>
        <v>0</v>
      </c>
    </row>
    <row r="6755" spans="24:25" x14ac:dyDescent="0.3">
      <c r="X6755" s="1">
        <f t="shared" si="210"/>
        <v>0</v>
      </c>
      <c r="Y6755" s="1">
        <f t="shared" si="211"/>
        <v>0</v>
      </c>
    </row>
    <row r="6756" spans="24:25" x14ac:dyDescent="0.3">
      <c r="X6756" s="1">
        <f t="shared" si="210"/>
        <v>0</v>
      </c>
      <c r="Y6756" s="1">
        <f t="shared" si="211"/>
        <v>0</v>
      </c>
    </row>
    <row r="6757" spans="24:25" x14ac:dyDescent="0.3">
      <c r="X6757" s="1">
        <f t="shared" si="210"/>
        <v>0</v>
      </c>
      <c r="Y6757" s="1">
        <f t="shared" si="211"/>
        <v>0</v>
      </c>
    </row>
    <row r="6758" spans="24:25" x14ac:dyDescent="0.3">
      <c r="X6758" s="1">
        <f t="shared" si="210"/>
        <v>0</v>
      </c>
      <c r="Y6758" s="1">
        <f t="shared" si="211"/>
        <v>0</v>
      </c>
    </row>
    <row r="6759" spans="24:25" x14ac:dyDescent="0.3">
      <c r="X6759" s="1">
        <f t="shared" si="210"/>
        <v>0</v>
      </c>
      <c r="Y6759" s="1">
        <f t="shared" si="211"/>
        <v>0</v>
      </c>
    </row>
    <row r="6760" spans="24:25" x14ac:dyDescent="0.3">
      <c r="X6760" s="1">
        <f t="shared" si="210"/>
        <v>0</v>
      </c>
      <c r="Y6760" s="1">
        <f t="shared" si="211"/>
        <v>0</v>
      </c>
    </row>
    <row r="6761" spans="24:25" x14ac:dyDescent="0.3">
      <c r="X6761" s="1">
        <f t="shared" si="210"/>
        <v>0</v>
      </c>
      <c r="Y6761" s="1">
        <f t="shared" si="211"/>
        <v>0</v>
      </c>
    </row>
    <row r="6762" spans="24:25" x14ac:dyDescent="0.3">
      <c r="X6762" s="1">
        <f t="shared" si="210"/>
        <v>0</v>
      </c>
      <c r="Y6762" s="1">
        <f t="shared" si="211"/>
        <v>0</v>
      </c>
    </row>
    <row r="6763" spans="24:25" x14ac:dyDescent="0.3">
      <c r="X6763" s="1">
        <f t="shared" si="210"/>
        <v>0</v>
      </c>
      <c r="Y6763" s="1">
        <f t="shared" si="211"/>
        <v>0</v>
      </c>
    </row>
    <row r="6764" spans="24:25" x14ac:dyDescent="0.3">
      <c r="X6764" s="1">
        <f t="shared" si="210"/>
        <v>0</v>
      </c>
      <c r="Y6764" s="1">
        <f t="shared" si="211"/>
        <v>0</v>
      </c>
    </row>
    <row r="6765" spans="24:25" x14ac:dyDescent="0.3">
      <c r="X6765" s="1">
        <f t="shared" si="210"/>
        <v>0</v>
      </c>
      <c r="Y6765" s="1">
        <f t="shared" si="211"/>
        <v>0</v>
      </c>
    </row>
    <row r="6766" spans="24:25" x14ac:dyDescent="0.3">
      <c r="X6766" s="1">
        <f t="shared" si="210"/>
        <v>0</v>
      </c>
      <c r="Y6766" s="1">
        <f t="shared" si="211"/>
        <v>0</v>
      </c>
    </row>
    <row r="6767" spans="24:25" x14ac:dyDescent="0.3">
      <c r="X6767" s="1">
        <f t="shared" si="210"/>
        <v>0</v>
      </c>
      <c r="Y6767" s="1">
        <f t="shared" si="211"/>
        <v>0</v>
      </c>
    </row>
    <row r="6768" spans="24:25" x14ac:dyDescent="0.3">
      <c r="X6768" s="1">
        <f t="shared" si="210"/>
        <v>0</v>
      </c>
      <c r="Y6768" s="1">
        <f t="shared" si="211"/>
        <v>0</v>
      </c>
    </row>
    <row r="6769" spans="24:25" x14ac:dyDescent="0.3">
      <c r="X6769" s="1">
        <f t="shared" si="210"/>
        <v>0</v>
      </c>
      <c r="Y6769" s="1">
        <f t="shared" si="211"/>
        <v>0</v>
      </c>
    </row>
    <row r="6770" spans="24:25" x14ac:dyDescent="0.3">
      <c r="X6770" s="1">
        <f t="shared" si="210"/>
        <v>0</v>
      </c>
      <c r="Y6770" s="1">
        <f t="shared" si="211"/>
        <v>0</v>
      </c>
    </row>
    <row r="6771" spans="24:25" x14ac:dyDescent="0.3">
      <c r="X6771" s="1">
        <f t="shared" si="210"/>
        <v>0</v>
      </c>
      <c r="Y6771" s="1">
        <f t="shared" si="211"/>
        <v>0</v>
      </c>
    </row>
    <row r="6772" spans="24:25" x14ac:dyDescent="0.3">
      <c r="X6772" s="1">
        <f t="shared" si="210"/>
        <v>0</v>
      </c>
      <c r="Y6772" s="1">
        <f t="shared" si="211"/>
        <v>0</v>
      </c>
    </row>
    <row r="6773" spans="24:25" x14ac:dyDescent="0.3">
      <c r="X6773" s="1">
        <f t="shared" si="210"/>
        <v>0</v>
      </c>
      <c r="Y6773" s="1">
        <f t="shared" si="211"/>
        <v>0</v>
      </c>
    </row>
    <row r="6774" spans="24:25" x14ac:dyDescent="0.3">
      <c r="X6774" s="1">
        <f t="shared" si="210"/>
        <v>0</v>
      </c>
      <c r="Y6774" s="1">
        <f t="shared" si="211"/>
        <v>0</v>
      </c>
    </row>
    <row r="6775" spans="24:25" x14ac:dyDescent="0.3">
      <c r="X6775" s="1">
        <f t="shared" si="210"/>
        <v>0</v>
      </c>
      <c r="Y6775" s="1">
        <f t="shared" si="211"/>
        <v>0</v>
      </c>
    </row>
    <row r="6776" spans="24:25" x14ac:dyDescent="0.3">
      <c r="X6776" s="1">
        <f t="shared" si="210"/>
        <v>0</v>
      </c>
      <c r="Y6776" s="1">
        <f t="shared" si="211"/>
        <v>0</v>
      </c>
    </row>
    <row r="6777" spans="24:25" x14ac:dyDescent="0.3">
      <c r="X6777" s="1">
        <f t="shared" si="210"/>
        <v>0</v>
      </c>
      <c r="Y6777" s="1">
        <f t="shared" si="211"/>
        <v>0</v>
      </c>
    </row>
    <row r="6778" spans="24:25" x14ac:dyDescent="0.3">
      <c r="X6778" s="1">
        <f t="shared" si="210"/>
        <v>0</v>
      </c>
      <c r="Y6778" s="1">
        <f t="shared" si="211"/>
        <v>0</v>
      </c>
    </row>
    <row r="6779" spans="24:25" x14ac:dyDescent="0.3">
      <c r="X6779" s="1">
        <f t="shared" si="210"/>
        <v>0</v>
      </c>
      <c r="Y6779" s="1">
        <f t="shared" si="211"/>
        <v>0</v>
      </c>
    </row>
    <row r="6780" spans="24:25" x14ac:dyDescent="0.3">
      <c r="X6780" s="1">
        <f t="shared" si="210"/>
        <v>0</v>
      </c>
      <c r="Y6780" s="1">
        <f t="shared" si="211"/>
        <v>0</v>
      </c>
    </row>
    <row r="6781" spans="24:25" x14ac:dyDescent="0.3">
      <c r="X6781" s="1">
        <f t="shared" si="210"/>
        <v>0</v>
      </c>
      <c r="Y6781" s="1">
        <f t="shared" si="211"/>
        <v>0</v>
      </c>
    </row>
    <row r="6782" spans="24:25" x14ac:dyDescent="0.3">
      <c r="X6782" s="1">
        <f t="shared" si="210"/>
        <v>0</v>
      </c>
      <c r="Y6782" s="1">
        <f t="shared" si="211"/>
        <v>0</v>
      </c>
    </row>
    <row r="6783" spans="24:25" x14ac:dyDescent="0.3">
      <c r="X6783" s="1">
        <f t="shared" si="210"/>
        <v>0</v>
      </c>
      <c r="Y6783" s="1">
        <f t="shared" si="211"/>
        <v>0</v>
      </c>
    </row>
    <row r="6784" spans="24:25" x14ac:dyDescent="0.3">
      <c r="X6784" s="1">
        <f t="shared" si="210"/>
        <v>0</v>
      </c>
      <c r="Y6784" s="1">
        <f t="shared" si="211"/>
        <v>0</v>
      </c>
    </row>
    <row r="6785" spans="24:25" x14ac:dyDescent="0.3">
      <c r="X6785" s="1">
        <f t="shared" si="210"/>
        <v>0</v>
      </c>
      <c r="Y6785" s="1">
        <f t="shared" si="211"/>
        <v>0</v>
      </c>
    </row>
    <row r="6786" spans="24:25" x14ac:dyDescent="0.3">
      <c r="X6786" s="1">
        <f t="shared" si="210"/>
        <v>0</v>
      </c>
      <c r="Y6786" s="1">
        <f t="shared" si="211"/>
        <v>0</v>
      </c>
    </row>
    <row r="6787" spans="24:25" x14ac:dyDescent="0.3">
      <c r="X6787" s="1">
        <f t="shared" ref="X6787:X6850" si="212">IFERROR(MATCH(W6787,$B:$B,0),0)</f>
        <v>0</v>
      </c>
      <c r="Y6787" s="1">
        <f t="shared" ref="Y6787:Y6850" si="213">IF(X6788=0,COUNTA(A:A),X6788-1)</f>
        <v>0</v>
      </c>
    </row>
    <row r="6788" spans="24:25" x14ac:dyDescent="0.3">
      <c r="X6788" s="1">
        <f t="shared" si="212"/>
        <v>0</v>
      </c>
      <c r="Y6788" s="1">
        <f t="shared" si="213"/>
        <v>0</v>
      </c>
    </row>
    <row r="6789" spans="24:25" x14ac:dyDescent="0.3">
      <c r="X6789" s="1">
        <f t="shared" si="212"/>
        <v>0</v>
      </c>
      <c r="Y6789" s="1">
        <f t="shared" si="213"/>
        <v>0</v>
      </c>
    </row>
    <row r="6790" spans="24:25" x14ac:dyDescent="0.3">
      <c r="X6790" s="1">
        <f t="shared" si="212"/>
        <v>0</v>
      </c>
      <c r="Y6790" s="1">
        <f t="shared" si="213"/>
        <v>0</v>
      </c>
    </row>
    <row r="6791" spans="24:25" x14ac:dyDescent="0.3">
      <c r="X6791" s="1">
        <f t="shared" si="212"/>
        <v>0</v>
      </c>
      <c r="Y6791" s="1">
        <f t="shared" si="213"/>
        <v>0</v>
      </c>
    </row>
    <row r="6792" spans="24:25" x14ac:dyDescent="0.3">
      <c r="X6792" s="1">
        <f t="shared" si="212"/>
        <v>0</v>
      </c>
      <c r="Y6792" s="1">
        <f t="shared" si="213"/>
        <v>0</v>
      </c>
    </row>
    <row r="6793" spans="24:25" x14ac:dyDescent="0.3">
      <c r="X6793" s="1">
        <f t="shared" si="212"/>
        <v>0</v>
      </c>
      <c r="Y6793" s="1">
        <f t="shared" si="213"/>
        <v>0</v>
      </c>
    </row>
    <row r="6794" spans="24:25" x14ac:dyDescent="0.3">
      <c r="X6794" s="1">
        <f t="shared" si="212"/>
        <v>0</v>
      </c>
      <c r="Y6794" s="1">
        <f t="shared" si="213"/>
        <v>0</v>
      </c>
    </row>
    <row r="6795" spans="24:25" x14ac:dyDescent="0.3">
      <c r="X6795" s="1">
        <f t="shared" si="212"/>
        <v>0</v>
      </c>
      <c r="Y6795" s="1">
        <f t="shared" si="213"/>
        <v>0</v>
      </c>
    </row>
    <row r="6796" spans="24:25" x14ac:dyDescent="0.3">
      <c r="X6796" s="1">
        <f t="shared" si="212"/>
        <v>0</v>
      </c>
      <c r="Y6796" s="1">
        <f t="shared" si="213"/>
        <v>0</v>
      </c>
    </row>
    <row r="6797" spans="24:25" x14ac:dyDescent="0.3">
      <c r="X6797" s="1">
        <f t="shared" si="212"/>
        <v>0</v>
      </c>
      <c r="Y6797" s="1">
        <f t="shared" si="213"/>
        <v>0</v>
      </c>
    </row>
    <row r="6798" spans="24:25" x14ac:dyDescent="0.3">
      <c r="X6798" s="1">
        <f t="shared" si="212"/>
        <v>0</v>
      </c>
      <c r="Y6798" s="1">
        <f t="shared" si="213"/>
        <v>0</v>
      </c>
    </row>
    <row r="6799" spans="24:25" x14ac:dyDescent="0.3">
      <c r="X6799" s="1">
        <f t="shared" si="212"/>
        <v>0</v>
      </c>
      <c r="Y6799" s="1">
        <f t="shared" si="213"/>
        <v>0</v>
      </c>
    </row>
    <row r="6800" spans="24:25" x14ac:dyDescent="0.3">
      <c r="X6800" s="1">
        <f t="shared" si="212"/>
        <v>0</v>
      </c>
      <c r="Y6800" s="1">
        <f t="shared" si="213"/>
        <v>0</v>
      </c>
    </row>
    <row r="6801" spans="24:25" x14ac:dyDescent="0.3">
      <c r="X6801" s="1">
        <f t="shared" si="212"/>
        <v>0</v>
      </c>
      <c r="Y6801" s="1">
        <f t="shared" si="213"/>
        <v>0</v>
      </c>
    </row>
    <row r="6802" spans="24:25" x14ac:dyDescent="0.3">
      <c r="X6802" s="1">
        <f t="shared" si="212"/>
        <v>0</v>
      </c>
      <c r="Y6802" s="1">
        <f t="shared" si="213"/>
        <v>0</v>
      </c>
    </row>
    <row r="6803" spans="24:25" x14ac:dyDescent="0.3">
      <c r="X6803" s="1">
        <f t="shared" si="212"/>
        <v>0</v>
      </c>
      <c r="Y6803" s="1">
        <f t="shared" si="213"/>
        <v>0</v>
      </c>
    </row>
    <row r="6804" spans="24:25" x14ac:dyDescent="0.3">
      <c r="X6804" s="1">
        <f t="shared" si="212"/>
        <v>0</v>
      </c>
      <c r="Y6804" s="1">
        <f t="shared" si="213"/>
        <v>0</v>
      </c>
    </row>
    <row r="6805" spans="24:25" x14ac:dyDescent="0.3">
      <c r="X6805" s="1">
        <f t="shared" si="212"/>
        <v>0</v>
      </c>
      <c r="Y6805" s="1">
        <f t="shared" si="213"/>
        <v>0</v>
      </c>
    </row>
    <row r="6806" spans="24:25" x14ac:dyDescent="0.3">
      <c r="X6806" s="1">
        <f t="shared" si="212"/>
        <v>0</v>
      </c>
      <c r="Y6806" s="1">
        <f t="shared" si="213"/>
        <v>0</v>
      </c>
    </row>
    <row r="6807" spans="24:25" x14ac:dyDescent="0.3">
      <c r="X6807" s="1">
        <f t="shared" si="212"/>
        <v>0</v>
      </c>
      <c r="Y6807" s="1">
        <f t="shared" si="213"/>
        <v>0</v>
      </c>
    </row>
    <row r="6808" spans="24:25" x14ac:dyDescent="0.3">
      <c r="X6808" s="1">
        <f t="shared" si="212"/>
        <v>0</v>
      </c>
      <c r="Y6808" s="1">
        <f t="shared" si="213"/>
        <v>0</v>
      </c>
    </row>
    <row r="6809" spans="24:25" x14ac:dyDescent="0.3">
      <c r="X6809" s="1">
        <f t="shared" si="212"/>
        <v>0</v>
      </c>
      <c r="Y6809" s="1">
        <f t="shared" si="213"/>
        <v>0</v>
      </c>
    </row>
    <row r="6810" spans="24:25" x14ac:dyDescent="0.3">
      <c r="X6810" s="1">
        <f t="shared" si="212"/>
        <v>0</v>
      </c>
      <c r="Y6810" s="1">
        <f t="shared" si="213"/>
        <v>0</v>
      </c>
    </row>
    <row r="6811" spans="24:25" x14ac:dyDescent="0.3">
      <c r="X6811" s="1">
        <f t="shared" si="212"/>
        <v>0</v>
      </c>
      <c r="Y6811" s="1">
        <f t="shared" si="213"/>
        <v>0</v>
      </c>
    </row>
    <row r="6812" spans="24:25" x14ac:dyDescent="0.3">
      <c r="X6812" s="1">
        <f t="shared" si="212"/>
        <v>0</v>
      </c>
      <c r="Y6812" s="1">
        <f t="shared" si="213"/>
        <v>0</v>
      </c>
    </row>
    <row r="6813" spans="24:25" x14ac:dyDescent="0.3">
      <c r="X6813" s="1">
        <f t="shared" si="212"/>
        <v>0</v>
      </c>
      <c r="Y6813" s="1">
        <f t="shared" si="213"/>
        <v>0</v>
      </c>
    </row>
    <row r="6814" spans="24:25" x14ac:dyDescent="0.3">
      <c r="X6814" s="1">
        <f t="shared" si="212"/>
        <v>0</v>
      </c>
      <c r="Y6814" s="1">
        <f t="shared" si="213"/>
        <v>0</v>
      </c>
    </row>
    <row r="6815" spans="24:25" x14ac:dyDescent="0.3">
      <c r="X6815" s="1">
        <f t="shared" si="212"/>
        <v>0</v>
      </c>
      <c r="Y6815" s="1">
        <f t="shared" si="213"/>
        <v>0</v>
      </c>
    </row>
    <row r="6816" spans="24:25" x14ac:dyDescent="0.3">
      <c r="X6816" s="1">
        <f t="shared" si="212"/>
        <v>0</v>
      </c>
      <c r="Y6816" s="1">
        <f t="shared" si="213"/>
        <v>0</v>
      </c>
    </row>
    <row r="6817" spans="24:25" x14ac:dyDescent="0.3">
      <c r="X6817" s="1">
        <f t="shared" si="212"/>
        <v>0</v>
      </c>
      <c r="Y6817" s="1">
        <f t="shared" si="213"/>
        <v>0</v>
      </c>
    </row>
    <row r="6818" spans="24:25" x14ac:dyDescent="0.3">
      <c r="X6818" s="1">
        <f t="shared" si="212"/>
        <v>0</v>
      </c>
      <c r="Y6818" s="1">
        <f t="shared" si="213"/>
        <v>0</v>
      </c>
    </row>
    <row r="6819" spans="24:25" x14ac:dyDescent="0.3">
      <c r="X6819" s="1">
        <f t="shared" si="212"/>
        <v>0</v>
      </c>
      <c r="Y6819" s="1">
        <f t="shared" si="213"/>
        <v>0</v>
      </c>
    </row>
    <row r="6820" spans="24:25" x14ac:dyDescent="0.3">
      <c r="X6820" s="1">
        <f t="shared" si="212"/>
        <v>0</v>
      </c>
      <c r="Y6820" s="1">
        <f t="shared" si="213"/>
        <v>0</v>
      </c>
    </row>
    <row r="6821" spans="24:25" x14ac:dyDescent="0.3">
      <c r="X6821" s="1">
        <f t="shared" si="212"/>
        <v>0</v>
      </c>
      <c r="Y6821" s="1">
        <f t="shared" si="213"/>
        <v>0</v>
      </c>
    </row>
    <row r="6822" spans="24:25" x14ac:dyDescent="0.3">
      <c r="X6822" s="1">
        <f t="shared" si="212"/>
        <v>0</v>
      </c>
      <c r="Y6822" s="1">
        <f t="shared" si="213"/>
        <v>0</v>
      </c>
    </row>
    <row r="6823" spans="24:25" x14ac:dyDescent="0.3">
      <c r="X6823" s="1">
        <f t="shared" si="212"/>
        <v>0</v>
      </c>
      <c r="Y6823" s="1">
        <f t="shared" si="213"/>
        <v>0</v>
      </c>
    </row>
    <row r="6824" spans="24:25" x14ac:dyDescent="0.3">
      <c r="X6824" s="1">
        <f t="shared" si="212"/>
        <v>0</v>
      </c>
      <c r="Y6824" s="1">
        <f t="shared" si="213"/>
        <v>0</v>
      </c>
    </row>
    <row r="6825" spans="24:25" x14ac:dyDescent="0.3">
      <c r="X6825" s="1">
        <f t="shared" si="212"/>
        <v>0</v>
      </c>
      <c r="Y6825" s="1">
        <f t="shared" si="213"/>
        <v>0</v>
      </c>
    </row>
    <row r="6826" spans="24:25" x14ac:dyDescent="0.3">
      <c r="X6826" s="1">
        <f t="shared" si="212"/>
        <v>0</v>
      </c>
      <c r="Y6826" s="1">
        <f t="shared" si="213"/>
        <v>0</v>
      </c>
    </row>
    <row r="6827" spans="24:25" x14ac:dyDescent="0.3">
      <c r="X6827" s="1">
        <f t="shared" si="212"/>
        <v>0</v>
      </c>
      <c r="Y6827" s="1">
        <f t="shared" si="213"/>
        <v>0</v>
      </c>
    </row>
    <row r="6828" spans="24:25" x14ac:dyDescent="0.3">
      <c r="X6828" s="1">
        <f t="shared" si="212"/>
        <v>0</v>
      </c>
      <c r="Y6828" s="1">
        <f t="shared" si="213"/>
        <v>0</v>
      </c>
    </row>
    <row r="6829" spans="24:25" x14ac:dyDescent="0.3">
      <c r="X6829" s="1">
        <f t="shared" si="212"/>
        <v>0</v>
      </c>
      <c r="Y6829" s="1">
        <f t="shared" si="213"/>
        <v>0</v>
      </c>
    </row>
    <row r="6830" spans="24:25" x14ac:dyDescent="0.3">
      <c r="X6830" s="1">
        <f t="shared" si="212"/>
        <v>0</v>
      </c>
      <c r="Y6830" s="1">
        <f t="shared" si="213"/>
        <v>0</v>
      </c>
    </row>
    <row r="6831" spans="24:25" x14ac:dyDescent="0.3">
      <c r="X6831" s="1">
        <f t="shared" si="212"/>
        <v>0</v>
      </c>
      <c r="Y6831" s="1">
        <f t="shared" si="213"/>
        <v>0</v>
      </c>
    </row>
    <row r="6832" spans="24:25" x14ac:dyDescent="0.3">
      <c r="X6832" s="1">
        <f t="shared" si="212"/>
        <v>0</v>
      </c>
      <c r="Y6832" s="1">
        <f t="shared" si="213"/>
        <v>0</v>
      </c>
    </row>
    <row r="6833" spans="24:25" x14ac:dyDescent="0.3">
      <c r="X6833" s="1">
        <f t="shared" si="212"/>
        <v>0</v>
      </c>
      <c r="Y6833" s="1">
        <f t="shared" si="213"/>
        <v>0</v>
      </c>
    </row>
    <row r="6834" spans="24:25" x14ac:dyDescent="0.3">
      <c r="X6834" s="1">
        <f t="shared" si="212"/>
        <v>0</v>
      </c>
      <c r="Y6834" s="1">
        <f t="shared" si="213"/>
        <v>0</v>
      </c>
    </row>
    <row r="6835" spans="24:25" x14ac:dyDescent="0.3">
      <c r="X6835" s="1">
        <f t="shared" si="212"/>
        <v>0</v>
      </c>
      <c r="Y6835" s="1">
        <f t="shared" si="213"/>
        <v>0</v>
      </c>
    </row>
    <row r="6836" spans="24:25" x14ac:dyDescent="0.3">
      <c r="X6836" s="1">
        <f t="shared" si="212"/>
        <v>0</v>
      </c>
      <c r="Y6836" s="1">
        <f t="shared" si="213"/>
        <v>0</v>
      </c>
    </row>
    <row r="6837" spans="24:25" x14ac:dyDescent="0.3">
      <c r="X6837" s="1">
        <f t="shared" si="212"/>
        <v>0</v>
      </c>
      <c r="Y6837" s="1">
        <f t="shared" si="213"/>
        <v>0</v>
      </c>
    </row>
    <row r="6838" spans="24:25" x14ac:dyDescent="0.3">
      <c r="X6838" s="1">
        <f t="shared" si="212"/>
        <v>0</v>
      </c>
      <c r="Y6838" s="1">
        <f t="shared" si="213"/>
        <v>0</v>
      </c>
    </row>
    <row r="6839" spans="24:25" x14ac:dyDescent="0.3">
      <c r="X6839" s="1">
        <f t="shared" si="212"/>
        <v>0</v>
      </c>
      <c r="Y6839" s="1">
        <f t="shared" si="213"/>
        <v>0</v>
      </c>
    </row>
    <row r="6840" spans="24:25" x14ac:dyDescent="0.3">
      <c r="X6840" s="1">
        <f t="shared" si="212"/>
        <v>0</v>
      </c>
      <c r="Y6840" s="1">
        <f t="shared" si="213"/>
        <v>0</v>
      </c>
    </row>
    <row r="6841" spans="24:25" x14ac:dyDescent="0.3">
      <c r="X6841" s="1">
        <f t="shared" si="212"/>
        <v>0</v>
      </c>
      <c r="Y6841" s="1">
        <f t="shared" si="213"/>
        <v>0</v>
      </c>
    </row>
    <row r="6842" spans="24:25" x14ac:dyDescent="0.3">
      <c r="X6842" s="1">
        <f t="shared" si="212"/>
        <v>0</v>
      </c>
      <c r="Y6842" s="1">
        <f t="shared" si="213"/>
        <v>0</v>
      </c>
    </row>
    <row r="6843" spans="24:25" x14ac:dyDescent="0.3">
      <c r="X6843" s="1">
        <f t="shared" si="212"/>
        <v>0</v>
      </c>
      <c r="Y6843" s="1">
        <f t="shared" si="213"/>
        <v>0</v>
      </c>
    </row>
    <row r="6844" spans="24:25" x14ac:dyDescent="0.3">
      <c r="X6844" s="1">
        <f t="shared" si="212"/>
        <v>0</v>
      </c>
      <c r="Y6844" s="1">
        <f t="shared" si="213"/>
        <v>0</v>
      </c>
    </row>
    <row r="6845" spans="24:25" x14ac:dyDescent="0.3">
      <c r="X6845" s="1">
        <f t="shared" si="212"/>
        <v>0</v>
      </c>
      <c r="Y6845" s="1">
        <f t="shared" si="213"/>
        <v>0</v>
      </c>
    </row>
    <row r="6846" spans="24:25" x14ac:dyDescent="0.3">
      <c r="X6846" s="1">
        <f t="shared" si="212"/>
        <v>0</v>
      </c>
      <c r="Y6846" s="1">
        <f t="shared" si="213"/>
        <v>0</v>
      </c>
    </row>
    <row r="6847" spans="24:25" x14ac:dyDescent="0.3">
      <c r="X6847" s="1">
        <f t="shared" si="212"/>
        <v>0</v>
      </c>
      <c r="Y6847" s="1">
        <f t="shared" si="213"/>
        <v>0</v>
      </c>
    </row>
    <row r="6848" spans="24:25" x14ac:dyDescent="0.3">
      <c r="X6848" s="1">
        <f t="shared" si="212"/>
        <v>0</v>
      </c>
      <c r="Y6848" s="1">
        <f t="shared" si="213"/>
        <v>0</v>
      </c>
    </row>
    <row r="6849" spans="24:25" x14ac:dyDescent="0.3">
      <c r="X6849" s="1">
        <f t="shared" si="212"/>
        <v>0</v>
      </c>
      <c r="Y6849" s="1">
        <f t="shared" si="213"/>
        <v>0</v>
      </c>
    </row>
    <row r="6850" spans="24:25" x14ac:dyDescent="0.3">
      <c r="X6850" s="1">
        <f t="shared" si="212"/>
        <v>0</v>
      </c>
      <c r="Y6850" s="1">
        <f t="shared" si="213"/>
        <v>0</v>
      </c>
    </row>
    <row r="6851" spans="24:25" x14ac:dyDescent="0.3">
      <c r="X6851" s="1">
        <f t="shared" ref="X6851:X6914" si="214">IFERROR(MATCH(W6851,$B:$B,0),0)</f>
        <v>0</v>
      </c>
      <c r="Y6851" s="1">
        <f t="shared" ref="Y6851:Y6914" si="215">IF(X6852=0,COUNTA(A:A),X6852-1)</f>
        <v>0</v>
      </c>
    </row>
    <row r="6852" spans="24:25" x14ac:dyDescent="0.3">
      <c r="X6852" s="1">
        <f t="shared" si="214"/>
        <v>0</v>
      </c>
      <c r="Y6852" s="1">
        <f t="shared" si="215"/>
        <v>0</v>
      </c>
    </row>
    <row r="6853" spans="24:25" x14ac:dyDescent="0.3">
      <c r="X6853" s="1">
        <f t="shared" si="214"/>
        <v>0</v>
      </c>
      <c r="Y6853" s="1">
        <f t="shared" si="215"/>
        <v>0</v>
      </c>
    </row>
    <row r="6854" spans="24:25" x14ac:dyDescent="0.3">
      <c r="X6854" s="1">
        <f t="shared" si="214"/>
        <v>0</v>
      </c>
      <c r="Y6854" s="1">
        <f t="shared" si="215"/>
        <v>0</v>
      </c>
    </row>
    <row r="6855" spans="24:25" x14ac:dyDescent="0.3">
      <c r="X6855" s="1">
        <f t="shared" si="214"/>
        <v>0</v>
      </c>
      <c r="Y6855" s="1">
        <f t="shared" si="215"/>
        <v>0</v>
      </c>
    </row>
    <row r="6856" spans="24:25" x14ac:dyDescent="0.3">
      <c r="X6856" s="1">
        <f t="shared" si="214"/>
        <v>0</v>
      </c>
      <c r="Y6856" s="1">
        <f t="shared" si="215"/>
        <v>0</v>
      </c>
    </row>
    <row r="6857" spans="24:25" x14ac:dyDescent="0.3">
      <c r="X6857" s="1">
        <f t="shared" si="214"/>
        <v>0</v>
      </c>
      <c r="Y6857" s="1">
        <f t="shared" si="215"/>
        <v>0</v>
      </c>
    </row>
    <row r="6858" spans="24:25" x14ac:dyDescent="0.3">
      <c r="X6858" s="1">
        <f t="shared" si="214"/>
        <v>0</v>
      </c>
      <c r="Y6858" s="1">
        <f t="shared" si="215"/>
        <v>0</v>
      </c>
    </row>
    <row r="6859" spans="24:25" x14ac:dyDescent="0.3">
      <c r="X6859" s="1">
        <f t="shared" si="214"/>
        <v>0</v>
      </c>
      <c r="Y6859" s="1">
        <f t="shared" si="215"/>
        <v>0</v>
      </c>
    </row>
    <row r="6860" spans="24:25" x14ac:dyDescent="0.3">
      <c r="X6860" s="1">
        <f t="shared" si="214"/>
        <v>0</v>
      </c>
      <c r="Y6860" s="1">
        <f t="shared" si="215"/>
        <v>0</v>
      </c>
    </row>
    <row r="6861" spans="24:25" x14ac:dyDescent="0.3">
      <c r="X6861" s="1">
        <f t="shared" si="214"/>
        <v>0</v>
      </c>
      <c r="Y6861" s="1">
        <f t="shared" si="215"/>
        <v>0</v>
      </c>
    </row>
    <row r="6862" spans="24:25" x14ac:dyDescent="0.3">
      <c r="X6862" s="1">
        <f t="shared" si="214"/>
        <v>0</v>
      </c>
      <c r="Y6862" s="1">
        <f t="shared" si="215"/>
        <v>0</v>
      </c>
    </row>
    <row r="6863" spans="24:25" x14ac:dyDescent="0.3">
      <c r="X6863" s="1">
        <f t="shared" si="214"/>
        <v>0</v>
      </c>
      <c r="Y6863" s="1">
        <f t="shared" si="215"/>
        <v>0</v>
      </c>
    </row>
    <row r="6864" spans="24:25" x14ac:dyDescent="0.3">
      <c r="X6864" s="1">
        <f t="shared" si="214"/>
        <v>0</v>
      </c>
      <c r="Y6864" s="1">
        <f t="shared" si="215"/>
        <v>0</v>
      </c>
    </row>
    <row r="6865" spans="24:25" x14ac:dyDescent="0.3">
      <c r="X6865" s="1">
        <f t="shared" si="214"/>
        <v>0</v>
      </c>
      <c r="Y6865" s="1">
        <f t="shared" si="215"/>
        <v>0</v>
      </c>
    </row>
    <row r="6866" spans="24:25" x14ac:dyDescent="0.3">
      <c r="X6866" s="1">
        <f t="shared" si="214"/>
        <v>0</v>
      </c>
      <c r="Y6866" s="1">
        <f t="shared" si="215"/>
        <v>0</v>
      </c>
    </row>
    <row r="6867" spans="24:25" x14ac:dyDescent="0.3">
      <c r="X6867" s="1">
        <f t="shared" si="214"/>
        <v>0</v>
      </c>
      <c r="Y6867" s="1">
        <f t="shared" si="215"/>
        <v>0</v>
      </c>
    </row>
    <row r="6868" spans="24:25" x14ac:dyDescent="0.3">
      <c r="X6868" s="1">
        <f t="shared" si="214"/>
        <v>0</v>
      </c>
      <c r="Y6868" s="1">
        <f t="shared" si="215"/>
        <v>0</v>
      </c>
    </row>
    <row r="6869" spans="24:25" x14ac:dyDescent="0.3">
      <c r="X6869" s="1">
        <f t="shared" si="214"/>
        <v>0</v>
      </c>
      <c r="Y6869" s="1">
        <f t="shared" si="215"/>
        <v>0</v>
      </c>
    </row>
    <row r="6870" spans="24:25" x14ac:dyDescent="0.3">
      <c r="X6870" s="1">
        <f t="shared" si="214"/>
        <v>0</v>
      </c>
      <c r="Y6870" s="1">
        <f t="shared" si="215"/>
        <v>0</v>
      </c>
    </row>
    <row r="6871" spans="24:25" x14ac:dyDescent="0.3">
      <c r="X6871" s="1">
        <f t="shared" si="214"/>
        <v>0</v>
      </c>
      <c r="Y6871" s="1">
        <f t="shared" si="215"/>
        <v>0</v>
      </c>
    </row>
    <row r="6872" spans="24:25" x14ac:dyDescent="0.3">
      <c r="X6872" s="1">
        <f t="shared" si="214"/>
        <v>0</v>
      </c>
      <c r="Y6872" s="1">
        <f t="shared" si="215"/>
        <v>0</v>
      </c>
    </row>
    <row r="6873" spans="24:25" x14ac:dyDescent="0.3">
      <c r="X6873" s="1">
        <f t="shared" si="214"/>
        <v>0</v>
      </c>
      <c r="Y6873" s="1">
        <f t="shared" si="215"/>
        <v>0</v>
      </c>
    </row>
    <row r="6874" spans="24:25" x14ac:dyDescent="0.3">
      <c r="X6874" s="1">
        <f t="shared" si="214"/>
        <v>0</v>
      </c>
      <c r="Y6874" s="1">
        <f t="shared" si="215"/>
        <v>0</v>
      </c>
    </row>
    <row r="6875" spans="24:25" x14ac:dyDescent="0.3">
      <c r="X6875" s="1">
        <f t="shared" si="214"/>
        <v>0</v>
      </c>
      <c r="Y6875" s="1">
        <f t="shared" si="215"/>
        <v>0</v>
      </c>
    </row>
    <row r="6876" spans="24:25" x14ac:dyDescent="0.3">
      <c r="X6876" s="1">
        <f t="shared" si="214"/>
        <v>0</v>
      </c>
      <c r="Y6876" s="1">
        <f t="shared" si="215"/>
        <v>0</v>
      </c>
    </row>
    <row r="6877" spans="24:25" x14ac:dyDescent="0.3">
      <c r="X6877" s="1">
        <f t="shared" si="214"/>
        <v>0</v>
      </c>
      <c r="Y6877" s="1">
        <f t="shared" si="215"/>
        <v>0</v>
      </c>
    </row>
    <row r="6878" spans="24:25" x14ac:dyDescent="0.3">
      <c r="X6878" s="1">
        <f t="shared" si="214"/>
        <v>0</v>
      </c>
      <c r="Y6878" s="1">
        <f t="shared" si="215"/>
        <v>0</v>
      </c>
    </row>
    <row r="6879" spans="24:25" x14ac:dyDescent="0.3">
      <c r="X6879" s="1">
        <f t="shared" si="214"/>
        <v>0</v>
      </c>
      <c r="Y6879" s="1">
        <f t="shared" si="215"/>
        <v>0</v>
      </c>
    </row>
    <row r="6880" spans="24:25" x14ac:dyDescent="0.3">
      <c r="X6880" s="1">
        <f t="shared" si="214"/>
        <v>0</v>
      </c>
      <c r="Y6880" s="1">
        <f t="shared" si="215"/>
        <v>0</v>
      </c>
    </row>
    <row r="6881" spans="24:25" x14ac:dyDescent="0.3">
      <c r="X6881" s="1">
        <f t="shared" si="214"/>
        <v>0</v>
      </c>
      <c r="Y6881" s="1">
        <f t="shared" si="215"/>
        <v>0</v>
      </c>
    </row>
    <row r="6882" spans="24:25" x14ac:dyDescent="0.3">
      <c r="X6882" s="1">
        <f t="shared" si="214"/>
        <v>0</v>
      </c>
      <c r="Y6882" s="1">
        <f t="shared" si="215"/>
        <v>0</v>
      </c>
    </row>
    <row r="6883" spans="24:25" x14ac:dyDescent="0.3">
      <c r="X6883" s="1">
        <f t="shared" si="214"/>
        <v>0</v>
      </c>
      <c r="Y6883" s="1">
        <f t="shared" si="215"/>
        <v>0</v>
      </c>
    </row>
    <row r="6884" spans="24:25" x14ac:dyDescent="0.3">
      <c r="X6884" s="1">
        <f t="shared" si="214"/>
        <v>0</v>
      </c>
      <c r="Y6884" s="1">
        <f t="shared" si="215"/>
        <v>0</v>
      </c>
    </row>
    <row r="6885" spans="24:25" x14ac:dyDescent="0.3">
      <c r="X6885" s="1">
        <f t="shared" si="214"/>
        <v>0</v>
      </c>
      <c r="Y6885" s="1">
        <f t="shared" si="215"/>
        <v>0</v>
      </c>
    </row>
    <row r="6886" spans="24:25" x14ac:dyDescent="0.3">
      <c r="X6886" s="1">
        <f t="shared" si="214"/>
        <v>0</v>
      </c>
      <c r="Y6886" s="1">
        <f t="shared" si="215"/>
        <v>0</v>
      </c>
    </row>
    <row r="6887" spans="24:25" x14ac:dyDescent="0.3">
      <c r="X6887" s="1">
        <f t="shared" si="214"/>
        <v>0</v>
      </c>
      <c r="Y6887" s="1">
        <f t="shared" si="215"/>
        <v>0</v>
      </c>
    </row>
    <row r="6888" spans="24:25" x14ac:dyDescent="0.3">
      <c r="X6888" s="1">
        <f t="shared" si="214"/>
        <v>0</v>
      </c>
      <c r="Y6888" s="1">
        <f t="shared" si="215"/>
        <v>0</v>
      </c>
    </row>
    <row r="6889" spans="24:25" x14ac:dyDescent="0.3">
      <c r="X6889" s="1">
        <f t="shared" si="214"/>
        <v>0</v>
      </c>
      <c r="Y6889" s="1">
        <f t="shared" si="215"/>
        <v>0</v>
      </c>
    </row>
    <row r="6890" spans="24:25" x14ac:dyDescent="0.3">
      <c r="X6890" s="1">
        <f t="shared" si="214"/>
        <v>0</v>
      </c>
      <c r="Y6890" s="1">
        <f t="shared" si="215"/>
        <v>0</v>
      </c>
    </row>
    <row r="6891" spans="24:25" x14ac:dyDescent="0.3">
      <c r="X6891" s="1">
        <f t="shared" si="214"/>
        <v>0</v>
      </c>
      <c r="Y6891" s="1">
        <f t="shared" si="215"/>
        <v>0</v>
      </c>
    </row>
    <row r="6892" spans="24:25" x14ac:dyDescent="0.3">
      <c r="X6892" s="1">
        <f t="shared" si="214"/>
        <v>0</v>
      </c>
      <c r="Y6892" s="1">
        <f t="shared" si="215"/>
        <v>0</v>
      </c>
    </row>
    <row r="6893" spans="24:25" x14ac:dyDescent="0.3">
      <c r="X6893" s="1">
        <f t="shared" si="214"/>
        <v>0</v>
      </c>
      <c r="Y6893" s="1">
        <f t="shared" si="215"/>
        <v>0</v>
      </c>
    </row>
    <row r="6894" spans="24:25" x14ac:dyDescent="0.3">
      <c r="X6894" s="1">
        <f t="shared" si="214"/>
        <v>0</v>
      </c>
      <c r="Y6894" s="1">
        <f t="shared" si="215"/>
        <v>0</v>
      </c>
    </row>
    <row r="6895" spans="24:25" x14ac:dyDescent="0.3">
      <c r="X6895" s="1">
        <f t="shared" si="214"/>
        <v>0</v>
      </c>
      <c r="Y6895" s="1">
        <f t="shared" si="215"/>
        <v>0</v>
      </c>
    </row>
    <row r="6896" spans="24:25" x14ac:dyDescent="0.3">
      <c r="X6896" s="1">
        <f t="shared" si="214"/>
        <v>0</v>
      </c>
      <c r="Y6896" s="1">
        <f t="shared" si="215"/>
        <v>0</v>
      </c>
    </row>
    <row r="6897" spans="24:25" x14ac:dyDescent="0.3">
      <c r="X6897" s="1">
        <f t="shared" si="214"/>
        <v>0</v>
      </c>
      <c r="Y6897" s="1">
        <f t="shared" si="215"/>
        <v>0</v>
      </c>
    </row>
    <row r="6898" spans="24:25" x14ac:dyDescent="0.3">
      <c r="X6898" s="1">
        <f t="shared" si="214"/>
        <v>0</v>
      </c>
      <c r="Y6898" s="1">
        <f t="shared" si="215"/>
        <v>0</v>
      </c>
    </row>
    <row r="6899" spans="24:25" x14ac:dyDescent="0.3">
      <c r="X6899" s="1">
        <f t="shared" si="214"/>
        <v>0</v>
      </c>
      <c r="Y6899" s="1">
        <f t="shared" si="215"/>
        <v>0</v>
      </c>
    </row>
    <row r="6900" spans="24:25" x14ac:dyDescent="0.3">
      <c r="X6900" s="1">
        <f t="shared" si="214"/>
        <v>0</v>
      </c>
      <c r="Y6900" s="1">
        <f t="shared" si="215"/>
        <v>0</v>
      </c>
    </row>
    <row r="6901" spans="24:25" x14ac:dyDescent="0.3">
      <c r="X6901" s="1">
        <f t="shared" si="214"/>
        <v>0</v>
      </c>
      <c r="Y6901" s="1">
        <f t="shared" si="215"/>
        <v>0</v>
      </c>
    </row>
    <row r="6902" spans="24:25" x14ac:dyDescent="0.3">
      <c r="X6902" s="1">
        <f t="shared" si="214"/>
        <v>0</v>
      </c>
      <c r="Y6902" s="1">
        <f t="shared" si="215"/>
        <v>0</v>
      </c>
    </row>
    <row r="6903" spans="24:25" x14ac:dyDescent="0.3">
      <c r="X6903" s="1">
        <f t="shared" si="214"/>
        <v>0</v>
      </c>
      <c r="Y6903" s="1">
        <f t="shared" si="215"/>
        <v>0</v>
      </c>
    </row>
    <row r="6904" spans="24:25" x14ac:dyDescent="0.3">
      <c r="X6904" s="1">
        <f t="shared" si="214"/>
        <v>0</v>
      </c>
      <c r="Y6904" s="1">
        <f t="shared" si="215"/>
        <v>0</v>
      </c>
    </row>
    <row r="6905" spans="24:25" x14ac:dyDescent="0.3">
      <c r="X6905" s="1">
        <f t="shared" si="214"/>
        <v>0</v>
      </c>
      <c r="Y6905" s="1">
        <f t="shared" si="215"/>
        <v>0</v>
      </c>
    </row>
    <row r="6906" spans="24:25" x14ac:dyDescent="0.3">
      <c r="X6906" s="1">
        <f t="shared" si="214"/>
        <v>0</v>
      </c>
      <c r="Y6906" s="1">
        <f t="shared" si="215"/>
        <v>0</v>
      </c>
    </row>
    <row r="6907" spans="24:25" x14ac:dyDescent="0.3">
      <c r="X6907" s="1">
        <f t="shared" si="214"/>
        <v>0</v>
      </c>
      <c r="Y6907" s="1">
        <f t="shared" si="215"/>
        <v>0</v>
      </c>
    </row>
    <row r="6908" spans="24:25" x14ac:dyDescent="0.3">
      <c r="X6908" s="1">
        <f t="shared" si="214"/>
        <v>0</v>
      </c>
      <c r="Y6908" s="1">
        <f t="shared" si="215"/>
        <v>0</v>
      </c>
    </row>
    <row r="6909" spans="24:25" x14ac:dyDescent="0.3">
      <c r="X6909" s="1">
        <f t="shared" si="214"/>
        <v>0</v>
      </c>
      <c r="Y6909" s="1">
        <f t="shared" si="215"/>
        <v>0</v>
      </c>
    </row>
    <row r="6910" spans="24:25" x14ac:dyDescent="0.3">
      <c r="X6910" s="1">
        <f t="shared" si="214"/>
        <v>0</v>
      </c>
      <c r="Y6910" s="1">
        <f t="shared" si="215"/>
        <v>0</v>
      </c>
    </row>
    <row r="6911" spans="24:25" x14ac:dyDescent="0.3">
      <c r="X6911" s="1">
        <f t="shared" si="214"/>
        <v>0</v>
      </c>
      <c r="Y6911" s="1">
        <f t="shared" si="215"/>
        <v>0</v>
      </c>
    </row>
    <row r="6912" spans="24:25" x14ac:dyDescent="0.3">
      <c r="X6912" s="1">
        <f t="shared" si="214"/>
        <v>0</v>
      </c>
      <c r="Y6912" s="1">
        <f t="shared" si="215"/>
        <v>0</v>
      </c>
    </row>
    <row r="6913" spans="24:25" x14ac:dyDescent="0.3">
      <c r="X6913" s="1">
        <f t="shared" si="214"/>
        <v>0</v>
      </c>
      <c r="Y6913" s="1">
        <f t="shared" si="215"/>
        <v>0</v>
      </c>
    </row>
    <row r="6914" spans="24:25" x14ac:dyDescent="0.3">
      <c r="X6914" s="1">
        <f t="shared" si="214"/>
        <v>0</v>
      </c>
      <c r="Y6914" s="1">
        <f t="shared" si="215"/>
        <v>0</v>
      </c>
    </row>
    <row r="6915" spans="24:25" x14ac:dyDescent="0.3">
      <c r="X6915" s="1">
        <f t="shared" ref="X6915:X6978" si="216">IFERROR(MATCH(W6915,$B:$B,0),0)</f>
        <v>0</v>
      </c>
      <c r="Y6915" s="1">
        <f t="shared" ref="Y6915:Y6978" si="217">IF(X6916=0,COUNTA(A:A),X6916-1)</f>
        <v>0</v>
      </c>
    </row>
    <row r="6916" spans="24:25" x14ac:dyDescent="0.3">
      <c r="X6916" s="1">
        <f t="shared" si="216"/>
        <v>0</v>
      </c>
      <c r="Y6916" s="1">
        <f t="shared" si="217"/>
        <v>0</v>
      </c>
    </row>
    <row r="6917" spans="24:25" x14ac:dyDescent="0.3">
      <c r="X6917" s="1">
        <f t="shared" si="216"/>
        <v>0</v>
      </c>
      <c r="Y6917" s="1">
        <f t="shared" si="217"/>
        <v>0</v>
      </c>
    </row>
    <row r="6918" spans="24:25" x14ac:dyDescent="0.3">
      <c r="X6918" s="1">
        <f t="shared" si="216"/>
        <v>0</v>
      </c>
      <c r="Y6918" s="1">
        <f t="shared" si="217"/>
        <v>0</v>
      </c>
    </row>
    <row r="6919" spans="24:25" x14ac:dyDescent="0.3">
      <c r="X6919" s="1">
        <f t="shared" si="216"/>
        <v>0</v>
      </c>
      <c r="Y6919" s="1">
        <f t="shared" si="217"/>
        <v>0</v>
      </c>
    </row>
    <row r="6920" spans="24:25" x14ac:dyDescent="0.3">
      <c r="X6920" s="1">
        <f t="shared" si="216"/>
        <v>0</v>
      </c>
      <c r="Y6920" s="1">
        <f t="shared" si="217"/>
        <v>0</v>
      </c>
    </row>
    <row r="6921" spans="24:25" x14ac:dyDescent="0.3">
      <c r="X6921" s="1">
        <f t="shared" si="216"/>
        <v>0</v>
      </c>
      <c r="Y6921" s="1">
        <f t="shared" si="217"/>
        <v>0</v>
      </c>
    </row>
    <row r="6922" spans="24:25" x14ac:dyDescent="0.3">
      <c r="X6922" s="1">
        <f t="shared" si="216"/>
        <v>0</v>
      </c>
      <c r="Y6922" s="1">
        <f t="shared" si="217"/>
        <v>0</v>
      </c>
    </row>
    <row r="6923" spans="24:25" x14ac:dyDescent="0.3">
      <c r="X6923" s="1">
        <f t="shared" si="216"/>
        <v>0</v>
      </c>
      <c r="Y6923" s="1">
        <f t="shared" si="217"/>
        <v>0</v>
      </c>
    </row>
    <row r="6924" spans="24:25" x14ac:dyDescent="0.3">
      <c r="X6924" s="1">
        <f t="shared" si="216"/>
        <v>0</v>
      </c>
      <c r="Y6924" s="1">
        <f t="shared" si="217"/>
        <v>0</v>
      </c>
    </row>
    <row r="6925" spans="24:25" x14ac:dyDescent="0.3">
      <c r="X6925" s="1">
        <f t="shared" si="216"/>
        <v>0</v>
      </c>
      <c r="Y6925" s="1">
        <f t="shared" si="217"/>
        <v>0</v>
      </c>
    </row>
    <row r="6926" spans="24:25" x14ac:dyDescent="0.3">
      <c r="X6926" s="1">
        <f t="shared" si="216"/>
        <v>0</v>
      </c>
      <c r="Y6926" s="1">
        <f t="shared" si="217"/>
        <v>0</v>
      </c>
    </row>
    <row r="6927" spans="24:25" x14ac:dyDescent="0.3">
      <c r="X6927" s="1">
        <f t="shared" si="216"/>
        <v>0</v>
      </c>
      <c r="Y6927" s="1">
        <f t="shared" si="217"/>
        <v>0</v>
      </c>
    </row>
    <row r="6928" spans="24:25" x14ac:dyDescent="0.3">
      <c r="X6928" s="1">
        <f t="shared" si="216"/>
        <v>0</v>
      </c>
      <c r="Y6928" s="1">
        <f t="shared" si="217"/>
        <v>0</v>
      </c>
    </row>
    <row r="6929" spans="24:25" x14ac:dyDescent="0.3">
      <c r="X6929" s="1">
        <f t="shared" si="216"/>
        <v>0</v>
      </c>
      <c r="Y6929" s="1">
        <f t="shared" si="217"/>
        <v>0</v>
      </c>
    </row>
    <row r="6930" spans="24:25" x14ac:dyDescent="0.3">
      <c r="X6930" s="1">
        <f t="shared" si="216"/>
        <v>0</v>
      </c>
      <c r="Y6930" s="1">
        <f t="shared" si="217"/>
        <v>0</v>
      </c>
    </row>
    <row r="6931" spans="24:25" x14ac:dyDescent="0.3">
      <c r="X6931" s="1">
        <f t="shared" si="216"/>
        <v>0</v>
      </c>
      <c r="Y6931" s="1">
        <f t="shared" si="217"/>
        <v>0</v>
      </c>
    </row>
    <row r="6932" spans="24:25" x14ac:dyDescent="0.3">
      <c r="X6932" s="1">
        <f t="shared" si="216"/>
        <v>0</v>
      </c>
      <c r="Y6932" s="1">
        <f t="shared" si="217"/>
        <v>0</v>
      </c>
    </row>
    <row r="6933" spans="24:25" x14ac:dyDescent="0.3">
      <c r="X6933" s="1">
        <f t="shared" si="216"/>
        <v>0</v>
      </c>
      <c r="Y6933" s="1">
        <f t="shared" si="217"/>
        <v>0</v>
      </c>
    </row>
    <row r="6934" spans="24:25" x14ac:dyDescent="0.3">
      <c r="X6934" s="1">
        <f t="shared" si="216"/>
        <v>0</v>
      </c>
      <c r="Y6934" s="1">
        <f t="shared" si="217"/>
        <v>0</v>
      </c>
    </row>
    <row r="6935" spans="24:25" x14ac:dyDescent="0.3">
      <c r="X6935" s="1">
        <f t="shared" si="216"/>
        <v>0</v>
      </c>
      <c r="Y6935" s="1">
        <f t="shared" si="217"/>
        <v>0</v>
      </c>
    </row>
    <row r="6936" spans="24:25" x14ac:dyDescent="0.3">
      <c r="X6936" s="1">
        <f t="shared" si="216"/>
        <v>0</v>
      </c>
      <c r="Y6936" s="1">
        <f t="shared" si="217"/>
        <v>0</v>
      </c>
    </row>
    <row r="6937" spans="24:25" x14ac:dyDescent="0.3">
      <c r="X6937" s="1">
        <f t="shared" si="216"/>
        <v>0</v>
      </c>
      <c r="Y6937" s="1">
        <f t="shared" si="217"/>
        <v>0</v>
      </c>
    </row>
    <row r="6938" spans="24:25" x14ac:dyDescent="0.3">
      <c r="X6938" s="1">
        <f t="shared" si="216"/>
        <v>0</v>
      </c>
      <c r="Y6938" s="1">
        <f t="shared" si="217"/>
        <v>0</v>
      </c>
    </row>
    <row r="6939" spans="24:25" x14ac:dyDescent="0.3">
      <c r="X6939" s="1">
        <f t="shared" si="216"/>
        <v>0</v>
      </c>
      <c r="Y6939" s="1">
        <f t="shared" si="217"/>
        <v>0</v>
      </c>
    </row>
    <row r="6940" spans="24:25" x14ac:dyDescent="0.3">
      <c r="X6940" s="1">
        <f t="shared" si="216"/>
        <v>0</v>
      </c>
      <c r="Y6940" s="1">
        <f t="shared" si="217"/>
        <v>0</v>
      </c>
    </row>
    <row r="6941" spans="24:25" x14ac:dyDescent="0.3">
      <c r="X6941" s="1">
        <f t="shared" si="216"/>
        <v>0</v>
      </c>
      <c r="Y6941" s="1">
        <f t="shared" si="217"/>
        <v>0</v>
      </c>
    </row>
    <row r="6942" spans="24:25" x14ac:dyDescent="0.3">
      <c r="X6942" s="1">
        <f t="shared" si="216"/>
        <v>0</v>
      </c>
      <c r="Y6942" s="1">
        <f t="shared" si="217"/>
        <v>0</v>
      </c>
    </row>
    <row r="6943" spans="24:25" x14ac:dyDescent="0.3">
      <c r="X6943" s="1">
        <f t="shared" si="216"/>
        <v>0</v>
      </c>
      <c r="Y6943" s="1">
        <f t="shared" si="217"/>
        <v>0</v>
      </c>
    </row>
    <row r="6944" spans="24:25" x14ac:dyDescent="0.3">
      <c r="X6944" s="1">
        <f t="shared" si="216"/>
        <v>0</v>
      </c>
      <c r="Y6944" s="1">
        <f t="shared" si="217"/>
        <v>0</v>
      </c>
    </row>
    <row r="6945" spans="24:25" x14ac:dyDescent="0.3">
      <c r="X6945" s="1">
        <f t="shared" si="216"/>
        <v>0</v>
      </c>
      <c r="Y6945" s="1">
        <f t="shared" si="217"/>
        <v>0</v>
      </c>
    </row>
    <row r="6946" spans="24:25" x14ac:dyDescent="0.3">
      <c r="X6946" s="1">
        <f t="shared" si="216"/>
        <v>0</v>
      </c>
      <c r="Y6946" s="1">
        <f t="shared" si="217"/>
        <v>0</v>
      </c>
    </row>
    <row r="6947" spans="24:25" x14ac:dyDescent="0.3">
      <c r="X6947" s="1">
        <f t="shared" si="216"/>
        <v>0</v>
      </c>
      <c r="Y6947" s="1">
        <f t="shared" si="217"/>
        <v>0</v>
      </c>
    </row>
    <row r="6948" spans="24:25" x14ac:dyDescent="0.3">
      <c r="X6948" s="1">
        <f t="shared" si="216"/>
        <v>0</v>
      </c>
      <c r="Y6948" s="1">
        <f t="shared" si="217"/>
        <v>0</v>
      </c>
    </row>
    <row r="6949" spans="24:25" x14ac:dyDescent="0.3">
      <c r="X6949" s="1">
        <f t="shared" si="216"/>
        <v>0</v>
      </c>
      <c r="Y6949" s="1">
        <f t="shared" si="217"/>
        <v>0</v>
      </c>
    </row>
    <row r="6950" spans="24:25" x14ac:dyDescent="0.3">
      <c r="X6950" s="1">
        <f t="shared" si="216"/>
        <v>0</v>
      </c>
      <c r="Y6950" s="1">
        <f t="shared" si="217"/>
        <v>0</v>
      </c>
    </row>
    <row r="6951" spans="24:25" x14ac:dyDescent="0.3">
      <c r="X6951" s="1">
        <f t="shared" si="216"/>
        <v>0</v>
      </c>
      <c r="Y6951" s="1">
        <f t="shared" si="217"/>
        <v>0</v>
      </c>
    </row>
    <row r="6952" spans="24:25" x14ac:dyDescent="0.3">
      <c r="X6952" s="1">
        <f t="shared" si="216"/>
        <v>0</v>
      </c>
      <c r="Y6952" s="1">
        <f t="shared" si="217"/>
        <v>0</v>
      </c>
    </row>
    <row r="6953" spans="24:25" x14ac:dyDescent="0.3">
      <c r="X6953" s="1">
        <f t="shared" si="216"/>
        <v>0</v>
      </c>
      <c r="Y6953" s="1">
        <f t="shared" si="217"/>
        <v>0</v>
      </c>
    </row>
    <row r="6954" spans="24:25" x14ac:dyDescent="0.3">
      <c r="X6954" s="1">
        <f t="shared" si="216"/>
        <v>0</v>
      </c>
      <c r="Y6954" s="1">
        <f t="shared" si="217"/>
        <v>0</v>
      </c>
    </row>
    <row r="6955" spans="24:25" x14ac:dyDescent="0.3">
      <c r="X6955" s="1">
        <f t="shared" si="216"/>
        <v>0</v>
      </c>
      <c r="Y6955" s="1">
        <f t="shared" si="217"/>
        <v>0</v>
      </c>
    </row>
    <row r="6956" spans="24:25" x14ac:dyDescent="0.3">
      <c r="X6956" s="1">
        <f t="shared" si="216"/>
        <v>0</v>
      </c>
      <c r="Y6956" s="1">
        <f t="shared" si="217"/>
        <v>0</v>
      </c>
    </row>
    <row r="6957" spans="24:25" x14ac:dyDescent="0.3">
      <c r="X6957" s="1">
        <f t="shared" si="216"/>
        <v>0</v>
      </c>
      <c r="Y6957" s="1">
        <f t="shared" si="217"/>
        <v>0</v>
      </c>
    </row>
    <row r="6958" spans="24:25" x14ac:dyDescent="0.3">
      <c r="X6958" s="1">
        <f t="shared" si="216"/>
        <v>0</v>
      </c>
      <c r="Y6958" s="1">
        <f t="shared" si="217"/>
        <v>0</v>
      </c>
    </row>
    <row r="6959" spans="24:25" x14ac:dyDescent="0.3">
      <c r="X6959" s="1">
        <f t="shared" si="216"/>
        <v>0</v>
      </c>
      <c r="Y6959" s="1">
        <f t="shared" si="217"/>
        <v>0</v>
      </c>
    </row>
    <row r="6960" spans="24:25" x14ac:dyDescent="0.3">
      <c r="X6960" s="1">
        <f t="shared" si="216"/>
        <v>0</v>
      </c>
      <c r="Y6960" s="1">
        <f t="shared" si="217"/>
        <v>0</v>
      </c>
    </row>
    <row r="6961" spans="24:25" x14ac:dyDescent="0.3">
      <c r="X6961" s="1">
        <f t="shared" si="216"/>
        <v>0</v>
      </c>
      <c r="Y6961" s="1">
        <f t="shared" si="217"/>
        <v>0</v>
      </c>
    </row>
    <row r="6962" spans="24:25" x14ac:dyDescent="0.3">
      <c r="X6962" s="1">
        <f t="shared" si="216"/>
        <v>0</v>
      </c>
      <c r="Y6962" s="1">
        <f t="shared" si="217"/>
        <v>0</v>
      </c>
    </row>
    <row r="6963" spans="24:25" x14ac:dyDescent="0.3">
      <c r="X6963" s="1">
        <f t="shared" si="216"/>
        <v>0</v>
      </c>
      <c r="Y6963" s="1">
        <f t="shared" si="217"/>
        <v>0</v>
      </c>
    </row>
    <row r="6964" spans="24:25" x14ac:dyDescent="0.3">
      <c r="X6964" s="1">
        <f t="shared" si="216"/>
        <v>0</v>
      </c>
      <c r="Y6964" s="1">
        <f t="shared" si="217"/>
        <v>0</v>
      </c>
    </row>
    <row r="6965" spans="24:25" x14ac:dyDescent="0.3">
      <c r="X6965" s="1">
        <f t="shared" si="216"/>
        <v>0</v>
      </c>
      <c r="Y6965" s="1">
        <f t="shared" si="217"/>
        <v>0</v>
      </c>
    </row>
    <row r="6966" spans="24:25" x14ac:dyDescent="0.3">
      <c r="X6966" s="1">
        <f t="shared" si="216"/>
        <v>0</v>
      </c>
      <c r="Y6966" s="1">
        <f t="shared" si="217"/>
        <v>0</v>
      </c>
    </row>
    <row r="6967" spans="24:25" x14ac:dyDescent="0.3">
      <c r="X6967" s="1">
        <f t="shared" si="216"/>
        <v>0</v>
      </c>
      <c r="Y6967" s="1">
        <f t="shared" si="217"/>
        <v>0</v>
      </c>
    </row>
    <row r="6968" spans="24:25" x14ac:dyDescent="0.3">
      <c r="X6968" s="1">
        <f t="shared" si="216"/>
        <v>0</v>
      </c>
      <c r="Y6968" s="1">
        <f t="shared" si="217"/>
        <v>0</v>
      </c>
    </row>
    <row r="6969" spans="24:25" x14ac:dyDescent="0.3">
      <c r="X6969" s="1">
        <f t="shared" si="216"/>
        <v>0</v>
      </c>
      <c r="Y6969" s="1">
        <f t="shared" si="217"/>
        <v>0</v>
      </c>
    </row>
    <row r="6970" spans="24:25" x14ac:dyDescent="0.3">
      <c r="X6970" s="1">
        <f t="shared" si="216"/>
        <v>0</v>
      </c>
      <c r="Y6970" s="1">
        <f t="shared" si="217"/>
        <v>0</v>
      </c>
    </row>
    <row r="6971" spans="24:25" x14ac:dyDescent="0.3">
      <c r="X6971" s="1">
        <f t="shared" si="216"/>
        <v>0</v>
      </c>
      <c r="Y6971" s="1">
        <f t="shared" si="217"/>
        <v>0</v>
      </c>
    </row>
    <row r="6972" spans="24:25" x14ac:dyDescent="0.3">
      <c r="X6972" s="1">
        <f t="shared" si="216"/>
        <v>0</v>
      </c>
      <c r="Y6972" s="1">
        <f t="shared" si="217"/>
        <v>0</v>
      </c>
    </row>
    <row r="6973" spans="24:25" x14ac:dyDescent="0.3">
      <c r="X6973" s="1">
        <f t="shared" si="216"/>
        <v>0</v>
      </c>
      <c r="Y6973" s="1">
        <f t="shared" si="217"/>
        <v>0</v>
      </c>
    </row>
    <row r="6974" spans="24:25" x14ac:dyDescent="0.3">
      <c r="X6974" s="1">
        <f t="shared" si="216"/>
        <v>0</v>
      </c>
      <c r="Y6974" s="1">
        <f t="shared" si="217"/>
        <v>0</v>
      </c>
    </row>
    <row r="6975" spans="24:25" x14ac:dyDescent="0.3">
      <c r="X6975" s="1">
        <f t="shared" si="216"/>
        <v>0</v>
      </c>
      <c r="Y6975" s="1">
        <f t="shared" si="217"/>
        <v>0</v>
      </c>
    </row>
    <row r="6976" spans="24:25" x14ac:dyDescent="0.3">
      <c r="X6976" s="1">
        <f t="shared" si="216"/>
        <v>0</v>
      </c>
      <c r="Y6976" s="1">
        <f t="shared" si="217"/>
        <v>0</v>
      </c>
    </row>
    <row r="6977" spans="24:25" x14ac:dyDescent="0.3">
      <c r="X6977" s="1">
        <f t="shared" si="216"/>
        <v>0</v>
      </c>
      <c r="Y6977" s="1">
        <f t="shared" si="217"/>
        <v>0</v>
      </c>
    </row>
    <row r="6978" spans="24:25" x14ac:dyDescent="0.3">
      <c r="X6978" s="1">
        <f t="shared" si="216"/>
        <v>0</v>
      </c>
      <c r="Y6978" s="1">
        <f t="shared" si="217"/>
        <v>0</v>
      </c>
    </row>
    <row r="6979" spans="24:25" x14ac:dyDescent="0.3">
      <c r="X6979" s="1">
        <f t="shared" ref="X6979:X7042" si="218">IFERROR(MATCH(W6979,$B:$B,0),0)</f>
        <v>0</v>
      </c>
      <c r="Y6979" s="1">
        <f t="shared" ref="Y6979:Y7042" si="219">IF(X6980=0,COUNTA(A:A),X6980-1)</f>
        <v>0</v>
      </c>
    </row>
    <row r="6980" spans="24:25" x14ac:dyDescent="0.3">
      <c r="X6980" s="1">
        <f t="shared" si="218"/>
        <v>0</v>
      </c>
      <c r="Y6980" s="1">
        <f t="shared" si="219"/>
        <v>0</v>
      </c>
    </row>
    <row r="6981" spans="24:25" x14ac:dyDescent="0.3">
      <c r="X6981" s="1">
        <f t="shared" si="218"/>
        <v>0</v>
      </c>
      <c r="Y6981" s="1">
        <f t="shared" si="219"/>
        <v>0</v>
      </c>
    </row>
    <row r="6982" spans="24:25" x14ac:dyDescent="0.3">
      <c r="X6982" s="1">
        <f t="shared" si="218"/>
        <v>0</v>
      </c>
      <c r="Y6982" s="1">
        <f t="shared" si="219"/>
        <v>0</v>
      </c>
    </row>
    <row r="6983" spans="24:25" x14ac:dyDescent="0.3">
      <c r="X6983" s="1">
        <f t="shared" si="218"/>
        <v>0</v>
      </c>
      <c r="Y6983" s="1">
        <f t="shared" si="219"/>
        <v>0</v>
      </c>
    </row>
    <row r="6984" spans="24:25" x14ac:dyDescent="0.3">
      <c r="X6984" s="1">
        <f t="shared" si="218"/>
        <v>0</v>
      </c>
      <c r="Y6984" s="1">
        <f t="shared" si="219"/>
        <v>0</v>
      </c>
    </row>
    <row r="6985" spans="24:25" x14ac:dyDescent="0.3">
      <c r="X6985" s="1">
        <f t="shared" si="218"/>
        <v>0</v>
      </c>
      <c r="Y6985" s="1">
        <f t="shared" si="219"/>
        <v>0</v>
      </c>
    </row>
    <row r="6986" spans="24:25" x14ac:dyDescent="0.3">
      <c r="X6986" s="1">
        <f t="shared" si="218"/>
        <v>0</v>
      </c>
      <c r="Y6986" s="1">
        <f t="shared" si="219"/>
        <v>0</v>
      </c>
    </row>
    <row r="6987" spans="24:25" x14ac:dyDescent="0.3">
      <c r="X6987" s="1">
        <f t="shared" si="218"/>
        <v>0</v>
      </c>
      <c r="Y6987" s="1">
        <f t="shared" si="219"/>
        <v>0</v>
      </c>
    </row>
    <row r="6988" spans="24:25" x14ac:dyDescent="0.3">
      <c r="X6988" s="1">
        <f t="shared" si="218"/>
        <v>0</v>
      </c>
      <c r="Y6988" s="1">
        <f t="shared" si="219"/>
        <v>0</v>
      </c>
    </row>
    <row r="6989" spans="24:25" x14ac:dyDescent="0.3">
      <c r="X6989" s="1">
        <f t="shared" si="218"/>
        <v>0</v>
      </c>
      <c r="Y6989" s="1">
        <f t="shared" si="219"/>
        <v>0</v>
      </c>
    </row>
    <row r="6990" spans="24:25" x14ac:dyDescent="0.3">
      <c r="X6990" s="1">
        <f t="shared" si="218"/>
        <v>0</v>
      </c>
      <c r="Y6990" s="1">
        <f t="shared" si="219"/>
        <v>0</v>
      </c>
    </row>
    <row r="6991" spans="24:25" x14ac:dyDescent="0.3">
      <c r="X6991" s="1">
        <f t="shared" si="218"/>
        <v>0</v>
      </c>
      <c r="Y6991" s="1">
        <f t="shared" si="219"/>
        <v>0</v>
      </c>
    </row>
    <row r="6992" spans="24:25" x14ac:dyDescent="0.3">
      <c r="X6992" s="1">
        <f t="shared" si="218"/>
        <v>0</v>
      </c>
      <c r="Y6992" s="1">
        <f t="shared" si="219"/>
        <v>0</v>
      </c>
    </row>
    <row r="6993" spans="24:25" x14ac:dyDescent="0.3">
      <c r="X6993" s="1">
        <f t="shared" si="218"/>
        <v>0</v>
      </c>
      <c r="Y6993" s="1">
        <f t="shared" si="219"/>
        <v>0</v>
      </c>
    </row>
    <row r="6994" spans="24:25" x14ac:dyDescent="0.3">
      <c r="X6994" s="1">
        <f t="shared" si="218"/>
        <v>0</v>
      </c>
      <c r="Y6994" s="1">
        <f t="shared" si="219"/>
        <v>0</v>
      </c>
    </row>
    <row r="6995" spans="24:25" x14ac:dyDescent="0.3">
      <c r="X6995" s="1">
        <f t="shared" si="218"/>
        <v>0</v>
      </c>
      <c r="Y6995" s="1">
        <f t="shared" si="219"/>
        <v>0</v>
      </c>
    </row>
    <row r="6996" spans="24:25" x14ac:dyDescent="0.3">
      <c r="X6996" s="1">
        <f t="shared" si="218"/>
        <v>0</v>
      </c>
      <c r="Y6996" s="1">
        <f t="shared" si="219"/>
        <v>0</v>
      </c>
    </row>
    <row r="6997" spans="24:25" x14ac:dyDescent="0.3">
      <c r="X6997" s="1">
        <f t="shared" si="218"/>
        <v>0</v>
      </c>
      <c r="Y6997" s="1">
        <f t="shared" si="219"/>
        <v>0</v>
      </c>
    </row>
    <row r="6998" spans="24:25" x14ac:dyDescent="0.3">
      <c r="X6998" s="1">
        <f t="shared" si="218"/>
        <v>0</v>
      </c>
      <c r="Y6998" s="1">
        <f t="shared" si="219"/>
        <v>0</v>
      </c>
    </row>
    <row r="6999" spans="24:25" x14ac:dyDescent="0.3">
      <c r="X6999" s="1">
        <f t="shared" si="218"/>
        <v>0</v>
      </c>
      <c r="Y6999" s="1">
        <f t="shared" si="219"/>
        <v>0</v>
      </c>
    </row>
    <row r="7000" spans="24:25" x14ac:dyDescent="0.3">
      <c r="X7000" s="1">
        <f t="shared" si="218"/>
        <v>0</v>
      </c>
      <c r="Y7000" s="1">
        <f t="shared" si="219"/>
        <v>0</v>
      </c>
    </row>
    <row r="7001" spans="24:25" x14ac:dyDescent="0.3">
      <c r="X7001" s="1">
        <f t="shared" si="218"/>
        <v>0</v>
      </c>
      <c r="Y7001" s="1">
        <f t="shared" si="219"/>
        <v>0</v>
      </c>
    </row>
    <row r="7002" spans="24:25" x14ac:dyDescent="0.3">
      <c r="X7002" s="1">
        <f t="shared" si="218"/>
        <v>0</v>
      </c>
      <c r="Y7002" s="1">
        <f t="shared" si="219"/>
        <v>0</v>
      </c>
    </row>
    <row r="7003" spans="24:25" x14ac:dyDescent="0.3">
      <c r="X7003" s="1">
        <f t="shared" si="218"/>
        <v>0</v>
      </c>
      <c r="Y7003" s="1">
        <f t="shared" si="219"/>
        <v>0</v>
      </c>
    </row>
    <row r="7004" spans="24:25" x14ac:dyDescent="0.3">
      <c r="X7004" s="1">
        <f t="shared" si="218"/>
        <v>0</v>
      </c>
      <c r="Y7004" s="1">
        <f t="shared" si="219"/>
        <v>0</v>
      </c>
    </row>
    <row r="7005" spans="24:25" x14ac:dyDescent="0.3">
      <c r="X7005" s="1">
        <f t="shared" si="218"/>
        <v>0</v>
      </c>
      <c r="Y7005" s="1">
        <f t="shared" si="219"/>
        <v>0</v>
      </c>
    </row>
    <row r="7006" spans="24:25" x14ac:dyDescent="0.3">
      <c r="X7006" s="1">
        <f t="shared" si="218"/>
        <v>0</v>
      </c>
      <c r="Y7006" s="1">
        <f t="shared" si="219"/>
        <v>0</v>
      </c>
    </row>
    <row r="7007" spans="24:25" x14ac:dyDescent="0.3">
      <c r="X7007" s="1">
        <f t="shared" si="218"/>
        <v>0</v>
      </c>
      <c r="Y7007" s="1">
        <f t="shared" si="219"/>
        <v>0</v>
      </c>
    </row>
    <row r="7008" spans="24:25" x14ac:dyDescent="0.3">
      <c r="X7008" s="1">
        <f t="shared" si="218"/>
        <v>0</v>
      </c>
      <c r="Y7008" s="1">
        <f t="shared" si="219"/>
        <v>0</v>
      </c>
    </row>
    <row r="7009" spans="24:25" x14ac:dyDescent="0.3">
      <c r="X7009" s="1">
        <f t="shared" si="218"/>
        <v>0</v>
      </c>
      <c r="Y7009" s="1">
        <f t="shared" si="219"/>
        <v>0</v>
      </c>
    </row>
    <row r="7010" spans="24:25" x14ac:dyDescent="0.3">
      <c r="X7010" s="1">
        <f t="shared" si="218"/>
        <v>0</v>
      </c>
      <c r="Y7010" s="1">
        <f t="shared" si="219"/>
        <v>0</v>
      </c>
    </row>
    <row r="7011" spans="24:25" x14ac:dyDescent="0.3">
      <c r="X7011" s="1">
        <f t="shared" si="218"/>
        <v>0</v>
      </c>
      <c r="Y7011" s="1">
        <f t="shared" si="219"/>
        <v>0</v>
      </c>
    </row>
    <row r="7012" spans="24:25" x14ac:dyDescent="0.3">
      <c r="X7012" s="1">
        <f t="shared" si="218"/>
        <v>0</v>
      </c>
      <c r="Y7012" s="1">
        <f t="shared" si="219"/>
        <v>0</v>
      </c>
    </row>
    <row r="7013" spans="24:25" x14ac:dyDescent="0.3">
      <c r="X7013" s="1">
        <f t="shared" si="218"/>
        <v>0</v>
      </c>
      <c r="Y7013" s="1">
        <f t="shared" si="219"/>
        <v>0</v>
      </c>
    </row>
    <row r="7014" spans="24:25" x14ac:dyDescent="0.3">
      <c r="X7014" s="1">
        <f t="shared" si="218"/>
        <v>0</v>
      </c>
      <c r="Y7014" s="1">
        <f t="shared" si="219"/>
        <v>0</v>
      </c>
    </row>
    <row r="7015" spans="24:25" x14ac:dyDescent="0.3">
      <c r="X7015" s="1">
        <f t="shared" si="218"/>
        <v>0</v>
      </c>
      <c r="Y7015" s="1">
        <f t="shared" si="219"/>
        <v>0</v>
      </c>
    </row>
    <row r="7016" spans="24:25" x14ac:dyDescent="0.3">
      <c r="X7016" s="1">
        <f t="shared" si="218"/>
        <v>0</v>
      </c>
      <c r="Y7016" s="1">
        <f t="shared" si="219"/>
        <v>0</v>
      </c>
    </row>
    <row r="7017" spans="24:25" x14ac:dyDescent="0.3">
      <c r="X7017" s="1">
        <f t="shared" si="218"/>
        <v>0</v>
      </c>
      <c r="Y7017" s="1">
        <f t="shared" si="219"/>
        <v>0</v>
      </c>
    </row>
    <row r="7018" spans="24:25" x14ac:dyDescent="0.3">
      <c r="X7018" s="1">
        <f t="shared" si="218"/>
        <v>0</v>
      </c>
      <c r="Y7018" s="1">
        <f t="shared" si="219"/>
        <v>0</v>
      </c>
    </row>
    <row r="7019" spans="24:25" x14ac:dyDescent="0.3">
      <c r="X7019" s="1">
        <f t="shared" si="218"/>
        <v>0</v>
      </c>
      <c r="Y7019" s="1">
        <f t="shared" si="219"/>
        <v>0</v>
      </c>
    </row>
    <row r="7020" spans="24:25" x14ac:dyDescent="0.3">
      <c r="X7020" s="1">
        <f t="shared" si="218"/>
        <v>0</v>
      </c>
      <c r="Y7020" s="1">
        <f t="shared" si="219"/>
        <v>0</v>
      </c>
    </row>
    <row r="7021" spans="24:25" x14ac:dyDescent="0.3">
      <c r="X7021" s="1">
        <f t="shared" si="218"/>
        <v>0</v>
      </c>
      <c r="Y7021" s="1">
        <f t="shared" si="219"/>
        <v>0</v>
      </c>
    </row>
    <row r="7022" spans="24:25" x14ac:dyDescent="0.3">
      <c r="X7022" s="1">
        <f t="shared" si="218"/>
        <v>0</v>
      </c>
      <c r="Y7022" s="1">
        <f t="shared" si="219"/>
        <v>0</v>
      </c>
    </row>
    <row r="7023" spans="24:25" x14ac:dyDescent="0.3">
      <c r="X7023" s="1">
        <f t="shared" si="218"/>
        <v>0</v>
      </c>
      <c r="Y7023" s="1">
        <f t="shared" si="219"/>
        <v>0</v>
      </c>
    </row>
    <row r="7024" spans="24:25" x14ac:dyDescent="0.3">
      <c r="X7024" s="1">
        <f t="shared" si="218"/>
        <v>0</v>
      </c>
      <c r="Y7024" s="1">
        <f t="shared" si="219"/>
        <v>0</v>
      </c>
    </row>
    <row r="7025" spans="24:25" x14ac:dyDescent="0.3">
      <c r="X7025" s="1">
        <f t="shared" si="218"/>
        <v>0</v>
      </c>
      <c r="Y7025" s="1">
        <f t="shared" si="219"/>
        <v>0</v>
      </c>
    </row>
    <row r="7026" spans="24:25" x14ac:dyDescent="0.3">
      <c r="X7026" s="1">
        <f t="shared" si="218"/>
        <v>0</v>
      </c>
      <c r="Y7026" s="1">
        <f t="shared" si="219"/>
        <v>0</v>
      </c>
    </row>
    <row r="7027" spans="24:25" x14ac:dyDescent="0.3">
      <c r="X7027" s="1">
        <f t="shared" si="218"/>
        <v>0</v>
      </c>
      <c r="Y7027" s="1">
        <f t="shared" si="219"/>
        <v>0</v>
      </c>
    </row>
    <row r="7028" spans="24:25" x14ac:dyDescent="0.3">
      <c r="X7028" s="1">
        <f t="shared" si="218"/>
        <v>0</v>
      </c>
      <c r="Y7028" s="1">
        <f t="shared" si="219"/>
        <v>0</v>
      </c>
    </row>
    <row r="7029" spans="24:25" x14ac:dyDescent="0.3">
      <c r="X7029" s="1">
        <f t="shared" si="218"/>
        <v>0</v>
      </c>
      <c r="Y7029" s="1">
        <f t="shared" si="219"/>
        <v>0</v>
      </c>
    </row>
    <row r="7030" spans="24:25" x14ac:dyDescent="0.3">
      <c r="X7030" s="1">
        <f t="shared" si="218"/>
        <v>0</v>
      </c>
      <c r="Y7030" s="1">
        <f t="shared" si="219"/>
        <v>0</v>
      </c>
    </row>
    <row r="7031" spans="24:25" x14ac:dyDescent="0.3">
      <c r="X7031" s="1">
        <f t="shared" si="218"/>
        <v>0</v>
      </c>
      <c r="Y7031" s="1">
        <f t="shared" si="219"/>
        <v>0</v>
      </c>
    </row>
    <row r="7032" spans="24:25" x14ac:dyDescent="0.3">
      <c r="X7032" s="1">
        <f t="shared" si="218"/>
        <v>0</v>
      </c>
      <c r="Y7032" s="1">
        <f t="shared" si="219"/>
        <v>0</v>
      </c>
    </row>
    <row r="7033" spans="24:25" x14ac:dyDescent="0.3">
      <c r="X7033" s="1">
        <f t="shared" si="218"/>
        <v>0</v>
      </c>
      <c r="Y7033" s="1">
        <f t="shared" si="219"/>
        <v>0</v>
      </c>
    </row>
    <row r="7034" spans="24:25" x14ac:dyDescent="0.3">
      <c r="X7034" s="1">
        <f t="shared" si="218"/>
        <v>0</v>
      </c>
      <c r="Y7034" s="1">
        <f t="shared" si="219"/>
        <v>0</v>
      </c>
    </row>
    <row r="7035" spans="24:25" x14ac:dyDescent="0.3">
      <c r="X7035" s="1">
        <f t="shared" si="218"/>
        <v>0</v>
      </c>
      <c r="Y7035" s="1">
        <f t="shared" si="219"/>
        <v>0</v>
      </c>
    </row>
    <row r="7036" spans="24:25" x14ac:dyDescent="0.3">
      <c r="X7036" s="1">
        <f t="shared" si="218"/>
        <v>0</v>
      </c>
      <c r="Y7036" s="1">
        <f t="shared" si="219"/>
        <v>0</v>
      </c>
    </row>
    <row r="7037" spans="24:25" x14ac:dyDescent="0.3">
      <c r="X7037" s="1">
        <f t="shared" si="218"/>
        <v>0</v>
      </c>
      <c r="Y7037" s="1">
        <f t="shared" si="219"/>
        <v>0</v>
      </c>
    </row>
    <row r="7038" spans="24:25" x14ac:dyDescent="0.3">
      <c r="X7038" s="1">
        <f t="shared" si="218"/>
        <v>0</v>
      </c>
      <c r="Y7038" s="1">
        <f t="shared" si="219"/>
        <v>0</v>
      </c>
    </row>
    <row r="7039" spans="24:25" x14ac:dyDescent="0.3">
      <c r="X7039" s="1">
        <f t="shared" si="218"/>
        <v>0</v>
      </c>
      <c r="Y7039" s="1">
        <f t="shared" si="219"/>
        <v>0</v>
      </c>
    </row>
    <row r="7040" spans="24:25" x14ac:dyDescent="0.3">
      <c r="X7040" s="1">
        <f t="shared" si="218"/>
        <v>0</v>
      </c>
      <c r="Y7040" s="1">
        <f t="shared" si="219"/>
        <v>0</v>
      </c>
    </row>
    <row r="7041" spans="24:25" x14ac:dyDescent="0.3">
      <c r="X7041" s="1">
        <f t="shared" si="218"/>
        <v>0</v>
      </c>
      <c r="Y7041" s="1">
        <f t="shared" si="219"/>
        <v>0</v>
      </c>
    </row>
    <row r="7042" spans="24:25" x14ac:dyDescent="0.3">
      <c r="X7042" s="1">
        <f t="shared" si="218"/>
        <v>0</v>
      </c>
      <c r="Y7042" s="1">
        <f t="shared" si="219"/>
        <v>0</v>
      </c>
    </row>
    <row r="7043" spans="24:25" x14ac:dyDescent="0.3">
      <c r="X7043" s="1">
        <f t="shared" ref="X7043:X7106" si="220">IFERROR(MATCH(W7043,$B:$B,0),0)</f>
        <v>0</v>
      </c>
      <c r="Y7043" s="1">
        <f t="shared" ref="Y7043:Y7106" si="221">IF(X7044=0,COUNTA(A:A),X7044-1)</f>
        <v>0</v>
      </c>
    </row>
    <row r="7044" spans="24:25" x14ac:dyDescent="0.3">
      <c r="X7044" s="1">
        <f t="shared" si="220"/>
        <v>0</v>
      </c>
      <c r="Y7044" s="1">
        <f t="shared" si="221"/>
        <v>0</v>
      </c>
    </row>
    <row r="7045" spans="24:25" x14ac:dyDescent="0.3">
      <c r="X7045" s="1">
        <f t="shared" si="220"/>
        <v>0</v>
      </c>
      <c r="Y7045" s="1">
        <f t="shared" si="221"/>
        <v>0</v>
      </c>
    </row>
    <row r="7046" spans="24:25" x14ac:dyDescent="0.3">
      <c r="X7046" s="1">
        <f t="shared" si="220"/>
        <v>0</v>
      </c>
      <c r="Y7046" s="1">
        <f t="shared" si="221"/>
        <v>0</v>
      </c>
    </row>
    <row r="7047" spans="24:25" x14ac:dyDescent="0.3">
      <c r="X7047" s="1">
        <f t="shared" si="220"/>
        <v>0</v>
      </c>
      <c r="Y7047" s="1">
        <f t="shared" si="221"/>
        <v>0</v>
      </c>
    </row>
    <row r="7048" spans="24:25" x14ac:dyDescent="0.3">
      <c r="X7048" s="1">
        <f t="shared" si="220"/>
        <v>0</v>
      </c>
      <c r="Y7048" s="1">
        <f t="shared" si="221"/>
        <v>0</v>
      </c>
    </row>
    <row r="7049" spans="24:25" x14ac:dyDescent="0.3">
      <c r="X7049" s="1">
        <f t="shared" si="220"/>
        <v>0</v>
      </c>
      <c r="Y7049" s="1">
        <f t="shared" si="221"/>
        <v>0</v>
      </c>
    </row>
    <row r="7050" spans="24:25" x14ac:dyDescent="0.3">
      <c r="X7050" s="1">
        <f t="shared" si="220"/>
        <v>0</v>
      </c>
      <c r="Y7050" s="1">
        <f t="shared" si="221"/>
        <v>0</v>
      </c>
    </row>
    <row r="7051" spans="24:25" x14ac:dyDescent="0.3">
      <c r="X7051" s="1">
        <f t="shared" si="220"/>
        <v>0</v>
      </c>
      <c r="Y7051" s="1">
        <f t="shared" si="221"/>
        <v>0</v>
      </c>
    </row>
    <row r="7052" spans="24:25" x14ac:dyDescent="0.3">
      <c r="X7052" s="1">
        <f t="shared" si="220"/>
        <v>0</v>
      </c>
      <c r="Y7052" s="1">
        <f t="shared" si="221"/>
        <v>0</v>
      </c>
    </row>
    <row r="7053" spans="24:25" x14ac:dyDescent="0.3">
      <c r="X7053" s="1">
        <f t="shared" si="220"/>
        <v>0</v>
      </c>
      <c r="Y7053" s="1">
        <f t="shared" si="221"/>
        <v>0</v>
      </c>
    </row>
    <row r="7054" spans="24:25" x14ac:dyDescent="0.3">
      <c r="X7054" s="1">
        <f t="shared" si="220"/>
        <v>0</v>
      </c>
      <c r="Y7054" s="1">
        <f t="shared" si="221"/>
        <v>0</v>
      </c>
    </row>
    <row r="7055" spans="24:25" x14ac:dyDescent="0.3">
      <c r="X7055" s="1">
        <f t="shared" si="220"/>
        <v>0</v>
      </c>
      <c r="Y7055" s="1">
        <f t="shared" si="221"/>
        <v>0</v>
      </c>
    </row>
    <row r="7056" spans="24:25" x14ac:dyDescent="0.3">
      <c r="X7056" s="1">
        <f t="shared" si="220"/>
        <v>0</v>
      </c>
      <c r="Y7056" s="1">
        <f t="shared" si="221"/>
        <v>0</v>
      </c>
    </row>
    <row r="7057" spans="24:25" x14ac:dyDescent="0.3">
      <c r="X7057" s="1">
        <f t="shared" si="220"/>
        <v>0</v>
      </c>
      <c r="Y7057" s="1">
        <f t="shared" si="221"/>
        <v>0</v>
      </c>
    </row>
    <row r="7058" spans="24:25" x14ac:dyDescent="0.3">
      <c r="X7058" s="1">
        <f t="shared" si="220"/>
        <v>0</v>
      </c>
      <c r="Y7058" s="1">
        <f t="shared" si="221"/>
        <v>0</v>
      </c>
    </row>
    <row r="7059" spans="24:25" x14ac:dyDescent="0.3">
      <c r="X7059" s="1">
        <f t="shared" si="220"/>
        <v>0</v>
      </c>
      <c r="Y7059" s="1">
        <f t="shared" si="221"/>
        <v>0</v>
      </c>
    </row>
    <row r="7060" spans="24:25" x14ac:dyDescent="0.3">
      <c r="X7060" s="1">
        <f t="shared" si="220"/>
        <v>0</v>
      </c>
      <c r="Y7060" s="1">
        <f t="shared" si="221"/>
        <v>0</v>
      </c>
    </row>
    <row r="7061" spans="24:25" x14ac:dyDescent="0.3">
      <c r="X7061" s="1">
        <f t="shared" si="220"/>
        <v>0</v>
      </c>
      <c r="Y7061" s="1">
        <f t="shared" si="221"/>
        <v>0</v>
      </c>
    </row>
    <row r="7062" spans="24:25" x14ac:dyDescent="0.3">
      <c r="X7062" s="1">
        <f t="shared" si="220"/>
        <v>0</v>
      </c>
      <c r="Y7062" s="1">
        <f t="shared" si="221"/>
        <v>0</v>
      </c>
    </row>
    <row r="7063" spans="24:25" x14ac:dyDescent="0.3">
      <c r="X7063" s="1">
        <f t="shared" si="220"/>
        <v>0</v>
      </c>
      <c r="Y7063" s="1">
        <f t="shared" si="221"/>
        <v>0</v>
      </c>
    </row>
    <row r="7064" spans="24:25" x14ac:dyDescent="0.3">
      <c r="X7064" s="1">
        <f t="shared" si="220"/>
        <v>0</v>
      </c>
      <c r="Y7064" s="1">
        <f t="shared" si="221"/>
        <v>0</v>
      </c>
    </row>
    <row r="7065" spans="24:25" x14ac:dyDescent="0.3">
      <c r="X7065" s="1">
        <f t="shared" si="220"/>
        <v>0</v>
      </c>
      <c r="Y7065" s="1">
        <f t="shared" si="221"/>
        <v>0</v>
      </c>
    </row>
    <row r="7066" spans="24:25" x14ac:dyDescent="0.3">
      <c r="X7066" s="1">
        <f t="shared" si="220"/>
        <v>0</v>
      </c>
      <c r="Y7066" s="1">
        <f t="shared" si="221"/>
        <v>0</v>
      </c>
    </row>
    <row r="7067" spans="24:25" x14ac:dyDescent="0.3">
      <c r="X7067" s="1">
        <f t="shared" si="220"/>
        <v>0</v>
      </c>
      <c r="Y7067" s="1">
        <f t="shared" si="221"/>
        <v>0</v>
      </c>
    </row>
    <row r="7068" spans="24:25" x14ac:dyDescent="0.3">
      <c r="X7068" s="1">
        <f t="shared" si="220"/>
        <v>0</v>
      </c>
      <c r="Y7068" s="1">
        <f t="shared" si="221"/>
        <v>0</v>
      </c>
    </row>
    <row r="7069" spans="24:25" x14ac:dyDescent="0.3">
      <c r="X7069" s="1">
        <f t="shared" si="220"/>
        <v>0</v>
      </c>
      <c r="Y7069" s="1">
        <f t="shared" si="221"/>
        <v>0</v>
      </c>
    </row>
    <row r="7070" spans="24:25" x14ac:dyDescent="0.3">
      <c r="X7070" s="1">
        <f t="shared" si="220"/>
        <v>0</v>
      </c>
      <c r="Y7070" s="1">
        <f t="shared" si="221"/>
        <v>0</v>
      </c>
    </row>
    <row r="7071" spans="24:25" x14ac:dyDescent="0.3">
      <c r="X7071" s="1">
        <f t="shared" si="220"/>
        <v>0</v>
      </c>
      <c r="Y7071" s="1">
        <f t="shared" si="221"/>
        <v>0</v>
      </c>
    </row>
    <row r="7072" spans="24:25" x14ac:dyDescent="0.3">
      <c r="X7072" s="1">
        <f t="shared" si="220"/>
        <v>0</v>
      </c>
      <c r="Y7072" s="1">
        <f t="shared" si="221"/>
        <v>0</v>
      </c>
    </row>
    <row r="7073" spans="24:25" x14ac:dyDescent="0.3">
      <c r="X7073" s="1">
        <f t="shared" si="220"/>
        <v>0</v>
      </c>
      <c r="Y7073" s="1">
        <f t="shared" si="221"/>
        <v>0</v>
      </c>
    </row>
    <row r="7074" spans="24:25" x14ac:dyDescent="0.3">
      <c r="X7074" s="1">
        <f t="shared" si="220"/>
        <v>0</v>
      </c>
      <c r="Y7074" s="1">
        <f t="shared" si="221"/>
        <v>0</v>
      </c>
    </row>
    <row r="7075" spans="24:25" x14ac:dyDescent="0.3">
      <c r="X7075" s="1">
        <f t="shared" si="220"/>
        <v>0</v>
      </c>
      <c r="Y7075" s="1">
        <f t="shared" si="221"/>
        <v>0</v>
      </c>
    </row>
    <row r="7076" spans="24:25" x14ac:dyDescent="0.3">
      <c r="X7076" s="1">
        <f t="shared" si="220"/>
        <v>0</v>
      </c>
      <c r="Y7076" s="1">
        <f t="shared" si="221"/>
        <v>0</v>
      </c>
    </row>
    <row r="7077" spans="24:25" x14ac:dyDescent="0.3">
      <c r="X7077" s="1">
        <f t="shared" si="220"/>
        <v>0</v>
      </c>
      <c r="Y7077" s="1">
        <f t="shared" si="221"/>
        <v>0</v>
      </c>
    </row>
    <row r="7078" spans="24:25" x14ac:dyDescent="0.3">
      <c r="X7078" s="1">
        <f t="shared" si="220"/>
        <v>0</v>
      </c>
      <c r="Y7078" s="1">
        <f t="shared" si="221"/>
        <v>0</v>
      </c>
    </row>
    <row r="7079" spans="24:25" x14ac:dyDescent="0.3">
      <c r="X7079" s="1">
        <f t="shared" si="220"/>
        <v>0</v>
      </c>
      <c r="Y7079" s="1">
        <f t="shared" si="221"/>
        <v>0</v>
      </c>
    </row>
    <row r="7080" spans="24:25" x14ac:dyDescent="0.3">
      <c r="X7080" s="1">
        <f t="shared" si="220"/>
        <v>0</v>
      </c>
      <c r="Y7080" s="1">
        <f t="shared" si="221"/>
        <v>0</v>
      </c>
    </row>
    <row r="7081" spans="24:25" x14ac:dyDescent="0.3">
      <c r="X7081" s="1">
        <f t="shared" si="220"/>
        <v>0</v>
      </c>
      <c r="Y7081" s="1">
        <f t="shared" si="221"/>
        <v>0</v>
      </c>
    </row>
    <row r="7082" spans="24:25" x14ac:dyDescent="0.3">
      <c r="X7082" s="1">
        <f t="shared" si="220"/>
        <v>0</v>
      </c>
      <c r="Y7082" s="1">
        <f t="shared" si="221"/>
        <v>0</v>
      </c>
    </row>
    <row r="7083" spans="24:25" x14ac:dyDescent="0.3">
      <c r="X7083" s="1">
        <f t="shared" si="220"/>
        <v>0</v>
      </c>
      <c r="Y7083" s="1">
        <f t="shared" si="221"/>
        <v>0</v>
      </c>
    </row>
    <row r="7084" spans="24:25" x14ac:dyDescent="0.3">
      <c r="X7084" s="1">
        <f t="shared" si="220"/>
        <v>0</v>
      </c>
      <c r="Y7084" s="1">
        <f t="shared" si="221"/>
        <v>0</v>
      </c>
    </row>
    <row r="7085" spans="24:25" x14ac:dyDescent="0.3">
      <c r="X7085" s="1">
        <f t="shared" si="220"/>
        <v>0</v>
      </c>
      <c r="Y7085" s="1">
        <f t="shared" si="221"/>
        <v>0</v>
      </c>
    </row>
    <row r="7086" spans="24:25" x14ac:dyDescent="0.3">
      <c r="X7086" s="1">
        <f t="shared" si="220"/>
        <v>0</v>
      </c>
      <c r="Y7086" s="1">
        <f t="shared" si="221"/>
        <v>0</v>
      </c>
    </row>
    <row r="7087" spans="24:25" x14ac:dyDescent="0.3">
      <c r="X7087" s="1">
        <f t="shared" si="220"/>
        <v>0</v>
      </c>
      <c r="Y7087" s="1">
        <f t="shared" si="221"/>
        <v>0</v>
      </c>
    </row>
    <row r="7088" spans="24:25" x14ac:dyDescent="0.3">
      <c r="X7088" s="1">
        <f t="shared" si="220"/>
        <v>0</v>
      </c>
      <c r="Y7088" s="1">
        <f t="shared" si="221"/>
        <v>0</v>
      </c>
    </row>
    <row r="7089" spans="24:25" x14ac:dyDescent="0.3">
      <c r="X7089" s="1">
        <f t="shared" si="220"/>
        <v>0</v>
      </c>
      <c r="Y7089" s="1">
        <f t="shared" si="221"/>
        <v>0</v>
      </c>
    </row>
    <row r="7090" spans="24:25" x14ac:dyDescent="0.3">
      <c r="X7090" s="1">
        <f t="shared" si="220"/>
        <v>0</v>
      </c>
      <c r="Y7090" s="1">
        <f t="shared" si="221"/>
        <v>0</v>
      </c>
    </row>
    <row r="7091" spans="24:25" x14ac:dyDescent="0.3">
      <c r="X7091" s="1">
        <f t="shared" si="220"/>
        <v>0</v>
      </c>
      <c r="Y7091" s="1">
        <f t="shared" si="221"/>
        <v>0</v>
      </c>
    </row>
    <row r="7092" spans="24:25" x14ac:dyDescent="0.3">
      <c r="X7092" s="1">
        <f t="shared" si="220"/>
        <v>0</v>
      </c>
      <c r="Y7092" s="1">
        <f t="shared" si="221"/>
        <v>0</v>
      </c>
    </row>
    <row r="7093" spans="24:25" x14ac:dyDescent="0.3">
      <c r="X7093" s="1">
        <f t="shared" si="220"/>
        <v>0</v>
      </c>
      <c r="Y7093" s="1">
        <f t="shared" si="221"/>
        <v>0</v>
      </c>
    </row>
    <row r="7094" spans="24:25" x14ac:dyDescent="0.3">
      <c r="X7094" s="1">
        <f t="shared" si="220"/>
        <v>0</v>
      </c>
      <c r="Y7094" s="1">
        <f t="shared" si="221"/>
        <v>0</v>
      </c>
    </row>
    <row r="7095" spans="24:25" x14ac:dyDescent="0.3">
      <c r="X7095" s="1">
        <f t="shared" si="220"/>
        <v>0</v>
      </c>
      <c r="Y7095" s="1">
        <f t="shared" si="221"/>
        <v>0</v>
      </c>
    </row>
    <row r="7096" spans="24:25" x14ac:dyDescent="0.3">
      <c r="X7096" s="1">
        <f t="shared" si="220"/>
        <v>0</v>
      </c>
      <c r="Y7096" s="1">
        <f t="shared" si="221"/>
        <v>0</v>
      </c>
    </row>
    <row r="7097" spans="24:25" x14ac:dyDescent="0.3">
      <c r="X7097" s="1">
        <f t="shared" si="220"/>
        <v>0</v>
      </c>
      <c r="Y7097" s="1">
        <f t="shared" si="221"/>
        <v>0</v>
      </c>
    </row>
    <row r="7098" spans="24:25" x14ac:dyDescent="0.3">
      <c r="X7098" s="1">
        <f t="shared" si="220"/>
        <v>0</v>
      </c>
      <c r="Y7098" s="1">
        <f t="shared" si="221"/>
        <v>0</v>
      </c>
    </row>
    <row r="7099" spans="24:25" x14ac:dyDescent="0.3">
      <c r="X7099" s="1">
        <f t="shared" si="220"/>
        <v>0</v>
      </c>
      <c r="Y7099" s="1">
        <f t="shared" si="221"/>
        <v>0</v>
      </c>
    </row>
    <row r="7100" spans="24:25" x14ac:dyDescent="0.3">
      <c r="X7100" s="1">
        <f t="shared" si="220"/>
        <v>0</v>
      </c>
      <c r="Y7100" s="1">
        <f t="shared" si="221"/>
        <v>0</v>
      </c>
    </row>
    <row r="7101" spans="24:25" x14ac:dyDescent="0.3">
      <c r="X7101" s="1">
        <f t="shared" si="220"/>
        <v>0</v>
      </c>
      <c r="Y7101" s="1">
        <f t="shared" si="221"/>
        <v>0</v>
      </c>
    </row>
    <row r="7102" spans="24:25" x14ac:dyDescent="0.3">
      <c r="X7102" s="1">
        <f t="shared" si="220"/>
        <v>0</v>
      </c>
      <c r="Y7102" s="1">
        <f t="shared" si="221"/>
        <v>0</v>
      </c>
    </row>
    <row r="7103" spans="24:25" x14ac:dyDescent="0.3">
      <c r="X7103" s="1">
        <f t="shared" si="220"/>
        <v>0</v>
      </c>
      <c r="Y7103" s="1">
        <f t="shared" si="221"/>
        <v>0</v>
      </c>
    </row>
    <row r="7104" spans="24:25" x14ac:dyDescent="0.3">
      <c r="X7104" s="1">
        <f t="shared" si="220"/>
        <v>0</v>
      </c>
      <c r="Y7104" s="1">
        <f t="shared" si="221"/>
        <v>0</v>
      </c>
    </row>
    <row r="7105" spans="24:25" x14ac:dyDescent="0.3">
      <c r="X7105" s="1">
        <f t="shared" si="220"/>
        <v>0</v>
      </c>
      <c r="Y7105" s="1">
        <f t="shared" si="221"/>
        <v>0</v>
      </c>
    </row>
    <row r="7106" spans="24:25" x14ac:dyDescent="0.3">
      <c r="X7106" s="1">
        <f t="shared" si="220"/>
        <v>0</v>
      </c>
      <c r="Y7106" s="1">
        <f t="shared" si="221"/>
        <v>0</v>
      </c>
    </row>
    <row r="7107" spans="24:25" x14ac:dyDescent="0.3">
      <c r="X7107" s="1">
        <f t="shared" ref="X7107:X7170" si="222">IFERROR(MATCH(W7107,$B:$B,0),0)</f>
        <v>0</v>
      </c>
      <c r="Y7107" s="1">
        <f t="shared" ref="Y7107:Y7170" si="223">IF(X7108=0,COUNTA(A:A),X7108-1)</f>
        <v>0</v>
      </c>
    </row>
    <row r="7108" spans="24:25" x14ac:dyDescent="0.3">
      <c r="X7108" s="1">
        <f t="shared" si="222"/>
        <v>0</v>
      </c>
      <c r="Y7108" s="1">
        <f t="shared" si="223"/>
        <v>0</v>
      </c>
    </row>
    <row r="7109" spans="24:25" x14ac:dyDescent="0.3">
      <c r="X7109" s="1">
        <f t="shared" si="222"/>
        <v>0</v>
      </c>
      <c r="Y7109" s="1">
        <f t="shared" si="223"/>
        <v>0</v>
      </c>
    </row>
    <row r="7110" spans="24:25" x14ac:dyDescent="0.3">
      <c r="X7110" s="1">
        <f t="shared" si="222"/>
        <v>0</v>
      </c>
      <c r="Y7110" s="1">
        <f t="shared" si="223"/>
        <v>0</v>
      </c>
    </row>
    <row r="7111" spans="24:25" x14ac:dyDescent="0.3">
      <c r="X7111" s="1">
        <f t="shared" si="222"/>
        <v>0</v>
      </c>
      <c r="Y7111" s="1">
        <f t="shared" si="223"/>
        <v>0</v>
      </c>
    </row>
    <row r="7112" spans="24:25" x14ac:dyDescent="0.3">
      <c r="X7112" s="1">
        <f t="shared" si="222"/>
        <v>0</v>
      </c>
      <c r="Y7112" s="1">
        <f t="shared" si="223"/>
        <v>0</v>
      </c>
    </row>
    <row r="7113" spans="24:25" x14ac:dyDescent="0.3">
      <c r="X7113" s="1">
        <f t="shared" si="222"/>
        <v>0</v>
      </c>
      <c r="Y7113" s="1">
        <f t="shared" si="223"/>
        <v>0</v>
      </c>
    </row>
    <row r="7114" spans="24:25" x14ac:dyDescent="0.3">
      <c r="X7114" s="1">
        <f t="shared" si="222"/>
        <v>0</v>
      </c>
      <c r="Y7114" s="1">
        <f t="shared" si="223"/>
        <v>0</v>
      </c>
    </row>
    <row r="7115" spans="24:25" x14ac:dyDescent="0.3">
      <c r="X7115" s="1">
        <f t="shared" si="222"/>
        <v>0</v>
      </c>
      <c r="Y7115" s="1">
        <f t="shared" si="223"/>
        <v>0</v>
      </c>
    </row>
    <row r="7116" spans="24:25" x14ac:dyDescent="0.3">
      <c r="X7116" s="1">
        <f t="shared" si="222"/>
        <v>0</v>
      </c>
      <c r="Y7116" s="1">
        <f t="shared" si="223"/>
        <v>0</v>
      </c>
    </row>
    <row r="7117" spans="24:25" x14ac:dyDescent="0.3">
      <c r="X7117" s="1">
        <f t="shared" si="222"/>
        <v>0</v>
      </c>
      <c r="Y7117" s="1">
        <f t="shared" si="223"/>
        <v>0</v>
      </c>
    </row>
    <row r="7118" spans="24:25" x14ac:dyDescent="0.3">
      <c r="X7118" s="1">
        <f t="shared" si="222"/>
        <v>0</v>
      </c>
      <c r="Y7118" s="1">
        <f t="shared" si="223"/>
        <v>0</v>
      </c>
    </row>
    <row r="7119" spans="24:25" x14ac:dyDescent="0.3">
      <c r="X7119" s="1">
        <f t="shared" si="222"/>
        <v>0</v>
      </c>
      <c r="Y7119" s="1">
        <f t="shared" si="223"/>
        <v>0</v>
      </c>
    </row>
    <row r="7120" spans="24:25" x14ac:dyDescent="0.3">
      <c r="X7120" s="1">
        <f t="shared" si="222"/>
        <v>0</v>
      </c>
      <c r="Y7120" s="1">
        <f t="shared" si="223"/>
        <v>0</v>
      </c>
    </row>
    <row r="7121" spans="24:25" x14ac:dyDescent="0.3">
      <c r="X7121" s="1">
        <f t="shared" si="222"/>
        <v>0</v>
      </c>
      <c r="Y7121" s="1">
        <f t="shared" si="223"/>
        <v>0</v>
      </c>
    </row>
    <row r="7122" spans="24:25" x14ac:dyDescent="0.3">
      <c r="X7122" s="1">
        <f t="shared" si="222"/>
        <v>0</v>
      </c>
      <c r="Y7122" s="1">
        <f t="shared" si="223"/>
        <v>0</v>
      </c>
    </row>
    <row r="7123" spans="24:25" x14ac:dyDescent="0.3">
      <c r="X7123" s="1">
        <f t="shared" si="222"/>
        <v>0</v>
      </c>
      <c r="Y7123" s="1">
        <f t="shared" si="223"/>
        <v>0</v>
      </c>
    </row>
    <row r="7124" spans="24:25" x14ac:dyDescent="0.3">
      <c r="X7124" s="1">
        <f t="shared" si="222"/>
        <v>0</v>
      </c>
      <c r="Y7124" s="1">
        <f t="shared" si="223"/>
        <v>0</v>
      </c>
    </row>
    <row r="7125" spans="24:25" x14ac:dyDescent="0.3">
      <c r="X7125" s="1">
        <f t="shared" si="222"/>
        <v>0</v>
      </c>
      <c r="Y7125" s="1">
        <f t="shared" si="223"/>
        <v>0</v>
      </c>
    </row>
    <row r="7126" spans="24:25" x14ac:dyDescent="0.3">
      <c r="X7126" s="1">
        <f t="shared" si="222"/>
        <v>0</v>
      </c>
      <c r="Y7126" s="1">
        <f t="shared" si="223"/>
        <v>0</v>
      </c>
    </row>
    <row r="7127" spans="24:25" x14ac:dyDescent="0.3">
      <c r="X7127" s="1">
        <f t="shared" si="222"/>
        <v>0</v>
      </c>
      <c r="Y7127" s="1">
        <f t="shared" si="223"/>
        <v>0</v>
      </c>
    </row>
    <row r="7128" spans="24:25" x14ac:dyDescent="0.3">
      <c r="X7128" s="1">
        <f t="shared" si="222"/>
        <v>0</v>
      </c>
      <c r="Y7128" s="1">
        <f t="shared" si="223"/>
        <v>0</v>
      </c>
    </row>
    <row r="7129" spans="24:25" x14ac:dyDescent="0.3">
      <c r="X7129" s="1">
        <f t="shared" si="222"/>
        <v>0</v>
      </c>
      <c r="Y7129" s="1">
        <f t="shared" si="223"/>
        <v>0</v>
      </c>
    </row>
    <row r="7130" spans="24:25" x14ac:dyDescent="0.3">
      <c r="X7130" s="1">
        <f t="shared" si="222"/>
        <v>0</v>
      </c>
      <c r="Y7130" s="1">
        <f t="shared" si="223"/>
        <v>0</v>
      </c>
    </row>
    <row r="7131" spans="24:25" x14ac:dyDescent="0.3">
      <c r="X7131" s="1">
        <f t="shared" si="222"/>
        <v>0</v>
      </c>
      <c r="Y7131" s="1">
        <f t="shared" si="223"/>
        <v>0</v>
      </c>
    </row>
    <row r="7132" spans="24:25" x14ac:dyDescent="0.3">
      <c r="X7132" s="1">
        <f t="shared" si="222"/>
        <v>0</v>
      </c>
      <c r="Y7132" s="1">
        <f t="shared" si="223"/>
        <v>0</v>
      </c>
    </row>
    <row r="7133" spans="24:25" x14ac:dyDescent="0.3">
      <c r="X7133" s="1">
        <f t="shared" si="222"/>
        <v>0</v>
      </c>
      <c r="Y7133" s="1">
        <f t="shared" si="223"/>
        <v>0</v>
      </c>
    </row>
    <row r="7134" spans="24:25" x14ac:dyDescent="0.3">
      <c r="X7134" s="1">
        <f t="shared" si="222"/>
        <v>0</v>
      </c>
      <c r="Y7134" s="1">
        <f t="shared" si="223"/>
        <v>0</v>
      </c>
    </row>
    <row r="7135" spans="24:25" x14ac:dyDescent="0.3">
      <c r="X7135" s="1">
        <f t="shared" si="222"/>
        <v>0</v>
      </c>
      <c r="Y7135" s="1">
        <f t="shared" si="223"/>
        <v>0</v>
      </c>
    </row>
    <row r="7136" spans="24:25" x14ac:dyDescent="0.3">
      <c r="X7136" s="1">
        <f t="shared" si="222"/>
        <v>0</v>
      </c>
      <c r="Y7136" s="1">
        <f t="shared" si="223"/>
        <v>0</v>
      </c>
    </row>
    <row r="7137" spans="24:25" x14ac:dyDescent="0.3">
      <c r="X7137" s="1">
        <f t="shared" si="222"/>
        <v>0</v>
      </c>
      <c r="Y7137" s="1">
        <f t="shared" si="223"/>
        <v>0</v>
      </c>
    </row>
    <row r="7138" spans="24:25" x14ac:dyDescent="0.3">
      <c r="X7138" s="1">
        <f t="shared" si="222"/>
        <v>0</v>
      </c>
      <c r="Y7138" s="1">
        <f t="shared" si="223"/>
        <v>0</v>
      </c>
    </row>
    <row r="7139" spans="24:25" x14ac:dyDescent="0.3">
      <c r="X7139" s="1">
        <f t="shared" si="222"/>
        <v>0</v>
      </c>
      <c r="Y7139" s="1">
        <f t="shared" si="223"/>
        <v>0</v>
      </c>
    </row>
    <row r="7140" spans="24:25" x14ac:dyDescent="0.3">
      <c r="X7140" s="1">
        <f t="shared" si="222"/>
        <v>0</v>
      </c>
      <c r="Y7140" s="1">
        <f t="shared" si="223"/>
        <v>0</v>
      </c>
    </row>
    <row r="7141" spans="24:25" x14ac:dyDescent="0.3">
      <c r="X7141" s="1">
        <f t="shared" si="222"/>
        <v>0</v>
      </c>
      <c r="Y7141" s="1">
        <f t="shared" si="223"/>
        <v>0</v>
      </c>
    </row>
    <row r="7142" spans="24:25" x14ac:dyDescent="0.3">
      <c r="X7142" s="1">
        <f t="shared" si="222"/>
        <v>0</v>
      </c>
      <c r="Y7142" s="1">
        <f t="shared" si="223"/>
        <v>0</v>
      </c>
    </row>
    <row r="7143" spans="24:25" x14ac:dyDescent="0.3">
      <c r="X7143" s="1">
        <f t="shared" si="222"/>
        <v>0</v>
      </c>
      <c r="Y7143" s="1">
        <f t="shared" si="223"/>
        <v>0</v>
      </c>
    </row>
    <row r="7144" spans="24:25" x14ac:dyDescent="0.3">
      <c r="X7144" s="1">
        <f t="shared" si="222"/>
        <v>0</v>
      </c>
      <c r="Y7144" s="1">
        <f t="shared" si="223"/>
        <v>0</v>
      </c>
    </row>
    <row r="7145" spans="24:25" x14ac:dyDescent="0.3">
      <c r="X7145" s="1">
        <f t="shared" si="222"/>
        <v>0</v>
      </c>
      <c r="Y7145" s="1">
        <f t="shared" si="223"/>
        <v>0</v>
      </c>
    </row>
    <row r="7146" spans="24:25" x14ac:dyDescent="0.3">
      <c r="X7146" s="1">
        <f t="shared" si="222"/>
        <v>0</v>
      </c>
      <c r="Y7146" s="1">
        <f t="shared" si="223"/>
        <v>0</v>
      </c>
    </row>
    <row r="7147" spans="24:25" x14ac:dyDescent="0.3">
      <c r="X7147" s="1">
        <f t="shared" si="222"/>
        <v>0</v>
      </c>
      <c r="Y7147" s="1">
        <f t="shared" si="223"/>
        <v>0</v>
      </c>
    </row>
    <row r="7148" spans="24:25" x14ac:dyDescent="0.3">
      <c r="X7148" s="1">
        <f t="shared" si="222"/>
        <v>0</v>
      </c>
      <c r="Y7148" s="1">
        <f t="shared" si="223"/>
        <v>0</v>
      </c>
    </row>
    <row r="7149" spans="24:25" x14ac:dyDescent="0.3">
      <c r="X7149" s="1">
        <f t="shared" si="222"/>
        <v>0</v>
      </c>
      <c r="Y7149" s="1">
        <f t="shared" si="223"/>
        <v>0</v>
      </c>
    </row>
    <row r="7150" spans="24:25" x14ac:dyDescent="0.3">
      <c r="X7150" s="1">
        <f t="shared" si="222"/>
        <v>0</v>
      </c>
      <c r="Y7150" s="1">
        <f t="shared" si="223"/>
        <v>0</v>
      </c>
    </row>
    <row r="7151" spans="24:25" x14ac:dyDescent="0.3">
      <c r="X7151" s="1">
        <f t="shared" si="222"/>
        <v>0</v>
      </c>
      <c r="Y7151" s="1">
        <f t="shared" si="223"/>
        <v>0</v>
      </c>
    </row>
    <row r="7152" spans="24:25" x14ac:dyDescent="0.3">
      <c r="X7152" s="1">
        <f t="shared" si="222"/>
        <v>0</v>
      </c>
      <c r="Y7152" s="1">
        <f t="shared" si="223"/>
        <v>0</v>
      </c>
    </row>
    <row r="7153" spans="24:25" x14ac:dyDescent="0.3">
      <c r="X7153" s="1">
        <f t="shared" si="222"/>
        <v>0</v>
      </c>
      <c r="Y7153" s="1">
        <f t="shared" si="223"/>
        <v>0</v>
      </c>
    </row>
    <row r="7154" spans="24:25" x14ac:dyDescent="0.3">
      <c r="X7154" s="1">
        <f t="shared" si="222"/>
        <v>0</v>
      </c>
      <c r="Y7154" s="1">
        <f t="shared" si="223"/>
        <v>0</v>
      </c>
    </row>
    <row r="7155" spans="24:25" x14ac:dyDescent="0.3">
      <c r="X7155" s="1">
        <f t="shared" si="222"/>
        <v>0</v>
      </c>
      <c r="Y7155" s="1">
        <f t="shared" si="223"/>
        <v>0</v>
      </c>
    </row>
    <row r="7156" spans="24:25" x14ac:dyDescent="0.3">
      <c r="X7156" s="1">
        <f t="shared" si="222"/>
        <v>0</v>
      </c>
      <c r="Y7156" s="1">
        <f t="shared" si="223"/>
        <v>0</v>
      </c>
    </row>
    <row r="7157" spans="24:25" x14ac:dyDescent="0.3">
      <c r="X7157" s="1">
        <f t="shared" si="222"/>
        <v>0</v>
      </c>
      <c r="Y7157" s="1">
        <f t="shared" si="223"/>
        <v>0</v>
      </c>
    </row>
    <row r="7158" spans="24:25" x14ac:dyDescent="0.3">
      <c r="X7158" s="1">
        <f t="shared" si="222"/>
        <v>0</v>
      </c>
      <c r="Y7158" s="1">
        <f t="shared" si="223"/>
        <v>0</v>
      </c>
    </row>
    <row r="7159" spans="24:25" x14ac:dyDescent="0.3">
      <c r="X7159" s="1">
        <f t="shared" si="222"/>
        <v>0</v>
      </c>
      <c r="Y7159" s="1">
        <f t="shared" si="223"/>
        <v>0</v>
      </c>
    </row>
    <row r="7160" spans="24:25" x14ac:dyDescent="0.3">
      <c r="X7160" s="1">
        <f t="shared" si="222"/>
        <v>0</v>
      </c>
      <c r="Y7160" s="1">
        <f t="shared" si="223"/>
        <v>0</v>
      </c>
    </row>
    <row r="7161" spans="24:25" x14ac:dyDescent="0.3">
      <c r="X7161" s="1">
        <f t="shared" si="222"/>
        <v>0</v>
      </c>
      <c r="Y7161" s="1">
        <f t="shared" si="223"/>
        <v>0</v>
      </c>
    </row>
    <row r="7162" spans="24:25" x14ac:dyDescent="0.3">
      <c r="X7162" s="1">
        <f t="shared" si="222"/>
        <v>0</v>
      </c>
      <c r="Y7162" s="1">
        <f t="shared" si="223"/>
        <v>0</v>
      </c>
    </row>
    <row r="7163" spans="24:25" x14ac:dyDescent="0.3">
      <c r="X7163" s="1">
        <f t="shared" si="222"/>
        <v>0</v>
      </c>
      <c r="Y7163" s="1">
        <f t="shared" si="223"/>
        <v>0</v>
      </c>
    </row>
    <row r="7164" spans="24:25" x14ac:dyDescent="0.3">
      <c r="X7164" s="1">
        <f t="shared" si="222"/>
        <v>0</v>
      </c>
      <c r="Y7164" s="1">
        <f t="shared" si="223"/>
        <v>0</v>
      </c>
    </row>
    <row r="7165" spans="24:25" x14ac:dyDescent="0.3">
      <c r="X7165" s="1">
        <f t="shared" si="222"/>
        <v>0</v>
      </c>
      <c r="Y7165" s="1">
        <f t="shared" si="223"/>
        <v>0</v>
      </c>
    </row>
    <row r="7166" spans="24:25" x14ac:dyDescent="0.3">
      <c r="X7166" s="1">
        <f t="shared" si="222"/>
        <v>0</v>
      </c>
      <c r="Y7166" s="1">
        <f t="shared" si="223"/>
        <v>0</v>
      </c>
    </row>
    <row r="7167" spans="24:25" x14ac:dyDescent="0.3">
      <c r="X7167" s="1">
        <f t="shared" si="222"/>
        <v>0</v>
      </c>
      <c r="Y7167" s="1">
        <f t="shared" si="223"/>
        <v>0</v>
      </c>
    </row>
    <row r="7168" spans="24:25" x14ac:dyDescent="0.3">
      <c r="X7168" s="1">
        <f t="shared" si="222"/>
        <v>0</v>
      </c>
      <c r="Y7168" s="1">
        <f t="shared" si="223"/>
        <v>0</v>
      </c>
    </row>
    <row r="7169" spans="24:25" x14ac:dyDescent="0.3">
      <c r="X7169" s="1">
        <f t="shared" si="222"/>
        <v>0</v>
      </c>
      <c r="Y7169" s="1">
        <f t="shared" si="223"/>
        <v>0</v>
      </c>
    </row>
    <row r="7170" spans="24:25" x14ac:dyDescent="0.3">
      <c r="X7170" s="1">
        <f t="shared" si="222"/>
        <v>0</v>
      </c>
      <c r="Y7170" s="1">
        <f t="shared" si="223"/>
        <v>0</v>
      </c>
    </row>
    <row r="7171" spans="24:25" x14ac:dyDescent="0.3">
      <c r="X7171" s="1">
        <f t="shared" ref="X7171:X7234" si="224">IFERROR(MATCH(W7171,$B:$B,0),0)</f>
        <v>0</v>
      </c>
      <c r="Y7171" s="1">
        <f t="shared" ref="Y7171:Y7234" si="225">IF(X7172=0,COUNTA(A:A),X7172-1)</f>
        <v>0</v>
      </c>
    </row>
    <row r="7172" spans="24:25" x14ac:dyDescent="0.3">
      <c r="X7172" s="1">
        <f t="shared" si="224"/>
        <v>0</v>
      </c>
      <c r="Y7172" s="1">
        <f t="shared" si="225"/>
        <v>0</v>
      </c>
    </row>
    <row r="7173" spans="24:25" x14ac:dyDescent="0.3">
      <c r="X7173" s="1">
        <f t="shared" si="224"/>
        <v>0</v>
      </c>
      <c r="Y7173" s="1">
        <f t="shared" si="225"/>
        <v>0</v>
      </c>
    </row>
    <row r="7174" spans="24:25" x14ac:dyDescent="0.3">
      <c r="X7174" s="1">
        <f t="shared" si="224"/>
        <v>0</v>
      </c>
      <c r="Y7174" s="1">
        <f t="shared" si="225"/>
        <v>0</v>
      </c>
    </row>
    <row r="7175" spans="24:25" x14ac:dyDescent="0.3">
      <c r="X7175" s="1">
        <f t="shared" si="224"/>
        <v>0</v>
      </c>
      <c r="Y7175" s="1">
        <f t="shared" si="225"/>
        <v>0</v>
      </c>
    </row>
    <row r="7176" spans="24:25" x14ac:dyDescent="0.3">
      <c r="X7176" s="1">
        <f t="shared" si="224"/>
        <v>0</v>
      </c>
      <c r="Y7176" s="1">
        <f t="shared" si="225"/>
        <v>0</v>
      </c>
    </row>
    <row r="7177" spans="24:25" x14ac:dyDescent="0.3">
      <c r="X7177" s="1">
        <f t="shared" si="224"/>
        <v>0</v>
      </c>
      <c r="Y7177" s="1">
        <f t="shared" si="225"/>
        <v>0</v>
      </c>
    </row>
    <row r="7178" spans="24:25" x14ac:dyDescent="0.3">
      <c r="X7178" s="1">
        <f t="shared" si="224"/>
        <v>0</v>
      </c>
      <c r="Y7178" s="1">
        <f t="shared" si="225"/>
        <v>0</v>
      </c>
    </row>
    <row r="7179" spans="24:25" x14ac:dyDescent="0.3">
      <c r="X7179" s="1">
        <f t="shared" si="224"/>
        <v>0</v>
      </c>
      <c r="Y7179" s="1">
        <f t="shared" si="225"/>
        <v>0</v>
      </c>
    </row>
    <row r="7180" spans="24:25" x14ac:dyDescent="0.3">
      <c r="X7180" s="1">
        <f t="shared" si="224"/>
        <v>0</v>
      </c>
      <c r="Y7180" s="1">
        <f t="shared" si="225"/>
        <v>0</v>
      </c>
    </row>
    <row r="7181" spans="24:25" x14ac:dyDescent="0.3">
      <c r="X7181" s="1">
        <f t="shared" si="224"/>
        <v>0</v>
      </c>
      <c r="Y7181" s="1">
        <f t="shared" si="225"/>
        <v>0</v>
      </c>
    </row>
    <row r="7182" spans="24:25" x14ac:dyDescent="0.3">
      <c r="X7182" s="1">
        <f t="shared" si="224"/>
        <v>0</v>
      </c>
      <c r="Y7182" s="1">
        <f t="shared" si="225"/>
        <v>0</v>
      </c>
    </row>
    <row r="7183" spans="24:25" x14ac:dyDescent="0.3">
      <c r="X7183" s="1">
        <f t="shared" si="224"/>
        <v>0</v>
      </c>
      <c r="Y7183" s="1">
        <f t="shared" si="225"/>
        <v>0</v>
      </c>
    </row>
    <row r="7184" spans="24:25" x14ac:dyDescent="0.3">
      <c r="X7184" s="1">
        <f t="shared" si="224"/>
        <v>0</v>
      </c>
      <c r="Y7184" s="1">
        <f t="shared" si="225"/>
        <v>0</v>
      </c>
    </row>
    <row r="7185" spans="24:25" x14ac:dyDescent="0.3">
      <c r="X7185" s="1">
        <f t="shared" si="224"/>
        <v>0</v>
      </c>
      <c r="Y7185" s="1">
        <f t="shared" si="225"/>
        <v>0</v>
      </c>
    </row>
    <row r="7186" spans="24:25" x14ac:dyDescent="0.3">
      <c r="X7186" s="1">
        <f t="shared" si="224"/>
        <v>0</v>
      </c>
      <c r="Y7186" s="1">
        <f t="shared" si="225"/>
        <v>0</v>
      </c>
    </row>
    <row r="7187" spans="24:25" x14ac:dyDescent="0.3">
      <c r="X7187" s="1">
        <f t="shared" si="224"/>
        <v>0</v>
      </c>
      <c r="Y7187" s="1">
        <f t="shared" si="225"/>
        <v>0</v>
      </c>
    </row>
    <row r="7188" spans="24:25" x14ac:dyDescent="0.3">
      <c r="X7188" s="1">
        <f t="shared" si="224"/>
        <v>0</v>
      </c>
      <c r="Y7188" s="1">
        <f t="shared" si="225"/>
        <v>0</v>
      </c>
    </row>
    <row r="7189" spans="24:25" x14ac:dyDescent="0.3">
      <c r="X7189" s="1">
        <f t="shared" si="224"/>
        <v>0</v>
      </c>
      <c r="Y7189" s="1">
        <f t="shared" si="225"/>
        <v>0</v>
      </c>
    </row>
    <row r="7190" spans="24:25" x14ac:dyDescent="0.3">
      <c r="X7190" s="1">
        <f t="shared" si="224"/>
        <v>0</v>
      </c>
      <c r="Y7190" s="1">
        <f t="shared" si="225"/>
        <v>0</v>
      </c>
    </row>
    <row r="7191" spans="24:25" x14ac:dyDescent="0.3">
      <c r="X7191" s="1">
        <f t="shared" si="224"/>
        <v>0</v>
      </c>
      <c r="Y7191" s="1">
        <f t="shared" si="225"/>
        <v>0</v>
      </c>
    </row>
    <row r="7192" spans="24:25" x14ac:dyDescent="0.3">
      <c r="X7192" s="1">
        <f t="shared" si="224"/>
        <v>0</v>
      </c>
      <c r="Y7192" s="1">
        <f t="shared" si="225"/>
        <v>0</v>
      </c>
    </row>
    <row r="7193" spans="24:25" x14ac:dyDescent="0.3">
      <c r="X7193" s="1">
        <f t="shared" si="224"/>
        <v>0</v>
      </c>
      <c r="Y7193" s="1">
        <f t="shared" si="225"/>
        <v>0</v>
      </c>
    </row>
    <row r="7194" spans="24:25" x14ac:dyDescent="0.3">
      <c r="X7194" s="1">
        <f t="shared" si="224"/>
        <v>0</v>
      </c>
      <c r="Y7194" s="1">
        <f t="shared" si="225"/>
        <v>0</v>
      </c>
    </row>
    <row r="7195" spans="24:25" x14ac:dyDescent="0.3">
      <c r="X7195" s="1">
        <f t="shared" si="224"/>
        <v>0</v>
      </c>
      <c r="Y7195" s="1">
        <f t="shared" si="225"/>
        <v>0</v>
      </c>
    </row>
    <row r="7196" spans="24:25" x14ac:dyDescent="0.3">
      <c r="X7196" s="1">
        <f t="shared" si="224"/>
        <v>0</v>
      </c>
      <c r="Y7196" s="1">
        <f t="shared" si="225"/>
        <v>0</v>
      </c>
    </row>
    <row r="7197" spans="24:25" x14ac:dyDescent="0.3">
      <c r="X7197" s="1">
        <f t="shared" si="224"/>
        <v>0</v>
      </c>
      <c r="Y7197" s="1">
        <f t="shared" si="225"/>
        <v>0</v>
      </c>
    </row>
    <row r="7198" spans="24:25" x14ac:dyDescent="0.3">
      <c r="X7198" s="1">
        <f t="shared" si="224"/>
        <v>0</v>
      </c>
      <c r="Y7198" s="1">
        <f t="shared" si="225"/>
        <v>0</v>
      </c>
    </row>
    <row r="7199" spans="24:25" x14ac:dyDescent="0.3">
      <c r="X7199" s="1">
        <f t="shared" si="224"/>
        <v>0</v>
      </c>
      <c r="Y7199" s="1">
        <f t="shared" si="225"/>
        <v>0</v>
      </c>
    </row>
    <row r="7200" spans="24:25" x14ac:dyDescent="0.3">
      <c r="X7200" s="1">
        <f t="shared" si="224"/>
        <v>0</v>
      </c>
      <c r="Y7200" s="1">
        <f t="shared" si="225"/>
        <v>0</v>
      </c>
    </row>
    <row r="7201" spans="24:25" x14ac:dyDescent="0.3">
      <c r="X7201" s="1">
        <f t="shared" si="224"/>
        <v>0</v>
      </c>
      <c r="Y7201" s="1">
        <f t="shared" si="225"/>
        <v>0</v>
      </c>
    </row>
    <row r="7202" spans="24:25" x14ac:dyDescent="0.3">
      <c r="X7202" s="1">
        <f t="shared" si="224"/>
        <v>0</v>
      </c>
      <c r="Y7202" s="1">
        <f t="shared" si="225"/>
        <v>0</v>
      </c>
    </row>
    <row r="7203" spans="24:25" x14ac:dyDescent="0.3">
      <c r="X7203" s="1">
        <f t="shared" si="224"/>
        <v>0</v>
      </c>
      <c r="Y7203" s="1">
        <f t="shared" si="225"/>
        <v>0</v>
      </c>
    </row>
    <row r="7204" spans="24:25" x14ac:dyDescent="0.3">
      <c r="X7204" s="1">
        <f t="shared" si="224"/>
        <v>0</v>
      </c>
      <c r="Y7204" s="1">
        <f t="shared" si="225"/>
        <v>0</v>
      </c>
    </row>
    <row r="7205" spans="24:25" x14ac:dyDescent="0.3">
      <c r="X7205" s="1">
        <f t="shared" si="224"/>
        <v>0</v>
      </c>
      <c r="Y7205" s="1">
        <f t="shared" si="225"/>
        <v>0</v>
      </c>
    </row>
    <row r="7206" spans="24:25" x14ac:dyDescent="0.3">
      <c r="X7206" s="1">
        <f t="shared" si="224"/>
        <v>0</v>
      </c>
      <c r="Y7206" s="1">
        <f t="shared" si="225"/>
        <v>0</v>
      </c>
    </row>
    <row r="7207" spans="24:25" x14ac:dyDescent="0.3">
      <c r="X7207" s="1">
        <f t="shared" si="224"/>
        <v>0</v>
      </c>
      <c r="Y7207" s="1">
        <f t="shared" si="225"/>
        <v>0</v>
      </c>
    </row>
    <row r="7208" spans="24:25" x14ac:dyDescent="0.3">
      <c r="X7208" s="1">
        <f t="shared" si="224"/>
        <v>0</v>
      </c>
      <c r="Y7208" s="1">
        <f t="shared" si="225"/>
        <v>0</v>
      </c>
    </row>
    <row r="7209" spans="24:25" x14ac:dyDescent="0.3">
      <c r="X7209" s="1">
        <f t="shared" si="224"/>
        <v>0</v>
      </c>
      <c r="Y7209" s="1">
        <f t="shared" si="225"/>
        <v>0</v>
      </c>
    </row>
    <row r="7210" spans="24:25" x14ac:dyDescent="0.3">
      <c r="X7210" s="1">
        <f t="shared" si="224"/>
        <v>0</v>
      </c>
      <c r="Y7210" s="1">
        <f t="shared" si="225"/>
        <v>0</v>
      </c>
    </row>
    <row r="7211" spans="24:25" x14ac:dyDescent="0.3">
      <c r="X7211" s="1">
        <f t="shared" si="224"/>
        <v>0</v>
      </c>
      <c r="Y7211" s="1">
        <f t="shared" si="225"/>
        <v>0</v>
      </c>
    </row>
    <row r="7212" spans="24:25" x14ac:dyDescent="0.3">
      <c r="X7212" s="1">
        <f t="shared" si="224"/>
        <v>0</v>
      </c>
      <c r="Y7212" s="1">
        <f t="shared" si="225"/>
        <v>0</v>
      </c>
    </row>
    <row r="7213" spans="24:25" x14ac:dyDescent="0.3">
      <c r="X7213" s="1">
        <f t="shared" si="224"/>
        <v>0</v>
      </c>
      <c r="Y7213" s="1">
        <f t="shared" si="225"/>
        <v>0</v>
      </c>
    </row>
    <row r="7214" spans="24:25" x14ac:dyDescent="0.3">
      <c r="X7214" s="1">
        <f t="shared" si="224"/>
        <v>0</v>
      </c>
      <c r="Y7214" s="1">
        <f t="shared" si="225"/>
        <v>0</v>
      </c>
    </row>
    <row r="7215" spans="24:25" x14ac:dyDescent="0.3">
      <c r="X7215" s="1">
        <f t="shared" si="224"/>
        <v>0</v>
      </c>
      <c r="Y7215" s="1">
        <f t="shared" si="225"/>
        <v>0</v>
      </c>
    </row>
    <row r="7216" spans="24:25" x14ac:dyDescent="0.3">
      <c r="X7216" s="1">
        <f t="shared" si="224"/>
        <v>0</v>
      </c>
      <c r="Y7216" s="1">
        <f t="shared" si="225"/>
        <v>0</v>
      </c>
    </row>
    <row r="7217" spans="24:25" x14ac:dyDescent="0.3">
      <c r="X7217" s="1">
        <f t="shared" si="224"/>
        <v>0</v>
      </c>
      <c r="Y7217" s="1">
        <f t="shared" si="225"/>
        <v>0</v>
      </c>
    </row>
    <row r="7218" spans="24:25" x14ac:dyDescent="0.3">
      <c r="X7218" s="1">
        <f t="shared" si="224"/>
        <v>0</v>
      </c>
      <c r="Y7218" s="1">
        <f t="shared" si="225"/>
        <v>0</v>
      </c>
    </row>
    <row r="7219" spans="24:25" x14ac:dyDescent="0.3">
      <c r="X7219" s="1">
        <f t="shared" si="224"/>
        <v>0</v>
      </c>
      <c r="Y7219" s="1">
        <f t="shared" si="225"/>
        <v>0</v>
      </c>
    </row>
    <row r="7220" spans="24:25" x14ac:dyDescent="0.3">
      <c r="X7220" s="1">
        <f t="shared" si="224"/>
        <v>0</v>
      </c>
      <c r="Y7220" s="1">
        <f t="shared" si="225"/>
        <v>0</v>
      </c>
    </row>
    <row r="7221" spans="24:25" x14ac:dyDescent="0.3">
      <c r="X7221" s="1">
        <f t="shared" si="224"/>
        <v>0</v>
      </c>
      <c r="Y7221" s="1">
        <f t="shared" si="225"/>
        <v>0</v>
      </c>
    </row>
    <row r="7222" spans="24:25" x14ac:dyDescent="0.3">
      <c r="X7222" s="1">
        <f t="shared" si="224"/>
        <v>0</v>
      </c>
      <c r="Y7222" s="1">
        <f t="shared" si="225"/>
        <v>0</v>
      </c>
    </row>
    <row r="7223" spans="24:25" x14ac:dyDescent="0.3">
      <c r="X7223" s="1">
        <f t="shared" si="224"/>
        <v>0</v>
      </c>
      <c r="Y7223" s="1">
        <f t="shared" si="225"/>
        <v>0</v>
      </c>
    </row>
    <row r="7224" spans="24:25" x14ac:dyDescent="0.3">
      <c r="X7224" s="1">
        <f t="shared" si="224"/>
        <v>0</v>
      </c>
      <c r="Y7224" s="1">
        <f t="shared" si="225"/>
        <v>0</v>
      </c>
    </row>
    <row r="7225" spans="24:25" x14ac:dyDescent="0.3">
      <c r="X7225" s="1">
        <f t="shared" si="224"/>
        <v>0</v>
      </c>
      <c r="Y7225" s="1">
        <f t="shared" si="225"/>
        <v>0</v>
      </c>
    </row>
    <row r="7226" spans="24:25" x14ac:dyDescent="0.3">
      <c r="X7226" s="1">
        <f t="shared" si="224"/>
        <v>0</v>
      </c>
      <c r="Y7226" s="1">
        <f t="shared" si="225"/>
        <v>0</v>
      </c>
    </row>
    <row r="7227" spans="24:25" x14ac:dyDescent="0.3">
      <c r="X7227" s="1">
        <f t="shared" si="224"/>
        <v>0</v>
      </c>
      <c r="Y7227" s="1">
        <f t="shared" si="225"/>
        <v>0</v>
      </c>
    </row>
    <row r="7228" spans="24:25" x14ac:dyDescent="0.3">
      <c r="X7228" s="1">
        <f t="shared" si="224"/>
        <v>0</v>
      </c>
      <c r="Y7228" s="1">
        <f t="shared" si="225"/>
        <v>0</v>
      </c>
    </row>
    <row r="7229" spans="24:25" x14ac:dyDescent="0.3">
      <c r="X7229" s="1">
        <f t="shared" si="224"/>
        <v>0</v>
      </c>
      <c r="Y7229" s="1">
        <f t="shared" si="225"/>
        <v>0</v>
      </c>
    </row>
    <row r="7230" spans="24:25" x14ac:dyDescent="0.3">
      <c r="X7230" s="1">
        <f t="shared" si="224"/>
        <v>0</v>
      </c>
      <c r="Y7230" s="1">
        <f t="shared" si="225"/>
        <v>0</v>
      </c>
    </row>
    <row r="7231" spans="24:25" x14ac:dyDescent="0.3">
      <c r="X7231" s="1">
        <f t="shared" si="224"/>
        <v>0</v>
      </c>
      <c r="Y7231" s="1">
        <f t="shared" si="225"/>
        <v>0</v>
      </c>
    </row>
    <row r="7232" spans="24:25" x14ac:dyDescent="0.3">
      <c r="X7232" s="1">
        <f t="shared" si="224"/>
        <v>0</v>
      </c>
      <c r="Y7232" s="1">
        <f t="shared" si="225"/>
        <v>0</v>
      </c>
    </row>
    <row r="7233" spans="24:25" x14ac:dyDescent="0.3">
      <c r="X7233" s="1">
        <f t="shared" si="224"/>
        <v>0</v>
      </c>
      <c r="Y7233" s="1">
        <f t="shared" si="225"/>
        <v>0</v>
      </c>
    </row>
    <row r="7234" spans="24:25" x14ac:dyDescent="0.3">
      <c r="X7234" s="1">
        <f t="shared" si="224"/>
        <v>0</v>
      </c>
      <c r="Y7234" s="1">
        <f t="shared" si="225"/>
        <v>0</v>
      </c>
    </row>
    <row r="7235" spans="24:25" x14ac:dyDescent="0.3">
      <c r="X7235" s="1">
        <f t="shared" ref="X7235:X7298" si="226">IFERROR(MATCH(W7235,$B:$B,0),0)</f>
        <v>0</v>
      </c>
      <c r="Y7235" s="1">
        <f t="shared" ref="Y7235:Y7298" si="227">IF(X7236=0,COUNTA(A:A),X7236-1)</f>
        <v>0</v>
      </c>
    </row>
    <row r="7236" spans="24:25" x14ac:dyDescent="0.3">
      <c r="X7236" s="1">
        <f t="shared" si="226"/>
        <v>0</v>
      </c>
      <c r="Y7236" s="1">
        <f t="shared" si="227"/>
        <v>0</v>
      </c>
    </row>
    <row r="7237" spans="24:25" x14ac:dyDescent="0.3">
      <c r="X7237" s="1">
        <f t="shared" si="226"/>
        <v>0</v>
      </c>
      <c r="Y7237" s="1">
        <f t="shared" si="227"/>
        <v>0</v>
      </c>
    </row>
    <row r="7238" spans="24:25" x14ac:dyDescent="0.3">
      <c r="X7238" s="1">
        <f t="shared" si="226"/>
        <v>0</v>
      </c>
      <c r="Y7238" s="1">
        <f t="shared" si="227"/>
        <v>0</v>
      </c>
    </row>
    <row r="7239" spans="24:25" x14ac:dyDescent="0.3">
      <c r="X7239" s="1">
        <f t="shared" si="226"/>
        <v>0</v>
      </c>
      <c r="Y7239" s="1">
        <f t="shared" si="227"/>
        <v>0</v>
      </c>
    </row>
    <row r="7240" spans="24:25" x14ac:dyDescent="0.3">
      <c r="X7240" s="1">
        <f t="shared" si="226"/>
        <v>0</v>
      </c>
      <c r="Y7240" s="1">
        <f t="shared" si="227"/>
        <v>0</v>
      </c>
    </row>
    <row r="7241" spans="24:25" x14ac:dyDescent="0.3">
      <c r="X7241" s="1">
        <f t="shared" si="226"/>
        <v>0</v>
      </c>
      <c r="Y7241" s="1">
        <f t="shared" si="227"/>
        <v>0</v>
      </c>
    </row>
    <row r="7242" spans="24:25" x14ac:dyDescent="0.3">
      <c r="X7242" s="1">
        <f t="shared" si="226"/>
        <v>0</v>
      </c>
      <c r="Y7242" s="1">
        <f t="shared" si="227"/>
        <v>0</v>
      </c>
    </row>
    <row r="7243" spans="24:25" x14ac:dyDescent="0.3">
      <c r="X7243" s="1">
        <f t="shared" si="226"/>
        <v>0</v>
      </c>
      <c r="Y7243" s="1">
        <f t="shared" si="227"/>
        <v>0</v>
      </c>
    </row>
    <row r="7244" spans="24:25" x14ac:dyDescent="0.3">
      <c r="X7244" s="1">
        <f t="shared" si="226"/>
        <v>0</v>
      </c>
      <c r="Y7244" s="1">
        <f t="shared" si="227"/>
        <v>0</v>
      </c>
    </row>
    <row r="7245" spans="24:25" x14ac:dyDescent="0.3">
      <c r="X7245" s="1">
        <f t="shared" si="226"/>
        <v>0</v>
      </c>
      <c r="Y7245" s="1">
        <f t="shared" si="227"/>
        <v>0</v>
      </c>
    </row>
    <row r="7246" spans="24:25" x14ac:dyDescent="0.3">
      <c r="X7246" s="1">
        <f t="shared" si="226"/>
        <v>0</v>
      </c>
      <c r="Y7246" s="1">
        <f t="shared" si="227"/>
        <v>0</v>
      </c>
    </row>
    <row r="7247" spans="24:25" x14ac:dyDescent="0.3">
      <c r="X7247" s="1">
        <f t="shared" si="226"/>
        <v>0</v>
      </c>
      <c r="Y7247" s="1">
        <f t="shared" si="227"/>
        <v>0</v>
      </c>
    </row>
    <row r="7248" spans="24:25" x14ac:dyDescent="0.3">
      <c r="X7248" s="1">
        <f t="shared" si="226"/>
        <v>0</v>
      </c>
      <c r="Y7248" s="1">
        <f t="shared" si="227"/>
        <v>0</v>
      </c>
    </row>
    <row r="7249" spans="24:25" x14ac:dyDescent="0.3">
      <c r="X7249" s="1">
        <f t="shared" si="226"/>
        <v>0</v>
      </c>
      <c r="Y7249" s="1">
        <f t="shared" si="227"/>
        <v>0</v>
      </c>
    </row>
    <row r="7250" spans="24:25" x14ac:dyDescent="0.3">
      <c r="X7250" s="1">
        <f t="shared" si="226"/>
        <v>0</v>
      </c>
      <c r="Y7250" s="1">
        <f t="shared" si="227"/>
        <v>0</v>
      </c>
    </row>
    <row r="7251" spans="24:25" x14ac:dyDescent="0.3">
      <c r="X7251" s="1">
        <f t="shared" si="226"/>
        <v>0</v>
      </c>
      <c r="Y7251" s="1">
        <f t="shared" si="227"/>
        <v>0</v>
      </c>
    </row>
    <row r="7252" spans="24:25" x14ac:dyDescent="0.3">
      <c r="X7252" s="1">
        <f t="shared" si="226"/>
        <v>0</v>
      </c>
      <c r="Y7252" s="1">
        <f t="shared" si="227"/>
        <v>0</v>
      </c>
    </row>
    <row r="7253" spans="24:25" x14ac:dyDescent="0.3">
      <c r="X7253" s="1">
        <f t="shared" si="226"/>
        <v>0</v>
      </c>
      <c r="Y7253" s="1">
        <f t="shared" si="227"/>
        <v>0</v>
      </c>
    </row>
    <row r="7254" spans="24:25" x14ac:dyDescent="0.3">
      <c r="X7254" s="1">
        <f t="shared" si="226"/>
        <v>0</v>
      </c>
      <c r="Y7254" s="1">
        <f t="shared" si="227"/>
        <v>0</v>
      </c>
    </row>
    <row r="7255" spans="24:25" x14ac:dyDescent="0.3">
      <c r="X7255" s="1">
        <f t="shared" si="226"/>
        <v>0</v>
      </c>
      <c r="Y7255" s="1">
        <f t="shared" si="227"/>
        <v>0</v>
      </c>
    </row>
    <row r="7256" spans="24:25" x14ac:dyDescent="0.3">
      <c r="X7256" s="1">
        <f t="shared" si="226"/>
        <v>0</v>
      </c>
      <c r="Y7256" s="1">
        <f t="shared" si="227"/>
        <v>0</v>
      </c>
    </row>
    <row r="7257" spans="24:25" x14ac:dyDescent="0.3">
      <c r="X7257" s="1">
        <f t="shared" si="226"/>
        <v>0</v>
      </c>
      <c r="Y7257" s="1">
        <f t="shared" si="227"/>
        <v>0</v>
      </c>
    </row>
    <row r="7258" spans="24:25" x14ac:dyDescent="0.3">
      <c r="X7258" s="1">
        <f t="shared" si="226"/>
        <v>0</v>
      </c>
      <c r="Y7258" s="1">
        <f t="shared" si="227"/>
        <v>0</v>
      </c>
    </row>
    <row r="7259" spans="24:25" x14ac:dyDescent="0.3">
      <c r="X7259" s="1">
        <f t="shared" si="226"/>
        <v>0</v>
      </c>
      <c r="Y7259" s="1">
        <f t="shared" si="227"/>
        <v>0</v>
      </c>
    </row>
    <row r="7260" spans="24:25" x14ac:dyDescent="0.3">
      <c r="X7260" s="1">
        <f t="shared" si="226"/>
        <v>0</v>
      </c>
      <c r="Y7260" s="1">
        <f t="shared" si="227"/>
        <v>0</v>
      </c>
    </row>
    <row r="7261" spans="24:25" x14ac:dyDescent="0.3">
      <c r="X7261" s="1">
        <f t="shared" si="226"/>
        <v>0</v>
      </c>
      <c r="Y7261" s="1">
        <f t="shared" si="227"/>
        <v>0</v>
      </c>
    </row>
    <row r="7262" spans="24:25" x14ac:dyDescent="0.3">
      <c r="X7262" s="1">
        <f t="shared" si="226"/>
        <v>0</v>
      </c>
      <c r="Y7262" s="1">
        <f t="shared" si="227"/>
        <v>0</v>
      </c>
    </row>
    <row r="7263" spans="24:25" x14ac:dyDescent="0.3">
      <c r="X7263" s="1">
        <f t="shared" si="226"/>
        <v>0</v>
      </c>
      <c r="Y7263" s="1">
        <f t="shared" si="227"/>
        <v>0</v>
      </c>
    </row>
    <row r="7264" spans="24:25" x14ac:dyDescent="0.3">
      <c r="X7264" s="1">
        <f t="shared" si="226"/>
        <v>0</v>
      </c>
      <c r="Y7264" s="1">
        <f t="shared" si="227"/>
        <v>0</v>
      </c>
    </row>
    <row r="7265" spans="24:25" x14ac:dyDescent="0.3">
      <c r="X7265" s="1">
        <f t="shared" si="226"/>
        <v>0</v>
      </c>
      <c r="Y7265" s="1">
        <f t="shared" si="227"/>
        <v>0</v>
      </c>
    </row>
    <row r="7266" spans="24:25" x14ac:dyDescent="0.3">
      <c r="X7266" s="1">
        <f t="shared" si="226"/>
        <v>0</v>
      </c>
      <c r="Y7266" s="1">
        <f t="shared" si="227"/>
        <v>0</v>
      </c>
    </row>
    <row r="7267" spans="24:25" x14ac:dyDescent="0.3">
      <c r="X7267" s="1">
        <f t="shared" si="226"/>
        <v>0</v>
      </c>
      <c r="Y7267" s="1">
        <f t="shared" si="227"/>
        <v>0</v>
      </c>
    </row>
    <row r="7268" spans="24:25" x14ac:dyDescent="0.3">
      <c r="X7268" s="1">
        <f t="shared" si="226"/>
        <v>0</v>
      </c>
      <c r="Y7268" s="1">
        <f t="shared" si="227"/>
        <v>0</v>
      </c>
    </row>
    <row r="7269" spans="24:25" x14ac:dyDescent="0.3">
      <c r="X7269" s="1">
        <f t="shared" si="226"/>
        <v>0</v>
      </c>
      <c r="Y7269" s="1">
        <f t="shared" si="227"/>
        <v>0</v>
      </c>
    </row>
    <row r="7270" spans="24:25" x14ac:dyDescent="0.3">
      <c r="X7270" s="1">
        <f t="shared" si="226"/>
        <v>0</v>
      </c>
      <c r="Y7270" s="1">
        <f t="shared" si="227"/>
        <v>0</v>
      </c>
    </row>
    <row r="7271" spans="24:25" x14ac:dyDescent="0.3">
      <c r="X7271" s="1">
        <f t="shared" si="226"/>
        <v>0</v>
      </c>
      <c r="Y7271" s="1">
        <f t="shared" si="227"/>
        <v>0</v>
      </c>
    </row>
    <row r="7272" spans="24:25" x14ac:dyDescent="0.3">
      <c r="X7272" s="1">
        <f t="shared" si="226"/>
        <v>0</v>
      </c>
      <c r="Y7272" s="1">
        <f t="shared" si="227"/>
        <v>0</v>
      </c>
    </row>
    <row r="7273" spans="24:25" x14ac:dyDescent="0.3">
      <c r="X7273" s="1">
        <f t="shared" si="226"/>
        <v>0</v>
      </c>
      <c r="Y7273" s="1">
        <f t="shared" si="227"/>
        <v>0</v>
      </c>
    </row>
    <row r="7274" spans="24:25" x14ac:dyDescent="0.3">
      <c r="X7274" s="1">
        <f t="shared" si="226"/>
        <v>0</v>
      </c>
      <c r="Y7274" s="1">
        <f t="shared" si="227"/>
        <v>0</v>
      </c>
    </row>
    <row r="7275" spans="24:25" x14ac:dyDescent="0.3">
      <c r="X7275" s="1">
        <f t="shared" si="226"/>
        <v>0</v>
      </c>
      <c r="Y7275" s="1">
        <f t="shared" si="227"/>
        <v>0</v>
      </c>
    </row>
    <row r="7276" spans="24:25" x14ac:dyDescent="0.3">
      <c r="X7276" s="1">
        <f t="shared" si="226"/>
        <v>0</v>
      </c>
      <c r="Y7276" s="1">
        <f t="shared" si="227"/>
        <v>0</v>
      </c>
    </row>
    <row r="7277" spans="24:25" x14ac:dyDescent="0.3">
      <c r="X7277" s="1">
        <f t="shared" si="226"/>
        <v>0</v>
      </c>
      <c r="Y7277" s="1">
        <f t="shared" si="227"/>
        <v>0</v>
      </c>
    </row>
    <row r="7278" spans="24:25" x14ac:dyDescent="0.3">
      <c r="X7278" s="1">
        <f t="shared" si="226"/>
        <v>0</v>
      </c>
      <c r="Y7278" s="1">
        <f t="shared" si="227"/>
        <v>0</v>
      </c>
    </row>
    <row r="7279" spans="24:25" x14ac:dyDescent="0.3">
      <c r="X7279" s="1">
        <f t="shared" si="226"/>
        <v>0</v>
      </c>
      <c r="Y7279" s="1">
        <f t="shared" si="227"/>
        <v>0</v>
      </c>
    </row>
    <row r="7280" spans="24:25" x14ac:dyDescent="0.3">
      <c r="X7280" s="1">
        <f t="shared" si="226"/>
        <v>0</v>
      </c>
      <c r="Y7280" s="1">
        <f t="shared" si="227"/>
        <v>0</v>
      </c>
    </row>
    <row r="7281" spans="24:25" x14ac:dyDescent="0.3">
      <c r="X7281" s="1">
        <f t="shared" si="226"/>
        <v>0</v>
      </c>
      <c r="Y7281" s="1">
        <f t="shared" si="227"/>
        <v>0</v>
      </c>
    </row>
    <row r="7282" spans="24:25" x14ac:dyDescent="0.3">
      <c r="X7282" s="1">
        <f t="shared" si="226"/>
        <v>0</v>
      </c>
      <c r="Y7282" s="1">
        <f t="shared" si="227"/>
        <v>0</v>
      </c>
    </row>
    <row r="7283" spans="24:25" x14ac:dyDescent="0.3">
      <c r="X7283" s="1">
        <f t="shared" si="226"/>
        <v>0</v>
      </c>
      <c r="Y7283" s="1">
        <f t="shared" si="227"/>
        <v>0</v>
      </c>
    </row>
    <row r="7284" spans="24:25" x14ac:dyDescent="0.3">
      <c r="X7284" s="1">
        <f t="shared" si="226"/>
        <v>0</v>
      </c>
      <c r="Y7284" s="1">
        <f t="shared" si="227"/>
        <v>0</v>
      </c>
    </row>
    <row r="7285" spans="24:25" x14ac:dyDescent="0.3">
      <c r="X7285" s="1">
        <f t="shared" si="226"/>
        <v>0</v>
      </c>
      <c r="Y7285" s="1">
        <f t="shared" si="227"/>
        <v>0</v>
      </c>
    </row>
    <row r="7286" spans="24:25" x14ac:dyDescent="0.3">
      <c r="X7286" s="1">
        <f t="shared" si="226"/>
        <v>0</v>
      </c>
      <c r="Y7286" s="1">
        <f t="shared" si="227"/>
        <v>0</v>
      </c>
    </row>
    <row r="7287" spans="24:25" x14ac:dyDescent="0.3">
      <c r="X7287" s="1">
        <f t="shared" si="226"/>
        <v>0</v>
      </c>
      <c r="Y7287" s="1">
        <f t="shared" si="227"/>
        <v>0</v>
      </c>
    </row>
    <row r="7288" spans="24:25" x14ac:dyDescent="0.3">
      <c r="X7288" s="1">
        <f t="shared" si="226"/>
        <v>0</v>
      </c>
      <c r="Y7288" s="1">
        <f t="shared" si="227"/>
        <v>0</v>
      </c>
    </row>
    <row r="7289" spans="24:25" x14ac:dyDescent="0.3">
      <c r="X7289" s="1">
        <f t="shared" si="226"/>
        <v>0</v>
      </c>
      <c r="Y7289" s="1">
        <f t="shared" si="227"/>
        <v>0</v>
      </c>
    </row>
    <row r="7290" spans="24:25" x14ac:dyDescent="0.3">
      <c r="X7290" s="1">
        <f t="shared" si="226"/>
        <v>0</v>
      </c>
      <c r="Y7290" s="1">
        <f t="shared" si="227"/>
        <v>0</v>
      </c>
    </row>
    <row r="7291" spans="24:25" x14ac:dyDescent="0.3">
      <c r="X7291" s="1">
        <f t="shared" si="226"/>
        <v>0</v>
      </c>
      <c r="Y7291" s="1">
        <f t="shared" si="227"/>
        <v>0</v>
      </c>
    </row>
    <row r="7292" spans="24:25" x14ac:dyDescent="0.3">
      <c r="X7292" s="1">
        <f t="shared" si="226"/>
        <v>0</v>
      </c>
      <c r="Y7292" s="1">
        <f t="shared" si="227"/>
        <v>0</v>
      </c>
    </row>
    <row r="7293" spans="24:25" x14ac:dyDescent="0.3">
      <c r="X7293" s="1">
        <f t="shared" si="226"/>
        <v>0</v>
      </c>
      <c r="Y7293" s="1">
        <f t="shared" si="227"/>
        <v>0</v>
      </c>
    </row>
    <row r="7294" spans="24:25" x14ac:dyDescent="0.3">
      <c r="X7294" s="1">
        <f t="shared" si="226"/>
        <v>0</v>
      </c>
      <c r="Y7294" s="1">
        <f t="shared" si="227"/>
        <v>0</v>
      </c>
    </row>
    <row r="7295" spans="24:25" x14ac:dyDescent="0.3">
      <c r="X7295" s="1">
        <f t="shared" si="226"/>
        <v>0</v>
      </c>
      <c r="Y7295" s="1">
        <f t="shared" si="227"/>
        <v>0</v>
      </c>
    </row>
    <row r="7296" spans="24:25" x14ac:dyDescent="0.3">
      <c r="X7296" s="1">
        <f t="shared" si="226"/>
        <v>0</v>
      </c>
      <c r="Y7296" s="1">
        <f t="shared" si="227"/>
        <v>0</v>
      </c>
    </row>
    <row r="7297" spans="24:25" x14ac:dyDescent="0.3">
      <c r="X7297" s="1">
        <f t="shared" si="226"/>
        <v>0</v>
      </c>
      <c r="Y7297" s="1">
        <f t="shared" si="227"/>
        <v>0</v>
      </c>
    </row>
    <row r="7298" spans="24:25" x14ac:dyDescent="0.3">
      <c r="X7298" s="1">
        <f t="shared" si="226"/>
        <v>0</v>
      </c>
      <c r="Y7298" s="1">
        <f t="shared" si="227"/>
        <v>0</v>
      </c>
    </row>
    <row r="7299" spans="24:25" x14ac:dyDescent="0.3">
      <c r="X7299" s="1">
        <f t="shared" ref="X7299:X7362" si="228">IFERROR(MATCH(W7299,$B:$B,0),0)</f>
        <v>0</v>
      </c>
      <c r="Y7299" s="1">
        <f t="shared" ref="Y7299:Y7362" si="229">IF(X7300=0,COUNTA(A:A),X7300-1)</f>
        <v>0</v>
      </c>
    </row>
    <row r="7300" spans="24:25" x14ac:dyDescent="0.3">
      <c r="X7300" s="1">
        <f t="shared" si="228"/>
        <v>0</v>
      </c>
      <c r="Y7300" s="1">
        <f t="shared" si="229"/>
        <v>0</v>
      </c>
    </row>
    <row r="7301" spans="24:25" x14ac:dyDescent="0.3">
      <c r="X7301" s="1">
        <f t="shared" si="228"/>
        <v>0</v>
      </c>
      <c r="Y7301" s="1">
        <f t="shared" si="229"/>
        <v>0</v>
      </c>
    </row>
    <row r="7302" spans="24:25" x14ac:dyDescent="0.3">
      <c r="X7302" s="1">
        <f t="shared" si="228"/>
        <v>0</v>
      </c>
      <c r="Y7302" s="1">
        <f t="shared" si="229"/>
        <v>0</v>
      </c>
    </row>
    <row r="7303" spans="24:25" x14ac:dyDescent="0.3">
      <c r="X7303" s="1">
        <f t="shared" si="228"/>
        <v>0</v>
      </c>
      <c r="Y7303" s="1">
        <f t="shared" si="229"/>
        <v>0</v>
      </c>
    </row>
    <row r="7304" spans="24:25" x14ac:dyDescent="0.3">
      <c r="X7304" s="1">
        <f t="shared" si="228"/>
        <v>0</v>
      </c>
      <c r="Y7304" s="1">
        <f t="shared" si="229"/>
        <v>0</v>
      </c>
    </row>
    <row r="7305" spans="24:25" x14ac:dyDescent="0.3">
      <c r="X7305" s="1">
        <f t="shared" si="228"/>
        <v>0</v>
      </c>
      <c r="Y7305" s="1">
        <f t="shared" si="229"/>
        <v>0</v>
      </c>
    </row>
    <row r="7306" spans="24:25" x14ac:dyDescent="0.3">
      <c r="X7306" s="1">
        <f t="shared" si="228"/>
        <v>0</v>
      </c>
      <c r="Y7306" s="1">
        <f t="shared" si="229"/>
        <v>0</v>
      </c>
    </row>
    <row r="7307" spans="24:25" x14ac:dyDescent="0.3">
      <c r="X7307" s="1">
        <f t="shared" si="228"/>
        <v>0</v>
      </c>
      <c r="Y7307" s="1">
        <f t="shared" si="229"/>
        <v>0</v>
      </c>
    </row>
    <row r="7308" spans="24:25" x14ac:dyDescent="0.3">
      <c r="X7308" s="1">
        <f t="shared" si="228"/>
        <v>0</v>
      </c>
      <c r="Y7308" s="1">
        <f t="shared" si="229"/>
        <v>0</v>
      </c>
    </row>
    <row r="7309" spans="24:25" x14ac:dyDescent="0.3">
      <c r="X7309" s="1">
        <f t="shared" si="228"/>
        <v>0</v>
      </c>
      <c r="Y7309" s="1">
        <f t="shared" si="229"/>
        <v>0</v>
      </c>
    </row>
    <row r="7310" spans="24:25" x14ac:dyDescent="0.3">
      <c r="X7310" s="1">
        <f t="shared" si="228"/>
        <v>0</v>
      </c>
      <c r="Y7310" s="1">
        <f t="shared" si="229"/>
        <v>0</v>
      </c>
    </row>
    <row r="7311" spans="24:25" x14ac:dyDescent="0.3">
      <c r="X7311" s="1">
        <f t="shared" si="228"/>
        <v>0</v>
      </c>
      <c r="Y7311" s="1">
        <f t="shared" si="229"/>
        <v>0</v>
      </c>
    </row>
    <row r="7312" spans="24:25" x14ac:dyDescent="0.3">
      <c r="X7312" s="1">
        <f t="shared" si="228"/>
        <v>0</v>
      </c>
      <c r="Y7312" s="1">
        <f t="shared" si="229"/>
        <v>0</v>
      </c>
    </row>
    <row r="7313" spans="24:25" x14ac:dyDescent="0.3">
      <c r="X7313" s="1">
        <f t="shared" si="228"/>
        <v>0</v>
      </c>
      <c r="Y7313" s="1">
        <f t="shared" si="229"/>
        <v>0</v>
      </c>
    </row>
    <row r="7314" spans="24:25" x14ac:dyDescent="0.3">
      <c r="X7314" s="1">
        <f t="shared" si="228"/>
        <v>0</v>
      </c>
      <c r="Y7314" s="1">
        <f t="shared" si="229"/>
        <v>0</v>
      </c>
    </row>
    <row r="7315" spans="24:25" x14ac:dyDescent="0.3">
      <c r="X7315" s="1">
        <f t="shared" si="228"/>
        <v>0</v>
      </c>
      <c r="Y7315" s="1">
        <f t="shared" si="229"/>
        <v>0</v>
      </c>
    </row>
    <row r="7316" spans="24:25" x14ac:dyDescent="0.3">
      <c r="X7316" s="1">
        <f t="shared" si="228"/>
        <v>0</v>
      </c>
      <c r="Y7316" s="1">
        <f t="shared" si="229"/>
        <v>0</v>
      </c>
    </row>
    <row r="7317" spans="24:25" x14ac:dyDescent="0.3">
      <c r="X7317" s="1">
        <f t="shared" si="228"/>
        <v>0</v>
      </c>
      <c r="Y7317" s="1">
        <f t="shared" si="229"/>
        <v>0</v>
      </c>
    </row>
    <row r="7318" spans="24:25" x14ac:dyDescent="0.3">
      <c r="X7318" s="1">
        <f t="shared" si="228"/>
        <v>0</v>
      </c>
      <c r="Y7318" s="1">
        <f t="shared" si="229"/>
        <v>0</v>
      </c>
    </row>
    <row r="7319" spans="24:25" x14ac:dyDescent="0.3">
      <c r="X7319" s="1">
        <f t="shared" si="228"/>
        <v>0</v>
      </c>
      <c r="Y7319" s="1">
        <f t="shared" si="229"/>
        <v>0</v>
      </c>
    </row>
    <row r="7320" spans="24:25" x14ac:dyDescent="0.3">
      <c r="X7320" s="1">
        <f t="shared" si="228"/>
        <v>0</v>
      </c>
      <c r="Y7320" s="1">
        <f t="shared" si="229"/>
        <v>0</v>
      </c>
    </row>
    <row r="7321" spans="24:25" x14ac:dyDescent="0.3">
      <c r="X7321" s="1">
        <f t="shared" si="228"/>
        <v>0</v>
      </c>
      <c r="Y7321" s="1">
        <f t="shared" si="229"/>
        <v>0</v>
      </c>
    </row>
    <row r="7322" spans="24:25" x14ac:dyDescent="0.3">
      <c r="X7322" s="1">
        <f t="shared" si="228"/>
        <v>0</v>
      </c>
      <c r="Y7322" s="1">
        <f t="shared" si="229"/>
        <v>0</v>
      </c>
    </row>
    <row r="7323" spans="24:25" x14ac:dyDescent="0.3">
      <c r="X7323" s="1">
        <f t="shared" si="228"/>
        <v>0</v>
      </c>
      <c r="Y7323" s="1">
        <f t="shared" si="229"/>
        <v>0</v>
      </c>
    </row>
    <row r="7324" spans="24:25" x14ac:dyDescent="0.3">
      <c r="X7324" s="1">
        <f t="shared" si="228"/>
        <v>0</v>
      </c>
      <c r="Y7324" s="1">
        <f t="shared" si="229"/>
        <v>0</v>
      </c>
    </row>
    <row r="7325" spans="24:25" x14ac:dyDescent="0.3">
      <c r="X7325" s="1">
        <f t="shared" si="228"/>
        <v>0</v>
      </c>
      <c r="Y7325" s="1">
        <f t="shared" si="229"/>
        <v>0</v>
      </c>
    </row>
    <row r="7326" spans="24:25" x14ac:dyDescent="0.3">
      <c r="X7326" s="1">
        <f t="shared" si="228"/>
        <v>0</v>
      </c>
      <c r="Y7326" s="1">
        <f t="shared" si="229"/>
        <v>0</v>
      </c>
    </row>
    <row r="7327" spans="24:25" x14ac:dyDescent="0.3">
      <c r="X7327" s="1">
        <f t="shared" si="228"/>
        <v>0</v>
      </c>
      <c r="Y7327" s="1">
        <f t="shared" si="229"/>
        <v>0</v>
      </c>
    </row>
    <row r="7328" spans="24:25" x14ac:dyDescent="0.3">
      <c r="X7328" s="1">
        <f t="shared" si="228"/>
        <v>0</v>
      </c>
      <c r="Y7328" s="1">
        <f t="shared" si="229"/>
        <v>0</v>
      </c>
    </row>
    <row r="7329" spans="24:25" x14ac:dyDescent="0.3">
      <c r="X7329" s="1">
        <f t="shared" si="228"/>
        <v>0</v>
      </c>
      <c r="Y7329" s="1">
        <f t="shared" si="229"/>
        <v>0</v>
      </c>
    </row>
    <row r="7330" spans="24:25" x14ac:dyDescent="0.3">
      <c r="X7330" s="1">
        <f t="shared" si="228"/>
        <v>0</v>
      </c>
      <c r="Y7330" s="1">
        <f t="shared" si="229"/>
        <v>0</v>
      </c>
    </row>
    <row r="7331" spans="24:25" x14ac:dyDescent="0.3">
      <c r="X7331" s="1">
        <f t="shared" si="228"/>
        <v>0</v>
      </c>
      <c r="Y7331" s="1">
        <f t="shared" si="229"/>
        <v>0</v>
      </c>
    </row>
    <row r="7332" spans="24:25" x14ac:dyDescent="0.3">
      <c r="X7332" s="1">
        <f t="shared" si="228"/>
        <v>0</v>
      </c>
      <c r="Y7332" s="1">
        <f t="shared" si="229"/>
        <v>0</v>
      </c>
    </row>
    <row r="7333" spans="24:25" x14ac:dyDescent="0.3">
      <c r="X7333" s="1">
        <f t="shared" si="228"/>
        <v>0</v>
      </c>
      <c r="Y7333" s="1">
        <f t="shared" si="229"/>
        <v>0</v>
      </c>
    </row>
    <row r="7334" spans="24:25" x14ac:dyDescent="0.3">
      <c r="X7334" s="1">
        <f t="shared" si="228"/>
        <v>0</v>
      </c>
      <c r="Y7334" s="1">
        <f t="shared" si="229"/>
        <v>0</v>
      </c>
    </row>
    <row r="7335" spans="24:25" x14ac:dyDescent="0.3">
      <c r="X7335" s="1">
        <f t="shared" si="228"/>
        <v>0</v>
      </c>
      <c r="Y7335" s="1">
        <f t="shared" si="229"/>
        <v>0</v>
      </c>
    </row>
    <row r="7336" spans="24:25" x14ac:dyDescent="0.3">
      <c r="X7336" s="1">
        <f t="shared" si="228"/>
        <v>0</v>
      </c>
      <c r="Y7336" s="1">
        <f t="shared" si="229"/>
        <v>0</v>
      </c>
    </row>
    <row r="7337" spans="24:25" x14ac:dyDescent="0.3">
      <c r="X7337" s="1">
        <f t="shared" si="228"/>
        <v>0</v>
      </c>
      <c r="Y7337" s="1">
        <f t="shared" si="229"/>
        <v>0</v>
      </c>
    </row>
    <row r="7338" spans="24:25" x14ac:dyDescent="0.3">
      <c r="X7338" s="1">
        <f t="shared" si="228"/>
        <v>0</v>
      </c>
      <c r="Y7338" s="1">
        <f t="shared" si="229"/>
        <v>0</v>
      </c>
    </row>
    <row r="7339" spans="24:25" x14ac:dyDescent="0.3">
      <c r="X7339" s="1">
        <f t="shared" si="228"/>
        <v>0</v>
      </c>
      <c r="Y7339" s="1">
        <f t="shared" si="229"/>
        <v>0</v>
      </c>
    </row>
    <row r="7340" spans="24:25" x14ac:dyDescent="0.3">
      <c r="X7340" s="1">
        <f t="shared" si="228"/>
        <v>0</v>
      </c>
      <c r="Y7340" s="1">
        <f t="shared" si="229"/>
        <v>0</v>
      </c>
    </row>
    <row r="7341" spans="24:25" x14ac:dyDescent="0.3">
      <c r="X7341" s="1">
        <f t="shared" si="228"/>
        <v>0</v>
      </c>
      <c r="Y7341" s="1">
        <f t="shared" si="229"/>
        <v>0</v>
      </c>
    </row>
    <row r="7342" spans="24:25" x14ac:dyDescent="0.3">
      <c r="X7342" s="1">
        <f t="shared" si="228"/>
        <v>0</v>
      </c>
      <c r="Y7342" s="1">
        <f t="shared" si="229"/>
        <v>0</v>
      </c>
    </row>
    <row r="7343" spans="24:25" x14ac:dyDescent="0.3">
      <c r="X7343" s="1">
        <f t="shared" si="228"/>
        <v>0</v>
      </c>
      <c r="Y7343" s="1">
        <f t="shared" si="229"/>
        <v>0</v>
      </c>
    </row>
    <row r="7344" spans="24:25" x14ac:dyDescent="0.3">
      <c r="X7344" s="1">
        <f t="shared" si="228"/>
        <v>0</v>
      </c>
      <c r="Y7344" s="1">
        <f t="shared" si="229"/>
        <v>0</v>
      </c>
    </row>
    <row r="7345" spans="24:25" x14ac:dyDescent="0.3">
      <c r="X7345" s="1">
        <f t="shared" si="228"/>
        <v>0</v>
      </c>
      <c r="Y7345" s="1">
        <f t="shared" si="229"/>
        <v>0</v>
      </c>
    </row>
    <row r="7346" spans="24:25" x14ac:dyDescent="0.3">
      <c r="X7346" s="1">
        <f t="shared" si="228"/>
        <v>0</v>
      </c>
      <c r="Y7346" s="1">
        <f t="shared" si="229"/>
        <v>0</v>
      </c>
    </row>
    <row r="7347" spans="24:25" x14ac:dyDescent="0.3">
      <c r="X7347" s="1">
        <f t="shared" si="228"/>
        <v>0</v>
      </c>
      <c r="Y7347" s="1">
        <f t="shared" si="229"/>
        <v>0</v>
      </c>
    </row>
    <row r="7348" spans="24:25" x14ac:dyDescent="0.3">
      <c r="X7348" s="1">
        <f t="shared" si="228"/>
        <v>0</v>
      </c>
      <c r="Y7348" s="1">
        <f t="shared" si="229"/>
        <v>0</v>
      </c>
    </row>
    <row r="7349" spans="24:25" x14ac:dyDescent="0.3">
      <c r="X7349" s="1">
        <f t="shared" si="228"/>
        <v>0</v>
      </c>
      <c r="Y7349" s="1">
        <f t="shared" si="229"/>
        <v>0</v>
      </c>
    </row>
    <row r="7350" spans="24:25" x14ac:dyDescent="0.3">
      <c r="X7350" s="1">
        <f t="shared" si="228"/>
        <v>0</v>
      </c>
      <c r="Y7350" s="1">
        <f t="shared" si="229"/>
        <v>0</v>
      </c>
    </row>
    <row r="7351" spans="24:25" x14ac:dyDescent="0.3">
      <c r="X7351" s="1">
        <f t="shared" si="228"/>
        <v>0</v>
      </c>
      <c r="Y7351" s="1">
        <f t="shared" si="229"/>
        <v>0</v>
      </c>
    </row>
    <row r="7352" spans="24:25" x14ac:dyDescent="0.3">
      <c r="X7352" s="1">
        <f t="shared" si="228"/>
        <v>0</v>
      </c>
      <c r="Y7352" s="1">
        <f t="shared" si="229"/>
        <v>0</v>
      </c>
    </row>
    <row r="7353" spans="24:25" x14ac:dyDescent="0.3">
      <c r="X7353" s="1">
        <f t="shared" si="228"/>
        <v>0</v>
      </c>
      <c r="Y7353" s="1">
        <f t="shared" si="229"/>
        <v>0</v>
      </c>
    </row>
    <row r="7354" spans="24:25" x14ac:dyDescent="0.3">
      <c r="X7354" s="1">
        <f t="shared" si="228"/>
        <v>0</v>
      </c>
      <c r="Y7354" s="1">
        <f t="shared" si="229"/>
        <v>0</v>
      </c>
    </row>
    <row r="7355" spans="24:25" x14ac:dyDescent="0.3">
      <c r="X7355" s="1">
        <f t="shared" si="228"/>
        <v>0</v>
      </c>
      <c r="Y7355" s="1">
        <f t="shared" si="229"/>
        <v>0</v>
      </c>
    </row>
    <row r="7356" spans="24:25" x14ac:dyDescent="0.3">
      <c r="X7356" s="1">
        <f t="shared" si="228"/>
        <v>0</v>
      </c>
      <c r="Y7356" s="1">
        <f t="shared" si="229"/>
        <v>0</v>
      </c>
    </row>
    <row r="7357" spans="24:25" x14ac:dyDescent="0.3">
      <c r="X7357" s="1">
        <f t="shared" si="228"/>
        <v>0</v>
      </c>
      <c r="Y7357" s="1">
        <f t="shared" si="229"/>
        <v>0</v>
      </c>
    </row>
    <row r="7358" spans="24:25" x14ac:dyDescent="0.3">
      <c r="X7358" s="1">
        <f t="shared" si="228"/>
        <v>0</v>
      </c>
      <c r="Y7358" s="1">
        <f t="shared" si="229"/>
        <v>0</v>
      </c>
    </row>
    <row r="7359" spans="24:25" x14ac:dyDescent="0.3">
      <c r="X7359" s="1">
        <f t="shared" si="228"/>
        <v>0</v>
      </c>
      <c r="Y7359" s="1">
        <f t="shared" si="229"/>
        <v>0</v>
      </c>
    </row>
    <row r="7360" spans="24:25" x14ac:dyDescent="0.3">
      <c r="X7360" s="1">
        <f t="shared" si="228"/>
        <v>0</v>
      </c>
      <c r="Y7360" s="1">
        <f t="shared" si="229"/>
        <v>0</v>
      </c>
    </row>
    <row r="7361" spans="24:25" x14ac:dyDescent="0.3">
      <c r="X7361" s="1">
        <f t="shared" si="228"/>
        <v>0</v>
      </c>
      <c r="Y7361" s="1">
        <f t="shared" si="229"/>
        <v>0</v>
      </c>
    </row>
    <row r="7362" spans="24:25" x14ac:dyDescent="0.3">
      <c r="X7362" s="1">
        <f t="shared" si="228"/>
        <v>0</v>
      </c>
      <c r="Y7362" s="1">
        <f t="shared" si="229"/>
        <v>0</v>
      </c>
    </row>
    <row r="7363" spans="24:25" x14ac:dyDescent="0.3">
      <c r="X7363" s="1">
        <f t="shared" ref="X7363:X7426" si="230">IFERROR(MATCH(W7363,$B:$B,0),0)</f>
        <v>0</v>
      </c>
      <c r="Y7363" s="1">
        <f t="shared" ref="Y7363:Y7426" si="231">IF(X7364=0,COUNTA(A:A),X7364-1)</f>
        <v>0</v>
      </c>
    </row>
    <row r="7364" spans="24:25" x14ac:dyDescent="0.3">
      <c r="X7364" s="1">
        <f t="shared" si="230"/>
        <v>0</v>
      </c>
      <c r="Y7364" s="1">
        <f t="shared" si="231"/>
        <v>0</v>
      </c>
    </row>
    <row r="7365" spans="24:25" x14ac:dyDescent="0.3">
      <c r="X7365" s="1">
        <f t="shared" si="230"/>
        <v>0</v>
      </c>
      <c r="Y7365" s="1">
        <f t="shared" si="231"/>
        <v>0</v>
      </c>
    </row>
    <row r="7366" spans="24:25" x14ac:dyDescent="0.3">
      <c r="X7366" s="1">
        <f t="shared" si="230"/>
        <v>0</v>
      </c>
      <c r="Y7366" s="1">
        <f t="shared" si="231"/>
        <v>0</v>
      </c>
    </row>
    <row r="7367" spans="24:25" x14ac:dyDescent="0.3">
      <c r="X7367" s="1">
        <f t="shared" si="230"/>
        <v>0</v>
      </c>
      <c r="Y7367" s="1">
        <f t="shared" si="231"/>
        <v>0</v>
      </c>
    </row>
    <row r="7368" spans="24:25" x14ac:dyDescent="0.3">
      <c r="X7368" s="1">
        <f t="shared" si="230"/>
        <v>0</v>
      </c>
      <c r="Y7368" s="1">
        <f t="shared" si="231"/>
        <v>0</v>
      </c>
    </row>
    <row r="7369" spans="24:25" x14ac:dyDescent="0.3">
      <c r="X7369" s="1">
        <f t="shared" si="230"/>
        <v>0</v>
      </c>
      <c r="Y7369" s="1">
        <f t="shared" si="231"/>
        <v>0</v>
      </c>
    </row>
    <row r="7370" spans="24:25" x14ac:dyDescent="0.3">
      <c r="X7370" s="1">
        <f t="shared" si="230"/>
        <v>0</v>
      </c>
      <c r="Y7370" s="1">
        <f t="shared" si="231"/>
        <v>0</v>
      </c>
    </row>
    <row r="7371" spans="24:25" x14ac:dyDescent="0.3">
      <c r="X7371" s="1">
        <f t="shared" si="230"/>
        <v>0</v>
      </c>
      <c r="Y7371" s="1">
        <f t="shared" si="231"/>
        <v>0</v>
      </c>
    </row>
    <row r="7372" spans="24:25" x14ac:dyDescent="0.3">
      <c r="X7372" s="1">
        <f t="shared" si="230"/>
        <v>0</v>
      </c>
      <c r="Y7372" s="1">
        <f t="shared" si="231"/>
        <v>0</v>
      </c>
    </row>
    <row r="7373" spans="24:25" x14ac:dyDescent="0.3">
      <c r="X7373" s="1">
        <f t="shared" si="230"/>
        <v>0</v>
      </c>
      <c r="Y7373" s="1">
        <f t="shared" si="231"/>
        <v>0</v>
      </c>
    </row>
    <row r="7374" spans="24:25" x14ac:dyDescent="0.3">
      <c r="X7374" s="1">
        <f t="shared" si="230"/>
        <v>0</v>
      </c>
      <c r="Y7374" s="1">
        <f t="shared" si="231"/>
        <v>0</v>
      </c>
    </row>
    <row r="7375" spans="24:25" x14ac:dyDescent="0.3">
      <c r="X7375" s="1">
        <f t="shared" si="230"/>
        <v>0</v>
      </c>
      <c r="Y7375" s="1">
        <f t="shared" si="231"/>
        <v>0</v>
      </c>
    </row>
    <row r="7376" spans="24:25" x14ac:dyDescent="0.3">
      <c r="X7376" s="1">
        <f t="shared" si="230"/>
        <v>0</v>
      </c>
      <c r="Y7376" s="1">
        <f t="shared" si="231"/>
        <v>0</v>
      </c>
    </row>
    <row r="7377" spans="24:25" x14ac:dyDescent="0.3">
      <c r="X7377" s="1">
        <f t="shared" si="230"/>
        <v>0</v>
      </c>
      <c r="Y7377" s="1">
        <f t="shared" si="231"/>
        <v>0</v>
      </c>
    </row>
    <row r="7378" spans="24:25" x14ac:dyDescent="0.3">
      <c r="X7378" s="1">
        <f t="shared" si="230"/>
        <v>0</v>
      </c>
      <c r="Y7378" s="1">
        <f t="shared" si="231"/>
        <v>0</v>
      </c>
    </row>
    <row r="7379" spans="24:25" x14ac:dyDescent="0.3">
      <c r="X7379" s="1">
        <f t="shared" si="230"/>
        <v>0</v>
      </c>
      <c r="Y7379" s="1">
        <f t="shared" si="231"/>
        <v>0</v>
      </c>
    </row>
    <row r="7380" spans="24:25" x14ac:dyDescent="0.3">
      <c r="X7380" s="1">
        <f t="shared" si="230"/>
        <v>0</v>
      </c>
      <c r="Y7380" s="1">
        <f t="shared" si="231"/>
        <v>0</v>
      </c>
    </row>
    <row r="7381" spans="24:25" x14ac:dyDescent="0.3">
      <c r="X7381" s="1">
        <f t="shared" si="230"/>
        <v>0</v>
      </c>
      <c r="Y7381" s="1">
        <f t="shared" si="231"/>
        <v>0</v>
      </c>
    </row>
    <row r="7382" spans="24:25" x14ac:dyDescent="0.3">
      <c r="X7382" s="1">
        <f t="shared" si="230"/>
        <v>0</v>
      </c>
      <c r="Y7382" s="1">
        <f t="shared" si="231"/>
        <v>0</v>
      </c>
    </row>
    <row r="7383" spans="24:25" x14ac:dyDescent="0.3">
      <c r="X7383" s="1">
        <f t="shared" si="230"/>
        <v>0</v>
      </c>
      <c r="Y7383" s="1">
        <f t="shared" si="231"/>
        <v>0</v>
      </c>
    </row>
    <row r="7384" spans="24:25" x14ac:dyDescent="0.3">
      <c r="X7384" s="1">
        <f t="shared" si="230"/>
        <v>0</v>
      </c>
      <c r="Y7384" s="1">
        <f t="shared" si="231"/>
        <v>0</v>
      </c>
    </row>
    <row r="7385" spans="24:25" x14ac:dyDescent="0.3">
      <c r="X7385" s="1">
        <f t="shared" si="230"/>
        <v>0</v>
      </c>
      <c r="Y7385" s="1">
        <f t="shared" si="231"/>
        <v>0</v>
      </c>
    </row>
    <row r="7386" spans="24:25" x14ac:dyDescent="0.3">
      <c r="X7386" s="1">
        <f t="shared" si="230"/>
        <v>0</v>
      </c>
      <c r="Y7386" s="1">
        <f t="shared" si="231"/>
        <v>0</v>
      </c>
    </row>
    <row r="7387" spans="24:25" x14ac:dyDescent="0.3">
      <c r="X7387" s="1">
        <f t="shared" si="230"/>
        <v>0</v>
      </c>
      <c r="Y7387" s="1">
        <f t="shared" si="231"/>
        <v>0</v>
      </c>
    </row>
    <row r="7388" spans="24:25" x14ac:dyDescent="0.3">
      <c r="X7388" s="1">
        <f t="shared" si="230"/>
        <v>0</v>
      </c>
      <c r="Y7388" s="1">
        <f t="shared" si="231"/>
        <v>0</v>
      </c>
    </row>
    <row r="7389" spans="24:25" x14ac:dyDescent="0.3">
      <c r="X7389" s="1">
        <f t="shared" si="230"/>
        <v>0</v>
      </c>
      <c r="Y7389" s="1">
        <f t="shared" si="231"/>
        <v>0</v>
      </c>
    </row>
    <row r="7390" spans="24:25" x14ac:dyDescent="0.3">
      <c r="X7390" s="1">
        <f t="shared" si="230"/>
        <v>0</v>
      </c>
      <c r="Y7390" s="1">
        <f t="shared" si="231"/>
        <v>0</v>
      </c>
    </row>
    <row r="7391" spans="24:25" x14ac:dyDescent="0.3">
      <c r="X7391" s="1">
        <f t="shared" si="230"/>
        <v>0</v>
      </c>
      <c r="Y7391" s="1">
        <f t="shared" si="231"/>
        <v>0</v>
      </c>
    </row>
    <row r="7392" spans="24:25" x14ac:dyDescent="0.3">
      <c r="X7392" s="1">
        <f t="shared" si="230"/>
        <v>0</v>
      </c>
      <c r="Y7392" s="1">
        <f t="shared" si="231"/>
        <v>0</v>
      </c>
    </row>
    <row r="7393" spans="24:25" x14ac:dyDescent="0.3">
      <c r="X7393" s="1">
        <f t="shared" si="230"/>
        <v>0</v>
      </c>
      <c r="Y7393" s="1">
        <f t="shared" si="231"/>
        <v>0</v>
      </c>
    </row>
    <row r="7394" spans="24:25" x14ac:dyDescent="0.3">
      <c r="X7394" s="1">
        <f t="shared" si="230"/>
        <v>0</v>
      </c>
      <c r="Y7394" s="1">
        <f t="shared" si="231"/>
        <v>0</v>
      </c>
    </row>
    <row r="7395" spans="24:25" x14ac:dyDescent="0.3">
      <c r="X7395" s="1">
        <f t="shared" si="230"/>
        <v>0</v>
      </c>
      <c r="Y7395" s="1">
        <f t="shared" si="231"/>
        <v>0</v>
      </c>
    </row>
    <row r="7396" spans="24:25" x14ac:dyDescent="0.3">
      <c r="X7396" s="1">
        <f t="shared" si="230"/>
        <v>0</v>
      </c>
      <c r="Y7396" s="1">
        <f t="shared" si="231"/>
        <v>0</v>
      </c>
    </row>
    <row r="7397" spans="24:25" x14ac:dyDescent="0.3">
      <c r="X7397" s="1">
        <f t="shared" si="230"/>
        <v>0</v>
      </c>
      <c r="Y7397" s="1">
        <f t="shared" si="231"/>
        <v>0</v>
      </c>
    </row>
    <row r="7398" spans="24:25" x14ac:dyDescent="0.3">
      <c r="X7398" s="1">
        <f t="shared" si="230"/>
        <v>0</v>
      </c>
      <c r="Y7398" s="1">
        <f t="shared" si="231"/>
        <v>0</v>
      </c>
    </row>
    <row r="7399" spans="24:25" x14ac:dyDescent="0.3">
      <c r="X7399" s="1">
        <f t="shared" si="230"/>
        <v>0</v>
      </c>
      <c r="Y7399" s="1">
        <f t="shared" si="231"/>
        <v>0</v>
      </c>
    </row>
    <row r="7400" spans="24:25" x14ac:dyDescent="0.3">
      <c r="X7400" s="1">
        <f t="shared" si="230"/>
        <v>0</v>
      </c>
      <c r="Y7400" s="1">
        <f t="shared" si="231"/>
        <v>0</v>
      </c>
    </row>
    <row r="7401" spans="24:25" x14ac:dyDescent="0.3">
      <c r="X7401" s="1">
        <f t="shared" si="230"/>
        <v>0</v>
      </c>
      <c r="Y7401" s="1">
        <f t="shared" si="231"/>
        <v>0</v>
      </c>
    </row>
    <row r="7402" spans="24:25" x14ac:dyDescent="0.3">
      <c r="X7402" s="1">
        <f t="shared" si="230"/>
        <v>0</v>
      </c>
      <c r="Y7402" s="1">
        <f t="shared" si="231"/>
        <v>0</v>
      </c>
    </row>
    <row r="7403" spans="24:25" x14ac:dyDescent="0.3">
      <c r="X7403" s="1">
        <f t="shared" si="230"/>
        <v>0</v>
      </c>
      <c r="Y7403" s="1">
        <f t="shared" si="231"/>
        <v>0</v>
      </c>
    </row>
    <row r="7404" spans="24:25" x14ac:dyDescent="0.3">
      <c r="X7404" s="1">
        <f t="shared" si="230"/>
        <v>0</v>
      </c>
      <c r="Y7404" s="1">
        <f t="shared" si="231"/>
        <v>0</v>
      </c>
    </row>
    <row r="7405" spans="24:25" x14ac:dyDescent="0.3">
      <c r="X7405" s="1">
        <f t="shared" si="230"/>
        <v>0</v>
      </c>
      <c r="Y7405" s="1">
        <f t="shared" si="231"/>
        <v>0</v>
      </c>
    </row>
    <row r="7406" spans="24:25" x14ac:dyDescent="0.3">
      <c r="X7406" s="1">
        <f t="shared" si="230"/>
        <v>0</v>
      </c>
      <c r="Y7406" s="1">
        <f t="shared" si="231"/>
        <v>0</v>
      </c>
    </row>
    <row r="7407" spans="24:25" x14ac:dyDescent="0.3">
      <c r="X7407" s="1">
        <f t="shared" si="230"/>
        <v>0</v>
      </c>
      <c r="Y7407" s="1">
        <f t="shared" si="231"/>
        <v>0</v>
      </c>
    </row>
    <row r="7408" spans="24:25" x14ac:dyDescent="0.3">
      <c r="X7408" s="1">
        <f t="shared" si="230"/>
        <v>0</v>
      </c>
      <c r="Y7408" s="1">
        <f t="shared" si="231"/>
        <v>0</v>
      </c>
    </row>
    <row r="7409" spans="24:25" x14ac:dyDescent="0.3">
      <c r="X7409" s="1">
        <f t="shared" si="230"/>
        <v>0</v>
      </c>
      <c r="Y7409" s="1">
        <f t="shared" si="231"/>
        <v>0</v>
      </c>
    </row>
    <row r="7410" spans="24:25" x14ac:dyDescent="0.3">
      <c r="X7410" s="1">
        <f t="shared" si="230"/>
        <v>0</v>
      </c>
      <c r="Y7410" s="1">
        <f t="shared" si="231"/>
        <v>0</v>
      </c>
    </row>
    <row r="7411" spans="24:25" x14ac:dyDescent="0.3">
      <c r="X7411" s="1">
        <f t="shared" si="230"/>
        <v>0</v>
      </c>
      <c r="Y7411" s="1">
        <f t="shared" si="231"/>
        <v>0</v>
      </c>
    </row>
    <row r="7412" spans="24:25" x14ac:dyDescent="0.3">
      <c r="X7412" s="1">
        <f t="shared" si="230"/>
        <v>0</v>
      </c>
      <c r="Y7412" s="1">
        <f t="shared" si="231"/>
        <v>0</v>
      </c>
    </row>
    <row r="7413" spans="24:25" x14ac:dyDescent="0.3">
      <c r="X7413" s="1">
        <f t="shared" si="230"/>
        <v>0</v>
      </c>
      <c r="Y7413" s="1">
        <f t="shared" si="231"/>
        <v>0</v>
      </c>
    </row>
    <row r="7414" spans="24:25" x14ac:dyDescent="0.3">
      <c r="X7414" s="1">
        <f t="shared" si="230"/>
        <v>0</v>
      </c>
      <c r="Y7414" s="1">
        <f t="shared" si="231"/>
        <v>0</v>
      </c>
    </row>
    <row r="7415" spans="24:25" x14ac:dyDescent="0.3">
      <c r="X7415" s="1">
        <f t="shared" si="230"/>
        <v>0</v>
      </c>
      <c r="Y7415" s="1">
        <f t="shared" si="231"/>
        <v>0</v>
      </c>
    </row>
    <row r="7416" spans="24:25" x14ac:dyDescent="0.3">
      <c r="X7416" s="1">
        <f t="shared" si="230"/>
        <v>0</v>
      </c>
      <c r="Y7416" s="1">
        <f t="shared" si="231"/>
        <v>0</v>
      </c>
    </row>
    <row r="7417" spans="24:25" x14ac:dyDescent="0.3">
      <c r="X7417" s="1">
        <f t="shared" si="230"/>
        <v>0</v>
      </c>
      <c r="Y7417" s="1">
        <f t="shared" si="231"/>
        <v>0</v>
      </c>
    </row>
    <row r="7418" spans="24:25" x14ac:dyDescent="0.3">
      <c r="X7418" s="1">
        <f t="shared" si="230"/>
        <v>0</v>
      </c>
      <c r="Y7418" s="1">
        <f t="shared" si="231"/>
        <v>0</v>
      </c>
    </row>
    <row r="7419" spans="24:25" x14ac:dyDescent="0.3">
      <c r="X7419" s="1">
        <f t="shared" si="230"/>
        <v>0</v>
      </c>
      <c r="Y7419" s="1">
        <f t="shared" si="231"/>
        <v>0</v>
      </c>
    </row>
    <row r="7420" spans="24:25" x14ac:dyDescent="0.3">
      <c r="X7420" s="1">
        <f t="shared" si="230"/>
        <v>0</v>
      </c>
      <c r="Y7420" s="1">
        <f t="shared" si="231"/>
        <v>0</v>
      </c>
    </row>
    <row r="7421" spans="24:25" x14ac:dyDescent="0.3">
      <c r="X7421" s="1">
        <f t="shared" si="230"/>
        <v>0</v>
      </c>
      <c r="Y7421" s="1">
        <f t="shared" si="231"/>
        <v>0</v>
      </c>
    </row>
    <row r="7422" spans="24:25" x14ac:dyDescent="0.3">
      <c r="X7422" s="1">
        <f t="shared" si="230"/>
        <v>0</v>
      </c>
      <c r="Y7422" s="1">
        <f t="shared" si="231"/>
        <v>0</v>
      </c>
    </row>
    <row r="7423" spans="24:25" x14ac:dyDescent="0.3">
      <c r="X7423" s="1">
        <f t="shared" si="230"/>
        <v>0</v>
      </c>
      <c r="Y7423" s="1">
        <f t="shared" si="231"/>
        <v>0</v>
      </c>
    </row>
    <row r="7424" spans="24:25" x14ac:dyDescent="0.3">
      <c r="X7424" s="1">
        <f t="shared" si="230"/>
        <v>0</v>
      </c>
      <c r="Y7424" s="1">
        <f t="shared" si="231"/>
        <v>0</v>
      </c>
    </row>
    <row r="7425" spans="24:25" x14ac:dyDescent="0.3">
      <c r="X7425" s="1">
        <f t="shared" si="230"/>
        <v>0</v>
      </c>
      <c r="Y7425" s="1">
        <f t="shared" si="231"/>
        <v>0</v>
      </c>
    </row>
    <row r="7426" spans="24:25" x14ac:dyDescent="0.3">
      <c r="X7426" s="1">
        <f t="shared" si="230"/>
        <v>0</v>
      </c>
      <c r="Y7426" s="1">
        <f t="shared" si="231"/>
        <v>0</v>
      </c>
    </row>
    <row r="7427" spans="24:25" x14ac:dyDescent="0.3">
      <c r="X7427" s="1">
        <f t="shared" ref="X7427:X7490" si="232">IFERROR(MATCH(W7427,$B:$B,0),0)</f>
        <v>0</v>
      </c>
      <c r="Y7427" s="1">
        <f t="shared" ref="Y7427:Y7490" si="233">IF(X7428=0,COUNTA(A:A),X7428-1)</f>
        <v>0</v>
      </c>
    </row>
    <row r="7428" spans="24:25" x14ac:dyDescent="0.3">
      <c r="X7428" s="1">
        <f t="shared" si="232"/>
        <v>0</v>
      </c>
      <c r="Y7428" s="1">
        <f t="shared" si="233"/>
        <v>0</v>
      </c>
    </row>
    <row r="7429" spans="24:25" x14ac:dyDescent="0.3">
      <c r="X7429" s="1">
        <f t="shared" si="232"/>
        <v>0</v>
      </c>
      <c r="Y7429" s="1">
        <f t="shared" si="233"/>
        <v>0</v>
      </c>
    </row>
    <row r="7430" spans="24:25" x14ac:dyDescent="0.3">
      <c r="X7430" s="1">
        <f t="shared" si="232"/>
        <v>0</v>
      </c>
      <c r="Y7430" s="1">
        <f t="shared" si="233"/>
        <v>0</v>
      </c>
    </row>
    <row r="7431" spans="24:25" x14ac:dyDescent="0.3">
      <c r="X7431" s="1">
        <f t="shared" si="232"/>
        <v>0</v>
      </c>
      <c r="Y7431" s="1">
        <f t="shared" si="233"/>
        <v>0</v>
      </c>
    </row>
    <row r="7432" spans="24:25" x14ac:dyDescent="0.3">
      <c r="X7432" s="1">
        <f t="shared" si="232"/>
        <v>0</v>
      </c>
      <c r="Y7432" s="1">
        <f t="shared" si="233"/>
        <v>0</v>
      </c>
    </row>
    <row r="7433" spans="24:25" x14ac:dyDescent="0.3">
      <c r="X7433" s="1">
        <f t="shared" si="232"/>
        <v>0</v>
      </c>
      <c r="Y7433" s="1">
        <f t="shared" si="233"/>
        <v>0</v>
      </c>
    </row>
    <row r="7434" spans="24:25" x14ac:dyDescent="0.3">
      <c r="X7434" s="1">
        <f t="shared" si="232"/>
        <v>0</v>
      </c>
      <c r="Y7434" s="1">
        <f t="shared" si="233"/>
        <v>0</v>
      </c>
    </row>
    <row r="7435" spans="24:25" x14ac:dyDescent="0.3">
      <c r="X7435" s="1">
        <f t="shared" si="232"/>
        <v>0</v>
      </c>
      <c r="Y7435" s="1">
        <f t="shared" si="233"/>
        <v>0</v>
      </c>
    </row>
    <row r="7436" spans="24:25" x14ac:dyDescent="0.3">
      <c r="X7436" s="1">
        <f t="shared" si="232"/>
        <v>0</v>
      </c>
      <c r="Y7436" s="1">
        <f t="shared" si="233"/>
        <v>0</v>
      </c>
    </row>
    <row r="7437" spans="24:25" x14ac:dyDescent="0.3">
      <c r="X7437" s="1">
        <f t="shared" si="232"/>
        <v>0</v>
      </c>
      <c r="Y7437" s="1">
        <f t="shared" si="233"/>
        <v>0</v>
      </c>
    </row>
    <row r="7438" spans="24:25" x14ac:dyDescent="0.3">
      <c r="X7438" s="1">
        <f t="shared" si="232"/>
        <v>0</v>
      </c>
      <c r="Y7438" s="1">
        <f t="shared" si="233"/>
        <v>0</v>
      </c>
    </row>
    <row r="7439" spans="24:25" x14ac:dyDescent="0.3">
      <c r="X7439" s="1">
        <f t="shared" si="232"/>
        <v>0</v>
      </c>
      <c r="Y7439" s="1">
        <f t="shared" si="233"/>
        <v>0</v>
      </c>
    </row>
    <row r="7440" spans="24:25" x14ac:dyDescent="0.3">
      <c r="X7440" s="1">
        <f t="shared" si="232"/>
        <v>0</v>
      </c>
      <c r="Y7440" s="1">
        <f t="shared" si="233"/>
        <v>0</v>
      </c>
    </row>
    <row r="7441" spans="24:25" x14ac:dyDescent="0.3">
      <c r="X7441" s="1">
        <f t="shared" si="232"/>
        <v>0</v>
      </c>
      <c r="Y7441" s="1">
        <f t="shared" si="233"/>
        <v>0</v>
      </c>
    </row>
    <row r="7442" spans="24:25" x14ac:dyDescent="0.3">
      <c r="X7442" s="1">
        <f t="shared" si="232"/>
        <v>0</v>
      </c>
      <c r="Y7442" s="1">
        <f t="shared" si="233"/>
        <v>0</v>
      </c>
    </row>
    <row r="7443" spans="24:25" x14ac:dyDescent="0.3">
      <c r="X7443" s="1">
        <f t="shared" si="232"/>
        <v>0</v>
      </c>
      <c r="Y7443" s="1">
        <f t="shared" si="233"/>
        <v>0</v>
      </c>
    </row>
    <row r="7444" spans="24:25" x14ac:dyDescent="0.3">
      <c r="X7444" s="1">
        <f t="shared" si="232"/>
        <v>0</v>
      </c>
      <c r="Y7444" s="1">
        <f t="shared" si="233"/>
        <v>0</v>
      </c>
    </row>
    <row r="7445" spans="24:25" x14ac:dyDescent="0.3">
      <c r="X7445" s="1">
        <f t="shared" si="232"/>
        <v>0</v>
      </c>
      <c r="Y7445" s="1">
        <f t="shared" si="233"/>
        <v>0</v>
      </c>
    </row>
    <row r="7446" spans="24:25" x14ac:dyDescent="0.3">
      <c r="X7446" s="1">
        <f t="shared" si="232"/>
        <v>0</v>
      </c>
      <c r="Y7446" s="1">
        <f t="shared" si="233"/>
        <v>0</v>
      </c>
    </row>
    <row r="7447" spans="24:25" x14ac:dyDescent="0.3">
      <c r="X7447" s="1">
        <f t="shared" si="232"/>
        <v>0</v>
      </c>
      <c r="Y7447" s="1">
        <f t="shared" si="233"/>
        <v>0</v>
      </c>
    </row>
    <row r="7448" spans="24:25" x14ac:dyDescent="0.3">
      <c r="X7448" s="1">
        <f t="shared" si="232"/>
        <v>0</v>
      </c>
      <c r="Y7448" s="1">
        <f t="shared" si="233"/>
        <v>0</v>
      </c>
    </row>
    <row r="7449" spans="24:25" x14ac:dyDescent="0.3">
      <c r="X7449" s="1">
        <f t="shared" si="232"/>
        <v>0</v>
      </c>
      <c r="Y7449" s="1">
        <f t="shared" si="233"/>
        <v>0</v>
      </c>
    </row>
    <row r="7450" spans="24:25" x14ac:dyDescent="0.3">
      <c r="X7450" s="1">
        <f t="shared" si="232"/>
        <v>0</v>
      </c>
      <c r="Y7450" s="1">
        <f t="shared" si="233"/>
        <v>0</v>
      </c>
    </row>
    <row r="7451" spans="24:25" x14ac:dyDescent="0.3">
      <c r="X7451" s="1">
        <f t="shared" si="232"/>
        <v>0</v>
      </c>
      <c r="Y7451" s="1">
        <f t="shared" si="233"/>
        <v>0</v>
      </c>
    </row>
    <row r="7452" spans="24:25" x14ac:dyDescent="0.3">
      <c r="X7452" s="1">
        <f t="shared" si="232"/>
        <v>0</v>
      </c>
      <c r="Y7452" s="1">
        <f t="shared" si="233"/>
        <v>0</v>
      </c>
    </row>
    <row r="7453" spans="24:25" x14ac:dyDescent="0.3">
      <c r="X7453" s="1">
        <f t="shared" si="232"/>
        <v>0</v>
      </c>
      <c r="Y7453" s="1">
        <f t="shared" si="233"/>
        <v>0</v>
      </c>
    </row>
    <row r="7454" spans="24:25" x14ac:dyDescent="0.3">
      <c r="X7454" s="1">
        <f t="shared" si="232"/>
        <v>0</v>
      </c>
      <c r="Y7454" s="1">
        <f t="shared" si="233"/>
        <v>0</v>
      </c>
    </row>
    <row r="7455" spans="24:25" x14ac:dyDescent="0.3">
      <c r="X7455" s="1">
        <f t="shared" si="232"/>
        <v>0</v>
      </c>
      <c r="Y7455" s="1">
        <f t="shared" si="233"/>
        <v>0</v>
      </c>
    </row>
    <row r="7456" spans="24:25" x14ac:dyDescent="0.3">
      <c r="X7456" s="1">
        <f t="shared" si="232"/>
        <v>0</v>
      </c>
      <c r="Y7456" s="1">
        <f t="shared" si="233"/>
        <v>0</v>
      </c>
    </row>
    <row r="7457" spans="24:25" x14ac:dyDescent="0.3">
      <c r="X7457" s="1">
        <f t="shared" si="232"/>
        <v>0</v>
      </c>
      <c r="Y7457" s="1">
        <f t="shared" si="233"/>
        <v>0</v>
      </c>
    </row>
    <row r="7458" spans="24:25" x14ac:dyDescent="0.3">
      <c r="X7458" s="1">
        <f t="shared" si="232"/>
        <v>0</v>
      </c>
      <c r="Y7458" s="1">
        <f t="shared" si="233"/>
        <v>0</v>
      </c>
    </row>
    <row r="7459" spans="24:25" x14ac:dyDescent="0.3">
      <c r="X7459" s="1">
        <f t="shared" si="232"/>
        <v>0</v>
      </c>
      <c r="Y7459" s="1">
        <f t="shared" si="233"/>
        <v>0</v>
      </c>
    </row>
    <row r="7460" spans="24:25" x14ac:dyDescent="0.3">
      <c r="X7460" s="1">
        <f t="shared" si="232"/>
        <v>0</v>
      </c>
      <c r="Y7460" s="1">
        <f t="shared" si="233"/>
        <v>0</v>
      </c>
    </row>
    <row r="7461" spans="24:25" x14ac:dyDescent="0.3">
      <c r="X7461" s="1">
        <f t="shared" si="232"/>
        <v>0</v>
      </c>
      <c r="Y7461" s="1">
        <f t="shared" si="233"/>
        <v>0</v>
      </c>
    </row>
    <row r="7462" spans="24:25" x14ac:dyDescent="0.3">
      <c r="X7462" s="1">
        <f t="shared" si="232"/>
        <v>0</v>
      </c>
      <c r="Y7462" s="1">
        <f t="shared" si="233"/>
        <v>0</v>
      </c>
    </row>
    <row r="7463" spans="24:25" x14ac:dyDescent="0.3">
      <c r="X7463" s="1">
        <f t="shared" si="232"/>
        <v>0</v>
      </c>
      <c r="Y7463" s="1">
        <f t="shared" si="233"/>
        <v>0</v>
      </c>
    </row>
    <row r="7464" spans="24:25" x14ac:dyDescent="0.3">
      <c r="X7464" s="1">
        <f t="shared" si="232"/>
        <v>0</v>
      </c>
      <c r="Y7464" s="1">
        <f t="shared" si="233"/>
        <v>0</v>
      </c>
    </row>
    <row r="7465" spans="24:25" x14ac:dyDescent="0.3">
      <c r="X7465" s="1">
        <f t="shared" si="232"/>
        <v>0</v>
      </c>
      <c r="Y7465" s="1">
        <f t="shared" si="233"/>
        <v>0</v>
      </c>
    </row>
    <row r="7466" spans="24:25" x14ac:dyDescent="0.3">
      <c r="X7466" s="1">
        <f t="shared" si="232"/>
        <v>0</v>
      </c>
      <c r="Y7466" s="1">
        <f t="shared" si="233"/>
        <v>0</v>
      </c>
    </row>
    <row r="7467" spans="24:25" x14ac:dyDescent="0.3">
      <c r="X7467" s="1">
        <f t="shared" si="232"/>
        <v>0</v>
      </c>
      <c r="Y7467" s="1">
        <f t="shared" si="233"/>
        <v>0</v>
      </c>
    </row>
    <row r="7468" spans="24:25" x14ac:dyDescent="0.3">
      <c r="X7468" s="1">
        <f t="shared" si="232"/>
        <v>0</v>
      </c>
      <c r="Y7468" s="1">
        <f t="shared" si="233"/>
        <v>0</v>
      </c>
    </row>
    <row r="7469" spans="24:25" x14ac:dyDescent="0.3">
      <c r="X7469" s="1">
        <f t="shared" si="232"/>
        <v>0</v>
      </c>
      <c r="Y7469" s="1">
        <f t="shared" si="233"/>
        <v>0</v>
      </c>
    </row>
    <row r="7470" spans="24:25" x14ac:dyDescent="0.3">
      <c r="X7470" s="1">
        <f t="shared" si="232"/>
        <v>0</v>
      </c>
      <c r="Y7470" s="1">
        <f t="shared" si="233"/>
        <v>0</v>
      </c>
    </row>
    <row r="7471" spans="24:25" x14ac:dyDescent="0.3">
      <c r="X7471" s="1">
        <f t="shared" si="232"/>
        <v>0</v>
      </c>
      <c r="Y7471" s="1">
        <f t="shared" si="233"/>
        <v>0</v>
      </c>
    </row>
    <row r="7472" spans="24:25" x14ac:dyDescent="0.3">
      <c r="X7472" s="1">
        <f t="shared" si="232"/>
        <v>0</v>
      </c>
      <c r="Y7472" s="1">
        <f t="shared" si="233"/>
        <v>0</v>
      </c>
    </row>
    <row r="7473" spans="24:25" x14ac:dyDescent="0.3">
      <c r="X7473" s="1">
        <f t="shared" si="232"/>
        <v>0</v>
      </c>
      <c r="Y7473" s="1">
        <f t="shared" si="233"/>
        <v>0</v>
      </c>
    </row>
    <row r="7474" spans="24:25" x14ac:dyDescent="0.3">
      <c r="X7474" s="1">
        <f t="shared" si="232"/>
        <v>0</v>
      </c>
      <c r="Y7474" s="1">
        <f t="shared" si="233"/>
        <v>0</v>
      </c>
    </row>
    <row r="7475" spans="24:25" x14ac:dyDescent="0.3">
      <c r="X7475" s="1">
        <f t="shared" si="232"/>
        <v>0</v>
      </c>
      <c r="Y7475" s="1">
        <f t="shared" si="233"/>
        <v>0</v>
      </c>
    </row>
    <row r="7476" spans="24:25" x14ac:dyDescent="0.3">
      <c r="X7476" s="1">
        <f t="shared" si="232"/>
        <v>0</v>
      </c>
      <c r="Y7476" s="1">
        <f t="shared" si="233"/>
        <v>0</v>
      </c>
    </row>
    <row r="7477" spans="24:25" x14ac:dyDescent="0.3">
      <c r="X7477" s="1">
        <f t="shared" si="232"/>
        <v>0</v>
      </c>
      <c r="Y7477" s="1">
        <f t="shared" si="233"/>
        <v>0</v>
      </c>
    </row>
    <row r="7478" spans="24:25" x14ac:dyDescent="0.3">
      <c r="X7478" s="1">
        <f t="shared" si="232"/>
        <v>0</v>
      </c>
      <c r="Y7478" s="1">
        <f t="shared" si="233"/>
        <v>0</v>
      </c>
    </row>
    <row r="7479" spans="24:25" x14ac:dyDescent="0.3">
      <c r="X7479" s="1">
        <f t="shared" si="232"/>
        <v>0</v>
      </c>
      <c r="Y7479" s="1">
        <f t="shared" si="233"/>
        <v>0</v>
      </c>
    </row>
    <row r="7480" spans="24:25" x14ac:dyDescent="0.3">
      <c r="X7480" s="1">
        <f t="shared" si="232"/>
        <v>0</v>
      </c>
      <c r="Y7480" s="1">
        <f t="shared" si="233"/>
        <v>0</v>
      </c>
    </row>
    <row r="7481" spans="24:25" x14ac:dyDescent="0.3">
      <c r="X7481" s="1">
        <f t="shared" si="232"/>
        <v>0</v>
      </c>
      <c r="Y7481" s="1">
        <f t="shared" si="233"/>
        <v>0</v>
      </c>
    </row>
    <row r="7482" spans="24:25" x14ac:dyDescent="0.3">
      <c r="X7482" s="1">
        <f t="shared" si="232"/>
        <v>0</v>
      </c>
      <c r="Y7482" s="1">
        <f t="shared" si="233"/>
        <v>0</v>
      </c>
    </row>
    <row r="7483" spans="24:25" x14ac:dyDescent="0.3">
      <c r="X7483" s="1">
        <f t="shared" si="232"/>
        <v>0</v>
      </c>
      <c r="Y7483" s="1">
        <f t="shared" si="233"/>
        <v>0</v>
      </c>
    </row>
    <row r="7484" spans="24:25" x14ac:dyDescent="0.3">
      <c r="X7484" s="1">
        <f t="shared" si="232"/>
        <v>0</v>
      </c>
      <c r="Y7484" s="1">
        <f t="shared" si="233"/>
        <v>0</v>
      </c>
    </row>
    <row r="7485" spans="24:25" x14ac:dyDescent="0.3">
      <c r="X7485" s="1">
        <f t="shared" si="232"/>
        <v>0</v>
      </c>
      <c r="Y7485" s="1">
        <f t="shared" si="233"/>
        <v>0</v>
      </c>
    </row>
    <row r="7486" spans="24:25" x14ac:dyDescent="0.3">
      <c r="X7486" s="1">
        <f t="shared" si="232"/>
        <v>0</v>
      </c>
      <c r="Y7486" s="1">
        <f t="shared" si="233"/>
        <v>0</v>
      </c>
    </row>
    <row r="7487" spans="24:25" x14ac:dyDescent="0.3">
      <c r="X7487" s="1">
        <f t="shared" si="232"/>
        <v>0</v>
      </c>
      <c r="Y7487" s="1">
        <f t="shared" si="233"/>
        <v>0</v>
      </c>
    </row>
    <row r="7488" spans="24:25" x14ac:dyDescent="0.3">
      <c r="X7488" s="1">
        <f t="shared" si="232"/>
        <v>0</v>
      </c>
      <c r="Y7488" s="1">
        <f t="shared" si="233"/>
        <v>0</v>
      </c>
    </row>
    <row r="7489" spans="24:25" x14ac:dyDescent="0.3">
      <c r="X7489" s="1">
        <f t="shared" si="232"/>
        <v>0</v>
      </c>
      <c r="Y7489" s="1">
        <f t="shared" si="233"/>
        <v>0</v>
      </c>
    </row>
    <row r="7490" spans="24:25" x14ac:dyDescent="0.3">
      <c r="X7490" s="1">
        <f t="shared" si="232"/>
        <v>0</v>
      </c>
      <c r="Y7490" s="1">
        <f t="shared" si="233"/>
        <v>0</v>
      </c>
    </row>
    <row r="7491" spans="24:25" x14ac:dyDescent="0.3">
      <c r="X7491" s="1">
        <f t="shared" ref="X7491:X7554" si="234">IFERROR(MATCH(W7491,$B:$B,0),0)</f>
        <v>0</v>
      </c>
      <c r="Y7491" s="1">
        <f t="shared" ref="Y7491:Y7554" si="235">IF(X7492=0,COUNTA(A:A),X7492-1)</f>
        <v>0</v>
      </c>
    </row>
    <row r="7492" spans="24:25" x14ac:dyDescent="0.3">
      <c r="X7492" s="1">
        <f t="shared" si="234"/>
        <v>0</v>
      </c>
      <c r="Y7492" s="1">
        <f t="shared" si="235"/>
        <v>0</v>
      </c>
    </row>
    <row r="7493" spans="24:25" x14ac:dyDescent="0.3">
      <c r="X7493" s="1">
        <f t="shared" si="234"/>
        <v>0</v>
      </c>
      <c r="Y7493" s="1">
        <f t="shared" si="235"/>
        <v>0</v>
      </c>
    </row>
    <row r="7494" spans="24:25" x14ac:dyDescent="0.3">
      <c r="X7494" s="1">
        <f t="shared" si="234"/>
        <v>0</v>
      </c>
      <c r="Y7494" s="1">
        <f t="shared" si="235"/>
        <v>0</v>
      </c>
    </row>
    <row r="7495" spans="24:25" x14ac:dyDescent="0.3">
      <c r="X7495" s="1">
        <f t="shared" si="234"/>
        <v>0</v>
      </c>
      <c r="Y7495" s="1">
        <f t="shared" si="235"/>
        <v>0</v>
      </c>
    </row>
    <row r="7496" spans="24:25" x14ac:dyDescent="0.3">
      <c r="X7496" s="1">
        <f t="shared" si="234"/>
        <v>0</v>
      </c>
      <c r="Y7496" s="1">
        <f t="shared" si="235"/>
        <v>0</v>
      </c>
    </row>
    <row r="7497" spans="24:25" x14ac:dyDescent="0.3">
      <c r="X7497" s="1">
        <f t="shared" si="234"/>
        <v>0</v>
      </c>
      <c r="Y7497" s="1">
        <f t="shared" si="235"/>
        <v>0</v>
      </c>
    </row>
    <row r="7498" spans="24:25" x14ac:dyDescent="0.3">
      <c r="X7498" s="1">
        <f t="shared" si="234"/>
        <v>0</v>
      </c>
      <c r="Y7498" s="1">
        <f t="shared" si="235"/>
        <v>0</v>
      </c>
    </row>
    <row r="7499" spans="24:25" x14ac:dyDescent="0.3">
      <c r="X7499" s="1">
        <f t="shared" si="234"/>
        <v>0</v>
      </c>
      <c r="Y7499" s="1">
        <f t="shared" si="235"/>
        <v>0</v>
      </c>
    </row>
    <row r="7500" spans="24:25" x14ac:dyDescent="0.3">
      <c r="X7500" s="1">
        <f t="shared" si="234"/>
        <v>0</v>
      </c>
      <c r="Y7500" s="1">
        <f t="shared" si="235"/>
        <v>0</v>
      </c>
    </row>
    <row r="7501" spans="24:25" x14ac:dyDescent="0.3">
      <c r="X7501" s="1">
        <f t="shared" si="234"/>
        <v>0</v>
      </c>
      <c r="Y7501" s="1">
        <f t="shared" si="235"/>
        <v>0</v>
      </c>
    </row>
    <row r="7502" spans="24:25" x14ac:dyDescent="0.3">
      <c r="X7502" s="1">
        <f t="shared" si="234"/>
        <v>0</v>
      </c>
      <c r="Y7502" s="1">
        <f t="shared" si="235"/>
        <v>0</v>
      </c>
    </row>
    <row r="7503" spans="24:25" x14ac:dyDescent="0.3">
      <c r="X7503" s="1">
        <f t="shared" si="234"/>
        <v>0</v>
      </c>
      <c r="Y7503" s="1">
        <f t="shared" si="235"/>
        <v>0</v>
      </c>
    </row>
    <row r="7504" spans="24:25" x14ac:dyDescent="0.3">
      <c r="X7504" s="1">
        <f t="shared" si="234"/>
        <v>0</v>
      </c>
      <c r="Y7504" s="1">
        <f t="shared" si="235"/>
        <v>0</v>
      </c>
    </row>
    <row r="7505" spans="24:25" x14ac:dyDescent="0.3">
      <c r="X7505" s="1">
        <f t="shared" si="234"/>
        <v>0</v>
      </c>
      <c r="Y7505" s="1">
        <f t="shared" si="235"/>
        <v>0</v>
      </c>
    </row>
    <row r="7506" spans="24:25" x14ac:dyDescent="0.3">
      <c r="X7506" s="1">
        <f t="shared" si="234"/>
        <v>0</v>
      </c>
      <c r="Y7506" s="1">
        <f t="shared" si="235"/>
        <v>0</v>
      </c>
    </row>
    <row r="7507" spans="24:25" x14ac:dyDescent="0.3">
      <c r="X7507" s="1">
        <f t="shared" si="234"/>
        <v>0</v>
      </c>
      <c r="Y7507" s="1">
        <f t="shared" si="235"/>
        <v>0</v>
      </c>
    </row>
    <row r="7508" spans="24:25" x14ac:dyDescent="0.3">
      <c r="X7508" s="1">
        <f t="shared" si="234"/>
        <v>0</v>
      </c>
      <c r="Y7508" s="1">
        <f t="shared" si="235"/>
        <v>0</v>
      </c>
    </row>
    <row r="7509" spans="24:25" x14ac:dyDescent="0.3">
      <c r="X7509" s="1">
        <f t="shared" si="234"/>
        <v>0</v>
      </c>
      <c r="Y7509" s="1">
        <f t="shared" si="235"/>
        <v>0</v>
      </c>
    </row>
    <row r="7510" spans="24:25" x14ac:dyDescent="0.3">
      <c r="X7510" s="1">
        <f t="shared" si="234"/>
        <v>0</v>
      </c>
      <c r="Y7510" s="1">
        <f t="shared" si="235"/>
        <v>0</v>
      </c>
    </row>
    <row r="7511" spans="24:25" x14ac:dyDescent="0.3">
      <c r="X7511" s="1">
        <f t="shared" si="234"/>
        <v>0</v>
      </c>
      <c r="Y7511" s="1">
        <f t="shared" si="235"/>
        <v>0</v>
      </c>
    </row>
    <row r="7512" spans="24:25" x14ac:dyDescent="0.3">
      <c r="X7512" s="1">
        <f t="shared" si="234"/>
        <v>0</v>
      </c>
      <c r="Y7512" s="1">
        <f t="shared" si="235"/>
        <v>0</v>
      </c>
    </row>
    <row r="7513" spans="24:25" x14ac:dyDescent="0.3">
      <c r="X7513" s="1">
        <f t="shared" si="234"/>
        <v>0</v>
      </c>
      <c r="Y7513" s="1">
        <f t="shared" si="235"/>
        <v>0</v>
      </c>
    </row>
    <row r="7514" spans="24:25" x14ac:dyDescent="0.3">
      <c r="X7514" s="1">
        <f t="shared" si="234"/>
        <v>0</v>
      </c>
      <c r="Y7514" s="1">
        <f t="shared" si="235"/>
        <v>0</v>
      </c>
    </row>
    <row r="7515" spans="24:25" x14ac:dyDescent="0.3">
      <c r="X7515" s="1">
        <f t="shared" si="234"/>
        <v>0</v>
      </c>
      <c r="Y7515" s="1">
        <f t="shared" si="235"/>
        <v>0</v>
      </c>
    </row>
    <row r="7516" spans="24:25" x14ac:dyDescent="0.3">
      <c r="X7516" s="1">
        <f t="shared" si="234"/>
        <v>0</v>
      </c>
      <c r="Y7516" s="1">
        <f t="shared" si="235"/>
        <v>0</v>
      </c>
    </row>
    <row r="7517" spans="24:25" x14ac:dyDescent="0.3">
      <c r="X7517" s="1">
        <f t="shared" si="234"/>
        <v>0</v>
      </c>
      <c r="Y7517" s="1">
        <f t="shared" si="235"/>
        <v>0</v>
      </c>
    </row>
    <row r="7518" spans="24:25" x14ac:dyDescent="0.3">
      <c r="X7518" s="1">
        <f t="shared" si="234"/>
        <v>0</v>
      </c>
      <c r="Y7518" s="1">
        <f t="shared" si="235"/>
        <v>0</v>
      </c>
    </row>
    <row r="7519" spans="24:25" x14ac:dyDescent="0.3">
      <c r="X7519" s="1">
        <f t="shared" si="234"/>
        <v>0</v>
      </c>
      <c r="Y7519" s="1">
        <f t="shared" si="235"/>
        <v>0</v>
      </c>
    </row>
    <row r="7520" spans="24:25" x14ac:dyDescent="0.3">
      <c r="X7520" s="1">
        <f t="shared" si="234"/>
        <v>0</v>
      </c>
      <c r="Y7520" s="1">
        <f t="shared" si="235"/>
        <v>0</v>
      </c>
    </row>
    <row r="7521" spans="24:25" x14ac:dyDescent="0.3">
      <c r="X7521" s="1">
        <f t="shared" si="234"/>
        <v>0</v>
      </c>
      <c r="Y7521" s="1">
        <f t="shared" si="235"/>
        <v>0</v>
      </c>
    </row>
    <row r="7522" spans="24:25" x14ac:dyDescent="0.3">
      <c r="X7522" s="1">
        <f t="shared" si="234"/>
        <v>0</v>
      </c>
      <c r="Y7522" s="1">
        <f t="shared" si="235"/>
        <v>0</v>
      </c>
    </row>
    <row r="7523" spans="24:25" x14ac:dyDescent="0.3">
      <c r="X7523" s="1">
        <f t="shared" si="234"/>
        <v>0</v>
      </c>
      <c r="Y7523" s="1">
        <f t="shared" si="235"/>
        <v>0</v>
      </c>
    </row>
    <row r="7524" spans="24:25" x14ac:dyDescent="0.3">
      <c r="X7524" s="1">
        <f t="shared" si="234"/>
        <v>0</v>
      </c>
      <c r="Y7524" s="1">
        <f t="shared" si="235"/>
        <v>0</v>
      </c>
    </row>
    <row r="7525" spans="24:25" x14ac:dyDescent="0.3">
      <c r="X7525" s="1">
        <f t="shared" si="234"/>
        <v>0</v>
      </c>
      <c r="Y7525" s="1">
        <f t="shared" si="235"/>
        <v>0</v>
      </c>
    </row>
    <row r="7526" spans="24:25" x14ac:dyDescent="0.3">
      <c r="X7526" s="1">
        <f t="shared" si="234"/>
        <v>0</v>
      </c>
      <c r="Y7526" s="1">
        <f t="shared" si="235"/>
        <v>0</v>
      </c>
    </row>
    <row r="7527" spans="24:25" x14ac:dyDescent="0.3">
      <c r="X7527" s="1">
        <f t="shared" si="234"/>
        <v>0</v>
      </c>
      <c r="Y7527" s="1">
        <f t="shared" si="235"/>
        <v>0</v>
      </c>
    </row>
    <row r="7528" spans="24:25" x14ac:dyDescent="0.3">
      <c r="X7528" s="1">
        <f t="shared" si="234"/>
        <v>0</v>
      </c>
      <c r="Y7528" s="1">
        <f t="shared" si="235"/>
        <v>0</v>
      </c>
    </row>
    <row r="7529" spans="24:25" x14ac:dyDescent="0.3">
      <c r="X7529" s="1">
        <f t="shared" si="234"/>
        <v>0</v>
      </c>
      <c r="Y7529" s="1">
        <f t="shared" si="235"/>
        <v>0</v>
      </c>
    </row>
    <row r="7530" spans="24:25" x14ac:dyDescent="0.3">
      <c r="X7530" s="1">
        <f t="shared" si="234"/>
        <v>0</v>
      </c>
      <c r="Y7530" s="1">
        <f t="shared" si="235"/>
        <v>0</v>
      </c>
    </row>
    <row r="7531" spans="24:25" x14ac:dyDescent="0.3">
      <c r="X7531" s="1">
        <f t="shared" si="234"/>
        <v>0</v>
      </c>
      <c r="Y7531" s="1">
        <f t="shared" si="235"/>
        <v>0</v>
      </c>
    </row>
    <row r="7532" spans="24:25" x14ac:dyDescent="0.3">
      <c r="X7532" s="1">
        <f t="shared" si="234"/>
        <v>0</v>
      </c>
      <c r="Y7532" s="1">
        <f t="shared" si="235"/>
        <v>0</v>
      </c>
    </row>
    <row r="7533" spans="24:25" x14ac:dyDescent="0.3">
      <c r="X7533" s="1">
        <f t="shared" si="234"/>
        <v>0</v>
      </c>
      <c r="Y7533" s="1">
        <f t="shared" si="235"/>
        <v>0</v>
      </c>
    </row>
    <row r="7534" spans="24:25" x14ac:dyDescent="0.3">
      <c r="X7534" s="1">
        <f t="shared" si="234"/>
        <v>0</v>
      </c>
      <c r="Y7534" s="1">
        <f t="shared" si="235"/>
        <v>0</v>
      </c>
    </row>
    <row r="7535" spans="24:25" x14ac:dyDescent="0.3">
      <c r="X7535" s="1">
        <f t="shared" si="234"/>
        <v>0</v>
      </c>
      <c r="Y7535" s="1">
        <f t="shared" si="235"/>
        <v>0</v>
      </c>
    </row>
    <row r="7536" spans="24:25" x14ac:dyDescent="0.3">
      <c r="X7536" s="1">
        <f t="shared" si="234"/>
        <v>0</v>
      </c>
      <c r="Y7536" s="1">
        <f t="shared" si="235"/>
        <v>0</v>
      </c>
    </row>
    <row r="7537" spans="24:25" x14ac:dyDescent="0.3">
      <c r="X7537" s="1">
        <f t="shared" si="234"/>
        <v>0</v>
      </c>
      <c r="Y7537" s="1">
        <f t="shared" si="235"/>
        <v>0</v>
      </c>
    </row>
    <row r="7538" spans="24:25" x14ac:dyDescent="0.3">
      <c r="X7538" s="1">
        <f t="shared" si="234"/>
        <v>0</v>
      </c>
      <c r="Y7538" s="1">
        <f t="shared" si="235"/>
        <v>0</v>
      </c>
    </row>
    <row r="7539" spans="24:25" x14ac:dyDescent="0.3">
      <c r="X7539" s="1">
        <f t="shared" si="234"/>
        <v>0</v>
      </c>
      <c r="Y7539" s="1">
        <f t="shared" si="235"/>
        <v>0</v>
      </c>
    </row>
    <row r="7540" spans="24:25" x14ac:dyDescent="0.3">
      <c r="X7540" s="1">
        <f t="shared" si="234"/>
        <v>0</v>
      </c>
      <c r="Y7540" s="1">
        <f t="shared" si="235"/>
        <v>0</v>
      </c>
    </row>
    <row r="7541" spans="24:25" x14ac:dyDescent="0.3">
      <c r="X7541" s="1">
        <f t="shared" si="234"/>
        <v>0</v>
      </c>
      <c r="Y7541" s="1">
        <f t="shared" si="235"/>
        <v>0</v>
      </c>
    </row>
    <row r="7542" spans="24:25" x14ac:dyDescent="0.3">
      <c r="X7542" s="1">
        <f t="shared" si="234"/>
        <v>0</v>
      </c>
      <c r="Y7542" s="1">
        <f t="shared" si="235"/>
        <v>0</v>
      </c>
    </row>
    <row r="7543" spans="24:25" x14ac:dyDescent="0.3">
      <c r="X7543" s="1">
        <f t="shared" si="234"/>
        <v>0</v>
      </c>
      <c r="Y7543" s="1">
        <f t="shared" si="235"/>
        <v>0</v>
      </c>
    </row>
    <row r="7544" spans="24:25" x14ac:dyDescent="0.3">
      <c r="X7544" s="1">
        <f t="shared" si="234"/>
        <v>0</v>
      </c>
      <c r="Y7544" s="1">
        <f t="shared" si="235"/>
        <v>0</v>
      </c>
    </row>
    <row r="7545" spans="24:25" x14ac:dyDescent="0.3">
      <c r="X7545" s="1">
        <f t="shared" si="234"/>
        <v>0</v>
      </c>
      <c r="Y7545" s="1">
        <f t="shared" si="235"/>
        <v>0</v>
      </c>
    </row>
    <row r="7546" spans="24:25" x14ac:dyDescent="0.3">
      <c r="X7546" s="1">
        <f t="shared" si="234"/>
        <v>0</v>
      </c>
      <c r="Y7546" s="1">
        <f t="shared" si="235"/>
        <v>0</v>
      </c>
    </row>
    <row r="7547" spans="24:25" x14ac:dyDescent="0.3">
      <c r="X7547" s="1">
        <f t="shared" si="234"/>
        <v>0</v>
      </c>
      <c r="Y7547" s="1">
        <f t="shared" si="235"/>
        <v>0</v>
      </c>
    </row>
    <row r="7548" spans="24:25" x14ac:dyDescent="0.3">
      <c r="X7548" s="1">
        <f t="shared" si="234"/>
        <v>0</v>
      </c>
      <c r="Y7548" s="1">
        <f t="shared" si="235"/>
        <v>0</v>
      </c>
    </row>
    <row r="7549" spans="24:25" x14ac:dyDescent="0.3">
      <c r="X7549" s="1">
        <f t="shared" si="234"/>
        <v>0</v>
      </c>
      <c r="Y7549" s="1">
        <f t="shared" si="235"/>
        <v>0</v>
      </c>
    </row>
    <row r="7550" spans="24:25" x14ac:dyDescent="0.3">
      <c r="X7550" s="1">
        <f t="shared" si="234"/>
        <v>0</v>
      </c>
      <c r="Y7550" s="1">
        <f t="shared" si="235"/>
        <v>0</v>
      </c>
    </row>
    <row r="7551" spans="24:25" x14ac:dyDescent="0.3">
      <c r="X7551" s="1">
        <f t="shared" si="234"/>
        <v>0</v>
      </c>
      <c r="Y7551" s="1">
        <f t="shared" si="235"/>
        <v>0</v>
      </c>
    </row>
    <row r="7552" spans="24:25" x14ac:dyDescent="0.3">
      <c r="X7552" s="1">
        <f t="shared" si="234"/>
        <v>0</v>
      </c>
      <c r="Y7552" s="1">
        <f t="shared" si="235"/>
        <v>0</v>
      </c>
    </row>
    <row r="7553" spans="24:25" x14ac:dyDescent="0.3">
      <c r="X7553" s="1">
        <f t="shared" si="234"/>
        <v>0</v>
      </c>
      <c r="Y7553" s="1">
        <f t="shared" si="235"/>
        <v>0</v>
      </c>
    </row>
    <row r="7554" spans="24:25" x14ac:dyDescent="0.3">
      <c r="X7554" s="1">
        <f t="shared" si="234"/>
        <v>0</v>
      </c>
      <c r="Y7554" s="1">
        <f t="shared" si="235"/>
        <v>0</v>
      </c>
    </row>
    <row r="7555" spans="24:25" x14ac:dyDescent="0.3">
      <c r="X7555" s="1">
        <f t="shared" ref="X7555:X7618" si="236">IFERROR(MATCH(W7555,$B:$B,0),0)</f>
        <v>0</v>
      </c>
      <c r="Y7555" s="1">
        <f t="shared" ref="Y7555:Y7618" si="237">IF(X7556=0,COUNTA(A:A),X7556-1)</f>
        <v>0</v>
      </c>
    </row>
    <row r="7556" spans="24:25" x14ac:dyDescent="0.3">
      <c r="X7556" s="1">
        <f t="shared" si="236"/>
        <v>0</v>
      </c>
      <c r="Y7556" s="1">
        <f t="shared" si="237"/>
        <v>0</v>
      </c>
    </row>
    <row r="7557" spans="24:25" x14ac:dyDescent="0.3">
      <c r="X7557" s="1">
        <f t="shared" si="236"/>
        <v>0</v>
      </c>
      <c r="Y7557" s="1">
        <f t="shared" si="237"/>
        <v>0</v>
      </c>
    </row>
    <row r="7558" spans="24:25" x14ac:dyDescent="0.3">
      <c r="X7558" s="1">
        <f t="shared" si="236"/>
        <v>0</v>
      </c>
      <c r="Y7558" s="1">
        <f t="shared" si="237"/>
        <v>0</v>
      </c>
    </row>
    <row r="7559" spans="24:25" x14ac:dyDescent="0.3">
      <c r="X7559" s="1">
        <f t="shared" si="236"/>
        <v>0</v>
      </c>
      <c r="Y7559" s="1">
        <f t="shared" si="237"/>
        <v>0</v>
      </c>
    </row>
    <row r="7560" spans="24:25" x14ac:dyDescent="0.3">
      <c r="X7560" s="1">
        <f t="shared" si="236"/>
        <v>0</v>
      </c>
      <c r="Y7560" s="1">
        <f t="shared" si="237"/>
        <v>0</v>
      </c>
    </row>
    <row r="7561" spans="24:25" x14ac:dyDescent="0.3">
      <c r="X7561" s="1">
        <f t="shared" si="236"/>
        <v>0</v>
      </c>
      <c r="Y7561" s="1">
        <f t="shared" si="237"/>
        <v>0</v>
      </c>
    </row>
    <row r="7562" spans="24:25" x14ac:dyDescent="0.3">
      <c r="X7562" s="1">
        <f t="shared" si="236"/>
        <v>0</v>
      </c>
      <c r="Y7562" s="1">
        <f t="shared" si="237"/>
        <v>0</v>
      </c>
    </row>
    <row r="7563" spans="24:25" x14ac:dyDescent="0.3">
      <c r="X7563" s="1">
        <f t="shared" si="236"/>
        <v>0</v>
      </c>
      <c r="Y7563" s="1">
        <f t="shared" si="237"/>
        <v>0</v>
      </c>
    </row>
    <row r="7564" spans="24:25" x14ac:dyDescent="0.3">
      <c r="X7564" s="1">
        <f t="shared" si="236"/>
        <v>0</v>
      </c>
      <c r="Y7564" s="1">
        <f t="shared" si="237"/>
        <v>0</v>
      </c>
    </row>
    <row r="7565" spans="24:25" x14ac:dyDescent="0.3">
      <c r="X7565" s="1">
        <f t="shared" si="236"/>
        <v>0</v>
      </c>
      <c r="Y7565" s="1">
        <f t="shared" si="237"/>
        <v>0</v>
      </c>
    </row>
    <row r="7566" spans="24:25" x14ac:dyDescent="0.3">
      <c r="X7566" s="1">
        <f t="shared" si="236"/>
        <v>0</v>
      </c>
      <c r="Y7566" s="1">
        <f t="shared" si="237"/>
        <v>0</v>
      </c>
    </row>
    <row r="7567" spans="24:25" x14ac:dyDescent="0.3">
      <c r="X7567" s="1">
        <f t="shared" si="236"/>
        <v>0</v>
      </c>
      <c r="Y7567" s="1">
        <f t="shared" si="237"/>
        <v>0</v>
      </c>
    </row>
    <row r="7568" spans="24:25" x14ac:dyDescent="0.3">
      <c r="X7568" s="1">
        <f t="shared" si="236"/>
        <v>0</v>
      </c>
      <c r="Y7568" s="1">
        <f t="shared" si="237"/>
        <v>0</v>
      </c>
    </row>
    <row r="7569" spans="24:25" x14ac:dyDescent="0.3">
      <c r="X7569" s="1">
        <f t="shared" si="236"/>
        <v>0</v>
      </c>
      <c r="Y7569" s="1">
        <f t="shared" si="237"/>
        <v>0</v>
      </c>
    </row>
    <row r="7570" spans="24:25" x14ac:dyDescent="0.3">
      <c r="X7570" s="1">
        <f t="shared" si="236"/>
        <v>0</v>
      </c>
      <c r="Y7570" s="1">
        <f t="shared" si="237"/>
        <v>0</v>
      </c>
    </row>
    <row r="7571" spans="24:25" x14ac:dyDescent="0.3">
      <c r="X7571" s="1">
        <f t="shared" si="236"/>
        <v>0</v>
      </c>
      <c r="Y7571" s="1">
        <f t="shared" si="237"/>
        <v>0</v>
      </c>
    </row>
    <row r="7572" spans="24:25" x14ac:dyDescent="0.3">
      <c r="X7572" s="1">
        <f t="shared" si="236"/>
        <v>0</v>
      </c>
      <c r="Y7572" s="1">
        <f t="shared" si="237"/>
        <v>0</v>
      </c>
    </row>
    <row r="7573" spans="24:25" x14ac:dyDescent="0.3">
      <c r="X7573" s="1">
        <f t="shared" si="236"/>
        <v>0</v>
      </c>
      <c r="Y7573" s="1">
        <f t="shared" si="237"/>
        <v>0</v>
      </c>
    </row>
    <row r="7574" spans="24:25" x14ac:dyDescent="0.3">
      <c r="X7574" s="1">
        <f t="shared" si="236"/>
        <v>0</v>
      </c>
      <c r="Y7574" s="1">
        <f t="shared" si="237"/>
        <v>0</v>
      </c>
    </row>
    <row r="7575" spans="24:25" x14ac:dyDescent="0.3">
      <c r="X7575" s="1">
        <f t="shared" si="236"/>
        <v>0</v>
      </c>
      <c r="Y7575" s="1">
        <f t="shared" si="237"/>
        <v>0</v>
      </c>
    </row>
    <row r="7576" spans="24:25" x14ac:dyDescent="0.3">
      <c r="X7576" s="1">
        <f t="shared" si="236"/>
        <v>0</v>
      </c>
      <c r="Y7576" s="1">
        <f t="shared" si="237"/>
        <v>0</v>
      </c>
    </row>
    <row r="7577" spans="24:25" x14ac:dyDescent="0.3">
      <c r="X7577" s="1">
        <f t="shared" si="236"/>
        <v>0</v>
      </c>
      <c r="Y7577" s="1">
        <f t="shared" si="237"/>
        <v>0</v>
      </c>
    </row>
    <row r="7578" spans="24:25" x14ac:dyDescent="0.3">
      <c r="X7578" s="1">
        <f t="shared" si="236"/>
        <v>0</v>
      </c>
      <c r="Y7578" s="1">
        <f t="shared" si="237"/>
        <v>0</v>
      </c>
    </row>
    <row r="7579" spans="24:25" x14ac:dyDescent="0.3">
      <c r="X7579" s="1">
        <f t="shared" si="236"/>
        <v>0</v>
      </c>
      <c r="Y7579" s="1">
        <f t="shared" si="237"/>
        <v>0</v>
      </c>
    </row>
    <row r="7580" spans="24:25" x14ac:dyDescent="0.3">
      <c r="X7580" s="1">
        <f t="shared" si="236"/>
        <v>0</v>
      </c>
      <c r="Y7580" s="1">
        <f t="shared" si="237"/>
        <v>0</v>
      </c>
    </row>
    <row r="7581" spans="24:25" x14ac:dyDescent="0.3">
      <c r="X7581" s="1">
        <f t="shared" si="236"/>
        <v>0</v>
      </c>
      <c r="Y7581" s="1">
        <f t="shared" si="237"/>
        <v>0</v>
      </c>
    </row>
    <row r="7582" spans="24:25" x14ac:dyDescent="0.3">
      <c r="X7582" s="1">
        <f t="shared" si="236"/>
        <v>0</v>
      </c>
      <c r="Y7582" s="1">
        <f t="shared" si="237"/>
        <v>0</v>
      </c>
    </row>
    <row r="7583" spans="24:25" x14ac:dyDescent="0.3">
      <c r="X7583" s="1">
        <f t="shared" si="236"/>
        <v>0</v>
      </c>
      <c r="Y7583" s="1">
        <f t="shared" si="237"/>
        <v>0</v>
      </c>
    </row>
    <row r="7584" spans="24:25" x14ac:dyDescent="0.3">
      <c r="X7584" s="1">
        <f t="shared" si="236"/>
        <v>0</v>
      </c>
      <c r="Y7584" s="1">
        <f t="shared" si="237"/>
        <v>0</v>
      </c>
    </row>
    <row r="7585" spans="24:25" x14ac:dyDescent="0.3">
      <c r="X7585" s="1">
        <f t="shared" si="236"/>
        <v>0</v>
      </c>
      <c r="Y7585" s="1">
        <f t="shared" si="237"/>
        <v>0</v>
      </c>
    </row>
    <row r="7586" spans="24:25" x14ac:dyDescent="0.3">
      <c r="X7586" s="1">
        <f t="shared" si="236"/>
        <v>0</v>
      </c>
      <c r="Y7586" s="1">
        <f t="shared" si="237"/>
        <v>0</v>
      </c>
    </row>
    <row r="7587" spans="24:25" x14ac:dyDescent="0.3">
      <c r="X7587" s="1">
        <f t="shared" si="236"/>
        <v>0</v>
      </c>
      <c r="Y7587" s="1">
        <f t="shared" si="237"/>
        <v>0</v>
      </c>
    </row>
    <row r="7588" spans="24:25" x14ac:dyDescent="0.3">
      <c r="X7588" s="1">
        <f t="shared" si="236"/>
        <v>0</v>
      </c>
      <c r="Y7588" s="1">
        <f t="shared" si="237"/>
        <v>0</v>
      </c>
    </row>
    <row r="7589" spans="24:25" x14ac:dyDescent="0.3">
      <c r="X7589" s="1">
        <f t="shared" si="236"/>
        <v>0</v>
      </c>
      <c r="Y7589" s="1">
        <f t="shared" si="237"/>
        <v>0</v>
      </c>
    </row>
    <row r="7590" spans="24:25" x14ac:dyDescent="0.3">
      <c r="X7590" s="1">
        <f t="shared" si="236"/>
        <v>0</v>
      </c>
      <c r="Y7590" s="1">
        <f t="shared" si="237"/>
        <v>0</v>
      </c>
    </row>
    <row r="7591" spans="24:25" x14ac:dyDescent="0.3">
      <c r="X7591" s="1">
        <f t="shared" si="236"/>
        <v>0</v>
      </c>
      <c r="Y7591" s="1">
        <f t="shared" si="237"/>
        <v>0</v>
      </c>
    </row>
    <row r="7592" spans="24:25" x14ac:dyDescent="0.3">
      <c r="X7592" s="1">
        <f t="shared" si="236"/>
        <v>0</v>
      </c>
      <c r="Y7592" s="1">
        <f t="shared" si="237"/>
        <v>0</v>
      </c>
    </row>
    <row r="7593" spans="24:25" x14ac:dyDescent="0.3">
      <c r="X7593" s="1">
        <f t="shared" si="236"/>
        <v>0</v>
      </c>
      <c r="Y7593" s="1">
        <f t="shared" si="237"/>
        <v>0</v>
      </c>
    </row>
    <row r="7594" spans="24:25" x14ac:dyDescent="0.3">
      <c r="X7594" s="1">
        <f t="shared" si="236"/>
        <v>0</v>
      </c>
      <c r="Y7594" s="1">
        <f t="shared" si="237"/>
        <v>0</v>
      </c>
    </row>
    <row r="7595" spans="24:25" x14ac:dyDescent="0.3">
      <c r="X7595" s="1">
        <f t="shared" si="236"/>
        <v>0</v>
      </c>
      <c r="Y7595" s="1">
        <f t="shared" si="237"/>
        <v>0</v>
      </c>
    </row>
    <row r="7596" spans="24:25" x14ac:dyDescent="0.3">
      <c r="X7596" s="1">
        <f t="shared" si="236"/>
        <v>0</v>
      </c>
      <c r="Y7596" s="1">
        <f t="shared" si="237"/>
        <v>0</v>
      </c>
    </row>
    <row r="7597" spans="24:25" x14ac:dyDescent="0.3">
      <c r="X7597" s="1">
        <f t="shared" si="236"/>
        <v>0</v>
      </c>
      <c r="Y7597" s="1">
        <f t="shared" si="237"/>
        <v>0</v>
      </c>
    </row>
    <row r="7598" spans="24:25" x14ac:dyDescent="0.3">
      <c r="X7598" s="1">
        <f t="shared" si="236"/>
        <v>0</v>
      </c>
      <c r="Y7598" s="1">
        <f t="shared" si="237"/>
        <v>0</v>
      </c>
    </row>
    <row r="7599" spans="24:25" x14ac:dyDescent="0.3">
      <c r="X7599" s="1">
        <f t="shared" si="236"/>
        <v>0</v>
      </c>
      <c r="Y7599" s="1">
        <f t="shared" si="237"/>
        <v>0</v>
      </c>
    </row>
    <row r="7600" spans="24:25" x14ac:dyDescent="0.3">
      <c r="X7600" s="1">
        <f t="shared" si="236"/>
        <v>0</v>
      </c>
      <c r="Y7600" s="1">
        <f t="shared" si="237"/>
        <v>0</v>
      </c>
    </row>
    <row r="7601" spans="24:25" x14ac:dyDescent="0.3">
      <c r="X7601" s="1">
        <f t="shared" si="236"/>
        <v>0</v>
      </c>
      <c r="Y7601" s="1">
        <f t="shared" si="237"/>
        <v>0</v>
      </c>
    </row>
    <row r="7602" spans="24:25" x14ac:dyDescent="0.3">
      <c r="X7602" s="1">
        <f t="shared" si="236"/>
        <v>0</v>
      </c>
      <c r="Y7602" s="1">
        <f t="shared" si="237"/>
        <v>0</v>
      </c>
    </row>
    <row r="7603" spans="24:25" x14ac:dyDescent="0.3">
      <c r="X7603" s="1">
        <f t="shared" si="236"/>
        <v>0</v>
      </c>
      <c r="Y7603" s="1">
        <f t="shared" si="237"/>
        <v>0</v>
      </c>
    </row>
    <row r="7604" spans="24:25" x14ac:dyDescent="0.3">
      <c r="X7604" s="1">
        <f t="shared" si="236"/>
        <v>0</v>
      </c>
      <c r="Y7604" s="1">
        <f t="shared" si="237"/>
        <v>0</v>
      </c>
    </row>
    <row r="7605" spans="24:25" x14ac:dyDescent="0.3">
      <c r="X7605" s="1">
        <f t="shared" si="236"/>
        <v>0</v>
      </c>
      <c r="Y7605" s="1">
        <f t="shared" si="237"/>
        <v>0</v>
      </c>
    </row>
    <row r="7606" spans="24:25" x14ac:dyDescent="0.3">
      <c r="X7606" s="1">
        <f t="shared" si="236"/>
        <v>0</v>
      </c>
      <c r="Y7606" s="1">
        <f t="shared" si="237"/>
        <v>0</v>
      </c>
    </row>
    <row r="7607" spans="24:25" x14ac:dyDescent="0.3">
      <c r="X7607" s="1">
        <f t="shared" si="236"/>
        <v>0</v>
      </c>
      <c r="Y7607" s="1">
        <f t="shared" si="237"/>
        <v>0</v>
      </c>
    </row>
    <row r="7608" spans="24:25" x14ac:dyDescent="0.3">
      <c r="X7608" s="1">
        <f t="shared" si="236"/>
        <v>0</v>
      </c>
      <c r="Y7608" s="1">
        <f t="shared" si="237"/>
        <v>0</v>
      </c>
    </row>
    <row r="7609" spans="24:25" x14ac:dyDescent="0.3">
      <c r="X7609" s="1">
        <f t="shared" si="236"/>
        <v>0</v>
      </c>
      <c r="Y7609" s="1">
        <f t="shared" si="237"/>
        <v>0</v>
      </c>
    </row>
    <row r="7610" spans="24:25" x14ac:dyDescent="0.3">
      <c r="X7610" s="1">
        <f t="shared" si="236"/>
        <v>0</v>
      </c>
      <c r="Y7610" s="1">
        <f t="shared" si="237"/>
        <v>0</v>
      </c>
    </row>
    <row r="7611" spans="24:25" x14ac:dyDescent="0.3">
      <c r="X7611" s="1">
        <f t="shared" si="236"/>
        <v>0</v>
      </c>
      <c r="Y7611" s="1">
        <f t="shared" si="237"/>
        <v>0</v>
      </c>
    </row>
    <row r="7612" spans="24:25" x14ac:dyDescent="0.3">
      <c r="X7612" s="1">
        <f t="shared" si="236"/>
        <v>0</v>
      </c>
      <c r="Y7612" s="1">
        <f t="shared" si="237"/>
        <v>0</v>
      </c>
    </row>
    <row r="7613" spans="24:25" x14ac:dyDescent="0.3">
      <c r="X7613" s="1">
        <f t="shared" si="236"/>
        <v>0</v>
      </c>
      <c r="Y7613" s="1">
        <f t="shared" si="237"/>
        <v>0</v>
      </c>
    </row>
    <row r="7614" spans="24:25" x14ac:dyDescent="0.3">
      <c r="X7614" s="1">
        <f t="shared" si="236"/>
        <v>0</v>
      </c>
      <c r="Y7614" s="1">
        <f t="shared" si="237"/>
        <v>0</v>
      </c>
    </row>
    <row r="7615" spans="24:25" x14ac:dyDescent="0.3">
      <c r="X7615" s="1">
        <f t="shared" si="236"/>
        <v>0</v>
      </c>
      <c r="Y7615" s="1">
        <f t="shared" si="237"/>
        <v>0</v>
      </c>
    </row>
    <row r="7616" spans="24:25" x14ac:dyDescent="0.3">
      <c r="X7616" s="1">
        <f t="shared" si="236"/>
        <v>0</v>
      </c>
      <c r="Y7616" s="1">
        <f t="shared" si="237"/>
        <v>0</v>
      </c>
    </row>
    <row r="7617" spans="24:25" x14ac:dyDescent="0.3">
      <c r="X7617" s="1">
        <f t="shared" si="236"/>
        <v>0</v>
      </c>
      <c r="Y7617" s="1">
        <f t="shared" si="237"/>
        <v>0</v>
      </c>
    </row>
    <row r="7618" spans="24:25" x14ac:dyDescent="0.3">
      <c r="X7618" s="1">
        <f t="shared" si="236"/>
        <v>0</v>
      </c>
      <c r="Y7618" s="1">
        <f t="shared" si="237"/>
        <v>0</v>
      </c>
    </row>
    <row r="7619" spans="24:25" x14ac:dyDescent="0.3">
      <c r="X7619" s="1">
        <f t="shared" ref="X7619:X7682" si="238">IFERROR(MATCH(W7619,$B:$B,0),0)</f>
        <v>0</v>
      </c>
      <c r="Y7619" s="1">
        <f t="shared" ref="Y7619:Y7682" si="239">IF(X7620=0,COUNTA(A:A),X7620-1)</f>
        <v>0</v>
      </c>
    </row>
    <row r="7620" spans="24:25" x14ac:dyDescent="0.3">
      <c r="X7620" s="1">
        <f t="shared" si="238"/>
        <v>0</v>
      </c>
      <c r="Y7620" s="1">
        <f t="shared" si="239"/>
        <v>0</v>
      </c>
    </row>
    <row r="7621" spans="24:25" x14ac:dyDescent="0.3">
      <c r="X7621" s="1">
        <f t="shared" si="238"/>
        <v>0</v>
      </c>
      <c r="Y7621" s="1">
        <f t="shared" si="239"/>
        <v>0</v>
      </c>
    </row>
    <row r="7622" spans="24:25" x14ac:dyDescent="0.3">
      <c r="X7622" s="1">
        <f t="shared" si="238"/>
        <v>0</v>
      </c>
      <c r="Y7622" s="1">
        <f t="shared" si="239"/>
        <v>0</v>
      </c>
    </row>
    <row r="7623" spans="24:25" x14ac:dyDescent="0.3">
      <c r="X7623" s="1">
        <f t="shared" si="238"/>
        <v>0</v>
      </c>
      <c r="Y7623" s="1">
        <f t="shared" si="239"/>
        <v>0</v>
      </c>
    </row>
    <row r="7624" spans="24:25" x14ac:dyDescent="0.3">
      <c r="X7624" s="1">
        <f t="shared" si="238"/>
        <v>0</v>
      </c>
      <c r="Y7624" s="1">
        <f t="shared" si="239"/>
        <v>0</v>
      </c>
    </row>
    <row r="7625" spans="24:25" x14ac:dyDescent="0.3">
      <c r="X7625" s="1">
        <f t="shared" si="238"/>
        <v>0</v>
      </c>
      <c r="Y7625" s="1">
        <f t="shared" si="239"/>
        <v>0</v>
      </c>
    </row>
    <row r="7626" spans="24:25" x14ac:dyDescent="0.3">
      <c r="X7626" s="1">
        <f t="shared" si="238"/>
        <v>0</v>
      </c>
      <c r="Y7626" s="1">
        <f t="shared" si="239"/>
        <v>0</v>
      </c>
    </row>
    <row r="7627" spans="24:25" x14ac:dyDescent="0.3">
      <c r="X7627" s="1">
        <f t="shared" si="238"/>
        <v>0</v>
      </c>
      <c r="Y7627" s="1">
        <f t="shared" si="239"/>
        <v>0</v>
      </c>
    </row>
    <row r="7628" spans="24:25" x14ac:dyDescent="0.3">
      <c r="X7628" s="1">
        <f t="shared" si="238"/>
        <v>0</v>
      </c>
      <c r="Y7628" s="1">
        <f t="shared" si="239"/>
        <v>0</v>
      </c>
    </row>
    <row r="7629" spans="24:25" x14ac:dyDescent="0.3">
      <c r="X7629" s="1">
        <f t="shared" si="238"/>
        <v>0</v>
      </c>
      <c r="Y7629" s="1">
        <f t="shared" si="239"/>
        <v>0</v>
      </c>
    </row>
    <row r="7630" spans="24:25" x14ac:dyDescent="0.3">
      <c r="X7630" s="1">
        <f t="shared" si="238"/>
        <v>0</v>
      </c>
      <c r="Y7630" s="1">
        <f t="shared" si="239"/>
        <v>0</v>
      </c>
    </row>
    <row r="7631" spans="24:25" x14ac:dyDescent="0.3">
      <c r="X7631" s="1">
        <f t="shared" si="238"/>
        <v>0</v>
      </c>
      <c r="Y7631" s="1">
        <f t="shared" si="239"/>
        <v>0</v>
      </c>
    </row>
    <row r="7632" spans="24:25" x14ac:dyDescent="0.3">
      <c r="X7632" s="1">
        <f t="shared" si="238"/>
        <v>0</v>
      </c>
      <c r="Y7632" s="1">
        <f t="shared" si="239"/>
        <v>0</v>
      </c>
    </row>
    <row r="7633" spans="24:25" x14ac:dyDescent="0.3">
      <c r="X7633" s="1">
        <f t="shared" si="238"/>
        <v>0</v>
      </c>
      <c r="Y7633" s="1">
        <f t="shared" si="239"/>
        <v>0</v>
      </c>
    </row>
    <row r="7634" spans="24:25" x14ac:dyDescent="0.3">
      <c r="X7634" s="1">
        <f t="shared" si="238"/>
        <v>0</v>
      </c>
      <c r="Y7634" s="1">
        <f t="shared" si="239"/>
        <v>0</v>
      </c>
    </row>
    <row r="7635" spans="24:25" x14ac:dyDescent="0.3">
      <c r="X7635" s="1">
        <f t="shared" si="238"/>
        <v>0</v>
      </c>
      <c r="Y7635" s="1">
        <f t="shared" si="239"/>
        <v>0</v>
      </c>
    </row>
    <row r="7636" spans="24:25" x14ac:dyDescent="0.3">
      <c r="X7636" s="1">
        <f t="shared" si="238"/>
        <v>0</v>
      </c>
      <c r="Y7636" s="1">
        <f t="shared" si="239"/>
        <v>0</v>
      </c>
    </row>
    <row r="7637" spans="24:25" x14ac:dyDescent="0.3">
      <c r="X7637" s="1">
        <f t="shared" si="238"/>
        <v>0</v>
      </c>
      <c r="Y7637" s="1">
        <f t="shared" si="239"/>
        <v>0</v>
      </c>
    </row>
    <row r="7638" spans="24:25" x14ac:dyDescent="0.3">
      <c r="X7638" s="1">
        <f t="shared" si="238"/>
        <v>0</v>
      </c>
      <c r="Y7638" s="1">
        <f t="shared" si="239"/>
        <v>0</v>
      </c>
    </row>
    <row r="7639" spans="24:25" x14ac:dyDescent="0.3">
      <c r="X7639" s="1">
        <f t="shared" si="238"/>
        <v>0</v>
      </c>
      <c r="Y7639" s="1">
        <f t="shared" si="239"/>
        <v>0</v>
      </c>
    </row>
    <row r="7640" spans="24:25" x14ac:dyDescent="0.3">
      <c r="X7640" s="1">
        <f t="shared" si="238"/>
        <v>0</v>
      </c>
      <c r="Y7640" s="1">
        <f t="shared" si="239"/>
        <v>0</v>
      </c>
    </row>
    <row r="7641" spans="24:25" x14ac:dyDescent="0.3">
      <c r="X7641" s="1">
        <f t="shared" si="238"/>
        <v>0</v>
      </c>
      <c r="Y7641" s="1">
        <f t="shared" si="239"/>
        <v>0</v>
      </c>
    </row>
    <row r="7642" spans="24:25" x14ac:dyDescent="0.3">
      <c r="X7642" s="1">
        <f t="shared" si="238"/>
        <v>0</v>
      </c>
      <c r="Y7642" s="1">
        <f t="shared" si="239"/>
        <v>0</v>
      </c>
    </row>
    <row r="7643" spans="24:25" x14ac:dyDescent="0.3">
      <c r="X7643" s="1">
        <f t="shared" si="238"/>
        <v>0</v>
      </c>
      <c r="Y7643" s="1">
        <f t="shared" si="239"/>
        <v>0</v>
      </c>
    </row>
    <row r="7644" spans="24:25" x14ac:dyDescent="0.3">
      <c r="X7644" s="1">
        <f t="shared" si="238"/>
        <v>0</v>
      </c>
      <c r="Y7644" s="1">
        <f t="shared" si="239"/>
        <v>0</v>
      </c>
    </row>
    <row r="7645" spans="24:25" x14ac:dyDescent="0.3">
      <c r="X7645" s="1">
        <f t="shared" si="238"/>
        <v>0</v>
      </c>
      <c r="Y7645" s="1">
        <f t="shared" si="239"/>
        <v>0</v>
      </c>
    </row>
    <row r="7646" spans="24:25" x14ac:dyDescent="0.3">
      <c r="X7646" s="1">
        <f t="shared" si="238"/>
        <v>0</v>
      </c>
      <c r="Y7646" s="1">
        <f t="shared" si="239"/>
        <v>0</v>
      </c>
    </row>
    <row r="7647" spans="24:25" x14ac:dyDescent="0.3">
      <c r="X7647" s="1">
        <f t="shared" si="238"/>
        <v>0</v>
      </c>
      <c r="Y7647" s="1">
        <f t="shared" si="239"/>
        <v>0</v>
      </c>
    </row>
    <row r="7648" spans="24:25" x14ac:dyDescent="0.3">
      <c r="X7648" s="1">
        <f t="shared" si="238"/>
        <v>0</v>
      </c>
      <c r="Y7648" s="1">
        <f t="shared" si="239"/>
        <v>0</v>
      </c>
    </row>
    <row r="7649" spans="24:25" x14ac:dyDescent="0.3">
      <c r="X7649" s="1">
        <f t="shared" si="238"/>
        <v>0</v>
      </c>
      <c r="Y7649" s="1">
        <f t="shared" si="239"/>
        <v>0</v>
      </c>
    </row>
    <row r="7650" spans="24:25" x14ac:dyDescent="0.3">
      <c r="X7650" s="1">
        <f t="shared" si="238"/>
        <v>0</v>
      </c>
      <c r="Y7650" s="1">
        <f t="shared" si="239"/>
        <v>0</v>
      </c>
    </row>
    <row r="7651" spans="24:25" x14ac:dyDescent="0.3">
      <c r="X7651" s="1">
        <f t="shared" si="238"/>
        <v>0</v>
      </c>
      <c r="Y7651" s="1">
        <f t="shared" si="239"/>
        <v>0</v>
      </c>
    </row>
    <row r="7652" spans="24:25" x14ac:dyDescent="0.3">
      <c r="X7652" s="1">
        <f t="shared" si="238"/>
        <v>0</v>
      </c>
      <c r="Y7652" s="1">
        <f t="shared" si="239"/>
        <v>0</v>
      </c>
    </row>
    <row r="7653" spans="24:25" x14ac:dyDescent="0.3">
      <c r="X7653" s="1">
        <f t="shared" si="238"/>
        <v>0</v>
      </c>
      <c r="Y7653" s="1">
        <f t="shared" si="239"/>
        <v>0</v>
      </c>
    </row>
    <row r="7654" spans="24:25" x14ac:dyDescent="0.3">
      <c r="X7654" s="1">
        <f t="shared" si="238"/>
        <v>0</v>
      </c>
      <c r="Y7654" s="1">
        <f t="shared" si="239"/>
        <v>0</v>
      </c>
    </row>
    <row r="7655" spans="24:25" x14ac:dyDescent="0.3">
      <c r="X7655" s="1">
        <f t="shared" si="238"/>
        <v>0</v>
      </c>
      <c r="Y7655" s="1">
        <f t="shared" si="239"/>
        <v>0</v>
      </c>
    </row>
    <row r="7656" spans="24:25" x14ac:dyDescent="0.3">
      <c r="X7656" s="1">
        <f t="shared" si="238"/>
        <v>0</v>
      </c>
      <c r="Y7656" s="1">
        <f t="shared" si="239"/>
        <v>0</v>
      </c>
    </row>
    <row r="7657" spans="24:25" x14ac:dyDescent="0.3">
      <c r="X7657" s="1">
        <f t="shared" si="238"/>
        <v>0</v>
      </c>
      <c r="Y7657" s="1">
        <f t="shared" si="239"/>
        <v>0</v>
      </c>
    </row>
    <row r="7658" spans="24:25" x14ac:dyDescent="0.3">
      <c r="X7658" s="1">
        <f t="shared" si="238"/>
        <v>0</v>
      </c>
      <c r="Y7658" s="1">
        <f t="shared" si="239"/>
        <v>0</v>
      </c>
    </row>
    <row r="7659" spans="24:25" x14ac:dyDescent="0.3">
      <c r="X7659" s="1">
        <f t="shared" si="238"/>
        <v>0</v>
      </c>
      <c r="Y7659" s="1">
        <f t="shared" si="239"/>
        <v>0</v>
      </c>
    </row>
    <row r="7660" spans="24:25" x14ac:dyDescent="0.3">
      <c r="X7660" s="1">
        <f t="shared" si="238"/>
        <v>0</v>
      </c>
      <c r="Y7660" s="1">
        <f t="shared" si="239"/>
        <v>0</v>
      </c>
    </row>
    <row r="7661" spans="24:25" x14ac:dyDescent="0.3">
      <c r="X7661" s="1">
        <f t="shared" si="238"/>
        <v>0</v>
      </c>
      <c r="Y7661" s="1">
        <f t="shared" si="239"/>
        <v>0</v>
      </c>
    </row>
    <row r="7662" spans="24:25" x14ac:dyDescent="0.3">
      <c r="X7662" s="1">
        <f t="shared" si="238"/>
        <v>0</v>
      </c>
      <c r="Y7662" s="1">
        <f t="shared" si="239"/>
        <v>0</v>
      </c>
    </row>
    <row r="7663" spans="24:25" x14ac:dyDescent="0.3">
      <c r="X7663" s="1">
        <f t="shared" si="238"/>
        <v>0</v>
      </c>
      <c r="Y7663" s="1">
        <f t="shared" si="239"/>
        <v>0</v>
      </c>
    </row>
    <row r="7664" spans="24:25" x14ac:dyDescent="0.3">
      <c r="X7664" s="1">
        <f t="shared" si="238"/>
        <v>0</v>
      </c>
      <c r="Y7664" s="1">
        <f t="shared" si="239"/>
        <v>0</v>
      </c>
    </row>
    <row r="7665" spans="24:25" x14ac:dyDescent="0.3">
      <c r="X7665" s="1">
        <f t="shared" si="238"/>
        <v>0</v>
      </c>
      <c r="Y7665" s="1">
        <f t="shared" si="239"/>
        <v>0</v>
      </c>
    </row>
    <row r="7666" spans="24:25" x14ac:dyDescent="0.3">
      <c r="X7666" s="1">
        <f t="shared" si="238"/>
        <v>0</v>
      </c>
      <c r="Y7666" s="1">
        <f t="shared" si="239"/>
        <v>0</v>
      </c>
    </row>
    <row r="7667" spans="24:25" x14ac:dyDescent="0.3">
      <c r="X7667" s="1">
        <f t="shared" si="238"/>
        <v>0</v>
      </c>
      <c r="Y7667" s="1">
        <f t="shared" si="239"/>
        <v>0</v>
      </c>
    </row>
    <row r="7668" spans="24:25" x14ac:dyDescent="0.3">
      <c r="X7668" s="1">
        <f t="shared" si="238"/>
        <v>0</v>
      </c>
      <c r="Y7668" s="1">
        <f t="shared" si="239"/>
        <v>0</v>
      </c>
    </row>
    <row r="7669" spans="24:25" x14ac:dyDescent="0.3">
      <c r="X7669" s="1">
        <f t="shared" si="238"/>
        <v>0</v>
      </c>
      <c r="Y7669" s="1">
        <f t="shared" si="239"/>
        <v>0</v>
      </c>
    </row>
    <row r="7670" spans="24:25" x14ac:dyDescent="0.3">
      <c r="X7670" s="1">
        <f t="shared" si="238"/>
        <v>0</v>
      </c>
      <c r="Y7670" s="1">
        <f t="shared" si="239"/>
        <v>0</v>
      </c>
    </row>
    <row r="7671" spans="24:25" x14ac:dyDescent="0.3">
      <c r="X7671" s="1">
        <f t="shared" si="238"/>
        <v>0</v>
      </c>
      <c r="Y7671" s="1">
        <f t="shared" si="239"/>
        <v>0</v>
      </c>
    </row>
    <row r="7672" spans="24:25" x14ac:dyDescent="0.3">
      <c r="X7672" s="1">
        <f t="shared" si="238"/>
        <v>0</v>
      </c>
      <c r="Y7672" s="1">
        <f t="shared" si="239"/>
        <v>0</v>
      </c>
    </row>
    <row r="7673" spans="24:25" x14ac:dyDescent="0.3">
      <c r="X7673" s="1">
        <f t="shared" si="238"/>
        <v>0</v>
      </c>
      <c r="Y7673" s="1">
        <f t="shared" si="239"/>
        <v>0</v>
      </c>
    </row>
    <row r="7674" spans="24:25" x14ac:dyDescent="0.3">
      <c r="X7674" s="1">
        <f t="shared" si="238"/>
        <v>0</v>
      </c>
      <c r="Y7674" s="1">
        <f t="shared" si="239"/>
        <v>0</v>
      </c>
    </row>
    <row r="7675" spans="24:25" x14ac:dyDescent="0.3">
      <c r="X7675" s="1">
        <f t="shared" si="238"/>
        <v>0</v>
      </c>
      <c r="Y7675" s="1">
        <f t="shared" si="239"/>
        <v>0</v>
      </c>
    </row>
    <row r="7676" spans="24:25" x14ac:dyDescent="0.3">
      <c r="X7676" s="1">
        <f t="shared" si="238"/>
        <v>0</v>
      </c>
      <c r="Y7676" s="1">
        <f t="shared" si="239"/>
        <v>0</v>
      </c>
    </row>
    <row r="7677" spans="24:25" x14ac:dyDescent="0.3">
      <c r="X7677" s="1">
        <f t="shared" si="238"/>
        <v>0</v>
      </c>
      <c r="Y7677" s="1">
        <f t="shared" si="239"/>
        <v>0</v>
      </c>
    </row>
    <row r="7678" spans="24:25" x14ac:dyDescent="0.3">
      <c r="X7678" s="1">
        <f t="shared" si="238"/>
        <v>0</v>
      </c>
      <c r="Y7678" s="1">
        <f t="shared" si="239"/>
        <v>0</v>
      </c>
    </row>
    <row r="7679" spans="24:25" x14ac:dyDescent="0.3">
      <c r="X7679" s="1">
        <f t="shared" si="238"/>
        <v>0</v>
      </c>
      <c r="Y7679" s="1">
        <f t="shared" si="239"/>
        <v>0</v>
      </c>
    </row>
    <row r="7680" spans="24:25" x14ac:dyDescent="0.3">
      <c r="X7680" s="1">
        <f t="shared" si="238"/>
        <v>0</v>
      </c>
      <c r="Y7680" s="1">
        <f t="shared" si="239"/>
        <v>0</v>
      </c>
    </row>
    <row r="7681" spans="24:25" x14ac:dyDescent="0.3">
      <c r="X7681" s="1">
        <f t="shared" si="238"/>
        <v>0</v>
      </c>
      <c r="Y7681" s="1">
        <f t="shared" si="239"/>
        <v>0</v>
      </c>
    </row>
    <row r="7682" spans="24:25" x14ac:dyDescent="0.3">
      <c r="X7682" s="1">
        <f t="shared" si="238"/>
        <v>0</v>
      </c>
      <c r="Y7682" s="1">
        <f t="shared" si="239"/>
        <v>0</v>
      </c>
    </row>
    <row r="7683" spans="24:25" x14ac:dyDescent="0.3">
      <c r="X7683" s="1">
        <f t="shared" ref="X7683:X7746" si="240">IFERROR(MATCH(W7683,$B:$B,0),0)</f>
        <v>0</v>
      </c>
      <c r="Y7683" s="1">
        <f t="shared" ref="Y7683:Y7746" si="241">IF(X7684=0,COUNTA(A:A),X7684-1)</f>
        <v>0</v>
      </c>
    </row>
    <row r="7684" spans="24:25" x14ac:dyDescent="0.3">
      <c r="X7684" s="1">
        <f t="shared" si="240"/>
        <v>0</v>
      </c>
      <c r="Y7684" s="1">
        <f t="shared" si="241"/>
        <v>0</v>
      </c>
    </row>
    <row r="7685" spans="24:25" x14ac:dyDescent="0.3">
      <c r="X7685" s="1">
        <f t="shared" si="240"/>
        <v>0</v>
      </c>
      <c r="Y7685" s="1">
        <f t="shared" si="241"/>
        <v>0</v>
      </c>
    </row>
    <row r="7686" spans="24:25" x14ac:dyDescent="0.3">
      <c r="X7686" s="1">
        <f t="shared" si="240"/>
        <v>0</v>
      </c>
      <c r="Y7686" s="1">
        <f t="shared" si="241"/>
        <v>0</v>
      </c>
    </row>
    <row r="7687" spans="24:25" x14ac:dyDescent="0.3">
      <c r="X7687" s="1">
        <f t="shared" si="240"/>
        <v>0</v>
      </c>
      <c r="Y7687" s="1">
        <f t="shared" si="241"/>
        <v>0</v>
      </c>
    </row>
    <row r="7688" spans="24:25" x14ac:dyDescent="0.3">
      <c r="X7688" s="1">
        <f t="shared" si="240"/>
        <v>0</v>
      </c>
      <c r="Y7688" s="1">
        <f t="shared" si="241"/>
        <v>0</v>
      </c>
    </row>
    <row r="7689" spans="24:25" x14ac:dyDescent="0.3">
      <c r="X7689" s="1">
        <f t="shared" si="240"/>
        <v>0</v>
      </c>
      <c r="Y7689" s="1">
        <f t="shared" si="241"/>
        <v>0</v>
      </c>
    </row>
    <row r="7690" spans="24:25" x14ac:dyDescent="0.3">
      <c r="X7690" s="1">
        <f t="shared" si="240"/>
        <v>0</v>
      </c>
      <c r="Y7690" s="1">
        <f t="shared" si="241"/>
        <v>0</v>
      </c>
    </row>
    <row r="7691" spans="24:25" x14ac:dyDescent="0.3">
      <c r="X7691" s="1">
        <f t="shared" si="240"/>
        <v>0</v>
      </c>
      <c r="Y7691" s="1">
        <f t="shared" si="241"/>
        <v>0</v>
      </c>
    </row>
    <row r="7692" spans="24:25" x14ac:dyDescent="0.3">
      <c r="X7692" s="1">
        <f t="shared" si="240"/>
        <v>0</v>
      </c>
      <c r="Y7692" s="1">
        <f t="shared" si="241"/>
        <v>0</v>
      </c>
    </row>
    <row r="7693" spans="24:25" x14ac:dyDescent="0.3">
      <c r="X7693" s="1">
        <f t="shared" si="240"/>
        <v>0</v>
      </c>
      <c r="Y7693" s="1">
        <f t="shared" si="241"/>
        <v>0</v>
      </c>
    </row>
    <row r="7694" spans="24:25" x14ac:dyDescent="0.3">
      <c r="X7694" s="1">
        <f t="shared" si="240"/>
        <v>0</v>
      </c>
      <c r="Y7694" s="1">
        <f t="shared" si="241"/>
        <v>0</v>
      </c>
    </row>
    <row r="7695" spans="24:25" x14ac:dyDescent="0.3">
      <c r="X7695" s="1">
        <f t="shared" si="240"/>
        <v>0</v>
      </c>
      <c r="Y7695" s="1">
        <f t="shared" si="241"/>
        <v>0</v>
      </c>
    </row>
    <row r="7696" spans="24:25" x14ac:dyDescent="0.3">
      <c r="X7696" s="1">
        <f t="shared" si="240"/>
        <v>0</v>
      </c>
      <c r="Y7696" s="1">
        <f t="shared" si="241"/>
        <v>0</v>
      </c>
    </row>
    <row r="7697" spans="24:25" x14ac:dyDescent="0.3">
      <c r="X7697" s="1">
        <f t="shared" si="240"/>
        <v>0</v>
      </c>
      <c r="Y7697" s="1">
        <f t="shared" si="241"/>
        <v>0</v>
      </c>
    </row>
    <row r="7698" spans="24:25" x14ac:dyDescent="0.3">
      <c r="X7698" s="1">
        <f t="shared" si="240"/>
        <v>0</v>
      </c>
      <c r="Y7698" s="1">
        <f t="shared" si="241"/>
        <v>0</v>
      </c>
    </row>
    <row r="7699" spans="24:25" x14ac:dyDescent="0.3">
      <c r="X7699" s="1">
        <f t="shared" si="240"/>
        <v>0</v>
      </c>
      <c r="Y7699" s="1">
        <f t="shared" si="241"/>
        <v>0</v>
      </c>
    </row>
    <row r="7700" spans="24:25" x14ac:dyDescent="0.3">
      <c r="X7700" s="1">
        <f t="shared" si="240"/>
        <v>0</v>
      </c>
      <c r="Y7700" s="1">
        <f t="shared" si="241"/>
        <v>0</v>
      </c>
    </row>
    <row r="7701" spans="24:25" x14ac:dyDescent="0.3">
      <c r="X7701" s="1">
        <f t="shared" si="240"/>
        <v>0</v>
      </c>
      <c r="Y7701" s="1">
        <f t="shared" si="241"/>
        <v>0</v>
      </c>
    </row>
    <row r="7702" spans="24:25" x14ac:dyDescent="0.3">
      <c r="X7702" s="1">
        <f t="shared" si="240"/>
        <v>0</v>
      </c>
      <c r="Y7702" s="1">
        <f t="shared" si="241"/>
        <v>0</v>
      </c>
    </row>
    <row r="7703" spans="24:25" x14ac:dyDescent="0.3">
      <c r="X7703" s="1">
        <f t="shared" si="240"/>
        <v>0</v>
      </c>
      <c r="Y7703" s="1">
        <f t="shared" si="241"/>
        <v>0</v>
      </c>
    </row>
    <row r="7704" spans="24:25" x14ac:dyDescent="0.3">
      <c r="X7704" s="1">
        <f t="shared" si="240"/>
        <v>0</v>
      </c>
      <c r="Y7704" s="1">
        <f t="shared" si="241"/>
        <v>0</v>
      </c>
    </row>
    <row r="7705" spans="24:25" x14ac:dyDescent="0.3">
      <c r="X7705" s="1">
        <f t="shared" si="240"/>
        <v>0</v>
      </c>
      <c r="Y7705" s="1">
        <f t="shared" si="241"/>
        <v>0</v>
      </c>
    </row>
    <row r="7706" spans="24:25" x14ac:dyDescent="0.3">
      <c r="X7706" s="1">
        <f t="shared" si="240"/>
        <v>0</v>
      </c>
      <c r="Y7706" s="1">
        <f t="shared" si="241"/>
        <v>0</v>
      </c>
    </row>
    <row r="7707" spans="24:25" x14ac:dyDescent="0.3">
      <c r="X7707" s="1">
        <f t="shared" si="240"/>
        <v>0</v>
      </c>
      <c r="Y7707" s="1">
        <f t="shared" si="241"/>
        <v>0</v>
      </c>
    </row>
    <row r="7708" spans="24:25" x14ac:dyDescent="0.3">
      <c r="X7708" s="1">
        <f t="shared" si="240"/>
        <v>0</v>
      </c>
      <c r="Y7708" s="1">
        <f t="shared" si="241"/>
        <v>0</v>
      </c>
    </row>
    <row r="7709" spans="24:25" x14ac:dyDescent="0.3">
      <c r="X7709" s="1">
        <f t="shared" si="240"/>
        <v>0</v>
      </c>
      <c r="Y7709" s="1">
        <f t="shared" si="241"/>
        <v>0</v>
      </c>
    </row>
    <row r="7710" spans="24:25" x14ac:dyDescent="0.3">
      <c r="X7710" s="1">
        <f t="shared" si="240"/>
        <v>0</v>
      </c>
      <c r="Y7710" s="1">
        <f t="shared" si="241"/>
        <v>0</v>
      </c>
    </row>
    <row r="7711" spans="24:25" x14ac:dyDescent="0.3">
      <c r="X7711" s="1">
        <f t="shared" si="240"/>
        <v>0</v>
      </c>
      <c r="Y7711" s="1">
        <f t="shared" si="241"/>
        <v>0</v>
      </c>
    </row>
    <row r="7712" spans="24:25" x14ac:dyDescent="0.3">
      <c r="X7712" s="1">
        <f t="shared" si="240"/>
        <v>0</v>
      </c>
      <c r="Y7712" s="1">
        <f t="shared" si="241"/>
        <v>0</v>
      </c>
    </row>
    <row r="7713" spans="24:25" x14ac:dyDescent="0.3">
      <c r="X7713" s="1">
        <f t="shared" si="240"/>
        <v>0</v>
      </c>
      <c r="Y7713" s="1">
        <f t="shared" si="241"/>
        <v>0</v>
      </c>
    </row>
    <row r="7714" spans="24:25" x14ac:dyDescent="0.3">
      <c r="X7714" s="1">
        <f t="shared" si="240"/>
        <v>0</v>
      </c>
      <c r="Y7714" s="1">
        <f t="shared" si="241"/>
        <v>0</v>
      </c>
    </row>
    <row r="7715" spans="24:25" x14ac:dyDescent="0.3">
      <c r="X7715" s="1">
        <f t="shared" si="240"/>
        <v>0</v>
      </c>
      <c r="Y7715" s="1">
        <f t="shared" si="241"/>
        <v>0</v>
      </c>
    </row>
    <row r="7716" spans="24:25" x14ac:dyDescent="0.3">
      <c r="X7716" s="1">
        <f t="shared" si="240"/>
        <v>0</v>
      </c>
      <c r="Y7716" s="1">
        <f t="shared" si="241"/>
        <v>0</v>
      </c>
    </row>
    <row r="7717" spans="24:25" x14ac:dyDescent="0.3">
      <c r="X7717" s="1">
        <f t="shared" si="240"/>
        <v>0</v>
      </c>
      <c r="Y7717" s="1">
        <f t="shared" si="241"/>
        <v>0</v>
      </c>
    </row>
    <row r="7718" spans="24:25" x14ac:dyDescent="0.3">
      <c r="X7718" s="1">
        <f t="shared" si="240"/>
        <v>0</v>
      </c>
      <c r="Y7718" s="1">
        <f t="shared" si="241"/>
        <v>0</v>
      </c>
    </row>
    <row r="7719" spans="24:25" x14ac:dyDescent="0.3">
      <c r="X7719" s="1">
        <f t="shared" si="240"/>
        <v>0</v>
      </c>
      <c r="Y7719" s="1">
        <f t="shared" si="241"/>
        <v>0</v>
      </c>
    </row>
    <row r="7720" spans="24:25" x14ac:dyDescent="0.3">
      <c r="X7720" s="1">
        <f t="shared" si="240"/>
        <v>0</v>
      </c>
      <c r="Y7720" s="1">
        <f t="shared" si="241"/>
        <v>0</v>
      </c>
    </row>
    <row r="7721" spans="24:25" x14ac:dyDescent="0.3">
      <c r="X7721" s="1">
        <f t="shared" si="240"/>
        <v>0</v>
      </c>
      <c r="Y7721" s="1">
        <f t="shared" si="241"/>
        <v>0</v>
      </c>
    </row>
    <row r="7722" spans="24:25" x14ac:dyDescent="0.3">
      <c r="X7722" s="1">
        <f t="shared" si="240"/>
        <v>0</v>
      </c>
      <c r="Y7722" s="1">
        <f t="shared" si="241"/>
        <v>0</v>
      </c>
    </row>
    <row r="7723" spans="24:25" x14ac:dyDescent="0.3">
      <c r="X7723" s="1">
        <f t="shared" si="240"/>
        <v>0</v>
      </c>
      <c r="Y7723" s="1">
        <f t="shared" si="241"/>
        <v>0</v>
      </c>
    </row>
    <row r="7724" spans="24:25" x14ac:dyDescent="0.3">
      <c r="X7724" s="1">
        <f t="shared" si="240"/>
        <v>0</v>
      </c>
      <c r="Y7724" s="1">
        <f t="shared" si="241"/>
        <v>0</v>
      </c>
    </row>
    <row r="7725" spans="24:25" x14ac:dyDescent="0.3">
      <c r="X7725" s="1">
        <f t="shared" si="240"/>
        <v>0</v>
      </c>
      <c r="Y7725" s="1">
        <f t="shared" si="241"/>
        <v>0</v>
      </c>
    </row>
    <row r="7726" spans="24:25" x14ac:dyDescent="0.3">
      <c r="X7726" s="1">
        <f t="shared" si="240"/>
        <v>0</v>
      </c>
      <c r="Y7726" s="1">
        <f t="shared" si="241"/>
        <v>0</v>
      </c>
    </row>
    <row r="7727" spans="24:25" x14ac:dyDescent="0.3">
      <c r="X7727" s="1">
        <f t="shared" si="240"/>
        <v>0</v>
      </c>
      <c r="Y7727" s="1">
        <f t="shared" si="241"/>
        <v>0</v>
      </c>
    </row>
    <row r="7728" spans="24:25" x14ac:dyDescent="0.3">
      <c r="X7728" s="1">
        <f t="shared" si="240"/>
        <v>0</v>
      </c>
      <c r="Y7728" s="1">
        <f t="shared" si="241"/>
        <v>0</v>
      </c>
    </row>
    <row r="7729" spans="24:25" x14ac:dyDescent="0.3">
      <c r="X7729" s="1">
        <f t="shared" si="240"/>
        <v>0</v>
      </c>
      <c r="Y7729" s="1">
        <f t="shared" si="241"/>
        <v>0</v>
      </c>
    </row>
    <row r="7730" spans="24:25" x14ac:dyDescent="0.3">
      <c r="X7730" s="1">
        <f t="shared" si="240"/>
        <v>0</v>
      </c>
      <c r="Y7730" s="1">
        <f t="shared" si="241"/>
        <v>0</v>
      </c>
    </row>
    <row r="7731" spans="24:25" x14ac:dyDescent="0.3">
      <c r="X7731" s="1">
        <f t="shared" si="240"/>
        <v>0</v>
      </c>
      <c r="Y7731" s="1">
        <f t="shared" si="241"/>
        <v>0</v>
      </c>
    </row>
    <row r="7732" spans="24:25" x14ac:dyDescent="0.3">
      <c r="X7732" s="1">
        <f t="shared" si="240"/>
        <v>0</v>
      </c>
      <c r="Y7732" s="1">
        <f t="shared" si="241"/>
        <v>0</v>
      </c>
    </row>
    <row r="7733" spans="24:25" x14ac:dyDescent="0.3">
      <c r="X7733" s="1">
        <f t="shared" si="240"/>
        <v>0</v>
      </c>
      <c r="Y7733" s="1">
        <f t="shared" si="241"/>
        <v>0</v>
      </c>
    </row>
    <row r="7734" spans="24:25" x14ac:dyDescent="0.3">
      <c r="X7734" s="1">
        <f t="shared" si="240"/>
        <v>0</v>
      </c>
      <c r="Y7734" s="1">
        <f t="shared" si="241"/>
        <v>0</v>
      </c>
    </row>
    <row r="7735" spans="24:25" x14ac:dyDescent="0.3">
      <c r="X7735" s="1">
        <f t="shared" si="240"/>
        <v>0</v>
      </c>
      <c r="Y7735" s="1">
        <f t="shared" si="241"/>
        <v>0</v>
      </c>
    </row>
    <row r="7736" spans="24:25" x14ac:dyDescent="0.3">
      <c r="X7736" s="1">
        <f t="shared" si="240"/>
        <v>0</v>
      </c>
      <c r="Y7736" s="1">
        <f t="shared" si="241"/>
        <v>0</v>
      </c>
    </row>
    <row r="7737" spans="24:25" x14ac:dyDescent="0.3">
      <c r="X7737" s="1">
        <f t="shared" si="240"/>
        <v>0</v>
      </c>
      <c r="Y7737" s="1">
        <f t="shared" si="241"/>
        <v>0</v>
      </c>
    </row>
    <row r="7738" spans="24:25" x14ac:dyDescent="0.3">
      <c r="X7738" s="1">
        <f t="shared" si="240"/>
        <v>0</v>
      </c>
      <c r="Y7738" s="1">
        <f t="shared" si="241"/>
        <v>0</v>
      </c>
    </row>
    <row r="7739" spans="24:25" x14ac:dyDescent="0.3">
      <c r="X7739" s="1">
        <f t="shared" si="240"/>
        <v>0</v>
      </c>
      <c r="Y7739" s="1">
        <f t="shared" si="241"/>
        <v>0</v>
      </c>
    </row>
    <row r="7740" spans="24:25" x14ac:dyDescent="0.3">
      <c r="X7740" s="1">
        <f t="shared" si="240"/>
        <v>0</v>
      </c>
      <c r="Y7740" s="1">
        <f t="shared" si="241"/>
        <v>0</v>
      </c>
    </row>
    <row r="7741" spans="24:25" x14ac:dyDescent="0.3">
      <c r="X7741" s="1">
        <f t="shared" si="240"/>
        <v>0</v>
      </c>
      <c r="Y7741" s="1">
        <f t="shared" si="241"/>
        <v>0</v>
      </c>
    </row>
    <row r="7742" spans="24:25" x14ac:dyDescent="0.3">
      <c r="X7742" s="1">
        <f t="shared" si="240"/>
        <v>0</v>
      </c>
      <c r="Y7742" s="1">
        <f t="shared" si="241"/>
        <v>0</v>
      </c>
    </row>
    <row r="7743" spans="24:25" x14ac:dyDescent="0.3">
      <c r="X7743" s="1">
        <f t="shared" si="240"/>
        <v>0</v>
      </c>
      <c r="Y7743" s="1">
        <f t="shared" si="241"/>
        <v>0</v>
      </c>
    </row>
    <row r="7744" spans="24:25" x14ac:dyDescent="0.3">
      <c r="X7744" s="1">
        <f t="shared" si="240"/>
        <v>0</v>
      </c>
      <c r="Y7744" s="1">
        <f t="shared" si="241"/>
        <v>0</v>
      </c>
    </row>
    <row r="7745" spans="24:25" x14ac:dyDescent="0.3">
      <c r="X7745" s="1">
        <f t="shared" si="240"/>
        <v>0</v>
      </c>
      <c r="Y7745" s="1">
        <f t="shared" si="241"/>
        <v>0</v>
      </c>
    </row>
    <row r="7746" spans="24:25" x14ac:dyDescent="0.3">
      <c r="X7746" s="1">
        <f t="shared" si="240"/>
        <v>0</v>
      </c>
      <c r="Y7746" s="1">
        <f t="shared" si="241"/>
        <v>0</v>
      </c>
    </row>
    <row r="7747" spans="24:25" x14ac:dyDescent="0.3">
      <c r="X7747" s="1">
        <f t="shared" ref="X7747:X7810" si="242">IFERROR(MATCH(W7747,$B:$B,0),0)</f>
        <v>0</v>
      </c>
      <c r="Y7747" s="1">
        <f t="shared" ref="Y7747:Y7810" si="243">IF(X7748=0,COUNTA(A:A),X7748-1)</f>
        <v>0</v>
      </c>
    </row>
    <row r="7748" spans="24:25" x14ac:dyDescent="0.3">
      <c r="X7748" s="1">
        <f t="shared" si="242"/>
        <v>0</v>
      </c>
      <c r="Y7748" s="1">
        <f t="shared" si="243"/>
        <v>0</v>
      </c>
    </row>
    <row r="7749" spans="24:25" x14ac:dyDescent="0.3">
      <c r="X7749" s="1">
        <f t="shared" si="242"/>
        <v>0</v>
      </c>
      <c r="Y7749" s="1">
        <f t="shared" si="243"/>
        <v>0</v>
      </c>
    </row>
    <row r="7750" spans="24:25" x14ac:dyDescent="0.3">
      <c r="X7750" s="1">
        <f t="shared" si="242"/>
        <v>0</v>
      </c>
      <c r="Y7750" s="1">
        <f t="shared" si="243"/>
        <v>0</v>
      </c>
    </row>
    <row r="7751" spans="24:25" x14ac:dyDescent="0.3">
      <c r="X7751" s="1">
        <f t="shared" si="242"/>
        <v>0</v>
      </c>
      <c r="Y7751" s="1">
        <f t="shared" si="243"/>
        <v>0</v>
      </c>
    </row>
    <row r="7752" spans="24:25" x14ac:dyDescent="0.3">
      <c r="X7752" s="1">
        <f t="shared" si="242"/>
        <v>0</v>
      </c>
      <c r="Y7752" s="1">
        <f t="shared" si="243"/>
        <v>0</v>
      </c>
    </row>
    <row r="7753" spans="24:25" x14ac:dyDescent="0.3">
      <c r="X7753" s="1">
        <f t="shared" si="242"/>
        <v>0</v>
      </c>
      <c r="Y7753" s="1">
        <f t="shared" si="243"/>
        <v>0</v>
      </c>
    </row>
    <row r="7754" spans="24:25" x14ac:dyDescent="0.3">
      <c r="X7754" s="1">
        <f t="shared" si="242"/>
        <v>0</v>
      </c>
      <c r="Y7754" s="1">
        <f t="shared" si="243"/>
        <v>0</v>
      </c>
    </row>
    <row r="7755" spans="24:25" x14ac:dyDescent="0.3">
      <c r="X7755" s="1">
        <f t="shared" si="242"/>
        <v>0</v>
      </c>
      <c r="Y7755" s="1">
        <f t="shared" si="243"/>
        <v>0</v>
      </c>
    </row>
    <row r="7756" spans="24:25" x14ac:dyDescent="0.3">
      <c r="X7756" s="1">
        <f t="shared" si="242"/>
        <v>0</v>
      </c>
      <c r="Y7756" s="1">
        <f t="shared" si="243"/>
        <v>0</v>
      </c>
    </row>
    <row r="7757" spans="24:25" x14ac:dyDescent="0.3">
      <c r="X7757" s="1">
        <f t="shared" si="242"/>
        <v>0</v>
      </c>
      <c r="Y7757" s="1">
        <f t="shared" si="243"/>
        <v>0</v>
      </c>
    </row>
    <row r="7758" spans="24:25" x14ac:dyDescent="0.3">
      <c r="X7758" s="1">
        <f t="shared" si="242"/>
        <v>0</v>
      </c>
      <c r="Y7758" s="1">
        <f t="shared" si="243"/>
        <v>0</v>
      </c>
    </row>
    <row r="7759" spans="24:25" x14ac:dyDescent="0.3">
      <c r="X7759" s="1">
        <f t="shared" si="242"/>
        <v>0</v>
      </c>
      <c r="Y7759" s="1">
        <f t="shared" si="243"/>
        <v>0</v>
      </c>
    </row>
    <row r="7760" spans="24:25" x14ac:dyDescent="0.3">
      <c r="X7760" s="1">
        <f t="shared" si="242"/>
        <v>0</v>
      </c>
      <c r="Y7760" s="1">
        <f t="shared" si="243"/>
        <v>0</v>
      </c>
    </row>
    <row r="7761" spans="24:25" x14ac:dyDescent="0.3">
      <c r="X7761" s="1">
        <f t="shared" si="242"/>
        <v>0</v>
      </c>
      <c r="Y7761" s="1">
        <f t="shared" si="243"/>
        <v>0</v>
      </c>
    </row>
    <row r="7762" spans="24:25" x14ac:dyDescent="0.3">
      <c r="X7762" s="1">
        <f t="shared" si="242"/>
        <v>0</v>
      </c>
      <c r="Y7762" s="1">
        <f t="shared" si="243"/>
        <v>0</v>
      </c>
    </row>
    <row r="7763" spans="24:25" x14ac:dyDescent="0.3">
      <c r="X7763" s="1">
        <f t="shared" si="242"/>
        <v>0</v>
      </c>
      <c r="Y7763" s="1">
        <f t="shared" si="243"/>
        <v>0</v>
      </c>
    </row>
    <row r="7764" spans="24:25" x14ac:dyDescent="0.3">
      <c r="X7764" s="1">
        <f t="shared" si="242"/>
        <v>0</v>
      </c>
      <c r="Y7764" s="1">
        <f t="shared" si="243"/>
        <v>0</v>
      </c>
    </row>
    <row r="7765" spans="24:25" x14ac:dyDescent="0.3">
      <c r="X7765" s="1">
        <f t="shared" si="242"/>
        <v>0</v>
      </c>
      <c r="Y7765" s="1">
        <f t="shared" si="243"/>
        <v>0</v>
      </c>
    </row>
    <row r="7766" spans="24:25" x14ac:dyDescent="0.3">
      <c r="X7766" s="1">
        <f t="shared" si="242"/>
        <v>0</v>
      </c>
      <c r="Y7766" s="1">
        <f t="shared" si="243"/>
        <v>0</v>
      </c>
    </row>
    <row r="7767" spans="24:25" x14ac:dyDescent="0.3">
      <c r="X7767" s="1">
        <f t="shared" si="242"/>
        <v>0</v>
      </c>
      <c r="Y7767" s="1">
        <f t="shared" si="243"/>
        <v>0</v>
      </c>
    </row>
    <row r="7768" spans="24:25" x14ac:dyDescent="0.3">
      <c r="X7768" s="1">
        <f t="shared" si="242"/>
        <v>0</v>
      </c>
      <c r="Y7768" s="1">
        <f t="shared" si="243"/>
        <v>0</v>
      </c>
    </row>
    <row r="7769" spans="24:25" x14ac:dyDescent="0.3">
      <c r="X7769" s="1">
        <f t="shared" si="242"/>
        <v>0</v>
      </c>
      <c r="Y7769" s="1">
        <f t="shared" si="243"/>
        <v>0</v>
      </c>
    </row>
    <row r="7770" spans="24:25" x14ac:dyDescent="0.3">
      <c r="X7770" s="1">
        <f t="shared" si="242"/>
        <v>0</v>
      </c>
      <c r="Y7770" s="1">
        <f t="shared" si="243"/>
        <v>0</v>
      </c>
    </row>
    <row r="7771" spans="24:25" x14ac:dyDescent="0.3">
      <c r="X7771" s="1">
        <f t="shared" si="242"/>
        <v>0</v>
      </c>
      <c r="Y7771" s="1">
        <f t="shared" si="243"/>
        <v>0</v>
      </c>
    </row>
    <row r="7772" spans="24:25" x14ac:dyDescent="0.3">
      <c r="X7772" s="1">
        <f t="shared" si="242"/>
        <v>0</v>
      </c>
      <c r="Y7772" s="1">
        <f t="shared" si="243"/>
        <v>0</v>
      </c>
    </row>
    <row r="7773" spans="24:25" x14ac:dyDescent="0.3">
      <c r="X7773" s="1">
        <f t="shared" si="242"/>
        <v>0</v>
      </c>
      <c r="Y7773" s="1">
        <f t="shared" si="243"/>
        <v>0</v>
      </c>
    </row>
    <row r="7774" spans="24:25" x14ac:dyDescent="0.3">
      <c r="X7774" s="1">
        <f t="shared" si="242"/>
        <v>0</v>
      </c>
      <c r="Y7774" s="1">
        <f t="shared" si="243"/>
        <v>0</v>
      </c>
    </row>
    <row r="7775" spans="24:25" x14ac:dyDescent="0.3">
      <c r="X7775" s="1">
        <f t="shared" si="242"/>
        <v>0</v>
      </c>
      <c r="Y7775" s="1">
        <f t="shared" si="243"/>
        <v>0</v>
      </c>
    </row>
    <row r="7776" spans="24:25" x14ac:dyDescent="0.3">
      <c r="X7776" s="1">
        <f t="shared" si="242"/>
        <v>0</v>
      </c>
      <c r="Y7776" s="1">
        <f t="shared" si="243"/>
        <v>0</v>
      </c>
    </row>
    <row r="7777" spans="24:25" x14ac:dyDescent="0.3">
      <c r="X7777" s="1">
        <f t="shared" si="242"/>
        <v>0</v>
      </c>
      <c r="Y7777" s="1">
        <f t="shared" si="243"/>
        <v>0</v>
      </c>
    </row>
    <row r="7778" spans="24:25" x14ac:dyDescent="0.3">
      <c r="X7778" s="1">
        <f t="shared" si="242"/>
        <v>0</v>
      </c>
      <c r="Y7778" s="1">
        <f t="shared" si="243"/>
        <v>0</v>
      </c>
    </row>
    <row r="7779" spans="24:25" x14ac:dyDescent="0.3">
      <c r="X7779" s="1">
        <f t="shared" si="242"/>
        <v>0</v>
      </c>
      <c r="Y7779" s="1">
        <f t="shared" si="243"/>
        <v>0</v>
      </c>
    </row>
    <row r="7780" spans="24:25" x14ac:dyDescent="0.3">
      <c r="X7780" s="1">
        <f t="shared" si="242"/>
        <v>0</v>
      </c>
      <c r="Y7780" s="1">
        <f t="shared" si="243"/>
        <v>0</v>
      </c>
    </row>
    <row r="7781" spans="24:25" x14ac:dyDescent="0.3">
      <c r="X7781" s="1">
        <f t="shared" si="242"/>
        <v>0</v>
      </c>
      <c r="Y7781" s="1">
        <f t="shared" si="243"/>
        <v>0</v>
      </c>
    </row>
    <row r="7782" spans="24:25" x14ac:dyDescent="0.3">
      <c r="X7782" s="1">
        <f t="shared" si="242"/>
        <v>0</v>
      </c>
      <c r="Y7782" s="1">
        <f t="shared" si="243"/>
        <v>0</v>
      </c>
    </row>
    <row r="7783" spans="24:25" x14ac:dyDescent="0.3">
      <c r="X7783" s="1">
        <f t="shared" si="242"/>
        <v>0</v>
      </c>
      <c r="Y7783" s="1">
        <f t="shared" si="243"/>
        <v>0</v>
      </c>
    </row>
    <row r="7784" spans="24:25" x14ac:dyDescent="0.3">
      <c r="X7784" s="1">
        <f t="shared" si="242"/>
        <v>0</v>
      </c>
      <c r="Y7784" s="1">
        <f t="shared" si="243"/>
        <v>0</v>
      </c>
    </row>
    <row r="7785" spans="24:25" x14ac:dyDescent="0.3">
      <c r="X7785" s="1">
        <f t="shared" si="242"/>
        <v>0</v>
      </c>
      <c r="Y7785" s="1">
        <f t="shared" si="243"/>
        <v>0</v>
      </c>
    </row>
    <row r="7786" spans="24:25" x14ac:dyDescent="0.3">
      <c r="X7786" s="1">
        <f t="shared" si="242"/>
        <v>0</v>
      </c>
      <c r="Y7786" s="1">
        <f t="shared" si="243"/>
        <v>0</v>
      </c>
    </row>
    <row r="7787" spans="24:25" x14ac:dyDescent="0.3">
      <c r="X7787" s="1">
        <f t="shared" si="242"/>
        <v>0</v>
      </c>
      <c r="Y7787" s="1">
        <f t="shared" si="243"/>
        <v>0</v>
      </c>
    </row>
    <row r="7788" spans="24:25" x14ac:dyDescent="0.3">
      <c r="X7788" s="1">
        <f t="shared" si="242"/>
        <v>0</v>
      </c>
      <c r="Y7788" s="1">
        <f t="shared" si="243"/>
        <v>0</v>
      </c>
    </row>
    <row r="7789" spans="24:25" x14ac:dyDescent="0.3">
      <c r="X7789" s="1">
        <f t="shared" si="242"/>
        <v>0</v>
      </c>
      <c r="Y7789" s="1">
        <f t="shared" si="243"/>
        <v>0</v>
      </c>
    </row>
    <row r="7790" spans="24:25" x14ac:dyDescent="0.3">
      <c r="X7790" s="1">
        <f t="shared" si="242"/>
        <v>0</v>
      </c>
      <c r="Y7790" s="1">
        <f t="shared" si="243"/>
        <v>0</v>
      </c>
    </row>
    <row r="7791" spans="24:25" x14ac:dyDescent="0.3">
      <c r="X7791" s="1">
        <f t="shared" si="242"/>
        <v>0</v>
      </c>
      <c r="Y7791" s="1">
        <f t="shared" si="243"/>
        <v>0</v>
      </c>
    </row>
    <row r="7792" spans="24:25" x14ac:dyDescent="0.3">
      <c r="X7792" s="1">
        <f t="shared" si="242"/>
        <v>0</v>
      </c>
      <c r="Y7792" s="1">
        <f t="shared" si="243"/>
        <v>0</v>
      </c>
    </row>
    <row r="7793" spans="24:25" x14ac:dyDescent="0.3">
      <c r="X7793" s="1">
        <f t="shared" si="242"/>
        <v>0</v>
      </c>
      <c r="Y7793" s="1">
        <f t="shared" si="243"/>
        <v>0</v>
      </c>
    </row>
    <row r="7794" spans="24:25" x14ac:dyDescent="0.3">
      <c r="X7794" s="1">
        <f t="shared" si="242"/>
        <v>0</v>
      </c>
      <c r="Y7794" s="1">
        <f t="shared" si="243"/>
        <v>0</v>
      </c>
    </row>
    <row r="7795" spans="24:25" x14ac:dyDescent="0.3">
      <c r="X7795" s="1">
        <f t="shared" si="242"/>
        <v>0</v>
      </c>
      <c r="Y7795" s="1">
        <f t="shared" si="243"/>
        <v>0</v>
      </c>
    </row>
    <row r="7796" spans="24:25" x14ac:dyDescent="0.3">
      <c r="X7796" s="1">
        <f t="shared" si="242"/>
        <v>0</v>
      </c>
      <c r="Y7796" s="1">
        <f t="shared" si="243"/>
        <v>0</v>
      </c>
    </row>
    <row r="7797" spans="24:25" x14ac:dyDescent="0.3">
      <c r="X7797" s="1">
        <f t="shared" si="242"/>
        <v>0</v>
      </c>
      <c r="Y7797" s="1">
        <f t="shared" si="243"/>
        <v>0</v>
      </c>
    </row>
    <row r="7798" spans="24:25" x14ac:dyDescent="0.3">
      <c r="X7798" s="1">
        <f t="shared" si="242"/>
        <v>0</v>
      </c>
      <c r="Y7798" s="1">
        <f t="shared" si="243"/>
        <v>0</v>
      </c>
    </row>
    <row r="7799" spans="24:25" x14ac:dyDescent="0.3">
      <c r="X7799" s="1">
        <f t="shared" si="242"/>
        <v>0</v>
      </c>
      <c r="Y7799" s="1">
        <f t="shared" si="243"/>
        <v>0</v>
      </c>
    </row>
    <row r="7800" spans="24:25" x14ac:dyDescent="0.3">
      <c r="X7800" s="1">
        <f t="shared" si="242"/>
        <v>0</v>
      </c>
      <c r="Y7800" s="1">
        <f t="shared" si="243"/>
        <v>0</v>
      </c>
    </row>
    <row r="7801" spans="24:25" x14ac:dyDescent="0.3">
      <c r="X7801" s="1">
        <f t="shared" si="242"/>
        <v>0</v>
      </c>
      <c r="Y7801" s="1">
        <f t="shared" si="243"/>
        <v>0</v>
      </c>
    </row>
    <row r="7802" spans="24:25" x14ac:dyDescent="0.3">
      <c r="X7802" s="1">
        <f t="shared" si="242"/>
        <v>0</v>
      </c>
      <c r="Y7802" s="1">
        <f t="shared" si="243"/>
        <v>0</v>
      </c>
    </row>
    <row r="7803" spans="24:25" x14ac:dyDescent="0.3">
      <c r="X7803" s="1">
        <f t="shared" si="242"/>
        <v>0</v>
      </c>
      <c r="Y7803" s="1">
        <f t="shared" si="243"/>
        <v>0</v>
      </c>
    </row>
    <row r="7804" spans="24:25" x14ac:dyDescent="0.3">
      <c r="X7804" s="1">
        <f t="shared" si="242"/>
        <v>0</v>
      </c>
      <c r="Y7804" s="1">
        <f t="shared" si="243"/>
        <v>0</v>
      </c>
    </row>
    <row r="7805" spans="24:25" x14ac:dyDescent="0.3">
      <c r="X7805" s="1">
        <f t="shared" si="242"/>
        <v>0</v>
      </c>
      <c r="Y7805" s="1">
        <f t="shared" si="243"/>
        <v>0</v>
      </c>
    </row>
    <row r="7806" spans="24:25" x14ac:dyDescent="0.3">
      <c r="X7806" s="1">
        <f t="shared" si="242"/>
        <v>0</v>
      </c>
      <c r="Y7806" s="1">
        <f t="shared" si="243"/>
        <v>0</v>
      </c>
    </row>
    <row r="7807" spans="24:25" x14ac:dyDescent="0.3">
      <c r="X7807" s="1">
        <f t="shared" si="242"/>
        <v>0</v>
      </c>
      <c r="Y7807" s="1">
        <f t="shared" si="243"/>
        <v>0</v>
      </c>
    </row>
    <row r="7808" spans="24:25" x14ac:dyDescent="0.3">
      <c r="X7808" s="1">
        <f t="shared" si="242"/>
        <v>0</v>
      </c>
      <c r="Y7808" s="1">
        <f t="shared" si="243"/>
        <v>0</v>
      </c>
    </row>
    <row r="7809" spans="24:25" x14ac:dyDescent="0.3">
      <c r="X7809" s="1">
        <f t="shared" si="242"/>
        <v>0</v>
      </c>
      <c r="Y7809" s="1">
        <f t="shared" si="243"/>
        <v>0</v>
      </c>
    </row>
    <row r="7810" spans="24:25" x14ac:dyDescent="0.3">
      <c r="X7810" s="1">
        <f t="shared" si="242"/>
        <v>0</v>
      </c>
      <c r="Y7810" s="1">
        <f t="shared" si="243"/>
        <v>0</v>
      </c>
    </row>
    <row r="7811" spans="24:25" x14ac:dyDescent="0.3">
      <c r="X7811" s="1">
        <f t="shared" ref="X7811:X7874" si="244">IFERROR(MATCH(W7811,$B:$B,0),0)</f>
        <v>0</v>
      </c>
      <c r="Y7811" s="1">
        <f t="shared" ref="Y7811:Y7874" si="245">IF(X7812=0,COUNTA(A:A),X7812-1)</f>
        <v>0</v>
      </c>
    </row>
    <row r="7812" spans="24:25" x14ac:dyDescent="0.3">
      <c r="X7812" s="1">
        <f t="shared" si="244"/>
        <v>0</v>
      </c>
      <c r="Y7812" s="1">
        <f t="shared" si="245"/>
        <v>0</v>
      </c>
    </row>
    <row r="7813" spans="24:25" x14ac:dyDescent="0.3">
      <c r="X7813" s="1">
        <f t="shared" si="244"/>
        <v>0</v>
      </c>
      <c r="Y7813" s="1">
        <f t="shared" si="245"/>
        <v>0</v>
      </c>
    </row>
    <row r="7814" spans="24:25" x14ac:dyDescent="0.3">
      <c r="X7814" s="1">
        <f t="shared" si="244"/>
        <v>0</v>
      </c>
      <c r="Y7814" s="1">
        <f t="shared" si="245"/>
        <v>0</v>
      </c>
    </row>
    <row r="7815" spans="24:25" x14ac:dyDescent="0.3">
      <c r="X7815" s="1">
        <f t="shared" si="244"/>
        <v>0</v>
      </c>
      <c r="Y7815" s="1">
        <f t="shared" si="245"/>
        <v>0</v>
      </c>
    </row>
    <row r="7816" spans="24:25" x14ac:dyDescent="0.3">
      <c r="X7816" s="1">
        <f t="shared" si="244"/>
        <v>0</v>
      </c>
      <c r="Y7816" s="1">
        <f t="shared" si="245"/>
        <v>0</v>
      </c>
    </row>
    <row r="7817" spans="24:25" x14ac:dyDescent="0.3">
      <c r="X7817" s="1">
        <f t="shared" si="244"/>
        <v>0</v>
      </c>
      <c r="Y7817" s="1">
        <f t="shared" si="245"/>
        <v>0</v>
      </c>
    </row>
    <row r="7818" spans="24:25" x14ac:dyDescent="0.3">
      <c r="X7818" s="1">
        <f t="shared" si="244"/>
        <v>0</v>
      </c>
      <c r="Y7818" s="1">
        <f t="shared" si="245"/>
        <v>0</v>
      </c>
    </row>
    <row r="7819" spans="24:25" x14ac:dyDescent="0.3">
      <c r="X7819" s="1">
        <f t="shared" si="244"/>
        <v>0</v>
      </c>
      <c r="Y7819" s="1">
        <f t="shared" si="245"/>
        <v>0</v>
      </c>
    </row>
    <row r="7820" spans="24:25" x14ac:dyDescent="0.3">
      <c r="X7820" s="1">
        <f t="shared" si="244"/>
        <v>0</v>
      </c>
      <c r="Y7820" s="1">
        <f t="shared" si="245"/>
        <v>0</v>
      </c>
    </row>
    <row r="7821" spans="24:25" x14ac:dyDescent="0.3">
      <c r="X7821" s="1">
        <f t="shared" si="244"/>
        <v>0</v>
      </c>
      <c r="Y7821" s="1">
        <f t="shared" si="245"/>
        <v>0</v>
      </c>
    </row>
    <row r="7822" spans="24:25" x14ac:dyDescent="0.3">
      <c r="X7822" s="1">
        <f t="shared" si="244"/>
        <v>0</v>
      </c>
      <c r="Y7822" s="1">
        <f t="shared" si="245"/>
        <v>0</v>
      </c>
    </row>
    <row r="7823" spans="24:25" x14ac:dyDescent="0.3">
      <c r="X7823" s="1">
        <f t="shared" si="244"/>
        <v>0</v>
      </c>
      <c r="Y7823" s="1">
        <f t="shared" si="245"/>
        <v>0</v>
      </c>
    </row>
    <row r="7824" spans="24:25" x14ac:dyDescent="0.3">
      <c r="X7824" s="1">
        <f t="shared" si="244"/>
        <v>0</v>
      </c>
      <c r="Y7824" s="1">
        <f t="shared" si="245"/>
        <v>0</v>
      </c>
    </row>
    <row r="7825" spans="24:25" x14ac:dyDescent="0.3">
      <c r="X7825" s="1">
        <f t="shared" si="244"/>
        <v>0</v>
      </c>
      <c r="Y7825" s="1">
        <f t="shared" si="245"/>
        <v>0</v>
      </c>
    </row>
    <row r="7826" spans="24:25" x14ac:dyDescent="0.3">
      <c r="X7826" s="1">
        <f t="shared" si="244"/>
        <v>0</v>
      </c>
      <c r="Y7826" s="1">
        <f t="shared" si="245"/>
        <v>0</v>
      </c>
    </row>
    <row r="7827" spans="24:25" x14ac:dyDescent="0.3">
      <c r="X7827" s="1">
        <f t="shared" si="244"/>
        <v>0</v>
      </c>
      <c r="Y7827" s="1">
        <f t="shared" si="245"/>
        <v>0</v>
      </c>
    </row>
    <row r="7828" spans="24:25" x14ac:dyDescent="0.3">
      <c r="X7828" s="1">
        <f t="shared" si="244"/>
        <v>0</v>
      </c>
      <c r="Y7828" s="1">
        <f t="shared" si="245"/>
        <v>0</v>
      </c>
    </row>
    <row r="7829" spans="24:25" x14ac:dyDescent="0.3">
      <c r="X7829" s="1">
        <f t="shared" si="244"/>
        <v>0</v>
      </c>
      <c r="Y7829" s="1">
        <f t="shared" si="245"/>
        <v>0</v>
      </c>
    </row>
    <row r="7830" spans="24:25" x14ac:dyDescent="0.3">
      <c r="X7830" s="1">
        <f t="shared" si="244"/>
        <v>0</v>
      </c>
      <c r="Y7830" s="1">
        <f t="shared" si="245"/>
        <v>0</v>
      </c>
    </row>
    <row r="7831" spans="24:25" x14ac:dyDescent="0.3">
      <c r="X7831" s="1">
        <f t="shared" si="244"/>
        <v>0</v>
      </c>
      <c r="Y7831" s="1">
        <f t="shared" si="245"/>
        <v>0</v>
      </c>
    </row>
    <row r="7832" spans="24:25" x14ac:dyDescent="0.3">
      <c r="X7832" s="1">
        <f t="shared" si="244"/>
        <v>0</v>
      </c>
      <c r="Y7832" s="1">
        <f t="shared" si="245"/>
        <v>0</v>
      </c>
    </row>
    <row r="7833" spans="24:25" x14ac:dyDescent="0.3">
      <c r="X7833" s="1">
        <f t="shared" si="244"/>
        <v>0</v>
      </c>
      <c r="Y7833" s="1">
        <f t="shared" si="245"/>
        <v>0</v>
      </c>
    </row>
    <row r="7834" spans="24:25" x14ac:dyDescent="0.3">
      <c r="X7834" s="1">
        <f t="shared" si="244"/>
        <v>0</v>
      </c>
      <c r="Y7834" s="1">
        <f t="shared" si="245"/>
        <v>0</v>
      </c>
    </row>
    <row r="7835" spans="24:25" x14ac:dyDescent="0.3">
      <c r="X7835" s="1">
        <f t="shared" si="244"/>
        <v>0</v>
      </c>
      <c r="Y7835" s="1">
        <f t="shared" si="245"/>
        <v>0</v>
      </c>
    </row>
    <row r="7836" spans="24:25" x14ac:dyDescent="0.3">
      <c r="X7836" s="1">
        <f t="shared" si="244"/>
        <v>0</v>
      </c>
      <c r="Y7836" s="1">
        <f t="shared" si="245"/>
        <v>0</v>
      </c>
    </row>
    <row r="7837" spans="24:25" x14ac:dyDescent="0.3">
      <c r="X7837" s="1">
        <f t="shared" si="244"/>
        <v>0</v>
      </c>
      <c r="Y7837" s="1">
        <f t="shared" si="245"/>
        <v>0</v>
      </c>
    </row>
    <row r="7838" spans="24:25" x14ac:dyDescent="0.3">
      <c r="X7838" s="1">
        <f t="shared" si="244"/>
        <v>0</v>
      </c>
      <c r="Y7838" s="1">
        <f t="shared" si="245"/>
        <v>0</v>
      </c>
    </row>
    <row r="7839" spans="24:25" x14ac:dyDescent="0.3">
      <c r="X7839" s="1">
        <f t="shared" si="244"/>
        <v>0</v>
      </c>
      <c r="Y7839" s="1">
        <f t="shared" si="245"/>
        <v>0</v>
      </c>
    </row>
    <row r="7840" spans="24:25" x14ac:dyDescent="0.3">
      <c r="X7840" s="1">
        <f t="shared" si="244"/>
        <v>0</v>
      </c>
      <c r="Y7840" s="1">
        <f t="shared" si="245"/>
        <v>0</v>
      </c>
    </row>
    <row r="7841" spans="24:25" x14ac:dyDescent="0.3">
      <c r="X7841" s="1">
        <f t="shared" si="244"/>
        <v>0</v>
      </c>
      <c r="Y7841" s="1">
        <f t="shared" si="245"/>
        <v>0</v>
      </c>
    </row>
    <row r="7842" spans="24:25" x14ac:dyDescent="0.3">
      <c r="X7842" s="1">
        <f t="shared" si="244"/>
        <v>0</v>
      </c>
      <c r="Y7842" s="1">
        <f t="shared" si="245"/>
        <v>0</v>
      </c>
    </row>
    <row r="7843" spans="24:25" x14ac:dyDescent="0.3">
      <c r="X7843" s="1">
        <f t="shared" si="244"/>
        <v>0</v>
      </c>
      <c r="Y7843" s="1">
        <f t="shared" si="245"/>
        <v>0</v>
      </c>
    </row>
    <row r="7844" spans="24:25" x14ac:dyDescent="0.3">
      <c r="X7844" s="1">
        <f t="shared" si="244"/>
        <v>0</v>
      </c>
      <c r="Y7844" s="1">
        <f t="shared" si="245"/>
        <v>0</v>
      </c>
    </row>
    <row r="7845" spans="24:25" x14ac:dyDescent="0.3">
      <c r="X7845" s="1">
        <f t="shared" si="244"/>
        <v>0</v>
      </c>
      <c r="Y7845" s="1">
        <f t="shared" si="245"/>
        <v>0</v>
      </c>
    </row>
    <row r="7846" spans="24:25" x14ac:dyDescent="0.3">
      <c r="X7846" s="1">
        <f t="shared" si="244"/>
        <v>0</v>
      </c>
      <c r="Y7846" s="1">
        <f t="shared" si="245"/>
        <v>0</v>
      </c>
    </row>
    <row r="7847" spans="24:25" x14ac:dyDescent="0.3">
      <c r="X7847" s="1">
        <f t="shared" si="244"/>
        <v>0</v>
      </c>
      <c r="Y7847" s="1">
        <f t="shared" si="245"/>
        <v>0</v>
      </c>
    </row>
    <row r="7848" spans="24:25" x14ac:dyDescent="0.3">
      <c r="X7848" s="1">
        <f t="shared" si="244"/>
        <v>0</v>
      </c>
      <c r="Y7848" s="1">
        <f t="shared" si="245"/>
        <v>0</v>
      </c>
    </row>
    <row r="7849" spans="24:25" x14ac:dyDescent="0.3">
      <c r="X7849" s="1">
        <f t="shared" si="244"/>
        <v>0</v>
      </c>
      <c r="Y7849" s="1">
        <f t="shared" si="245"/>
        <v>0</v>
      </c>
    </row>
    <row r="7850" spans="24:25" x14ac:dyDescent="0.3">
      <c r="X7850" s="1">
        <f t="shared" si="244"/>
        <v>0</v>
      </c>
      <c r="Y7850" s="1">
        <f t="shared" si="245"/>
        <v>0</v>
      </c>
    </row>
    <row r="7851" spans="24:25" x14ac:dyDescent="0.3">
      <c r="X7851" s="1">
        <f t="shared" si="244"/>
        <v>0</v>
      </c>
      <c r="Y7851" s="1">
        <f t="shared" si="245"/>
        <v>0</v>
      </c>
    </row>
    <row r="7852" spans="24:25" x14ac:dyDescent="0.3">
      <c r="X7852" s="1">
        <f t="shared" si="244"/>
        <v>0</v>
      </c>
      <c r="Y7852" s="1">
        <f t="shared" si="245"/>
        <v>0</v>
      </c>
    </row>
    <row r="7853" spans="24:25" x14ac:dyDescent="0.3">
      <c r="X7853" s="1">
        <f t="shared" si="244"/>
        <v>0</v>
      </c>
      <c r="Y7853" s="1">
        <f t="shared" si="245"/>
        <v>0</v>
      </c>
    </row>
    <row r="7854" spans="24:25" x14ac:dyDescent="0.3">
      <c r="X7854" s="1">
        <f t="shared" si="244"/>
        <v>0</v>
      </c>
      <c r="Y7854" s="1">
        <f t="shared" si="245"/>
        <v>0</v>
      </c>
    </row>
    <row r="7855" spans="24:25" x14ac:dyDescent="0.3">
      <c r="X7855" s="1">
        <f t="shared" si="244"/>
        <v>0</v>
      </c>
      <c r="Y7855" s="1">
        <f t="shared" si="245"/>
        <v>0</v>
      </c>
    </row>
    <row r="7856" spans="24:25" x14ac:dyDescent="0.3">
      <c r="X7856" s="1">
        <f t="shared" si="244"/>
        <v>0</v>
      </c>
      <c r="Y7856" s="1">
        <f t="shared" si="245"/>
        <v>0</v>
      </c>
    </row>
    <row r="7857" spans="24:25" x14ac:dyDescent="0.3">
      <c r="X7857" s="1">
        <f t="shared" si="244"/>
        <v>0</v>
      </c>
      <c r="Y7857" s="1">
        <f t="shared" si="245"/>
        <v>0</v>
      </c>
    </row>
    <row r="7858" spans="24:25" x14ac:dyDescent="0.3">
      <c r="X7858" s="1">
        <f t="shared" si="244"/>
        <v>0</v>
      </c>
      <c r="Y7858" s="1">
        <f t="shared" si="245"/>
        <v>0</v>
      </c>
    </row>
    <row r="7859" spans="24:25" x14ac:dyDescent="0.3">
      <c r="X7859" s="1">
        <f t="shared" si="244"/>
        <v>0</v>
      </c>
      <c r="Y7859" s="1">
        <f t="shared" si="245"/>
        <v>0</v>
      </c>
    </row>
    <row r="7860" spans="24:25" x14ac:dyDescent="0.3">
      <c r="X7860" s="1">
        <f t="shared" si="244"/>
        <v>0</v>
      </c>
      <c r="Y7860" s="1">
        <f t="shared" si="245"/>
        <v>0</v>
      </c>
    </row>
    <row r="7861" spans="24:25" x14ac:dyDescent="0.3">
      <c r="X7861" s="1">
        <f t="shared" si="244"/>
        <v>0</v>
      </c>
      <c r="Y7861" s="1">
        <f t="shared" si="245"/>
        <v>0</v>
      </c>
    </row>
    <row r="7862" spans="24:25" x14ac:dyDescent="0.3">
      <c r="X7862" s="1">
        <f t="shared" si="244"/>
        <v>0</v>
      </c>
      <c r="Y7862" s="1">
        <f t="shared" si="245"/>
        <v>0</v>
      </c>
    </row>
    <row r="7863" spans="24:25" x14ac:dyDescent="0.3">
      <c r="X7863" s="1">
        <f t="shared" si="244"/>
        <v>0</v>
      </c>
      <c r="Y7863" s="1">
        <f t="shared" si="245"/>
        <v>0</v>
      </c>
    </row>
    <row r="7864" spans="24:25" x14ac:dyDescent="0.3">
      <c r="X7864" s="1">
        <f t="shared" si="244"/>
        <v>0</v>
      </c>
      <c r="Y7864" s="1">
        <f t="shared" si="245"/>
        <v>0</v>
      </c>
    </row>
    <row r="7865" spans="24:25" x14ac:dyDescent="0.3">
      <c r="X7865" s="1">
        <f t="shared" si="244"/>
        <v>0</v>
      </c>
      <c r="Y7865" s="1">
        <f t="shared" si="245"/>
        <v>0</v>
      </c>
    </row>
    <row r="7866" spans="24:25" x14ac:dyDescent="0.3">
      <c r="X7866" s="1">
        <f t="shared" si="244"/>
        <v>0</v>
      </c>
      <c r="Y7866" s="1">
        <f t="shared" si="245"/>
        <v>0</v>
      </c>
    </row>
    <row r="7867" spans="24:25" x14ac:dyDescent="0.3">
      <c r="X7867" s="1">
        <f t="shared" si="244"/>
        <v>0</v>
      </c>
      <c r="Y7867" s="1">
        <f t="shared" si="245"/>
        <v>0</v>
      </c>
    </row>
    <row r="7868" spans="24:25" x14ac:dyDescent="0.3">
      <c r="X7868" s="1">
        <f t="shared" si="244"/>
        <v>0</v>
      </c>
      <c r="Y7868" s="1">
        <f t="shared" si="245"/>
        <v>0</v>
      </c>
    </row>
    <row r="7869" spans="24:25" x14ac:dyDescent="0.3">
      <c r="X7869" s="1">
        <f t="shared" si="244"/>
        <v>0</v>
      </c>
      <c r="Y7869" s="1">
        <f t="shared" si="245"/>
        <v>0</v>
      </c>
    </row>
    <row r="7870" spans="24:25" x14ac:dyDescent="0.3">
      <c r="X7870" s="1">
        <f t="shared" si="244"/>
        <v>0</v>
      </c>
      <c r="Y7870" s="1">
        <f t="shared" si="245"/>
        <v>0</v>
      </c>
    </row>
    <row r="7871" spans="24:25" x14ac:dyDescent="0.3">
      <c r="X7871" s="1">
        <f t="shared" si="244"/>
        <v>0</v>
      </c>
      <c r="Y7871" s="1">
        <f t="shared" si="245"/>
        <v>0</v>
      </c>
    </row>
    <row r="7872" spans="24:25" x14ac:dyDescent="0.3">
      <c r="X7872" s="1">
        <f t="shared" si="244"/>
        <v>0</v>
      </c>
      <c r="Y7872" s="1">
        <f t="shared" si="245"/>
        <v>0</v>
      </c>
    </row>
    <row r="7873" spans="24:25" x14ac:dyDescent="0.3">
      <c r="X7873" s="1">
        <f t="shared" si="244"/>
        <v>0</v>
      </c>
      <c r="Y7873" s="1">
        <f t="shared" si="245"/>
        <v>0</v>
      </c>
    </row>
    <row r="7874" spans="24:25" x14ac:dyDescent="0.3">
      <c r="X7874" s="1">
        <f t="shared" si="244"/>
        <v>0</v>
      </c>
      <c r="Y7874" s="1">
        <f t="shared" si="245"/>
        <v>0</v>
      </c>
    </row>
    <row r="7875" spans="24:25" x14ac:dyDescent="0.3">
      <c r="X7875" s="1">
        <f t="shared" ref="X7875:X7938" si="246">IFERROR(MATCH(W7875,$B:$B,0),0)</f>
        <v>0</v>
      </c>
      <c r="Y7875" s="1">
        <f t="shared" ref="Y7875:Y7938" si="247">IF(X7876=0,COUNTA(A:A),X7876-1)</f>
        <v>0</v>
      </c>
    </row>
    <row r="7876" spans="24:25" x14ac:dyDescent="0.3">
      <c r="X7876" s="1">
        <f t="shared" si="246"/>
        <v>0</v>
      </c>
      <c r="Y7876" s="1">
        <f t="shared" si="247"/>
        <v>0</v>
      </c>
    </row>
    <row r="7877" spans="24:25" x14ac:dyDescent="0.3">
      <c r="X7877" s="1">
        <f t="shared" si="246"/>
        <v>0</v>
      </c>
      <c r="Y7877" s="1">
        <f t="shared" si="247"/>
        <v>0</v>
      </c>
    </row>
    <row r="7878" spans="24:25" x14ac:dyDescent="0.3">
      <c r="X7878" s="1">
        <f t="shared" si="246"/>
        <v>0</v>
      </c>
      <c r="Y7878" s="1">
        <f t="shared" si="247"/>
        <v>0</v>
      </c>
    </row>
    <row r="7879" spans="24:25" x14ac:dyDescent="0.3">
      <c r="X7879" s="1">
        <f t="shared" si="246"/>
        <v>0</v>
      </c>
      <c r="Y7879" s="1">
        <f t="shared" si="247"/>
        <v>0</v>
      </c>
    </row>
    <row r="7880" spans="24:25" x14ac:dyDescent="0.3">
      <c r="X7880" s="1">
        <f t="shared" si="246"/>
        <v>0</v>
      </c>
      <c r="Y7880" s="1">
        <f t="shared" si="247"/>
        <v>0</v>
      </c>
    </row>
    <row r="7881" spans="24:25" x14ac:dyDescent="0.3">
      <c r="X7881" s="1">
        <f t="shared" si="246"/>
        <v>0</v>
      </c>
      <c r="Y7881" s="1">
        <f t="shared" si="247"/>
        <v>0</v>
      </c>
    </row>
    <row r="7882" spans="24:25" x14ac:dyDescent="0.3">
      <c r="X7882" s="1">
        <f t="shared" si="246"/>
        <v>0</v>
      </c>
      <c r="Y7882" s="1">
        <f t="shared" si="247"/>
        <v>0</v>
      </c>
    </row>
    <row r="7883" spans="24:25" x14ac:dyDescent="0.3">
      <c r="X7883" s="1">
        <f t="shared" si="246"/>
        <v>0</v>
      </c>
      <c r="Y7883" s="1">
        <f t="shared" si="247"/>
        <v>0</v>
      </c>
    </row>
    <row r="7884" spans="24:25" x14ac:dyDescent="0.3">
      <c r="X7884" s="1">
        <f t="shared" si="246"/>
        <v>0</v>
      </c>
      <c r="Y7884" s="1">
        <f t="shared" si="247"/>
        <v>0</v>
      </c>
    </row>
    <row r="7885" spans="24:25" x14ac:dyDescent="0.3">
      <c r="X7885" s="1">
        <f t="shared" si="246"/>
        <v>0</v>
      </c>
      <c r="Y7885" s="1">
        <f t="shared" si="247"/>
        <v>0</v>
      </c>
    </row>
    <row r="7886" spans="24:25" x14ac:dyDescent="0.3">
      <c r="X7886" s="1">
        <f t="shared" si="246"/>
        <v>0</v>
      </c>
      <c r="Y7886" s="1">
        <f t="shared" si="247"/>
        <v>0</v>
      </c>
    </row>
    <row r="7887" spans="24:25" x14ac:dyDescent="0.3">
      <c r="X7887" s="1">
        <f t="shared" si="246"/>
        <v>0</v>
      </c>
      <c r="Y7887" s="1">
        <f t="shared" si="247"/>
        <v>0</v>
      </c>
    </row>
    <row r="7888" spans="24:25" x14ac:dyDescent="0.3">
      <c r="X7888" s="1">
        <f t="shared" si="246"/>
        <v>0</v>
      </c>
      <c r="Y7888" s="1">
        <f t="shared" si="247"/>
        <v>0</v>
      </c>
    </row>
    <row r="7889" spans="24:25" x14ac:dyDescent="0.3">
      <c r="X7889" s="1">
        <f t="shared" si="246"/>
        <v>0</v>
      </c>
      <c r="Y7889" s="1">
        <f t="shared" si="247"/>
        <v>0</v>
      </c>
    </row>
    <row r="7890" spans="24:25" x14ac:dyDescent="0.3">
      <c r="X7890" s="1">
        <f t="shared" si="246"/>
        <v>0</v>
      </c>
      <c r="Y7890" s="1">
        <f t="shared" si="247"/>
        <v>0</v>
      </c>
    </row>
    <row r="7891" spans="24:25" x14ac:dyDescent="0.3">
      <c r="X7891" s="1">
        <f t="shared" si="246"/>
        <v>0</v>
      </c>
      <c r="Y7891" s="1">
        <f t="shared" si="247"/>
        <v>0</v>
      </c>
    </row>
    <row r="7892" spans="24:25" x14ac:dyDescent="0.3">
      <c r="X7892" s="1">
        <f t="shared" si="246"/>
        <v>0</v>
      </c>
      <c r="Y7892" s="1">
        <f t="shared" si="247"/>
        <v>0</v>
      </c>
    </row>
    <row r="7893" spans="24:25" x14ac:dyDescent="0.3">
      <c r="X7893" s="1">
        <f t="shared" si="246"/>
        <v>0</v>
      </c>
      <c r="Y7893" s="1">
        <f t="shared" si="247"/>
        <v>0</v>
      </c>
    </row>
    <row r="7894" spans="24:25" x14ac:dyDescent="0.3">
      <c r="X7894" s="1">
        <f t="shared" si="246"/>
        <v>0</v>
      </c>
      <c r="Y7894" s="1">
        <f t="shared" si="247"/>
        <v>0</v>
      </c>
    </row>
    <row r="7895" spans="24:25" x14ac:dyDescent="0.3">
      <c r="X7895" s="1">
        <f t="shared" si="246"/>
        <v>0</v>
      </c>
      <c r="Y7895" s="1">
        <f t="shared" si="247"/>
        <v>0</v>
      </c>
    </row>
    <row r="7896" spans="24:25" x14ac:dyDescent="0.3">
      <c r="X7896" s="1">
        <f t="shared" si="246"/>
        <v>0</v>
      </c>
      <c r="Y7896" s="1">
        <f t="shared" si="247"/>
        <v>0</v>
      </c>
    </row>
    <row r="7897" spans="24:25" x14ac:dyDescent="0.3">
      <c r="X7897" s="1">
        <f t="shared" si="246"/>
        <v>0</v>
      </c>
      <c r="Y7897" s="1">
        <f t="shared" si="247"/>
        <v>0</v>
      </c>
    </row>
    <row r="7898" spans="24:25" x14ac:dyDescent="0.3">
      <c r="X7898" s="1">
        <f t="shared" si="246"/>
        <v>0</v>
      </c>
      <c r="Y7898" s="1">
        <f t="shared" si="247"/>
        <v>0</v>
      </c>
    </row>
    <row r="7899" spans="24:25" x14ac:dyDescent="0.3">
      <c r="X7899" s="1">
        <f t="shared" si="246"/>
        <v>0</v>
      </c>
      <c r="Y7899" s="1">
        <f t="shared" si="247"/>
        <v>0</v>
      </c>
    </row>
    <row r="7900" spans="24:25" x14ac:dyDescent="0.3">
      <c r="X7900" s="1">
        <f t="shared" si="246"/>
        <v>0</v>
      </c>
      <c r="Y7900" s="1">
        <f t="shared" si="247"/>
        <v>0</v>
      </c>
    </row>
    <row r="7901" spans="24:25" x14ac:dyDescent="0.3">
      <c r="X7901" s="1">
        <f t="shared" si="246"/>
        <v>0</v>
      </c>
      <c r="Y7901" s="1">
        <f t="shared" si="247"/>
        <v>0</v>
      </c>
    </row>
    <row r="7902" spans="24:25" x14ac:dyDescent="0.3">
      <c r="X7902" s="1">
        <f t="shared" si="246"/>
        <v>0</v>
      </c>
      <c r="Y7902" s="1">
        <f t="shared" si="247"/>
        <v>0</v>
      </c>
    </row>
    <row r="7903" spans="24:25" x14ac:dyDescent="0.3">
      <c r="X7903" s="1">
        <f t="shared" si="246"/>
        <v>0</v>
      </c>
      <c r="Y7903" s="1">
        <f t="shared" si="247"/>
        <v>0</v>
      </c>
    </row>
    <row r="7904" spans="24:25" x14ac:dyDescent="0.3">
      <c r="X7904" s="1">
        <f t="shared" si="246"/>
        <v>0</v>
      </c>
      <c r="Y7904" s="1">
        <f t="shared" si="247"/>
        <v>0</v>
      </c>
    </row>
    <row r="7905" spans="24:25" x14ac:dyDescent="0.3">
      <c r="X7905" s="1">
        <f t="shared" si="246"/>
        <v>0</v>
      </c>
      <c r="Y7905" s="1">
        <f t="shared" si="247"/>
        <v>0</v>
      </c>
    </row>
    <row r="7906" spans="24:25" x14ac:dyDescent="0.3">
      <c r="X7906" s="1">
        <f t="shared" si="246"/>
        <v>0</v>
      </c>
      <c r="Y7906" s="1">
        <f t="shared" si="247"/>
        <v>0</v>
      </c>
    </row>
    <row r="7907" spans="24:25" x14ac:dyDescent="0.3">
      <c r="X7907" s="1">
        <f t="shared" si="246"/>
        <v>0</v>
      </c>
      <c r="Y7907" s="1">
        <f t="shared" si="247"/>
        <v>0</v>
      </c>
    </row>
    <row r="7908" spans="24:25" x14ac:dyDescent="0.3">
      <c r="X7908" s="1">
        <f t="shared" si="246"/>
        <v>0</v>
      </c>
      <c r="Y7908" s="1">
        <f t="shared" si="247"/>
        <v>0</v>
      </c>
    </row>
    <row r="7909" spans="24:25" x14ac:dyDescent="0.3">
      <c r="X7909" s="1">
        <f t="shared" si="246"/>
        <v>0</v>
      </c>
      <c r="Y7909" s="1">
        <f t="shared" si="247"/>
        <v>0</v>
      </c>
    </row>
    <row r="7910" spans="24:25" x14ac:dyDescent="0.3">
      <c r="X7910" s="1">
        <f t="shared" si="246"/>
        <v>0</v>
      </c>
      <c r="Y7910" s="1">
        <f t="shared" si="247"/>
        <v>0</v>
      </c>
    </row>
    <row r="7911" spans="24:25" x14ac:dyDescent="0.3">
      <c r="X7911" s="1">
        <f t="shared" si="246"/>
        <v>0</v>
      </c>
      <c r="Y7911" s="1">
        <f t="shared" si="247"/>
        <v>0</v>
      </c>
    </row>
    <row r="7912" spans="24:25" x14ac:dyDescent="0.3">
      <c r="X7912" s="1">
        <f t="shared" si="246"/>
        <v>0</v>
      </c>
      <c r="Y7912" s="1">
        <f t="shared" si="247"/>
        <v>0</v>
      </c>
    </row>
    <row r="7913" spans="24:25" x14ac:dyDescent="0.3">
      <c r="X7913" s="1">
        <f t="shared" si="246"/>
        <v>0</v>
      </c>
      <c r="Y7913" s="1">
        <f t="shared" si="247"/>
        <v>0</v>
      </c>
    </row>
    <row r="7914" spans="24:25" x14ac:dyDescent="0.3">
      <c r="X7914" s="1">
        <f t="shared" si="246"/>
        <v>0</v>
      </c>
      <c r="Y7914" s="1">
        <f t="shared" si="247"/>
        <v>0</v>
      </c>
    </row>
    <row r="7915" spans="24:25" x14ac:dyDescent="0.3">
      <c r="X7915" s="1">
        <f t="shared" si="246"/>
        <v>0</v>
      </c>
      <c r="Y7915" s="1">
        <f t="shared" si="247"/>
        <v>0</v>
      </c>
    </row>
    <row r="7916" spans="24:25" x14ac:dyDescent="0.3">
      <c r="X7916" s="1">
        <f t="shared" si="246"/>
        <v>0</v>
      </c>
      <c r="Y7916" s="1">
        <f t="shared" si="247"/>
        <v>0</v>
      </c>
    </row>
    <row r="7917" spans="24:25" x14ac:dyDescent="0.3">
      <c r="X7917" s="1">
        <f t="shared" si="246"/>
        <v>0</v>
      </c>
      <c r="Y7917" s="1">
        <f t="shared" si="247"/>
        <v>0</v>
      </c>
    </row>
    <row r="7918" spans="24:25" x14ac:dyDescent="0.3">
      <c r="X7918" s="1">
        <f t="shared" si="246"/>
        <v>0</v>
      </c>
      <c r="Y7918" s="1">
        <f t="shared" si="247"/>
        <v>0</v>
      </c>
    </row>
    <row r="7919" spans="24:25" x14ac:dyDescent="0.3">
      <c r="X7919" s="1">
        <f t="shared" si="246"/>
        <v>0</v>
      </c>
      <c r="Y7919" s="1">
        <f t="shared" si="247"/>
        <v>0</v>
      </c>
    </row>
    <row r="7920" spans="24:25" x14ac:dyDescent="0.3">
      <c r="X7920" s="1">
        <f t="shared" si="246"/>
        <v>0</v>
      </c>
      <c r="Y7920" s="1">
        <f t="shared" si="247"/>
        <v>0</v>
      </c>
    </row>
    <row r="7921" spans="24:25" x14ac:dyDescent="0.3">
      <c r="X7921" s="1">
        <f t="shared" si="246"/>
        <v>0</v>
      </c>
      <c r="Y7921" s="1">
        <f t="shared" si="247"/>
        <v>0</v>
      </c>
    </row>
    <row r="7922" spans="24:25" x14ac:dyDescent="0.3">
      <c r="X7922" s="1">
        <f t="shared" si="246"/>
        <v>0</v>
      </c>
      <c r="Y7922" s="1">
        <f t="shared" si="247"/>
        <v>0</v>
      </c>
    </row>
    <row r="7923" spans="24:25" x14ac:dyDescent="0.3">
      <c r="X7923" s="1">
        <f t="shared" si="246"/>
        <v>0</v>
      </c>
      <c r="Y7923" s="1">
        <f t="shared" si="247"/>
        <v>0</v>
      </c>
    </row>
    <row r="7924" spans="24:25" x14ac:dyDescent="0.3">
      <c r="X7924" s="1">
        <f t="shared" si="246"/>
        <v>0</v>
      </c>
      <c r="Y7924" s="1">
        <f t="shared" si="247"/>
        <v>0</v>
      </c>
    </row>
    <row r="7925" spans="24:25" x14ac:dyDescent="0.3">
      <c r="X7925" s="1">
        <f t="shared" si="246"/>
        <v>0</v>
      </c>
      <c r="Y7925" s="1">
        <f t="shared" si="247"/>
        <v>0</v>
      </c>
    </row>
    <row r="7926" spans="24:25" x14ac:dyDescent="0.3">
      <c r="X7926" s="1">
        <f t="shared" si="246"/>
        <v>0</v>
      </c>
      <c r="Y7926" s="1">
        <f t="shared" si="247"/>
        <v>0</v>
      </c>
    </row>
    <row r="7927" spans="24:25" x14ac:dyDescent="0.3">
      <c r="X7927" s="1">
        <f t="shared" si="246"/>
        <v>0</v>
      </c>
      <c r="Y7927" s="1">
        <f t="shared" si="247"/>
        <v>0</v>
      </c>
    </row>
    <row r="7928" spans="24:25" x14ac:dyDescent="0.3">
      <c r="X7928" s="1">
        <f t="shared" si="246"/>
        <v>0</v>
      </c>
      <c r="Y7928" s="1">
        <f t="shared" si="247"/>
        <v>0</v>
      </c>
    </row>
    <row r="7929" spans="24:25" x14ac:dyDescent="0.3">
      <c r="X7929" s="1">
        <f t="shared" si="246"/>
        <v>0</v>
      </c>
      <c r="Y7929" s="1">
        <f t="shared" si="247"/>
        <v>0</v>
      </c>
    </row>
    <row r="7930" spans="24:25" x14ac:dyDescent="0.3">
      <c r="X7930" s="1">
        <f t="shared" si="246"/>
        <v>0</v>
      </c>
      <c r="Y7930" s="1">
        <f t="shared" si="247"/>
        <v>0</v>
      </c>
    </row>
    <row r="7931" spans="24:25" x14ac:dyDescent="0.3">
      <c r="X7931" s="1">
        <f t="shared" si="246"/>
        <v>0</v>
      </c>
      <c r="Y7931" s="1">
        <f t="shared" si="247"/>
        <v>0</v>
      </c>
    </row>
    <row r="7932" spans="24:25" x14ac:dyDescent="0.3">
      <c r="X7932" s="1">
        <f t="shared" si="246"/>
        <v>0</v>
      </c>
      <c r="Y7932" s="1">
        <f t="shared" si="247"/>
        <v>0</v>
      </c>
    </row>
    <row r="7933" spans="24:25" x14ac:dyDescent="0.3">
      <c r="X7933" s="1">
        <f t="shared" si="246"/>
        <v>0</v>
      </c>
      <c r="Y7933" s="1">
        <f t="shared" si="247"/>
        <v>0</v>
      </c>
    </row>
    <row r="7934" spans="24:25" x14ac:dyDescent="0.3">
      <c r="X7934" s="1">
        <f t="shared" si="246"/>
        <v>0</v>
      </c>
      <c r="Y7934" s="1">
        <f t="shared" si="247"/>
        <v>0</v>
      </c>
    </row>
    <row r="7935" spans="24:25" x14ac:dyDescent="0.3">
      <c r="X7935" s="1">
        <f t="shared" si="246"/>
        <v>0</v>
      </c>
      <c r="Y7935" s="1">
        <f t="shared" si="247"/>
        <v>0</v>
      </c>
    </row>
    <row r="7936" spans="24:25" x14ac:dyDescent="0.3">
      <c r="X7936" s="1">
        <f t="shared" si="246"/>
        <v>0</v>
      </c>
      <c r="Y7936" s="1">
        <f t="shared" si="247"/>
        <v>0</v>
      </c>
    </row>
    <row r="7937" spans="24:25" x14ac:dyDescent="0.3">
      <c r="X7937" s="1">
        <f t="shared" si="246"/>
        <v>0</v>
      </c>
      <c r="Y7937" s="1">
        <f t="shared" si="247"/>
        <v>0</v>
      </c>
    </row>
    <row r="7938" spans="24:25" x14ac:dyDescent="0.3">
      <c r="X7938" s="1">
        <f t="shared" si="246"/>
        <v>0</v>
      </c>
      <c r="Y7938" s="1">
        <f t="shared" si="247"/>
        <v>0</v>
      </c>
    </row>
    <row r="7939" spans="24:25" x14ac:dyDescent="0.3">
      <c r="X7939" s="1">
        <f t="shared" ref="X7939:X8002" si="248">IFERROR(MATCH(W7939,$B:$B,0),0)</f>
        <v>0</v>
      </c>
      <c r="Y7939" s="1">
        <f t="shared" ref="Y7939:Y8002" si="249">IF(X7940=0,COUNTA(A:A),X7940-1)</f>
        <v>0</v>
      </c>
    </row>
    <row r="7940" spans="24:25" x14ac:dyDescent="0.3">
      <c r="X7940" s="1">
        <f t="shared" si="248"/>
        <v>0</v>
      </c>
      <c r="Y7940" s="1">
        <f t="shared" si="249"/>
        <v>0</v>
      </c>
    </row>
    <row r="7941" spans="24:25" x14ac:dyDescent="0.3">
      <c r="X7941" s="1">
        <f t="shared" si="248"/>
        <v>0</v>
      </c>
      <c r="Y7941" s="1">
        <f t="shared" si="249"/>
        <v>0</v>
      </c>
    </row>
    <row r="7942" spans="24:25" x14ac:dyDescent="0.3">
      <c r="X7942" s="1">
        <f t="shared" si="248"/>
        <v>0</v>
      </c>
      <c r="Y7942" s="1">
        <f t="shared" si="249"/>
        <v>0</v>
      </c>
    </row>
    <row r="7943" spans="24:25" x14ac:dyDescent="0.3">
      <c r="X7943" s="1">
        <f t="shared" si="248"/>
        <v>0</v>
      </c>
      <c r="Y7943" s="1">
        <f t="shared" si="249"/>
        <v>0</v>
      </c>
    </row>
    <row r="7944" spans="24:25" x14ac:dyDescent="0.3">
      <c r="X7944" s="1">
        <f t="shared" si="248"/>
        <v>0</v>
      </c>
      <c r="Y7944" s="1">
        <f t="shared" si="249"/>
        <v>0</v>
      </c>
    </row>
    <row r="7945" spans="24:25" x14ac:dyDescent="0.3">
      <c r="X7945" s="1">
        <f t="shared" si="248"/>
        <v>0</v>
      </c>
      <c r="Y7945" s="1">
        <f t="shared" si="249"/>
        <v>0</v>
      </c>
    </row>
    <row r="7946" spans="24:25" x14ac:dyDescent="0.3">
      <c r="X7946" s="1">
        <f t="shared" si="248"/>
        <v>0</v>
      </c>
      <c r="Y7946" s="1">
        <f t="shared" si="249"/>
        <v>0</v>
      </c>
    </row>
    <row r="7947" spans="24:25" x14ac:dyDescent="0.3">
      <c r="X7947" s="1">
        <f t="shared" si="248"/>
        <v>0</v>
      </c>
      <c r="Y7947" s="1">
        <f t="shared" si="249"/>
        <v>0</v>
      </c>
    </row>
    <row r="7948" spans="24:25" x14ac:dyDescent="0.3">
      <c r="X7948" s="1">
        <f t="shared" si="248"/>
        <v>0</v>
      </c>
      <c r="Y7948" s="1">
        <f t="shared" si="249"/>
        <v>0</v>
      </c>
    </row>
    <row r="7949" spans="24:25" x14ac:dyDescent="0.3">
      <c r="X7949" s="1">
        <f t="shared" si="248"/>
        <v>0</v>
      </c>
      <c r="Y7949" s="1">
        <f t="shared" si="249"/>
        <v>0</v>
      </c>
    </row>
    <row r="7950" spans="24:25" x14ac:dyDescent="0.3">
      <c r="X7950" s="1">
        <f t="shared" si="248"/>
        <v>0</v>
      </c>
      <c r="Y7950" s="1">
        <f t="shared" si="249"/>
        <v>0</v>
      </c>
    </row>
    <row r="7951" spans="24:25" x14ac:dyDescent="0.3">
      <c r="X7951" s="1">
        <f t="shared" si="248"/>
        <v>0</v>
      </c>
      <c r="Y7951" s="1">
        <f t="shared" si="249"/>
        <v>0</v>
      </c>
    </row>
    <row r="7952" spans="24:25" x14ac:dyDescent="0.3">
      <c r="X7952" s="1">
        <f t="shared" si="248"/>
        <v>0</v>
      </c>
      <c r="Y7952" s="1">
        <f t="shared" si="249"/>
        <v>0</v>
      </c>
    </row>
    <row r="7953" spans="24:25" x14ac:dyDescent="0.3">
      <c r="X7953" s="1">
        <f t="shared" si="248"/>
        <v>0</v>
      </c>
      <c r="Y7953" s="1">
        <f t="shared" si="249"/>
        <v>0</v>
      </c>
    </row>
    <row r="7954" spans="24:25" x14ac:dyDescent="0.3">
      <c r="X7954" s="1">
        <f t="shared" si="248"/>
        <v>0</v>
      </c>
      <c r="Y7954" s="1">
        <f t="shared" si="249"/>
        <v>0</v>
      </c>
    </row>
    <row r="7955" spans="24:25" x14ac:dyDescent="0.3">
      <c r="X7955" s="1">
        <f t="shared" si="248"/>
        <v>0</v>
      </c>
      <c r="Y7955" s="1">
        <f t="shared" si="249"/>
        <v>0</v>
      </c>
    </row>
    <row r="7956" spans="24:25" x14ac:dyDescent="0.3">
      <c r="X7956" s="1">
        <f t="shared" si="248"/>
        <v>0</v>
      </c>
      <c r="Y7956" s="1">
        <f t="shared" si="249"/>
        <v>0</v>
      </c>
    </row>
    <row r="7957" spans="24:25" x14ac:dyDescent="0.3">
      <c r="X7957" s="1">
        <f t="shared" si="248"/>
        <v>0</v>
      </c>
      <c r="Y7957" s="1">
        <f t="shared" si="249"/>
        <v>0</v>
      </c>
    </row>
    <row r="7958" spans="24:25" x14ac:dyDescent="0.3">
      <c r="X7958" s="1">
        <f t="shared" si="248"/>
        <v>0</v>
      </c>
      <c r="Y7958" s="1">
        <f t="shared" si="249"/>
        <v>0</v>
      </c>
    </row>
    <row r="7959" spans="24:25" x14ac:dyDescent="0.3">
      <c r="X7959" s="1">
        <f t="shared" si="248"/>
        <v>0</v>
      </c>
      <c r="Y7959" s="1">
        <f t="shared" si="249"/>
        <v>0</v>
      </c>
    </row>
    <row r="7960" spans="24:25" x14ac:dyDescent="0.3">
      <c r="X7960" s="1">
        <f t="shared" si="248"/>
        <v>0</v>
      </c>
      <c r="Y7960" s="1">
        <f t="shared" si="249"/>
        <v>0</v>
      </c>
    </row>
    <row r="7961" spans="24:25" x14ac:dyDescent="0.3">
      <c r="X7961" s="1">
        <f t="shared" si="248"/>
        <v>0</v>
      </c>
      <c r="Y7961" s="1">
        <f t="shared" si="249"/>
        <v>0</v>
      </c>
    </row>
    <row r="7962" spans="24:25" x14ac:dyDescent="0.3">
      <c r="X7962" s="1">
        <f t="shared" si="248"/>
        <v>0</v>
      </c>
      <c r="Y7962" s="1">
        <f t="shared" si="249"/>
        <v>0</v>
      </c>
    </row>
    <row r="7963" spans="24:25" x14ac:dyDescent="0.3">
      <c r="X7963" s="1">
        <f t="shared" si="248"/>
        <v>0</v>
      </c>
      <c r="Y7963" s="1">
        <f t="shared" si="249"/>
        <v>0</v>
      </c>
    </row>
    <row r="7964" spans="24:25" x14ac:dyDescent="0.3">
      <c r="X7964" s="1">
        <f t="shared" si="248"/>
        <v>0</v>
      </c>
      <c r="Y7964" s="1">
        <f t="shared" si="249"/>
        <v>0</v>
      </c>
    </row>
    <row r="7965" spans="24:25" x14ac:dyDescent="0.3">
      <c r="X7965" s="1">
        <f t="shared" si="248"/>
        <v>0</v>
      </c>
      <c r="Y7965" s="1">
        <f t="shared" si="249"/>
        <v>0</v>
      </c>
    </row>
    <row r="7966" spans="24:25" x14ac:dyDescent="0.3">
      <c r="X7966" s="1">
        <f t="shared" si="248"/>
        <v>0</v>
      </c>
      <c r="Y7966" s="1">
        <f t="shared" si="249"/>
        <v>0</v>
      </c>
    </row>
    <row r="7967" spans="24:25" x14ac:dyDescent="0.3">
      <c r="X7967" s="1">
        <f t="shared" si="248"/>
        <v>0</v>
      </c>
      <c r="Y7967" s="1">
        <f t="shared" si="249"/>
        <v>0</v>
      </c>
    </row>
    <row r="7968" spans="24:25" x14ac:dyDescent="0.3">
      <c r="X7968" s="1">
        <f t="shared" si="248"/>
        <v>0</v>
      </c>
      <c r="Y7968" s="1">
        <f t="shared" si="249"/>
        <v>0</v>
      </c>
    </row>
    <row r="7969" spans="24:25" x14ac:dyDescent="0.3">
      <c r="X7969" s="1">
        <f t="shared" si="248"/>
        <v>0</v>
      </c>
      <c r="Y7969" s="1">
        <f t="shared" si="249"/>
        <v>0</v>
      </c>
    </row>
    <row r="7970" spans="24:25" x14ac:dyDescent="0.3">
      <c r="X7970" s="1">
        <f t="shared" si="248"/>
        <v>0</v>
      </c>
      <c r="Y7970" s="1">
        <f t="shared" si="249"/>
        <v>0</v>
      </c>
    </row>
    <row r="7971" spans="24:25" x14ac:dyDescent="0.3">
      <c r="X7971" s="1">
        <f t="shared" si="248"/>
        <v>0</v>
      </c>
      <c r="Y7971" s="1">
        <f t="shared" si="249"/>
        <v>0</v>
      </c>
    </row>
    <row r="7972" spans="24:25" x14ac:dyDescent="0.3">
      <c r="X7972" s="1">
        <f t="shared" si="248"/>
        <v>0</v>
      </c>
      <c r="Y7972" s="1">
        <f t="shared" si="249"/>
        <v>0</v>
      </c>
    </row>
    <row r="7973" spans="24:25" x14ac:dyDescent="0.3">
      <c r="X7973" s="1">
        <f t="shared" si="248"/>
        <v>0</v>
      </c>
      <c r="Y7973" s="1">
        <f t="shared" si="249"/>
        <v>0</v>
      </c>
    </row>
    <row r="7974" spans="24:25" x14ac:dyDescent="0.3">
      <c r="X7974" s="1">
        <f t="shared" si="248"/>
        <v>0</v>
      </c>
      <c r="Y7974" s="1">
        <f t="shared" si="249"/>
        <v>0</v>
      </c>
    </row>
    <row r="7975" spans="24:25" x14ac:dyDescent="0.3">
      <c r="X7975" s="1">
        <f t="shared" si="248"/>
        <v>0</v>
      </c>
      <c r="Y7975" s="1">
        <f t="shared" si="249"/>
        <v>0</v>
      </c>
    </row>
    <row r="7976" spans="24:25" x14ac:dyDescent="0.3">
      <c r="X7976" s="1">
        <f t="shared" si="248"/>
        <v>0</v>
      </c>
      <c r="Y7976" s="1">
        <f t="shared" si="249"/>
        <v>0</v>
      </c>
    </row>
    <row r="7977" spans="24:25" x14ac:dyDescent="0.3">
      <c r="X7977" s="1">
        <f t="shared" si="248"/>
        <v>0</v>
      </c>
      <c r="Y7977" s="1">
        <f t="shared" si="249"/>
        <v>0</v>
      </c>
    </row>
    <row r="7978" spans="24:25" x14ac:dyDescent="0.3">
      <c r="X7978" s="1">
        <f t="shared" si="248"/>
        <v>0</v>
      </c>
      <c r="Y7978" s="1">
        <f t="shared" si="249"/>
        <v>0</v>
      </c>
    </row>
    <row r="7979" spans="24:25" x14ac:dyDescent="0.3">
      <c r="X7979" s="1">
        <f t="shared" si="248"/>
        <v>0</v>
      </c>
      <c r="Y7979" s="1">
        <f t="shared" si="249"/>
        <v>0</v>
      </c>
    </row>
    <row r="7980" spans="24:25" x14ac:dyDescent="0.3">
      <c r="X7980" s="1">
        <f t="shared" si="248"/>
        <v>0</v>
      </c>
      <c r="Y7980" s="1">
        <f t="shared" si="249"/>
        <v>0</v>
      </c>
    </row>
    <row r="7981" spans="24:25" x14ac:dyDescent="0.3">
      <c r="X7981" s="1">
        <f t="shared" si="248"/>
        <v>0</v>
      </c>
      <c r="Y7981" s="1">
        <f t="shared" si="249"/>
        <v>0</v>
      </c>
    </row>
    <row r="7982" spans="24:25" x14ac:dyDescent="0.3">
      <c r="X7982" s="1">
        <f t="shared" si="248"/>
        <v>0</v>
      </c>
      <c r="Y7982" s="1">
        <f t="shared" si="249"/>
        <v>0</v>
      </c>
    </row>
    <row r="7983" spans="24:25" x14ac:dyDescent="0.3">
      <c r="X7983" s="1">
        <f t="shared" si="248"/>
        <v>0</v>
      </c>
      <c r="Y7983" s="1">
        <f t="shared" si="249"/>
        <v>0</v>
      </c>
    </row>
    <row r="7984" spans="24:25" x14ac:dyDescent="0.3">
      <c r="X7984" s="1">
        <f t="shared" si="248"/>
        <v>0</v>
      </c>
      <c r="Y7984" s="1">
        <f t="shared" si="249"/>
        <v>0</v>
      </c>
    </row>
    <row r="7985" spans="24:25" x14ac:dyDescent="0.3">
      <c r="X7985" s="1">
        <f t="shared" si="248"/>
        <v>0</v>
      </c>
      <c r="Y7985" s="1">
        <f t="shared" si="249"/>
        <v>0</v>
      </c>
    </row>
    <row r="7986" spans="24:25" x14ac:dyDescent="0.3">
      <c r="X7986" s="1">
        <f t="shared" si="248"/>
        <v>0</v>
      </c>
      <c r="Y7986" s="1">
        <f t="shared" si="249"/>
        <v>0</v>
      </c>
    </row>
    <row r="7987" spans="24:25" x14ac:dyDescent="0.3">
      <c r="X7987" s="1">
        <f t="shared" si="248"/>
        <v>0</v>
      </c>
      <c r="Y7987" s="1">
        <f t="shared" si="249"/>
        <v>0</v>
      </c>
    </row>
    <row r="7988" spans="24:25" x14ac:dyDescent="0.3">
      <c r="X7988" s="1">
        <f t="shared" si="248"/>
        <v>0</v>
      </c>
      <c r="Y7988" s="1">
        <f t="shared" si="249"/>
        <v>0</v>
      </c>
    </row>
    <row r="7989" spans="24:25" x14ac:dyDescent="0.3">
      <c r="X7989" s="1">
        <f t="shared" si="248"/>
        <v>0</v>
      </c>
      <c r="Y7989" s="1">
        <f t="shared" si="249"/>
        <v>0</v>
      </c>
    </row>
    <row r="7990" spans="24:25" x14ac:dyDescent="0.3">
      <c r="X7990" s="1">
        <f t="shared" si="248"/>
        <v>0</v>
      </c>
      <c r="Y7990" s="1">
        <f t="shared" si="249"/>
        <v>0</v>
      </c>
    </row>
    <row r="7991" spans="24:25" x14ac:dyDescent="0.3">
      <c r="X7991" s="1">
        <f t="shared" si="248"/>
        <v>0</v>
      </c>
      <c r="Y7991" s="1">
        <f t="shared" si="249"/>
        <v>0</v>
      </c>
    </row>
    <row r="7992" spans="24:25" x14ac:dyDescent="0.3">
      <c r="X7992" s="1">
        <f t="shared" si="248"/>
        <v>0</v>
      </c>
      <c r="Y7992" s="1">
        <f t="shared" si="249"/>
        <v>0</v>
      </c>
    </row>
    <row r="7993" spans="24:25" x14ac:dyDescent="0.3">
      <c r="X7993" s="1">
        <f t="shared" si="248"/>
        <v>0</v>
      </c>
      <c r="Y7993" s="1">
        <f t="shared" si="249"/>
        <v>0</v>
      </c>
    </row>
    <row r="7994" spans="24:25" x14ac:dyDescent="0.3">
      <c r="X7994" s="1">
        <f t="shared" si="248"/>
        <v>0</v>
      </c>
      <c r="Y7994" s="1">
        <f t="shared" si="249"/>
        <v>0</v>
      </c>
    </row>
    <row r="7995" spans="24:25" x14ac:dyDescent="0.3">
      <c r="X7995" s="1">
        <f t="shared" si="248"/>
        <v>0</v>
      </c>
      <c r="Y7995" s="1">
        <f t="shared" si="249"/>
        <v>0</v>
      </c>
    </row>
    <row r="7996" spans="24:25" x14ac:dyDescent="0.3">
      <c r="X7996" s="1">
        <f t="shared" si="248"/>
        <v>0</v>
      </c>
      <c r="Y7996" s="1">
        <f t="shared" si="249"/>
        <v>0</v>
      </c>
    </row>
    <row r="7997" spans="24:25" x14ac:dyDescent="0.3">
      <c r="X7997" s="1">
        <f t="shared" si="248"/>
        <v>0</v>
      </c>
      <c r="Y7997" s="1">
        <f t="shared" si="249"/>
        <v>0</v>
      </c>
    </row>
    <row r="7998" spans="24:25" x14ac:dyDescent="0.3">
      <c r="X7998" s="1">
        <f t="shared" si="248"/>
        <v>0</v>
      </c>
      <c r="Y7998" s="1">
        <f t="shared" si="249"/>
        <v>0</v>
      </c>
    </row>
    <row r="7999" spans="24:25" x14ac:dyDescent="0.3">
      <c r="X7999" s="1">
        <f t="shared" si="248"/>
        <v>0</v>
      </c>
      <c r="Y7999" s="1">
        <f t="shared" si="249"/>
        <v>0</v>
      </c>
    </row>
    <row r="8000" spans="24:25" x14ac:dyDescent="0.3">
      <c r="X8000" s="1">
        <f t="shared" si="248"/>
        <v>0</v>
      </c>
      <c r="Y8000" s="1">
        <f t="shared" si="249"/>
        <v>0</v>
      </c>
    </row>
    <row r="8001" spans="24:25" x14ac:dyDescent="0.3">
      <c r="X8001" s="1">
        <f t="shared" si="248"/>
        <v>0</v>
      </c>
      <c r="Y8001" s="1">
        <f t="shared" si="249"/>
        <v>0</v>
      </c>
    </row>
    <row r="8002" spans="24:25" x14ac:dyDescent="0.3">
      <c r="X8002" s="1">
        <f t="shared" si="248"/>
        <v>0</v>
      </c>
      <c r="Y8002" s="1">
        <f t="shared" si="249"/>
        <v>0</v>
      </c>
    </row>
    <row r="8003" spans="24:25" x14ac:dyDescent="0.3">
      <c r="X8003" s="1">
        <f t="shared" ref="X8003:X8066" si="250">IFERROR(MATCH(W8003,$B:$B,0),0)</f>
        <v>0</v>
      </c>
      <c r="Y8003" s="1">
        <f t="shared" ref="Y8003:Y8066" si="251">IF(X8004=0,COUNTA(A:A),X8004-1)</f>
        <v>0</v>
      </c>
    </row>
    <row r="8004" spans="24:25" x14ac:dyDescent="0.3">
      <c r="X8004" s="1">
        <f t="shared" si="250"/>
        <v>0</v>
      </c>
      <c r="Y8004" s="1">
        <f t="shared" si="251"/>
        <v>0</v>
      </c>
    </row>
    <row r="8005" spans="24:25" x14ac:dyDescent="0.3">
      <c r="X8005" s="1">
        <f t="shared" si="250"/>
        <v>0</v>
      </c>
      <c r="Y8005" s="1">
        <f t="shared" si="251"/>
        <v>0</v>
      </c>
    </row>
    <row r="8006" spans="24:25" x14ac:dyDescent="0.3">
      <c r="X8006" s="1">
        <f t="shared" si="250"/>
        <v>0</v>
      </c>
      <c r="Y8006" s="1">
        <f t="shared" si="251"/>
        <v>0</v>
      </c>
    </row>
    <row r="8007" spans="24:25" x14ac:dyDescent="0.3">
      <c r="X8007" s="1">
        <f t="shared" si="250"/>
        <v>0</v>
      </c>
      <c r="Y8007" s="1">
        <f t="shared" si="251"/>
        <v>0</v>
      </c>
    </row>
    <row r="8008" spans="24:25" x14ac:dyDescent="0.3">
      <c r="X8008" s="1">
        <f t="shared" si="250"/>
        <v>0</v>
      </c>
      <c r="Y8008" s="1">
        <f t="shared" si="251"/>
        <v>0</v>
      </c>
    </row>
    <row r="8009" spans="24:25" x14ac:dyDescent="0.3">
      <c r="X8009" s="1">
        <f t="shared" si="250"/>
        <v>0</v>
      </c>
      <c r="Y8009" s="1">
        <f t="shared" si="251"/>
        <v>0</v>
      </c>
    </row>
    <row r="8010" spans="24:25" x14ac:dyDescent="0.3">
      <c r="X8010" s="1">
        <f t="shared" si="250"/>
        <v>0</v>
      </c>
      <c r="Y8010" s="1">
        <f t="shared" si="251"/>
        <v>0</v>
      </c>
    </row>
    <row r="8011" spans="24:25" x14ac:dyDescent="0.3">
      <c r="X8011" s="1">
        <f t="shared" si="250"/>
        <v>0</v>
      </c>
      <c r="Y8011" s="1">
        <f t="shared" si="251"/>
        <v>0</v>
      </c>
    </row>
    <row r="8012" spans="24:25" x14ac:dyDescent="0.3">
      <c r="X8012" s="1">
        <f t="shared" si="250"/>
        <v>0</v>
      </c>
      <c r="Y8012" s="1">
        <f t="shared" si="251"/>
        <v>0</v>
      </c>
    </row>
    <row r="8013" spans="24:25" x14ac:dyDescent="0.3">
      <c r="X8013" s="1">
        <f t="shared" si="250"/>
        <v>0</v>
      </c>
      <c r="Y8013" s="1">
        <f t="shared" si="251"/>
        <v>0</v>
      </c>
    </row>
    <row r="8014" spans="24:25" x14ac:dyDescent="0.3">
      <c r="X8014" s="1">
        <f t="shared" si="250"/>
        <v>0</v>
      </c>
      <c r="Y8014" s="1">
        <f t="shared" si="251"/>
        <v>0</v>
      </c>
    </row>
    <row r="8015" spans="24:25" x14ac:dyDescent="0.3">
      <c r="X8015" s="1">
        <f t="shared" si="250"/>
        <v>0</v>
      </c>
      <c r="Y8015" s="1">
        <f t="shared" si="251"/>
        <v>0</v>
      </c>
    </row>
    <row r="8016" spans="24:25" x14ac:dyDescent="0.3">
      <c r="X8016" s="1">
        <f t="shared" si="250"/>
        <v>0</v>
      </c>
      <c r="Y8016" s="1">
        <f t="shared" si="251"/>
        <v>0</v>
      </c>
    </row>
    <row r="8017" spans="24:25" x14ac:dyDescent="0.3">
      <c r="X8017" s="1">
        <f t="shared" si="250"/>
        <v>0</v>
      </c>
      <c r="Y8017" s="1">
        <f t="shared" si="251"/>
        <v>0</v>
      </c>
    </row>
    <row r="8018" spans="24:25" x14ac:dyDescent="0.3">
      <c r="X8018" s="1">
        <f t="shared" si="250"/>
        <v>0</v>
      </c>
      <c r="Y8018" s="1">
        <f t="shared" si="251"/>
        <v>0</v>
      </c>
    </row>
    <row r="8019" spans="24:25" x14ac:dyDescent="0.3">
      <c r="X8019" s="1">
        <f t="shared" si="250"/>
        <v>0</v>
      </c>
      <c r="Y8019" s="1">
        <f t="shared" si="251"/>
        <v>0</v>
      </c>
    </row>
    <row r="8020" spans="24:25" x14ac:dyDescent="0.3">
      <c r="X8020" s="1">
        <f t="shared" si="250"/>
        <v>0</v>
      </c>
      <c r="Y8020" s="1">
        <f t="shared" si="251"/>
        <v>0</v>
      </c>
    </row>
    <row r="8021" spans="24:25" x14ac:dyDescent="0.3">
      <c r="X8021" s="1">
        <f t="shared" si="250"/>
        <v>0</v>
      </c>
      <c r="Y8021" s="1">
        <f t="shared" si="251"/>
        <v>0</v>
      </c>
    </row>
    <row r="8022" spans="24:25" x14ac:dyDescent="0.3">
      <c r="X8022" s="1">
        <f t="shared" si="250"/>
        <v>0</v>
      </c>
      <c r="Y8022" s="1">
        <f t="shared" si="251"/>
        <v>0</v>
      </c>
    </row>
    <row r="8023" spans="24:25" x14ac:dyDescent="0.3">
      <c r="X8023" s="1">
        <f t="shared" si="250"/>
        <v>0</v>
      </c>
      <c r="Y8023" s="1">
        <f t="shared" si="251"/>
        <v>0</v>
      </c>
    </row>
    <row r="8024" spans="24:25" x14ac:dyDescent="0.3">
      <c r="X8024" s="1">
        <f t="shared" si="250"/>
        <v>0</v>
      </c>
      <c r="Y8024" s="1">
        <f t="shared" si="251"/>
        <v>0</v>
      </c>
    </row>
    <row r="8025" spans="24:25" x14ac:dyDescent="0.3">
      <c r="X8025" s="1">
        <f t="shared" si="250"/>
        <v>0</v>
      </c>
      <c r="Y8025" s="1">
        <f t="shared" si="251"/>
        <v>0</v>
      </c>
    </row>
    <row r="8026" spans="24:25" x14ac:dyDescent="0.3">
      <c r="X8026" s="1">
        <f t="shared" si="250"/>
        <v>0</v>
      </c>
      <c r="Y8026" s="1">
        <f t="shared" si="251"/>
        <v>0</v>
      </c>
    </row>
    <row r="8027" spans="24:25" x14ac:dyDescent="0.3">
      <c r="X8027" s="1">
        <f t="shared" si="250"/>
        <v>0</v>
      </c>
      <c r="Y8027" s="1">
        <f t="shared" si="251"/>
        <v>0</v>
      </c>
    </row>
    <row r="8028" spans="24:25" x14ac:dyDescent="0.3">
      <c r="X8028" s="1">
        <f t="shared" si="250"/>
        <v>0</v>
      </c>
      <c r="Y8028" s="1">
        <f t="shared" si="251"/>
        <v>0</v>
      </c>
    </row>
    <row r="8029" spans="24:25" x14ac:dyDescent="0.3">
      <c r="X8029" s="1">
        <f t="shared" si="250"/>
        <v>0</v>
      </c>
      <c r="Y8029" s="1">
        <f t="shared" si="251"/>
        <v>0</v>
      </c>
    </row>
    <row r="8030" spans="24:25" x14ac:dyDescent="0.3">
      <c r="X8030" s="1">
        <f t="shared" si="250"/>
        <v>0</v>
      </c>
      <c r="Y8030" s="1">
        <f t="shared" si="251"/>
        <v>0</v>
      </c>
    </row>
    <row r="8031" spans="24:25" x14ac:dyDescent="0.3">
      <c r="X8031" s="1">
        <f t="shared" si="250"/>
        <v>0</v>
      </c>
      <c r="Y8031" s="1">
        <f t="shared" si="251"/>
        <v>0</v>
      </c>
    </row>
    <row r="8032" spans="24:25" x14ac:dyDescent="0.3">
      <c r="X8032" s="1">
        <f t="shared" si="250"/>
        <v>0</v>
      </c>
      <c r="Y8032" s="1">
        <f t="shared" si="251"/>
        <v>0</v>
      </c>
    </row>
    <row r="8033" spans="24:25" x14ac:dyDescent="0.3">
      <c r="X8033" s="1">
        <f t="shared" si="250"/>
        <v>0</v>
      </c>
      <c r="Y8033" s="1">
        <f t="shared" si="251"/>
        <v>0</v>
      </c>
    </row>
    <row r="8034" spans="24:25" x14ac:dyDescent="0.3">
      <c r="X8034" s="1">
        <f t="shared" si="250"/>
        <v>0</v>
      </c>
      <c r="Y8034" s="1">
        <f t="shared" si="251"/>
        <v>0</v>
      </c>
    </row>
    <row r="8035" spans="24:25" x14ac:dyDescent="0.3">
      <c r="X8035" s="1">
        <f t="shared" si="250"/>
        <v>0</v>
      </c>
      <c r="Y8035" s="1">
        <f t="shared" si="251"/>
        <v>0</v>
      </c>
    </row>
    <row r="8036" spans="24:25" x14ac:dyDescent="0.3">
      <c r="X8036" s="1">
        <f t="shared" si="250"/>
        <v>0</v>
      </c>
      <c r="Y8036" s="1">
        <f t="shared" si="251"/>
        <v>0</v>
      </c>
    </row>
    <row r="8037" spans="24:25" x14ac:dyDescent="0.3">
      <c r="X8037" s="1">
        <f t="shared" si="250"/>
        <v>0</v>
      </c>
      <c r="Y8037" s="1">
        <f t="shared" si="251"/>
        <v>0</v>
      </c>
    </row>
    <row r="8038" spans="24:25" x14ac:dyDescent="0.3">
      <c r="X8038" s="1">
        <f t="shared" si="250"/>
        <v>0</v>
      </c>
      <c r="Y8038" s="1">
        <f t="shared" si="251"/>
        <v>0</v>
      </c>
    </row>
    <row r="8039" spans="24:25" x14ac:dyDescent="0.3">
      <c r="X8039" s="1">
        <f t="shared" si="250"/>
        <v>0</v>
      </c>
      <c r="Y8039" s="1">
        <f t="shared" si="251"/>
        <v>0</v>
      </c>
    </row>
    <row r="8040" spans="24:25" x14ac:dyDescent="0.3">
      <c r="X8040" s="1">
        <f t="shared" si="250"/>
        <v>0</v>
      </c>
      <c r="Y8040" s="1">
        <f t="shared" si="251"/>
        <v>0</v>
      </c>
    </row>
    <row r="8041" spans="24:25" x14ac:dyDescent="0.3">
      <c r="X8041" s="1">
        <f t="shared" si="250"/>
        <v>0</v>
      </c>
      <c r="Y8041" s="1">
        <f t="shared" si="251"/>
        <v>0</v>
      </c>
    </row>
    <row r="8042" spans="24:25" x14ac:dyDescent="0.3">
      <c r="X8042" s="1">
        <f t="shared" si="250"/>
        <v>0</v>
      </c>
      <c r="Y8042" s="1">
        <f t="shared" si="251"/>
        <v>0</v>
      </c>
    </row>
    <row r="8043" spans="24:25" x14ac:dyDescent="0.3">
      <c r="X8043" s="1">
        <f t="shared" si="250"/>
        <v>0</v>
      </c>
      <c r="Y8043" s="1">
        <f t="shared" si="251"/>
        <v>0</v>
      </c>
    </row>
    <row r="8044" spans="24:25" x14ac:dyDescent="0.3">
      <c r="X8044" s="1">
        <f t="shared" si="250"/>
        <v>0</v>
      </c>
      <c r="Y8044" s="1">
        <f t="shared" si="251"/>
        <v>0</v>
      </c>
    </row>
    <row r="8045" spans="24:25" x14ac:dyDescent="0.3">
      <c r="X8045" s="1">
        <f t="shared" si="250"/>
        <v>0</v>
      </c>
      <c r="Y8045" s="1">
        <f t="shared" si="251"/>
        <v>0</v>
      </c>
    </row>
    <row r="8046" spans="24:25" x14ac:dyDescent="0.3">
      <c r="X8046" s="1">
        <f t="shared" si="250"/>
        <v>0</v>
      </c>
      <c r="Y8046" s="1">
        <f t="shared" si="251"/>
        <v>0</v>
      </c>
    </row>
    <row r="8047" spans="24:25" x14ac:dyDescent="0.3">
      <c r="X8047" s="1">
        <f t="shared" si="250"/>
        <v>0</v>
      </c>
      <c r="Y8047" s="1">
        <f t="shared" si="251"/>
        <v>0</v>
      </c>
    </row>
    <row r="8048" spans="24:25" x14ac:dyDescent="0.3">
      <c r="X8048" s="1">
        <f t="shared" si="250"/>
        <v>0</v>
      </c>
      <c r="Y8048" s="1">
        <f t="shared" si="251"/>
        <v>0</v>
      </c>
    </row>
    <row r="8049" spans="24:25" x14ac:dyDescent="0.3">
      <c r="X8049" s="1">
        <f t="shared" si="250"/>
        <v>0</v>
      </c>
      <c r="Y8049" s="1">
        <f t="shared" si="251"/>
        <v>0</v>
      </c>
    </row>
    <row r="8050" spans="24:25" x14ac:dyDescent="0.3">
      <c r="X8050" s="1">
        <f t="shared" si="250"/>
        <v>0</v>
      </c>
      <c r="Y8050" s="1">
        <f t="shared" si="251"/>
        <v>0</v>
      </c>
    </row>
    <row r="8051" spans="24:25" x14ac:dyDescent="0.3">
      <c r="X8051" s="1">
        <f t="shared" si="250"/>
        <v>0</v>
      </c>
      <c r="Y8051" s="1">
        <f t="shared" si="251"/>
        <v>0</v>
      </c>
    </row>
    <row r="8052" spans="24:25" x14ac:dyDescent="0.3">
      <c r="X8052" s="1">
        <f t="shared" si="250"/>
        <v>0</v>
      </c>
      <c r="Y8052" s="1">
        <f t="shared" si="251"/>
        <v>0</v>
      </c>
    </row>
    <row r="8053" spans="24:25" x14ac:dyDescent="0.3">
      <c r="X8053" s="1">
        <f t="shared" si="250"/>
        <v>0</v>
      </c>
      <c r="Y8053" s="1">
        <f t="shared" si="251"/>
        <v>0</v>
      </c>
    </row>
    <row r="8054" spans="24:25" x14ac:dyDescent="0.3">
      <c r="X8054" s="1">
        <f t="shared" si="250"/>
        <v>0</v>
      </c>
      <c r="Y8054" s="1">
        <f t="shared" si="251"/>
        <v>0</v>
      </c>
    </row>
    <row r="8055" spans="24:25" x14ac:dyDescent="0.3">
      <c r="X8055" s="1">
        <f t="shared" si="250"/>
        <v>0</v>
      </c>
      <c r="Y8055" s="1">
        <f t="shared" si="251"/>
        <v>0</v>
      </c>
    </row>
    <row r="8056" spans="24:25" x14ac:dyDescent="0.3">
      <c r="X8056" s="1">
        <f t="shared" si="250"/>
        <v>0</v>
      </c>
      <c r="Y8056" s="1">
        <f t="shared" si="251"/>
        <v>0</v>
      </c>
    </row>
    <row r="8057" spans="24:25" x14ac:dyDescent="0.3">
      <c r="X8057" s="1">
        <f t="shared" si="250"/>
        <v>0</v>
      </c>
      <c r="Y8057" s="1">
        <f t="shared" si="251"/>
        <v>0</v>
      </c>
    </row>
    <row r="8058" spans="24:25" x14ac:dyDescent="0.3">
      <c r="X8058" s="1">
        <f t="shared" si="250"/>
        <v>0</v>
      </c>
      <c r="Y8058" s="1">
        <f t="shared" si="251"/>
        <v>0</v>
      </c>
    </row>
    <row r="8059" spans="24:25" x14ac:dyDescent="0.3">
      <c r="X8059" s="1">
        <f t="shared" si="250"/>
        <v>0</v>
      </c>
      <c r="Y8059" s="1">
        <f t="shared" si="251"/>
        <v>0</v>
      </c>
    </row>
    <row r="8060" spans="24:25" x14ac:dyDescent="0.3">
      <c r="X8060" s="1">
        <f t="shared" si="250"/>
        <v>0</v>
      </c>
      <c r="Y8060" s="1">
        <f t="shared" si="251"/>
        <v>0</v>
      </c>
    </row>
    <row r="8061" spans="24:25" x14ac:dyDescent="0.3">
      <c r="X8061" s="1">
        <f t="shared" si="250"/>
        <v>0</v>
      </c>
      <c r="Y8061" s="1">
        <f t="shared" si="251"/>
        <v>0</v>
      </c>
    </row>
    <row r="8062" spans="24:25" x14ac:dyDescent="0.3">
      <c r="X8062" s="1">
        <f t="shared" si="250"/>
        <v>0</v>
      </c>
      <c r="Y8062" s="1">
        <f t="shared" si="251"/>
        <v>0</v>
      </c>
    </row>
    <row r="8063" spans="24:25" x14ac:dyDescent="0.3">
      <c r="X8063" s="1">
        <f t="shared" si="250"/>
        <v>0</v>
      </c>
      <c r="Y8063" s="1">
        <f t="shared" si="251"/>
        <v>0</v>
      </c>
    </row>
    <row r="8064" spans="24:25" x14ac:dyDescent="0.3">
      <c r="X8064" s="1">
        <f t="shared" si="250"/>
        <v>0</v>
      </c>
      <c r="Y8064" s="1">
        <f t="shared" si="251"/>
        <v>0</v>
      </c>
    </row>
    <row r="8065" spans="24:25" x14ac:dyDescent="0.3">
      <c r="X8065" s="1">
        <f t="shared" si="250"/>
        <v>0</v>
      </c>
      <c r="Y8065" s="1">
        <f t="shared" si="251"/>
        <v>0</v>
      </c>
    </row>
    <row r="8066" spans="24:25" x14ac:dyDescent="0.3">
      <c r="X8066" s="1">
        <f t="shared" si="250"/>
        <v>0</v>
      </c>
      <c r="Y8066" s="1">
        <f t="shared" si="251"/>
        <v>0</v>
      </c>
    </row>
    <row r="8067" spans="24:25" x14ac:dyDescent="0.3">
      <c r="X8067" s="1">
        <f t="shared" ref="X8067:X8130" si="252">IFERROR(MATCH(W8067,$B:$B,0),0)</f>
        <v>0</v>
      </c>
      <c r="Y8067" s="1">
        <f t="shared" ref="Y8067:Y8130" si="253">IF(X8068=0,COUNTA(A:A),X8068-1)</f>
        <v>0</v>
      </c>
    </row>
    <row r="8068" spans="24:25" x14ac:dyDescent="0.3">
      <c r="X8068" s="1">
        <f t="shared" si="252"/>
        <v>0</v>
      </c>
      <c r="Y8068" s="1">
        <f t="shared" si="253"/>
        <v>0</v>
      </c>
    </row>
    <row r="8069" spans="24:25" x14ac:dyDescent="0.3">
      <c r="X8069" s="1">
        <f t="shared" si="252"/>
        <v>0</v>
      </c>
      <c r="Y8069" s="1">
        <f t="shared" si="253"/>
        <v>0</v>
      </c>
    </row>
    <row r="8070" spans="24:25" x14ac:dyDescent="0.3">
      <c r="X8070" s="1">
        <f t="shared" si="252"/>
        <v>0</v>
      </c>
      <c r="Y8070" s="1">
        <f t="shared" si="253"/>
        <v>0</v>
      </c>
    </row>
    <row r="8071" spans="24:25" x14ac:dyDescent="0.3">
      <c r="X8071" s="1">
        <f t="shared" si="252"/>
        <v>0</v>
      </c>
      <c r="Y8071" s="1">
        <f t="shared" si="253"/>
        <v>0</v>
      </c>
    </row>
    <row r="8072" spans="24:25" x14ac:dyDescent="0.3">
      <c r="X8072" s="1">
        <f t="shared" si="252"/>
        <v>0</v>
      </c>
      <c r="Y8072" s="1">
        <f t="shared" si="253"/>
        <v>0</v>
      </c>
    </row>
    <row r="8073" spans="24:25" x14ac:dyDescent="0.3">
      <c r="X8073" s="1">
        <f t="shared" si="252"/>
        <v>0</v>
      </c>
      <c r="Y8073" s="1">
        <f t="shared" si="253"/>
        <v>0</v>
      </c>
    </row>
    <row r="8074" spans="24:25" x14ac:dyDescent="0.3">
      <c r="X8074" s="1">
        <f t="shared" si="252"/>
        <v>0</v>
      </c>
      <c r="Y8074" s="1">
        <f t="shared" si="253"/>
        <v>0</v>
      </c>
    </row>
    <row r="8075" spans="24:25" x14ac:dyDescent="0.3">
      <c r="X8075" s="1">
        <f t="shared" si="252"/>
        <v>0</v>
      </c>
      <c r="Y8075" s="1">
        <f t="shared" si="253"/>
        <v>0</v>
      </c>
    </row>
    <row r="8076" spans="24:25" x14ac:dyDescent="0.3">
      <c r="X8076" s="1">
        <f t="shared" si="252"/>
        <v>0</v>
      </c>
      <c r="Y8076" s="1">
        <f t="shared" si="253"/>
        <v>0</v>
      </c>
    </row>
    <row r="8077" spans="24:25" x14ac:dyDescent="0.3">
      <c r="X8077" s="1">
        <f t="shared" si="252"/>
        <v>0</v>
      </c>
      <c r="Y8077" s="1">
        <f t="shared" si="253"/>
        <v>0</v>
      </c>
    </row>
    <row r="8078" spans="24:25" x14ac:dyDescent="0.3">
      <c r="X8078" s="1">
        <f t="shared" si="252"/>
        <v>0</v>
      </c>
      <c r="Y8078" s="1">
        <f t="shared" si="253"/>
        <v>0</v>
      </c>
    </row>
    <row r="8079" spans="24:25" x14ac:dyDescent="0.3">
      <c r="X8079" s="1">
        <f t="shared" si="252"/>
        <v>0</v>
      </c>
      <c r="Y8079" s="1">
        <f t="shared" si="253"/>
        <v>0</v>
      </c>
    </row>
    <row r="8080" spans="24:25" x14ac:dyDescent="0.3">
      <c r="X8080" s="1">
        <f t="shared" si="252"/>
        <v>0</v>
      </c>
      <c r="Y8080" s="1">
        <f t="shared" si="253"/>
        <v>0</v>
      </c>
    </row>
    <row r="8081" spans="24:25" x14ac:dyDescent="0.3">
      <c r="X8081" s="1">
        <f t="shared" si="252"/>
        <v>0</v>
      </c>
      <c r="Y8081" s="1">
        <f t="shared" si="253"/>
        <v>0</v>
      </c>
    </row>
    <row r="8082" spans="24:25" x14ac:dyDescent="0.3">
      <c r="X8082" s="1">
        <f t="shared" si="252"/>
        <v>0</v>
      </c>
      <c r="Y8082" s="1">
        <f t="shared" si="253"/>
        <v>0</v>
      </c>
    </row>
    <row r="8083" spans="24:25" x14ac:dyDescent="0.3">
      <c r="X8083" s="1">
        <f t="shared" si="252"/>
        <v>0</v>
      </c>
      <c r="Y8083" s="1">
        <f t="shared" si="253"/>
        <v>0</v>
      </c>
    </row>
    <row r="8084" spans="24:25" x14ac:dyDescent="0.3">
      <c r="X8084" s="1">
        <f t="shared" si="252"/>
        <v>0</v>
      </c>
      <c r="Y8084" s="1">
        <f t="shared" si="253"/>
        <v>0</v>
      </c>
    </row>
    <row r="8085" spans="24:25" x14ac:dyDescent="0.3">
      <c r="X8085" s="1">
        <f t="shared" si="252"/>
        <v>0</v>
      </c>
      <c r="Y8085" s="1">
        <f t="shared" si="253"/>
        <v>0</v>
      </c>
    </row>
    <row r="8086" spans="24:25" x14ac:dyDescent="0.3">
      <c r="X8086" s="1">
        <f t="shared" si="252"/>
        <v>0</v>
      </c>
      <c r="Y8086" s="1">
        <f t="shared" si="253"/>
        <v>0</v>
      </c>
    </row>
    <row r="8087" spans="24:25" x14ac:dyDescent="0.3">
      <c r="X8087" s="1">
        <f t="shared" si="252"/>
        <v>0</v>
      </c>
      <c r="Y8087" s="1">
        <f t="shared" si="253"/>
        <v>0</v>
      </c>
    </row>
    <row r="8088" spans="24:25" x14ac:dyDescent="0.3">
      <c r="X8088" s="1">
        <f t="shared" si="252"/>
        <v>0</v>
      </c>
      <c r="Y8088" s="1">
        <f t="shared" si="253"/>
        <v>0</v>
      </c>
    </row>
    <row r="8089" spans="24:25" x14ac:dyDescent="0.3">
      <c r="X8089" s="1">
        <f t="shared" si="252"/>
        <v>0</v>
      </c>
      <c r="Y8089" s="1">
        <f t="shared" si="253"/>
        <v>0</v>
      </c>
    </row>
    <row r="8090" spans="24:25" x14ac:dyDescent="0.3">
      <c r="X8090" s="1">
        <f t="shared" si="252"/>
        <v>0</v>
      </c>
      <c r="Y8090" s="1">
        <f t="shared" si="253"/>
        <v>0</v>
      </c>
    </row>
    <row r="8091" spans="24:25" x14ac:dyDescent="0.3">
      <c r="X8091" s="1">
        <f t="shared" si="252"/>
        <v>0</v>
      </c>
      <c r="Y8091" s="1">
        <f t="shared" si="253"/>
        <v>0</v>
      </c>
    </row>
    <row r="8092" spans="24:25" x14ac:dyDescent="0.3">
      <c r="X8092" s="1">
        <f t="shared" si="252"/>
        <v>0</v>
      </c>
      <c r="Y8092" s="1">
        <f t="shared" si="253"/>
        <v>0</v>
      </c>
    </row>
    <row r="8093" spans="24:25" x14ac:dyDescent="0.3">
      <c r="X8093" s="1">
        <f t="shared" si="252"/>
        <v>0</v>
      </c>
      <c r="Y8093" s="1">
        <f t="shared" si="253"/>
        <v>0</v>
      </c>
    </row>
    <row r="8094" spans="24:25" x14ac:dyDescent="0.3">
      <c r="X8094" s="1">
        <f t="shared" si="252"/>
        <v>0</v>
      </c>
      <c r="Y8094" s="1">
        <f t="shared" si="253"/>
        <v>0</v>
      </c>
    </row>
    <row r="8095" spans="24:25" x14ac:dyDescent="0.3">
      <c r="X8095" s="1">
        <f t="shared" si="252"/>
        <v>0</v>
      </c>
      <c r="Y8095" s="1">
        <f t="shared" si="253"/>
        <v>0</v>
      </c>
    </row>
    <row r="8096" spans="24:25" x14ac:dyDescent="0.3">
      <c r="X8096" s="1">
        <f t="shared" si="252"/>
        <v>0</v>
      </c>
      <c r="Y8096" s="1">
        <f t="shared" si="253"/>
        <v>0</v>
      </c>
    </row>
    <row r="8097" spans="24:25" x14ac:dyDescent="0.3">
      <c r="X8097" s="1">
        <f t="shared" si="252"/>
        <v>0</v>
      </c>
      <c r="Y8097" s="1">
        <f t="shared" si="253"/>
        <v>0</v>
      </c>
    </row>
    <row r="8098" spans="24:25" x14ac:dyDescent="0.3">
      <c r="X8098" s="1">
        <f t="shared" si="252"/>
        <v>0</v>
      </c>
      <c r="Y8098" s="1">
        <f t="shared" si="253"/>
        <v>0</v>
      </c>
    </row>
    <row r="8099" spans="24:25" x14ac:dyDescent="0.3">
      <c r="X8099" s="1">
        <f t="shared" si="252"/>
        <v>0</v>
      </c>
      <c r="Y8099" s="1">
        <f t="shared" si="253"/>
        <v>0</v>
      </c>
    </row>
    <row r="8100" spans="24:25" x14ac:dyDescent="0.3">
      <c r="X8100" s="1">
        <f t="shared" si="252"/>
        <v>0</v>
      </c>
      <c r="Y8100" s="1">
        <f t="shared" si="253"/>
        <v>0</v>
      </c>
    </row>
    <row r="8101" spans="24:25" x14ac:dyDescent="0.3">
      <c r="X8101" s="1">
        <f t="shared" si="252"/>
        <v>0</v>
      </c>
      <c r="Y8101" s="1">
        <f t="shared" si="253"/>
        <v>0</v>
      </c>
    </row>
    <row r="8102" spans="24:25" x14ac:dyDescent="0.3">
      <c r="X8102" s="1">
        <f t="shared" si="252"/>
        <v>0</v>
      </c>
      <c r="Y8102" s="1">
        <f t="shared" si="253"/>
        <v>0</v>
      </c>
    </row>
    <row r="8103" spans="24:25" x14ac:dyDescent="0.3">
      <c r="X8103" s="1">
        <f t="shared" si="252"/>
        <v>0</v>
      </c>
      <c r="Y8103" s="1">
        <f t="shared" si="253"/>
        <v>0</v>
      </c>
    </row>
    <row r="8104" spans="24:25" x14ac:dyDescent="0.3">
      <c r="X8104" s="1">
        <f t="shared" si="252"/>
        <v>0</v>
      </c>
      <c r="Y8104" s="1">
        <f t="shared" si="253"/>
        <v>0</v>
      </c>
    </row>
    <row r="8105" spans="24:25" x14ac:dyDescent="0.3">
      <c r="X8105" s="1">
        <f t="shared" si="252"/>
        <v>0</v>
      </c>
      <c r="Y8105" s="1">
        <f t="shared" si="253"/>
        <v>0</v>
      </c>
    </row>
    <row r="8106" spans="24:25" x14ac:dyDescent="0.3">
      <c r="X8106" s="1">
        <f t="shared" si="252"/>
        <v>0</v>
      </c>
      <c r="Y8106" s="1">
        <f t="shared" si="253"/>
        <v>0</v>
      </c>
    </row>
    <row r="8107" spans="24:25" x14ac:dyDescent="0.3">
      <c r="X8107" s="1">
        <f t="shared" si="252"/>
        <v>0</v>
      </c>
      <c r="Y8107" s="1">
        <f t="shared" si="253"/>
        <v>0</v>
      </c>
    </row>
    <row r="8108" spans="24:25" x14ac:dyDescent="0.3">
      <c r="X8108" s="1">
        <f t="shared" si="252"/>
        <v>0</v>
      </c>
      <c r="Y8108" s="1">
        <f t="shared" si="253"/>
        <v>0</v>
      </c>
    </row>
    <row r="8109" spans="24:25" x14ac:dyDescent="0.3">
      <c r="X8109" s="1">
        <f t="shared" si="252"/>
        <v>0</v>
      </c>
      <c r="Y8109" s="1">
        <f t="shared" si="253"/>
        <v>0</v>
      </c>
    </row>
    <row r="8110" spans="24:25" x14ac:dyDescent="0.3">
      <c r="X8110" s="1">
        <f t="shared" si="252"/>
        <v>0</v>
      </c>
      <c r="Y8110" s="1">
        <f t="shared" si="253"/>
        <v>0</v>
      </c>
    </row>
    <row r="8111" spans="24:25" x14ac:dyDescent="0.3">
      <c r="X8111" s="1">
        <f t="shared" si="252"/>
        <v>0</v>
      </c>
      <c r="Y8111" s="1">
        <f t="shared" si="253"/>
        <v>0</v>
      </c>
    </row>
    <row r="8112" spans="24:25" x14ac:dyDescent="0.3">
      <c r="X8112" s="1">
        <f t="shared" si="252"/>
        <v>0</v>
      </c>
      <c r="Y8112" s="1">
        <f t="shared" si="253"/>
        <v>0</v>
      </c>
    </row>
    <row r="8113" spans="24:25" x14ac:dyDescent="0.3">
      <c r="X8113" s="1">
        <f t="shared" si="252"/>
        <v>0</v>
      </c>
      <c r="Y8113" s="1">
        <f t="shared" si="253"/>
        <v>0</v>
      </c>
    </row>
    <row r="8114" spans="24:25" x14ac:dyDescent="0.3">
      <c r="X8114" s="1">
        <f t="shared" si="252"/>
        <v>0</v>
      </c>
      <c r="Y8114" s="1">
        <f t="shared" si="253"/>
        <v>0</v>
      </c>
    </row>
    <row r="8115" spans="24:25" x14ac:dyDescent="0.3">
      <c r="X8115" s="1">
        <f t="shared" si="252"/>
        <v>0</v>
      </c>
      <c r="Y8115" s="1">
        <f t="shared" si="253"/>
        <v>0</v>
      </c>
    </row>
    <row r="8116" spans="24:25" x14ac:dyDescent="0.3">
      <c r="X8116" s="1">
        <f t="shared" si="252"/>
        <v>0</v>
      </c>
      <c r="Y8116" s="1">
        <f t="shared" si="253"/>
        <v>0</v>
      </c>
    </row>
    <row r="8117" spans="24:25" x14ac:dyDescent="0.3">
      <c r="X8117" s="1">
        <f t="shared" si="252"/>
        <v>0</v>
      </c>
      <c r="Y8117" s="1">
        <f t="shared" si="253"/>
        <v>0</v>
      </c>
    </row>
    <row r="8118" spans="24:25" x14ac:dyDescent="0.3">
      <c r="X8118" s="1">
        <f t="shared" si="252"/>
        <v>0</v>
      </c>
      <c r="Y8118" s="1">
        <f t="shared" si="253"/>
        <v>0</v>
      </c>
    </row>
    <row r="8119" spans="24:25" x14ac:dyDescent="0.3">
      <c r="X8119" s="1">
        <f t="shared" si="252"/>
        <v>0</v>
      </c>
      <c r="Y8119" s="1">
        <f t="shared" si="253"/>
        <v>0</v>
      </c>
    </row>
    <row r="8120" spans="24:25" x14ac:dyDescent="0.3">
      <c r="X8120" s="1">
        <f t="shared" si="252"/>
        <v>0</v>
      </c>
      <c r="Y8120" s="1">
        <f t="shared" si="253"/>
        <v>0</v>
      </c>
    </row>
    <row r="8121" spans="24:25" x14ac:dyDescent="0.3">
      <c r="X8121" s="1">
        <f t="shared" si="252"/>
        <v>0</v>
      </c>
      <c r="Y8121" s="1">
        <f t="shared" si="253"/>
        <v>0</v>
      </c>
    </row>
    <row r="8122" spans="24:25" x14ac:dyDescent="0.3">
      <c r="X8122" s="1">
        <f t="shared" si="252"/>
        <v>0</v>
      </c>
      <c r="Y8122" s="1">
        <f t="shared" si="253"/>
        <v>0</v>
      </c>
    </row>
    <row r="8123" spans="24:25" x14ac:dyDescent="0.3">
      <c r="X8123" s="1">
        <f t="shared" si="252"/>
        <v>0</v>
      </c>
      <c r="Y8123" s="1">
        <f t="shared" si="253"/>
        <v>0</v>
      </c>
    </row>
    <row r="8124" spans="24:25" x14ac:dyDescent="0.3">
      <c r="X8124" s="1">
        <f t="shared" si="252"/>
        <v>0</v>
      </c>
      <c r="Y8124" s="1">
        <f t="shared" si="253"/>
        <v>0</v>
      </c>
    </row>
    <row r="8125" spans="24:25" x14ac:dyDescent="0.3">
      <c r="X8125" s="1">
        <f t="shared" si="252"/>
        <v>0</v>
      </c>
      <c r="Y8125" s="1">
        <f t="shared" si="253"/>
        <v>0</v>
      </c>
    </row>
    <row r="8126" spans="24:25" x14ac:dyDescent="0.3">
      <c r="X8126" s="1">
        <f t="shared" si="252"/>
        <v>0</v>
      </c>
      <c r="Y8126" s="1">
        <f t="shared" si="253"/>
        <v>0</v>
      </c>
    </row>
    <row r="8127" spans="24:25" x14ac:dyDescent="0.3">
      <c r="X8127" s="1">
        <f t="shared" si="252"/>
        <v>0</v>
      </c>
      <c r="Y8127" s="1">
        <f t="shared" si="253"/>
        <v>0</v>
      </c>
    </row>
    <row r="8128" spans="24:25" x14ac:dyDescent="0.3">
      <c r="X8128" s="1">
        <f t="shared" si="252"/>
        <v>0</v>
      </c>
      <c r="Y8128" s="1">
        <f t="shared" si="253"/>
        <v>0</v>
      </c>
    </row>
    <row r="8129" spans="24:25" x14ac:dyDescent="0.3">
      <c r="X8129" s="1">
        <f t="shared" si="252"/>
        <v>0</v>
      </c>
      <c r="Y8129" s="1">
        <f t="shared" si="253"/>
        <v>0</v>
      </c>
    </row>
    <row r="8130" spans="24:25" x14ac:dyDescent="0.3">
      <c r="X8130" s="1">
        <f t="shared" si="252"/>
        <v>0</v>
      </c>
      <c r="Y8130" s="1">
        <f t="shared" si="253"/>
        <v>0</v>
      </c>
    </row>
    <row r="8131" spans="24:25" x14ac:dyDescent="0.3">
      <c r="X8131" s="1">
        <f t="shared" ref="X8131:X8194" si="254">IFERROR(MATCH(W8131,$B:$B,0),0)</f>
        <v>0</v>
      </c>
      <c r="Y8131" s="1">
        <f t="shared" ref="Y8131:Y8194" si="255">IF(X8132=0,COUNTA(A:A),X8132-1)</f>
        <v>0</v>
      </c>
    </row>
    <row r="8132" spans="24:25" x14ac:dyDescent="0.3">
      <c r="X8132" s="1">
        <f t="shared" si="254"/>
        <v>0</v>
      </c>
      <c r="Y8132" s="1">
        <f t="shared" si="255"/>
        <v>0</v>
      </c>
    </row>
    <row r="8133" spans="24:25" x14ac:dyDescent="0.3">
      <c r="X8133" s="1">
        <f t="shared" si="254"/>
        <v>0</v>
      </c>
      <c r="Y8133" s="1">
        <f t="shared" si="255"/>
        <v>0</v>
      </c>
    </row>
    <row r="8134" spans="24:25" x14ac:dyDescent="0.3">
      <c r="X8134" s="1">
        <f t="shared" si="254"/>
        <v>0</v>
      </c>
      <c r="Y8134" s="1">
        <f t="shared" si="255"/>
        <v>0</v>
      </c>
    </row>
    <row r="8135" spans="24:25" x14ac:dyDescent="0.3">
      <c r="X8135" s="1">
        <f t="shared" si="254"/>
        <v>0</v>
      </c>
      <c r="Y8135" s="1">
        <f t="shared" si="255"/>
        <v>0</v>
      </c>
    </row>
    <row r="8136" spans="24:25" x14ac:dyDescent="0.3">
      <c r="X8136" s="1">
        <f t="shared" si="254"/>
        <v>0</v>
      </c>
      <c r="Y8136" s="1">
        <f t="shared" si="255"/>
        <v>0</v>
      </c>
    </row>
    <row r="8137" spans="24:25" x14ac:dyDescent="0.3">
      <c r="X8137" s="1">
        <f t="shared" si="254"/>
        <v>0</v>
      </c>
      <c r="Y8137" s="1">
        <f t="shared" si="255"/>
        <v>0</v>
      </c>
    </row>
    <row r="8138" spans="24:25" x14ac:dyDescent="0.3">
      <c r="X8138" s="1">
        <f t="shared" si="254"/>
        <v>0</v>
      </c>
      <c r="Y8138" s="1">
        <f t="shared" si="255"/>
        <v>0</v>
      </c>
    </row>
    <row r="8139" spans="24:25" x14ac:dyDescent="0.3">
      <c r="X8139" s="1">
        <f t="shared" si="254"/>
        <v>0</v>
      </c>
      <c r="Y8139" s="1">
        <f t="shared" si="255"/>
        <v>0</v>
      </c>
    </row>
    <row r="8140" spans="24:25" x14ac:dyDescent="0.3">
      <c r="X8140" s="1">
        <f t="shared" si="254"/>
        <v>0</v>
      </c>
      <c r="Y8140" s="1">
        <f t="shared" si="255"/>
        <v>0</v>
      </c>
    </row>
    <row r="8141" spans="24:25" x14ac:dyDescent="0.3">
      <c r="X8141" s="1">
        <f t="shared" si="254"/>
        <v>0</v>
      </c>
      <c r="Y8141" s="1">
        <f t="shared" si="255"/>
        <v>0</v>
      </c>
    </row>
    <row r="8142" spans="24:25" x14ac:dyDescent="0.3">
      <c r="X8142" s="1">
        <f t="shared" si="254"/>
        <v>0</v>
      </c>
      <c r="Y8142" s="1">
        <f t="shared" si="255"/>
        <v>0</v>
      </c>
    </row>
    <row r="8143" spans="24:25" x14ac:dyDescent="0.3">
      <c r="X8143" s="1">
        <f t="shared" si="254"/>
        <v>0</v>
      </c>
      <c r="Y8143" s="1">
        <f t="shared" si="255"/>
        <v>0</v>
      </c>
    </row>
    <row r="8144" spans="24:25" x14ac:dyDescent="0.3">
      <c r="X8144" s="1">
        <f t="shared" si="254"/>
        <v>0</v>
      </c>
      <c r="Y8144" s="1">
        <f t="shared" si="255"/>
        <v>0</v>
      </c>
    </row>
    <row r="8145" spans="24:25" x14ac:dyDescent="0.3">
      <c r="X8145" s="1">
        <f t="shared" si="254"/>
        <v>0</v>
      </c>
      <c r="Y8145" s="1">
        <f t="shared" si="255"/>
        <v>0</v>
      </c>
    </row>
    <row r="8146" spans="24:25" x14ac:dyDescent="0.3">
      <c r="X8146" s="1">
        <f t="shared" si="254"/>
        <v>0</v>
      </c>
      <c r="Y8146" s="1">
        <f t="shared" si="255"/>
        <v>0</v>
      </c>
    </row>
    <row r="8147" spans="24:25" x14ac:dyDescent="0.3">
      <c r="X8147" s="1">
        <f t="shared" si="254"/>
        <v>0</v>
      </c>
      <c r="Y8147" s="1">
        <f t="shared" si="255"/>
        <v>0</v>
      </c>
    </row>
    <row r="8148" spans="24:25" x14ac:dyDescent="0.3">
      <c r="X8148" s="1">
        <f t="shared" si="254"/>
        <v>0</v>
      </c>
      <c r="Y8148" s="1">
        <f t="shared" si="255"/>
        <v>0</v>
      </c>
    </row>
    <row r="8149" spans="24:25" x14ac:dyDescent="0.3">
      <c r="X8149" s="1">
        <f t="shared" si="254"/>
        <v>0</v>
      </c>
      <c r="Y8149" s="1">
        <f t="shared" si="255"/>
        <v>0</v>
      </c>
    </row>
    <row r="8150" spans="24:25" x14ac:dyDescent="0.3">
      <c r="X8150" s="1">
        <f t="shared" si="254"/>
        <v>0</v>
      </c>
      <c r="Y8150" s="1">
        <f t="shared" si="255"/>
        <v>0</v>
      </c>
    </row>
    <row r="8151" spans="24:25" x14ac:dyDescent="0.3">
      <c r="X8151" s="1">
        <f t="shared" si="254"/>
        <v>0</v>
      </c>
      <c r="Y8151" s="1">
        <f t="shared" si="255"/>
        <v>0</v>
      </c>
    </row>
    <row r="8152" spans="24:25" x14ac:dyDescent="0.3">
      <c r="X8152" s="1">
        <f t="shared" si="254"/>
        <v>0</v>
      </c>
      <c r="Y8152" s="1">
        <f t="shared" si="255"/>
        <v>0</v>
      </c>
    </row>
    <row r="8153" spans="24:25" x14ac:dyDescent="0.3">
      <c r="X8153" s="1">
        <f t="shared" si="254"/>
        <v>0</v>
      </c>
      <c r="Y8153" s="1">
        <f t="shared" si="255"/>
        <v>0</v>
      </c>
    </row>
    <row r="8154" spans="24:25" x14ac:dyDescent="0.3">
      <c r="X8154" s="1">
        <f t="shared" si="254"/>
        <v>0</v>
      </c>
      <c r="Y8154" s="1">
        <f t="shared" si="255"/>
        <v>0</v>
      </c>
    </row>
    <row r="8155" spans="24:25" x14ac:dyDescent="0.3">
      <c r="X8155" s="1">
        <f t="shared" si="254"/>
        <v>0</v>
      </c>
      <c r="Y8155" s="1">
        <f t="shared" si="255"/>
        <v>0</v>
      </c>
    </row>
    <row r="8156" spans="24:25" x14ac:dyDescent="0.3">
      <c r="X8156" s="1">
        <f t="shared" si="254"/>
        <v>0</v>
      </c>
      <c r="Y8156" s="1">
        <f t="shared" si="255"/>
        <v>0</v>
      </c>
    </row>
    <row r="8157" spans="24:25" x14ac:dyDescent="0.3">
      <c r="X8157" s="1">
        <f t="shared" si="254"/>
        <v>0</v>
      </c>
      <c r="Y8157" s="1">
        <f t="shared" si="255"/>
        <v>0</v>
      </c>
    </row>
    <row r="8158" spans="24:25" x14ac:dyDescent="0.3">
      <c r="X8158" s="1">
        <f t="shared" si="254"/>
        <v>0</v>
      </c>
      <c r="Y8158" s="1">
        <f t="shared" si="255"/>
        <v>0</v>
      </c>
    </row>
    <row r="8159" spans="24:25" x14ac:dyDescent="0.3">
      <c r="X8159" s="1">
        <f t="shared" si="254"/>
        <v>0</v>
      </c>
      <c r="Y8159" s="1">
        <f t="shared" si="255"/>
        <v>0</v>
      </c>
    </row>
    <row r="8160" spans="24:25" x14ac:dyDescent="0.3">
      <c r="X8160" s="1">
        <f t="shared" si="254"/>
        <v>0</v>
      </c>
      <c r="Y8160" s="1">
        <f t="shared" si="255"/>
        <v>0</v>
      </c>
    </row>
    <row r="8161" spans="24:25" x14ac:dyDescent="0.3">
      <c r="X8161" s="1">
        <f t="shared" si="254"/>
        <v>0</v>
      </c>
      <c r="Y8161" s="1">
        <f t="shared" si="255"/>
        <v>0</v>
      </c>
    </row>
    <row r="8162" spans="24:25" x14ac:dyDescent="0.3">
      <c r="X8162" s="1">
        <f t="shared" si="254"/>
        <v>0</v>
      </c>
      <c r="Y8162" s="1">
        <f t="shared" si="255"/>
        <v>0</v>
      </c>
    </row>
    <row r="8163" spans="24:25" x14ac:dyDescent="0.3">
      <c r="X8163" s="1">
        <f t="shared" si="254"/>
        <v>0</v>
      </c>
      <c r="Y8163" s="1">
        <f t="shared" si="255"/>
        <v>0</v>
      </c>
    </row>
    <row r="8164" spans="24:25" x14ac:dyDescent="0.3">
      <c r="X8164" s="1">
        <f t="shared" si="254"/>
        <v>0</v>
      </c>
      <c r="Y8164" s="1">
        <f t="shared" si="255"/>
        <v>0</v>
      </c>
    </row>
    <row r="8165" spans="24:25" x14ac:dyDescent="0.3">
      <c r="X8165" s="1">
        <f t="shared" si="254"/>
        <v>0</v>
      </c>
      <c r="Y8165" s="1">
        <f t="shared" si="255"/>
        <v>0</v>
      </c>
    </row>
    <row r="8166" spans="24:25" x14ac:dyDescent="0.3">
      <c r="X8166" s="1">
        <f t="shared" si="254"/>
        <v>0</v>
      </c>
      <c r="Y8166" s="1">
        <f t="shared" si="255"/>
        <v>0</v>
      </c>
    </row>
    <row r="8167" spans="24:25" x14ac:dyDescent="0.3">
      <c r="X8167" s="1">
        <f t="shared" si="254"/>
        <v>0</v>
      </c>
      <c r="Y8167" s="1">
        <f t="shared" si="255"/>
        <v>0</v>
      </c>
    </row>
    <row r="8168" spans="24:25" x14ac:dyDescent="0.3">
      <c r="X8168" s="1">
        <f t="shared" si="254"/>
        <v>0</v>
      </c>
      <c r="Y8168" s="1">
        <f t="shared" si="255"/>
        <v>0</v>
      </c>
    </row>
    <row r="8169" spans="24:25" x14ac:dyDescent="0.3">
      <c r="X8169" s="1">
        <f t="shared" si="254"/>
        <v>0</v>
      </c>
      <c r="Y8169" s="1">
        <f t="shared" si="255"/>
        <v>0</v>
      </c>
    </row>
    <row r="8170" spans="24:25" x14ac:dyDescent="0.3">
      <c r="X8170" s="1">
        <f t="shared" si="254"/>
        <v>0</v>
      </c>
      <c r="Y8170" s="1">
        <f t="shared" si="255"/>
        <v>0</v>
      </c>
    </row>
    <row r="8171" spans="24:25" x14ac:dyDescent="0.3">
      <c r="X8171" s="1">
        <f t="shared" si="254"/>
        <v>0</v>
      </c>
      <c r="Y8171" s="1">
        <f t="shared" si="255"/>
        <v>0</v>
      </c>
    </row>
    <row r="8172" spans="24:25" x14ac:dyDescent="0.3">
      <c r="X8172" s="1">
        <f t="shared" si="254"/>
        <v>0</v>
      </c>
      <c r="Y8172" s="1">
        <f t="shared" si="255"/>
        <v>0</v>
      </c>
    </row>
    <row r="8173" spans="24:25" x14ac:dyDescent="0.3">
      <c r="X8173" s="1">
        <f t="shared" si="254"/>
        <v>0</v>
      </c>
      <c r="Y8173" s="1">
        <f t="shared" si="255"/>
        <v>0</v>
      </c>
    </row>
    <row r="8174" spans="24:25" x14ac:dyDescent="0.3">
      <c r="X8174" s="1">
        <f t="shared" si="254"/>
        <v>0</v>
      </c>
      <c r="Y8174" s="1">
        <f t="shared" si="255"/>
        <v>0</v>
      </c>
    </row>
    <row r="8175" spans="24:25" x14ac:dyDescent="0.3">
      <c r="X8175" s="1">
        <f t="shared" si="254"/>
        <v>0</v>
      </c>
      <c r="Y8175" s="1">
        <f t="shared" si="255"/>
        <v>0</v>
      </c>
    </row>
    <row r="8176" spans="24:25" x14ac:dyDescent="0.3">
      <c r="X8176" s="1">
        <f t="shared" si="254"/>
        <v>0</v>
      </c>
      <c r="Y8176" s="1">
        <f t="shared" si="255"/>
        <v>0</v>
      </c>
    </row>
    <row r="8177" spans="24:25" x14ac:dyDescent="0.3">
      <c r="X8177" s="1">
        <f t="shared" si="254"/>
        <v>0</v>
      </c>
      <c r="Y8177" s="1">
        <f t="shared" si="255"/>
        <v>0</v>
      </c>
    </row>
    <row r="8178" spans="24:25" x14ac:dyDescent="0.3">
      <c r="X8178" s="1">
        <f t="shared" si="254"/>
        <v>0</v>
      </c>
      <c r="Y8178" s="1">
        <f t="shared" si="255"/>
        <v>0</v>
      </c>
    </row>
    <row r="8179" spans="24:25" x14ac:dyDescent="0.3">
      <c r="X8179" s="1">
        <f t="shared" si="254"/>
        <v>0</v>
      </c>
      <c r="Y8179" s="1">
        <f t="shared" si="255"/>
        <v>0</v>
      </c>
    </row>
    <row r="8180" spans="24:25" x14ac:dyDescent="0.3">
      <c r="X8180" s="1">
        <f t="shared" si="254"/>
        <v>0</v>
      </c>
      <c r="Y8180" s="1">
        <f t="shared" si="255"/>
        <v>0</v>
      </c>
    </row>
    <row r="8181" spans="24:25" x14ac:dyDescent="0.3">
      <c r="X8181" s="1">
        <f t="shared" si="254"/>
        <v>0</v>
      </c>
      <c r="Y8181" s="1">
        <f t="shared" si="255"/>
        <v>0</v>
      </c>
    </row>
    <row r="8182" spans="24:25" x14ac:dyDescent="0.3">
      <c r="X8182" s="1">
        <f t="shared" si="254"/>
        <v>0</v>
      </c>
      <c r="Y8182" s="1">
        <f t="shared" si="255"/>
        <v>0</v>
      </c>
    </row>
    <row r="8183" spans="24:25" x14ac:dyDescent="0.3">
      <c r="X8183" s="1">
        <f t="shared" si="254"/>
        <v>0</v>
      </c>
      <c r="Y8183" s="1">
        <f t="shared" si="255"/>
        <v>0</v>
      </c>
    </row>
    <row r="8184" spans="24:25" x14ac:dyDescent="0.3">
      <c r="X8184" s="1">
        <f t="shared" si="254"/>
        <v>0</v>
      </c>
      <c r="Y8184" s="1">
        <f t="shared" si="255"/>
        <v>0</v>
      </c>
    </row>
    <row r="8185" spans="24:25" x14ac:dyDescent="0.3">
      <c r="X8185" s="1">
        <f t="shared" si="254"/>
        <v>0</v>
      </c>
      <c r="Y8185" s="1">
        <f t="shared" si="255"/>
        <v>0</v>
      </c>
    </row>
    <row r="8186" spans="24:25" x14ac:dyDescent="0.3">
      <c r="X8186" s="1">
        <f t="shared" si="254"/>
        <v>0</v>
      </c>
      <c r="Y8186" s="1">
        <f t="shared" si="255"/>
        <v>0</v>
      </c>
    </row>
    <row r="8187" spans="24:25" x14ac:dyDescent="0.3">
      <c r="X8187" s="1">
        <f t="shared" si="254"/>
        <v>0</v>
      </c>
      <c r="Y8187" s="1">
        <f t="shared" si="255"/>
        <v>0</v>
      </c>
    </row>
    <row r="8188" spans="24:25" x14ac:dyDescent="0.3">
      <c r="X8188" s="1">
        <f t="shared" si="254"/>
        <v>0</v>
      </c>
      <c r="Y8188" s="1">
        <f t="shared" si="255"/>
        <v>0</v>
      </c>
    </row>
    <row r="8189" spans="24:25" x14ac:dyDescent="0.3">
      <c r="X8189" s="1">
        <f t="shared" si="254"/>
        <v>0</v>
      </c>
      <c r="Y8189" s="1">
        <f t="shared" si="255"/>
        <v>0</v>
      </c>
    </row>
    <row r="8190" spans="24:25" x14ac:dyDescent="0.3">
      <c r="X8190" s="1">
        <f t="shared" si="254"/>
        <v>0</v>
      </c>
      <c r="Y8190" s="1">
        <f t="shared" si="255"/>
        <v>0</v>
      </c>
    </row>
    <row r="8191" spans="24:25" x14ac:dyDescent="0.3">
      <c r="X8191" s="1">
        <f t="shared" si="254"/>
        <v>0</v>
      </c>
      <c r="Y8191" s="1">
        <f t="shared" si="255"/>
        <v>0</v>
      </c>
    </row>
    <row r="8192" spans="24:25" x14ac:dyDescent="0.3">
      <c r="X8192" s="1">
        <f t="shared" si="254"/>
        <v>0</v>
      </c>
      <c r="Y8192" s="1">
        <f t="shared" si="255"/>
        <v>0</v>
      </c>
    </row>
    <row r="8193" spans="24:25" x14ac:dyDescent="0.3">
      <c r="X8193" s="1">
        <f t="shared" si="254"/>
        <v>0</v>
      </c>
      <c r="Y8193" s="1">
        <f t="shared" si="255"/>
        <v>0</v>
      </c>
    </row>
    <row r="8194" spans="24:25" x14ac:dyDescent="0.3">
      <c r="X8194" s="1">
        <f t="shared" si="254"/>
        <v>0</v>
      </c>
      <c r="Y8194" s="1">
        <f t="shared" si="255"/>
        <v>0</v>
      </c>
    </row>
    <row r="8195" spans="24:25" x14ac:dyDescent="0.3">
      <c r="X8195" s="1">
        <f t="shared" ref="X8195:X8258" si="256">IFERROR(MATCH(W8195,$B:$B,0),0)</f>
        <v>0</v>
      </c>
      <c r="Y8195" s="1">
        <f t="shared" ref="Y8195:Y8258" si="257">IF(X8196=0,COUNTA(A:A),X8196-1)</f>
        <v>0</v>
      </c>
    </row>
    <row r="8196" spans="24:25" x14ac:dyDescent="0.3">
      <c r="X8196" s="1">
        <f t="shared" si="256"/>
        <v>0</v>
      </c>
      <c r="Y8196" s="1">
        <f t="shared" si="257"/>
        <v>0</v>
      </c>
    </row>
    <row r="8197" spans="24:25" x14ac:dyDescent="0.3">
      <c r="X8197" s="1">
        <f t="shared" si="256"/>
        <v>0</v>
      </c>
      <c r="Y8197" s="1">
        <f t="shared" si="257"/>
        <v>0</v>
      </c>
    </row>
    <row r="8198" spans="24:25" x14ac:dyDescent="0.3">
      <c r="X8198" s="1">
        <f t="shared" si="256"/>
        <v>0</v>
      </c>
      <c r="Y8198" s="1">
        <f t="shared" si="257"/>
        <v>0</v>
      </c>
    </row>
    <row r="8199" spans="24:25" x14ac:dyDescent="0.3">
      <c r="X8199" s="1">
        <f t="shared" si="256"/>
        <v>0</v>
      </c>
      <c r="Y8199" s="1">
        <f t="shared" si="257"/>
        <v>0</v>
      </c>
    </row>
    <row r="8200" spans="24:25" x14ac:dyDescent="0.3">
      <c r="X8200" s="1">
        <f t="shared" si="256"/>
        <v>0</v>
      </c>
      <c r="Y8200" s="1">
        <f t="shared" si="257"/>
        <v>0</v>
      </c>
    </row>
    <row r="8201" spans="24:25" x14ac:dyDescent="0.3">
      <c r="X8201" s="1">
        <f t="shared" si="256"/>
        <v>0</v>
      </c>
      <c r="Y8201" s="1">
        <f t="shared" si="257"/>
        <v>0</v>
      </c>
    </row>
    <row r="8202" spans="24:25" x14ac:dyDescent="0.3">
      <c r="X8202" s="1">
        <f t="shared" si="256"/>
        <v>0</v>
      </c>
      <c r="Y8202" s="1">
        <f t="shared" si="257"/>
        <v>0</v>
      </c>
    </row>
    <row r="8203" spans="24:25" x14ac:dyDescent="0.3">
      <c r="X8203" s="1">
        <f t="shared" si="256"/>
        <v>0</v>
      </c>
      <c r="Y8203" s="1">
        <f t="shared" si="257"/>
        <v>0</v>
      </c>
    </row>
    <row r="8204" spans="24:25" x14ac:dyDescent="0.3">
      <c r="X8204" s="1">
        <f t="shared" si="256"/>
        <v>0</v>
      </c>
      <c r="Y8204" s="1">
        <f t="shared" si="257"/>
        <v>0</v>
      </c>
    </row>
    <row r="8205" spans="24:25" x14ac:dyDescent="0.3">
      <c r="X8205" s="1">
        <f t="shared" si="256"/>
        <v>0</v>
      </c>
      <c r="Y8205" s="1">
        <f t="shared" si="257"/>
        <v>0</v>
      </c>
    </row>
    <row r="8206" spans="24:25" x14ac:dyDescent="0.3">
      <c r="X8206" s="1">
        <f t="shared" si="256"/>
        <v>0</v>
      </c>
      <c r="Y8206" s="1">
        <f t="shared" si="257"/>
        <v>0</v>
      </c>
    </row>
    <row r="8207" spans="24:25" x14ac:dyDescent="0.3">
      <c r="X8207" s="1">
        <f t="shared" si="256"/>
        <v>0</v>
      </c>
      <c r="Y8207" s="1">
        <f t="shared" si="257"/>
        <v>0</v>
      </c>
    </row>
    <row r="8208" spans="24:25" x14ac:dyDescent="0.3">
      <c r="X8208" s="1">
        <f t="shared" si="256"/>
        <v>0</v>
      </c>
      <c r="Y8208" s="1">
        <f t="shared" si="257"/>
        <v>0</v>
      </c>
    </row>
    <row r="8209" spans="24:25" x14ac:dyDescent="0.3">
      <c r="X8209" s="1">
        <f t="shared" si="256"/>
        <v>0</v>
      </c>
      <c r="Y8209" s="1">
        <f t="shared" si="257"/>
        <v>0</v>
      </c>
    </row>
    <row r="8210" spans="24:25" x14ac:dyDescent="0.3">
      <c r="X8210" s="1">
        <f t="shared" si="256"/>
        <v>0</v>
      </c>
      <c r="Y8210" s="1">
        <f t="shared" si="257"/>
        <v>0</v>
      </c>
    </row>
    <row r="8211" spans="24:25" x14ac:dyDescent="0.3">
      <c r="X8211" s="1">
        <f t="shared" si="256"/>
        <v>0</v>
      </c>
      <c r="Y8211" s="1">
        <f t="shared" si="257"/>
        <v>0</v>
      </c>
    </row>
    <row r="8212" spans="24:25" x14ac:dyDescent="0.3">
      <c r="X8212" s="1">
        <f t="shared" si="256"/>
        <v>0</v>
      </c>
      <c r="Y8212" s="1">
        <f t="shared" si="257"/>
        <v>0</v>
      </c>
    </row>
    <row r="8213" spans="24:25" x14ac:dyDescent="0.3">
      <c r="X8213" s="1">
        <f t="shared" si="256"/>
        <v>0</v>
      </c>
      <c r="Y8213" s="1">
        <f t="shared" si="257"/>
        <v>0</v>
      </c>
    </row>
    <row r="8214" spans="24:25" x14ac:dyDescent="0.3">
      <c r="X8214" s="1">
        <f t="shared" si="256"/>
        <v>0</v>
      </c>
      <c r="Y8214" s="1">
        <f t="shared" si="257"/>
        <v>0</v>
      </c>
    </row>
    <row r="8215" spans="24:25" x14ac:dyDescent="0.3">
      <c r="X8215" s="1">
        <f t="shared" si="256"/>
        <v>0</v>
      </c>
      <c r="Y8215" s="1">
        <f t="shared" si="257"/>
        <v>0</v>
      </c>
    </row>
    <row r="8216" spans="24:25" x14ac:dyDescent="0.3">
      <c r="X8216" s="1">
        <f t="shared" si="256"/>
        <v>0</v>
      </c>
      <c r="Y8216" s="1">
        <f t="shared" si="257"/>
        <v>0</v>
      </c>
    </row>
    <row r="8217" spans="24:25" x14ac:dyDescent="0.3">
      <c r="X8217" s="1">
        <f t="shared" si="256"/>
        <v>0</v>
      </c>
      <c r="Y8217" s="1">
        <f t="shared" si="257"/>
        <v>0</v>
      </c>
    </row>
    <row r="8218" spans="24:25" x14ac:dyDescent="0.3">
      <c r="X8218" s="1">
        <f t="shared" si="256"/>
        <v>0</v>
      </c>
      <c r="Y8218" s="1">
        <f t="shared" si="257"/>
        <v>0</v>
      </c>
    </row>
    <row r="8219" spans="24:25" x14ac:dyDescent="0.3">
      <c r="X8219" s="1">
        <f t="shared" si="256"/>
        <v>0</v>
      </c>
      <c r="Y8219" s="1">
        <f t="shared" si="257"/>
        <v>0</v>
      </c>
    </row>
    <row r="8220" spans="24:25" x14ac:dyDescent="0.3">
      <c r="X8220" s="1">
        <f t="shared" si="256"/>
        <v>0</v>
      </c>
      <c r="Y8220" s="1">
        <f t="shared" si="257"/>
        <v>0</v>
      </c>
    </row>
    <row r="8221" spans="24:25" x14ac:dyDescent="0.3">
      <c r="X8221" s="1">
        <f t="shared" si="256"/>
        <v>0</v>
      </c>
      <c r="Y8221" s="1">
        <f t="shared" si="257"/>
        <v>0</v>
      </c>
    </row>
    <row r="8222" spans="24:25" x14ac:dyDescent="0.3">
      <c r="X8222" s="1">
        <f t="shared" si="256"/>
        <v>0</v>
      </c>
      <c r="Y8222" s="1">
        <f t="shared" si="257"/>
        <v>0</v>
      </c>
    </row>
    <row r="8223" spans="24:25" x14ac:dyDescent="0.3">
      <c r="X8223" s="1">
        <f t="shared" si="256"/>
        <v>0</v>
      </c>
      <c r="Y8223" s="1">
        <f t="shared" si="257"/>
        <v>0</v>
      </c>
    </row>
    <row r="8224" spans="24:25" x14ac:dyDescent="0.3">
      <c r="X8224" s="1">
        <f t="shared" si="256"/>
        <v>0</v>
      </c>
      <c r="Y8224" s="1">
        <f t="shared" si="257"/>
        <v>0</v>
      </c>
    </row>
    <row r="8225" spans="24:25" x14ac:dyDescent="0.3">
      <c r="X8225" s="1">
        <f t="shared" si="256"/>
        <v>0</v>
      </c>
      <c r="Y8225" s="1">
        <f t="shared" si="257"/>
        <v>0</v>
      </c>
    </row>
    <row r="8226" spans="24:25" x14ac:dyDescent="0.3">
      <c r="X8226" s="1">
        <f t="shared" si="256"/>
        <v>0</v>
      </c>
      <c r="Y8226" s="1">
        <f t="shared" si="257"/>
        <v>0</v>
      </c>
    </row>
    <row r="8227" spans="24:25" x14ac:dyDescent="0.3">
      <c r="X8227" s="1">
        <f t="shared" si="256"/>
        <v>0</v>
      </c>
      <c r="Y8227" s="1">
        <f t="shared" si="257"/>
        <v>0</v>
      </c>
    </row>
    <row r="8228" spans="24:25" x14ac:dyDescent="0.3">
      <c r="X8228" s="1">
        <f t="shared" si="256"/>
        <v>0</v>
      </c>
      <c r="Y8228" s="1">
        <f t="shared" si="257"/>
        <v>0</v>
      </c>
    </row>
    <row r="8229" spans="24:25" x14ac:dyDescent="0.3">
      <c r="X8229" s="1">
        <f t="shared" si="256"/>
        <v>0</v>
      </c>
      <c r="Y8229" s="1">
        <f t="shared" si="257"/>
        <v>0</v>
      </c>
    </row>
    <row r="8230" spans="24:25" x14ac:dyDescent="0.3">
      <c r="X8230" s="1">
        <f t="shared" si="256"/>
        <v>0</v>
      </c>
      <c r="Y8230" s="1">
        <f t="shared" si="257"/>
        <v>0</v>
      </c>
    </row>
    <row r="8231" spans="24:25" x14ac:dyDescent="0.3">
      <c r="X8231" s="1">
        <f t="shared" si="256"/>
        <v>0</v>
      </c>
      <c r="Y8231" s="1">
        <f t="shared" si="257"/>
        <v>0</v>
      </c>
    </row>
    <row r="8232" spans="24:25" x14ac:dyDescent="0.3">
      <c r="X8232" s="1">
        <f t="shared" si="256"/>
        <v>0</v>
      </c>
      <c r="Y8232" s="1">
        <f t="shared" si="257"/>
        <v>0</v>
      </c>
    </row>
    <row r="8233" spans="24:25" x14ac:dyDescent="0.3">
      <c r="X8233" s="1">
        <f t="shared" si="256"/>
        <v>0</v>
      </c>
      <c r="Y8233" s="1">
        <f t="shared" si="257"/>
        <v>0</v>
      </c>
    </row>
    <row r="8234" spans="24:25" x14ac:dyDescent="0.3">
      <c r="X8234" s="1">
        <f t="shared" si="256"/>
        <v>0</v>
      </c>
      <c r="Y8234" s="1">
        <f t="shared" si="257"/>
        <v>0</v>
      </c>
    </row>
    <row r="8235" spans="24:25" x14ac:dyDescent="0.3">
      <c r="X8235" s="1">
        <f t="shared" si="256"/>
        <v>0</v>
      </c>
      <c r="Y8235" s="1">
        <f t="shared" si="257"/>
        <v>0</v>
      </c>
    </row>
    <row r="8236" spans="24:25" x14ac:dyDescent="0.3">
      <c r="X8236" s="1">
        <f t="shared" si="256"/>
        <v>0</v>
      </c>
      <c r="Y8236" s="1">
        <f t="shared" si="257"/>
        <v>0</v>
      </c>
    </row>
    <row r="8237" spans="24:25" x14ac:dyDescent="0.3">
      <c r="X8237" s="1">
        <f t="shared" si="256"/>
        <v>0</v>
      </c>
      <c r="Y8237" s="1">
        <f t="shared" si="257"/>
        <v>0</v>
      </c>
    </row>
    <row r="8238" spans="24:25" x14ac:dyDescent="0.3">
      <c r="X8238" s="1">
        <f t="shared" si="256"/>
        <v>0</v>
      </c>
      <c r="Y8238" s="1">
        <f t="shared" si="257"/>
        <v>0</v>
      </c>
    </row>
    <row r="8239" spans="24:25" x14ac:dyDescent="0.3">
      <c r="X8239" s="1">
        <f t="shared" si="256"/>
        <v>0</v>
      </c>
      <c r="Y8239" s="1">
        <f t="shared" si="257"/>
        <v>0</v>
      </c>
    </row>
    <row r="8240" spans="24:25" x14ac:dyDescent="0.3">
      <c r="X8240" s="1">
        <f t="shared" si="256"/>
        <v>0</v>
      </c>
      <c r="Y8240" s="1">
        <f t="shared" si="257"/>
        <v>0</v>
      </c>
    </row>
    <row r="8241" spans="24:25" x14ac:dyDescent="0.3">
      <c r="X8241" s="1">
        <f t="shared" si="256"/>
        <v>0</v>
      </c>
      <c r="Y8241" s="1">
        <f t="shared" si="257"/>
        <v>0</v>
      </c>
    </row>
    <row r="8242" spans="24:25" x14ac:dyDescent="0.3">
      <c r="X8242" s="1">
        <f t="shared" si="256"/>
        <v>0</v>
      </c>
      <c r="Y8242" s="1">
        <f t="shared" si="257"/>
        <v>0</v>
      </c>
    </row>
    <row r="8243" spans="24:25" x14ac:dyDescent="0.3">
      <c r="X8243" s="1">
        <f t="shared" si="256"/>
        <v>0</v>
      </c>
      <c r="Y8243" s="1">
        <f t="shared" si="257"/>
        <v>0</v>
      </c>
    </row>
    <row r="8244" spans="24:25" x14ac:dyDescent="0.3">
      <c r="X8244" s="1">
        <f t="shared" si="256"/>
        <v>0</v>
      </c>
      <c r="Y8244" s="1">
        <f t="shared" si="257"/>
        <v>0</v>
      </c>
    </row>
    <row r="8245" spans="24:25" x14ac:dyDescent="0.3">
      <c r="X8245" s="1">
        <f t="shared" si="256"/>
        <v>0</v>
      </c>
      <c r="Y8245" s="1">
        <f t="shared" si="257"/>
        <v>0</v>
      </c>
    </row>
    <row r="8246" spans="24:25" x14ac:dyDescent="0.3">
      <c r="X8246" s="1">
        <f t="shared" si="256"/>
        <v>0</v>
      </c>
      <c r="Y8246" s="1">
        <f t="shared" si="257"/>
        <v>0</v>
      </c>
    </row>
    <row r="8247" spans="24:25" x14ac:dyDescent="0.3">
      <c r="X8247" s="1">
        <f t="shared" si="256"/>
        <v>0</v>
      </c>
      <c r="Y8247" s="1">
        <f t="shared" si="257"/>
        <v>0</v>
      </c>
    </row>
    <row r="8248" spans="24:25" x14ac:dyDescent="0.3">
      <c r="X8248" s="1">
        <f t="shared" si="256"/>
        <v>0</v>
      </c>
      <c r="Y8248" s="1">
        <f t="shared" si="257"/>
        <v>0</v>
      </c>
    </row>
    <row r="8249" spans="24:25" x14ac:dyDescent="0.3">
      <c r="X8249" s="1">
        <f t="shared" si="256"/>
        <v>0</v>
      </c>
      <c r="Y8249" s="1">
        <f t="shared" si="257"/>
        <v>0</v>
      </c>
    </row>
    <row r="8250" spans="24:25" x14ac:dyDescent="0.3">
      <c r="X8250" s="1">
        <f t="shared" si="256"/>
        <v>0</v>
      </c>
      <c r="Y8250" s="1">
        <f t="shared" si="257"/>
        <v>0</v>
      </c>
    </row>
    <row r="8251" spans="24:25" x14ac:dyDescent="0.3">
      <c r="X8251" s="1">
        <f t="shared" si="256"/>
        <v>0</v>
      </c>
      <c r="Y8251" s="1">
        <f t="shared" si="257"/>
        <v>0</v>
      </c>
    </row>
    <row r="8252" spans="24:25" x14ac:dyDescent="0.3">
      <c r="X8252" s="1">
        <f t="shared" si="256"/>
        <v>0</v>
      </c>
      <c r="Y8252" s="1">
        <f t="shared" si="257"/>
        <v>0</v>
      </c>
    </row>
    <row r="8253" spans="24:25" x14ac:dyDescent="0.3">
      <c r="X8253" s="1">
        <f t="shared" si="256"/>
        <v>0</v>
      </c>
      <c r="Y8253" s="1">
        <f t="shared" si="257"/>
        <v>0</v>
      </c>
    </row>
    <row r="8254" spans="24:25" x14ac:dyDescent="0.3">
      <c r="X8254" s="1">
        <f t="shared" si="256"/>
        <v>0</v>
      </c>
      <c r="Y8254" s="1">
        <f t="shared" si="257"/>
        <v>0</v>
      </c>
    </row>
    <row r="8255" spans="24:25" x14ac:dyDescent="0.3">
      <c r="X8255" s="1">
        <f t="shared" si="256"/>
        <v>0</v>
      </c>
      <c r="Y8255" s="1">
        <f t="shared" si="257"/>
        <v>0</v>
      </c>
    </row>
    <row r="8256" spans="24:25" x14ac:dyDescent="0.3">
      <c r="X8256" s="1">
        <f t="shared" si="256"/>
        <v>0</v>
      </c>
      <c r="Y8256" s="1">
        <f t="shared" si="257"/>
        <v>0</v>
      </c>
    </row>
    <row r="8257" spans="24:25" x14ac:dyDescent="0.3">
      <c r="X8257" s="1">
        <f t="shared" si="256"/>
        <v>0</v>
      </c>
      <c r="Y8257" s="1">
        <f t="shared" si="257"/>
        <v>0</v>
      </c>
    </row>
    <row r="8258" spans="24:25" x14ac:dyDescent="0.3">
      <c r="X8258" s="1">
        <f t="shared" si="256"/>
        <v>0</v>
      </c>
      <c r="Y8258" s="1">
        <f t="shared" si="257"/>
        <v>0</v>
      </c>
    </row>
    <row r="8259" spans="24:25" x14ac:dyDescent="0.3">
      <c r="X8259" s="1">
        <f t="shared" ref="X8259:X8322" si="258">IFERROR(MATCH(W8259,$B:$B,0),0)</f>
        <v>0</v>
      </c>
      <c r="Y8259" s="1">
        <f t="shared" ref="Y8259:Y8322" si="259">IF(X8260=0,COUNTA(A:A),X8260-1)</f>
        <v>0</v>
      </c>
    </row>
    <row r="8260" spans="24:25" x14ac:dyDescent="0.3">
      <c r="X8260" s="1">
        <f t="shared" si="258"/>
        <v>0</v>
      </c>
      <c r="Y8260" s="1">
        <f t="shared" si="259"/>
        <v>0</v>
      </c>
    </row>
    <row r="8261" spans="24:25" x14ac:dyDescent="0.3">
      <c r="X8261" s="1">
        <f t="shared" si="258"/>
        <v>0</v>
      </c>
      <c r="Y8261" s="1">
        <f t="shared" si="259"/>
        <v>0</v>
      </c>
    </row>
    <row r="8262" spans="24:25" x14ac:dyDescent="0.3">
      <c r="X8262" s="1">
        <f t="shared" si="258"/>
        <v>0</v>
      </c>
      <c r="Y8262" s="1">
        <f t="shared" si="259"/>
        <v>0</v>
      </c>
    </row>
    <row r="8263" spans="24:25" x14ac:dyDescent="0.3">
      <c r="X8263" s="1">
        <f t="shared" si="258"/>
        <v>0</v>
      </c>
      <c r="Y8263" s="1">
        <f t="shared" si="259"/>
        <v>0</v>
      </c>
    </row>
    <row r="8264" spans="24:25" x14ac:dyDescent="0.3">
      <c r="X8264" s="1">
        <f t="shared" si="258"/>
        <v>0</v>
      </c>
      <c r="Y8264" s="1">
        <f t="shared" si="259"/>
        <v>0</v>
      </c>
    </row>
    <row r="8265" spans="24:25" x14ac:dyDescent="0.3">
      <c r="X8265" s="1">
        <f t="shared" si="258"/>
        <v>0</v>
      </c>
      <c r="Y8265" s="1">
        <f t="shared" si="259"/>
        <v>0</v>
      </c>
    </row>
    <row r="8266" spans="24:25" x14ac:dyDescent="0.3">
      <c r="X8266" s="1">
        <f t="shared" si="258"/>
        <v>0</v>
      </c>
      <c r="Y8266" s="1">
        <f t="shared" si="259"/>
        <v>0</v>
      </c>
    </row>
    <row r="8267" spans="24:25" x14ac:dyDescent="0.3">
      <c r="X8267" s="1">
        <f t="shared" si="258"/>
        <v>0</v>
      </c>
      <c r="Y8267" s="1">
        <f t="shared" si="259"/>
        <v>0</v>
      </c>
    </row>
    <row r="8268" spans="24:25" x14ac:dyDescent="0.3">
      <c r="X8268" s="1">
        <f t="shared" si="258"/>
        <v>0</v>
      </c>
      <c r="Y8268" s="1">
        <f t="shared" si="259"/>
        <v>0</v>
      </c>
    </row>
    <row r="8269" spans="24:25" x14ac:dyDescent="0.3">
      <c r="X8269" s="1">
        <f t="shared" si="258"/>
        <v>0</v>
      </c>
      <c r="Y8269" s="1">
        <f t="shared" si="259"/>
        <v>0</v>
      </c>
    </row>
    <row r="8270" spans="24:25" x14ac:dyDescent="0.3">
      <c r="X8270" s="1">
        <f t="shared" si="258"/>
        <v>0</v>
      </c>
      <c r="Y8270" s="1">
        <f t="shared" si="259"/>
        <v>0</v>
      </c>
    </row>
    <row r="8271" spans="24:25" x14ac:dyDescent="0.3">
      <c r="X8271" s="1">
        <f t="shared" si="258"/>
        <v>0</v>
      </c>
      <c r="Y8271" s="1">
        <f t="shared" si="259"/>
        <v>0</v>
      </c>
    </row>
    <row r="8272" spans="24:25" x14ac:dyDescent="0.3">
      <c r="X8272" s="1">
        <f t="shared" si="258"/>
        <v>0</v>
      </c>
      <c r="Y8272" s="1">
        <f t="shared" si="259"/>
        <v>0</v>
      </c>
    </row>
    <row r="8273" spans="24:25" x14ac:dyDescent="0.3">
      <c r="X8273" s="1">
        <f t="shared" si="258"/>
        <v>0</v>
      </c>
      <c r="Y8273" s="1">
        <f t="shared" si="259"/>
        <v>0</v>
      </c>
    </row>
    <row r="8274" spans="24:25" x14ac:dyDescent="0.3">
      <c r="X8274" s="1">
        <f t="shared" si="258"/>
        <v>0</v>
      </c>
      <c r="Y8274" s="1">
        <f t="shared" si="259"/>
        <v>0</v>
      </c>
    </row>
    <row r="8275" spans="24:25" x14ac:dyDescent="0.3">
      <c r="X8275" s="1">
        <f t="shared" si="258"/>
        <v>0</v>
      </c>
      <c r="Y8275" s="1">
        <f t="shared" si="259"/>
        <v>0</v>
      </c>
    </row>
    <row r="8276" spans="24:25" x14ac:dyDescent="0.3">
      <c r="X8276" s="1">
        <f t="shared" si="258"/>
        <v>0</v>
      </c>
      <c r="Y8276" s="1">
        <f t="shared" si="259"/>
        <v>0</v>
      </c>
    </row>
    <row r="8277" spans="24:25" x14ac:dyDescent="0.3">
      <c r="X8277" s="1">
        <f t="shared" si="258"/>
        <v>0</v>
      </c>
      <c r="Y8277" s="1">
        <f t="shared" si="259"/>
        <v>0</v>
      </c>
    </row>
    <row r="8278" spans="24:25" x14ac:dyDescent="0.3">
      <c r="X8278" s="1">
        <f t="shared" si="258"/>
        <v>0</v>
      </c>
      <c r="Y8278" s="1">
        <f t="shared" si="259"/>
        <v>0</v>
      </c>
    </row>
    <row r="8279" spans="24:25" x14ac:dyDescent="0.3">
      <c r="X8279" s="1">
        <f t="shared" si="258"/>
        <v>0</v>
      </c>
      <c r="Y8279" s="1">
        <f t="shared" si="259"/>
        <v>0</v>
      </c>
    </row>
    <row r="8280" spans="24:25" x14ac:dyDescent="0.3">
      <c r="X8280" s="1">
        <f t="shared" si="258"/>
        <v>0</v>
      </c>
      <c r="Y8280" s="1">
        <f t="shared" si="259"/>
        <v>0</v>
      </c>
    </row>
    <row r="8281" spans="24:25" x14ac:dyDescent="0.3">
      <c r="X8281" s="1">
        <f t="shared" si="258"/>
        <v>0</v>
      </c>
      <c r="Y8281" s="1">
        <f t="shared" si="259"/>
        <v>0</v>
      </c>
    </row>
    <row r="8282" spans="24:25" x14ac:dyDescent="0.3">
      <c r="X8282" s="1">
        <f t="shared" si="258"/>
        <v>0</v>
      </c>
      <c r="Y8282" s="1">
        <f t="shared" si="259"/>
        <v>0</v>
      </c>
    </row>
    <row r="8283" spans="24:25" x14ac:dyDescent="0.3">
      <c r="X8283" s="1">
        <f t="shared" si="258"/>
        <v>0</v>
      </c>
      <c r="Y8283" s="1">
        <f t="shared" si="259"/>
        <v>0</v>
      </c>
    </row>
    <row r="8284" spans="24:25" x14ac:dyDescent="0.3">
      <c r="X8284" s="1">
        <f t="shared" si="258"/>
        <v>0</v>
      </c>
      <c r="Y8284" s="1">
        <f t="shared" si="259"/>
        <v>0</v>
      </c>
    </row>
    <row r="8285" spans="24:25" x14ac:dyDescent="0.3">
      <c r="X8285" s="1">
        <f t="shared" si="258"/>
        <v>0</v>
      </c>
      <c r="Y8285" s="1">
        <f t="shared" si="259"/>
        <v>0</v>
      </c>
    </row>
    <row r="8286" spans="24:25" x14ac:dyDescent="0.3">
      <c r="X8286" s="1">
        <f t="shared" si="258"/>
        <v>0</v>
      </c>
      <c r="Y8286" s="1">
        <f t="shared" si="259"/>
        <v>0</v>
      </c>
    </row>
    <row r="8287" spans="24:25" x14ac:dyDescent="0.3">
      <c r="X8287" s="1">
        <f t="shared" si="258"/>
        <v>0</v>
      </c>
      <c r="Y8287" s="1">
        <f t="shared" si="259"/>
        <v>0</v>
      </c>
    </row>
    <row r="8288" spans="24:25" x14ac:dyDescent="0.3">
      <c r="X8288" s="1">
        <f t="shared" si="258"/>
        <v>0</v>
      </c>
      <c r="Y8288" s="1">
        <f t="shared" si="259"/>
        <v>0</v>
      </c>
    </row>
    <row r="8289" spans="24:25" x14ac:dyDescent="0.3">
      <c r="X8289" s="1">
        <f t="shared" si="258"/>
        <v>0</v>
      </c>
      <c r="Y8289" s="1">
        <f t="shared" si="259"/>
        <v>0</v>
      </c>
    </row>
    <row r="8290" spans="24:25" x14ac:dyDescent="0.3">
      <c r="X8290" s="1">
        <f t="shared" si="258"/>
        <v>0</v>
      </c>
      <c r="Y8290" s="1">
        <f t="shared" si="259"/>
        <v>0</v>
      </c>
    </row>
    <row r="8291" spans="24:25" x14ac:dyDescent="0.3">
      <c r="X8291" s="1">
        <f t="shared" si="258"/>
        <v>0</v>
      </c>
      <c r="Y8291" s="1">
        <f t="shared" si="259"/>
        <v>0</v>
      </c>
    </row>
    <row r="8292" spans="24:25" x14ac:dyDescent="0.3">
      <c r="X8292" s="1">
        <f t="shared" si="258"/>
        <v>0</v>
      </c>
      <c r="Y8292" s="1">
        <f t="shared" si="259"/>
        <v>0</v>
      </c>
    </row>
    <row r="8293" spans="24:25" x14ac:dyDescent="0.3">
      <c r="X8293" s="1">
        <f t="shared" si="258"/>
        <v>0</v>
      </c>
      <c r="Y8293" s="1">
        <f t="shared" si="259"/>
        <v>0</v>
      </c>
    </row>
    <row r="8294" spans="24:25" x14ac:dyDescent="0.3">
      <c r="X8294" s="1">
        <f t="shared" si="258"/>
        <v>0</v>
      </c>
      <c r="Y8294" s="1">
        <f t="shared" si="259"/>
        <v>0</v>
      </c>
    </row>
    <row r="8295" spans="24:25" x14ac:dyDescent="0.3">
      <c r="X8295" s="1">
        <f t="shared" si="258"/>
        <v>0</v>
      </c>
      <c r="Y8295" s="1">
        <f t="shared" si="259"/>
        <v>0</v>
      </c>
    </row>
    <row r="8296" spans="24:25" x14ac:dyDescent="0.3">
      <c r="X8296" s="1">
        <f t="shared" si="258"/>
        <v>0</v>
      </c>
      <c r="Y8296" s="1">
        <f t="shared" si="259"/>
        <v>0</v>
      </c>
    </row>
    <row r="8297" spans="24:25" x14ac:dyDescent="0.3">
      <c r="X8297" s="1">
        <f t="shared" si="258"/>
        <v>0</v>
      </c>
      <c r="Y8297" s="1">
        <f t="shared" si="259"/>
        <v>0</v>
      </c>
    </row>
    <row r="8298" spans="24:25" x14ac:dyDescent="0.3">
      <c r="X8298" s="1">
        <f t="shared" si="258"/>
        <v>0</v>
      </c>
      <c r="Y8298" s="1">
        <f t="shared" si="259"/>
        <v>0</v>
      </c>
    </row>
    <row r="8299" spans="24:25" x14ac:dyDescent="0.3">
      <c r="X8299" s="1">
        <f t="shared" si="258"/>
        <v>0</v>
      </c>
      <c r="Y8299" s="1">
        <f t="shared" si="259"/>
        <v>0</v>
      </c>
    </row>
    <row r="8300" spans="24:25" x14ac:dyDescent="0.3">
      <c r="X8300" s="1">
        <f t="shared" si="258"/>
        <v>0</v>
      </c>
      <c r="Y8300" s="1">
        <f t="shared" si="259"/>
        <v>0</v>
      </c>
    </row>
    <row r="8301" spans="24:25" x14ac:dyDescent="0.3">
      <c r="X8301" s="1">
        <f t="shared" si="258"/>
        <v>0</v>
      </c>
      <c r="Y8301" s="1">
        <f t="shared" si="259"/>
        <v>0</v>
      </c>
    </row>
    <row r="8302" spans="24:25" x14ac:dyDescent="0.3">
      <c r="X8302" s="1">
        <f t="shared" si="258"/>
        <v>0</v>
      </c>
      <c r="Y8302" s="1">
        <f t="shared" si="259"/>
        <v>0</v>
      </c>
    </row>
    <row r="8303" spans="24:25" x14ac:dyDescent="0.3">
      <c r="X8303" s="1">
        <f t="shared" si="258"/>
        <v>0</v>
      </c>
      <c r="Y8303" s="1">
        <f t="shared" si="259"/>
        <v>0</v>
      </c>
    </row>
    <row r="8304" spans="24:25" x14ac:dyDescent="0.3">
      <c r="X8304" s="1">
        <f t="shared" si="258"/>
        <v>0</v>
      </c>
      <c r="Y8304" s="1">
        <f t="shared" si="259"/>
        <v>0</v>
      </c>
    </row>
    <row r="8305" spans="24:25" x14ac:dyDescent="0.3">
      <c r="X8305" s="1">
        <f t="shared" si="258"/>
        <v>0</v>
      </c>
      <c r="Y8305" s="1">
        <f t="shared" si="259"/>
        <v>0</v>
      </c>
    </row>
    <row r="8306" spans="24:25" x14ac:dyDescent="0.3">
      <c r="X8306" s="1">
        <f t="shared" si="258"/>
        <v>0</v>
      </c>
      <c r="Y8306" s="1">
        <f t="shared" si="259"/>
        <v>0</v>
      </c>
    </row>
    <row r="8307" spans="24:25" x14ac:dyDescent="0.3">
      <c r="X8307" s="1">
        <f t="shared" si="258"/>
        <v>0</v>
      </c>
      <c r="Y8307" s="1">
        <f t="shared" si="259"/>
        <v>0</v>
      </c>
    </row>
    <row r="8308" spans="24:25" x14ac:dyDescent="0.3">
      <c r="X8308" s="1">
        <f t="shared" si="258"/>
        <v>0</v>
      </c>
      <c r="Y8308" s="1">
        <f t="shared" si="259"/>
        <v>0</v>
      </c>
    </row>
    <row r="8309" spans="24:25" x14ac:dyDescent="0.3">
      <c r="X8309" s="1">
        <f t="shared" si="258"/>
        <v>0</v>
      </c>
      <c r="Y8309" s="1">
        <f t="shared" si="259"/>
        <v>0</v>
      </c>
    </row>
    <row r="8310" spans="24:25" x14ac:dyDescent="0.3">
      <c r="X8310" s="1">
        <f t="shared" si="258"/>
        <v>0</v>
      </c>
      <c r="Y8310" s="1">
        <f t="shared" si="259"/>
        <v>0</v>
      </c>
    </row>
    <row r="8311" spans="24:25" x14ac:dyDescent="0.3">
      <c r="X8311" s="1">
        <f t="shared" si="258"/>
        <v>0</v>
      </c>
      <c r="Y8311" s="1">
        <f t="shared" si="259"/>
        <v>0</v>
      </c>
    </row>
    <row r="8312" spans="24:25" x14ac:dyDescent="0.3">
      <c r="X8312" s="1">
        <f t="shared" si="258"/>
        <v>0</v>
      </c>
      <c r="Y8312" s="1">
        <f t="shared" si="259"/>
        <v>0</v>
      </c>
    </row>
    <row r="8313" spans="24:25" x14ac:dyDescent="0.3">
      <c r="X8313" s="1">
        <f t="shared" si="258"/>
        <v>0</v>
      </c>
      <c r="Y8313" s="1">
        <f t="shared" si="259"/>
        <v>0</v>
      </c>
    </row>
    <row r="8314" spans="24:25" x14ac:dyDescent="0.3">
      <c r="X8314" s="1">
        <f t="shared" si="258"/>
        <v>0</v>
      </c>
      <c r="Y8314" s="1">
        <f t="shared" si="259"/>
        <v>0</v>
      </c>
    </row>
    <row r="8315" spans="24:25" x14ac:dyDescent="0.3">
      <c r="X8315" s="1">
        <f t="shared" si="258"/>
        <v>0</v>
      </c>
      <c r="Y8315" s="1">
        <f t="shared" si="259"/>
        <v>0</v>
      </c>
    </row>
    <row r="8316" spans="24:25" x14ac:dyDescent="0.3">
      <c r="X8316" s="1">
        <f t="shared" si="258"/>
        <v>0</v>
      </c>
      <c r="Y8316" s="1">
        <f t="shared" si="259"/>
        <v>0</v>
      </c>
    </row>
    <row r="8317" spans="24:25" x14ac:dyDescent="0.3">
      <c r="X8317" s="1">
        <f t="shared" si="258"/>
        <v>0</v>
      </c>
      <c r="Y8317" s="1">
        <f t="shared" si="259"/>
        <v>0</v>
      </c>
    </row>
    <row r="8318" spans="24:25" x14ac:dyDescent="0.3">
      <c r="X8318" s="1">
        <f t="shared" si="258"/>
        <v>0</v>
      </c>
      <c r="Y8318" s="1">
        <f t="shared" si="259"/>
        <v>0</v>
      </c>
    </row>
    <row r="8319" spans="24:25" x14ac:dyDescent="0.3">
      <c r="X8319" s="1">
        <f t="shared" si="258"/>
        <v>0</v>
      </c>
      <c r="Y8319" s="1">
        <f t="shared" si="259"/>
        <v>0</v>
      </c>
    </row>
    <row r="8320" spans="24:25" x14ac:dyDescent="0.3">
      <c r="X8320" s="1">
        <f t="shared" si="258"/>
        <v>0</v>
      </c>
      <c r="Y8320" s="1">
        <f t="shared" si="259"/>
        <v>0</v>
      </c>
    </row>
    <row r="8321" spans="24:25" x14ac:dyDescent="0.3">
      <c r="X8321" s="1">
        <f t="shared" si="258"/>
        <v>0</v>
      </c>
      <c r="Y8321" s="1">
        <f t="shared" si="259"/>
        <v>0</v>
      </c>
    </row>
    <row r="8322" spans="24:25" x14ac:dyDescent="0.3">
      <c r="X8322" s="1">
        <f t="shared" si="258"/>
        <v>0</v>
      </c>
      <c r="Y8322" s="1">
        <f t="shared" si="259"/>
        <v>0</v>
      </c>
    </row>
    <row r="8323" spans="24:25" x14ac:dyDescent="0.3">
      <c r="X8323" s="1">
        <f t="shared" ref="X8323:X8386" si="260">IFERROR(MATCH(W8323,$B:$B,0),0)</f>
        <v>0</v>
      </c>
      <c r="Y8323" s="1">
        <f t="shared" ref="Y8323:Y8386" si="261">IF(X8324=0,COUNTA(A:A),X8324-1)</f>
        <v>0</v>
      </c>
    </row>
    <row r="8324" spans="24:25" x14ac:dyDescent="0.3">
      <c r="X8324" s="1">
        <f t="shared" si="260"/>
        <v>0</v>
      </c>
      <c r="Y8324" s="1">
        <f t="shared" si="261"/>
        <v>0</v>
      </c>
    </row>
    <row r="8325" spans="24:25" x14ac:dyDescent="0.3">
      <c r="X8325" s="1">
        <f t="shared" si="260"/>
        <v>0</v>
      </c>
      <c r="Y8325" s="1">
        <f t="shared" si="261"/>
        <v>0</v>
      </c>
    </row>
    <row r="8326" spans="24:25" x14ac:dyDescent="0.3">
      <c r="X8326" s="1">
        <f t="shared" si="260"/>
        <v>0</v>
      </c>
      <c r="Y8326" s="1">
        <f t="shared" si="261"/>
        <v>0</v>
      </c>
    </row>
    <row r="8327" spans="24:25" x14ac:dyDescent="0.3">
      <c r="X8327" s="1">
        <f t="shared" si="260"/>
        <v>0</v>
      </c>
      <c r="Y8327" s="1">
        <f t="shared" si="261"/>
        <v>0</v>
      </c>
    </row>
    <row r="8328" spans="24:25" x14ac:dyDescent="0.3">
      <c r="X8328" s="1">
        <f t="shared" si="260"/>
        <v>0</v>
      </c>
      <c r="Y8328" s="1">
        <f t="shared" si="261"/>
        <v>0</v>
      </c>
    </row>
    <row r="8329" spans="24:25" x14ac:dyDescent="0.3">
      <c r="X8329" s="1">
        <f t="shared" si="260"/>
        <v>0</v>
      </c>
      <c r="Y8329" s="1">
        <f t="shared" si="261"/>
        <v>0</v>
      </c>
    </row>
    <row r="8330" spans="24:25" x14ac:dyDescent="0.3">
      <c r="X8330" s="1">
        <f t="shared" si="260"/>
        <v>0</v>
      </c>
      <c r="Y8330" s="1">
        <f t="shared" si="261"/>
        <v>0</v>
      </c>
    </row>
    <row r="8331" spans="24:25" x14ac:dyDescent="0.3">
      <c r="X8331" s="1">
        <f t="shared" si="260"/>
        <v>0</v>
      </c>
      <c r="Y8331" s="1">
        <f t="shared" si="261"/>
        <v>0</v>
      </c>
    </row>
    <row r="8332" spans="24:25" x14ac:dyDescent="0.3">
      <c r="X8332" s="1">
        <f t="shared" si="260"/>
        <v>0</v>
      </c>
      <c r="Y8332" s="1">
        <f t="shared" si="261"/>
        <v>0</v>
      </c>
    </row>
    <row r="8333" spans="24:25" x14ac:dyDescent="0.3">
      <c r="X8333" s="1">
        <f t="shared" si="260"/>
        <v>0</v>
      </c>
      <c r="Y8333" s="1">
        <f t="shared" si="261"/>
        <v>0</v>
      </c>
    </row>
    <row r="8334" spans="24:25" x14ac:dyDescent="0.3">
      <c r="X8334" s="1">
        <f t="shared" si="260"/>
        <v>0</v>
      </c>
      <c r="Y8334" s="1">
        <f t="shared" si="261"/>
        <v>0</v>
      </c>
    </row>
    <row r="8335" spans="24:25" x14ac:dyDescent="0.3">
      <c r="X8335" s="1">
        <f t="shared" si="260"/>
        <v>0</v>
      </c>
      <c r="Y8335" s="1">
        <f t="shared" si="261"/>
        <v>0</v>
      </c>
    </row>
    <row r="8336" spans="24:25" x14ac:dyDescent="0.3">
      <c r="X8336" s="1">
        <f t="shared" si="260"/>
        <v>0</v>
      </c>
      <c r="Y8336" s="1">
        <f t="shared" si="261"/>
        <v>0</v>
      </c>
    </row>
    <row r="8337" spans="24:25" x14ac:dyDescent="0.3">
      <c r="X8337" s="1">
        <f t="shared" si="260"/>
        <v>0</v>
      </c>
      <c r="Y8337" s="1">
        <f t="shared" si="261"/>
        <v>0</v>
      </c>
    </row>
    <row r="8338" spans="24:25" x14ac:dyDescent="0.3">
      <c r="X8338" s="1">
        <f t="shared" si="260"/>
        <v>0</v>
      </c>
      <c r="Y8338" s="1">
        <f t="shared" si="261"/>
        <v>0</v>
      </c>
    </row>
    <row r="8339" spans="24:25" x14ac:dyDescent="0.3">
      <c r="X8339" s="1">
        <f t="shared" si="260"/>
        <v>0</v>
      </c>
      <c r="Y8339" s="1">
        <f t="shared" si="261"/>
        <v>0</v>
      </c>
    </row>
    <row r="8340" spans="24:25" x14ac:dyDescent="0.3">
      <c r="X8340" s="1">
        <f t="shared" si="260"/>
        <v>0</v>
      </c>
      <c r="Y8340" s="1">
        <f t="shared" si="261"/>
        <v>0</v>
      </c>
    </row>
    <row r="8341" spans="24:25" x14ac:dyDescent="0.3">
      <c r="X8341" s="1">
        <f t="shared" si="260"/>
        <v>0</v>
      </c>
      <c r="Y8341" s="1">
        <f t="shared" si="261"/>
        <v>0</v>
      </c>
    </row>
    <row r="8342" spans="24:25" x14ac:dyDescent="0.3">
      <c r="X8342" s="1">
        <f t="shared" si="260"/>
        <v>0</v>
      </c>
      <c r="Y8342" s="1">
        <f t="shared" si="261"/>
        <v>0</v>
      </c>
    </row>
    <row r="8343" spans="24:25" x14ac:dyDescent="0.3">
      <c r="X8343" s="1">
        <f t="shared" si="260"/>
        <v>0</v>
      </c>
      <c r="Y8343" s="1">
        <f t="shared" si="261"/>
        <v>0</v>
      </c>
    </row>
    <row r="8344" spans="24:25" x14ac:dyDescent="0.3">
      <c r="X8344" s="1">
        <f t="shared" si="260"/>
        <v>0</v>
      </c>
      <c r="Y8344" s="1">
        <f t="shared" si="261"/>
        <v>0</v>
      </c>
    </row>
    <row r="8345" spans="24:25" x14ac:dyDescent="0.3">
      <c r="X8345" s="1">
        <f t="shared" si="260"/>
        <v>0</v>
      </c>
      <c r="Y8345" s="1">
        <f t="shared" si="261"/>
        <v>0</v>
      </c>
    </row>
    <row r="8346" spans="24:25" x14ac:dyDescent="0.3">
      <c r="X8346" s="1">
        <f t="shared" si="260"/>
        <v>0</v>
      </c>
      <c r="Y8346" s="1">
        <f t="shared" si="261"/>
        <v>0</v>
      </c>
    </row>
    <row r="8347" spans="24:25" x14ac:dyDescent="0.3">
      <c r="X8347" s="1">
        <f t="shared" si="260"/>
        <v>0</v>
      </c>
      <c r="Y8347" s="1">
        <f t="shared" si="261"/>
        <v>0</v>
      </c>
    </row>
    <row r="8348" spans="24:25" x14ac:dyDescent="0.3">
      <c r="X8348" s="1">
        <f t="shared" si="260"/>
        <v>0</v>
      </c>
      <c r="Y8348" s="1">
        <f t="shared" si="261"/>
        <v>0</v>
      </c>
    </row>
    <row r="8349" spans="24:25" x14ac:dyDescent="0.3">
      <c r="X8349" s="1">
        <f t="shared" si="260"/>
        <v>0</v>
      </c>
      <c r="Y8349" s="1">
        <f t="shared" si="261"/>
        <v>0</v>
      </c>
    </row>
    <row r="8350" spans="24:25" x14ac:dyDescent="0.3">
      <c r="X8350" s="1">
        <f t="shared" si="260"/>
        <v>0</v>
      </c>
      <c r="Y8350" s="1">
        <f t="shared" si="261"/>
        <v>0</v>
      </c>
    </row>
    <row r="8351" spans="24:25" x14ac:dyDescent="0.3">
      <c r="X8351" s="1">
        <f t="shared" si="260"/>
        <v>0</v>
      </c>
      <c r="Y8351" s="1">
        <f t="shared" si="261"/>
        <v>0</v>
      </c>
    </row>
    <row r="8352" spans="24:25" x14ac:dyDescent="0.3">
      <c r="X8352" s="1">
        <f t="shared" si="260"/>
        <v>0</v>
      </c>
      <c r="Y8352" s="1">
        <f t="shared" si="261"/>
        <v>0</v>
      </c>
    </row>
    <row r="8353" spans="24:25" x14ac:dyDescent="0.3">
      <c r="X8353" s="1">
        <f t="shared" si="260"/>
        <v>0</v>
      </c>
      <c r="Y8353" s="1">
        <f t="shared" si="261"/>
        <v>0</v>
      </c>
    </row>
    <row r="8354" spans="24:25" x14ac:dyDescent="0.3">
      <c r="X8354" s="1">
        <f t="shared" si="260"/>
        <v>0</v>
      </c>
      <c r="Y8354" s="1">
        <f t="shared" si="261"/>
        <v>0</v>
      </c>
    </row>
    <row r="8355" spans="24:25" x14ac:dyDescent="0.3">
      <c r="X8355" s="1">
        <f t="shared" si="260"/>
        <v>0</v>
      </c>
      <c r="Y8355" s="1">
        <f t="shared" si="261"/>
        <v>0</v>
      </c>
    </row>
    <row r="8356" spans="24:25" x14ac:dyDescent="0.3">
      <c r="X8356" s="1">
        <f t="shared" si="260"/>
        <v>0</v>
      </c>
      <c r="Y8356" s="1">
        <f t="shared" si="261"/>
        <v>0</v>
      </c>
    </row>
    <row r="8357" spans="24:25" x14ac:dyDescent="0.3">
      <c r="X8357" s="1">
        <f t="shared" si="260"/>
        <v>0</v>
      </c>
      <c r="Y8357" s="1">
        <f t="shared" si="261"/>
        <v>0</v>
      </c>
    </row>
    <row r="8358" spans="24:25" x14ac:dyDescent="0.3">
      <c r="X8358" s="1">
        <f t="shared" si="260"/>
        <v>0</v>
      </c>
      <c r="Y8358" s="1">
        <f t="shared" si="261"/>
        <v>0</v>
      </c>
    </row>
    <row r="8359" spans="24:25" x14ac:dyDescent="0.3">
      <c r="X8359" s="1">
        <f t="shared" si="260"/>
        <v>0</v>
      </c>
      <c r="Y8359" s="1">
        <f t="shared" si="261"/>
        <v>0</v>
      </c>
    </row>
    <row r="8360" spans="24:25" x14ac:dyDescent="0.3">
      <c r="X8360" s="1">
        <f t="shared" si="260"/>
        <v>0</v>
      </c>
      <c r="Y8360" s="1">
        <f t="shared" si="261"/>
        <v>0</v>
      </c>
    </row>
    <row r="8361" spans="24:25" x14ac:dyDescent="0.3">
      <c r="X8361" s="1">
        <f t="shared" si="260"/>
        <v>0</v>
      </c>
      <c r="Y8361" s="1">
        <f t="shared" si="261"/>
        <v>0</v>
      </c>
    </row>
    <row r="8362" spans="24:25" x14ac:dyDescent="0.3">
      <c r="X8362" s="1">
        <f t="shared" si="260"/>
        <v>0</v>
      </c>
      <c r="Y8362" s="1">
        <f t="shared" si="261"/>
        <v>0</v>
      </c>
    </row>
    <row r="8363" spans="24:25" x14ac:dyDescent="0.3">
      <c r="X8363" s="1">
        <f t="shared" si="260"/>
        <v>0</v>
      </c>
      <c r="Y8363" s="1">
        <f t="shared" si="261"/>
        <v>0</v>
      </c>
    </row>
    <row r="8364" spans="24:25" x14ac:dyDescent="0.3">
      <c r="X8364" s="1">
        <f t="shared" si="260"/>
        <v>0</v>
      </c>
      <c r="Y8364" s="1">
        <f t="shared" si="261"/>
        <v>0</v>
      </c>
    </row>
    <row r="8365" spans="24:25" x14ac:dyDescent="0.3">
      <c r="X8365" s="1">
        <f t="shared" si="260"/>
        <v>0</v>
      </c>
      <c r="Y8365" s="1">
        <f t="shared" si="261"/>
        <v>0</v>
      </c>
    </row>
    <row r="8366" spans="24:25" x14ac:dyDescent="0.3">
      <c r="X8366" s="1">
        <f t="shared" si="260"/>
        <v>0</v>
      </c>
      <c r="Y8366" s="1">
        <f t="shared" si="261"/>
        <v>0</v>
      </c>
    </row>
    <row r="8367" spans="24:25" x14ac:dyDescent="0.3">
      <c r="X8367" s="1">
        <f t="shared" si="260"/>
        <v>0</v>
      </c>
      <c r="Y8367" s="1">
        <f t="shared" si="261"/>
        <v>0</v>
      </c>
    </row>
    <row r="8368" spans="24:25" x14ac:dyDescent="0.3">
      <c r="X8368" s="1">
        <f t="shared" si="260"/>
        <v>0</v>
      </c>
      <c r="Y8368" s="1">
        <f t="shared" si="261"/>
        <v>0</v>
      </c>
    </row>
    <row r="8369" spans="24:25" x14ac:dyDescent="0.3">
      <c r="X8369" s="1">
        <f t="shared" si="260"/>
        <v>0</v>
      </c>
      <c r="Y8369" s="1">
        <f t="shared" si="261"/>
        <v>0</v>
      </c>
    </row>
    <row r="8370" spans="24:25" x14ac:dyDescent="0.3">
      <c r="X8370" s="1">
        <f t="shared" si="260"/>
        <v>0</v>
      </c>
      <c r="Y8370" s="1">
        <f t="shared" si="261"/>
        <v>0</v>
      </c>
    </row>
    <row r="8371" spans="24:25" x14ac:dyDescent="0.3">
      <c r="X8371" s="1">
        <f t="shared" si="260"/>
        <v>0</v>
      </c>
      <c r="Y8371" s="1">
        <f t="shared" si="261"/>
        <v>0</v>
      </c>
    </row>
    <row r="8372" spans="24:25" x14ac:dyDescent="0.3">
      <c r="X8372" s="1">
        <f t="shared" si="260"/>
        <v>0</v>
      </c>
      <c r="Y8372" s="1">
        <f t="shared" si="261"/>
        <v>0</v>
      </c>
    </row>
    <row r="8373" spans="24:25" x14ac:dyDescent="0.3">
      <c r="X8373" s="1">
        <f t="shared" si="260"/>
        <v>0</v>
      </c>
      <c r="Y8373" s="1">
        <f t="shared" si="261"/>
        <v>0</v>
      </c>
    </row>
    <row r="8374" spans="24:25" x14ac:dyDescent="0.3">
      <c r="X8374" s="1">
        <f t="shared" si="260"/>
        <v>0</v>
      </c>
      <c r="Y8374" s="1">
        <f t="shared" si="261"/>
        <v>0</v>
      </c>
    </row>
    <row r="8375" spans="24:25" x14ac:dyDescent="0.3">
      <c r="X8375" s="1">
        <f t="shared" si="260"/>
        <v>0</v>
      </c>
      <c r="Y8375" s="1">
        <f t="shared" si="261"/>
        <v>0</v>
      </c>
    </row>
    <row r="8376" spans="24:25" x14ac:dyDescent="0.3">
      <c r="X8376" s="1">
        <f t="shared" si="260"/>
        <v>0</v>
      </c>
      <c r="Y8376" s="1">
        <f t="shared" si="261"/>
        <v>0</v>
      </c>
    </row>
    <row r="8377" spans="24:25" x14ac:dyDescent="0.3">
      <c r="X8377" s="1">
        <f t="shared" si="260"/>
        <v>0</v>
      </c>
      <c r="Y8377" s="1">
        <f t="shared" si="261"/>
        <v>0</v>
      </c>
    </row>
    <row r="8378" spans="24:25" x14ac:dyDescent="0.3">
      <c r="X8378" s="1">
        <f t="shared" si="260"/>
        <v>0</v>
      </c>
      <c r="Y8378" s="1">
        <f t="shared" si="261"/>
        <v>0</v>
      </c>
    </row>
    <row r="8379" spans="24:25" x14ac:dyDescent="0.3">
      <c r="X8379" s="1">
        <f t="shared" si="260"/>
        <v>0</v>
      </c>
      <c r="Y8379" s="1">
        <f t="shared" si="261"/>
        <v>0</v>
      </c>
    </row>
    <row r="8380" spans="24:25" x14ac:dyDescent="0.3">
      <c r="X8380" s="1">
        <f t="shared" si="260"/>
        <v>0</v>
      </c>
      <c r="Y8380" s="1">
        <f t="shared" si="261"/>
        <v>0</v>
      </c>
    </row>
    <row r="8381" spans="24:25" x14ac:dyDescent="0.3">
      <c r="X8381" s="1">
        <f t="shared" si="260"/>
        <v>0</v>
      </c>
      <c r="Y8381" s="1">
        <f t="shared" si="261"/>
        <v>0</v>
      </c>
    </row>
    <row r="8382" spans="24:25" x14ac:dyDescent="0.3">
      <c r="X8382" s="1">
        <f t="shared" si="260"/>
        <v>0</v>
      </c>
      <c r="Y8382" s="1">
        <f t="shared" si="261"/>
        <v>0</v>
      </c>
    </row>
    <row r="8383" spans="24:25" x14ac:dyDescent="0.3">
      <c r="X8383" s="1">
        <f t="shared" si="260"/>
        <v>0</v>
      </c>
      <c r="Y8383" s="1">
        <f t="shared" si="261"/>
        <v>0</v>
      </c>
    </row>
    <row r="8384" spans="24:25" x14ac:dyDescent="0.3">
      <c r="X8384" s="1">
        <f t="shared" si="260"/>
        <v>0</v>
      </c>
      <c r="Y8384" s="1">
        <f t="shared" si="261"/>
        <v>0</v>
      </c>
    </row>
    <row r="8385" spans="24:25" x14ac:dyDescent="0.3">
      <c r="X8385" s="1">
        <f t="shared" si="260"/>
        <v>0</v>
      </c>
      <c r="Y8385" s="1">
        <f t="shared" si="261"/>
        <v>0</v>
      </c>
    </row>
    <row r="8386" spans="24:25" x14ac:dyDescent="0.3">
      <c r="X8386" s="1">
        <f t="shared" si="260"/>
        <v>0</v>
      </c>
      <c r="Y8386" s="1">
        <f t="shared" si="261"/>
        <v>0</v>
      </c>
    </row>
    <row r="8387" spans="24:25" x14ac:dyDescent="0.3">
      <c r="X8387" s="1">
        <f t="shared" ref="X8387:X8450" si="262">IFERROR(MATCH(W8387,$B:$B,0),0)</f>
        <v>0</v>
      </c>
      <c r="Y8387" s="1">
        <f t="shared" ref="Y8387:Y8450" si="263">IF(X8388=0,COUNTA(A:A),X8388-1)</f>
        <v>0</v>
      </c>
    </row>
    <row r="8388" spans="24:25" x14ac:dyDescent="0.3">
      <c r="X8388" s="1">
        <f t="shared" si="262"/>
        <v>0</v>
      </c>
      <c r="Y8388" s="1">
        <f t="shared" si="263"/>
        <v>0</v>
      </c>
    </row>
    <row r="8389" spans="24:25" x14ac:dyDescent="0.3">
      <c r="X8389" s="1">
        <f t="shared" si="262"/>
        <v>0</v>
      </c>
      <c r="Y8389" s="1">
        <f t="shared" si="263"/>
        <v>0</v>
      </c>
    </row>
    <row r="8390" spans="24:25" x14ac:dyDescent="0.3">
      <c r="X8390" s="1">
        <f t="shared" si="262"/>
        <v>0</v>
      </c>
      <c r="Y8390" s="1">
        <f t="shared" si="263"/>
        <v>0</v>
      </c>
    </row>
    <row r="8391" spans="24:25" x14ac:dyDescent="0.3">
      <c r="X8391" s="1">
        <f t="shared" si="262"/>
        <v>0</v>
      </c>
      <c r="Y8391" s="1">
        <f t="shared" si="263"/>
        <v>0</v>
      </c>
    </row>
    <row r="8392" spans="24:25" x14ac:dyDescent="0.3">
      <c r="X8392" s="1">
        <f t="shared" si="262"/>
        <v>0</v>
      </c>
      <c r="Y8392" s="1">
        <f t="shared" si="263"/>
        <v>0</v>
      </c>
    </row>
    <row r="8393" spans="24:25" x14ac:dyDescent="0.3">
      <c r="X8393" s="1">
        <f t="shared" si="262"/>
        <v>0</v>
      </c>
      <c r="Y8393" s="1">
        <f t="shared" si="263"/>
        <v>0</v>
      </c>
    </row>
    <row r="8394" spans="24:25" x14ac:dyDescent="0.3">
      <c r="X8394" s="1">
        <f t="shared" si="262"/>
        <v>0</v>
      </c>
      <c r="Y8394" s="1">
        <f t="shared" si="263"/>
        <v>0</v>
      </c>
    </row>
    <row r="8395" spans="24:25" x14ac:dyDescent="0.3">
      <c r="X8395" s="1">
        <f t="shared" si="262"/>
        <v>0</v>
      </c>
      <c r="Y8395" s="1">
        <f t="shared" si="263"/>
        <v>0</v>
      </c>
    </row>
    <row r="8396" spans="24:25" x14ac:dyDescent="0.3">
      <c r="X8396" s="1">
        <f t="shared" si="262"/>
        <v>0</v>
      </c>
      <c r="Y8396" s="1">
        <f t="shared" si="263"/>
        <v>0</v>
      </c>
    </row>
    <row r="8397" spans="24:25" x14ac:dyDescent="0.3">
      <c r="X8397" s="1">
        <f t="shared" si="262"/>
        <v>0</v>
      </c>
      <c r="Y8397" s="1">
        <f t="shared" si="263"/>
        <v>0</v>
      </c>
    </row>
    <row r="8398" spans="24:25" x14ac:dyDescent="0.3">
      <c r="X8398" s="1">
        <f t="shared" si="262"/>
        <v>0</v>
      </c>
      <c r="Y8398" s="1">
        <f t="shared" si="263"/>
        <v>0</v>
      </c>
    </row>
    <row r="8399" spans="24:25" x14ac:dyDescent="0.3">
      <c r="X8399" s="1">
        <f t="shared" si="262"/>
        <v>0</v>
      </c>
      <c r="Y8399" s="1">
        <f t="shared" si="263"/>
        <v>0</v>
      </c>
    </row>
    <row r="8400" spans="24:25" x14ac:dyDescent="0.3">
      <c r="X8400" s="1">
        <f t="shared" si="262"/>
        <v>0</v>
      </c>
      <c r="Y8400" s="1">
        <f t="shared" si="263"/>
        <v>0</v>
      </c>
    </row>
    <row r="8401" spans="24:25" x14ac:dyDescent="0.3">
      <c r="X8401" s="1">
        <f t="shared" si="262"/>
        <v>0</v>
      </c>
      <c r="Y8401" s="1">
        <f t="shared" si="263"/>
        <v>0</v>
      </c>
    </row>
    <row r="8402" spans="24:25" x14ac:dyDescent="0.3">
      <c r="X8402" s="1">
        <f t="shared" si="262"/>
        <v>0</v>
      </c>
      <c r="Y8402" s="1">
        <f t="shared" si="263"/>
        <v>0</v>
      </c>
    </row>
    <row r="8403" spans="24:25" x14ac:dyDescent="0.3">
      <c r="X8403" s="1">
        <f t="shared" si="262"/>
        <v>0</v>
      </c>
      <c r="Y8403" s="1">
        <f t="shared" si="263"/>
        <v>0</v>
      </c>
    </row>
    <row r="8404" spans="24:25" x14ac:dyDescent="0.3">
      <c r="X8404" s="1">
        <f t="shared" si="262"/>
        <v>0</v>
      </c>
      <c r="Y8404" s="1">
        <f t="shared" si="263"/>
        <v>0</v>
      </c>
    </row>
    <row r="8405" spans="24:25" x14ac:dyDescent="0.3">
      <c r="X8405" s="1">
        <f t="shared" si="262"/>
        <v>0</v>
      </c>
      <c r="Y8405" s="1">
        <f t="shared" si="263"/>
        <v>0</v>
      </c>
    </row>
    <row r="8406" spans="24:25" x14ac:dyDescent="0.3">
      <c r="X8406" s="1">
        <f t="shared" si="262"/>
        <v>0</v>
      </c>
      <c r="Y8406" s="1">
        <f t="shared" si="263"/>
        <v>0</v>
      </c>
    </row>
    <row r="8407" spans="24:25" x14ac:dyDescent="0.3">
      <c r="X8407" s="1">
        <f t="shared" si="262"/>
        <v>0</v>
      </c>
      <c r="Y8407" s="1">
        <f t="shared" si="263"/>
        <v>0</v>
      </c>
    </row>
    <row r="8408" spans="24:25" x14ac:dyDescent="0.3">
      <c r="X8408" s="1">
        <f t="shared" si="262"/>
        <v>0</v>
      </c>
      <c r="Y8408" s="1">
        <f t="shared" si="263"/>
        <v>0</v>
      </c>
    </row>
    <row r="8409" spans="24:25" x14ac:dyDescent="0.3">
      <c r="X8409" s="1">
        <f t="shared" si="262"/>
        <v>0</v>
      </c>
      <c r="Y8409" s="1">
        <f t="shared" si="263"/>
        <v>0</v>
      </c>
    </row>
    <row r="8410" spans="24:25" x14ac:dyDescent="0.3">
      <c r="X8410" s="1">
        <f t="shared" si="262"/>
        <v>0</v>
      </c>
      <c r="Y8410" s="1">
        <f t="shared" si="263"/>
        <v>0</v>
      </c>
    </row>
    <row r="8411" spans="24:25" x14ac:dyDescent="0.3">
      <c r="X8411" s="1">
        <f t="shared" si="262"/>
        <v>0</v>
      </c>
      <c r="Y8411" s="1">
        <f t="shared" si="263"/>
        <v>0</v>
      </c>
    </row>
    <row r="8412" spans="24:25" x14ac:dyDescent="0.3">
      <c r="X8412" s="1">
        <f t="shared" si="262"/>
        <v>0</v>
      </c>
      <c r="Y8412" s="1">
        <f t="shared" si="263"/>
        <v>0</v>
      </c>
    </row>
    <row r="8413" spans="24:25" x14ac:dyDescent="0.3">
      <c r="X8413" s="1">
        <f t="shared" si="262"/>
        <v>0</v>
      </c>
      <c r="Y8413" s="1">
        <f t="shared" si="263"/>
        <v>0</v>
      </c>
    </row>
    <row r="8414" spans="24:25" x14ac:dyDescent="0.3">
      <c r="X8414" s="1">
        <f t="shared" si="262"/>
        <v>0</v>
      </c>
      <c r="Y8414" s="1">
        <f t="shared" si="263"/>
        <v>0</v>
      </c>
    </row>
    <row r="8415" spans="24:25" x14ac:dyDescent="0.3">
      <c r="X8415" s="1">
        <f t="shared" si="262"/>
        <v>0</v>
      </c>
      <c r="Y8415" s="1">
        <f t="shared" si="263"/>
        <v>0</v>
      </c>
    </row>
    <row r="8416" spans="24:25" x14ac:dyDescent="0.3">
      <c r="X8416" s="1">
        <f t="shared" si="262"/>
        <v>0</v>
      </c>
      <c r="Y8416" s="1">
        <f t="shared" si="263"/>
        <v>0</v>
      </c>
    </row>
    <row r="8417" spans="24:25" x14ac:dyDescent="0.3">
      <c r="X8417" s="1">
        <f t="shared" si="262"/>
        <v>0</v>
      </c>
      <c r="Y8417" s="1">
        <f t="shared" si="263"/>
        <v>0</v>
      </c>
    </row>
    <row r="8418" spans="24:25" x14ac:dyDescent="0.3">
      <c r="X8418" s="1">
        <f t="shared" si="262"/>
        <v>0</v>
      </c>
      <c r="Y8418" s="1">
        <f t="shared" si="263"/>
        <v>0</v>
      </c>
    </row>
    <row r="8419" spans="24:25" x14ac:dyDescent="0.3">
      <c r="X8419" s="1">
        <f t="shared" si="262"/>
        <v>0</v>
      </c>
      <c r="Y8419" s="1">
        <f t="shared" si="263"/>
        <v>0</v>
      </c>
    </row>
    <row r="8420" spans="24:25" x14ac:dyDescent="0.3">
      <c r="X8420" s="1">
        <f t="shared" si="262"/>
        <v>0</v>
      </c>
      <c r="Y8420" s="1">
        <f t="shared" si="263"/>
        <v>0</v>
      </c>
    </row>
    <row r="8421" spans="24:25" x14ac:dyDescent="0.3">
      <c r="X8421" s="1">
        <f t="shared" si="262"/>
        <v>0</v>
      </c>
      <c r="Y8421" s="1">
        <f t="shared" si="263"/>
        <v>0</v>
      </c>
    </row>
    <row r="8422" spans="24:25" x14ac:dyDescent="0.3">
      <c r="X8422" s="1">
        <f t="shared" si="262"/>
        <v>0</v>
      </c>
      <c r="Y8422" s="1">
        <f t="shared" si="263"/>
        <v>0</v>
      </c>
    </row>
    <row r="8423" spans="24:25" x14ac:dyDescent="0.3">
      <c r="X8423" s="1">
        <f t="shared" si="262"/>
        <v>0</v>
      </c>
      <c r="Y8423" s="1">
        <f t="shared" si="263"/>
        <v>0</v>
      </c>
    </row>
    <row r="8424" spans="24:25" x14ac:dyDescent="0.3">
      <c r="X8424" s="1">
        <f t="shared" si="262"/>
        <v>0</v>
      </c>
      <c r="Y8424" s="1">
        <f t="shared" si="263"/>
        <v>0</v>
      </c>
    </row>
    <row r="8425" spans="24:25" x14ac:dyDescent="0.3">
      <c r="X8425" s="1">
        <f t="shared" si="262"/>
        <v>0</v>
      </c>
      <c r="Y8425" s="1">
        <f t="shared" si="263"/>
        <v>0</v>
      </c>
    </row>
    <row r="8426" spans="24:25" x14ac:dyDescent="0.3">
      <c r="X8426" s="1">
        <f t="shared" si="262"/>
        <v>0</v>
      </c>
      <c r="Y8426" s="1">
        <f t="shared" si="263"/>
        <v>0</v>
      </c>
    </row>
    <row r="8427" spans="24:25" x14ac:dyDescent="0.3">
      <c r="X8427" s="1">
        <f t="shared" si="262"/>
        <v>0</v>
      </c>
      <c r="Y8427" s="1">
        <f t="shared" si="263"/>
        <v>0</v>
      </c>
    </row>
    <row r="8428" spans="24:25" x14ac:dyDescent="0.3">
      <c r="X8428" s="1">
        <f t="shared" si="262"/>
        <v>0</v>
      </c>
      <c r="Y8428" s="1">
        <f t="shared" si="263"/>
        <v>0</v>
      </c>
    </row>
    <row r="8429" spans="24:25" x14ac:dyDescent="0.3">
      <c r="X8429" s="1">
        <f t="shared" si="262"/>
        <v>0</v>
      </c>
      <c r="Y8429" s="1">
        <f t="shared" si="263"/>
        <v>0</v>
      </c>
    </row>
    <row r="8430" spans="24:25" x14ac:dyDescent="0.3">
      <c r="X8430" s="1">
        <f t="shared" si="262"/>
        <v>0</v>
      </c>
      <c r="Y8430" s="1">
        <f t="shared" si="263"/>
        <v>0</v>
      </c>
    </row>
    <row r="8431" spans="24:25" x14ac:dyDescent="0.3">
      <c r="X8431" s="1">
        <f t="shared" si="262"/>
        <v>0</v>
      </c>
      <c r="Y8431" s="1">
        <f t="shared" si="263"/>
        <v>0</v>
      </c>
    </row>
    <row r="8432" spans="24:25" x14ac:dyDescent="0.3">
      <c r="X8432" s="1">
        <f t="shared" si="262"/>
        <v>0</v>
      </c>
      <c r="Y8432" s="1">
        <f t="shared" si="263"/>
        <v>0</v>
      </c>
    </row>
    <row r="8433" spans="24:25" x14ac:dyDescent="0.3">
      <c r="X8433" s="1">
        <f t="shared" si="262"/>
        <v>0</v>
      </c>
      <c r="Y8433" s="1">
        <f t="shared" si="263"/>
        <v>0</v>
      </c>
    </row>
    <row r="8434" spans="24:25" x14ac:dyDescent="0.3">
      <c r="X8434" s="1">
        <f t="shared" si="262"/>
        <v>0</v>
      </c>
      <c r="Y8434" s="1">
        <f t="shared" si="263"/>
        <v>0</v>
      </c>
    </row>
    <row r="8435" spans="24:25" x14ac:dyDescent="0.3">
      <c r="X8435" s="1">
        <f t="shared" si="262"/>
        <v>0</v>
      </c>
      <c r="Y8435" s="1">
        <f t="shared" si="263"/>
        <v>0</v>
      </c>
    </row>
    <row r="8436" spans="24:25" x14ac:dyDescent="0.3">
      <c r="X8436" s="1">
        <f t="shared" si="262"/>
        <v>0</v>
      </c>
      <c r="Y8436" s="1">
        <f t="shared" si="263"/>
        <v>0</v>
      </c>
    </row>
    <row r="8437" spans="24:25" x14ac:dyDescent="0.3">
      <c r="X8437" s="1">
        <f t="shared" si="262"/>
        <v>0</v>
      </c>
      <c r="Y8437" s="1">
        <f t="shared" si="263"/>
        <v>0</v>
      </c>
    </row>
    <row r="8438" spans="24:25" x14ac:dyDescent="0.3">
      <c r="X8438" s="1">
        <f t="shared" si="262"/>
        <v>0</v>
      </c>
      <c r="Y8438" s="1">
        <f t="shared" si="263"/>
        <v>0</v>
      </c>
    </row>
    <row r="8439" spans="24:25" x14ac:dyDescent="0.3">
      <c r="X8439" s="1">
        <f t="shared" si="262"/>
        <v>0</v>
      </c>
      <c r="Y8439" s="1">
        <f t="shared" si="263"/>
        <v>0</v>
      </c>
    </row>
    <row r="8440" spans="24:25" x14ac:dyDescent="0.3">
      <c r="X8440" s="1">
        <f t="shared" si="262"/>
        <v>0</v>
      </c>
      <c r="Y8440" s="1">
        <f t="shared" si="263"/>
        <v>0</v>
      </c>
    </row>
    <row r="8441" spans="24:25" x14ac:dyDescent="0.3">
      <c r="X8441" s="1">
        <f t="shared" si="262"/>
        <v>0</v>
      </c>
      <c r="Y8441" s="1">
        <f t="shared" si="263"/>
        <v>0</v>
      </c>
    </row>
    <row r="8442" spans="24:25" x14ac:dyDescent="0.3">
      <c r="X8442" s="1">
        <f t="shared" si="262"/>
        <v>0</v>
      </c>
      <c r="Y8442" s="1">
        <f t="shared" si="263"/>
        <v>0</v>
      </c>
    </row>
    <row r="8443" spans="24:25" x14ac:dyDescent="0.3">
      <c r="X8443" s="1">
        <f t="shared" si="262"/>
        <v>0</v>
      </c>
      <c r="Y8443" s="1">
        <f t="shared" si="263"/>
        <v>0</v>
      </c>
    </row>
    <row r="8444" spans="24:25" x14ac:dyDescent="0.3">
      <c r="X8444" s="1">
        <f t="shared" si="262"/>
        <v>0</v>
      </c>
      <c r="Y8444" s="1">
        <f t="shared" si="263"/>
        <v>0</v>
      </c>
    </row>
    <row r="8445" spans="24:25" x14ac:dyDescent="0.3">
      <c r="X8445" s="1">
        <f t="shared" si="262"/>
        <v>0</v>
      </c>
      <c r="Y8445" s="1">
        <f t="shared" si="263"/>
        <v>0</v>
      </c>
    </row>
    <row r="8446" spans="24:25" x14ac:dyDescent="0.3">
      <c r="X8446" s="1">
        <f t="shared" si="262"/>
        <v>0</v>
      </c>
      <c r="Y8446" s="1">
        <f t="shared" si="263"/>
        <v>0</v>
      </c>
    </row>
    <row r="8447" spans="24:25" x14ac:dyDescent="0.3">
      <c r="X8447" s="1">
        <f t="shared" si="262"/>
        <v>0</v>
      </c>
      <c r="Y8447" s="1">
        <f t="shared" si="263"/>
        <v>0</v>
      </c>
    </row>
    <row r="8448" spans="24:25" x14ac:dyDescent="0.3">
      <c r="X8448" s="1">
        <f t="shared" si="262"/>
        <v>0</v>
      </c>
      <c r="Y8448" s="1">
        <f t="shared" si="263"/>
        <v>0</v>
      </c>
    </row>
    <row r="8449" spans="24:25" x14ac:dyDescent="0.3">
      <c r="X8449" s="1">
        <f t="shared" si="262"/>
        <v>0</v>
      </c>
      <c r="Y8449" s="1">
        <f t="shared" si="263"/>
        <v>0</v>
      </c>
    </row>
    <row r="8450" spans="24:25" x14ac:dyDescent="0.3">
      <c r="X8450" s="1">
        <f t="shared" si="262"/>
        <v>0</v>
      </c>
      <c r="Y8450" s="1">
        <f t="shared" si="263"/>
        <v>0</v>
      </c>
    </row>
    <row r="8451" spans="24:25" x14ac:dyDescent="0.3">
      <c r="X8451" s="1">
        <f t="shared" ref="X8451:X8514" si="264">IFERROR(MATCH(W8451,$B:$B,0),0)</f>
        <v>0</v>
      </c>
      <c r="Y8451" s="1">
        <f t="shared" ref="Y8451:Y8514" si="265">IF(X8452=0,COUNTA(A:A),X8452-1)</f>
        <v>0</v>
      </c>
    </row>
    <row r="8452" spans="24:25" x14ac:dyDescent="0.3">
      <c r="X8452" s="1">
        <f t="shared" si="264"/>
        <v>0</v>
      </c>
      <c r="Y8452" s="1">
        <f t="shared" si="265"/>
        <v>0</v>
      </c>
    </row>
    <row r="8453" spans="24:25" x14ac:dyDescent="0.3">
      <c r="X8453" s="1">
        <f t="shared" si="264"/>
        <v>0</v>
      </c>
      <c r="Y8453" s="1">
        <f t="shared" si="265"/>
        <v>0</v>
      </c>
    </row>
    <row r="8454" spans="24:25" x14ac:dyDescent="0.3">
      <c r="X8454" s="1">
        <f t="shared" si="264"/>
        <v>0</v>
      </c>
      <c r="Y8454" s="1">
        <f t="shared" si="265"/>
        <v>0</v>
      </c>
    </row>
    <row r="8455" spans="24:25" x14ac:dyDescent="0.3">
      <c r="X8455" s="1">
        <f t="shared" si="264"/>
        <v>0</v>
      </c>
      <c r="Y8455" s="1">
        <f t="shared" si="265"/>
        <v>0</v>
      </c>
    </row>
    <row r="8456" spans="24:25" x14ac:dyDescent="0.3">
      <c r="X8456" s="1">
        <f t="shared" si="264"/>
        <v>0</v>
      </c>
      <c r="Y8456" s="1">
        <f t="shared" si="265"/>
        <v>0</v>
      </c>
    </row>
    <row r="8457" spans="24:25" x14ac:dyDescent="0.3">
      <c r="X8457" s="1">
        <f t="shared" si="264"/>
        <v>0</v>
      </c>
      <c r="Y8457" s="1">
        <f t="shared" si="265"/>
        <v>0</v>
      </c>
    </row>
    <row r="8458" spans="24:25" x14ac:dyDescent="0.3">
      <c r="X8458" s="1">
        <f t="shared" si="264"/>
        <v>0</v>
      </c>
      <c r="Y8458" s="1">
        <f t="shared" si="265"/>
        <v>0</v>
      </c>
    </row>
    <row r="8459" spans="24:25" x14ac:dyDescent="0.3">
      <c r="X8459" s="1">
        <f t="shared" si="264"/>
        <v>0</v>
      </c>
      <c r="Y8459" s="1">
        <f t="shared" si="265"/>
        <v>0</v>
      </c>
    </row>
    <row r="8460" spans="24:25" x14ac:dyDescent="0.3">
      <c r="X8460" s="1">
        <f t="shared" si="264"/>
        <v>0</v>
      </c>
      <c r="Y8460" s="1">
        <f t="shared" si="265"/>
        <v>0</v>
      </c>
    </row>
    <row r="8461" spans="24:25" x14ac:dyDescent="0.3">
      <c r="X8461" s="1">
        <f t="shared" si="264"/>
        <v>0</v>
      </c>
      <c r="Y8461" s="1">
        <f t="shared" si="265"/>
        <v>0</v>
      </c>
    </row>
    <row r="8462" spans="24:25" x14ac:dyDescent="0.3">
      <c r="X8462" s="1">
        <f t="shared" si="264"/>
        <v>0</v>
      </c>
      <c r="Y8462" s="1">
        <f t="shared" si="265"/>
        <v>0</v>
      </c>
    </row>
    <row r="8463" spans="24:25" x14ac:dyDescent="0.3">
      <c r="X8463" s="1">
        <f t="shared" si="264"/>
        <v>0</v>
      </c>
      <c r="Y8463" s="1">
        <f t="shared" si="265"/>
        <v>0</v>
      </c>
    </row>
    <row r="8464" spans="24:25" x14ac:dyDescent="0.3">
      <c r="X8464" s="1">
        <f t="shared" si="264"/>
        <v>0</v>
      </c>
      <c r="Y8464" s="1">
        <f t="shared" si="265"/>
        <v>0</v>
      </c>
    </row>
    <row r="8465" spans="24:25" x14ac:dyDescent="0.3">
      <c r="X8465" s="1">
        <f t="shared" si="264"/>
        <v>0</v>
      </c>
      <c r="Y8465" s="1">
        <f t="shared" si="265"/>
        <v>0</v>
      </c>
    </row>
    <row r="8466" spans="24:25" x14ac:dyDescent="0.3">
      <c r="X8466" s="1">
        <f t="shared" si="264"/>
        <v>0</v>
      </c>
      <c r="Y8466" s="1">
        <f t="shared" si="265"/>
        <v>0</v>
      </c>
    </row>
    <row r="8467" spans="24:25" x14ac:dyDescent="0.3">
      <c r="X8467" s="1">
        <f t="shared" si="264"/>
        <v>0</v>
      </c>
      <c r="Y8467" s="1">
        <f t="shared" si="265"/>
        <v>0</v>
      </c>
    </row>
    <row r="8468" spans="24:25" x14ac:dyDescent="0.3">
      <c r="X8468" s="1">
        <f t="shared" si="264"/>
        <v>0</v>
      </c>
      <c r="Y8468" s="1">
        <f t="shared" si="265"/>
        <v>0</v>
      </c>
    </row>
    <row r="8469" spans="24:25" x14ac:dyDescent="0.3">
      <c r="X8469" s="1">
        <f t="shared" si="264"/>
        <v>0</v>
      </c>
      <c r="Y8469" s="1">
        <f t="shared" si="265"/>
        <v>0</v>
      </c>
    </row>
    <row r="8470" spans="24:25" x14ac:dyDescent="0.3">
      <c r="X8470" s="1">
        <f t="shared" si="264"/>
        <v>0</v>
      </c>
      <c r="Y8470" s="1">
        <f t="shared" si="265"/>
        <v>0</v>
      </c>
    </row>
    <row r="8471" spans="24:25" x14ac:dyDescent="0.3">
      <c r="X8471" s="1">
        <f t="shared" si="264"/>
        <v>0</v>
      </c>
      <c r="Y8471" s="1">
        <f t="shared" si="265"/>
        <v>0</v>
      </c>
    </row>
    <row r="8472" spans="24:25" x14ac:dyDescent="0.3">
      <c r="X8472" s="1">
        <f t="shared" si="264"/>
        <v>0</v>
      </c>
      <c r="Y8472" s="1">
        <f t="shared" si="265"/>
        <v>0</v>
      </c>
    </row>
    <row r="8473" spans="24:25" x14ac:dyDescent="0.3">
      <c r="X8473" s="1">
        <f t="shared" si="264"/>
        <v>0</v>
      </c>
      <c r="Y8473" s="1">
        <f t="shared" si="265"/>
        <v>0</v>
      </c>
    </row>
    <row r="8474" spans="24:25" x14ac:dyDescent="0.3">
      <c r="X8474" s="1">
        <f t="shared" si="264"/>
        <v>0</v>
      </c>
      <c r="Y8474" s="1">
        <f t="shared" si="265"/>
        <v>0</v>
      </c>
    </row>
    <row r="8475" spans="24:25" x14ac:dyDescent="0.3">
      <c r="X8475" s="1">
        <f t="shared" si="264"/>
        <v>0</v>
      </c>
      <c r="Y8475" s="1">
        <f t="shared" si="265"/>
        <v>0</v>
      </c>
    </row>
    <row r="8476" spans="24:25" x14ac:dyDescent="0.3">
      <c r="X8476" s="1">
        <f t="shared" si="264"/>
        <v>0</v>
      </c>
      <c r="Y8476" s="1">
        <f t="shared" si="265"/>
        <v>0</v>
      </c>
    </row>
    <row r="8477" spans="24:25" x14ac:dyDescent="0.3">
      <c r="X8477" s="1">
        <f t="shared" si="264"/>
        <v>0</v>
      </c>
      <c r="Y8477" s="1">
        <f t="shared" si="265"/>
        <v>0</v>
      </c>
    </row>
    <row r="8478" spans="24:25" x14ac:dyDescent="0.3">
      <c r="X8478" s="1">
        <f t="shared" si="264"/>
        <v>0</v>
      </c>
      <c r="Y8478" s="1">
        <f t="shared" si="265"/>
        <v>0</v>
      </c>
    </row>
    <row r="8479" spans="24:25" x14ac:dyDescent="0.3">
      <c r="X8479" s="1">
        <f t="shared" si="264"/>
        <v>0</v>
      </c>
      <c r="Y8479" s="1">
        <f t="shared" si="265"/>
        <v>0</v>
      </c>
    </row>
    <row r="8480" spans="24:25" x14ac:dyDescent="0.3">
      <c r="X8480" s="1">
        <f t="shared" si="264"/>
        <v>0</v>
      </c>
      <c r="Y8480" s="1">
        <f t="shared" si="265"/>
        <v>0</v>
      </c>
    </row>
    <row r="8481" spans="24:25" x14ac:dyDescent="0.3">
      <c r="X8481" s="1">
        <f t="shared" si="264"/>
        <v>0</v>
      </c>
      <c r="Y8481" s="1">
        <f t="shared" si="265"/>
        <v>0</v>
      </c>
    </row>
    <row r="8482" spans="24:25" x14ac:dyDescent="0.3">
      <c r="X8482" s="1">
        <f t="shared" si="264"/>
        <v>0</v>
      </c>
      <c r="Y8482" s="1">
        <f t="shared" si="265"/>
        <v>0</v>
      </c>
    </row>
    <row r="8483" spans="24:25" x14ac:dyDescent="0.3">
      <c r="X8483" s="1">
        <f t="shared" si="264"/>
        <v>0</v>
      </c>
      <c r="Y8483" s="1">
        <f t="shared" si="265"/>
        <v>0</v>
      </c>
    </row>
    <row r="8484" spans="24:25" x14ac:dyDescent="0.3">
      <c r="X8484" s="1">
        <f t="shared" si="264"/>
        <v>0</v>
      </c>
      <c r="Y8484" s="1">
        <f t="shared" si="265"/>
        <v>0</v>
      </c>
    </row>
    <row r="8485" spans="24:25" x14ac:dyDescent="0.3">
      <c r="X8485" s="1">
        <f t="shared" si="264"/>
        <v>0</v>
      </c>
      <c r="Y8485" s="1">
        <f t="shared" si="265"/>
        <v>0</v>
      </c>
    </row>
    <row r="8486" spans="24:25" x14ac:dyDescent="0.3">
      <c r="X8486" s="1">
        <f t="shared" si="264"/>
        <v>0</v>
      </c>
      <c r="Y8486" s="1">
        <f t="shared" si="265"/>
        <v>0</v>
      </c>
    </row>
    <row r="8487" spans="24:25" x14ac:dyDescent="0.3">
      <c r="X8487" s="1">
        <f t="shared" si="264"/>
        <v>0</v>
      </c>
      <c r="Y8487" s="1">
        <f t="shared" si="265"/>
        <v>0</v>
      </c>
    </row>
    <row r="8488" spans="24:25" x14ac:dyDescent="0.3">
      <c r="X8488" s="1">
        <f t="shared" si="264"/>
        <v>0</v>
      </c>
      <c r="Y8488" s="1">
        <f t="shared" si="265"/>
        <v>0</v>
      </c>
    </row>
    <row r="8489" spans="24:25" x14ac:dyDescent="0.3">
      <c r="X8489" s="1">
        <f t="shared" si="264"/>
        <v>0</v>
      </c>
      <c r="Y8489" s="1">
        <f t="shared" si="265"/>
        <v>0</v>
      </c>
    </row>
    <row r="8490" spans="24:25" x14ac:dyDescent="0.3">
      <c r="X8490" s="1">
        <f t="shared" si="264"/>
        <v>0</v>
      </c>
      <c r="Y8490" s="1">
        <f t="shared" si="265"/>
        <v>0</v>
      </c>
    </row>
    <row r="8491" spans="24:25" x14ac:dyDescent="0.3">
      <c r="X8491" s="1">
        <f t="shared" si="264"/>
        <v>0</v>
      </c>
      <c r="Y8491" s="1">
        <f t="shared" si="265"/>
        <v>0</v>
      </c>
    </row>
    <row r="8492" spans="24:25" x14ac:dyDescent="0.3">
      <c r="X8492" s="1">
        <f t="shared" si="264"/>
        <v>0</v>
      </c>
      <c r="Y8492" s="1">
        <f t="shared" si="265"/>
        <v>0</v>
      </c>
    </row>
    <row r="8493" spans="24:25" x14ac:dyDescent="0.3">
      <c r="X8493" s="1">
        <f t="shared" si="264"/>
        <v>0</v>
      </c>
      <c r="Y8493" s="1">
        <f t="shared" si="265"/>
        <v>0</v>
      </c>
    </row>
    <row r="8494" spans="24:25" x14ac:dyDescent="0.3">
      <c r="X8494" s="1">
        <f t="shared" si="264"/>
        <v>0</v>
      </c>
      <c r="Y8494" s="1">
        <f t="shared" si="265"/>
        <v>0</v>
      </c>
    </row>
    <row r="8495" spans="24:25" x14ac:dyDescent="0.3">
      <c r="X8495" s="1">
        <f t="shared" si="264"/>
        <v>0</v>
      </c>
      <c r="Y8495" s="1">
        <f t="shared" si="265"/>
        <v>0</v>
      </c>
    </row>
    <row r="8496" spans="24:25" x14ac:dyDescent="0.3">
      <c r="X8496" s="1">
        <f t="shared" si="264"/>
        <v>0</v>
      </c>
      <c r="Y8496" s="1">
        <f t="shared" si="265"/>
        <v>0</v>
      </c>
    </row>
    <row r="8497" spans="24:25" x14ac:dyDescent="0.3">
      <c r="X8497" s="1">
        <f t="shared" si="264"/>
        <v>0</v>
      </c>
      <c r="Y8497" s="1">
        <f t="shared" si="265"/>
        <v>0</v>
      </c>
    </row>
    <row r="8498" spans="24:25" x14ac:dyDescent="0.3">
      <c r="X8498" s="1">
        <f t="shared" si="264"/>
        <v>0</v>
      </c>
      <c r="Y8498" s="1">
        <f t="shared" si="265"/>
        <v>0</v>
      </c>
    </row>
    <row r="8499" spans="24:25" x14ac:dyDescent="0.3">
      <c r="X8499" s="1">
        <f t="shared" si="264"/>
        <v>0</v>
      </c>
      <c r="Y8499" s="1">
        <f t="shared" si="265"/>
        <v>0</v>
      </c>
    </row>
    <row r="8500" spans="24:25" x14ac:dyDescent="0.3">
      <c r="X8500" s="1">
        <f t="shared" si="264"/>
        <v>0</v>
      </c>
      <c r="Y8500" s="1">
        <f t="shared" si="265"/>
        <v>0</v>
      </c>
    </row>
    <row r="8501" spans="24:25" x14ac:dyDescent="0.3">
      <c r="X8501" s="1">
        <f t="shared" si="264"/>
        <v>0</v>
      </c>
      <c r="Y8501" s="1">
        <f t="shared" si="265"/>
        <v>0</v>
      </c>
    </row>
    <row r="8502" spans="24:25" x14ac:dyDescent="0.3">
      <c r="X8502" s="1">
        <f t="shared" si="264"/>
        <v>0</v>
      </c>
      <c r="Y8502" s="1">
        <f t="shared" si="265"/>
        <v>0</v>
      </c>
    </row>
    <row r="8503" spans="24:25" x14ac:dyDescent="0.3">
      <c r="X8503" s="1">
        <f t="shared" si="264"/>
        <v>0</v>
      </c>
      <c r="Y8503" s="1">
        <f t="shared" si="265"/>
        <v>0</v>
      </c>
    </row>
    <row r="8504" spans="24:25" x14ac:dyDescent="0.3">
      <c r="X8504" s="1">
        <f t="shared" si="264"/>
        <v>0</v>
      </c>
      <c r="Y8504" s="1">
        <f t="shared" si="265"/>
        <v>0</v>
      </c>
    </row>
    <row r="8505" spans="24:25" x14ac:dyDescent="0.3">
      <c r="X8505" s="1">
        <f t="shared" si="264"/>
        <v>0</v>
      </c>
      <c r="Y8505" s="1">
        <f t="shared" si="265"/>
        <v>0</v>
      </c>
    </row>
    <row r="8506" spans="24:25" x14ac:dyDescent="0.3">
      <c r="X8506" s="1">
        <f t="shared" si="264"/>
        <v>0</v>
      </c>
      <c r="Y8506" s="1">
        <f t="shared" si="265"/>
        <v>0</v>
      </c>
    </row>
    <row r="8507" spans="24:25" x14ac:dyDescent="0.3">
      <c r="X8507" s="1">
        <f t="shared" si="264"/>
        <v>0</v>
      </c>
      <c r="Y8507" s="1">
        <f t="shared" si="265"/>
        <v>0</v>
      </c>
    </row>
    <row r="8508" spans="24:25" x14ac:dyDescent="0.3">
      <c r="X8508" s="1">
        <f t="shared" si="264"/>
        <v>0</v>
      </c>
      <c r="Y8508" s="1">
        <f t="shared" si="265"/>
        <v>0</v>
      </c>
    </row>
    <row r="8509" spans="24:25" x14ac:dyDescent="0.3">
      <c r="X8509" s="1">
        <f t="shared" si="264"/>
        <v>0</v>
      </c>
      <c r="Y8509" s="1">
        <f t="shared" si="265"/>
        <v>0</v>
      </c>
    </row>
    <row r="8510" spans="24:25" x14ac:dyDescent="0.3">
      <c r="X8510" s="1">
        <f t="shared" si="264"/>
        <v>0</v>
      </c>
      <c r="Y8510" s="1">
        <f t="shared" si="265"/>
        <v>0</v>
      </c>
    </row>
    <row r="8511" spans="24:25" x14ac:dyDescent="0.3">
      <c r="X8511" s="1">
        <f t="shared" si="264"/>
        <v>0</v>
      </c>
      <c r="Y8511" s="1">
        <f t="shared" si="265"/>
        <v>0</v>
      </c>
    </row>
    <row r="8512" spans="24:25" x14ac:dyDescent="0.3">
      <c r="X8512" s="1">
        <f t="shared" si="264"/>
        <v>0</v>
      </c>
      <c r="Y8512" s="1">
        <f t="shared" si="265"/>
        <v>0</v>
      </c>
    </row>
    <row r="8513" spans="24:25" x14ac:dyDescent="0.3">
      <c r="X8513" s="1">
        <f t="shared" si="264"/>
        <v>0</v>
      </c>
      <c r="Y8513" s="1">
        <f t="shared" si="265"/>
        <v>0</v>
      </c>
    </row>
    <row r="8514" spans="24:25" x14ac:dyDescent="0.3">
      <c r="X8514" s="1">
        <f t="shared" si="264"/>
        <v>0</v>
      </c>
      <c r="Y8514" s="1">
        <f t="shared" si="265"/>
        <v>0</v>
      </c>
    </row>
    <row r="8515" spans="24:25" x14ac:dyDescent="0.3">
      <c r="X8515" s="1">
        <f t="shared" ref="X8515:X8578" si="266">IFERROR(MATCH(W8515,$B:$B,0),0)</f>
        <v>0</v>
      </c>
      <c r="Y8515" s="1">
        <f t="shared" ref="Y8515:Y8578" si="267">IF(X8516=0,COUNTA(A:A),X8516-1)</f>
        <v>0</v>
      </c>
    </row>
    <row r="8516" spans="24:25" x14ac:dyDescent="0.3">
      <c r="X8516" s="1">
        <f t="shared" si="266"/>
        <v>0</v>
      </c>
      <c r="Y8516" s="1">
        <f t="shared" si="267"/>
        <v>0</v>
      </c>
    </row>
    <row r="8517" spans="24:25" x14ac:dyDescent="0.3">
      <c r="X8517" s="1">
        <f t="shared" si="266"/>
        <v>0</v>
      </c>
      <c r="Y8517" s="1">
        <f t="shared" si="267"/>
        <v>0</v>
      </c>
    </row>
    <row r="8518" spans="24:25" x14ac:dyDescent="0.3">
      <c r="X8518" s="1">
        <f t="shared" si="266"/>
        <v>0</v>
      </c>
      <c r="Y8518" s="1">
        <f t="shared" si="267"/>
        <v>0</v>
      </c>
    </row>
    <row r="8519" spans="24:25" x14ac:dyDescent="0.3">
      <c r="X8519" s="1">
        <f t="shared" si="266"/>
        <v>0</v>
      </c>
      <c r="Y8519" s="1">
        <f t="shared" si="267"/>
        <v>0</v>
      </c>
    </row>
    <row r="8520" spans="24:25" x14ac:dyDescent="0.3">
      <c r="X8520" s="1">
        <f t="shared" si="266"/>
        <v>0</v>
      </c>
      <c r="Y8520" s="1">
        <f t="shared" si="267"/>
        <v>0</v>
      </c>
    </row>
    <row r="8521" spans="24:25" x14ac:dyDescent="0.3">
      <c r="X8521" s="1">
        <f t="shared" si="266"/>
        <v>0</v>
      </c>
      <c r="Y8521" s="1">
        <f t="shared" si="267"/>
        <v>0</v>
      </c>
    </row>
    <row r="8522" spans="24:25" x14ac:dyDescent="0.3">
      <c r="X8522" s="1">
        <f t="shared" si="266"/>
        <v>0</v>
      </c>
      <c r="Y8522" s="1">
        <f t="shared" si="267"/>
        <v>0</v>
      </c>
    </row>
    <row r="8523" spans="24:25" x14ac:dyDescent="0.3">
      <c r="X8523" s="1">
        <f t="shared" si="266"/>
        <v>0</v>
      </c>
      <c r="Y8523" s="1">
        <f t="shared" si="267"/>
        <v>0</v>
      </c>
    </row>
    <row r="8524" spans="24:25" x14ac:dyDescent="0.3">
      <c r="X8524" s="1">
        <f t="shared" si="266"/>
        <v>0</v>
      </c>
      <c r="Y8524" s="1">
        <f t="shared" si="267"/>
        <v>0</v>
      </c>
    </row>
    <row r="8525" spans="24:25" x14ac:dyDescent="0.3">
      <c r="X8525" s="1">
        <f t="shared" si="266"/>
        <v>0</v>
      </c>
      <c r="Y8525" s="1">
        <f t="shared" si="267"/>
        <v>0</v>
      </c>
    </row>
    <row r="8526" spans="24:25" x14ac:dyDescent="0.3">
      <c r="X8526" s="1">
        <f t="shared" si="266"/>
        <v>0</v>
      </c>
      <c r="Y8526" s="1">
        <f t="shared" si="267"/>
        <v>0</v>
      </c>
    </row>
    <row r="8527" spans="24:25" x14ac:dyDescent="0.3">
      <c r="X8527" s="1">
        <f t="shared" si="266"/>
        <v>0</v>
      </c>
      <c r="Y8527" s="1">
        <f t="shared" si="267"/>
        <v>0</v>
      </c>
    </row>
    <row r="8528" spans="24:25" x14ac:dyDescent="0.3">
      <c r="X8528" s="1">
        <f t="shared" si="266"/>
        <v>0</v>
      </c>
      <c r="Y8528" s="1">
        <f t="shared" si="267"/>
        <v>0</v>
      </c>
    </row>
    <row r="8529" spans="24:25" x14ac:dyDescent="0.3">
      <c r="X8529" s="1">
        <f t="shared" si="266"/>
        <v>0</v>
      </c>
      <c r="Y8529" s="1">
        <f t="shared" si="267"/>
        <v>0</v>
      </c>
    </row>
    <row r="8530" spans="24:25" x14ac:dyDescent="0.3">
      <c r="X8530" s="1">
        <f t="shared" si="266"/>
        <v>0</v>
      </c>
      <c r="Y8530" s="1">
        <f t="shared" si="267"/>
        <v>0</v>
      </c>
    </row>
    <row r="8531" spans="24:25" x14ac:dyDescent="0.3">
      <c r="X8531" s="1">
        <f t="shared" si="266"/>
        <v>0</v>
      </c>
      <c r="Y8531" s="1">
        <f t="shared" si="267"/>
        <v>0</v>
      </c>
    </row>
    <row r="8532" spans="24:25" x14ac:dyDescent="0.3">
      <c r="X8532" s="1">
        <f t="shared" si="266"/>
        <v>0</v>
      </c>
      <c r="Y8532" s="1">
        <f t="shared" si="267"/>
        <v>0</v>
      </c>
    </row>
    <row r="8533" spans="24:25" x14ac:dyDescent="0.3">
      <c r="X8533" s="1">
        <f t="shared" si="266"/>
        <v>0</v>
      </c>
      <c r="Y8533" s="1">
        <f t="shared" si="267"/>
        <v>0</v>
      </c>
    </row>
    <row r="8534" spans="24:25" x14ac:dyDescent="0.3">
      <c r="X8534" s="1">
        <f t="shared" si="266"/>
        <v>0</v>
      </c>
      <c r="Y8534" s="1">
        <f t="shared" si="267"/>
        <v>0</v>
      </c>
    </row>
    <row r="8535" spans="24:25" x14ac:dyDescent="0.3">
      <c r="X8535" s="1">
        <f t="shared" si="266"/>
        <v>0</v>
      </c>
      <c r="Y8535" s="1">
        <f t="shared" si="267"/>
        <v>0</v>
      </c>
    </row>
    <row r="8536" spans="24:25" x14ac:dyDescent="0.3">
      <c r="X8536" s="1">
        <f t="shared" si="266"/>
        <v>0</v>
      </c>
      <c r="Y8536" s="1">
        <f t="shared" si="267"/>
        <v>0</v>
      </c>
    </row>
    <row r="8537" spans="24:25" x14ac:dyDescent="0.3">
      <c r="X8537" s="1">
        <f t="shared" si="266"/>
        <v>0</v>
      </c>
      <c r="Y8537" s="1">
        <f t="shared" si="267"/>
        <v>0</v>
      </c>
    </row>
    <row r="8538" spans="24:25" x14ac:dyDescent="0.3">
      <c r="X8538" s="1">
        <f t="shared" si="266"/>
        <v>0</v>
      </c>
      <c r="Y8538" s="1">
        <f t="shared" si="267"/>
        <v>0</v>
      </c>
    </row>
    <row r="8539" spans="24:25" x14ac:dyDescent="0.3">
      <c r="X8539" s="1">
        <f t="shared" si="266"/>
        <v>0</v>
      </c>
      <c r="Y8539" s="1">
        <f t="shared" si="267"/>
        <v>0</v>
      </c>
    </row>
    <row r="8540" spans="24:25" x14ac:dyDescent="0.3">
      <c r="X8540" s="1">
        <f t="shared" si="266"/>
        <v>0</v>
      </c>
      <c r="Y8540" s="1">
        <f t="shared" si="267"/>
        <v>0</v>
      </c>
    </row>
    <row r="8541" spans="24:25" x14ac:dyDescent="0.3">
      <c r="X8541" s="1">
        <f t="shared" si="266"/>
        <v>0</v>
      </c>
      <c r="Y8541" s="1">
        <f t="shared" si="267"/>
        <v>0</v>
      </c>
    </row>
    <row r="8542" spans="24:25" x14ac:dyDescent="0.3">
      <c r="X8542" s="1">
        <f t="shared" si="266"/>
        <v>0</v>
      </c>
      <c r="Y8542" s="1">
        <f t="shared" si="267"/>
        <v>0</v>
      </c>
    </row>
    <row r="8543" spans="24:25" x14ac:dyDescent="0.3">
      <c r="X8543" s="1">
        <f t="shared" si="266"/>
        <v>0</v>
      </c>
      <c r="Y8543" s="1">
        <f t="shared" si="267"/>
        <v>0</v>
      </c>
    </row>
    <row r="8544" spans="24:25" x14ac:dyDescent="0.3">
      <c r="X8544" s="1">
        <f t="shared" si="266"/>
        <v>0</v>
      </c>
      <c r="Y8544" s="1">
        <f t="shared" si="267"/>
        <v>0</v>
      </c>
    </row>
    <row r="8545" spans="24:25" x14ac:dyDescent="0.3">
      <c r="X8545" s="1">
        <f t="shared" si="266"/>
        <v>0</v>
      </c>
      <c r="Y8545" s="1">
        <f t="shared" si="267"/>
        <v>0</v>
      </c>
    </row>
    <row r="8546" spans="24:25" x14ac:dyDescent="0.3">
      <c r="X8546" s="1">
        <f t="shared" si="266"/>
        <v>0</v>
      </c>
      <c r="Y8546" s="1">
        <f t="shared" si="267"/>
        <v>0</v>
      </c>
    </row>
    <row r="8547" spans="24:25" x14ac:dyDescent="0.3">
      <c r="X8547" s="1">
        <f t="shared" si="266"/>
        <v>0</v>
      </c>
      <c r="Y8547" s="1">
        <f t="shared" si="267"/>
        <v>0</v>
      </c>
    </row>
    <row r="8548" spans="24:25" x14ac:dyDescent="0.3">
      <c r="X8548" s="1">
        <f t="shared" si="266"/>
        <v>0</v>
      </c>
      <c r="Y8548" s="1">
        <f t="shared" si="267"/>
        <v>0</v>
      </c>
    </row>
    <row r="8549" spans="24:25" x14ac:dyDescent="0.3">
      <c r="X8549" s="1">
        <f t="shared" si="266"/>
        <v>0</v>
      </c>
      <c r="Y8549" s="1">
        <f t="shared" si="267"/>
        <v>0</v>
      </c>
    </row>
    <row r="8550" spans="24:25" x14ac:dyDescent="0.3">
      <c r="X8550" s="1">
        <f t="shared" si="266"/>
        <v>0</v>
      </c>
      <c r="Y8550" s="1">
        <f t="shared" si="267"/>
        <v>0</v>
      </c>
    </row>
    <row r="8551" spans="24:25" x14ac:dyDescent="0.3">
      <c r="X8551" s="1">
        <f t="shared" si="266"/>
        <v>0</v>
      </c>
      <c r="Y8551" s="1">
        <f t="shared" si="267"/>
        <v>0</v>
      </c>
    </row>
    <row r="8552" spans="24:25" x14ac:dyDescent="0.3">
      <c r="X8552" s="1">
        <f t="shared" si="266"/>
        <v>0</v>
      </c>
      <c r="Y8552" s="1">
        <f t="shared" si="267"/>
        <v>0</v>
      </c>
    </row>
    <row r="8553" spans="24:25" x14ac:dyDescent="0.3">
      <c r="X8553" s="1">
        <f t="shared" si="266"/>
        <v>0</v>
      </c>
      <c r="Y8553" s="1">
        <f t="shared" si="267"/>
        <v>0</v>
      </c>
    </row>
    <row r="8554" spans="24:25" x14ac:dyDescent="0.3">
      <c r="X8554" s="1">
        <f t="shared" si="266"/>
        <v>0</v>
      </c>
      <c r="Y8554" s="1">
        <f t="shared" si="267"/>
        <v>0</v>
      </c>
    </row>
    <row r="8555" spans="24:25" x14ac:dyDescent="0.3">
      <c r="X8555" s="1">
        <f t="shared" si="266"/>
        <v>0</v>
      </c>
      <c r="Y8555" s="1">
        <f t="shared" si="267"/>
        <v>0</v>
      </c>
    </row>
    <row r="8556" spans="24:25" x14ac:dyDescent="0.3">
      <c r="X8556" s="1">
        <f t="shared" si="266"/>
        <v>0</v>
      </c>
      <c r="Y8556" s="1">
        <f t="shared" si="267"/>
        <v>0</v>
      </c>
    </row>
    <row r="8557" spans="24:25" x14ac:dyDescent="0.3">
      <c r="X8557" s="1">
        <f t="shared" si="266"/>
        <v>0</v>
      </c>
      <c r="Y8557" s="1">
        <f t="shared" si="267"/>
        <v>0</v>
      </c>
    </row>
    <row r="8558" spans="24:25" x14ac:dyDescent="0.3">
      <c r="X8558" s="1">
        <f t="shared" si="266"/>
        <v>0</v>
      </c>
      <c r="Y8558" s="1">
        <f t="shared" si="267"/>
        <v>0</v>
      </c>
    </row>
    <row r="8559" spans="24:25" x14ac:dyDescent="0.3">
      <c r="X8559" s="1">
        <f t="shared" si="266"/>
        <v>0</v>
      </c>
      <c r="Y8559" s="1">
        <f t="shared" si="267"/>
        <v>0</v>
      </c>
    </row>
    <row r="8560" spans="24:25" x14ac:dyDescent="0.3">
      <c r="X8560" s="1">
        <f t="shared" si="266"/>
        <v>0</v>
      </c>
      <c r="Y8560" s="1">
        <f t="shared" si="267"/>
        <v>0</v>
      </c>
    </row>
    <row r="8561" spans="24:25" x14ac:dyDescent="0.3">
      <c r="X8561" s="1">
        <f t="shared" si="266"/>
        <v>0</v>
      </c>
      <c r="Y8561" s="1">
        <f t="shared" si="267"/>
        <v>0</v>
      </c>
    </row>
    <row r="8562" spans="24:25" x14ac:dyDescent="0.3">
      <c r="X8562" s="1">
        <f t="shared" si="266"/>
        <v>0</v>
      </c>
      <c r="Y8562" s="1">
        <f t="shared" si="267"/>
        <v>0</v>
      </c>
    </row>
    <row r="8563" spans="24:25" x14ac:dyDescent="0.3">
      <c r="X8563" s="1">
        <f t="shared" si="266"/>
        <v>0</v>
      </c>
      <c r="Y8563" s="1">
        <f t="shared" si="267"/>
        <v>0</v>
      </c>
    </row>
    <row r="8564" spans="24:25" x14ac:dyDescent="0.3">
      <c r="X8564" s="1">
        <f t="shared" si="266"/>
        <v>0</v>
      </c>
      <c r="Y8564" s="1">
        <f t="shared" si="267"/>
        <v>0</v>
      </c>
    </row>
    <row r="8565" spans="24:25" x14ac:dyDescent="0.3">
      <c r="X8565" s="1">
        <f t="shared" si="266"/>
        <v>0</v>
      </c>
      <c r="Y8565" s="1">
        <f t="shared" si="267"/>
        <v>0</v>
      </c>
    </row>
    <row r="8566" spans="24:25" x14ac:dyDescent="0.3">
      <c r="X8566" s="1">
        <f t="shared" si="266"/>
        <v>0</v>
      </c>
      <c r="Y8566" s="1">
        <f t="shared" si="267"/>
        <v>0</v>
      </c>
    </row>
    <row r="8567" spans="24:25" x14ac:dyDescent="0.3">
      <c r="X8567" s="1">
        <f t="shared" si="266"/>
        <v>0</v>
      </c>
      <c r="Y8567" s="1">
        <f t="shared" si="267"/>
        <v>0</v>
      </c>
    </row>
    <row r="8568" spans="24:25" x14ac:dyDescent="0.3">
      <c r="X8568" s="1">
        <f t="shared" si="266"/>
        <v>0</v>
      </c>
      <c r="Y8568" s="1">
        <f t="shared" si="267"/>
        <v>0</v>
      </c>
    </row>
    <row r="8569" spans="24:25" x14ac:dyDescent="0.3">
      <c r="X8569" s="1">
        <f t="shared" si="266"/>
        <v>0</v>
      </c>
      <c r="Y8569" s="1">
        <f t="shared" si="267"/>
        <v>0</v>
      </c>
    </row>
    <row r="8570" spans="24:25" x14ac:dyDescent="0.3">
      <c r="X8570" s="1">
        <f t="shared" si="266"/>
        <v>0</v>
      </c>
      <c r="Y8570" s="1">
        <f t="shared" si="267"/>
        <v>0</v>
      </c>
    </row>
    <row r="8571" spans="24:25" x14ac:dyDescent="0.3">
      <c r="X8571" s="1">
        <f t="shared" si="266"/>
        <v>0</v>
      </c>
      <c r="Y8571" s="1">
        <f t="shared" si="267"/>
        <v>0</v>
      </c>
    </row>
    <row r="8572" spans="24:25" x14ac:dyDescent="0.3">
      <c r="X8572" s="1">
        <f t="shared" si="266"/>
        <v>0</v>
      </c>
      <c r="Y8572" s="1">
        <f t="shared" si="267"/>
        <v>0</v>
      </c>
    </row>
    <row r="8573" spans="24:25" x14ac:dyDescent="0.3">
      <c r="X8573" s="1">
        <f t="shared" si="266"/>
        <v>0</v>
      </c>
      <c r="Y8573" s="1">
        <f t="shared" si="267"/>
        <v>0</v>
      </c>
    </row>
    <row r="8574" spans="24:25" x14ac:dyDescent="0.3">
      <c r="X8574" s="1">
        <f t="shared" si="266"/>
        <v>0</v>
      </c>
      <c r="Y8574" s="1">
        <f t="shared" si="267"/>
        <v>0</v>
      </c>
    </row>
    <row r="8575" spans="24:25" x14ac:dyDescent="0.3">
      <c r="X8575" s="1">
        <f t="shared" si="266"/>
        <v>0</v>
      </c>
      <c r="Y8575" s="1">
        <f t="shared" si="267"/>
        <v>0</v>
      </c>
    </row>
    <row r="8576" spans="24:25" x14ac:dyDescent="0.3">
      <c r="X8576" s="1">
        <f t="shared" si="266"/>
        <v>0</v>
      </c>
      <c r="Y8576" s="1">
        <f t="shared" si="267"/>
        <v>0</v>
      </c>
    </row>
    <row r="8577" spans="24:25" x14ac:dyDescent="0.3">
      <c r="X8577" s="1">
        <f t="shared" si="266"/>
        <v>0</v>
      </c>
      <c r="Y8577" s="1">
        <f t="shared" si="267"/>
        <v>0</v>
      </c>
    </row>
    <row r="8578" spans="24:25" x14ac:dyDescent="0.3">
      <c r="X8578" s="1">
        <f t="shared" si="266"/>
        <v>0</v>
      </c>
      <c r="Y8578" s="1">
        <f t="shared" si="267"/>
        <v>0</v>
      </c>
    </row>
    <row r="8579" spans="24:25" x14ac:dyDescent="0.3">
      <c r="X8579" s="1">
        <f t="shared" ref="X8579:X8642" si="268">IFERROR(MATCH(W8579,$B:$B,0),0)</f>
        <v>0</v>
      </c>
      <c r="Y8579" s="1">
        <f t="shared" ref="Y8579:Y8642" si="269">IF(X8580=0,COUNTA(A:A),X8580-1)</f>
        <v>0</v>
      </c>
    </row>
    <row r="8580" spans="24:25" x14ac:dyDescent="0.3">
      <c r="X8580" s="1">
        <f t="shared" si="268"/>
        <v>0</v>
      </c>
      <c r="Y8580" s="1">
        <f t="shared" si="269"/>
        <v>0</v>
      </c>
    </row>
    <row r="8581" spans="24:25" x14ac:dyDescent="0.3">
      <c r="X8581" s="1">
        <f t="shared" si="268"/>
        <v>0</v>
      </c>
      <c r="Y8581" s="1">
        <f t="shared" si="269"/>
        <v>0</v>
      </c>
    </row>
    <row r="8582" spans="24:25" x14ac:dyDescent="0.3">
      <c r="X8582" s="1">
        <f t="shared" si="268"/>
        <v>0</v>
      </c>
      <c r="Y8582" s="1">
        <f t="shared" si="269"/>
        <v>0</v>
      </c>
    </row>
    <row r="8583" spans="24:25" x14ac:dyDescent="0.3">
      <c r="X8583" s="1">
        <f t="shared" si="268"/>
        <v>0</v>
      </c>
      <c r="Y8583" s="1">
        <f t="shared" si="269"/>
        <v>0</v>
      </c>
    </row>
    <row r="8584" spans="24:25" x14ac:dyDescent="0.3">
      <c r="X8584" s="1">
        <f t="shared" si="268"/>
        <v>0</v>
      </c>
      <c r="Y8584" s="1">
        <f t="shared" si="269"/>
        <v>0</v>
      </c>
    </row>
    <row r="8585" spans="24:25" x14ac:dyDescent="0.3">
      <c r="X8585" s="1">
        <f t="shared" si="268"/>
        <v>0</v>
      </c>
      <c r="Y8585" s="1">
        <f t="shared" si="269"/>
        <v>0</v>
      </c>
    </row>
    <row r="8586" spans="24:25" x14ac:dyDescent="0.3">
      <c r="X8586" s="1">
        <f t="shared" si="268"/>
        <v>0</v>
      </c>
      <c r="Y8586" s="1">
        <f t="shared" si="269"/>
        <v>0</v>
      </c>
    </row>
    <row r="8587" spans="24:25" x14ac:dyDescent="0.3">
      <c r="X8587" s="1">
        <f t="shared" si="268"/>
        <v>0</v>
      </c>
      <c r="Y8587" s="1">
        <f t="shared" si="269"/>
        <v>0</v>
      </c>
    </row>
    <row r="8588" spans="24:25" x14ac:dyDescent="0.3">
      <c r="X8588" s="1">
        <f t="shared" si="268"/>
        <v>0</v>
      </c>
      <c r="Y8588" s="1">
        <f t="shared" si="269"/>
        <v>0</v>
      </c>
    </row>
    <row r="8589" spans="24:25" x14ac:dyDescent="0.3">
      <c r="X8589" s="1">
        <f t="shared" si="268"/>
        <v>0</v>
      </c>
      <c r="Y8589" s="1">
        <f t="shared" si="269"/>
        <v>0</v>
      </c>
    </row>
    <row r="8590" spans="24:25" x14ac:dyDescent="0.3">
      <c r="X8590" s="1">
        <f t="shared" si="268"/>
        <v>0</v>
      </c>
      <c r="Y8590" s="1">
        <f t="shared" si="269"/>
        <v>0</v>
      </c>
    </row>
    <row r="8591" spans="24:25" x14ac:dyDescent="0.3">
      <c r="X8591" s="1">
        <f t="shared" si="268"/>
        <v>0</v>
      </c>
      <c r="Y8591" s="1">
        <f t="shared" si="269"/>
        <v>0</v>
      </c>
    </row>
    <row r="8592" spans="24:25" x14ac:dyDescent="0.3">
      <c r="X8592" s="1">
        <f t="shared" si="268"/>
        <v>0</v>
      </c>
      <c r="Y8592" s="1">
        <f t="shared" si="269"/>
        <v>0</v>
      </c>
    </row>
    <row r="8593" spans="24:25" x14ac:dyDescent="0.3">
      <c r="X8593" s="1">
        <f t="shared" si="268"/>
        <v>0</v>
      </c>
      <c r="Y8593" s="1">
        <f t="shared" si="269"/>
        <v>0</v>
      </c>
    </row>
    <row r="8594" spans="24:25" x14ac:dyDescent="0.3">
      <c r="X8594" s="1">
        <f t="shared" si="268"/>
        <v>0</v>
      </c>
      <c r="Y8594" s="1">
        <f t="shared" si="269"/>
        <v>0</v>
      </c>
    </row>
    <row r="8595" spans="24:25" x14ac:dyDescent="0.3">
      <c r="X8595" s="1">
        <f t="shared" si="268"/>
        <v>0</v>
      </c>
      <c r="Y8595" s="1">
        <f t="shared" si="269"/>
        <v>0</v>
      </c>
    </row>
    <row r="8596" spans="24:25" x14ac:dyDescent="0.3">
      <c r="X8596" s="1">
        <f t="shared" si="268"/>
        <v>0</v>
      </c>
      <c r="Y8596" s="1">
        <f t="shared" si="269"/>
        <v>0</v>
      </c>
    </row>
    <row r="8597" spans="24:25" x14ac:dyDescent="0.3">
      <c r="X8597" s="1">
        <f t="shared" si="268"/>
        <v>0</v>
      </c>
      <c r="Y8597" s="1">
        <f t="shared" si="269"/>
        <v>0</v>
      </c>
    </row>
    <row r="8598" spans="24:25" x14ac:dyDescent="0.3">
      <c r="X8598" s="1">
        <f t="shared" si="268"/>
        <v>0</v>
      </c>
      <c r="Y8598" s="1">
        <f t="shared" si="269"/>
        <v>0</v>
      </c>
    </row>
    <row r="8599" spans="24:25" x14ac:dyDescent="0.3">
      <c r="X8599" s="1">
        <f t="shared" si="268"/>
        <v>0</v>
      </c>
      <c r="Y8599" s="1">
        <f t="shared" si="269"/>
        <v>0</v>
      </c>
    </row>
    <row r="8600" spans="24:25" x14ac:dyDescent="0.3">
      <c r="X8600" s="1">
        <f t="shared" si="268"/>
        <v>0</v>
      </c>
      <c r="Y8600" s="1">
        <f t="shared" si="269"/>
        <v>0</v>
      </c>
    </row>
    <row r="8601" spans="24:25" x14ac:dyDescent="0.3">
      <c r="X8601" s="1">
        <f t="shared" si="268"/>
        <v>0</v>
      </c>
      <c r="Y8601" s="1">
        <f t="shared" si="269"/>
        <v>0</v>
      </c>
    </row>
    <row r="8602" spans="24:25" x14ac:dyDescent="0.3">
      <c r="X8602" s="1">
        <f t="shared" si="268"/>
        <v>0</v>
      </c>
      <c r="Y8602" s="1">
        <f t="shared" si="269"/>
        <v>0</v>
      </c>
    </row>
    <row r="8603" spans="24:25" x14ac:dyDescent="0.3">
      <c r="X8603" s="1">
        <f t="shared" si="268"/>
        <v>0</v>
      </c>
      <c r="Y8603" s="1">
        <f t="shared" si="269"/>
        <v>0</v>
      </c>
    </row>
    <row r="8604" spans="24:25" x14ac:dyDescent="0.3">
      <c r="X8604" s="1">
        <f t="shared" si="268"/>
        <v>0</v>
      </c>
      <c r="Y8604" s="1">
        <f t="shared" si="269"/>
        <v>0</v>
      </c>
    </row>
    <row r="8605" spans="24:25" x14ac:dyDescent="0.3">
      <c r="X8605" s="1">
        <f t="shared" si="268"/>
        <v>0</v>
      </c>
      <c r="Y8605" s="1">
        <f t="shared" si="269"/>
        <v>0</v>
      </c>
    </row>
    <row r="8606" spans="24:25" x14ac:dyDescent="0.3">
      <c r="X8606" s="1">
        <f t="shared" si="268"/>
        <v>0</v>
      </c>
      <c r="Y8606" s="1">
        <f t="shared" si="269"/>
        <v>0</v>
      </c>
    </row>
    <row r="8607" spans="24:25" x14ac:dyDescent="0.3">
      <c r="X8607" s="1">
        <f t="shared" si="268"/>
        <v>0</v>
      </c>
      <c r="Y8607" s="1">
        <f t="shared" si="269"/>
        <v>0</v>
      </c>
    </row>
    <row r="8608" spans="24:25" x14ac:dyDescent="0.3">
      <c r="X8608" s="1">
        <f t="shared" si="268"/>
        <v>0</v>
      </c>
      <c r="Y8608" s="1">
        <f t="shared" si="269"/>
        <v>0</v>
      </c>
    </row>
    <row r="8609" spans="24:25" x14ac:dyDescent="0.3">
      <c r="X8609" s="1">
        <f t="shared" si="268"/>
        <v>0</v>
      </c>
      <c r="Y8609" s="1">
        <f t="shared" si="269"/>
        <v>0</v>
      </c>
    </row>
    <row r="8610" spans="24:25" x14ac:dyDescent="0.3">
      <c r="X8610" s="1">
        <f t="shared" si="268"/>
        <v>0</v>
      </c>
      <c r="Y8610" s="1">
        <f t="shared" si="269"/>
        <v>0</v>
      </c>
    </row>
    <row r="8611" spans="24:25" x14ac:dyDescent="0.3">
      <c r="X8611" s="1">
        <f t="shared" si="268"/>
        <v>0</v>
      </c>
      <c r="Y8611" s="1">
        <f t="shared" si="269"/>
        <v>0</v>
      </c>
    </row>
    <row r="8612" spans="24:25" x14ac:dyDescent="0.3">
      <c r="X8612" s="1">
        <f t="shared" si="268"/>
        <v>0</v>
      </c>
      <c r="Y8612" s="1">
        <f t="shared" si="269"/>
        <v>0</v>
      </c>
    </row>
    <row r="8613" spans="24:25" x14ac:dyDescent="0.3">
      <c r="X8613" s="1">
        <f t="shared" si="268"/>
        <v>0</v>
      </c>
      <c r="Y8613" s="1">
        <f t="shared" si="269"/>
        <v>0</v>
      </c>
    </row>
    <row r="8614" spans="24:25" x14ac:dyDescent="0.3">
      <c r="X8614" s="1">
        <f t="shared" si="268"/>
        <v>0</v>
      </c>
      <c r="Y8614" s="1">
        <f t="shared" si="269"/>
        <v>0</v>
      </c>
    </row>
    <row r="8615" spans="24:25" x14ac:dyDescent="0.3">
      <c r="X8615" s="1">
        <f t="shared" si="268"/>
        <v>0</v>
      </c>
      <c r="Y8615" s="1">
        <f t="shared" si="269"/>
        <v>0</v>
      </c>
    </row>
    <row r="8616" spans="24:25" x14ac:dyDescent="0.3">
      <c r="X8616" s="1">
        <f t="shared" si="268"/>
        <v>0</v>
      </c>
      <c r="Y8616" s="1">
        <f t="shared" si="269"/>
        <v>0</v>
      </c>
    </row>
    <row r="8617" spans="24:25" x14ac:dyDescent="0.3">
      <c r="X8617" s="1">
        <f t="shared" si="268"/>
        <v>0</v>
      </c>
      <c r="Y8617" s="1">
        <f t="shared" si="269"/>
        <v>0</v>
      </c>
    </row>
    <row r="8618" spans="24:25" x14ac:dyDescent="0.3">
      <c r="X8618" s="1">
        <f t="shared" si="268"/>
        <v>0</v>
      </c>
      <c r="Y8618" s="1">
        <f t="shared" si="269"/>
        <v>0</v>
      </c>
    </row>
    <row r="8619" spans="24:25" x14ac:dyDescent="0.3">
      <c r="X8619" s="1">
        <f t="shared" si="268"/>
        <v>0</v>
      </c>
      <c r="Y8619" s="1">
        <f t="shared" si="269"/>
        <v>0</v>
      </c>
    </row>
    <row r="8620" spans="24:25" x14ac:dyDescent="0.3">
      <c r="X8620" s="1">
        <f t="shared" si="268"/>
        <v>0</v>
      </c>
      <c r="Y8620" s="1">
        <f t="shared" si="269"/>
        <v>0</v>
      </c>
    </row>
    <row r="8621" spans="24:25" x14ac:dyDescent="0.3">
      <c r="X8621" s="1">
        <f t="shared" si="268"/>
        <v>0</v>
      </c>
      <c r="Y8621" s="1">
        <f t="shared" si="269"/>
        <v>0</v>
      </c>
    </row>
    <row r="8622" spans="24:25" x14ac:dyDescent="0.3">
      <c r="X8622" s="1">
        <f t="shared" si="268"/>
        <v>0</v>
      </c>
      <c r="Y8622" s="1">
        <f t="shared" si="269"/>
        <v>0</v>
      </c>
    </row>
    <row r="8623" spans="24:25" x14ac:dyDescent="0.3">
      <c r="X8623" s="1">
        <f t="shared" si="268"/>
        <v>0</v>
      </c>
      <c r="Y8623" s="1">
        <f t="shared" si="269"/>
        <v>0</v>
      </c>
    </row>
    <row r="8624" spans="24:25" x14ac:dyDescent="0.3">
      <c r="X8624" s="1">
        <f t="shared" si="268"/>
        <v>0</v>
      </c>
      <c r="Y8624" s="1">
        <f t="shared" si="269"/>
        <v>0</v>
      </c>
    </row>
    <row r="8625" spans="24:25" x14ac:dyDescent="0.3">
      <c r="X8625" s="1">
        <f t="shared" si="268"/>
        <v>0</v>
      </c>
      <c r="Y8625" s="1">
        <f t="shared" si="269"/>
        <v>0</v>
      </c>
    </row>
    <row r="8626" spans="24:25" x14ac:dyDescent="0.3">
      <c r="X8626" s="1">
        <f t="shared" si="268"/>
        <v>0</v>
      </c>
      <c r="Y8626" s="1">
        <f t="shared" si="269"/>
        <v>0</v>
      </c>
    </row>
    <row r="8627" spans="24:25" x14ac:dyDescent="0.3">
      <c r="X8627" s="1">
        <f t="shared" si="268"/>
        <v>0</v>
      </c>
      <c r="Y8627" s="1">
        <f t="shared" si="269"/>
        <v>0</v>
      </c>
    </row>
    <row r="8628" spans="24:25" x14ac:dyDescent="0.3">
      <c r="X8628" s="1">
        <f t="shared" si="268"/>
        <v>0</v>
      </c>
      <c r="Y8628" s="1">
        <f t="shared" si="269"/>
        <v>0</v>
      </c>
    </row>
    <row r="8629" spans="24:25" x14ac:dyDescent="0.3">
      <c r="X8629" s="1">
        <f t="shared" si="268"/>
        <v>0</v>
      </c>
      <c r="Y8629" s="1">
        <f t="shared" si="269"/>
        <v>0</v>
      </c>
    </row>
    <row r="8630" spans="24:25" x14ac:dyDescent="0.3">
      <c r="X8630" s="1">
        <f t="shared" si="268"/>
        <v>0</v>
      </c>
      <c r="Y8630" s="1">
        <f t="shared" si="269"/>
        <v>0</v>
      </c>
    </row>
    <row r="8631" spans="24:25" x14ac:dyDescent="0.3">
      <c r="X8631" s="1">
        <f t="shared" si="268"/>
        <v>0</v>
      </c>
      <c r="Y8631" s="1">
        <f t="shared" si="269"/>
        <v>0</v>
      </c>
    </row>
    <row r="8632" spans="24:25" x14ac:dyDescent="0.3">
      <c r="X8632" s="1">
        <f t="shared" si="268"/>
        <v>0</v>
      </c>
      <c r="Y8632" s="1">
        <f t="shared" si="269"/>
        <v>0</v>
      </c>
    </row>
    <row r="8633" spans="24:25" x14ac:dyDescent="0.3">
      <c r="X8633" s="1">
        <f t="shared" si="268"/>
        <v>0</v>
      </c>
      <c r="Y8633" s="1">
        <f t="shared" si="269"/>
        <v>0</v>
      </c>
    </row>
    <row r="8634" spans="24:25" x14ac:dyDescent="0.3">
      <c r="X8634" s="1">
        <f t="shared" si="268"/>
        <v>0</v>
      </c>
      <c r="Y8634" s="1">
        <f t="shared" si="269"/>
        <v>0</v>
      </c>
    </row>
    <row r="8635" spans="24:25" x14ac:dyDescent="0.3">
      <c r="X8635" s="1">
        <f t="shared" si="268"/>
        <v>0</v>
      </c>
      <c r="Y8635" s="1">
        <f t="shared" si="269"/>
        <v>0</v>
      </c>
    </row>
    <row r="8636" spans="24:25" x14ac:dyDescent="0.3">
      <c r="X8636" s="1">
        <f t="shared" si="268"/>
        <v>0</v>
      </c>
      <c r="Y8636" s="1">
        <f t="shared" si="269"/>
        <v>0</v>
      </c>
    </row>
    <row r="8637" spans="24:25" x14ac:dyDescent="0.3">
      <c r="X8637" s="1">
        <f t="shared" si="268"/>
        <v>0</v>
      </c>
      <c r="Y8637" s="1">
        <f t="shared" si="269"/>
        <v>0</v>
      </c>
    </row>
    <row r="8638" spans="24:25" x14ac:dyDescent="0.3">
      <c r="X8638" s="1">
        <f t="shared" si="268"/>
        <v>0</v>
      </c>
      <c r="Y8638" s="1">
        <f t="shared" si="269"/>
        <v>0</v>
      </c>
    </row>
    <row r="8639" spans="24:25" x14ac:dyDescent="0.3">
      <c r="X8639" s="1">
        <f t="shared" si="268"/>
        <v>0</v>
      </c>
      <c r="Y8639" s="1">
        <f t="shared" si="269"/>
        <v>0</v>
      </c>
    </row>
    <row r="8640" spans="24:25" x14ac:dyDescent="0.3">
      <c r="X8640" s="1">
        <f t="shared" si="268"/>
        <v>0</v>
      </c>
      <c r="Y8640" s="1">
        <f t="shared" si="269"/>
        <v>0</v>
      </c>
    </row>
    <row r="8641" spans="24:25" x14ac:dyDescent="0.3">
      <c r="X8641" s="1">
        <f t="shared" si="268"/>
        <v>0</v>
      </c>
      <c r="Y8641" s="1">
        <f t="shared" si="269"/>
        <v>0</v>
      </c>
    </row>
    <row r="8642" spans="24:25" x14ac:dyDescent="0.3">
      <c r="X8642" s="1">
        <f t="shared" si="268"/>
        <v>0</v>
      </c>
      <c r="Y8642" s="1">
        <f t="shared" si="269"/>
        <v>0</v>
      </c>
    </row>
    <row r="8643" spans="24:25" x14ac:dyDescent="0.3">
      <c r="X8643" s="1">
        <f t="shared" ref="X8643:X8706" si="270">IFERROR(MATCH(W8643,$B:$B,0),0)</f>
        <v>0</v>
      </c>
      <c r="Y8643" s="1">
        <f t="shared" ref="Y8643:Y8706" si="271">IF(X8644=0,COUNTA(A:A),X8644-1)</f>
        <v>0</v>
      </c>
    </row>
    <row r="8644" spans="24:25" x14ac:dyDescent="0.3">
      <c r="X8644" s="1">
        <f t="shared" si="270"/>
        <v>0</v>
      </c>
      <c r="Y8644" s="1">
        <f t="shared" si="271"/>
        <v>0</v>
      </c>
    </row>
    <row r="8645" spans="24:25" x14ac:dyDescent="0.3">
      <c r="X8645" s="1">
        <f t="shared" si="270"/>
        <v>0</v>
      </c>
      <c r="Y8645" s="1">
        <f t="shared" si="271"/>
        <v>0</v>
      </c>
    </row>
    <row r="8646" spans="24:25" x14ac:dyDescent="0.3">
      <c r="X8646" s="1">
        <f t="shared" si="270"/>
        <v>0</v>
      </c>
      <c r="Y8646" s="1">
        <f t="shared" si="271"/>
        <v>0</v>
      </c>
    </row>
    <row r="8647" spans="24:25" x14ac:dyDescent="0.3">
      <c r="X8647" s="1">
        <f t="shared" si="270"/>
        <v>0</v>
      </c>
      <c r="Y8647" s="1">
        <f t="shared" si="271"/>
        <v>0</v>
      </c>
    </row>
    <row r="8648" spans="24:25" x14ac:dyDescent="0.3">
      <c r="X8648" s="1">
        <f t="shared" si="270"/>
        <v>0</v>
      </c>
      <c r="Y8648" s="1">
        <f t="shared" si="271"/>
        <v>0</v>
      </c>
    </row>
    <row r="8649" spans="24:25" x14ac:dyDescent="0.3">
      <c r="X8649" s="1">
        <f t="shared" si="270"/>
        <v>0</v>
      </c>
      <c r="Y8649" s="1">
        <f t="shared" si="271"/>
        <v>0</v>
      </c>
    </row>
    <row r="8650" spans="24:25" x14ac:dyDescent="0.3">
      <c r="X8650" s="1">
        <f t="shared" si="270"/>
        <v>0</v>
      </c>
      <c r="Y8650" s="1">
        <f t="shared" si="271"/>
        <v>0</v>
      </c>
    </row>
    <row r="8651" spans="24:25" x14ac:dyDescent="0.3">
      <c r="X8651" s="1">
        <f t="shared" si="270"/>
        <v>0</v>
      </c>
      <c r="Y8651" s="1">
        <f t="shared" si="271"/>
        <v>0</v>
      </c>
    </row>
    <row r="8652" spans="24:25" x14ac:dyDescent="0.3">
      <c r="X8652" s="1">
        <f t="shared" si="270"/>
        <v>0</v>
      </c>
      <c r="Y8652" s="1">
        <f t="shared" si="271"/>
        <v>0</v>
      </c>
    </row>
    <row r="8653" spans="24:25" x14ac:dyDescent="0.3">
      <c r="X8653" s="1">
        <f t="shared" si="270"/>
        <v>0</v>
      </c>
      <c r="Y8653" s="1">
        <f t="shared" si="271"/>
        <v>0</v>
      </c>
    </row>
    <row r="8654" spans="24:25" x14ac:dyDescent="0.3">
      <c r="X8654" s="1">
        <f t="shared" si="270"/>
        <v>0</v>
      </c>
      <c r="Y8654" s="1">
        <f t="shared" si="271"/>
        <v>0</v>
      </c>
    </row>
    <row r="8655" spans="24:25" x14ac:dyDescent="0.3">
      <c r="X8655" s="1">
        <f t="shared" si="270"/>
        <v>0</v>
      </c>
      <c r="Y8655" s="1">
        <f t="shared" si="271"/>
        <v>0</v>
      </c>
    </row>
    <row r="8656" spans="24:25" x14ac:dyDescent="0.3">
      <c r="X8656" s="1">
        <f t="shared" si="270"/>
        <v>0</v>
      </c>
      <c r="Y8656" s="1">
        <f t="shared" si="271"/>
        <v>0</v>
      </c>
    </row>
    <row r="8657" spans="24:25" x14ac:dyDescent="0.3">
      <c r="X8657" s="1">
        <f t="shared" si="270"/>
        <v>0</v>
      </c>
      <c r="Y8657" s="1">
        <f t="shared" si="271"/>
        <v>0</v>
      </c>
    </row>
    <row r="8658" spans="24:25" x14ac:dyDescent="0.3">
      <c r="X8658" s="1">
        <f t="shared" si="270"/>
        <v>0</v>
      </c>
      <c r="Y8658" s="1">
        <f t="shared" si="271"/>
        <v>0</v>
      </c>
    </row>
    <row r="8659" spans="24:25" x14ac:dyDescent="0.3">
      <c r="X8659" s="1">
        <f t="shared" si="270"/>
        <v>0</v>
      </c>
      <c r="Y8659" s="1">
        <f t="shared" si="271"/>
        <v>0</v>
      </c>
    </row>
    <row r="8660" spans="24:25" x14ac:dyDescent="0.3">
      <c r="X8660" s="1">
        <f t="shared" si="270"/>
        <v>0</v>
      </c>
      <c r="Y8660" s="1">
        <f t="shared" si="271"/>
        <v>0</v>
      </c>
    </row>
    <row r="8661" spans="24:25" x14ac:dyDescent="0.3">
      <c r="X8661" s="1">
        <f t="shared" si="270"/>
        <v>0</v>
      </c>
      <c r="Y8661" s="1">
        <f t="shared" si="271"/>
        <v>0</v>
      </c>
    </row>
    <row r="8662" spans="24:25" x14ac:dyDescent="0.3">
      <c r="X8662" s="1">
        <f t="shared" si="270"/>
        <v>0</v>
      </c>
      <c r="Y8662" s="1">
        <f t="shared" si="271"/>
        <v>0</v>
      </c>
    </row>
    <row r="8663" spans="24:25" x14ac:dyDescent="0.3">
      <c r="X8663" s="1">
        <f t="shared" si="270"/>
        <v>0</v>
      </c>
      <c r="Y8663" s="1">
        <f t="shared" si="271"/>
        <v>0</v>
      </c>
    </row>
    <row r="8664" spans="24:25" x14ac:dyDescent="0.3">
      <c r="X8664" s="1">
        <f t="shared" si="270"/>
        <v>0</v>
      </c>
      <c r="Y8664" s="1">
        <f t="shared" si="271"/>
        <v>0</v>
      </c>
    </row>
    <row r="8665" spans="24:25" x14ac:dyDescent="0.3">
      <c r="X8665" s="1">
        <f t="shared" si="270"/>
        <v>0</v>
      </c>
      <c r="Y8665" s="1">
        <f t="shared" si="271"/>
        <v>0</v>
      </c>
    </row>
    <row r="8666" spans="24:25" x14ac:dyDescent="0.3">
      <c r="X8666" s="1">
        <f t="shared" si="270"/>
        <v>0</v>
      </c>
      <c r="Y8666" s="1">
        <f t="shared" si="271"/>
        <v>0</v>
      </c>
    </row>
    <row r="8667" spans="24:25" x14ac:dyDescent="0.3">
      <c r="X8667" s="1">
        <f t="shared" si="270"/>
        <v>0</v>
      </c>
      <c r="Y8667" s="1">
        <f t="shared" si="271"/>
        <v>0</v>
      </c>
    </row>
    <row r="8668" spans="24:25" x14ac:dyDescent="0.3">
      <c r="X8668" s="1">
        <f t="shared" si="270"/>
        <v>0</v>
      </c>
      <c r="Y8668" s="1">
        <f t="shared" si="271"/>
        <v>0</v>
      </c>
    </row>
    <row r="8669" spans="24:25" x14ac:dyDescent="0.3">
      <c r="X8669" s="1">
        <f t="shared" si="270"/>
        <v>0</v>
      </c>
      <c r="Y8669" s="1">
        <f t="shared" si="271"/>
        <v>0</v>
      </c>
    </row>
    <row r="8670" spans="24:25" x14ac:dyDescent="0.3">
      <c r="X8670" s="1">
        <f t="shared" si="270"/>
        <v>0</v>
      </c>
      <c r="Y8670" s="1">
        <f t="shared" si="271"/>
        <v>0</v>
      </c>
    </row>
    <row r="8671" spans="24:25" x14ac:dyDescent="0.3">
      <c r="X8671" s="1">
        <f t="shared" si="270"/>
        <v>0</v>
      </c>
      <c r="Y8671" s="1">
        <f t="shared" si="271"/>
        <v>0</v>
      </c>
    </row>
    <row r="8672" spans="24:25" x14ac:dyDescent="0.3">
      <c r="X8672" s="1">
        <f t="shared" si="270"/>
        <v>0</v>
      </c>
      <c r="Y8672" s="1">
        <f t="shared" si="271"/>
        <v>0</v>
      </c>
    </row>
    <row r="8673" spans="24:25" x14ac:dyDescent="0.3">
      <c r="X8673" s="1">
        <f t="shared" si="270"/>
        <v>0</v>
      </c>
      <c r="Y8673" s="1">
        <f t="shared" si="271"/>
        <v>0</v>
      </c>
    </row>
    <row r="8674" spans="24:25" x14ac:dyDescent="0.3">
      <c r="X8674" s="1">
        <f t="shared" si="270"/>
        <v>0</v>
      </c>
      <c r="Y8674" s="1">
        <f t="shared" si="271"/>
        <v>0</v>
      </c>
    </row>
    <row r="8675" spans="24:25" x14ac:dyDescent="0.3">
      <c r="X8675" s="1">
        <f t="shared" si="270"/>
        <v>0</v>
      </c>
      <c r="Y8675" s="1">
        <f t="shared" si="271"/>
        <v>0</v>
      </c>
    </row>
    <row r="8676" spans="24:25" x14ac:dyDescent="0.3">
      <c r="X8676" s="1">
        <f t="shared" si="270"/>
        <v>0</v>
      </c>
      <c r="Y8676" s="1">
        <f t="shared" si="271"/>
        <v>0</v>
      </c>
    </row>
    <row r="8677" spans="24:25" x14ac:dyDescent="0.3">
      <c r="X8677" s="1">
        <f t="shared" si="270"/>
        <v>0</v>
      </c>
      <c r="Y8677" s="1">
        <f t="shared" si="271"/>
        <v>0</v>
      </c>
    </row>
    <row r="8678" spans="24:25" x14ac:dyDescent="0.3">
      <c r="X8678" s="1">
        <f t="shared" si="270"/>
        <v>0</v>
      </c>
      <c r="Y8678" s="1">
        <f t="shared" si="271"/>
        <v>0</v>
      </c>
    </row>
    <row r="8679" spans="24:25" x14ac:dyDescent="0.3">
      <c r="X8679" s="1">
        <f t="shared" si="270"/>
        <v>0</v>
      </c>
      <c r="Y8679" s="1">
        <f t="shared" si="271"/>
        <v>0</v>
      </c>
    </row>
    <row r="8680" spans="24:25" x14ac:dyDescent="0.3">
      <c r="X8680" s="1">
        <f t="shared" si="270"/>
        <v>0</v>
      </c>
      <c r="Y8680" s="1">
        <f t="shared" si="271"/>
        <v>0</v>
      </c>
    </row>
    <row r="8681" spans="24:25" x14ac:dyDescent="0.3">
      <c r="X8681" s="1">
        <f t="shared" si="270"/>
        <v>0</v>
      </c>
      <c r="Y8681" s="1">
        <f t="shared" si="271"/>
        <v>0</v>
      </c>
    </row>
    <row r="8682" spans="24:25" x14ac:dyDescent="0.3">
      <c r="X8682" s="1">
        <f t="shared" si="270"/>
        <v>0</v>
      </c>
      <c r="Y8682" s="1">
        <f t="shared" si="271"/>
        <v>0</v>
      </c>
    </row>
    <row r="8683" spans="24:25" x14ac:dyDescent="0.3">
      <c r="X8683" s="1">
        <f t="shared" si="270"/>
        <v>0</v>
      </c>
      <c r="Y8683" s="1">
        <f t="shared" si="271"/>
        <v>0</v>
      </c>
    </row>
    <row r="8684" spans="24:25" x14ac:dyDescent="0.3">
      <c r="X8684" s="1">
        <f t="shared" si="270"/>
        <v>0</v>
      </c>
      <c r="Y8684" s="1">
        <f t="shared" si="271"/>
        <v>0</v>
      </c>
    </row>
    <row r="8685" spans="24:25" x14ac:dyDescent="0.3">
      <c r="X8685" s="1">
        <f t="shared" si="270"/>
        <v>0</v>
      </c>
      <c r="Y8685" s="1">
        <f t="shared" si="271"/>
        <v>0</v>
      </c>
    </row>
    <row r="8686" spans="24:25" x14ac:dyDescent="0.3">
      <c r="X8686" s="1">
        <f t="shared" si="270"/>
        <v>0</v>
      </c>
      <c r="Y8686" s="1">
        <f t="shared" si="271"/>
        <v>0</v>
      </c>
    </row>
    <row r="8687" spans="24:25" x14ac:dyDescent="0.3">
      <c r="X8687" s="1">
        <f t="shared" si="270"/>
        <v>0</v>
      </c>
      <c r="Y8687" s="1">
        <f t="shared" si="271"/>
        <v>0</v>
      </c>
    </row>
    <row r="8688" spans="24:25" x14ac:dyDescent="0.3">
      <c r="X8688" s="1">
        <f t="shared" si="270"/>
        <v>0</v>
      </c>
      <c r="Y8688" s="1">
        <f t="shared" si="271"/>
        <v>0</v>
      </c>
    </row>
    <row r="8689" spans="24:25" x14ac:dyDescent="0.3">
      <c r="X8689" s="1">
        <f t="shared" si="270"/>
        <v>0</v>
      </c>
      <c r="Y8689" s="1">
        <f t="shared" si="271"/>
        <v>0</v>
      </c>
    </row>
    <row r="8690" spans="24:25" x14ac:dyDescent="0.3">
      <c r="X8690" s="1">
        <f t="shared" si="270"/>
        <v>0</v>
      </c>
      <c r="Y8690" s="1">
        <f t="shared" si="271"/>
        <v>0</v>
      </c>
    </row>
    <row r="8691" spans="24:25" x14ac:dyDescent="0.3">
      <c r="X8691" s="1">
        <f t="shared" si="270"/>
        <v>0</v>
      </c>
      <c r="Y8691" s="1">
        <f t="shared" si="271"/>
        <v>0</v>
      </c>
    </row>
    <row r="8692" spans="24:25" x14ac:dyDescent="0.3">
      <c r="X8692" s="1">
        <f t="shared" si="270"/>
        <v>0</v>
      </c>
      <c r="Y8692" s="1">
        <f t="shared" si="271"/>
        <v>0</v>
      </c>
    </row>
    <row r="8693" spans="24:25" x14ac:dyDescent="0.3">
      <c r="X8693" s="1">
        <f t="shared" si="270"/>
        <v>0</v>
      </c>
      <c r="Y8693" s="1">
        <f t="shared" si="271"/>
        <v>0</v>
      </c>
    </row>
    <row r="8694" spans="24:25" x14ac:dyDescent="0.3">
      <c r="X8694" s="1">
        <f t="shared" si="270"/>
        <v>0</v>
      </c>
      <c r="Y8694" s="1">
        <f t="shared" si="271"/>
        <v>0</v>
      </c>
    </row>
    <row r="8695" spans="24:25" x14ac:dyDescent="0.3">
      <c r="X8695" s="1">
        <f t="shared" si="270"/>
        <v>0</v>
      </c>
      <c r="Y8695" s="1">
        <f t="shared" si="271"/>
        <v>0</v>
      </c>
    </row>
    <row r="8696" spans="24:25" x14ac:dyDescent="0.3">
      <c r="X8696" s="1">
        <f t="shared" si="270"/>
        <v>0</v>
      </c>
      <c r="Y8696" s="1">
        <f t="shared" si="271"/>
        <v>0</v>
      </c>
    </row>
    <row r="8697" spans="24:25" x14ac:dyDescent="0.3">
      <c r="X8697" s="1">
        <f t="shared" si="270"/>
        <v>0</v>
      </c>
      <c r="Y8697" s="1">
        <f t="shared" si="271"/>
        <v>0</v>
      </c>
    </row>
    <row r="8698" spans="24:25" x14ac:dyDescent="0.3">
      <c r="X8698" s="1">
        <f t="shared" si="270"/>
        <v>0</v>
      </c>
      <c r="Y8698" s="1">
        <f t="shared" si="271"/>
        <v>0</v>
      </c>
    </row>
    <row r="8699" spans="24:25" x14ac:dyDescent="0.3">
      <c r="X8699" s="1">
        <f t="shared" si="270"/>
        <v>0</v>
      </c>
      <c r="Y8699" s="1">
        <f t="shared" si="271"/>
        <v>0</v>
      </c>
    </row>
    <row r="8700" spans="24:25" x14ac:dyDescent="0.3">
      <c r="X8700" s="1">
        <f t="shared" si="270"/>
        <v>0</v>
      </c>
      <c r="Y8700" s="1">
        <f t="shared" si="271"/>
        <v>0</v>
      </c>
    </row>
    <row r="8701" spans="24:25" x14ac:dyDescent="0.3">
      <c r="X8701" s="1">
        <f t="shared" si="270"/>
        <v>0</v>
      </c>
      <c r="Y8701" s="1">
        <f t="shared" si="271"/>
        <v>0</v>
      </c>
    </row>
    <row r="8702" spans="24:25" x14ac:dyDescent="0.3">
      <c r="X8702" s="1">
        <f t="shared" si="270"/>
        <v>0</v>
      </c>
      <c r="Y8702" s="1">
        <f t="shared" si="271"/>
        <v>0</v>
      </c>
    </row>
    <row r="8703" spans="24:25" x14ac:dyDescent="0.3">
      <c r="X8703" s="1">
        <f t="shared" si="270"/>
        <v>0</v>
      </c>
      <c r="Y8703" s="1">
        <f t="shared" si="271"/>
        <v>0</v>
      </c>
    </row>
    <row r="8704" spans="24:25" x14ac:dyDescent="0.3">
      <c r="X8704" s="1">
        <f t="shared" si="270"/>
        <v>0</v>
      </c>
      <c r="Y8704" s="1">
        <f t="shared" si="271"/>
        <v>0</v>
      </c>
    </row>
    <row r="8705" spans="24:25" x14ac:dyDescent="0.3">
      <c r="X8705" s="1">
        <f t="shared" si="270"/>
        <v>0</v>
      </c>
      <c r="Y8705" s="1">
        <f t="shared" si="271"/>
        <v>0</v>
      </c>
    </row>
    <row r="8706" spans="24:25" x14ac:dyDescent="0.3">
      <c r="X8706" s="1">
        <f t="shared" si="270"/>
        <v>0</v>
      </c>
      <c r="Y8706" s="1">
        <f t="shared" si="271"/>
        <v>0</v>
      </c>
    </row>
    <row r="8707" spans="24:25" x14ac:dyDescent="0.3">
      <c r="X8707" s="1">
        <f t="shared" ref="X8707:X8770" si="272">IFERROR(MATCH(W8707,$B:$B,0),0)</f>
        <v>0</v>
      </c>
      <c r="Y8707" s="1">
        <f t="shared" ref="Y8707:Y8770" si="273">IF(X8708=0,COUNTA(A:A),X8708-1)</f>
        <v>0</v>
      </c>
    </row>
    <row r="8708" spans="24:25" x14ac:dyDescent="0.3">
      <c r="X8708" s="1">
        <f t="shared" si="272"/>
        <v>0</v>
      </c>
      <c r="Y8708" s="1">
        <f t="shared" si="273"/>
        <v>0</v>
      </c>
    </row>
    <row r="8709" spans="24:25" x14ac:dyDescent="0.3">
      <c r="X8709" s="1">
        <f t="shared" si="272"/>
        <v>0</v>
      </c>
      <c r="Y8709" s="1">
        <f t="shared" si="273"/>
        <v>0</v>
      </c>
    </row>
    <row r="8710" spans="24:25" x14ac:dyDescent="0.3">
      <c r="X8710" s="1">
        <f t="shared" si="272"/>
        <v>0</v>
      </c>
      <c r="Y8710" s="1">
        <f t="shared" si="273"/>
        <v>0</v>
      </c>
    </row>
    <row r="8711" spans="24:25" x14ac:dyDescent="0.3">
      <c r="X8711" s="1">
        <f t="shared" si="272"/>
        <v>0</v>
      </c>
      <c r="Y8711" s="1">
        <f t="shared" si="273"/>
        <v>0</v>
      </c>
    </row>
    <row r="8712" spans="24:25" x14ac:dyDescent="0.3">
      <c r="X8712" s="1">
        <f t="shared" si="272"/>
        <v>0</v>
      </c>
      <c r="Y8712" s="1">
        <f t="shared" si="273"/>
        <v>0</v>
      </c>
    </row>
    <row r="8713" spans="24:25" x14ac:dyDescent="0.3">
      <c r="X8713" s="1">
        <f t="shared" si="272"/>
        <v>0</v>
      </c>
      <c r="Y8713" s="1">
        <f t="shared" si="273"/>
        <v>0</v>
      </c>
    </row>
    <row r="8714" spans="24:25" x14ac:dyDescent="0.3">
      <c r="X8714" s="1">
        <f t="shared" si="272"/>
        <v>0</v>
      </c>
      <c r="Y8714" s="1">
        <f t="shared" si="273"/>
        <v>0</v>
      </c>
    </row>
    <row r="8715" spans="24:25" x14ac:dyDescent="0.3">
      <c r="X8715" s="1">
        <f t="shared" si="272"/>
        <v>0</v>
      </c>
      <c r="Y8715" s="1">
        <f t="shared" si="273"/>
        <v>0</v>
      </c>
    </row>
    <row r="8716" spans="24:25" x14ac:dyDescent="0.3">
      <c r="X8716" s="1">
        <f t="shared" si="272"/>
        <v>0</v>
      </c>
      <c r="Y8716" s="1">
        <f t="shared" si="273"/>
        <v>0</v>
      </c>
    </row>
    <row r="8717" spans="24:25" x14ac:dyDescent="0.3">
      <c r="X8717" s="1">
        <f t="shared" si="272"/>
        <v>0</v>
      </c>
      <c r="Y8717" s="1">
        <f t="shared" si="273"/>
        <v>0</v>
      </c>
    </row>
    <row r="8718" spans="24:25" x14ac:dyDescent="0.3">
      <c r="X8718" s="1">
        <f t="shared" si="272"/>
        <v>0</v>
      </c>
      <c r="Y8718" s="1">
        <f t="shared" si="273"/>
        <v>0</v>
      </c>
    </row>
    <row r="8719" spans="24:25" x14ac:dyDescent="0.3">
      <c r="X8719" s="1">
        <f t="shared" si="272"/>
        <v>0</v>
      </c>
      <c r="Y8719" s="1">
        <f t="shared" si="273"/>
        <v>0</v>
      </c>
    </row>
    <row r="8720" spans="24:25" x14ac:dyDescent="0.3">
      <c r="X8720" s="1">
        <f t="shared" si="272"/>
        <v>0</v>
      </c>
      <c r="Y8720" s="1">
        <f t="shared" si="273"/>
        <v>0</v>
      </c>
    </row>
    <row r="8721" spans="24:25" x14ac:dyDescent="0.3">
      <c r="X8721" s="1">
        <f t="shared" si="272"/>
        <v>0</v>
      </c>
      <c r="Y8721" s="1">
        <f t="shared" si="273"/>
        <v>0</v>
      </c>
    </row>
    <row r="8722" spans="24:25" x14ac:dyDescent="0.3">
      <c r="X8722" s="1">
        <f t="shared" si="272"/>
        <v>0</v>
      </c>
      <c r="Y8722" s="1">
        <f t="shared" si="273"/>
        <v>0</v>
      </c>
    </row>
    <row r="8723" spans="24:25" x14ac:dyDescent="0.3">
      <c r="X8723" s="1">
        <f t="shared" si="272"/>
        <v>0</v>
      </c>
      <c r="Y8723" s="1">
        <f t="shared" si="273"/>
        <v>0</v>
      </c>
    </row>
    <row r="8724" spans="24:25" x14ac:dyDescent="0.3">
      <c r="X8724" s="1">
        <f t="shared" si="272"/>
        <v>0</v>
      </c>
      <c r="Y8724" s="1">
        <f t="shared" si="273"/>
        <v>0</v>
      </c>
    </row>
    <row r="8725" spans="24:25" x14ac:dyDescent="0.3">
      <c r="X8725" s="1">
        <f t="shared" si="272"/>
        <v>0</v>
      </c>
      <c r="Y8725" s="1">
        <f t="shared" si="273"/>
        <v>0</v>
      </c>
    </row>
    <row r="8726" spans="24:25" x14ac:dyDescent="0.3">
      <c r="X8726" s="1">
        <f t="shared" si="272"/>
        <v>0</v>
      </c>
      <c r="Y8726" s="1">
        <f t="shared" si="273"/>
        <v>0</v>
      </c>
    </row>
    <row r="8727" spans="24:25" x14ac:dyDescent="0.3">
      <c r="X8727" s="1">
        <f t="shared" si="272"/>
        <v>0</v>
      </c>
      <c r="Y8727" s="1">
        <f t="shared" si="273"/>
        <v>0</v>
      </c>
    </row>
    <row r="8728" spans="24:25" x14ac:dyDescent="0.3">
      <c r="X8728" s="1">
        <f t="shared" si="272"/>
        <v>0</v>
      </c>
      <c r="Y8728" s="1">
        <f t="shared" si="273"/>
        <v>0</v>
      </c>
    </row>
    <row r="8729" spans="24:25" x14ac:dyDescent="0.3">
      <c r="X8729" s="1">
        <f t="shared" si="272"/>
        <v>0</v>
      </c>
      <c r="Y8729" s="1">
        <f t="shared" si="273"/>
        <v>0</v>
      </c>
    </row>
    <row r="8730" spans="24:25" x14ac:dyDescent="0.3">
      <c r="X8730" s="1">
        <f t="shared" si="272"/>
        <v>0</v>
      </c>
      <c r="Y8730" s="1">
        <f t="shared" si="273"/>
        <v>0</v>
      </c>
    </row>
    <row r="8731" spans="24:25" x14ac:dyDescent="0.3">
      <c r="X8731" s="1">
        <f t="shared" si="272"/>
        <v>0</v>
      </c>
      <c r="Y8731" s="1">
        <f t="shared" si="273"/>
        <v>0</v>
      </c>
    </row>
    <row r="8732" spans="24:25" x14ac:dyDescent="0.3">
      <c r="X8732" s="1">
        <f t="shared" si="272"/>
        <v>0</v>
      </c>
      <c r="Y8732" s="1">
        <f t="shared" si="273"/>
        <v>0</v>
      </c>
    </row>
    <row r="8733" spans="24:25" x14ac:dyDescent="0.3">
      <c r="X8733" s="1">
        <f t="shared" si="272"/>
        <v>0</v>
      </c>
      <c r="Y8733" s="1">
        <f t="shared" si="273"/>
        <v>0</v>
      </c>
    </row>
    <row r="8734" spans="24:25" x14ac:dyDescent="0.3">
      <c r="X8734" s="1">
        <f t="shared" si="272"/>
        <v>0</v>
      </c>
      <c r="Y8734" s="1">
        <f t="shared" si="273"/>
        <v>0</v>
      </c>
    </row>
    <row r="8735" spans="24:25" x14ac:dyDescent="0.3">
      <c r="X8735" s="1">
        <f t="shared" si="272"/>
        <v>0</v>
      </c>
      <c r="Y8735" s="1">
        <f t="shared" si="273"/>
        <v>0</v>
      </c>
    </row>
    <row r="8736" spans="24:25" x14ac:dyDescent="0.3">
      <c r="X8736" s="1">
        <f t="shared" si="272"/>
        <v>0</v>
      </c>
      <c r="Y8736" s="1">
        <f t="shared" si="273"/>
        <v>0</v>
      </c>
    </row>
    <row r="8737" spans="24:25" x14ac:dyDescent="0.3">
      <c r="X8737" s="1">
        <f t="shared" si="272"/>
        <v>0</v>
      </c>
      <c r="Y8737" s="1">
        <f t="shared" si="273"/>
        <v>0</v>
      </c>
    </row>
    <row r="8738" spans="24:25" x14ac:dyDescent="0.3">
      <c r="X8738" s="1">
        <f t="shared" si="272"/>
        <v>0</v>
      </c>
      <c r="Y8738" s="1">
        <f t="shared" si="273"/>
        <v>0</v>
      </c>
    </row>
    <row r="8739" spans="24:25" x14ac:dyDescent="0.3">
      <c r="X8739" s="1">
        <f t="shared" si="272"/>
        <v>0</v>
      </c>
      <c r="Y8739" s="1">
        <f t="shared" si="273"/>
        <v>0</v>
      </c>
    </row>
    <row r="8740" spans="24:25" x14ac:dyDescent="0.3">
      <c r="X8740" s="1">
        <f t="shared" si="272"/>
        <v>0</v>
      </c>
      <c r="Y8740" s="1">
        <f t="shared" si="273"/>
        <v>0</v>
      </c>
    </row>
    <row r="8741" spans="24:25" x14ac:dyDescent="0.3">
      <c r="X8741" s="1">
        <f t="shared" si="272"/>
        <v>0</v>
      </c>
      <c r="Y8741" s="1">
        <f t="shared" si="273"/>
        <v>0</v>
      </c>
    </row>
    <row r="8742" spans="24:25" x14ac:dyDescent="0.3">
      <c r="X8742" s="1">
        <f t="shared" si="272"/>
        <v>0</v>
      </c>
      <c r="Y8742" s="1">
        <f t="shared" si="273"/>
        <v>0</v>
      </c>
    </row>
    <row r="8743" spans="24:25" x14ac:dyDescent="0.3">
      <c r="X8743" s="1">
        <f t="shared" si="272"/>
        <v>0</v>
      </c>
      <c r="Y8743" s="1">
        <f t="shared" si="273"/>
        <v>0</v>
      </c>
    </row>
    <row r="8744" spans="24:25" x14ac:dyDescent="0.3">
      <c r="X8744" s="1">
        <f t="shared" si="272"/>
        <v>0</v>
      </c>
      <c r="Y8744" s="1">
        <f t="shared" si="273"/>
        <v>0</v>
      </c>
    </row>
    <row r="8745" spans="24:25" x14ac:dyDescent="0.3">
      <c r="X8745" s="1">
        <f t="shared" si="272"/>
        <v>0</v>
      </c>
      <c r="Y8745" s="1">
        <f t="shared" si="273"/>
        <v>0</v>
      </c>
    </row>
    <row r="8746" spans="24:25" x14ac:dyDescent="0.3">
      <c r="X8746" s="1">
        <f t="shared" si="272"/>
        <v>0</v>
      </c>
      <c r="Y8746" s="1">
        <f t="shared" si="273"/>
        <v>0</v>
      </c>
    </row>
    <row r="8747" spans="24:25" x14ac:dyDescent="0.3">
      <c r="X8747" s="1">
        <f t="shared" si="272"/>
        <v>0</v>
      </c>
      <c r="Y8747" s="1">
        <f t="shared" si="273"/>
        <v>0</v>
      </c>
    </row>
    <row r="8748" spans="24:25" x14ac:dyDescent="0.3">
      <c r="X8748" s="1">
        <f t="shared" si="272"/>
        <v>0</v>
      </c>
      <c r="Y8748" s="1">
        <f t="shared" si="273"/>
        <v>0</v>
      </c>
    </row>
    <row r="8749" spans="24:25" x14ac:dyDescent="0.3">
      <c r="X8749" s="1">
        <f t="shared" si="272"/>
        <v>0</v>
      </c>
      <c r="Y8749" s="1">
        <f t="shared" si="273"/>
        <v>0</v>
      </c>
    </row>
    <row r="8750" spans="24:25" x14ac:dyDescent="0.3">
      <c r="X8750" s="1">
        <f t="shared" si="272"/>
        <v>0</v>
      </c>
      <c r="Y8750" s="1">
        <f t="shared" si="273"/>
        <v>0</v>
      </c>
    </row>
    <row r="8751" spans="24:25" x14ac:dyDescent="0.3">
      <c r="X8751" s="1">
        <f t="shared" si="272"/>
        <v>0</v>
      </c>
      <c r="Y8751" s="1">
        <f t="shared" si="273"/>
        <v>0</v>
      </c>
    </row>
    <row r="8752" spans="24:25" x14ac:dyDescent="0.3">
      <c r="X8752" s="1">
        <f t="shared" si="272"/>
        <v>0</v>
      </c>
      <c r="Y8752" s="1">
        <f t="shared" si="273"/>
        <v>0</v>
      </c>
    </row>
    <row r="8753" spans="24:25" x14ac:dyDescent="0.3">
      <c r="X8753" s="1">
        <f t="shared" si="272"/>
        <v>0</v>
      </c>
      <c r="Y8753" s="1">
        <f t="shared" si="273"/>
        <v>0</v>
      </c>
    </row>
    <row r="8754" spans="24:25" x14ac:dyDescent="0.3">
      <c r="X8754" s="1">
        <f t="shared" si="272"/>
        <v>0</v>
      </c>
      <c r="Y8754" s="1">
        <f t="shared" si="273"/>
        <v>0</v>
      </c>
    </row>
    <row r="8755" spans="24:25" x14ac:dyDescent="0.3">
      <c r="X8755" s="1">
        <f t="shared" si="272"/>
        <v>0</v>
      </c>
      <c r="Y8755" s="1">
        <f t="shared" si="273"/>
        <v>0</v>
      </c>
    </row>
    <row r="8756" spans="24:25" x14ac:dyDescent="0.3">
      <c r="X8756" s="1">
        <f t="shared" si="272"/>
        <v>0</v>
      </c>
      <c r="Y8756" s="1">
        <f t="shared" si="273"/>
        <v>0</v>
      </c>
    </row>
    <row r="8757" spans="24:25" x14ac:dyDescent="0.3">
      <c r="X8757" s="1">
        <f t="shared" si="272"/>
        <v>0</v>
      </c>
      <c r="Y8757" s="1">
        <f t="shared" si="273"/>
        <v>0</v>
      </c>
    </row>
    <row r="8758" spans="24:25" x14ac:dyDescent="0.3">
      <c r="X8758" s="1">
        <f t="shared" si="272"/>
        <v>0</v>
      </c>
      <c r="Y8758" s="1">
        <f t="shared" si="273"/>
        <v>0</v>
      </c>
    </row>
    <row r="8759" spans="24:25" x14ac:dyDescent="0.3">
      <c r="X8759" s="1">
        <f t="shared" si="272"/>
        <v>0</v>
      </c>
      <c r="Y8759" s="1">
        <f t="shared" si="273"/>
        <v>0</v>
      </c>
    </row>
    <row r="8760" spans="24:25" x14ac:dyDescent="0.3">
      <c r="X8760" s="1">
        <f t="shared" si="272"/>
        <v>0</v>
      </c>
      <c r="Y8760" s="1">
        <f t="shared" si="273"/>
        <v>0</v>
      </c>
    </row>
    <row r="8761" spans="24:25" x14ac:dyDescent="0.3">
      <c r="X8761" s="1">
        <f t="shared" si="272"/>
        <v>0</v>
      </c>
      <c r="Y8761" s="1">
        <f t="shared" si="273"/>
        <v>0</v>
      </c>
    </row>
    <row r="8762" spans="24:25" x14ac:dyDescent="0.3">
      <c r="X8762" s="1">
        <f t="shared" si="272"/>
        <v>0</v>
      </c>
      <c r="Y8762" s="1">
        <f t="shared" si="273"/>
        <v>0</v>
      </c>
    </row>
    <row r="8763" spans="24:25" x14ac:dyDescent="0.3">
      <c r="X8763" s="1">
        <f t="shared" si="272"/>
        <v>0</v>
      </c>
      <c r="Y8763" s="1">
        <f t="shared" si="273"/>
        <v>0</v>
      </c>
    </row>
    <row r="8764" spans="24:25" x14ac:dyDescent="0.3">
      <c r="X8764" s="1">
        <f t="shared" si="272"/>
        <v>0</v>
      </c>
      <c r="Y8764" s="1">
        <f t="shared" si="273"/>
        <v>0</v>
      </c>
    </row>
    <row r="8765" spans="24:25" x14ac:dyDescent="0.3">
      <c r="X8765" s="1">
        <f t="shared" si="272"/>
        <v>0</v>
      </c>
      <c r="Y8765" s="1">
        <f t="shared" si="273"/>
        <v>0</v>
      </c>
    </row>
    <row r="8766" spans="24:25" x14ac:dyDescent="0.3">
      <c r="X8766" s="1">
        <f t="shared" si="272"/>
        <v>0</v>
      </c>
      <c r="Y8766" s="1">
        <f t="shared" si="273"/>
        <v>0</v>
      </c>
    </row>
    <row r="8767" spans="24:25" x14ac:dyDescent="0.3">
      <c r="X8767" s="1">
        <f t="shared" si="272"/>
        <v>0</v>
      </c>
      <c r="Y8767" s="1">
        <f t="shared" si="273"/>
        <v>0</v>
      </c>
    </row>
    <row r="8768" spans="24:25" x14ac:dyDescent="0.3">
      <c r="X8768" s="1">
        <f t="shared" si="272"/>
        <v>0</v>
      </c>
      <c r="Y8768" s="1">
        <f t="shared" si="273"/>
        <v>0</v>
      </c>
    </row>
    <row r="8769" spans="24:25" x14ac:dyDescent="0.3">
      <c r="X8769" s="1">
        <f t="shared" si="272"/>
        <v>0</v>
      </c>
      <c r="Y8769" s="1">
        <f t="shared" si="273"/>
        <v>0</v>
      </c>
    </row>
    <row r="8770" spans="24:25" x14ac:dyDescent="0.3">
      <c r="X8770" s="1">
        <f t="shared" si="272"/>
        <v>0</v>
      </c>
      <c r="Y8770" s="1">
        <f t="shared" si="273"/>
        <v>0</v>
      </c>
    </row>
    <row r="8771" spans="24:25" x14ac:dyDescent="0.3">
      <c r="X8771" s="1">
        <f t="shared" ref="X8771:X8834" si="274">IFERROR(MATCH(W8771,$B:$B,0),0)</f>
        <v>0</v>
      </c>
      <c r="Y8771" s="1">
        <f t="shared" ref="Y8771:Y8834" si="275">IF(X8772=0,COUNTA(A:A),X8772-1)</f>
        <v>0</v>
      </c>
    </row>
    <row r="8772" spans="24:25" x14ac:dyDescent="0.3">
      <c r="X8772" s="1">
        <f t="shared" si="274"/>
        <v>0</v>
      </c>
      <c r="Y8772" s="1">
        <f t="shared" si="275"/>
        <v>0</v>
      </c>
    </row>
    <row r="8773" spans="24:25" x14ac:dyDescent="0.3">
      <c r="X8773" s="1">
        <f t="shared" si="274"/>
        <v>0</v>
      </c>
      <c r="Y8773" s="1">
        <f t="shared" si="275"/>
        <v>0</v>
      </c>
    </row>
    <row r="8774" spans="24:25" x14ac:dyDescent="0.3">
      <c r="X8774" s="1">
        <f t="shared" si="274"/>
        <v>0</v>
      </c>
      <c r="Y8774" s="1">
        <f t="shared" si="275"/>
        <v>0</v>
      </c>
    </row>
    <row r="8775" spans="24:25" x14ac:dyDescent="0.3">
      <c r="X8775" s="1">
        <f t="shared" si="274"/>
        <v>0</v>
      </c>
      <c r="Y8775" s="1">
        <f t="shared" si="275"/>
        <v>0</v>
      </c>
    </row>
    <row r="8776" spans="24:25" x14ac:dyDescent="0.3">
      <c r="X8776" s="1">
        <f t="shared" si="274"/>
        <v>0</v>
      </c>
      <c r="Y8776" s="1">
        <f t="shared" si="275"/>
        <v>0</v>
      </c>
    </row>
    <row r="8777" spans="24:25" x14ac:dyDescent="0.3">
      <c r="X8777" s="1">
        <f t="shared" si="274"/>
        <v>0</v>
      </c>
      <c r="Y8777" s="1">
        <f t="shared" si="275"/>
        <v>0</v>
      </c>
    </row>
    <row r="8778" spans="24:25" x14ac:dyDescent="0.3">
      <c r="X8778" s="1">
        <f t="shared" si="274"/>
        <v>0</v>
      </c>
      <c r="Y8778" s="1">
        <f t="shared" si="275"/>
        <v>0</v>
      </c>
    </row>
    <row r="8779" spans="24:25" x14ac:dyDescent="0.3">
      <c r="X8779" s="1">
        <f t="shared" si="274"/>
        <v>0</v>
      </c>
      <c r="Y8779" s="1">
        <f t="shared" si="275"/>
        <v>0</v>
      </c>
    </row>
    <row r="8780" spans="24:25" x14ac:dyDescent="0.3">
      <c r="X8780" s="1">
        <f t="shared" si="274"/>
        <v>0</v>
      </c>
      <c r="Y8780" s="1">
        <f t="shared" si="275"/>
        <v>0</v>
      </c>
    </row>
    <row r="8781" spans="24:25" x14ac:dyDescent="0.3">
      <c r="X8781" s="1">
        <f t="shared" si="274"/>
        <v>0</v>
      </c>
      <c r="Y8781" s="1">
        <f t="shared" si="275"/>
        <v>0</v>
      </c>
    </row>
    <row r="8782" spans="24:25" x14ac:dyDescent="0.3">
      <c r="X8782" s="1">
        <f t="shared" si="274"/>
        <v>0</v>
      </c>
      <c r="Y8782" s="1">
        <f t="shared" si="275"/>
        <v>0</v>
      </c>
    </row>
    <row r="8783" spans="24:25" x14ac:dyDescent="0.3">
      <c r="X8783" s="1">
        <f t="shared" si="274"/>
        <v>0</v>
      </c>
      <c r="Y8783" s="1">
        <f t="shared" si="275"/>
        <v>0</v>
      </c>
    </row>
    <row r="8784" spans="24:25" x14ac:dyDescent="0.3">
      <c r="X8784" s="1">
        <f t="shared" si="274"/>
        <v>0</v>
      </c>
      <c r="Y8784" s="1">
        <f t="shared" si="275"/>
        <v>0</v>
      </c>
    </row>
    <row r="8785" spans="24:25" x14ac:dyDescent="0.3">
      <c r="X8785" s="1">
        <f t="shared" si="274"/>
        <v>0</v>
      </c>
      <c r="Y8785" s="1">
        <f t="shared" si="275"/>
        <v>0</v>
      </c>
    </row>
    <row r="8786" spans="24:25" x14ac:dyDescent="0.3">
      <c r="X8786" s="1">
        <f t="shared" si="274"/>
        <v>0</v>
      </c>
      <c r="Y8786" s="1">
        <f t="shared" si="275"/>
        <v>0</v>
      </c>
    </row>
    <row r="8787" spans="24:25" x14ac:dyDescent="0.3">
      <c r="X8787" s="1">
        <f t="shared" si="274"/>
        <v>0</v>
      </c>
      <c r="Y8787" s="1">
        <f t="shared" si="275"/>
        <v>0</v>
      </c>
    </row>
    <row r="8788" spans="24:25" x14ac:dyDescent="0.3">
      <c r="X8788" s="1">
        <f t="shared" si="274"/>
        <v>0</v>
      </c>
      <c r="Y8788" s="1">
        <f t="shared" si="275"/>
        <v>0</v>
      </c>
    </row>
    <row r="8789" spans="24:25" x14ac:dyDescent="0.3">
      <c r="X8789" s="1">
        <f t="shared" si="274"/>
        <v>0</v>
      </c>
      <c r="Y8789" s="1">
        <f t="shared" si="275"/>
        <v>0</v>
      </c>
    </row>
    <row r="8790" spans="24:25" x14ac:dyDescent="0.3">
      <c r="X8790" s="1">
        <f t="shared" si="274"/>
        <v>0</v>
      </c>
      <c r="Y8790" s="1">
        <f t="shared" si="275"/>
        <v>0</v>
      </c>
    </row>
    <row r="8791" spans="24:25" x14ac:dyDescent="0.3">
      <c r="X8791" s="1">
        <f t="shared" si="274"/>
        <v>0</v>
      </c>
      <c r="Y8791" s="1">
        <f t="shared" si="275"/>
        <v>0</v>
      </c>
    </row>
    <row r="8792" spans="24:25" x14ac:dyDescent="0.3">
      <c r="X8792" s="1">
        <f t="shared" si="274"/>
        <v>0</v>
      </c>
      <c r="Y8792" s="1">
        <f t="shared" si="275"/>
        <v>0</v>
      </c>
    </row>
    <row r="8793" spans="24:25" x14ac:dyDescent="0.3">
      <c r="X8793" s="1">
        <f t="shared" si="274"/>
        <v>0</v>
      </c>
      <c r="Y8793" s="1">
        <f t="shared" si="275"/>
        <v>0</v>
      </c>
    </row>
    <row r="8794" spans="24:25" x14ac:dyDescent="0.3">
      <c r="X8794" s="1">
        <f t="shared" si="274"/>
        <v>0</v>
      </c>
      <c r="Y8794" s="1">
        <f t="shared" si="275"/>
        <v>0</v>
      </c>
    </row>
    <row r="8795" spans="24:25" x14ac:dyDescent="0.3">
      <c r="X8795" s="1">
        <f t="shared" si="274"/>
        <v>0</v>
      </c>
      <c r="Y8795" s="1">
        <f t="shared" si="275"/>
        <v>0</v>
      </c>
    </row>
    <row r="8796" spans="24:25" x14ac:dyDescent="0.3">
      <c r="X8796" s="1">
        <f t="shared" si="274"/>
        <v>0</v>
      </c>
      <c r="Y8796" s="1">
        <f t="shared" si="275"/>
        <v>0</v>
      </c>
    </row>
    <row r="8797" spans="24:25" x14ac:dyDescent="0.3">
      <c r="X8797" s="1">
        <f t="shared" si="274"/>
        <v>0</v>
      </c>
      <c r="Y8797" s="1">
        <f t="shared" si="275"/>
        <v>0</v>
      </c>
    </row>
    <row r="8798" spans="24:25" x14ac:dyDescent="0.3">
      <c r="X8798" s="1">
        <f t="shared" si="274"/>
        <v>0</v>
      </c>
      <c r="Y8798" s="1">
        <f t="shared" si="275"/>
        <v>0</v>
      </c>
    </row>
    <row r="8799" spans="24:25" x14ac:dyDescent="0.3">
      <c r="X8799" s="1">
        <f t="shared" si="274"/>
        <v>0</v>
      </c>
      <c r="Y8799" s="1">
        <f t="shared" si="275"/>
        <v>0</v>
      </c>
    </row>
    <row r="8800" spans="24:25" x14ac:dyDescent="0.3">
      <c r="X8800" s="1">
        <f t="shared" si="274"/>
        <v>0</v>
      </c>
      <c r="Y8800" s="1">
        <f t="shared" si="275"/>
        <v>0</v>
      </c>
    </row>
    <row r="8801" spans="24:25" x14ac:dyDescent="0.3">
      <c r="X8801" s="1">
        <f t="shared" si="274"/>
        <v>0</v>
      </c>
      <c r="Y8801" s="1">
        <f t="shared" si="275"/>
        <v>0</v>
      </c>
    </row>
    <row r="8802" spans="24:25" x14ac:dyDescent="0.3">
      <c r="X8802" s="1">
        <f t="shared" si="274"/>
        <v>0</v>
      </c>
      <c r="Y8802" s="1">
        <f t="shared" si="275"/>
        <v>0</v>
      </c>
    </row>
    <row r="8803" spans="24:25" x14ac:dyDescent="0.3">
      <c r="X8803" s="1">
        <f t="shared" si="274"/>
        <v>0</v>
      </c>
      <c r="Y8803" s="1">
        <f t="shared" si="275"/>
        <v>0</v>
      </c>
    </row>
    <row r="8804" spans="24:25" x14ac:dyDescent="0.3">
      <c r="X8804" s="1">
        <f t="shared" si="274"/>
        <v>0</v>
      </c>
      <c r="Y8804" s="1">
        <f t="shared" si="275"/>
        <v>0</v>
      </c>
    </row>
    <row r="8805" spans="24:25" x14ac:dyDescent="0.3">
      <c r="X8805" s="1">
        <f t="shared" si="274"/>
        <v>0</v>
      </c>
      <c r="Y8805" s="1">
        <f t="shared" si="275"/>
        <v>0</v>
      </c>
    </row>
    <row r="8806" spans="24:25" x14ac:dyDescent="0.3">
      <c r="X8806" s="1">
        <f t="shared" si="274"/>
        <v>0</v>
      </c>
      <c r="Y8806" s="1">
        <f t="shared" si="275"/>
        <v>0</v>
      </c>
    </row>
    <row r="8807" spans="24:25" x14ac:dyDescent="0.3">
      <c r="X8807" s="1">
        <f t="shared" si="274"/>
        <v>0</v>
      </c>
      <c r="Y8807" s="1">
        <f t="shared" si="275"/>
        <v>0</v>
      </c>
    </row>
    <row r="8808" spans="24:25" x14ac:dyDescent="0.3">
      <c r="X8808" s="1">
        <f t="shared" si="274"/>
        <v>0</v>
      </c>
      <c r="Y8808" s="1">
        <f t="shared" si="275"/>
        <v>0</v>
      </c>
    </row>
    <row r="8809" spans="24:25" x14ac:dyDescent="0.3">
      <c r="X8809" s="1">
        <f t="shared" si="274"/>
        <v>0</v>
      </c>
      <c r="Y8809" s="1">
        <f t="shared" si="275"/>
        <v>0</v>
      </c>
    </row>
    <row r="8810" spans="24:25" x14ac:dyDescent="0.3">
      <c r="X8810" s="1">
        <f t="shared" si="274"/>
        <v>0</v>
      </c>
      <c r="Y8810" s="1">
        <f t="shared" si="275"/>
        <v>0</v>
      </c>
    </row>
    <row r="8811" spans="24:25" x14ac:dyDescent="0.3">
      <c r="X8811" s="1">
        <f t="shared" si="274"/>
        <v>0</v>
      </c>
      <c r="Y8811" s="1">
        <f t="shared" si="275"/>
        <v>0</v>
      </c>
    </row>
    <row r="8812" spans="24:25" x14ac:dyDescent="0.3">
      <c r="X8812" s="1">
        <f t="shared" si="274"/>
        <v>0</v>
      </c>
      <c r="Y8812" s="1">
        <f t="shared" si="275"/>
        <v>0</v>
      </c>
    </row>
    <row r="8813" spans="24:25" x14ac:dyDescent="0.3">
      <c r="X8813" s="1">
        <f t="shared" si="274"/>
        <v>0</v>
      </c>
      <c r="Y8813" s="1">
        <f t="shared" si="275"/>
        <v>0</v>
      </c>
    </row>
    <row r="8814" spans="24:25" x14ac:dyDescent="0.3">
      <c r="X8814" s="1">
        <f t="shared" si="274"/>
        <v>0</v>
      </c>
      <c r="Y8814" s="1">
        <f t="shared" si="275"/>
        <v>0</v>
      </c>
    </row>
    <row r="8815" spans="24:25" x14ac:dyDescent="0.3">
      <c r="X8815" s="1">
        <f t="shared" si="274"/>
        <v>0</v>
      </c>
      <c r="Y8815" s="1">
        <f t="shared" si="275"/>
        <v>0</v>
      </c>
    </row>
    <row r="8816" spans="24:25" x14ac:dyDescent="0.3">
      <c r="X8816" s="1">
        <f t="shared" si="274"/>
        <v>0</v>
      </c>
      <c r="Y8816" s="1">
        <f t="shared" si="275"/>
        <v>0</v>
      </c>
    </row>
    <row r="8817" spans="24:25" x14ac:dyDescent="0.3">
      <c r="X8817" s="1">
        <f t="shared" si="274"/>
        <v>0</v>
      </c>
      <c r="Y8817" s="1">
        <f t="shared" si="275"/>
        <v>0</v>
      </c>
    </row>
    <row r="8818" spans="24:25" x14ac:dyDescent="0.3">
      <c r="X8818" s="1">
        <f t="shared" si="274"/>
        <v>0</v>
      </c>
      <c r="Y8818" s="1">
        <f t="shared" si="275"/>
        <v>0</v>
      </c>
    </row>
    <row r="8819" spans="24:25" x14ac:dyDescent="0.3">
      <c r="X8819" s="1">
        <f t="shared" si="274"/>
        <v>0</v>
      </c>
      <c r="Y8819" s="1">
        <f t="shared" si="275"/>
        <v>0</v>
      </c>
    </row>
    <row r="8820" spans="24:25" x14ac:dyDescent="0.3">
      <c r="X8820" s="1">
        <f t="shared" si="274"/>
        <v>0</v>
      </c>
      <c r="Y8820" s="1">
        <f t="shared" si="275"/>
        <v>0</v>
      </c>
    </row>
    <row r="8821" spans="24:25" x14ac:dyDescent="0.3">
      <c r="X8821" s="1">
        <f t="shared" si="274"/>
        <v>0</v>
      </c>
      <c r="Y8821" s="1">
        <f t="shared" si="275"/>
        <v>0</v>
      </c>
    </row>
    <row r="8822" spans="24:25" x14ac:dyDescent="0.3">
      <c r="X8822" s="1">
        <f t="shared" si="274"/>
        <v>0</v>
      </c>
      <c r="Y8822" s="1">
        <f t="shared" si="275"/>
        <v>0</v>
      </c>
    </row>
    <row r="8823" spans="24:25" x14ac:dyDescent="0.3">
      <c r="X8823" s="1">
        <f t="shared" si="274"/>
        <v>0</v>
      </c>
      <c r="Y8823" s="1">
        <f t="shared" si="275"/>
        <v>0</v>
      </c>
    </row>
    <row r="8824" spans="24:25" x14ac:dyDescent="0.3">
      <c r="X8824" s="1">
        <f t="shared" si="274"/>
        <v>0</v>
      </c>
      <c r="Y8824" s="1">
        <f t="shared" si="275"/>
        <v>0</v>
      </c>
    </row>
    <row r="8825" spans="24:25" x14ac:dyDescent="0.3">
      <c r="X8825" s="1">
        <f t="shared" si="274"/>
        <v>0</v>
      </c>
      <c r="Y8825" s="1">
        <f t="shared" si="275"/>
        <v>0</v>
      </c>
    </row>
    <row r="8826" spans="24:25" x14ac:dyDescent="0.3">
      <c r="X8826" s="1">
        <f t="shared" si="274"/>
        <v>0</v>
      </c>
      <c r="Y8826" s="1">
        <f t="shared" si="275"/>
        <v>0</v>
      </c>
    </row>
    <row r="8827" spans="24:25" x14ac:dyDescent="0.3">
      <c r="X8827" s="1">
        <f t="shared" si="274"/>
        <v>0</v>
      </c>
      <c r="Y8827" s="1">
        <f t="shared" si="275"/>
        <v>0</v>
      </c>
    </row>
    <row r="8828" spans="24:25" x14ac:dyDescent="0.3">
      <c r="X8828" s="1">
        <f t="shared" si="274"/>
        <v>0</v>
      </c>
      <c r="Y8828" s="1">
        <f t="shared" si="275"/>
        <v>0</v>
      </c>
    </row>
    <row r="8829" spans="24:25" x14ac:dyDescent="0.3">
      <c r="X8829" s="1">
        <f t="shared" si="274"/>
        <v>0</v>
      </c>
      <c r="Y8829" s="1">
        <f t="shared" si="275"/>
        <v>0</v>
      </c>
    </row>
    <row r="8830" spans="24:25" x14ac:dyDescent="0.3">
      <c r="X8830" s="1">
        <f t="shared" si="274"/>
        <v>0</v>
      </c>
      <c r="Y8830" s="1">
        <f t="shared" si="275"/>
        <v>0</v>
      </c>
    </row>
    <row r="8831" spans="24:25" x14ac:dyDescent="0.3">
      <c r="X8831" s="1">
        <f t="shared" si="274"/>
        <v>0</v>
      </c>
      <c r="Y8831" s="1">
        <f t="shared" si="275"/>
        <v>0</v>
      </c>
    </row>
    <row r="8832" spans="24:25" x14ac:dyDescent="0.3">
      <c r="X8832" s="1">
        <f t="shared" si="274"/>
        <v>0</v>
      </c>
      <c r="Y8832" s="1">
        <f t="shared" si="275"/>
        <v>0</v>
      </c>
    </row>
    <row r="8833" spans="24:25" x14ac:dyDescent="0.3">
      <c r="X8833" s="1">
        <f t="shared" si="274"/>
        <v>0</v>
      </c>
      <c r="Y8833" s="1">
        <f t="shared" si="275"/>
        <v>0</v>
      </c>
    </row>
    <row r="8834" spans="24:25" x14ac:dyDescent="0.3">
      <c r="X8834" s="1">
        <f t="shared" si="274"/>
        <v>0</v>
      </c>
      <c r="Y8834" s="1">
        <f t="shared" si="275"/>
        <v>0</v>
      </c>
    </row>
    <row r="8835" spans="24:25" x14ac:dyDescent="0.3">
      <c r="X8835" s="1">
        <f t="shared" ref="X8835:X8856" si="276">IFERROR(MATCH(W8835,$B:$B,0),0)</f>
        <v>0</v>
      </c>
      <c r="Y8835" s="1">
        <f t="shared" ref="Y8835:Y8856" si="277">IF(X8836=0,COUNTA(A:A),X8836-1)</f>
        <v>0</v>
      </c>
    </row>
    <row r="8836" spans="24:25" x14ac:dyDescent="0.3">
      <c r="X8836" s="1">
        <f t="shared" si="276"/>
        <v>0</v>
      </c>
      <c r="Y8836" s="1">
        <f t="shared" si="277"/>
        <v>0</v>
      </c>
    </row>
    <row r="8837" spans="24:25" x14ac:dyDescent="0.3">
      <c r="X8837" s="1">
        <f t="shared" si="276"/>
        <v>0</v>
      </c>
      <c r="Y8837" s="1">
        <f t="shared" si="277"/>
        <v>0</v>
      </c>
    </row>
    <row r="8838" spans="24:25" x14ac:dyDescent="0.3">
      <c r="X8838" s="1">
        <f t="shared" si="276"/>
        <v>0</v>
      </c>
      <c r="Y8838" s="1">
        <f t="shared" si="277"/>
        <v>0</v>
      </c>
    </row>
    <row r="8839" spans="24:25" x14ac:dyDescent="0.3">
      <c r="X8839" s="1">
        <f t="shared" si="276"/>
        <v>0</v>
      </c>
      <c r="Y8839" s="1">
        <f t="shared" si="277"/>
        <v>0</v>
      </c>
    </row>
    <row r="8840" spans="24:25" x14ac:dyDescent="0.3">
      <c r="X8840" s="1">
        <f t="shared" si="276"/>
        <v>0</v>
      </c>
      <c r="Y8840" s="1">
        <f t="shared" si="277"/>
        <v>0</v>
      </c>
    </row>
    <row r="8841" spans="24:25" x14ac:dyDescent="0.3">
      <c r="X8841" s="1">
        <f t="shared" si="276"/>
        <v>0</v>
      </c>
      <c r="Y8841" s="1">
        <f t="shared" si="277"/>
        <v>0</v>
      </c>
    </row>
    <row r="8842" spans="24:25" x14ac:dyDescent="0.3">
      <c r="X8842" s="1">
        <f t="shared" si="276"/>
        <v>0</v>
      </c>
      <c r="Y8842" s="1">
        <f t="shared" si="277"/>
        <v>0</v>
      </c>
    </row>
    <row r="8843" spans="24:25" x14ac:dyDescent="0.3">
      <c r="X8843" s="1">
        <f t="shared" si="276"/>
        <v>0</v>
      </c>
      <c r="Y8843" s="1">
        <f t="shared" si="277"/>
        <v>0</v>
      </c>
    </row>
    <row r="8844" spans="24:25" x14ac:dyDescent="0.3">
      <c r="X8844" s="1">
        <f t="shared" si="276"/>
        <v>0</v>
      </c>
      <c r="Y8844" s="1">
        <f t="shared" si="277"/>
        <v>0</v>
      </c>
    </row>
    <row r="8845" spans="24:25" x14ac:dyDescent="0.3">
      <c r="X8845" s="1">
        <f t="shared" si="276"/>
        <v>0</v>
      </c>
      <c r="Y8845" s="1">
        <f t="shared" si="277"/>
        <v>0</v>
      </c>
    </row>
    <row r="8846" spans="24:25" x14ac:dyDescent="0.3">
      <c r="X8846" s="1">
        <f t="shared" si="276"/>
        <v>0</v>
      </c>
      <c r="Y8846" s="1">
        <f t="shared" si="277"/>
        <v>0</v>
      </c>
    </row>
    <row r="8847" spans="24:25" x14ac:dyDescent="0.3">
      <c r="X8847" s="1">
        <f t="shared" si="276"/>
        <v>0</v>
      </c>
      <c r="Y8847" s="1">
        <f t="shared" si="277"/>
        <v>0</v>
      </c>
    </row>
    <row r="8848" spans="24:25" x14ac:dyDescent="0.3">
      <c r="X8848" s="1">
        <f t="shared" si="276"/>
        <v>0</v>
      </c>
      <c r="Y8848" s="1">
        <f t="shared" si="277"/>
        <v>0</v>
      </c>
    </row>
    <row r="8849" spans="24:25" x14ac:dyDescent="0.3">
      <c r="X8849" s="1">
        <f t="shared" si="276"/>
        <v>0</v>
      </c>
      <c r="Y8849" s="1">
        <f t="shared" si="277"/>
        <v>0</v>
      </c>
    </row>
    <row r="8850" spans="24:25" x14ac:dyDescent="0.3">
      <c r="X8850" s="1">
        <f t="shared" si="276"/>
        <v>0</v>
      </c>
      <c r="Y8850" s="1">
        <f t="shared" si="277"/>
        <v>0</v>
      </c>
    </row>
    <row r="8851" spans="24:25" x14ac:dyDescent="0.3">
      <c r="X8851" s="1">
        <f t="shared" si="276"/>
        <v>0</v>
      </c>
      <c r="Y8851" s="1">
        <f t="shared" si="277"/>
        <v>0</v>
      </c>
    </row>
    <row r="8852" spans="24:25" x14ac:dyDescent="0.3">
      <c r="X8852" s="1">
        <f t="shared" si="276"/>
        <v>0</v>
      </c>
      <c r="Y8852" s="1">
        <f t="shared" si="277"/>
        <v>0</v>
      </c>
    </row>
    <row r="8853" spans="24:25" x14ac:dyDescent="0.3">
      <c r="X8853" s="1">
        <f t="shared" si="276"/>
        <v>0</v>
      </c>
      <c r="Y8853" s="1">
        <f t="shared" si="277"/>
        <v>0</v>
      </c>
    </row>
    <row r="8854" spans="24:25" x14ac:dyDescent="0.3">
      <c r="X8854" s="1">
        <f t="shared" si="276"/>
        <v>0</v>
      </c>
      <c r="Y8854" s="1">
        <f t="shared" si="277"/>
        <v>0</v>
      </c>
    </row>
    <row r="8855" spans="24:25" x14ac:dyDescent="0.3">
      <c r="X8855" s="1">
        <f t="shared" si="276"/>
        <v>0</v>
      </c>
      <c r="Y8855" s="1">
        <f t="shared" si="277"/>
        <v>0</v>
      </c>
    </row>
    <row r="8856" spans="24:25" x14ac:dyDescent="0.3">
      <c r="X8856" s="1">
        <f t="shared" si="276"/>
        <v>0</v>
      </c>
      <c r="Y8856" s="1">
        <f t="shared" si="277"/>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
  <sheetViews>
    <sheetView workbookViewId="0"/>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
  <sheetViews>
    <sheetView tabSelected="1" workbookViewId="0">
      <selection sqref="A1:O1048576"/>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S13"/>
  <sheetViews>
    <sheetView workbookViewId="0"/>
  </sheetViews>
  <sheetFormatPr defaultRowHeight="14.4" x14ac:dyDescent="0.3"/>
  <cols>
    <col min="2" max="2" width="16.33203125" bestFit="1" customWidth="1"/>
    <col min="18" max="18" width="12.44140625" bestFit="1" customWidth="1"/>
    <col min="19" max="19" width="11.6640625" bestFit="1" customWidth="1"/>
  </cols>
  <sheetData>
    <row r="1" spans="1:19" x14ac:dyDescent="0.3">
      <c r="A1" s="10" t="s">
        <v>587</v>
      </c>
      <c r="B1" t="s">
        <v>567</v>
      </c>
      <c r="C1" s="1" t="s">
        <v>568</v>
      </c>
      <c r="D1" s="1" t="s">
        <v>569</v>
      </c>
      <c r="E1" t="s">
        <v>570</v>
      </c>
      <c r="F1" t="s">
        <v>589</v>
      </c>
      <c r="G1" s="1" t="s">
        <v>571</v>
      </c>
      <c r="H1" t="s">
        <v>572</v>
      </c>
      <c r="I1" t="s">
        <v>573</v>
      </c>
      <c r="J1" t="s">
        <v>574</v>
      </c>
      <c r="K1" t="s">
        <v>575</v>
      </c>
      <c r="L1" t="s">
        <v>576</v>
      </c>
      <c r="M1" s="62" t="s">
        <v>577</v>
      </c>
      <c r="O1" t="s">
        <v>578</v>
      </c>
      <c r="P1" t="s">
        <v>579</v>
      </c>
      <c r="Q1" t="s">
        <v>580</v>
      </c>
      <c r="R1" t="s">
        <v>581</v>
      </c>
      <c r="S1" t="s">
        <v>582</v>
      </c>
    </row>
    <row r="2" spans="1:19" x14ac:dyDescent="0.3">
      <c r="A2">
        <f>osm!A3</f>
        <v>0</v>
      </c>
      <c r="B2" t="str">
        <f>R2&amp;"_"&amp;S2</f>
        <v>00:00:00_00:00:00</v>
      </c>
      <c r="C2" s="1" t="s">
        <v>588</v>
      </c>
      <c r="D2" s="1" t="s">
        <v>588</v>
      </c>
      <c r="E2" t="str">
        <f>IF('Summary sheet'!U9=0,"",'Summary sheet'!L27)</f>
        <v/>
      </c>
      <c r="F2" s="500" t="str">
        <f>IF('Summary sheet'!U9=0,"",'Summary sheet'!B47)</f>
        <v/>
      </c>
      <c r="G2" s="1">
        <v>0</v>
      </c>
      <c r="H2">
        <f>'Phase calculation'!$C$25</f>
        <v>40</v>
      </c>
      <c r="I2" t="str">
        <f>IF(E2="","",IF('Phase calculation'!C34=0,'Phase calculation'!D34,'Phase calculation'!C34))</f>
        <v/>
      </c>
      <c r="J2" t="str">
        <f>IF(E2="","",H2-I2)</f>
        <v/>
      </c>
      <c r="K2">
        <f>IF(OR(O2=1,O2=2,O2=5,O2=6),1,2)</f>
        <v>2</v>
      </c>
      <c r="L2" t="s">
        <v>13</v>
      </c>
      <c r="M2">
        <f>osm!E17</f>
        <v>0</v>
      </c>
      <c r="O2">
        <f>IF('Phase calculation'!C33=0,'Phase calculation'!D33,'Phase calculation'!C33)</f>
        <v>4</v>
      </c>
      <c r="P2">
        <f>IFERROR(INDEX(Phasing!$D$46:$K$46,1,MATCH(O2,Phasing!$D$54:$K$54,0)),0)</f>
        <v>0</v>
      </c>
      <c r="Q2">
        <f>IFERROR(INDEX(Phasing!$D$47:$K$47,1,MATCH(O2,Phasing!$D$54:$K$54,0)),0)</f>
        <v>0</v>
      </c>
      <c r="R2" s="498" t="str">
        <f>IF(P2&lt;10,"00:00:0"&amp;P2,"00:"&amp;(IF(P2&lt;60,"00","0"&amp;ROUNDDOWN(P2/60,0))&amp;":"&amp;IF(OR(P2=0,P2=60,P2=120,P2=180),"00",IF(P2&lt;60,P2,P2-60*ROUNDDOWN(P2/60,0)))))</f>
        <v>00:00:00</v>
      </c>
      <c r="S2" s="498" t="str">
        <f>IF(Q2&lt;10,"00:00:0"&amp;Q2,"00:"&amp;(IF(Q2&lt;60,"00","0"&amp;ROUNDDOWN(Q2/60,0))&amp;":"&amp;IF(OR(Q2=0,Q2=60,Q2=120,Q2=180),"00",IF(Q2&lt;60,Q2,Q2-60*ROUNDDOWN(Q2/60,0)))))</f>
        <v>00:00:00</v>
      </c>
    </row>
    <row r="3" spans="1:19" x14ac:dyDescent="0.3">
      <c r="A3">
        <f>osm!A4</f>
        <v>0</v>
      </c>
      <c r="B3" t="str">
        <f t="shared" ref="B3:B13" si="0">R3&amp;"_"&amp;S3</f>
        <v>00:00:00_00:00:00</v>
      </c>
      <c r="C3" s="1" t="s">
        <v>588</v>
      </c>
      <c r="D3" s="1" t="s">
        <v>588</v>
      </c>
      <c r="E3" t="str">
        <f>IF('Summary sheet'!U11=0,"",'Summary sheet'!L29)</f>
        <v/>
      </c>
      <c r="F3" s="500" t="str">
        <f>IF('Summary sheet'!U9=0,"",'Summary sheet'!B49)</f>
        <v/>
      </c>
      <c r="G3" s="1">
        <v>0</v>
      </c>
      <c r="H3">
        <f>'Phase calculation'!$C$25</f>
        <v>40</v>
      </c>
      <c r="I3" t="str">
        <f>IF(E3="","",'Phase calculation'!D34)</f>
        <v/>
      </c>
      <c r="J3" t="str">
        <f t="shared" ref="J3:J13" si="1">IF(E3="","",H3-I3)</f>
        <v/>
      </c>
      <c r="K3">
        <f t="shared" ref="K3:K13" si="2">IF(OR(O3=1,O3=2,O3=5,O3=6),1,2)</f>
        <v>2</v>
      </c>
      <c r="L3" t="s">
        <v>14</v>
      </c>
      <c r="M3">
        <f>osm!E18</f>
        <v>0</v>
      </c>
      <c r="O3">
        <f>'Phase calculation'!D33</f>
        <v>4</v>
      </c>
      <c r="P3">
        <f>IFERROR(INDEX(Phasing!$D$46:$K$46,1,MATCH(O3,Phasing!$D$54:$K$54,0)),0)</f>
        <v>0</v>
      </c>
      <c r="Q3">
        <f>IFERROR(INDEX(Phasing!$D$47:$K$47,1,MATCH(O3,Phasing!$D$54:$K$54,0)),0)</f>
        <v>0</v>
      </c>
      <c r="R3" s="498" t="str">
        <f t="shared" ref="R3:R13" si="3">IF(P3&lt;10,"00:00:0"&amp;P3,"00:"&amp;(IF(P3&lt;60,"00","0"&amp;ROUNDDOWN(P3/60,0))&amp;":"&amp;IF(OR(P3=0,P3=60,P3=120,P3=180),"00",IF(P3&lt;60,P3,P3-60*ROUNDDOWN(P3/60,0)))))</f>
        <v>00:00:00</v>
      </c>
      <c r="S3" s="498" t="str">
        <f t="shared" ref="S3:S13" si="4">IF(Q3&lt;10,"00:00:0"&amp;Q3,"00:"&amp;(IF(Q3&lt;60,"00","0"&amp;ROUNDDOWN(Q3/60,0))&amp;":"&amp;IF(OR(Q3=0,Q3=60,Q3=120,Q3=180),"00",IF(Q3&lt;60,Q3,Q3-60*ROUNDDOWN(Q3/60,0)))))</f>
        <v>00:00:00</v>
      </c>
    </row>
    <row r="4" spans="1:19" x14ac:dyDescent="0.3">
      <c r="A4">
        <f>osm!A5</f>
        <v>0</v>
      </c>
      <c r="B4" t="str">
        <f t="shared" si="0"/>
        <v>00:00:00_00:00:00</v>
      </c>
      <c r="C4" s="1" t="s">
        <v>588</v>
      </c>
      <c r="D4" s="1" t="s">
        <v>588</v>
      </c>
      <c r="E4" t="str">
        <f>IF('Summary sheet'!B13=0,"",'Summary sheet'!L31)</f>
        <v/>
      </c>
      <c r="F4" s="500" t="str">
        <f>IF('Summary sheet'!U9=0,"",'Summary sheet'!B51)</f>
        <v/>
      </c>
      <c r="G4" s="1">
        <v>0</v>
      </c>
      <c r="H4">
        <f>'Phase calculation'!$C$25</f>
        <v>40</v>
      </c>
      <c r="I4" t="str">
        <f>IF(E4="","",'Phase calculation'!E34)</f>
        <v/>
      </c>
      <c r="J4" t="str">
        <f t="shared" si="1"/>
        <v/>
      </c>
      <c r="K4">
        <f t="shared" si="2"/>
        <v>2</v>
      </c>
      <c r="L4" t="s">
        <v>15</v>
      </c>
      <c r="M4">
        <f>osm!E19</f>
        <v>0</v>
      </c>
      <c r="O4">
        <f>O3</f>
        <v>4</v>
      </c>
      <c r="P4">
        <f>IFERROR(INDEX(Phasing!$D$46:$K$46,1,MATCH(O4,Phasing!$D$54:$K$54,0)),0)</f>
        <v>0</v>
      </c>
      <c r="Q4">
        <f>IFERROR(INDEX(Phasing!$D$47:$K$47,1,MATCH(O4,Phasing!$D$54:$K$54,0)),0)</f>
        <v>0</v>
      </c>
      <c r="R4" s="498" t="str">
        <f t="shared" si="3"/>
        <v>00:00:00</v>
      </c>
      <c r="S4" s="498" t="str">
        <f t="shared" si="4"/>
        <v>00:00:00</v>
      </c>
    </row>
    <row r="5" spans="1:19" x14ac:dyDescent="0.3">
      <c r="A5">
        <f>osm!A6</f>
        <v>0</v>
      </c>
      <c r="B5" t="str">
        <f t="shared" si="0"/>
        <v>00:00:00_00:00:00</v>
      </c>
      <c r="C5" s="1" t="s">
        <v>588</v>
      </c>
      <c r="D5" s="1" t="s">
        <v>588</v>
      </c>
      <c r="E5" t="str">
        <f>IF('Summary sheet'!AA13=0,"",'Summary sheet'!R31)</f>
        <v/>
      </c>
      <c r="F5" s="500" t="str">
        <f>IF('Summary sheet'!U9=0,"",'Summary sheet'!H51)</f>
        <v/>
      </c>
      <c r="G5" s="1">
        <v>0</v>
      </c>
      <c r="H5">
        <f>'Phase calculation'!$C$25</f>
        <v>40</v>
      </c>
      <c r="I5" t="str">
        <f>IF(E5="","",IF('Phase calculation'!F34=0,'Phase calculation'!G34,'Phase calculation'!F34))</f>
        <v/>
      </c>
      <c r="J5" t="str">
        <f t="shared" si="1"/>
        <v/>
      </c>
      <c r="K5">
        <f t="shared" si="2"/>
        <v>2</v>
      </c>
      <c r="L5" t="s">
        <v>18</v>
      </c>
      <c r="M5">
        <f>osm!E20</f>
        <v>0</v>
      </c>
      <c r="O5">
        <f>IF('Phase calculation'!F33=0,'Phase calculation'!G33,'Phase calculation'!F33)</f>
        <v>8</v>
      </c>
      <c r="P5">
        <f>IFERROR(INDEX(Phasing!$D$46:$K$46,1,MATCH(O5,Phasing!$D$54:$K$54,0)),0)</f>
        <v>0</v>
      </c>
      <c r="Q5">
        <f>IFERROR(INDEX(Phasing!$D$47:$K$47,1,MATCH(O5,Phasing!$D$54:$K$54,0)),0)</f>
        <v>0</v>
      </c>
      <c r="R5" s="498" t="str">
        <f t="shared" si="3"/>
        <v>00:00:00</v>
      </c>
      <c r="S5" s="498" t="str">
        <f t="shared" si="4"/>
        <v>00:00:00</v>
      </c>
    </row>
    <row r="6" spans="1:19" x14ac:dyDescent="0.3">
      <c r="A6">
        <f>osm!A7</f>
        <v>0</v>
      </c>
      <c r="B6" t="str">
        <f t="shared" si="0"/>
        <v>00:00:00_00:00:00</v>
      </c>
      <c r="C6" s="1" t="s">
        <v>588</v>
      </c>
      <c r="D6" s="1" t="s">
        <v>588</v>
      </c>
      <c r="E6" t="str">
        <f>IF('Summary sheet'!AA11=0,"",'Summary sheet'!R29)</f>
        <v/>
      </c>
      <c r="F6" s="500" t="str">
        <f>IF('Summary sheet'!U9=0,"",'Summary sheet'!H49)</f>
        <v/>
      </c>
      <c r="G6" s="1">
        <v>0</v>
      </c>
      <c r="H6">
        <f>'Phase calculation'!$C$25</f>
        <v>40</v>
      </c>
      <c r="I6" t="str">
        <f>IF(E6="","",'Phase calculation'!G34)</f>
        <v/>
      </c>
      <c r="J6" t="str">
        <f t="shared" si="1"/>
        <v/>
      </c>
      <c r="K6">
        <f t="shared" si="2"/>
        <v>2</v>
      </c>
      <c r="L6" t="s">
        <v>19</v>
      </c>
      <c r="M6">
        <f>osm!E21</f>
        <v>0</v>
      </c>
      <c r="O6">
        <f>'Phase calculation'!G33</f>
        <v>8</v>
      </c>
      <c r="P6">
        <f>IFERROR(INDEX(Phasing!$D$46:$K$46,1,MATCH(O6,Phasing!$D$54:$K$54,0)),0)</f>
        <v>0</v>
      </c>
      <c r="Q6">
        <f>IFERROR(INDEX(Phasing!$D$47:$K$47,1,MATCH(O6,Phasing!$D$54:$K$54,0)),0)</f>
        <v>0</v>
      </c>
      <c r="R6" s="498" t="str">
        <f t="shared" si="3"/>
        <v>00:00:00</v>
      </c>
      <c r="S6" s="498" t="str">
        <f t="shared" si="4"/>
        <v>00:00:00</v>
      </c>
    </row>
    <row r="7" spans="1:19" x14ac:dyDescent="0.3">
      <c r="A7">
        <f>osm!A8</f>
        <v>0</v>
      </c>
      <c r="B7" t="str">
        <f t="shared" si="0"/>
        <v>00:00:00_00:00:00</v>
      </c>
      <c r="C7" s="1" t="s">
        <v>588</v>
      </c>
      <c r="D7" s="1" t="s">
        <v>588</v>
      </c>
      <c r="E7" t="str">
        <f>IF('Summary sheet'!H9=0,"",'Summary sheet'!R27)</f>
        <v/>
      </c>
      <c r="F7" s="500" t="str">
        <f>IF('Summary sheet'!U9=0,"",'Summary sheet'!H47)</f>
        <v/>
      </c>
      <c r="G7" s="1">
        <v>0</v>
      </c>
      <c r="H7">
        <f>'Phase calculation'!$C$25</f>
        <v>40</v>
      </c>
      <c r="I7" t="str">
        <f>IF(E7="","",'Phase calculation'!H34)</f>
        <v/>
      </c>
      <c r="J7" t="str">
        <f t="shared" si="1"/>
        <v/>
      </c>
      <c r="K7">
        <f t="shared" si="2"/>
        <v>2</v>
      </c>
      <c r="L7" t="s">
        <v>20</v>
      </c>
      <c r="M7">
        <f>osm!E22</f>
        <v>0</v>
      </c>
      <c r="O7">
        <f>O6</f>
        <v>8</v>
      </c>
      <c r="P7">
        <f>IFERROR(INDEX(Phasing!$D$46:$K$46,1,MATCH(O7,Phasing!$D$54:$K$54,0)),0)</f>
        <v>0</v>
      </c>
      <c r="Q7">
        <f>IFERROR(INDEX(Phasing!$D$47:$K$47,1,MATCH(O7,Phasing!$D$54:$K$54,0)),0)</f>
        <v>0</v>
      </c>
      <c r="R7" s="498" t="str">
        <f t="shared" si="3"/>
        <v>00:00:00</v>
      </c>
      <c r="S7" s="498" t="str">
        <f t="shared" si="4"/>
        <v>00:00:00</v>
      </c>
    </row>
    <row r="8" spans="1:19" x14ac:dyDescent="0.3">
      <c r="A8">
        <f>osm!A9</f>
        <v>0</v>
      </c>
      <c r="B8" t="str">
        <f t="shared" si="0"/>
        <v>00:00:00_00:00:00</v>
      </c>
      <c r="C8" s="1" t="s">
        <v>588</v>
      </c>
      <c r="D8" s="1" t="s">
        <v>588</v>
      </c>
      <c r="E8" t="str">
        <f>IF('Summary sheet'!W17=0,"",'Summary sheet'!N35)</f>
        <v/>
      </c>
      <c r="F8" s="500" t="str">
        <f>IF('Summary sheet'!U9=0,"",'Summary sheet'!D55)</f>
        <v/>
      </c>
      <c r="G8" s="1">
        <v>0</v>
      </c>
      <c r="H8">
        <f>'Phase calculation'!$C$25</f>
        <v>40</v>
      </c>
      <c r="I8" t="str">
        <f>IF(E8="","",IF('Phase calculation'!I34=0,'Phase calculation'!J34,'Phase calculation'!I34))</f>
        <v/>
      </c>
      <c r="J8" t="str">
        <f t="shared" si="1"/>
        <v/>
      </c>
      <c r="K8">
        <f t="shared" si="2"/>
        <v>1</v>
      </c>
      <c r="L8" t="s">
        <v>3</v>
      </c>
      <c r="M8">
        <f>osm!E23</f>
        <v>0</v>
      </c>
      <c r="O8">
        <f>IF('Phase calculation'!I33=0,'Phase calculation'!J33,'Phase calculation'!I33)</f>
        <v>2</v>
      </c>
      <c r="P8">
        <f>IFERROR(INDEX(Phasing!$D$46:$K$46,1,MATCH(O8,Phasing!$D$54:$K$54,0)),0)</f>
        <v>0</v>
      </c>
      <c r="Q8">
        <f>IFERROR(INDEX(Phasing!$D$47:$K$47,1,MATCH(O8,Phasing!$D$54:$K$54,0)),0)</f>
        <v>0</v>
      </c>
      <c r="R8" s="498" t="str">
        <f t="shared" si="3"/>
        <v>00:00:00</v>
      </c>
      <c r="S8" s="498" t="str">
        <f t="shared" si="4"/>
        <v>00:00:00</v>
      </c>
    </row>
    <row r="9" spans="1:19" x14ac:dyDescent="0.3">
      <c r="A9">
        <f>osm!A10</f>
        <v>0</v>
      </c>
      <c r="B9" t="str">
        <f t="shared" si="0"/>
        <v>00:00:00_00:00:00</v>
      </c>
      <c r="C9" s="1" t="s">
        <v>588</v>
      </c>
      <c r="D9" s="1" t="s">
        <v>588</v>
      </c>
      <c r="E9" t="str">
        <f>IF('Summary sheet'!X17=0,"",'Summary sheet'!O35)</f>
        <v/>
      </c>
      <c r="F9" s="500" t="str">
        <f>IF('Summary sheet'!U9=0,"",'Summary sheet'!E55)</f>
        <v/>
      </c>
      <c r="G9" s="1">
        <v>0</v>
      </c>
      <c r="H9">
        <f>'Phase calculation'!$C$25</f>
        <v>40</v>
      </c>
      <c r="I9" t="str">
        <f>IF(E9="","",'Phase calculation'!J34)</f>
        <v/>
      </c>
      <c r="J9" t="str">
        <f t="shared" si="1"/>
        <v/>
      </c>
      <c r="K9">
        <f t="shared" si="2"/>
        <v>1</v>
      </c>
      <c r="L9" t="s">
        <v>4</v>
      </c>
      <c r="M9">
        <f>osm!E24</f>
        <v>0</v>
      </c>
      <c r="O9">
        <f>'Phase calculation'!J33</f>
        <v>2</v>
      </c>
      <c r="P9">
        <f>IFERROR(INDEX(Phasing!$D$46:$K$46,1,MATCH(O9,Phasing!$D$54:$K$54,0)),0)</f>
        <v>0</v>
      </c>
      <c r="Q9">
        <f>IFERROR(INDEX(Phasing!$D$47:$K$47,1,MATCH(O9,Phasing!$D$54:$K$54,0)),0)</f>
        <v>0</v>
      </c>
      <c r="R9" s="498" t="str">
        <f t="shared" si="3"/>
        <v>00:00:00</v>
      </c>
      <c r="S9" s="498" t="str">
        <f t="shared" si="4"/>
        <v>00:00:00</v>
      </c>
    </row>
    <row r="10" spans="1:19" x14ac:dyDescent="0.3">
      <c r="A10">
        <f>osm!A11</f>
        <v>0</v>
      </c>
      <c r="B10" t="str">
        <f t="shared" si="0"/>
        <v>00:00:00_00:00:00</v>
      </c>
      <c r="C10" s="1" t="s">
        <v>588</v>
      </c>
      <c r="D10" s="1" t="s">
        <v>588</v>
      </c>
      <c r="E10" t="str">
        <f>IF('Summary sheet'!F17=0,"",'Summary sheet'!P35)</f>
        <v/>
      </c>
      <c r="F10" s="500" t="str">
        <f>IF('Summary sheet'!U9=0,"",'Summary sheet'!F55)</f>
        <v/>
      </c>
      <c r="G10" s="1">
        <v>0</v>
      </c>
      <c r="H10">
        <f>'Phase calculation'!$C$25</f>
        <v>40</v>
      </c>
      <c r="I10" t="str">
        <f>IF(E10="","",'Phase calculation'!K34)</f>
        <v/>
      </c>
      <c r="J10" t="str">
        <f t="shared" si="1"/>
        <v/>
      </c>
      <c r="K10">
        <f t="shared" si="2"/>
        <v>1</v>
      </c>
      <c r="L10" t="s">
        <v>5</v>
      </c>
      <c r="M10">
        <f>osm!E25</f>
        <v>0</v>
      </c>
      <c r="O10">
        <f>O9</f>
        <v>2</v>
      </c>
      <c r="P10">
        <f>IFERROR(INDEX(Phasing!$D$46:$K$46,1,MATCH(O10,Phasing!$D$54:$K$54,0)),0)</f>
        <v>0</v>
      </c>
      <c r="Q10">
        <f>IFERROR(INDEX(Phasing!$D$47:$K$47,1,MATCH(O10,Phasing!$D$54:$K$54,0)),0)</f>
        <v>0</v>
      </c>
      <c r="R10" s="498" t="str">
        <f t="shared" si="3"/>
        <v>00:00:00</v>
      </c>
      <c r="S10" s="498" t="str">
        <f t="shared" si="4"/>
        <v>00:00:00</v>
      </c>
    </row>
    <row r="11" spans="1:19" x14ac:dyDescent="0.3">
      <c r="A11">
        <f>osm!A12</f>
        <v>0</v>
      </c>
      <c r="B11" t="str">
        <f t="shared" si="0"/>
        <v>00:00:00_00:00:00</v>
      </c>
      <c r="C11" s="1" t="s">
        <v>588</v>
      </c>
      <c r="D11" s="1" t="s">
        <v>588</v>
      </c>
      <c r="E11" t="str">
        <f>IF('Summary sheet'!Y4=0,"",'Summary sheet'!P22)</f>
        <v/>
      </c>
      <c r="F11" s="500" t="str">
        <f>IF('Summary sheet'!U9=0,"",'Summary sheet'!F42)</f>
        <v/>
      </c>
      <c r="G11" s="1">
        <v>0</v>
      </c>
      <c r="H11">
        <f>'Phase calculation'!$C$25</f>
        <v>40</v>
      </c>
      <c r="I11" t="str">
        <f>IF(E11="","",IF('Phase calculation'!L34=0,'Phase calculation'!M34,'Phase calculation'!L34))</f>
        <v/>
      </c>
      <c r="J11" t="str">
        <f t="shared" si="1"/>
        <v/>
      </c>
      <c r="K11">
        <f t="shared" si="2"/>
        <v>1</v>
      </c>
      <c r="L11" t="s">
        <v>8</v>
      </c>
      <c r="M11">
        <f>osm!E26</f>
        <v>0</v>
      </c>
      <c r="O11">
        <f>IF('Phase calculation'!L33=0,'Phase calculation'!M33,'Phase calculation'!L33)</f>
        <v>6</v>
      </c>
      <c r="P11">
        <f>IFERROR(INDEX(Phasing!$D$46:$K$46,1,MATCH(O11,Phasing!$D$54:$K$54,0)),0)</f>
        <v>0</v>
      </c>
      <c r="Q11">
        <f>IFERROR(INDEX(Phasing!$D$47:$K$47,1,MATCH(O11,Phasing!$D$54:$K$54,0)),0)</f>
        <v>0</v>
      </c>
      <c r="R11" s="498" t="str">
        <f t="shared" si="3"/>
        <v>00:00:00</v>
      </c>
      <c r="S11" s="498" t="str">
        <f t="shared" si="4"/>
        <v>00:00:00</v>
      </c>
    </row>
    <row r="12" spans="1:19" x14ac:dyDescent="0.3">
      <c r="A12">
        <f>osm!A13</f>
        <v>0</v>
      </c>
      <c r="B12" t="str">
        <f t="shared" si="0"/>
        <v>00:00:00_00:00:00</v>
      </c>
      <c r="C12" s="1" t="s">
        <v>588</v>
      </c>
      <c r="D12" s="1" t="s">
        <v>588</v>
      </c>
      <c r="E12" t="str">
        <f>IF('Summary sheet'!X4=0,"",'Summary sheet'!O22)</f>
        <v/>
      </c>
      <c r="F12" s="500" t="str">
        <f>IF('Summary sheet'!U9=0,"",'Summary sheet'!E42)</f>
        <v/>
      </c>
      <c r="G12" s="1">
        <v>0</v>
      </c>
      <c r="H12">
        <f>'Phase calculation'!$C$25</f>
        <v>40</v>
      </c>
      <c r="I12" t="str">
        <f>IF(E12="","",'Phase calculation'!M34)</f>
        <v/>
      </c>
      <c r="J12" t="str">
        <f t="shared" si="1"/>
        <v/>
      </c>
      <c r="K12">
        <f t="shared" si="2"/>
        <v>1</v>
      </c>
      <c r="L12" t="s">
        <v>9</v>
      </c>
      <c r="M12">
        <f>osm!E27</f>
        <v>0</v>
      </c>
      <c r="O12">
        <f>'Phase calculation'!M33</f>
        <v>6</v>
      </c>
      <c r="P12">
        <f>IFERROR(INDEX(Phasing!$D$46:$K$46,1,MATCH(O12,Phasing!$D$54:$K$54,0)),0)</f>
        <v>0</v>
      </c>
      <c r="Q12">
        <f>IFERROR(INDEX(Phasing!$D$47:$K$47,1,MATCH(O12,Phasing!$D$54:$K$54,0)),0)</f>
        <v>0</v>
      </c>
      <c r="R12" s="498" t="str">
        <f t="shared" si="3"/>
        <v>00:00:00</v>
      </c>
      <c r="S12" s="498" t="str">
        <f t="shared" si="4"/>
        <v>00:00:00</v>
      </c>
    </row>
    <row r="13" spans="1:19" x14ac:dyDescent="0.3">
      <c r="A13">
        <f>osm!A14</f>
        <v>0</v>
      </c>
      <c r="B13" t="str">
        <f t="shared" si="0"/>
        <v>00:00:00_00:00:00</v>
      </c>
      <c r="C13" s="1" t="s">
        <v>588</v>
      </c>
      <c r="D13" s="1" t="s">
        <v>588</v>
      </c>
      <c r="E13" t="str">
        <f>IF('Summary sheet'!D4=0,"",'Summary sheet'!N22)</f>
        <v/>
      </c>
      <c r="F13" s="500" t="str">
        <f>IF('Summary sheet'!U9=0,"",'Summary sheet'!D42)</f>
        <v/>
      </c>
      <c r="G13" s="1">
        <v>0</v>
      </c>
      <c r="H13">
        <f>'Phase calculation'!$C$25</f>
        <v>40</v>
      </c>
      <c r="I13" t="str">
        <f>IF(E13="","",'Phase calculation'!N34)</f>
        <v/>
      </c>
      <c r="J13" t="str">
        <f t="shared" si="1"/>
        <v/>
      </c>
      <c r="K13">
        <f t="shared" si="2"/>
        <v>1</v>
      </c>
      <c r="L13" t="s">
        <v>10</v>
      </c>
      <c r="M13">
        <f>osm!E28</f>
        <v>0</v>
      </c>
      <c r="O13">
        <f>O12</f>
        <v>6</v>
      </c>
      <c r="P13">
        <f>IFERROR(INDEX(Phasing!$D$46:$K$46,1,MATCH(O13,Phasing!$D$54:$K$54,0)),0)</f>
        <v>0</v>
      </c>
      <c r="Q13">
        <f>IFERROR(INDEX(Phasing!$D$47:$K$47,1,MATCH(O13,Phasing!$D$54:$K$54,0)),0)</f>
        <v>0</v>
      </c>
      <c r="R13" s="498" t="str">
        <f t="shared" si="3"/>
        <v>00:00:00</v>
      </c>
      <c r="S13" s="498" t="str">
        <f t="shared" si="4"/>
        <v>00:00:00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
  <sheetViews>
    <sheetView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
  <sheetViews>
    <sheetView workbookViewId="0"/>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
  <sheetViews>
    <sheetView workbookViewId="0">
      <selection activeCell="Q29" sqref="Q29"/>
    </sheetView>
  </sheetViews>
  <sheetFormatPr defaultRowHeight="14.4"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
  <sheetViews>
    <sheetView workbookViewId="0">
      <selection activeCell="P18" sqref="P18"/>
    </sheetView>
  </sheetViews>
  <sheetFormatPr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13" t="s">
        <v>281</v>
      </c>
      <c r="D2" s="513"/>
      <c r="E2" s="513"/>
      <c r="F2" s="513"/>
      <c r="G2" s="513"/>
    </row>
    <row r="3" spans="1:8" x14ac:dyDescent="0.3">
      <c r="A3" t="s">
        <v>280</v>
      </c>
      <c r="B3" s="1" t="s">
        <v>261</v>
      </c>
      <c r="C3" s="76">
        <v>30</v>
      </c>
      <c r="D3" s="76">
        <v>50</v>
      </c>
      <c r="E3" s="76">
        <v>70</v>
      </c>
      <c r="F3" s="76">
        <v>90</v>
      </c>
      <c r="G3" s="76">
        <v>110</v>
      </c>
      <c r="H3" s="493">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68" t="s">
        <v>310</v>
      </c>
      <c r="C1" s="568"/>
      <c r="D1" s="568"/>
    </row>
    <row r="2" spans="2:9" x14ac:dyDescent="0.3">
      <c r="B2" s="210"/>
      <c r="C2" s="568" t="s">
        <v>298</v>
      </c>
      <c r="D2" s="568"/>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19" t="s">
        <v>315</v>
      </c>
      <c r="D16" s="519"/>
      <c r="E16" s="519"/>
      <c r="F16" s="519"/>
      <c r="G16" s="519"/>
      <c r="H16" s="519"/>
      <c r="I16" s="519"/>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19" t="s">
        <v>319</v>
      </c>
      <c r="D25" s="519"/>
      <c r="E25" s="519"/>
      <c r="F25" s="519"/>
      <c r="G25" s="519"/>
      <c r="H25" s="519"/>
      <c r="I25" s="519"/>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Charts</vt:lpstr>
      </vt:variant>
      <vt:variant>
        <vt:i4>1</vt:i4>
      </vt:variant>
    </vt:vector>
  </HeadingPairs>
  <TitlesOfParts>
    <vt:vector size="23" baseType="lpstr">
      <vt:lpstr>Sheet1</vt:lpstr>
      <vt:lpstr>Input sheet</vt:lpstr>
      <vt:lpstr>Phase designation</vt:lpstr>
      <vt:lpstr>Lane volumes</vt:lpstr>
      <vt:lpstr>Phase calculation</vt:lpstr>
      <vt:lpstr>Max greens</vt:lpstr>
      <vt:lpstr>LOS table</vt:lpstr>
      <vt:lpstr>Phasing</vt:lpstr>
      <vt:lpstr>Summary sheet</vt:lpstr>
      <vt:lpstr>osm</vt:lpstr>
      <vt:lpstr>GMNS_data_dictionary</vt:lpstr>
      <vt:lpstr>GMNS</vt:lpstr>
      <vt:lpstr>movement</vt:lpstr>
      <vt:lpstr>node</vt:lpstr>
      <vt:lpstr>link</vt:lpstr>
      <vt:lpstr>timing_csv</vt:lpstr>
      <vt:lpstr>signal_phase</vt:lpstr>
      <vt:lpstr>signal_phase_concurrency</vt:lpstr>
      <vt:lpstr>signal_timing_plan</vt:lpstr>
      <vt:lpstr>signal_timing_phase</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Simon Zhou</cp:lastModifiedBy>
  <dcterms:created xsi:type="dcterms:W3CDTF">2012-08-31T17:18:51Z</dcterms:created>
  <dcterms:modified xsi:type="dcterms:W3CDTF">2021-05-07T23:49:56Z</dcterms:modified>
</cp:coreProperties>
</file>